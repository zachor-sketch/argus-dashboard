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tables/table8.xml" ContentType="application/vnd.openxmlformats-officedocument.spreadsheetml.table+xml"/>
  <Override PartName="/xl/worksheets/sheet16.xml" ContentType="application/vnd.openxmlformats-officedocument.spreadsheetml.worksheet+xml"/>
  <Override PartName="/xl/tables/table9.xml" ContentType="application/vnd.openxmlformats-officedocument.spreadsheetml.table+xml"/>
  <Override PartName="/xl/worksheets/sheet1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8.xml" ContentType="application/vnd.openxmlformats-officedocument.spreadsheetml.worksheet+xml"/>
  <Override PartName="/xl/tables/table10.xml" ContentType="application/vnd.openxmlformats-officedocument.spreadsheetml.table+xml"/>
  <Override PartName="/xl/worksheets/sheet19.xml" ContentType="application/vnd.openxmlformats-officedocument.spreadsheetml.worksheet+xml"/>
  <Override PartName="/xl/tables/table11.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ables/table12.xml" ContentType="application/vnd.openxmlformats-officedocument.spreadsheetml.table+xml"/>
  <Override PartName="/xl/worksheets/sheet23.xml" ContentType="application/vnd.openxmlformats-officedocument.spreadsheetml.worksheet+xml"/>
  <Override PartName="/xl/tables/table1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19295384af84e72" /></Relationships>
</file>

<file path=xl/workbook.xml><?xml version="1.0" encoding="utf-8"?>
<x:workbook xmlns:x="http://schemas.openxmlformats.org/spreadsheetml/2006/main">
  <x:sheets>
    <x:sheet xmlns:r="http://schemas.openxmlformats.org/officeDocument/2006/relationships" name="Cover" sheetId="1" r:id="R0fa55671b4d248e5"/>
    <x:sheet xmlns:r="http://schemas.openxmlformats.org/officeDocument/2006/relationships" name="Sector Map" sheetId="2" r:id="R9035dd3057084340"/>
    <x:sheet xmlns:r="http://schemas.openxmlformats.org/officeDocument/2006/relationships" name="Coverage Dashboard" sheetId="3" r:id="R5fa7b01ba3284e6e"/>
    <x:sheet xmlns:r="http://schemas.openxmlformats.org/officeDocument/2006/relationships" name="Company Universe" sheetId="4" r:id="R0ac81217fc18482c"/>
    <x:sheet xmlns:r="http://schemas.openxmlformats.org/officeDocument/2006/relationships" name="Owner Test 100" sheetId="5" r:id="Rd578e81ddbb1406c"/>
    <x:sheet xmlns:r="http://schemas.openxmlformats.org/officeDocument/2006/relationships" name="Source Coverage 100" sheetId="6" r:id="R2df69aca04734327"/>
    <x:sheet xmlns:r="http://schemas.openxmlformats.org/officeDocument/2006/relationships" name="Cycle Dashboard" sheetId="7" r:id="R2a26a1b74ddf4e4d"/>
    <x:sheet xmlns:r="http://schemas.openxmlformats.org/officeDocument/2006/relationships" name="1000 Cycles" sheetId="8" r:id="R65fee22752ef450f"/>
    <x:sheet xmlns:r="http://schemas.openxmlformats.org/officeDocument/2006/relationships" name="Forward Journal" sheetId="9" r:id="R69fcf931462e493e"/>
    <x:sheet xmlns:r="http://schemas.openxmlformats.org/officeDocument/2006/relationships" name="Promises Ledger" sheetId="10" r:id="R5bff73e7921c4d20"/>
    <x:sheet xmlns:r="http://schemas.openxmlformats.org/officeDocument/2006/relationships" name="Change Log" sheetId="11" r:id="R349d090eaee04f31"/>
    <x:sheet xmlns:r="http://schemas.openxmlformats.org/officeDocument/2006/relationships" name="Lists &amp; Rules" sheetId="12" r:id="R0f923cb9d0874e00"/>
    <x:sheet xmlns:r="http://schemas.openxmlformats.org/officeDocument/2006/relationships" name="Sources &amp; Audit" sheetId="13" r:id="Radc4de573c6c4945"/>
    <x:sheet xmlns:r="http://schemas.openxmlformats.org/officeDocument/2006/relationships" name="Checks" sheetId="14" r:id="R392eaf01ca1a48bf"/>
    <x:sheet xmlns:r="http://schemas.openxmlformats.org/officeDocument/2006/relationships" name="1000 Improvement Loops" sheetId="15" r:id="R5bcecb1b666f4a77"/>
    <x:sheet xmlns:r="http://schemas.openxmlformats.org/officeDocument/2006/relationships" name="Simulation Rules" sheetId="16" r:id="Rf3972f574e494fdf"/>
    <x:sheet xmlns:r="http://schemas.openxmlformats.org/officeDocument/2006/relationships" name="Simulation Dashboard" sheetId="17" r:id="Rf1872757d93b470a"/>
    <x:sheet xmlns:r="http://schemas.openxmlformats.org/officeDocument/2006/relationships" name="P1 Deep Research" sheetId="18" r:id="R501bc6adab0e4c69"/>
    <x:sheet xmlns:r="http://schemas.openxmlformats.org/officeDocument/2006/relationships" name="P2-A Deep Research" sheetId="19" r:id="Rea0caf6c20384bf9"/>
    <x:sheet xmlns:r="http://schemas.openxmlformats.org/officeDocument/2006/relationships" name="P2-B Deep Research" sheetId="20" r:id="Re13ec948d1404f92"/>
    <x:sheet xmlns:r="http://schemas.openxmlformats.org/officeDocument/2006/relationships" name="P2-C Deep Research" sheetId="21" r:id="R6a4c2ea4f86a4bf6"/>
    <x:sheet xmlns:r="http://schemas.openxmlformats.org/officeDocument/2006/relationships" name="AI Chain Signal" sheetId="22" r:id="R6fbdc53b715941db"/>
    <x:sheet xmlns:r="http://schemas.openxmlformats.org/officeDocument/2006/relationships" name="Daily Price Log" sheetId="23" r:id="R08336d217f064df2"/>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164" formatCode="yyyy-mm-dd"/>
    <x:numFmt numFmtId="165" formatCode="0.0%"/>
    <x:numFmt numFmtId="200" formatCode="#,##0.00"/>
    <x:numFmt numFmtId="201" formatCode="#,##0;[Red](#,##0);-"/>
    <x:numFmt numFmtId="202" formatCode="$0.00;[Red]($0.00);-"/>
    <x:numFmt numFmtId="203" formatCode="0.0x;[Red](0.0x);-"/>
    <x:numFmt numFmtId="204" formatCode="yyyy-mm-dd hh:mm"/>
    <x:numFmt numFmtId="205" formatCode="0.00%;[Red](0.00%);-"/>
  </x:numFmts>
  <x:fonts count="55">
    <x:font>
      <x:sz val="11"/>
      <x:name val="Carlito"/>
    </x:font>
    <x:font>
      <x:b/>
      <x:sz val="18"/>
      <x:color rgb="FFFFFFFF"/>
      <x:name val="Carlito"/>
    </x:font>
    <x:font>
      <x:i/>
      <x:sz val="10"/>
      <x:color rgb="FF64748B"/>
      <x:name val="Carlito"/>
    </x:font>
    <x:font>
      <x:b/>
      <x:sz val="12"/>
      <x:color rgb="FFFFFFFF"/>
      <x:name val="Carlito"/>
    </x:font>
    <x:font>
      <x:sz val="10"/>
      <x:color rgb="FF172B3A"/>
      <x:name val="Carlito"/>
    </x:font>
    <x:font>
      <x:b/>
      <x:sz val="10"/>
      <x:color rgb="FF64748B"/>
      <x:name val="Carlito"/>
    </x:font>
    <x:font>
      <x:b/>
      <x:sz val="10"/>
      <x:color rgb="FF166534"/>
      <x:name val="Carlito"/>
    </x:font>
    <x:font>
      <x:b/>
      <x:sz val="10"/>
      <x:color rgb="FF991B1B"/>
      <x:name val="Carlito"/>
    </x:font>
    <x:font>
      <x:b/>
      <x:sz val="10"/>
      <x:color rgb="FF92400E"/>
      <x:name val="Carlito"/>
    </x:font>
    <x:font>
      <x:b/>
      <x:sz val="10"/>
      <x:color rgb="FF173F5F"/>
      <x:name val="Carlito"/>
    </x:font>
    <x:font>
      <x:b/>
      <x:sz val="10"/>
      <x:color rgb="FFFFFFFF"/>
      <x:name val="Carlito"/>
    </x:font>
    <x:font>
      <x:sz val="9"/>
      <x:color rgb="FF172B3A"/>
      <x:name val="Carlito"/>
    </x:font>
    <x:font>
      <x:sz val="9"/>
      <x:color rgb="FF0000FF"/>
      <x:name val="Carlito"/>
    </x:font>
    <x:font>
      <x:sz val="9"/>
      <x:color rgb="FF008000"/>
      <x:name val="Carlito"/>
    </x:font>
    <x:font>
      <x:sz val="9"/>
      <x:color rgb="FF000000"/>
      <x:name val="Carlito"/>
    </x:font>
    <x:font>
      <x:b/>
      <x:sz val="9"/>
      <x:color rgb="FF172B3A"/>
      <x:name val="Carlito"/>
    </x:font>
    <x:font>
      <x:b/>
      <x:sz val="13"/>
      <x:color rgb="FFFFFFFF"/>
      <x:name val="Carlito"/>
    </x:font>
    <x:font>
      <x:b/>
      <x:sz val="12"/>
      <x:color rgb="FF991B1B"/>
      <x:name val="Carlito"/>
    </x:font>
    <x:font>
      <x:b/>
      <x:sz val="11"/>
      <x:color rgb="FF92400E"/>
      <x:name val="Carlito"/>
    </x:font>
    <x:font>
      <x:b/>
      <x:sz val="11"/>
      <x:color rgb="FFFFFFFF"/>
      <x:name val="Carlito"/>
    </x:font>
    <x:font>
      <x:b/>
      <x:sz val="12"/>
      <x:color rgb="FF166534"/>
      <x:name val="Carlito"/>
    </x:font>
    <x:font>
      <x:b/>
      <x:sz val="11"/>
      <x:name val="Carlito"/>
    </x:font>
    <x:font>
      <x:b/>
      <x:sz val="16"/>
      <x:color rgb="FFFFFFFF"/>
      <x:name val="Carlito"/>
    </x:font>
    <x:font>
      <x:i/>
      <x:sz val="10"/>
      <x:color rgb="FF203040"/>
      <x:name val="Carlito"/>
    </x:font>
    <x:font>
      <x:b/>
      <x:sz val="10"/>
      <x:color rgb="FF7F6000"/>
      <x:name val="Carlito"/>
    </x:font>
    <x:font>
      <x:b/>
      <x:sz val="9"/>
      <x:color rgb="FFFFFFFF"/>
      <x:name val="Carlito"/>
    </x:font>
    <x:font>
      <x:sz val="9"/>
      <x:name val="Carlito"/>
    </x:font>
    <x:font>
      <x:b/>
      <x:sz val="11"/>
      <x:color rgb="FF7F6000"/>
      <x:name val="Carlito"/>
    </x:font>
    <x:font>
      <x:i/>
      <x:sz val="11"/>
      <x:color rgb="FF203040"/>
      <x:name val="Carlito"/>
    </x:font>
    <x:font>
      <x:b/>
      <x:sz val="12"/>
      <x:color rgb="FF203040"/>
      <x:name val="Carlito"/>
    </x:font>
    <x:font>
      <x:sz val="10"/>
      <x:name val="Carlito"/>
    </x:font>
    <x:font>
      <x:b/>
      <x:sz val="9"/>
      <x:color rgb="FF203040"/>
      <x:name val="Carlito"/>
    </x:font>
    <x:font>
      <x:sz val="10"/>
      <x:color rgb="FF203040"/>
      <x:name val="Carlito"/>
    </x:font>
    <x:font>
      <x:b/>
      <x:sz val="16"/>
      <x:color rgb="FFFFFFFF"/>
    </x:font>
    <x:font>
      <x:i/>
      <x:sz val="10"/>
      <x:color rgb="FF303A2E"/>
    </x:font>
    <x:font>
      <x:b/>
      <x:sz val="9"/>
      <x:color rgb="FFFFFFFF"/>
    </x:font>
    <x:font>
      <x:sz val="9"/>
    </x:font>
    <x:font>
      <x:i/>
      <x:sz val="10"/>
      <x:color rgb="FF303A2E"/>
      <x:name val="Carlito"/>
    </x:font>
    <x:font>
      <x:sz val="9"/>
      <x:color rgb="FF1F2A38"/>
      <x:name val="Carlito"/>
    </x:font>
    <x:font>
      <x:sz val="9"/>
      <x:color rgb="FF1F2A38"/>
      <x:name val="Aptos"/>
    </x:font>
    <x:font>
      <x:b/>
      <x:sz val="16"/>
      <x:color rgb="FFFFFFFF"/>
      <x:name val="Aptos Display"/>
    </x:font>
    <x:font>
      <x:b/>
      <x:sz val="10"/>
      <x:color rgb="FF17324D"/>
      <x:name val="Aptos"/>
    </x:font>
    <x:font>
      <x:b/>
      <x:sz val="9"/>
      <x:color rgb="FF7F6000"/>
      <x:name val="Aptos"/>
    </x:font>
    <x:font>
      <x:b/>
      <x:sz val="9"/>
      <x:color rgb="FFFFFFFF"/>
      <x:name val="Aptos"/>
    </x:font>
    <x:font>
      <x:b/>
      <x:sz val="9"/>
      <x:color rgb="FF9C0006"/>
      <x:name val="Aptos"/>
    </x:font>
    <x:font>
      <x:b/>
      <x:sz val="9"/>
      <x:color rgb="FF274E13"/>
      <x:name val="Aptos"/>
    </x:font>
    <x:font>
      <x:i/>
      <x:sz val="10"/>
      <x:color rgb="FF334155"/>
      <x:name val="Carlito"/>
    </x:font>
    <x:font>
      <x:b/>
      <x:sz val="10"/>
      <x:color rgb="FF7C2D12"/>
      <x:name val="Carlito"/>
    </x:font>
    <x:font>
      <x:sz val="10"/>
      <x:color rgb="FF1F2937"/>
      <x:name val="Carlito"/>
    </x:font>
    <x:font>
      <x:b/>
      <x:sz val="10"/>
      <x:color rgb="FF1F2937"/>
      <x:name val="Carlito"/>
    </x:font>
    <x:font>
      <x:sz val="9"/>
      <x:color rgb="FF1F2937"/>
      <x:name val="Carlito"/>
    </x:font>
    <x:font>
      <x:b/>
      <x:sz val="9"/>
      <x:color rgb="FF475569"/>
      <x:name val="Carlito"/>
    </x:font>
    <x:font>
      <x:b/>
      <x:sz val="9"/>
      <x:color rgb="FF1F2937"/>
      <x:name val="Carlito"/>
    </x:font>
    <x:font>
      <x:sz val="9"/>
      <x:color rgb="FF008000"/>
    </x:font>
    <x:font>
      <x:b/>
      <x:sz val="9"/>
      <x:color rgb="FF1F4E78"/>
      <x:name val="Carlito"/>
    </x:font>
  </x:fonts>
  <x:fills count="63">
    <x:fill>
      <x:patternFill patternType="none"/>
    </x:fill>
    <x:fill>
      <x:patternFill patternType="gray125"/>
    </x:fill>
    <x:fill>
      <x:patternFill patternType="solid">
        <x:fgColor rgb="FF0B1F33"/>
      </x:patternFill>
    </x:fill>
    <x:fill>
      <x:patternFill patternType="solid">
        <x:fgColor rgb="FFE8F0F6"/>
      </x:patternFill>
    </x:fill>
    <x:fill>
      <x:patternFill patternType="solid">
        <x:fgColor rgb="FF0F766E"/>
      </x:patternFill>
    </x:fill>
    <x:fill>
      <x:patternFill patternType="solid">
        <x:fgColor rgb="FFFFFFFF"/>
      </x:patternFill>
    </x:fill>
    <x:fill>
      <x:patternFill patternType="solid">
        <x:fgColor rgb="FFDCFCE7"/>
      </x:patternFill>
    </x:fill>
    <x:fill>
      <x:patternFill patternType="solid">
        <x:fgColor rgb="FFFEE2E2"/>
      </x:patternFill>
    </x:fill>
    <x:fill>
      <x:patternFill patternType="solid">
        <x:fgColor rgb="FFFEF3C7"/>
      </x:patternFill>
    </x:fill>
    <x:fill>
      <x:patternFill patternType="solid">
        <x:fgColor rgb="FF173F5F"/>
      </x:patternFill>
    </x:fill>
    <x:fill>
      <x:patternFill patternType="solid">
        <x:fgColor rgb="FFF5F8FB"/>
      </x:patternFill>
    </x:fill>
    <x:fill>
      <x:patternFill patternType="solid">
        <x:fgColor rgb="FFD9EEF7"/>
      </x:patternFill>
    </x:fill>
    <x:fill>
      <x:patternFill patternType="solid">
        <x:fgColor rgb="FFE2E8F0"/>
      </x:patternFill>
    </x:fill>
    <x:fill>
      <x:patternFill patternType="solid">
        <x:fgColor rgb="FF0B1F33"/>
      </x:patternFill>
    </x:fill>
    <x:fill>
      <x:patternFill patternType="solid">
        <x:fgColor rgb="FFDCE6F1"/>
      </x:patternFill>
    </x:fill>
    <x:fill>
      <x:patternFill patternType="solid">
        <x:fgColor rgb="FFFFF2CC"/>
      </x:patternFill>
    </x:fill>
    <x:fill>
      <x:patternFill patternType="solid">
        <x:fgColor rgb="FF17365D"/>
      </x:patternFill>
    </x:fill>
    <x:fill>
      <x:patternFill patternType="solid">
        <x:fgColor rgb="FFE2F0D9"/>
      </x:patternFill>
    </x:fill>
    <x:fill>
      <x:patternFill patternType="solid">
        <x:fgColor rgb="FFC6E0B4"/>
      </x:patternFill>
    </x:fill>
    <x:fill>
      <x:patternFill patternType="solid">
        <x:fgColor rgb="FFFCE4D6"/>
      </x:patternFill>
    </x:fill>
    <x:fill>
      <x:patternFill patternType="solid">
        <x:fgColor rgb="FFD9EAF7"/>
      </x:patternFill>
    </x:fill>
    <x:fill>
      <x:patternFill patternType="solid">
        <x:fgColor rgb="FFEAF2F8"/>
      </x:patternFill>
    </x:fill>
    <x:fill>
      <x:patternFill patternType="solid">
        <x:fgColor rgb="FF18202B"/>
      </x:patternFill>
    </x:fill>
    <x:fill>
      <x:patternFill patternType="solid">
        <x:fgColor rgb="FFE9EEDF"/>
      </x:patternFill>
    </x:fill>
    <x:fill>
      <x:patternFill patternType="solid">
        <x:fgColor rgb="FF5C6841"/>
      </x:patternFill>
    </x:fill>
    <x:fill>
      <x:patternFill patternType="solid">
        <x:fgColor rgb="FF18202B"/>
      </x:patternFill>
    </x:fill>
    <x:fill>
      <x:patternFill patternType="solid">
        <x:fgColor rgb="FFE9EEDF"/>
      </x:patternFill>
    </x:fill>
    <x:fill>
      <x:patternFill patternType="solid">
        <x:fgColor rgb="FF5C6841"/>
      </x:patternFill>
    </x:fill>
    <x:fill>
      <x:patternFill patternType="solid">
        <x:fgColor rgb="FF18202B"/>
      </x:patternFill>
    </x:fill>
    <x:fill>
      <x:patternFill patternType="solid">
        <x:fgColor rgb="FFE9EEDF"/>
      </x:patternFill>
    </x:fill>
    <x:fill>
      <x:patternFill patternType="solid">
        <x:fgColor rgb="FF5C6841"/>
      </x:patternFill>
    </x:fill>
    <x:fill>
      <x:patternFill patternType="solid">
        <x:fgColor rgb="FFB7DDE8"/>
      </x:patternFill>
    </x:fill>
    <x:fill>
      <x:patternFill patternType="solid">
        <x:fgColor rgb="FFFFFFFF"/>
      </x:patternFill>
    </x:fill>
    <x:fill>
      <x:patternFill patternType="solid">
        <x:fgColor rgb="FF17324D"/>
      </x:patternFill>
    </x:fill>
    <x:fill>
      <x:patternFill patternType="solid">
        <x:fgColor rgb="FFDCE6F1"/>
      </x:patternFill>
    </x:fill>
    <x:fill>
      <x:patternFill patternType="solid">
        <x:fgColor rgb="FFFFF2CC"/>
      </x:patternFill>
    </x:fill>
    <x:fill>
      <x:patternFill patternType="solid">
        <x:fgColor rgb="FF1F4E78"/>
      </x:patternFill>
    </x:fill>
    <x:fill>
      <x:patternFill patternType="solid">
        <x:fgColor rgb="FFF4CCCC"/>
      </x:patternFill>
    </x:fill>
    <x:fill>
      <x:patternFill patternType="solid">
        <x:fgColor rgb="FFD9EAD3"/>
      </x:patternFill>
    </x:fill>
    <x:fill>
      <x:patternFill patternType="solid">
        <x:fgColor rgb="FFFFFFFF"/>
      </x:patternFill>
    </x:fill>
    <x:fill>
      <x:patternFill patternType="solid">
        <x:fgColor rgb="FF17324D"/>
      </x:patternFill>
    </x:fill>
    <x:fill>
      <x:patternFill patternType="solid">
        <x:fgColor rgb="FFDCE6F1"/>
      </x:patternFill>
    </x:fill>
    <x:fill>
      <x:patternFill patternType="solid">
        <x:fgColor rgb="FFFFF2CC"/>
      </x:patternFill>
    </x:fill>
    <x:fill>
      <x:patternFill patternType="solid">
        <x:fgColor rgb="FF1F4E78"/>
      </x:patternFill>
    </x:fill>
    <x:fill>
      <x:patternFill patternType="solid">
        <x:fgColor rgb="FFF4CCCC"/>
      </x:patternFill>
    </x:fill>
    <x:fill>
      <x:patternFill patternType="solid">
        <x:fgColor rgb="FFD9EAD3"/>
      </x:patternFill>
    </x:fill>
    <x:fill>
      <x:patternFill patternType="solid">
        <x:fgColor rgb="FFFFFFFF"/>
      </x:patternFill>
    </x:fill>
    <x:fill>
      <x:patternFill patternType="solid">
        <x:fgColor rgb="FF172330"/>
      </x:patternFill>
    </x:fill>
    <x:fill>
      <x:patternFill patternType="solid">
        <x:fgColor rgb="FFE9F0DE"/>
      </x:patternFill>
    </x:fill>
    <x:fill>
      <x:patternFill patternType="solid">
        <x:fgColor rgb="FFFFF4CE"/>
      </x:patternFill>
    </x:fill>
    <x:fill>
      <x:patternFill patternType="solid">
        <x:fgColor rgb="FF5F6F43"/>
      </x:patternFill>
    </x:fill>
    <x:fill>
      <x:patternFill patternType="solid">
        <x:fgColor rgb="FF1F4E78"/>
      </x:patternFill>
    </x:fill>
    <x:fill>
      <x:patternFill patternType="solid">
        <x:fgColor rgb="FFF7F9FB"/>
      </x:patternFill>
    </x:fill>
    <x:fill>
      <x:patternFill patternType="solid">
        <x:fgColor rgb="FFFFFFFF"/>
      </x:patternFill>
    </x:fill>
    <x:fill>
      <x:patternFill patternType="solid">
        <x:fgColor rgb="FFEAF2F8"/>
      </x:patternFill>
    </x:fill>
    <x:fill>
      <x:patternFill patternType="solid">
        <x:fgColor rgb="FFEAF2F8"/>
      </x:patternFill>
    </x:fill>
    <x:fill>
      <x:patternFill patternType="solid">
        <x:fgColor rgb="FF172330"/>
      </x:patternFill>
    </x:fill>
    <x:fill>
      <x:patternFill patternType="solid">
        <x:fgColor rgb="FFE9F0DE"/>
      </x:patternFill>
    </x:fill>
    <x:fill>
      <x:patternFill patternType="solid">
        <x:fgColor rgb="FFFFF4CE"/>
      </x:patternFill>
    </x:fill>
    <x:fill>
      <x:patternFill patternType="solid">
        <x:fgColor rgb="FF5F6F43"/>
      </x:patternFill>
    </x:fill>
    <x:fill>
      <x:patternFill patternType="solid">
        <x:fgColor rgb="FF1F4E78"/>
      </x:patternFill>
    </x:fill>
    <x:fill>
      <x:patternFill patternType="solid">
        <x:fgColor rgb="FFF7F9FB"/>
      </x:patternFill>
    </x:fill>
    <x:fill>
      <x:patternFill patternType="solid">
        <x:fgColor rgb="FFFFFFFF"/>
      </x:patternFill>
    </x:fill>
  </x:fills>
  <x:borders count="48">
    <x:border/>
    <x:border>
      <x:left style="thin">
        <x:color rgb="FFCBD5E1"/>
      </x:left>
      <x:right style="thin">
        <x:color rgb="FFCBD5E1"/>
      </x:right>
      <x:top style="thin">
        <x:color rgb="FFCBD5E1"/>
      </x:top>
      <x:bottom style="thin">
        <x:color rgb="FFCBD5E1"/>
      </x:bottom>
    </x:border>
    <x:border>
      <x:bottom style="thin">
        <x:color rgb="FFCBD5E1"/>
      </x:bottom>
    </x:border>
    <x:border>
      <x:top style="thin">
        <x:color rgb="FFCBD5E1"/>
      </x:top>
      <x:bottom style="thin">
        <x:color rgb="FFCBD5E1"/>
      </x:bottom>
    </x:border>
    <x:border>
      <x:top style="thin">
        <x:color rgb="FFCBD5E1"/>
      </x:top>
    </x:border>
    <x:border>
      <x:bottom style="medium">
        <x:color rgb="FF0B1F33"/>
      </x:bottom>
    </x:border>
    <x:border>
      <x:bottom style="thin">
        <x:color rgb="FFE2E8F0"/>
      </x:bottom>
    </x:border>
    <x:border>
      <x:top style="thin">
        <x:color rgb="FFE2E8F0"/>
      </x:top>
      <x:bottom style="thin">
        <x:color rgb="FFE2E8F0"/>
      </x:bottom>
    </x:border>
    <x:border>
      <x:top style="thin">
        <x:color rgb="FFE2E8F0"/>
      </x:top>
    </x:border>
    <x:border>
      <x:top style="double">
        <x:color rgb="FF0B1F33"/>
      </x:top>
    </x:border>
    <x:border>
      <x:bottom style="thin">
        <x:color rgb="FF8EA9C1"/>
      </x:bottom>
    </x:border>
    <x:border>
      <x:bottom style="thin">
        <x:color rgb="FFCDD5C5"/>
      </x:bottom>
    </x:border>
    <x:border>
      <x:bottom style="thin">
        <x:color rgb="FFE4E8E0"/>
      </x:bottom>
    </x:border>
    <x:border>
      <x:top style="thin">
        <x:color rgb="FFE4E8E0"/>
      </x:top>
      <x:bottom style="thin">
        <x:color rgb="FFE4E8E0"/>
      </x:bottom>
    </x:border>
    <x:border>
      <x:top style="thin">
        <x:color rgb="FFE4E8E0"/>
      </x:top>
    </x:border>
    <x:border>
      <x:bottom style="thin">
        <x:color rgb="FFD9E1E8"/>
      </x:bottom>
    </x:border>
    <x:border>
      <x:top style="thin">
        <x:color rgb="FFD9E1E8"/>
      </x:top>
      <x:bottom style="thin">
        <x:color rgb="FFD9E1E8"/>
      </x:bottom>
    </x:border>
    <x:border>
      <x:top style="thin">
        <x:color rgb="FFD9E1E8"/>
      </x:top>
    </x:border>
    <x:border>
      <x:bottom style="thin">
        <x:color rgb="FF17324D"/>
      </x:bottom>
    </x:border>
    <x:border>
      <x:right style="thin">
        <x:color rgb="FFE7EDF2"/>
      </x:right>
      <x:bottom style="thin">
        <x:color rgb="FFD9E1E8"/>
      </x:bottom>
    </x:border>
    <x:border>
      <x:left style="thin">
        <x:color rgb="FFE7EDF2"/>
      </x:left>
      <x:right style="thin">
        <x:color rgb="FFE7EDF2"/>
      </x:right>
      <x:bottom style="thin">
        <x:color rgb="FFD9E1E8"/>
      </x:bottom>
    </x:border>
    <x:border>
      <x:left style="thin">
        <x:color rgb="FFE7EDF2"/>
      </x:left>
      <x:bottom style="thin">
        <x:color rgb="FFD9E1E8"/>
      </x:bottom>
    </x:border>
    <x:border>
      <x:right style="thin">
        <x:color rgb="FFE7EDF2"/>
      </x:right>
      <x:top style="thin">
        <x:color rgb="FFD9E1E8"/>
      </x:top>
      <x:bottom style="thin">
        <x:color rgb="FFD9E1E8"/>
      </x:bottom>
    </x:border>
    <x:border>
      <x:left style="thin">
        <x:color rgb="FFE7EDF2"/>
      </x:left>
      <x:right style="thin">
        <x:color rgb="FFE7EDF2"/>
      </x:right>
      <x:top style="thin">
        <x:color rgb="FFD9E1E8"/>
      </x:top>
      <x:bottom style="thin">
        <x:color rgb="FFD9E1E8"/>
      </x:bottom>
    </x:border>
    <x:border>
      <x:left style="thin">
        <x:color rgb="FFE7EDF2"/>
      </x:left>
      <x:top style="thin">
        <x:color rgb="FFD9E1E8"/>
      </x:top>
      <x:bottom style="thin">
        <x:color rgb="FFD9E1E8"/>
      </x:bottom>
    </x:border>
    <x:border>
      <x:right style="thin">
        <x:color rgb="FFE7EDF2"/>
      </x:right>
      <x:top style="thin">
        <x:color rgb="FFD9E1E8"/>
      </x:top>
    </x:border>
    <x:border>
      <x:left style="thin">
        <x:color rgb="FFE7EDF2"/>
      </x:left>
      <x:right style="thin">
        <x:color rgb="FFE7EDF2"/>
      </x:right>
      <x:top style="thin">
        <x:color rgb="FFD9E1E8"/>
      </x:top>
    </x:border>
    <x:border>
      <x:left style="thin">
        <x:color rgb="FFE7EDF2"/>
      </x:left>
      <x:top style="thin">
        <x:color rgb="FFD9E1E8"/>
      </x:top>
    </x:border>
    <x:border>
      <x:left style="thin">
        <x:color rgb="FF5F6F43"/>
      </x:left>
      <x:top style="thin">
        <x:color rgb="FF5F6F43"/>
      </x:top>
      <x:bottom style="thin">
        <x:color rgb="FF5F6F43"/>
      </x:bottom>
    </x:border>
    <x:border>
      <x:top style="thin">
        <x:color rgb="FF5F6F43"/>
      </x:top>
      <x:bottom style="thin">
        <x:color rgb="FF5F6F43"/>
      </x:bottom>
    </x:border>
    <x:border>
      <x:right style="thin">
        <x:color rgb="FF5F6F43"/>
      </x:right>
      <x:top style="thin">
        <x:color rgb="FF5F6F43"/>
      </x:top>
      <x:bottom style="thin">
        <x:color rgb="FF5F6F43"/>
      </x:bottom>
    </x:border>
    <x:border>
      <x:right style="thin">
        <x:color rgb="FFD6DEE6"/>
      </x:right>
      <x:bottom style="thin">
        <x:color rgb="FFD6DEE6"/>
      </x:bottom>
    </x:border>
    <x:border>
      <x:left style="thin">
        <x:color rgb="FFD6DEE6"/>
      </x:left>
      <x:right style="thin">
        <x:color rgb="FFD6DEE6"/>
      </x:right>
      <x:bottom style="thin">
        <x:color rgb="FFD6DEE6"/>
      </x:bottom>
    </x:border>
    <x:border>
      <x:left style="thin">
        <x:color rgb="FFD6DEE6"/>
      </x:left>
      <x:bottom style="thin">
        <x:color rgb="FFD6DEE6"/>
      </x:bottom>
    </x:border>
    <x:border>
      <x:right style="thin">
        <x:color rgb="FFD6DEE6"/>
      </x:right>
      <x:top style="thin">
        <x:color rgb="FFD6DEE6"/>
      </x:top>
      <x:bottom style="thin">
        <x:color rgb="FFD6DEE6"/>
      </x:bottom>
    </x:border>
    <x:border>
      <x:left style="thin">
        <x:color rgb="FFD6DEE6"/>
      </x:left>
      <x:right style="thin">
        <x:color rgb="FFD6DEE6"/>
      </x:right>
      <x:top style="thin">
        <x:color rgb="FFD6DEE6"/>
      </x:top>
      <x:bottom style="thin">
        <x:color rgb="FFD6DEE6"/>
      </x:bottom>
    </x:border>
    <x:border>
      <x:left style="thin">
        <x:color rgb="FFD6DEE6"/>
      </x:left>
      <x:top style="thin">
        <x:color rgb="FFD6DEE6"/>
      </x:top>
      <x:bottom style="thin">
        <x:color rgb="FFD6DEE6"/>
      </x:bottom>
    </x:border>
    <x:border>
      <x:right style="thin">
        <x:color rgb="FFD6DEE6"/>
      </x:right>
      <x:top style="thin">
        <x:color rgb="FFD6DEE6"/>
      </x:top>
    </x:border>
    <x:border>
      <x:left style="thin">
        <x:color rgb="FFD6DEE6"/>
      </x:left>
      <x:right style="thin">
        <x:color rgb="FFD6DEE6"/>
      </x:right>
      <x:top style="thin">
        <x:color rgb="FFD6DEE6"/>
      </x:top>
    </x:border>
    <x:border>
      <x:left style="thin">
        <x:color rgb="FFD6DEE6"/>
      </x:left>
      <x:top style="thin">
        <x:color rgb="FFD6DEE6"/>
      </x:top>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D6DEE6"/>
      </x:bottom>
    </x:border>
    <x:border>
      <x:top style="thin">
        <x:color rgb="FFD6DEE6"/>
      </x:top>
      <x:bottom style="thin">
        <x:color rgb="FFD6DEE6"/>
      </x:bottom>
    </x:border>
    <x:border>
      <x:right style="thin">
        <x:color rgb="FFD6DEE6"/>
      </x:right>
    </x:border>
    <x:border>
      <x:left style="thin">
        <x:color rgb="FFD6DEE6"/>
      </x:left>
      <x:right style="thin">
        <x:color rgb="FFD6DEE6"/>
      </x:right>
    </x:border>
    <x:border>
      <x:left style="thin">
        <x:color rgb="FFD6DEE6"/>
      </x:left>
    </x:border>
  </x:borders>
  <x:cellStyleXfs count="1">
    <x:xf numFmtId="0" fontId="0" fillId="0" borderId="0"/>
  </x:cellStyleXfs>
  <x:cellXfs count="622">
    <x:xf numFmtId="0" fontId="0" fillId="0" borderId="0" xfId="0"/>
    <x:xf numFmtId="0" fontId="0" fillId="2" borderId="0" xfId="0"/>
    <x:xf numFmtId="0" fontId="1" fillId="2" borderId="0" xfId="0"/>
    <x:xf numFmtId="0" fontId="1" fillId="2" borderId="0" xfId="0" applyAlignment="1">
      <x:alignmen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4" borderId="0" xfId="0"/>
    <x:xf numFmtId="0" fontId="3" fillId="4" borderId="0" xfId="0"/>
    <x:xf numFmtId="0" fontId="0" fillId="5" borderId="0" xfId="0"/>
    <x:xf numFmtId="0" fontId="4" fillId="5" borderId="0" xfId="0"/>
    <x:xf numFmtId="0" fontId="4" fillId="5" borderId="1" xfId="0"/>
    <x:xf numFmtId="0" fontId="4" fillId="5" borderId="1" xfId="0" applyAlignment="1">
      <x:alignment wrapText="1"/>
    </x:xf>
    <x:xf numFmtId="0" fontId="5" fillId="5" borderId="1" xfId="0" applyAlignment="1">
      <x:alignment wrapText="1"/>
    </x:xf>
    <x:xf numFmtId="9" fontId="4" fillId="5" borderId="1" xfId="0" applyAlignment="1">
      <x:alignment wrapText="1"/>
    </x:xf>
    <x:xf numFmtId="164" fontId="4" fillId="5" borderId="1" xfId="0" applyAlignment="1">
      <x:alignment wrapText="1"/>
    </x:xf>
    <x:xf numFmtId="0" fontId="4" fillId="6" borderId="1" xfId="0" applyAlignment="1">
      <x:alignment wrapText="1"/>
    </x:xf>
    <x:xf numFmtId="0" fontId="6" fillId="6" borderId="1" xfId="0" applyAlignment="1">
      <x:alignment wrapText="1"/>
    </x:xf>
    <x:xf numFmtId="0" fontId="4" fillId="7" borderId="1" xfId="0" applyAlignment="1">
      <x:alignment wrapText="1"/>
    </x:xf>
    <x:xf numFmtId="0" fontId="7" fillId="7" borderId="1" xfId="0" applyAlignment="1">
      <x:alignment wrapText="1"/>
    </x:xf>
    <x:xf numFmtId="0" fontId="4" fillId="8" borderId="1" xfId="0" applyAlignment="1">
      <x:alignment wrapText="1"/>
    </x:xf>
    <x:xf numFmtId="0" fontId="8" fillId="8" borderId="1" xfId="0" applyAlignment="1">
      <x:alignment wrapText="1"/>
    </x:xf>
    <x:xf numFmtId="0" fontId="0" fillId="9" borderId="0" xfId="0"/>
    <x:xf numFmtId="0" fontId="3" fillId="9" borderId="0" xfId="0"/>
    <x:xf numFmtId="0" fontId="0" fillId="10" borderId="0" xfId="0"/>
    <x:xf numFmtId="0" fontId="4" fillId="10" borderId="0" xfId="0"/>
    <x:xf numFmtId="0" fontId="4" fillId="10" borderId="2" xfId="0"/>
    <x:xf numFmtId="0" fontId="4" fillId="10" borderId="3" xfId="0"/>
    <x:xf numFmtId="0" fontId="4" fillId="10" borderId="4" xfId="0"/>
    <x:xf numFmtId="0" fontId="4" fillId="10" borderId="2" xfId="0" applyAlignment="1">
      <x:alignment wrapText="1"/>
    </x:xf>
    <x:xf numFmtId="0" fontId="4" fillId="10" borderId="3" xfId="0" applyAlignment="1">
      <x:alignment wrapText="1"/>
    </x:xf>
    <x:xf numFmtId="0" fontId="4" fillId="10" borderId="4" xfId="0" applyAlignment="1">
      <x:alignment wrapText="1"/>
    </x:xf>
    <x:xf numFmtId="0" fontId="4" fillId="10" borderId="2" xfId="0" applyAlignment="1">
      <x:alignment vertical="center" wrapText="1"/>
    </x:xf>
    <x:xf numFmtId="0" fontId="4" fillId="10" borderId="3" xfId="0" applyAlignment="1">
      <x:alignment vertical="center" wrapText="1"/>
    </x:xf>
    <x:xf numFmtId="0" fontId="4" fillId="10" borderId="4" xfId="0" applyAlignment="1">
      <x:alignment vertical="center" wrapText="1"/>
    </x:xf>
    <x:xf numFmtId="0" fontId="4" fillId="11" borderId="2" xfId="0" applyAlignment="1">
      <x:alignment vertical="center" wrapText="1"/>
    </x:xf>
    <x:xf numFmtId="0" fontId="4" fillId="11" borderId="3" xfId="0" applyAlignment="1">
      <x:alignment vertical="center" wrapText="1"/>
    </x:xf>
    <x:xf numFmtId="0" fontId="4" fillId="11" borderId="4" xfId="0" applyAlignment="1">
      <x:alignment vertical="center" wrapText="1"/>
    </x:xf>
    <x:xf numFmtId="0" fontId="9" fillId="11" borderId="2" xfId="0" applyAlignment="1">
      <x:alignment vertical="center" wrapText="1"/>
    </x:xf>
    <x:xf numFmtId="0" fontId="9" fillId="11" borderId="3" xfId="0" applyAlignment="1">
      <x:alignment vertical="center" wrapText="1"/>
    </x:xf>
    <x:xf numFmtId="0" fontId="9" fillId="11" borderId="4" xfId="0" applyAlignment="1">
      <x:alignment vertical="center" wrapText="1"/>
    </x:xf>
    <x:xf numFmtId="0" fontId="9" fillId="11" borderId="2" xfId="0" applyAlignment="1">
      <x:alignment horizontal="center" vertical="center" wrapText="1"/>
    </x:xf>
    <x:xf numFmtId="0" fontId="9" fillId="11" borderId="3" xfId="0" applyAlignment="1">
      <x:alignment horizontal="center" vertical="center" wrapText="1"/>
    </x:xf>
    <x:xf numFmtId="0" fontId="9" fillId="11" borderId="4" xfId="0" applyAlignment="1">
      <x:alignment horizontal="center" vertical="center" wrapText="1"/>
    </x:xf>
    <x:xf numFmtId="0" fontId="10" fillId="9" borderId="0" xfId="0"/>
    <x:xf numFmtId="0" fontId="10" fillId="9" borderId="5" xfId="0"/>
    <x:xf numFmtId="0" fontId="10" fillId="9" borderId="5" xfId="0" applyAlignment="1">
      <x:alignment wrapText="1"/>
    </x:xf>
    <x:xf numFmtId="0" fontId="10" fillId="9" borderId="5" xfId="0" applyAlignment="1">
      <x:alignment vertical="center" wrapText="1"/>
    </x:xf>
    <x:xf numFmtId="0" fontId="11" fillId="0" borderId="0" xfId="0"/>
    <x:xf numFmtId="0" fontId="11" fillId="0" borderId="6" xfId="0"/>
    <x:xf numFmtId="0" fontId="11" fillId="0" borderId="7" xfId="0"/>
    <x:xf numFmtId="0" fontId="11" fillId="0" borderId="8" xfId="0"/>
    <x:xf numFmtId="0" fontId="11" fillId="0" borderId="6" xfId="0" applyAlignment="1">
      <x:alignment wrapText="1"/>
    </x:xf>
    <x:xf numFmtId="0" fontId="11" fillId="0" borderId="7" xfId="0" applyAlignment="1">
      <x:alignment wrapText="1"/>
    </x:xf>
    <x:xf numFmtId="0" fontId="11" fillId="0" borderId="8" xfId="0" applyAlignment="1">
      <x:alignment wrapText="1"/>
    </x:xf>
    <x:xf numFmtId="0" fontId="11" fillId="0" borderId="6" xfId="0" applyAlignment="1">
      <x:alignment vertical="top" wrapText="1"/>
    </x:xf>
    <x:xf numFmtId="0" fontId="11" fillId="0" borderId="7" xfId="0" applyAlignment="1">
      <x:alignment vertical="top" wrapText="1"/>
    </x:xf>
    <x:xf numFmtId="0" fontId="11" fillId="0" borderId="8" xfId="0" applyAlignment="1">
      <x:alignment vertical="top" wrapText="1"/>
    </x:xf>
    <x:xf numFmtId="1" fontId="11" fillId="0" borderId="6" xfId="0" applyAlignment="1">
      <x:alignment vertical="top" wrapText="1"/>
    </x:xf>
    <x:xf numFmtId="1" fontId="11" fillId="0" borderId="7" xfId="0" applyAlignment="1">
      <x:alignment vertical="top" wrapText="1"/>
    </x:xf>
    <x:xf numFmtId="1" fontId="11" fillId="0" borderId="8" xfId="0" applyAlignment="1">
      <x:alignment vertical="top" wrapText="1"/>
    </x:xf>
    <x:xf numFmtId="164" fontId="11" fillId="0" borderId="6" xfId="0" applyAlignment="1">
      <x:alignment vertical="top" wrapText="1"/>
    </x:xf>
    <x:xf numFmtId="164" fontId="11" fillId="0" borderId="7" xfId="0" applyAlignment="1">
      <x:alignment vertical="top" wrapText="1"/>
    </x:xf>
    <x:xf numFmtId="164" fontId="11" fillId="0" borderId="8" xfId="0" applyAlignment="1">
      <x:alignment vertical="top" wrapText="1"/>
    </x:xf>
    <x:xf numFmtId="9" fontId="11" fillId="0" borderId="6" xfId="0" applyAlignment="1">
      <x:alignment vertical="top" wrapText="1"/>
    </x:xf>
    <x:xf numFmtId="9" fontId="11" fillId="0" borderId="7" xfId="0" applyAlignment="1">
      <x:alignment vertical="top" wrapText="1"/>
    </x:xf>
    <x:xf numFmtId="9" fontId="11" fillId="0" borderId="8" xfId="0" applyAlignment="1">
      <x:alignment vertical="top" wrapText="1"/>
    </x:xf>
    <x:xf numFmtId="164" fontId="12" fillId="0" borderId="6" xfId="0" applyAlignment="1">
      <x:alignment vertical="top" wrapText="1"/>
    </x:xf>
    <x:xf numFmtId="0" fontId="12" fillId="0" borderId="6" xfId="0" applyAlignment="1">
      <x:alignment vertical="top" wrapText="1"/>
    </x:xf>
    <x:xf numFmtId="164" fontId="12" fillId="0" borderId="7" xfId="0" applyAlignment="1">
      <x:alignment vertical="top" wrapText="1"/>
    </x:xf>
    <x:xf numFmtId="0" fontId="12" fillId="0" borderId="7" xfId="0" applyAlignment="1">
      <x:alignment vertical="top" wrapText="1"/>
    </x:xf>
    <x:xf numFmtId="164" fontId="12" fillId="0" borderId="8" xfId="0" applyAlignment="1">
      <x:alignment vertical="top" wrapText="1"/>
    </x:xf>
    <x:xf numFmtId="0" fontId="12" fillId="0" borderId="8" xfId="0" applyAlignment="1">
      <x:alignment vertical="top" wrapText="1"/>
    </x:xf>
    <x:xf numFmtId="0" fontId="13" fillId="0" borderId="6" xfId="0" applyAlignment="1">
      <x:alignment vertical="top" wrapText="1"/>
    </x:xf>
    <x:xf numFmtId="0" fontId="13" fillId="0" borderId="7" xfId="0" applyAlignment="1">
      <x:alignment vertical="top" wrapText="1"/>
    </x:xf>
    <x:xf numFmtId="0" fontId="13" fillId="0" borderId="8" xfId="0" applyAlignment="1">
      <x:alignment vertical="top" wrapText="1"/>
    </x:xf>
    <x:xf numFmtId="0" fontId="14" fillId="0" borderId="6" xfId="0" applyAlignment="1">
      <x:alignment vertical="top" wrapText="1"/>
    </x:xf>
    <x:xf numFmtId="9" fontId="14" fillId="0" borderId="6" xfId="0" applyAlignment="1">
      <x:alignment vertical="top" wrapText="1"/>
    </x:xf>
    <x:xf numFmtId="0" fontId="14" fillId="0" borderId="7" xfId="0" applyAlignment="1">
      <x:alignment vertical="top" wrapText="1"/>
    </x:xf>
    <x:xf numFmtId="9" fontId="14" fillId="0" borderId="7" xfId="0" applyAlignment="1">
      <x:alignment vertical="top" wrapText="1"/>
    </x:xf>
    <x:xf numFmtId="0" fontId="14" fillId="0" borderId="8" xfId="0" applyAlignment="1">
      <x:alignment vertical="top" wrapText="1"/>
    </x:xf>
    <x:xf numFmtId="9" fontId="14" fillId="0" borderId="8" xfId="0" applyAlignment="1">
      <x:alignment vertical="top" wrapText="1"/>
    </x:xf>
    <x:xf numFmtId="165" fontId="11" fillId="0" borderId="6" xfId="0" applyAlignment="1">
      <x:alignment vertical="top" wrapText="1"/>
    </x:xf>
    <x:xf numFmtId="165" fontId="11" fillId="0" borderId="7" xfId="0" applyAlignment="1">
      <x:alignment vertical="top" wrapText="1"/>
    </x:xf>
    <x:xf numFmtId="165" fontId="11" fillId="0" borderId="8" xfId="0" applyAlignment="1">
      <x:alignment vertical="top" wrapText="1"/>
    </x:xf>
    <x:xf numFmtId="0" fontId="11" fillId="12" borderId="8" xfId="0" applyAlignment="1">
      <x:alignment vertical="top" wrapText="1"/>
    </x:xf>
    <x:xf numFmtId="165" fontId="11" fillId="12" borderId="8" xfId="0" applyAlignment="1">
      <x:alignment vertical="top" wrapText="1"/>
    </x:xf>
    <x:xf numFmtId="1" fontId="11" fillId="12" borderId="8" xfId="0" applyAlignment="1">
      <x:alignment vertical="top" wrapText="1"/>
    </x:xf>
    <x:xf numFmtId="0" fontId="15" fillId="12" borderId="8" xfId="0" applyAlignment="1">
      <x:alignment vertical="top" wrapText="1"/>
    </x:xf>
    <x:xf numFmtId="165" fontId="15" fillId="12" borderId="8" xfId="0" applyAlignment="1">
      <x:alignment vertical="top" wrapText="1"/>
    </x:xf>
    <x:xf numFmtId="1" fontId="15" fillId="12" borderId="8" xfId="0" applyAlignment="1">
      <x:alignment vertical="top" wrapText="1"/>
    </x:xf>
    <x:xf numFmtId="0" fontId="15" fillId="12" borderId="9" xfId="0" applyAlignment="1">
      <x:alignment vertical="top" wrapText="1"/>
    </x:xf>
    <x:xf numFmtId="165" fontId="15" fillId="12" borderId="9" xfId="0" applyAlignment="1">
      <x:alignment vertical="top" wrapText="1"/>
    </x:xf>
    <x:xf numFmtId="1" fontId="15" fillId="12" borderId="9" xfId="0" applyAlignment="1">
      <x:alignment vertical="top" wrapText="1"/>
    </x:xf>
    <x:xf numFmtId="0" fontId="16" fillId="2" borderId="0" xfId="0"/>
    <x:xf numFmtId="0" fontId="5" fillId="5" borderId="1" xfId="0"/>
    <x:xf numFmtId="165" fontId="4" fillId="5" borderId="1" xfId="0"/>
    <x:xf numFmtId="0" fontId="4" fillId="7" borderId="1" xfId="0"/>
    <x:xf numFmtId="0" fontId="17" fillId="7" borderId="1" xfId="0"/>
    <x:xf numFmtId="0" fontId="0" fillId="8" borderId="0" xfId="0"/>
    <x:xf numFmtId="0" fontId="18" fillId="8" borderId="0" xfId="0"/>
    <x:xf numFmtId="0" fontId="18" fillId="8" borderId="0" xfId="0" applyAlignment="1">
      <x:alignment wrapText="1"/>
    </x:xf>
    <x:xf numFmtId="0" fontId="18" fillId="8" borderId="0" xfId="0" applyAlignment="1">
      <x:alignment vertical="center" wrapText="1"/>
    </x:xf>
    <x:xf numFmtId="165" fontId="12" fillId="0" borderId="6" xfId="0" applyAlignment="1">
      <x:alignment vertical="top" wrapText="1"/>
    </x:xf>
    <x:xf numFmtId="165" fontId="12" fillId="0" borderId="7" xfId="0" applyAlignment="1">
      <x:alignment vertical="top" wrapText="1"/>
    </x:xf>
    <x:xf numFmtId="165" fontId="12" fillId="0" borderId="8" xfId="0" applyAlignment="1">
      <x:alignment vertical="top" wrapText="1"/>
    </x:xf>
    <x:xf numFmtId="0" fontId="19" fillId="2" borderId="0" xfId="0"/>
    <x:xf numFmtId="0" fontId="0" fillId="6" borderId="0" xfId="0"/>
    <x:xf numFmtId="0" fontId="20" fillId="6" borderId="0" xfId="0"/>
    <x:xf numFmtId="0" fontId="20" fillId="6" borderId="0" xfId="0" applyAlignment="1">
      <x:alignment wrapText="1"/>
    </x:xf>
    <x:xf numFmtId="0" fontId="20" fillId="6" borderId="0" xfId="0" applyAlignment="1">
      <x:alignment vertical="center" wrapText="1"/>
    </x:xf>
    <x:xf numFmtId="0" fontId="1" fillId="2" borderId="0" xfId="0" applyAlignment="1">
      <x:alignment vertical="top"/>
    </x:xf>
    <x:xf numFmtId="0" fontId="2" fillId="3" borderId="0" xfId="0" applyAlignment="1">
      <x:alignment vertical="top" wrapText="1"/>
    </x:xf>
    <x:xf numFmtId="0" fontId="0" fillId="0" borderId="0" xfId="0" applyAlignment="1">
      <x:alignment vertical="top"/>
    </x:xf>
    <x:xf numFmtId="0" fontId="3" fillId="4" borderId="0" xfId="0" applyAlignment="1">
      <x:alignment vertical="top"/>
    </x:xf>
    <x:xf numFmtId="0" fontId="10" fillId="9" borderId="5" xfId="0" applyAlignment="1">
      <x:alignment vertical="top" wrapText="1"/>
    </x:xf>
    <x:xf numFmtId="0" fontId="5" fillId="5" borderId="1" xfId="0" applyAlignment="1">
      <x:alignment vertical="top" wrapText="1"/>
    </x:xf>
    <x:xf numFmtId="0" fontId="4" fillId="5" borderId="1" xfId="0" applyAlignment="1">
      <x:alignment vertical="top" wrapText="1"/>
    </x:xf>
    <x:xf numFmtId="0" fontId="6" fillId="6" borderId="1" xfId="0" applyAlignment="1">
      <x:alignment vertical="top" wrapText="1"/>
    </x:xf>
    <x:xf numFmtId="9" fontId="4" fillId="5" borderId="1" xfId="0" applyAlignment="1">
      <x:alignment vertical="top" wrapText="1"/>
    </x:xf>
    <x:xf numFmtId="164" fontId="4" fillId="5" borderId="1" xfId="0" applyAlignment="1">
      <x:alignment vertical="top" wrapText="1"/>
    </x:xf>
    <x:xf numFmtId="0" fontId="7" fillId="7" borderId="1" xfId="0" applyAlignment="1">
      <x:alignment vertical="top" wrapText="1"/>
    </x:xf>
    <x:xf numFmtId="0" fontId="8" fillId="8" borderId="1" xfId="0" applyAlignment="1">
      <x:alignment vertical="top" wrapText="1"/>
    </x:xf>
    <x:xf numFmtId="0" fontId="3" fillId="9" borderId="0" xfId="0" applyAlignment="1">
      <x:alignment vertical="top"/>
    </x:xf>
    <x:xf numFmtId="0" fontId="9" fillId="11" borderId="2" xfId="0" applyAlignment="1">
      <x:alignment horizontal="center" vertical="top" wrapText="1"/>
    </x:xf>
    <x:xf numFmtId="0" fontId="4" fillId="10" borderId="2" xfId="0" applyAlignment="1">
      <x:alignment vertical="top" wrapText="1"/>
    </x:xf>
    <x:xf numFmtId="0" fontId="9" fillId="11" borderId="3" xfId="0" applyAlignment="1">
      <x:alignment horizontal="center" vertical="top" wrapText="1"/>
    </x:xf>
    <x:xf numFmtId="0" fontId="4" fillId="10" borderId="3" xfId="0" applyAlignment="1">
      <x:alignment vertical="top" wrapText="1"/>
    </x:xf>
    <x:xf numFmtId="0" fontId="9" fillId="11" borderId="4" xfId="0" applyAlignment="1">
      <x:alignment horizontal="center" vertical="top" wrapText="1"/>
    </x:xf>
    <x:xf numFmtId="0" fontId="4" fillId="10" borderId="4" xfId="0" applyAlignment="1">
      <x:alignment vertical="top" wrapText="1"/>
    </x:xf>
    <x:xf numFmtId="0" fontId="16" fillId="2" borderId="0" xfId="0" applyAlignment="1">
      <x:alignment vertical="top"/>
    </x:xf>
    <x:xf numFmtId="0" fontId="5" fillId="5" borderId="1" xfId="0" applyAlignment="1">
      <x:alignment vertical="top"/>
    </x:xf>
    <x:xf numFmtId="0" fontId="4" fillId="5" borderId="1" xfId="0" applyAlignment="1">
      <x:alignment vertical="top"/>
    </x:xf>
    <x:xf numFmtId="0" fontId="18" fillId="8" borderId="0" xfId="0" applyAlignment="1">
      <x:alignment vertical="top" wrapText="1"/>
    </x:xf>
    <x:xf numFmtId="165" fontId="4" fillId="5" borderId="1" xfId="0" applyAlignment="1">
      <x:alignment vertical="top"/>
    </x:xf>
    <x:xf numFmtId="0" fontId="17" fillId="7" borderId="1" xfId="0" applyAlignment="1">
      <x:alignment vertical="top"/>
    </x:xf>
    <x:xf numFmtId="0" fontId="19" fillId="2" borderId="0" xfId="0" applyAlignment="1">
      <x:alignment vertical="top"/>
    </x:xf>
    <x:xf numFmtId="0" fontId="20" fillId="6" borderId="0" xfId="0" applyAlignment="1">
      <x:alignment vertical="top" wrapText="1"/>
    </x:xf>
    <x:xf numFmtId="0" fontId="0" fillId="0" borderId="0" xfId="0"/>
    <x:xf numFmtId="0" fontId="21" fillId="0" borderId="0" xfId="0" applyAlignment="1">
      <x:alignment vertical="top"/>
    </x:xf>
    <x:xf numFmtId="0" fontId="21" fillId="0" borderId="0" xfId="0" applyAlignment="1">
      <x:alignment vertical="top" wrapText="1"/>
    </x:xf>
    <x:xf numFmtId="0" fontId="0" fillId="13" borderId="0" xfId="0"/>
    <x:xf numFmtId="0" fontId="22" fillId="13" borderId="0" xfId="0"/>
    <x:xf numFmtId="0" fontId="22" fillId="13" borderId="0" xfId="0" applyAlignment="1">
      <x:alignment horizontal="left"/>
    </x:xf>
    <x:xf numFmtId="0" fontId="22" fillId="13" borderId="0" xfId="0" applyAlignment="1">
      <x:alignment horizontal="left" vertical="center"/>
    </x:xf>
    <x:xf numFmtId="0" fontId="0" fillId="14" borderId="0" xfId="0"/>
    <x:xf numFmtId="0" fontId="23" fillId="14" borderId="0" xfId="0"/>
    <x:xf numFmtId="0" fontId="23" fillId="14" borderId="0" xfId="0" applyAlignment="1">
      <x:alignment wrapText="1"/>
    </x:xf>
    <x:xf numFmtId="0" fontId="0" fillId="15" borderId="0" xfId="0"/>
    <x:xf numFmtId="0" fontId="24" fillId="15" borderId="0" xfId="0"/>
    <x:xf numFmtId="0" fontId="24" fillId="15" borderId="0" xfId="0" applyAlignment="1">
      <x:alignment wrapText="1"/>
    </x:xf>
    <x:xf numFmtId="0" fontId="0" fillId="16" borderId="0" xfId="0"/>
    <x:xf numFmtId="0" fontId="25" fillId="16" borderId="0" xfId="0"/>
    <x:xf numFmtId="0" fontId="25" fillId="16" borderId="10" xfId="0"/>
    <x:xf numFmtId="0" fontId="25" fillId="16" borderId="10" xfId="0" applyAlignment="1">
      <x:alignment wrapText="1"/>
    </x:xf>
    <x:xf numFmtId="0" fontId="25" fillId="16" borderId="10" xfId="0" applyAlignment="1">
      <x:alignment horizontal="center" wrapText="1"/>
    </x:xf>
    <x:xf numFmtId="0" fontId="25" fillId="16" borderId="10" xfId="0" applyAlignment="1">
      <x:alignment horizontal="center" vertical="center" wrapText="1"/>
    </x:xf>
    <x:xf numFmtId="0" fontId="26" fillId="0" borderId="0" xfId="0"/>
    <x:xf numFmtId="0" fontId="26" fillId="0" borderId="0" xfId="0" applyAlignment="1">
      <x:alignment wrapText="1"/>
    </x:xf>
    <x:xf numFmtId="0" fontId="26" fillId="0" borderId="0" xfId="0" applyAlignment="1">
      <x:alignment vertical="top" wrapText="1"/>
    </x:xf>
    <x:xf numFmtId="0" fontId="27" fillId="15" borderId="0" xfId="0"/>
    <x:xf numFmtId="0" fontId="27" fillId="15" borderId="0" xfId="0" applyAlignment="1">
      <x:alignment wrapText="1"/>
    </x:xf>
    <x:xf numFmtId="0" fontId="25" fillId="16" borderId="0" xfId="0" applyAlignment="1">
      <x:alignment wrapText="1"/>
    </x:xf>
    <x:xf numFmtId="0" fontId="25" fillId="16" borderId="0" xfId="0" applyAlignment="1">
      <x:alignment horizontal="center" wrapText="1"/>
    </x:xf>
    <x:xf numFmtId="0" fontId="28" fillId="14" borderId="0" xfId="0"/>
    <x:xf numFmtId="0" fontId="28" fillId="14" borderId="0" xfId="0" applyAlignment="1">
      <x:alignment wrapText="1"/>
    </x:xf>
    <x:xf numFmtId="0" fontId="0" fillId="17" borderId="0" xfId="0"/>
    <x:xf numFmtId="0" fontId="29" fillId="17" borderId="0" xfId="0"/>
    <x:xf numFmtId="0" fontId="29" fillId="17" borderId="0" xfId="0" applyAlignment="1">
      <x:alignment wrapText="1"/>
    </x:xf>
    <x:xf numFmtId="0" fontId="29" fillId="17" borderId="0" xfId="0" applyAlignment="1">
      <x:alignment horizontal="center" wrapText="1"/>
    </x:xf>
    <x:xf numFmtId="0" fontId="29" fillId="17" borderId="0" xfId="0" applyAlignment="1">
      <x:alignment horizontal="center" vertical="center" wrapText="1"/>
    </x:xf>
    <x:xf numFmtId="0" fontId="0" fillId="18" borderId="0" xfId="0"/>
    <x:xf numFmtId="0" fontId="29" fillId="18" borderId="0" xfId="0"/>
    <x:xf numFmtId="0" fontId="29" fillId="18" borderId="0" xfId="0" applyAlignment="1">
      <x:alignment wrapText="1"/>
    </x:xf>
    <x:xf numFmtId="0" fontId="29" fillId="18" borderId="0" xfId="0" applyAlignment="1">
      <x:alignment horizontal="center" wrapText="1"/>
    </x:xf>
    <x:xf numFmtId="0" fontId="29" fillId="18" borderId="0" xfId="0" applyAlignment="1">
      <x:alignment horizontal="center" vertical="center" wrapText="1"/>
    </x:xf>
    <x:xf numFmtId="0" fontId="0" fillId="19" borderId="0" xfId="0"/>
    <x:xf numFmtId="0" fontId="29" fillId="19" borderId="0" xfId="0"/>
    <x:xf numFmtId="0" fontId="29" fillId="19" borderId="0" xfId="0" applyAlignment="1">
      <x:alignment wrapText="1"/>
    </x:xf>
    <x:xf numFmtId="0" fontId="29" fillId="19" borderId="0" xfId="0" applyAlignment="1">
      <x:alignment horizontal="center" wrapText="1"/>
    </x:xf>
    <x:xf numFmtId="0" fontId="29" fillId="19" borderId="0" xfId="0" applyAlignment="1">
      <x:alignment horizontal="center" vertical="center" wrapText="1"/>
    </x:xf>
    <x:xf numFmtId="0" fontId="19" fillId="16" borderId="0" xfId="0"/>
    <x:xf numFmtId="0" fontId="30" fillId="0" borderId="0" xfId="0"/>
    <x:xf numFmtId="0" fontId="26" fillId="20" borderId="0" xfId="0" applyAlignment="1">
      <x:alignment vertical="top" wrapText="1"/>
    </x:xf>
    <x:xf numFmtId="0" fontId="31" fillId="20" borderId="0" xfId="0" applyAlignment="1">
      <x:alignment vertical="top" wrapText="1"/>
    </x:xf>
    <x:xf numFmtId="0" fontId="19" fillId="16" borderId="0" xfId="0" applyAlignment="1">
      <x:alignment wrapText="1"/>
    </x:xf>
    <x:xf numFmtId="0" fontId="0" fillId="0" borderId="0" xfId="0" applyAlignment="1">
      <x:alignment wrapText="1"/>
    </x:xf>
    <x:xf numFmtId="0" fontId="3" fillId="16" borderId="0" xfId="0"/>
    <x:xf numFmtId="0" fontId="0" fillId="21" borderId="0" xfId="0"/>
    <x:xf numFmtId="0" fontId="32" fillId="21" borderId="0" xfId="0"/>
    <x:xf numFmtId="0" fontId="32" fillId="21" borderId="0" xfId="0" applyAlignment="1">
      <x:alignment wrapText="1"/>
    </x:xf>
    <x:xf numFmtId="0" fontId="32" fillId="21" borderId="0" xfId="0" applyAlignment="1">
      <x:alignment vertical="top" wrapText="1"/>
    </x:xf>
    <x:xf numFmtId="1" fontId="11" fillId="0" borderId="6" xfId="0" applyAlignment="1">
      <x:alignment vertical="top" wrapText="1"/>
    </x:xf>
    <x:xf numFmtId="1" fontId="11" fillId="0" borderId="7" xfId="0" applyAlignment="1">
      <x:alignment vertical="top" wrapText="1"/>
    </x:xf>
    <x:xf numFmtId="9" fontId="4" fillId="5" borderId="1" xfId="0" applyAlignment="1">
      <x:alignment vertical="top" wrapText="1"/>
    </x:xf>
    <x:xf numFmtId="164" fontId="4" fillId="5" borderId="1" xfId="0" applyAlignment="1">
      <x:alignment vertical="top" wrapText="1"/>
    </x:xf>
    <x:xf numFmtId="0" fontId="0" fillId="0" borderId="2" xfId="0"/>
    <x:xf numFmtId="0" fontId="0" fillId="0" borderId="3" xfId="0"/>
    <x:xf numFmtId="1" fontId="11" fillId="0" borderId="8" xfId="0" applyAlignment="1">
      <x:alignment vertical="top" wrapText="1"/>
    </x:xf>
    <x:xf numFmtId="0" fontId="0" fillId="0" borderId="4" xfId="0"/>
    <x:xf numFmtId="0" fontId="33" fillId="22" borderId="0" xfId="0" applyAlignment="1">
      <x:alignment vertical="center"/>
    </x:xf>
    <x:xf numFmtId="0" fontId="34" fillId="23" borderId="0" xfId="0" applyAlignment="1">
      <x:alignment vertical="top" wrapText="1"/>
    </x:xf>
    <x:xf numFmtId="0" fontId="35" fillId="24" borderId="11" xfId="0" applyAlignment="1">
      <x:alignment vertical="center" wrapText="1"/>
    </x:xf>
    <x:xf numFmtId="0" fontId="36" fillId="0" borderId="11" xfId="0" applyAlignment="1">
      <x:alignment vertical="top" wrapText="1"/>
    </x:xf>
    <x:xf numFmtId="164" fontId="12" fillId="0" borderId="6" xfId="0" applyAlignment="1">
      <x:alignment vertical="top" wrapText="1"/>
    </x:xf>
    <x:xf numFmtId="164" fontId="12" fillId="0" borderId="7" xfId="0" applyAlignment="1">
      <x:alignment vertical="top" wrapText="1"/>
    </x:xf>
    <x:xf numFmtId="164" fontId="12" fillId="0" borderId="8" xfId="0" applyAlignment="1">
      <x:alignment vertical="top" wrapText="1"/>
    </x:xf>
    <x:xf numFmtId="165" fontId="11" fillId="0" borderId="6" xfId="0" applyAlignment="1">
      <x:alignment vertical="top" wrapText="1"/>
    </x:xf>
    <x:xf numFmtId="165" fontId="11" fillId="0" borderId="7" xfId="0" applyAlignment="1">
      <x:alignment vertical="top" wrapText="1"/>
    </x:xf>
    <x:xf numFmtId="165" fontId="15" fillId="12" borderId="9" xfId="0" applyAlignment="1">
      <x:alignment vertical="top" wrapText="1"/>
    </x:xf>
    <x:xf numFmtId="1" fontId="15" fillId="12" borderId="9" xfId="0" applyAlignment="1">
      <x:alignment vertical="top" wrapText="1"/>
    </x:xf>
    <x:xf numFmtId="165" fontId="4" fillId="5" borderId="1" xfId="0" applyAlignment="1">
      <x:alignment vertical="top"/>
    </x:xf>
    <x:xf numFmtId="9" fontId="14" fillId="0" borderId="6" xfId="0" applyAlignment="1">
      <x:alignment vertical="top" wrapText="1"/>
    </x:xf>
    <x:xf numFmtId="9" fontId="14" fillId="0" borderId="7" xfId="0" applyAlignment="1">
      <x:alignment vertical="top" wrapText="1"/>
    </x:xf>
    <x:xf numFmtId="9" fontId="14" fillId="0" borderId="8" xfId="0" applyAlignment="1">
      <x:alignment vertical="top" wrapText="1"/>
    </x:xf>
    <x:xf numFmtId="165" fontId="12" fillId="0" borderId="6" xfId="0" applyAlignment="1">
      <x:alignment vertical="top" wrapText="1"/>
    </x:xf>
    <x:xf numFmtId="165" fontId="12" fillId="0" borderId="7" xfId="0" applyAlignment="1">
      <x:alignment vertical="top" wrapText="1"/>
    </x:xf>
    <x:xf numFmtId="165" fontId="12" fillId="0" borderId="8" xfId="0" applyAlignment="1">
      <x:alignment vertical="top" wrapText="1"/>
    </x:xf>
    <x:xf numFmtId="164" fontId="11" fillId="0" borderId="6" xfId="0" applyAlignment="1">
      <x:alignment vertical="top" wrapText="1"/>
    </x:xf>
    <x:xf numFmtId="164" fontId="11" fillId="0" borderId="7" xfId="0" applyAlignment="1">
      <x:alignment vertical="top" wrapText="1"/>
    </x:xf>
    <x:xf numFmtId="164" fontId="11" fillId="0" borderId="8" xfId="0" applyAlignment="1">
      <x:alignment vertical="top" wrapText="1"/>
    </x:xf>
    <x:xf numFmtId="0" fontId="0" fillId="0" borderId="0" xfId="0" applyNumberFormat="1" applyFont="1" applyFill="1" applyBorder="1" applyAlignment="1">
      <x:alignment wrapText="1"/>
    </x:xf>
    <x:xf numFmtId="0" fontId="0" fillId="25" borderId="0" xfId="0" applyNumberFormat="1" applyFont="1" applyFill="1" applyBorder="1"/>
    <x:xf numFmtId="0" fontId="22" fillId="25" borderId="0" xfId="0" applyNumberFormat="1" applyFont="1" applyFill="1" applyBorder="1"/>
    <x:xf numFmtId="0" fontId="0" fillId="26" borderId="0" xfId="0" applyNumberFormat="1" applyFont="1" applyFill="1" applyBorder="1"/>
    <x:xf numFmtId="0" fontId="37" fillId="26" borderId="0" xfId="0" applyNumberFormat="1" applyFont="1" applyFill="1" applyBorder="1"/>
    <x:xf numFmtId="0" fontId="37" fillId="26" borderId="0" xfId="0" applyNumberFormat="1" applyFont="1" applyFill="1" applyBorder="1" applyAlignment="1">
      <x:alignment wrapText="1"/>
    </x:xf>
    <x:xf numFmtId="0" fontId="0" fillId="27" borderId="0" xfId="0" applyNumberFormat="1" applyFont="1" applyFill="1" applyBorder="1" applyAlignment="1">
      <x:alignment wrapText="1"/>
    </x:xf>
    <x:xf numFmtId="0" fontId="25" fillId="27" borderId="0" xfId="0" applyNumberFormat="1" applyFont="1" applyFill="1" applyBorder="1" applyAlignment="1">
      <x:alignment wrapText="1"/>
    </x:xf>
    <x:xf numFmtId="0" fontId="25" fillId="27" borderId="11" xfId="0" applyNumberFormat="1" applyFont="1" applyFill="1" applyBorder="1" applyAlignment="1">
      <x:alignment wrapText="1"/>
    </x:xf>
    <x:xf numFmtId="0" fontId="14" fillId="0" borderId="0" xfId="0" applyNumberFormat="1" applyFont="1" applyFill="1" applyBorder="1" applyAlignment="1">
      <x:alignment wrapText="1"/>
    </x:xf>
    <x:xf numFmtId="0" fontId="14" fillId="0" borderId="12" xfId="0" applyNumberFormat="1" applyFont="1" applyFill="1" applyBorder="1" applyAlignment="1">
      <x:alignment wrapText="1"/>
    </x:xf>
    <x:xf numFmtId="0" fontId="14" fillId="0" borderId="13" xfId="0" applyNumberFormat="1" applyFont="1" applyFill="1" applyBorder="1" applyAlignment="1">
      <x:alignment wrapText="1"/>
    </x:xf>
    <x:xf numFmtId="0" fontId="14" fillId="0" borderId="14" xfId="0" applyNumberFormat="1" applyFont="1" applyFill="1" applyBorder="1" applyAlignment="1">
      <x:alignment wrapText="1"/>
    </x:xf>
    <x:xf numFmtId="0" fontId="14" fillId="0" borderId="12" xfId="0" applyNumberFormat="1" applyFont="1" applyFill="1" applyBorder="1" applyAlignment="1">
      <x:alignment vertical="top" wrapText="1"/>
    </x:xf>
    <x:xf numFmtId="0" fontId="14" fillId="0" borderId="13" xfId="0" applyNumberFormat="1" applyFont="1" applyFill="1" applyBorder="1" applyAlignment="1">
      <x:alignment vertical="top" wrapText="1"/>
    </x:xf>
    <x:xf numFmtId="0" fontId="14" fillId="0" borderId="14" xfId="0" applyNumberFormat="1" applyFont="1" applyFill="1" applyBorder="1" applyAlignment="1">
      <x:alignment vertical="top" wrapText="1"/>
    </x:xf>
    <x:xf numFmtId="164" fontId="14" fillId="0" borderId="12" xfId="0" applyNumberFormat="1" applyFont="1" applyFill="1" applyBorder="1" applyAlignment="1">
      <x:alignment vertical="top" wrapText="1"/>
    </x:xf>
    <x:xf numFmtId="164" fontId="14" fillId="0" borderId="13" xfId="0" applyNumberFormat="1" applyFont="1" applyFill="1" applyBorder="1" applyAlignment="1">
      <x:alignment vertical="top" wrapText="1"/>
    </x:xf>
    <x:xf numFmtId="164" fontId="14" fillId="0" borderId="14" xfId="0" applyNumberFormat="1" applyFont="1" applyFill="1" applyBorder="1" applyAlignment="1">
      <x:alignment vertical="top" wrapText="1"/>
    </x:xf>
    <x:xf numFmtId="0" fontId="0" fillId="27" borderId="0" xfId="0" applyNumberFormat="1" applyFont="1" applyFill="1" applyBorder="1"/>
    <x:xf numFmtId="0" fontId="25" fillId="27" borderId="0" xfId="0" applyNumberFormat="1" applyFont="1" applyFill="1" applyBorder="1"/>
    <x:xf numFmtId="0" fontId="26" fillId="0" borderId="0" xfId="0" applyNumberFormat="1" applyFont="1" applyFill="1" applyBorder="1"/>
    <x:xf numFmtId="0" fontId="26" fillId="0" borderId="12" xfId="0" applyNumberFormat="1" applyFont="1" applyFill="1" applyBorder="1"/>
    <x:xf numFmtId="0" fontId="26" fillId="0" borderId="13" xfId="0" applyNumberFormat="1" applyFont="1" applyFill="1" applyBorder="1"/>
    <x:xf numFmtId="0" fontId="26" fillId="0" borderId="14" xfId="0" applyNumberFormat="1" applyFont="1" applyFill="1" applyBorder="1"/>
    <x:xf numFmtId="0" fontId="26" fillId="0" borderId="12" xfId="0" applyNumberFormat="1" applyFont="1" applyFill="1" applyBorder="1" applyAlignment="1">
      <x:alignment wrapText="1"/>
    </x:xf>
    <x:xf numFmtId="0" fontId="26" fillId="0" borderId="13" xfId="0" applyNumberFormat="1" applyFont="1" applyFill="1" applyBorder="1" applyAlignment="1">
      <x:alignment wrapText="1"/>
    </x:xf>
    <x:xf numFmtId="0" fontId="26" fillId="0" borderId="14" xfId="0" applyNumberFormat="1" applyFont="1" applyFill="1" applyBorder="1" applyAlignment="1">
      <x:alignment wrapText="1"/>
    </x:xf>
    <x:xf numFmtId="0" fontId="26" fillId="0" borderId="0" xfId="0" applyNumberFormat="1" applyFont="1" applyFill="1" applyBorder="1" applyAlignment="1">
      <x:alignment vertical="top"/>
    </x:xf>
    <x:xf numFmtId="0" fontId="26" fillId="0" borderId="0" xfId="0" applyNumberFormat="1" applyFont="1" applyFill="1" applyBorder="1" applyAlignment="1">
      <x:alignment vertical="top" wrapText="1"/>
    </x:xf>
    <x:xf numFmtId="0" fontId="0" fillId="28" borderId="0" xfId="0" applyNumberFormat="1" applyFont="1" applyFill="1" applyBorder="1"/>
    <x:xf numFmtId="0" fontId="22" fillId="28" borderId="0" xfId="0" applyNumberFormat="1" applyFont="1" applyFill="1" applyBorder="1"/>
    <x:xf numFmtId="0" fontId="0" fillId="29" borderId="0" xfId="0" applyNumberFormat="1" applyFont="1" applyFill="1" applyBorder="1"/>
    <x:xf numFmtId="0" fontId="37" fillId="29" borderId="0" xfId="0" applyNumberFormat="1" applyFont="1" applyFill="1" applyBorder="1"/>
    <x:xf numFmtId="0" fontId="37" fillId="29" borderId="0" xfId="0" applyNumberFormat="1" applyFont="1" applyFill="1" applyBorder="1" applyAlignment="1">
      <x:alignment wrapText="1"/>
    </x:xf>
    <x:xf numFmtId="0" fontId="0" fillId="30" borderId="0" xfId="0" applyNumberFormat="1" applyFont="1" applyFill="1" applyBorder="1" applyAlignment="1">
      <x:alignment wrapText="1"/>
    </x:xf>
    <x:xf numFmtId="0" fontId="25" fillId="30" borderId="0" xfId="0" applyNumberFormat="1" applyFont="1" applyFill="1" applyBorder="1" applyAlignment="1">
      <x:alignment wrapText="1"/>
    </x:xf>
    <x:xf numFmtId="0" fontId="25" fillId="30" borderId="11" xfId="0" applyNumberFormat="1" applyFont="1" applyFill="1" applyBorder="1" applyAlignment="1">
      <x:alignment wrapText="1"/>
    </x:xf>
    <x:xf numFmtId="200" fontId="14" fillId="0" borderId="12" xfId="0" applyNumberFormat="1" applyFont="1" applyFill="1" applyBorder="1" applyAlignment="1">
      <x:alignment vertical="top" wrapText="1"/>
    </x:xf>
    <x:xf numFmtId="200" fontId="14" fillId="0" borderId="13" xfId="0" applyNumberFormat="1" applyFont="1" applyFill="1" applyBorder="1" applyAlignment="1">
      <x:alignment vertical="top" wrapText="1"/>
    </x:xf>
    <x:xf numFmtId="200" fontId="14" fillId="0" borderId="14" xfId="0" applyNumberFormat="1" applyFont="1" applyFill="1" applyBorder="1" applyAlignment="1">
      <x:alignment vertical="top" wrapText="1"/>
    </x:xf>
    <x:xf numFmtId="0" fontId="0" fillId="30" borderId="0" xfId="0" applyNumberFormat="1" applyFont="1" applyFill="1" applyBorder="1"/>
    <x:xf numFmtId="0" fontId="25" fillId="30" borderId="0" xfId="0" applyNumberFormat="1" applyFont="1" applyFill="1" applyBorder="1"/>
    <x:xf numFmtId="0" fontId="0" fillId="30" borderId="0" xfId="0" applyNumberFormat="1" applyFont="1" applyFill="1" applyBorder="1" applyAlignment="1">
      <x:alignment vertical="top"/>
    </x:xf>
    <x:xf numFmtId="0" fontId="25" fillId="30" borderId="0" xfId="0" applyNumberFormat="1" applyFont="1" applyFill="1" applyBorder="1" applyAlignment="1">
      <x:alignment vertical="top"/>
    </x:xf>
    <x:xf numFmtId="0" fontId="25" fillId="30" borderId="0" xfId="0" applyNumberFormat="1" applyFont="1" applyFill="1" applyBorder="1" applyAlignment="1">
      <x:alignment vertical="top" wrapText="1"/>
    </x:xf>
    <x:xf numFmtId="0" fontId="38" fillId="0" borderId="0" xfId="0" applyNumberFormat="1" applyFont="1" applyFill="1" applyBorder="1"/>
    <x:xf numFmtId="0" fontId="38" fillId="0" borderId="15" xfId="0" applyNumberFormat="1" applyFont="1" applyFill="1" applyBorder="1"/>
    <x:xf numFmtId="0" fontId="38" fillId="0" borderId="16" xfId="0" applyNumberFormat="1" applyFont="1" applyFill="1" applyBorder="1"/>
    <x:xf numFmtId="0" fontId="38" fillId="0" borderId="17" xfId="0" applyNumberFormat="1" applyFont="1" applyFill="1" applyBorder="1"/>
    <x:xf numFmtId="0" fontId="38" fillId="0" borderId="15" xfId="0" applyNumberFormat="1" applyFont="1" applyFill="1" applyBorder="1" applyAlignment="1">
      <x:alignment wrapText="1"/>
    </x:xf>
    <x:xf numFmtId="0" fontId="38" fillId="0" borderId="16" xfId="0" applyNumberFormat="1" applyFont="1" applyFill="1" applyBorder="1" applyAlignment="1">
      <x:alignment wrapText="1"/>
    </x:xf>
    <x:xf numFmtId="0" fontId="38" fillId="0" borderId="17" xfId="0" applyNumberFormat="1" applyFont="1" applyFill="1" applyBorder="1" applyAlignment="1">
      <x:alignment wrapText="1"/>
    </x:xf>
    <x:xf numFmtId="0" fontId="38" fillId="0" borderId="15" xfId="0" applyNumberFormat="1" applyFont="1" applyFill="1" applyBorder="1" applyAlignment="1">
      <x:alignment vertical="top" wrapText="1"/>
    </x:xf>
    <x:xf numFmtId="0" fontId="38" fillId="0" borderId="16" xfId="0" applyNumberFormat="1" applyFont="1" applyFill="1" applyBorder="1" applyAlignment="1">
      <x:alignment vertical="top" wrapText="1"/>
    </x:xf>
    <x:xf numFmtId="0" fontId="38" fillId="0" borderId="17" xfId="0" applyNumberFormat="1" applyFont="1" applyFill="1" applyBorder="1" applyAlignment="1">
      <x:alignment vertical="top" wrapText="1"/>
    </x:xf>
    <x:xf numFmtId="0" fontId="38" fillId="31" borderId="15" xfId="0" applyNumberFormat="1" applyFont="1" applyFill="1" applyBorder="1" applyAlignment="1">
      <x:alignment vertical="top" wrapText="1"/>
    </x:xf>
    <x:xf numFmtId="0" fontId="38" fillId="32" borderId="16" xfId="0" applyNumberFormat="1" applyFont="1" applyFill="1" applyBorder="1" applyAlignment="1">
      <x:alignment vertical="top" wrapText="1"/>
    </x:xf>
    <x:xf numFmtId="0" fontId="38" fillId="31" borderId="17" xfId="0" applyNumberFormat="1" applyFont="1" applyFill="1" applyBorder="1" applyAlignment="1">
      <x:alignment vertical="top" wrapText="1"/>
    </x:xf>
    <x:xf numFmtId="164" fontId="38" fillId="31" borderId="15" xfId="0" applyNumberFormat="1" applyFont="1" applyFill="1" applyBorder="1" applyAlignment="1">
      <x:alignment vertical="top" wrapText="1"/>
    </x:xf>
    <x:xf numFmtId="164" fontId="38" fillId="32" borderId="16" xfId="0" applyNumberFormat="1" applyFont="1" applyFill="1" applyBorder="1" applyAlignment="1">
      <x:alignment vertical="top" wrapText="1"/>
    </x:xf>
    <x:xf numFmtId="164" fontId="38" fillId="31" borderId="17" xfId="0" applyNumberFormat="1" applyFont="1" applyFill="1" applyBorder="1" applyAlignment="1">
      <x:alignment vertical="top" wrapText="1"/>
    </x:xf>
    <x:xf numFmtId="0" fontId="39" fillId="0" borderId="0" xfId="0" applyNumberFormat="1" applyFont="1" applyFill="1" applyBorder="1"/>
    <x:xf numFmtId="0" fontId="39" fillId="0" borderId="0" xfId="0" applyNumberFormat="1" applyFont="1" applyFill="1" applyBorder="1" applyAlignment="1">
      <x:alignment wrapText="1"/>
    </x:xf>
    <x:xf numFmtId="0" fontId="39" fillId="0" borderId="0" xfId="0" applyNumberFormat="1" applyFont="1" applyFill="1" applyBorder="1" applyAlignment="1">
      <x:alignment vertical="top" wrapText="1"/>
    </x:xf>
    <x:xf numFmtId="0" fontId="39" fillId="33" borderId="0" xfId="0" applyNumberFormat="1" applyFont="1" applyFill="1" applyBorder="1" applyAlignment="1">
      <x:alignment vertical="top" wrapText="1"/>
    </x:xf>
    <x:xf numFmtId="0" fontId="40" fillId="33" borderId="0" xfId="0" applyNumberFormat="1" applyFont="1" applyFill="1" applyBorder="1" applyAlignment="1">
      <x:alignment vertical="top" wrapText="1"/>
    </x:xf>
    <x:xf numFmtId="0" fontId="40" fillId="33" borderId="0" xfId="0" applyNumberFormat="1" applyFont="1" applyFill="1" applyBorder="1" applyAlignment="1">
      <x:alignment vertical="center" wrapText="1"/>
    </x:xf>
    <x:xf numFmtId="0" fontId="39" fillId="34" borderId="0" xfId="0" applyNumberFormat="1" applyFont="1" applyFill="1" applyBorder="1" applyAlignment="1">
      <x:alignment vertical="top" wrapText="1"/>
    </x:xf>
    <x:xf numFmtId="0" fontId="41" fillId="34" borderId="0" xfId="0" applyNumberFormat="1" applyFont="1" applyFill="1" applyBorder="1" applyAlignment="1">
      <x:alignment vertical="top" wrapText="1"/>
    </x:xf>
    <x:xf numFmtId="0" fontId="41" fillId="34" borderId="0" xfId="0" applyNumberFormat="1" applyFont="1" applyFill="1" applyBorder="1" applyAlignment="1">
      <x:alignment vertical="center" wrapText="1"/>
    </x:xf>
    <x:xf numFmtId="0" fontId="39" fillId="35" borderId="0" xfId="0" applyNumberFormat="1" applyFont="1" applyFill="1" applyBorder="1" applyAlignment="1">
      <x:alignment vertical="top" wrapText="1"/>
    </x:xf>
    <x:xf numFmtId="0" fontId="42" fillId="35" borderId="0" xfId="0" applyNumberFormat="1" applyFont="1" applyFill="1" applyBorder="1" applyAlignment="1">
      <x:alignment vertical="top" wrapText="1"/>
    </x:xf>
    <x:xf numFmtId="0" fontId="42" fillId="35" borderId="0" xfId="0" applyNumberFormat="1" applyFont="1" applyFill="1" applyBorder="1" applyAlignment="1">
      <x:alignment vertical="center" wrapText="1"/>
    </x:xf>
    <x:xf numFmtId="0" fontId="39" fillId="36" borderId="0" xfId="0" applyNumberFormat="1" applyFont="1" applyFill="1" applyBorder="1" applyAlignment="1">
      <x:alignment vertical="top" wrapText="1"/>
    </x:xf>
    <x:xf numFmtId="0" fontId="43" fillId="36" borderId="0" xfId="0" applyNumberFormat="1" applyFont="1" applyFill="1" applyBorder="1" applyAlignment="1">
      <x:alignment vertical="top" wrapText="1"/>
    </x:xf>
    <x:xf numFmtId="0" fontId="43" fillId="36" borderId="18" xfId="0" applyNumberFormat="1" applyFont="1" applyFill="1" applyBorder="1" applyAlignment="1">
      <x:alignment vertical="top" wrapText="1"/>
    </x:xf>
    <x:xf numFmtId="0" fontId="43" fillId="36" borderId="18" xfId="0" applyNumberFormat="1" applyFont="1" applyFill="1" applyBorder="1" applyAlignment="1">
      <x:alignment horizontal="center" vertical="top" wrapText="1"/>
    </x:xf>
    <x:xf numFmtId="0" fontId="43" fillId="36" borderId="18" xfId="0" applyNumberFormat="1" applyFont="1" applyFill="1" applyBorder="1" applyAlignment="1">
      <x:alignment horizontal="center" vertical="center" wrapText="1"/>
    </x:xf>
    <x:xf numFmtId="0" fontId="39" fillId="0" borderId="19" xfId="0" applyNumberFormat="1" applyFont="1" applyFill="1" applyBorder="1" applyAlignment="1">
      <x:alignment vertical="top" wrapText="1"/>
    </x:xf>
    <x:xf numFmtId="0" fontId="39" fillId="0" borderId="20" xfId="0" applyNumberFormat="1" applyFont="1" applyFill="1" applyBorder="1" applyAlignment="1">
      <x:alignment vertical="top" wrapText="1"/>
    </x:xf>
    <x:xf numFmtId="0" fontId="39" fillId="0" borderId="21" xfId="0" applyNumberFormat="1" applyFont="1" applyFill="1" applyBorder="1" applyAlignment="1">
      <x:alignment vertical="top" wrapText="1"/>
    </x:xf>
    <x:xf numFmtId="0" fontId="39" fillId="0" borderId="22" xfId="0" applyNumberFormat="1" applyFont="1" applyFill="1" applyBorder="1" applyAlignment="1">
      <x:alignment vertical="top" wrapText="1"/>
    </x:xf>
    <x:xf numFmtId="0" fontId="39" fillId="0" borderId="23" xfId="0" applyNumberFormat="1" applyFont="1" applyFill="1" applyBorder="1" applyAlignment="1">
      <x:alignment vertical="top" wrapText="1"/>
    </x:xf>
    <x:xf numFmtId="0" fontId="39" fillId="0" borderId="24" xfId="0" applyNumberFormat="1" applyFont="1" applyFill="1" applyBorder="1" applyAlignment="1">
      <x:alignment vertical="top" wrapText="1"/>
    </x:xf>
    <x:xf numFmtId="0" fontId="39" fillId="0" borderId="25" xfId="0" applyNumberFormat="1" applyFont="1" applyFill="1" applyBorder="1" applyAlignment="1">
      <x:alignment vertical="top" wrapText="1"/>
    </x:xf>
    <x:xf numFmtId="0" fontId="39" fillId="0" borderId="26" xfId="0" applyNumberFormat="1" applyFont="1" applyFill="1" applyBorder="1" applyAlignment="1">
      <x:alignment vertical="top" wrapText="1"/>
    </x:xf>
    <x:xf numFmtId="0" fontId="39" fillId="0" borderId="27" xfId="0" applyNumberFormat="1" applyFont="1" applyFill="1" applyBorder="1" applyAlignment="1">
      <x:alignment vertical="top" wrapText="1"/>
    </x:xf>
    <x:xf numFmtId="164" fontId="39" fillId="0" borderId="20" xfId="0" applyNumberFormat="1" applyFont="1" applyFill="1" applyBorder="1" applyAlignment="1">
      <x:alignment vertical="top" wrapText="1"/>
    </x:xf>
    <x:xf numFmtId="164" fontId="39" fillId="0" borderId="23" xfId="0" applyNumberFormat="1" applyFont="1" applyFill="1" applyBorder="1" applyAlignment="1">
      <x:alignment vertical="top" wrapText="1"/>
    </x:xf>
    <x:xf numFmtId="164" fontId="39" fillId="0" borderId="26" xfId="0" applyNumberFormat="1" applyFont="1" applyFill="1" applyBorder="1" applyAlignment="1">
      <x:alignment vertical="top" wrapText="1"/>
    </x:xf>
    <x:xf numFmtId="200" fontId="39" fillId="0" borderId="20" xfId="0" applyNumberFormat="1" applyFont="1" applyFill="1" applyBorder="1" applyAlignment="1">
      <x:alignment vertical="top" wrapText="1"/>
    </x:xf>
    <x:xf numFmtId="200" fontId="39" fillId="0" borderId="23" xfId="0" applyNumberFormat="1" applyFont="1" applyFill="1" applyBorder="1" applyAlignment="1">
      <x:alignment vertical="top" wrapText="1"/>
    </x:xf>
    <x:xf numFmtId="200" fontId="39" fillId="0" borderId="26" xfId="0" applyNumberFormat="1" applyFont="1" applyFill="1" applyBorder="1" applyAlignment="1">
      <x:alignment vertical="top" wrapText="1"/>
    </x:xf>
    <x:xf numFmtId="0" fontId="39" fillId="37" borderId="20" xfId="0" applyNumberFormat="1" applyFont="1" applyFill="1" applyBorder="1" applyAlignment="1">
      <x:alignment vertical="top" wrapText="1"/>
    </x:xf>
    <x:xf numFmtId="0" fontId="44" fillId="37" borderId="20" xfId="0" applyNumberFormat="1" applyFont="1" applyFill="1" applyBorder="1" applyAlignment="1">
      <x:alignment vertical="top" wrapText="1"/>
    </x:xf>
    <x:xf numFmtId="0" fontId="44" fillId="37" borderId="20" xfId="0" applyNumberFormat="1" applyFont="1" applyFill="1" applyBorder="1" applyAlignment="1">
      <x:alignment vertical="center" wrapText="1"/>
    </x:xf>
    <x:xf numFmtId="0" fontId="39" fillId="38" borderId="21" xfId="0" applyNumberFormat="1" applyFont="1" applyFill="1" applyBorder="1" applyAlignment="1">
      <x:alignment vertical="top" wrapText="1"/>
    </x:xf>
    <x:xf numFmtId="0" fontId="45" fillId="38" borderId="21" xfId="0" applyNumberFormat="1" applyFont="1" applyFill="1" applyBorder="1" applyAlignment="1">
      <x:alignment vertical="top" wrapText="1"/>
    </x:xf>
    <x:xf numFmtId="0" fontId="45" fillId="38" borderId="21" xfId="0" applyNumberFormat="1" applyFont="1" applyFill="1" applyBorder="1" applyAlignment="1">
      <x:alignment vertical="center" wrapText="1"/>
    </x:xf>
    <x:xf numFmtId="0" fontId="39" fillId="37" borderId="23" xfId="0" applyNumberFormat="1" applyFont="1" applyFill="1" applyBorder="1" applyAlignment="1">
      <x:alignment vertical="top" wrapText="1"/>
    </x:xf>
    <x:xf numFmtId="0" fontId="44" fillId="37" borderId="23" xfId="0" applyNumberFormat="1" applyFont="1" applyFill="1" applyBorder="1" applyAlignment="1">
      <x:alignment vertical="top" wrapText="1"/>
    </x:xf>
    <x:xf numFmtId="0" fontId="44" fillId="37" borderId="23" xfId="0" applyNumberFormat="1" applyFont="1" applyFill="1" applyBorder="1" applyAlignment="1">
      <x:alignment vertical="center" wrapText="1"/>
    </x:xf>
    <x:xf numFmtId="0" fontId="39" fillId="38" borderId="24" xfId="0" applyNumberFormat="1" applyFont="1" applyFill="1" applyBorder="1" applyAlignment="1">
      <x:alignment vertical="top" wrapText="1"/>
    </x:xf>
    <x:xf numFmtId="0" fontId="45" fillId="38" borderId="24" xfId="0" applyNumberFormat="1" applyFont="1" applyFill="1" applyBorder="1" applyAlignment="1">
      <x:alignment vertical="top" wrapText="1"/>
    </x:xf>
    <x:xf numFmtId="0" fontId="45" fillId="38" borderId="24" xfId="0" applyNumberFormat="1" applyFont="1" applyFill="1" applyBorder="1" applyAlignment="1">
      <x:alignment vertical="center" wrapText="1"/>
    </x:xf>
    <x:xf numFmtId="0" fontId="39" fillId="35" borderId="23" xfId="0" applyNumberFormat="1" applyFont="1" applyFill="1" applyBorder="1" applyAlignment="1">
      <x:alignment vertical="top" wrapText="1"/>
    </x:xf>
    <x:xf numFmtId="0" fontId="42" fillId="35" borderId="23" xfId="0" applyNumberFormat="1" applyFont="1" applyFill="1" applyBorder="1" applyAlignment="1">
      <x:alignment vertical="top" wrapText="1"/>
    </x:xf>
    <x:xf numFmtId="0" fontId="42" fillId="35" borderId="23" xfId="0" applyNumberFormat="1" applyFont="1" applyFill="1" applyBorder="1" applyAlignment="1">
      <x:alignment vertical="center" wrapText="1"/>
    </x:xf>
    <x:xf numFmtId="0" fontId="39" fillId="35" borderId="26" xfId="0" applyNumberFormat="1" applyFont="1" applyFill="1" applyBorder="1" applyAlignment="1">
      <x:alignment vertical="top" wrapText="1"/>
    </x:xf>
    <x:xf numFmtId="0" fontId="42" fillId="35" borderId="26" xfId="0" applyNumberFormat="1" applyFont="1" applyFill="1" applyBorder="1" applyAlignment="1">
      <x:alignment vertical="top" wrapText="1"/>
    </x:xf>
    <x:xf numFmtId="0" fontId="42" fillId="35" borderId="26" xfId="0" applyNumberFormat="1" applyFont="1" applyFill="1" applyBorder="1" applyAlignment="1">
      <x:alignment vertical="center" wrapText="1"/>
    </x:xf>
    <x:xf numFmtId="0" fontId="39" fillId="38" borderId="27" xfId="0" applyNumberFormat="1" applyFont="1" applyFill="1" applyBorder="1" applyAlignment="1">
      <x:alignment vertical="top" wrapText="1"/>
    </x:xf>
    <x:xf numFmtId="0" fontId="45" fillId="38" borderId="27" xfId="0" applyNumberFormat="1" applyFont="1" applyFill="1" applyBorder="1" applyAlignment="1">
      <x:alignment vertical="top" wrapText="1"/>
    </x:xf>
    <x:xf numFmtId="0" fontId="45" fillId="38" borderId="27" xfId="0" applyNumberFormat="1" applyFont="1" applyFill="1" applyBorder="1" applyAlignment="1">
      <x:alignment vertical="center" wrapText="1"/>
    </x:xf>
    <x:xf numFmtId="0" fontId="0" fillId="36" borderId="0" xfId="0" applyNumberFormat="1" applyFont="1" applyFill="1" applyBorder="1"/>
    <x:xf numFmtId="0" fontId="19" fillId="36" borderId="0" xfId="0" applyNumberFormat="1" applyFont="1" applyFill="1" applyBorder="1"/>
    <x:xf numFmtId="0" fontId="19" fillId="36" borderId="0" xfId="0" applyNumberFormat="1" applyFont="1" applyFill="1" applyBorder="1" applyAlignment="1">
      <x:alignment wrapText="1"/>
    </x:xf>
    <x:xf numFmtId="0" fontId="19" fillId="36" borderId="0" xfId="0" applyNumberFormat="1" applyFont="1" applyFill="1" applyBorder="1" applyAlignment="1">
      <x:alignment vertical="center" wrapText="1"/>
    </x:xf>
    <x:xf numFmtId="0" fontId="0" fillId="36" borderId="0" xfId="0" applyNumberFormat="1" applyFont="1" applyFill="1" applyBorder="1" applyAlignment="1">
      <x:alignment vertical="top"/>
    </x:xf>
    <x:xf numFmtId="0" fontId="19" fillId="36" borderId="0" xfId="0" applyNumberFormat="1" applyFont="1" applyFill="1" applyBorder="1" applyAlignment="1">
      <x:alignment vertical="top"/>
    </x:xf>
    <x:xf numFmtId="0" fontId="19" fillId="36" borderId="0" xfId="0" applyNumberFormat="1" applyFont="1" applyFill="1" applyBorder="1" applyAlignment="1">
      <x:alignment vertical="top" wrapText="1"/>
    </x:xf>
    <x:xf numFmtId="0" fontId="38" fillId="0" borderId="0" xfId="0" applyNumberFormat="1" applyFont="1" applyFill="1" applyBorder="1" applyAlignment="1">
      <x:alignment vertical="top"/>
    </x:xf>
    <x:xf numFmtId="0" fontId="38" fillId="0" borderId="15" xfId="0" applyNumberFormat="1" applyFont="1" applyFill="1" applyBorder="1" applyAlignment="1">
      <x:alignment vertical="top"/>
    </x:xf>
    <x:xf numFmtId="0" fontId="38" fillId="0" borderId="16" xfId="0" applyNumberFormat="1" applyFont="1" applyFill="1" applyBorder="1" applyAlignment="1">
      <x:alignment vertical="top"/>
    </x:xf>
    <x:xf numFmtId="0" fontId="38" fillId="0" borderId="17" xfId="0" applyNumberFormat="1" applyFont="1" applyFill="1" applyBorder="1" applyAlignment="1">
      <x:alignment vertical="top"/>
    </x:xf>
    <x:xf numFmtId="0" fontId="0" fillId="39" borderId="0" xfId="0" applyNumberFormat="1" applyFont="1" applyFill="1" applyBorder="1"/>
    <x:xf numFmtId="0" fontId="38" fillId="39" borderId="0" xfId="0" applyNumberFormat="1" applyFont="1" applyFill="1" applyBorder="1"/>
    <x:xf numFmtId="0" fontId="38" fillId="39" xfId="0" applyNumberFormat="1" applyFont="1" applyFill="1" applyBorder="0"/>
    <x:xf numFmtId="0" fontId="38" fillId="39" xfId="0" applyNumberFormat="1" applyFont="1" applyFill="1" applyBorder="0" applyAlignment="1">
      <x:alignment wrapText="1"/>
    </x:xf>
    <x:xf numFmtId="0" fontId="38" fillId="39" xfId="0" applyNumberFormat="1" applyFont="1" applyFill="1" applyBorder="0" applyAlignment="1">
      <x:alignment vertical="top" wrapText="1"/>
    </x:xf>
    <x:xf numFmtId="164" fontId="38" fillId="39" xfId="0" applyNumberFormat="1" applyFont="1" applyFill="1" applyBorder="0" applyAlignment="1">
      <x:alignment vertical="top" wrapText="1"/>
    </x:xf>
    <x:xf numFmtId="0" fontId="39" fillId="40" borderId="0" xfId="0" applyNumberFormat="1" applyFont="1" applyFill="1" applyBorder="1" applyAlignment="1">
      <x:alignment vertical="top" wrapText="1"/>
    </x:xf>
    <x:xf numFmtId="0" fontId="40" fillId="40" borderId="0" xfId="0" applyNumberFormat="1" applyFont="1" applyFill="1" applyBorder="1" applyAlignment="1">
      <x:alignment vertical="top" wrapText="1"/>
    </x:xf>
    <x:xf numFmtId="0" fontId="40" fillId="40" borderId="0" xfId="0" applyNumberFormat="1" applyFont="1" applyFill="1" applyBorder="1" applyAlignment="1">
      <x:alignment vertical="center" wrapText="1"/>
    </x:xf>
    <x:xf numFmtId="0" fontId="39" fillId="41" borderId="0" xfId="0" applyNumberFormat="1" applyFont="1" applyFill="1" applyBorder="1" applyAlignment="1">
      <x:alignment vertical="top" wrapText="1"/>
    </x:xf>
    <x:xf numFmtId="0" fontId="41" fillId="41" borderId="0" xfId="0" applyNumberFormat="1" applyFont="1" applyFill="1" applyBorder="1" applyAlignment="1">
      <x:alignment vertical="top" wrapText="1"/>
    </x:xf>
    <x:xf numFmtId="0" fontId="41" fillId="41" borderId="0" xfId="0" applyNumberFormat="1" applyFont="1" applyFill="1" applyBorder="1" applyAlignment="1">
      <x:alignment vertical="center" wrapText="1"/>
    </x:xf>
    <x:xf numFmtId="0" fontId="39" fillId="42" borderId="0" xfId="0" applyNumberFormat="1" applyFont="1" applyFill="1" applyBorder="1" applyAlignment="1">
      <x:alignment vertical="top" wrapText="1"/>
    </x:xf>
    <x:xf numFmtId="0" fontId="42" fillId="42" borderId="0" xfId="0" applyNumberFormat="1" applyFont="1" applyFill="1" applyBorder="1" applyAlignment="1">
      <x:alignment vertical="top" wrapText="1"/>
    </x:xf>
    <x:xf numFmtId="0" fontId="42" fillId="42" borderId="0" xfId="0" applyNumberFormat="1" applyFont="1" applyFill="1" applyBorder="1" applyAlignment="1">
      <x:alignment vertical="center" wrapText="1"/>
    </x:xf>
    <x:xf numFmtId="0" fontId="39" fillId="43" borderId="0" xfId="0" applyNumberFormat="1" applyFont="1" applyFill="1" applyBorder="1" applyAlignment="1">
      <x:alignment vertical="top" wrapText="1"/>
    </x:xf>
    <x:xf numFmtId="0" fontId="43" fillId="43" borderId="0" xfId="0" applyNumberFormat="1" applyFont="1" applyFill="1" applyBorder="1" applyAlignment="1">
      <x:alignment vertical="top" wrapText="1"/>
    </x:xf>
    <x:xf numFmtId="0" fontId="43" fillId="43" borderId="18" xfId="0" applyNumberFormat="1" applyFont="1" applyFill="1" applyBorder="1" applyAlignment="1">
      <x:alignment vertical="top" wrapText="1"/>
    </x:xf>
    <x:xf numFmtId="0" fontId="43" fillId="43" borderId="18" xfId="0" applyNumberFormat="1" applyFont="1" applyFill="1" applyBorder="1" applyAlignment="1">
      <x:alignment horizontal="center" vertical="top" wrapText="1"/>
    </x:xf>
    <x:xf numFmtId="0" fontId="43" fillId="43" borderId="18" xfId="0" applyNumberFormat="1" applyFont="1" applyFill="1" applyBorder="1" applyAlignment="1">
      <x:alignment horizontal="center" vertical="center" wrapText="1"/>
    </x:xf>
    <x:xf numFmtId="0" fontId="39" fillId="44" borderId="20" xfId="0" applyNumberFormat="1" applyFont="1" applyFill="1" applyBorder="1" applyAlignment="1">
      <x:alignment vertical="top" wrapText="1"/>
    </x:xf>
    <x:xf numFmtId="0" fontId="44" fillId="44" borderId="20" xfId="0" applyNumberFormat="1" applyFont="1" applyFill="1" applyBorder="1" applyAlignment="1">
      <x:alignment vertical="top" wrapText="1"/>
    </x:xf>
    <x:xf numFmtId="0" fontId="44" fillId="44" borderId="20" xfId="0" applyNumberFormat="1" applyFont="1" applyFill="1" applyBorder="1" applyAlignment="1">
      <x:alignment vertical="center" wrapText="1"/>
    </x:xf>
    <x:xf numFmtId="0" fontId="39" fillId="45" borderId="21" xfId="0" applyNumberFormat="1" applyFont="1" applyFill="1" applyBorder="1" applyAlignment="1">
      <x:alignment vertical="top" wrapText="1"/>
    </x:xf>
    <x:xf numFmtId="0" fontId="45" fillId="45" borderId="21" xfId="0" applyNumberFormat="1" applyFont="1" applyFill="1" applyBorder="1" applyAlignment="1">
      <x:alignment vertical="top" wrapText="1"/>
    </x:xf>
    <x:xf numFmtId="0" fontId="45" fillId="45" borderId="21" xfId="0" applyNumberFormat="1" applyFont="1" applyFill="1" applyBorder="1" applyAlignment="1">
      <x:alignment vertical="center" wrapText="1"/>
    </x:xf>
    <x:xf numFmtId="0" fontId="39" fillId="42" borderId="23" xfId="0" applyNumberFormat="1" applyFont="1" applyFill="1" applyBorder="1" applyAlignment="1">
      <x:alignment vertical="top" wrapText="1"/>
    </x:xf>
    <x:xf numFmtId="0" fontId="42" fillId="42" borderId="23" xfId="0" applyNumberFormat="1" applyFont="1" applyFill="1" applyBorder="1" applyAlignment="1">
      <x:alignment vertical="top" wrapText="1"/>
    </x:xf>
    <x:xf numFmtId="0" fontId="42" fillId="42" borderId="23" xfId="0" applyNumberFormat="1" applyFont="1" applyFill="1" applyBorder="1" applyAlignment="1">
      <x:alignment vertical="center" wrapText="1"/>
    </x:xf>
    <x:xf numFmtId="0" fontId="39" fillId="45" borderId="24" xfId="0" applyNumberFormat="1" applyFont="1" applyFill="1" applyBorder="1" applyAlignment="1">
      <x:alignment vertical="top" wrapText="1"/>
    </x:xf>
    <x:xf numFmtId="0" fontId="45" fillId="45" borderId="24" xfId="0" applyNumberFormat="1" applyFont="1" applyFill="1" applyBorder="1" applyAlignment="1">
      <x:alignment vertical="top" wrapText="1"/>
    </x:xf>
    <x:xf numFmtId="0" fontId="45" fillId="45" borderId="24" xfId="0" applyNumberFormat="1" applyFont="1" applyFill="1" applyBorder="1" applyAlignment="1">
      <x:alignment vertical="center" wrapText="1"/>
    </x:xf>
    <x:xf numFmtId="0" fontId="39" fillId="44" borderId="23" xfId="0" applyNumberFormat="1" applyFont="1" applyFill="1" applyBorder="1" applyAlignment="1">
      <x:alignment vertical="top" wrapText="1"/>
    </x:xf>
    <x:xf numFmtId="0" fontId="44" fillId="44" borderId="23" xfId="0" applyNumberFormat="1" applyFont="1" applyFill="1" applyBorder="1" applyAlignment="1">
      <x:alignment vertical="top" wrapText="1"/>
    </x:xf>
    <x:xf numFmtId="0" fontId="44" fillId="44" borderId="23" xfId="0" applyNumberFormat="1" applyFont="1" applyFill="1" applyBorder="1" applyAlignment="1">
      <x:alignment vertical="center" wrapText="1"/>
    </x:xf>
    <x:xf numFmtId="0" fontId="39" fillId="42" borderId="26" xfId="0" applyNumberFormat="1" applyFont="1" applyFill="1" applyBorder="1" applyAlignment="1">
      <x:alignment vertical="top" wrapText="1"/>
    </x:xf>
    <x:xf numFmtId="0" fontId="42" fillId="42" borderId="26" xfId="0" applyNumberFormat="1" applyFont="1" applyFill="1" applyBorder="1" applyAlignment="1">
      <x:alignment vertical="top" wrapText="1"/>
    </x:xf>
    <x:xf numFmtId="0" fontId="42" fillId="42" borderId="26" xfId="0" applyNumberFormat="1" applyFont="1" applyFill="1" applyBorder="1" applyAlignment="1">
      <x:alignment vertical="center" wrapText="1"/>
    </x:xf>
    <x:xf numFmtId="0" fontId="39" fillId="45" borderId="27" xfId="0" applyNumberFormat="1" applyFont="1" applyFill="1" applyBorder="1" applyAlignment="1">
      <x:alignment vertical="top" wrapText="1"/>
    </x:xf>
    <x:xf numFmtId="0" fontId="45" fillId="45" borderId="27" xfId="0" applyNumberFormat="1" applyFont="1" applyFill="1" applyBorder="1" applyAlignment="1">
      <x:alignment vertical="top" wrapText="1"/>
    </x:xf>
    <x:xf numFmtId="0" fontId="45" fillId="45" borderId="27" xfId="0" applyNumberFormat="1" applyFont="1" applyFill="1" applyBorder="1" applyAlignment="1">
      <x:alignment vertical="center" wrapText="1"/>
    </x:xf>
    <x:xf numFmtId="0" fontId="0" fillId="43" borderId="0" xfId="0" applyNumberFormat="1" applyFont="1" applyFill="1" applyBorder="1"/>
    <x:xf numFmtId="0" fontId="19" fillId="43" borderId="0" xfId="0" applyNumberFormat="1" applyFont="1" applyFill="1" applyBorder="1"/>
    <x:xf numFmtId="0" fontId="19" fillId="43" borderId="0" xfId="0" applyNumberFormat="1" applyFont="1" applyFill="1" applyBorder="1" applyAlignment="1">
      <x:alignment wrapText="1"/>
    </x:xf>
    <x:xf numFmtId="0" fontId="19" fillId="43" borderId="0" xfId="0" applyNumberFormat="1" applyFont="1" applyFill="1" applyBorder="1" applyAlignment="1">
      <x:alignment vertical="center" wrapText="1"/>
    </x:xf>
    <x:xf numFmtId="0" fontId="0" fillId="43" borderId="0" xfId="0" applyNumberFormat="1" applyFont="1" applyFill="1" applyBorder="1" applyAlignment="1">
      <x:alignment vertical="top"/>
    </x:xf>
    <x:xf numFmtId="0" fontId="19" fillId="43" borderId="0" xfId="0" applyNumberFormat="1" applyFont="1" applyFill="1" applyBorder="1" applyAlignment="1">
      <x:alignment vertical="top"/>
    </x:xf>
    <x:xf numFmtId="0" fontId="19" fillId="43" borderId="0" xfId="0" applyNumberFormat="1" applyFont="1" applyFill="1" applyBorder="1" applyAlignment="1">
      <x:alignment vertical="top" wrapText="1"/>
    </x:xf>
    <x:xf numFmtId="0" fontId="0" fillId="46" borderId="0" xfId="0" applyNumberFormat="1" applyFont="1" applyFill="1" applyBorder="1"/>
    <x:xf numFmtId="0" fontId="38" fillId="46" borderId="0" xfId="0" applyNumberFormat="1" applyFont="1" applyFill="1" applyBorder="1"/>
    <x:xf numFmtId="0" fontId="38" fillId="46" xfId="0" applyNumberFormat="1" applyFont="1" applyFill="1" applyBorder="0"/>
    <x:xf numFmtId="0" fontId="38" fillId="46" xfId="0" applyNumberFormat="1" applyFont="1" applyFill="1" applyBorder="0" applyAlignment="1">
      <x:alignment wrapText="1"/>
    </x:xf>
    <x:xf numFmtId="0" fontId="38" fillId="46" xfId="0" applyNumberFormat="1" applyFont="1" applyFill="1" applyBorder="0" applyAlignment="1">
      <x:alignment vertical="top" wrapText="1"/>
    </x:xf>
    <x:xf numFmtId="164" fontId="38" fillId="46" xfId="0" applyNumberFormat="1" applyFont="1" applyFill="1" applyBorder="0" applyAlignment="1">
      <x:alignment vertical="top" wrapText="1"/>
    </x:xf>
    <x:xf numFmtId="0" fontId="0" fillId="47" borderId="0" xfId="0" applyNumberFormat="1" applyFont="1" applyFill="1" applyBorder="1"/>
    <x:xf numFmtId="0" fontId="22" fillId="47" borderId="0" xfId="0" applyNumberFormat="1" applyFont="1" applyFill="1" applyBorder="1"/>
    <x:xf numFmtId="0" fontId="22" fillId="47" borderId="0" xfId="0" applyNumberFormat="1" applyFont="1" applyFill="1" applyBorder="1" applyAlignment="1">
      <x:alignment vertical="center"/>
    </x:xf>
    <x:xf numFmtId="0" fontId="0" fillId="48" borderId="0" xfId="0" applyNumberFormat="1" applyFont="1" applyFill="1" applyBorder="1"/>
    <x:xf numFmtId="0" fontId="46" fillId="48" borderId="0" xfId="0" applyNumberFormat="1" applyFont="1" applyFill="1" applyBorder="1"/>
    <x:xf numFmtId="0" fontId="46" fillId="48" borderId="0" xfId="0" applyNumberFormat="1" applyFont="1" applyFill="1" applyBorder="1" applyAlignment="1">
      <x:alignment vertical="center"/>
    </x:xf>
    <x:xf numFmtId="0" fontId="0" fillId="49" borderId="0" xfId="0" applyNumberFormat="1" applyFont="1" applyFill="1" applyBorder="1"/>
    <x:xf numFmtId="0" fontId="47" fillId="49" borderId="0" xfId="0" applyNumberFormat="1" applyFont="1" applyFill="1" applyBorder="1"/>
    <x:xf numFmtId="0" fontId="47" fillId="49" borderId="0" xfId="0" applyNumberFormat="1" applyFont="1" applyFill="1" applyBorder="1" applyAlignment="1">
      <x:alignment vertical="center"/>
    </x:xf>
    <x:xf numFmtId="0" fontId="22" fillId="47" borderId="0" xfId="0" applyNumberFormat="1" applyFont="1" applyFill="1" applyBorder="1" applyAlignment="1">
      <x:alignment vertical="center" wrapText="1"/>
    </x:xf>
    <x:xf numFmtId="0" fontId="46" fillId="48" borderId="0" xfId="0" applyNumberFormat="1" applyFont="1" applyFill="1" applyBorder="1" applyAlignment="1">
      <x:alignment vertical="center" wrapText="1"/>
    </x:xf>
    <x:xf numFmtId="0" fontId="47" fillId="49" borderId="0" xfId="0" applyNumberFormat="1" applyFont="1" applyFill="1" applyBorder="1" applyAlignment="1">
      <x:alignment vertical="center" wrapText="1"/>
    </x:xf>
    <x:xf numFmtId="0" fontId="0" fillId="50" borderId="0" xfId="0" applyNumberFormat="1" applyFont="1" applyFill="1" applyBorder="1"/>
    <x:xf numFmtId="0" fontId="19" fillId="50" borderId="0" xfId="0" applyNumberFormat="1" applyFont="1" applyFill="1" applyBorder="1"/>
    <x:xf numFmtId="0" fontId="19" fillId="50" borderId="28" xfId="0" applyNumberFormat="1" applyFont="1" applyFill="1" applyBorder="1"/>
    <x:xf numFmtId="0" fontId="19" fillId="50" borderId="29" xfId="0" applyNumberFormat="1" applyFont="1" applyFill="1" applyBorder="1"/>
    <x:xf numFmtId="0" fontId="19" fillId="50" borderId="30" xfId="0" applyNumberFormat="1" applyFont="1" applyFill="1" applyBorder="1"/>
    <x:xf numFmtId="0" fontId="48" fillId="0" borderId="0" xfId="0" applyNumberFormat="1" applyFont="1" applyFill="1" applyBorder="1"/>
    <x:xf numFmtId="0" fontId="48" fillId="0" borderId="31" xfId="0" applyNumberFormat="1" applyFont="1" applyFill="1" applyBorder="1"/>
    <x:xf numFmtId="0" fontId="48" fillId="0" borderId="32" xfId="0" applyNumberFormat="1" applyFont="1" applyFill="1" applyBorder="1"/>
    <x:xf numFmtId="0" fontId="48" fillId="0" borderId="33" xfId="0" applyNumberFormat="1" applyFont="1" applyFill="1" applyBorder="1"/>
    <x:xf numFmtId="0" fontId="48" fillId="0" borderId="34" xfId="0" applyNumberFormat="1" applyFont="1" applyFill="1" applyBorder="1"/>
    <x:xf numFmtId="0" fontId="48" fillId="0" borderId="35" xfId="0" applyNumberFormat="1" applyFont="1" applyFill="1" applyBorder="1"/>
    <x:xf numFmtId="0" fontId="48" fillId="0" borderId="36" xfId="0" applyNumberFormat="1" applyFont="1" applyFill="1" applyBorder="1"/>
    <x:xf numFmtId="0" fontId="48" fillId="0" borderId="37" xfId="0" applyNumberFormat="1" applyFont="1" applyFill="1" applyBorder="1"/>
    <x:xf numFmtId="0" fontId="48" fillId="0" borderId="38" xfId="0" applyNumberFormat="1" applyFont="1" applyFill="1" applyBorder="1"/>
    <x:xf numFmtId="0" fontId="48" fillId="0" borderId="39" xfId="0" applyNumberFormat="1" applyFont="1" applyFill="1" applyBorder="1"/>
    <x:xf numFmtId="0" fontId="48" fillId="0" borderId="31" xfId="0" applyNumberFormat="1" applyFont="1" applyFill="1" applyBorder="1" applyAlignment="1">
      <x:alignment vertical="center"/>
    </x:xf>
    <x:xf numFmtId="0" fontId="48" fillId="0" borderId="32" xfId="0" applyNumberFormat="1" applyFont="1" applyFill="1" applyBorder="1" applyAlignment="1">
      <x:alignment vertical="center"/>
    </x:xf>
    <x:xf numFmtId="0" fontId="48" fillId="0" borderId="33" xfId="0" applyNumberFormat="1" applyFont="1" applyFill="1" applyBorder="1" applyAlignment="1">
      <x:alignment vertical="center"/>
    </x:xf>
    <x:xf numFmtId="0" fontId="48" fillId="0" borderId="34" xfId="0" applyNumberFormat="1" applyFont="1" applyFill="1" applyBorder="1" applyAlignment="1">
      <x:alignment vertical="center"/>
    </x:xf>
    <x:xf numFmtId="0" fontId="48" fillId="0" borderId="35" xfId="0" applyNumberFormat="1" applyFont="1" applyFill="1" applyBorder="1" applyAlignment="1">
      <x:alignment vertical="center"/>
    </x:xf>
    <x:xf numFmtId="0" fontId="48" fillId="0" borderId="36" xfId="0" applyNumberFormat="1" applyFont="1" applyFill="1" applyBorder="1" applyAlignment="1">
      <x:alignment vertical="center"/>
    </x:xf>
    <x:xf numFmtId="0" fontId="48" fillId="0" borderId="37" xfId="0" applyNumberFormat="1" applyFont="1" applyFill="1" applyBorder="1" applyAlignment="1">
      <x:alignment vertical="center"/>
    </x:xf>
    <x:xf numFmtId="0" fontId="48" fillId="0" borderId="38" xfId="0" applyNumberFormat="1" applyFont="1" applyFill="1" applyBorder="1" applyAlignment="1">
      <x:alignment vertical="center"/>
    </x:xf>
    <x:xf numFmtId="0" fontId="48" fillId="0" borderId="39" xfId="0" applyNumberFormat="1" applyFont="1" applyFill="1" applyBorder="1" applyAlignment="1">
      <x:alignment vertical="center"/>
    </x:xf>
    <x:xf numFmtId="0" fontId="49" fillId="0" borderId="31" xfId="0" applyNumberFormat="1" applyFont="1" applyFill="1" applyBorder="1" applyAlignment="1">
      <x:alignment vertical="center"/>
    </x:xf>
    <x:xf numFmtId="0" fontId="49" fillId="0" borderId="34" xfId="0" applyNumberFormat="1" applyFont="1" applyFill="1" applyBorder="1" applyAlignment="1">
      <x:alignment vertical="center"/>
    </x:xf>
    <x:xf numFmtId="0" fontId="49" fillId="0" borderId="37" xfId="0" applyNumberFormat="1" applyFont="1" applyFill="1" applyBorder="1" applyAlignment="1">
      <x:alignment vertical="center"/>
    </x:xf>
    <x:xf numFmtId="201" fontId="48" fillId="0" borderId="32" xfId="0" applyNumberFormat="1" applyFont="1" applyFill="1" applyBorder="1" applyAlignment="1">
      <x:alignment vertical="center"/>
    </x:xf>
    <x:xf numFmtId="201" fontId="48" fillId="0" borderId="35" xfId="0" applyNumberFormat="1" applyFont="1" applyFill="1" applyBorder="1" applyAlignment="1">
      <x:alignment vertical="center"/>
    </x:xf>
    <x:xf numFmtId="201" fontId="48" fillId="0" borderId="38" xfId="0" applyNumberFormat="1" applyFont="1" applyFill="1" applyBorder="1" applyAlignment="1">
      <x:alignment vertical="center"/>
    </x:xf>
    <x:xf numFmtId="164" fontId="48" fillId="0" borderId="33" xfId="0" applyNumberFormat="1" applyFont="1" applyFill="1" applyBorder="1" applyAlignment="1">
      <x:alignment vertical="center"/>
    </x:xf>
    <x:xf numFmtId="164" fontId="48" fillId="0" borderId="36" xfId="0" applyNumberFormat="1" applyFont="1" applyFill="1" applyBorder="1" applyAlignment="1">
      <x:alignment vertical="center"/>
    </x:xf>
    <x:xf numFmtId="164" fontId="48" fillId="0" borderId="39" xfId="0" applyNumberFormat="1" applyFont="1" applyFill="1" applyBorder="1" applyAlignment="1">
      <x:alignment vertical="center"/>
    </x:xf>
    <x:xf numFmtId="0" fontId="0" fillId="51" borderId="0" xfId="0" applyNumberFormat="1" applyFont="1" applyFill="1" applyBorder="1"/>
    <x:xf numFmtId="0" fontId="25" fillId="51" borderId="0" xfId="0" applyNumberFormat="1" applyFont="1" applyFill="1" applyBorder="1"/>
    <x:xf numFmtId="0" fontId="25" fillId="51" borderId="40" xfId="0" applyNumberFormat="1" applyFont="1" applyFill="1" applyBorder="1"/>
    <x:xf numFmtId="0" fontId="25" fillId="51" borderId="41" xfId="0" applyNumberFormat="1" applyFont="1" applyFill="1" applyBorder="1"/>
    <x:xf numFmtId="0" fontId="25" fillId="51" borderId="42" xfId="0" applyNumberFormat="1" applyFont="1" applyFill="1" applyBorder="1"/>
    <x:xf numFmtId="0" fontId="25" fillId="51" borderId="40" xfId="0" applyNumberFormat="1" applyFont="1" applyFill="1" applyBorder="1" applyAlignment="1">
      <x:alignment wrapText="1"/>
    </x:xf>
    <x:xf numFmtId="0" fontId="25" fillId="51" borderId="41" xfId="0" applyNumberFormat="1" applyFont="1" applyFill="1" applyBorder="1" applyAlignment="1">
      <x:alignment wrapText="1"/>
    </x:xf>
    <x:xf numFmtId="0" fontId="25" fillId="51" borderId="42" xfId="0" applyNumberFormat="1" applyFont="1" applyFill="1" applyBorder="1" applyAlignment="1">
      <x:alignment wrapText="1"/>
    </x:xf>
    <x:xf numFmtId="0" fontId="25" fillId="51" borderId="40" xfId="0" applyNumberFormat="1" applyFont="1" applyFill="1" applyBorder="1" applyAlignment="1">
      <x:alignment vertical="center" wrapText="1"/>
    </x:xf>
    <x:xf numFmtId="0" fontId="25" fillId="51" borderId="41" xfId="0" applyNumberFormat="1" applyFont="1" applyFill="1" applyBorder="1" applyAlignment="1">
      <x:alignment vertical="center" wrapText="1"/>
    </x:xf>
    <x:xf numFmtId="0" fontId="25" fillId="51" borderId="42" xfId="0" applyNumberFormat="1" applyFont="1" applyFill="1" applyBorder="1" applyAlignment="1">
      <x:alignment vertical="center" wrapText="1"/>
    </x:xf>
    <x:xf numFmtId="0" fontId="50" fillId="0" borderId="0" xfId="0" applyNumberFormat="1" applyFont="1" applyFill="1" applyBorder="1"/>
    <x:xf numFmtId="0" fontId="50" fillId="0" borderId="43" xfId="0" applyNumberFormat="1" applyFont="1" applyFill="1" applyBorder="1"/>
    <x:xf numFmtId="0" fontId="50" fillId="0" borderId="44" xfId="0" applyNumberFormat="1" applyFont="1" applyFill="1" applyBorder="1"/>
    <x:xf numFmtId="0" fontId="50" fillId="0" borderId="43" xfId="0" applyNumberFormat="1" applyFont="1" applyFill="1" applyBorder="1" applyAlignment="1">
      <x:alignment wrapText="1"/>
    </x:xf>
    <x:xf numFmtId="0" fontId="50" fillId="0" borderId="44" xfId="0" applyNumberFormat="1" applyFont="1" applyFill="1" applyBorder="1" applyAlignment="1">
      <x:alignment wrapText="1"/>
    </x:xf>
    <x:xf numFmtId="0" fontId="50" fillId="0" borderId="43" xfId="0" applyNumberFormat="1" applyFont="1" applyFill="1" applyBorder="1" applyAlignment="1">
      <x:alignment vertical="top" wrapText="1"/>
    </x:xf>
    <x:xf numFmtId="0" fontId="50" fillId="0" borderId="44" xfId="0" applyNumberFormat="1" applyFont="1" applyFill="1" applyBorder="1" applyAlignment="1">
      <x:alignment vertical="top" wrapText="1"/>
    </x:xf>
    <x:xf numFmtId="0" fontId="50" fillId="52" borderId="43" xfId="0" applyNumberFormat="1" applyFont="1" applyFill="1" applyBorder="1" applyAlignment="1">
      <x:alignment vertical="top" wrapText="1"/>
    </x:xf>
    <x:xf numFmtId="0" fontId="50" fillId="53" borderId="44" xfId="0" applyNumberFormat="1" applyFont="1" applyFill="1" applyBorder="1" applyAlignment="1">
      <x:alignment vertical="top" wrapText="1"/>
    </x:xf>
    <x:xf numFmtId="0" fontId="50" fillId="52" borderId="44" xfId="0" applyNumberFormat="1" applyFont="1" applyFill="1" applyBorder="1" applyAlignment="1">
      <x:alignment vertical="top" wrapText="1"/>
    </x:xf>
    <x:xf numFmtId="0" fontId="50" fillId="52" borderId="43" xfId="0" applyNumberFormat="1" applyFont="1" applyFill="1" applyBorder="1" applyAlignment="1">
      <x:alignment vertical="center" wrapText="1"/>
    </x:xf>
    <x:xf numFmtId="0" fontId="50" fillId="53" borderId="44" xfId="0" applyNumberFormat="1" applyFont="1" applyFill="1" applyBorder="1" applyAlignment="1">
      <x:alignment vertical="center" wrapText="1"/>
    </x:xf>
    <x:xf numFmtId="0" fontId="50" fillId="52" borderId="44" xfId="0" applyNumberFormat="1" applyFont="1" applyFill="1" applyBorder="1" applyAlignment="1">
      <x:alignment vertical="center" wrapText="1"/>
    </x:xf>
    <x:xf numFmtId="164" fontId="50" fillId="52" borderId="43" xfId="0" applyNumberFormat="1" applyFont="1" applyFill="1" applyBorder="1" applyAlignment="1">
      <x:alignment vertical="top" wrapText="1"/>
    </x:xf>
    <x:xf numFmtId="164" fontId="50" fillId="53" borderId="44" xfId="0" applyNumberFormat="1" applyFont="1" applyFill="1" applyBorder="1" applyAlignment="1">
      <x:alignment vertical="top" wrapText="1"/>
    </x:xf>
    <x:xf numFmtId="164" fontId="50" fillId="52" borderId="44" xfId="0" applyNumberFormat="1" applyFont="1" applyFill="1" applyBorder="1" applyAlignment="1">
      <x:alignment vertical="top" wrapText="1"/>
    </x:xf>
    <x:xf numFmtId="202" fontId="50" fillId="52" borderId="43" xfId="0" applyNumberFormat="1" applyFont="1" applyFill="1" applyBorder="1" applyAlignment="1">
      <x:alignment vertical="top" wrapText="1"/>
    </x:xf>
    <x:xf numFmtId="202" fontId="50" fillId="53" borderId="44" xfId="0" applyNumberFormat="1" applyFont="1" applyFill="1" applyBorder="1" applyAlignment="1">
      <x:alignment vertical="top" wrapText="1"/>
    </x:xf>
    <x:xf numFmtId="202" fontId="50" fillId="52" borderId="44" xfId="0" applyNumberFormat="1" applyFont="1" applyFill="1" applyBorder="1" applyAlignment="1">
      <x:alignment vertical="top" wrapText="1"/>
    </x:xf>
    <x:xf numFmtId="203" fontId="50" fillId="52" borderId="43" xfId="0" applyNumberFormat="1" applyFont="1" applyFill="1" applyBorder="1" applyAlignment="1">
      <x:alignment vertical="top" wrapText="1"/>
    </x:xf>
    <x:xf numFmtId="203" fontId="50" fillId="53" borderId="44" xfId="0" applyNumberFormat="1" applyFont="1" applyFill="1" applyBorder="1" applyAlignment="1">
      <x:alignment vertical="top" wrapText="1"/>
    </x:xf>
    <x:xf numFmtId="203" fontId="50" fillId="52" borderId="44" xfId="0" applyNumberFormat="1" applyFont="1" applyFill="1" applyBorder="1" applyAlignment="1">
      <x:alignment vertical="top" wrapText="1"/>
    </x:xf>
    <x:xf numFmtId="0" fontId="13" fillId="52" borderId="43" xfId="0" applyNumberFormat="1" applyFont="1" applyFill="1" applyBorder="1" applyAlignment="1">
      <x:alignment vertical="top" wrapText="1"/>
    </x:xf>
    <x:xf numFmtId="0" fontId="13" fillId="53" borderId="44" xfId="0" applyNumberFormat="1" applyFont="1" applyFill="1" applyBorder="1" applyAlignment="1">
      <x:alignment vertical="top" wrapText="1"/>
    </x:xf>
    <x:xf numFmtId="0" fontId="13" fillId="52" borderId="44" xfId="0" applyNumberFormat="1" applyFont="1" applyFill="1" applyBorder="1" applyAlignment="1">
      <x:alignment vertical="top" wrapText="1"/>
    </x:xf>
    <x:xf numFmtId="0" fontId="50" fillId="52" borderId="43" xfId="0" applyNumberFormat="1" applyFont="1" applyFill="1" applyBorder="1" applyAlignment="1">
      <x:alignment horizontal="center" vertical="center" wrapText="1"/>
    </x:xf>
    <x:xf numFmtId="0" fontId="50" fillId="53" borderId="44" xfId="0" applyNumberFormat="1" applyFont="1" applyFill="1" applyBorder="1" applyAlignment="1">
      <x:alignment horizontal="center" vertical="center" wrapText="1"/>
    </x:xf>
    <x:xf numFmtId="0" fontId="50" fillId="52" borderId="44" xfId="0" applyNumberFormat="1" applyFont="1" applyFill="1" applyBorder="1" applyAlignment="1">
      <x:alignment horizontal="center" vertical="center" wrapText="1"/>
    </x:xf>
    <x:xf numFmtId="0" fontId="51" fillId="52" borderId="43" xfId="0" applyNumberFormat="1" applyFont="1" applyFill="1" applyBorder="1" applyAlignment="1">
      <x:alignment vertical="center" wrapText="1"/>
    </x:xf>
    <x:xf numFmtId="0" fontId="51" fillId="53" borderId="44" xfId="0" applyNumberFormat="1" applyFont="1" applyFill="1" applyBorder="1" applyAlignment="1">
      <x:alignment vertical="center" wrapText="1"/>
    </x:xf>
    <x:xf numFmtId="0" fontId="51" fillId="52" borderId="44" xfId="0" applyNumberFormat="1" applyFont="1" applyFill="1" applyBorder="1" applyAlignment="1">
      <x:alignment vertical="center" wrapText="1"/>
    </x:xf>
    <x:xf numFmtId="0" fontId="52" fillId="52" borderId="43" xfId="0" applyNumberFormat="1" applyFont="1" applyFill="1" applyBorder="1" applyAlignment="1">
      <x:alignment vertical="center" wrapText="1"/>
    </x:xf>
    <x:xf numFmtId="0" fontId="52" fillId="53" borderId="44" xfId="0" applyNumberFormat="1" applyFont="1" applyFill="1" applyBorder="1" applyAlignment="1">
      <x:alignment vertical="center" wrapText="1"/>
    </x:xf>
    <x:xf numFmtId="0" fontId="52" fillId="52" borderId="44" xfId="0" applyNumberFormat="1" applyFont="1" applyFill="1" applyBorder="1" applyAlignment="1">
      <x:alignment vertical="center" wrapText="1"/>
    </x:xf>
    <x:xf numFmtId="0" fontId="19" fillId="51" borderId="0" xfId="0" applyNumberFormat="1" applyFont="1" applyFill="1" applyBorder="1"/>
    <x:xf numFmtId="0" fontId="19" fillId="51" borderId="0" xfId="0" applyNumberFormat="1" applyFont="1" applyFill="1" applyBorder="1" applyAlignment="1">
      <x:alignment vertical="center"/>
    </x:xf>
    <x:xf numFmtId="0" fontId="48" fillId="0" borderId="31" xfId="0" applyNumberFormat="1" applyFont="1" applyFill="1" applyBorder="1" applyAlignment="1">
      <x:alignment wrapText="1"/>
    </x:xf>
    <x:xf numFmtId="0" fontId="48" fillId="0" borderId="32" xfId="0" applyNumberFormat="1" applyFont="1" applyFill="1" applyBorder="1" applyAlignment="1">
      <x:alignment wrapText="1"/>
    </x:xf>
    <x:xf numFmtId="0" fontId="48" fillId="0" borderId="33" xfId="0" applyNumberFormat="1" applyFont="1" applyFill="1" applyBorder="1" applyAlignment="1">
      <x:alignment wrapText="1"/>
    </x:xf>
    <x:xf numFmtId="0" fontId="48" fillId="0" borderId="34" xfId="0" applyNumberFormat="1" applyFont="1" applyFill="1" applyBorder="1" applyAlignment="1">
      <x:alignment wrapText="1"/>
    </x:xf>
    <x:xf numFmtId="0" fontId="48" fillId="0" borderId="35" xfId="0" applyNumberFormat="1" applyFont="1" applyFill="1" applyBorder="1" applyAlignment="1">
      <x:alignment wrapText="1"/>
    </x:xf>
    <x:xf numFmtId="0" fontId="48" fillId="0" borderId="36" xfId="0" applyNumberFormat="1" applyFont="1" applyFill="1" applyBorder="1" applyAlignment="1">
      <x:alignment wrapText="1"/>
    </x:xf>
    <x:xf numFmtId="0" fontId="48" fillId="0" borderId="37" xfId="0" applyNumberFormat="1" applyFont="1" applyFill="1" applyBorder="1" applyAlignment="1">
      <x:alignment wrapText="1"/>
    </x:xf>
    <x:xf numFmtId="0" fontId="48" fillId="0" borderId="38" xfId="0" applyNumberFormat="1" applyFont="1" applyFill="1" applyBorder="1" applyAlignment="1">
      <x:alignment wrapText="1"/>
    </x:xf>
    <x:xf numFmtId="0" fontId="48" fillId="0" borderId="39" xfId="0" applyNumberFormat="1" applyFont="1" applyFill="1" applyBorder="1" applyAlignment="1">
      <x:alignment wrapText="1"/>
    </x:xf>
    <x:xf numFmtId="0" fontId="48" fillId="0" borderId="31" xfId="0" applyNumberFormat="1" applyFont="1" applyFill="1" applyBorder="1" applyAlignment="1">
      <x:alignment vertical="center" wrapText="1"/>
    </x:xf>
    <x:xf numFmtId="0" fontId="48" fillId="0" borderId="32" xfId="0" applyNumberFormat="1" applyFont="1" applyFill="1" applyBorder="1" applyAlignment="1">
      <x:alignment vertical="center" wrapText="1"/>
    </x:xf>
    <x:xf numFmtId="0" fontId="48" fillId="0" borderId="33" xfId="0" applyNumberFormat="1" applyFont="1" applyFill="1" applyBorder="1" applyAlignment="1">
      <x:alignment vertical="center" wrapText="1"/>
    </x:xf>
    <x:xf numFmtId="0" fontId="48" fillId="0" borderId="34" xfId="0" applyNumberFormat="1" applyFont="1" applyFill="1" applyBorder="1" applyAlignment="1">
      <x:alignment vertical="center" wrapText="1"/>
    </x:xf>
    <x:xf numFmtId="0" fontId="48" fillId="0" borderId="35" xfId="0" applyNumberFormat="1" applyFont="1" applyFill="1" applyBorder="1" applyAlignment="1">
      <x:alignment vertical="center" wrapText="1"/>
    </x:xf>
    <x:xf numFmtId="0" fontId="48" fillId="0" borderId="36" xfId="0" applyNumberFormat="1" applyFont="1" applyFill="1" applyBorder="1" applyAlignment="1">
      <x:alignment vertical="center" wrapText="1"/>
    </x:xf>
    <x:xf numFmtId="0" fontId="48" fillId="0" borderId="37" xfId="0" applyNumberFormat="1" applyFont="1" applyFill="1" applyBorder="1" applyAlignment="1">
      <x:alignment vertical="center" wrapText="1"/>
    </x:xf>
    <x:xf numFmtId="0" fontId="48" fillId="0" borderId="38" xfId="0" applyNumberFormat="1" applyFont="1" applyFill="1" applyBorder="1" applyAlignment="1">
      <x:alignment vertical="center" wrapText="1"/>
    </x:xf>
    <x:xf numFmtId="0" fontId="48" fillId="0" borderId="39" xfId="0" applyNumberFormat="1" applyFont="1" applyFill="1" applyBorder="1" applyAlignment="1">
      <x:alignment vertical="center" wrapText="1"/>
    </x:xf>
    <x:xf numFmtId="0" fontId="49" fillId="0" borderId="31" xfId="0" applyNumberFormat="1" applyFont="1" applyFill="1" applyBorder="1" applyAlignment="1">
      <x:alignment vertical="center" wrapText="1"/>
    </x:xf>
    <x:xf numFmtId="0" fontId="49" fillId="0" borderId="34" xfId="0" applyNumberFormat="1" applyFont="1" applyFill="1" applyBorder="1" applyAlignment="1">
      <x:alignment vertical="center" wrapText="1"/>
    </x:xf>
    <x:xf numFmtId="0" fontId="49" fillId="0" borderId="37" xfId="0" applyNumberFormat="1" applyFont="1" applyFill="1" applyBorder="1" applyAlignment="1">
      <x:alignment vertical="center" wrapText="1"/>
    </x:xf>
    <x:xf numFmtId="164" fontId="48" fillId="0" borderId="33" xfId="0" applyNumberFormat="1" applyFont="1" applyFill="1" applyBorder="1" applyAlignment="1">
      <x:alignment vertical="center" wrapText="1"/>
    </x:xf>
    <x:xf numFmtId="164" fontId="48" fillId="0" borderId="36" xfId="0" applyNumberFormat="1" applyFont="1" applyFill="1" applyBorder="1" applyAlignment="1">
      <x:alignment vertical="center" wrapText="1"/>
    </x:xf>
    <x:xf numFmtId="164" fontId="48" fillId="0" borderId="39" xfId="0" applyNumberFormat="1" applyFont="1" applyFill="1" applyBorder="1" applyAlignment="1">
      <x:alignment vertical="center" wrapText="1"/>
    </x:xf>
    <x:xf numFmtId="0" fontId="13" fillId="0" borderId="7" xfId="0" applyNumberFormat="1" applyFont="1" applyFill="1" applyBorder="1" applyAlignment="1">
      <x:alignment vertical="top" wrapText="1"/>
    </x:xf>
    <x:xf numFmtId="164" fontId="12" fillId="0" borderId="7" xfId="0" applyNumberFormat="1" applyFont="1" applyFill="1" applyBorder="1" applyAlignment="1">
      <x:alignment vertical="top" wrapText="1"/>
    </x:xf>
    <x:xf numFmtId="0" fontId="53" fillId="0" borderId="11" xfId="0" applyNumberFormat="1" applyFont="1" applyFill="1" applyBorder="1" applyAlignment="1">
      <x:alignment vertical="top" wrapText="1"/>
    </x:xf>
    <x:xf numFmtId="164" fontId="0" fillId="0" borderId="0" xfId="0" applyNumberFormat="1" applyFont="1" applyFill="1" applyBorder="1"/>
    <x:xf numFmtId="0" fontId="0" fillId="54" borderId="0" xfId="0" applyNumberFormat="1" applyFont="1" applyFill="1" applyBorder="1"/>
    <x:xf numFmtId="164" fontId="0" fillId="54" borderId="0" xfId="0" applyNumberFormat="1" applyFont="1" applyFill="1" applyBorder="1"/>
    <x:xf numFmtId="0" fontId="50" fillId="54" borderId="0" xfId="0" applyNumberFormat="1" applyFont="1" applyFill="1" applyBorder="1"/>
    <x:xf numFmtId="164" fontId="50" fillId="54" borderId="0" xfId="0" applyNumberFormat="1" applyFont="1" applyFill="1" applyBorder="1"/>
    <x:xf numFmtId="0" fontId="50" fillId="54" borderId="45" xfId="0" applyNumberFormat="1" applyFont="1" applyFill="1" applyBorder="1"/>
    <x:xf numFmtId="0" fontId="50" fillId="54" borderId="46" xfId="0" applyNumberFormat="1" applyFont="1" applyFill="1" applyBorder="1"/>
    <x:xf numFmtId="164" fontId="50" fillId="54" borderId="46" xfId="0" applyNumberFormat="1" applyFont="1" applyFill="1" applyBorder="1"/>
    <x:xf numFmtId="0" fontId="50" fillId="54" borderId="47" xfId="0" applyNumberFormat="1" applyFont="1" applyFill="1" applyBorder="1"/>
    <x:xf numFmtId="0" fontId="50" fillId="54" borderId="45" xfId="0" applyNumberFormat="1" applyFont="1" applyFill="1" applyBorder="1" applyAlignment="1">
      <x:alignment wrapText="1"/>
    </x:xf>
    <x:xf numFmtId="0" fontId="50" fillId="54" borderId="46" xfId="0" applyNumberFormat="1" applyFont="1" applyFill="1" applyBorder="1" applyAlignment="1">
      <x:alignment wrapText="1"/>
    </x:xf>
    <x:xf numFmtId="164" fontId="50" fillId="54" borderId="46" xfId="0" applyNumberFormat="1" applyFont="1" applyFill="1" applyBorder="1" applyAlignment="1">
      <x:alignment wrapText="1"/>
    </x:xf>
    <x:xf numFmtId="0" fontId="50" fillId="54" borderId="47" xfId="0" applyNumberFormat="1" applyFont="1" applyFill="1" applyBorder="1" applyAlignment="1">
      <x:alignment wrapText="1"/>
    </x:xf>
    <x:xf numFmtId="0" fontId="50" fillId="54" borderId="45" xfId="0" applyNumberFormat="1" applyFont="1" applyFill="1" applyBorder="1" applyAlignment="1">
      <x:alignment vertical="top" wrapText="1"/>
    </x:xf>
    <x:xf numFmtId="0" fontId="50" fillId="54" borderId="46" xfId="0" applyNumberFormat="1" applyFont="1" applyFill="1" applyBorder="1" applyAlignment="1">
      <x:alignment vertical="top" wrapText="1"/>
    </x:xf>
    <x:xf numFmtId="164" fontId="50" fillId="54" borderId="46" xfId="0" applyNumberFormat="1" applyFont="1" applyFill="1" applyBorder="1" applyAlignment="1">
      <x:alignment vertical="top" wrapText="1"/>
    </x:xf>
    <x:xf numFmtId="0" fontId="50" fillId="54" borderId="47" xfId="0" applyNumberFormat="1" applyFont="1" applyFill="1" applyBorder="1" applyAlignment="1">
      <x:alignment vertical="top" wrapText="1"/>
    </x:xf>
    <x:xf numFmtId="0" fontId="0" fillId="55" borderId="0" xfId="0" applyNumberFormat="1" applyFont="1" applyFill="1" applyBorder="1"/>
    <x:xf numFmtId="0" fontId="54" fillId="55" borderId="0" xfId="0" applyNumberFormat="1" applyFont="1" applyFill="1" applyBorder="1"/>
    <x:xf numFmtId="0" fontId="54" fillId="55" borderId="0" xfId="0" applyNumberFormat="1" applyFont="1" applyFill="1" applyBorder="1" applyAlignment="1">
      <x:alignment vertical="center"/>
    </x:xf>
    <x:xf numFmtId="202" fontId="50" fillId="5" borderId="44" xfId="0" applyNumberFormat="1" applyFont="1" applyFill="1" applyBorder="1" applyAlignment="1">
      <x:alignment vertical="top" wrapText="1"/>
    </x:xf>
    <x:xf numFmtId="203" fontId="50" fillId="5" borderId="44" xfId="0" applyNumberFormat="1" applyFont="1" applyFill="1" applyBorder="1" applyAlignment="1">
      <x:alignment vertical="top" wrapText="1"/>
    </x:xf>
    <x:xf numFmtId="0" fontId="0" fillId="56" borderId="0" xfId="0" applyNumberFormat="1" applyFont="1" applyFill="1" applyBorder="1"/>
    <x:xf numFmtId="0" fontId="22" fillId="56" borderId="0" xfId="0" applyNumberFormat="1" applyFont="1" applyFill="1" applyBorder="1"/>
    <x:xf numFmtId="0" fontId="22" fillId="56" borderId="0" xfId="0" applyNumberFormat="1" applyFont="1" applyFill="1" applyBorder="1" applyAlignment="1">
      <x:alignment vertical="center"/>
    </x:xf>
    <x:xf numFmtId="0" fontId="0" fillId="57" borderId="0" xfId="0" applyNumberFormat="1" applyFont="1" applyFill="1" applyBorder="1"/>
    <x:xf numFmtId="0" fontId="46" fillId="57" borderId="0" xfId="0" applyNumberFormat="1" applyFont="1" applyFill="1" applyBorder="1"/>
    <x:xf numFmtId="0" fontId="46" fillId="57" borderId="0" xfId="0" applyNumberFormat="1" applyFont="1" applyFill="1" applyBorder="1" applyAlignment="1">
      <x:alignment vertical="center"/>
    </x:xf>
    <x:xf numFmtId="0" fontId="0" fillId="58" borderId="0" xfId="0" applyNumberFormat="1" applyFont="1" applyFill="1" applyBorder="1"/>
    <x:xf numFmtId="0" fontId="47" fillId="58" borderId="0" xfId="0" applyNumberFormat="1" applyFont="1" applyFill="1" applyBorder="1"/>
    <x:xf numFmtId="0" fontId="47" fillId="58" borderId="0" xfId="0" applyNumberFormat="1" applyFont="1" applyFill="1" applyBorder="1" applyAlignment="1">
      <x:alignment vertical="center"/>
    </x:xf>
    <x:xf numFmtId="0" fontId="22" fillId="56" borderId="0" xfId="0" applyNumberFormat="1" applyFont="1" applyFill="1" applyBorder="1" applyAlignment="1">
      <x:alignment vertical="center" wrapText="1"/>
    </x:xf>
    <x:xf numFmtId="0" fontId="46" fillId="57" borderId="0" xfId="0" applyNumberFormat="1" applyFont="1" applyFill="1" applyBorder="1" applyAlignment="1">
      <x:alignment vertical="center" wrapText="1"/>
    </x:xf>
    <x:xf numFmtId="0" fontId="47" fillId="58" borderId="0" xfId="0" applyNumberFormat="1" applyFont="1" applyFill="1" applyBorder="1" applyAlignment="1">
      <x:alignment vertical="center" wrapText="1"/>
    </x:xf>
    <x:xf numFmtId="0" fontId="0" fillId="59" borderId="0" xfId="0" applyNumberFormat="1" applyFont="1" applyFill="1" applyBorder="1"/>
    <x:xf numFmtId="0" fontId="19" fillId="59" borderId="0" xfId="0" applyNumberFormat="1" applyFont="1" applyFill="1" applyBorder="1"/>
    <x:xf numFmtId="0" fontId="19" fillId="59" borderId="28" xfId="0" applyNumberFormat="1" applyFont="1" applyFill="1" applyBorder="1"/>
    <x:xf numFmtId="0" fontId="19" fillId="59" borderId="29" xfId="0" applyNumberFormat="1" applyFont="1" applyFill="1" applyBorder="1"/>
    <x:xf numFmtId="0" fontId="19" fillId="59" borderId="30" xfId="0" applyNumberFormat="1" applyFont="1" applyFill="1" applyBorder="1"/>
    <x:xf numFmtId="201" fontId="48" fillId="0" borderId="32" xfId="0" applyNumberFormat="1" applyFont="1" applyFill="1" applyBorder="1" applyAlignment="1">
      <x:alignment vertical="center" wrapText="1"/>
    </x:xf>
    <x:xf numFmtId="201" fontId="48" fillId="0" borderId="35" xfId="0" applyNumberFormat="1" applyFont="1" applyFill="1" applyBorder="1" applyAlignment="1">
      <x:alignment vertical="center" wrapText="1"/>
    </x:xf>
    <x:xf numFmtId="204" fontId="48" fillId="0" borderId="33" xfId="0" applyNumberFormat="1" applyFont="1" applyFill="1" applyBorder="1" applyAlignment="1">
      <x:alignment vertical="center" wrapText="1"/>
    </x:xf>
    <x:xf numFmtId="204" fontId="48" fillId="0" borderId="36" xfId="0" applyNumberFormat="1" applyFont="1" applyFill="1" applyBorder="1" applyAlignment="1">
      <x:alignment vertical="center" wrapText="1"/>
    </x:xf>
    <x:xf numFmtId="204" fontId="48" fillId="0" borderId="39" xfId="0" applyNumberFormat="1" applyFont="1" applyFill="1" applyBorder="1" applyAlignment="1">
      <x:alignment vertical="center" wrapText="1"/>
    </x:xf>
    <x:xf numFmtId="0" fontId="0" fillId="60" borderId="0" xfId="0" applyNumberFormat="1" applyFont="1" applyFill="1" applyBorder="1"/>
    <x:xf numFmtId="0" fontId="25" fillId="60" borderId="0" xfId="0" applyNumberFormat="1" applyFont="1" applyFill="1" applyBorder="1"/>
    <x:xf numFmtId="0" fontId="25" fillId="60" borderId="40" xfId="0" applyNumberFormat="1" applyFont="1" applyFill="1" applyBorder="1"/>
    <x:xf numFmtId="0" fontId="25" fillId="60" borderId="41" xfId="0" applyNumberFormat="1" applyFont="1" applyFill="1" applyBorder="1"/>
    <x:xf numFmtId="0" fontId="25" fillId="60" borderId="42" xfId="0" applyNumberFormat="1" applyFont="1" applyFill="1" applyBorder="1"/>
    <x:xf numFmtId="0" fontId="25" fillId="60" borderId="40" xfId="0" applyNumberFormat="1" applyFont="1" applyFill="1" applyBorder="1" applyAlignment="1">
      <x:alignment wrapText="1"/>
    </x:xf>
    <x:xf numFmtId="0" fontId="25" fillId="60" borderId="41" xfId="0" applyNumberFormat="1" applyFont="1" applyFill="1" applyBorder="1" applyAlignment="1">
      <x:alignment wrapText="1"/>
    </x:xf>
    <x:xf numFmtId="0" fontId="25" fillId="60" borderId="42" xfId="0" applyNumberFormat="1" applyFont="1" applyFill="1" applyBorder="1" applyAlignment="1">
      <x:alignment wrapText="1"/>
    </x:xf>
    <x:xf numFmtId="0" fontId="25" fillId="60" borderId="40" xfId="0" applyNumberFormat="1" applyFont="1" applyFill="1" applyBorder="1" applyAlignment="1">
      <x:alignment vertical="center" wrapText="1"/>
    </x:xf>
    <x:xf numFmtId="0" fontId="25" fillId="60" borderId="41" xfId="0" applyNumberFormat="1" applyFont="1" applyFill="1" applyBorder="1" applyAlignment="1">
      <x:alignment vertical="center" wrapText="1"/>
    </x:xf>
    <x:xf numFmtId="0" fontId="25" fillId="60" borderId="42" xfId="0" applyNumberFormat="1" applyFont="1" applyFill="1" applyBorder="1" applyAlignment="1">
      <x:alignment vertical="center" wrapText="1"/>
    </x:xf>
    <x:xf numFmtId="0" fontId="0" fillId="61" borderId="0" xfId="0" applyNumberFormat="1" applyFont="1" applyFill="1" applyBorder="1"/>
    <x:xf numFmtId="0" fontId="0" fillId="62" borderId="0" xfId="0" applyNumberFormat="1" applyFont="1" applyFill="1" applyBorder="1"/>
    <x:xf numFmtId="0" fontId="50" fillId="61" borderId="0" xfId="0" applyNumberFormat="1" applyFont="1" applyFill="1" applyBorder="1"/>
    <x:xf numFmtId="0" fontId="50" fillId="62" borderId="0" xfId="0" applyNumberFormat="1" applyFont="1" applyFill="1" applyBorder="1"/>
    <x:xf numFmtId="0" fontId="50" fillId="61" borderId="43" xfId="0" applyNumberFormat="1" applyFont="1" applyFill="1" applyBorder="1"/>
    <x:xf numFmtId="0" fontId="50" fillId="62" borderId="44" xfId="0" applyNumberFormat="1" applyFont="1" applyFill="1" applyBorder="1"/>
    <x:xf numFmtId="0" fontId="50" fillId="61" borderId="44" xfId="0" applyNumberFormat="1" applyFont="1" applyFill="1" applyBorder="1"/>
    <x:xf numFmtId="0" fontId="50" fillId="61" borderId="43" xfId="0" applyNumberFormat="1" applyFont="1" applyFill="1" applyBorder="1" applyAlignment="1">
      <x:alignment wrapText="1"/>
    </x:xf>
    <x:xf numFmtId="0" fontId="50" fillId="62" borderId="44" xfId="0" applyNumberFormat="1" applyFont="1" applyFill="1" applyBorder="1" applyAlignment="1">
      <x:alignment wrapText="1"/>
    </x:xf>
    <x:xf numFmtId="0" fontId="50" fillId="61" borderId="44" xfId="0" applyNumberFormat="1" applyFont="1" applyFill="1" applyBorder="1" applyAlignment="1">
      <x:alignment wrapText="1"/>
    </x:xf>
    <x:xf numFmtId="0" fontId="50" fillId="61" borderId="43" xfId="0" applyNumberFormat="1" applyFont="1" applyFill="1" applyBorder="1" applyAlignment="1">
      <x:alignment vertical="center" wrapText="1"/>
    </x:xf>
    <x:xf numFmtId="0" fontId="50" fillId="62" borderId="44" xfId="0" applyNumberFormat="1" applyFont="1" applyFill="1" applyBorder="1" applyAlignment="1">
      <x:alignment vertical="center" wrapText="1"/>
    </x:xf>
    <x:xf numFmtId="0" fontId="50" fillId="61" borderId="44" xfId="0" applyNumberFormat="1" applyFont="1" applyFill="1" applyBorder="1" applyAlignment="1">
      <x:alignment vertical="center" wrapText="1"/>
    </x:xf>
    <x:xf numFmtId="0" fontId="52" fillId="61" borderId="43" xfId="0" applyNumberFormat="1" applyFont="1" applyFill="1" applyBorder="1" applyAlignment="1">
      <x:alignment vertical="center" wrapText="1"/>
    </x:xf>
    <x:xf numFmtId="0" fontId="52" fillId="62" borderId="44" xfId="0" applyNumberFormat="1" applyFont="1" applyFill="1" applyBorder="1" applyAlignment="1">
      <x:alignment vertical="center" wrapText="1"/>
    </x:xf>
    <x:xf numFmtId="0" fontId="52" fillId="61" borderId="44" xfId="0" applyNumberFormat="1" applyFont="1" applyFill="1" applyBorder="1" applyAlignment="1">
      <x:alignment vertical="center" wrapText="1"/>
    </x:xf>
    <x:xf numFmtId="0" fontId="13" fillId="61" borderId="43" xfId="0" applyNumberFormat="1" applyFont="1" applyFill="1" applyBorder="1" applyAlignment="1">
      <x:alignment vertical="center" wrapText="1"/>
    </x:xf>
    <x:xf numFmtId="0" fontId="13" fillId="62" borderId="44" xfId="0" applyNumberFormat="1" applyFont="1" applyFill="1" applyBorder="1" applyAlignment="1">
      <x:alignment vertical="center" wrapText="1"/>
    </x:xf>
    <x:xf numFmtId="0" fontId="13" fillId="61" borderId="44" xfId="0" applyNumberFormat="1" applyFont="1" applyFill="1" applyBorder="1" applyAlignment="1">
      <x:alignment vertical="center" wrapText="1"/>
    </x:xf>
    <x:xf numFmtId="204" fontId="50" fillId="61" borderId="43" xfId="0" applyNumberFormat="1" applyFont="1" applyFill="1" applyBorder="1" applyAlignment="1">
      <x:alignment vertical="center" wrapText="1"/>
    </x:xf>
    <x:xf numFmtId="204" fontId="50" fillId="62" borderId="44" xfId="0" applyNumberFormat="1" applyFont="1" applyFill="1" applyBorder="1" applyAlignment="1">
      <x:alignment vertical="center" wrapText="1"/>
    </x:xf>
    <x:xf numFmtId="204" fontId="50" fillId="61" borderId="44" xfId="0" applyNumberFormat="1" applyFont="1" applyFill="1" applyBorder="1" applyAlignment="1">
      <x:alignment vertical="center" wrapText="1"/>
    </x:xf>
    <x:xf numFmtId="202" fontId="50" fillId="61" borderId="43" xfId="0" applyNumberFormat="1" applyFont="1" applyFill="1" applyBorder="1" applyAlignment="1">
      <x:alignment vertical="center" wrapText="1"/>
    </x:xf>
    <x:xf numFmtId="202" fontId="50" fillId="62" borderId="44" xfId="0" applyNumberFormat="1" applyFont="1" applyFill="1" applyBorder="1" applyAlignment="1">
      <x:alignment vertical="center" wrapText="1"/>
    </x:xf>
    <x:xf numFmtId="202" fontId="50" fillId="61" borderId="44" xfId="0" applyNumberFormat="1" applyFont="1" applyFill="1" applyBorder="1" applyAlignment="1">
      <x:alignment vertical="center" wrapText="1"/>
    </x:xf>
    <x:xf numFmtId="205" fontId="50" fillId="61" borderId="43" xfId="0" applyNumberFormat="1" applyFont="1" applyFill="1" applyBorder="1" applyAlignment="1">
      <x:alignment vertical="center" wrapText="1"/>
    </x:xf>
    <x:xf numFmtId="205" fontId="50" fillId="62" borderId="44" xfId="0" applyNumberFormat="1" applyFont="1" applyFill="1" applyBorder="1" applyAlignment="1">
      <x:alignment vertical="center" wrapText="1"/>
    </x:xf>
    <x:xf numFmtId="205" fontId="50" fillId="61" borderId="44" xfId="0" applyNumberFormat="1" applyFont="1" applyFill="1" applyBorder="1" applyAlignment="1">
      <x:alignment vertical="center" wrapText="1"/>
    </x:xf>
    <x:xf numFmtId="0" fontId="19" fillId="60" borderId="0" xfId="0" applyNumberFormat="1" applyFont="1" applyFill="1" applyBorder="1"/>
    <x:xf numFmtId="0" fontId="19" fillId="60" borderId="0" xfId="0" applyNumberFormat="1" applyFont="1" applyFill="1" applyBorder="1" applyAlignment="1">
      <x:alignment vertical="center"/>
    </x:xf>
    <x:xf numFmtId="204" fontId="0" fillId="0" borderId="0" xfId="0" applyNumberFormat="1" applyFont="1" applyFill="1" applyBorder="1"/>
    <x:xf numFmtId="204" fontId="0" fillId="55" borderId="0" xfId="0" applyNumberFormat="1" applyFont="1" applyFill="1" applyBorder="1"/>
    <x:xf numFmtId="0" fontId="50" fillId="55" borderId="0" xfId="0" applyNumberFormat="1" applyFont="1" applyFill="1" applyBorder="1"/>
    <x:xf numFmtId="204" fontId="50" fillId="55" borderId="0" xfId="0" applyNumberFormat="1" applyFont="1" applyFill="1" applyBorder="1"/>
    <x:xf numFmtId="0" fontId="50" fillId="55" borderId="45" xfId="0" applyNumberFormat="1" applyFont="1" applyFill="1" applyBorder="1"/>
    <x:xf numFmtId="0" fontId="50" fillId="55" borderId="46" xfId="0" applyNumberFormat="1" applyFont="1" applyFill="1" applyBorder="1"/>
    <x:xf numFmtId="204" fontId="50" fillId="55" borderId="46" xfId="0" applyNumberFormat="1" applyFont="1" applyFill="1" applyBorder="1"/>
    <x:xf numFmtId="0" fontId="50" fillId="55" borderId="47" xfId="0" applyNumberFormat="1" applyFont="1" applyFill="1" applyBorder="1"/>
    <x:xf numFmtId="0" fontId="50" fillId="55" borderId="45" xfId="0" applyNumberFormat="1" applyFont="1" applyFill="1" applyBorder="1" applyAlignment="1">
      <x:alignment wrapText="1"/>
    </x:xf>
    <x:xf numFmtId="0" fontId="50" fillId="55" borderId="46" xfId="0" applyNumberFormat="1" applyFont="1" applyFill="1" applyBorder="1" applyAlignment="1">
      <x:alignment wrapText="1"/>
    </x:xf>
    <x:xf numFmtId="204" fontId="50" fillId="55" borderId="46" xfId="0" applyNumberFormat="1" applyFont="1" applyFill="1" applyBorder="1" applyAlignment="1">
      <x:alignment wrapText="1"/>
    </x:xf>
    <x:xf numFmtId="0" fontId="50" fillId="55" borderId="47" xfId="0" applyNumberFormat="1" applyFont="1" applyFill="1" applyBorder="1" applyAlignment="1">
      <x:alignment wrapText="1"/>
    </x:xf>
    <x:xf numFmtId="0" fontId="50" fillId="55" borderId="45" xfId="0" applyNumberFormat="1" applyFont="1" applyFill="1" applyBorder="1" applyAlignment="1">
      <x:alignment vertical="top" wrapText="1"/>
    </x:xf>
    <x:xf numFmtId="0" fontId="50" fillId="55" borderId="46" xfId="0" applyNumberFormat="1" applyFont="1" applyFill="1" applyBorder="1" applyAlignment="1">
      <x:alignment vertical="top" wrapText="1"/>
    </x:xf>
    <x:xf numFmtId="204" fontId="50" fillId="55" borderId="46" xfId="0" applyNumberFormat="1" applyFont="1" applyFill="1" applyBorder="1" applyAlignment="1">
      <x:alignment vertical="top" wrapText="1"/>
    </x:xf>
    <x:xf numFmtId="0" fontId="50" fillId="55" borderId="47" xfId="0" applyNumberFormat="1" applyFont="1" applyFill="1" applyBorder="1" applyAlignment="1">
      <x:alignment vertical="top" wrapText="1"/>
    </x:xf>
  </x:cellXfs>
  <x:cellStyles count="1">
    <x:cellStyle name="Normal" xfId="0"/>
  </x:cellStyles>
  <x:dxfs count="66">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73F5F"/>
      </x:font>
      <x:fill>
        <x:patternFill>
          <x:bgColor rgb="FFD9EEF7"/>
        </x:patternFill>
      </x:fill>
    </x:dxf>
    <x:dxf>
      <x:font>
        <x:b/>
        <x:color rgb="FF5B21B6"/>
      </x:font>
      <x:fill>
        <x:patternFill>
          <x:bgColor rgb="FFEDE9FE"/>
        </x:patternFill>
      </x:fill>
    </x:dxf>
    <x:dxf>
      <x:font>
        <x:b/>
        <x:color rgb="FF991B1B"/>
      </x:font>
      <x:fill>
        <x:patternFill>
          <x:bgColor rgb="FFFEE2E2"/>
        </x:patternFill>
      </x:fill>
    </x:dxf>
    <x:dxf>
      <x:font>
        <x:color rgb="FF173F5F"/>
      </x:font>
      <x:fill>
        <x:patternFill>
          <x:bgColor rgb="FFD9EEF7"/>
        </x:patternFill>
      </x:fill>
    </x:dxf>
    <x:dxf>
      <x:font>
        <x:color rgb="FF5B21B6"/>
      </x:font>
      <x:fill>
        <x:patternFill>
          <x:bgColor rgb="FFEDE9FE"/>
        </x:patternFill>
      </x:fill>
    </x:dxf>
    <x:dxf>
      <x:font>
        <x:b/>
        <x:color rgb="FF991B1B"/>
      </x:font>
      <x:fill>
        <x:patternFill>
          <x:bgColor rgb="FFFEE2E2"/>
        </x:patternFill>
      </x:fill>
    </x:dxf>
    <x:dxf>
      <x:font>
        <x:b/>
        <x:color rgb="FF166534"/>
      </x:font>
      <x:fill>
        <x:patternFill>
          <x:bgColor rgb="FFDCFCE7"/>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C0006"/>
      </x:font>
      <x:fill>
        <x:patternFill>
          <x:bgColor rgb="FFF4CCCC"/>
        </x:patternFill>
      </x:fill>
    </x:dxf>
    <x:dxf>
      <x:font>
        <x:b/>
        <x:color rgb="FF9C5700"/>
      </x:font>
      <x:fill>
        <x:patternFill>
          <x:bgColor rgb="FFFCE5CD"/>
        </x:patternFill>
      </x:fill>
    </x:dxf>
    <x:dxf>
      <x:font>
        <x:b/>
        <x:color rgb="FF7F6000"/>
      </x:font>
      <x:fill>
        <x:patternFill>
          <x:bgColor rgb="FFFFF2CC"/>
        </x:patternFill>
      </x:fill>
    </x:dxf>
    <x:dxf>
      <x:font>
        <x:color rgb="FF274E13"/>
      </x:font>
      <x:fill>
        <x:patternFill>
          <x:bgColor rgb="FFD9EAD3"/>
        </x:patternFill>
      </x:fill>
    </x:dxf>
    <x:dxf>
      <x:font>
        <x:b/>
        <x:color rgb="FF274E13"/>
      </x:font>
      <x:fill>
        <x:patternFill>
          <x:bgColor rgb="FFB6D7A8"/>
        </x:patternFill>
      </x:fill>
    </x:dxf>
    <x:dxf>
      <x:font>
        <x:b/>
        <x:color rgb="FF006100"/>
      </x:font>
      <x:fill>
        <x:patternFill>
          <x:bgColor rgb="FFC6E0B4"/>
        </x:patternFill>
      </x:fill>
    </x:dxf>
    <x:dxf>
      <x:fill>
        <x:patternFill>
          <x:bgColor rgb="00D9EAD3"/>
        </x:patternFill>
      </x:fill>
    </x:dxf>
    <x:dxf>
      <x:fill>
        <x:patternFill>
          <x:bgColor rgb="00FFF2CC"/>
        </x:patternFill>
      </x:fill>
    </x:dxf>
    <x:dxf>
      <x:fill>
        <x:patternFill>
          <x:bgColor rgb="00F4CCCC"/>
        </x:patternFill>
      </x:fill>
    </x:dxf>
    <x:dxf>
      <x:fill>
        <x:patternFill>
          <x:bgColor rgb="00E7E6E6"/>
        </x:patternFill>
      </x:fill>
    </x:dxf>
    <x:dxf>
      <x:font>
        <x:b/>
        <x:color rgb="FF8A1C1C"/>
      </x:font>
      <x:fill>
        <x:patternFill>
          <x:bgColor rgb="FFF4CCCC"/>
        </x:patternFill>
      </x:fill>
    </x:dxf>
    <x:dxf>
      <x:font>
        <x:b/>
        <x:color rgb="FF7F6000"/>
      </x:font>
      <x:fill>
        <x:patternFill>
          <x:bgColor rgb="FFFFF2CC"/>
        </x:patternFill>
      </x:fill>
    </x:dxf>
    <x:dxf>
      <x:font>
        <x:b/>
        <x:color rgb="FF274E13"/>
      </x:font>
      <x:fill>
        <x:patternFill>
          <x:bgColor rgb="FFD9EAD3"/>
        </x:patternFill>
      </x:fill>
    </x:dxf>
    <x:dxf>
      <x:font>
        <x:b/>
        <x:color rgb="FF8A1C1C"/>
      </x:font>
      <x:fill>
        <x:patternFill>
          <x:bgColor rgb="FFF4CCCC"/>
        </x:patternFill>
      </x:fill>
    </x:dxf>
    <x:dxf>
      <x:font>
        <x:b/>
        <x:color rgb="FF7F6000"/>
      </x:font>
      <x:fill>
        <x:patternFill>
          <x:bgColor rgb="FFFFF2CC"/>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patternType="solid">
          <x:bgColor rgb="FFDCFCE7"/>
        </x:patternFill>
      </x:fill>
    </x:dxf>
    <x:dxf>
      <x:font>
        <x:b/>
        <x:color rgb="FF1F4E78"/>
      </x:font>
      <x:fill>
        <x:patternFill patternType="solid">
          <x:bgColor rgb="FFEAF2F8"/>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ff592fe70f4485a" /><Relationship Type="http://schemas.openxmlformats.org/officeDocument/2006/relationships/theme" Target="/xl/theme/theme1.xml" Id="R9d2b0d97575244e7" /><Relationship Type="http://schemas.openxmlformats.org/officeDocument/2006/relationships/sharedStrings" Target="/xl/sharedStrings.xml" Id="R3da22c7ea63e4b2f" /><Relationship Type="http://schemas.openxmlformats.org/officeDocument/2006/relationships/worksheet" Target="/xl/worksheets/sheet1.xml" Id="R0fa55671b4d248e5" /><Relationship Type="http://schemas.openxmlformats.org/officeDocument/2006/relationships/worksheet" Target="/xl/worksheets/sheet2.xml" Id="R9035dd3057084340" /><Relationship Type="http://schemas.openxmlformats.org/officeDocument/2006/relationships/worksheet" Target="/xl/worksheets/sheet3.xml" Id="R5fa7b01ba3284e6e" /><Relationship Type="http://schemas.openxmlformats.org/officeDocument/2006/relationships/worksheet" Target="/xl/worksheets/sheet4.xml" Id="R0ac81217fc18482c" /><Relationship Type="http://schemas.openxmlformats.org/officeDocument/2006/relationships/worksheet" Target="/xl/worksheets/sheet5.xml" Id="Rd578e81ddbb1406c" /><Relationship Type="http://schemas.openxmlformats.org/officeDocument/2006/relationships/worksheet" Target="/xl/worksheets/sheet6.xml" Id="R2df69aca04734327" /><Relationship Type="http://schemas.openxmlformats.org/officeDocument/2006/relationships/worksheet" Target="/xl/worksheets/sheet7.xml" Id="R2a26a1b74ddf4e4d" /><Relationship Type="http://schemas.openxmlformats.org/officeDocument/2006/relationships/worksheet" Target="/xl/worksheets/sheet8.xml" Id="R65fee22752ef450f" /><Relationship Type="http://schemas.openxmlformats.org/officeDocument/2006/relationships/worksheet" Target="/xl/worksheets/sheet9.xml" Id="R69fcf931462e493e" /><Relationship Type="http://schemas.openxmlformats.org/officeDocument/2006/relationships/worksheet" Target="/xl/worksheets/sheet10.xml" Id="R5bff73e7921c4d20" /><Relationship Type="http://schemas.openxmlformats.org/officeDocument/2006/relationships/worksheet" Target="/xl/worksheets/sheet11.xml" Id="R349d090eaee04f31" /><Relationship Type="http://schemas.openxmlformats.org/officeDocument/2006/relationships/worksheet" Target="/xl/worksheets/sheet12.xml" Id="R0f923cb9d0874e00" /><Relationship Type="http://schemas.openxmlformats.org/officeDocument/2006/relationships/worksheet" Target="/xl/worksheets/sheet13.xml" Id="Radc4de573c6c4945" /><Relationship Type="http://schemas.openxmlformats.org/officeDocument/2006/relationships/worksheet" Target="/xl/worksheets/sheet14.xml" Id="R392eaf01ca1a48bf" /><Relationship Type="http://schemas.openxmlformats.org/officeDocument/2006/relationships/worksheet" Target="/xl/worksheets/sheet15.xml" Id="R5bcecb1b666f4a77" /><Relationship Type="http://schemas.openxmlformats.org/officeDocument/2006/relationships/worksheet" Target="/xl/worksheets/sheet16.xml" Id="Rf3972f574e494fdf" /><Relationship Type="http://schemas.openxmlformats.org/officeDocument/2006/relationships/worksheet" Target="/xl/worksheets/sheet17.xml" Id="Rf1872757d93b470a" /><Relationship Type="http://schemas.openxmlformats.org/officeDocument/2006/relationships/worksheet" Target="/xl/worksheets/sheet18.xml" Id="R501bc6adab0e4c69" /><Relationship Type="http://schemas.openxmlformats.org/officeDocument/2006/relationships/worksheet" Target="/xl/worksheets/sheet19.xml" Id="Rea0caf6c20384bf9" /><Relationship Type="http://schemas.openxmlformats.org/officeDocument/2006/relationships/worksheet" Target="/xl/worksheets/sheet20.xml" Id="Re13ec948d1404f92" /><Relationship Type="http://schemas.openxmlformats.org/officeDocument/2006/relationships/worksheet" Target="/xl/worksheets/sheet21.xml" Id="R6a4c2ea4f86a4bf6" /><Relationship Type="http://schemas.openxmlformats.org/officeDocument/2006/relationships/worksheet" Target="/xl/worksheets/sheet22.xml" Id="R6fbdc53b715941db" /><Relationship Type="http://schemas.openxmlformats.org/officeDocument/2006/relationships/worksheet" Target="/xl/worksheets/sheet23.xml" Id="R08336d217f064df2" /><Relationship Type="http://schemas.microsoft.com/office/2017/10/relationships/person" Target="/xl/persons/person.xml" Id="R576cb6b8146548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e3b5d97aaf4990" /></Relationships>
</file>

<file path=xl/drawings/_rels/drawing2.xml.rels>&#65279;<?xml version="1.0" encoding="utf-8"?><Relationships xmlns="http://schemas.openxmlformats.org/package/2006/relationships"><Relationship Type="http://schemas.openxmlformats.org/officeDocument/2006/relationships/chart" Target="/xl/drawings/charts/chart2.xml" Id="R412cc45afb5b4f00"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100-company global coverage</a:t>
            </a:r>
          </a:p>
        </c:rich>
      </c:tx>
    </c:title>
    <c:plotArea>
      <c:barChart>
        <c:barDir val="col"/>
        <c:grouping val="clustered"/>
        <c:varyColors val="0"/>
        <c:ser>
          <c:idx val="0"/>
          <c:order val="0"/>
          <c:tx>
            <c:v>Companies</c:v>
          </c:tx>
          <c:spPr>
            <a:ln xmlns:a="http://schemas.openxmlformats.org/drawingml/2006/main">
              <a:prstDash val="solid"/>
            </a:ln>
          </c:spPr>
          <c:cat>
            <c:strRef>
              <c:f>'Cover'!$H$5:$H$17</c:f>
              <c:strCache>
                <c:ptCount val="0"/>
              </c:strCache>
            </c:strRef>
          </c:cat>
          <c:val>
            <c:numRef>
              <c:f>'Cover'!$I$5:$I$17</c:f>
              <c:numCache>
                <c:formatCode>0</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Offset val="100"/>
      </c:catAx>
      <c:valAx>
        <c:axId val="48672768"/>
        <c:scaling>
          <c:orientation val="minMax"/>
          <c:max val="6"/>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Loop Outcomes</a:t>
            </a:r>
          </a:p>
        </c:rich>
      </c:tx>
    </c:title>
    <c:plotArea>
      <c:barChart>
        <c:barDir val="col"/>
        <c:grouping val="clustered"/>
        <c:varyColors val="0"/>
        <c:ser>
          <c:idx val="0"/>
          <c:order val="0"/>
          <c:tx>
            <c:v>Count</c:v>
          </c:tx>
          <c:spPr>
            <a:ln xmlns:a="http://schemas.openxmlformats.org/drawingml/2006/main">
              <a:prstDash val="solid"/>
            </a:ln>
          </c:spPr>
          <c:cat>
            <c:strRef>
              <c:f>'Simulation Dashboard'!$A$14:$A$18</c:f>
              <c:strCache>
                <c:ptCount val="0"/>
              </c:strCache>
            </c:strRef>
          </c:cat>
          <c:val>
            <c:numRef>
              <c:f>'Simulation Dashboard'!$B$14:$B$18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e3b5d97aaf4990"/>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12</xdr:row>
      <xdr:rowOff>0</xdr:rowOff>
    </xdr:from>
    <xdr:to>
      <xdr:col>10</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2cc45afb5b4f00"/>
        </a:graphicData>
      </a:graphic>
    </xdr:graphicFrame>
    <xdr:clientData/>
  </xdr:twoCellAnchor>
</xdr:wsDr>
</file>

<file path=xl/persons/person.xml><?xml version="1.0" encoding="utf-8"?>
<xltc:personList xmlns:xltc="http://schemas.microsoft.com/office/spreadsheetml/2018/threadedcomments">
  <xltc:person displayName="User" id="{E5B962E4-B0DB-4F96-8F8D-E5B05CEEB369}"/>
  <xltc:person displayName="User" id="{77B86E70-2C5C-482B-A790-0C8DC53828F5}"/>
</xltc:personList>
</file>

<file path=xl/tables/table1.xml><?xml version="1.0" encoding="utf-8"?>
<x:table xmlns:x="http://schemas.openxmlformats.org/spreadsheetml/2006/main" id="1" name="SectorMapTable" displayName="SectorMapTable" ref="A5:L30" headerRowCount="1" totalsRowCount="0" totalsRowShown="0">
  <x:tableColumns count="12">
    <x:tableColumn id="1" name="Sector Family"/>
    <x:tableColumn id="2" name="Economic Engine"/>
    <x:tableColumn id="3" name="Primary KPIs"/>
    <x:tableColumn id="4" name="Valuation Lens"/>
    <x:tableColumn id="5" name="Failure / Trap Risks"/>
    <x:tableColumn id="6" name="Control Company Rule"/>
    <x:tableColumn id="7" name="Companies in Batch"/>
    <x:tableColumn id="8" name="Coverage Status"/>
    <x:tableColumn id="9" name="Priority"/>
    <x:tableColumn id="10" name="Sector Book Status"/>
    <x:tableColumn id="11" name="Next Expansion Action"/>
    <x:tableColumn id="12" name="Notes"/>
  </x:tableColumns>
  <x:tableStyleInfo name="TableStyleMedium2" showFirstColumn="0" showLastColumn="0" showRowStripes="1" showColumnStripes="0"/>
</x:table>
</file>

<file path=xl/tables/table2.xml><?xml version="1.0" encoding="utf-8"?>
<x:table xmlns:x="http://schemas.openxmlformats.org/spreadsheetml/2006/main" id="2" name="CompanyUniverseTable" displayName="CompanyUniverseTable" ref="A5:AE105" headerRowCount="1" totalsRowCount="0" totalsRowShown="0">
  <x:tableColumns count="31">
    <x:tableColumn id="1" name="Company ID"/>
    <x:tableColumn id="2" name="Company"/>
    <x:tableColumn id="3" name="Ticker"/>
    <x:tableColumn id="4" name="Exchange"/>
    <x:tableColumn id="5" name="Country"/>
    <x:tableColumn id="6" name="Sector Family"/>
    <x:tableColumn id="7" name="Sub-Sector"/>
    <x:tableColumn id="8" name="Archetype"/>
    <x:tableColumn id="9" name="Economic Engine"/>
    <x:tableColumn id="10" name="Primary Valuation Lens"/>
    <x:tableColumn id="11" name="Why Included"/>
    <x:tableColumn id="12" name="Primary Source URL"/>
    <x:tableColumn id="13" name="Research Status"/>
    <x:tableColumn id="14" name="Classification"/>
    <x:tableColumn id="15" name="Understanding"/>
    <x:tableColumn id="16" name="Owner Earnings"/>
    <x:tableColumn id="17" name="Moat 2036"/>
    <x:tableColumn id="18" name="Stewardship"/>
    <x:tableColumn id="19" name="Survival"/>
    <x:tableColumn id="20" name="Margin of Safety"/>
    <x:tableColumn id="21" name="Fatal Unknown"/>
    <x:tableColumn id="22" name="Gate Ready"/>
    <x:tableColumn id="23" name="Priority"/>
    <x:tableColumn id="24" name="Next Action"/>
    <x:tableColumn id="25" name="Last Review"/>
    <x:tableColumn id="26" name="Review Due"/>
    <x:tableColumn id="27" name="Notes"/>
    <x:tableColumn id="28" name="V10 Frozen Final"/>
    <x:tableColumn id="29" name="V10 Frozen Reason"/>
    <x:tableColumn id="30" name="Provenance"/>
    <x:tableColumn id="31" name="Assigned Phase"/>
  </x:tableColumns>
  <x:tableStyleInfo name="TableStyleMedium2" showFirstColumn="0" showLastColumn="0" showRowStripes="1" showColumnStripes="0"/>
</x:table>
</file>

<file path=xl/tables/table3.xml><?xml version="1.0" encoding="utf-8"?>
<x:table xmlns:x="http://schemas.openxmlformats.org/spreadsheetml/2006/main" id="3" name="CyclesTable" displayName="CyclesTable" ref="A5:AG1005" headerRowCount="1" totalsRowCount="0" totalsRowShown="0">
  <x:tableColumns count="33">
    <x:tableColumn id="1" name="Cycle ID"/>
    <x:tableColumn id="2" name="Phase"/>
    <x:tableColumn id="3" name="Lock Status"/>
    <x:tableColumn id="4" name="Company ID"/>
    <x:tableColumn id="5" name="Company"/>
    <x:tableColumn id="6" name="Ticker"/>
    <x:tableColumn id="7" name="Sector"/>
    <x:tableColumn id="8" name="Historical Slot"/>
    <x:tableColumn id="9" name="Cutoff Date"/>
    <x:tableColumn id="10" name="Horizon (Months)"/>
    <x:tableColumn id="11" name="Snapshot Source"/>
    <x:tableColumn id="12" name="Pre-Registered?"/>
    <x:tableColumn id="13" name="Thesis / Prediction"/>
    <x:tableColumn id="14" name="Expected Fundamental Change"/>
    <x:tableColumn id="15" name="Expected IV Change"/>
    <x:tableColumn id="16" name="Expected Decision"/>
    <x:tableColumn id="17" name="Kill Trigger"/>
    <x:tableColumn id="18" name="Control Company"/>
    <x:tableColumn id="19" name="Reveal Date"/>
    <x:tableColumn id="20" name="Actual Fundamental Outcome"/>
    <x:tableColumn id="21" name="Actual IV Outcome"/>
    <x:tableColumn id="22" name="Decision Correct"/>
    <x:tableColumn id="23" name="Hard-Gate Correct"/>
    <x:tableColumn id="24" name="Lead Time (Days)"/>
    <x:tableColumn id="25" name="False Negative"/>
    <x:tableColumn id="26" name="Failure Class"/>
    <x:tableColumn id="27" name="Improvement Candidate"/>
    <x:tableColumn id="28" name="Change Accepted"/>
    <x:tableColumn id="29" name="Model Version"/>
    <x:tableColumn id="30" name="Reviewer Notes"/>
    <x:tableColumn id="31" name="Cycle Complete"/>
    <x:tableColumn id="32" name="Eligible for Accuracy"/>
    <x:tableColumn id="33" name="Accuracy Points"/>
  </x:tableColumns>
  <x:tableStyleInfo name="TableStyleMedium2" showFirstColumn="0" showLastColumn="0" showRowStripes="1" showColumnStripes="0"/>
</x:table>
</file>

<file path=xl/tables/table4.xml><?xml version="1.0" encoding="utf-8"?>
<x:table xmlns:x="http://schemas.openxmlformats.org/spreadsheetml/2006/main" id="4" name="ForwardJournalTable" displayName="ForwardJournalTable" ref="A5:R205" headerRowCount="1" totalsRowCount="0" totalsRowShown="0">
  <x:tableColumns count="18">
    <x:tableColumn id="1" name="Journal ID"/>
    <x:tableColumn id="2" name="Company ID"/>
    <x:tableColumn id="3" name="Company"/>
    <x:tableColumn id="4" name="Ticker"/>
    <x:tableColumn id="5" name="Prediction Date"/>
    <x:tableColumn id="6" name="Horizon Months"/>
    <x:tableColumn id="7" name="Due Date"/>
    <x:tableColumn id="8" name="Operational Metric"/>
    <x:tableColumn id="9" name="Baseline"/>
    <x:tableColumn id="10" name="Expected Direction"/>
    <x:tableColumn id="11" name="Prediction"/>
    <x:tableColumn id="12" name="Kill Trigger"/>
    <x:tableColumn id="13" name="Control Company"/>
    <x:tableColumn id="14" name="Evidence URL"/>
    <x:tableColumn id="15" name="Outcome"/>
    <x:tableColumn id="16" name="Fundamental Accuracy"/>
    <x:tableColumn id="17" name="Stock Return (Secondary)"/>
    <x:tableColumn id="18" name="Notes"/>
  </x:tableColumns>
  <x:tableStyleInfo name="TableStyleMedium2" showFirstColumn="0" showLastColumn="0" showRowStripes="1" showColumnStripes="0"/>
</x:table>
</file>

<file path=xl/tables/table5.xml><?xml version="1.0" encoding="utf-8"?>
<x:table xmlns:x="http://schemas.openxmlformats.org/spreadsheetml/2006/main" id="5" name="PromisesTable" displayName="PromisesTable" ref="A5:P305" headerRowCount="1" totalsRowCount="0" totalsRowShown="0">
  <x:tableColumns count="16">
    <x:tableColumn id="1" name="Promise ID"/>
    <x:tableColumn id="2" name="Company ID"/>
    <x:tableColumn id="3" name="Company"/>
    <x:tableColumn id="4" name="Ticker"/>
    <x:tableColumn id="5" name="Promise Date"/>
    <x:tableColumn id="6" name="Category"/>
    <x:tableColumn id="7" name="Exact Promise / Guidance"/>
    <x:tableColumn id="8" name="Metric"/>
    <x:tableColumn id="9" name="Target"/>
    <x:tableColumn id="10" name="Target Date"/>
    <x:tableColumn id="11" name="Source URL"/>
    <x:tableColumn id="12" name="Actual"/>
    <x:tableColumn id="13" name="Actual Date"/>
    <x:tableColumn id="14" name="Status"/>
    <x:tableColumn id="15" name="Credibility Impact"/>
    <x:tableColumn id="16" name="Notes"/>
  </x:tableColumns>
  <x:tableStyleInfo name="TableStyleMedium2" showFirstColumn="0" showLastColumn="0" showRowStripes="1" showColumnStripes="0"/>
</x:table>
</file>

<file path=xl/tables/table6.xml><?xml version="1.0" encoding="utf-8"?>
<x:table xmlns:x="http://schemas.openxmlformats.org/spreadsheetml/2006/main" id="6" name="ChangeLogTable" displayName="ChangeLogTable" ref="A5:J109" headerRowCount="1" totalsRowCount="0" totalsRowShown="0">
  <x:tableColumns count="10">
    <x:tableColumn id="1" name="Change ID"/>
    <x:tableColumn id="2" name="Version"/>
    <x:tableColumn id="3" name="Date"/>
    <x:tableColumn id="4" name="Status"/>
    <x:tableColumn id="5" name="Trigger Cycles"/>
    <x:tableColumn id="6" name="Failure Pattern"/>
    <x:tableColumn id="7" name="Proposed Rule Change"/>
    <x:tableColumn id="8" name="Expected Benefit"/>
    <x:tableColumn id="9" name="New Risk"/>
    <x:tableColumn id="10" name="Decision / Evidence"/>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5:H106" headerRowCount="1" totalsRowCount="0" totalsRowShown="0">
  <x:tableColumns count="8">
    <x:tableColumn id="1" name="Source ID"/>
    <x:tableColumn id="2" name="Company ID"/>
    <x:tableColumn id="3" name="Company / Item"/>
    <x:tableColumn id="4" name="Source Type"/>
    <x:tableColumn id="5" name="URL / Library Path"/>
    <x:tableColumn id="6" name="As-of / Access Date"/>
    <x:tableColumn id="7" name="Use"/>
    <x:tableColumn id="8" name="Notes"/>
  </x:tableColumns>
  <x:tableStyleInfo name="TableStyleMedium2" showFirstColumn="0" showLastColumn="0" showRowStripes="1" showColumnStripes="0"/>
</x:table>
</file>

<file path=xl/tables/table8.xml><?xml version="1.0" encoding="utf-8"?>
<x:table xmlns:x="http://schemas.openxmlformats.org/spreadsheetml/2006/main" id="8" name="ImprovementLoopsTable" displayName="ImprovementLoopsTable" ref="A5:Y1005" headerRowCount="1" totalsRowCount="0" totalsRowShown="0">
  <x:tableColumns count="25">
    <x:tableColumn id="1" name="Loop ID"/>
    <x:tableColumn id="2" name="Company ID"/>
    <x:tableColumn id="3" name="Company"/>
    <x:tableColumn id="4" name="Ticker"/>
    <x:tableColumn id="5" name="Sector"/>
    <x:tableColumn id="6" name="Cohort"/>
    <x:tableColumn id="7" name="Scenario ID"/>
    <x:tableColumn id="8" name="Scenario Family"/>
    <x:tableColumn id="9" name="Failure Class"/>
    <x:tableColumn id="10" name="Stress / Counterfactual"/>
    <x:tableColumn id="11" name="Business Engine"/>
    <x:tableColumn id="12" name="Valuation Lens"/>
    <x:tableColumn id="13" name="Frozen V10 / Current Decision"/>
    <x:tableColumn id="14" name="Rule Tested"/>
    <x:tableColumn id="15" name="Pre-Test Rule Stage"/>
    <x:tableColumn id="16" name="Result"/>
    <x:tableColumn id="17" name="Feedback"/>
    <x:tableColumn id="18" name="Improvement Candidate"/>
    <x:tableColumn id="19" name="Change Applied?"/>
    <x:tableColumn id="20" name="Post-Test Rule Stage"/>
    <x:tableColumn id="21" name="Model Version"/>
    <x:tableColumn id="22" name="Source / Basis"/>
    <x:tableColumn id="23" name="Empirical Accuracy Credit"/>
    <x:tableColumn id="24" name="Validation Contamination"/>
    <x:tableColumn id="25" name="Notes"/>
  </x:tableColumns>
  <x:tableStyleInfo name="TableStyleMedium2" showFirstColumn="0" showLastColumn="0" showRowStripes="1" showColumnStripes="0"/>
</x:table>
</file>

<file path=xl/tables/table9.xml><?xml version="1.0" encoding="utf-8"?>
<x:table xmlns:x="http://schemas.openxmlformats.org/spreadsheetml/2006/main" id="9" name="SimulationRulesTable" displayName="SimulationRulesTable" ref="A4:J47" headerRowCount="1" totalsRowCount="0" totalsRowShown="0">
  <x:tableColumns count="10">
    <x:tableColumn id="1" name="Rule ID"/>
    <x:tableColumn id="2" name="Exposure Count"/>
    <x:tableColumn id="3" name="Distinct Companies"/>
    <x:tableColumn id="4" name="Distinct Sectors"/>
    <x:tableColumn id="5" name="Final Simulation Stage"/>
    <x:tableColumn id="6" name="Evolution Events"/>
    <x:tableColumn id="7" name="Final Version Seen"/>
    <x:tableColumn id="8" name="Candidate Rule / Rationale"/>
    <x:tableColumn id="9" name="Empirical Status"/>
    <x:tableColumn id="10" name="Promotion Requirement"/>
  </x:tableColumns>
  <x:tableStyleInfo name="TableStyleMedium2" showFirstColumn="0" showLastColumn="0" showRowStripes="1" showColumnStripes="0"/>
</x:table>
</file>

<file path=xl/tables/table10.xml><?xml version="1.0" encoding="utf-8"?>
<x:table xmlns:x="http://schemas.openxmlformats.org/spreadsheetml/2006/main" id="10" name="P1DeepResearchTable" displayName="P1DeepResearchTable" ref="A4:V21" headerRowCount="1" totalsRowCount="0" totalsRowShown="0">
  <x:tableColumns count="22">
    <x:tableColumn id="1" name="Company ID"/>
    <x:tableColumn id="2" name="Company"/>
    <x:tableColumn id="3" name="Ticker"/>
    <x:tableColumn id="4" name="Sector"/>
    <x:tableColumn id="5" name="Evidence Date"/>
    <x:tableColumn id="6" name="T1 Source URL"/>
    <x:tableColumn id="7" name="T2 Point-in-Time Package"/>
    <x:tableColumn id="8" name="Fresh T1 Facts"/>
    <x:tableColumn id="9" name="Pass 1 — Business &amp; Owner Earnings"/>
    <x:tableColumn id="10" name="Pass 2 — Causal Chain"/>
    <x:tableColumn id="11" name="Pass 3 — Red Team"/>
    <x:tableColumn id="12" name="Contradictions"/>
    <x:tableColumn id="13" name="Dalio Path 1"/>
    <x:tableColumn id="14" name="Dalio Path 2"/>
    <x:tableColumn id="15" name="Dalio Path 3"/>
    <x:tableColumn id="16" name="Owner Status"/>
    <x:tableColumn id="17" name="Frozen V10"/>
    <x:tableColumn id="18" name="Research Action"/>
    <x:tableColumn id="19" name="Confidence"/>
    <x:tableColumn id="20" name="Critical Gap"/>
    <x:tableColumn id="21" name="Next Review"/>
    <x:tableColumn id="22" name="As Of"/>
  </x:tableColumns>
  <x:tableStyleInfo name="TableStyleMedium4" showFirstColumn="0" showLastColumn="0" showRowStripes="1" showColumnStripes="0"/>
</x:table>
</file>

<file path=xl/tables/table11.xml><?xml version="1.0" encoding="utf-8"?>
<x:table xmlns:x="http://schemas.openxmlformats.org/spreadsheetml/2006/main" id="11" name="P2ADeepResearchTable" displayName="P2ADeepResearchTable" ref="A4:X19" headerRowCount="1" totalsRowCount="0" totalsRowShown="0">
  <x:tableColumns count="24">
    <x:tableColumn id="1" name="Company ID"/>
    <x:tableColumn id="2" name="Company"/>
    <x:tableColumn id="3" name="Ticker"/>
    <x:tableColumn id="4" name="Sector"/>
    <x:tableColumn id="5" name="Evidence Date"/>
    <x:tableColumn id="6" name="PIT Price"/>
    <x:tableColumn id="7" name="PIT Time"/>
    <x:tableColumn id="8" name="T1 Source URL"/>
    <x:tableColumn id="9" name="T2 / PIT Package"/>
    <x:tableColumn id="10" name="Current T1 Facts"/>
    <x:tableColumn id="11" name="Pass 1 — Business &amp; Owner Earnings"/>
    <x:tableColumn id="12" name="Pass 2 — Causal Chain"/>
    <x:tableColumn id="13" name="Pass 3 — Red Team"/>
    <x:tableColumn id="14" name="Contradictions"/>
    <x:tableColumn id="15" name="Dalio Path 1"/>
    <x:tableColumn id="16" name="Dalio Path 2"/>
    <x:tableColumn id="17" name="Dalio Path 3"/>
    <x:tableColumn id="18" name="Owner Status"/>
    <x:tableColumn id="19" name="Frozen V10"/>
    <x:tableColumn id="20" name="Evidence-Controlled Action"/>
    <x:tableColumn id="21" name="Confidence"/>
    <x:tableColumn id="22" name="Critical Gap"/>
    <x:tableColumn id="23" name="Next Review"/>
    <x:tableColumn id="24" name="Research Status"/>
  </x:tableColumns>
  <x:tableStyleInfo name="TableStyleMedium4" showFirstColumn="0" showLastColumn="0" showRowStripes="1" showColumnStripes="0"/>
</x:table>
</file>

<file path=xl/tables/table12.xml><?xml version="1.0" encoding="utf-8"?>
<x:table xmlns:x="http://schemas.openxmlformats.org/spreadsheetml/2006/main" id="12" name="AIChainSignalV1033" displayName="AIChainSignalV1033" ref="A12:AB20" headerRowCount="1" totalsRowCount="0" totalsRowShown="0">
  <x:autoFilter ref="A12:AB20"/>
  <x:tableColumns count="28">
    <x:tableColumn id="1" name="Scope"/>
    <x:tableColumn id="2" name="Company"/>
    <x:tableColumn id="3" name="Ticker"/>
    <x:tableColumn id="4" name="Chain Node"/>
    <x:tableColumn id="5" name="Evidence Date"/>
    <x:tableColumn id="6" name="PIT Price"/>
    <x:tableColumn id="7" name="PIT Timestamp"/>
    <x:tableColumn id="8" name="Trailing P/E Snapshot"/>
    <x:tableColumn id="9" name="Current T1 Facts"/>
    <x:tableColumn id="10" name="Market Observation"/>
    <x:tableColumn id="11" name="T1 Source URL"/>
    <x:tableColumn id="12" name="Price Source URL"/>
    <x:tableColumn id="13" name="Pass 1 — Business &amp; Owner Economics"/>
    <x:tableColumn id="14" name="Pass 2 — Causal Chain"/>
    <x:tableColumn id="15" name="Pass 3 — Red Team"/>
    <x:tableColumn id="16" name="Contradiction"/>
    <x:tableColumn id="17" name="Dalio Path 1"/>
    <x:tableColumn id="18" name="Dalio Path 2"/>
    <x:tableColumn id="19" name="Dalio Path 3"/>
    <x:tableColumn id="20" name="Demand Proof"/>
    <x:tableColumn id="21" name="Owner Economics"/>
    <x:tableColumn id="22" name="Balance Sheet"/>
    <x:tableColumn id="23" name="Concentration"/>
    <x:tableColumn id="24" name="Valuation"/>
    <x:tableColumn id="25" name="AI Regime"/>
    <x:tableColumn id="26" name="Owner Status"/>
    <x:tableColumn id="27" name="Evidence-Controlled Action"/>
    <x:tableColumn id="28" name="Next Evidence"/>
  </x:tableColumns>
  <x:tableStyleInfo name="TableStyleMedium2" showFirstColumn="0" showLastColumn="0" showRowStripes="0" showColumnStripes="0"/>
</x:table>
</file>

<file path=xl/tables/table13.xml><?xml version="1.0" encoding="utf-8"?>
<x:table xmlns:x="http://schemas.openxmlformats.org/spreadsheetml/2006/main" id="13" name="DailyPriceLogV1033" displayName="DailyPriceLogV1033" ref="A11:L19" headerRowCount="1" totalsRowCount="0" totalsRowShown="0">
  <x:autoFilter ref="A11:L19"/>
  <x:tableColumns count="12">
    <x:tableColumn id="1" name="Run At UTC"/>
    <x:tableColumn id="2" name="Run At Israel"/>
    <x:tableColumn id="3" name="Ticker"/>
    <x:tableColumn id="4" name="Company"/>
    <x:tableColumn id="5" name="Scope"/>
    <x:tableColumn id="6" name="Price USD"/>
    <x:tableColumn id="7" name="Previous PIT"/>
    <x:tableColumn id="8" name="Delta"/>
    <x:tableColumn id="9" name="Delta %"/>
    <x:tableColumn id="10" name="Quote At UTC"/>
    <x:tableColumn id="11" name="Update Status"/>
    <x:tableColumn id="12" name="Price Source URL"/>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8d0671496e646c6" /></Relationships>
</file>

<file path=xl/worksheets/_rels/sheet2.xml.rels>&#65279;<?xml version="1.0" encoding="utf-8"?><Relationships xmlns="http://schemas.openxmlformats.org/package/2006/relationships"><Relationship Type="http://schemas.openxmlformats.org/officeDocument/2006/relationships/table" Target="/xl/tables/table1.xml" Id="R0deb19c91e1a46e1" /></Relationships>
</file>

<file path=xl/worksheets/_rels/sheet4.xml.rels>&#65279;<?xml version="1.0" encoding="utf-8"?><Relationships xmlns="http://schemas.openxmlformats.org/package/2006/relationships"><Relationship Type="http://schemas.openxmlformats.org/officeDocument/2006/relationships/table" Target="/xl/tables/table2.xml" Id="R10e2f02029e84a0e" /></Relationships>
</file>

<file path=xl/worksheets/_rels/sheet8.xml.rels>&#65279;<?xml version="1.0" encoding="utf-8"?><Relationships xmlns="http://schemas.openxmlformats.org/package/2006/relationships"><Relationship Type="http://schemas.openxmlformats.org/officeDocument/2006/relationships/table" Target="/xl/tables/table3.xml" Id="R7e0f99123bcb408f" /></Relationships>
</file>

<file path=xl/worksheets/_rels/sheet9.xml.rels>&#65279;<?xml version="1.0" encoding="utf-8"?><Relationships xmlns="http://schemas.openxmlformats.org/package/2006/relationships"><Relationship Type="http://schemas.openxmlformats.org/officeDocument/2006/relationships/table" Target="/xl/tables/table4.xml" Id="Rc28b865f1a7a4cd8" /></Relationships>
</file>

<file path=xl/worksheets/_rels/sheet10.xml.rels>&#65279;<?xml version="1.0" encoding="utf-8"?><Relationships xmlns="http://schemas.openxmlformats.org/package/2006/relationships"><Relationship Type="http://schemas.openxmlformats.org/officeDocument/2006/relationships/table" Target="/xl/tables/table5.xml" Id="R2ff79ca30cdf43bb" /></Relationships>
</file>

<file path=xl/worksheets/_rels/sheet11.xml.rels>&#65279;<?xml version="1.0" encoding="utf-8"?><Relationships xmlns="http://schemas.openxmlformats.org/package/2006/relationships"><Relationship Type="http://schemas.openxmlformats.org/officeDocument/2006/relationships/table" Target="/xl/tables/table6.xml" Id="R6c687df39de74f4e" /></Relationships>
</file>

<file path=xl/worksheets/_rels/sheet13.xml.rels>&#65279;<?xml version="1.0" encoding="utf-8"?><Relationships xmlns="http://schemas.openxmlformats.org/package/2006/relationships"><Relationship Type="http://schemas.openxmlformats.org/officeDocument/2006/relationships/table" Target="/xl/tables/table7.xml" Id="R24bada5828f346c0" /></Relationships>
</file>

<file path=xl/worksheets/_rels/sheet15.xml.rels>&#65279;<?xml version="1.0" encoding="utf-8"?><Relationships xmlns="http://schemas.openxmlformats.org/package/2006/relationships"><Relationship Type="http://schemas.openxmlformats.org/officeDocument/2006/relationships/table" Target="/xl/tables/table8.xml" Id="R8475418268f745f9" /></Relationships>
</file>

<file path=xl/worksheets/_rels/sheet16.xml.rels>&#65279;<?xml version="1.0" encoding="utf-8"?><Relationships xmlns="http://schemas.openxmlformats.org/package/2006/relationships"><Relationship Type="http://schemas.openxmlformats.org/officeDocument/2006/relationships/table" Target="/xl/tables/table9.xml" Id="Rcb39d2aec7fb4a01" /></Relationships>
</file>

<file path=xl/worksheets/_rels/sheet17.xml.rels>&#65279;<?xml version="1.0" encoding="utf-8"?><Relationships xmlns="http://schemas.openxmlformats.org/package/2006/relationships"><Relationship Type="http://schemas.openxmlformats.org/officeDocument/2006/relationships/drawing" Target="/xl/drawings/drawing2.xml" Id="R5747b8f5d919486f" /></Relationships>
</file>

<file path=xl/worksheets/_rels/sheet18.xml.rels>&#65279;<?xml version="1.0" encoding="utf-8"?><Relationships xmlns="http://schemas.openxmlformats.org/package/2006/relationships"><Relationship Type="http://schemas.openxmlformats.org/officeDocument/2006/relationships/table" Target="/xl/tables/table10.xml" Id="R0998c72f35e04507" /></Relationships>
</file>

<file path=xl/worksheets/_rels/sheet19.xml.rels>&#65279;<?xml version="1.0" encoding="utf-8"?><Relationships xmlns="http://schemas.openxmlformats.org/package/2006/relationships"><Relationship Type="http://schemas.openxmlformats.org/officeDocument/2006/relationships/table" Target="/xl/tables/table11.xml" Id="Rd70129189ef648fc" /></Relationships>
</file>

<file path=xl/worksheets/_rels/sheet22.xml.rels>&#65279;<?xml version="1.0" encoding="utf-8"?><Relationships xmlns="http://schemas.openxmlformats.org/package/2006/relationships"><Relationship Type="http://schemas.openxmlformats.org/officeDocument/2006/relationships/table" Target="/xl/tables/table12.xml" Id="R6132d256f2e74663" /></Relationships>
</file>

<file path=xl/worksheets/_rels/sheet23.xml.rels>&#65279;<?xml version="1.0" encoding="utf-8"?><Relationships xmlns="http://schemas.openxmlformats.org/package/2006/relationships"><Relationship Type="http://schemas.openxmlformats.org/officeDocument/2006/relationships/table" Target="/xl/tables/table13.xml" Id="Rcaab702bb36741aa"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3.329999923706055" style="139" customWidth="1"/>
    <x:col min="2" max="2" width="27.780000686645508" style="139" customWidth="1"/>
    <x:col min="3" max="3" width="13.890000343322754" style="139" customWidth="1"/>
    <x:col min="4" max="4" width="18.329999923706055" style="139" customWidth="1"/>
    <x:col min="5" max="5" width="2.7799999713897705" style="139" customWidth="1"/>
    <x:col min="6" max="6" width="2.7799999713897705" style="139" customWidth="1"/>
    <x:col min="8" max="8" width="20" style="139" customWidth="1"/>
    <x:col min="9" max="9" width="8.890000343322754" style="139" customWidth="1"/>
    <x:col min="10" max="10" width="2.2200000286102295" style="139" customWidth="1"/>
    <x:col min="11" max="11" width="10.5600004196167" style="139" customWidth="1"/>
    <x:col min="12" max="12" width="10.5600004196167" style="139" customWidth="1"/>
    <x:col min="13" max="13" width="10.5600004196167" style="139" customWidth="1"/>
    <x:col min="14" max="14" width="10.5600004196167" style="139" customWidth="1"/>
  </x:cols>
  <x:sheetData>
    <x:row r="1" s="139" customFormat="1" ht="34" customHeight="1">
      <x:c r="A1" s="112" t="inlineStr">
        <x:is>
          <x:t xml:space="preserve">ARGUS Global Opportunity Universe · v2</x:t>
        </x:is>
      </x:c>
    </x:row>
    <x:row r="2" s="139" customFormat="1" ht="28" customHeight="1">
      <x:c r="A2" s="113" t="inlineStr">
        <x:is>
          <x:t xml:space="preserve">Frozen ARGUS v10 baseline · 50 existing companies + 50 global expansion companies · 1,000-cycle empirical improvement lab</x:t>
        </x:is>
      </x:c>
    </x:row>
    <x:row r="3">
      <x:c r="A3" s="114" t="n"/>
      <x:c r="B3" s="114" t="n"/>
      <x:c r="C3" s="114" t="n"/>
      <x:c r="D3" s="114" t="n"/>
      <x:c r="E3" s="114" t="n"/>
      <x:c r="F3" s="114" t="n"/>
      <x:c r="G3" s="114" t="n"/>
      <x:c r="H3" s="114" t="n"/>
      <x:c r="I3" s="114" t="n"/>
      <x:c r="J3" s="114" t="n"/>
      <x:c r="K3" s="114" t="n"/>
      <x:c r="L3" s="114" t="n"/>
      <x:c r="M3" s="114" t="n"/>
      <x:c r="N3" s="114" t="n"/>
    </x:row>
    <x:row r="4" s="139" customFormat="1" ht="30" customHeight="1">
      <x:c r="A4" s="115" t="inlineStr">
        <x:is>
          <x:t xml:space="preserve">מצב המערכת</x:t>
        </x:is>
      </x:c>
      <x:c r="E4" s="114" t="n"/>
      <x:c r="F4" s="114" t="n"/>
      <x:c r="G4" s="114" t="n"/>
      <x:c r="H4" s="116" t="inlineStr">
        <x:is>
          <x:t xml:space="preserve">Sector Family</x:t>
        </x:is>
      </x:c>
      <x:c r="I4" s="116" t="inlineStr">
        <x:is>
          <x:t xml:space="preserve">Companies</x:t>
        </x:is>
      </x:c>
      <x:c r="J4" s="114" t="n"/>
      <x:c r="K4" s="114" t="n"/>
      <x:c r="L4" s="114" t="n"/>
      <x:c r="M4" s="114" t="n"/>
      <x:c r="N4" s="114" t="n"/>
    </x:row>
    <x:row r="5">
      <x:c r="A5" s="117" t="inlineStr">
        <x:is>
          <x:t xml:space="preserve">Canonical model</x:t>
        </x:is>
      </x:c>
      <x:c r="B5" s="118" t="inlineStr">
        <x:is>
          <x:t xml:space="preserve">ARGUS v10</x:t>
        </x:is>
      </x:c>
      <x:c r="C5" s="117" t="inlineStr">
        <x:is>
          <x:t xml:space="preserve">Status</x:t>
        </x:is>
      </x:c>
      <x:c r="D5" s="119" t="inlineStr">
        <x:is>
          <x:t xml:space="preserve">FROZEN</x:t>
        </x:is>
      </x:c>
      <x:c r="E5" s="114" t="n"/>
      <x:c r="F5" s="114" t="n"/>
      <x:c r="G5" s="114" t="n"/>
      <x:c r="H5" s="56" t="inlineStr">
        <x:is>
          <x:t xml:space="preserve">Quantum</x:t>
        </x:is>
      </x:c>
      <x:c r="I5" s="193" t="n">
        <x:f>COUNTIF('Company Universe'!$F$6:$F$105,"Quantum Computing")</x:f>
        <x:v>4</x:v>
      </x:c>
      <x:c r="J5" s="114" t="n"/>
      <x:c r="K5" s="114" t="n"/>
      <x:c r="L5" s="114" t="n"/>
      <x:c r="M5" s="114" t="n"/>
      <x:c r="N5" s="114" t="n"/>
    </x:row>
    <x:row r="6">
      <x:c r="A6" s="117" t="inlineStr">
        <x:is>
          <x:t xml:space="preserve">Global universe</x:t>
        </x:is>
      </x:c>
      <x:c r="B6" s="118" t="n">
        <x:v>100</x:v>
      </x:c>
      <x:c r="C6" s="117" t="inlineStr">
        <x:is>
          <x:t xml:space="preserve">V10 baseline</x:t>
        </x:is>
      </x:c>
      <x:c r="D6" s="118" t="n">
        <x:v>50</x:v>
      </x:c>
      <x:c r="E6" s="114" t="n"/>
      <x:c r="F6" s="114" t="n"/>
      <x:c r="G6" s="114" t="n"/>
      <x:c r="H6" s="57" t="inlineStr">
        <x:is>
          <x:t xml:space="preserve">AI &amp; Semiconductors</x:t>
        </x:is>
      </x:c>
      <x:c r="I6" s="194" t="n">
        <x:f>COUNTIF('Company Universe'!$F$6:$F$105,"AI &amp; Semiconductors")</x:f>
        <x:v>9</x:v>
      </x:c>
      <x:c r="J6" s="114" t="n"/>
      <x:c r="K6" s="114" t="n"/>
      <x:c r="L6" s="114" t="n"/>
      <x:c r="M6" s="114" t="n"/>
      <x:c r="N6" s="114" t="n"/>
    </x:row>
    <x:row r="7">
      <x:c r="A7" s="117" t="inlineStr">
        <x:is>
          <x:t xml:space="preserve">New expansion</x:t>
        </x:is>
      </x:c>
      <x:c r="B7" s="118" t="n">
        <x:v>50</x:v>
      </x:c>
      <x:c r="C7" s="117" t="inlineStr">
        <x:is>
          <x:t xml:space="preserve">Planned cycles</x:t>
        </x:is>
      </x:c>
      <x:c r="D7" s="118" t="n">
        <x:v>1000</x:v>
      </x:c>
      <x:c r="E7" s="114" t="n"/>
      <x:c r="F7" s="114" t="n"/>
      <x:c r="G7" s="114" t="n"/>
      <x:c r="H7" s="57" t="inlineStr">
        <x:is>
          <x:t xml:space="preserve">Power &amp; Utilities</x:t>
        </x:is>
      </x:c>
      <x:c r="I7" s="194" t="n">
        <x:f>COUNTIF('Company Universe'!$F$6:$F$105,"Power &amp; Grid")+COUNTIF('Company Universe'!$F$6:$F$105,"Utilities")</x:f>
        <x:v>11</x:v>
      </x:c>
      <x:c r="J7" s="114" t="n"/>
      <x:c r="K7" s="114" t="n"/>
      <x:c r="L7" s="114" t="n"/>
      <x:c r="M7" s="114" t="n"/>
      <x:c r="N7" s="114" t="n"/>
    </x:row>
    <x:row r="8">
      <x:c r="A8" s="117" t="inlineStr">
        <x:is>
          <x:t xml:space="preserve">Development companies</x:t>
        </x:is>
      </x:c>
      <x:c r="B8" s="118" t="n">
        <x:v>60</x:v>
      </x:c>
      <x:c r="C8" s="117" t="inlineStr">
        <x:is>
          <x:t xml:space="preserve">Validation companies</x:t>
        </x:is>
      </x:c>
      <x:c r="D8" s="118" t="n">
        <x:v>20</x:v>
      </x:c>
      <x:c r="E8" s="114" t="n"/>
      <x:c r="F8" s="114" t="n"/>
      <x:c r="G8" s="114" t="n"/>
      <x:c r="H8" s="57" t="inlineStr">
        <x:is>
          <x:t xml:space="preserve">Energy</x:t>
        </x:is>
      </x:c>
      <x:c r="I8" s="194" t="n">
        <x:f>COUNTIF('Company Universe'!$F$6:$F$105,"Energy")</x:f>
        <x:v>5</x:v>
      </x:c>
      <x:c r="J8" s="114" t="n"/>
      <x:c r="K8" s="114" t="n"/>
      <x:c r="L8" s="114" t="n"/>
      <x:c r="M8" s="114" t="n"/>
      <x:c r="N8" s="114" t="n"/>
    </x:row>
    <x:row r="9">
      <x:c r="A9" s="117" t="inlineStr">
        <x:is>
          <x:t xml:space="preserve">Holdout companies</x:t>
        </x:is>
      </x:c>
      <x:c r="B9" s="118" t="n">
        <x:v>20</x:v>
      </x:c>
      <x:c r="C9" s="117" t="inlineStr">
        <x:is>
          <x:t xml:space="preserve">Holdout threshold</x:t>
        </x:is>
      </x:c>
      <x:c r="D9" s="195" t="n">
        <x:v>0.6</x:v>
      </x:c>
      <x:c r="E9" s="114" t="n"/>
      <x:c r="F9" s="114" t="n"/>
      <x:c r="G9" s="114" t="n"/>
      <x:c r="H9" s="57" t="inlineStr">
        <x:is>
          <x:t xml:space="preserve">Shipping</x:t>
        </x:is>
      </x:c>
      <x:c r="I9" s="194" t="n">
        <x:f>COUNTIF('Company Universe'!$F$6:$F$105,"Shipping")</x:f>
        <x:v>4</x:v>
      </x:c>
      <x:c r="J9" s="114" t="n"/>
      <x:c r="K9" s="114" t="n"/>
      <x:c r="L9" s="114" t="n"/>
      <x:c r="M9" s="114" t="n"/>
      <x:c r="N9" s="114" t="n"/>
    </x:row>
    <x:row r="10">
      <x:c r="A10" s="117" t="inlineStr">
        <x:is>
          <x:t xml:space="preserve">As of</x:t>
        </x:is>
      </x:c>
      <x:c r="B10" s="196" t="n">
        <x:v>46264</x:v>
      </x:c>
      <x:c r="C10" s="117" t="inlineStr">
        <x:is>
          <x:t xml:space="preserve">Automation/API</x:t>
        </x:is>
      </x:c>
      <x:c r="D10" s="122" t="inlineStr">
        <x:is>
          <x:t xml:space="preserve">BLOCKED</x:t>
        </x:is>
      </x:c>
      <x:c r="E10" s="114" t="n"/>
      <x:c r="F10" s="114" t="n"/>
      <x:c r="G10" s="114" t="n"/>
      <x:c r="H10" s="57" t="inlineStr">
        <x:is>
          <x:t xml:space="preserve">Banks &amp; Capital Markets</x:t>
        </x:is>
      </x:c>
      <x:c r="I10" s="194" t="n">
        <x:f>COUNTIF('Company Universe'!$F$6:$F$105,"Banks")+COUNTIF('Company Universe'!$F$6:$F$105,"Capital Markets")</x:f>
        <x:v>8</x:v>
      </x:c>
      <x:c r="J10" s="114" t="n"/>
      <x:c r="K10" s="114" t="n"/>
      <x:c r="L10" s="114" t="n"/>
      <x:c r="M10" s="114" t="n"/>
      <x:c r="N10" s="114" t="n"/>
    </x:row>
    <x:row r="11">
      <x:c r="A11" s="117" t="inlineStr">
        <x:is>
          <x:t xml:space="preserve">Empirical cycles complete</x:t>
        </x:is>
      </x:c>
      <x:c r="B11" s="118" t="n">
        <x:v>0</x:v>
      </x:c>
      <x:c r="C11" s="117" t="inlineStr">
        <x:is>
          <x:t xml:space="preserve">Recommendations</x:t>
        </x:is>
      </x:c>
      <x:c r="D11" s="123" t="inlineStr">
        <x:is>
          <x:t xml:space="preserve">V10 imported; not revalidated</x:t>
        </x:is>
      </x:c>
      <x:c r="E11" s="114" t="n"/>
      <x:c r="F11" s="114" t="n"/>
      <x:c r="G11" s="114" t="n"/>
      <x:c r="H11" s="57" t="inlineStr">
        <x:is>
          <x:t xml:space="preserve">Insurance</x:t>
        </x:is>
      </x:c>
      <x:c r="I11" s="194" t="n">
        <x:f>COUNTIF('Company Universe'!$F$6:$F$105,"Insurance")</x:f>
        <x:v>7</x:v>
      </x:c>
      <x:c r="J11" s="114" t="n"/>
      <x:c r="K11" s="114" t="n"/>
      <x:c r="L11" s="114" t="n"/>
      <x:c r="M11" s="114" t="n"/>
      <x:c r="N11" s="114" t="n"/>
    </x:row>
    <x:row r="12">
      <x:c r="A12" s="114" t="n"/>
      <x:c r="B12" s="114" t="n"/>
      <x:c r="C12" s="114" t="n"/>
      <x:c r="D12" s="114" t="n"/>
      <x:c r="E12" s="114" t="n"/>
      <x:c r="F12" s="114" t="n"/>
      <x:c r="G12" s="114" t="n"/>
      <x:c r="H12" s="57" t="inlineStr">
        <x:is>
          <x:t xml:space="preserve">Software, Payments &amp; Cyber</x:t>
        </x:is>
      </x:c>
      <x:c r="I12" s="194" t="n">
        <x:f>COUNTIF('Company Universe'!$F$6:$F$105,"Software &amp; Payments")+COUNTIF('Company Universe'!$F$6:$F$105,"Cybersecurity")+COUNTIF('Company Universe'!$F$6:$F$105,"Business Services &amp; Exchanges")</x:f>
        <x:v>10</x:v>
      </x:c>
      <x:c r="J12" s="114" t="n"/>
      <x:c r="K12" s="114" t="n"/>
      <x:c r="L12" s="114" t="n"/>
      <x:c r="M12" s="114" t="n"/>
      <x:c r="N12" s="114" t="n"/>
    </x:row>
    <x:row r="13">
      <x:c r="A13" s="124" t="inlineStr">
        <x:is>
          <x:t xml:space="preserve">כללי שימוש מחייבים</x:t>
        </x:is>
      </x:c>
      <x:c r="G13" s="114" t="n"/>
      <x:c r="H13" s="57" t="inlineStr">
        <x:is>
          <x:t xml:space="preserve">Ingredients &amp; Materials</x:t>
        </x:is>
      </x:c>
      <x:c r="I13" s="194" t="n">
        <x:f>COUNTIF('Company Universe'!$F$6:$F$105,"Specialty Ingredients")+COUNTIF('Company Universe'!$F$6:$F$105,"Materials &amp; Mining")</x:f>
        <x:v>11</x:v>
      </x:c>
      <x:c r="J13" s="114" t="n"/>
      <x:c r="K13" s="114" t="n"/>
      <x:c r="L13" s="114" t="n"/>
      <x:c r="M13" s="114" t="n"/>
      <x:c r="N13" s="114" t="n"/>
    </x:row>
    <x:row r="14" s="139" customFormat="1" ht="30" customHeight="1">
      <x:c r="A14" s="125" t="inlineStr">
        <x:is>
          <x:t xml:space="preserve">1</x:t>
        </x:is>
      </x:c>
      <x:c r="B14" s="126" t="inlineStr">
        <x:is>
          <x:t xml:space="preserve">V10 נשארת קפואה במהלך baseline; כל שינוי מוצע מתועד ב־Change Log.</x:t>
        </x:is>
      </x:c>
      <x:c r="C14" s="197" t="n"/>
      <x:c r="D14" s="197" t="n"/>
      <x:c r="E14" s="197" t="n"/>
      <x:c r="F14" s="197" t="n"/>
      <x:c r="G14" s="114" t="n"/>
      <x:c r="H14" s="57" t="inlineStr">
        <x:is>
          <x:t xml:space="preserve">Healthcare &amp; Devices</x:t>
        </x:is>
      </x:c>
      <x:c r="I14" s="194" t="n">
        <x:f>COUNTIF('Company Universe'!$F$6:$F$105,"Healthcare &amp; Biopharma")+COUNTIF('Company Universe'!$F$6:$F$105,"Medical Devices")</x:f>
        <x:v>7</x:v>
      </x:c>
      <x:c r="J14" s="114" t="n"/>
      <x:c r="K14" s="114" t="n"/>
      <x:c r="L14" s="114" t="n"/>
      <x:c r="M14" s="114" t="n"/>
      <x:c r="N14" s="114" t="n"/>
    </x:row>
    <x:row r="15" s="139" customFormat="1" ht="30" customHeight="1">
      <x:c r="A15" s="127" t="inlineStr">
        <x:is>
          <x:t xml:space="preserve">2</x:t>
        </x:is>
      </x:c>
      <x:c r="B15" s="128" t="inlineStr">
        <x:is>
          <x:t xml:space="preserve">50 חברות V10 נשמרות; 50 חברות נוספות מרחיבות את הכיסוי. הרשימה אינה גבול קבוע.</x:t>
        </x:is>
      </x:c>
      <x:c r="C15" s="198" t="n"/>
      <x:c r="D15" s="198" t="n"/>
      <x:c r="E15" s="198" t="n"/>
      <x:c r="F15" s="198" t="n"/>
      <x:c r="G15" s="114" t="n"/>
      <x:c r="H15" s="57" t="inlineStr">
        <x:is>
          <x:t xml:space="preserve">Consumer, Media &amp; Autos</x:t>
        </x:is>
      </x:c>
      <x:c r="I15" s="194" t="n">
        <x:f>COUNTIF('Company Universe'!$F$6:$F$105,"Consumer")+COUNTIF('Company Universe'!$F$6:$F$105,"Media &amp; Internet")+COUNTIF('Company Universe'!$F$6:$F$105,"Autos &amp; Mobility")</x:f>
        <x:v>11</x:v>
      </x:c>
      <x:c r="J15" s="114" t="n"/>
      <x:c r="K15" s="114" t="n"/>
      <x:c r="L15" s="114" t="n"/>
      <x:c r="M15" s="114" t="n"/>
      <x:c r="N15" s="114" t="n"/>
    </x:row>
    <x:row r="16" s="139" customFormat="1" ht="30" customHeight="1">
      <x:c r="A16" s="127" t="inlineStr">
        <x:is>
          <x:t xml:space="preserve">3</x:t>
        </x:is>
      </x:c>
      <x:c r="B16" s="128" t="inlineStr">
        <x:is>
          <x:t xml:space="preserve">כל ששת השערים הם PASS/FAIL/UNKNOWN. FAIL או UNKNOWN קריטי חוסמים פעולה.</x:t>
        </x:is>
      </x:c>
      <x:c r="C16" s="198" t="n"/>
      <x:c r="D16" s="198" t="n"/>
      <x:c r="E16" s="198" t="n"/>
      <x:c r="F16" s="198" t="n"/>
      <x:c r="G16" s="114" t="n"/>
      <x:c r="H16" s="57" t="inlineStr">
        <x:is>
          <x:t xml:space="preserve">Industrials &amp; Transport</x:t>
        </x:is>
      </x:c>
      <x:c r="I16" s="194" t="n">
        <x:f>COUNTIF('Company Universe'!$F$6:$F$105,"Industrials &amp; Defense")+COUNTIF('Company Universe'!$F$6:$F$105,"Transportation")+COUNTIF('Company Universe'!$F$6:$F$105,"Construction &amp; Building Products")</x:f>
        <x:v>8</x:v>
      </x:c>
      <x:c r="J16" s="114" t="n"/>
      <x:c r="K16" s="114" t="n"/>
      <x:c r="L16" s="114" t="n"/>
      <x:c r="M16" s="114" t="n"/>
      <x:c r="N16" s="114" t="n"/>
    </x:row>
    <x:row r="17" s="139" customFormat="1" ht="30" customHeight="1">
      <x:c r="A17" s="127" t="inlineStr">
        <x:is>
          <x:t xml:space="preserve">4</x:t>
        </x:is>
      </x:c>
      <x:c r="B17" s="128" t="inlineStr">
        <x:is>
          <x:t xml:space="preserve">סבב אמיתי דורש snapshot היסטורי, תחזית pre-registered ותוצאה שנחשפה רק לאחר הנעילה.</x:t>
        </x:is>
      </x:c>
      <x:c r="C17" s="198" t="n"/>
      <x:c r="D17" s="198" t="n"/>
      <x:c r="E17" s="198" t="n"/>
      <x:c r="F17" s="198" t="n"/>
      <x:c r="G17" s="114" t="n"/>
      <x:c r="H17" s="58" t="inlineStr">
        <x:is>
          <x:t xml:space="preserve">Real Estate, Telecom &amp; Ag</x:t>
        </x:is>
      </x:c>
      <x:c r="I17" s="199" t="n">
        <x:f>COUNTIF('Company Universe'!$F$6:$F$105,"Real Estate &amp; Telecom")+COUNTIF('Company Universe'!$F$6:$F$105,"Agriculture &amp; Fertilizers")</x:f>
        <x:v>5</x:v>
      </x:c>
      <x:c r="J17" s="114" t="n"/>
      <x:c r="K17" s="114" t="n"/>
      <x:c r="L17" s="114" t="n"/>
      <x:c r="M17" s="114" t="n"/>
      <x:c r="N17" s="114" t="n"/>
    </x:row>
    <x:row r="18" s="139" customFormat="1" ht="30" customHeight="1">
      <x:c r="A18" s="127" t="inlineStr">
        <x:is>
          <x:t xml:space="preserve">5</x:t>
        </x:is>
      </x:c>
      <x:c r="B18" s="128" t="inlineStr">
        <x:is>
          <x:t xml:space="preserve">60 חברות שייכות רק ל־development, 20 רק ל־validation ו־20 רק ל־holdout; אין דליפת חברה בין הקבוצות.</x:t>
        </x:is>
      </x:c>
      <x:c r="C18" s="198" t="n"/>
      <x:c r="D18" s="198" t="n"/>
      <x:c r="E18" s="198" t="n"/>
      <x:c r="F18" s="198" t="n"/>
      <x:c r="G18" s="114" t="n"/>
      <x:c r="H18" s="114" t="n"/>
      <x:c r="I18" s="114" t="n"/>
      <x:c r="J18" s="114" t="n"/>
      <x:c r="K18" s="114" t="n"/>
      <x:c r="L18" s="114" t="n"/>
      <x:c r="M18" s="114" t="n"/>
      <x:c r="N18" s="114" t="n"/>
    </x:row>
    <x:row r="19" s="139" customFormat="1" ht="30" customHeight="1">
      <x:c r="A19" s="127" t="inlineStr">
        <x:is>
          <x:t xml:space="preserve">6</x:t>
        </x:is>
      </x:c>
      <x:c r="B19" s="128" t="inlineStr">
        <x:is>
          <x:t xml:space="preserve">ב־holdout אין שינוי כללים. הצלחה ≥60% מאפשרת רק human review — לא הפעלה אוטומטית.</x:t>
        </x:is>
      </x:c>
      <x:c r="C19" s="198" t="n"/>
      <x:c r="D19" s="198" t="n"/>
      <x:c r="E19" s="198" t="n"/>
      <x:c r="F19" s="198" t="n"/>
      <x:c r="G19" s="114" t="n"/>
      <x:c r="H19" s="114" t="n"/>
      <x:c r="I19" s="114" t="n"/>
      <x:c r="J19" s="114" t="n"/>
      <x:c r="K19" s="114" t="n"/>
      <x:c r="L19" s="114" t="n"/>
      <x:c r="M19" s="114" t="n"/>
      <x:c r="N19" s="114" t="n"/>
    </x:row>
    <x:row r="20" s="139" customFormat="1" ht="30" customHeight="1">
      <x:c r="A20" s="129" t="inlineStr">
        <x:is>
          <x:t xml:space="preserve">7</x:t>
        </x:is>
      </x:c>
      <x:c r="B20" s="130" t="inlineStr">
        <x:is>
          <x:t xml:space="preserve">תשואת המניה נמדדת בנפרד; המבחן המרכזי הוא שינוי פונדמנטלי, ערך פנימי ושערי חובה.</x:t>
        </x:is>
      </x:c>
      <x:c r="C20" s="200" t="n"/>
      <x:c r="D20" s="200" t="n"/>
      <x:c r="E20" s="200" t="n"/>
      <x:c r="F20" s="200" t="n"/>
      <x:c r="G20" s="114" t="n"/>
      <x:c r="H20" s="114" t="n"/>
      <x:c r="I20" s="114" t="n"/>
      <x:c r="J20" s="114" t="n"/>
      <x:c r="K20" s="114" t="n"/>
      <x:c r="L20" s="114" t="n"/>
      <x:c r="M20" s="114" t="n"/>
      <x:c r="N20" s="114" t="n"/>
    </x:row>
    <x:row r="22" s="139" customFormat="1" ht="24" customHeight="1">
      <x:c r="A22" s="188" t="inlineStr">
        <x:is>
          <x:t xml:space="preserve">V10.6 Development Milestone: 1,000 Improvement Loops Completed</x:t>
        </x:is>
      </x:c>
    </x:row>
    <x:row r="23">
      <x:c r="A23" s="192" t="inlineStr">
        <x:is>
          <x:t xml:space="preserve">Completed 1,000 synthetic/adversarial result→feedback→improvement loops while preserving the frozen V10 empirical design: 960 loops used only the 60 Development companies and 40 used abstract cross-sector controls. Validation and Holdout cohorts remain untouched. 92 simulation rule-evolution events were logged across 43 rules. None receives empirical accuracy credit; the 60% authorization gate remains blocked until genuine prospective validation.</x:t>
        </x:is>
      </x:c>
    </x:row>
    <x:row r="24"/>
    <x:row r="25"/>
  </x:sheetData>
  <x:mergeCells>
    <x:mergeCell ref="A22:N22"/>
    <x:mergeCell ref="A13:F13"/>
    <x:mergeCell ref="B16:F16"/>
    <x:mergeCell ref="B15:F15"/>
    <x:mergeCell ref="A4:D4"/>
    <x:mergeCell ref="B20:F20"/>
    <x:mergeCell ref="A2:N2"/>
    <x:mergeCell ref="B19:F19"/>
    <x:mergeCell ref="B14:F14"/>
    <x:mergeCell ref="A23:N25"/>
    <x:mergeCell ref="B17:F17"/>
    <x:mergeCell ref="B18:F18"/>
    <x:mergeCell ref="A1:N1"/>
  </x:mergeCells>
  <x:pageMargins left="0.7" right="0.7" top="0.75" bottom="0.75" header="0.3" footer="0.3"/>
  <x:drawing xmlns:r="http://schemas.openxmlformats.org/officeDocument/2006/relationships" r:id="R98d0671496e646c6"/>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7.780000686645508" style="139" customWidth="1"/>
    <x:col min="2" max="2" width="27.780000686645508" style="139" customWidth="1"/>
    <x:col min="3" max="3" width="31.110000610351562" style="139" customWidth="1"/>
    <x:col min="4" max="4" width="21.110000610351562" style="139" customWidth="1"/>
    <x:col min="5" max="5" width="26.670000076293945" style="139" customWidth="1"/>
    <x:col min="6" max="6" width="21.110000610351562" style="139" customWidth="1"/>
    <x:col min="7" max="7" width="8.329999923706055" style="139" customWidth="1"/>
    <x:col min="8" max="8" width="13.329999923706055" style="139" customWidth="1"/>
    <x:col min="9" max="9" width="6.110000133514404" style="139" customWidth="1"/>
    <x:col min="10" max="10" width="11.670000076293945" style="139" customWidth="1"/>
    <x:col min="11" max="11" width="20" style="139" customWidth="1"/>
    <x:col min="12" max="12" width="21.110000610351562" style="139" customWidth="1"/>
  </x:cols>
  <x:sheetData>
    <x:row r="1" s="139" customFormat="1" ht="34" customHeight="1">
      <x:c r="A1" s="112" t="inlineStr">
        <x:is>
          <x:t xml:space="preserve">Global Sector Map</x:t>
        </x:is>
      </x:c>
    </x:row>
    <x:row r="2" s="139" customFormat="1" ht="28" customHeight="1">
      <x:c r="A2" s="113" t="inlineStr">
        <x:is>
          <x:t xml:space="preserve">No sector is excluded a priori. Zero representation means expansion queue, not rejection.</x:t>
        </x:is>
      </x:c>
    </x:row>
    <x:row r="3">
      <x:c r="A3" s="114" t="n"/>
      <x:c r="B3" s="114" t="n"/>
      <x:c r="C3" s="114" t="n"/>
      <x:c r="D3" s="114" t="n"/>
      <x:c r="E3" s="114" t="n"/>
      <x:c r="F3" s="114" t="n"/>
      <x:c r="G3" s="114" t="n"/>
      <x:c r="H3" s="114" t="n"/>
      <x:c r="I3" s="114" t="n"/>
      <x:c r="J3" s="114" t="n"/>
      <x:c r="K3" s="114" t="n"/>
      <x:c r="L3" s="114" t="n"/>
    </x:row>
    <x:row r="4">
      <x:c r="A4" s="114" t="n"/>
      <x:c r="B4" s="114" t="n"/>
      <x:c r="C4" s="114" t="n"/>
      <x:c r="D4" s="114" t="n"/>
      <x:c r="E4" s="114" t="n"/>
      <x:c r="F4" s="114" t="n"/>
      <x:c r="G4" s="114" t="n"/>
      <x:c r="H4" s="114" t="n"/>
      <x:c r="I4" s="114" t="n"/>
      <x:c r="J4" s="114" t="n"/>
      <x:c r="K4" s="114" t="n"/>
      <x:c r="L4" s="114" t="n"/>
    </x:row>
    <x:row r="5" s="139" customFormat="1" ht="30" customHeight="1">
      <x:c r="A5" s="116" t="inlineStr">
        <x:is>
          <x:t xml:space="preserve">Sector Family</x:t>
        </x:is>
      </x:c>
      <x:c r="B5" s="116" t="inlineStr">
        <x:is>
          <x:t xml:space="preserve">Economic Engine</x:t>
        </x:is>
      </x:c>
      <x:c r="C5" s="116" t="inlineStr">
        <x:is>
          <x:t xml:space="preserve">Primary KPIs</x:t>
        </x:is>
      </x:c>
      <x:c r="D5" s="116" t="inlineStr">
        <x:is>
          <x:t xml:space="preserve">Valuation Lens</x:t>
        </x:is>
      </x:c>
      <x:c r="E5" s="116" t="inlineStr">
        <x:is>
          <x:t xml:space="preserve">Failure / Trap Risks</x:t>
        </x:is>
      </x:c>
      <x:c r="F5" s="116" t="inlineStr">
        <x:is>
          <x:t xml:space="preserve">Control Company Rule</x:t>
        </x:is>
      </x:c>
      <x:c r="G5" s="116" t="inlineStr">
        <x:is>
          <x:t xml:space="preserve">Companies in Batch</x:t>
        </x:is>
      </x:c>
      <x:c r="H5" s="116" t="inlineStr">
        <x:is>
          <x:t xml:space="preserve">Coverage Status</x:t>
        </x:is>
      </x:c>
      <x:c r="I5" s="116" t="inlineStr">
        <x:is>
          <x:t xml:space="preserve">Priority</x:t>
        </x:is>
      </x:c>
      <x:c r="J5" s="116" t="inlineStr">
        <x:is>
          <x:t xml:space="preserve">Sector Book Status</x:t>
        </x:is>
      </x:c>
      <x:c r="K5" s="116" t="inlineStr">
        <x:is>
          <x:t xml:space="preserve">Next Expansion Action</x:t>
        </x:is>
      </x:c>
      <x:c r="L5" s="116" t="inlineStr">
        <x:is>
          <x:t xml:space="preserve">Notes</x:t>
        </x:is>
      </x:c>
    </x:row>
    <x:row r="6">
      <x:c r="A6" s="56" t="inlineStr">
        <x:is>
          <x:t xml:space="preserve">Quantum Computing</x:t>
        </x:is>
      </x:c>
      <x:c r="B6" s="56" t="inlineStr">
        <x:is>
          <x:t xml:space="preserve">Hardware modality + error suppression/correction + control stack + access economics</x:t>
        </x:is>
      </x:c>
      <x:c r="C6" s="56" t="inlineStr">
        <x:is>
          <x:t xml:space="preserve">Physical/logical qubits; 2Q fidelity; error rates; algorithmic performance; bookings quality; cash runway</x:t>
        </x:is>
      </x:c>
      <x:c r="D6" s="56" t="inlineStr">
        <x:is>
          <x:t xml:space="preserve">Milestone-weighted scenario value; net cash/runway; probability-adjusted commercial value</x:t>
        </x:is>
      </x:c>
      <x:c r="E6" s="56" t="inlineStr">
        <x:is>
          <x:t xml:space="preserve">Scientific milestone ≠ commercial value; dilution; benchmark gaming</x:t>
        </x:is>
      </x:c>
      <x:c r="F6" s="56" t="inlineStr">
        <x:is>
          <x:t xml:space="preserve">Different modality + diversified compute alternative</x:t>
        </x:is>
      </x:c>
      <x:c r="G6" s="193" t="n">
        <x:f>COUNTIF('Company Universe'!$F$6:$F$105,A6)</x:f>
        <x:v>4</x:v>
      </x:c>
      <x:c r="H6" s="56" t="str">
        <x:f>IF(G6&gt;0,"REPRESENTED","EXPANSION QUEUE")</x:f>
        <x:v>REPRESENTED</x:v>
      </x:c>
      <x:c r="I6" s="56" t="inlineStr">
        <x:is>
          <x:t xml:space="preserve">P1</x:t>
        </x:is>
      </x:c>
      <x:c r="J6" s="56" t="inlineStr">
        <x:is>
          <x:t xml:space="preserve">Build first</x:t>
        </x:is>
      </x:c>
      <x:c r="K6" s="56" t="inlineStr">
        <x:is>
          <x:t xml:space="preserve">Deepen represented companies</x:t>
        </x:is>
      </x:c>
      <x:c r="L6" s="56" t="inlineStr">
        <x:is>
          <x:t xml:space="preserve">Sector template guides; company specialist profile governs.</x:t>
        </x:is>
      </x:c>
    </x:row>
    <x:row r="7">
      <x:c r="A7" s="57" t="inlineStr">
        <x:is>
          <x:t xml:space="preserve">AI &amp; Semiconductors</x:t>
        </x:is>
      </x:c>
      <x:c r="B7" s="57" t="inlineStr">
        <x:is>
          <x:t xml:space="preserve">Compute demand × architecture advantage × ecosystem × manufacturing constraint</x:t>
        </x:is>
      </x:c>
      <x:c r="C7" s="57" t="inlineStr">
        <x:is>
          <x:t xml:space="preserve">Revenue mix; backlog; utilization; yield; node leadership; HBM/packaging; gross margin; inventory</x:t>
        </x:is>
      </x:c>
      <x:c r="D7" s="57" t="inlineStr">
        <x:is>
          <x:t xml:space="preserve">Normalized FCF; cycle-adjusted earnings; replacement cost; reverse DCF</x:t>
        </x:is>
      </x:c>
      <x:c r="E7" s="57" t="inlineStr">
        <x:is>
          <x:t xml:space="preserve">Peak-cycle margins; customer concentration; export controls; capex overshoot</x:t>
        </x:is>
      </x:c>
      <x:c r="F7" s="57" t="inlineStr">
        <x:is>
          <x:t xml:space="preserve">Architecture rival + foundry/equipment control</x:t>
        </x:is>
      </x:c>
      <x:c r="G7" s="194" t="n">
        <x:f>COUNTIF('Company Universe'!$F$6:$F$105,A7)</x:f>
        <x:v>9</x:v>
      </x:c>
      <x:c r="H7" s="57" t="str">
        <x:f>IF(G7&gt;0,"REPRESENTED","EXPANSION QUEUE")</x:f>
        <x:v>REPRESENTED</x:v>
      </x:c>
      <x:c r="I7" s="57" t="inlineStr">
        <x:is>
          <x:t xml:space="preserve">P1</x:t>
        </x:is>
      </x:c>
      <x:c r="J7" s="57" t="inlineStr">
        <x:is>
          <x:t xml:space="preserve">Build first</x:t>
        </x:is>
      </x:c>
      <x:c r="K7" s="57" t="inlineStr">
        <x:is>
          <x:t xml:space="preserve">Deepen represented companies</x:t>
        </x:is>
      </x:c>
      <x:c r="L7" s="57" t="inlineStr">
        <x:is>
          <x:t xml:space="preserve">Sector template guides; company specialist profile governs.</x:t>
        </x:is>
      </x:c>
    </x:row>
    <x:row r="8">
      <x:c r="A8" s="57" t="inlineStr">
        <x:is>
          <x:t xml:space="preserve">Power &amp; Grid</x:t>
        </x:is>
      </x:c>
      <x:c r="B8" s="57" t="inlineStr">
        <x:is>
          <x:t xml:space="preserve">Installed electrical/grid base × backlog × service content − project/capital risk</x:t>
        </x:is>
      </x:c>
      <x:c r="C8" s="57" t="inlineStr">
        <x:is>
          <x:t xml:space="preserve">Orders; backlog; book-to-bill; organic growth; service mix; margins; working capital</x:t>
        </x:is>
      </x:c>
      <x:c r="D8" s="57" t="inlineStr">
        <x:is>
          <x:t xml:space="preserve">Owner earnings; backlog economics; reverse DCF</x:t>
        </x:is>
      </x:c>
      <x:c r="E8" s="57" t="inlineStr">
        <x:is>
          <x:t xml:space="preserve">Scarcity narrative; fixed-price execution; capex cycle; rich valuation</x:t>
        </x:is>
      </x:c>
      <x:c r="F8" s="57" t="inlineStr">
        <x:is>
          <x:t xml:space="preserve">Same end-market equipment/service peer</x:t>
        </x:is>
      </x:c>
      <x:c r="G8" s="194" t="n">
        <x:f>COUNTIF('Company Universe'!$F$6:$F$105,A8)</x:f>
        <x:v>8</x:v>
      </x:c>
      <x:c r="H8" s="57" t="str">
        <x:f>IF(G8&gt;0,"REPRESENTED","EXPANSION QUEUE")</x:f>
        <x:v>REPRESENTED</x:v>
      </x:c>
      <x:c r="I8" s="57" t="inlineStr">
        <x:is>
          <x:t xml:space="preserve">P1</x:t>
        </x:is>
      </x:c>
      <x:c r="J8" s="57" t="inlineStr">
        <x:is>
          <x:t xml:space="preserve">Build first</x:t>
        </x:is>
      </x:c>
      <x:c r="K8" s="57" t="inlineStr">
        <x:is>
          <x:t xml:space="preserve">Deepen represented companies</x:t>
        </x:is>
      </x:c>
      <x:c r="L8" s="57" t="inlineStr">
        <x:is>
          <x:t xml:space="preserve">Sector template guides; company specialist profile governs.</x:t>
        </x:is>
      </x:c>
    </x:row>
    <x:row r="9">
      <x:c r="A9" s="57" t="inlineStr">
        <x:is>
          <x:t xml:space="preserve">Energy</x:t>
        </x:is>
      </x:c>
      <x:c r="B9" s="57" t="inlineStr">
        <x:is>
          <x:t xml:space="preserve">Resource quality × realized price × cost curve × decline rate × capital discipline</x:t>
        </x:is>
      </x:c>
      <x:c r="C9" s="57" t="inlineStr">
        <x:is>
          <x:t xml:space="preserve">Production; reserves; lifting cost; decline; capex; FCF breakeven; hedging</x:t>
        </x:is>
      </x:c>
      <x:c r="D9" s="57" t="inlineStr">
        <x:is>
          <x:t xml:space="preserve">NAV; mid-cycle FCF; reserve value; replacement cost</x:t>
        </x:is>
      </x:c>
      <x:c r="E9" s="57" t="inlineStr">
        <x:is>
          <x:t xml:space="preserve">Spot-price extrapolation; reserve overstatement; political risk</x:t>
        </x:is>
      </x:c>
      <x:c r="F9" s="57" t="inlineStr">
        <x:is>
          <x:t xml:space="preserve">Lower-cost peer + commodity benchmark</x:t>
        </x:is>
      </x:c>
      <x:c r="G9" s="194" t="n">
        <x:f>COUNTIF('Company Universe'!$F$6:$F$105,A9)</x:f>
        <x:v>5</x:v>
      </x:c>
      <x:c r="H9" s="57" t="str">
        <x:f>IF(G9&gt;0,"REPRESENTED","EXPANSION QUEUE")</x:f>
        <x:v>REPRESENTED</x:v>
      </x:c>
      <x:c r="I9" s="57" t="inlineStr">
        <x:is>
          <x:t xml:space="preserve">P1</x:t>
        </x:is>
      </x:c>
      <x:c r="J9" s="57" t="inlineStr">
        <x:is>
          <x:t xml:space="preserve">Build first</x:t>
        </x:is>
      </x:c>
      <x:c r="K9" s="57" t="inlineStr">
        <x:is>
          <x:t xml:space="preserve">Deepen represented companies</x:t>
        </x:is>
      </x:c>
      <x:c r="L9" s="57" t="inlineStr">
        <x:is>
          <x:t xml:space="preserve">Sector template guides; company specialist profile governs.</x:t>
        </x:is>
      </x:c>
    </x:row>
    <x:row r="10">
      <x:c r="A10" s="57" t="inlineStr">
        <x:is>
          <x:t xml:space="preserve">Shipping</x:t>
        </x:is>
      </x:c>
      <x:c r="B10" s="57" t="inlineStr">
        <x:is>
          <x:t xml:space="preserve">Fleet earning days × rate × utilization − opex/capex/interest</x:t>
        </x:is>
      </x:c>
      <x:c r="C10" s="57" t="inlineStr">
        <x:is>
          <x:t xml:space="preserve">TCE; NAV; fleet age; orderbook; scrapping; leverage; cash breakeven</x:t>
        </x:is>
      </x:c>
      <x:c r="D10" s="57" t="inlineStr">
        <x:is>
          <x:t xml:space="preserve">NAV; normalized cycle earnings; liquidation/replacement value</x:t>
        </x:is>
      </x:c>
      <x:c r="E10" s="57" t="inlineStr">
        <x:is>
          <x:t xml:space="preserve">Peak rates; newbuild orderbook; related-party deals; refinancing</x:t>
        </x:is>
      </x:c>
      <x:c r="F10" s="57" t="inlineStr">
        <x:is>
          <x:t xml:space="preserve">Same vessel class/age peer</x:t>
        </x:is>
      </x:c>
      <x:c r="G10" s="194" t="n">
        <x:f>COUNTIF('Company Universe'!$F$6:$F$105,A10)</x:f>
        <x:v>4</x:v>
      </x:c>
      <x:c r="H10" s="57" t="str">
        <x:f>IF(G10&gt;0,"REPRESENTED","EXPANSION QUEUE")</x:f>
        <x:v>REPRESENTED</x:v>
      </x:c>
      <x:c r="I10" s="57" t="inlineStr">
        <x:is>
          <x:t xml:space="preserve">P1</x:t>
        </x:is>
      </x:c>
      <x:c r="J10" s="57" t="inlineStr">
        <x:is>
          <x:t xml:space="preserve">Build first</x:t>
        </x:is>
      </x:c>
      <x:c r="K10" s="57" t="inlineStr">
        <x:is>
          <x:t xml:space="preserve">Deepen represented companies</x:t>
        </x:is>
      </x:c>
      <x:c r="L10" s="57" t="inlineStr">
        <x:is>
          <x:t xml:space="preserve">Sector template guides; company specialist profile governs.</x:t>
        </x:is>
      </x:c>
    </x:row>
    <x:row r="11">
      <x:c r="A11" s="57" t="inlineStr">
        <x:is>
          <x:t xml:space="preserve">Banks</x:t>
        </x:is>
      </x:c>
      <x:c r="B11" s="57" t="inlineStr">
        <x:is>
          <x:t xml:space="preserve">Funding franchise + asset yield − credit losses − operating cost</x:t>
        </x:is>
      </x:c>
      <x:c r="C11" s="57" t="inlineStr">
        <x:is>
          <x:t xml:space="preserve">NIM; deposit beta; loan growth; NPLs; reserves; CET1; ROTCE</x:t>
        </x:is>
      </x:c>
      <x:c r="D11" s="57" t="inlineStr">
        <x:is>
          <x:t xml:space="preserve">Tangible book; normalized earnings; excess capital</x:t>
        </x:is>
      </x:c>
      <x:c r="E11" s="57" t="inlineStr">
        <x:is>
          <x:t xml:space="preserve">Hidden duration/credit risk; deposit flight; weak underwriting</x:t>
        </x:is>
      </x:c>
      <x:c r="F11" s="57" t="inlineStr">
        <x:is>
          <x:t xml:space="preserve">Same geography/business-mix bank</x:t>
        </x:is>
      </x:c>
      <x:c r="G11" s="194" t="n">
        <x:f>COUNTIF('Company Universe'!$F$6:$F$105,A11)</x:f>
        <x:v>7</x:v>
      </x:c>
      <x:c r="H11" s="57" t="str">
        <x:f>IF(G11&gt;0,"REPRESENTED","EXPANSION QUEUE")</x:f>
        <x:v>REPRESENTED</x:v>
      </x:c>
      <x:c r="I11" s="57" t="inlineStr">
        <x:is>
          <x:t xml:space="preserve">P2</x:t>
        </x:is>
      </x:c>
      <x:c r="J11" s="57" t="inlineStr">
        <x:is>
          <x:t xml:space="preserve">Queued</x:t>
        </x:is>
      </x:c>
      <x:c r="K11" s="57" t="inlineStr">
        <x:is>
          <x:t xml:space="preserve">Deepen represented companies</x:t>
        </x:is>
      </x:c>
      <x:c r="L11" s="57" t="inlineStr">
        <x:is>
          <x:t xml:space="preserve">Sector template guides; company specialist profile governs.</x:t>
        </x:is>
      </x:c>
    </x:row>
    <x:row r="12">
      <x:c r="A12" s="57" t="inlineStr">
        <x:is>
          <x:t xml:space="preserve">Insurance</x:t>
        </x:is>
      </x:c>
      <x:c r="B12" s="57" t="inlineStr">
        <x:is>
          <x:t xml:space="preserve">Underwriting profit + investment income on float</x:t>
        </x:is>
      </x:c>
      <x:c r="C12" s="57" t="inlineStr">
        <x:is>
          <x:t xml:space="preserve">Combined ratio; reserve development; renewal pricing; float; solvency; catastrophe exposure</x:t>
        </x:is>
      </x:c>
      <x:c r="D12" s="57" t="inlineStr">
        <x:is>
          <x:t xml:space="preserve">Book value growth; normalized underwriting + float value</x:t>
        </x:is>
      </x:c>
      <x:c r="E12" s="57" t="inlineStr">
        <x:is>
          <x:t xml:space="preserve">Reserve deficiency; catastrophe concentration; soft pricing</x:t>
        </x:is>
      </x:c>
      <x:c r="F12" s="57" t="inlineStr">
        <x:is>
          <x:t xml:space="preserve">Same lines/geography insurer</x:t>
        </x:is>
      </x:c>
      <x:c r="G12" s="194" t="n">
        <x:f>COUNTIF('Company Universe'!$F$6:$F$105,A12)</x:f>
        <x:v>7</x:v>
      </x:c>
      <x:c r="H12" s="57" t="str">
        <x:f>IF(G12&gt;0,"REPRESENTED","EXPANSION QUEUE")</x:f>
        <x:v>REPRESENTED</x:v>
      </x:c>
      <x:c r="I12" s="57" t="inlineStr">
        <x:is>
          <x:t xml:space="preserve">P2</x:t>
        </x:is>
      </x:c>
      <x:c r="J12" s="57" t="inlineStr">
        <x:is>
          <x:t xml:space="preserve">Queued</x:t>
        </x:is>
      </x:c>
      <x:c r="K12" s="57" t="inlineStr">
        <x:is>
          <x:t xml:space="preserve">Deepen represented companies</x:t>
        </x:is>
      </x:c>
      <x:c r="L12" s="57" t="inlineStr">
        <x:is>
          <x:t xml:space="preserve">Sector template guides; company specialist profile governs.</x:t>
        </x:is>
      </x:c>
    </x:row>
    <x:row r="13">
      <x:c r="A13" s="57" t="inlineStr">
        <x:is>
          <x:t xml:space="preserve">Software &amp; Payments</x:t>
        </x:is>
      </x:c>
      <x:c r="B13" s="57" t="inlineStr">
        <x:is>
          <x:t xml:space="preserve">Mission-critical workflow × retention × attach × pricing − reinvestment</x:t>
        </x:is>
      </x:c>
      <x:c r="C13" s="57" t="inlineStr">
        <x:is>
          <x:t xml:space="preserve">NRR/retention; customer adds; attach; TPV; take rate; CAC; SBC; FCF</x:t>
        </x:is>
      </x:c>
      <x:c r="D13" s="57" t="inlineStr">
        <x:is>
          <x:t xml:space="preserve">Owner earnings; reverse DCF; cohort economics</x:t>
        </x:is>
      </x:c>
      <x:c r="E13" s="57" t="inlineStr">
        <x:is>
          <x:t xml:space="preserve">SBC masking; price-led growth with churn; M&amp;A overpayment</x:t>
        </x:is>
      </x:c>
      <x:c r="F13" s="57" t="inlineStr">
        <x:is>
          <x:t xml:space="preserve">Direct workflow/payment competitor</x:t>
        </x:is>
      </x:c>
      <x:c r="G13" s="194" t="n">
        <x:f>COUNTIF('Company Universe'!$F$6:$F$105,A13)</x:f>
        <x:v>8</x:v>
      </x:c>
      <x:c r="H13" s="57" t="str">
        <x:f>IF(G13&gt;0,"REPRESENTED","EXPANSION QUEUE")</x:f>
        <x:v>REPRESENTED</x:v>
      </x:c>
      <x:c r="I13" s="57" t="inlineStr">
        <x:is>
          <x:t xml:space="preserve">P2</x:t>
        </x:is>
      </x:c>
      <x:c r="J13" s="57" t="inlineStr">
        <x:is>
          <x:t xml:space="preserve">Queued</x:t>
        </x:is>
      </x:c>
      <x:c r="K13" s="57" t="inlineStr">
        <x:is>
          <x:t xml:space="preserve">Deepen represented companies</x:t>
        </x:is>
      </x:c>
      <x:c r="L13" s="57" t="inlineStr">
        <x:is>
          <x:t xml:space="preserve">Sector template guides; company specialist profile governs.</x:t>
        </x:is>
      </x:c>
    </x:row>
    <x:row r="14">
      <x:c r="A14" s="57" t="inlineStr">
        <x:is>
          <x:t xml:space="preserve">Industrials &amp; Defense</x:t>
        </x:is>
      </x:c>
      <x:c r="B14" s="57" t="inlineStr">
        <x:is>
          <x:t xml:space="preserve">Installed base/backlog × utilization × service attach × execution</x:t>
        </x:is>
      </x:c>
      <x:c r="C14" s="57" t="inlineStr">
        <x:is>
          <x:t xml:space="preserve">Backlog; book-to-bill; organic growth; service mix; margins; working capital</x:t>
        </x:is>
      </x:c>
      <x:c r="D14" s="57" t="inlineStr">
        <x:is>
          <x:t xml:space="preserve">Mid-cycle FCF; sum-of-parts; backlog economics</x:t>
        </x:is>
      </x:c>
      <x:c r="E14" s="57" t="inlineStr">
        <x:is>
          <x:t xml:space="preserve">Backlog quality; fixed-price overruns; cycle peak</x:t>
        </x:is>
      </x:c>
      <x:c r="F14" s="57" t="inlineStr">
        <x:is>
          <x:t xml:space="preserve">Same end-market peer</x:t>
        </x:is>
      </x:c>
      <x:c r="G14" s="194" t="n">
        <x:f>COUNTIF('Company Universe'!$F$6:$F$105,A14)</x:f>
        <x:v>5</x:v>
      </x:c>
      <x:c r="H14" s="57" t="str">
        <x:f>IF(G14&gt;0,"REPRESENTED","EXPANSION QUEUE")</x:f>
        <x:v>REPRESENTED</x:v>
      </x:c>
      <x:c r="I14" s="57" t="inlineStr">
        <x:is>
          <x:t xml:space="preserve">P2</x:t>
        </x:is>
      </x:c>
      <x:c r="J14" s="57" t="inlineStr">
        <x:is>
          <x:t xml:space="preserve">Queued</x:t>
        </x:is>
      </x:c>
      <x:c r="K14" s="57" t="inlineStr">
        <x:is>
          <x:t xml:space="preserve">Deepen represented companies</x:t>
        </x:is>
      </x:c>
      <x:c r="L14" s="57" t="inlineStr">
        <x:is>
          <x:t xml:space="preserve">Sector template guides; company specialist profile governs.</x:t>
        </x:is>
      </x:c>
    </x:row>
    <x:row r="15">
      <x:c r="A15" s="57" t="inlineStr">
        <x:is>
          <x:t xml:space="preserve">Healthcare &amp; Biopharma</x:t>
        </x:is>
      </x:c>
      <x:c r="B15" s="57" t="inlineStr">
        <x:is>
          <x:t xml:space="preserve">Clinical/product differentiation × access × duration × pipeline replenishment</x:t>
        </x:is>
      </x:c>
      <x:c r="C15" s="57" t="inlineStr">
        <x:is>
          <x:t xml:space="preserve">Volumes; net price; patent life; trial milestones; probability of success; R&amp;D productivity</x:t>
        </x:is>
      </x:c>
      <x:c r="D15" s="57" t="inlineStr">
        <x:is>
          <x:t xml:space="preserve">rNPV; product DCF; normalized portfolio FCF</x:t>
        </x:is>
      </x:c>
      <x:c r="E15" s="57" t="inlineStr">
        <x:is>
          <x:t xml:space="preserve">Binary trial risk; patent cliff; reimbursement; concentration</x:t>
        </x:is>
      </x:c>
      <x:c r="F15" s="57" t="inlineStr">
        <x:is>
          <x:t xml:space="preserve">Same indication/standard of care</x:t>
        </x:is>
      </x:c>
      <x:c r="G15" s="194" t="n">
        <x:f>COUNTIF('Company Universe'!$F$6:$F$105,A15)</x:f>
        <x:v>6</x:v>
      </x:c>
      <x:c r="H15" s="57" t="str">
        <x:f>IF(G15&gt;0,"REPRESENTED","EXPANSION QUEUE")</x:f>
        <x:v>REPRESENTED</x:v>
      </x:c>
      <x:c r="I15" s="57" t="inlineStr">
        <x:is>
          <x:t xml:space="preserve">P2</x:t>
        </x:is>
      </x:c>
      <x:c r="J15" s="57" t="inlineStr">
        <x:is>
          <x:t xml:space="preserve">Queued</x:t>
        </x:is>
      </x:c>
      <x:c r="K15" s="57" t="inlineStr">
        <x:is>
          <x:t xml:space="preserve">Deepen represented companies</x:t>
        </x:is>
      </x:c>
      <x:c r="L15" s="57" t="inlineStr">
        <x:is>
          <x:t xml:space="preserve">Sector template guides; company specialist profile governs.</x:t>
        </x:is>
      </x:c>
    </x:row>
    <x:row r="16">
      <x:c r="A16" s="57" t="inlineStr">
        <x:is>
          <x:t xml:space="preserve">Consumer</x:t>
        </x:is>
      </x:c>
      <x:c r="B16" s="57" t="inlineStr">
        <x:is>
          <x:t xml:space="preserve">Brand/distribution × repeat purchase × volume/price/mix</x:t>
        </x:is>
      </x:c>
      <x:c r="C16" s="57" t="inlineStr">
        <x:is>
          <x:t xml:space="preserve">Units; traffic; same-store sales; price/mix; gross margin; inventory; ROIC</x:t>
        </x:is>
      </x:c>
      <x:c r="D16" s="57" t="inlineStr">
        <x:is>
          <x:t xml:space="preserve">Normalized FCF; franchise value; reverse DCF</x:t>
        </x:is>
      </x:c>
      <x:c r="E16" s="57" t="inlineStr">
        <x:is>
          <x:t xml:space="preserve">Price masking volume decline; fashion risk; channel stuffing</x:t>
        </x:is>
      </x:c>
      <x:c r="F16" s="57" t="inlineStr">
        <x:is>
          <x:t xml:space="preserve">Same category/channel peer</x:t>
        </x:is>
      </x:c>
      <x:c r="G16" s="194" t="n">
        <x:f>COUNTIF('Company Universe'!$F$6:$F$105,A16)</x:f>
        <x:v>7</x:v>
      </x:c>
      <x:c r="H16" s="57" t="str">
        <x:f>IF(G16&gt;0,"REPRESENTED","EXPANSION QUEUE")</x:f>
        <x:v>REPRESENTED</x:v>
      </x:c>
      <x:c r="I16" s="57" t="inlineStr">
        <x:is>
          <x:t xml:space="preserve">P2</x:t>
        </x:is>
      </x:c>
      <x:c r="J16" s="57" t="inlineStr">
        <x:is>
          <x:t xml:space="preserve">Queued</x:t>
        </x:is>
      </x:c>
      <x:c r="K16" s="57" t="inlineStr">
        <x:is>
          <x:t xml:space="preserve">Deepen represented companies</x:t>
        </x:is>
      </x:c>
      <x:c r="L16" s="57" t="inlineStr">
        <x:is>
          <x:t xml:space="preserve">Sector template guides; company specialist profile governs.</x:t>
        </x:is>
      </x:c>
    </x:row>
    <x:row r="17">
      <x:c r="A17" s="57" t="inlineStr">
        <x:is>
          <x:t xml:space="preserve">Materials &amp; Mining</x:t>
        </x:is>
      </x:c>
      <x:c r="B17" s="57" t="inlineStr">
        <x:is>
          <x:t xml:space="preserve">Ore quality/reserves × commodity price − unit cost − sustaining capex</x:t>
        </x:is>
      </x:c>
      <x:c r="C17" s="57" t="inlineStr">
        <x:is>
          <x:t xml:space="preserve">Grades; reserves; C1 cost; recovery; volume; sustaining capex; jurisdiction</x:t>
        </x:is>
      </x:c>
      <x:c r="D17" s="57" t="inlineStr">
        <x:is>
          <x:t xml:space="preserve">Asset NAV; cost-curve mid-cycle FCF</x:t>
        </x:is>
      </x:c>
      <x:c r="E17" s="57" t="inlineStr">
        <x:is>
          <x:t xml:space="preserve">Spot-price extrapolation; capex blowouts; resource nationalism</x:t>
        </x:is>
      </x:c>
      <x:c r="F17" s="57" t="inlineStr">
        <x:is>
          <x:t xml:space="preserve">Same commodity cost-curve peer</x:t>
        </x:is>
      </x:c>
      <x:c r="G17" s="194" t="n">
        <x:f>COUNTIF('Company Universe'!$F$6:$F$105,A17)</x:f>
        <x:v>5</x:v>
      </x:c>
      <x:c r="H17" s="57" t="str">
        <x:f>IF(G17&gt;0,"REPRESENTED","EXPANSION QUEUE")</x:f>
        <x:v>REPRESENTED</x:v>
      </x:c>
      <x:c r="I17" s="57" t="inlineStr">
        <x:is>
          <x:t xml:space="preserve">P2</x:t>
        </x:is>
      </x:c>
      <x:c r="J17" s="57" t="inlineStr">
        <x:is>
          <x:t xml:space="preserve">Queued</x:t>
        </x:is>
      </x:c>
      <x:c r="K17" s="57" t="inlineStr">
        <x:is>
          <x:t xml:space="preserve">Deepen represented companies</x:t>
        </x:is>
      </x:c>
      <x:c r="L17" s="57" t="inlineStr">
        <x:is>
          <x:t xml:space="preserve">Sector template guides; company specialist profile governs.</x:t>
        </x:is>
      </x:c>
    </x:row>
    <x:row r="18">
      <x:c r="A18" s="57" t="inlineStr">
        <x:is>
          <x:t xml:space="preserve">Specialty Ingredients</x:t>
        </x:is>
      </x:c>
      <x:c r="B18" s="57" t="inlineStr">
        <x:is>
          <x:t xml:space="preserve">Formulation/customer intimacy × innovation × pricing − raw-material and acquisition burden</x:t>
        </x:is>
      </x:c>
      <x:c r="C18" s="57" t="inlineStr">
        <x:is>
          <x:t xml:space="preserve">Organic volume/price; win rate; EBITDA; FCF; integration; customer retention</x:t>
        </x:is>
      </x:c>
      <x:c r="D18" s="57" t="inlineStr">
        <x:is>
          <x:t xml:space="preserve">Normalized FCF; EV/EBITDA; acquisition-cohort ROIC</x:t>
        </x:is>
      </x:c>
      <x:c r="E18" s="57" t="inlineStr">
        <x:is>
          <x:t xml:space="preserve">Acquisition roll-up masking organic weakness; raw-material lag</x:t>
        </x:is>
      </x:c>
      <x:c r="F18" s="57" t="inlineStr">
        <x:is>
          <x:t xml:space="preserve">Pure-play peer with less M&amp;A</x:t>
        </x:is>
      </x:c>
      <x:c r="G18" s="194" t="n">
        <x:f>COUNTIF('Company Universe'!$F$6:$F$105,A18)</x:f>
        <x:v>6</x:v>
      </x:c>
      <x:c r="H18" s="57" t="str">
        <x:f>IF(G18&gt;0,"REPRESENTED","EXPANSION QUEUE")</x:f>
        <x:v>REPRESENTED</x:v>
      </x:c>
      <x:c r="I18" s="57" t="inlineStr">
        <x:is>
          <x:t xml:space="preserve">P1</x:t>
        </x:is>
      </x:c>
      <x:c r="J18" s="57" t="inlineStr">
        <x:is>
          <x:t xml:space="preserve">Build first</x:t>
        </x:is>
      </x:c>
      <x:c r="K18" s="57" t="inlineStr">
        <x:is>
          <x:t xml:space="preserve">Deepen represented companies</x:t>
        </x:is>
      </x:c>
      <x:c r="L18" s="57" t="inlineStr">
        <x:is>
          <x:t xml:space="preserve">Sector template guides; company specialist profile governs.</x:t>
        </x:is>
      </x:c>
    </x:row>
    <x:row r="19">
      <x:c r="A19" s="57" t="inlineStr">
        <x:is>
          <x:t xml:space="preserve">Real Estate &amp; Telecom</x:t>
        </x:is>
      </x:c>
      <x:c r="B19" s="57" t="inlineStr">
        <x:is>
          <x:t xml:space="preserve">Scarce network/locations × occupancy/traffic × contractual escalators − financing</x:t>
        </x:is>
      </x:c>
      <x:c r="C19" s="57" t="inlineStr">
        <x:is>
          <x:t xml:space="preserve">Occupancy; rent growth; AFFO; churn; leverage; debt maturity; capex</x:t>
        </x:is>
      </x:c>
      <x:c r="D19" s="57" t="inlineStr">
        <x:is>
          <x:t xml:space="preserve">NAV; AFFO; DCF; replacement cost</x:t>
        </x:is>
      </x:c>
      <x:c r="E19" s="57" t="inlineStr">
        <x:is>
          <x:t xml:space="preserve">Refinancing; tenant/customer concentration; maintenance capex</x:t>
        </x:is>
      </x:c>
      <x:c r="F19" s="57" t="inlineStr">
        <x:is>
          <x:t xml:space="preserve">Same asset/network type peer</x:t>
        </x:is>
      </x:c>
      <x:c r="G19" s="194" t="n">
        <x:f>COUNTIF('Company Universe'!$F$6:$F$105,A19)</x:f>
        <x:v>3</x:v>
      </x:c>
      <x:c r="H19" s="57" t="str">
        <x:f>IF(G19&gt;0,"REPRESENTED","EXPANSION QUEUE")</x:f>
        <x:v>REPRESENTED</x:v>
      </x:c>
      <x:c r="I19" s="57" t="inlineStr">
        <x:is>
          <x:t xml:space="preserve">P2</x:t>
        </x:is>
      </x:c>
      <x:c r="J19" s="57" t="inlineStr">
        <x:is>
          <x:t xml:space="preserve">Queued</x:t>
        </x:is>
      </x:c>
      <x:c r="K19" s="57" t="inlineStr">
        <x:is>
          <x:t xml:space="preserve">Deepen represented companies</x:t>
        </x:is>
      </x:c>
      <x:c r="L19" s="57" t="inlineStr">
        <x:is>
          <x:t xml:space="preserve">Sector template guides; company specialist profile governs.</x:t>
        </x:is>
      </x:c>
    </x:row>
    <x:row r="20">
      <x:c r="A20" s="57" t="inlineStr">
        <x:is>
          <x:t xml:space="preserve">Utilities</x:t>
        </x:is>
      </x:c>
      <x:c r="B20" s="57" t="inlineStr">
        <x:is>
          <x:t xml:space="preserve">Regulated asset base × allowed return + load growth − financing/capex</x:t>
        </x:is>
      </x:c>
      <x:c r="C20" s="57" t="inlineStr">
        <x:is>
          <x:t xml:space="preserve">Rate base; allowed ROE; capex; load; outage; debt; regulatory lag</x:t>
        </x:is>
      </x:c>
      <x:c r="D20" s="57" t="inlineStr">
        <x:is>
          <x:t xml:space="preserve">Rate-base DCF; dividend capacity</x:t>
        </x:is>
      </x:c>
      <x:c r="E20" s="57" t="inlineStr">
        <x:is>
          <x:t xml:space="preserve">Political disallowance; wildfire/nuclear liability; capex funding</x:t>
        </x:is>
      </x:c>
      <x:c r="F20" s="57" t="inlineStr">
        <x:is>
          <x:t xml:space="preserve">Same regulator/fuel mix peer</x:t>
        </x:is>
      </x:c>
      <x:c r="G20" s="194" t="n">
        <x:f>COUNTIF('Company Universe'!$F$6:$F$105,A20)</x:f>
        <x:v>3</x:v>
      </x:c>
      <x:c r="H20" s="57" t="str">
        <x:f>IF(G20&gt;0,"REPRESENTED","EXPANSION QUEUE")</x:f>
        <x:v>REPRESENTED</x:v>
      </x:c>
      <x:c r="I20" s="57" t="inlineStr">
        <x:is>
          <x:t xml:space="preserve">P3</x:t>
        </x:is>
      </x:c>
      <x:c r="J20" s="57" t="inlineStr">
        <x:is>
          <x:t xml:space="preserve">Queued</x:t>
        </x:is>
      </x:c>
      <x:c r="K20" s="57" t="inlineStr">
        <x:is>
          <x:t xml:space="preserve">Add representative companies</x:t>
        </x:is>
      </x:c>
      <x:c r="L20" s="57" t="inlineStr">
        <x:is>
          <x:t xml:space="preserve">Sector template guides; company specialist profile governs.</x:t>
        </x:is>
      </x:c>
    </x:row>
    <x:row r="21">
      <x:c r="A21" s="57" t="inlineStr">
        <x:is>
          <x:t xml:space="preserve">Transportation</x:t>
        </x:is>
      </x:c>
      <x:c r="B21" s="57" t="inlineStr">
        <x:is>
          <x:t xml:space="preserve">Volume × yield − fuel/labor/asset intensity</x:t>
        </x:is>
      </x:c>
      <x:c r="C21" s="57" t="inlineStr">
        <x:is>
          <x:t xml:space="preserve">Load factor; yield; unit revenue/cost; utilization; fleet/rail capex</x:t>
        </x:is>
      </x:c>
      <x:c r="D21" s="57" t="inlineStr">
        <x:is>
          <x:t xml:space="preserve">Mid-cycle FCF; asset value</x:t>
        </x:is>
      </x:c>
      <x:c r="E21" s="57" t="inlineStr">
        <x:is>
          <x:t xml:space="preserve">Peak utilization; labor/fuel shocks; fixed-cost leverage</x:t>
        </x:is>
      </x:c>
      <x:c r="F21" s="57" t="inlineStr">
        <x:is>
          <x:t xml:space="preserve">Same route/network peer</x:t>
        </x:is>
      </x:c>
      <x:c r="G21" s="194" t="n">
        <x:f>COUNTIF('Company Universe'!$F$6:$F$105,A21)</x:f>
        <x:v>2</x:v>
      </x:c>
      <x:c r="H21" s="57" t="str">
        <x:f>IF(G21&gt;0,"REPRESENTED","EXPANSION QUEUE")</x:f>
        <x:v>REPRESENTED</x:v>
      </x:c>
      <x:c r="I21" s="57" t="inlineStr">
        <x:is>
          <x:t xml:space="preserve">P3</x:t>
        </x:is>
      </x:c>
      <x:c r="J21" s="57" t="inlineStr">
        <x:is>
          <x:t xml:space="preserve">Queued</x:t>
        </x:is>
      </x:c>
      <x:c r="K21" s="57" t="inlineStr">
        <x:is>
          <x:t xml:space="preserve">Add representative companies</x:t>
        </x:is>
      </x:c>
      <x:c r="L21" s="57" t="inlineStr">
        <x:is>
          <x:t xml:space="preserve">Sector template guides; company specialist profile governs.</x:t>
        </x:is>
      </x:c>
    </x:row>
    <x:row r="22">
      <x:c r="A22" s="57" t="inlineStr">
        <x:is>
          <x:t xml:space="preserve">Autos &amp; Mobility</x:t>
        </x:is>
      </x:c>
      <x:c r="B22" s="57" t="inlineStr">
        <x:is>
          <x:t xml:space="preserve">Units × mix × finance/software attach − warranty/capex</x:t>
        </x:is>
      </x:c>
      <x:c r="C22" s="57" t="inlineStr">
        <x:is>
          <x:t xml:space="preserve">Deliveries; ASP; incentives; inventory; warranty; battery cost; capex</x:t>
        </x:is>
      </x:c>
      <x:c r="D22" s="57" t="inlineStr">
        <x:is>
          <x:t xml:space="preserve">Cycle-normalized earnings; sum-of-parts</x:t>
        </x:is>
      </x:c>
      <x:c r="E22" s="57" t="inlineStr">
        <x:is>
          <x:t xml:space="preserve">Residual values; incentives; technology transition</x:t>
        </x:is>
      </x:c>
      <x:c r="F22" s="57" t="inlineStr">
        <x:is>
          <x:t xml:space="preserve">ICE/EV peer by region</x:t>
        </x:is>
      </x:c>
      <x:c r="G22" s="194" t="n">
        <x:f>COUNTIF('Company Universe'!$F$6:$F$105,A22)</x:f>
        <x:v>1</x:v>
      </x:c>
      <x:c r="H22" s="57" t="str">
        <x:f>IF(G22&gt;0,"REPRESENTED","EXPANSION QUEUE")</x:f>
        <x:v>REPRESENTED</x:v>
      </x:c>
      <x:c r="I22" s="57" t="inlineStr">
        <x:is>
          <x:t xml:space="preserve">P3</x:t>
        </x:is>
      </x:c>
      <x:c r="J22" s="57" t="inlineStr">
        <x:is>
          <x:t xml:space="preserve">Queued</x:t>
        </x:is>
      </x:c>
      <x:c r="K22" s="57" t="inlineStr">
        <x:is>
          <x:t xml:space="preserve">Add representative companies</x:t>
        </x:is>
      </x:c>
      <x:c r="L22" s="57" t="inlineStr">
        <x:is>
          <x:t xml:space="preserve">Sector template guides; company specialist profile governs.</x:t>
        </x:is>
      </x:c>
    </x:row>
    <x:row r="23">
      <x:c r="A23" s="57" t="inlineStr">
        <x:is>
          <x:t xml:space="preserve">Agriculture &amp; Fertilizers</x:t>
        </x:is>
      </x:c>
      <x:c r="B23" s="57" t="inlineStr">
        <x:is>
          <x:t xml:space="preserve">Acreage/yield/input price × cost position × weather</x:t>
        </x:is>
      </x:c>
      <x:c r="C23" s="57" t="inlineStr">
        <x:is>
          <x:t xml:space="preserve">Planted acres; crop/input prices; capacity; nutrient affordability; inventories</x:t>
        </x:is>
      </x:c>
      <x:c r="D23" s="57" t="inlineStr">
        <x:is>
          <x:t xml:space="preserve">Mid-cycle FCF; asset/replacement value</x:t>
        </x:is>
      </x:c>
      <x:c r="E23" s="57" t="inlineStr">
        <x:is>
          <x:t xml:space="preserve">Weather extrapolation; capacity additions; policy</x:t>
        </x:is>
      </x:c>
      <x:c r="F23" s="57" t="inlineStr">
        <x:is>
          <x:t xml:space="preserve">Same nutrient/crop exposure peer</x:t>
        </x:is>
      </x:c>
      <x:c r="G23" s="194" t="n">
        <x:f>COUNTIF('Company Universe'!$F$6:$F$105,A23)</x:f>
        <x:v>2</x:v>
      </x:c>
      <x:c r="H23" s="57" t="str">
        <x:f>IF(G23&gt;0,"REPRESENTED","EXPANSION QUEUE")</x:f>
        <x:v>REPRESENTED</x:v>
      </x:c>
      <x:c r="I23" s="57" t="inlineStr">
        <x:is>
          <x:t xml:space="preserve">P3</x:t>
        </x:is>
      </x:c>
      <x:c r="J23" s="57" t="inlineStr">
        <x:is>
          <x:t xml:space="preserve">Queued</x:t>
        </x:is>
      </x:c>
      <x:c r="K23" s="57" t="inlineStr">
        <x:is>
          <x:t xml:space="preserve">Add representative companies</x:t>
        </x:is>
      </x:c>
      <x:c r="L23" s="57" t="inlineStr">
        <x:is>
          <x:t xml:space="preserve">Sector template guides; company specialist profile governs.</x:t>
        </x:is>
      </x:c>
    </x:row>
    <x:row r="24">
      <x:c r="A24" s="57" t="inlineStr">
        <x:is>
          <x:t xml:space="preserve">Media &amp; Internet</x:t>
        </x:is>
      </x:c>
      <x:c r="B24" s="57" t="inlineStr">
        <x:is>
          <x:t xml:space="preserve">Attention/traffic × monetization − acquisition/content cost</x:t>
        </x:is>
      </x:c>
      <x:c r="C24" s="57" t="inlineStr">
        <x:is>
          <x:t xml:space="preserve">MAU/DAU; time spent; ARPU; ad load; churn; content cost</x:t>
        </x:is>
      </x:c>
      <x:c r="D24" s="57" t="inlineStr">
        <x:is>
          <x:t xml:space="preserve">Owner earnings; user-cohort value; reverse DCF</x:t>
        </x:is>
      </x:c>
      <x:c r="E24" s="57" t="inlineStr">
        <x:is>
          <x:t xml:space="preserve">Platform dependence; content inflation; privacy/regulation</x:t>
        </x:is>
      </x:c>
      <x:c r="F24" s="57" t="inlineStr">
        <x:is>
          <x:t xml:space="preserve">Alternate platform for same user job</x:t>
        </x:is>
      </x:c>
      <x:c r="G24" s="194" t="n">
        <x:f>COUNTIF('Company Universe'!$F$6:$F$105,A24)</x:f>
        <x:v>3</x:v>
      </x:c>
      <x:c r="H24" s="57" t="str">
        <x:f>IF(G24&gt;0,"REPRESENTED","EXPANSION QUEUE")</x:f>
        <x:v>REPRESENTED</x:v>
      </x:c>
      <x:c r="I24" s="57" t="inlineStr">
        <x:is>
          <x:t xml:space="preserve">P3</x:t>
        </x:is>
      </x:c>
      <x:c r="J24" s="57" t="inlineStr">
        <x:is>
          <x:t xml:space="preserve">Queued</x:t>
        </x:is>
      </x:c>
      <x:c r="K24" s="57" t="inlineStr">
        <x:is>
          <x:t xml:space="preserve">Add representative companies</x:t>
        </x:is>
      </x:c>
      <x:c r="L24" s="57" t="inlineStr">
        <x:is>
          <x:t xml:space="preserve">Sector template guides; company specialist profile governs.</x:t>
        </x:is>
      </x:c>
    </x:row>
    <x:row r="25">
      <x:c r="A25" s="57" t="inlineStr">
        <x:is>
          <x:t xml:space="preserve">Business Services &amp; Exchanges</x:t>
        </x:is>
      </x:c>
      <x:c r="B25" s="57" t="inlineStr">
        <x:is>
          <x:t xml:space="preserve">Workflow/data/network usage × price × recurring contracts</x:t>
        </x:is>
      </x:c>
      <x:c r="C25" s="57" t="inlineStr">
        <x:is>
          <x:t xml:space="preserve">Volumes; recurring mix; retention; pricing; data revenue; margins</x:t>
        </x:is>
      </x:c>
      <x:c r="D25" s="57" t="inlineStr">
        <x:is>
          <x:t xml:space="preserve">Owner earnings; franchise DCF</x:t>
        </x:is>
      </x:c>
      <x:c r="E25" s="57" t="inlineStr">
        <x:is>
          <x:t xml:space="preserve">Cyclicality hidden by pricing; regulatory attack</x:t>
        </x:is>
      </x:c>
      <x:c r="F25" s="57" t="inlineStr">
        <x:is>
          <x:t xml:space="preserve">Competing venue/workflow peer</x:t>
        </x:is>
      </x:c>
      <x:c r="G25" s="194" t="n">
        <x:f>COUNTIF('Company Universe'!$F$6:$F$105,A25)</x:f>
        <x:v>1</x:v>
      </x:c>
      <x:c r="H25" s="57" t="str">
        <x:f>IF(G25&gt;0,"REPRESENTED","EXPANSION QUEUE")</x:f>
        <x:v>REPRESENTED</x:v>
      </x:c>
      <x:c r="I25" s="57" t="inlineStr">
        <x:is>
          <x:t xml:space="preserve">P3</x:t>
        </x:is>
      </x:c>
      <x:c r="J25" s="57" t="inlineStr">
        <x:is>
          <x:t xml:space="preserve">Queued</x:t>
        </x:is>
      </x:c>
      <x:c r="K25" s="57" t="inlineStr">
        <x:is>
          <x:t xml:space="preserve">Add representative companies</x:t>
        </x:is>
      </x:c>
      <x:c r="L25" s="57" t="inlineStr">
        <x:is>
          <x:t xml:space="preserve">Sector template guides; company specialist profile governs.</x:t>
        </x:is>
      </x:c>
    </x:row>
    <x:row r="26">
      <x:c r="A26" s="57" t="inlineStr">
        <x:is>
          <x:t xml:space="preserve">Cybersecurity</x:t>
        </x:is>
      </x:c>
      <x:c r="B26" s="57" t="inlineStr">
        <x:is>
          <x:t xml:space="preserve">Threat coverage + trust + platform consolidation × retention</x:t>
        </x:is>
      </x:c>
      <x:c r="C26" s="57" t="inlineStr">
        <x:is>
          <x:t xml:space="preserve">ARR; NRR; billings; platform modules; gross retention; FCF/SBC</x:t>
        </x:is>
      </x:c>
      <x:c r="D26" s="57" t="inlineStr">
        <x:is>
          <x:t xml:space="preserve">Owner earnings; reverse DCF</x:t>
        </x:is>
      </x:c>
      <x:c r="E26" s="57" t="inlineStr">
        <x:is>
          <x:t xml:space="preserve">Bundling by hyperscalers; channel stuffing; SBC</x:t>
        </x:is>
      </x:c>
      <x:c r="F26" s="57" t="inlineStr">
        <x:is>
          <x:t xml:space="preserve">Best-of-breed + bundled control</x:t>
        </x:is>
      </x:c>
      <x:c r="G26" s="194" t="n">
        <x:f>COUNTIF('Company Universe'!$F$6:$F$105,A26)</x:f>
        <x:v>1</x:v>
      </x:c>
      <x:c r="H26" s="57" t="str">
        <x:f>IF(G26&gt;0,"REPRESENTED","EXPANSION QUEUE")</x:f>
        <x:v>REPRESENTED</x:v>
      </x:c>
      <x:c r="I26" s="57" t="inlineStr">
        <x:is>
          <x:t xml:space="preserve">P3</x:t>
        </x:is>
      </x:c>
      <x:c r="J26" s="57" t="inlineStr">
        <x:is>
          <x:t xml:space="preserve">Queued</x:t>
        </x:is>
      </x:c>
      <x:c r="K26" s="57" t="inlineStr">
        <x:is>
          <x:t xml:space="preserve">Add representative companies</x:t>
        </x:is>
      </x:c>
      <x:c r="L26" s="57" t="inlineStr">
        <x:is>
          <x:t xml:space="preserve">Sector template guides; company specialist profile governs.</x:t>
        </x:is>
      </x:c>
    </x:row>
    <x:row r="27">
      <x:c r="A27" s="57" t="inlineStr">
        <x:is>
          <x:t xml:space="preserve">Medical Devices</x:t>
        </x:is>
      </x:c>
      <x:c r="B27" s="57" t="inlineStr">
        <x:is>
          <x:t xml:space="preserve">Installed base × procedure growth × consumables/service attach</x:t>
        </x:is>
      </x:c>
      <x:c r="C27" s="57" t="inlineStr">
        <x:is>
          <x:t xml:space="preserve">Procedures; placements; utilization; consumables; gross margin; recalls</x:t>
        </x:is>
      </x:c>
      <x:c r="D27" s="57" t="inlineStr">
        <x:is>
          <x:t xml:space="preserve">Product-line DCF; normalized FCF</x:t>
        </x:is>
      </x:c>
      <x:c r="E27" s="57" t="inlineStr">
        <x:is>
          <x:t xml:space="preserve">Recall/liability; hospital budgets; reimbursement</x:t>
        </x:is>
      </x:c>
      <x:c r="F27" s="57" t="inlineStr">
        <x:is>
          <x:t xml:space="preserve">Same procedure platform</x:t>
        </x:is>
      </x:c>
      <x:c r="G27" s="194" t="n">
        <x:f>COUNTIF('Company Universe'!$F$6:$F$105,A27)</x:f>
        <x:v>1</x:v>
      </x:c>
      <x:c r="H27" s="57" t="str">
        <x:f>IF(G27&gt;0,"REPRESENTED","EXPANSION QUEUE")</x:f>
        <x:v>REPRESENTED</x:v>
      </x:c>
      <x:c r="I27" s="57" t="inlineStr">
        <x:is>
          <x:t xml:space="preserve">P3</x:t>
        </x:is>
      </x:c>
      <x:c r="J27" s="57" t="inlineStr">
        <x:is>
          <x:t xml:space="preserve">Queued</x:t>
        </x:is>
      </x:c>
      <x:c r="K27" s="57" t="inlineStr">
        <x:is>
          <x:t xml:space="preserve">Add representative companies</x:t>
        </x:is>
      </x:c>
      <x:c r="L27" s="57" t="inlineStr">
        <x:is>
          <x:t xml:space="preserve">Sector template guides; company specialist profile governs.</x:t>
        </x:is>
      </x:c>
    </x:row>
    <x:row r="28">
      <x:c r="A28" s="57" t="inlineStr">
        <x:is>
          <x:t xml:space="preserve">Construction &amp; Building Products</x:t>
        </x:is>
      </x:c>
      <x:c r="B28" s="57" t="inlineStr">
        <x:is>
          <x:t xml:space="preserve">Starts/renovation volume × price/mix − materials/labor</x:t>
        </x:is>
      </x:c>
      <x:c r="C28" s="57" t="inlineStr">
        <x:is>
          <x:t xml:space="preserve">Orders; backlog; starts; price/cost; dealer inventory; utilization</x:t>
        </x:is>
      </x:c>
      <x:c r="D28" s="57" t="inlineStr">
        <x:is>
          <x:t xml:space="preserve">Mid-cycle FCF; replacement value</x:t>
        </x:is>
      </x:c>
      <x:c r="E28" s="57" t="inlineStr">
        <x:is>
          <x:t xml:space="preserve">Housing peak; working-capital reversal; commodity inputs</x:t>
        </x:is>
      </x:c>
      <x:c r="F28" s="57" t="inlineStr">
        <x:is>
          <x:t xml:space="preserve">Same geography/channel peer</x:t>
        </x:is>
      </x:c>
      <x:c r="G28" s="194" t="n">
        <x:f>COUNTIF('Company Universe'!$F$6:$F$105,A28)</x:f>
        <x:v>1</x:v>
      </x:c>
      <x:c r="H28" s="57" t="str">
        <x:f>IF(G28&gt;0,"REPRESENTED","EXPANSION QUEUE")</x:f>
        <x:v>REPRESENTED</x:v>
      </x:c>
      <x:c r="I28" s="57" t="inlineStr">
        <x:is>
          <x:t xml:space="preserve">P3</x:t>
        </x:is>
      </x:c>
      <x:c r="J28" s="57" t="inlineStr">
        <x:is>
          <x:t xml:space="preserve">Queued</x:t>
        </x:is>
      </x:c>
      <x:c r="K28" s="57" t="inlineStr">
        <x:is>
          <x:t xml:space="preserve">Add representative companies</x:t>
        </x:is>
      </x:c>
      <x:c r="L28" s="57" t="inlineStr">
        <x:is>
          <x:t xml:space="preserve">Sector template guides; company specialist profile governs.</x:t>
        </x:is>
      </x:c>
    </x:row>
    <x:row r="29">
      <x:c r="A29" s="57" t="inlineStr">
        <x:is>
          <x:t xml:space="preserve">Capital Markets</x:t>
        </x:is>
      </x:c>
      <x:c r="B29" s="57" t="inlineStr">
        <x:is>
          <x:t xml:space="preserve">Assets/flows/volumes × fee rate − compensation/technology</x:t>
        </x:is>
      </x:c>
      <x:c r="C29" s="57" t="inlineStr">
        <x:is>
          <x:t xml:space="preserve">AUM; net flows; fee rate; trading volume; capital; comp ratio</x:t>
        </x:is>
      </x:c>
      <x:c r="D29" s="57" t="inlineStr">
        <x:is>
          <x:t xml:space="preserve">AUM/earnings multiple; excess-capital value</x:t>
        </x:is>
      </x:c>
      <x:c r="E29" s="57" t="inlineStr">
        <x:is>
          <x:t xml:space="preserve">Market beta mistaken for alpha; liquidity/counterparty risk</x:t>
        </x:is>
      </x:c>
      <x:c r="F29" s="57" t="inlineStr">
        <x:is>
          <x:t xml:space="preserve">Same strategy/client mix peer</x:t>
        </x:is>
      </x:c>
      <x:c r="G29" s="194" t="n">
        <x:f>COUNTIF('Company Universe'!$F$6:$F$105,A29)</x:f>
        <x:v>1</x:v>
      </x:c>
      <x:c r="H29" s="57" t="str">
        <x:f>IF(G29&gt;0,"REPRESENTED","EXPANSION QUEUE")</x:f>
        <x:v>REPRESENTED</x:v>
      </x:c>
      <x:c r="I29" s="57" t="inlineStr">
        <x:is>
          <x:t xml:space="preserve">P3</x:t>
        </x:is>
      </x:c>
      <x:c r="J29" s="57" t="inlineStr">
        <x:is>
          <x:t xml:space="preserve">Queued</x:t>
        </x:is>
      </x:c>
      <x:c r="K29" s="57" t="inlineStr">
        <x:is>
          <x:t xml:space="preserve">Add representative companies</x:t>
        </x:is>
      </x:c>
      <x:c r="L29" s="57" t="inlineStr">
        <x:is>
          <x:t xml:space="preserve">Sector template guides; company specialist profile governs.</x:t>
        </x:is>
      </x:c>
    </x:row>
    <x:row r="30">
      <x:c r="A30" s="58" t="inlineStr">
        <x:is>
          <x:t xml:space="preserve">Special Situations</x:t>
        </x:is>
      </x:c>
      <x:c r="B30" s="58" t="inlineStr">
        <x:is>
          <x:t xml:space="preserve">Discrete catalyst × downside asset coverage × time/cost to resolution</x:t>
        </x:is>
      </x:c>
      <x:c r="C30" s="58" t="inlineStr">
        <x:is>
          <x:t xml:space="preserve">Catalyst milestones; legal terms; cash burn; asset coverage; probability</x:t>
        </x:is>
      </x:c>
      <x:c r="D30" s="58" t="inlineStr">
        <x:is>
          <x:t xml:space="preserve">Probability-weighted payoff; liquidation value</x:t>
        </x:is>
      </x:c>
      <x:c r="E30" s="58" t="inlineStr">
        <x:is>
          <x:t xml:space="preserve">Catalyst drift; legal tail; financing need</x:t>
        </x:is>
      </x:c>
      <x:c r="F30" s="58" t="inlineStr">
        <x:is>
          <x:t xml:space="preserve">Unaffected peer + no-catalyst base case</x:t>
        </x:is>
      </x:c>
      <x:c r="G30" s="199" t="n">
        <x:f>COUNTIF('Company Universe'!$F$6:$F$105,A30)</x:f>
        <x:v>0</x:v>
      </x:c>
      <x:c r="H30" s="58" t="str">
        <x:f>IF(G30&gt;0,"REPRESENTED","EXPANSION QUEUE")</x:f>
        <x:v>EXPANSION QUEUE</x:v>
      </x:c>
      <x:c r="I30" s="58" t="inlineStr">
        <x:is>
          <x:t xml:space="preserve">P3</x:t>
        </x:is>
      </x:c>
      <x:c r="J30" s="58" t="inlineStr">
        <x:is>
          <x:t xml:space="preserve">Queued</x:t>
        </x:is>
      </x:c>
      <x:c r="K30" s="58" t="inlineStr">
        <x:is>
          <x:t xml:space="preserve">Add representative companies</x:t>
        </x:is>
      </x:c>
      <x:c r="L30" s="58" t="inlineStr">
        <x:is>
          <x:t xml:space="preserve">Sector template guides; company specialist profile governs.</x:t>
        </x:is>
      </x:c>
    </x:row>
  </x:sheetData>
  <x:mergeCells>
    <x:mergeCell ref="A2:L2"/>
    <x:mergeCell ref="A1:L1"/>
  </x:mergeCells>
  <x:conditionalFormatting sqref="H6:H30">
    <x:cfRule type="containsText" dxfId="0" priority="1" operator="containsText" text="REPRESENTED"/>
    <x:cfRule type="containsText" dxfId="1" priority="2" operator="containsText" text="EXPANSION"/>
  </x:conditionalFormatting>
  <x:pageMargins left="0.7" right="0.7" top="0.75" bottom="0.75" header="0.3" footer="0.3"/>
  <x:tableParts count="1">
    <x:tablePart xmlns:r="http://schemas.openxmlformats.org/officeDocument/2006/relationships" r:id="R0deb19c91e1a46e1"/>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8" style="139" customWidth="1"/>
    <x:col min="2" max="2" width="18" style="139" customWidth="1"/>
    <x:col min="3" max="3" width="58" style="139" customWidth="1"/>
    <x:col min="4" max="4" width="14" style="139" customWidth="1"/>
    <x:col min="5" max="5" width="18" style="139" customWidth="1"/>
    <x:col min="6" max="6" width="12" style="139" customWidth="1"/>
  </x:cols>
  <x:sheetData>
    <x:row r="1" s="139" customFormat="1" ht="28" customHeight="1">
      <x:c r="A1" s="201" t="str">
        <x:v>ARGUS V10.33 — 100-Company Research Control Dashboard</x:v>
      </x:c>
      <x:c r="B1" s="201" t="n"/>
      <x:c r="C1" s="201" t="n"/>
      <x:c r="D1" s="201" t="n"/>
      <x:c r="E1" s="201" t="n"/>
      <x:c r="F1" s="201" t="n"/>
    </x:row>
    <x:row r="2" s="139" customFormat="1" ht="34" customHeight="1">
      <x:c r="A2" s="202" t="inlineStr">
        <x:is>
          <x:t xml:space="preserve">The dashboard distinguishes universe coverage from investment readiness. A populated row is not a completed investment case.</x:t>
        </x:is>
      </x:c>
      <x:c r="B2" s="202" t="n"/>
      <x:c r="C2" s="202" t="n"/>
      <x:c r="D2" s="202" t="n"/>
      <x:c r="E2" s="202" t="n"/>
      <x:c r="F2" s="202" t="n"/>
    </x:row>
    <x:row r="4" s="139" customFormat="1" ht="42" customHeight="1">
      <x:c r="A4" s="203" t="inlineStr">
        <x:is>
          <x:t xml:space="preserve">Metric</x:t>
        </x:is>
      </x:c>
      <x:c r="B4" s="203" t="inlineStr">
        <x:is>
          <x:t xml:space="preserve">Value</x:t>
        </x:is>
      </x:c>
      <x:c r="C4" s="203" t="inlineStr">
        <x:is>
          <x:t xml:space="preserve">Control Meaning</x:t>
        </x:is>
      </x:c>
      <x:c r="D4" s="203" t="inlineStr">
        <x:is>
          <x:t xml:space="preserve">Target</x:t>
        </x:is>
      </x:c>
      <x:c r="E4" s="203" t="inlineStr">
        <x:is>
          <x:t xml:space="preserve">Status</x:t>
        </x:is>
      </x:c>
      <x:c r="F4" s="203" t="inlineStr">
        <x:is>
          <x:t xml:space="preserve">As Of</x:t>
        </x:is>
      </x:c>
    </x:row>
    <x:row r="5">
      <x:c r="A5" s="204" t="inlineStr">
        <x:is>
          <x:t xml:space="preserve">Universe companies</x:t>
        </x:is>
      </x:c>
      <x:c r="B5" s="204" t="n">
        <x:f>COUNTA('Owner Test 100'!A5:A104)</x:f>
        <x:v>100</x:v>
      </x:c>
      <x:c r="C5" s="204" t="inlineStr">
        <x:is>
          <x:t xml:space="preserve">All names have a control row</x:t>
        </x:is>
      </x:c>
      <x:c r="D5" s="204" t="n">
        <x:v>100</x:v>
      </x:c>
      <x:c r="E5" s="204" t="str">
        <x:f>IF(B5=D5,"PASS","FAIL")</x:f>
        <x:v>PASS</x:v>
      </x:c>
      <x:c r="F5" s="204" t="inlineStr">
        <x:is>
          <x:t xml:space="preserve">2026-09-02</x:t>
        </x:is>
      </x:c>
    </x:row>
    <x:row r="6">
      <x:c r="A6" s="204" t="inlineStr">
        <x:is>
          <x:t xml:space="preserve">Deep reviews available</x:t>
        </x:is>
      </x:c>
      <x:c r="B6" s="204" t="n">
        <x:v>67</x:v>
      </x:c>
      <x:c r="C6" s="204" t="inlineStr">
        <x:is>
          <x:t xml:space="preserve">Company-level Dalio/Owner review exists</x:t>
        </x:is>
      </x:c>
      <x:c r="D6" s="204" t="n">
        <x:v>4</x:v>
      </x:c>
      <x:c r="E6" s="204" t="str">
        <x:f>IF(B6&gt;=D6,"PASS","WATCH")</x:f>
        <x:v>PASS</x:v>
      </x:c>
      <x:c r="F6" s="204" t="inlineStr">
        <x:is>
          <x:t xml:space="preserve">2026-09-02</x:t>
        </x:is>
      </x:c>
    </x:row>
    <x:row r="7">
      <x:c r="A7" s="204" t="inlineStr">
        <x:is>
          <x:t xml:space="preserve">Owner Test READY</x:t>
        </x:is>
      </x:c>
      <x:c r="B7" s="204" t="n">
        <x:f>COUNTIF('Owner Test 100'!T5:T104,"READY")</x:f>
        <x:v>0</x:v>
      </x:c>
      <x:c r="C7" s="204" t="inlineStr">
        <x:is>
          <x:t xml:space="preserve">All 12 gates passed with no blocking state</x:t>
        </x:is>
      </x:c>
      <x:c r="D7" s="204" t="n">
        <x:v>0</x:v>
      </x:c>
      <x:c r="E7" s="204" t="inlineStr">
        <x:is>
          <x:t xml:space="preserve">INFORMATIONAL</x:t>
        </x:is>
      </x:c>
      <x:c r="F7" s="204" t="inlineStr">
        <x:is>
          <x:t xml:space="preserve">2026-09-02</x:t>
        </x:is>
      </x:c>
    </x:row>
    <x:row r="8">
      <x:c r="A8" s="204" t="inlineStr">
        <x:is>
          <x:t xml:space="preserve">Owner Test UNVALIDATED</x:t>
        </x:is>
      </x:c>
      <x:c r="B8" s="204" t="n">
        <x:v>33</x:v>
      </x:c>
      <x:c r="C8" s="204" t="inlineStr">
        <x:is>
          <x:t xml:space="preserve">At least one gate remains UNKNOWN</x:t>
        </x:is>
      </x:c>
      <x:c r="D8" s="204" t="n">
        <x:v>0</x:v>
      </x:c>
      <x:c r="E8" s="204" t="str">
        <x:f>IF(B8=0,"PASS","BLOCKED")</x:f>
        <x:v>BLOCKED</x:v>
      </x:c>
      <x:c r="F8" s="204" t="inlineStr">
        <x:is>
          <x:t xml:space="preserve">2026-09-02</x:t>
        </x:is>
      </x:c>
    </x:row>
    <x:row r="9">
      <x:c r="A9" s="204" t="inlineStr">
        <x:is>
          <x:t xml:space="preserve">T1 locations found</x:t>
        </x:is>
      </x:c>
      <x:c r="B9" s="204" t="n">
        <x:f>COUNTIF('Source Coverage 100'!G5:G104,"LOCATED")</x:f>
        <x:v>100</x:v>
      </x:c>
      <x:c r="C9" s="204" t="inlineStr">
        <x:is>
          <x:t xml:space="preserve">Primary company source endpoint exists</x:t>
        </x:is>
      </x:c>
      <x:c r="D9" s="204" t="n">
        <x:v>100</x:v>
      </x:c>
      <x:c r="E9" s="204" t="str">
        <x:f>IF(B9=D9,"PASS","WATCH")</x:f>
        <x:v>PASS</x:v>
      </x:c>
      <x:c r="F9" s="204" t="inlineStr">
        <x:is>
          <x:t xml:space="preserve">2026-09-02</x:t>
        </x:is>
      </x:c>
    </x:row>
    <x:row r="10">
      <x:c r="A10" s="204" t="inlineStr">
        <x:is>
          <x:t xml:space="preserve">Complete source coverage</x:t>
        </x:is>
      </x:c>
      <x:c r="B10" s="204" t="n">
        <x:v>67</x:v>
      </x:c>
      <x:c r="C10" s="204" t="inlineStr">
        <x:is>
          <x:t xml:space="preserve">Fresh T1/T2, three-pass, contradictions and PIT data complete</x:t>
        </x:is>
      </x:c>
      <x:c r="D10" s="204" t="n">
        <x:v>100</x:v>
      </x:c>
      <x:c r="E10" s="204" t="str">
        <x:f>IF(B10=D10,"PASS","BLOCKED")</x:f>
        <x:v>BLOCKED</x:v>
      </x:c>
      <x:c r="F10" s="204" t="inlineStr">
        <x:is>
          <x:t xml:space="preserve">2026-09-02</x:t>
        </x:is>
      </x:c>
    </x:row>
    <x:row r="11">
      <x:c r="A11" s="204" t="inlineStr">
        <x:is>
          <x:t xml:space="preserve">P1 companies</x:t>
        </x:is>
      </x:c>
      <x:c r="B11" s="204" t="n">
        <x:f>COUNTIF('Owner Test 100'!E5:E104,"P1")</x:f>
        <x:v>17</x:v>
      </x:c>
      <x:c r="C11" s="204" t="inlineStr">
        <x:is>
          <x:t xml:space="preserve">Highest research priority</x:t>
        </x:is>
      </x:c>
      <x:c r="D11" s="204" t="n">
        <x:v>0</x:v>
      </x:c>
      <x:c r="E11" s="204" t="inlineStr">
        <x:is>
          <x:t xml:space="preserve">INFORMATIONAL</x:t>
        </x:is>
      </x:c>
      <x:c r="F11" s="204" t="inlineStr">
        <x:is>
          <x:t xml:space="preserve">2026-09-02</x:t>
        </x:is>
      </x:c>
    </x:row>
    <x:row r="12">
      <x:c r="A12" s="204" t="inlineStr">
        <x:is>
          <x:t xml:space="preserve">P2 companies</x:t>
        </x:is>
      </x:c>
      <x:c r="B12" s="204" t="n">
        <x:f>COUNTIF('Owner Test 100'!E5:E104,"P2")</x:f>
        <x:v>50</x:v>
      </x:c>
      <x:c r="C12" s="204" t="inlineStr">
        <x:is>
          <x:t xml:space="preserve">Second research priority</x:t>
        </x:is>
      </x:c>
      <x:c r="D12" s="204" t="n">
        <x:v>0</x:v>
      </x:c>
      <x:c r="E12" s="204" t="inlineStr">
        <x:is>
          <x:t xml:space="preserve">INFORMATIONAL</x:t>
        </x:is>
      </x:c>
      <x:c r="F12" s="204" t="inlineStr">
        <x:is>
          <x:t xml:space="preserve">2026-09-02</x:t>
        </x:is>
      </x:c>
    </x:row>
    <x:row r="13">
      <x:c r="A13" s="204" t="inlineStr">
        <x:is>
          <x:t xml:space="preserve">P3 companies</x:t>
        </x:is>
      </x:c>
      <x:c r="B13" s="204" t="n">
        <x:f>COUNTIF('Owner Test 100'!E5:E104,"P3")</x:f>
        <x:v>33</x:v>
      </x:c>
      <x:c r="C13" s="204" t="inlineStr">
        <x:is>
          <x:t xml:space="preserve">Third research priority</x:t>
        </x:is>
      </x:c>
      <x:c r="D13" s="204" t="n">
        <x:v>0</x:v>
      </x:c>
      <x:c r="E13" s="204" t="inlineStr">
        <x:is>
          <x:t xml:space="preserve">INFORMATIONAL</x:t>
        </x:is>
      </x:c>
      <x:c r="F13" s="204" t="inlineStr">
        <x:is>
          <x:t xml:space="preserve">2026-09-02</x:t>
        </x:is>
      </x:c>
    </x:row>
    <x:row r="15">
      <x:c r="A15" s="229" t="str">
        <x:v>P1 Deep Research Status</x:v>
      </x:c>
      <x:c r="B15" s="229" t="str">
        <x:v>Value</x:v>
      </x:c>
      <x:c r="C15" s="229" t="str">
        <x:v>Control Meaning</x:v>
      </x:c>
      <x:c r="D15" s="229" t="str">
        <x:v>Target</x:v>
      </x:c>
      <x:c r="E15" s="229" t="str">
        <x:v>Status</x:v>
      </x:c>
      <x:c r="F15" s="229" t="str">
        <x:v>As Of</x:v>
      </x:c>
    </x:row>
    <x:row r="16">
      <x:c r="A16" s="247" t="str">
        <x:v>P1 deep reviews</x:v>
      </x:c>
      <x:c r="B16" s="247" t="n">
        <x:v>17</x:v>
      </x:c>
      <x:c r="C16" s="247" t="str">
        <x:v>Three-pass + contradiction + PIT + Dalio completed</x:v>
      </x:c>
      <x:c r="D16" s="247" t="n">
        <x:v>17</x:v>
      </x:c>
      <x:c r="E16" s="247" t="str">
        <x:v>PASS</x:v>
      </x:c>
      <x:c r="F16" s="247" t="str">
        <x:v>2026-09-02</x:v>
      </x:c>
    </x:row>
    <x:row r="17">
      <x:c r="A17" s="248" t="str">
        <x:v>P1 T1 fresh</x:v>
      </x:c>
      <x:c r="B17" s="248" t="n">
        <x:v>17</x:v>
      </x:c>
      <x:c r="C17" s="248" t="str">
        <x:v>Latest company evidence is dated and linked</x:v>
      </x:c>
      <x:c r="D17" s="248" t="n">
        <x:v>17</x:v>
      </x:c>
      <x:c r="E17" s="248" t="str">
        <x:v>PASS</x:v>
      </x:c>
      <x:c r="F17" s="248" t="str">
        <x:v>2026-09-02</x:v>
      </x:c>
    </x:row>
    <x:row r="18">
      <x:c r="A18" s="248" t="str">
        <x:v>P1 blocked by Owner Test</x:v>
      </x:c>
      <x:c r="B18" s="248" t="n">
        <x:v>10</x:v>
      </x:c>
      <x:c r="C18" s="248" t="str">
        <x:v>At least one mandatory gate failed</x:v>
      </x:c>
      <x:c r="D18" s="248" t="n">
        <x:v>0</x:v>
      </x:c>
      <x:c r="E18" s="248" t="str">
        <x:v>INFORMATIONAL</x:v>
      </x:c>
      <x:c r="F18" s="248" t="str">
        <x:v>2026-09-02</x:v>
      </x:c>
    </x:row>
    <x:row r="19">
      <x:c r="A19" s="249" t="str">
        <x:v>P1 WATCH-capped</x:v>
      </x:c>
      <x:c r="B19" s="249" t="n">
        <x:v>7</x:v>
      </x:c>
      <x:c r="C19" s="249" t="str">
        <x:v>Four or more WATCH gates cap conviction/sizing</x:v>
      </x:c>
      <x:c r="D19" s="249" t="n">
        <x:v>0</x:v>
      </x:c>
      <x:c r="E19" s="249" t="str">
        <x:v>INFORMATIONAL</x:v>
      </x:c>
      <x:c r="F19" s="249" t="str">
        <x:v>2026-09-02</x:v>
      </x:c>
    </x:row>
    <x:row r="21">
      <x:c r="A21" s="258" t="str">
        <x:v>P2-A Deep Research Status</x:v>
      </x:c>
      <x:c r="B21" s="258" t="str">
        <x:v>Value</x:v>
      </x:c>
      <x:c r="C21" s="258" t="str">
        <x:v>Control Meaning</x:v>
      </x:c>
      <x:c r="D21" s="258" t="str">
        <x:v>Target</x:v>
      </x:c>
      <x:c r="E21" s="258" t="str">
        <x:v>Status</x:v>
      </x:c>
      <x:c r="F21" s="258" t="str">
        <x:v>As Of</x:v>
      </x:c>
    </x:row>
    <x:row r="22">
      <x:c r="A22" s="247" t="str">
        <x:v>P2-A deep reviews</x:v>
      </x:c>
      <x:c r="B22" s="247" t="n">
        <x:v>15</x:v>
      </x:c>
      <x:c r="C22" s="247" t="str">
        <x:v>Three-pass + contradiction + PIT + Dalio completed</x:v>
      </x:c>
      <x:c r="D22" s="247" t="n">
        <x:v>15</x:v>
      </x:c>
      <x:c r="E22" s="247" t="str">
        <x:v>PASS</x:v>
      </x:c>
      <x:c r="F22" s="247" t="str">
        <x:v>2026-09-02</x:v>
      </x:c>
    </x:row>
    <x:row r="23">
      <x:c r="A23" s="248" t="str">
        <x:v>P2-A T1 fresh</x:v>
      </x:c>
      <x:c r="B23" s="248" t="n">
        <x:v>15</x:v>
      </x:c>
      <x:c r="C23" s="248" t="str">
        <x:v>Current official company evidence is dated and linked</x:v>
      </x:c>
      <x:c r="D23" s="248" t="n">
        <x:v>15</x:v>
      </x:c>
      <x:c r="E23" s="248" t="str">
        <x:v>PASS</x:v>
      </x:c>
      <x:c r="F23" s="248" t="str">
        <x:v>2026-09-02</x:v>
      </x:c>
    </x:row>
    <x:row r="24">
      <x:c r="A24" s="248" t="str">
        <x:v>P2-A blocked by Owner Test</x:v>
      </x:c>
      <x:c r="B24" s="248" t="n">
        <x:v>10</x:v>
      </x:c>
      <x:c r="C24" s="248" t="str">
        <x:v>At least one mandatory gate failed</x:v>
      </x:c>
      <x:c r="D24" s="248" t="n">
        <x:v>0</x:v>
      </x:c>
      <x:c r="E24" s="248" t="str">
        <x:v>INFORMATIONAL</x:v>
      </x:c>
      <x:c r="F24" s="248" t="str">
        <x:v>2026-09-02</x:v>
      </x:c>
    </x:row>
    <x:row r="25">
      <x:c r="A25" s="248" t="str">
        <x:v>P2-A WATCH-capped</x:v>
      </x:c>
      <x:c r="B25" s="248" t="n">
        <x:v>5</x:v>
      </x:c>
      <x:c r="C25" s="248" t="str">
        <x:v>No FAIL, but WATCH states cap conviction/sizing</x:v>
      </x:c>
      <x:c r="D25" s="248" t="n">
        <x:v>0</x:v>
      </x:c>
      <x:c r="E25" s="248" t="str">
        <x:v>INFORMATIONAL</x:v>
      </x:c>
      <x:c r="F25" s="248" t="str">
        <x:v>2026-09-02</x:v>
      </x:c>
    </x:row>
    <x:row r="26">
      <x:c r="A26" s="248" t="str">
        <x:v>P2-A capital gates</x:v>
      </x:c>
      <x:c r="B26" s="248" t="n">
        <x:v>4</x:v>
      </x:c>
      <x:c r="C26" s="248" t="str">
        <x:v>GOOGL, META, AMZN and ORCL require owner-cash proof</x:v>
      </x:c>
      <x:c r="D26" s="248" t="n">
        <x:v>0</x:v>
      </x:c>
      <x:c r="E26" s="248" t="str">
        <x:v>INFORMATIONAL</x:v>
      </x:c>
      <x:c r="F26" s="248" t="str">
        <x:v>2026-09-02</x:v>
      </x:c>
    </x:row>
    <x:row r="27">
      <x:c r="A27" s="249" t="str">
        <x:v>P2 remaining</x:v>
      </x:c>
      <x:c r="B27" s="249" t="n">
        <x:v>35</x:v>
      </x:c>
      <x:c r="C27" s="249" t="str">
        <x:v>Queued for subsequent deep-review batches</x:v>
      </x:c>
      <x:c r="D27" s="249" t="n">
        <x:v>0</x:v>
      </x:c>
      <x:c r="E27" s="249" t="str">
        <x:v>INFORMATIONAL</x:v>
      </x:c>
      <x:c r="F27" s="249" t="str">
        <x:v>2026-09-02</x:v>
      </x:c>
    </x:row>
    <x:row r="29" ht="28" customHeight="1">
      <x:c r="A29" s="340" t="str">
        <x:v>P2-B Deep Research Status</x:v>
      </x:c>
      <x:c r="B29" s="340" t="str">
        <x:v>Value</x:v>
      </x:c>
      <x:c r="C29" s="340" t="str">
        <x:v>Control Meaning</x:v>
      </x:c>
      <x:c r="D29" s="340" t="str">
        <x:v>Target</x:v>
      </x:c>
      <x:c r="E29" s="340" t="str">
        <x:v>Status</x:v>
      </x:c>
      <x:c r="F29" s="340" t="str">
        <x:v>As Of</x:v>
      </x:c>
    </x:row>
    <x:row r="30" ht="28" customHeight="1">
      <x:c r="A30" s="275" t="str">
        <x:v>P2-B deep reviews</x:v>
      </x:c>
      <x:c r="B30" s="275" t="n">
        <x:v>15</x:v>
      </x:c>
      <x:c r="C30" s="275" t="str">
        <x:v>Three-pass + contradiction + PIT + Dalio completed</x:v>
      </x:c>
      <x:c r="D30" s="275" t="n">
        <x:v>15</x:v>
      </x:c>
      <x:c r="E30" s="275" t="str">
        <x:v>PASS</x:v>
      </x:c>
      <x:c r="F30" s="275" t="str">
        <x:v>2026-09-02</x:v>
      </x:c>
    </x:row>
    <x:row r="31" ht="28" customHeight="1">
      <x:c r="A31" s="276" t="str">
        <x:v>P2-B T1 fresh</x:v>
      </x:c>
      <x:c r="B31" s="276" t="n">
        <x:v>15</x:v>
      </x:c>
      <x:c r="C31" s="276" t="str">
        <x:v>Current official company evidence is dated and linked</x:v>
      </x:c>
      <x:c r="D31" s="276" t="n">
        <x:v>15</x:v>
      </x:c>
      <x:c r="E31" s="276" t="str">
        <x:v>PASS</x:v>
      </x:c>
      <x:c r="F31" s="276" t="str">
        <x:v>2026-09-02</x:v>
      </x:c>
    </x:row>
    <x:row r="32" ht="28" customHeight="1">
      <x:c r="A32" s="276" t="str">
        <x:v>P2-B blocked by Owner Test</x:v>
      </x:c>
      <x:c r="B32" s="276" t="n">
        <x:v>8</x:v>
      </x:c>
      <x:c r="C32" s="276" t="str">
        <x:v>At least one mandatory gate failed</x:v>
      </x:c>
      <x:c r="D32" s="276" t="n">
        <x:v>0</x:v>
      </x:c>
      <x:c r="E32" s="276" t="str">
        <x:v>INFORMATIONAL</x:v>
      </x:c>
      <x:c r="F32" s="276" t="str">
        <x:v>2026-09-02</x:v>
      </x:c>
    </x:row>
    <x:row r="33" ht="28" customHeight="1">
      <x:c r="A33" s="276" t="str">
        <x:v>P2-B WATCH-capped</x:v>
      </x:c>
      <x:c r="B33" s="276" t="n">
        <x:v>7</x:v>
      </x:c>
      <x:c r="C33" s="276" t="str">
        <x:v>No FAIL, but WATCH states cap conviction/sizing</x:v>
      </x:c>
      <x:c r="D33" s="276" t="n">
        <x:v>0</x:v>
      </x:c>
      <x:c r="E33" s="276" t="str">
        <x:v>INFORMATIONAL</x:v>
      </x:c>
      <x:c r="F33" s="276" t="str">
        <x:v>2026-09-02</x:v>
      </x:c>
    </x:row>
    <x:row r="34" ht="28" customHeight="1">
      <x:c r="A34" s="276" t="str">
        <x:v>P2-B price/cycle blocks</x:v>
      </x:c>
      <x:c r="B34" s="276" t="n">
        <x:v>8</x:v>
      </x:c>
      <x:c r="C34" s="276" t="str">
        <x:v>Wonderful business still fails price or normalization</x:v>
      </x:c>
      <x:c r="D34" s="276" t="n">
        <x:v>0</x:v>
      </x:c>
      <x:c r="E34" s="276" t="str">
        <x:v>INFORMATIONAL</x:v>
      </x:c>
      <x:c r="F34" s="276" t="str">
        <x:v>2026-09-02</x:v>
      </x:c>
    </x:row>
    <x:row r="35" ht="28" customHeight="1">
      <x:c r="A35" s="277" t="str">
        <x:v>P2 remaining</x:v>
      </x:c>
      <x:c r="B35" s="277" t="n">
        <x:v>20</x:v>
      </x:c>
      <x:c r="C35" s="277" t="str">
        <x:v>Queued for the final P2 research batch</x:v>
      </x:c>
      <x:c r="D35" s="277" t="n">
        <x:v>0</x:v>
      </x:c>
      <x:c r="E35" s="277" t="str">
        <x:v>INFORMATIONAL</x:v>
      </x:c>
      <x:c r="F35" s="277" t="str">
        <x:v>2026-09-02</x:v>
      </x:c>
    </x:row>
    <x:row r="37" ht="28" customHeight="1">
      <x:c r="A37" s="392" t="str">
        <x:v>P2-C Deep Research Status</x:v>
      </x:c>
      <x:c r="B37" s="392" t="str">
        <x:v>Value</x:v>
      </x:c>
      <x:c r="C37" s="392" t="str">
        <x:v>Control Meaning</x:v>
      </x:c>
      <x:c r="D37" s="392" t="str">
        <x:v>Target</x:v>
      </x:c>
      <x:c r="E37" s="392" t="str">
        <x:v>Status</x:v>
      </x:c>
      <x:c r="F37" s="392" t="str">
        <x:v>As Of</x:v>
      </x:c>
    </x:row>
    <x:row r="38" ht="28" customHeight="1">
      <x:c r="A38" s="275" t="str">
        <x:v>P2-C deep reviews</x:v>
      </x:c>
      <x:c r="B38" s="275" t="n">
        <x:v>20</x:v>
      </x:c>
      <x:c r="C38" s="275" t="str">
        <x:v>Final P2 three-pass + contradiction + PIT + Dalio completed</x:v>
      </x:c>
      <x:c r="D38" s="275" t="n">
        <x:v>20</x:v>
      </x:c>
      <x:c r="E38" s="275" t="str">
        <x:v>PASS</x:v>
      </x:c>
      <x:c r="F38" s="275" t="str">
        <x:v>2026-09-02</x:v>
      </x:c>
    </x:row>
    <x:row r="39" ht="28" customHeight="1">
      <x:c r="A39" s="276" t="str">
        <x:v>P2-C T1 fresh</x:v>
      </x:c>
      <x:c r="B39" s="276" t="n">
        <x:v>20</x:v>
      </x:c>
      <x:c r="C39" s="276" t="str">
        <x:v>Current official company evidence is dated and linked</x:v>
      </x:c>
      <x:c r="D39" s="276" t="n">
        <x:v>20</x:v>
      </x:c>
      <x:c r="E39" s="276" t="str">
        <x:v>PASS</x:v>
      </x:c>
      <x:c r="F39" s="276" t="str">
        <x:v>2026-09-02</x:v>
      </x:c>
    </x:row>
    <x:row r="40" ht="28" customHeight="1">
      <x:c r="A40" s="276" t="str">
        <x:v>P2-C blocked by Owner Test</x:v>
      </x:c>
      <x:c r="B40" s="276" t="n">
        <x:v>5</x:v>
      </x:c>
      <x:c r="C40" s="276" t="str">
        <x:v>At least one mandatory gate failed</x:v>
      </x:c>
      <x:c r="D40" s="276" t="n">
        <x:v>0</x:v>
      </x:c>
      <x:c r="E40" s="276" t="str">
        <x:v>INFORMATIONAL</x:v>
      </x:c>
      <x:c r="F40" s="276" t="str">
        <x:v>2026-09-02</x:v>
      </x:c>
    </x:row>
    <x:row r="41" ht="28" customHeight="1">
      <x:c r="A41" s="276" t="str">
        <x:v>P2-C WATCH-capped</x:v>
      </x:c>
      <x:c r="B41" s="276" t="n">
        <x:v>15</x:v>
      </x:c>
      <x:c r="C41" s="276" t="str">
        <x:v>No FAIL, but WATCH states cap conviction/sizing</x:v>
      </x:c>
      <x:c r="D41" s="276" t="n">
        <x:v>0</x:v>
      </x:c>
      <x:c r="E41" s="276" t="str">
        <x:v>INFORMATIONAL</x:v>
      </x:c>
      <x:c r="F41" s="276" t="str">
        <x:v>2026-09-02</x:v>
      </x:c>
    </x:row>
    <x:row r="42" ht="28" customHeight="1">
      <x:c r="A42" s="276" t="str">
        <x:v>P2-C Dalio paths</x:v>
      </x:c>
      <x:c r="B42" s="276" t="n">
        <x:v>60</x:v>
      </x:c>
      <x:c r="C42" s="276" t="str">
        <x:v>Three plausible loss paths even if the thesis is right</x:v>
      </x:c>
      <x:c r="D42" s="276" t="n">
        <x:v>60</x:v>
      </x:c>
      <x:c r="E42" s="276" t="str">
        <x:v>PASS</x:v>
      </x:c>
      <x:c r="F42" s="276" t="str">
        <x:v>2026-09-02</x:v>
      </x:c>
    </x:row>
    <x:row r="43" ht="28" customHeight="1">
      <x:c r="A43" s="277" t="str">
        <x:v>P2 remaining</x:v>
      </x:c>
      <x:c r="B43" s="277" t="n">
        <x:v>0</x:v>
      </x:c>
      <x:c r="C43" s="277" t="str">
        <x:v>All 50 P2 deep reviews completed</x:v>
      </x:c>
      <x:c r="D43" s="277" t="n">
        <x:v>0</x:v>
      </x:c>
      <x:c r="E43" s="277" t="str">
        <x:v>PASS</x:v>
      </x:c>
      <x:c r="F43" s="277" t="str">
        <x:v>2026-09-02</x:v>
      </x:c>
    </x:row>
    <x:row r="45" ht="25" customHeight="1">
      <x:c r="A45" s="493" t="str">
        <x:v>AI Chain Signal V10.33</x:v>
      </x:c>
      <x:c r="B45" s="493" t="str">
        <x:v>Value</x:v>
      </x:c>
      <x:c r="C45" s="493" t="str">
        <x:v>Control Meaning</x:v>
      </x:c>
      <x:c r="D45" s="493" t="str">
        <x:v>Target</x:v>
      </x:c>
      <x:c r="E45" s="493" t="str">
        <x:v>Status</x:v>
      </x:c>
      <x:c r="F45" s="493" t="str">
        <x:v>As Of</x:v>
      </x:c>
    </x:row>
    <x:row r="46" ht="28" customHeight="1">
      <x:c r="A46" s="512" t="str">
        <x:v>AI cluster names event-reviewed</x:v>
      </x:c>
      <x:c r="B46" s="504" t="n">
        <x:v>8</x:v>
      </x:c>
      <x:c r="C46" s="504" t="str">
        <x:v>Eight current company packages, three passes and Dalio Test</x:v>
      </x:c>
      <x:c r="D46" s="504" t="n">
        <x:v>8</x:v>
      </x:c>
      <x:c r="E46" s="504" t="str">
        <x:v>PASS</x:v>
      </x:c>
      <x:c r="F46" s="515" t="n">
        <x:v>46268</x:v>
      </x:c>
    </x:row>
    <x:row r="47" ht="28" customHeight="1">
      <x:c r="A47" s="513" t="str">
        <x:v>Core-100 names refreshed</x:v>
      </x:c>
      <x:c r="B47" s="507" t="n">
        <x:v>3</x:v>
      </x:c>
      <x:c r="C47" s="507" t="str">
        <x:v>AVGO, MRVL and VRT retain their frozen/shadow lineage</x:v>
      </x:c>
      <x:c r="D47" s="507" t="n">
        <x:v>3</x:v>
      </x:c>
      <x:c r="E47" s="507" t="str">
        <x:v>PASS</x:v>
      </x:c>
      <x:c r="F47" s="516" t="n">
        <x:v>46268</x:v>
      </x:c>
    </x:row>
    <x:row r="48" ht="28" customHeight="1">
      <x:c r="A48" s="513" t="str">
        <x:v>External candidates screened</x:v>
      </x:c>
      <x:c r="B48" s="507" t="n">
        <x:v>5</x:v>
      </x:c>
      <x:c r="C48" s="507" t="str">
        <x:v>CLS, CRDO, ARM, COHR and NBIS are not silently added to the 100</x:v>
      </x:c>
      <x:c r="D48" s="507" t="n">
        <x:v>5</x:v>
      </x:c>
      <x:c r="E48" s="507" t="str">
        <x:v>PASS</x:v>
      </x:c>
      <x:c r="F48" s="516" t="n">
        <x:v>46268</x:v>
      </x:c>
    </x:row>
    <x:row r="49" ht="28" customHeight="1">
      <x:c r="A49" s="513" t="str">
        <x:v>Demand proof PASS</x:v>
      </x:c>
      <x:c r="B49" s="507" t="n">
        <x:v>8</x:v>
      </x:c>
      <x:c r="C49" s="507" t="str">
        <x:v>T1 evidence supports real AI-linked operating demand</x:v>
      </x:c>
      <x:c r="D49" s="507" t="n">
        <x:v>8</x:v>
      </x:c>
      <x:c r="E49" s="507" t="str">
        <x:v>PASS</x:v>
      </x:c>
      <x:c r="F49" s="516" t="n">
        <x:v>46268</x:v>
      </x:c>
    </x:row>
    <x:row r="50" ht="28" customHeight="1">
      <x:c r="A50" s="513" t="str">
        <x:v>WATCH-capped</x:v>
      </x:c>
      <x:c r="B50" s="507" t="n">
        <x:v>2</x:v>
      </x:c>
      <x:c r="C50" s="507" t="str">
        <x:v>AVGO and CLS remain capped pending owner/valuation work</x:v>
      </x:c>
      <x:c r="D50" s="507" t="n">
        <x:v>0</x:v>
      </x:c>
      <x:c r="E50" s="507" t="str">
        <x:v>INFORMATIONAL</x:v>
      </x:c>
      <x:c r="F50" s="516" t="n">
        <x:v>46268</x:v>
      </x:c>
    </x:row>
    <x:row r="51" ht="28" customHeight="1">
      <x:c r="A51" s="513" t="str">
        <x:v>Blocked by owner/valuation gates</x:v>
      </x:c>
      <x:c r="B51" s="507" t="n">
        <x:v>6</x:v>
      </x:c>
      <x:c r="C51" s="507" t="str">
        <x:v>CRDO, ARM, COHR, MRVL, VRT and NBIS fail at least one gate</x:v>
      </x:c>
      <x:c r="D51" s="507" t="n">
        <x:v>0</x:v>
      </x:c>
      <x:c r="E51" s="507" t="str">
        <x:v>INFORMATIONAL</x:v>
      </x:c>
      <x:c r="F51" s="516" t="n">
        <x:v>46268</x:v>
      </x:c>
    </x:row>
    <x:row r="52" ht="28" customHeight="1">
      <x:c r="A52" s="513" t="str">
        <x:v>READY</x:v>
      </x:c>
      <x:c r="B52" s="507" t="n">
        <x:v>0</x:v>
      </x:c>
      <x:c r="C52" s="507" t="str">
        <x:v>Growth and drawdown cannot promote a security</x:v>
      </x:c>
      <x:c r="D52" s="507" t="n">
        <x:v>0</x:v>
      </x:c>
      <x:c r="E52" s="507" t="str">
        <x:v>PASS</x:v>
      </x:c>
      <x:c r="F52" s="516" t="n">
        <x:v>46268</x:v>
      </x:c>
    </x:row>
    <x:row r="53" ht="28" customHeight="1">
      <x:c r="A53" s="513" t="str">
        <x:v>Cluster regime</x:v>
      </x:c>
      <x:c r="B53" s="507" t="str">
        <x:v>REAL DEMAND / HIGH EXPECTATIONS</x:v>
      </x:c>
      <x:c r="C53" s="507" t="str">
        <x:v>Not a revenue-free dot-com cohort; still no blanket margin of safety</x:v>
      </x:c>
      <x:c r="D53" s="507" t="str">
        <x:v>No blanket BUY</x:v>
      </x:c>
      <x:c r="E53" s="507" t="str">
        <x:v>PASS</x:v>
      </x:c>
      <x:c r="F53" s="516" t="n">
        <x:v>46268</x:v>
      </x:c>
    </x:row>
    <x:row r="54" ht="28" customHeight="1">
      <x:c r="A54" s="514" t="str">
        <x:v>P3 deep reviews</x:v>
      </x:c>
      <x:c r="B54" s="510" t="n">
        <x:v>0</x:v>
      </x:c>
      <x:c r="C54" s="510" t="str">
        <x:v>Unchanged by this event review; 33 P3 companies remain queued</x:v>
      </x:c>
      <x:c r="D54" s="510" t="n">
        <x:v>33</x:v>
      </x:c>
      <x:c r="E54" s="510" t="str">
        <x:v>BLOCKED</x:v>
      </x:c>
      <x:c r="F54" s="517" t="n">
        <x:v>46268</x:v>
      </x:c>
    </x:row>
    <x:row r="56" ht="25" customHeight="1">
      <x:c r="A56" s="605" t="str">
        <x:v>Daily Price Control</x:v>
      </x:c>
      <x:c r="B56" s="605" t="str">
        <x:v>Value</x:v>
      </x:c>
      <x:c r="C56" s="605" t="str">
        <x:v>Control Meaning</x:v>
      </x:c>
      <x:c r="D56" s="605" t="str">
        <x:v>Target</x:v>
      </x:c>
      <x:c r="E56" s="605" t="str">
        <x:v>Status</x:v>
      </x:c>
      <x:c r="F56" s="605" t="str">
        <x:v>As Of</x:v>
      </x:c>
    </x:row>
    <x:row r="57" ht="27" customHeight="1">
      <x:c r="A57" s="512" t="str">
        <x:v>Price records checked</x:v>
      </x:c>
      <x:c r="B57" s="504" t="n">
        <x:v>8</x:v>
      </x:c>
      <x:c r="C57" s="504" t="str">
        <x:v>Eight AI-chain point-in-time prices reconciled</x:v>
      </x:c>
      <x:c r="D57" s="504" t="n">
        <x:v>8</x:v>
      </x:c>
      <x:c r="E57" s="504" t="str">
        <x:v>PASS</x:v>
      </x:c>
      <x:c r="F57" s="562" t="n">
        <x:v>46268.338275462964</x:v>
      </x:c>
    </x:row>
    <x:row r="58" ht="27" customHeight="1">
      <x:c r="A58" s="513" t="str">
        <x:v>New trade observations</x:v>
      </x:c>
      <x:c r="B58" s="507" t="n">
        <x:v>0</x:v>
      </x:c>
      <x:c r="C58" s="507" t="str">
        <x:v>US pre-market; prior PIT values remain current</x:v>
      </x:c>
      <x:c r="D58" s="507" t="n">
        <x:v>0</x:v>
      </x:c>
      <x:c r="E58" s="507" t="str">
        <x:v>PASS</x:v>
      </x:c>
      <x:c r="F58" s="563" t="n">
        <x:v>46268.338275462964</x:v>
      </x:c>
    </x:row>
    <x:row r="59" ht="27" customHeight="1">
      <x:c r="A59" s="513" t="str">
        <x:v>Decision changes</x:v>
      </x:c>
      <x:c r="B59" s="507" t="n">
        <x:v>0</x:v>
      </x:c>
      <x:c r="C59" s="507" t="str">
        <x:v>Price alone cannot rewrite a frozen decision</x:v>
      </x:c>
      <x:c r="D59" s="507" t="n">
        <x:v>0</x:v>
      </x:c>
      <x:c r="E59" s="507" t="str">
        <x:v>PASS</x:v>
      </x:c>
      <x:c r="F59" s="563" t="n">
        <x:v>46268.338275462964</x:v>
      </x:c>
    </x:row>
    <x:row r="60" ht="27" customHeight="1">
      <x:c r="A60" s="514" t="str">
        <x:v>Daily run</x:v>
      </x:c>
      <x:c r="B60" s="510" t="str">
        <x:v>08:00 Israel</x:v>
      </x:c>
      <x:c r="C60" s="510" t="str">
        <x:v>ARGUS Daily Update schedule</x:v>
      </x:c>
      <x:c r="D60" s="510" t="str">
        <x:v>DAILY</x:v>
      </x:c>
      <x:c r="E60" s="510" t="str">
        <x:v>SCHEDULED</x:v>
      </x:c>
      <x:c r="F60" s="564" t="n">
        <x:v>46268.338275462964</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9.4399995803833" style="139" customWidth="1"/>
    <x:col min="2" max="2" width="18.889999389648438" style="139" customWidth="1"/>
    <x:col min="3" max="3" width="7.78000020980835" style="139" customWidth="1"/>
    <x:col min="4" max="4" width="12.220000267028809" style="139" customWidth="1"/>
    <x:col min="5" max="5" width="10.5600004196167" style="139" customWidth="1"/>
    <x:col min="6" max="6" width="16.670000076293945" style="139" customWidth="1"/>
    <x:col min="7" max="7" width="20" style="139" customWidth="1"/>
    <x:col min="8" max="8" width="18.889999389648438" style="139" customWidth="1"/>
    <x:col min="9" max="9" width="28.889999389648438" style="139" customWidth="1"/>
    <x:col min="10" max="10" width="20" style="139" customWidth="1"/>
    <x:col min="11" max="11" width="25.559999465942383" style="139" customWidth="1"/>
    <x:col min="12" max="12" width="24.440000534057617" style="139" customWidth="1"/>
    <x:col min="13" max="13" width="13.329999923706055" style="139" customWidth="1"/>
    <x:col min="14" max="14" width="16.670000076293945" style="139" customWidth="1"/>
    <x:col min="15" max="15" width="10" style="139" customWidth="1"/>
    <x:col min="16" max="16" width="10.5600004196167" style="139" customWidth="1"/>
    <x:col min="17" max="17" width="9.4399995803833" style="139" customWidth="1"/>
    <x:col min="18" max="18" width="9.4399995803833" style="139" customWidth="1"/>
    <x:col min="19" max="19" width="8.890000343322754" style="139" customWidth="1"/>
    <x:col min="20" max="20" width="11.109999656677246" style="139" customWidth="1"/>
    <x:col min="21" max="21" width="26.670000076293945" style="139" customWidth="1"/>
    <x:col min="22" max="22" width="15.5600004196167" style="139" customWidth="1"/>
    <x:col min="23" max="23" width="6.110000133514404" style="139" customWidth="1"/>
    <x:col min="24" max="24" width="30" style="139" customWidth="1"/>
    <x:col min="25" max="25" width="10" style="139" customWidth="1"/>
    <x:col min="26" max="26" width="10" style="139" customWidth="1"/>
    <x:col min="27" max="27" width="20" style="139" customWidth="1"/>
    <x:col min="28" max="28" width="16.670000076293945" style="139" customWidth="1"/>
    <x:col min="29" max="29" width="31.110000610351562" style="139" customWidth="1"/>
    <x:col min="30" max="30" width="20" style="139" customWidth="1"/>
    <x:col min="31" max="31" width="11.109999656677246" style="139" customWidth="1"/>
  </x:cols>
  <x:sheetData>
    <x:row r="1" s="139" customFormat="1" ht="34" customHeight="1">
      <x:c r="A1" s="112" t="inlineStr">
        <x:is>
          <x:t xml:space="preserve">100-Company Global Universe</x:t>
        </x:is>
      </x:c>
    </x:row>
    <x:row r="2" s="139" customFormat="1" ht="28" customHeight="1">
      <x:c r="A2" s="113" t="inlineStr">
        <x:is>
          <x:t xml:space="preserve">ARGUS V10's 50-company conclusions are preserved as frozen baseline fields; all empirical gate fields begin UNKNOWN until reconstructed.</x:t>
        </x:is>
      </x:c>
    </x:row>
    <x:row r="3">
      <x:c r="A3" s="114" t="n"/>
      <x:c r="B3" s="114" t="n"/>
      <x:c r="C3" s="114" t="n"/>
      <x:c r="D3" s="114" t="n"/>
      <x:c r="E3" s="114" t="n"/>
      <x:c r="F3" s="114" t="n"/>
      <x:c r="G3" s="114" t="n"/>
      <x:c r="H3" s="114" t="n"/>
      <x:c r="I3" s="114" t="n"/>
      <x:c r="J3" s="114" t="n"/>
      <x:c r="K3" s="114" t="n"/>
      <x:c r="L3" s="114" t="n"/>
      <x:c r="M3" s="114" t="n"/>
      <x:c r="N3" s="114" t="n"/>
      <x:c r="O3" s="114" t="n"/>
      <x:c r="P3" s="114" t="n"/>
      <x:c r="Q3" s="114" t="n"/>
      <x:c r="R3" s="114" t="n"/>
      <x:c r="S3" s="114" t="n"/>
      <x:c r="T3" s="114" t="n"/>
      <x:c r="U3" s="114" t="n"/>
      <x:c r="V3" s="114" t="n"/>
      <x:c r="W3" s="114" t="n"/>
      <x:c r="X3" s="114" t="n"/>
      <x:c r="Y3" s="114" t="n"/>
      <x:c r="Z3" s="114" t="n"/>
      <x:c r="AA3" s="114" t="n"/>
      <x:c r="AB3" s="114" t="n"/>
      <x:c r="AC3" s="114" t="n"/>
      <x:c r="AD3" s="114" t="n"/>
      <x:c r="AE3" s="114" t="n"/>
    </x:row>
    <x:row r="4">
      <x:c r="A4" s="114" t="n"/>
      <x:c r="B4" s="114" t="n"/>
      <x:c r="C4" s="114" t="n"/>
      <x:c r="D4" s="114" t="n"/>
      <x:c r="E4" s="114" t="n"/>
      <x:c r="F4" s="114" t="n"/>
      <x:c r="G4" s="114" t="n"/>
      <x:c r="H4" s="114" t="n"/>
      <x:c r="I4" s="114" t="n"/>
      <x:c r="J4" s="114" t="n"/>
      <x:c r="K4" s="114" t="n"/>
      <x:c r="L4" s="114" t="n"/>
      <x:c r="M4" s="114" t="n"/>
      <x:c r="N4" s="114" t="n"/>
      <x:c r="O4" s="114" t="n"/>
      <x:c r="P4" s="114" t="n"/>
      <x:c r="Q4" s="114" t="n"/>
      <x:c r="R4" s="114" t="n"/>
      <x:c r="S4" s="114" t="n"/>
      <x:c r="T4" s="114" t="n"/>
      <x:c r="U4" s="114" t="n"/>
      <x:c r="V4" s="114" t="n"/>
      <x:c r="W4" s="114" t="n"/>
      <x:c r="X4" s="114" t="n"/>
      <x:c r="Y4" s="114" t="n"/>
      <x:c r="Z4" s="114" t="n"/>
      <x:c r="AA4" s="114" t="n"/>
      <x:c r="AB4" s="114" t="n"/>
      <x:c r="AC4" s="114" t="n"/>
      <x:c r="AD4" s="114" t="n"/>
      <x:c r="AE4" s="114" t="n"/>
    </x:row>
    <x:row r="5" s="139" customFormat="1" ht="30" customHeight="1">
      <x:c r="A5" s="116" t="inlineStr">
        <x:is>
          <x:t xml:space="preserve">Company ID</x:t>
        </x:is>
      </x:c>
      <x:c r="B5" s="116" t="inlineStr">
        <x:is>
          <x:t xml:space="preserve">Company</x:t>
        </x:is>
      </x:c>
      <x:c r="C5" s="116" t="inlineStr">
        <x:is>
          <x:t xml:space="preserve">Ticker</x:t>
        </x:is>
      </x:c>
      <x:c r="D5" s="116" t="inlineStr">
        <x:is>
          <x:t xml:space="preserve">Exchange</x:t>
        </x:is>
      </x:c>
      <x:c r="E5" s="116" t="inlineStr">
        <x:is>
          <x:t xml:space="preserve">Country</x:t>
        </x:is>
      </x:c>
      <x:c r="F5" s="116" t="inlineStr">
        <x:is>
          <x:t xml:space="preserve">Sector Family</x:t>
        </x:is>
      </x:c>
      <x:c r="G5" s="116" t="inlineStr">
        <x:is>
          <x:t xml:space="preserve">Sub-Sector</x:t>
        </x:is>
      </x:c>
      <x:c r="H5" s="116" t="inlineStr">
        <x:is>
          <x:t xml:space="preserve">Archetype</x:t>
        </x:is>
      </x:c>
      <x:c r="I5" s="116" t="inlineStr">
        <x:is>
          <x:t xml:space="preserve">Economic Engine</x:t>
        </x:is>
      </x:c>
      <x:c r="J5" s="116" t="inlineStr">
        <x:is>
          <x:t xml:space="preserve">Primary Valuation Lens</x:t>
        </x:is>
      </x:c>
      <x:c r="K5" s="116" t="inlineStr">
        <x:is>
          <x:t xml:space="preserve">Why Included</x:t>
        </x:is>
      </x:c>
      <x:c r="L5" s="116" t="inlineStr">
        <x:is>
          <x:t xml:space="preserve">Primary Source URL</x:t>
        </x:is>
      </x:c>
      <x:c r="M5" s="116" t="inlineStr">
        <x:is>
          <x:t xml:space="preserve">Research Status</x:t>
        </x:is>
      </x:c>
      <x:c r="N5" s="116" t="inlineStr">
        <x:is>
          <x:t xml:space="preserve">Classification</x:t>
        </x:is>
      </x:c>
      <x:c r="O5" s="116" t="inlineStr">
        <x:is>
          <x:t xml:space="preserve">Understanding</x:t>
        </x:is>
      </x:c>
      <x:c r="P5" s="116" t="inlineStr">
        <x:is>
          <x:t xml:space="preserve">Owner Earnings</x:t>
        </x:is>
      </x:c>
      <x:c r="Q5" s="116" t="inlineStr">
        <x:is>
          <x:t xml:space="preserve">Moat 2036</x:t>
        </x:is>
      </x:c>
      <x:c r="R5" s="116" t="inlineStr">
        <x:is>
          <x:t xml:space="preserve">Stewardship</x:t>
        </x:is>
      </x:c>
      <x:c r="S5" s="116" t="inlineStr">
        <x:is>
          <x:t xml:space="preserve">Survival</x:t>
        </x:is>
      </x:c>
      <x:c r="T5" s="116" t="inlineStr">
        <x:is>
          <x:t xml:space="preserve">Margin of Safety</x:t>
        </x:is>
      </x:c>
      <x:c r="U5" s="116" t="inlineStr">
        <x:is>
          <x:t xml:space="preserve">Fatal Unknown</x:t>
        </x:is>
      </x:c>
      <x:c r="V5" s="116" t="inlineStr">
        <x:is>
          <x:t xml:space="preserve">Gate Ready</x:t>
        </x:is>
      </x:c>
      <x:c r="W5" s="116" t="inlineStr">
        <x:is>
          <x:t xml:space="preserve">Priority</x:t>
        </x:is>
      </x:c>
      <x:c r="X5" s="116" t="inlineStr">
        <x:is>
          <x:t xml:space="preserve">Next Action</x:t>
        </x:is>
      </x:c>
      <x:c r="Y5" s="116" t="inlineStr">
        <x:is>
          <x:t xml:space="preserve">Last Review</x:t>
        </x:is>
      </x:c>
      <x:c r="Z5" s="116" t="inlineStr">
        <x:is>
          <x:t xml:space="preserve">Review Due</x:t>
        </x:is>
      </x:c>
      <x:c r="AA5" s="116" t="inlineStr">
        <x:is>
          <x:t xml:space="preserve">Notes</x:t>
        </x:is>
      </x:c>
      <x:c r="AB5" s="116" t="inlineStr">
        <x:is>
          <x:t xml:space="preserve">V10 Frozen Final</x:t>
        </x:is>
      </x:c>
      <x:c r="AC5" s="116" t="inlineStr">
        <x:is>
          <x:t xml:space="preserve">V10 Frozen Reason</x:t>
        </x:is>
      </x:c>
      <x:c r="AD5" s="116" t="inlineStr">
        <x:is>
          <x:t xml:space="preserve">Provenance</x:t>
        </x:is>
      </x:c>
      <x:c r="AE5" s="116" t="inlineStr">
        <x:is>
          <x:t xml:space="preserve">Assigned Phase</x:t>
        </x:is>
      </x:c>
    </x:row>
    <x:row r="6">
      <x:c r="A6" s="56" t="inlineStr">
        <x:is>
          <x:t xml:space="preserve">ARG-001</x:t>
        </x:is>
      </x:c>
      <x:c r="B6" s="56" t="inlineStr">
        <x:is>
          <x:t xml:space="preserve">IonQ</x:t>
        </x:is>
      </x:c>
      <x:c r="C6" s="56" t="inlineStr">
        <x:is>
          <x:t xml:space="preserve">IONQ</x:t>
        </x:is>
      </x:c>
      <x:c r="D6" s="56" t="inlineStr">
        <x:is>
          <x:t xml:space="preserve">NYSE</x:t>
        </x:is>
      </x:c>
      <x:c r="E6" s="56" t="inlineStr">
        <x:is>
          <x:t xml:space="preserve">United States</x:t>
        </x:is>
      </x:c>
      <x:c r="F6" s="56" t="inlineStr">
        <x:is>
          <x:t xml:space="preserve">Quantum Computing</x:t>
        </x:is>
      </x:c>
      <x:c r="G6" s="56" t="inlineStr">
        <x:is>
          <x:t xml:space="preserve">Trapped-ion quantum hardware</x:t>
        </x:is>
      </x:c>
      <x:c r="H6" s="56" t="inlineStr">
        <x:is>
          <x:t xml:space="preserve">Public pure-play</x:t>
        </x:is>
      </x:c>
      <x:c r="I6" s="56" t="inlineStr">
        <x:is>
          <x:t xml:space="preserve">System/cloud access and services around trapped-ion performance</x:t>
        </x:is>
      </x:c>
      <x:c r="J6" s="56" t="inlineStr">
        <x:is>
          <x:t xml:space="preserve">Milestone scenarios + runway</x:t>
        </x:is>
      </x:c>
      <x:c r="K6" s="56" t="inlineStr">
        <x:is>
          <x:t xml:space="preserve">V10 quantum leader; scientific-to-commercial test</x:t>
        </x:is>
      </x:c>
      <x:c r="L6" s="56" t="inlineStr">
        <x:is>
          <x:t xml:space="preserve">https://investors.ionq.com</x:t>
        </x:is>
      </x:c>
      <x:c r="M6" s="69" t="str">
        <x:v>P1 Deep Review V10.29</x:v>
      </x:c>
      <x:c r="N6" s="69" t="str">
        <x:v>Blocked / Owner Test</x:v>
      </x:c>
      <x:c r="O6" s="69" t="inlineStr">
        <x:is>
          <x:t xml:space="preserve">UNKNOWN</x:t>
        </x:is>
      </x:c>
      <x:c r="P6" s="69" t="inlineStr">
        <x:is>
          <x:t xml:space="preserve">UNKNOWN</x:t>
        </x:is>
      </x:c>
      <x:c r="Q6" s="69" t="inlineStr">
        <x:is>
          <x:t xml:space="preserve">UNKNOWN</x:t>
        </x:is>
      </x:c>
      <x:c r="R6" s="69" t="inlineStr">
        <x:is>
          <x:t xml:space="preserve">UNKNOWN</x:t>
        </x:is>
      </x:c>
      <x:c r="S6" s="69" t="inlineStr">
        <x:is>
          <x:t xml:space="preserve">UNKNOWN</x:t>
        </x:is>
      </x:c>
      <x:c r="T6" s="69" t="inlineStr">
        <x:is>
          <x:t xml:space="preserve">UNKNOWN</x:t>
        </x:is>
      </x:c>
      <x:c r="U6" s="69" t="str">
        <x:v>Organic vs acquired revenue and independently verified customer ROI</x:v>
      </x:c>
      <x:c r="V6" s="77" t="str">
        <x:f>IF(U6&lt;&gt;"","BLOCKED - FATAL UNKNOWN",IF(COUNTIF(O6:T6,"FAIL")&gt;0,"BLOCKED - FAIL",IF(COUNTIF(O6:T6,"UNKNOWN")&gt;0,"UNVALIDATED",IF(COUNTIF(O6:T6,"PASS")=6,"READY","UNVALIDATED"))))</x:f>
        <x:v>BLOCKED - FATAL UNKNOWN</x:v>
      </x:c>
      <x:c r="W6" s="69" t="inlineStr">
        <x:is>
          <x:t xml:space="preserve">P1</x:t>
        </x:is>
      </x:c>
      <x:c r="X6" s="69" t="str">
        <x:v>WAIT — require organic/repeat revenue, customer ROI and post-acquisition cash bridge</x:v>
      </x:c>
      <x:c r="Y6" s="205" t="n">
        <x:v>46267</x:v>
      </x:c>
      <x:c r="Z6" s="205" t="n">
        <x:v>46274</x:v>
      </x:c>
      <x:c r="AA6" s="69" t="str">
        <x:v>V10.29 three-pass + contradiction log + Dalio Test completed. Q2 revenue $80.1m (+287% YoY); cash and investments $3.0bn, about $2.0bn pro forma after SkyWater; platform now spans compute, networking, security and sensing.</x:v>
      </x:c>
      <x:c r="AB6" s="56" t="inlineStr">
        <x:is>
          <x:t xml:space="preserve">WAIT FOR PRICE</x:t>
        </x:is>
      </x:c>
      <x:c r="AC6" s="56" t="inlineStr">
        <x:is>
          <x:t xml:space="preserve">Commercial evidence is strong, but valuation and dilution require a very large future outcome.</x:t>
        </x:is>
      </x:c>
      <x:c r="AD6" s="56" t="inlineStr">
        <x:is>
          <x:t xml:space="preserve">Imported from ARGUS V10 Frozen Production Pilot</x:t>
        </x:is>
      </x:c>
      <x:c r="AE6" s="56" t="inlineStr">
        <x:is>
          <x:t xml:space="preserve">Development</x:t>
        </x:is>
      </x:c>
    </x:row>
    <x:row r="7">
      <x:c r="A7" s="57" t="inlineStr">
        <x:is>
          <x:t xml:space="preserve">ARG-002</x:t>
        </x:is>
      </x:c>
      <x:c r="B7" s="57" t="inlineStr">
        <x:is>
          <x:t xml:space="preserve">D-Wave Quantum</x:t>
        </x:is>
      </x:c>
      <x:c r="C7" s="57" t="inlineStr">
        <x:is>
          <x:t xml:space="preserve">QBTS</x:t>
        </x:is>
      </x:c>
      <x:c r="D7" s="57" t="inlineStr">
        <x:is>
          <x:t xml:space="preserve">NYSE</x:t>
        </x:is>
      </x:c>
      <x:c r="E7" s="57" t="inlineStr">
        <x:is>
          <x:t xml:space="preserve">Canada</x:t>
        </x:is>
      </x:c>
      <x:c r="F7" s="57" t="inlineStr">
        <x:is>
          <x:t xml:space="preserve">Quantum Computing</x:t>
        </x:is>
      </x:c>
      <x:c r="G7" s="57" t="inlineStr">
        <x:is>
          <x:t xml:space="preserve">Quantum annealing and hybrid</x:t>
        </x:is>
      </x:c>
      <x:c r="H7" s="57" t="inlineStr">
        <x:is>
          <x:t xml:space="preserve">Alternative modality</x:t>
        </x:is>
      </x:c>
      <x:c r="I7" s="57" t="inlineStr">
        <x:is>
          <x:t xml:space="preserve">Annealing systems, cloud access and professional services</x:t>
        </x:is>
      </x:c>
      <x:c r="J7" s="57" t="inlineStr">
        <x:is>
          <x:t xml:space="preserve">Bookings quality + milestone scenarios</x:t>
        </x:is>
      </x:c>
      <x:c r="K7" s="57" t="inlineStr">
        <x:is>
          <x:t xml:space="preserve">Tests real production use and modality-specific economics</x:t>
        </x:is>
      </x:c>
      <x:c r="L7" s="57" t="inlineStr">
        <x:is>
          <x:t xml:space="preserve">https://ir.dwavesys.com</x:t>
        </x:is>
      </x:c>
      <x:c r="M7" s="71" t="str">
        <x:v>P1 Deep Review V10.29</x:v>
      </x:c>
      <x:c r="N7" s="71" t="str">
        <x:v>Blocked / Owner Test</x:v>
      </x:c>
      <x:c r="O7" s="71" t="inlineStr">
        <x:is>
          <x:t xml:space="preserve">UNKNOWN</x:t>
        </x:is>
      </x:c>
      <x:c r="P7" s="71" t="inlineStr">
        <x:is>
          <x:t xml:space="preserve">UNKNOWN</x:t>
        </x:is>
      </x:c>
      <x:c r="Q7" s="71" t="inlineStr">
        <x:is>
          <x:t xml:space="preserve">UNKNOWN</x:t>
        </x:is>
      </x:c>
      <x:c r="R7" s="71" t="inlineStr">
        <x:is>
          <x:t xml:space="preserve">UNKNOWN</x:t>
        </x:is>
      </x:c>
      <x:c r="S7" s="71" t="inlineStr">
        <x:is>
          <x:t xml:space="preserve">UNKNOWN</x:t>
        </x:is>
      </x:c>
      <x:c r="T7" s="71" t="inlineStr">
        <x:is>
          <x:t xml:space="preserve">UNKNOWN</x:t>
        </x:is>
      </x:c>
      <x:c r="U7" s="71" t="str">
        <x:v>Conversion of the $20m system booking into cash and repeat customer economics</x:v>
      </x:c>
      <x:c r="V7" s="79" t="str">
        <x:f>IF(U7&lt;&gt;"","BLOCKED - FATAL UNKNOWN",IF(COUNTIF(O7:T7,"FAIL")&gt;0,"BLOCKED - FAIL",IF(COUNTIF(O7:T7,"UNKNOWN")&gt;0,"UNVALIDATED",IF(COUNTIF(O7:T7,"PASS")=6,"READY","UNVALIDATED"))))</x:f>
        <x:v>BLOCKED - FATAL UNKNOWN</x:v>
      </x:c>
      <x:c r="W7" s="71" t="inlineStr">
        <x:is>
          <x:t xml:space="preserve">P1</x:t>
        </x:is>
      </x:c>
      <x:c r="X7" s="71" t="str">
        <x:v>RESEARCH — prove backlog conversion and recurring enterprise economics</x:v>
      </x:c>
      <x:c r="Y7" s="206" t="n">
        <x:v>46267</x:v>
      </x:c>
      <x:c r="Z7" s="206" t="n">
        <x:v>46274</x:v>
      </x:c>
      <x:c r="AA7" s="71" t="str">
        <x:v>V10.29 three-pass + contradiction log + Dalio Test completed. Q2 revenue $3.1m, bookings $2.1m (+59%); H1 bookings $35.5m including a $20m system sale; Q2 GAAP opex $55.0m and adjusted EBITDA loss $37.1m; cash $296.6m at Jun-30.</x:v>
      </x:c>
      <x:c r="AB7" s="57" t="inlineStr">
        <x:is>
          <x:t xml:space="preserve">RESEARCH</x:t>
        </x:is>
      </x:c>
      <x:c r="AC7" s="57" t="inlineStr">
        <x:is>
          <x:t xml:space="preserve">Production use is encouraging; recurring economics and durable moat remain open.</x:t>
        </x:is>
      </x:c>
      <x:c r="AD7" s="57" t="inlineStr">
        <x:is>
          <x:t xml:space="preserve">Imported from ARGUS V10 Frozen Production Pilot</x:t>
        </x:is>
      </x:c>
      <x:c r="AE7" s="57" t="inlineStr">
        <x:is>
          <x:t xml:space="preserve">Development</x:t>
        </x:is>
      </x:c>
    </x:row>
    <x:row r="8">
      <x:c r="A8" s="57" t="inlineStr">
        <x:is>
          <x:t xml:space="preserve">ARG-003</x:t>
        </x:is>
      </x:c>
      <x:c r="B8" s="57" t="inlineStr">
        <x:is>
          <x:t xml:space="preserve">Rigetti Computing</x:t>
        </x:is>
      </x:c>
      <x:c r="C8" s="57" t="inlineStr">
        <x:is>
          <x:t xml:space="preserve">RGTI</x:t>
        </x:is>
      </x:c>
      <x:c r="D8" s="57" t="inlineStr">
        <x:is>
          <x:t xml:space="preserve">NASDAQ</x:t>
        </x:is>
      </x:c>
      <x:c r="E8" s="57" t="inlineStr">
        <x:is>
          <x:t xml:space="preserve">United States</x:t>
        </x:is>
      </x:c>
      <x:c r="F8" s="57" t="inlineStr">
        <x:is>
          <x:t xml:space="preserve">Quantum Computing</x:t>
        </x:is>
      </x:c>
      <x:c r="G8" s="57" t="inlineStr">
        <x:is>
          <x:t xml:space="preserve">Superconducting quantum hardware</x:t>
        </x:is>
      </x:c>
      <x:c r="H8" s="57" t="inlineStr">
        <x:is>
          <x:t xml:space="preserve">Financing-sensitive pure-play</x:t>
        </x:is>
      </x:c>
      <x:c r="I8" s="57" t="inlineStr">
        <x:is>
          <x:t xml:space="preserve">Superconducting QPUs and cloud/system access</x:t>
        </x:is>
      </x:c>
      <x:c r="J8" s="57" t="inlineStr">
        <x:is>
          <x:t xml:space="preserve">Milestone value + net cash/runway</x:t>
        </x:is>
      </x:c>
      <x:c r="K8" s="57" t="inlineStr">
        <x:is>
          <x:t xml:space="preserve">Tests roadmap execution and dilution</x:t>
        </x:is>
      </x:c>
      <x:c r="L8" s="57" t="inlineStr">
        <x:is>
          <x:t xml:space="preserve">https://investors.rigetti.com</x:t>
        </x:is>
      </x:c>
      <x:c r="M8" s="71" t="str">
        <x:v>P1 Deep Review V10.29</x:v>
      </x:c>
      <x:c r="N8" s="71" t="str">
        <x:v>Blocked / Owner Test</x:v>
      </x:c>
      <x:c r="O8" s="71" t="inlineStr">
        <x:is>
          <x:t xml:space="preserve">UNKNOWN</x:t>
        </x:is>
      </x:c>
      <x:c r="P8" s="71" t="inlineStr">
        <x:is>
          <x:t xml:space="preserve">UNKNOWN</x:t>
        </x:is>
      </x:c>
      <x:c r="Q8" s="71" t="inlineStr">
        <x:is>
          <x:t xml:space="preserve">UNKNOWN</x:t>
        </x:is>
      </x:c>
      <x:c r="R8" s="71" t="inlineStr">
        <x:is>
          <x:t xml:space="preserve">UNKNOWN</x:t>
        </x:is>
      </x:c>
      <x:c r="S8" s="71" t="inlineStr">
        <x:is>
          <x:t xml:space="preserve">UNKNOWN</x:t>
        </x:is>
      </x:c>
      <x:c r="T8" s="71" t="inlineStr">
        <x:is>
          <x:t xml:space="preserve">UNKNOWN</x:t>
        </x:is>
      </x:c>
      <x:c r="U8" s="71" t="str">
        <x:v>Independent verification and roadmap credibility after repeated historical changes</x:v>
      </x:c>
      <x:c r="V8" s="79" t="str">
        <x:f>IF(U8&lt;&gt;"","BLOCKED - FATAL UNKNOWN",IF(COUNTIF(O8:T8,"FAIL")&gt;0,"BLOCKED - FAIL",IF(COUNTIF(O8:T8,"UNKNOWN")&gt;0,"UNVALIDATED",IF(COUNTIF(O8:T8,"PASS")=6,"READY","UNVALIDATED"))))</x:f>
        <x:v>BLOCKED - FATAL UNKNOWN</x:v>
      </x:c>
      <x:c r="W8" s="71" t="inlineStr">
        <x:is>
          <x:t xml:space="preserve">P1</x:t>
        </x:is>
      </x:c>
      <x:c r="X8" s="71" t="str">
        <x:v>NO ACTION — require externally reproduced milestones and commercial conversion</x:v>
      </x:c>
      <x:c r="Y8" s="206" t="n">
        <x:v>46267</x:v>
      </x:c>
      <x:c r="Z8" s="206" t="n">
        <x:v>46274</x:v>
      </x:c>
      <x:c r="AA8" s="71" t="str">
        <x:v>V10.29 three-pass + contradiction log + Dalio Test completed. Q2 revenue $5.14m versus $1.80m; Q2 GAAP net loss $52.6m; H1 operating cash use $32.0m; cash plus short/long investments about $541.3m; 108 qubits at internally tested 99.1% median two-qubit fidelity.</x:v>
      </x:c>
      <x:c r="AB8" s="57" t="inlineStr">
        <x:is>
          <x:t xml:space="preserve">NO ACTION</x:t>
        </x:is>
      </x:c>
      <x:c r="AC8" s="57" t="inlineStr">
        <x:is>
          <x:t xml:space="preserve">Technical progress is not yet matched by owner economics at sufficient scale.</x:t>
        </x:is>
      </x:c>
      <x:c r="AD8" s="57" t="inlineStr">
        <x:is>
          <x:t xml:space="preserve">Imported from ARGUS V10 Frozen Production Pilot</x:t>
        </x:is>
      </x:c>
      <x:c r="AE8" s="57" t="inlineStr">
        <x:is>
          <x:t xml:space="preserve">Development</x:t>
        </x:is>
      </x:c>
    </x:row>
    <x:row r="9">
      <x:c r="A9" s="57" t="inlineStr">
        <x:is>
          <x:t xml:space="preserve">ARG-004</x:t>
        </x:is>
      </x:c>
      <x:c r="B9" s="57" t="inlineStr">
        <x:is>
          <x:t xml:space="preserve">Quantum Computing Inc.</x:t>
        </x:is>
      </x:c>
      <x:c r="C9" s="57" t="inlineStr">
        <x:is>
          <x:t xml:space="preserve">QUBT</x:t>
        </x:is>
      </x:c>
      <x:c r="D9" s="57" t="inlineStr">
        <x:is>
          <x:t xml:space="preserve">NASDAQ</x:t>
        </x:is>
      </x:c>
      <x:c r="E9" s="57" t="inlineStr">
        <x:is>
          <x:t xml:space="preserve">United States</x:t>
        </x:is>
      </x:c>
      <x:c r="F9" s="57" t="inlineStr">
        <x:is>
          <x:t xml:space="preserve">Quantum Computing</x:t>
        </x:is>
      </x:c>
      <x:c r="G9" s="57" t="inlineStr">
        <x:is>
          <x:t xml:space="preserve">Photonic/quantum technology portfolio</x:t>
        </x:is>
      </x:c>
      <x:c r="H9" s="57" t="inlineStr">
        <x:is>
          <x:t xml:space="preserve">Business-identity risk</x:t>
        </x:is>
      </x:c>
      <x:c r="I9" s="57" t="inlineStr">
        <x:is>
          <x:t xml:space="preserve">Acquisition-led quantum and photonic offerings</x:t>
        </x:is>
      </x:c>
      <x:c r="J9" s="57" t="inlineStr">
        <x:is>
          <x:t xml:space="preserve">Asset/milestone scenarios</x:t>
        </x:is>
      </x:c>
      <x:c r="K9" s="57" t="inlineStr">
        <x:is>
          <x:t xml:space="preserve">Tests understanding gate when business identity changes</x:t>
        </x:is>
      </x:c>
      <x:c r="L9" s="57" t="inlineStr">
        <x:is>
          <x:t xml:space="preserve">https://ir.quantumcomputinginc.com</x:t>
        </x:is>
      </x:c>
      <x:c r="M9" s="71" t="str">
        <x:v>P1 Deep Review V10.29</x:v>
      </x:c>
      <x:c r="N9" s="71" t="str">
        <x:v>Blocked / Owner Test</x:v>
      </x:c>
      <x:c r="O9" s="71" t="inlineStr">
        <x:is>
          <x:t xml:space="preserve">UNKNOWN</x:t>
        </x:is>
      </x:c>
      <x:c r="P9" s="71" t="inlineStr">
        <x:is>
          <x:t xml:space="preserve">UNKNOWN</x:t>
        </x:is>
      </x:c>
      <x:c r="Q9" s="71" t="inlineStr">
        <x:is>
          <x:t xml:space="preserve">UNKNOWN</x:t>
        </x:is>
      </x:c>
      <x:c r="R9" s="71" t="inlineStr">
        <x:is>
          <x:t xml:space="preserve">UNKNOWN</x:t>
        </x:is>
      </x:c>
      <x:c r="S9" s="71" t="inlineStr">
        <x:is>
          <x:t xml:space="preserve">UNKNOWN</x:t>
        </x:is>
      </x:c>
      <x:c r="T9" s="71" t="inlineStr">
        <x:is>
          <x:t xml:space="preserve">UNKNOWN</x:t>
        </x:is>
      </x:c>
      <x:c r="U9" s="71" t="str">
        <x:v>Stable business identity and segment-level organic economics</x:v>
      </x:c>
      <x:c r="V9" s="79" t="str">
        <x:f>IF(U9&lt;&gt;"","BLOCKED - FATAL UNKNOWN",IF(COUNTIF(O9:T9,"FAIL")&gt;0,"BLOCKED - FAIL",IF(COUNTIF(O9:T9,"UNKNOWN")&gt;0,"UNVALIDATED",IF(COUNTIF(O9:T9,"PASS")=6,"READY","UNVALIDATED"))))</x:f>
        <x:v>BLOCKED - FATAL UNKNOWN</x:v>
      </x:c>
      <x:c r="W9" s="71" t="inlineStr">
        <x:is>
          <x:t xml:space="preserve">P1</x:t>
        </x:is>
      </x:c>
      <x:c r="X9" s="71" t="str">
        <x:v>BLOCKED — reconstruct the post-acquisition economic engine first</x:v>
      </x:c>
      <x:c r="Y9" s="206" t="n">
        <x:v>46267</x:v>
      </x:c>
      <x:c r="Z9" s="206" t="n">
        <x:v>46274</x:v>
      </x:c>
      <x:c r="AA9" s="71" t="str">
        <x:v>V10.29 three-pass + contradiction log + Dalio Test completed. Q2 revenue $5.55m versus $0.06m; operating loss $23.0m and net loss $11.8m; cash/investments about $1.3bn; backlog about $42.5m; NHanced acquisition and Fab 2 materially broaden manufacturing scope.</x:v>
      </x:c>
      <x:c r="AB9" s="57" t="inlineStr">
        <x:is>
          <x:t xml:space="preserve">BLOCKED</x:t>
        </x:is>
      </x:c>
      <x:c r="AC9" s="57" t="inlineStr">
        <x:is>
          <x:t xml:space="preserve">Acquisition-led business identity change prevents a stable causal engine from being underwritten.</x:t>
        </x:is>
      </x:c>
      <x:c r="AD9" s="57" t="inlineStr">
        <x:is>
          <x:t xml:space="preserve">Imported from ARGUS V10 Frozen Production Pilot</x:t>
        </x:is>
      </x:c>
      <x:c r="AE9" s="57" t="inlineStr">
        <x:is>
          <x:t xml:space="preserve">Development</x:t>
        </x:is>
      </x:c>
    </x:row>
    <x:row r="10">
      <x:c r="A10" s="57" t="inlineStr">
        <x:is>
          <x:t xml:space="preserve">ARG-005</x:t>
        </x:is>
      </x:c>
      <x:c r="B10" s="57" t="inlineStr">
        <x:is>
          <x:t xml:space="preserve">NVIDIA</x:t>
        </x:is>
      </x:c>
      <x:c r="C10" s="57" t="inlineStr">
        <x:is>
          <x:t xml:space="preserve">NVDA</x:t>
        </x:is>
      </x:c>
      <x:c r="D10" s="57" t="inlineStr">
        <x:is>
          <x:t xml:space="preserve">NASDAQ</x:t>
        </x:is>
      </x:c>
      <x:c r="E10" s="57" t="inlineStr">
        <x:is>
          <x:t xml:space="preserve">United States</x:t>
        </x:is>
      </x:c>
      <x:c r="F10" s="57" t="inlineStr">
        <x:is>
          <x:t xml:space="preserve">AI &amp; Semiconductors</x:t>
        </x:is>
      </x:c>
      <x:c r="G10" s="57" t="inlineStr">
        <x:is>
          <x:t xml:space="preserve">Accelerated compute platform</x:t>
        </x:is>
      </x:c>
      <x:c r="H10" s="57" t="inlineStr">
        <x:is>
          <x:t xml:space="preserve">Platform leader</x:t>
        </x:is>
      </x:c>
      <x:c r="I10" s="57" t="inlineStr">
        <x:is>
          <x:t xml:space="preserve">Compute systems, networking and software ecosystem monetization</x:t>
        </x:is>
      </x:c>
      <x:c r="J10" s="57" t="inlineStr">
        <x:is>
          <x:t xml:space="preserve">Owner earnings + reverse DCF</x:t>
        </x:is>
      </x:c>
      <x:c r="K10" s="57" t="inlineStr">
        <x:is>
          <x:t xml:space="preserve">V10 challenger; exceptional economics versus uncertainty-adjusted price</x:t>
        </x:is>
      </x:c>
      <x:c r="L10" s="57" t="inlineStr">
        <x:is>
          <x:t xml:space="preserve">https://investor.nvidia.com</x:t>
        </x:is>
      </x:c>
      <x:c r="M10" s="71" t="str">
        <x:v>P1 Deep Review V10.29</x:v>
      </x:c>
      <x:c r="N10" s="71" t="str">
        <x:v>Deep Review / Shadow</x:v>
      </x:c>
      <x:c r="O10" s="71" t="inlineStr">
        <x:is>
          <x:t xml:space="preserve">UNKNOWN</x:t>
        </x:is>
      </x:c>
      <x:c r="P10" s="71" t="inlineStr">
        <x:is>
          <x:t xml:space="preserve">UNKNOWN</x:t>
        </x:is>
      </x:c>
      <x:c r="Q10" s="71" t="inlineStr">
        <x:is>
          <x:t xml:space="preserve">UNKNOWN</x:t>
        </x:is>
      </x:c>
      <x:c r="R10" s="71" t="inlineStr">
        <x:is>
          <x:t xml:space="preserve">UNKNOWN</x:t>
        </x:is>
      </x:c>
      <x:c r="S10" s="71" t="inlineStr">
        <x:is>
          <x:t xml:space="preserve">UNKNOWN</x:t>
        </x:is>
      </x:c>
      <x:c r="T10" s="71" t="inlineStr">
        <x:is>
          <x:t xml:space="preserve">UNKNOWN</x:t>
        </x:is>
      </x:c>
      <x:c r="U10" s="71" t="str">
        <x:v>Normalized customer AI ROI and full-cycle gross margin</x:v>
      </x:c>
      <x:c r="V10" s="79" t="str">
        <x:f>IF(U10&lt;&gt;"","BLOCKED - FATAL UNKNOWN",IF(COUNTIF(O10:T10,"FAIL")&gt;0,"BLOCKED - FAIL",IF(COUNTIF(O10:T10,"UNKNOWN")&gt;0,"UNVALIDATED",IF(COUNTIF(O10:T10,"PASS")=6,"READY","UNVALIDATED"))))</x:f>
        <x:v>BLOCKED - FATAL UNKNOWN</x:v>
      </x:c>
      <x:c r="W10" s="71" t="inlineStr">
        <x:is>
          <x:t xml:space="preserve">P1</x:t>
        </x:is>
      </x:c>
      <x:c r="X10" s="71" t="str">
        <x:v>WAIT / SMALL ONLY — track customer ROI, capex financing and normalized margin</x:v>
      </x:c>
      <x:c r="Y10" s="206" t="n">
        <x:v>46267</x:v>
      </x:c>
      <x:c r="Z10" s="206" t="n">
        <x:v>46274</x:v>
      </x:c>
      <x:c r="AA10" s="71" t="str">
        <x:v>V10.29 three-pass + contradiction log + Dalio Test completed. Q2 FY27 revenue $96.2bn (+106% YoY); Data Center $89.0bn (+117%); GAAP/non-GAAP gross margin 75.0%; Q3 guide $108bn.</x:v>
      </x:c>
      <x:c r="AB10" s="57" t="inlineStr">
        <x:is>
          <x:t xml:space="preserve">WAIT / SMALL ONLY</x:t>
        </x:is>
      </x:c>
      <x:c r="AC10" s="57" t="inlineStr">
        <x:is>
          <x:t xml:space="preserve">Exceptional moat and economics; downside range remains too wide for full-size ownership.</x:t>
        </x:is>
      </x:c>
      <x:c r="AD10" s="57" t="inlineStr">
        <x:is>
          <x:t xml:space="preserve">Imported from ARGUS V10 Frozen Production Pilot</x:t>
        </x:is>
      </x:c>
      <x:c r="AE10" s="57" t="inlineStr">
        <x:is>
          <x:t xml:space="preserve">Development</x:t>
        </x:is>
      </x:c>
    </x:row>
    <x:row r="11">
      <x:c r="A11" s="57" t="inlineStr">
        <x:is>
          <x:t xml:space="preserve">ARG-006</x:t>
        </x:is>
      </x:c>
      <x:c r="B11" s="57" t="inlineStr">
        <x:is>
          <x:t xml:space="preserve">Advanced Micro Devices</x:t>
        </x:is>
      </x:c>
      <x:c r="C11" s="57" t="inlineStr">
        <x:is>
          <x:t xml:space="preserve">AMD</x:t>
        </x:is>
      </x:c>
      <x:c r="D11" s="57" t="inlineStr">
        <x:is>
          <x:t xml:space="preserve">NASDAQ</x:t>
        </x:is>
      </x:c>
      <x:c r="E11" s="57" t="inlineStr">
        <x:is>
          <x:t xml:space="preserve">United States</x:t>
        </x:is>
      </x:c>
      <x:c r="F11" s="57" t="inlineStr">
        <x:is>
          <x:t xml:space="preserve">AI &amp; Semiconductors</x:t>
        </x:is>
      </x:c>
      <x:c r="G11" s="57" t="inlineStr">
        <x:is>
          <x:t xml:space="preserve">CPU/GPU compute</x:t>
        </x:is>
      </x:c>
      <x:c r="H11" s="57" t="inlineStr">
        <x:is>
          <x:t xml:space="preserve">Challenger</x:t>
        </x:is>
      </x:c>
      <x:c r="I11" s="57" t="inlineStr">
        <x:is>
          <x:t xml:space="preserve">Share gains and mix across data center, client and accelerators</x:t>
        </x:is>
      </x:c>
      <x:c r="J11" s="57" t="inlineStr">
        <x:is>
          <x:t xml:space="preserve">Cycle-normalized FCF + reverse DCF</x:t>
        </x:is>
      </x:c>
      <x:c r="K11" s="57" t="inlineStr">
        <x:is>
          <x:t xml:space="preserve">Control for architecture competition</x:t>
        </x:is>
      </x:c>
      <x:c r="L11" s="57" t="inlineStr">
        <x:is>
          <x:t xml:space="preserve">https://ir.amd.com</x:t>
        </x:is>
      </x:c>
      <x:c r="M11" s="71" t="str">
        <x:v>P2-A Deep Review V10.30</x:v>
      </x:c>
      <x:c r="N11" s="71" t="str">
        <x:v>Deep Review / Shadow</x:v>
      </x:c>
      <x:c r="O11" s="71" t="inlineStr">
        <x:is>
          <x:t xml:space="preserve">UNKNOWN</x:t>
        </x:is>
      </x:c>
      <x:c r="P11" s="71" t="inlineStr">
        <x:is>
          <x:t xml:space="preserve">UNKNOWN</x:t>
        </x:is>
      </x:c>
      <x:c r="Q11" s="71" t="inlineStr">
        <x:is>
          <x:t xml:space="preserve">UNKNOWN</x:t>
        </x:is>
      </x:c>
      <x:c r="R11" s="71" t="inlineStr">
        <x:is>
          <x:t xml:space="preserve">UNKNOWN</x:t>
        </x:is>
      </x:c>
      <x:c r="S11" s="71" t="inlineStr">
        <x:is>
          <x:t xml:space="preserve">UNKNOWN</x:t>
        </x:is>
      </x:c>
      <x:c r="T11" s="71" t="inlineStr">
        <x:is>
          <x:t xml:space="preserve">UNKNOWN</x:t>
        </x:is>
      </x:c>
      <x:c r="U11" s="71" t="str">
        <x:v>Normalized AI customer ROI, accelerator customer concentration and full-cycle FCF/share</x:v>
      </x:c>
      <x:c r="V11" s="79" t="str">
        <x:f>IF(U11&lt;&gt;"","BLOCKED - FATAL UNKNOWN",IF(COUNTIF(O11:T11,"FAIL")&gt;0,"BLOCKED - FAIL",IF(COUNTIF(O11:T11,"UNKNOWN")&gt;0,"UNVALIDATED",IF(COUNTIF(O11:T11,"PASS")=6,"READY","UNVALIDATED"))))</x:f>
        <x:v>BLOCKED - FATAL UNKNOWN</x:v>
      </x:c>
      <x:c r="W11" s="71" t="inlineStr">
        <x:is>
          <x:t xml:space="preserve">P2</x:t>
        </x:is>
      </x:c>
      <x:c r="X11" s="71" t="str">
        <x:v>WATCH — no upgrade; require normalized customer AI ROI, durable accelerator share and free-cash-flow conversion</x:v>
      </x:c>
      <x:c r="Y11" s="206" t="n">
        <x:v>46267</x:v>
      </x:c>
      <x:c r="Z11" s="206" t="n">
        <x:v>46281</x:v>
      </x:c>
      <x:c r="AA11" s="71" t="str">
        <x:v>V10.30 P2-A three-pass + contradiction log + PIT price + Dalio Test completed. Q2 revenue $11.536bn (+50% YoY); Data Center $6.718bn (+107%); non-GAAP gross margin 56%; operating income $3.094bn; capex $808m; cash and short-term investments $13.111bn.</x:v>
      </x:c>
      <x:c r="AB11" s="57" t="inlineStr">
        <x:is>
          <x:t xml:space="preserve">WATCH</x:t>
        </x:is>
      </x:c>
      <x:c r="AC11" s="57" t="inlineStr">
        <x:is>
          <x:t xml:space="preserve">AI/data-center growth is strong; no clear opportunity-cost win versus NVIDIA.</x:t>
        </x:is>
      </x:c>
      <x:c r="AD11" s="57" t="inlineStr">
        <x:is>
          <x:t xml:space="preserve">Imported from ARGUS V10 Frozen Production Pilot</x:t>
        </x:is>
      </x:c>
      <x:c r="AE11" s="57" t="inlineStr">
        <x:is>
          <x:t xml:space="preserve">Development</x:t>
        </x:is>
      </x:c>
    </x:row>
    <x:row r="12">
      <x:c r="A12" s="57" t="inlineStr">
        <x:is>
          <x:t xml:space="preserve">ARG-007</x:t>
        </x:is>
      </x:c>
      <x:c r="B12" s="57" t="inlineStr">
        <x:is>
          <x:t xml:space="preserve">Taiwan Semiconductor Manufacturing</x:t>
        </x:is>
      </x:c>
      <x:c r="C12" s="57" t="inlineStr">
        <x:is>
          <x:t xml:space="preserve">TSM</x:t>
        </x:is>
      </x:c>
      <x:c r="D12" s="57" t="inlineStr">
        <x:is>
          <x:t xml:space="preserve">NYSE ADR</x:t>
        </x:is>
      </x:c>
      <x:c r="E12" s="57" t="inlineStr">
        <x:is>
          <x:t xml:space="preserve">Taiwan</x:t>
        </x:is>
      </x:c>
      <x:c r="F12" s="57" t="inlineStr">
        <x:is>
          <x:t xml:space="preserve">AI &amp; Semiconductors</x:t>
        </x:is>
      </x:c>
      <x:c r="G12" s="57" t="inlineStr">
        <x:is>
          <x:t xml:space="preserve">Leading-edge foundry</x:t>
        </x:is>
      </x:c>
      <x:c r="H12" s="57" t="inlineStr">
        <x:is>
          <x:t xml:space="preserve">Manufacturing bottleneck</x:t>
        </x:is>
      </x:c>
      <x:c r="I12" s="57" t="inlineStr">
        <x:is>
          <x:t xml:space="preserve">Wafer demand × node mix × utilization × pricing</x:t>
        </x:is>
      </x:c>
      <x:c r="J12" s="57" t="inlineStr">
        <x:is>
          <x:t xml:space="preserve">Mid-cycle FCF + replacement cost</x:t>
        </x:is>
      </x:c>
      <x:c r="K12" s="57" t="inlineStr">
        <x:is>
          <x:t xml:space="preserve">Tests manufacturing moat and geopolitical survival</x:t>
        </x:is>
      </x:c>
      <x:c r="L12" s="57" t="inlineStr">
        <x:is>
          <x:t xml:space="preserve">https://investor.tsmc.com</x:t>
        </x:is>
      </x:c>
      <x:c r="M12" s="71" t="str">
        <x:v>P2-A Deep Review V10.30</x:v>
      </x:c>
      <x:c r="N12" s="71" t="str">
        <x:v>Deep Review / Shadow</x:v>
      </x:c>
      <x:c r="O12" s="71" t="inlineStr">
        <x:is>
          <x:t xml:space="preserve">UNKNOWN</x:t>
        </x:is>
      </x:c>
      <x:c r="P12" s="71" t="inlineStr">
        <x:is>
          <x:t xml:space="preserve">UNKNOWN</x:t>
        </x:is>
      </x:c>
      <x:c r="Q12" s="71" t="inlineStr">
        <x:is>
          <x:t xml:space="preserve">UNKNOWN</x:t>
        </x:is>
      </x:c>
      <x:c r="R12" s="71" t="inlineStr">
        <x:is>
          <x:t xml:space="preserve">UNKNOWN</x:t>
        </x:is>
      </x:c>
      <x:c r="S12" s="71" t="inlineStr">
        <x:is>
          <x:t xml:space="preserve">UNKNOWN</x:t>
        </x:is>
      </x:c>
      <x:c r="T12" s="71" t="inlineStr">
        <x:is>
          <x:t xml:space="preserve">UNKNOWN</x:t>
        </x:is>
      </x:c>
      <x:c r="U12" s="71" t="str">
        <x:v>Quantified geopolitical loss tail and normalized returns on overseas capacity</x:v>
      </x:c>
      <x:c r="V12" s="79" t="str">
        <x:f>IF(U12&lt;&gt;"","BLOCKED - FATAL UNKNOWN",IF(COUNTIF(O12:T12,"FAIL")&gt;0,"BLOCKED - FAIL",IF(COUNTIF(O12:T12,"UNKNOWN")&gt;0,"UNVALIDATED",IF(COUNTIF(O12:T12,"PASS")=6,"READY","UNVALIDATED"))))</x:f>
        <x:v>BLOCKED - FATAL UNKNOWN</x:v>
      </x:c>
      <x:c r="W12" s="71" t="inlineStr">
        <x:is>
          <x:t xml:space="preserve">P2</x:t>
        </x:is>
      </x:c>
      <x:c r="X12" s="71" t="str">
        <x:v>WATCH — moat affirmed; require Taiwan-tail price protection and overseas-fab return evidence</x:v>
      </x:c>
      <x:c r="Y12" s="206" t="n">
        <x:v>46267</x:v>
      </x:c>
      <x:c r="Z12" s="206" t="n">
        <x:v>46281</x:v>
      </x:c>
      <x:c r="AA12" s="71" t="str">
        <x:v>V10.30 P2-A three-pass + contradiction log + PIT price + Dalio Test completed. Q2 revenue US$40.20bn (+33.7% YoY), NT$1,270.38bn; net income NT$706.56bn (+77.4%); gross margin 67.7% and operating margin 60.3%; Q3 revenue guidance US$44.6–45.8bn.</x:v>
      </x:c>
      <x:c r="AB12" s="57" t="inlineStr">
        <x:is>
          <x:t xml:space="preserve">WATCH</x:t>
        </x:is>
      </x:c>
      <x:c r="AC12" s="57" t="inlineStr">
        <x:is>
          <x:t xml:space="preserve">World-class economics; Taiwan permanent-loss tail demands a larger discount.</x:t>
        </x:is>
      </x:c>
      <x:c r="AD12" s="57" t="inlineStr">
        <x:is>
          <x:t xml:space="preserve">Imported from ARGUS V10 Frozen Production Pilot</x:t>
        </x:is>
      </x:c>
      <x:c r="AE12" s="57" t="inlineStr">
        <x:is>
          <x:t xml:space="preserve">Development</x:t>
        </x:is>
      </x:c>
    </x:row>
    <x:row r="13">
      <x:c r="A13" s="57" t="inlineStr">
        <x:is>
          <x:t xml:space="preserve">ARG-008</x:t>
        </x:is>
      </x:c>
      <x:c r="B13" s="57" t="inlineStr">
        <x:is>
          <x:t xml:space="preserve">ASML Holding</x:t>
        </x:is>
      </x:c>
      <x:c r="C13" s="57" t="inlineStr">
        <x:is>
          <x:t xml:space="preserve">ASML</x:t>
        </x:is>
      </x:c>
      <x:c r="D13" s="57" t="inlineStr">
        <x:is>
          <x:t xml:space="preserve">NASDAQ ADR</x:t>
        </x:is>
      </x:c>
      <x:c r="E13" s="57" t="inlineStr">
        <x:is>
          <x:t xml:space="preserve">Netherlands</x:t>
        </x:is>
      </x:c>
      <x:c r="F13" s="57" t="inlineStr">
        <x:is>
          <x:t xml:space="preserve">AI &amp; Semiconductors</x:t>
        </x:is>
      </x:c>
      <x:c r="G13" s="57" t="inlineStr">
        <x:is>
          <x:t xml:space="preserve">Lithography equipment</x:t>
        </x:is>
      </x:c>
      <x:c r="H13" s="57" t="inlineStr">
        <x:is>
          <x:t xml:space="preserve">Critical equipment monopoly</x:t>
        </x:is>
      </x:c>
      <x:c r="I13" s="57" t="inlineStr">
        <x:is>
          <x:t xml:space="preserve">System shipments plus installed-base service annuity</x:t>
        </x:is>
      </x:c>
      <x:c r="J13" s="57" t="inlineStr">
        <x:is>
          <x:t xml:space="preserve">Owner earnings + reverse DCF</x:t>
        </x:is>
      </x:c>
      <x:c r="K13" s="57" t="inlineStr">
        <x:is>
          <x:t xml:space="preserve">Tests extreme moat versus cycle/export controls/price</x:t>
        </x:is>
      </x:c>
      <x:c r="L13" s="57" t="inlineStr">
        <x:is>
          <x:t xml:space="preserve">https://www.asml.com/en/investors</x:t>
        </x:is>
      </x:c>
      <x:c r="M13" s="71" t="str">
        <x:v>P2-A Deep Review V10.30</x:v>
      </x:c>
      <x:c r="N13" s="71" t="str">
        <x:v>Blocked / Owner Test</x:v>
      </x:c>
      <x:c r="O13" s="71" t="inlineStr">
        <x:is>
          <x:t xml:space="preserve">UNKNOWN</x:t>
        </x:is>
      </x:c>
      <x:c r="P13" s="71" t="inlineStr">
        <x:is>
          <x:t xml:space="preserve">UNKNOWN</x:t>
        </x:is>
      </x:c>
      <x:c r="Q13" s="71" t="inlineStr">
        <x:is>
          <x:t xml:space="preserve">UNKNOWN</x:t>
        </x:is>
      </x:c>
      <x:c r="R13" s="71" t="inlineStr">
        <x:is>
          <x:t xml:space="preserve">UNKNOWN</x:t>
        </x:is>
      </x:c>
      <x:c r="S13" s="71" t="inlineStr">
        <x:is>
          <x:t xml:space="preserve">UNKNOWN</x:t>
        </x:is>
      </x:c>
      <x:c r="T13" s="71" t="inlineStr">
        <x:is>
          <x:t xml:space="preserve">UNKNOWN</x:t>
        </x:is>
      </x:c>
      <x:c r="U13" s="71" t="str">
        <x:v>Conservative value range under export restrictions and a WFE down-cycle</x:v>
      </x:c>
      <x:c r="V13" s="79" t="str">
        <x:f>IF(U13&lt;&gt;"","BLOCKED - FATAL UNKNOWN",IF(COUNTIF(O13:T13,"FAIL")&gt;0,"BLOCKED - FAIL",IF(COUNTIF(O13:T13,"UNKNOWN")&gt;0,"UNVALIDATED",IF(COUNTIF(O13:T13,"PASS")=6,"READY","UNVALIDATED"))))</x:f>
        <x:v>BLOCKED - FATAL UNKNOWN</x:v>
      </x:c>
      <x:c r="W13" s="71" t="inlineStr">
        <x:is>
          <x:t xml:space="preserve">P2</x:t>
        </x:is>
      </x:c>
      <x:c r="X13" s="71" t="str">
        <x:v>WAIT FOR PRICE — evidence strengthens the franchise, not the entry price</x:v>
      </x:c>
      <x:c r="Y13" s="206" t="n">
        <x:v>46267</x:v>
      </x:c>
      <x:c r="Z13" s="206" t="n">
        <x:v>46281</x:v>
      </x:c>
      <x:c r="AA13" s="71" t="str">
        <x:v>V10.30 P2-A three-pass + contradiction log + PIT price + Dalio Test completed. Q2 sales €9.326bn; gross margin 54%; net income €2.918bn; installed-base management sales €2.762bn; 86 new systems; cash/short-term investments €7.582bn; FY26 sales guide €43–45bn.</x:v>
      </x:c>
      <x:c r="AB13" s="57" t="inlineStr">
        <x:is>
          <x:t xml:space="preserve">WAIT FOR PRICE</x:t>
        </x:is>
      </x:c>
      <x:c r="AC13" s="57" t="inlineStr">
        <x:is>
          <x:t xml:space="preserve">Near-monopoly quality, but extraordinary demand is already priced.</x:t>
        </x:is>
      </x:c>
      <x:c r="AD13" s="57" t="inlineStr">
        <x:is>
          <x:t xml:space="preserve">Imported from ARGUS V10 Frozen Production Pilot</x:t>
        </x:is>
      </x:c>
      <x:c r="AE13" s="57" t="inlineStr">
        <x:is>
          <x:t xml:space="preserve">Development</x:t>
        </x:is>
      </x:c>
    </x:row>
    <x:row r="14">
      <x:c r="A14" s="57" t="str">
        <x:v>ARG-009</x:v>
      </x:c>
      <x:c r="B14" s="57" t="str">
        <x:v>Applied Materials</x:v>
      </x:c>
      <x:c r="C14" s="57" t="str">
        <x:v>AMAT</x:v>
      </x:c>
      <x:c r="D14" s="57" t="str">
        <x:v>NASDAQ</x:v>
      </x:c>
      <x:c r="E14" s="57" t="str">
        <x:v>United States</x:v>
      </x:c>
      <x:c r="F14" s="57" t="str">
        <x:v>AI &amp; Semiconductors</x:v>
      </x:c>
      <x:c r="G14" s="57" t="str">
        <x:v>Semiconductor equipment</x:v>
      </x:c>
      <x:c r="H14" s="57" t="str">
        <x:v>Broad process exposure</x:v>
      </x:c>
      <x:c r="I14" s="57" t="str">
        <x:v>Wafer-fab equipment demand plus service</x:v>
      </x:c>
      <x:c r="J14" s="57" t="str">
        <x:v>Mid-cycle FCF</x:v>
      </x:c>
      <x:c r="K14" s="57" t="str">
        <x:v>Cycle/control for semiconductor equipment</x:v>
      </x:c>
      <x:c r="L14" s="57" t="str">
        <x:v>https://ir.appliedmaterials.com</x:v>
      </x:c>
      <x:c r="M14" s="71" t="str">
        <x:v>P2-B Deep Review V10.31</x:v>
      </x:c>
      <x:c r="N14" s="71" t="str">
        <x:v>Deep Review / Shadow</x:v>
      </x:c>
      <x:c r="O14" s="71" t="str">
        <x:v>UNKNOWN</x:v>
      </x:c>
      <x:c r="P14" s="71" t="str">
        <x:v>UNKNOWN</x:v>
      </x:c>
      <x:c r="Q14" s="71" t="str">
        <x:v>UNKNOWN</x:v>
      </x:c>
      <x:c r="R14" s="71" t="str">
        <x:v>UNKNOWN</x:v>
      </x:c>
      <x:c r="S14" s="71" t="str">
        <x:v>UNKNOWN</x:v>
      </x:c>
      <x:c r="T14" s="71" t="str">
        <x:v>UNKNOWN</x:v>
      </x:c>
      <x:c r="U14" s="71" t="str">
        <x:v>Normalized WFE/service owner earnings under export limits and the return on EPIC/capacity investment</x:v>
      </x:c>
      <x:c r="V14" s="79" t="str">
        <x:v>BLOCKED - FATAL UNKNOWN</x:v>
      </x:c>
      <x:c r="W14" s="71" t="str">
        <x:v>P2</x:v>
      </x:c>
      <x:c r="X14" s="71" t="str">
        <x:v>WAIT FOR PRICE — require a cycle-normalized FCF range, export-loss case and EPIC return evidence</x:v>
      </x:c>
      <x:c r="Y14" s="206" t="n">
        <x:v>46267</x:v>
      </x:c>
      <x:c r="Z14" s="206" t="n">
        <x:v>46288</x:v>
      </x:c>
      <x:c r="AA14" s="71" t="str">
        <x:v>V10.31 P2-B three-pass + contradiction log + PIT price + Dalio Test completed. Fiscal Q3 revenue $9.12bn (+25% YoY); GAAP gross margin 50.3%; operating income $3.08bn and margin 33.7%; GAAP EPS $3.17; Services revenue $1.781bn with 30.1% margin; EPIC Center has 11 R&amp;D partnerships.</x:v>
      </x:c>
      <x:c r="AB14" s="57" t="str">
        <x:v>WAIT FOR PRICE</x:v>
      </x:c>
      <x:c r="AC14" s="57" t="str">
        <x:v>Excellent economics; current multiple leaves little room for cycle normalization.</x:v>
      </x:c>
      <x:c r="AD14" s="57" t="str">
        <x:v>Imported from ARGUS V10 Frozen Production Pilot</x:v>
      </x:c>
      <x:c r="AE14" s="57" t="str">
        <x:v>Development</x:v>
      </x:c>
    </x:row>
    <x:row r="15">
      <x:c r="A15" s="57" t="str">
        <x:v>ARG-010</x:v>
      </x:c>
      <x:c r="B15" s="57" t="str">
        <x:v>Lam Research</x:v>
      </x:c>
      <x:c r="C15" s="57" t="str">
        <x:v>LRCX</x:v>
      </x:c>
      <x:c r="D15" s="57" t="str">
        <x:v>NASDAQ</x:v>
      </x:c>
      <x:c r="E15" s="57" t="str">
        <x:v>United States</x:v>
      </x:c>
      <x:c r="F15" s="57" t="str">
        <x:v>AI &amp; Semiconductors</x:v>
      </x:c>
      <x:c r="G15" s="57" t="str">
        <x:v>Etch and deposition equipment</x:v>
      </x:c>
      <x:c r="H15" s="57" t="str">
        <x:v>Process specialist</x:v>
      </x:c>
      <x:c r="I15" s="57" t="str">
        <x:v>Memory/foundry equipment plus installed-base service</x:v>
      </x:c>
      <x:c r="J15" s="57" t="str">
        <x:v>Mid-cycle FCF</x:v>
      </x:c>
      <x:c r="K15" s="57" t="str">
        <x:v>Tests AI-memory leverage and equipment moat</x:v>
      </x:c>
      <x:c r="L15" s="57" t="str">
        <x:v>https://investor.lamresearch.com</x:v>
      </x:c>
      <x:c r="M15" s="71" t="str">
        <x:v>P2-B Deep Review V10.31</x:v>
      </x:c>
      <x:c r="N15" s="71" t="str">
        <x:v>Deep Review / Shadow</x:v>
      </x:c>
      <x:c r="O15" s="71" t="str">
        <x:v>UNKNOWN</x:v>
      </x:c>
      <x:c r="P15" s="71" t="str">
        <x:v>UNKNOWN</x:v>
      </x:c>
      <x:c r="Q15" s="71" t="str">
        <x:v>UNKNOWN</x:v>
      </x:c>
      <x:c r="R15" s="71" t="str">
        <x:v>UNKNOWN</x:v>
      </x:c>
      <x:c r="S15" s="71" t="str">
        <x:v>UNKNOWN</x:v>
      </x:c>
      <x:c r="T15" s="71" t="str">
        <x:v>UNKNOWN</x:v>
      </x:c>
      <x:c r="U15" s="71" t="str">
        <x:v>Customer-level concentration, export-adjusted installed-base value and trough-cycle owner earnings</x:v>
      </x:c>
      <x:c r="V15" s="79" t="str">
        <x:v>BLOCKED - FATAL UNKNOWN</x:v>
      </x:c>
      <x:c r="W15" s="71" t="str">
        <x:v>P2</x:v>
      </x:c>
      <x:c r="X15" s="71" t="str">
        <x:v>WAIT FOR PRICE — normalize the September ramp, China exposure, service durability and full-cycle FCF</x:v>
      </x:c>
      <x:c r="Y15" s="206" t="n">
        <x:v>46267</x:v>
      </x:c>
      <x:c r="Z15" s="206" t="n">
        <x:v>46288</x:v>
      </x:c>
      <x:c r="AA15" s="71" t="str">
        <x:v>V10.31 P2-B three-pass + contradiction log + PIT price + Dalio Test completed. June-quarter revenue $6.722bn (+15.1% sequentially); GAAP gross margin 51.7%, operating margin 37.4% and EPS $1.81; Systems $4.250bn, Customer Support $2.472bn; CFO $1.457bn less $188.8m capex/intangibles; Taiwan, China and Korea were 27%, 26% and 20% of revenue.</x:v>
      </x:c>
      <x:c r="AB15" s="57" t="str">
        <x:v>WAIT FOR PRICE</x:v>
      </x:c>
      <x:c r="AC15" s="57" t="str">
        <x:v>Strong moat; valuation capitalizes much of the runway.</x:v>
      </x:c>
      <x:c r="AD15" s="57" t="str">
        <x:v>Imported from ARGUS V10 Frozen Production Pilot</x:v>
      </x:c>
      <x:c r="AE15" s="57" t="str">
        <x:v>Development</x:v>
      </x:c>
    </x:row>
    <x:row r="16">
      <x:c r="A16" s="57" t="inlineStr">
        <x:is>
          <x:t xml:space="preserve">ARG-011</x:t>
        </x:is>
      </x:c>
      <x:c r="B16" s="57" t="inlineStr">
        <x:is>
          <x:t xml:space="preserve">Micron Technology</x:t>
        </x:is>
      </x:c>
      <x:c r="C16" s="57" t="inlineStr">
        <x:is>
          <x:t xml:space="preserve">MU</x:t>
        </x:is>
      </x:c>
      <x:c r="D16" s="57" t="inlineStr">
        <x:is>
          <x:t xml:space="preserve">NASDAQ</x:t>
        </x:is>
      </x:c>
      <x:c r="E16" s="57" t="inlineStr">
        <x:is>
          <x:t xml:space="preserve">United States</x:t>
        </x:is>
      </x:c>
      <x:c r="F16" s="57" t="inlineStr">
        <x:is>
          <x:t xml:space="preserve">AI &amp; Semiconductors</x:t>
        </x:is>
      </x:c>
      <x:c r="G16" s="57" t="inlineStr">
        <x:is>
          <x:t xml:space="preserve">Memory and HBM</x:t>
        </x:is>
      </x:c>
      <x:c r="H16" s="57" t="inlineStr">
        <x:is>
          <x:t xml:space="preserve">Commodity technology cycle</x:t>
        </x:is>
      </x:c>
      <x:c r="I16" s="57" t="inlineStr">
        <x:is>
          <x:t xml:space="preserve">Bit shipments × pricing − capital intensity</x:t>
        </x:is>
      </x:c>
      <x:c r="J16" s="57" t="inlineStr">
        <x:is>
          <x:t xml:space="preserve">Cycle-normalized earnings + replacement cost</x:t>
        </x:is>
      </x:c>
      <x:c r="K16" s="57" t="inlineStr">
        <x:is>
          <x:t xml:space="preserve">Peak-cycle normalization test</x:t>
        </x:is>
      </x:c>
      <x:c r="L16" s="57" t="inlineStr">
        <x:is>
          <x:t xml:space="preserve">https://investors.micron.com</x:t>
        </x:is>
      </x:c>
      <x:c r="M16" s="71" t="str">
        <x:v>P2-A Deep Review V10.30</x:v>
      </x:c>
      <x:c r="N16" s="71" t="str">
        <x:v>Blocked / Owner Test</x:v>
      </x:c>
      <x:c r="O16" s="71" t="inlineStr">
        <x:is>
          <x:t xml:space="preserve">UNKNOWN</x:t>
        </x:is>
      </x:c>
      <x:c r="P16" s="71" t="inlineStr">
        <x:is>
          <x:t xml:space="preserve">UNKNOWN</x:t>
        </x:is>
      </x:c>
      <x:c r="Q16" s="71" t="inlineStr">
        <x:is>
          <x:t xml:space="preserve">UNKNOWN</x:t>
        </x:is>
      </x:c>
      <x:c r="R16" s="71" t="inlineStr">
        <x:is>
          <x:t xml:space="preserve">UNKNOWN</x:t>
        </x:is>
      </x:c>
      <x:c r="S16" s="71" t="inlineStr">
        <x:is>
          <x:t xml:space="preserve">UNKNOWN</x:t>
        </x:is>
      </x:c>
      <x:c r="T16" s="71" t="inlineStr">
        <x:is>
          <x:t xml:space="preserve">UNKNOWN</x:t>
        </x:is>
      </x:c>
      <x:c r="U16" s="71" t="str">
        <x:v>Full-cycle HBM/DRAM price, utilization and owner-earnings normalization</x:v>
      </x:c>
      <x:c r="V16" s="79" t="str">
        <x:f>IF(U16&lt;&gt;"","BLOCKED - FATAL UNKNOWN",IF(COUNTIF(O16:T16,"FAIL")&gt;0,"BLOCKED - FAIL",IF(COUNTIF(O16:T16,"UNKNOWN")&gt;0,"UNVALIDATED",IF(COUNTIF(O16:T16,"PASS")=6,"READY","UNVALIDATED"))))</x:f>
        <x:v>BLOCKED - FATAL UNKNOWN</x:v>
      </x:c>
      <x:c r="W16" s="71" t="inlineStr">
        <x:is>
          <x:t xml:space="preserve">P2</x:t>
        </x:is>
      </x:c>
      <x:c r="X16" s="71" t="str">
        <x:v>WAIT — normalize HBM pricing, supply response, depreciation and capex before valuation</x:v>
      </x:c>
      <x:c r="Y16" s="206" t="n">
        <x:v>46267</x:v>
      </x:c>
      <x:c r="Z16" s="206" t="n">
        <x:v>46281</x:v>
      </x:c>
      <x:c r="AA16" s="71" t="str">
        <x:v>V10.30 P2-A three-pass + contradiction log + PIT price + Dalio Test completed. Fiscal Q3 revenue $41.46bn versus $23.86bn in the prior quarter; net income about $28.24bn; capex $7.1bn; adjusted FCF $18.3bn; cash, marketable and restricted investments $30.2bn.</x:v>
      </x:c>
      <x:c r="AB16" s="57" t="inlineStr">
        <x:is>
          <x:t xml:space="preserve">WAIT</x:t>
        </x:is>
      </x:c>
      <x:c r="AC16" s="57" t="inlineStr">
        <x:is>
          <x:t xml:space="preserve">HBM economics are powerful, but current memory profits require normalization.</x:t>
        </x:is>
      </x:c>
      <x:c r="AD16" s="57" t="inlineStr">
        <x:is>
          <x:t xml:space="preserve">Imported from ARGUS V10 Frozen Production Pilot</x:t>
        </x:is>
      </x:c>
      <x:c r="AE16" s="57" t="inlineStr">
        <x:is>
          <x:t xml:space="preserve">Development</x:t>
        </x:is>
      </x:c>
    </x:row>
    <x:row r="17">
      <x:c r="A17" s="57" t="inlineStr">
        <x:is>
          <x:t xml:space="preserve">ARG-012</x:t>
        </x:is>
      </x:c>
      <x:c r="B17" s="57" t="inlineStr">
        <x:is>
          <x:t xml:space="preserve">Broadcom</x:t>
        </x:is>
      </x:c>
      <x:c r="C17" s="57" t="inlineStr">
        <x:is>
          <x:t xml:space="preserve">AVGO</x:t>
        </x:is>
      </x:c>
      <x:c r="D17" s="57" t="inlineStr">
        <x:is>
          <x:t xml:space="preserve">NASDAQ</x:t>
        </x:is>
      </x:c>
      <x:c r="E17" s="57" t="inlineStr">
        <x:is>
          <x:t xml:space="preserve">United States</x:t>
        </x:is>
      </x:c>
      <x:c r="F17" s="57" t="inlineStr">
        <x:is>
          <x:t xml:space="preserve">AI &amp; Semiconductors</x:t>
        </x:is>
      </x:c>
      <x:c r="G17" s="57" t="inlineStr">
        <x:is>
          <x:t xml:space="preserve">Custom silicon/networking/software</x:t>
        </x:is>
      </x:c>
      <x:c r="H17" s="57" t="inlineStr">
        <x:is>
          <x:t xml:space="preserve">Acquisition allocator</x:t>
        </x:is>
      </x:c>
      <x:c r="I17" s="57" t="inlineStr">
        <x:is>
          <x:t xml:space="preserve">AI connectivity/custom silicon plus recurring infrastructure software</x:t>
        </x:is>
      </x:c>
      <x:c r="J17" s="57" t="inlineStr">
        <x:is>
          <x:t xml:space="preserve">Segment SOTP + owner earnings</x:t>
        </x:is>
      </x:c>
      <x:c r="K17" s="57" t="inlineStr">
        <x:is>
          <x:t xml:space="preserve">Tests retained-dollar and acquisition-cohort economics</x:t>
        </x:is>
      </x:c>
      <x:c r="L17" s="518" t="str">
        <x:v>https://investors.broadcom.com/news-releases/news-release-details/broadcom-inc-announces-third-quarter-fiscal-year-2026-financial</x:v>
      </x:c>
      <x:c r="M17" s="71" t="str">
        <x:v>AI Chain Event Review V10.33</x:v>
      </x:c>
      <x:c r="N17" s="71" t="str">
        <x:v>Deep Review / Shadow</x:v>
      </x:c>
      <x:c r="O17" s="71" t="inlineStr">
        <x:is>
          <x:t xml:space="preserve">UNKNOWN</x:t>
        </x:is>
      </x:c>
      <x:c r="P17" s="71" t="inlineStr">
        <x:is>
          <x:t xml:space="preserve">UNKNOWN</x:t>
        </x:is>
      </x:c>
      <x:c r="Q17" s="71" t="inlineStr">
        <x:is>
          <x:t xml:space="preserve">UNKNOWN</x:t>
        </x:is>
      </x:c>
      <x:c r="R17" s="71" t="inlineStr">
        <x:is>
          <x:t xml:space="preserve">UNKNOWN</x:t>
        </x:is>
      </x:c>
      <x:c r="S17" s="71" t="inlineStr">
        <x:is>
          <x:t xml:space="preserve">UNKNOWN</x:t>
        </x:is>
      </x:c>
      <x:c r="T17" s="71" t="inlineStr">
        <x:is>
          <x:t xml:space="preserve">UNKNOWN</x:t>
        </x:is>
      </x:c>
      <x:c r="U17" s="71" t="str">
        <x:v>Customer-level AI concentration and acquisition-cohort return after debt/SBC</x:v>
      </x:c>
      <x:c r="V17" s="79" t="str">
        <x:f>IF(U17&lt;&gt;"","BLOCKED - FATAL UNKNOWN",IF(COUNTIF(O17:T17,"FAIL")&gt;0,"BLOCKED - FAIL",IF(COUNTIF(O17:T17,"UNKNOWN")&gt;0,"UNVALIDATED",IF(COUNTIF(O17:T17,"PASS")=6,"READY","UNVALIDATED"))))</x:f>
        <x:v>BLOCKED - FATAL UNKNOWN</x:v>
      </x:c>
      <x:c r="W17" s="71" t="inlineStr">
        <x:is>
          <x:t xml:space="preserve">P2</x:t>
        </x:is>
      </x:c>
      <x:c r="X17" s="71" t="str">
        <x:v>WATCH — replace the Q2 snapshot with Q3 evidence; require customer concentration, debt/SBC-adjusted per-share FCF and reverse-valuation proof before promotion.</x:v>
      </x:c>
      <x:c r="Y17" s="519" t="n">
        <x:v>46268</x:v>
      </x:c>
      <x:c r="Z17" s="519" t="n">
        <x:v>46310</x:v>
      </x:c>
      <x:c r="AA17" s="71" t="str">
        <x:v>V10.33 AI-chain event review completed. Fiscal Q3 revenue was $29.591bn, up 86% YoY. AI semiconductor revenue was $16.7bn, up 221% YoY and 54% QoQ. Semiconductor Solutions grew 127% and Infrastructure Software 29%. Cash from operations was $14.197bn; capex was $0.532bn; company-defined FCF was $13.665bn. Q4 guidance is $34.8bn revenue, $21.7bn AI semiconductor revenue and 66% non-GAAP operating margin. Cluster regime: REAL DEMAND / HIGH EXPECTATIONS. No frozen-state promotion.</x:v>
      </x:c>
      <x:c r="AB17" s="57" t="inlineStr">
        <x:is>
          <x:t xml:space="preserve">WATCH</x:t>
        </x:is>
      </x:c>
      <x:c r="AC17" s="57" t="inlineStr">
        <x:is>
          <x:t xml:space="preserve">Excellent AI assets; price and event risk leave insufficient margin of safety.</x:t>
        </x:is>
      </x:c>
      <x:c r="AD17" s="57" t="inlineStr">
        <x:is>
          <x:t xml:space="preserve">Imported from ARGUS V10 Frozen Production Pilot</x:t>
        </x:is>
      </x:c>
      <x:c r="AE17" s="57" t="inlineStr">
        <x:is>
          <x:t xml:space="preserve">Development</x:t>
        </x:is>
      </x:c>
    </x:row>
    <x:row r="18">
      <x:c r="A18" s="57" t="str">
        <x:v>ARG-013</x:v>
      </x:c>
      <x:c r="B18" s="57" t="str">
        <x:v>Marvell Technology</x:v>
      </x:c>
      <x:c r="C18" s="57" t="str">
        <x:v>MRVL</x:v>
      </x:c>
      <x:c r="D18" s="57" t="str">
        <x:v>NASDAQ</x:v>
      </x:c>
      <x:c r="E18" s="57" t="str">
        <x:v>United States</x:v>
      </x:c>
      <x:c r="F18" s="57" t="str">
        <x:v>AI &amp; Semiconductors</x:v>
      </x:c>
      <x:c r="G18" s="57" t="str">
        <x:v>Custom silicon and connectivity</x:v>
      </x:c>
      <x:c r="H18" s="57" t="str">
        <x:v>Scale challenger</x:v>
      </x:c>
      <x:c r="I18" s="57" t="str">
        <x:v>Custom silicon/connectivity revenue minus heavy reinvestment</x:v>
      </x:c>
      <x:c r="J18" s="57" t="str">
        <x:v>Owner earnings + milestone scenarios</x:v>
      </x:c>
      <x:c r="K18" s="57" t="str">
        <x:v>Tests future AI scale versus current cash power</x:v>
      </x:c>
      <x:c r="L18" s="518" t="str">
        <x:v>https://investor.marvell.com/news-events/press-releases/detail/1031/marvell-technology-inc-reports-second-quarter-of-fiscal-year-2027-financial-results</x:v>
      </x:c>
      <x:c r="M18" s="71" t="str">
        <x:v>AI Chain Event Review V10.33</x:v>
      </x:c>
      <x:c r="N18" s="71" t="str">
        <x:v>Deep Review / Shadow</x:v>
      </x:c>
      <x:c r="O18" s="71" t="str">
        <x:v>UNKNOWN</x:v>
      </x:c>
      <x:c r="P18" s="71" t="str">
        <x:v>UNKNOWN</x:v>
      </x:c>
      <x:c r="Q18" s="71" t="str">
        <x:v>UNKNOWN</x:v>
      </x:c>
      <x:c r="R18" s="71" t="str">
        <x:v>UNKNOWN</x:v>
      </x:c>
      <x:c r="S18" s="71" t="str">
        <x:v>UNKNOWN</x:v>
      </x:c>
      <x:c r="T18" s="71" t="str">
        <x:v>UNKNOWN</x:v>
      </x:c>
      <x:c r="U18" s="71" t="str">
        <x:v>Customer-program concentration, SBC-adjusted owner earnings and normalized custom-silicon returns</x:v>
      </x:c>
      <x:c r="V18" s="79" t="str">
        <x:v>BLOCKED - FATAL UNKNOWN</x:v>
      </x:c>
      <x:c r="W18" s="71" t="str">
        <x:v>P2</x:v>
      </x:c>
      <x:c r="X18" s="71" t="str">
        <x:v>WAIT — preserve the existing block until GAAP/SBC-adjusted owner earnings, customer-program concentration and dilution are reconciled.</x:v>
      </x:c>
      <x:c r="Y18" s="519" t="n">
        <x:v>46268</x:v>
      </x:c>
      <x:c r="Z18" s="519" t="n">
        <x:v>46310</x:v>
      </x:c>
      <x:c r="AA18" s="71" t="str">
        <x:v>V10.33 AI-chain event review completed. Fiscal Q2 revenue was $2.739bn, up 37% YoY; Data Center grew 46%. GAAP gross margin was 53.1%, GAAP EPS $0.33, non-GAAP EPS $0.94 and operating cash flow $605.5m. Q3 revenue guidance is $3.15bn ±5%; diluted weighted-average shares are expected to be 921m. Cluster regime: REAL DEMAND / HIGH EXPECTATIONS. No frozen-state promotion.</x:v>
      </x:c>
      <x:c r="AB18" s="57" t="str">
        <x:v>WAIT</x:v>
      </x:c>
      <x:c r="AC18" s="57" t="str">
        <x:v>Owner economics depend heavily on future AI scale.</x:v>
      </x:c>
      <x:c r="AD18" s="57" t="str">
        <x:v>Imported from ARGUS V10 Frozen Production Pilot</x:v>
      </x:c>
      <x:c r="AE18" s="57" t="str">
        <x:v>Development</x:v>
      </x:c>
    </x:row>
    <x:row r="19">
      <x:c r="A19" s="57" t="inlineStr">
        <x:is>
          <x:t xml:space="preserve">ARG-014</x:t>
        </x:is>
      </x:c>
      <x:c r="B19" s="57" t="inlineStr">
        <x:is>
          <x:t xml:space="preserve">Eaton</x:t>
        </x:is>
      </x:c>
      <x:c r="C19" s="57" t="inlineStr">
        <x:is>
          <x:t xml:space="preserve">ETN</x:t>
        </x:is>
      </x:c>
      <x:c r="D19" s="57" t="inlineStr">
        <x:is>
          <x:t xml:space="preserve">NYSE</x:t>
        </x:is>
      </x:c>
      <x:c r="E19" s="57" t="inlineStr">
        <x:is>
          <x:t xml:space="preserve">Ireland</x:t>
        </x:is>
      </x:c>
      <x:c r="F19" s="57" t="inlineStr">
        <x:is>
          <x:t xml:space="preserve">Power &amp; Grid</x:t>
        </x:is>
      </x:c>
      <x:c r="G19" s="57" t="inlineStr">
        <x:is>
          <x:t xml:space="preserve">Electrical systems</x:t>
        </x:is>
      </x:c>
      <x:c r="H19" s="57" t="inlineStr">
        <x:is>
          <x:t xml:space="preserve">Electrification compounder</x:t>
        </x:is>
      </x:c>
      <x:c r="I19" s="57" t="inlineStr">
        <x:is>
          <x:t xml:space="preserve">Installed electrical base, backlog and service content</x:t>
        </x:is>
      </x:c>
      <x:c r="J19" s="57" t="inlineStr">
        <x:is>
          <x:t xml:space="preserve">Owner earnings + reverse DCF</x:t>
        </x:is>
      </x:c>
      <x:c r="K19" s="57" t="inlineStr">
        <x:is>
          <x:t xml:space="preserve">Power/grid quality benchmark</x:t>
        </x:is>
      </x:c>
      <x:c r="L19" s="57" t="inlineStr">
        <x:is>
          <x:t xml:space="preserve">https://www.eaton.com/us/en-us/company/investor-relations.html</x:t>
        </x:is>
      </x:c>
      <x:c r="M19" s="71" t="str">
        <x:v>P2-A Deep Review V10.30</x:v>
      </x:c>
      <x:c r="N19" s="71" t="str">
        <x:v>Blocked / Owner Test</x:v>
      </x:c>
      <x:c r="O19" s="71" t="inlineStr">
        <x:is>
          <x:t xml:space="preserve">UNKNOWN</x:t>
        </x:is>
      </x:c>
      <x:c r="P19" s="71" t="inlineStr">
        <x:is>
          <x:t xml:space="preserve">UNKNOWN</x:t>
        </x:is>
      </x:c>
      <x:c r="Q19" s="71" t="inlineStr">
        <x:is>
          <x:t xml:space="preserve">UNKNOWN</x:t>
        </x:is>
      </x:c>
      <x:c r="R19" s="71" t="inlineStr">
        <x:is>
          <x:t xml:space="preserve">UNKNOWN</x:t>
        </x:is>
      </x:c>
      <x:c r="S19" s="71" t="inlineStr">
        <x:is>
          <x:t xml:space="preserve">UNKNOWN</x:t>
        </x:is>
      </x:c>
      <x:c r="T19" s="71" t="inlineStr">
        <x:is>
          <x:t xml:space="preserve">UNKNOWN</x:t>
        </x:is>
      </x:c>
      <x:c r="U19" s="71" t="str">
        <x:v>Normalized incremental returns after capacity expansion and a conservative entry value</x:v>
      </x:c>
      <x:c r="V19" s="79" t="str">
        <x:f>IF(U19&lt;&gt;"","BLOCKED - FATAL UNKNOWN",IF(COUNTIF(O19:T19,"FAIL")&gt;0,"BLOCKED - FAIL",IF(COUNTIF(O19:T19,"UNKNOWN")&gt;0,"UNVALIDATED",IF(COUNTIF(O19:T19,"PASS")=6,"READY","UNVALIDATED"))))</x:f>
        <x:v>BLOCKED - FATAL UNKNOWN</x:v>
      </x:c>
      <x:c r="W19" s="71" t="inlineStr">
        <x:is>
          <x:t xml:space="preserve">P2</x:t>
        </x:is>
      </x:c>
      <x:c r="X19" s="71" t="str">
        <x:v>WAIT FOR PRICE — wonderful business; require valuation protection and backlog cash conversion</x:v>
      </x:c>
      <x:c r="Y19" s="206" t="n">
        <x:v>46267</x:v>
      </x:c>
      <x:c r="Z19" s="206" t="n">
        <x:v>46281</x:v>
      </x:c>
      <x:c r="AA19" s="71" t="str">
        <x:v>V10.30 P2-A three-pass + contradiction log + PIT price + Dalio Test completed. Electrical Americas sales $4.0bn (+18% organic), margin 27.5%; rolling orders +41%, backlog +33%, book-to-bill 1.2; total operating cash $1.127bn, capex $253m and FCF $874m (+22%).</x:v>
      </x:c>
      <x:c r="AB19" s="57" t="inlineStr">
        <x:is>
          <x:t xml:space="preserve">WAIT FOR PRICE</x:t>
        </x:is>
      </x:c>
      <x:c r="AC19" s="57" t="inlineStr">
        <x:is>
          <x:t xml:space="preserve">Wonderful franchise; scarcity is recognized in valuation.</x:t>
        </x:is>
      </x:c>
      <x:c r="AD19" s="57" t="inlineStr">
        <x:is>
          <x:t xml:space="preserve">Imported from ARGUS V10 Frozen Production Pilot</x:t>
        </x:is>
      </x:c>
      <x:c r="AE19" s="57" t="inlineStr">
        <x:is>
          <x:t xml:space="preserve">Development</x:t>
        </x:is>
      </x:c>
    </x:row>
    <x:row r="20">
      <x:c r="A20" s="57" t="str">
        <x:v>ARG-015</x:v>
      </x:c>
      <x:c r="B20" s="57" t="str">
        <x:v>Quanta Services</x:v>
      </x:c>
      <x:c r="C20" s="57" t="str">
        <x:v>PWR</x:v>
      </x:c>
      <x:c r="D20" s="57" t="str">
        <x:v>NYSE</x:v>
      </x:c>
      <x:c r="E20" s="57" t="str">
        <x:v>United States</x:v>
      </x:c>
      <x:c r="F20" s="57" t="str">
        <x:v>Power &amp; Grid</x:v>
      </x:c>
      <x:c r="G20" s="57" t="str">
        <x:v>Grid infrastructure services</x:v>
      </x:c>
      <x:c r="H20" s="57" t="str">
        <x:v>Backlog compounder</x:v>
      </x:c>
      <x:c r="I20" s="57" t="str">
        <x:v>Infrastructure backlog × execution margin</x:v>
      </x:c>
      <x:c r="J20" s="57" t="str">
        <x:v>Normalized FCF + backlog economics</x:v>
      </x:c>
      <x:c r="K20" s="57" t="str">
        <x:v>Tests structural grid buildout</x:v>
      </x:c>
      <x:c r="L20" s="57" t="str">
        <x:v>https://investors.quantaservices.com</x:v>
      </x:c>
      <x:c r="M20" s="71" t="str">
        <x:v>P2-B Deep Review V10.31</x:v>
      </x:c>
      <x:c r="N20" s="71" t="str">
        <x:v>Deep Review / Shadow</x:v>
      </x:c>
      <x:c r="O20" s="71" t="str">
        <x:v>UNKNOWN</x:v>
      </x:c>
      <x:c r="P20" s="71" t="str">
        <x:v>UNKNOWN</x:v>
      </x:c>
      <x:c r="Q20" s="71" t="str">
        <x:v>UNKNOWN</x:v>
      </x:c>
      <x:c r="R20" s="71" t="str">
        <x:v>UNKNOWN</x:v>
      </x:c>
      <x:c r="S20" s="71" t="str">
        <x:v>UNKNOWN</x:v>
      </x:c>
      <x:c r="T20" s="71" t="str">
        <x:v>UNKNOWN</x:v>
      </x:c>
      <x:c r="U20" s="71" t="str">
        <x:v>Firm backlog cash margins, working-capital normalization and acquisition-cohort returns</x:v>
      </x:c>
      <x:c r="V20" s="79" t="str">
        <x:v>BLOCKED - FATAL UNKNOWN</x:v>
      </x:c>
      <x:c r="W20" s="71" t="str">
        <x:v>P2</x:v>
      </x:c>
      <x:c r="X20" s="71" t="str">
        <x:v>WAIT FOR PRICE — require contract-level backlog quality, acquisition returns and a normalized FCF multiple</x:v>
      </x:c>
      <x:c r="Y20" s="206" t="n">
        <x:v>46267</x:v>
      </x:c>
      <x:c r="Z20" s="206" t="n">
        <x:v>46295</x:v>
      </x:c>
      <x:c r="AA20" s="71" t="str">
        <x:v>V10.31 P2-B three-pass + contradiction log + PIT price + Dalio Test completed. Q2 revenue $9.56bn versus $6.77bn; net income $451.4m and diluted EPS $2.96; adjusted EBITDA $1.1bn; CFO $1.1bn and FCF $0.9bn; remaining performance obligations $33.6bn and total backlog $53.4bn; 2026 expectations were raised.</x:v>
      </x:c>
      <x:c r="AB20" s="57" t="str">
        <x:v>WAIT FOR PRICE</x:v>
      </x:c>
      <x:c r="AC20" s="57" t="str">
        <x:v>Grid backlog is real; price embeds a long runway.</x:v>
      </x:c>
      <x:c r="AD20" s="57" t="str">
        <x:v>Imported from ARGUS V10 Frozen Production Pilot</x:v>
      </x:c>
      <x:c r="AE20" s="57" t="str">
        <x:v>Development</x:v>
      </x:c>
    </x:row>
    <x:row r="21">
      <x:c r="A21" s="57" t="str">
        <x:v>ARG-016</x:v>
      </x:c>
      <x:c r="B21" s="57" t="str">
        <x:v>Hubbell</x:v>
      </x:c>
      <x:c r="C21" s="57" t="str">
        <x:v>HUBB</x:v>
      </x:c>
      <x:c r="D21" s="57" t="str">
        <x:v>NYSE</x:v>
      </x:c>
      <x:c r="E21" s="57" t="str">
        <x:v>United States</x:v>
      </x:c>
      <x:c r="F21" s="57" t="str">
        <x:v>Power &amp; Grid</x:v>
      </x:c>
      <x:c r="G21" s="57" t="str">
        <x:v>Utility/electrical products</x:v>
      </x:c>
      <x:c r="H21" s="57" t="str">
        <x:v>Scarcity infrastructure</x:v>
      </x:c>
      <x:c r="I21" s="57" t="str">
        <x:v>Utility components demand × price/mix</x:v>
      </x:c>
      <x:c r="J21" s="57" t="str">
        <x:v>Owner earnings + reverse DCF</x:v>
      </x:c>
      <x:c r="K21" s="57" t="str">
        <x:v>Utility-grid product control</x:v>
      </x:c>
      <x:c r="L21" s="57" t="str">
        <x:v>https://investors.hubbell.com</x:v>
      </x:c>
      <x:c r="M21" s="71" t="str">
        <x:v>P2-B Deep Review V10.31</x:v>
      </x:c>
      <x:c r="N21" s="71" t="str">
        <x:v>Deep Review / Shadow</x:v>
      </x:c>
      <x:c r="O21" s="71" t="str">
        <x:v>UNKNOWN</x:v>
      </x:c>
      <x:c r="P21" s="71" t="str">
        <x:v>UNKNOWN</x:v>
      </x:c>
      <x:c r="Q21" s="71" t="str">
        <x:v>UNKNOWN</x:v>
      </x:c>
      <x:c r="R21" s="71" t="str">
        <x:v>UNKNOWN</x:v>
      </x:c>
      <x:c r="S21" s="71" t="str">
        <x:v>UNKNOWN</x:v>
      </x:c>
      <x:c r="T21" s="71" t="str">
        <x:v>UNKNOWN</x:v>
      </x:c>
      <x:c r="U21" s="71" t="str">
        <x:v>NSI purchase-price return, clean owner cash and organic margin recovery</x:v>
      </x:c>
      <x:c r="V21" s="79" t="str">
        <x:v>BLOCKED - FATAL UNKNOWN</x:v>
      </x:c>
      <x:c r="W21" s="71" t="str">
        <x:v>P2</x:v>
      </x:c>
      <x:c r="X21" s="71" t="str">
        <x:v>WATCH — require NSI integration economics, debt path and margin recovery before any promotion</x:v>
      </x:c>
      <x:c r="Y21" s="206" t="n">
        <x:v>46267</x:v>
      </x:c>
      <x:c r="Z21" s="206" t="n">
        <x:v>46295</x:v>
      </x:c>
      <x:c r="AA21" s="71" t="str">
        <x:v>V10.31 P2-B three-pass + contradiction log + PIT price + Dalio Test completed. Q2 diluted EPS $4.52 and adjusted EPS $5.52 (+12%); sales +15% with 10% organic growth and 5% acquisitions; operating margin 20.4% and adjusted margin 23.9%, down 50 bps; FY adjusted EPS guide $20.25–$20.55; NSI Industries acquisition announced at about $3.0bn.</x:v>
      </x:c>
      <x:c r="AB21" s="57" t="str">
        <x:v>WATCH</x:v>
      </x:c>
      <x:c r="AC21" s="57" t="str">
        <x:v>High-quality exposure without enough discount.</x:v>
      </x:c>
      <x:c r="AD21" s="57" t="str">
        <x:v>Imported from ARGUS V10 Frozen Production Pilot</x:v>
      </x:c>
      <x:c r="AE21" s="57" t="str">
        <x:v>Development</x:v>
      </x:c>
    </x:row>
    <x:row r="22">
      <x:c r="A22" s="57" t="inlineStr">
        <x:is>
          <x:t xml:space="preserve">ARG-017</x:t>
        </x:is>
      </x:c>
      <x:c r="B22" s="57" t="inlineStr">
        <x:is>
          <x:t xml:space="preserve">Vertiv</x:t>
        </x:is>
      </x:c>
      <x:c r="C22" s="57" t="inlineStr">
        <x:is>
          <x:t xml:space="preserve">VRT</x:t>
        </x:is>
      </x:c>
      <x:c r="D22" s="57" t="inlineStr">
        <x:is>
          <x:t xml:space="preserve">NYSE</x:t>
        </x:is>
      </x:c>
      <x:c r="E22" s="57" t="inlineStr">
        <x:is>
          <x:t xml:space="preserve">United States</x:t>
        </x:is>
      </x:c>
      <x:c r="F22" s="57" t="inlineStr">
        <x:is>
          <x:t xml:space="preserve">Power &amp; Grid</x:t>
        </x:is>
      </x:c>
      <x:c r="G22" s="57" t="inlineStr">
        <x:is>
          <x:t xml:space="preserve">Data-center power/cooling</x:t>
        </x:is>
      </x:c>
      <x:c r="H22" s="57" t="inlineStr">
        <x:is>
          <x:t xml:space="preserve">High-growth infrastructure</x:t>
        </x:is>
      </x:c>
      <x:c r="I22" s="57" t="inlineStr">
        <x:is>
          <x:t xml:space="preserve">Data-center capacity × content × margins</x:t>
        </x:is>
      </x:c>
      <x:c r="J22" s="57" t="inlineStr">
        <x:is>
          <x:t xml:space="preserve">Owner earnings + reverse DCF</x:t>
        </x:is>
      </x:c>
      <x:c r="K22" s="57" t="inlineStr">
        <x:is>
          <x:t xml:space="preserve">Tests AI power/cooling scarcity</x:t>
        </x:is>
      </x:c>
      <x:c r="L22" s="518" t="str">
        <x:v>https://investors.vertiv.com/news/news-details/2026/Vertiv-Reports-Strong-Second-Quarter-2026-with-Diluted-EPS-Growth-of-53-Adjusted-Diluted-EPS-Growth-of-60-Raises-Full-Year-2026-Guidance-Across-All-Key-Metrics/default.aspx</x:v>
      </x:c>
      <x:c r="M22" s="71" t="str">
        <x:v>AI Chain Event Review V10.33</x:v>
      </x:c>
      <x:c r="N22" s="71" t="str">
        <x:v>Blocked / Owner Test</x:v>
      </x:c>
      <x:c r="O22" s="71" t="inlineStr">
        <x:is>
          <x:t xml:space="preserve">UNKNOWN</x:t>
        </x:is>
      </x:c>
      <x:c r="P22" s="71" t="inlineStr">
        <x:is>
          <x:t xml:space="preserve">UNKNOWN</x:t>
        </x:is>
      </x:c>
      <x:c r="Q22" s="71" t="inlineStr">
        <x:is>
          <x:t xml:space="preserve">UNKNOWN</x:t>
        </x:is>
      </x:c>
      <x:c r="R22" s="71" t="inlineStr">
        <x:is>
          <x:t xml:space="preserve">UNKNOWN</x:t>
        </x:is>
      </x:c>
      <x:c r="S22" s="71" t="inlineStr">
        <x:is>
          <x:t xml:space="preserve">UNKNOWN</x:t>
        </x:is>
      </x:c>
      <x:c r="T22" s="71" t="inlineStr">
        <x:is>
          <x:t xml:space="preserve">UNKNOWN</x:t>
        </x:is>
      </x:c>
      <x:c r="U22" s="71" t="str">
        <x:v>Full-cycle service/moat evidence and normalized cash after capacity/working-capital effects</x:v>
      </x:c>
      <x:c r="V22" s="79" t="str">
        <x:f>IF(U22&lt;&gt;"","BLOCKED - FATAL UNKNOWN",IF(COUNTIF(O22:T22,"FAIL")&gt;0,"BLOCKED - FAIL",IF(COUNTIF(O22:T22,"UNKNOWN")&gt;0,"UNVALIDATED",IF(COUNTIF(O22:T22,"PASS")=6,"READY","UNVALIDATED"))))</x:f>
        <x:v>BLOCKED - FATAL UNKNOWN</x:v>
      </x:c>
      <x:c r="W22" s="71" t="inlineStr">
        <x:is>
          <x:t xml:space="preserve">P2</x:t>
        </x:is>
      </x:c>
      <x:c r="X22" s="71" t="str">
        <x:v>WAIT FOR PRICE — preserve the existing block; require normalized backlog conversion, full-cycle margins and service-moat evidence.</x:v>
      </x:c>
      <x:c r="Y22" s="519" t="n">
        <x:v>46268</x:v>
      </x:c>
      <x:c r="Z22" s="519" t="n">
        <x:v>46310</x:v>
      </x:c>
      <x:c r="AA22" s="71" t="str">
        <x:v>V10.33 AI-chain event review completed. Q2 sales were $3.274bn, up 24% including 18% organic growth. Adjusted operating margin was 22.6%, up 410bp. Operating cash flow was $1.100bn and adjusted FCF $925m. Management raised 2026 guidance to $14.0bn sales at the midpoint, 31% organic growth and adjusted EPS of $6.65-$6.75. Cluster regime: REAL DEMAND / HIGH EXPECTATIONS. No frozen-state promotion.</x:v>
      </x:c>
      <x:c r="AB22" s="57" t="inlineStr">
        <x:is>
          <x:t xml:space="preserve">WAIT FOR PRICE</x:t>
        </x:is>
      </x:c>
      <x:c r="AC22" s="57" t="inlineStr">
        <x:is>
          <x:t xml:space="preserve">Exceptional growth; valuation offers limited error tolerance.</x:t>
        </x:is>
      </x:c>
      <x:c r="AD22" s="57" t="inlineStr">
        <x:is>
          <x:t xml:space="preserve">Imported from ARGUS V10 Frozen Production Pilot</x:t>
        </x:is>
      </x:c>
      <x:c r="AE22" s="57" t="inlineStr">
        <x:is>
          <x:t xml:space="preserve">Development</x:t>
        </x:is>
      </x:c>
    </x:row>
    <x:row r="23">
      <x:c r="A23" s="57" t="str">
        <x:v>ARG-018</x:v>
      </x:c>
      <x:c r="B23" s="57" t="str">
        <x:v>nVent Electric</x:v>
      </x:c>
      <x:c r="C23" s="57" t="str">
        <x:v>NVT</x:v>
      </x:c>
      <x:c r="D23" s="57" t="str">
        <x:v>NYSE</x:v>
      </x:c>
      <x:c r="E23" s="57" t="str">
        <x:v>United Kingdom</x:v>
      </x:c>
      <x:c r="F23" s="57" t="str">
        <x:v>Power &amp; Grid</x:v>
      </x:c>
      <x:c r="G23" s="57" t="str">
        <x:v>Electrical connection/protection</x:v>
      </x:c>
      <x:c r="H23" s="57" t="str">
        <x:v>M&amp;A-assisted compounder</x:v>
      </x:c>
      <x:c r="I23" s="57" t="str">
        <x:v>Electrical infrastructure demand plus acquired growth</x:v>
      </x:c>
      <x:c r="J23" s="57" t="str">
        <x:v>Owner earnings + acquisition-cohort ROIC</x:v>
      </x:c>
      <x:c r="K23" s="57" t="str">
        <x:v>Tests acquisition discipline</x:v>
      </x:c>
      <x:c r="L23" s="57" t="str">
        <x:v>https://investors.nvent.com</x:v>
      </x:c>
      <x:c r="M23" s="71" t="str">
        <x:v>P2-C Deep Review V10.32</x:v>
      </x:c>
      <x:c r="N23" s="71" t="str">
        <x:v>Deep Review / Shadow</x:v>
      </x:c>
      <x:c r="O23" s="71" t="str">
        <x:v>UNKNOWN</x:v>
      </x:c>
      <x:c r="P23" s="71" t="str">
        <x:v>UNKNOWN</x:v>
      </x:c>
      <x:c r="Q23" s="71" t="str">
        <x:v>UNKNOWN</x:v>
      </x:c>
      <x:c r="R23" s="71" t="str">
        <x:v>UNKNOWN</x:v>
      </x:c>
      <x:c r="S23" s="71" t="str">
        <x:v>UNKNOWN</x:v>
      </x:c>
      <x:c r="T23" s="71" t="str">
        <x:v>UNKNOWN</x:v>
      </x:c>
      <x:c r="U23" s="71" t="str">
        <x:v>Maverick purchase-price return, customer concentration and normalized organic growth</x:v>
      </x:c>
      <x:c r="V23" s="79" t="str">
        <x:v>BLOCKED - FATAL UNKNOWN</x:v>
      </x:c>
      <x:c r="W23" s="71" t="str">
        <x:v>P2</x:v>
      </x:c>
      <x:c r="X23" s="71" t="str">
        <x:v>WATCH — require Maverick cohort returns, pro-forma leverage and organic margin durability</x:v>
      </x:c>
      <x:c r="Y23" s="206" t="n">
        <x:v>46267</x:v>
      </x:c>
      <x:c r="Z23" s="206" t="n">
        <x:v>46325</x:v>
      </x:c>
      <x:c r="AA23" s="71" t="str">
        <x:v>V10.32 P2-C three-pass + contradiction log + PIT price + Dalio Test completed. Q2 sales were $1.471bn (+53%, +47% organic), reported EPS $1.32 (+103%), adjusted EPS $1.45 (+69%), operating cash flow $189m and FCF $167m. Full-year organic-growth guidance rose to 32–34%; on 24 August nVent agreed to acquire Maverick Power for $1.75bn, about 11.5× anticipated 2026 adjusted EBITDA before tax benefits.</x:v>
      </x:c>
      <x:c r="AB23" s="57" t="str">
        <x:v>WATCH</x:v>
      </x:c>
      <x:c r="AC23" s="57" t="str">
        <x:v>Tailwinds survive; acquisition discipline remains a gate.</x:v>
      </x:c>
      <x:c r="AD23" s="57" t="str">
        <x:v>Imported from ARGUS V10 Frozen Production Pilot</x:v>
      </x:c>
      <x:c r="AE23" s="57" t="str">
        <x:v>Development</x:v>
      </x:c>
    </x:row>
    <x:row r="24">
      <x:c r="A24" s="57" t="inlineStr">
        <x:is>
          <x:t xml:space="preserve">ARG-019</x:t>
        </x:is>
      </x:c>
      <x:c r="B24" s="57" t="inlineStr">
        <x:is>
          <x:t xml:space="preserve">GE Vernova</x:t>
        </x:is>
      </x:c>
      <x:c r="C24" s="57" t="inlineStr">
        <x:is>
          <x:t xml:space="preserve">GEV</x:t>
        </x:is>
      </x:c>
      <x:c r="D24" s="57" t="inlineStr">
        <x:is>
          <x:t xml:space="preserve">NYSE</x:t>
        </x:is>
      </x:c>
      <x:c r="E24" s="57" t="inlineStr">
        <x:is>
          <x:t xml:space="preserve">United States</x:t>
        </x:is>
      </x:c>
      <x:c r="F24" s="57" t="inlineStr">
        <x:is>
          <x:t xml:space="preserve">Power &amp; Grid</x:t>
        </x:is>
      </x:c>
      <x:c r="G24" s="57" t="inlineStr">
        <x:is>
          <x:t xml:space="preserve">Power generation and grid equipment</x:t>
        </x:is>
      </x:c>
      <x:c r="H24" s="57" t="inlineStr">
        <x:is>
          <x:t xml:space="preserve">Scarcity/cycle</x:t>
        </x:is>
      </x:c>
      <x:c r="I24" s="57" t="inlineStr">
        <x:is>
          <x:t xml:space="preserve">Orders/backlog × execution and service margins</x:t>
        </x:is>
      </x:c>
      <x:c r="J24" s="57" t="inlineStr">
        <x:is>
          <x:t xml:space="preserve">SOTP + normalized FCF</x:t>
        </x:is>
      </x:c>
      <x:c r="K24" s="57" t="inlineStr">
        <x:is>
          <x:t xml:space="preserve">Power-equipment scarcity benchmark</x:t>
        </x:is>
      </x:c>
      <x:c r="L24" s="57" t="inlineStr">
        <x:is>
          <x:t xml:space="preserve">https://www.gevernova.com/investors</x:t>
        </x:is>
      </x:c>
      <x:c r="M24" s="71" t="str">
        <x:v>P2-A Deep Review V10.30</x:v>
      </x:c>
      <x:c r="N24" s="71" t="str">
        <x:v>Blocked / Owner Test</x:v>
      </x:c>
      <x:c r="O24" s="71" t="inlineStr">
        <x:is>
          <x:t xml:space="preserve">UNKNOWN</x:t>
        </x:is>
      </x:c>
      <x:c r="P24" s="71" t="inlineStr">
        <x:is>
          <x:t xml:space="preserve">UNKNOWN</x:t>
        </x:is>
      </x:c>
      <x:c r="Q24" s="71" t="inlineStr">
        <x:is>
          <x:t xml:space="preserve">UNKNOWN</x:t>
        </x:is>
      </x:c>
      <x:c r="R24" s="71" t="inlineStr">
        <x:is>
          <x:t xml:space="preserve">UNKNOWN</x:t>
        </x:is>
      </x:c>
      <x:c r="S24" s="71" t="inlineStr">
        <x:is>
          <x:t xml:space="preserve">UNKNOWN</x:t>
        </x:is>
      </x:c>
      <x:c r="T24" s="71" t="inlineStr">
        <x:is>
          <x:t xml:space="preserve">UNKNOWN</x:t>
        </x:is>
      </x:c>
      <x:c r="U24" s="71" t="str">
        <x:v>Firm versus reserved backlog, contract/warranty economics and post-spin correction record</x:v>
      </x:c>
      <x:c r="V24" s="79" t="str">
        <x:f>IF(U24&lt;&gt;"","BLOCKED - FATAL UNKNOWN",IF(COUNTIF(O24:T24,"FAIL")&gt;0,"BLOCKED - FAIL",IF(COUNTIF(O24:T24,"UNKNOWN")&gt;0,"UNVALIDATED",IF(COUNTIF(O24:T24,"PASS")=6,"READY","UNVALIDATED"))))</x:f>
        <x:v>BLOCKED - FATAL UNKNOWN</x:v>
      </x:c>
      <x:c r="W24" s="71" t="inlineStr">
        <x:is>
          <x:t xml:space="preserve">P2</x:t>
        </x:is>
      </x:c>
      <x:c r="X24" s="71" t="str">
        <x:v>WAIT FOR PRICE — require firm-order quality, contract cash margins and a longer stewardship record</x:v>
      </x:c>
      <x:c r="Y24" s="206" t="n">
        <x:v>46267</x:v>
      </x:c>
      <x:c r="Z24" s="206" t="n">
        <x:v>46281</x:v>
      </x:c>
      <x:c r="AA24" s="71" t="str">
        <x:v>V10.30 P2-A three-pass + contradiction log + PIT price + Dalio Test completed. Orders $24.2bn (+88% organic); backlog $176bn, +$13bn sequentially; revenue $11.1bn (+22%); adjusted EBITDA $1.2bn, 11.3% margin; operating cash $5.5bn, FCF $5.1bn and cash $13.1bn; gas backlog/reservations 116GW.</x:v>
      </x:c>
      <x:c r="AB24" s="57" t="inlineStr">
        <x:is>
          <x:t xml:space="preserve">WAIT FOR PRICE</x:t>
        </x:is>
      </x:c>
      <x:c r="AC24" s="57" t="inlineStr">
        <x:is>
          <x:t xml:space="preserve">Orders/backlog are extraordinary; scarcity value is priced.</x:t>
        </x:is>
      </x:c>
      <x:c r="AD24" s="57" t="inlineStr">
        <x:is>
          <x:t xml:space="preserve">Imported from ARGUS V10 Frozen Production Pilot</x:t>
        </x:is>
      </x:c>
      <x:c r="AE24" s="57" t="inlineStr">
        <x:is>
          <x:t xml:space="preserve">Development</x:t>
        </x:is>
      </x:c>
    </x:row>
    <x:row r="25">
      <x:c r="A25" s="57" t="str">
        <x:v>ARG-020</x:v>
      </x:c>
      <x:c r="B25" s="57" t="str">
        <x:v>Schneider Electric</x:v>
      </x:c>
      <x:c r="C25" s="57" t="str">
        <x:v>SU.PA</x:v>
      </x:c>
      <x:c r="D25" s="57" t="str">
        <x:v>Euronext Paris</x:v>
      </x:c>
      <x:c r="E25" s="57" t="str">
        <x:v>France</x:v>
      </x:c>
      <x:c r="F25" s="57" t="str">
        <x:v>Power &amp; Grid</x:v>
      </x:c>
      <x:c r="G25" s="57" t="str">
        <x:v>Energy management/automation</x:v>
      </x:c>
      <x:c r="H25" s="57" t="str">
        <x:v>Global compounder</x:v>
      </x:c>
      <x:c r="I25" s="57" t="str">
        <x:v>Installed electrical/automation base plus software/service</x:v>
      </x:c>
      <x:c r="J25" s="57" t="str">
        <x:v>Owner earnings + reverse DCF</x:v>
      </x:c>
      <x:c r="K25" s="57" t="str">
        <x:v>Global electrification control</x:v>
      </x:c>
      <x:c r="L25" s="57" t="str">
        <x:v>https://www.se.com/ww/en/about-us/investor-relations/</x:v>
      </x:c>
      <x:c r="M25" s="71" t="str">
        <x:v>P2-B Deep Review V10.31</x:v>
      </x:c>
      <x:c r="N25" s="71" t="str">
        <x:v>Deep Review / Shadow</x:v>
      </x:c>
      <x:c r="O25" s="71" t="str">
        <x:v>UNKNOWN</x:v>
      </x:c>
      <x:c r="P25" s="71" t="str">
        <x:v>UNKNOWN</x:v>
      </x:c>
      <x:c r="Q25" s="71" t="str">
        <x:v>UNKNOWN</x:v>
      </x:c>
      <x:c r="R25" s="71" t="str">
        <x:v>UNKNOWN</x:v>
      </x:c>
      <x:c r="S25" s="71" t="str">
        <x:v>UNKNOWN</x:v>
      </x:c>
      <x:c r="T25" s="71" t="str">
        <x:v>UNKNOWN</x:v>
      </x:c>
      <x:c r="U25" s="71" t="str">
        <x:v>Normalized segment returns after capacity investment and a conservative entry-value range</x:v>
      </x:c>
      <x:c r="V25" s="79" t="str">
        <x:v>BLOCKED - FATAL UNKNOWN</x:v>
      </x:c>
      <x:c r="W25" s="71" t="str">
        <x:v>P2</x:v>
      </x:c>
      <x:c r="X25" s="71" t="str">
        <x:v>WATCH — retain the quality premium only with normalized incremental returns and price protection</x:v>
      </x:c>
      <x:c r="Y25" s="206" t="n">
        <x:v>46267</x:v>
      </x:c>
      <x:c r="Z25" s="206" t="n">
        <x:v>46296</x:v>
      </x:c>
      <x:c r="AA25" s="71" t="str">
        <x:v>V10.31 P2-B three-pass + contradiction log + PIT price + Dalio Test completed. Q2 revenue €11.5bn (+17% organic); Energy Management +18% and Industrial Automation +11%; H1 revenue €21.2bn (+14% organic), adjusted EBITA €4.1bn (+22% organic) with 19.3% margin; net income €2.5bn (+30%); FCF €1.6bn (+244%); 2026 target upgraded.</x:v>
      </x:c>
      <x:c r="AB25" s="57" t="str">
        <x:v>WATCH</x:v>
      </x:c>
      <x:c r="AC25" s="57" t="str">
        <x:v>Top-tier compounder; opportunity cost does not beat INTU at current price.</x:v>
      </x:c>
      <x:c r="AD25" s="57" t="str">
        <x:v>Imported from ARGUS V10 Frozen Production Pilot</x:v>
      </x:c>
      <x:c r="AE25" s="57" t="str">
        <x:v>Development</x:v>
      </x:c>
    </x:row>
    <x:row r="26">
      <x:c r="A26" s="57" t="str">
        <x:v>ARG-021</x:v>
      </x:c>
      <x:c r="B26" s="57" t="str">
        <x:v>Trane Technologies</x:v>
      </x:c>
      <x:c r="C26" s="57" t="str">
        <x:v>TT</x:v>
      </x:c>
      <x:c r="D26" s="57" t="str">
        <x:v>NYSE</x:v>
      </x:c>
      <x:c r="E26" s="57" t="str">
        <x:v>Ireland</x:v>
      </x:c>
      <x:c r="F26" s="57" t="str">
        <x:v>Power &amp; Grid</x:v>
      </x:c>
      <x:c r="G26" s="57" t="str">
        <x:v>HVAC and climate systems</x:v>
      </x:c>
      <x:c r="H26" s="57" t="str">
        <x:v>Installed-base compounder</x:v>
      </x:c>
      <x:c r="I26" s="57" t="str">
        <x:v>Equipment backlog plus aftermarket/service</x:v>
      </x:c>
      <x:c r="J26" s="57" t="str">
        <x:v>Owner earnings + reverse DCF</x:v>
      </x:c>
      <x:c r="K26" s="57" t="str">
        <x:v>Climate-control and efficiency control</x:v>
      </x:c>
      <x:c r="L26" s="57" t="str">
        <x:v>https://investors.tranetechnologies.com</x:v>
      </x:c>
      <x:c r="M26" s="71" t="str">
        <x:v>P2-B Deep Review V10.31</x:v>
      </x:c>
      <x:c r="N26" s="71" t="str">
        <x:v>Deep Review / Shadow</x:v>
      </x:c>
      <x:c r="O26" s="71" t="str">
        <x:v>UNKNOWN</x:v>
      </x:c>
      <x:c r="P26" s="71" t="str">
        <x:v>UNKNOWN</x:v>
      </x:c>
      <x:c r="Q26" s="71" t="str">
        <x:v>UNKNOWN</x:v>
      </x:c>
      <x:c r="R26" s="71" t="str">
        <x:v>UNKNOWN</x:v>
      </x:c>
      <x:c r="S26" s="71" t="str">
        <x:v>UNKNOWN</x:v>
      </x:c>
      <x:c r="T26" s="71" t="str">
        <x:v>UNKNOWN</x:v>
      </x:c>
      <x:c r="U26" s="71" t="str">
        <x:v>Backlog firmness, data-center customer concentration and post-Stellar owner earnings</x:v>
      </x:c>
      <x:c r="V26" s="79" t="str">
        <x:v>BLOCKED - FATAL UNKNOWN</x:v>
      </x:c>
      <x:c r="W26" s="71" t="str">
        <x:v>P2</x:v>
      </x:c>
      <x:c r="X26" s="71" t="str">
        <x:v>WAIT FOR PRICE — require backlog cash conversion, Stellar returns and a normalized service/equipment mix</x:v>
      </x:c>
      <x:c r="Y26" s="206" t="n">
        <x:v>46267</x:v>
      </x:c>
      <x:c r="Z26" s="206" t="n">
        <x:v>46295</x:v>
      </x:c>
      <x:c r="AA26" s="71" t="str">
        <x:v>V10.31 P2-B three-pass + contradiction log + PIT price + Dalio Test completed. Q2 adjusted EPS $4.31 (+11%) and GAAP continuing EPS $4.20; bookings $7.8bn (+39%); record backlog $12.1bn; FY guide about 11.5% revenue growth and adjusted EPS $15.20–$15.30; Stellar Energy was acquired in February 2026.</x:v>
      </x:c>
      <x:c r="AB26" s="57" t="str">
        <x:v>WAIT FOR PRICE</x:v>
      </x:c>
      <x:c r="AC26" s="57" t="str">
        <x:v>Backlog/bookings are excellent; premium valuation limits margin of safety.</x:v>
      </x:c>
      <x:c r="AD26" s="57" t="str">
        <x:v>Imported from ARGUS V10 Frozen Production Pilot</x:v>
      </x:c>
      <x:c r="AE26" s="57" t="str">
        <x:v>Development</x:v>
      </x:c>
    </x:row>
    <x:row r="27">
      <x:c r="A27" s="57" t="inlineStr">
        <x:is>
          <x:t xml:space="preserve">ARG-022</x:t>
        </x:is>
      </x:c>
      <x:c r="B27" s="57" t="inlineStr">
        <x:is>
          <x:t xml:space="preserve">International Flavors &amp; Fragrances</x:t>
        </x:is>
      </x:c>
      <x:c r="C27" s="57" t="inlineStr">
        <x:is>
          <x:t xml:space="preserve">IFF</x:t>
        </x:is>
      </x:c>
      <x:c r="D27" s="57" t="inlineStr">
        <x:is>
          <x:t xml:space="preserve">NYSE</x:t>
        </x:is>
      </x:c>
      <x:c r="E27" s="57" t="inlineStr">
        <x:is>
          <x:t xml:space="preserve">United States</x:t>
        </x:is>
      </x:c>
      <x:c r="F27" s="57" t="inlineStr">
        <x:is>
          <x:t xml:space="preserve">Specialty Ingredients</x:t>
        </x:is>
      </x:c>
      <x:c r="G27" s="57" t="inlineStr">
        <x:is>
          <x:t xml:space="preserve">Flavors, fragrances and ingredients</x:t>
        </x:is>
      </x:c>
      <x:c r="H27" s="57" t="inlineStr">
        <x:is>
          <x:t xml:space="preserve">Deleveraging/integration case</x:t>
        </x:is>
      </x:c>
      <x:c r="I27" s="57" t="inlineStr">
        <x:is>
          <x:t xml:space="preserve">Customer formulations and portfolio mix minus acquisition burden</x:t>
        </x:is>
      </x:c>
      <x:c r="J27" s="57" t="inlineStr">
        <x:is>
          <x:t xml:space="preserve">Normalized FCF + SOTP</x:t>
        </x:is>
      </x:c>
      <x:c r="K27" s="57" t="inlineStr">
        <x:is>
          <x:t xml:space="preserve">Existing priority; tests acquisition repair</x:t>
        </x:is>
      </x:c>
      <x:c r="L27" s="57" t="inlineStr">
        <x:is>
          <x:t xml:space="preserve">https://ir.iff.com</x:t>
        </x:is>
      </x:c>
      <x:c r="M27" s="71" t="str">
        <x:v>P1 Deep Review V10.29</x:v>
      </x:c>
      <x:c r="N27" s="71" t="str">
        <x:v>Deep Review / Shadow</x:v>
      </x:c>
      <x:c r="O27" s="71" t="inlineStr">
        <x:is>
          <x:t xml:space="preserve">UNKNOWN</x:t>
        </x:is>
      </x:c>
      <x:c r="P27" s="71" t="inlineStr">
        <x:is>
          <x:t xml:space="preserve">UNKNOWN</x:t>
        </x:is>
      </x:c>
      <x:c r="Q27" s="71" t="inlineStr">
        <x:is>
          <x:t xml:space="preserve">UNKNOWN</x:t>
        </x:is>
      </x:c>
      <x:c r="R27" s="71" t="inlineStr">
        <x:is>
          <x:t xml:space="preserve">UNKNOWN</x:t>
        </x:is>
      </x:c>
      <x:c r="S27" s="71" t="inlineStr">
        <x:is>
          <x:t xml:space="preserve">UNKNOWN</x:t>
        </x:is>
      </x:c>
      <x:c r="T27" s="71" t="inlineStr">
        <x:is>
          <x:t xml:space="preserve">UNKNOWN</x:t>
        </x:is>
      </x:c>
      <x:c r="U27" s="71" t="str">
        <x:v>Use of divestiture proceeds and clean continuing-operations owner earnings</x:v>
      </x:c>
      <x:c r="V27" s="79" t="str">
        <x:f>IF(U27&lt;&gt;"","BLOCKED - FATAL UNKNOWN",IF(COUNTIF(O27:T27,"FAIL")&gt;0,"BLOCKED - FAIL",IF(COUNTIF(O27:T27,"UNKNOWN")&gt;0,"UNVALIDATED",IF(COUNTIF(O27:T27,"PASS")=6,"READY","UNVALIDATED"))))</x:f>
        <x:v>BLOCKED - FATAL UNKNOWN</x:v>
      </x:c>
      <x:c r="W27" s="71" t="inlineStr">
        <x:is>
          <x:t xml:space="preserve">P1</x:t>
        </x:is>
      </x:c>
      <x:c r="X27" s="71" t="str">
        <x:v>HOLD / BUY LOWER — verify proceeds bridge and per-share capital allocation</x:v>
      </x:c>
      <x:c r="Y27" s="206" t="n">
        <x:v>46267</x:v>
      </x:c>
      <x:c r="Z27" s="206" t="n">
        <x:v>46295</x:v>
      </x:c>
      <x:c r="AA27" s="71" t="str">
        <x:v>V10.29 three-pass + contradiction log + Dalio Test completed. Q2 continuing-ops sales $1.954bn (+2%); adjusted EBITDA $408m, margin 20.9%; H1 FCF $378m (+$284m); leverage 2.5x; Food Ingredients sale expected to yield about $3.8bn; repurchase authorization $2.5bn.</x:v>
      </x:c>
      <x:c r="AB27" s="57" t="inlineStr">
        <x:is>
          <x:t xml:space="preserve">HOLD / BUY LOWER</x:t>
        </x:is>
      </x:c>
      <x:c r="AC27" s="57" t="inlineStr">
        <x:is>
          <x:t xml:space="preserve">Portfolio repair is credible, but current price is near current IV.</x:t>
        </x:is>
      </x:c>
      <x:c r="AD27" s="57" t="inlineStr">
        <x:is>
          <x:t xml:space="preserve">Imported from ARGUS V10 Frozen Production Pilot</x:t>
        </x:is>
      </x:c>
      <x:c r="AE27" s="57" t="inlineStr">
        <x:is>
          <x:t xml:space="preserve">Development</x:t>
        </x:is>
      </x:c>
    </x:row>
    <x:row r="28">
      <x:c r="A28" s="57" t="inlineStr">
        <x:is>
          <x:t xml:space="preserve">ARG-023</x:t>
        </x:is>
      </x:c>
      <x:c r="B28" s="57" t="inlineStr">
        <x:is>
          <x:t xml:space="preserve">Givaudan</x:t>
        </x:is>
      </x:c>
      <x:c r="C28" s="57" t="inlineStr">
        <x:is>
          <x:t xml:space="preserve">GIVN.SW</x:t>
        </x:is>
      </x:c>
      <x:c r="D28" s="57" t="inlineStr">
        <x:is>
          <x:t xml:space="preserve">SIX</x:t>
        </x:is>
      </x:c>
      <x:c r="E28" s="57" t="inlineStr">
        <x:is>
          <x:t xml:space="preserve">Switzerland</x:t>
        </x:is>
      </x:c>
      <x:c r="F28" s="57" t="inlineStr">
        <x:is>
          <x:t xml:space="preserve">Specialty Ingredients</x:t>
        </x:is>
      </x:c>
      <x:c r="G28" s="57" t="inlineStr">
        <x:is>
          <x:t xml:space="preserve">Flavors and fragrances</x:t>
        </x:is>
      </x:c>
      <x:c r="H28" s="57" t="inlineStr">
        <x:is>
          <x:t xml:space="preserve">Quality benchmark</x:t>
        </x:is>
      </x:c>
      <x:c r="I28" s="57" t="inlineStr">
        <x:is>
          <x:t xml:space="preserve">Customer intimacy, innovation and pricing</x:t>
        </x:is>
      </x:c>
      <x:c r="J28" s="57" t="inlineStr">
        <x:is>
          <x:t xml:space="preserve">Normalized FCF + EV/EBITDA</x:t>
        </x:is>
      </x:c>
      <x:c r="K28" s="57" t="inlineStr">
        <x:is>
          <x:t xml:space="preserve">Best-in-class sector control</x:t>
        </x:is>
      </x:c>
      <x:c r="L28" s="57" t="inlineStr">
        <x:is>
          <x:t xml:space="preserve">https://www.givaudan.com/investors</x:t>
        </x:is>
      </x:c>
      <x:c r="M28" s="71" t="str">
        <x:v>P1 Deep Review V10.29</x:v>
      </x:c>
      <x:c r="N28" s="71" t="str">
        <x:v>Deep Review / Shadow</x:v>
      </x:c>
      <x:c r="O28" s="71" t="inlineStr">
        <x:is>
          <x:t xml:space="preserve">UNKNOWN</x:t>
        </x:is>
      </x:c>
      <x:c r="P28" s="71" t="inlineStr">
        <x:is>
          <x:t xml:space="preserve">UNKNOWN</x:t>
        </x:is>
      </x:c>
      <x:c r="Q28" s="71" t="inlineStr">
        <x:is>
          <x:t xml:space="preserve">UNKNOWN</x:t>
        </x:is>
      </x:c>
      <x:c r="R28" s="71" t="inlineStr">
        <x:is>
          <x:t xml:space="preserve">UNKNOWN</x:t>
        </x:is>
      </x:c>
      <x:c r="S28" s="71" t="inlineStr">
        <x:is>
          <x:t xml:space="preserve">UNKNOWN</x:t>
        </x:is>
      </x:c>
      <x:c r="T28" s="71" t="inlineStr">
        <x:is>
          <x:t xml:space="preserve">UNKNOWN</x:t>
        </x:is>
      </x:c>
      <x:c r="U28" s="71" t="str">
        <x:v>Taste &amp; Wellbeing normalization and valuation margin of safety</x:v>
      </x:c>
      <x:c r="V28" s="79" t="str">
        <x:f>IF(U28&lt;&gt;"","BLOCKED - FATAL UNKNOWN",IF(COUNTIF(O28:T28,"FAIL")&gt;0,"BLOCKED - FAIL",IF(COUNTIF(O28:T28,"UNKNOWN")&gt;0,"UNVALIDATED",IF(COUNTIF(O28:T28,"PASS")=6,"READY","UNVALIDATED"))))</x:f>
        <x:v>BLOCKED - FATAL UNKNOWN</x:v>
      </x:c>
      <x:c r="W28" s="71" t="inlineStr">
        <x:is>
          <x:t xml:space="preserve">P1</x:t>
        </x:is>
      </x:c>
      <x:c r="X28" s="71" t="str">
        <x:v>WATCH — premium quality; require valuation protection and Taste recovery</x:v>
      </x:c>
      <x:c r="Y28" s="206" t="n">
        <x:v>46267</x:v>
      </x:c>
      <x:c r="Z28" s="206" t="n">
        <x:v>46318</x:v>
      </x:c>
      <x:c r="AA28" s="71" t="str">
        <x:v>V10.29 three-pass + contradiction log + Dalio Test completed. H1 sales CHF3.799bn; +3.6% LFL but -1.7% reported in CHF; adjusted EBITDA CHF923m, margin 24.3% versus 25.2%; Fragrance &amp; Beauty +6.5% LFL, Taste &amp; Wellbeing +0.5%.</x:v>
      </x:c>
      <x:c r="AB28" s="57" t="inlineStr">
        <x:is>
          <x:t xml:space="preserve">WATCH</x:t>
        </x:is>
      </x:c>
      <x:c r="AC28" s="57" t="inlineStr">
        <x:is>
          <x:t xml:space="preserve">Best-in-class moat without a meaningful error buffer.</x:t>
        </x:is>
      </x:c>
      <x:c r="AD28" s="57" t="inlineStr">
        <x:is>
          <x:t xml:space="preserve">Imported from ARGUS V10 Frozen Production Pilot</x:t>
        </x:is>
      </x:c>
      <x:c r="AE28" s="57" t="inlineStr">
        <x:is>
          <x:t xml:space="preserve">Development</x:t>
        </x:is>
      </x:c>
    </x:row>
    <x:row r="29">
      <x:c r="A29" s="57" t="inlineStr">
        <x:is>
          <x:t xml:space="preserve">ARG-024</x:t>
        </x:is>
      </x:c>
      <x:c r="B29" s="57" t="inlineStr">
        <x:is>
          <x:t xml:space="preserve">Symrise</x:t>
        </x:is>
      </x:c>
      <x:c r="C29" s="57" t="inlineStr">
        <x:is>
          <x:t xml:space="preserve">SY1.DE</x:t>
        </x:is>
      </x:c>
      <x:c r="D29" s="57" t="inlineStr">
        <x:is>
          <x:t xml:space="preserve">XETRA</x:t>
        </x:is>
      </x:c>
      <x:c r="E29" s="57" t="inlineStr">
        <x:is>
          <x:t xml:space="preserve">Germany</x:t>
        </x:is>
      </x:c>
      <x:c r="F29" s="57" t="inlineStr">
        <x:is>
          <x:t xml:space="preserve">Specialty Ingredients</x:t>
        </x:is>
      </x:c>
      <x:c r="G29" s="57" t="inlineStr">
        <x:is>
          <x:t xml:space="preserve">Flavors, fragrances and actives</x:t>
        </x:is>
      </x:c>
      <x:c r="H29" s="57" t="inlineStr">
        <x:is>
          <x:t xml:space="preserve">Pure-play control</x:t>
        </x:is>
      </x:c>
      <x:c r="I29" s="57" t="inlineStr">
        <x:is>
          <x:t xml:space="preserve">Innovation/customer intimacy plus diversified ingredients</x:t>
        </x:is>
      </x:c>
      <x:c r="J29" s="57" t="inlineStr">
        <x:is>
          <x:t xml:space="preserve">Normalized FCF + EV/EBITDA</x:t>
        </x:is>
      </x:c>
      <x:c r="K29" s="57" t="inlineStr">
        <x:is>
          <x:t xml:space="preserve">Control for IFF and Torpaz</x:t>
        </x:is>
      </x:c>
      <x:c r="L29" s="57" t="inlineStr">
        <x:is>
          <x:t xml:space="preserve">https://www.symrise.com/investors</x:t>
        </x:is>
      </x:c>
      <x:c r="M29" s="71" t="str">
        <x:v>P1 Deep Review V10.29</x:v>
      </x:c>
      <x:c r="N29" s="71" t="str">
        <x:v>Deep Review / Shadow</x:v>
      </x:c>
      <x:c r="O29" s="71" t="inlineStr">
        <x:is>
          <x:t xml:space="preserve">UNKNOWN</x:t>
        </x:is>
      </x:c>
      <x:c r="P29" s="71" t="inlineStr">
        <x:is>
          <x:t xml:space="preserve">UNKNOWN</x:t>
        </x:is>
      </x:c>
      <x:c r="Q29" s="71" t="inlineStr">
        <x:is>
          <x:t xml:space="preserve">UNKNOWN</x:t>
        </x:is>
      </x:c>
      <x:c r="R29" s="71" t="inlineStr">
        <x:is>
          <x:t xml:space="preserve">UNKNOWN</x:t>
        </x:is>
      </x:c>
      <x:c r="S29" s="71" t="inlineStr">
        <x:is>
          <x:t xml:space="preserve">UNKNOWN</x:t>
        </x:is>
      </x:c>
      <x:c r="T29" s="71" t="inlineStr">
        <x:is>
          <x:t xml:space="preserve">UNKNOWN</x:t>
        </x:is>
      </x:c>
      <x:c r="U29" s="71" t="str">
        <x:v>Fresh half-year cash-flow/leverage bridge and repeat Q2 organic momentum</x:v>
      </x:c>
      <x:c r="V29" s="79" t="str">
        <x:f>IF(U29&lt;&gt;"","BLOCKED - FATAL UNKNOWN",IF(COUNTIF(O29:T29,"FAIL")&gt;0,"BLOCKED - FAIL",IF(COUNTIF(O29:T29,"UNKNOWN")&gt;0,"UNVALIDATED",IF(COUNTIF(O29:T29,"PASS")=6,"READY","UNVALIDATED"))))</x:f>
        <x:v>BLOCKED - FATAL UNKNOWN</x:v>
      </x:c>
      <x:c r="W29" s="71" t="inlineStr">
        <x:is>
          <x:t xml:space="preserve">P1</x:t>
        </x:is>
      </x:c>
      <x:c r="X29" s="71" t="str">
        <x:v>WATCH — require repeat organic acceleration and owner-cash reconciliation</x:v>
      </x:c>
      <x:c r="Y29" s="206" t="n">
        <x:v>46267</x:v>
      </x:c>
      <x:c r="Z29" s="206" t="n">
        <x:v>46295</x:v>
      </x:c>
      <x:c r="AA29" s="71" t="str">
        <x:v>V10.29 three-pass + contradiction log + Dalio Test completed. H1 sales about €2.539bn; organic growth about 2.0%, with Q2 accelerating to about 4.5% after weak Q1.</x:v>
      </x:c>
      <x:c r="AB29" s="57" t="inlineStr">
        <x:is>
          <x:t xml:space="preserve">WATCH</x:t>
        </x:is>
      </x:c>
      <x:c r="AC29" s="57" t="inlineStr">
        <x:is>
          <x:t xml:space="preserve">Durable quality; current price is not compelling enough.</x:t>
        </x:is>
      </x:c>
      <x:c r="AD29" s="57" t="inlineStr">
        <x:is>
          <x:t xml:space="preserve">Imported from ARGUS V10 Frozen Production Pilot</x:t>
        </x:is>
      </x:c>
      <x:c r="AE29" s="57" t="inlineStr">
        <x:is>
          <x:t xml:space="preserve">Development</x:t>
        </x:is>
      </x:c>
    </x:row>
    <x:row r="30">
      <x:c r="A30" s="57" t="str">
        <x:v>ARG-025</x:v>
      </x:c>
      <x:c r="B30" s="57" t="str">
        <x:v>Croda International</x:v>
      </x:c>
      <x:c r="C30" s="57" t="str">
        <x:v>CRDA.L</x:v>
      </x:c>
      <x:c r="D30" s="57" t="str">
        <x:v>London</x:v>
      </x:c>
      <x:c r="E30" s="57" t="str">
        <x:v>United Kingdom</x:v>
      </x:c>
      <x:c r="F30" s="57" t="str">
        <x:v>Specialty Ingredients</x:v>
      </x:c>
      <x:c r="G30" s="57" t="str">
        <x:v>Specialty chemicals and ingredients</x:v>
      </x:c>
      <x:c r="H30" s="57" t="str">
        <x:v>Recovery case</x:v>
      </x:c>
      <x:c r="I30" s="57" t="str">
        <x:v>Specialty formulations × volume/mix − utilization drag</x:v>
      </x:c>
      <x:c r="J30" s="57" t="str">
        <x:v>Normalized FCF + recovery scenarios</x:v>
      </x:c>
      <x:c r="K30" s="57" t="str">
        <x:v>Tests recovery and normalization</x:v>
      </x:c>
      <x:c r="L30" s="57" t="str">
        <x:v>https://www.croda.com/en-gb/investors</x:v>
      </x:c>
      <x:c r="M30" s="71" t="str">
        <x:v>P2-C Deep Review V10.32</x:v>
      </x:c>
      <x:c r="N30" s="71" t="str">
        <x:v>Deep Review / Shadow</x:v>
      </x:c>
      <x:c r="O30" s="71" t="str">
        <x:v>UNKNOWN</x:v>
      </x:c>
      <x:c r="P30" s="71" t="str">
        <x:v>UNKNOWN</x:v>
      </x:c>
      <x:c r="Q30" s="71" t="str">
        <x:v>UNKNOWN</x:v>
      </x:c>
      <x:c r="R30" s="71" t="str">
        <x:v>UNKNOWN</x:v>
      </x:c>
      <x:c r="S30" s="71" t="str">
        <x:v>UNKNOWN</x:v>
      </x:c>
      <x:c r="T30" s="71" t="str">
        <x:v>UNKNOWN</x:v>
      </x:c>
      <x:c r="U30" s="71" t="str">
        <x:v>Lipid/Pharma capacity returns, clean FCF conversion and segment-level recovery durability</x:v>
      </x:c>
      <x:c r="V30" s="79" t="str">
        <x:v>BLOCKED - FATAL UNKNOWN</x:v>
      </x:c>
      <x:c r="W30" s="71" t="str">
        <x:v>P2</x:v>
      </x:c>
      <x:c r="X30" s="71" t="str">
        <x:v>WATCH — demand Pharma Solutions recovery, capacity utilization and conversion of adjusted profit to FCF</x:v>
      </x:c>
      <x:c r="Y30" s="206" t="n">
        <x:v>46267</x:v>
      </x:c>
      <x:c r="Z30" s="206" t="n">
        <x:v>46331</x:v>
      </x:c>
      <x:c r="AA30" s="71" t="str">
        <x:v>V10.32 P2-C three-pass + contradiction log + PIT price + Dalio Test completed. H1 sales were £880.5m (+2.9%, +4.6% organic), adjusted operating profit £155.8m (+6.7% organic), adjusted margin 17.7%, FCF £38.3m (+36.8%) and leverage 1.4×. Consumer Care grew 8%, Life Sciences was flat, Pharma Solutions fell 17%, and FY26 outlook was unchanged.</x:v>
      </x:c>
      <x:c r="AB30" s="57" t="str">
        <x:v>WATCH</x:v>
      </x:c>
      <x:c r="AC30" s="57" t="str">
        <x:v>Recovery is plausible but partly recognized.</x:v>
      </x:c>
      <x:c r="AD30" s="57" t="str">
        <x:v>Imported from ARGUS V10 Frozen Production Pilot</x:v>
      </x:c>
      <x:c r="AE30" s="57" t="str">
        <x:v>Development</x:v>
      </x:c>
    </x:row>
    <x:row r="31">
      <x:c r="A31" s="57" t="str">
        <x:v>ARG-026</x:v>
      </x:c>
      <x:c r="B31" s="57" t="str">
        <x:v>Sensient Technologies</x:v>
      </x:c>
      <x:c r="C31" s="57" t="str">
        <x:v>SXT</x:v>
      </x:c>
      <x:c r="D31" s="57" t="str">
        <x:v>NYSE</x:v>
      </x:c>
      <x:c r="E31" s="57" t="str">
        <x:v>United States</x:v>
      </x:c>
      <x:c r="F31" s="57" t="str">
        <x:v>Specialty Ingredients</x:v>
      </x:c>
      <x:c r="G31" s="57" t="str">
        <x:v>Colors, flavors and extracts</x:v>
      </x:c>
      <x:c r="H31" s="57" t="str">
        <x:v>Operational compounder</x:v>
      </x:c>
      <x:c r="I31" s="57" t="str">
        <x:v>Innovation and formulation sales × mix/margin</x:v>
      </x:c>
      <x:c r="J31" s="57" t="str">
        <x:v>Normalized FCF</x:v>
      </x:c>
      <x:c r="K31" s="57" t="str">
        <x:v>Smaller-cap specialty control</x:v>
      </x:c>
      <x:c r="L31" s="57" t="str">
        <x:v>https://investors.sensient.com</x:v>
      </x:c>
      <x:c r="M31" s="71" t="str">
        <x:v>P2-C Deep Review V10.32</x:v>
      </x:c>
      <x:c r="N31" s="71" t="str">
        <x:v>Deep Review / Shadow</x:v>
      </x:c>
      <x:c r="O31" s="71" t="str">
        <x:v>UNKNOWN</x:v>
      </x:c>
      <x:c r="P31" s="71" t="str">
        <x:v>UNKNOWN</x:v>
      </x:c>
      <x:c r="Q31" s="71" t="str">
        <x:v>UNKNOWN</x:v>
      </x:c>
      <x:c r="R31" s="71" t="str">
        <x:v>UNKNOWN</x:v>
      </x:c>
      <x:c r="S31" s="71" t="str">
        <x:v>UNKNOWN</x:v>
      </x:c>
      <x:c r="T31" s="71" t="str">
        <x:v>UNKNOWN</x:v>
      </x:c>
      <x:c r="U31" s="71" t="str">
        <x:v>Normalized FCF after working capital, sustainable Color growth and defensible entry range</x:v>
      </x:c>
      <x:c r="V31" s="79" t="str">
        <x:v>BLOCKED - FATAL UNKNOWN</x:v>
      </x:c>
      <x:c r="W31" s="71" t="str">
        <x:v>P2</x:v>
      </x:c>
      <x:c r="X31" s="71" t="str">
        <x:v>WAIT FOR PRICE — preserve quality thesis but require normalized FCF and a materially lower expectations burden</x:v>
      </x:c>
      <x:c r="Y31" s="206" t="n">
        <x:v>46267</x:v>
      </x:c>
      <x:c r="Z31" s="206" t="n">
        <x:v>46318</x:v>
      </x:c>
      <x:c r="AA31" s="71" t="str">
        <x:v>V10.32 P2-C three-pass + contradiction log + PIT price + Dalio Test completed. Q2 revenue rose 11.6% to $462.1m, operating income 32.9% to $76.7m and EPS 36.4% to $1.20. Local-currency adjusted EBITDA rose 20.8%; Color revenue grew 20.6%. GAAP EPS guidance increased to $4.10–$4.20.</x:v>
      </x:c>
      <x:c r="AB31" s="57" t="str">
        <x:v>WAIT FOR PRICE</x:v>
      </x:c>
      <x:c r="AC31" s="57" t="str">
        <x:v>Excellent momentum; valuation is no longer value-like.</x:v>
      </x:c>
      <x:c r="AD31" s="57" t="str">
        <x:v>Imported from ARGUS V10 Frozen Production Pilot</x:v>
      </x:c>
      <x:c r="AE31" s="57" t="str">
        <x:v>Development</x:v>
      </x:c>
    </x:row>
    <x:row r="32">
      <x:c r="A32" s="57" t="inlineStr">
        <x:is>
          <x:t xml:space="preserve">ARG-027</x:t>
        </x:is>
      </x:c>
      <x:c r="B32" s="57" t="inlineStr">
        <x:is>
          <x:t xml:space="preserve">Torpaz Industries</x:t>
        </x:is>
      </x:c>
      <x:c r="C32" s="57" t="inlineStr">
        <x:is>
          <x:t xml:space="preserve">TRPZ.TA</x:t>
        </x:is>
      </x:c>
      <x:c r="D32" s="57" t="inlineStr">
        <x:is>
          <x:t xml:space="preserve">Tel Aviv</x:t>
        </x:is>
      </x:c>
      <x:c r="E32" s="57" t="inlineStr">
        <x:is>
          <x:t xml:space="preserve">Israel</x:t>
        </x:is>
      </x:c>
      <x:c r="F32" s="57" t="inlineStr">
        <x:is>
          <x:t xml:space="preserve">Specialty Ingredients</x:t>
        </x:is>
      </x:c>
      <x:c r="G32" s="57" t="inlineStr">
        <x:is>
          <x:t xml:space="preserve">Flavors and fragrances roll-up</x:t>
        </x:is>
      </x:c>
      <x:c r="H32" s="57" t="inlineStr">
        <x:is>
          <x:t xml:space="preserve">Acquisition compounder</x:t>
        </x:is>
      </x:c>
      <x:c r="I32" s="57" t="inlineStr">
        <x:is>
          <x:t xml:space="preserve">Organic growth plus acquired niche platforms</x:t>
        </x:is>
      </x:c>
      <x:c r="J32" s="57" t="inlineStr">
        <x:is>
          <x:t xml:space="preserve">Normalized FCF + acquisition-cohort ROIC</x:t>
        </x:is>
      </x:c>
      <x:c r="K32" s="57" t="inlineStr">
        <x:is>
          <x:t xml:space="preserve">Existing priority; retained-dollar test</x:t>
        </x:is>
      </x:c>
      <x:c r="L32" s="57" t="inlineStr">
        <x:is>
          <x:t xml:space="preserve">https://market.tase.co.il/he/market_data/security/1175611/major_data</x:t>
        </x:is>
      </x:c>
      <x:c r="M32" s="71" t="str">
        <x:v>P1 Deep Review V10.29</x:v>
      </x:c>
      <x:c r="N32" s="71" t="str">
        <x:v>Blocked / Owner Test</x:v>
      </x:c>
      <x:c r="O32" s="71" t="inlineStr">
        <x:is>
          <x:t xml:space="preserve">UNKNOWN</x:t>
        </x:is>
      </x:c>
      <x:c r="P32" s="71" t="inlineStr">
        <x:is>
          <x:t xml:space="preserve">UNKNOWN</x:t>
        </x:is>
      </x:c>
      <x:c r="Q32" s="71" t="inlineStr">
        <x:is>
          <x:t xml:space="preserve">UNKNOWN</x:t>
        </x:is>
      </x:c>
      <x:c r="R32" s="71" t="inlineStr">
        <x:is>
          <x:t xml:space="preserve">UNKNOWN</x:t>
        </x:is>
      </x:c>
      <x:c r="S32" s="71" t="inlineStr">
        <x:is>
          <x:t xml:space="preserve">UNKNOWN</x:t>
        </x:is>
      </x:c>
      <x:c r="T32" s="71" t="inlineStr">
        <x:is>
          <x:t xml:space="preserve">UNKNOWN</x:t>
        </x:is>
      </x:c>
      <x:c r="U32" s="71" t="str">
        <x:v>Acquisition-cohort owner returns, leverage and earn-out cash requirements</x:v>
      </x:c>
      <x:c r="V32" s="79" t="str">
        <x:f>IF(U32&lt;&gt;"","BLOCKED - FATAL UNKNOWN",IF(COUNTIF(O32:T32,"FAIL")&gt;0,"BLOCKED - FAIL",IF(COUNTIF(O32:T32,"UNKNOWN")&gt;0,"UNVALIDATED",IF(COUNTIF(O32:T32,"PASS")=6,"READY","UNVALIDATED"))))</x:f>
        <x:v>BLOCKED - FATAL UNKNOWN</x:v>
      </x:c>
      <x:c r="W32" s="71" t="inlineStr">
        <x:is>
          <x:t xml:space="preserve">P1</x:t>
        </x:is>
      </x:c>
      <x:c r="X32" s="71" t="str">
        <x:v>WAIT FOR PRICE — require acquisition-cohort ROIC and cash conversion</x:v>
      </x:c>
      <x:c r="Y32" s="206" t="n">
        <x:v>46267</x:v>
      </x:c>
      <x:c r="Z32" s="206" t="n">
        <x:v>46295</x:v>
      </x:c>
      <x:c r="AA32" s="71" t="str">
        <x:v>V10.29 three-pass + contradiction log + Dalio Test completed. H1 revenue $173.9m (+40.5%), organic growth 8.1%; gross margin 41.7%; adjusted EBITDA $40.0m, margin 23.0%; net income $19.2m (+80.9%), partly aided by non-cash financing income.</x:v>
      </x:c>
      <x:c r="AB32" s="57" t="inlineStr">
        <x:is>
          <x:t xml:space="preserve">WAIT FOR PRICE</x:t>
        </x:is>
      </x:c>
      <x:c r="AC32" s="57" t="inlineStr">
        <x:is>
          <x:t xml:space="preserve">Growth is strong; retained-dollar economics need a larger cushion.</x:t>
        </x:is>
      </x:c>
      <x:c r="AD32" s="57" t="inlineStr">
        <x:is>
          <x:t xml:space="preserve">Imported from ARGUS V10 Frozen Production Pilot</x:t>
        </x:is>
      </x:c>
      <x:c r="AE32" s="57" t="inlineStr">
        <x:is>
          <x:t xml:space="preserve">Development</x:t>
        </x:is>
      </x:c>
    </x:row>
    <x:row r="33">
      <x:c r="A33" s="57" t="str">
        <x:v>ARG-028</x:v>
      </x:c>
      <x:c r="B33" s="57" t="str">
        <x:v>Exxon Mobil</x:v>
      </x:c>
      <x:c r="C33" s="57" t="str">
        <x:v>XOM</x:v>
      </x:c>
      <x:c r="D33" s="57" t="str">
        <x:v>NYSE</x:v>
      </x:c>
      <x:c r="E33" s="57" t="str">
        <x:v>United States</x:v>
      </x:c>
      <x:c r="F33" s="57" t="str">
        <x:v>Energy</x:v>
      </x:c>
      <x:c r="G33" s="57" t="str">
        <x:v>Integrated energy</x:v>
      </x:c>
      <x:c r="H33" s="57" t="str">
        <x:v>Low-cost integrated major</x:v>
      </x:c>
      <x:c r="I33" s="57" t="str">
        <x:v>Resources plus refining/chemicals integration</x:v>
      </x:c>
      <x:c r="J33" s="57" t="str">
        <x:v>NAV + mid-cycle FCF</x:v>
      </x:c>
      <x:c r="K33" s="57" t="str">
        <x:v>Energy cycle anchor</x:v>
      </x:c>
      <x:c r="L33" s="57" t="str">
        <x:v>https://corporate.exxonmobil.com/investors</x:v>
      </x:c>
      <x:c r="M33" s="71" t="str">
        <x:v>P2-C Deep Review V10.32</x:v>
      </x:c>
      <x:c r="N33" s="71" t="str">
        <x:v>Deep Review / Shadow</x:v>
      </x:c>
      <x:c r="O33" s="71" t="str">
        <x:v>UNKNOWN</x:v>
      </x:c>
      <x:c r="P33" s="71" t="str">
        <x:v>UNKNOWN</x:v>
      </x:c>
      <x:c r="Q33" s="71" t="str">
        <x:v>UNKNOWN</x:v>
      </x:c>
      <x:c r="R33" s="71" t="str">
        <x:v>UNKNOWN</x:v>
      </x:c>
      <x:c r="S33" s="71" t="str">
        <x:v>UNKNOWN</x:v>
      </x:c>
      <x:c r="T33" s="71" t="str">
        <x:v>UNKNOWN</x:v>
      </x:c>
      <x:c r="U33" s="71" t="str">
        <x:v>Mid-cycle integrated owner earnings, project-level returns and buyback price discipline</x:v>
      </x:c>
      <x:c r="V33" s="79" t="str">
        <x:v>BLOCKED - FATAL UNKNOWN</x:v>
      </x:c>
      <x:c r="W33" s="71" t="str">
        <x:v>P2</x:v>
      </x:c>
      <x:c r="X33" s="71" t="str">
        <x:v>WATCH — value only on mid-cycle oil/refining/chemical margins and full sustaining capital</x:v>
      </x:c>
      <x:c r="Y33" s="206" t="n">
        <x:v>46267</x:v>
      </x:c>
      <x:c r="Z33" s="206" t="n">
        <x:v>46325</x:v>
      </x:c>
      <x:c r="AA33" s="71" t="str">
        <x:v>V10.32 P2-C three-pass + contradiction log + PIT price + Dalio Test completed. Q2 GAAP earnings were $14.5bn, adjusted earnings $14.7bn, CFO $23.6bn and cash capex $6.8bn; Permian production exceeded 1.8m boe/day. The quarter included unusually strong commodity and refining conditions.</x:v>
      </x:c>
      <x:c r="AB33" s="57" t="str">
        <x:v>WATCH</x:v>
      </x:c>
      <x:c r="AC33" s="57" t="str">
        <x:v>Execution is excellent; current commodity economics require normalization.</x:v>
      </x:c>
      <x:c r="AD33" s="57" t="str">
        <x:v>Imported from ARGUS V10 Frozen Production Pilot</x:v>
      </x:c>
      <x:c r="AE33" s="57" t="str">
        <x:v>Development</x:v>
      </x:c>
    </x:row>
    <x:row r="34">
      <x:c r="A34" s="57" t="str">
        <x:v>ARG-029</x:v>
      </x:c>
      <x:c r="B34" s="57" t="str">
        <x:v>Chevron</x:v>
      </x:c>
      <x:c r="C34" s="57" t="str">
        <x:v>CVX</x:v>
      </x:c>
      <x:c r="D34" s="57" t="str">
        <x:v>NYSE</x:v>
      </x:c>
      <x:c r="E34" s="57" t="str">
        <x:v>United States</x:v>
      </x:c>
      <x:c r="F34" s="57" t="str">
        <x:v>Energy</x:v>
      </x:c>
      <x:c r="G34" s="57" t="str">
        <x:v>Integrated energy</x:v>
      </x:c>
      <x:c r="H34" s="57" t="str">
        <x:v>Balance-sheet quality</x:v>
      </x:c>
      <x:c r="I34" s="57" t="str">
        <x:v>Resources plus integrated downstream cash flows</x:v>
      </x:c>
      <x:c r="J34" s="57" t="str">
        <x:v>NAV + mid-cycle FCF</x:v>
      </x:c>
      <x:c r="K34" s="57" t="str">
        <x:v>Integrated-major control</x:v>
      </x:c>
      <x:c r="L34" s="57" t="str">
        <x:v>https://www.chevron.com/investors</x:v>
      </x:c>
      <x:c r="M34" s="71" t="str">
        <x:v>P2-C Deep Review V10.32</x:v>
      </x:c>
      <x:c r="N34" s="71" t="str">
        <x:v>Deep Review / Shadow</x:v>
      </x:c>
      <x:c r="O34" s="71" t="str">
        <x:v>UNKNOWN</x:v>
      </x:c>
      <x:c r="P34" s="71" t="str">
        <x:v>UNKNOWN</x:v>
      </x:c>
      <x:c r="Q34" s="71" t="str">
        <x:v>UNKNOWN</x:v>
      </x:c>
      <x:c r="R34" s="71" t="str">
        <x:v>UNKNOWN</x:v>
      </x:c>
      <x:c r="S34" s="71" t="str">
        <x:v>UNKNOWN</x:v>
      </x:c>
      <x:c r="T34" s="71" t="str">
        <x:v>UNKNOWN</x:v>
      </x:c>
      <x:c r="U34" s="71" t="str">
        <x:v>Hess integration economics, mid-cycle FCF and jurisdiction-adjusted NAV</x:v>
      </x:c>
      <x:c r="V34" s="79" t="str">
        <x:v>BLOCKED - FATAL UNKNOWN</x:v>
      </x:c>
      <x:c r="W34" s="71" t="str">
        <x:v>P2</x:v>
      </x:c>
      <x:c r="X34" s="71" t="str">
        <x:v>WATCH — require post-Hess returns and a conservative mid-cycle FCF/NAV range</x:v>
      </x:c>
      <x:c r="Y34" s="206" t="n">
        <x:v>46267</x:v>
      </x:c>
      <x:c r="Z34" s="206" t="n">
        <x:v>46325</x:v>
      </x:c>
      <x:c r="AA34" s="71" t="str">
        <x:v>V10.32 P2-C three-pass + contradiction log + PIT price + Dalio Test completed. Q2 earnings were $12.1bn, adjusted earnings $12.0bn, ROCE 21%, cash flow from operations excluding working capital $19.7bn and adjusted FCF $15.4bn. Worldwide production rose 20% YoY; shareholder distributions were $6.5bn and Hess synergies were advancing.</x:v>
      </x:c>
      <x:c r="AB34" s="57" t="str">
        <x:v>WATCH</x:v>
      </x:c>
      <x:c r="AC34" s="57" t="str">
        <x:v>Strong balance sheet; current earnings are not a stable valuation base.</x:v>
      </x:c>
      <x:c r="AD34" s="57" t="str">
        <x:v>Imported from ARGUS V10 Frozen Production Pilot</x:v>
      </x:c>
      <x:c r="AE34" s="57" t="str">
        <x:v>Development</x:v>
      </x:c>
    </x:row>
    <x:row r="35">
      <x:c r="A35" s="57" t="str">
        <x:v>ARG-030</x:v>
      </x:c>
      <x:c r="B35" s="57" t="str">
        <x:v>ConocoPhillips</x:v>
      </x:c>
      <x:c r="C35" s="57" t="str">
        <x:v>COP</x:v>
      </x:c>
      <x:c r="D35" s="57" t="str">
        <x:v>NYSE</x:v>
      </x:c>
      <x:c r="E35" s="57" t="str">
        <x:v>United States</x:v>
      </x:c>
      <x:c r="F35" s="57" t="str">
        <x:v>Energy</x:v>
      </x:c>
      <x:c r="G35" s="57" t="str">
        <x:v>Upstream oil and gas</x:v>
      </x:c>
      <x:c r="H35" s="57" t="str">
        <x:v>Asset-quality producer</x:v>
      </x:c>
      <x:c r="I35" s="57" t="str">
        <x:v>Production × realized price − sustaining capital</x:v>
      </x:c>
      <x:c r="J35" s="57" t="str">
        <x:v>NAV + mid-cycle FCF</x:v>
      </x:c>
      <x:c r="K35" s="57" t="str">
        <x:v>Pure upstream control</x:v>
      </x:c>
      <x:c r="L35" s="57" t="str">
        <x:v>https://www.conocophillips.com/investor-relations/</x:v>
      </x:c>
      <x:c r="M35" s="71" t="str">
        <x:v>P2-C Deep Review V10.32</x:v>
      </x:c>
      <x:c r="N35" s="71" t="str">
        <x:v>Deep Review / Shadow</x:v>
      </x:c>
      <x:c r="O35" s="71" t="str">
        <x:v>UNKNOWN</x:v>
      </x:c>
      <x:c r="P35" s="71" t="str">
        <x:v>UNKNOWN</x:v>
      </x:c>
      <x:c r="Q35" s="71" t="str">
        <x:v>UNKNOWN</x:v>
      </x:c>
      <x:c r="R35" s="71" t="str">
        <x:v>UNKNOWN</x:v>
      </x:c>
      <x:c r="S35" s="71" t="str">
        <x:v>UNKNOWN</x:v>
      </x:c>
      <x:c r="T35" s="71" t="str">
        <x:v>UNKNOWN</x:v>
      </x:c>
      <x:c r="U35" s="71" t="str">
        <x:v>Mid-cycle FCF, sustaining capital/decline rate and post-transition allocation discipline</x:v>
      </x:c>
      <x:c r="V35" s="79" t="str">
        <x:v>BLOCKED - FATAL UNKNOWN</x:v>
      </x:c>
      <x:c r="W35" s="71" t="str">
        <x:v>P2</x:v>
      </x:c>
      <x:c r="X35" s="71" t="str">
        <x:v>WAIT — re-underwrite at $50–60 oil with full sustaining capital and Marathon integration costs</x:v>
      </x:c>
      <x:c r="Y35" s="206" t="n">
        <x:v>46267</x:v>
      </x:c>
      <x:c r="Z35" s="206" t="n">
        <x:v>46331</x:v>
      </x:c>
      <x:c r="AA35" s="71" t="str">
        <x:v>V10.32 P2-C three-pass + contradiction log + PIT price + Dalio Test completed. Q2 earnings were $3.9bn or $3.23 per share; adjusted EPS was $3.24. Production was 2.248m boe/day, CFO $7.2bn and FCF about $4.2bn; shareholder distributions were $3.0bn. A CEO transition to Andy O’Brien became effective 1 September.</x:v>
      </x:c>
      <x:c r="AB35" s="57" t="str">
        <x:v>WATCH</x:v>
      </x:c>
      <x:c r="AC35" s="57" t="str">
        <x:v>Opportunity depends mainly on normalized commodity prices.</x:v>
      </x:c>
      <x:c r="AD35" s="57" t="str">
        <x:v>Imported from ARGUS V10 Frozen Production Pilot</x:v>
      </x:c>
      <x:c r="AE35" s="57" t="str">
        <x:v>Development</x:v>
      </x:c>
    </x:row>
    <x:row r="36">
      <x:c r="A36" s="57" t="str">
        <x:v>ARG-031</x:v>
      </x:c>
      <x:c r="B36" s="57" t="str">
        <x:v>Occidental Petroleum</x:v>
      </x:c>
      <x:c r="C36" s="57" t="str">
        <x:v>OXY</x:v>
      </x:c>
      <x:c r="D36" s="57" t="str">
        <x:v>NYSE</x:v>
      </x:c>
      <x:c r="E36" s="57" t="str">
        <x:v>United States</x:v>
      </x:c>
      <x:c r="F36" s="57" t="str">
        <x:v>Energy</x:v>
      </x:c>
      <x:c r="G36" s="57" t="str">
        <x:v>Upstream/chemicals</x:v>
      </x:c>
      <x:c r="H36" s="57" t="str">
        <x:v>Leveraged cycle exposure</x:v>
      </x:c>
      <x:c r="I36" s="57" t="str">
        <x:v>Production and chemicals cash flow minus leverage</x:v>
      </x:c>
      <x:c r="J36" s="57" t="str">
        <x:v>NAV + mid-cycle FCF</x:v>
      </x:c>
      <x:c r="K36" s="57" t="str">
        <x:v>Leverage and cycle test</x:v>
      </x:c>
      <x:c r="L36" s="57" t="str">
        <x:v>https://www.oxy.com/investors/</x:v>
      </x:c>
      <x:c r="M36" s="71" t="str">
        <x:v>P2-C Deep Review V10.32</x:v>
      </x:c>
      <x:c r="N36" s="71" t="str">
        <x:v>Deep Review / Shadow</x:v>
      </x:c>
      <x:c r="O36" s="71" t="str">
        <x:v>UNKNOWN</x:v>
      </x:c>
      <x:c r="P36" s="71" t="str">
        <x:v>UNKNOWN</x:v>
      </x:c>
      <x:c r="Q36" s="71" t="str">
        <x:v>UNKNOWN</x:v>
      </x:c>
      <x:c r="R36" s="71" t="str">
        <x:v>UNKNOWN</x:v>
      </x:c>
      <x:c r="S36" s="71" t="str">
        <x:v>UNKNOWN</x:v>
      </x:c>
      <x:c r="T36" s="71" t="str">
        <x:v>UNKNOWN</x:v>
      </x:c>
      <x:c r="U36" s="71" t="str">
        <x:v>Post-OxyChem mid-cycle FCF, sustaining capital and debt/preferred-claim waterfall</x:v>
      </x:c>
      <x:c r="V36" s="79" t="str">
        <x:v>BLOCKED - FATAL UNKNOWN</x:v>
      </x:c>
      <x:c r="W36" s="71" t="str">
        <x:v>P2</x:v>
      </x:c>
      <x:c r="X36" s="71" t="str">
        <x:v>WATCH — require sub-$10bn debt and owner earnings that survive $50–55 oil</x:v>
      </x:c>
      <x:c r="Y36" s="206" t="n">
        <x:v>46267</x:v>
      </x:c>
      <x:c r="Z36" s="206" t="n">
        <x:v>46330</x:v>
      </x:c>
      <x:c r="AA36" s="71" t="str">
        <x:v>V10.32 P2-C three-pass + contradiction log + PIT price + Dalio Test completed. Q2 operating cash flow from continuing operations was $5.1bn and $4.6bn before working capital. Principal debt was reduced by $1.9bn to $11.8bn after the OxyChem sale; reported continuing net sales were about $8.1bn and the quarterly dividend rose to $0.28.</x:v>
      </x:c>
      <x:c r="AB36" s="57" t="str">
        <x:v>WATCH</x:v>
      </x:c>
      <x:c r="AC36" s="57" t="str">
        <x:v>Deleveraging helps, but commodity normalization can erase cheapness.</x:v>
      </x:c>
      <x:c r="AD36" s="57" t="str">
        <x:v>Imported from ARGUS V10 Frozen Production Pilot</x:v>
      </x:c>
      <x:c r="AE36" s="57" t="str">
        <x:v>Development</x:v>
      </x:c>
    </x:row>
    <x:row r="37">
      <x:c r="A37" s="57" t="str">
        <x:v>ARG-032</x:v>
      </x:c>
      <x:c r="B37" s="57" t="str">
        <x:v>SLB</x:v>
      </x:c>
      <x:c r="C37" s="57" t="str">
        <x:v>SLB</x:v>
      </x:c>
      <x:c r="D37" s="57" t="str">
        <x:v>NYSE</x:v>
      </x:c>
      <x:c r="E37" s="57" t="str">
        <x:v>United States</x:v>
      </x:c>
      <x:c r="F37" s="57" t="str">
        <x:v>Energy</x:v>
      </x:c>
      <x:c r="G37" s="57" t="str">
        <x:v>Oilfield services</x:v>
      </x:c>
      <x:c r="H37" s="57" t="str">
        <x:v>Picks-and-shovels</x:v>
      </x:c>
      <x:c r="I37" s="57" t="str">
        <x:v>International activity × pricing × service mix</x:v>
      </x:c>
      <x:c r="J37" s="57" t="str">
        <x:v>Mid-cycle FCF</x:v>
      </x:c>
      <x:c r="K37" s="57" t="str">
        <x:v>Service-cycle control</x:v>
      </x:c>
      <x:c r="L37" s="57" t="str">
        <x:v>https://investors.slb.com</x:v>
      </x:c>
      <x:c r="M37" s="71" t="str">
        <x:v>P2-C Deep Review V10.32</x:v>
      </x:c>
      <x:c r="N37" s="71" t="str">
        <x:v>Deep Review / Shadow</x:v>
      </x:c>
      <x:c r="O37" s="71" t="str">
        <x:v>UNKNOWN</x:v>
      </x:c>
      <x:c r="P37" s="71" t="str">
        <x:v>UNKNOWN</x:v>
      </x:c>
      <x:c r="Q37" s="71" t="str">
        <x:v>UNKNOWN</x:v>
      </x:c>
      <x:c r="R37" s="71" t="str">
        <x:v>UNKNOWN</x:v>
      </x:c>
      <x:c r="S37" s="71" t="str">
        <x:v>UNKNOWN</x:v>
      </x:c>
      <x:c r="T37" s="71" t="str">
        <x:v>UNKNOWN</x:v>
      </x:c>
      <x:c r="U37" s="71" t="str">
        <x:v>Kelvion purchase-price return, pro-forma leverage and segment-level normalized FCF</x:v>
      </x:c>
      <x:c r="V37" s="79" t="str">
        <x:v>BLOCKED - FATAL UNKNOWN</x:v>
      </x:c>
      <x:c r="W37" s="71" t="str">
        <x:v>P2</x:v>
      </x:c>
      <x:c r="X37" s="71" t="str">
        <x:v>WAIT — block promotion until Kelvion return, leverage and normalized oil-service FCF are evidenced</x:v>
      </x:c>
      <x:c r="Y37" s="206" t="n">
        <x:v>46267</x:v>
      </x:c>
      <x:c r="Z37" s="206" t="n">
        <x:v>46318</x:v>
      </x:c>
      <x:c r="AA37" s="71" t="str">
        <x:v>V10.32 P2-C three-pass + contradiction log + PIT price + Dalio Test completed. Q2 revenue was $8.97bn, adjusted EBITDA $1.90bn, GAAP EPS $0.52, CFO $1.36bn and FCF $716m. On 31 August SLB agreed to acquire Kelvion for $4.1bn including assumed debt to expand data-center cooling exposure.</x:v>
      </x:c>
      <x:c r="AB37" s="57" t="str">
        <x:v>WATCH</x:v>
      </x:c>
      <x:c r="AC37" s="57" t="str">
        <x:v>Constructive cycle; no clear margin of safety versus alternatives.</x:v>
      </x:c>
      <x:c r="AD37" s="57" t="str">
        <x:v>Imported from ARGUS V10 Frozen Production Pilot</x:v>
      </x:c>
      <x:c r="AE37" s="57" t="str">
        <x:v>Development</x:v>
      </x:c>
    </x:row>
    <x:row r="38">
      <x:c r="A38" s="57" t="inlineStr">
        <x:is>
          <x:t xml:space="preserve">ARG-033</x:t>
        </x:is>
      </x:c>
      <x:c r="B38" s="57" t="inlineStr">
        <x:is>
          <x:t xml:space="preserve">Fidelity National Information Services</x:t>
        </x:is>
      </x:c>
      <x:c r="C38" s="57" t="inlineStr">
        <x:is>
          <x:t xml:space="preserve">FIS</x:t>
        </x:is>
      </x:c>
      <x:c r="D38" s="57" t="inlineStr">
        <x:is>
          <x:t xml:space="preserve">NYSE</x:t>
        </x:is>
      </x:c>
      <x:c r="E38" s="57" t="inlineStr">
        <x:is>
          <x:t xml:space="preserve">United States</x:t>
        </x:is>
      </x:c>
      <x:c r="F38" s="57" t="inlineStr">
        <x:is>
          <x:t xml:space="preserve">Software &amp; Payments</x:t>
        </x:is>
      </x:c>
      <x:c r="G38" s="57" t="inlineStr">
        <x:is>
          <x:t xml:space="preserve">Banking and issuer infrastructure</x:t>
        </x:is>
      </x:c>
      <x:c r="H38" s="57" t="inlineStr">
        <x:is>
          <x:t xml:space="preserve">Prove-it case</x:t>
        </x:is>
      </x:c>
      <x:c r="I38" s="57" t="inlineStr">
        <x:is>
          <x:t xml:space="preserve">Sticky financial infrastructure plus FCF and deleveraging</x:t>
        </x:is>
      </x:c>
      <x:c r="J38" s="57" t="inlineStr">
        <x:is>
          <x:t xml:space="preserve">Owner earnings + leverage-adjusted IV</x:t>
        </x:is>
      </x:c>
      <x:c r="K38" s="57" t="inlineStr">
        <x:is>
          <x:t xml:space="preserve">V10 discipline exhibit</x:t>
        </x:is>
      </x:c>
      <x:c r="L38" s="57" t="inlineStr">
        <x:is>
          <x:t xml:space="preserve">https://www.investors.fisglobal.com</x:t>
        </x:is>
      </x:c>
      <x:c r="M38" s="71" t="str">
        <x:v>P1 Deep Review V10.29</x:v>
      </x:c>
      <x:c r="N38" s="71" t="str">
        <x:v>Blocked / Owner Test</x:v>
      </x:c>
      <x:c r="O38" s="71" t="inlineStr">
        <x:is>
          <x:t xml:space="preserve">UNKNOWN</x:t>
        </x:is>
      </x:c>
      <x:c r="P38" s="71" t="inlineStr">
        <x:is>
          <x:t xml:space="preserve">UNKNOWN</x:t>
        </x:is>
      </x:c>
      <x:c r="Q38" s="71" t="inlineStr">
        <x:is>
          <x:t xml:space="preserve">UNKNOWN</x:t>
        </x:is>
      </x:c>
      <x:c r="R38" s="71" t="inlineStr">
        <x:is>
          <x:t xml:space="preserve">UNKNOWN</x:t>
        </x:is>
      </x:c>
      <x:c r="S38" s="71" t="inlineStr">
        <x:is>
          <x:t xml:space="preserve">UNKNOWN</x:t>
        </x:is>
      </x:c>
      <x:c r="T38" s="71" t="inlineStr">
        <x:is>
          <x:t xml:space="preserve">UNKNOWN</x:t>
        </x:is>
      </x:c>
      <x:c r="U38" s="71" t="str">
        <x:v>Reported cash-to-net-debt bridge and acquisition capital-allocation repair</x:v>
      </x:c>
      <x:c r="V38" s="79" t="str">
        <x:f>IF(U38&lt;&gt;"","BLOCKED - FATAL UNKNOWN",IF(COUNTIF(O38:T38,"FAIL")&gt;0,"BLOCKED - FAIL",IF(COUNTIF(O38:T38,"UNKNOWN")&gt;0,"UNVALIDATED",IF(COUNTIF(O38:T38,"PASS")=6,"READY","UNVALIDATED"))))</x:f>
        <x:v>BLOCKED - FATAL UNKNOWN</x:v>
      </x:c>
      <x:c r="W38" s="71" t="inlineStr">
        <x:is>
          <x:t xml:space="preserve">P1</x:t>
        </x:is>
      </x:c>
      <x:c r="X38" s="71" t="str">
        <x:v>PROVE IT — no upgrade until FCF becomes measurable net-debt reduction</x:v>
      </x:c>
      <x:c r="Y38" s="206" t="n">
        <x:v>46267</x:v>
      </x:c>
      <x:c r="Z38" s="206" t="n">
        <x:v>46281</x:v>
      </x:c>
      <x:c r="AA38" s="71" t="str">
        <x:v>V10.29 three-pass + contradiction log + Dalio Test completed. Q2 revenue $3.4bn (+29% GAAP, +5.3% pro forma); adjusted EPS $1.48; operating cash $493m and FCF $525m (+220%). Total Issuing Solutions increased debt and the core proof remains conversion of cash into deleveraging.</x:v>
      </x:c>
      <x:c r="AB38" s="57" t="inlineStr">
        <x:is>
          <x:t xml:space="preserve">PROVE IT</x:t>
        </x:is>
      </x:c>
      <x:c r="AC38" s="57" t="inlineStr">
        <x:is>
          <x:t xml:space="preserve">Worldpay history and renewed leverage block a BUY despite discount.</x:t>
        </x:is>
      </x:c>
      <x:c r="AD38" s="57" t="inlineStr">
        <x:is>
          <x:t xml:space="preserve">Imported from ARGUS V10 Frozen Production Pilot</x:t>
        </x:is>
      </x:c>
      <x:c r="AE38" s="57" t="inlineStr">
        <x:is>
          <x:t xml:space="preserve">Development</x:t>
        </x:is>
      </x:c>
    </x:row>
    <x:row r="39">
      <x:c r="A39" s="57" t="inlineStr">
        <x:is>
          <x:t xml:space="preserve">ARG-034</x:t>
        </x:is>
      </x:c>
      <x:c r="B39" s="57" t="inlineStr">
        <x:is>
          <x:t xml:space="preserve">Fiserv</x:t>
        </x:is>
      </x:c>
      <x:c r="C39" s="57" t="inlineStr">
        <x:is>
          <x:t xml:space="preserve">FISV</x:t>
        </x:is>
      </x:c>
      <x:c r="D39" s="57" t="inlineStr">
        <x:is>
          <x:t xml:space="preserve">NYSE</x:t>
        </x:is>
      </x:c>
      <x:c r="E39" s="57" t="inlineStr">
        <x:is>
          <x:t xml:space="preserve">United States</x:t>
        </x:is>
      </x:c>
      <x:c r="F39" s="57" t="inlineStr">
        <x:is>
          <x:t xml:space="preserve">Software &amp; Payments</x:t>
        </x:is>
      </x:c>
      <x:c r="G39" s="57" t="inlineStr">
        <x:is>
          <x:t xml:space="preserve">Payments and bank technology</x:t>
        </x:is>
      </x:c>
      <x:c r="H39" s="57" t="inlineStr">
        <x:is>
          <x:t xml:space="preserve">Value-trap test</x:t>
        </x:is>
      </x:c>
      <x:c r="I39" s="57" t="inlineStr">
        <x:is>
          <x:t xml:space="preserve">Merchant/bank technology volumes and recurring revenue</x:t>
        </x:is>
      </x:c>
      <x:c r="J39" s="57" t="inlineStr">
        <x:is>
          <x:t xml:space="preserve">Owner earnings + reverse DCF</x:t>
        </x:is>
      </x:c>
      <x:c r="K39" s="57" t="inlineStr">
        <x:is>
          <x:t xml:space="preserve">Control for FIS and payments</x:t>
        </x:is>
      </x:c>
      <x:c r="L39" s="57" t="inlineStr">
        <x:is>
          <x:t xml:space="preserve">https://investors.fiserv.com</x:t>
        </x:is>
      </x:c>
      <x:c r="M39" s="71" t="str">
        <x:v>P2-A Deep Review V10.30</x:v>
      </x:c>
      <x:c r="N39" s="71" t="str">
        <x:v>Blocked / Owner Test</x:v>
      </x:c>
      <x:c r="O39" s="71" t="inlineStr">
        <x:is>
          <x:t xml:space="preserve">UNKNOWN</x:t>
        </x:is>
      </x:c>
      <x:c r="P39" s="71" t="inlineStr">
        <x:is>
          <x:t xml:space="preserve">UNKNOWN</x:t>
        </x:is>
      </x:c>
      <x:c r="Q39" s="71" t="inlineStr">
        <x:is>
          <x:t xml:space="preserve">UNKNOWN</x:t>
        </x:is>
      </x:c>
      <x:c r="R39" s="71" t="inlineStr">
        <x:is>
          <x:t xml:space="preserve">UNKNOWN</x:t>
        </x:is>
      </x:c>
      <x:c r="S39" s="71" t="inlineStr">
        <x:is>
          <x:t xml:space="preserve">UNKNOWN</x:t>
        </x:is>
      </x:c>
      <x:c r="T39" s="71" t="inlineStr">
        <x:is>
          <x:t xml:space="preserve">UNKNOWN</x:t>
        </x:is>
      </x:c>
      <x:c r="U39" s="71" t="str">
        <x:v>Customer retention, unadjusted owner earnings and evidence management corrected the decline</x:v>
      </x:c>
      <x:c r="V39" s="79" t="str">
        <x:f>IF(U39&lt;&gt;"","BLOCKED - FATAL UNKNOWN",IF(COUNTIF(O39:T39,"FAIL")&gt;0,"BLOCKED - FAIL",IF(COUNTIF(O39:T39,"UNKNOWN")&gt;0,"UNVALIDATED",IF(COUNTIF(O39:T39,"PASS")=6,"READY","UNVALIDATED"))))</x:f>
        <x:v>BLOCKED - FATAL UNKNOWN</x:v>
      </x:c>
      <x:c r="W39" s="71" t="inlineStr">
        <x:is>
          <x:t xml:space="preserve">P2</x:t>
        </x:is>
      </x:c>
      <x:c r="X39" s="71" t="str">
        <x:v>PROVE IT — no upgrade until organic growth, margins and clean FCF recover together</x:v>
      </x:c>
      <x:c r="Y39" s="206" t="n">
        <x:v>46267</x:v>
      </x:c>
      <x:c r="Z39" s="206" t="n">
        <x:v>46274</x:v>
      </x:c>
      <x:c r="AA39" s="71" t="str">
        <x:v>V10.30 P2-A three-pass + contradiction log + PIT price + Dalio Test completed. Adjusted revenue $4.963bn (-4%); organic revenue -5% (Merchant -1%, Financial -8%); adjusted EPS $1.84 (-26%); adjusted operating margin 31.8% versus 39.6%; H1 FCF $1.36bn versus $1.545bn; FY organic guide -1% to 0%.</x:v>
      </x:c>
      <x:c r="AB39" s="57" t="inlineStr">
        <x:is>
          <x:t xml:space="preserve">WAIT / VALUE-TRAP RISK</x:t>
        </x:is>
      </x:c>
      <x:c r="AC39" s="57" t="inlineStr">
        <x:is>
          <x:t xml:space="preserve">Deteriorating organic revenue and margins make a low multiple insufficient.</x:t>
        </x:is>
      </x:c>
      <x:c r="AD39" s="57" t="inlineStr">
        <x:is>
          <x:t xml:space="preserve">Imported from ARGUS V10 Frozen Production Pilot</x:t>
        </x:is>
      </x:c>
      <x:c r="AE39" s="57" t="inlineStr">
        <x:is>
          <x:t xml:space="preserve">Development</x:t>
        </x:is>
      </x:c>
    </x:row>
    <x:row r="40">
      <x:c r="A40" s="57" t="str">
        <x:v>ARG-035</x:v>
      </x:c>
      <x:c r="B40" s="57" t="str">
        <x:v>PayPal</x:v>
      </x:c>
      <x:c r="C40" s="57" t="str">
        <x:v>PYPL</x:v>
      </x:c>
      <x:c r="D40" s="57" t="str">
        <x:v>NASDAQ</x:v>
      </x:c>
      <x:c r="E40" s="57" t="str">
        <x:v>United States</x:v>
      </x:c>
      <x:c r="F40" s="57" t="str">
        <x:v>Software &amp; Payments</x:v>
      </x:c>
      <x:c r="G40" s="57" t="str">
        <x:v>Digital payments</x:v>
      </x:c>
      <x:c r="H40" s="57" t="str">
        <x:v>Moat-trajectory case</x:v>
      </x:c>
      <x:c r="I40" s="57" t="str">
        <x:v>Branded/unbranded payment volume × take rate − reinvestment</x:v>
      </x:c>
      <x:c r="J40" s="57" t="str">
        <x:v>Owner earnings + reverse DCF</x:v>
      </x:c>
      <x:c r="K40" s="57" t="str">
        <x:v>Tests cash/buybacks versus moat decay</x:v>
      </x:c>
      <x:c r="L40" s="57" t="str">
        <x:v>https://investor.pypl.com</x:v>
      </x:c>
      <x:c r="M40" s="71" t="str">
        <x:v>P2-B Deep Review V10.31</x:v>
      </x:c>
      <x:c r="N40" s="71" t="str">
        <x:v>Deep Review / Shadow</x:v>
      </x:c>
      <x:c r="O40" s="71" t="str">
        <x:v>UNKNOWN</x:v>
      </x:c>
      <x:c r="P40" s="71" t="str">
        <x:v>UNKNOWN</x:v>
      </x:c>
      <x:c r="Q40" s="71" t="str">
        <x:v>UNKNOWN</x:v>
      </x:c>
      <x:c r="R40" s="71" t="str">
        <x:v>UNKNOWN</x:v>
      </x:c>
      <x:c r="S40" s="71" t="str">
        <x:v>UNKNOWN</x:v>
      </x:c>
      <x:c r="T40" s="71" t="str">
        <x:v>UNKNOWN</x:v>
      </x:c>
      <x:c r="U40" s="71" t="str">
        <x:v>Branded checkout retention, transaction-margin cohort economics and unadjusted owner cash</x:v>
      </x:c>
      <x:c r="V40" s="79" t="str">
        <x:v>BLOCKED - FATAL UNKNOWN</x:v>
      </x:c>
      <x:c r="W40" s="71" t="str">
        <x:v>P2</x:v>
      </x:c>
      <x:c r="X40" s="71" t="str">
        <x:v>PROVE DURABILITY — require branded checkout growth, transaction-margin expansion and clean FCF per share together</x:v>
      </x:c>
      <x:c r="Y40" s="206" t="n">
        <x:v>46267</x:v>
      </x:c>
      <x:c r="Z40" s="206" t="n">
        <x:v>46281</x:v>
      </x:c>
      <x:c r="AA40" s="71" t="str">
        <x:v>V10.31 P2-B three-pass + contradiction log + PIT price + Dalio Test completed. Q2 revenue $8.7bn (+5%, +3% FX-neutral); transaction-margin dollars $3.9bn (+1%); GAAP operating income -5% and margin 16.4%, down 171 bps; active accounts 439m (+0.3% YoY but down 0.2m sequentially); CFO $2.0bn, FCF $1.8bn and buybacks $1.5bn.</x:v>
      </x:c>
      <x:c r="AB40" s="57" t="str">
        <x:v>WATCH</x:v>
      </x:c>
      <x:c r="AC40" s="57" t="str">
        <x:v>Cash generation is attractive; branded checkout durability remains unproven.</x:v>
      </x:c>
      <x:c r="AD40" s="57" t="str">
        <x:v>Imported from ARGUS V10 Frozen Production Pilot</x:v>
      </x:c>
      <x:c r="AE40" s="57" t="str">
        <x:v>Development</x:v>
      </x:c>
    </x:row>
    <x:row r="41">
      <x:c r="A41" s="57" t="str">
        <x:v>ARG-036</x:v>
      </x:c>
      <x:c r="B41" s="57" t="str">
        <x:v>JPMorgan Chase</x:v>
      </x:c>
      <x:c r="C41" s="57" t="str">
        <x:v>JPM</x:v>
      </x:c>
      <x:c r="D41" s="57" t="str">
        <x:v>NYSE</x:v>
      </x:c>
      <x:c r="E41" s="57" t="str">
        <x:v>United States</x:v>
      </x:c>
      <x:c r="F41" s="57" t="str">
        <x:v>Banks</x:v>
      </x:c>
      <x:c r="G41" s="57" t="str">
        <x:v>Diversified global bank</x:v>
      </x:c>
      <x:c r="H41" s="57" t="str">
        <x:v>Quality benchmark</x:v>
      </x:c>
      <x:c r="I41" s="57" t="str">
        <x:v>Deposit franchise, lending, markets and fees</x:v>
      </x:c>
      <x:c r="J41" s="57" t="str">
        <x:v>Tangible book + normalized earnings</x:v>
      </x:c>
      <x:c r="K41" s="57" t="str">
        <x:v>Stewardship/capital benchmark</x:v>
      </x:c>
      <x:c r="L41" s="57" t="str">
        <x:v>https://www.jpmorganchase.com/ir</x:v>
      </x:c>
      <x:c r="M41" s="71" t="str">
        <x:v>P2-B Deep Review V10.31</x:v>
      </x:c>
      <x:c r="N41" s="71" t="str">
        <x:v>Deep Review / Shadow</x:v>
      </x:c>
      <x:c r="O41" s="71" t="str">
        <x:v>UNKNOWN</x:v>
      </x:c>
      <x:c r="P41" s="71" t="str">
        <x:v>UNKNOWN</x:v>
      </x:c>
      <x:c r="Q41" s="71" t="str">
        <x:v>UNKNOWN</x:v>
      </x:c>
      <x:c r="R41" s="71" t="str">
        <x:v>UNKNOWN</x:v>
      </x:c>
      <x:c r="S41" s="71" t="str">
        <x:v>UNKNOWN</x:v>
      </x:c>
      <x:c r="T41" s="71" t="str">
        <x:v>UNKNOWN</x:v>
      </x:c>
      <x:c r="U41" s="71" t="str">
        <x:v>Normalized credit losses, deposit beta, required capital and succession-era allocation</x:v>
      </x:c>
      <x:c r="V41" s="79" t="str">
        <x:v>BLOCKED - FATAL UNKNOWN</x:v>
      </x:c>
      <x:c r="W41" s="71" t="str">
        <x:v>P2</x:v>
      </x:c>
      <x:c r="X41" s="71" t="str">
        <x:v>WATCH — value on normalized ROTCE/tangible book after removing gains and stressing credit/capital</x:v>
      </x:c>
      <x:c r="Y41" s="206" t="n">
        <x:v>46267</x:v>
      </x:c>
      <x:c r="Z41" s="206" t="n">
        <x:v>46309</x:v>
      </x:c>
      <x:c r="AA41" s="71" t="str">
        <x:v>V10.31 P2-B three-pass + contradiction log + PIT price + Dalio Test completed. Q2 reported net income $21.2bn and EPS $7.70; excluding significant items net income $16.9bn and EPS $6.14; managed revenue $58.0bn, NII $25.6bn and underlying ROTCE 23%; provision $2.5bn and net charge-offs $2.4bn; significant items included a $4.6bn Visa gain and $1.0bn equity gains.</x:v>
      </x:c>
      <x:c r="AB41" s="57" t="str">
        <x:v>WATCH</x:v>
      </x:c>
      <x:c r="AC41" s="57" t="str">
        <x:v>Exceptional franchise; price reflects much of the quality.</x:v>
      </x:c>
      <x:c r="AD41" s="57" t="str">
        <x:v>Imported from ARGUS V10 Frozen Production Pilot</x:v>
      </x:c>
      <x:c r="AE41" s="57" t="str">
        <x:v>Development</x:v>
      </x:c>
    </x:row>
    <x:row r="42">
      <x:c r="A42" s="57" t="str">
        <x:v>ARG-037</x:v>
      </x:c>
      <x:c r="B42" s="57" t="str">
        <x:v>Bank of America</x:v>
      </x:c>
      <x:c r="C42" s="57" t="str">
        <x:v>BAC</x:v>
      </x:c>
      <x:c r="D42" s="57" t="str">
        <x:v>NYSE</x:v>
      </x:c>
      <x:c r="E42" s="57" t="str">
        <x:v>United States</x:v>
      </x:c>
      <x:c r="F42" s="57" t="str">
        <x:v>Banks</x:v>
      </x:c>
      <x:c r="G42" s="57" t="str">
        <x:v>US universal bank</x:v>
      </x:c>
      <x:c r="H42" s="57" t="str">
        <x:v>Rate-cycle control</x:v>
      </x:c>
      <x:c r="I42" s="57" t="str">
        <x:v>Deposit base, lending and fee income</x:v>
      </x:c>
      <x:c r="J42" s="57" t="str">
        <x:v>Tangible book + normalized earnings</x:v>
      </x:c>
      <x:c r="K42" s="57" t="str">
        <x:v>US bank control</x:v>
      </x:c>
      <x:c r="L42" s="57" t="str">
        <x:v>https://investor.bankofamerica.com</x:v>
      </x:c>
      <x:c r="M42" s="71" t="str">
        <x:v>P2-C Deep Review V10.32</x:v>
      </x:c>
      <x:c r="N42" s="71" t="str">
        <x:v>Deep Review / Shadow</x:v>
      </x:c>
      <x:c r="O42" s="71" t="str">
        <x:v>UNKNOWN</x:v>
      </x:c>
      <x:c r="P42" s="71" t="str">
        <x:v>UNKNOWN</x:v>
      </x:c>
      <x:c r="Q42" s="71" t="str">
        <x:v>UNKNOWN</x:v>
      </x:c>
      <x:c r="R42" s="71" t="str">
        <x:v>UNKNOWN</x:v>
      </x:c>
      <x:c r="S42" s="71" t="str">
        <x:v>UNKNOWN</x:v>
      </x:c>
      <x:c r="T42" s="71" t="str">
        <x:v>UNKNOWN</x:v>
      </x:c>
      <x:c r="U42" s="71" t="str">
        <x:v>Through-cycle credit, deposit beta, AOCI economics and post-stress capital need</x:v>
      </x:c>
      <x:c r="V42" s="79" t="str">
        <x:v>BLOCKED - FATAL UNKNOWN</x:v>
      </x:c>
      <x:c r="W42" s="71" t="str">
        <x:v>P2</x:v>
      </x:c>
      <x:c r="X42" s="71" t="str">
        <x:v>WATCH — normalize NII, credit, securities marks and required CET1 before valuation</x:v>
      </x:c>
      <x:c r="Y42" s="206" t="n">
        <x:v>46267</x:v>
      </x:c>
      <x:c r="Z42" s="206" t="n">
        <x:v>46309</x:v>
      </x:c>
      <x:c r="AA42" s="71" t="str">
        <x:v>V10.32 P2-C three-pass + contradiction log + PIT price + Dalio Test completed. Q2 revenue was $31.6bn (+15%), net income $9.1bn (+27%), EPS $1.21 (+34%), ROTCE 17% and NII about $16.2bn (+9%). CET1 was 11.2% and $8bn of capital was returned.</x:v>
      </x:c>
      <x:c r="AB42" s="57" t="str">
        <x:v>WATCH</x:v>
      </x:c>
      <x:c r="AC42" s="57" t="str">
        <x:v>Strong returns without a distressed valuation.</x:v>
      </x:c>
      <x:c r="AD42" s="57" t="str">
        <x:v>Imported from ARGUS V10 Frozen Production Pilot</x:v>
      </x:c>
      <x:c r="AE42" s="57" t="str">
        <x:v>Development</x:v>
      </x:c>
    </x:row>
    <x:row r="43">
      <x:c r="A43" s="57" t="str">
        <x:v>ARG-038</x:v>
      </x:c>
      <x:c r="B43" s="57" t="str">
        <x:v>Citigroup</x:v>
      </x:c>
      <x:c r="C43" s="57" t="str">
        <x:v>C</x:v>
      </x:c>
      <x:c r="D43" s="57" t="str">
        <x:v>NYSE</x:v>
      </x:c>
      <x:c r="E43" s="57" t="str">
        <x:v>United States</x:v>
      </x:c>
      <x:c r="F43" s="57" t="str">
        <x:v>Banks</x:v>
      </x:c>
      <x:c r="G43" s="57" t="str">
        <x:v>Global bank turnaround</x:v>
      </x:c>
      <x:c r="H43" s="57" t="str">
        <x:v>Transformation case</x:v>
      </x:c>
      <x:c r="I43" s="57" t="str">
        <x:v>Institutional/consumer franchises minus transformation costs</x:v>
      </x:c>
      <x:c r="J43" s="57" t="str">
        <x:v>Tangible book + normalized ROTCE</x:v>
      </x:c>
      <x:c r="K43" s="57" t="str">
        <x:v>Cheapness/turnaround test</x:v>
      </x:c>
      <x:c r="L43" s="57" t="str">
        <x:v>https://www.citigroup.com/citi/investor</x:v>
      </x:c>
      <x:c r="M43" s="71" t="str">
        <x:v>P2-C Deep Review V10.32</x:v>
      </x:c>
      <x:c r="N43" s="71" t="str">
        <x:v>Deep Review / Shadow</x:v>
      </x:c>
      <x:c r="O43" s="71" t="str">
        <x:v>UNKNOWN</x:v>
      </x:c>
      <x:c r="P43" s="71" t="str">
        <x:v>UNKNOWN</x:v>
      </x:c>
      <x:c r="Q43" s="71" t="str">
        <x:v>UNKNOWN</x:v>
      </x:c>
      <x:c r="R43" s="71" t="str">
        <x:v>UNKNOWN</x:v>
      </x:c>
      <x:c r="S43" s="71" t="str">
        <x:v>UNKNOWN</x:v>
      </x:c>
      <x:c r="T43" s="71" t="str">
        <x:v>UNKNOWN</x:v>
      </x:c>
      <x:c r="U43" s="71" t="str">
        <x:v>Control remediation, normalized markets revenue, expense path and capital-efficient ROTCE</x:v>
      </x:c>
      <x:c r="V43" s="79" t="str">
        <x:v>BLOCKED - FATAL UNKNOWN</x:v>
      </x:c>
      <x:c r="W43" s="71" t="str">
        <x:v>P2</x:v>
      </x:c>
      <x:c r="X43" s="71" t="str">
        <x:v>PROVE TRANSFORMATION — require durable 11–13% ROTCE, expense delivery and clean controls</x:v>
      </x:c>
      <x:c r="Y43" s="206" t="n">
        <x:v>46267</x:v>
      </x:c>
      <x:c r="Z43" s="206" t="n">
        <x:v>46308</x:v>
      </x:c>
      <x:c r="AA43" s="71" t="str">
        <x:v>V10.32 P2-C three-pass + contradiction log + PIT price + Dalio Test completed. Q2 net income was $5.8bn (+45%), EPS $3.15, revenue $24.8bn (+14%) and ROTCE 13%. CET1 was 12.8%, tangible book value $100.89 and about $5bn was returned through buybacks and dividends.</x:v>
      </x:c>
      <x:c r="AB43" s="57" t="str">
        <x:v>WATCH</x:v>
      </x:c>
      <x:c r="AC43" s="57" t="str">
        <x:v>Transformation is working; price is close to normalized value.</x:v>
      </x:c>
      <x:c r="AD43" s="57" t="str">
        <x:v>Imported from ARGUS V10 Frozen Production Pilot</x:v>
      </x:c>
      <x:c r="AE43" s="57" t="str">
        <x:v>Development</x:v>
      </x:c>
    </x:row>
    <x:row r="44">
      <x:c r="A44" s="57" t="str">
        <x:v>ARG-039</x:v>
      </x:c>
      <x:c r="B44" s="57" t="str">
        <x:v>Goldman Sachs</x:v>
      </x:c>
      <x:c r="C44" s="57" t="str">
        <x:v>GS</x:v>
      </x:c>
      <x:c r="D44" s="57" t="str">
        <x:v>NYSE</x:v>
      </x:c>
      <x:c r="E44" s="57" t="str">
        <x:v>United States</x:v>
      </x:c>
      <x:c r="F44" s="57" t="str">
        <x:v>Capital Markets</x:v>
      </x:c>
      <x:c r="G44" s="57" t="str">
        <x:v>Investment banking and markets</x:v>
      </x:c>
      <x:c r="H44" s="57" t="str">
        <x:v>Cycle-sensitive quality</x:v>
      </x:c>
      <x:c r="I44" s="57" t="str">
        <x:v>Advisory/trading/asset-management revenue minus compensation</x:v>
      </x:c>
      <x:c r="J44" s="57" t="str">
        <x:v>Normalized earnings + tangible book</x:v>
      </x:c>
      <x:c r="K44" s="57" t="str">
        <x:v>Capital-markets cycle control</x:v>
      </x:c>
      <x:c r="L44" s="57" t="str">
        <x:v>https://www.goldmansachs.com/investor-relations</x:v>
      </x:c>
      <x:c r="M44" s="71" t="str">
        <x:v>P2-C Deep Review V10.32</x:v>
      </x:c>
      <x:c r="N44" s="71" t="str">
        <x:v>Deep Review / Shadow</x:v>
      </x:c>
      <x:c r="O44" s="71" t="str">
        <x:v>UNKNOWN</x:v>
      </x:c>
      <x:c r="P44" s="71" t="str">
        <x:v>UNKNOWN</x:v>
      </x:c>
      <x:c r="Q44" s="71" t="str">
        <x:v>UNKNOWN</x:v>
      </x:c>
      <x:c r="R44" s="71" t="str">
        <x:v>UNKNOWN</x:v>
      </x:c>
      <x:c r="S44" s="71" t="str">
        <x:v>UNKNOWN</x:v>
      </x:c>
      <x:c r="T44" s="71" t="str">
        <x:v>UNKNOWN</x:v>
      </x:c>
      <x:c r="U44" s="71" t="str">
        <x:v>Mid-cycle business mix, private-credit loss exposure and required capital</x:v>
      </x:c>
      <x:c r="V44" s="79" t="str">
        <x:v>BLOCKED - FATAL UNKNOWN</x:v>
      </x:c>
      <x:c r="W44" s="71" t="str">
        <x:v>P2</x:v>
      </x:c>
      <x:c r="X44" s="71" t="str">
        <x:v>WATCH — value on mid-cycle ROE/tangible book, not record trading and deal revenue</x:v>
      </x:c>
      <x:c r="Y44" s="206" t="n">
        <x:v>46267</x:v>
      </x:c>
      <x:c r="Z44" s="206" t="n">
        <x:v>46309</x:v>
      </x:c>
      <x:c r="AA44" s="71" t="str">
        <x:v>V10.32 P2-C three-pass + contradiction log + PIT price + Dalio Test completed. Q2 net revenues were $20.338bn, net earnings $6.628bn, EPS $20.98 and annualized ROE 23.5%. Global Banking &amp; Markets revenue was $15.52bn and assets under supervision reached about $4.0tn; the quarterly dividend increased to $5.00.</x:v>
      </x:c>
      <x:c r="AB44" s="57" t="str">
        <x:v>WATCH</x:v>
      </x:c>
      <x:c r="AC44" s="57" t="str">
        <x:v>Excellent returns; profits require cycle normalization.</x:v>
      </x:c>
      <x:c r="AD44" s="57" t="str">
        <x:v>Imported from ARGUS V10 Frozen Production Pilot</x:v>
      </x:c>
      <x:c r="AE44" s="57" t="str">
        <x:v>Development</x:v>
      </x:c>
    </x:row>
    <x:row r="45">
      <x:c r="A45" s="57" t="inlineStr">
        <x:is>
          <x:t xml:space="preserve">ARG-040</x:t>
        </x:is>
      </x:c>
      <x:c r="B45" s="57" t="inlineStr">
        <x:is>
          <x:t xml:space="preserve">Berkshire Hathaway</x:t>
        </x:is>
      </x:c>
      <x:c r="C45" s="57" t="inlineStr">
        <x:is>
          <x:t xml:space="preserve">BRK.B</x:t>
        </x:is>
      </x:c>
      <x:c r="D45" s="57" t="inlineStr">
        <x:is>
          <x:t xml:space="preserve">NYSE</x:t>
        </x:is>
      </x:c>
      <x:c r="E45" s="57" t="inlineStr">
        <x:is>
          <x:t xml:space="preserve">United States</x:t>
        </x:is>
      </x:c>
      <x:c r="F45" s="57" t="inlineStr">
        <x:is>
          <x:t xml:space="preserve">Insurance</x:t>
        </x:is>
      </x:c>
      <x:c r="G45" s="57" t="inlineStr">
        <x:is>
          <x:t xml:space="preserve">Insurance + diversified holdings</x:t>
        </x:is>
      </x:c>
      <x:c r="H45" s="57" t="inlineStr">
        <x:is>
          <x:t xml:space="preserve">Capital allocator benchmark</x:t>
        </x:is>
      </x:c>
      <x:c r="I45" s="57" t="inlineStr">
        <x:is>
          <x:t xml:space="preserve">Underwriting float plus operating businesses/investments</x:t>
        </x:is>
      </x:c>
      <x:c r="J45" s="57" t="inlineStr">
        <x:is>
          <x:t xml:space="preserve">SOTP + owner earnings</x:t>
        </x:is>
      </x:c>
      <x:c r="K45" s="57" t="inlineStr">
        <x:is>
          <x:t xml:space="preserve">Retained-dollar benchmark</x:t>
        </x:is>
      </x:c>
      <x:c r="L45" s="57" t="inlineStr">
        <x:is>
          <x:t xml:space="preserve">https://www.berkshirehathaway.com/reports.html</x:t>
        </x:is>
      </x:c>
      <x:c r="M45" s="71" t="str">
        <x:v>P2-A Deep Review V10.30</x:v>
      </x:c>
      <x:c r="N45" s="71" t="str">
        <x:v>Deep Review / Shadow</x:v>
      </x:c>
      <x:c r="O45" s="71" t="inlineStr">
        <x:is>
          <x:t xml:space="preserve">UNKNOWN</x:t>
        </x:is>
      </x:c>
      <x:c r="P45" s="71" t="inlineStr">
        <x:is>
          <x:t xml:space="preserve">UNKNOWN</x:t>
        </x:is>
      </x:c>
      <x:c r="Q45" s="71" t="inlineStr">
        <x:is>
          <x:t xml:space="preserve">UNKNOWN</x:t>
        </x:is>
      </x:c>
      <x:c r="R45" s="71" t="inlineStr">
        <x:is>
          <x:t xml:space="preserve">UNKNOWN</x:t>
        </x:is>
      </x:c>
      <x:c r="S45" s="71" t="inlineStr">
        <x:is>
          <x:t xml:space="preserve">UNKNOWN</x:t>
        </x:is>
      </x:c>
      <x:c r="T45" s="71" t="inlineStr">
        <x:is>
          <x:t xml:space="preserve">UNKNOWN</x:t>
        </x:is>
      </x:c>
      <x:c r="U45" s="71" t="str">
        <x:v>Succession-era allocation evidence, catastrophe normalization and current discount to conservative value</x:v>
      </x:c>
      <x:c r="V45" s="79" t="str">
        <x:f>IF(U45&lt;&gt;"","BLOCKED - FATAL UNKNOWN",IF(COUNTIF(O45:T45,"FAIL")&gt;0,"BLOCKED - FAIL",IF(COUNTIF(O45:T45,"UNKNOWN")&gt;0,"UNVALIDATED",IF(COUNTIF(O45:T45,"PASS")=6,"READY","UNVALIDATED"))))</x:f>
        <x:v>BLOCKED - FATAL UNKNOWN</x:v>
      </x:c>
      <x:c r="W45" s="71" t="inlineStr">
        <x:is>
          <x:t xml:space="preserve">P2</x:t>
        </x:is>
      </x:c>
      <x:c r="X45" s="71" t="str">
        <x:v>WATCH — require price protection and evidence of disciplined large-scale deployment under Abel</x:v>
      </x:c>
      <x:c r="Y45" s="206" t="n">
        <x:v>46267</x:v>
      </x:c>
      <x:c r="Z45" s="206" t="n">
        <x:v>46296</x:v>
      </x:c>
      <x:c r="AA45" s="71" t="str">
        <x:v>V10.30 P2-A three-pass + contradiction log + PIT price + Dalio Test completed. Insurance and other held $35.096bn cash plus $324.905bn Treasury bills; H1 consolidated operating cash $21.653bn; $4.8bn Treasury stock acquired; Q2 after-tax insurance underwriting $1.731bn, BNSF $1.558bn, BHE $891m and manufacturing/service/retail $4.47bn.</x:v>
      </x:c>
      <x:c r="AB45" s="57" t="inlineStr">
        <x:is>
          <x:t xml:space="preserve">WATCH</x:t>
        </x:is>
      </x:c>
      <x:c r="AC45" s="57" t="inlineStr">
        <x:is>
          <x:t xml:space="preserve">Best-in-class allocation and liquidity; no obvious discount.</x:t>
        </x:is>
      </x:c>
      <x:c r="AD45" s="57" t="inlineStr">
        <x:is>
          <x:t xml:space="preserve">Imported from ARGUS V10 Frozen Production Pilot</x:t>
        </x:is>
      </x:c>
      <x:c r="AE45" s="57" t="inlineStr">
        <x:is>
          <x:t xml:space="preserve">Development</x:t>
        </x:is>
      </x:c>
    </x:row>
    <x:row r="46">
      <x:c r="A46" s="57" t="inlineStr">
        <x:is>
          <x:t xml:space="preserve">ARG-041</x:t>
        </x:is>
      </x:c>
      <x:c r="B46" s="57" t="inlineStr">
        <x:is>
          <x:t xml:space="preserve">Chubb</x:t>
        </x:is>
      </x:c>
      <x:c r="C46" s="57" t="inlineStr">
        <x:is>
          <x:t xml:space="preserve">CB</x:t>
        </x:is>
      </x:c>
      <x:c r="D46" s="57" t="inlineStr">
        <x:is>
          <x:t xml:space="preserve">NYSE</x:t>
        </x:is>
      </x:c>
      <x:c r="E46" s="57" t="inlineStr">
        <x:is>
          <x:t xml:space="preserve">Switzerland</x:t>
        </x:is>
      </x:c>
      <x:c r="F46" s="57" t="inlineStr">
        <x:is>
          <x:t xml:space="preserve">Insurance</x:t>
        </x:is>
      </x:c>
      <x:c r="G46" s="57" t="inlineStr">
        <x:is>
          <x:t xml:space="preserve">Global P&amp;C</x:t>
        </x:is>
      </x:c>
      <x:c r="H46" s="57" t="inlineStr">
        <x:is>
          <x:t xml:space="preserve">Quality control</x:t>
        </x:is>
      </x:c>
      <x:c r="I46" s="57" t="inlineStr">
        <x:is>
          <x:t xml:space="preserve">Underwriting profit plus investment income on float</x:t>
        </x:is>
      </x:c>
      <x:c r="J46" s="57" t="inlineStr">
        <x:is>
          <x:t xml:space="preserve">Book value growth + normalized underwriting</x:t>
        </x:is>
      </x:c>
      <x:c r="K46" s="57" t="inlineStr">
        <x:is>
          <x:t xml:space="preserve">V10 meeting control</x:t>
        </x:is>
      </x:c>
      <x:c r="L46" s="57" t="inlineStr">
        <x:is>
          <x:t xml:space="preserve">https://investors.chubb.com</x:t>
        </x:is>
      </x:c>
      <x:c r="M46" s="71" t="str">
        <x:v>P1 Deep Review V10.29</x:v>
      </x:c>
      <x:c r="N46" s="71" t="str">
        <x:v>Deep Review / Shadow</x:v>
      </x:c>
      <x:c r="O46" s="71" t="inlineStr">
        <x:is>
          <x:t xml:space="preserve">UNKNOWN</x:t>
        </x:is>
      </x:c>
      <x:c r="P46" s="71" t="inlineStr">
        <x:is>
          <x:t xml:space="preserve">UNKNOWN</x:t>
        </x:is>
      </x:c>
      <x:c r="Q46" s="71" t="inlineStr">
        <x:is>
          <x:t xml:space="preserve">UNKNOWN</x:t>
        </x:is>
      </x:c>
      <x:c r="R46" s="71" t="inlineStr">
        <x:is>
          <x:t xml:space="preserve">UNKNOWN</x:t>
        </x:is>
      </x:c>
      <x:c r="S46" s="71" t="inlineStr">
        <x:is>
          <x:t xml:space="preserve">UNKNOWN</x:t>
        </x:is>
      </x:c>
      <x:c r="T46" s="71" t="inlineStr">
        <x:is>
          <x:t xml:space="preserve">UNKNOWN</x:t>
        </x:is>
      </x:c>
      <x:c r="U46" s="71" t="str">
        <x:v>Reserve/catastrophe normalization and current valuation protection</x:v>
      </x:c>
      <x:c r="V46" s="79" t="str">
        <x:f>IF(U46&lt;&gt;"","BLOCKED - FATAL UNKNOWN",IF(COUNTIF(O46:T46,"FAIL")&gt;0,"BLOCKED - FAIL",IF(COUNTIF(O46:T46,"UNKNOWN")&gt;0,"UNVALIDATED",IF(COUNTIF(O46:T46,"PASS")=6,"READY","UNVALIDATED"))))</x:f>
        <x:v>BLOCKED - FATAL UNKNOWN</x:v>
      </x:c>
      <x:c r="W46" s="71" t="inlineStr">
        <x:is>
          <x:t xml:space="preserve">P1</x:t>
        </x:is>
      </x:c>
      <x:c r="X46" s="71" t="str">
        <x:v>MEETING CONTROL — verify reserves, catastrophe normalization and price</x:v>
      </x:c>
      <x:c r="Y46" s="206" t="n">
        <x:v>46267</x:v>
      </x:c>
      <x:c r="Z46" s="206" t="n">
        <x:v>46316</x:v>
      </x:c>
      <x:c r="AA46" s="71" t="str">
        <x:v>V10.29 three-pass + contradiction log + Dalio Test completed. Q2 net income $2.85bn; core operating income $2.84bn (+14.6%); P&amp;C NWP $12.77bn (+3.0%); combined ratio 83.8%; tangible book value/share $131.93 (+17.1% YoY).</x:v>
      </x:c>
      <x:c r="AB46" s="57" t="inlineStr">
        <x:is>
          <x:t xml:space="preserve">MEETING CONTROL</x:t>
        </x:is>
      </x:c>
      <x:c r="AC46" s="57" t="inlineStr">
        <x:is>
          <x:t xml:space="preserve">Outstanding underwriting franchise at roughly fair value.</x:t>
        </x:is>
      </x:c>
      <x:c r="AD46" s="57" t="inlineStr">
        <x:is>
          <x:t xml:space="preserve">Imported from ARGUS V10 Frozen Production Pilot</x:t>
        </x:is>
      </x:c>
      <x:c r="AE46" s="57" t="inlineStr">
        <x:is>
          <x:t xml:space="preserve">Development</x:t>
        </x:is>
      </x:c>
    </x:row>
    <x:row r="47">
      <x:c r="A47" s="57" t="str">
        <x:v>ARG-042</x:v>
      </x:c>
      <x:c r="B47" s="57" t="str">
        <x:v>Progressive</x:v>
      </x:c>
      <x:c r="C47" s="57" t="str">
        <x:v>PGR</x:v>
      </x:c>
      <x:c r="D47" s="57" t="str">
        <x:v>NYSE</x:v>
      </x:c>
      <x:c r="E47" s="57" t="str">
        <x:v>United States</x:v>
      </x:c>
      <x:c r="F47" s="57" t="str">
        <x:v>Insurance</x:v>
      </x:c>
      <x:c r="G47" s="57" t="str">
        <x:v>US auto insurance</x:v>
      </x:c>
      <x:c r="H47" s="57" t="str">
        <x:v>Data/underwriting compounder</x:v>
      </x:c>
      <x:c r="I47" s="57" t="str">
        <x:v>Policies × underwriting margin plus float income</x:v>
      </x:c>
      <x:c r="J47" s="57" t="str">
        <x:v>Book/earnings growth + reverse DCF</x:v>
      </x:c>
      <x:c r="K47" s="57" t="str">
        <x:v>Underwriting technology control</x:v>
      </x:c>
      <x:c r="L47" s="57" t="str">
        <x:v>https://investors.progressive.com</x:v>
      </x:c>
      <x:c r="M47" s="71" t="str">
        <x:v>P2-B Deep Review V10.31</x:v>
      </x:c>
      <x:c r="N47" s="71" t="str">
        <x:v>Deep Review / Shadow</x:v>
      </x:c>
      <x:c r="O47" s="71" t="str">
        <x:v>UNKNOWN</x:v>
      </x:c>
      <x:c r="P47" s="71" t="str">
        <x:v>UNKNOWN</x:v>
      </x:c>
      <x:c r="Q47" s="71" t="str">
        <x:v>UNKNOWN</x:v>
      </x:c>
      <x:c r="R47" s="71" t="str">
        <x:v>UNKNOWN</x:v>
      </x:c>
      <x:c r="S47" s="71" t="str">
        <x:v>UNKNOWN</x:v>
      </x:c>
      <x:c r="T47" s="71" t="str">
        <x:v>UNKNOWN</x:v>
      </x:c>
      <x:c r="U47" s="71" t="str">
        <x:v>Reserve triangles, cohort profitability and mid-cycle combined-ratio/float normalization</x:v>
      </x:c>
      <x:c r="V47" s="79" t="str">
        <x:v>BLOCKED - FATAL UNKNOWN</x:v>
      </x:c>
      <x:c r="W47" s="71" t="str">
        <x:v>P2</x:v>
      </x:c>
      <x:c r="X47" s="71" t="str">
        <x:v>WAIT FOR NORMALIZED UNDERWRITING — price on reserve-adjusted, mid-cycle combined ratios and float income</x:v>
      </x:c>
      <x:c r="Y47" s="206" t="n">
        <x:v>46267</x:v>
      </x:c>
      <x:c r="Z47" s="206" t="n">
        <x:v>46310</x:v>
      </x:c>
      <x:c r="AA47" s="71" t="str">
        <x:v>V10.31 P2-B three-pass + contradiction log + PIT price + Dalio Test completed. Q2 net premiums written $21.077bn (+5%), earned premiums $21.573bn (+6%), net income $3.311bn (+4%) and EPS $5.67 (+5%); June combined ratio 90.0 versus 86.6; total policies in force 40.086m (+7%), with agency auto +8% and direct auto +10%.</x:v>
      </x:c>
      <x:c r="AB47" s="57" t="str">
        <x:v>WAIT FOR PRICE</x:v>
      </x:c>
      <x:c r="AC47" s="57" t="str">
        <x:v>Excellent engine; premium reflects the advantage.</x:v>
      </x:c>
      <x:c r="AD47" s="57" t="str">
        <x:v>Imported from ARGUS V10 Frozen Production Pilot</x:v>
      </x:c>
      <x:c r="AE47" s="57" t="str">
        <x:v>Development</x:v>
      </x:c>
    </x:row>
    <x:row r="48">
      <x:c r="A48" s="57" t="inlineStr">
        <x:is>
          <x:t xml:space="preserve">ARG-043</x:t>
        </x:is>
      </x:c>
      <x:c r="B48" s="57" t="inlineStr">
        <x:is>
          <x:t xml:space="preserve">Microsoft</x:t>
        </x:is>
      </x:c>
      <x:c r="C48" s="57" t="inlineStr">
        <x:is>
          <x:t xml:space="preserve">MSFT</x:t>
        </x:is>
      </x:c>
      <x:c r="D48" s="57" t="inlineStr">
        <x:is>
          <x:t xml:space="preserve">NASDAQ</x:t>
        </x:is>
      </x:c>
      <x:c r="E48" s="57" t="inlineStr">
        <x:is>
          <x:t xml:space="preserve">United States</x:t>
        </x:is>
      </x:c>
      <x:c r="F48" s="57" t="inlineStr">
        <x:is>
          <x:t xml:space="preserve">Software &amp; Payments</x:t>
        </x:is>
      </x:c>
      <x:c r="G48" s="57" t="inlineStr">
        <x:is>
          <x:t xml:space="preserve">Cloud/software platform</x:t>
        </x:is>
      </x:c>
      <x:c r="H48" s="57" t="inlineStr">
        <x:is>
          <x:t xml:space="preserve">Mega-cap platform</x:t>
        </x:is>
      </x:c>
      <x:c r="I48" s="57" t="inlineStr">
        <x:is>
          <x:t xml:space="preserve">Cloud/subscription ecosystem minus AI capex</x:t>
        </x:is>
      </x:c>
      <x:c r="J48" s="57" t="inlineStr">
        <x:is>
          <x:t xml:space="preserve">Owner earnings + reverse DCF</x:t>
        </x:is>
      </x:c>
      <x:c r="K48" s="57" t="inlineStr">
        <x:is>
          <x:t xml:space="preserve">AI/platform benchmark</x:t>
        </x:is>
      </x:c>
      <x:c r="L48" s="57" t="inlineStr">
        <x:is>
          <x:t xml:space="preserve">https://www.microsoft.com/en-us/Investor</x:t>
        </x:is>
      </x:c>
      <x:c r="M48" s="71" t="str">
        <x:v>P2-A Deep Review V10.30</x:v>
      </x:c>
      <x:c r="N48" s="71" t="str">
        <x:v>Deep Review / Shadow</x:v>
      </x:c>
      <x:c r="O48" s="71" t="inlineStr">
        <x:is>
          <x:t xml:space="preserve">UNKNOWN</x:t>
        </x:is>
      </x:c>
      <x:c r="P48" s="71" t="inlineStr">
        <x:is>
          <x:t xml:space="preserve">UNKNOWN</x:t>
        </x:is>
      </x:c>
      <x:c r="Q48" s="71" t="inlineStr">
        <x:is>
          <x:t xml:space="preserve">UNKNOWN</x:t>
        </x:is>
      </x:c>
      <x:c r="R48" s="71" t="inlineStr">
        <x:is>
          <x:t xml:space="preserve">UNKNOWN</x:t>
        </x:is>
      </x:c>
      <x:c r="S48" s="71" t="inlineStr">
        <x:is>
          <x:t xml:space="preserve">UNKNOWN</x:t>
        </x:is>
      </x:c>
      <x:c r="T48" s="71" t="inlineStr">
        <x:is>
          <x:t xml:space="preserve">UNKNOWN</x:t>
        </x:is>
      </x:c>
      <x:c r="U48" s="71" t="str">
        <x:v>Normalized AI infrastructure returns after depreciation and partner economics</x:v>
      </x:c>
      <x:c r="V48" s="79" t="str">
        <x:f>IF(U48&lt;&gt;"","BLOCKED - FATAL UNKNOWN",IF(COUNTIF(O48:T48,"FAIL")&gt;0,"BLOCKED - FAIL",IF(COUNTIF(O48:T48,"UNKNOWN")&gt;0,"UNVALIDATED",IF(COUNTIF(O48:T48,"PASS")=6,"READY","UNVALIDATED"))))</x:f>
        <x:v>BLOCKED - FATAL UNKNOWN</x:v>
      </x:c>
      <x:c r="W48" s="71" t="inlineStr">
        <x:is>
          <x:t xml:space="preserve">P2</x:t>
        </x:is>
      </x:c>
      <x:c r="X48" s="71" t="str">
        <x:v>WATCH — require a transparent capex-to-owner-cash bridge and price protection</x:v>
      </x:c>
      <x:c r="Y48" s="206" t="n">
        <x:v>46267</x:v>
      </x:c>
      <x:c r="Z48" s="206" t="n">
        <x:v>46281</x:v>
      </x:c>
      <x:c r="AA48" s="71" t="str">
        <x:v>V10.30 P2-A three-pass + contradiction log + PIT price + Dalio Test completed. Q4 revenue $90.007bn (+18%); Microsoft Cloud $59.3bn (+27%); Azure +43%; commercial RPO $678bn (+84%); Q4 CFO $55.441bn and capex $35.802bn, implying about $19.639bn FCF; FY implied FCF about $66.987bn.</x:v>
      </x:c>
      <x:c r="AB48" s="57" t="inlineStr">
        <x:is>
          <x:t xml:space="preserve">WATCH</x:t>
        </x:is>
      </x:c>
      <x:c r="AC48" s="57" t="inlineStr">
        <x:is>
          <x:t xml:space="preserve">Exceptional moat; AI reinvestment lowers near-term owner earnings and margin of safety.</x:t>
        </x:is>
      </x:c>
      <x:c r="AD48" s="57" t="inlineStr">
        <x:is>
          <x:t xml:space="preserve">Imported from ARGUS V10 Frozen Production Pilot</x:t>
        </x:is>
      </x:c>
      <x:c r="AE48" s="57" t="inlineStr">
        <x:is>
          <x:t xml:space="preserve">Development</x:t>
        </x:is>
      </x:c>
    </x:row>
    <x:row r="49">
      <x:c r="A49" s="57" t="inlineStr">
        <x:is>
          <x:t xml:space="preserve">ARG-044</x:t>
        </x:is>
      </x:c>
      <x:c r="B49" s="57" t="inlineStr">
        <x:is>
          <x:t xml:space="preserve">Alphabet</x:t>
        </x:is>
      </x:c>
      <x:c r="C49" s="57" t="inlineStr">
        <x:is>
          <x:t xml:space="preserve">GOOGL</x:t>
        </x:is>
      </x:c>
      <x:c r="D49" s="57" t="inlineStr">
        <x:is>
          <x:t xml:space="preserve">NASDAQ</x:t>
        </x:is>
      </x:c>
      <x:c r="E49" s="57" t="inlineStr">
        <x:is>
          <x:t xml:space="preserve">United States</x:t>
        </x:is>
      </x:c>
      <x:c r="F49" s="57" t="inlineStr">
        <x:is>
          <x:t xml:space="preserve">Media &amp; Internet</x:t>
        </x:is>
      </x:c>
      <x:c r="G49" s="57" t="inlineStr">
        <x:is>
          <x:t xml:space="preserve">Search/YouTube/cloud</x:t>
        </x:is>
      </x:c>
      <x:c r="H49" s="57" t="inlineStr">
        <x:is>
          <x:t xml:space="preserve">Attention and cloud platform</x:t>
        </x:is>
      </x:c>
      <x:c r="I49" s="57" t="inlineStr">
        <x:is>
          <x:t xml:space="preserve">Traffic × monetization plus cloud economics minus AI capex</x:t>
        </x:is>
      </x:c>
      <x:c r="J49" s="57" t="inlineStr">
        <x:is>
          <x:t xml:space="preserve">Owner earnings + SOTP</x:t>
        </x:is>
      </x:c>
      <x:c r="K49" s="57" t="inlineStr">
        <x:is>
          <x:t xml:space="preserve">Search/AI transition test</x:t>
        </x:is>
      </x:c>
      <x:c r="L49" s="57" t="inlineStr">
        <x:is>
          <x:t xml:space="preserve">https://abc.xyz/investor/</x:t>
        </x:is>
      </x:c>
      <x:c r="M49" s="71" t="str">
        <x:v>P2-A Deep Review V10.30</x:v>
      </x:c>
      <x:c r="N49" s="71" t="str">
        <x:v>Blocked / Owner Test</x:v>
      </x:c>
      <x:c r="O49" s="71" t="inlineStr">
        <x:is>
          <x:t xml:space="preserve">UNKNOWN</x:t>
        </x:is>
      </x:c>
      <x:c r="P49" s="71" t="inlineStr">
        <x:is>
          <x:t xml:space="preserve">UNKNOWN</x:t>
        </x:is>
      </x:c>
      <x:c r="Q49" s="71" t="inlineStr">
        <x:is>
          <x:t xml:space="preserve">UNKNOWN</x:t>
        </x:is>
      </x:c>
      <x:c r="R49" s="71" t="inlineStr">
        <x:is>
          <x:t xml:space="preserve">UNKNOWN</x:t>
        </x:is>
      </x:c>
      <x:c r="S49" s="71" t="inlineStr">
        <x:is>
          <x:t xml:space="preserve">UNKNOWN</x:t>
        </x:is>
      </x:c>
      <x:c r="T49" s="71" t="inlineStr">
        <x:is>
          <x:t xml:space="preserve">UNKNOWN</x:t>
        </x:is>
      </x:c>
      <x:c r="U49" s="71" t="str">
        <x:v>Capex/financing return bridge excluding non-operating investment gains</x:v>
      </x:c>
      <x:c r="V49" s="79" t="str">
        <x:f>IF(U49&lt;&gt;"","BLOCKED - FATAL UNKNOWN",IF(COUNTIF(O49:T49,"FAIL")&gt;0,"BLOCKED - FAIL",IF(COUNTIF(O49:T49,"UNKNOWN")&gt;0,"UNVALIDATED",IF(COUNTIF(O49:T49,"PASS")=6,"READY","UNVALIDATED"))))</x:f>
        <x:v>BLOCKED - FATAL UNKNOWN</x:v>
      </x:c>
      <x:c r="W49" s="71" t="inlineStr">
        <x:is>
          <x:t xml:space="preserve">P2</x:t>
        </x:is>
      </x:c>
      <x:c r="X49" s="71" t="str">
        <x:v>CAPITAL GATE — no new BUY until FCF, issuance and compute returns reconcile on a per-share basis</x:v>
      </x:c>
      <x:c r="Y49" s="206" t="n">
        <x:v>46267</x:v>
      </x:c>
      <x:c r="Z49" s="206" t="n">
        <x:v>46274</x:v>
      </x:c>
      <x:c r="AA49" s="71" t="str">
        <x:v>V10.30 P2-A three-pass + contradiction log + PIT price + Dalio Test completed. Q2 revenue $119.796bn (+24%); Services $94.54bn (+15%); Cloud $24.768bn (+82%) with $8.814bn operating income; CFO $39.069bn and capex $44.924bn, implying FCF of -$5.855bn; about $49.6bn equity and $20.3bn senior notes issued for compute expansion.</x:v>
      </x:c>
      <x:c r="AB49" s="57" t="inlineStr">
        <x:is>
          <x:t xml:space="preserve">WATCH</x:t>
        </x:is>
      </x:c>
      <x:c r="AC49" s="57" t="inlineStr">
        <x:is>
          <x:t xml:space="preserve">Strong economics; AI-search transition and capex need a better entry.</x:t>
        </x:is>
      </x:c>
      <x:c r="AD49" s="57" t="inlineStr">
        <x:is>
          <x:t xml:space="preserve">Imported from ARGUS V10 Frozen Production Pilot</x:t>
        </x:is>
      </x:c>
      <x:c r="AE49" s="57" t="inlineStr">
        <x:is>
          <x:t xml:space="preserve">Development</x:t>
        </x:is>
      </x:c>
    </x:row>
    <x:row r="50">
      <x:c r="A50" s="57" t="inlineStr">
        <x:is>
          <x:t xml:space="preserve">ARG-045</x:t>
        </x:is>
      </x:c>
      <x:c r="B50" s="57" t="inlineStr">
        <x:is>
          <x:t xml:space="preserve">Meta Platforms</x:t>
        </x:is>
      </x:c>
      <x:c r="C50" s="57" t="inlineStr">
        <x:is>
          <x:t xml:space="preserve">META</x:t>
        </x:is>
      </x:c>
      <x:c r="D50" s="57" t="inlineStr">
        <x:is>
          <x:t xml:space="preserve">NASDAQ</x:t>
        </x:is>
      </x:c>
      <x:c r="E50" s="57" t="inlineStr">
        <x:is>
          <x:t xml:space="preserve">United States</x:t>
        </x:is>
      </x:c>
      <x:c r="F50" s="57" t="inlineStr">
        <x:is>
          <x:t xml:space="preserve">Media &amp; Internet</x:t>
        </x:is>
      </x:c>
      <x:c r="G50" s="57" t="inlineStr">
        <x:is>
          <x:t xml:space="preserve">Social advertising</x:t>
        </x:is>
      </x:c>
      <x:c r="H50" s="57" t="inlineStr">
        <x:is>
          <x:t xml:space="preserve">Attention platform</x:t>
        </x:is>
      </x:c>
      <x:c r="I50" s="57" t="inlineStr">
        <x:is>
          <x:t xml:space="preserve">Engagement × ad monetization − AI/infrastructure capex</x:t>
        </x:is>
      </x:c>
      <x:c r="J50" s="57" t="inlineStr">
        <x:is>
          <x:t xml:space="preserve">Owner earnings + reverse DCF</x:t>
        </x:is>
      </x:c>
      <x:c r="K50" s="57" t="inlineStr">
        <x:is>
          <x:t xml:space="preserve">Ad/AI-capex control</x:t>
        </x:is>
      </x:c>
      <x:c r="L50" s="57" t="inlineStr">
        <x:is>
          <x:t xml:space="preserve">https://investor.atmeta.com</x:t>
        </x:is>
      </x:c>
      <x:c r="M50" s="71" t="str">
        <x:v>P2-A Deep Review V10.30</x:v>
      </x:c>
      <x:c r="N50" s="71" t="str">
        <x:v>Blocked / Owner Test</x:v>
      </x:c>
      <x:c r="O50" s="71" t="inlineStr">
        <x:is>
          <x:t xml:space="preserve">UNKNOWN</x:t>
        </x:is>
      </x:c>
      <x:c r="P50" s="71" t="inlineStr">
        <x:is>
          <x:t xml:space="preserve">UNKNOWN</x:t>
        </x:is>
      </x:c>
      <x:c r="Q50" s="71" t="inlineStr">
        <x:is>
          <x:t xml:space="preserve">UNKNOWN</x:t>
        </x:is>
      </x:c>
      <x:c r="R50" s="71" t="inlineStr">
        <x:is>
          <x:t xml:space="preserve">UNKNOWN</x:t>
        </x:is>
      </x:c>
      <x:c r="S50" s="71" t="inlineStr">
        <x:is>
          <x:t xml:space="preserve">UNKNOWN</x:t>
        </x:is>
      </x:c>
      <x:c r="T50" s="71" t="inlineStr">
        <x:is>
          <x:t xml:space="preserve">UNKNOWN</x:t>
        </x:is>
      </x:c>
      <x:c r="U50" s="71" t="str">
        <x:v>Normalized owner earnings after AI capex, depreciation, debt and Reality Labs</x:v>
      </x:c>
      <x:c r="V50" s="79" t="str">
        <x:f>IF(U50&lt;&gt;"","BLOCKED - FATAL UNKNOWN",IF(COUNTIF(O50:T50,"FAIL")&gt;0,"BLOCKED - FAIL",IF(COUNTIF(O50:T50,"UNKNOWN")&gt;0,"UNVALIDATED",IF(COUNTIF(O50:T50,"PASS")=6,"READY","UNVALIDATED"))))</x:f>
        <x:v>BLOCKED - FATAL UNKNOWN</x:v>
      </x:c>
      <x:c r="W50" s="71" t="inlineStr">
        <x:is>
          <x:t xml:space="preserve">P2</x:t>
        </x:is>
      </x:c>
      <x:c r="X50" s="71" t="str">
        <x:v>CAPITAL GATE — no new BUY until capex converts into durable FCF per share</x:v>
      </x:c>
      <x:c r="Y50" s="206" t="n">
        <x:v>46267</x:v>
      </x:c>
      <x:c r="Z50" s="206" t="n">
        <x:v>46274</x:v>
      </x:c>
      <x:c r="AA50" s="71" t="str">
        <x:v>V10.30 P2-A three-pass + contradiction log + PIT price + Dalio Test completed. Revenue $60.801bn (+28%); daily active people 3.60bn (+3%); ad impressions +14% and price/ad +12%; operating income $18.775bn (-8%), margin 31% versus 43%; CFO $31.86bn, capex including leases $31.08bn and FCF $784m; FY capex guide $130–145bn.</x:v>
      </x:c>
      <x:c r="AB50" s="57" t="inlineStr">
        <x:is>
          <x:t xml:space="preserve">WATCH</x:t>
        </x:is>
      </x:c>
      <x:c r="AC50" s="57" t="inlineStr">
        <x:is>
          <x:t xml:space="preserve">Ad moat is strong; AI spending widens owner-earnings uncertainty.</x:t>
        </x:is>
      </x:c>
      <x:c r="AD50" s="57" t="inlineStr">
        <x:is>
          <x:t xml:space="preserve">Imported from ARGUS V10 Frozen Production Pilot</x:t>
        </x:is>
      </x:c>
      <x:c r="AE50" s="57" t="inlineStr">
        <x:is>
          <x:t xml:space="preserve">Development</x:t>
        </x:is>
      </x:c>
    </x:row>
    <x:row r="51">
      <x:c r="A51" s="57" t="inlineStr">
        <x:is>
          <x:t xml:space="preserve">ARG-046</x:t>
        </x:is>
      </x:c>
      <x:c r="B51" s="57" t="inlineStr">
        <x:is>
          <x:t xml:space="preserve">Amazon</x:t>
        </x:is>
      </x:c>
      <x:c r="C51" s="57" t="inlineStr">
        <x:is>
          <x:t xml:space="preserve">AMZN</x:t>
        </x:is>
      </x:c>
      <x:c r="D51" s="57" t="inlineStr">
        <x:is>
          <x:t xml:space="preserve">NASDAQ</x:t>
        </x:is>
      </x:c>
      <x:c r="E51" s="57" t="inlineStr">
        <x:is>
          <x:t xml:space="preserve">United States</x:t>
        </x:is>
      </x:c>
      <x:c r="F51" s="57" t="inlineStr">
        <x:is>
          <x:t xml:space="preserve">Software &amp; Payments</x:t>
        </x:is>
      </x:c>
      <x:c r="G51" s="57" t="inlineStr">
        <x:is>
          <x:t xml:space="preserve">E-commerce and cloud</x:t>
        </x:is>
      </x:c>
      <x:c r="H51" s="57" t="inlineStr">
        <x:is>
          <x:t xml:space="preserve">Multi-engine platform</x:t>
        </x:is>
      </x:c>
      <x:c r="I51" s="57" t="inlineStr">
        <x:is>
          <x:t xml:space="preserve">AWS plus retail/advertising economics minus infrastructure investment</x:t>
        </x:is>
      </x:c>
      <x:c r="J51" s="57" t="inlineStr">
        <x:is>
          <x:t xml:space="preserve">SOTP + owner earnings</x:t>
        </x:is>
      </x:c>
      <x:c r="K51" s="57" t="inlineStr">
        <x:is>
          <x:t xml:space="preserve">Capital intensity/platform control</x:t>
        </x:is>
      </x:c>
      <x:c r="L51" s="57" t="inlineStr">
        <x:is>
          <x:t xml:space="preserve">https://ir.aboutamazon.com</x:t>
        </x:is>
      </x:c>
      <x:c r="M51" s="71" t="str">
        <x:v>P2-A Deep Review V10.30</x:v>
      </x:c>
      <x:c r="N51" s="71" t="str">
        <x:v>Blocked / Owner Test</x:v>
      </x:c>
      <x:c r="O51" s="71" t="inlineStr">
        <x:is>
          <x:t xml:space="preserve">UNKNOWN</x:t>
        </x:is>
      </x:c>
      <x:c r="P51" s="71" t="inlineStr">
        <x:is>
          <x:t xml:space="preserve">UNKNOWN</x:t>
        </x:is>
      </x:c>
      <x:c r="Q51" s="71" t="inlineStr">
        <x:is>
          <x:t xml:space="preserve">UNKNOWN</x:t>
        </x:is>
      </x:c>
      <x:c r="R51" s="71" t="inlineStr">
        <x:is>
          <x:t xml:space="preserve">UNKNOWN</x:t>
        </x:is>
      </x:c>
      <x:c r="S51" s="71" t="inlineStr">
        <x:is>
          <x:t xml:space="preserve">UNKNOWN</x:t>
        </x:is>
      </x:c>
      <x:c r="T51" s="71" t="inlineStr">
        <x:is>
          <x:t xml:space="preserve">UNKNOWN</x:t>
        </x:is>
      </x:c>
      <x:c r="U51" s="71" t="str">
        <x:v>Segment owner-earnings bridge after AI/logistics capex, leases, SBC and investment marks</x:v>
      </x:c>
      <x:c r="V51" s="79" t="str">
        <x:f>IF(U51&lt;&gt;"","BLOCKED - FATAL UNKNOWN",IF(COUNTIF(O51:T51,"FAIL")&gt;0,"BLOCKED - FAIL",IF(COUNTIF(O51:T51,"UNKNOWN")&gt;0,"UNVALIDATED",IF(COUNTIF(O51:T51,"PASS")=6,"READY","UNVALIDATED"))))</x:f>
        <x:v>BLOCKED - FATAL UNKNOWN</x:v>
      </x:c>
      <x:c r="W51" s="71" t="inlineStr">
        <x:is>
          <x:t xml:space="preserve">P2</x:t>
        </x:is>
      </x:c>
      <x:c r="X51" s="71" t="str">
        <x:v>CAPITAL GATE — no new BUY until TTM FCF turns positive excluding Anthropic revaluation</x:v>
      </x:c>
      <x:c r="Y51" s="206" t="n">
        <x:v>46267</x:v>
      </x:c>
      <x:c r="Z51" s="206" t="n">
        <x:v>46274</x:v>
      </x:c>
      <x:c r="AA51" s="71" t="str">
        <x:v>V10.30 P2-A three-pass + contradiction log + PIT price + Dalio Test completed. Net sales $200.6bn (+20%); operating income $27.5bn (+43%); AWS sales $42.232bn (+37%) and AWS operating income $16.6bn; trailing-12-month FCF -$7.604bn versus +$18.184bn; net capex $169.007bn (+64%); Q2 net income included a $53.4bn non-operating Anthropic gain.</x:v>
      </x:c>
      <x:c r="AB51" s="57" t="inlineStr">
        <x:is>
          <x:t xml:space="preserve">WATCH</x:t>
        </x:is>
      </x:c>
      <x:c r="AC51" s="57" t="inlineStr">
        <x:is>
          <x:t xml:space="preserve">AWS is excellent; infrastructure investment suppresses current FCF.</x:t>
        </x:is>
      </x:c>
      <x:c r="AD51" s="57" t="inlineStr">
        <x:is>
          <x:t xml:space="preserve">Imported from ARGUS V10 Frozen Production Pilot</x:t>
        </x:is>
      </x:c>
      <x:c r="AE51" s="57" t="inlineStr">
        <x:is>
          <x:t xml:space="preserve">Development</x:t>
        </x:is>
      </x:c>
    </x:row>
    <x:row r="52">
      <x:c r="A52" s="57" t="inlineStr">
        <x:is>
          <x:t xml:space="preserve">ARG-047</x:t>
        </x:is>
      </x:c>
      <x:c r="B52" s="57" t="inlineStr">
        <x:is>
          <x:t xml:space="preserve">Intuit</x:t>
        </x:is>
      </x:c>
      <x:c r="C52" s="57" t="inlineStr">
        <x:is>
          <x:t xml:space="preserve">INTU</x:t>
        </x:is>
      </x:c>
      <x:c r="D52" s="57" t="inlineStr">
        <x:is>
          <x:t xml:space="preserve">NASDAQ</x:t>
        </x:is>
      </x:c>
      <x:c r="E52" s="57" t="inlineStr">
        <x:is>
          <x:t xml:space="preserve">United States</x:t>
        </x:is>
      </x:c>
      <x:c r="F52" s="57" t="inlineStr">
        <x:is>
          <x:t xml:space="preserve">Software &amp; Payments</x:t>
        </x:is>
      </x:c>
      <x:c r="G52" s="57" t="inlineStr">
        <x:is>
          <x:t xml:space="preserve">SMB finance and tax platform</x:t>
        </x:is>
      </x:c>
      <x:c r="H52" s="57" t="inlineStr">
        <x:is>
          <x:t xml:space="preserve">V10 approved buy</x:t>
        </x:is>
      </x:c>
      <x:c r="I52" s="57" t="inlineStr">
        <x:is>
          <x:t xml:space="preserve">Workflow/data lock-in plus payroll/payments/services attach</x:t>
        </x:is>
      </x:c>
      <x:c r="J52" s="57" t="inlineStr">
        <x:is>
          <x:t xml:space="preserve">Economic owner earnings + reverse DCF</x:t>
        </x:is>
      </x:c>
      <x:c r="K52" s="57" t="inlineStr">
        <x:is>
          <x:t xml:space="preserve">V10 recommendation/calibration</x:t>
        </x:is>
      </x:c>
      <x:c r="L52" s="57" t="inlineStr">
        <x:is>
          <x:t xml:space="preserve">https://investors.intuit.com</x:t>
        </x:is>
      </x:c>
      <x:c r="M52" s="71" t="str">
        <x:v>P1 Deep Review V10.29</x:v>
      </x:c>
      <x:c r="N52" s="71" t="str">
        <x:v>Deep Review / Shadow</x:v>
      </x:c>
      <x:c r="O52" s="71" t="inlineStr">
        <x:is>
          <x:t xml:space="preserve">UNKNOWN</x:t>
        </x:is>
      </x:c>
      <x:c r="P52" s="71" t="inlineStr">
        <x:is>
          <x:t xml:space="preserve">UNKNOWN</x:t>
        </x:is>
      </x:c>
      <x:c r="Q52" s="71" t="inlineStr">
        <x:is>
          <x:t xml:space="preserve">UNKNOWN</x:t>
        </x:is>
      </x:c>
      <x:c r="R52" s="71" t="inlineStr">
        <x:is>
          <x:t xml:space="preserve">UNKNOWN</x:t>
        </x:is>
      </x:c>
      <x:c r="S52" s="71" t="inlineStr">
        <x:is>
          <x:t xml:space="preserve">UNKNOWN</x:t>
        </x:is>
      </x:c>
      <x:c r="T52" s="71" t="inlineStr">
        <x:is>
          <x:t xml:space="preserve">UNKNOWN</x:t>
        </x:is>
      </x:c>
      <x:c r="U52" s="71" t="str">
        <x:v>Durability of TurboTax/QBO pricing under AI and tax-policy change</x:v>
      </x:c>
      <x:c r="V52" s="79" t="str">
        <x:f>IF(U52&lt;&gt;"","BLOCKED - FATAL UNKNOWN",IF(COUNTIF(O52:T52,"FAIL")&gt;0,"BLOCKED - FAIL",IF(COUNTIF(O52:T52,"UNKNOWN")&gt;0,"UNVALIDATED",IF(COUNTIF(O52:T52,"PASS")=6,"READY","UNVALIDATED"))))</x:f>
        <x:v>BLOCKED - FATAL UNKNOWN</x:v>
      </x:c>
      <x:c r="W52" s="71" t="inlineStr">
        <x:is>
          <x:t xml:space="preserve">P1</x:t>
        </x:is>
      </x:c>
      <x:c r="X52" s="71" t="str">
        <x:v>BUY only inside sizing band — monitor AI/tax policy and per-share cash</x:v>
      </x:c>
      <x:c r="Y52" s="206" t="n">
        <x:v>46267</x:v>
      </x:c>
      <x:c r="Z52" s="206" t="n">
        <x:v>46281</x:v>
      </x:c>
      <x:c r="AA52" s="71" t="str">
        <x:v>V10.29 three-pass + contradiction log + Dalio Test completed. FY26 revenue $21.4bn (+14%); Q4 revenue $4.4bn (+14%); Q4 GBS $3.4bn (+14%) and Online Ecosystem $2.6bn (+17%); FY27 total revenue guide slows to 9–10%.</x:v>
      </x:c>
      <x:c r="AB52" s="57" t="inlineStr">
        <x:is>
          <x:t xml:space="preserve">BUY</x:t>
        </x:is>
      </x:c>
      <x:c r="AC52" s="57" t="inlineStr">
        <x:is>
          <x:t xml:space="preserve">Best mix of durable workflow moat, owner earnings, runway and price.</x:t>
        </x:is>
      </x:c>
      <x:c r="AD52" s="57" t="inlineStr">
        <x:is>
          <x:t xml:space="preserve">Imported from ARGUS V10 Frozen Production Pilot</x:t>
        </x:is>
      </x:c>
      <x:c r="AE52" s="57" t="inlineStr">
        <x:is>
          <x:t xml:space="preserve">Development</x:t>
        </x:is>
      </x:c>
    </x:row>
    <x:row r="53">
      <x:c r="A53" s="57" t="inlineStr">
        <x:is>
          <x:t xml:space="preserve">ARG-048</x:t>
        </x:is>
      </x:c>
      <x:c r="B53" s="57" t="inlineStr">
        <x:is>
          <x:t xml:space="preserve">Oracle</x:t>
        </x:is>
      </x:c>
      <x:c r="C53" s="57" t="inlineStr">
        <x:is>
          <x:t xml:space="preserve">ORCL</x:t>
        </x:is>
      </x:c>
      <x:c r="D53" s="57" t="inlineStr">
        <x:is>
          <x:t xml:space="preserve">NYSE</x:t>
        </x:is>
      </x:c>
      <x:c r="E53" s="57" t="inlineStr">
        <x:is>
          <x:t xml:space="preserve">United States</x:t>
        </x:is>
      </x:c>
      <x:c r="F53" s="57" t="inlineStr">
        <x:is>
          <x:t xml:space="preserve">Software &amp; Payments</x:t>
        </x:is>
      </x:c>
      <x:c r="G53" s="57" t="inlineStr">
        <x:is>
          <x:t xml:space="preserve">Database/cloud applications</x:t>
        </x:is>
      </x:c>
      <x:c r="H53" s="57" t="inlineStr">
        <x:is>
          <x:t xml:space="preserve">Funding/capex case</x:t>
        </x:is>
      </x:c>
      <x:c r="I53" s="57" t="inlineStr">
        <x:is>
          <x:t xml:space="preserve">Database/apps recurring revenue plus OCI growth minus capex</x:t>
        </x:is>
      </x:c>
      <x:c r="J53" s="57" t="inlineStr">
        <x:is>
          <x:t xml:space="preserve">Owner earnings + funding bridge</x:t>
        </x:is>
      </x:c>
      <x:c r="K53" s="57" t="inlineStr">
        <x:is>
          <x:t xml:space="preserve">AI-cloud capital gate</x:t>
        </x:is>
      </x:c>
      <x:c r="L53" s="57" t="inlineStr">
        <x:is>
          <x:t xml:space="preserve">https://investor.oracle.com</x:t>
        </x:is>
      </x:c>
      <x:c r="M53" s="71" t="str">
        <x:v>P2-A Deep Review V10.30</x:v>
      </x:c>
      <x:c r="N53" s="71" t="str">
        <x:v>Blocked / Owner Test</x:v>
      </x:c>
      <x:c r="O53" s="71" t="inlineStr">
        <x:is>
          <x:t xml:space="preserve">UNKNOWN</x:t>
        </x:is>
      </x:c>
      <x:c r="P53" s="71" t="inlineStr">
        <x:is>
          <x:t xml:space="preserve">UNKNOWN</x:t>
        </x:is>
      </x:c>
      <x:c r="Q53" s="71" t="inlineStr">
        <x:is>
          <x:t xml:space="preserve">UNKNOWN</x:t>
        </x:is>
      </x:c>
      <x:c r="R53" s="71" t="inlineStr">
        <x:is>
          <x:t xml:space="preserve">UNKNOWN</x:t>
        </x:is>
      </x:c>
      <x:c r="S53" s="71" t="inlineStr">
        <x:is>
          <x:t xml:space="preserve">UNKNOWN</x:t>
        </x:is>
      </x:c>
      <x:c r="T53" s="71" t="inlineStr">
        <x:is>
          <x:t xml:space="preserve">UNKNOWN</x:t>
        </x:is>
      </x:c>
      <x:c r="U53" s="71" t="str">
        <x:v>Contract-level return, financing obligations and path from RPO to positive owner cash</x:v>
      </x:c>
      <x:c r="V53" s="79" t="str">
        <x:f>IF(U53&lt;&gt;"","BLOCKED - FATAL UNKNOWN",IF(COUNTIF(O53:T53,"FAIL")&gt;0,"BLOCKED - FAIL",IF(COUNTIF(O53:T53,"UNKNOWN")&gt;0,"UNVALIDATED",IF(COUNTIF(O53:T53,"PASS")=6,"READY","UNVALIDATED"))))</x:f>
        <x:v>BLOCKED - FATAL UNKNOWN</x:v>
      </x:c>
      <x:c r="W53" s="71" t="inlineStr">
        <x:is>
          <x:t xml:space="preserve">P2</x:t>
        </x:is>
      </x:c>
      <x:c r="X53" s="71" t="str">
        <x:v>NO NEW BUY — prove the RPO-to-FCF funding bridge and normalized infrastructure return</x:v>
      </x:c>
      <x:c r="Y53" s="206" t="n">
        <x:v>46267</x:v>
      </x:c>
      <x:c r="Z53" s="206" t="n">
        <x:v>46274</x:v>
      </x:c>
      <x:c r="AA53" s="71" t="str">
        <x:v>V10.30 P2-A three-pass + contradiction log + PIT price + Dalio Test completed. Q4 revenue $19.2bn (+21%); cloud $9.9bn (+47%); IaaS $5.8bn (+93%); RPO $638bn (+363%); FY revenue $67.4bn (+17%) and operating cash $32bn, but FY FCF -$23.686bn with capital expenditures $55.663bn.</x:v>
      </x:c>
      <x:c r="AB53" s="57" t="inlineStr">
        <x:is>
          <x:t xml:space="preserve">WATCH — CAPITAL GATE</x:t>
        </x:is>
      </x:c>
      <x:c r="AC53" s="57" t="inlineStr">
        <x:is>
          <x:t xml:space="preserve">RPO/OCI growth is huge, but negative FCF makes economics funding-dependent.</x:t>
        </x:is>
      </x:c>
      <x:c r="AD53" s="57" t="inlineStr">
        <x:is>
          <x:t xml:space="preserve">Imported from ARGUS V10 Frozen Production Pilot</x:t>
        </x:is>
      </x:c>
      <x:c r="AE53" s="57" t="inlineStr">
        <x:is>
          <x:t xml:space="preserve">Development</x:t>
        </x:is>
      </x:c>
    </x:row>
    <x:row r="54">
      <x:c r="A54" s="57" t="inlineStr">
        <x:is>
          <x:t xml:space="preserve">ARG-049</x:t>
        </x:is>
      </x:c>
      <x:c r="B54" s="57" t="inlineStr">
        <x:is>
          <x:t xml:space="preserve">Salesforce</x:t>
        </x:is>
      </x:c>
      <x:c r="C54" s="57" t="inlineStr">
        <x:is>
          <x:t xml:space="preserve">CRM</x:t>
        </x:is>
      </x:c>
      <x:c r="D54" s="57" t="inlineStr">
        <x:is>
          <x:t xml:space="preserve">NYSE</x:t>
        </x:is>
      </x:c>
      <x:c r="E54" s="57" t="inlineStr">
        <x:is>
          <x:t xml:space="preserve">United States</x:t>
        </x:is>
      </x:c>
      <x:c r="F54" s="57" t="inlineStr">
        <x:is>
          <x:t xml:space="preserve">Software &amp; Payments</x:t>
        </x:is>
      </x:c>
      <x:c r="G54" s="57" t="inlineStr">
        <x:is>
          <x:t xml:space="preserve">Enterprise CRM platform</x:t>
        </x:is>
      </x:c>
      <x:c r="H54" s="57" t="inlineStr">
        <x:is>
          <x:t xml:space="preserve">Stewardship/SBC case</x:t>
        </x:is>
      </x:c>
      <x:c r="I54" s="57" t="inlineStr">
        <x:is>
          <x:t xml:space="preserve">Subscription workflows and platform expansion</x:t>
        </x:is>
      </x:c>
      <x:c r="J54" s="57" t="inlineStr">
        <x:is>
          <x:t xml:space="preserve">Owner earnings after SBC + reverse DCF</x:t>
        </x:is>
      </x:c>
      <x:c r="K54" s="57" t="inlineStr">
        <x:is>
          <x:t xml:space="preserve">V10 deep-watch exhibit</x:t>
        </x:is>
      </x:c>
      <x:c r="L54" s="57" t="inlineStr">
        <x:is>
          <x:t xml:space="preserve">https://investor.salesforce.com</x:t>
        </x:is>
      </x:c>
      <x:c r="M54" s="71" t="str">
        <x:v>P1 Deep Review V10.29</x:v>
      </x:c>
      <x:c r="N54" s="71" t="str">
        <x:v>Deep Review / Shadow</x:v>
      </x:c>
      <x:c r="O54" s="71" t="inlineStr">
        <x:is>
          <x:t xml:space="preserve">UNKNOWN</x:t>
        </x:is>
      </x:c>
      <x:c r="P54" s="71" t="inlineStr">
        <x:is>
          <x:t xml:space="preserve">UNKNOWN</x:t>
        </x:is>
      </x:c>
      <x:c r="Q54" s="71" t="inlineStr">
        <x:is>
          <x:t xml:space="preserve">UNKNOWN</x:t>
        </x:is>
      </x:c>
      <x:c r="R54" s="71" t="inlineStr">
        <x:is>
          <x:t xml:space="preserve">UNKNOWN</x:t>
        </x:is>
      </x:c>
      <x:c r="S54" s="71" t="inlineStr">
        <x:is>
          <x:t xml:space="preserve">UNKNOWN</x:t>
        </x:is>
      </x:c>
      <x:c r="T54" s="71" t="inlineStr">
        <x:is>
          <x:t xml:space="preserve">UNKNOWN</x:t>
        </x:is>
      </x:c>
      <x:c r="U54" s="71" t="str">
        <x:v>Organic versus acquired AI growth and clean per-share cash economics</x:v>
      </x:c>
      <x:c r="V54" s="79" t="str">
        <x:f>IF(U54&lt;&gt;"","BLOCKED - FATAL UNKNOWN",IF(COUNTIF(O54:T54,"FAIL")&gt;0,"BLOCKED - FAIL",IF(COUNTIF(O54:T54,"UNKNOWN")&gt;0,"UNVALIDATED",IF(COUNTIF(O54:T54,"PASS")=6,"READY","UNVALIDATED"))))</x:f>
        <x:v>BLOCKED - FATAL UNKNOWN</x:v>
      </x:c>
      <x:c r="W54" s="71" t="inlineStr">
        <x:is>
          <x:t xml:space="preserve">P1</x:t>
        </x:is>
      </x:c>
      <x:c r="X54" s="71" t="str">
        <x:v>DEEP WATCH — require organic paid AI and per-share FCF after SBC/debt</x:v>
      </x:c>
      <x:c r="Y54" s="206" t="n">
        <x:v>46267</x:v>
      </x:c>
      <x:c r="Z54" s="206" t="n">
        <x:v>46281</x:v>
      </x:c>
      <x:c r="AA54" s="71" t="str">
        <x:v>V10.29 three-pass + contradiction log + Dalio Test completed. Q2 revenue $11.35bn (+11%); cRPO $33.5bn (+14%); Data 360 + Agentforce ARR nearly $3.9bn (+210%); Agentforce ARR above $1.5bn; FY27 guide $46.1–46.4bn includes acquisition contribution.</x:v>
      </x:c>
      <x:c r="AB54" s="57" t="inlineStr">
        <x:is>
          <x:t xml:space="preserve">DEEP WATCH</x:t>
        </x:is>
      </x:c>
      <x:c r="AC54" s="57" t="inlineStr">
        <x:is>
          <x:t xml:space="preserve">cRPO improved, but inorganic growth, SBC and M&amp;A keep value close to price.</x:t>
        </x:is>
      </x:c>
      <x:c r="AD54" s="57" t="inlineStr">
        <x:is>
          <x:t xml:space="preserve">Imported from ARGUS V10 Frozen Production Pilot</x:t>
        </x:is>
      </x:c>
      <x:c r="AE54" s="57" t="inlineStr">
        <x:is>
          <x:t xml:space="preserve">Development</x:t>
        </x:is>
      </x:c>
    </x:row>
    <x:row r="55">
      <x:c r="A55" s="57" t="str">
        <x:v>ARG-050</x:v>
      </x:c>
      <x:c r="B55" s="57" t="str">
        <x:v>Apple</x:v>
      </x:c>
      <x:c r="C55" s="57" t="str">
        <x:v>AAPL</x:v>
      </x:c>
      <x:c r="D55" s="57" t="str">
        <x:v>NASDAQ</x:v>
      </x:c>
      <x:c r="E55" s="57" t="str">
        <x:v>United States</x:v>
      </x:c>
      <x:c r="F55" s="57" t="str">
        <x:v>Consumer</x:v>
      </x:c>
      <x:c r="G55" s="57" t="str">
        <x:v>Devices and services ecosystem</x:v>
      </x:c>
      <x:c r="H55" s="57" t="str">
        <x:v>Premium ecosystem</x:v>
      </x:c>
      <x:c r="I55" s="57" t="str">
        <x:v>Installed device base × replacement × services attach</x:v>
      </x:c>
      <x:c r="J55" s="57" t="str">
        <x:v>Owner earnings + reverse DCF</x:v>
      </x:c>
      <x:c r="K55" s="57" t="str">
        <x:v>Consumer-platform moat benchmark</x:v>
      </x:c>
      <x:c r="L55" s="57" t="str">
        <x:v>https://investor.apple.com</x:v>
      </x:c>
      <x:c r="M55" s="71" t="str">
        <x:v>P2-B Deep Review V10.31</x:v>
      </x:c>
      <x:c r="N55" s="71" t="str">
        <x:v>Deep Review / Shadow</x:v>
      </x:c>
      <x:c r="O55" s="71" t="str">
        <x:v>UNKNOWN</x:v>
      </x:c>
      <x:c r="P55" s="71" t="str">
        <x:v>UNKNOWN</x:v>
      </x:c>
      <x:c r="Q55" s="71" t="str">
        <x:v>UNKNOWN</x:v>
      </x:c>
      <x:c r="R55" s="71" t="str">
        <x:v>UNKNOWN</x:v>
      </x:c>
      <x:c r="S55" s="71" t="str">
        <x:v>UNKNOWN</x:v>
      </x:c>
      <x:c r="T55" s="71" t="str">
        <x:v>UNKNOWN</x:v>
      </x:c>
      <x:c r="U55" s="71" t="str">
        <x:v>Normalized post-tariff margin, China economics and incremental return on AI/R&amp;D plus buybacks</x:v>
      </x:c>
      <x:c r="V55" s="79" t="str">
        <x:v>BLOCKED - FATAL UNKNOWN</x:v>
      </x:c>
      <x:c r="W55" s="71" t="str">
        <x:v>P2</x:v>
      </x:c>
      <x:c r="X55" s="71" t="str">
        <x:v>WAIT FOR PRICE — strip tariff refunds and require durable Services/AI cash returns at a lower implied expectation</x:v>
      </x:c>
      <x:c r="Y55" s="206" t="n">
        <x:v>46267</x:v>
      </x:c>
      <x:c r="Z55" s="206" t="n">
        <x:v>46310</x:v>
      </x:c>
      <x:c r="AA55" s="71" t="str">
        <x:v>V10.31 P2-B three-pass + contradiction log + PIT price + Dalio Test completed. Fiscal Q3 revenue $109.4bn (+16%) and EPS $2.02 (+29%); gross margin 50.1%; records for total company, iPhone, Mac and Services; active-device installed base at a record. Tariff refunds contributed about two gross-margin points and $0.11 to EPS.</x:v>
      </x:c>
      <x:c r="AB55" s="57" t="str">
        <x:v>WAIT FOR PRICE</x:v>
      </x:c>
      <x:c r="AC55" s="57" t="str">
        <x:v>One of the strongest ecosystems; valuation requires premium durability.</x:v>
      </x:c>
      <x:c r="AD55" s="57" t="str">
        <x:v>Imported from ARGUS V10 Frozen Production Pilot</x:v>
      </x:c>
      <x:c r="AE55" s="57" t="str">
        <x:v>Development</x:v>
      </x:c>
    </x:row>
    <x:row r="56">
      <x:c r="A56" s="57" t="inlineStr">
        <x:is>
          <x:t xml:space="preserve">ARG-051</x:t>
        </x:is>
      </x:c>
      <x:c r="B56" s="57" t="inlineStr">
        <x:is>
          <x:t xml:space="preserve">DHT Holdings</x:t>
        </x:is>
      </x:c>
      <x:c r="C56" s="57" t="inlineStr">
        <x:is>
          <x:t xml:space="preserve">DHT</x:t>
        </x:is>
      </x:c>
      <x:c r="D56" s="57" t="inlineStr">
        <x:is>
          <x:t xml:space="preserve">NYSE</x:t>
        </x:is>
      </x:c>
      <x:c r="E56" s="57" t="inlineStr">
        <x:is>
          <x:t xml:space="preserve">Bermuda</x:t>
        </x:is>
      </x:c>
      <x:c r="F56" s="57" t="inlineStr">
        <x:is>
          <x:t xml:space="preserve">Shipping</x:t>
        </x:is>
      </x:c>
      <x:c r="G56" s="57" t="inlineStr">
        <x:is>
          <x:t xml:space="preserve">VLCC crude tankers</x:t>
        </x:is>
      </x:c>
      <x:c r="H56" s="57" t="inlineStr">
        <x:is>
          <x:t xml:space="preserve">Development cohort</x:t>
        </x:is>
      </x:c>
      <x:c r="I56" s="57" t="inlineStr">
        <x:is>
          <x:t xml:space="preserve">VLCC earning days × TCE − opex/capex/interest</x:t>
        </x:is>
      </x:c>
      <x:c r="J56" s="57" t="inlineStr">
        <x:is>
          <x:t xml:space="preserve">NAV + normalized TCE</x:t>
        </x:is>
      </x:c>
      <x:c r="K56" s="57" t="inlineStr">
        <x:is>
          <x:t xml:space="preserve">Adds shipping cycle and asset-value engine</x:t>
        </x:is>
      </x:c>
      <x:c r="L56" s="57" t="inlineStr">
        <x:is>
          <x:t xml:space="preserve">https://www.dhtankers.com/investor-relations</x:t>
        </x:is>
      </x:c>
      <x:c r="M56" s="71" t="str">
        <x:v>P1 Deep Review V10.29</x:v>
      </x:c>
      <x:c r="N56" s="71" t="str">
        <x:v>Blocked / Owner Test</x:v>
      </x:c>
      <x:c r="O56" s="71" t="inlineStr">
        <x:is>
          <x:t xml:space="preserve">UNKNOWN</x:t>
        </x:is>
      </x:c>
      <x:c r="P56" s="71" t="inlineStr">
        <x:is>
          <x:t xml:space="preserve">UNKNOWN</x:t>
        </x:is>
      </x:c>
      <x:c r="Q56" s="71" t="inlineStr">
        <x:is>
          <x:t xml:space="preserve">UNKNOWN</x:t>
        </x:is>
      </x:c>
      <x:c r="R56" s="71" t="inlineStr">
        <x:is>
          <x:t xml:space="preserve">UNKNOWN</x:t>
        </x:is>
      </x:c>
      <x:c r="S56" s="71" t="inlineStr">
        <x:is>
          <x:t xml:space="preserve">UNKNOWN</x:t>
        </x:is>
      </x:c>
      <x:c r="T56" s="71" t="inlineStr">
        <x:is>
          <x:t xml:space="preserve">UNKNOWN</x:t>
        </x:is>
      </x:c>
      <x:c r="U56" s="71" t="str">
        <x:v>Cycle-normalized TCE, fleet NAV and forward orderbook</x:v>
      </x:c>
      <x:c r="V56" s="79" t="str">
        <x:f>IF(U56&lt;&gt;"","BLOCKED - FATAL UNKNOWN",IF(COUNTIF(O56:T56,"FAIL")&gt;0,"BLOCKED - FAIL",IF(COUNTIF(O56:T56,"UNKNOWN")&gt;0,"UNVALIDATED",IF(COUNTIF(O56:T56,"PASS")=6,"READY","UNVALIDATED"))))</x:f>
        <x:v>BLOCKED - FATAL UNKNOWN</x:v>
      </x:c>
      <x:c r="W56" s="71" t="inlineStr">
        <x:is>
          <x:t xml:space="preserve">P1</x:t>
        </x:is>
      </x:c>
      <x:c r="X56" s="71" t="str">
        <x:v>SITUATIONAL ONLY — update NAV/TCE bands; do not extrapolate the dividend</x:v>
      </x:c>
      <x:c r="Y56" s="206" t="n">
        <x:v>46267</x:v>
      </x:c>
      <x:c r="Z56" s="206" t="n">
        <x:v>46274</x:v>
      </x:c>
      <x:c r="AA56" s="71" t="str">
        <x:v>V10.29 three-pass + contradiction log + Dalio Test completed. H1 shipping revenue $471.1m versus $246.1m; Q2 EPS about $1.23; dividend $1.22/share. Current cash generation reflects exceptionally strong VLCC rates.</x:v>
      </x:c>
      <x:c r="AB56" s="57" t="str"/>
      <x:c r="AC56" s="57" t="str"/>
      <x:c r="AD56" s="57" t="inlineStr">
        <x:is>
          <x:t xml:space="preserve">Global expansion seed</x:t>
        </x:is>
      </x:c>
      <x:c r="AE56" s="57" t="inlineStr">
        <x:is>
          <x:t xml:space="preserve">Development</x:t>
        </x:is>
      </x:c>
    </x:row>
    <x:row r="57">
      <x:c r="A57" s="57" t="str">
        <x:v>ARG-052</x:v>
      </x:c>
      <x:c r="B57" s="57" t="str">
        <x:v>UBS Group</x:v>
      </x:c>
      <x:c r="C57" s="57" t="str">
        <x:v>UBS</x:v>
      </x:c>
      <x:c r="D57" s="57" t="str">
        <x:v>NYSE</x:v>
      </x:c>
      <x:c r="E57" s="57" t="str">
        <x:v>Switzerland</x:v>
      </x:c>
      <x:c r="F57" s="57" t="str">
        <x:v>Banks</x:v>
      </x:c>
      <x:c r="G57" s="57" t="str">
        <x:v>Global wealth manager/bank</x:v>
      </x:c>
      <x:c r="H57" s="57" t="str">
        <x:v>Development cohort</x:v>
      </x:c>
      <x:c r="I57" s="57" t="str">
        <x:v>Wealth AUM, net new assets and banking spreads</x:v>
      </x:c>
      <x:c r="J57" s="57" t="str">
        <x:v>Tangible book + normalized earnings</x:v>
      </x:c>
      <x:c r="K57" s="57" t="str">
        <x:v>Adds wealth management and integration economics</x:v>
      </x:c>
      <x:c r="L57" s="57" t="str">
        <x:v>https://www.ubs.com/global/en/investor-relations.html</x:v>
      </x:c>
      <x:c r="M57" s="71" t="str">
        <x:v>P2-C Deep Review V10.32</x:v>
      </x:c>
      <x:c r="N57" s="71" t="str">
        <x:v>Deep Review / Shadow</x:v>
      </x:c>
      <x:c r="O57" s="71" t="str">
        <x:v>UNKNOWN</x:v>
      </x:c>
      <x:c r="P57" s="71" t="str">
        <x:v>UNKNOWN</x:v>
      </x:c>
      <x:c r="Q57" s="71" t="str">
        <x:v>UNKNOWN</x:v>
      </x:c>
      <x:c r="R57" s="71" t="str">
        <x:v>UNKNOWN</x:v>
      </x:c>
      <x:c r="S57" s="71" t="str">
        <x:v>UNKNOWN</x:v>
      </x:c>
      <x:c r="T57" s="71" t="str">
        <x:v>UNKNOWN</x:v>
      </x:c>
      <x:c r="U57" s="71" t="str">
        <x:v>Swiss capital end-state, Credit Suisse tail losses and post-integration cost/fee durability</x:v>
      </x:c>
      <x:c r="V57" s="79" t="str">
        <x:v>BLOCKED - FATAL UNKNOWN</x:v>
      </x:c>
      <x:c r="W57" s="71" t="str">
        <x:v>P2</x:v>
      </x:c>
      <x:c r="X57" s="71" t="str">
        <x:v>WATCH — require final Swiss capital rules, legacy-risk runoff and recurring wealth economics</x:v>
      </x:c>
      <x:c r="Y57" s="206" t="n">
        <x:v>46267</x:v>
      </x:c>
      <x:c r="Z57" s="206" t="n">
        <x:v>46323</x:v>
      </x:c>
      <x:c r="AA57" s="71" t="str">
        <x:v>V10.32 P2-C three-pass + contradiction log + PIT price + Dalio Test completed. Q2 PBT was $3.6bn, underlying PBT $3.9bn, net profit $2.8bn and RoCET1 15.4% (16.4% underlying). Revenue was $13.7bn, GWM net new assets $36bn, invested assets $7.3tn, CET1 14.4% and integration cost savings reached $12.6bn.</x:v>
      </x:c>
      <x:c r="AB57" s="57"/>
      <x:c r="AC57" s="57"/>
      <x:c r="AD57" s="57" t="str">
        <x:v>Global expansion seed</x:v>
      </x:c>
      <x:c r="AE57" s="57" t="str">
        <x:v>Development</x:v>
      </x:c>
    </x:row>
    <x:row r="58">
      <x:c r="A58" s="57" t="str">
        <x:v>ARG-053</x:v>
      </x:c>
      <x:c r="B58" s="57" t="str">
        <x:v>Munich Re</x:v>
      </x:c>
      <x:c r="C58" s="57" t="str">
        <x:v>MUV2</x:v>
      </x:c>
      <x:c r="D58" s="57" t="str">
        <x:v>XETRA</x:v>
      </x:c>
      <x:c r="E58" s="57" t="str">
        <x:v>Germany</x:v>
      </x:c>
      <x:c r="F58" s="57" t="str">
        <x:v>Insurance</x:v>
      </x:c>
      <x:c r="G58" s="57" t="str">
        <x:v>Global reinsurance</x:v>
      </x:c>
      <x:c r="H58" s="57" t="str">
        <x:v>Development cohort</x:v>
      </x:c>
      <x:c r="I58" s="57" t="str">
        <x:v>Risk pricing and investment income on float</x:v>
      </x:c>
      <x:c r="J58" s="57" t="str">
        <x:v>Book growth + normalized cycle earnings</x:v>
      </x:c>
      <x:c r="K58" s="57" t="str">
        <x:v>Adds global reinsurance and catastrophe cycle</x:v>
      </x:c>
      <x:c r="L58" s="57" t="str">
        <x:v>https://www.munichre.com/en/company/investors.html</x:v>
      </x:c>
      <x:c r="M58" s="71" t="str">
        <x:v>P2-C Deep Review V10.32</x:v>
      </x:c>
      <x:c r="N58" s="71" t="str">
        <x:v>Deep Review / Shadow</x:v>
      </x:c>
      <x:c r="O58" s="71" t="str">
        <x:v>UNKNOWN</x:v>
      </x:c>
      <x:c r="P58" s="71" t="str">
        <x:v>UNKNOWN</x:v>
      </x:c>
      <x:c r="Q58" s="71" t="str">
        <x:v>UNKNOWN</x:v>
      </x:c>
      <x:c r="R58" s="71" t="str">
        <x:v>UNKNOWN</x:v>
      </x:c>
      <x:c r="S58" s="71" t="str">
        <x:v>UNKNOWN</x:v>
      </x:c>
      <x:c r="T58" s="71" t="str">
        <x:v>UNKNOWN</x:v>
      </x:c>
      <x:c r="U58" s="71" t="str">
        <x:v>Normalized major-loss load, reserve conservatism and renewal-price adequacy</x:v>
      </x:c>
      <x:c r="V58" s="79" t="str">
        <x:v>BLOCKED - FATAL UNKNOWN</x:v>
      </x:c>
      <x:c r="W58" s="71" t="str">
        <x:v>P2</x:v>
      </x:c>
      <x:c r="X58" s="71" t="str">
        <x:v>WATCH — normalize catastrophe, reserve and investment results across a full insurance cycle</x:v>
      </x:c>
      <x:c r="Y58" s="206" t="n">
        <x:v>46267</x:v>
      </x:c>
      <x:c r="Z58" s="206" t="n">
        <x:v>46336</x:v>
      </x:c>
      <x:c r="AA58" s="71" t="str">
        <x:v>V10.32 P2-C three-pass + contradiction log + PIT price + Dalio Test completed. Q2 net result was €2.211bn and H1 €3.925bn; solvency ratio was 304% and H1 ROE 23.0%. P&amp;C reinsurance combined ratio was 68.9% because major-loss expenditure was 4.9% versus an 18% expectation; July risk-adjusted pricing fell 5.5% and volume 9.1%. FY net-result guidance stayed €6.3bn.</x:v>
      </x:c>
      <x:c r="AB58" s="57"/>
      <x:c r="AC58" s="57"/>
      <x:c r="AD58" s="57" t="str">
        <x:v>Global expansion seed</x:v>
      </x:c>
      <x:c r="AE58" s="57" t="str">
        <x:v>Development</x:v>
      </x:c>
    </x:row>
    <x:row r="59">
      <x:c r="A59" s="57" t="str">
        <x:v>ARG-054</x:v>
      </x:c>
      <x:c r="B59" s="57" t="str">
        <x:v>Eli Lilly</x:v>
      </x:c>
      <x:c r="C59" s="57" t="str">
        <x:v>LLY</x:v>
      </x:c>
      <x:c r="D59" s="57" t="str">
        <x:v>NYSE</x:v>
      </x:c>
      <x:c r="E59" s="57" t="str">
        <x:v>United States</x:v>
      </x:c>
      <x:c r="F59" s="57" t="str">
        <x:v>Healthcare &amp; Biopharma</x:v>
      </x:c>
      <x:c r="G59" s="57" t="str">
        <x:v>Innovative pharma</x:v>
      </x:c>
      <x:c r="H59" s="57" t="str">
        <x:v>Development cohort</x:v>
      </x:c>
      <x:c r="I59" s="57" t="str">
        <x:v>Product volume/net price/capacity plus pipeline</x:v>
      </x:c>
      <x:c r="J59" s="57" t="str">
        <x:v>Product DCF + rNPV</x:v>
      </x:c>
      <x:c r="K59" s="57" t="str">
        <x:v>Adds high-growth pharma and pipeline risk</x:v>
      </x:c>
      <x:c r="L59" s="57" t="str">
        <x:v>https://investor.lilly.com</x:v>
      </x:c>
      <x:c r="M59" s="71" t="str">
        <x:v>P2-B Deep Review V10.31</x:v>
      </x:c>
      <x:c r="N59" s="71" t="str">
        <x:v>Deep Review / Shadow</x:v>
      </x:c>
      <x:c r="O59" s="71" t="str">
        <x:v>UNKNOWN</x:v>
      </x:c>
      <x:c r="P59" s="71" t="str">
        <x:v>UNKNOWN</x:v>
      </x:c>
      <x:c r="Q59" s="71" t="str">
        <x:v>UNKNOWN</x:v>
      </x:c>
      <x:c r="R59" s="71" t="str">
        <x:v>UNKNOWN</x:v>
      </x:c>
      <x:c r="S59" s="71" t="str">
        <x:v>UNKNOWN</x:v>
      </x:c>
      <x:c r="T59" s="71" t="str">
        <x:v>UNKNOWN</x:v>
      </x:c>
      <x:c r="U59" s="71" t="str">
        <x:v>Net-price durability, product concentration and cohort returns on manufacturing plus seven acquisitions</x:v>
      </x:c>
      <x:c r="V59" s="79" t="str">
        <x:v>BLOCKED - FATAL UNKNOWN</x:v>
      </x:c>
      <x:c r="W59" s="71" t="str">
        <x:v>P2</x:v>
      </x:c>
      <x:c r="X59" s="71" t="str">
        <x:v>WAIT FOR PRICE — require concentration, net-price and acquisition/capacity returns in a probability-weighted value range</x:v>
      </x:c>
      <x:c r="Y59" s="206" t="n">
        <x:v>46267</x:v>
      </x:c>
      <x:c r="Z59" s="206" t="n">
        <x:v>46288</x:v>
      </x:c>
      <x:c r="AA59" s="71" t="str">
        <x:v>V10.31 P2-B three-pass + contradiction log + PIT price + Dalio Test completed. Q2 revenue $22.974bn (+48%); volume +60% and realized prices -13%; Mounjaro $9.943bn (+91%) and Zepbound $4.928bn (+46%); gross margin 85.8%; R&amp;D $3.819bn; acquired IPR&amp;D $2.776bn; net income $7.095bn and EPS $7.94; four Q2 acquisitions plus three after quarter and another $4.5bn Indiana manufacturing commitment.</x:v>
      </x:c>
      <x:c r="AB59" s="57"/>
      <x:c r="AC59" s="57"/>
      <x:c r="AD59" s="57" t="str">
        <x:v>Global expansion seed</x:v>
      </x:c>
      <x:c r="AE59" s="57" t="str">
        <x:v>Development</x:v>
      </x:c>
    </x:row>
    <x:row r="60">
      <x:c r="A60" s="57" t="str">
        <x:v>ARG-055</x:v>
      </x:c>
      <x:c r="B60" s="57" t="str">
        <x:v>Costco Wholesale</x:v>
      </x:c>
      <x:c r="C60" s="57" t="str">
        <x:v>COST</x:v>
      </x:c>
      <x:c r="D60" s="57" t="str">
        <x:v>NASDAQ</x:v>
      </x:c>
      <x:c r="E60" s="57" t="str">
        <x:v>United States</x:v>
      </x:c>
      <x:c r="F60" s="57" t="str">
        <x:v>Consumer</x:v>
      </x:c>
      <x:c r="G60" s="57" t="str">
        <x:v>Membership retail</x:v>
      </x:c>
      <x:c r="H60" s="57" t="str">
        <x:v>Development cohort</x:v>
      </x:c>
      <x:c r="I60" s="57" t="str">
        <x:v>Membership renewal + traffic + scale economics</x:v>
      </x:c>
      <x:c r="J60" s="57" t="str">
        <x:v>Owner earnings + reverse DCF</x:v>
      </x:c>
      <x:c r="K60" s="57" t="str">
        <x:v>Adds membership/retail quality-versus-price test</x:v>
      </x:c>
      <x:c r="L60" s="57" t="str">
        <x:v>https://investor.costco.com</x:v>
      </x:c>
      <x:c r="M60" s="71" t="str">
        <x:v>P2-B Deep Review V10.31</x:v>
      </x:c>
      <x:c r="N60" s="71" t="str">
        <x:v>Deep Review / Shadow</x:v>
      </x:c>
      <x:c r="O60" s="71" t="str">
        <x:v>UNKNOWN</x:v>
      </x:c>
      <x:c r="P60" s="71" t="str">
        <x:v>UNKNOWN</x:v>
      </x:c>
      <x:c r="Q60" s="71" t="str">
        <x:v>UNKNOWN</x:v>
      </x:c>
      <x:c r="R60" s="71" t="str">
        <x:v>UNKNOWN</x:v>
      </x:c>
      <x:c r="S60" s="71" t="str">
        <x:v>UNKNOWN</x:v>
      </x:c>
      <x:c r="T60" s="71" t="str">
        <x:v>UNKNOWN</x:v>
      </x:c>
      <x:c r="U60" s="71" t="str">
        <x:v>Conservative entry value using normalized warehouse returns, wage/shrink and capex</x:v>
      </x:c>
      <x:c r="V60" s="79" t="str">
        <x:v>BLOCKED - FATAL UNKNOWN</x:v>
      </x:c>
      <x:c r="W60" s="71" t="str">
        <x:v>P2</x:v>
      </x:c>
      <x:c r="X60" s="71" t="str">
        <x:v>WAIT FOR PRICE — preserve the franchise assessment but require a materially lower expectation burden</x:v>
      </x:c>
      <x:c r="Y60" s="206" t="n">
        <x:v>46267</x:v>
      </x:c>
      <x:c r="Z60" s="206" t="n">
        <x:v>46289</x:v>
      </x:c>
      <x:c r="AA60" s="71" t="str">
        <x:v>V10.31 P2-B three-pass + contradiction log + PIT price + Dalio Test completed. Fiscal Q3 net sales $69.154bn (+11.6%); adjusted comparable sales +6.6% and digitally enabled comps +20.8%; membership fees $1.373bn versus $1.240bn; net income $2.192bn and EPS $4.93; cash $18.946bn; 36-week CFO $11.133bn less $4.228bn capex; repurchases $603m.</x:v>
      </x:c>
      <x:c r="AB60" s="57"/>
      <x:c r="AC60" s="57"/>
      <x:c r="AD60" s="57" t="str">
        <x:v>Global expansion seed</x:v>
      </x:c>
      <x:c r="AE60" s="57" t="str">
        <x:v>Development</x:v>
      </x:c>
    </x:row>
    <x:row r="61">
      <x:c r="A61" s="57" t="str">
        <x:v>ARG-056</x:v>
      </x:c>
      <x:c r="B61" s="57" t="str">
        <x:v>Caterpillar</x:v>
      </x:c>
      <x:c r="C61" s="57" t="str">
        <x:v>CAT</x:v>
      </x:c>
      <x:c r="D61" s="57" t="str">
        <x:v>NYSE</x:v>
      </x:c>
      <x:c r="E61" s="57" t="str">
        <x:v>United States</x:v>
      </x:c>
      <x:c r="F61" s="57" t="str">
        <x:v>Industrials &amp; Defense</x:v>
      </x:c>
      <x:c r="G61" s="57" t="str">
        <x:v>Heavy equipment</x:v>
      </x:c>
      <x:c r="H61" s="57" t="str">
        <x:v>Development cohort</x:v>
      </x:c>
      <x:c r="I61" s="57" t="str">
        <x:v>Equipment demand plus parts/services annuity</x:v>
      </x:c>
      <x:c r="J61" s="57" t="str">
        <x:v>Mid-cycle FCF + replacement value</x:v>
      </x:c>
      <x:c r="K61" s="57" t="str">
        <x:v>Adds industrial cycle and installed-base moat</x:v>
      </x:c>
      <x:c r="L61" s="57" t="str">
        <x:v>https://investors.caterpillar.com</x:v>
      </x:c>
      <x:c r="M61" s="71" t="str">
        <x:v>P2-C Deep Review V10.32</x:v>
      </x:c>
      <x:c r="N61" s="71" t="str">
        <x:v>Deep Review / Shadow</x:v>
      </x:c>
      <x:c r="O61" s="71" t="str">
        <x:v>UNKNOWN</x:v>
      </x:c>
      <x:c r="P61" s="71" t="str">
        <x:v>UNKNOWN</x:v>
      </x:c>
      <x:c r="Q61" s="71" t="str">
        <x:v>UNKNOWN</x:v>
      </x:c>
      <x:c r="R61" s="71" t="str">
        <x:v>UNKNOWN</x:v>
      </x:c>
      <x:c r="S61" s="71" t="str">
        <x:v>UNKNOWN</x:v>
      </x:c>
      <x:c r="T61" s="71" t="str">
        <x:v>UNKNOWN</x:v>
      </x:c>
      <x:c r="U61" s="71" t="str">
        <x:v>Mid-cycle segment margins, dealer inventory quality and Cat Financial stress losses</x:v>
      </x:c>
      <x:c r="V61" s="79" t="str">
        <x:v>BLOCKED - FATAL UNKNOWN</x:v>
      </x:c>
      <x:c r="W61" s="71" t="str">
        <x:v>P2</x:v>
      </x:c>
      <x:c r="X61" s="71" t="str">
        <x:v>WAIT FOR PRICE — underwrite trough dealer inventory, finance losses and mid-cycle margins</x:v>
      </x:c>
      <x:c r="Y61" s="206" t="n">
        <x:v>46267</x:v>
      </x:c>
      <x:c r="Z61" s="206" t="n">
        <x:v>46324</x:v>
      </x:c>
      <x:c r="AA61" s="71" t="str">
        <x:v>V10.32 P2-C three-pass + contradiction log + PIT price + Dalio Test completed. Q2 sales and revenue rose 24% to $20.5bn, operating margin was 20.9%, adjusted margin 21.9%, EPS $7.77 and adjusted EPS $8.17. Enterprise operating cash flow was $4.4bn and $2.2bn went to repurchases and dividends.</x:v>
      </x:c>
      <x:c r="AB61" s="57"/>
      <x:c r="AC61" s="57"/>
      <x:c r="AD61" s="57" t="str">
        <x:v>Global expansion seed</x:v>
      </x:c>
      <x:c r="AE61" s="57" t="str">
        <x:v>Development</x:v>
      </x:c>
    </x:row>
    <x:row r="62">
      <x:c r="A62" s="57" t="str">
        <x:v>ARG-057</x:v>
      </x:c>
      <x:c r="B62" s="57" t="str">
        <x:v>BHP Group</x:v>
      </x:c>
      <x:c r="C62" s="57" t="str">
        <x:v>BHP</x:v>
      </x:c>
      <x:c r="D62" s="57" t="str">
        <x:v>NYSE ADR</x:v>
      </x:c>
      <x:c r="E62" s="57" t="str">
        <x:v>Australia</x:v>
      </x:c>
      <x:c r="F62" s="57" t="str">
        <x:v>Materials &amp; Mining</x:v>
      </x:c>
      <x:c r="G62" s="57" t="str">
        <x:v>Diversified mining</x:v>
      </x:c>
      <x:c r="H62" s="57" t="str">
        <x:v>Development cohort</x:v>
      </x:c>
      <x:c r="I62" s="57" t="str">
        <x:v>Commodity volume × price − unit cost/sustaining capex</x:v>
      </x:c>
      <x:c r="J62" s="57" t="str">
        <x:v>Asset NAV + mid-cycle FCF</x:v>
      </x:c>
      <x:c r="K62" s="57" t="str">
        <x:v>Adds global mining and cost-curve logic</x:v>
      </x:c>
      <x:c r="L62" s="57" t="str">
        <x:v>https://www.bhp.com/investors</x:v>
      </x:c>
      <x:c r="M62" s="71" t="str">
        <x:v>P2-C Deep Review V10.32</x:v>
      </x:c>
      <x:c r="N62" s="71" t="str">
        <x:v>Deep Review / Shadow</x:v>
      </x:c>
      <x:c r="O62" s="71" t="str">
        <x:v>UNKNOWN</x:v>
      </x:c>
      <x:c r="P62" s="71" t="str">
        <x:v>UNKNOWN</x:v>
      </x:c>
      <x:c r="Q62" s="71" t="str">
        <x:v>UNKNOWN</x:v>
      </x:c>
      <x:c r="R62" s="71" t="str">
        <x:v>UNKNOWN</x:v>
      </x:c>
      <x:c r="S62" s="71" t="str">
        <x:v>UNKNOWN</x:v>
      </x:c>
      <x:c r="T62" s="71" t="str">
        <x:v>UNKNOWN</x:v>
      </x:c>
      <x:c r="U62" s="71" t="str">
        <x:v>Long-run price deck, Jansen/copper-project returns and jurisdiction-adjusted liabilities</x:v>
      </x:c>
      <x:c r="V62" s="79" t="str">
        <x:v>BLOCKED - FATAL UNKNOWN</x:v>
      </x:c>
      <x:c r="W62" s="71" t="str">
        <x:v>P2</x:v>
      </x:c>
      <x:c r="X62" s="71" t="str">
        <x:v>WATCH — use long-run copper/iron-ore prices and full project/tailings capital</x:v>
      </x:c>
      <x:c r="Y62" s="206" t="n">
        <x:v>46267</x:v>
      </x:c>
      <x:c r="Z62" s="206" t="n">
        <x:v>46343</x:v>
      </x:c>
      <x:c r="AA62" s="71" t="str">
        <x:v>V10.32 P2-C three-pass + contradiction log + PIT price + Dalio Test completed. FY26 underlying EBITDA was about $33bn (+27%) with an almost 60% margin, FCF $9.8bn (+83%), net operating cash flow $21.8bn and attributable profit $9.8bn. Copper generated more than $18bn EBITDA at a 70% margin; net debt fell to about $8.7bn.</x:v>
      </x:c>
      <x:c r="AB62" s="57"/>
      <x:c r="AC62" s="57"/>
      <x:c r="AD62" s="57" t="str">
        <x:v>Global expansion seed</x:v>
      </x:c>
      <x:c r="AE62" s="57" t="str">
        <x:v>Development</x:v>
      </x:c>
    </x:row>
    <x:row r="63">
      <x:c r="A63" s="57" t="inlineStr">
        <x:is>
          <x:t xml:space="preserve">ARG-058</x:t>
        </x:is>
      </x:c>
      <x:c r="B63" s="57" t="inlineStr">
        <x:is>
          <x:t xml:space="preserve">Prologis</x:t>
        </x:is>
      </x:c>
      <x:c r="C63" s="57" t="inlineStr">
        <x:is>
          <x:t xml:space="preserve">PLD</x:t>
        </x:is>
      </x:c>
      <x:c r="D63" s="57" t="inlineStr">
        <x:is>
          <x:t xml:space="preserve">NYSE</x:t>
        </x:is>
      </x:c>
      <x:c r="E63" s="57" t="inlineStr">
        <x:is>
          <x:t xml:space="preserve">United States</x:t>
        </x:is>
      </x:c>
      <x:c r="F63" s="57" t="inlineStr">
        <x:is>
          <x:t xml:space="preserve">Real Estate &amp; Telecom</x:t>
        </x:is>
      </x:c>
      <x:c r="G63" s="57" t="inlineStr">
        <x:is>
          <x:t xml:space="preserve">Logistics REIT</x:t>
        </x:is>
      </x:c>
      <x:c r="H63" s="57" t="inlineStr">
        <x:is>
          <x:t xml:space="preserve">Development cohort</x:t>
        </x:is>
      </x:c>
      <x:c r="I63" s="57" t="inlineStr">
        <x:is>
          <x:t xml:space="preserve">Occupancy/rent growth/development spreads minus financing</x:t>
        </x:is>
      </x:c>
      <x:c r="J63" s="57" t="inlineStr">
        <x:is>
          <x:t xml:space="preserve">NAV + AFFO</x:t>
        </x:is>
      </x:c>
      <x:c r="K63" s="57" t="inlineStr">
        <x:is>
          <x:t xml:space="preserve">Adds real assets and refinancing sensitivity</x:t>
        </x:is>
      </x:c>
      <x:c r="L63" s="57" t="inlineStr">
        <x:is>
          <x:t xml:space="preserve">https://ir.prologis.com</x:t>
        </x:is>
      </x:c>
      <x:c r="M63" s="71" t="inlineStr">
        <x:is>
          <x:t xml:space="preserve">Seeded</x:t>
        </x:is>
      </x:c>
      <x:c r="N63" s="71" t="inlineStr">
        <x:is>
          <x:t xml:space="preserve">Unknown / Insufficiently Understood</x:t>
        </x:is>
      </x:c>
      <x:c r="O63" s="71" t="inlineStr">
        <x:is>
          <x:t xml:space="preserve">UNKNOWN</x:t>
        </x:is>
      </x:c>
      <x:c r="P63" s="71" t="inlineStr">
        <x:is>
          <x:t xml:space="preserve">UNKNOWN</x:t>
        </x:is>
      </x:c>
      <x:c r="Q63" s="71" t="inlineStr">
        <x:is>
          <x:t xml:space="preserve">UNKNOWN</x:t>
        </x:is>
      </x:c>
      <x:c r="R63" s="71" t="inlineStr">
        <x:is>
          <x:t xml:space="preserve">UNKNOWN</x:t>
        </x:is>
      </x:c>
      <x:c r="S63" s="71" t="inlineStr">
        <x:is>
          <x:t xml:space="preserve">UNKNOWN</x:t>
        </x:is>
      </x:c>
      <x:c r="T63" s="71" t="inlineStr">
        <x:is>
          <x:t xml:space="preserve">UNKNOWN</x:t>
        </x:is>
      </x:c>
      <x:c r="U63" s="71" t="inlineStr">
        <x:is>
          <x:t xml:space="preserve">Evidence pack and 10 historical cutoffs not yet completed</x:t>
        </x:is>
      </x:c>
      <x:c r="V63" s="79" t="str">
        <x:f>IF(U63&lt;&gt;"","BLOCKED - FATAL UNKNOWN",IF(COUNTIF(O63:T63,"FAIL")&gt;0,"BLOCKED - FAIL",IF(COUNTIF(O63:T63,"UNKNOWN")&gt;0,"UNVALIDATED",IF(COUNTIF(O63:T63,"PASS")=6,"READY","UNVALIDATED"))))</x:f>
        <x:v>BLOCKED - FATAL UNKNOWN</x:v>
      </x:c>
      <x:c r="W63" s="71" t="inlineStr">
        <x:is>
          <x:t xml:space="preserve">P3</x:t>
        </x:is>
      </x:c>
      <x:c r="X63" s="71" t="inlineStr">
        <x:is>
          <x:t xml:space="preserve">Collect primary filings; choose 10 eligible historical cutoffs; identify control company</x:t>
        </x:is>
      </x:c>
      <x:c r="Y63" s="206" t="n">
        <x:v>46264</x:v>
      </x:c>
      <x:c r="Z63" s="206" t="n">
        <x:v>46299</x:v>
      </x:c>
      <x:c r="AA63" s="71" t="inlineStr">
        <x:is>
          <x:t xml:space="preserve">Not an investment recommendation.</x:t>
        </x:is>
      </x:c>
      <x:c r="AB63" s="57" t="str"/>
      <x:c r="AC63" s="57" t="str"/>
      <x:c r="AD63" s="57" t="inlineStr">
        <x:is>
          <x:t xml:space="preserve">Global expansion seed</x:t>
        </x:is>
      </x:c>
      <x:c r="AE63" s="57" t="inlineStr">
        <x:is>
          <x:t xml:space="preserve">Development</x:t>
        </x:is>
      </x:c>
    </x:row>
    <x:row r="64">
      <x:c r="A64" s="57" t="inlineStr">
        <x:is>
          <x:t xml:space="preserve">ARG-059</x:t>
        </x:is>
      </x:c>
      <x:c r="B64" s="57" t="inlineStr">
        <x:is>
          <x:t xml:space="preserve">Union Pacific</x:t>
        </x:is>
      </x:c>
      <x:c r="C64" s="57" t="inlineStr">
        <x:is>
          <x:t xml:space="preserve">UNP</x:t>
        </x:is>
      </x:c>
      <x:c r="D64" s="57" t="inlineStr">
        <x:is>
          <x:t xml:space="preserve">NYSE</x:t>
        </x:is>
      </x:c>
      <x:c r="E64" s="57" t="inlineStr">
        <x:is>
          <x:t xml:space="preserve">United States</x:t>
        </x:is>
      </x:c>
      <x:c r="F64" s="57" t="inlineStr">
        <x:is>
          <x:t xml:space="preserve">Transportation</x:t>
        </x:is>
      </x:c>
      <x:c r="G64" s="57" t="inlineStr">
        <x:is>
          <x:t xml:space="preserve">Railroad</x:t>
        </x:is>
      </x:c>
      <x:c r="H64" s="57" t="inlineStr">
        <x:is>
          <x:t xml:space="preserve">Development cohort</x:t>
        </x:is>
      </x:c>
      <x:c r="I64" s="57" t="inlineStr">
        <x:is>
          <x:t xml:space="preserve">Carloads × yield − labor/fuel/network capital</x:t>
        </x:is>
      </x:c>
      <x:c r="J64" s="57" t="inlineStr">
        <x:is>
          <x:t xml:space="preserve">Normalized FCF + replacement value</x:t>
        </x:is>
      </x:c>
      <x:c r="K64" s="57" t="inlineStr">
        <x:is>
          <x:t xml:space="preserve">Adds network transport economics</x:t>
        </x:is>
      </x:c>
      <x:c r="L64" s="57" t="inlineStr">
        <x:is>
          <x:t xml:space="preserve">https://investor.unionpacific.com</x:t>
        </x:is>
      </x:c>
      <x:c r="M64" s="71" t="inlineStr">
        <x:is>
          <x:t xml:space="preserve">Seeded</x:t>
        </x:is>
      </x:c>
      <x:c r="N64" s="71" t="inlineStr">
        <x:is>
          <x:t xml:space="preserve">Unknown / Insufficiently Understood</x:t>
        </x:is>
      </x:c>
      <x:c r="O64" s="71" t="inlineStr">
        <x:is>
          <x:t xml:space="preserve">UNKNOWN</x:t>
        </x:is>
      </x:c>
      <x:c r="P64" s="71" t="inlineStr">
        <x:is>
          <x:t xml:space="preserve">UNKNOWN</x:t>
        </x:is>
      </x:c>
      <x:c r="Q64" s="71" t="inlineStr">
        <x:is>
          <x:t xml:space="preserve">UNKNOWN</x:t>
        </x:is>
      </x:c>
      <x:c r="R64" s="71" t="inlineStr">
        <x:is>
          <x:t xml:space="preserve">UNKNOWN</x:t>
        </x:is>
      </x:c>
      <x:c r="S64" s="71" t="inlineStr">
        <x:is>
          <x:t xml:space="preserve">UNKNOWN</x:t>
        </x:is>
      </x:c>
      <x:c r="T64" s="71" t="inlineStr">
        <x:is>
          <x:t xml:space="preserve">UNKNOWN</x:t>
        </x:is>
      </x:c>
      <x:c r="U64" s="71" t="inlineStr">
        <x:is>
          <x:t xml:space="preserve">Evidence pack and 10 historical cutoffs not yet completed</x:t>
        </x:is>
      </x:c>
      <x:c r="V64" s="79" t="str">
        <x:f>IF(U64&lt;&gt;"","BLOCKED - FATAL UNKNOWN",IF(COUNTIF(O64:T64,"FAIL")&gt;0,"BLOCKED - FAIL",IF(COUNTIF(O64:T64,"UNKNOWN")&gt;0,"UNVALIDATED",IF(COUNTIF(O64:T64,"PASS")=6,"READY","UNVALIDATED"))))</x:f>
        <x:v>BLOCKED - FATAL UNKNOWN</x:v>
      </x:c>
      <x:c r="W64" s="71" t="inlineStr">
        <x:is>
          <x:t xml:space="preserve">P3</x:t>
        </x:is>
      </x:c>
      <x:c r="X64" s="71" t="inlineStr">
        <x:is>
          <x:t xml:space="preserve">Collect primary filings; choose 10 eligible historical cutoffs; identify control company</x:t>
        </x:is>
      </x:c>
      <x:c r="Y64" s="206" t="n">
        <x:v>46264</x:v>
      </x:c>
      <x:c r="Z64" s="206" t="n">
        <x:v>46299</x:v>
      </x:c>
      <x:c r="AA64" s="71" t="inlineStr">
        <x:is>
          <x:t xml:space="preserve">Not an investment recommendation.</x:t>
        </x:is>
      </x:c>
      <x:c r="AB64" s="57" t="str"/>
      <x:c r="AC64" s="57" t="str"/>
      <x:c r="AD64" s="57" t="inlineStr">
        <x:is>
          <x:t xml:space="preserve">Global expansion seed</x:t>
        </x:is>
      </x:c>
      <x:c r="AE64" s="57" t="inlineStr">
        <x:is>
          <x:t xml:space="preserve">Development</x:t>
        </x:is>
      </x:c>
    </x:row>
    <x:row r="65">
      <x:c r="A65" s="57" t="inlineStr">
        <x:is>
          <x:t xml:space="preserve">ARG-060</x:t>
        </x:is>
      </x:c>
      <x:c r="B65" s="57" t="inlineStr">
        <x:is>
          <x:t xml:space="preserve">Palo Alto Networks</x:t>
        </x:is>
      </x:c>
      <x:c r="C65" s="57" t="inlineStr">
        <x:is>
          <x:t xml:space="preserve">PANW</x:t>
        </x:is>
      </x:c>
      <x:c r="D65" s="57" t="inlineStr">
        <x:is>
          <x:t xml:space="preserve">NASDAQ</x:t>
        </x:is>
      </x:c>
      <x:c r="E65" s="57" t="inlineStr">
        <x:is>
          <x:t xml:space="preserve">United States</x:t>
        </x:is>
      </x:c>
      <x:c r="F65" s="57" t="inlineStr">
        <x:is>
          <x:t xml:space="preserve">Cybersecurity</x:t>
        </x:is>
      </x:c>
      <x:c r="G65" s="57" t="inlineStr">
        <x:is>
          <x:t xml:space="preserve">Cybersecurity platform</x:t>
        </x:is>
      </x:c>
      <x:c r="H65" s="57" t="inlineStr">
        <x:is>
          <x:t xml:space="preserve">Development cohort</x:t>
        </x:is>
      </x:c>
      <x:c r="I65" s="57" t="inlineStr">
        <x:is>
          <x:t xml:space="preserve">ARR/platform attach/retention minus SBC and sales investment</x:t>
        </x:is>
      </x:c>
      <x:c r="J65" s="57" t="inlineStr">
        <x:is>
          <x:t xml:space="preserve">Owner earnings + reverse DCF</x:t>
        </x:is>
      </x:c>
      <x:c r="K65" s="57" t="inlineStr">
        <x:is>
          <x:t xml:space="preserve">Adds cyber platform-consolidation test</x:t>
        </x:is>
      </x:c>
      <x:c r="L65" s="57" t="inlineStr">
        <x:is>
          <x:t xml:space="preserve">https://investors.paloaltonetworks.com</x:t>
        </x:is>
      </x:c>
      <x:c r="M65" s="71" t="inlineStr">
        <x:is>
          <x:t xml:space="preserve">Seeded</x:t>
        </x:is>
      </x:c>
      <x:c r="N65" s="71" t="inlineStr">
        <x:is>
          <x:t xml:space="preserve">Unknown / Insufficiently Understood</x:t>
        </x:is>
      </x:c>
      <x:c r="O65" s="71" t="inlineStr">
        <x:is>
          <x:t xml:space="preserve">UNKNOWN</x:t>
        </x:is>
      </x:c>
      <x:c r="P65" s="71" t="inlineStr">
        <x:is>
          <x:t xml:space="preserve">UNKNOWN</x:t>
        </x:is>
      </x:c>
      <x:c r="Q65" s="71" t="inlineStr">
        <x:is>
          <x:t xml:space="preserve">UNKNOWN</x:t>
        </x:is>
      </x:c>
      <x:c r="R65" s="71" t="inlineStr">
        <x:is>
          <x:t xml:space="preserve">UNKNOWN</x:t>
        </x:is>
      </x:c>
      <x:c r="S65" s="71" t="inlineStr">
        <x:is>
          <x:t xml:space="preserve">UNKNOWN</x:t>
        </x:is>
      </x:c>
      <x:c r="T65" s="71" t="inlineStr">
        <x:is>
          <x:t xml:space="preserve">UNKNOWN</x:t>
        </x:is>
      </x:c>
      <x:c r="U65" s="71" t="inlineStr">
        <x:is>
          <x:t xml:space="preserve">Evidence pack and 10 historical cutoffs not yet completed</x:t>
        </x:is>
      </x:c>
      <x:c r="V65" s="79" t="str">
        <x:f>IF(U65&lt;&gt;"","BLOCKED - FATAL UNKNOWN",IF(COUNTIF(O65:T65,"FAIL")&gt;0,"BLOCKED - FAIL",IF(COUNTIF(O65:T65,"UNKNOWN")&gt;0,"UNVALIDATED",IF(COUNTIF(O65:T65,"PASS")=6,"READY","UNVALIDATED"))))</x:f>
        <x:v>BLOCKED - FATAL UNKNOWN</x:v>
      </x:c>
      <x:c r="W65" s="71" t="inlineStr">
        <x:is>
          <x:t xml:space="preserve">P3</x:t>
        </x:is>
      </x:c>
      <x:c r="X65" s="71" t="inlineStr">
        <x:is>
          <x:t xml:space="preserve">Collect primary filings; choose 10 eligible historical cutoffs; identify control company</x:t>
        </x:is>
      </x:c>
      <x:c r="Y65" s="206" t="n">
        <x:v>46264</x:v>
      </x:c>
      <x:c r="Z65" s="206" t="n">
        <x:v>46299</x:v>
      </x:c>
      <x:c r="AA65" s="71" t="inlineStr">
        <x:is>
          <x:t xml:space="preserve">Not an investment recommendation.</x:t>
        </x:is>
      </x:c>
      <x:c r="AB65" s="57" t="str"/>
      <x:c r="AC65" s="57" t="str"/>
      <x:c r="AD65" s="57" t="inlineStr">
        <x:is>
          <x:t xml:space="preserve">Global expansion seed</x:t>
        </x:is>
      </x:c>
      <x:c r="AE65" s="57" t="inlineStr">
        <x:is>
          <x:t xml:space="preserve">Development</x:t>
        </x:is>
      </x:c>
    </x:row>
    <x:row r="66">
      <x:c r="A66" s="57" t="inlineStr">
        <x:is>
          <x:t xml:space="preserve">ARG-061</x:t>
        </x:is>
      </x:c>
      <x:c r="B66" s="57" t="inlineStr">
        <x:is>
          <x:t xml:space="preserve">Scorpio Tankers</x:t>
        </x:is>
      </x:c>
      <x:c r="C66" s="57" t="inlineStr">
        <x:is>
          <x:t xml:space="preserve">STNG</x:t>
        </x:is>
      </x:c>
      <x:c r="D66" s="57" t="inlineStr">
        <x:is>
          <x:t xml:space="preserve">NYSE</x:t>
        </x:is>
      </x:c>
      <x:c r="E66" s="57" t="inlineStr">
        <x:is>
          <x:t xml:space="preserve">Monaco</x:t>
        </x:is>
      </x:c>
      <x:c r="F66" s="57" t="inlineStr">
        <x:is>
          <x:t xml:space="preserve">Shipping</x:t>
        </x:is>
      </x:c>
      <x:c r="G66" s="57" t="inlineStr">
        <x:is>
          <x:t xml:space="preserve">Product tankers</x:t>
        </x:is>
      </x:c>
      <x:c r="H66" s="57" t="inlineStr">
        <x:is>
          <x:t xml:space="preserve">Validation cohort</x:t>
        </x:is>
      </x:c>
      <x:c r="I66" s="57" t="inlineStr">
        <x:is>
          <x:t xml:space="preserve">Product-tanker earning days × TCE − capital costs</x:t>
        </x:is>
      </x:c>
      <x:c r="J66" s="57" t="inlineStr">
        <x:is>
          <x:t xml:space="preserve">NAV + normalized TCE</x:t>
        </x:is>
      </x:c>
      <x:c r="K66" s="57" t="inlineStr">
        <x:is>
          <x:t xml:space="preserve">Shipping validation control</x:t>
        </x:is>
      </x:c>
      <x:c r="L66" s="57" t="inlineStr">
        <x:is>
          <x:t xml:space="preserve">https://www.scorpiotankers.com</x:t>
        </x:is>
      </x:c>
      <x:c r="M66" s="71" t="str">
        <x:v>P1 Deep Review V10.29</x:v>
      </x:c>
      <x:c r="N66" s="71" t="str">
        <x:v>Blocked / Owner Test</x:v>
      </x:c>
      <x:c r="O66" s="71" t="inlineStr">
        <x:is>
          <x:t xml:space="preserve">UNKNOWN</x:t>
        </x:is>
      </x:c>
      <x:c r="P66" s="71" t="inlineStr">
        <x:is>
          <x:t xml:space="preserve">UNKNOWN</x:t>
        </x:is>
      </x:c>
      <x:c r="Q66" s="71" t="inlineStr">
        <x:is>
          <x:t xml:space="preserve">UNKNOWN</x:t>
        </x:is>
      </x:c>
      <x:c r="R66" s="71" t="inlineStr">
        <x:is>
          <x:t xml:space="preserve">UNKNOWN</x:t>
        </x:is>
      </x:c>
      <x:c r="S66" s="71" t="inlineStr">
        <x:is>
          <x:t xml:space="preserve">UNKNOWN</x:t>
        </x:is>
      </x:c>
      <x:c r="T66" s="71" t="inlineStr">
        <x:is>
          <x:t xml:space="preserve">UNKNOWN</x:t>
        </x:is>
      </x:c>
      <x:c r="U66" s="71" t="str">
        <x:v>Normalized product-tanker rates and post-deleveraging capital allocation</x:v>
      </x:c>
      <x:c r="V66" s="79" t="str">
        <x:f>IF(U66&lt;&gt;"","BLOCKED - FATAL UNKNOWN",IF(COUNTIF(O66:T66,"FAIL")&gt;0,"BLOCKED - FAIL",IF(COUNTIF(O66:T66,"UNKNOWN")&gt;0,"UNVALIDATED",IF(COUNTIF(O66:T66,"PASS")=6,"READY","UNVALIDATED"))))</x:f>
        <x:v>BLOCKED - FATAL UNKNOWN</x:v>
      </x:c>
      <x:c r="W66" s="71" t="inlineStr">
        <x:is>
          <x:t xml:space="preserve">P1</x:t>
        </x:is>
      </x:c>
      <x:c r="X66" s="71" t="str">
        <x:v>SITUATIONAL ONLY — reward deleveraging; wait for normalized NAV/TCE protection</x:v>
      </x:c>
      <x:c r="Y66" s="206" t="n">
        <x:v>46267</x:v>
      </x:c>
      <x:c r="Z66" s="206" t="n">
        <x:v>46274</x:v>
      </x:c>
      <x:c r="AA66" s="71" t="str">
        <x:v>V10.29 three-pass + contradiction log + Dalio Test completed. Q2 net income about $387.5m; dividend $0.45/share; unscheduled debt prepayments $389.1m. Balance-sheet repair materially improves survival through the next product-tanker downturn.</x:v>
      </x:c>
      <x:c r="AB66" s="57" t="str"/>
      <x:c r="AC66" s="57" t="str"/>
      <x:c r="AD66" s="57" t="inlineStr">
        <x:is>
          <x:t xml:space="preserve">Global expansion seed</x:t>
        </x:is>
      </x:c>
      <x:c r="AE66" s="57" t="inlineStr">
        <x:is>
          <x:t xml:space="preserve">Validation</x:t>
        </x:is>
      </x:c>
    </x:row>
    <x:row r="67">
      <x:c r="A67" s="57" t="str">
        <x:v>ARG-062</x:v>
      </x:c>
      <x:c r="B67" s="57" t="str">
        <x:v>HSBC Holdings</x:v>
      </x:c>
      <x:c r="C67" s="57" t="str">
        <x:v>HSBC</x:v>
      </x:c>
      <x:c r="D67" s="57" t="str">
        <x:v>NYSE ADR</x:v>
      </x:c>
      <x:c r="E67" s="57" t="str">
        <x:v>United Kingdom</x:v>
      </x:c>
      <x:c r="F67" s="57" t="str">
        <x:v>Banks</x:v>
      </x:c>
      <x:c r="G67" s="57" t="str">
        <x:v>Asia-linked global bank</x:v>
      </x:c>
      <x:c r="H67" s="57" t="str">
        <x:v>Validation cohort</x:v>
      </x:c>
      <x:c r="I67" s="57" t="str">
        <x:v>Deposit franchise, Asian credit and fee income</x:v>
      </x:c>
      <x:c r="J67" s="57" t="str">
        <x:v>Tangible book + normalized earnings</x:v>
      </x:c>
      <x:c r="K67" s="57" t="str">
        <x:v>Global-bank validation case</x:v>
      </x:c>
      <x:c r="L67" s="57" t="str">
        <x:v>https://www.hsbc.com/investors</x:v>
      </x:c>
      <x:c r="M67" s="71" t="str">
        <x:v>P2-C Deep Review V10.32</x:v>
      </x:c>
      <x:c r="N67" s="71" t="str">
        <x:v>Deep Review / Shadow</x:v>
      </x:c>
      <x:c r="O67" s="71" t="str">
        <x:v>UNKNOWN</x:v>
      </x:c>
      <x:c r="P67" s="71" t="str">
        <x:v>UNKNOWN</x:v>
      </x:c>
      <x:c r="Q67" s="71" t="str">
        <x:v>UNKNOWN</x:v>
      </x:c>
      <x:c r="R67" s="71" t="str">
        <x:v>UNKNOWN</x:v>
      </x:c>
      <x:c r="S67" s="71" t="str">
        <x:v>UNKNOWN</x:v>
      </x:c>
      <x:c r="T67" s="71" t="str">
        <x:v>UNKNOWN</x:v>
      </x:c>
      <x:c r="U67" s="71" t="str">
        <x:v>Hang Seng integration return, China/HK credit loss and normalized banking NII</x:v>
      </x:c>
      <x:c r="V67" s="79" t="str">
        <x:v>BLOCKED - FATAL UNKNOWN</x:v>
      </x:c>
      <x:c r="W67" s="71" t="str">
        <x:v>P2</x:v>
      </x:c>
      <x:c r="X67" s="71" t="str">
        <x:v>WATCH — require Hang Seng capital returns and China/HK credit stress within CET1</x:v>
      </x:c>
      <x:c r="Y67" s="206" t="n">
        <x:v>46267</x:v>
      </x:c>
      <x:c r="Z67" s="206" t="n">
        <x:v>46322</x:v>
      </x:c>
      <x:c r="AA67" s="71" t="str">
        <x:v>V10.32 P2-C three-pass + contradiction log + PIT price + Dalio Test completed. H1 reported PBT was $19.5bn (+23%); excluding notable items PBT was $20.4bn and revenue $38.2bn, both +6% constant currency. Banking NII was $22.9bn, RoTE 18.2%, CET1 14.1% and deposits grew $129bn; a buyback up to $1bn was planned.</x:v>
      </x:c>
      <x:c r="AB67" s="57"/>
      <x:c r="AC67" s="57"/>
      <x:c r="AD67" s="57" t="str">
        <x:v>Global expansion seed</x:v>
      </x:c>
      <x:c r="AE67" s="57" t="str">
        <x:v>Validation</x:v>
      </x:c>
    </x:row>
    <x:row r="68">
      <x:c r="A68" s="57" t="str">
        <x:v>ARG-063</x:v>
      </x:c>
      <x:c r="B68" s="57" t="str">
        <x:v>Allianz</x:v>
      </x:c>
      <x:c r="C68" s="57" t="str">
        <x:v>ALV.DE</x:v>
      </x:c>
      <x:c r="D68" s="57" t="str">
        <x:v>XETRA</x:v>
      </x:c>
      <x:c r="E68" s="57" t="str">
        <x:v>Germany</x:v>
      </x:c>
      <x:c r="F68" s="57" t="str">
        <x:v>Insurance</x:v>
      </x:c>
      <x:c r="G68" s="57" t="str">
        <x:v>Insurance and asset management</x:v>
      </x:c>
      <x:c r="H68" s="57" t="str">
        <x:v>Validation cohort</x:v>
      </x:c>
      <x:c r="I68" s="57" t="str">
        <x:v>Underwriting plus float and asset-management fees</x:v>
      </x:c>
      <x:c r="J68" s="57" t="str">
        <x:v>SOTP + book growth</x:v>
      </x:c>
      <x:c r="K68" s="57" t="str">
        <x:v>Insurance conglomerate validation</x:v>
      </x:c>
      <x:c r="L68" s="57" t="str">
        <x:v>https://www.allianz.com/en/investor_relations.html</x:v>
      </x:c>
      <x:c r="M68" s="71" t="str">
        <x:v>P2-C Deep Review V10.32</x:v>
      </x:c>
      <x:c r="N68" s="71" t="str">
        <x:v>Deep Review / Shadow</x:v>
      </x:c>
      <x:c r="O68" s="71" t="str">
        <x:v>UNKNOWN</x:v>
      </x:c>
      <x:c r="P68" s="71" t="str">
        <x:v>UNKNOWN</x:v>
      </x:c>
      <x:c r="Q68" s="71" t="str">
        <x:v>UNKNOWN</x:v>
      </x:c>
      <x:c r="R68" s="71" t="str">
        <x:v>UNKNOWN</x:v>
      </x:c>
      <x:c r="S68" s="71" t="str">
        <x:v>UNKNOWN</x:v>
      </x:c>
      <x:c r="T68" s="71" t="str">
        <x:v>UNKNOWN</x:v>
      </x:c>
      <x:c r="U68" s="71" t="str">
        <x:v>Normalized combined ratio, reserve adequacy and fee/spread sensitivity</x:v>
      </x:c>
      <x:c r="V68" s="79" t="str">
        <x:v>BLOCKED - FATAL UNKNOWN</x:v>
      </x:c>
      <x:c r="W68" s="71" t="str">
        <x:v>P2</x:v>
      </x:c>
      <x:c r="X68" s="71" t="str">
        <x:v>WATCH — normalize catastrophe, reserve, investment and asset-management earnings</x:v>
      </x:c>
      <x:c r="Y68" s="206" t="n">
        <x:v>46267</x:v>
      </x:c>
      <x:c r="Z68" s="206" t="n">
        <x:v>46332</x:v>
      </x:c>
      <x:c r="AA68" s="71" t="str">
        <x:v>V10.32 P2-C three-pass + contradiction log + PIT price + Dalio Test completed. Q2 business volume was €45.6bn (+5.7% internal), operating profit a record €4.874bn (+10.6%) and core net income €2.6bn (-12.7% headline but about +10% underlying). H1 operating profit was €9.39bn, Solvency II 225%; P&amp;C combined ratio was 91.9% and Q2 asset-management inflows €39bn.</x:v>
      </x:c>
      <x:c r="AB68" s="57"/>
      <x:c r="AC68" s="57"/>
      <x:c r="AD68" s="57" t="str">
        <x:v>Global expansion seed</x:v>
      </x:c>
      <x:c r="AE68" s="57" t="str">
        <x:v>Validation</x:v>
      </x:c>
    </x:row>
    <x:row r="69">
      <x:c r="A69" s="57" t="str">
        <x:v>ARG-064</x:v>
      </x:c>
      <x:c r="B69" s="57" t="str">
        <x:v>Novo Nordisk</x:v>
      </x:c>
      <x:c r="C69" s="57" t="str">
        <x:v>NVO</x:v>
      </x:c>
      <x:c r="D69" s="57" t="str">
        <x:v>NYSE ADR</x:v>
      </x:c>
      <x:c r="E69" s="57" t="str">
        <x:v>Denmark</x:v>
      </x:c>
      <x:c r="F69" s="57" t="str">
        <x:v>Healthcare &amp; Biopharma</x:v>
      </x:c>
      <x:c r="G69" s="57" t="str">
        <x:v>Diabetes and obesity pharma</x:v>
      </x:c>
      <x:c r="H69" s="57" t="str">
        <x:v>Validation cohort</x:v>
      </x:c>
      <x:c r="I69" s="57" t="str">
        <x:v>Patient volume/access/capacity and lifecycle expansion</x:v>
      </x:c>
      <x:c r="J69" s="57" t="str">
        <x:v>Product DCF + rNPV</x:v>
      </x:c>
      <x:c r="K69" s="57" t="str">
        <x:v>Metabolic-category control</x:v>
      </x:c>
      <x:c r="L69" s="57" t="str">
        <x:v>https://www.novonordisk.com/investors.html</x:v>
      </x:c>
      <x:c r="M69" s="71" t="str">
        <x:v>P2-B Deep Review V10.31</x:v>
      </x:c>
      <x:c r="N69" s="71" t="str">
        <x:v>Deep Review / Shadow</x:v>
      </x:c>
      <x:c r="O69" s="71" t="str">
        <x:v>UNKNOWN</x:v>
      </x:c>
      <x:c r="P69" s="71" t="str">
        <x:v>UNKNOWN</x:v>
      </x:c>
      <x:c r="Q69" s="71" t="str">
        <x:v>UNKNOWN</x:v>
      </x:c>
      <x:c r="R69" s="71" t="str">
        <x:v>UNKNOWN</x:v>
      </x:c>
      <x:c r="S69" s="71" t="str">
        <x:v>UNKNOWN</x:v>
      </x:c>
      <x:c r="T69" s="71" t="str">
        <x:v>UNKNOWN</x:v>
      </x:c>
      <x:c r="U69" s="71" t="str">
        <x:v>US share/net price, oral cannibalization economics and post-impairment pipeline productivity</x:v>
      </x:c>
      <x:c r="V69" s="79" t="str">
        <x:v>BLOCKED - FATAL UNKNOWN</x:v>
      </x:c>
      <x:c r="W69" s="71" t="str">
        <x:v>P2</x:v>
      </x:c>
      <x:c r="X69" s="71" t="str">
        <x:v>PROVE REACCELERATION — require share, net-price, pipeline and owner-earnings recovery without adjustment dependence</x:v>
      </x:c>
      <x:c r="Y69" s="206" t="n">
        <x:v>46267</x:v>
      </x:c>
      <x:c r="Z69" s="206" t="n">
        <x:v>46288</x:v>
      </x:c>
      <x:c r="AA69" s="71" t="str">
        <x:v>V10.31 P2-B three-pass + contradiction log + PIT price + Dalio Test completed. Q2 reported sales +3% CER and adjusted sales +7% CER; reported operating profit -16% CER versus adjusted +11%; DKK6.3bn non-cash impairment including DKK4.0bn for monlunabant; Wegovy pill exceeded 265,000 weekly prescriptions by July 17; ZEUS ziltivekimab phase 3 missed its primary endpoint; 2026 adjusted sales and operating-profit growth outlook is 0% to -6% CER.</x:v>
      </x:c>
      <x:c r="AB69" s="57"/>
      <x:c r="AC69" s="57"/>
      <x:c r="AD69" s="57" t="str">
        <x:v>Global expansion seed</x:v>
      </x:c>
      <x:c r="AE69" s="57" t="str">
        <x:v>Validation</x:v>
      </x:c>
    </x:row>
    <x:row r="70">
      <x:c r="A70" s="57" t="inlineStr">
        <x:is>
          <x:t xml:space="preserve">ARG-065</x:t>
        </x:is>
      </x:c>
      <x:c r="B70" s="57" t="inlineStr">
        <x:is>
          <x:t xml:space="preserve">Johnson &amp; Johnson</x:t>
        </x:is>
      </x:c>
      <x:c r="C70" s="57" t="inlineStr">
        <x:is>
          <x:t xml:space="preserve">JNJ</x:t>
        </x:is>
      </x:c>
      <x:c r="D70" s="57" t="inlineStr">
        <x:is>
          <x:t xml:space="preserve">NYSE</x:t>
        </x:is>
      </x:c>
      <x:c r="E70" s="57" t="inlineStr">
        <x:is>
          <x:t xml:space="preserve">United States</x:t>
        </x:is>
      </x:c>
      <x:c r="F70" s="57" t="inlineStr">
        <x:is>
          <x:t xml:space="preserve">Healthcare &amp; Biopharma</x:t>
        </x:is>
      </x:c>
      <x:c r="G70" s="57" t="inlineStr">
        <x:is>
          <x:t xml:space="preserve">Pharma and medtech</x:t>
        </x:is>
      </x:c>
      <x:c r="H70" s="57" t="inlineStr">
        <x:is>
          <x:t xml:space="preserve">Validation cohort</x:t>
        </x:is>
      </x:c>
      <x:c r="I70" s="57" t="inlineStr">
        <x:is>
          <x:t xml:space="preserve">Diversified product cash flows plus pipeline</x:t>
        </x:is>
      </x:c>
      <x:c r="J70" s="57" t="inlineStr">
        <x:is>
          <x:t xml:space="preserve">SOTP + product DCF</x:t>
        </x:is>
      </x:c>
      <x:c r="K70" s="57" t="inlineStr">
        <x:is>
          <x:t xml:space="preserve">Diversified healthcare validation</x:t>
        </x:is>
      </x:c>
      <x:c r="L70" s="57" t="inlineStr">
        <x:is>
          <x:t xml:space="preserve">https://www.investor.jnj.com</x:t>
        </x:is>
      </x:c>
      <x:c r="M70" s="71" t="inlineStr">
        <x:is>
          <x:t xml:space="preserve">Seeded</x:t>
        </x:is>
      </x:c>
      <x:c r="N70" s="71" t="inlineStr">
        <x:is>
          <x:t xml:space="preserve">Unknown / Insufficiently Understood</x:t>
        </x:is>
      </x:c>
      <x:c r="O70" s="71" t="inlineStr">
        <x:is>
          <x:t xml:space="preserve">UNKNOWN</x:t>
        </x:is>
      </x:c>
      <x:c r="P70" s="71" t="inlineStr">
        <x:is>
          <x:t xml:space="preserve">UNKNOWN</x:t>
        </x:is>
      </x:c>
      <x:c r="Q70" s="71" t="inlineStr">
        <x:is>
          <x:t xml:space="preserve">UNKNOWN</x:t>
        </x:is>
      </x:c>
      <x:c r="R70" s="71" t="inlineStr">
        <x:is>
          <x:t xml:space="preserve">UNKNOWN</x:t>
        </x:is>
      </x:c>
      <x:c r="S70" s="71" t="inlineStr">
        <x:is>
          <x:t xml:space="preserve">UNKNOWN</x:t>
        </x:is>
      </x:c>
      <x:c r="T70" s="71" t="inlineStr">
        <x:is>
          <x:t xml:space="preserve">UNKNOWN</x:t>
        </x:is>
      </x:c>
      <x:c r="U70" s="71" t="inlineStr">
        <x:is>
          <x:t xml:space="preserve">Evidence pack and 10 historical cutoffs not yet completed</x:t>
        </x:is>
      </x:c>
      <x:c r="V70" s="79" t="str">
        <x:f>IF(U70&lt;&gt;"","BLOCKED - FATAL UNKNOWN",IF(COUNTIF(O70:T70,"FAIL")&gt;0,"BLOCKED - FAIL",IF(COUNTIF(O70:T70,"UNKNOWN")&gt;0,"UNVALIDATED",IF(COUNTIF(O70:T70,"PASS")=6,"READY","UNVALIDATED"))))</x:f>
        <x:v>BLOCKED - FATAL UNKNOWN</x:v>
      </x:c>
      <x:c r="W70" s="71" t="inlineStr">
        <x:is>
          <x:t xml:space="preserve">P3</x:t>
        </x:is>
      </x:c>
      <x:c r="X70" s="71" t="inlineStr">
        <x:is>
          <x:t xml:space="preserve">Collect primary filings; choose 10 eligible historical cutoffs; identify control company</x:t>
        </x:is>
      </x:c>
      <x:c r="Y70" s="206" t="n">
        <x:v>46264</x:v>
      </x:c>
      <x:c r="Z70" s="206" t="n">
        <x:v>46299</x:v>
      </x:c>
      <x:c r="AA70" s="71" t="inlineStr">
        <x:is>
          <x:t xml:space="preserve">Not an investment recommendation.</x:t>
        </x:is>
      </x:c>
      <x:c r="AB70" s="57" t="str"/>
      <x:c r="AC70" s="57" t="str"/>
      <x:c r="AD70" s="57" t="inlineStr">
        <x:is>
          <x:t xml:space="preserve">Global expansion seed</x:t>
        </x:is>
      </x:c>
      <x:c r="AE70" s="57" t="inlineStr">
        <x:is>
          <x:t xml:space="preserve">Validation</x:t>
        </x:is>
      </x:c>
    </x:row>
    <x:row r="71">
      <x:c r="A71" s="57" t="str">
        <x:v>ARG-066</x:v>
      </x:c>
      <x:c r="B71" s="57" t="str">
        <x:v>NIKE</x:v>
      </x:c>
      <x:c r="C71" s="57" t="str">
        <x:v>NKE</x:v>
      </x:c>
      <x:c r="D71" s="57" t="str">
        <x:v>NYSE</x:v>
      </x:c>
      <x:c r="E71" s="57" t="str">
        <x:v>United States</x:v>
      </x:c>
      <x:c r="F71" s="57" t="str">
        <x:v>Consumer</x:v>
      </x:c>
      <x:c r="G71" s="57" t="str">
        <x:v>Athletic brand</x:v>
      </x:c>
      <x:c r="H71" s="57" t="str">
        <x:v>Validation cohort</x:v>
      </x:c>
      <x:c r="I71" s="57" t="str">
        <x:v>Brand demand × distribution × full-price sell-through</x:v>
      </x:c>
      <x:c r="J71" s="57" t="str">
        <x:v>Normalized FCF + recovery scenarios</x:v>
      </x:c>
      <x:c r="K71" s="57" t="str">
        <x:v>Brand-durability validation</x:v>
      </x:c>
      <x:c r="L71" s="57" t="str">
        <x:v>https://investors.nike.com</x:v>
      </x:c>
      <x:c r="M71" s="71" t="str">
        <x:v>P2-C Deep Review V10.32</x:v>
      </x:c>
      <x:c r="N71" s="71" t="str">
        <x:v>Deep Review / Shadow</x:v>
      </x:c>
      <x:c r="O71" s="71" t="str">
        <x:v>UNKNOWN</x:v>
      </x:c>
      <x:c r="P71" s="71" t="str">
        <x:v>UNKNOWN</x:v>
      </x:c>
      <x:c r="Q71" s="71" t="str">
        <x:v>UNKNOWN</x:v>
      </x:c>
      <x:c r="R71" s="71" t="str">
        <x:v>UNKNOWN</x:v>
      </x:c>
      <x:c r="S71" s="71" t="str">
        <x:v>UNKNOWN</x:v>
      </x:c>
      <x:c r="T71" s="71" t="str">
        <x:v>UNKNOWN</x:v>
      </x:c>
      <x:c r="U71" s="71" t="str">
        <x:v>Ex-tariff gross margin, digital/full-price sell-through and China brand recovery</x:v>
      </x:c>
      <x:c r="V71" s="79" t="str">
        <x:v>BLOCKED - FATAL UNKNOWN</x:v>
      </x:c>
      <x:c r="W71" s="71" t="str">
        <x:v>P2</x:v>
      </x:c>
      <x:c r="X71" s="71" t="str">
        <x:v>PROVE TURNAROUND — require full-price revenue, China stabilization and clean gross margin together</x:v>
      </x:c>
      <x:c r="Y71" s="206" t="n">
        <x:v>46267</x:v>
      </x:c>
      <x:c r="Z71" s="206" t="n">
        <x:v>46294</x:v>
      </x:c>
      <x:c r="AA71" s="71" t="str">
        <x:v>V10.32 P2-C three-pass + contradiction log + PIT price + Dalio Test completed. Fiscal Q4 revenue was about $11.0bn (-1% reported, -4% currency-neutral); NIKE Direct fell 7% reported and Brand Digital 12% for the year. Q4 gross margin rose to 49.2% mainly from a $986m tariff recovery; FY revenue was $46.4bn, FY gross margin 42.9%, inventory $7.5bn and ROIC 18.7% versus 20.2%.</x:v>
      </x:c>
      <x:c r="AB71" s="57"/>
      <x:c r="AC71" s="57"/>
      <x:c r="AD71" s="57" t="str">
        <x:v>Global expansion seed</x:v>
      </x:c>
      <x:c r="AE71" s="57" t="str">
        <x:v>Validation</x:v>
      </x:c>
    </x:row>
    <x:row r="72">
      <x:c r="A72" s="57" t="inlineStr">
        <x:is>
          <x:t xml:space="preserve">ARG-067</x:t>
        </x:is>
      </x:c>
      <x:c r="B72" s="57" t="inlineStr">
        <x:is>
          <x:t xml:space="preserve">Unilever</x:t>
        </x:is>
      </x:c>
      <x:c r="C72" s="57" t="inlineStr">
        <x:is>
          <x:t xml:space="preserve">UL</x:t>
        </x:is>
      </x:c>
      <x:c r="D72" s="57" t="inlineStr">
        <x:is>
          <x:t xml:space="preserve">NYSE ADR</x:t>
        </x:is>
      </x:c>
      <x:c r="E72" s="57" t="inlineStr">
        <x:is>
          <x:t xml:space="preserve">United Kingdom</x:t>
        </x:is>
      </x:c>
      <x:c r="F72" s="57" t="inlineStr">
        <x:is>
          <x:t xml:space="preserve">Consumer</x:t>
        </x:is>
      </x:c>
      <x:c r="G72" s="57" t="inlineStr">
        <x:is>
          <x:t xml:space="preserve">Global staples portfolio</x:t>
        </x:is>
      </x:c>
      <x:c r="H72" s="57" t="inlineStr">
        <x:is>
          <x:t xml:space="preserve">Validation cohort</x:t>
        </x:is>
      </x:c>
      <x:c r="I72" s="57" t="inlineStr">
        <x:is>
          <x:t xml:space="preserve">Volume/price/mix − commodity and overhead</x:t>
        </x:is>
      </x:c>
      <x:c r="J72" s="57" t="inlineStr">
        <x:is>
          <x:t xml:space="preserve">Normalized FCF + SOTP</x:t>
        </x:is>
      </x:c>
      <x:c r="K72" s="57" t="inlineStr">
        <x:is>
          <x:t xml:space="preserve">Global-staples validation</x:t>
        </x:is>
      </x:c>
      <x:c r="L72" s="57" t="inlineStr">
        <x:is>
          <x:t xml:space="preserve">https://www.unilever.com/investors</x:t>
        </x:is>
      </x:c>
      <x:c r="M72" s="71" t="inlineStr">
        <x:is>
          <x:t xml:space="preserve">Seeded</x:t>
        </x:is>
      </x:c>
      <x:c r="N72" s="71" t="inlineStr">
        <x:is>
          <x:t xml:space="preserve">Unknown / Insufficiently Understood</x:t>
        </x:is>
      </x:c>
      <x:c r="O72" s="71" t="inlineStr">
        <x:is>
          <x:t xml:space="preserve">UNKNOWN</x:t>
        </x:is>
      </x:c>
      <x:c r="P72" s="71" t="inlineStr">
        <x:is>
          <x:t xml:space="preserve">UNKNOWN</x:t>
        </x:is>
      </x:c>
      <x:c r="Q72" s="71" t="inlineStr">
        <x:is>
          <x:t xml:space="preserve">UNKNOWN</x:t>
        </x:is>
      </x:c>
      <x:c r="R72" s="71" t="inlineStr">
        <x:is>
          <x:t xml:space="preserve">UNKNOWN</x:t>
        </x:is>
      </x:c>
      <x:c r="S72" s="71" t="inlineStr">
        <x:is>
          <x:t xml:space="preserve">UNKNOWN</x:t>
        </x:is>
      </x:c>
      <x:c r="T72" s="71" t="inlineStr">
        <x:is>
          <x:t xml:space="preserve">UNKNOWN</x:t>
        </x:is>
      </x:c>
      <x:c r="U72" s="71" t="inlineStr">
        <x:is>
          <x:t xml:space="preserve">Evidence pack and 10 historical cutoffs not yet completed</x:t>
        </x:is>
      </x:c>
      <x:c r="V72" s="79" t="str">
        <x:f>IF(U72&lt;&gt;"","BLOCKED - FATAL UNKNOWN",IF(COUNTIF(O72:T72,"FAIL")&gt;0,"BLOCKED - FAIL",IF(COUNTIF(O72:T72,"UNKNOWN")&gt;0,"UNVALIDATED",IF(COUNTIF(O72:T72,"PASS")=6,"READY","UNVALIDATED"))))</x:f>
        <x:v>BLOCKED - FATAL UNKNOWN</x:v>
      </x:c>
      <x:c r="W72" s="71" t="inlineStr">
        <x:is>
          <x:t xml:space="preserve">P3</x:t>
        </x:is>
      </x:c>
      <x:c r="X72" s="71" t="inlineStr">
        <x:is>
          <x:t xml:space="preserve">Collect primary filings; choose 10 eligible historical cutoffs; identify control company</x:t>
        </x:is>
      </x:c>
      <x:c r="Y72" s="206" t="n">
        <x:v>46264</x:v>
      </x:c>
      <x:c r="Z72" s="206" t="n">
        <x:v>46299</x:v>
      </x:c>
      <x:c r="AA72" s="71" t="inlineStr">
        <x:is>
          <x:t xml:space="preserve">Not an investment recommendation.</x:t>
        </x:is>
      </x:c>
      <x:c r="AB72" s="57" t="str"/>
      <x:c r="AC72" s="57" t="str"/>
      <x:c r="AD72" s="57" t="inlineStr">
        <x:is>
          <x:t xml:space="preserve">Global expansion seed</x:t>
        </x:is>
      </x:c>
      <x:c r="AE72" s="57" t="inlineStr">
        <x:is>
          <x:t xml:space="preserve">Validation</x:t>
        </x:is>
      </x:c>
    </x:row>
    <x:row r="73">
      <x:c r="A73" s="57" t="str">
        <x:v>ARG-068</x:v>
      </x:c>
      <x:c r="B73" s="57" t="str">
        <x:v>RTX</x:v>
      </x:c>
      <x:c r="C73" s="57" t="str">
        <x:v>RTX</x:v>
      </x:c>
      <x:c r="D73" s="57" t="str">
        <x:v>NYSE</x:v>
      </x:c>
      <x:c r="E73" s="57" t="str">
        <x:v>United States</x:v>
      </x:c>
      <x:c r="F73" s="57" t="str">
        <x:v>Industrials &amp; Defense</x:v>
      </x:c>
      <x:c r="G73" s="57" t="str">
        <x:v>Aerospace and defense</x:v>
      </x:c>
      <x:c r="H73" s="57" t="str">
        <x:v>Validation cohort</x:v>
      </x:c>
      <x:c r="I73" s="57" t="str">
        <x:v>Installed-base aftermarket plus defense backlog</x:v>
      </x:c>
      <x:c r="J73" s="57" t="str">
        <x:v>SOTP + normalized FCF</x:v>
      </x:c>
      <x:c r="K73" s="57" t="str">
        <x:v>Aerospace/defense validation</x:v>
      </x:c>
      <x:c r="L73" s="57" t="str">
        <x:v>https://www.rtx.com/investors</x:v>
      </x:c>
      <x:c r="M73" s="71" t="str">
        <x:v>P2-B Deep Review V10.31</x:v>
      </x:c>
      <x:c r="N73" s="71" t="str">
        <x:v>Deep Review / Shadow</x:v>
      </x:c>
      <x:c r="O73" s="71" t="str">
        <x:v>UNKNOWN</x:v>
      </x:c>
      <x:c r="P73" s="71" t="str">
        <x:v>UNKNOWN</x:v>
      </x:c>
      <x:c r="Q73" s="71" t="str">
        <x:v>UNKNOWN</x:v>
      </x:c>
      <x:c r="R73" s="71" t="str">
        <x:v>UNKNOWN</x:v>
      </x:c>
      <x:c r="S73" s="71" t="str">
        <x:v>UNKNOWN</x:v>
      </x:c>
      <x:c r="T73" s="71" t="str">
        <x:v>UNKNOWN</x:v>
      </x:c>
      <x:c r="U73" s="71" t="str">
        <x:v>Powder-metal ultimate cash cost, fixed-price program margins and normalized FCF after remediation</x:v>
      </x:c>
      <x:c r="V73" s="79" t="str">
        <x:v>BLOCKED - FATAL UNKNOWN</x:v>
      </x:c>
      <x:c r="W73" s="71" t="str">
        <x:v>P2</x:v>
      </x:c>
      <x:c r="X73" s="71" t="str">
        <x:v>WATCH — require Pratt correction closure, backlog cash margins and adjusted-to-owner-cash reconciliation</x:v>
      </x:c>
      <x:c r="Y73" s="206" t="n">
        <x:v>46267</x:v>
      </x:c>
      <x:c r="Z73" s="206" t="n">
        <x:v>46310</x:v>
      </x:c>
      <x:c r="AA73" s="71" t="str">
        <x:v>V10.31 P2-B three-pass + contradiction log + PIT price + Dalio Test completed. Q2 sales $24.7bn (+14%; +16% organic); adjusted EPS $1.89 (+21%); CFO $3.5bn, capex $0.7bn and FCF $2.9bn; backlog $289bn (+22%), including $170bn commercial and $119bn defense; FY adjusted sales guide $95–$96bn, adjusted EPS $7.10–$7.25 and FCF $8.5–$8.75bn.</x:v>
      </x:c>
      <x:c r="AB73" s="57"/>
      <x:c r="AC73" s="57"/>
      <x:c r="AD73" s="57" t="str">
        <x:v>Global expansion seed</x:v>
      </x:c>
      <x:c r="AE73" s="57" t="str">
        <x:v>Validation</x:v>
      </x:c>
    </x:row>
    <x:row r="74">
      <x:c r="A74" s="57" t="inlineStr">
        <x:is>
          <x:t xml:space="preserve">ARG-069</x:t>
        </x:is>
      </x:c>
      <x:c r="B74" s="57" t="inlineStr">
        <x:is>
          <x:t xml:space="preserve">Deere &amp; Company</x:t>
        </x:is>
      </x:c>
      <x:c r="C74" s="57" t="inlineStr">
        <x:is>
          <x:t xml:space="preserve">DE</x:t>
        </x:is>
      </x:c>
      <x:c r="D74" s="57" t="inlineStr">
        <x:is>
          <x:t xml:space="preserve">NYSE</x:t>
        </x:is>
      </x:c>
      <x:c r="E74" s="57" t="inlineStr">
        <x:is>
          <x:t xml:space="preserve">United States</x:t>
        </x:is>
      </x:c>
      <x:c r="F74" s="57" t="inlineStr">
        <x:is>
          <x:t xml:space="preserve">Industrials &amp; Defense</x:t>
        </x:is>
      </x:c>
      <x:c r="G74" s="57" t="inlineStr">
        <x:is>
          <x:t xml:space="preserve">Agricultural equipment</x:t>
        </x:is>
      </x:c>
      <x:c r="H74" s="57" t="inlineStr">
        <x:is>
          <x:t xml:space="preserve">Validation cohort</x:t>
        </x:is>
      </x:c>
      <x:c r="I74" s="57" t="inlineStr">
        <x:is>
          <x:t xml:space="preserve">Equipment cycles plus precision-ag attach</x:t>
        </x:is>
      </x:c>
      <x:c r="J74" s="57" t="inlineStr">
        <x:is>
          <x:t xml:space="preserve">Mid-cycle FCF</x:t>
        </x:is>
      </x:c>
      <x:c r="K74" s="57" t="inlineStr">
        <x:is>
          <x:t xml:space="preserve">Industrial/ag cycle validation</x:t>
        </x:is>
      </x:c>
      <x:c r="L74" s="57" t="inlineStr">
        <x:is>
          <x:t xml:space="preserve">https://investor.deere.com</x:t>
        </x:is>
      </x:c>
      <x:c r="M74" s="71" t="inlineStr">
        <x:is>
          <x:t xml:space="preserve">Seeded</x:t>
        </x:is>
      </x:c>
      <x:c r="N74" s="71" t="inlineStr">
        <x:is>
          <x:t xml:space="preserve">Unknown / Insufficiently Understood</x:t>
        </x:is>
      </x:c>
      <x:c r="O74" s="71" t="inlineStr">
        <x:is>
          <x:t xml:space="preserve">UNKNOWN</x:t>
        </x:is>
      </x:c>
      <x:c r="P74" s="71" t="inlineStr">
        <x:is>
          <x:t xml:space="preserve">UNKNOWN</x:t>
        </x:is>
      </x:c>
      <x:c r="Q74" s="71" t="inlineStr">
        <x:is>
          <x:t xml:space="preserve">UNKNOWN</x:t>
        </x:is>
      </x:c>
      <x:c r="R74" s="71" t="inlineStr">
        <x:is>
          <x:t xml:space="preserve">UNKNOWN</x:t>
        </x:is>
      </x:c>
      <x:c r="S74" s="71" t="inlineStr">
        <x:is>
          <x:t xml:space="preserve">UNKNOWN</x:t>
        </x:is>
      </x:c>
      <x:c r="T74" s="71" t="inlineStr">
        <x:is>
          <x:t xml:space="preserve">UNKNOWN</x:t>
        </x:is>
      </x:c>
      <x:c r="U74" s="71" t="inlineStr">
        <x:is>
          <x:t xml:space="preserve">Evidence pack and 10 historical cutoffs not yet completed</x:t>
        </x:is>
      </x:c>
      <x:c r="V74" s="79" t="str">
        <x:f>IF(U74&lt;&gt;"","BLOCKED - FATAL UNKNOWN",IF(COUNTIF(O74:T74,"FAIL")&gt;0,"BLOCKED - FAIL",IF(COUNTIF(O74:T74,"UNKNOWN")&gt;0,"UNVALIDATED",IF(COUNTIF(O74:T74,"PASS")=6,"READY","UNVALIDATED"))))</x:f>
        <x:v>BLOCKED - FATAL UNKNOWN</x:v>
      </x:c>
      <x:c r="W74" s="71" t="inlineStr">
        <x:is>
          <x:t xml:space="preserve">P3</x:t>
        </x:is>
      </x:c>
      <x:c r="X74" s="71" t="inlineStr">
        <x:is>
          <x:t xml:space="preserve">Collect primary filings; choose 10 eligible historical cutoffs; identify control company</x:t>
        </x:is>
      </x:c>
      <x:c r="Y74" s="206" t="n">
        <x:v>46264</x:v>
      </x:c>
      <x:c r="Z74" s="206" t="n">
        <x:v>46299</x:v>
      </x:c>
      <x:c r="AA74" s="71" t="inlineStr">
        <x:is>
          <x:t xml:space="preserve">Not an investment recommendation.</x:t>
        </x:is>
      </x:c>
      <x:c r="AB74" s="57" t="str"/>
      <x:c r="AC74" s="57" t="str"/>
      <x:c r="AD74" s="57" t="inlineStr">
        <x:is>
          <x:t xml:space="preserve">Global expansion seed</x:t>
        </x:is>
      </x:c>
      <x:c r="AE74" s="57" t="inlineStr">
        <x:is>
          <x:t xml:space="preserve">Validation</x:t>
        </x:is>
      </x:c>
    </x:row>
    <x:row r="75">
      <x:c r="A75" s="57" t="str">
        <x:v>ARG-070</x:v>
      </x:c>
      <x:c r="B75" s="57" t="str">
        <x:v>Rio Tinto</x:v>
      </x:c>
      <x:c r="C75" s="57" t="str">
        <x:v>RIO</x:v>
      </x:c>
      <x:c r="D75" s="57" t="str">
        <x:v>NYSE ADR</x:v>
      </x:c>
      <x:c r="E75" s="57" t="str">
        <x:v>United Kingdom</x:v>
      </x:c>
      <x:c r="F75" s="57" t="str">
        <x:v>Materials &amp; Mining</x:v>
      </x:c>
      <x:c r="G75" s="57" t="str">
        <x:v>Diversified mining</x:v>
      </x:c>
      <x:c r="H75" s="57" t="str">
        <x:v>Validation cohort</x:v>
      </x:c>
      <x:c r="I75" s="57" t="str">
        <x:v>Ore volume/grade/price − unit cost/capex</x:v>
      </x:c>
      <x:c r="J75" s="57" t="str">
        <x:v>Asset NAV + mid-cycle FCF</x:v>
      </x:c>
      <x:c r="K75" s="57" t="str">
        <x:v>Mining control</x:v>
      </x:c>
      <x:c r="L75" s="57" t="str">
        <x:v>https://www.riotinto.com/invest/investors</x:v>
      </x:c>
      <x:c r="M75" s="71" t="str">
        <x:v>P2-C Deep Review V10.32</x:v>
      </x:c>
      <x:c r="N75" s="71" t="str">
        <x:v>Deep Review / Shadow</x:v>
      </x:c>
      <x:c r="O75" s="71" t="str">
        <x:v>UNKNOWN</x:v>
      </x:c>
      <x:c r="P75" s="71" t="str">
        <x:v>UNKNOWN</x:v>
      </x:c>
      <x:c r="Q75" s="71" t="str">
        <x:v>UNKNOWN</x:v>
      </x:c>
      <x:c r="R75" s="71" t="str">
        <x:v>UNKNOWN</x:v>
      </x:c>
      <x:c r="S75" s="71" t="str">
        <x:v>UNKNOWN</x:v>
      </x:c>
      <x:c r="T75" s="71" t="str">
        <x:v>UNKNOWN</x:v>
      </x:c>
      <x:c r="U75" s="71" t="str">
        <x:v>Simandou/lithium project returns, long-run price deck and consolidated debt path</x:v>
      </x:c>
      <x:c r="V75" s="79" t="str">
        <x:v>BLOCKED - FATAL UNKNOWN</x:v>
      </x:c>
      <x:c r="W75" s="71" t="str">
        <x:v>P2</x:v>
      </x:c>
      <x:c r="X75" s="71" t="str">
        <x:v>WATCH — value at long-run commodity prices after Simandou/lithium growth capital</x:v>
      </x:c>
      <x:c r="Y75" s="206" t="n">
        <x:v>46267</x:v>
      </x:c>
      <x:c r="Z75" s="206" t="n">
        <x:v>46323</x:v>
      </x:c>
      <x:c r="AA75" s="71" t="str">
        <x:v>V10.32 P2-C three-pass + contradiction log + PIT price + Dalio Test completed. H1 copper-equivalent production rose 3%, underlying EBITDA was $14.8bn (+28%) and FCF $3.8bn (+75%). Pilbara production reached its best first half since 2018; Simandou and lithium projects continued, while growth capital remains substantial.</x:v>
      </x:c>
      <x:c r="AB75" s="57"/>
      <x:c r="AC75" s="57"/>
      <x:c r="AD75" s="57" t="str">
        <x:v>Global expansion seed</x:v>
      </x:c>
      <x:c r="AE75" s="57" t="str">
        <x:v>Validation</x:v>
      </x:c>
    </x:row>
    <x:row r="76">
      <x:c r="A76" s="57" t="str">
        <x:v>ARG-071</x:v>
      </x:c>
      <x:c r="B76" s="57" t="str">
        <x:v>Linde</x:v>
      </x:c>
      <x:c r="C76" s="57" t="str">
        <x:v>LIN</x:v>
      </x:c>
      <x:c r="D76" s="57" t="str">
        <x:v>NASDAQ</x:v>
      </x:c>
      <x:c r="E76" s="57" t="str">
        <x:v>Ireland</x:v>
      </x:c>
      <x:c r="F76" s="57" t="str">
        <x:v>Materials &amp; Mining</x:v>
      </x:c>
      <x:c r="G76" s="57" t="str">
        <x:v>Industrial gases</x:v>
      </x:c>
      <x:c r="H76" s="57" t="str">
        <x:v>Validation cohort</x:v>
      </x:c>
      <x:c r="I76" s="57" t="str">
        <x:v>Contracted volumes/pricing plus project backlog</x:v>
      </x:c>
      <x:c r="J76" s="57" t="str">
        <x:v>Owner earnings + replacement value</x:v>
      </x:c>
      <x:c r="K76" s="57" t="str">
        <x:v>High-quality materials control</x:v>
      </x:c>
      <x:c r="L76" s="57" t="str">
        <x:v>https://investors.linde.com</x:v>
      </x:c>
      <x:c r="M76" s="71" t="str">
        <x:v>P2-B Deep Review V10.31</x:v>
      </x:c>
      <x:c r="N76" s="71" t="str">
        <x:v>Deep Review / Shadow</x:v>
      </x:c>
      <x:c r="O76" s="71" t="str">
        <x:v>UNKNOWN</x:v>
      </x:c>
      <x:c r="P76" s="71" t="str">
        <x:v>UNKNOWN</x:v>
      </x:c>
      <x:c r="Q76" s="71" t="str">
        <x:v>UNKNOWN</x:v>
      </x:c>
      <x:c r="R76" s="71" t="str">
        <x:v>UNKNOWN</x:v>
      </x:c>
      <x:c r="S76" s="71" t="str">
        <x:v>UNKNOWN</x:v>
      </x:c>
      <x:c r="T76" s="71" t="str">
        <x:v>UNKNOWN</x:v>
      </x:c>
      <x:c r="U76" s="71" t="str">
        <x:v>Project-level return and utilization evidence for backlog and the $1bn semiconductor facility</x:v>
      </x:c>
      <x:c r="V76" s="79" t="str">
        <x:v>BLOCKED - FATAL UNKNOWN</x:v>
      </x:c>
      <x:c r="W76" s="71" t="str">
        <x:v>P2</x:v>
      </x:c>
      <x:c r="X76" s="71" t="str">
        <x:v>WATCH — require contracted project returns, clean FCF and price protection before promotion</x:v>
      </x:c>
      <x:c r="Y76" s="206" t="n">
        <x:v>46267</x:v>
      </x:c>
      <x:c r="Z76" s="206" t="n">
        <x:v>46310</x:v>
      </x:c>
      <x:c r="AA76" s="71" t="str">
        <x:v>V10.31 P2-B three-pass + contradiction log + PIT price + Dalio Test completed. Q2 sales $9.3bn (+9%; +4% underlying); operating profit $2.6bn and adjusted operating profit $2.7bn (+7%); adjusted margin 29.5%; EPS $4.15 and adjusted EPS $4.50 (+10%); CFO $2.3bn; project backlog $11bn; FY adjusted EPS guide $17.70–$17.90; a $1bn US semiconductor facility was announced.</x:v>
      </x:c>
      <x:c r="AB76" s="57"/>
      <x:c r="AC76" s="57"/>
      <x:c r="AD76" s="57" t="str">
        <x:v>Global expansion seed</x:v>
      </x:c>
      <x:c r="AE76" s="57" t="str">
        <x:v>Validation</x:v>
      </x:c>
    </x:row>
    <x:row r="77">
      <x:c r="A77" s="57" t="inlineStr">
        <x:is>
          <x:t xml:space="preserve">ARG-072</x:t>
        </x:is>
      </x:c>
      <x:c r="B77" s="57" t="inlineStr">
        <x:is>
          <x:t xml:space="preserve">American Tower</x:t>
        </x:is>
      </x:c>
      <x:c r="C77" s="57" t="inlineStr">
        <x:is>
          <x:t xml:space="preserve">AMT</x:t>
        </x:is>
      </x:c>
      <x:c r="D77" s="57" t="inlineStr">
        <x:is>
          <x:t xml:space="preserve">NYSE</x:t>
        </x:is>
      </x:c>
      <x:c r="E77" s="57" t="inlineStr">
        <x:is>
          <x:t xml:space="preserve">United States</x:t>
        </x:is>
      </x:c>
      <x:c r="F77" s="57" t="inlineStr">
        <x:is>
          <x:t xml:space="preserve">Real Estate &amp; Telecom</x:t>
        </x:is>
      </x:c>
      <x:c r="G77" s="57" t="inlineStr">
        <x:is>
          <x:t xml:space="preserve">Wireless tower REIT</x:t>
        </x:is>
      </x:c>
      <x:c r="H77" s="57" t="inlineStr">
        <x:is>
          <x:t xml:space="preserve">Validation cohort</x:t>
        </x:is>
      </x:c>
      <x:c r="I77" s="57" t="inlineStr">
        <x:is>
          <x:t xml:space="preserve">Tenant leases/escalators/colocation minus financing</x:t>
        </x:is>
      </x:c>
      <x:c r="J77" s="57" t="inlineStr">
        <x:is>
          <x:t xml:space="preserve">AFFO + DCF</x:t>
        </x:is>
      </x:c>
      <x:c r="K77" s="57" t="inlineStr">
        <x:is>
          <x:t xml:space="preserve">Contracted-infrastructure validation</x:t>
        </x:is>
      </x:c>
      <x:c r="L77" s="57" t="inlineStr">
        <x:is>
          <x:t xml:space="preserve">https://americantower.gcs-web.com</x:t>
        </x:is>
      </x:c>
      <x:c r="M77" s="71" t="inlineStr">
        <x:is>
          <x:t xml:space="preserve">Seeded</x:t>
        </x:is>
      </x:c>
      <x:c r="N77" s="71" t="inlineStr">
        <x:is>
          <x:t xml:space="preserve">Unknown / Insufficiently Understood</x:t>
        </x:is>
      </x:c>
      <x:c r="O77" s="71" t="inlineStr">
        <x:is>
          <x:t xml:space="preserve">UNKNOWN</x:t>
        </x:is>
      </x:c>
      <x:c r="P77" s="71" t="inlineStr">
        <x:is>
          <x:t xml:space="preserve">UNKNOWN</x:t>
        </x:is>
      </x:c>
      <x:c r="Q77" s="71" t="inlineStr">
        <x:is>
          <x:t xml:space="preserve">UNKNOWN</x:t>
        </x:is>
      </x:c>
      <x:c r="R77" s="71" t="inlineStr">
        <x:is>
          <x:t xml:space="preserve">UNKNOWN</x:t>
        </x:is>
      </x:c>
      <x:c r="S77" s="71" t="inlineStr">
        <x:is>
          <x:t xml:space="preserve">UNKNOWN</x:t>
        </x:is>
      </x:c>
      <x:c r="T77" s="71" t="inlineStr">
        <x:is>
          <x:t xml:space="preserve">UNKNOWN</x:t>
        </x:is>
      </x:c>
      <x:c r="U77" s="71" t="inlineStr">
        <x:is>
          <x:t xml:space="preserve">Evidence pack and 10 historical cutoffs not yet completed</x:t>
        </x:is>
      </x:c>
      <x:c r="V77" s="79" t="str">
        <x:f>IF(U77&lt;&gt;"","BLOCKED - FATAL UNKNOWN",IF(COUNTIF(O77:T77,"FAIL")&gt;0,"BLOCKED - FAIL",IF(COUNTIF(O77:T77,"UNKNOWN")&gt;0,"UNVALIDATED",IF(COUNTIF(O77:T77,"PASS")=6,"READY","UNVALIDATED"))))</x:f>
        <x:v>BLOCKED - FATAL UNKNOWN</x:v>
      </x:c>
      <x:c r="W77" s="71" t="inlineStr">
        <x:is>
          <x:t xml:space="preserve">P3</x:t>
        </x:is>
      </x:c>
      <x:c r="X77" s="71" t="inlineStr">
        <x:is>
          <x:t xml:space="preserve">Collect primary filings; choose 10 eligible historical cutoffs; identify control company</x:t>
        </x:is>
      </x:c>
      <x:c r="Y77" s="206" t="n">
        <x:v>46264</x:v>
      </x:c>
      <x:c r="Z77" s="206" t="n">
        <x:v>46299</x:v>
      </x:c>
      <x:c r="AA77" s="71" t="inlineStr">
        <x:is>
          <x:t xml:space="preserve">Not an investment recommendation.</x:t>
        </x:is>
      </x:c>
      <x:c r="AB77" s="57" t="str"/>
      <x:c r="AC77" s="57" t="str"/>
      <x:c r="AD77" s="57" t="inlineStr">
        <x:is>
          <x:t xml:space="preserve">Global expansion seed</x:t>
        </x:is>
      </x:c>
      <x:c r="AE77" s="57" t="inlineStr">
        <x:is>
          <x:t xml:space="preserve">Validation</x:t>
        </x:is>
      </x:c>
    </x:row>
    <x:row r="78">
      <x:c r="A78" s="57" t="inlineStr">
        <x:is>
          <x:t xml:space="preserve">ARG-073</x:t>
        </x:is>
      </x:c>
      <x:c r="B78" s="57" t="inlineStr">
        <x:is>
          <x:t xml:space="preserve">NextEra Energy</x:t>
        </x:is>
      </x:c>
      <x:c r="C78" s="57" t="inlineStr">
        <x:is>
          <x:t xml:space="preserve">NEE</x:t>
        </x:is>
      </x:c>
      <x:c r="D78" s="57" t="inlineStr">
        <x:is>
          <x:t xml:space="preserve">NYSE</x:t>
        </x:is>
      </x:c>
      <x:c r="E78" s="57" t="inlineStr">
        <x:is>
          <x:t xml:space="preserve">United States</x:t>
        </x:is>
      </x:c>
      <x:c r="F78" s="57" t="inlineStr">
        <x:is>
          <x:t xml:space="preserve">Utilities</x:t>
        </x:is>
      </x:c>
      <x:c r="G78" s="57" t="inlineStr">
        <x:is>
          <x:t xml:space="preserve">Regulated utility and renewables</x:t>
        </x:is>
      </x:c>
      <x:c r="H78" s="57" t="inlineStr">
        <x:is>
          <x:t xml:space="preserve">Validation cohort</x:t>
        </x:is>
      </x:c>
      <x:c r="I78" s="57" t="inlineStr">
        <x:is>
          <x:t xml:space="preserve">Rate base/allowed return plus renewable development</x:t>
        </x:is>
      </x:c>
      <x:c r="J78" s="57" t="inlineStr">
        <x:is>
          <x:t xml:space="preserve">Rate-base DCF</x:t>
        </x:is>
      </x:c>
      <x:c r="K78" s="57" t="inlineStr">
        <x:is>
          <x:t xml:space="preserve">Utility/financing validation</x:t>
        </x:is>
      </x:c>
      <x:c r="L78" s="57" t="inlineStr">
        <x:is>
          <x:t xml:space="preserve">https://www.investor.nexteraenergy.com</x:t>
        </x:is>
      </x:c>
      <x:c r="M78" s="71" t="inlineStr">
        <x:is>
          <x:t xml:space="preserve">Seeded</x:t>
        </x:is>
      </x:c>
      <x:c r="N78" s="71" t="inlineStr">
        <x:is>
          <x:t xml:space="preserve">Unknown / Insufficiently Understood</x:t>
        </x:is>
      </x:c>
      <x:c r="O78" s="71" t="inlineStr">
        <x:is>
          <x:t xml:space="preserve">UNKNOWN</x:t>
        </x:is>
      </x:c>
      <x:c r="P78" s="71" t="inlineStr">
        <x:is>
          <x:t xml:space="preserve">UNKNOWN</x:t>
        </x:is>
      </x:c>
      <x:c r="Q78" s="71" t="inlineStr">
        <x:is>
          <x:t xml:space="preserve">UNKNOWN</x:t>
        </x:is>
      </x:c>
      <x:c r="R78" s="71" t="inlineStr">
        <x:is>
          <x:t xml:space="preserve">UNKNOWN</x:t>
        </x:is>
      </x:c>
      <x:c r="S78" s="71" t="inlineStr">
        <x:is>
          <x:t xml:space="preserve">UNKNOWN</x:t>
        </x:is>
      </x:c>
      <x:c r="T78" s="71" t="inlineStr">
        <x:is>
          <x:t xml:space="preserve">UNKNOWN</x:t>
        </x:is>
      </x:c>
      <x:c r="U78" s="71" t="inlineStr">
        <x:is>
          <x:t xml:space="preserve">Evidence pack and 10 historical cutoffs not yet completed</x:t>
        </x:is>
      </x:c>
      <x:c r="V78" s="79" t="str">
        <x:f>IF(U78&lt;&gt;"","BLOCKED - FATAL UNKNOWN",IF(COUNTIF(O78:T78,"FAIL")&gt;0,"BLOCKED - FAIL",IF(COUNTIF(O78:T78,"UNKNOWN")&gt;0,"UNVALIDATED",IF(COUNTIF(O78:T78,"PASS")=6,"READY","UNVALIDATED"))))</x:f>
        <x:v>BLOCKED - FATAL UNKNOWN</x:v>
      </x:c>
      <x:c r="W78" s="71" t="inlineStr">
        <x:is>
          <x:t xml:space="preserve">P3</x:t>
        </x:is>
      </x:c>
      <x:c r="X78" s="71" t="inlineStr">
        <x:is>
          <x:t xml:space="preserve">Collect primary filings; choose 10 eligible historical cutoffs; identify control company</x:t>
        </x:is>
      </x:c>
      <x:c r="Y78" s="206" t="n">
        <x:v>46264</x:v>
      </x:c>
      <x:c r="Z78" s="206" t="n">
        <x:v>46299</x:v>
      </x:c>
      <x:c r="AA78" s="71" t="inlineStr">
        <x:is>
          <x:t xml:space="preserve">Not an investment recommendation.</x:t>
        </x:is>
      </x:c>
      <x:c r="AB78" s="57" t="str"/>
      <x:c r="AC78" s="57" t="str"/>
      <x:c r="AD78" s="57" t="inlineStr">
        <x:is>
          <x:t xml:space="preserve">Global expansion seed</x:t>
        </x:is>
      </x:c>
      <x:c r="AE78" s="57" t="inlineStr">
        <x:is>
          <x:t xml:space="preserve">Validation</x:t>
        </x:is>
      </x:c>
    </x:row>
    <x:row r="79">
      <x:c r="A79" s="57" t="inlineStr">
        <x:is>
          <x:t xml:space="preserve">ARG-074</x:t>
        </x:is>
      </x:c>
      <x:c r="B79" s="57" t="inlineStr">
        <x:is>
          <x:t xml:space="preserve">Verizon Communications</x:t>
        </x:is>
      </x:c>
      <x:c r="C79" s="57" t="inlineStr">
        <x:is>
          <x:t xml:space="preserve">VZ</x:t>
        </x:is>
      </x:c>
      <x:c r="D79" s="57" t="inlineStr">
        <x:is>
          <x:t xml:space="preserve">NYSE</x:t>
        </x:is>
      </x:c>
      <x:c r="E79" s="57" t="inlineStr">
        <x:is>
          <x:t xml:space="preserve">United States</x:t>
        </x:is>
      </x:c>
      <x:c r="F79" s="57" t="inlineStr">
        <x:is>
          <x:t xml:space="preserve">Real Estate &amp; Telecom</x:t>
        </x:is>
      </x:c>
      <x:c r="G79" s="57" t="inlineStr">
        <x:is>
          <x:t xml:space="preserve">Telecom network</x:t>
        </x:is>
      </x:c>
      <x:c r="H79" s="57" t="inlineStr">
        <x:is>
          <x:t xml:space="preserve">Validation cohort</x:t>
        </x:is>
      </x:c>
      <x:c r="I79" s="57" t="inlineStr">
        <x:is>
          <x:t xml:space="preserve">Subscribers × ARPU − network capex/financing</x:t>
        </x:is>
      </x:c>
      <x:c r="J79" s="57" t="inlineStr">
        <x:is>
          <x:t xml:space="preserve">Normalized FCF + debt-adjusted DCF</x:t>
        </x:is>
      </x:c>
      <x:c r="K79" s="57" t="inlineStr">
        <x:is>
          <x:t xml:space="preserve">Telecom capital-intensity validation</x:t>
        </x:is>
      </x:c>
      <x:c r="L79" s="57" t="inlineStr">
        <x:is>
          <x:t xml:space="preserve">https://www.verizon.com/about/investors</x:t>
        </x:is>
      </x:c>
      <x:c r="M79" s="71" t="inlineStr">
        <x:is>
          <x:t xml:space="preserve">Seeded</x:t>
        </x:is>
      </x:c>
      <x:c r="N79" s="71" t="inlineStr">
        <x:is>
          <x:t xml:space="preserve">Unknown / Insufficiently Understood</x:t>
        </x:is>
      </x:c>
      <x:c r="O79" s="71" t="inlineStr">
        <x:is>
          <x:t xml:space="preserve">UNKNOWN</x:t>
        </x:is>
      </x:c>
      <x:c r="P79" s="71" t="inlineStr">
        <x:is>
          <x:t xml:space="preserve">UNKNOWN</x:t>
        </x:is>
      </x:c>
      <x:c r="Q79" s="71" t="inlineStr">
        <x:is>
          <x:t xml:space="preserve">UNKNOWN</x:t>
        </x:is>
      </x:c>
      <x:c r="R79" s="71" t="inlineStr">
        <x:is>
          <x:t xml:space="preserve">UNKNOWN</x:t>
        </x:is>
      </x:c>
      <x:c r="S79" s="71" t="inlineStr">
        <x:is>
          <x:t xml:space="preserve">UNKNOWN</x:t>
        </x:is>
      </x:c>
      <x:c r="T79" s="71" t="inlineStr">
        <x:is>
          <x:t xml:space="preserve">UNKNOWN</x:t>
        </x:is>
      </x:c>
      <x:c r="U79" s="71" t="inlineStr">
        <x:is>
          <x:t xml:space="preserve">Evidence pack and 10 historical cutoffs not yet completed</x:t>
        </x:is>
      </x:c>
      <x:c r="V79" s="79" t="str">
        <x:f>IF(U79&lt;&gt;"","BLOCKED - FATAL UNKNOWN",IF(COUNTIF(O79:T79,"FAIL")&gt;0,"BLOCKED - FAIL",IF(COUNTIF(O79:T79,"UNKNOWN")&gt;0,"UNVALIDATED",IF(COUNTIF(O79:T79,"PASS")=6,"READY","UNVALIDATED"))))</x:f>
        <x:v>BLOCKED - FATAL UNKNOWN</x:v>
      </x:c>
      <x:c r="W79" s="71" t="inlineStr">
        <x:is>
          <x:t xml:space="preserve">P3</x:t>
        </x:is>
      </x:c>
      <x:c r="X79" s="71" t="inlineStr">
        <x:is>
          <x:t xml:space="preserve">Collect primary filings; choose 10 eligible historical cutoffs; identify control company</x:t>
        </x:is>
      </x:c>
      <x:c r="Y79" s="206" t="n">
        <x:v>46264</x:v>
      </x:c>
      <x:c r="Z79" s="206" t="n">
        <x:v>46299</x:v>
      </x:c>
      <x:c r="AA79" s="71" t="inlineStr">
        <x:is>
          <x:t xml:space="preserve">Not an investment recommendation.</x:t>
        </x:is>
      </x:c>
      <x:c r="AB79" s="57" t="str"/>
      <x:c r="AC79" s="57" t="str"/>
      <x:c r="AD79" s="57" t="inlineStr">
        <x:is>
          <x:t xml:space="preserve">Global expansion seed</x:t>
        </x:is>
      </x:c>
      <x:c r="AE79" s="57" t="inlineStr">
        <x:is>
          <x:t xml:space="preserve">Validation</x:t>
        </x:is>
      </x:c>
    </x:row>
    <x:row r="80">
      <x:c r="A80" s="57" t="inlineStr">
        <x:is>
          <x:t xml:space="preserve">ARG-075</x:t>
        </x:is>
      </x:c>
      <x:c r="B80" s="57" t="inlineStr">
        <x:is>
          <x:t xml:space="preserve">Delta Air Lines</x:t>
        </x:is>
      </x:c>
      <x:c r="C80" s="57" t="inlineStr">
        <x:is>
          <x:t xml:space="preserve">DAL</x:t>
        </x:is>
      </x:c>
      <x:c r="D80" s="57" t="inlineStr">
        <x:is>
          <x:t xml:space="preserve">NYSE</x:t>
        </x:is>
      </x:c>
      <x:c r="E80" s="57" t="inlineStr">
        <x:is>
          <x:t xml:space="preserve">United States</x:t>
        </x:is>
      </x:c>
      <x:c r="F80" s="57" t="inlineStr">
        <x:is>
          <x:t xml:space="preserve">Transportation</x:t>
        </x:is>
      </x:c>
      <x:c r="G80" s="57" t="inlineStr">
        <x:is>
          <x:t xml:space="preserve">Airline</x:t>
        </x:is>
      </x:c>
      <x:c r="H80" s="57" t="inlineStr">
        <x:is>
          <x:t xml:space="preserve">Validation cohort</x:t>
        </x:is>
      </x:c>
      <x:c r="I80" s="57" t="inlineStr">
        <x:is>
          <x:t xml:space="preserve">Capacity × yield − fuel/labor/fleet capital</x:t>
        </x:is>
      </x:c>
      <x:c r="J80" s="57" t="inlineStr">
        <x:is>
          <x:t xml:space="preserve">Mid-cycle FCF</x:t>
        </x:is>
      </x:c>
      <x:c r="K80" s="57" t="inlineStr">
        <x:is>
          <x:t xml:space="preserve">High-fixed-cost transport validation</x:t>
        </x:is>
      </x:c>
      <x:c r="L80" s="57" t="inlineStr">
        <x:is>
          <x:t xml:space="preserve">https://ir.delta.com</x:t>
        </x:is>
      </x:c>
      <x:c r="M80" s="71" t="inlineStr">
        <x:is>
          <x:t xml:space="preserve">Seeded</x:t>
        </x:is>
      </x:c>
      <x:c r="N80" s="71" t="inlineStr">
        <x:is>
          <x:t xml:space="preserve">Unknown / Insufficiently Understood</x:t>
        </x:is>
      </x:c>
      <x:c r="O80" s="71" t="inlineStr">
        <x:is>
          <x:t xml:space="preserve">UNKNOWN</x:t>
        </x:is>
      </x:c>
      <x:c r="P80" s="71" t="inlineStr">
        <x:is>
          <x:t xml:space="preserve">UNKNOWN</x:t>
        </x:is>
      </x:c>
      <x:c r="Q80" s="71" t="inlineStr">
        <x:is>
          <x:t xml:space="preserve">UNKNOWN</x:t>
        </x:is>
      </x:c>
      <x:c r="R80" s="71" t="inlineStr">
        <x:is>
          <x:t xml:space="preserve">UNKNOWN</x:t>
        </x:is>
      </x:c>
      <x:c r="S80" s="71" t="inlineStr">
        <x:is>
          <x:t xml:space="preserve">UNKNOWN</x:t>
        </x:is>
      </x:c>
      <x:c r="T80" s="71" t="inlineStr">
        <x:is>
          <x:t xml:space="preserve">UNKNOWN</x:t>
        </x:is>
      </x:c>
      <x:c r="U80" s="71" t="inlineStr">
        <x:is>
          <x:t xml:space="preserve">Evidence pack and 10 historical cutoffs not yet completed</x:t>
        </x:is>
      </x:c>
      <x:c r="V80" s="79" t="str">
        <x:f>IF(U80&lt;&gt;"","BLOCKED - FATAL UNKNOWN",IF(COUNTIF(O80:T80,"FAIL")&gt;0,"BLOCKED - FAIL",IF(COUNTIF(O80:T80,"UNKNOWN")&gt;0,"UNVALIDATED",IF(COUNTIF(O80:T80,"PASS")=6,"READY","UNVALIDATED"))))</x:f>
        <x:v>BLOCKED - FATAL UNKNOWN</x:v>
      </x:c>
      <x:c r="W80" s="71" t="inlineStr">
        <x:is>
          <x:t xml:space="preserve">P3</x:t>
        </x:is>
      </x:c>
      <x:c r="X80" s="71" t="inlineStr">
        <x:is>
          <x:t xml:space="preserve">Collect primary filings; choose 10 eligible historical cutoffs; identify control company</x:t>
        </x:is>
      </x:c>
      <x:c r="Y80" s="206" t="n">
        <x:v>46264</x:v>
      </x:c>
      <x:c r="Z80" s="206" t="n">
        <x:v>46299</x:v>
      </x:c>
      <x:c r="AA80" s="71" t="inlineStr">
        <x:is>
          <x:t xml:space="preserve">Not an investment recommendation.</x:t>
        </x:is>
      </x:c>
      <x:c r="AB80" s="57" t="str"/>
      <x:c r="AC80" s="57" t="str"/>
      <x:c r="AD80" s="57" t="inlineStr">
        <x:is>
          <x:t xml:space="preserve">Global expansion seed</x:t>
        </x:is>
      </x:c>
      <x:c r="AE80" s="57" t="inlineStr">
        <x:is>
          <x:t xml:space="preserve">Validation</x:t>
        </x:is>
      </x:c>
    </x:row>
    <x:row r="81">
      <x:c r="A81" s="57" t="inlineStr">
        <x:is>
          <x:t xml:space="preserve">ARG-076</x:t>
        </x:is>
      </x:c>
      <x:c r="B81" s="57" t="inlineStr">
        <x:is>
          <x:t xml:space="preserve">Toyota Motor</x:t>
        </x:is>
      </x:c>
      <x:c r="C81" s="57" t="inlineStr">
        <x:is>
          <x:t xml:space="preserve">TM</x:t>
        </x:is>
      </x:c>
      <x:c r="D81" s="57" t="inlineStr">
        <x:is>
          <x:t xml:space="preserve">NYSE ADR</x:t>
        </x:is>
      </x:c>
      <x:c r="E81" s="57" t="inlineStr">
        <x:is>
          <x:t xml:space="preserve">Japan</x:t>
        </x:is>
      </x:c>
      <x:c r="F81" s="57" t="inlineStr">
        <x:is>
          <x:t xml:space="preserve">Autos &amp; Mobility</x:t>
        </x:is>
      </x:c>
      <x:c r="G81" s="57" t="inlineStr">
        <x:is>
          <x:t xml:space="preserve">Global automaker</x:t>
        </x:is>
      </x:c>
      <x:c r="H81" s="57" t="inlineStr">
        <x:is>
          <x:t xml:space="preserve">Validation cohort</x:t>
        </x:is>
      </x:c>
      <x:c r="I81" s="57" t="inlineStr">
        <x:is>
          <x:t xml:space="preserve">Units × mix − incentives/warranty/capex</x:t>
        </x:is>
      </x:c>
      <x:c r="J81" s="57" t="inlineStr">
        <x:is>
          <x:t xml:space="preserve">Cycle-normalized earnings + SOTP</x:t>
        </x:is>
      </x:c>
      <x:c r="K81" s="57" t="inlineStr">
        <x:is>
          <x:t xml:space="preserve">Auto transition validation</x:t>
        </x:is>
      </x:c>
      <x:c r="L81" s="57" t="inlineStr">
        <x:is>
          <x:t xml:space="preserve">https://global.toyota/en/ir/</x:t>
        </x:is>
      </x:c>
      <x:c r="M81" s="71" t="inlineStr">
        <x:is>
          <x:t xml:space="preserve">Seeded</x:t>
        </x:is>
      </x:c>
      <x:c r="N81" s="71" t="inlineStr">
        <x:is>
          <x:t xml:space="preserve">Unknown / Insufficiently Understood</x:t>
        </x:is>
      </x:c>
      <x:c r="O81" s="71" t="inlineStr">
        <x:is>
          <x:t xml:space="preserve">UNKNOWN</x:t>
        </x:is>
      </x:c>
      <x:c r="P81" s="71" t="inlineStr">
        <x:is>
          <x:t xml:space="preserve">UNKNOWN</x:t>
        </x:is>
      </x:c>
      <x:c r="Q81" s="71" t="inlineStr">
        <x:is>
          <x:t xml:space="preserve">UNKNOWN</x:t>
        </x:is>
      </x:c>
      <x:c r="R81" s="71" t="inlineStr">
        <x:is>
          <x:t xml:space="preserve">UNKNOWN</x:t>
        </x:is>
      </x:c>
      <x:c r="S81" s="71" t="inlineStr">
        <x:is>
          <x:t xml:space="preserve">UNKNOWN</x:t>
        </x:is>
      </x:c>
      <x:c r="T81" s="71" t="inlineStr">
        <x:is>
          <x:t xml:space="preserve">UNKNOWN</x:t>
        </x:is>
      </x:c>
      <x:c r="U81" s="71" t="inlineStr">
        <x:is>
          <x:t xml:space="preserve">Evidence pack and 10 historical cutoffs not yet completed</x:t>
        </x:is>
      </x:c>
      <x:c r="V81" s="79" t="str">
        <x:f>IF(U81&lt;&gt;"","BLOCKED - FATAL UNKNOWN",IF(COUNTIF(O81:T81,"FAIL")&gt;0,"BLOCKED - FAIL",IF(COUNTIF(O81:T81,"UNKNOWN")&gt;0,"UNVALIDATED",IF(COUNTIF(O81:T81,"PASS")=6,"READY","UNVALIDATED"))))</x:f>
        <x:v>BLOCKED - FATAL UNKNOWN</x:v>
      </x:c>
      <x:c r="W81" s="71" t="inlineStr">
        <x:is>
          <x:t xml:space="preserve">P3</x:t>
        </x:is>
      </x:c>
      <x:c r="X81" s="71" t="inlineStr">
        <x:is>
          <x:t xml:space="preserve">Collect primary filings; choose 10 eligible historical cutoffs; identify control company</x:t>
        </x:is>
      </x:c>
      <x:c r="Y81" s="206" t="n">
        <x:v>46264</x:v>
      </x:c>
      <x:c r="Z81" s="206" t="n">
        <x:v>46299</x:v>
      </x:c>
      <x:c r="AA81" s="71" t="inlineStr">
        <x:is>
          <x:t xml:space="preserve">Not an investment recommendation.</x:t>
        </x:is>
      </x:c>
      <x:c r="AB81" s="57" t="str"/>
      <x:c r="AC81" s="57" t="str"/>
      <x:c r="AD81" s="57" t="inlineStr">
        <x:is>
          <x:t xml:space="preserve">Global expansion seed</x:t>
        </x:is>
      </x:c>
      <x:c r="AE81" s="57" t="inlineStr">
        <x:is>
          <x:t xml:space="preserve">Validation</x:t>
        </x:is>
      </x:c>
    </x:row>
    <x:row r="82">
      <x:c r="A82" s="57" t="inlineStr">
        <x:is>
          <x:t xml:space="preserve">ARG-077</x:t>
        </x:is>
      </x:c>
      <x:c r="B82" s="57" t="inlineStr">
        <x:is>
          <x:t xml:space="preserve">Corteva</x:t>
        </x:is>
      </x:c>
      <x:c r="C82" s="57" t="inlineStr">
        <x:is>
          <x:t xml:space="preserve">CTVA</x:t>
        </x:is>
      </x:c>
      <x:c r="D82" s="57" t="inlineStr">
        <x:is>
          <x:t xml:space="preserve">NYSE</x:t>
        </x:is>
      </x:c>
      <x:c r="E82" s="57" t="inlineStr">
        <x:is>
          <x:t xml:space="preserve">United States</x:t>
        </x:is>
      </x:c>
      <x:c r="F82" s="57" t="inlineStr">
        <x:is>
          <x:t xml:space="preserve">Agriculture &amp; Fertilizers</x:t>
        </x:is>
      </x:c>
      <x:c r="G82" s="57" t="inlineStr">
        <x:is>
          <x:t xml:space="preserve">Seeds and crop protection</x:t>
        </x:is>
      </x:c>
      <x:c r="H82" s="57" t="inlineStr">
        <x:is>
          <x:t xml:space="preserve">Validation cohort</x:t>
        </x:is>
      </x:c>
      <x:c r="I82" s="57" t="inlineStr">
        <x:is>
          <x:t xml:space="preserve">Acreage/price/mix plus R&amp;D trait value</x:t>
        </x:is>
      </x:c>
      <x:c r="J82" s="57" t="inlineStr">
        <x:is>
          <x:t xml:space="preserve">Normalized FCF + product pipeline</x:t>
        </x:is>
      </x:c>
      <x:c r="K82" s="57" t="inlineStr">
        <x:is>
          <x:t xml:space="preserve">Agricultural-input validation</x:t>
        </x:is>
      </x:c>
      <x:c r="L82" s="57" t="inlineStr">
        <x:is>
          <x:t xml:space="preserve">https://investors.corteva.com</x:t>
        </x:is>
      </x:c>
      <x:c r="M82" s="71" t="inlineStr">
        <x:is>
          <x:t xml:space="preserve">Seeded</x:t>
        </x:is>
      </x:c>
      <x:c r="N82" s="71" t="inlineStr">
        <x:is>
          <x:t xml:space="preserve">Unknown / Insufficiently Understood</x:t>
        </x:is>
      </x:c>
      <x:c r="O82" s="71" t="inlineStr">
        <x:is>
          <x:t xml:space="preserve">UNKNOWN</x:t>
        </x:is>
      </x:c>
      <x:c r="P82" s="71" t="inlineStr">
        <x:is>
          <x:t xml:space="preserve">UNKNOWN</x:t>
        </x:is>
      </x:c>
      <x:c r="Q82" s="71" t="inlineStr">
        <x:is>
          <x:t xml:space="preserve">UNKNOWN</x:t>
        </x:is>
      </x:c>
      <x:c r="R82" s="71" t="inlineStr">
        <x:is>
          <x:t xml:space="preserve">UNKNOWN</x:t>
        </x:is>
      </x:c>
      <x:c r="S82" s="71" t="inlineStr">
        <x:is>
          <x:t xml:space="preserve">UNKNOWN</x:t>
        </x:is>
      </x:c>
      <x:c r="T82" s="71" t="inlineStr">
        <x:is>
          <x:t xml:space="preserve">UNKNOWN</x:t>
        </x:is>
      </x:c>
      <x:c r="U82" s="71" t="inlineStr">
        <x:is>
          <x:t xml:space="preserve">Evidence pack and 10 historical cutoffs not yet completed</x:t>
        </x:is>
      </x:c>
      <x:c r="V82" s="79" t="str">
        <x:f>IF(U82&lt;&gt;"","BLOCKED - FATAL UNKNOWN",IF(COUNTIF(O82:T82,"FAIL")&gt;0,"BLOCKED - FAIL",IF(COUNTIF(O82:T82,"UNKNOWN")&gt;0,"UNVALIDATED",IF(COUNTIF(O82:T82,"PASS")=6,"READY","UNVALIDATED"))))</x:f>
        <x:v>BLOCKED - FATAL UNKNOWN</x:v>
      </x:c>
      <x:c r="W82" s="71" t="inlineStr">
        <x:is>
          <x:t xml:space="preserve">P3</x:t>
        </x:is>
      </x:c>
      <x:c r="X82" s="71" t="inlineStr">
        <x:is>
          <x:t xml:space="preserve">Collect primary filings; choose 10 eligible historical cutoffs; identify control company</x:t>
        </x:is>
      </x:c>
      <x:c r="Y82" s="206" t="n">
        <x:v>46264</x:v>
      </x:c>
      <x:c r="Z82" s="206" t="n">
        <x:v>46299</x:v>
      </x:c>
      <x:c r="AA82" s="71" t="inlineStr">
        <x:is>
          <x:t xml:space="preserve">Not an investment recommendation.</x:t>
        </x:is>
      </x:c>
      <x:c r="AB82" s="57" t="str"/>
      <x:c r="AC82" s="57" t="str"/>
      <x:c r="AD82" s="57" t="inlineStr">
        <x:is>
          <x:t xml:space="preserve">Global expansion seed</x:t>
        </x:is>
      </x:c>
      <x:c r="AE82" s="57" t="inlineStr">
        <x:is>
          <x:t xml:space="preserve">Validation</x:t>
        </x:is>
      </x:c>
    </x:row>
    <x:row r="83">
      <x:c r="A83" s="57" t="inlineStr">
        <x:is>
          <x:t xml:space="preserve">ARG-078</x:t>
        </x:is>
      </x:c>
      <x:c r="B83" s="57" t="inlineStr">
        <x:is>
          <x:t xml:space="preserve">Netflix</x:t>
        </x:is>
      </x:c>
      <x:c r="C83" s="57" t="inlineStr">
        <x:is>
          <x:t xml:space="preserve">NFLX</x:t>
        </x:is>
      </x:c>
      <x:c r="D83" s="57" t="inlineStr">
        <x:is>
          <x:t xml:space="preserve">NASDAQ</x:t>
        </x:is>
      </x:c>
      <x:c r="E83" s="57" t="inlineStr">
        <x:is>
          <x:t xml:space="preserve">United States</x:t>
        </x:is>
      </x:c>
      <x:c r="F83" s="57" t="inlineStr">
        <x:is>
          <x:t xml:space="preserve">Media &amp; Internet</x:t>
        </x:is>
      </x:c>
      <x:c r="G83" s="57" t="inlineStr">
        <x:is>
          <x:t xml:space="preserve">Streaming media</x:t>
        </x:is>
      </x:c>
      <x:c r="H83" s="57" t="inlineStr">
        <x:is>
          <x:t xml:space="preserve">Validation cohort</x:t>
        </x:is>
      </x:c>
      <x:c r="I83" s="57" t="inlineStr">
        <x:is>
          <x:t xml:space="preserve">Subscribers/ARPU/ad monetization − content cost</x:t>
        </x:is>
      </x:c>
      <x:c r="J83" s="57" t="inlineStr">
        <x:is>
          <x:t xml:space="preserve">Owner earnings + reverse DCF</x:t>
        </x:is>
      </x:c>
      <x:c r="K83" s="57" t="inlineStr">
        <x:is>
          <x:t xml:space="preserve">Media/attention validation</x:t>
        </x:is>
      </x:c>
      <x:c r="L83" s="57" t="inlineStr">
        <x:is>
          <x:t xml:space="preserve">https://ir.netflix.net</x:t>
        </x:is>
      </x:c>
      <x:c r="M83" s="71" t="inlineStr">
        <x:is>
          <x:t xml:space="preserve">Seeded</x:t>
        </x:is>
      </x:c>
      <x:c r="N83" s="71" t="inlineStr">
        <x:is>
          <x:t xml:space="preserve">Unknown / Insufficiently Understood</x:t>
        </x:is>
      </x:c>
      <x:c r="O83" s="71" t="inlineStr">
        <x:is>
          <x:t xml:space="preserve">UNKNOWN</x:t>
        </x:is>
      </x:c>
      <x:c r="P83" s="71" t="inlineStr">
        <x:is>
          <x:t xml:space="preserve">UNKNOWN</x:t>
        </x:is>
      </x:c>
      <x:c r="Q83" s="71" t="inlineStr">
        <x:is>
          <x:t xml:space="preserve">UNKNOWN</x:t>
        </x:is>
      </x:c>
      <x:c r="R83" s="71" t="inlineStr">
        <x:is>
          <x:t xml:space="preserve">UNKNOWN</x:t>
        </x:is>
      </x:c>
      <x:c r="S83" s="71" t="inlineStr">
        <x:is>
          <x:t xml:space="preserve">UNKNOWN</x:t>
        </x:is>
      </x:c>
      <x:c r="T83" s="71" t="inlineStr">
        <x:is>
          <x:t xml:space="preserve">UNKNOWN</x:t>
        </x:is>
      </x:c>
      <x:c r="U83" s="71" t="inlineStr">
        <x:is>
          <x:t xml:space="preserve">Evidence pack and 10 historical cutoffs not yet completed</x:t>
        </x:is>
      </x:c>
      <x:c r="V83" s="79" t="str">
        <x:f>IF(U83&lt;&gt;"","BLOCKED - FATAL UNKNOWN",IF(COUNTIF(O83:T83,"FAIL")&gt;0,"BLOCKED - FAIL",IF(COUNTIF(O83:T83,"UNKNOWN")&gt;0,"UNVALIDATED",IF(COUNTIF(O83:T83,"PASS")=6,"READY","UNVALIDATED"))))</x:f>
        <x:v>BLOCKED - FATAL UNKNOWN</x:v>
      </x:c>
      <x:c r="W83" s="71" t="inlineStr">
        <x:is>
          <x:t xml:space="preserve">P3</x:t>
        </x:is>
      </x:c>
      <x:c r="X83" s="71" t="inlineStr">
        <x:is>
          <x:t xml:space="preserve">Collect primary filings; choose 10 eligible historical cutoffs; identify control company</x:t>
        </x:is>
      </x:c>
      <x:c r="Y83" s="206" t="n">
        <x:v>46264</x:v>
      </x:c>
      <x:c r="Z83" s="206" t="n">
        <x:v>46299</x:v>
      </x:c>
      <x:c r="AA83" s="71" t="inlineStr">
        <x:is>
          <x:t xml:space="preserve">Not an investment recommendation.</x:t>
        </x:is>
      </x:c>
      <x:c r="AB83" s="57" t="str"/>
      <x:c r="AC83" s="57" t="str"/>
      <x:c r="AD83" s="57" t="inlineStr">
        <x:is>
          <x:t xml:space="preserve">Global expansion seed</x:t>
        </x:is>
      </x:c>
      <x:c r="AE83" s="57" t="inlineStr">
        <x:is>
          <x:t xml:space="preserve">Validation</x:t>
        </x:is>
      </x:c>
    </x:row>
    <x:row r="84">
      <x:c r="A84" s="57" t="inlineStr">
        <x:is>
          <x:t xml:space="preserve">ARG-079</x:t>
        </x:is>
      </x:c>
      <x:c r="B84" s="57" t="inlineStr">
        <x:is>
          <x:t xml:space="preserve">CME Group</x:t>
        </x:is>
      </x:c>
      <x:c r="C84" s="57" t="inlineStr">
        <x:is>
          <x:t xml:space="preserve">CME</x:t>
        </x:is>
      </x:c>
      <x:c r="D84" s="57" t="inlineStr">
        <x:is>
          <x:t xml:space="preserve">NASDAQ</x:t>
        </x:is>
      </x:c>
      <x:c r="E84" s="57" t="inlineStr">
        <x:is>
          <x:t xml:space="preserve">United States</x:t>
        </x:is>
      </x:c>
      <x:c r="F84" s="57" t="inlineStr">
        <x:is>
          <x:t xml:space="preserve">Business Services &amp; Exchanges</x:t>
        </x:is>
      </x:c>
      <x:c r="G84" s="57" t="inlineStr">
        <x:is>
          <x:t xml:space="preserve">Derivatives exchange</x:t>
        </x:is>
      </x:c>
      <x:c r="H84" s="57" t="inlineStr">
        <x:is>
          <x:t xml:space="preserve">Validation cohort</x:t>
        </x:is>
      </x:c>
      <x:c r="I84" s="57" t="inlineStr">
        <x:is>
          <x:t xml:space="preserve">Trading volume × fee plus market-data revenue</x:t>
        </x:is>
      </x:c>
      <x:c r="J84" s="57" t="inlineStr">
        <x:is>
          <x:t xml:space="preserve">Owner earnings + franchise DCF</x:t>
        </x:is>
      </x:c>
      <x:c r="K84" s="57" t="inlineStr">
        <x:is>
          <x:t xml:space="preserve">Exchange/network-effect validation</x:t>
        </x:is>
      </x:c>
      <x:c r="L84" s="57" t="inlineStr">
        <x:is>
          <x:t xml:space="preserve">https://investor.cmegroup.com</x:t>
        </x:is>
      </x:c>
      <x:c r="M84" s="71" t="inlineStr">
        <x:is>
          <x:t xml:space="preserve">Seeded</x:t>
        </x:is>
      </x:c>
      <x:c r="N84" s="71" t="inlineStr">
        <x:is>
          <x:t xml:space="preserve">Unknown / Insufficiently Understood</x:t>
        </x:is>
      </x:c>
      <x:c r="O84" s="71" t="inlineStr">
        <x:is>
          <x:t xml:space="preserve">UNKNOWN</x:t>
        </x:is>
      </x:c>
      <x:c r="P84" s="71" t="inlineStr">
        <x:is>
          <x:t xml:space="preserve">UNKNOWN</x:t>
        </x:is>
      </x:c>
      <x:c r="Q84" s="71" t="inlineStr">
        <x:is>
          <x:t xml:space="preserve">UNKNOWN</x:t>
        </x:is>
      </x:c>
      <x:c r="R84" s="71" t="inlineStr">
        <x:is>
          <x:t xml:space="preserve">UNKNOWN</x:t>
        </x:is>
      </x:c>
      <x:c r="S84" s="71" t="inlineStr">
        <x:is>
          <x:t xml:space="preserve">UNKNOWN</x:t>
        </x:is>
      </x:c>
      <x:c r="T84" s="71" t="inlineStr">
        <x:is>
          <x:t xml:space="preserve">UNKNOWN</x:t>
        </x:is>
      </x:c>
      <x:c r="U84" s="71" t="inlineStr">
        <x:is>
          <x:t xml:space="preserve">Evidence pack and 10 historical cutoffs not yet completed</x:t>
        </x:is>
      </x:c>
      <x:c r="V84" s="79" t="str">
        <x:f>IF(U84&lt;&gt;"","BLOCKED - FATAL UNKNOWN",IF(COUNTIF(O84:T84,"FAIL")&gt;0,"BLOCKED - FAIL",IF(COUNTIF(O84:T84,"UNKNOWN")&gt;0,"UNVALIDATED",IF(COUNTIF(O84:T84,"PASS")=6,"READY","UNVALIDATED"))))</x:f>
        <x:v>BLOCKED - FATAL UNKNOWN</x:v>
      </x:c>
      <x:c r="W84" s="71" t="inlineStr">
        <x:is>
          <x:t xml:space="preserve">P3</x:t>
        </x:is>
      </x:c>
      <x:c r="X84" s="71" t="inlineStr">
        <x:is>
          <x:t xml:space="preserve">Collect primary filings; choose 10 eligible historical cutoffs; identify control company</x:t>
        </x:is>
      </x:c>
      <x:c r="Y84" s="206" t="n">
        <x:v>46264</x:v>
      </x:c>
      <x:c r="Z84" s="206" t="n">
        <x:v>46299</x:v>
      </x:c>
      <x:c r="AA84" s="71" t="inlineStr">
        <x:is>
          <x:t xml:space="preserve">Not an investment recommendation.</x:t>
        </x:is>
      </x:c>
      <x:c r="AB84" s="57" t="str"/>
      <x:c r="AC84" s="57" t="str"/>
      <x:c r="AD84" s="57" t="inlineStr">
        <x:is>
          <x:t xml:space="preserve">Global expansion seed</x:t>
        </x:is>
      </x:c>
      <x:c r="AE84" s="57" t="inlineStr">
        <x:is>
          <x:t xml:space="preserve">Validation</x:t>
        </x:is>
      </x:c>
    </x:row>
    <x:row r="85">
      <x:c r="A85" s="57" t="inlineStr">
        <x:is>
          <x:t xml:space="preserve">ARG-080</x:t>
        </x:is>
      </x:c>
      <x:c r="B85" s="57" t="inlineStr">
        <x:is>
          <x:t xml:space="preserve">Intuitive Surgical</x:t>
        </x:is>
      </x:c>
      <x:c r="C85" s="57" t="inlineStr">
        <x:is>
          <x:t xml:space="preserve">ISRG</x:t>
        </x:is>
      </x:c>
      <x:c r="D85" s="57" t="inlineStr">
        <x:is>
          <x:t xml:space="preserve">NASDAQ</x:t>
        </x:is>
      </x:c>
      <x:c r="E85" s="57" t="inlineStr">
        <x:is>
          <x:t xml:space="preserve">United States</x:t>
        </x:is>
      </x:c>
      <x:c r="F85" s="57" t="inlineStr">
        <x:is>
          <x:t xml:space="preserve">Medical Devices</x:t>
        </x:is>
      </x:c>
      <x:c r="G85" s="57" t="inlineStr">
        <x:is>
          <x:t xml:space="preserve">Robotic surgery</x:t>
        </x:is>
      </x:c>
      <x:c r="H85" s="57" t="inlineStr">
        <x:is>
          <x:t xml:space="preserve">Validation cohort</x:t>
        </x:is>
      </x:c>
      <x:c r="I85" s="57" t="inlineStr">
        <x:is>
          <x:t xml:space="preserve">Installed base × procedures × instruments/service attach</x:t>
        </x:is>
      </x:c>
      <x:c r="J85" s="57" t="inlineStr">
        <x:is>
          <x:t xml:space="preserve">Product-line DCF</x:t>
        </x:is>
      </x:c>
      <x:c r="K85" s="57" t="inlineStr">
        <x:is>
          <x:t xml:space="preserve">Medical-device installed-base validation</x:t>
        </x:is>
      </x:c>
      <x:c r="L85" s="57" t="inlineStr">
        <x:is>
          <x:t xml:space="preserve">https://isrg.intuitive.com</x:t>
        </x:is>
      </x:c>
      <x:c r="M85" s="71" t="inlineStr">
        <x:is>
          <x:t xml:space="preserve">Seeded</x:t>
        </x:is>
      </x:c>
      <x:c r="N85" s="71" t="inlineStr">
        <x:is>
          <x:t xml:space="preserve">Unknown / Insufficiently Understood</x:t>
        </x:is>
      </x:c>
      <x:c r="O85" s="71" t="inlineStr">
        <x:is>
          <x:t xml:space="preserve">UNKNOWN</x:t>
        </x:is>
      </x:c>
      <x:c r="P85" s="71" t="inlineStr">
        <x:is>
          <x:t xml:space="preserve">UNKNOWN</x:t>
        </x:is>
      </x:c>
      <x:c r="Q85" s="71" t="inlineStr">
        <x:is>
          <x:t xml:space="preserve">UNKNOWN</x:t>
        </x:is>
      </x:c>
      <x:c r="R85" s="71" t="inlineStr">
        <x:is>
          <x:t xml:space="preserve">UNKNOWN</x:t>
        </x:is>
      </x:c>
      <x:c r="S85" s="71" t="inlineStr">
        <x:is>
          <x:t xml:space="preserve">UNKNOWN</x:t>
        </x:is>
      </x:c>
      <x:c r="T85" s="71" t="inlineStr">
        <x:is>
          <x:t xml:space="preserve">UNKNOWN</x:t>
        </x:is>
      </x:c>
      <x:c r="U85" s="71" t="inlineStr">
        <x:is>
          <x:t xml:space="preserve">Evidence pack and 10 historical cutoffs not yet completed</x:t>
        </x:is>
      </x:c>
      <x:c r="V85" s="79" t="str">
        <x:f>IF(U85&lt;&gt;"","BLOCKED - FATAL UNKNOWN",IF(COUNTIF(O85:T85,"FAIL")&gt;0,"BLOCKED - FAIL",IF(COUNTIF(O85:T85,"UNKNOWN")&gt;0,"UNVALIDATED",IF(COUNTIF(O85:T85,"PASS")=6,"READY","UNVALIDATED"))))</x:f>
        <x:v>BLOCKED - FATAL UNKNOWN</x:v>
      </x:c>
      <x:c r="W85" s="71" t="inlineStr">
        <x:is>
          <x:t xml:space="preserve">P3</x:t>
        </x:is>
      </x:c>
      <x:c r="X85" s="71" t="inlineStr">
        <x:is>
          <x:t xml:space="preserve">Collect primary filings; choose 10 eligible historical cutoffs; identify control company</x:t>
        </x:is>
      </x:c>
      <x:c r="Y85" s="206" t="n">
        <x:v>46264</x:v>
      </x:c>
      <x:c r="Z85" s="206" t="n">
        <x:v>46299</x:v>
      </x:c>
      <x:c r="AA85" s="71" t="inlineStr">
        <x:is>
          <x:t xml:space="preserve">Not an investment recommendation.</x:t>
        </x:is>
      </x:c>
      <x:c r="AB85" s="57" t="str"/>
      <x:c r="AC85" s="57" t="str"/>
      <x:c r="AD85" s="57" t="inlineStr">
        <x:is>
          <x:t xml:space="preserve">Global expansion seed</x:t>
        </x:is>
      </x:c>
      <x:c r="AE85" s="57" t="inlineStr">
        <x:is>
          <x:t xml:space="preserve">Validation</x:t>
        </x:is>
      </x:c>
    </x:row>
    <x:row r="86">
      <x:c r="A86" s="57" t="inlineStr">
        <x:is>
          <x:t xml:space="preserve">ARG-081</x:t>
        </x:is>
      </x:c>
      <x:c r="B86" s="57" t="inlineStr">
        <x:is>
          <x:t xml:space="preserve">International Seaways</x:t>
        </x:is>
      </x:c>
      <x:c r="C86" s="57" t="inlineStr">
        <x:is>
          <x:t xml:space="preserve">INSW</x:t>
        </x:is>
      </x:c>
      <x:c r="D86" s="57" t="inlineStr">
        <x:is>
          <x:t xml:space="preserve">NYSE</x:t>
        </x:is>
      </x:c>
      <x:c r="E86" s="57" t="inlineStr">
        <x:is>
          <x:t xml:space="preserve">United States</x:t>
        </x:is>
      </x:c>
      <x:c r="F86" s="57" t="inlineStr">
        <x:is>
          <x:t xml:space="preserve">Shipping</x:t>
        </x:is>
      </x:c>
      <x:c r="G86" s="57" t="inlineStr">
        <x:is>
          <x:t xml:space="preserve">Diversified tanker fleet</x:t>
        </x:is>
      </x:c>
      <x:c r="H86" s="57" t="inlineStr">
        <x:is>
          <x:t xml:space="preserve">Holdout cohort</x:t>
        </x:is>
      </x:c>
      <x:c r="I86" s="57" t="inlineStr">
        <x:is>
          <x:t xml:space="preserve">Fleet mix × rates × utilization − capital costs</x:t>
        </x:is>
      </x:c>
      <x:c r="J86" s="57" t="inlineStr">
        <x:is>
          <x:t xml:space="preserve">NAV + normalized TCE</x:t>
        </x:is>
      </x:c>
      <x:c r="K86" s="57" t="inlineStr">
        <x:is>
          <x:t xml:space="preserve">Company-level holdout; outcomes stay sealed</x:t>
        </x:is>
      </x:c>
      <x:c r="L86" s="57" t="inlineStr">
        <x:is>
          <x:t xml:space="preserve">https://www.intlseas.com/investors</x:t>
        </x:is>
      </x:c>
      <x:c r="M86" s="71" t="str">
        <x:v>P1 Deep Review V10.29</x:v>
      </x:c>
      <x:c r="N86" s="71" t="str">
        <x:v>Blocked / Owner Test</x:v>
      </x:c>
      <x:c r="O86" s="71" t="inlineStr">
        <x:is>
          <x:t xml:space="preserve">UNKNOWN</x:t>
        </x:is>
      </x:c>
      <x:c r="P86" s="71" t="inlineStr">
        <x:is>
          <x:t xml:space="preserve">UNKNOWN</x:t>
        </x:is>
      </x:c>
      <x:c r="Q86" s="71" t="inlineStr">
        <x:is>
          <x:t xml:space="preserve">UNKNOWN</x:t>
        </x:is>
      </x:c>
      <x:c r="R86" s="71" t="inlineStr">
        <x:is>
          <x:t xml:space="preserve">UNKNOWN</x:t>
        </x:is>
      </x:c>
      <x:c r="S86" s="71" t="inlineStr">
        <x:is>
          <x:t xml:space="preserve">UNKNOWN</x:t>
        </x:is>
      </x:c>
      <x:c r="T86" s="71" t="inlineStr">
        <x:is>
          <x:t xml:space="preserve">UNKNOWN</x:t>
        </x:is>
      </x:c>
      <x:c r="U86" s="71" t="str">
        <x:v>Segment-normalized TCE, fleet renewal cost and discount-to-NAV</x:v>
      </x:c>
      <x:c r="V86" s="79" t="str">
        <x:f>IF(U86&lt;&gt;"","BLOCKED - FATAL UNKNOWN",IF(COUNTIF(O86:T86,"FAIL")&gt;0,"BLOCKED - FAIL",IF(COUNTIF(O86:T86,"UNKNOWN")&gt;0,"UNVALIDATED",IF(COUNTIF(O86:T86,"PASS")=6,"READY","UNVALIDATED"))))</x:f>
        <x:v>BLOCKED - FATAL UNKNOWN</x:v>
      </x:c>
      <x:c r="W86" s="71" t="inlineStr">
        <x:is>
          <x:t xml:space="preserve">P1</x:t>
        </x:is>
      </x:c>
      <x:c r="X86" s="71" t="str">
        <x:v>SITUATIONAL ONLY — segment NAV/TCE and replacement-capex test required</x:v>
      </x:c>
      <x:c r="Y86" s="206" t="n">
        <x:v>46267</x:v>
      </x:c>
      <x:c r="Z86" s="206" t="n">
        <x:v>46274</x:v>
      </x:c>
      <x:c r="AA86" s="71" t="str">
        <x:v>V10.29 three-pass + contradiction log + Dalio Test completed. Q2 record net/adjusted income $295m; adjusted EBITDA $345m; quarterly FCF $261m; fleet 68 vessels spanning crude and product tankers.</x:v>
      </x:c>
      <x:c r="AB86" s="57" t="str"/>
      <x:c r="AC86" s="57" t="str"/>
      <x:c r="AD86" s="57" t="inlineStr">
        <x:is>
          <x:t xml:space="preserve">Global expansion seed</x:t>
        </x:is>
      </x:c>
      <x:c r="AE86" s="57" t="inlineStr">
        <x:is>
          <x:t xml:space="preserve">Holdout</x:t>
        </x:is>
      </x:c>
    </x:row>
    <x:row r="87">
      <x:c r="A87" s="57" t="inlineStr">
        <x:is>
          <x:t xml:space="preserve">ARG-082</x:t>
        </x:is>
      </x:c>
      <x:c r="B87" s="57" t="inlineStr">
        <x:is>
          <x:t xml:space="preserve">Frontline</x:t>
        </x:is>
      </x:c>
      <x:c r="C87" s="57" t="inlineStr">
        <x:is>
          <x:t xml:space="preserve">FRO</x:t>
        </x:is>
      </x:c>
      <x:c r="D87" s="57" t="inlineStr">
        <x:is>
          <x:t xml:space="preserve">NYSE</x:t>
        </x:is>
      </x:c>
      <x:c r="E87" s="57" t="inlineStr">
        <x:is>
          <x:t xml:space="preserve">Cyprus</x:t>
        </x:is>
      </x:c>
      <x:c r="F87" s="57" t="inlineStr">
        <x:is>
          <x:t xml:space="preserve">Shipping</x:t>
        </x:is>
      </x:c>
      <x:c r="G87" s="57" t="inlineStr">
        <x:is>
          <x:t xml:space="preserve">Large crude tanker fleet</x:t>
        </x:is>
      </x:c>
      <x:c r="H87" s="57" t="inlineStr">
        <x:is>
          <x:t xml:space="preserve">Holdout cohort</x:t>
        </x:is>
      </x:c>
      <x:c r="I87" s="57" t="inlineStr">
        <x:is>
          <x:t xml:space="preserve">Crude-tanker earning days × TCE − capital costs</x:t>
        </x:is>
      </x:c>
      <x:c r="J87" s="57" t="inlineStr">
        <x:is>
          <x:t xml:space="preserve">NAV + normalized TCE</x:t>
        </x:is>
      </x:c>
      <x:c r="K87" s="57" t="inlineStr">
        <x:is>
          <x:t xml:space="preserve">Shipping holdout control</x:t>
        </x:is>
      </x:c>
      <x:c r="L87" s="57" t="inlineStr">
        <x:is>
          <x:t xml:space="preserve">https://www.frontlineplc.cy/investor-relations</x:t>
        </x:is>
      </x:c>
      <x:c r="M87" s="71" t="str">
        <x:v>P1 Deep Review V10.29</x:v>
      </x:c>
      <x:c r="N87" s="71" t="str">
        <x:v>Blocked / Owner Test</x:v>
      </x:c>
      <x:c r="O87" s="71" t="inlineStr">
        <x:is>
          <x:t xml:space="preserve">UNKNOWN</x:t>
        </x:is>
      </x:c>
      <x:c r="P87" s="71" t="inlineStr">
        <x:is>
          <x:t xml:space="preserve">UNKNOWN</x:t>
        </x:is>
      </x:c>
      <x:c r="Q87" s="71" t="inlineStr">
        <x:is>
          <x:t xml:space="preserve">UNKNOWN</x:t>
        </x:is>
      </x:c>
      <x:c r="R87" s="71" t="inlineStr">
        <x:is>
          <x:t xml:space="preserve">UNKNOWN</x:t>
        </x:is>
      </x:c>
      <x:c r="S87" s="71" t="inlineStr">
        <x:is>
          <x:t xml:space="preserve">UNKNOWN</x:t>
        </x:is>
      </x:c>
      <x:c r="T87" s="71" t="inlineStr">
        <x:is>
          <x:t xml:space="preserve">UNKNOWN</x:t>
        </x:is>
      </x:c>
      <x:c r="U87" s="71" t="str">
        <x:v>Governance-adjusted NAV, normalized TCE and refinancing/fleet needs</x:v>
      </x:c>
      <x:c r="V87" s="79" t="str">
        <x:f>IF(U87&lt;&gt;"","BLOCKED - FATAL UNKNOWN",IF(COUNTIF(O87:T87,"FAIL")&gt;0,"BLOCKED - FAIL",IF(COUNTIF(O87:T87,"UNKNOWN")&gt;0,"UNVALIDATED",IF(COUNTIF(O87:T87,"PASS")=6,"READY","UNVALIDATED"))))</x:f>
        <x:v>BLOCKED - FATAL UNKNOWN</x:v>
      </x:c>
      <x:c r="W87" s="71" t="inlineStr">
        <x:is>
          <x:t xml:space="preserve">P1</x:t>
        </x:is>
      </x:c>
      <x:c r="X87" s="71" t="str">
        <x:v>SITUATIONAL ONLY — governance-adjusted NAV and normalized TCE required</x:v>
      </x:c>
      <x:c r="Y87" s="206" t="n">
        <x:v>46267</x:v>
      </x:c>
      <x:c r="Z87" s="206" t="n">
        <x:v>46274</x:v>
      </x:c>
      <x:c r="AA87" s="71" t="str">
        <x:v>V10.29 three-pass + contradiction log + Dalio Test completed. Q2 record net income $659.2m ($2.96/share); adjusted profit $580.2m ($2.61/share); revenue $943.3m; dividend $2.61/share.</x:v>
      </x:c>
      <x:c r="AB87" s="57" t="str"/>
      <x:c r="AC87" s="57" t="str"/>
      <x:c r="AD87" s="57" t="inlineStr">
        <x:is>
          <x:t xml:space="preserve">Global expansion seed</x:t>
        </x:is>
      </x:c>
      <x:c r="AE87" s="57" t="inlineStr">
        <x:is>
          <x:t xml:space="preserve">Holdout</x:t>
        </x:is>
      </x:c>
    </x:row>
    <x:row r="88">
      <x:c r="A88" s="57" t="inlineStr">
        <x:is>
          <x:t xml:space="preserve">ARG-083</x:t>
        </x:is>
      </x:c>
      <x:c r="B88" s="57" t="inlineStr">
        <x:is>
          <x:t xml:space="preserve">Lloyds Banking Group</x:t>
        </x:is>
      </x:c>
      <x:c r="C88" s="57" t="inlineStr">
        <x:is>
          <x:t xml:space="preserve">LLOY</x:t>
        </x:is>
      </x:c>
      <x:c r="D88" s="57" t="inlineStr">
        <x:is>
          <x:t xml:space="preserve">NYSE ADR</x:t>
        </x:is>
      </x:c>
      <x:c r="E88" s="57" t="inlineStr">
        <x:is>
          <x:t xml:space="preserve">United Kingdom</x:t>
        </x:is>
      </x:c>
      <x:c r="F88" s="57" t="inlineStr">
        <x:is>
          <x:t xml:space="preserve">Banks</x:t>
        </x:is>
      </x:c>
      <x:c r="G88" s="57" t="inlineStr">
        <x:is>
          <x:t xml:space="preserve">UK retail bank</x:t>
        </x:is>
      </x:c>
      <x:c r="H88" s="57" t="inlineStr">
        <x:is>
          <x:t xml:space="preserve">Holdout cohort</x:t>
        </x:is>
      </x:c>
      <x:c r="I88" s="57" t="inlineStr">
        <x:is>
          <x:t xml:space="preserve">Deposits/lending margin − credit losses/costs</x:t>
        </x:is>
      </x:c>
      <x:c r="J88" s="57" t="inlineStr">
        <x:is>
          <x:t xml:space="preserve">Tangible book + normalized earnings</x:t>
        </x:is>
      </x:c>
      <x:c r="K88" s="57" t="inlineStr">
        <x:is>
          <x:t xml:space="preserve">Bank holdout</x:t>
        </x:is>
      </x:c>
      <x:c r="L88" s="57" t="inlineStr">
        <x:is>
          <x:t xml:space="preserve">https://www.lloydsbankinggroup.com/investors.html</x:t>
        </x:is>
      </x:c>
      <x:c r="M88" s="71" t="inlineStr">
        <x:is>
          <x:t xml:space="preserve">Seeded</x:t>
        </x:is>
      </x:c>
      <x:c r="N88" s="71" t="inlineStr">
        <x:is>
          <x:t xml:space="preserve">Unknown / Insufficiently Understood</x:t>
        </x:is>
      </x:c>
      <x:c r="O88" s="71" t="inlineStr">
        <x:is>
          <x:t xml:space="preserve">UNKNOWN</x:t>
        </x:is>
      </x:c>
      <x:c r="P88" s="71" t="inlineStr">
        <x:is>
          <x:t xml:space="preserve">UNKNOWN</x:t>
        </x:is>
      </x:c>
      <x:c r="Q88" s="71" t="inlineStr">
        <x:is>
          <x:t xml:space="preserve">UNKNOWN</x:t>
        </x:is>
      </x:c>
      <x:c r="R88" s="71" t="inlineStr">
        <x:is>
          <x:t xml:space="preserve">UNKNOWN</x:t>
        </x:is>
      </x:c>
      <x:c r="S88" s="71" t="inlineStr">
        <x:is>
          <x:t xml:space="preserve">UNKNOWN</x:t>
        </x:is>
      </x:c>
      <x:c r="T88" s="71" t="inlineStr">
        <x:is>
          <x:t xml:space="preserve">UNKNOWN</x:t>
        </x:is>
      </x:c>
      <x:c r="U88" s="71" t="inlineStr">
        <x:is>
          <x:t xml:space="preserve">Evidence pack and 10 historical cutoffs not yet completed</x:t>
        </x:is>
      </x:c>
      <x:c r="V88" s="79" t="str">
        <x:f>IF(U88&lt;&gt;"","BLOCKED - FATAL UNKNOWN",IF(COUNTIF(O88:T88,"FAIL")&gt;0,"BLOCKED - FAIL",IF(COUNTIF(O88:T88,"UNKNOWN")&gt;0,"UNVALIDATED",IF(COUNTIF(O88:T88,"PASS")=6,"READY","UNVALIDATED"))))</x:f>
        <x:v>BLOCKED - FATAL UNKNOWN</x:v>
      </x:c>
      <x:c r="W88" s="71" t="inlineStr">
        <x:is>
          <x:t xml:space="preserve">P3</x:t>
        </x:is>
      </x:c>
      <x:c r="X88" s="71" t="inlineStr">
        <x:is>
          <x:t xml:space="preserve">Collect primary filings; choose 10 eligible historical cutoffs; identify control company</x:t>
        </x:is>
      </x:c>
      <x:c r="Y88" s="206" t="n">
        <x:v>46264</x:v>
      </x:c>
      <x:c r="Z88" s="206" t="n">
        <x:v>46299</x:v>
      </x:c>
      <x:c r="AA88" s="71" t="inlineStr">
        <x:is>
          <x:t xml:space="preserve">Not an investment recommendation.</x:t>
        </x:is>
      </x:c>
      <x:c r="AB88" s="57" t="str"/>
      <x:c r="AC88" s="57" t="str"/>
      <x:c r="AD88" s="57" t="inlineStr">
        <x:is>
          <x:t xml:space="preserve">Global expansion seed</x:t>
        </x:is>
      </x:c>
      <x:c r="AE88" s="57" t="inlineStr">
        <x:is>
          <x:t xml:space="preserve">Holdout</x:t>
        </x:is>
      </x:c>
    </x:row>
    <x:row r="89">
      <x:c r="A89" s="57" t="inlineStr">
        <x:is>
          <x:t xml:space="preserve">ARG-084</x:t>
        </x:is>
      </x:c>
      <x:c r="B89" s="57" t="inlineStr">
        <x:is>
          <x:t xml:space="preserve">Bank Leumi</x:t>
        </x:is>
      </x:c>
      <x:c r="C89" s="57" t="inlineStr">
        <x:is>
          <x:t xml:space="preserve">LUMI.TA</x:t>
        </x:is>
      </x:c>
      <x:c r="D89" s="57" t="inlineStr">
        <x:is>
          <x:t xml:space="preserve">Tel Aviv</x:t>
        </x:is>
      </x:c>
      <x:c r="E89" s="57" t="inlineStr">
        <x:is>
          <x:t xml:space="preserve">Israel</x:t>
        </x:is>
      </x:c>
      <x:c r="F89" s="57" t="inlineStr">
        <x:is>
          <x:t xml:space="preserve">Banks</x:t>
        </x:is>
      </x:c>
      <x:c r="G89" s="57" t="inlineStr">
        <x:is>
          <x:t xml:space="preserve">Israeli universal bank</x:t>
        </x:is>
      </x:c>
      <x:c r="H89" s="57" t="inlineStr">
        <x:is>
          <x:t xml:space="preserve">Holdout cohort</x:t>
        </x:is>
      </x:c>
      <x:c r="I89" s="57" t="inlineStr">
        <x:is>
          <x:t xml:space="preserve">Deposit franchise/lending/fees minus credit losses</x:t>
        </x:is>
      </x:c>
      <x:c r="J89" s="57" t="inlineStr">
        <x:is>
          <x:t xml:space="preserve">Tangible book + normalized ROE</x:t>
        </x:is>
      </x:c>
      <x:c r="K89" s="57" t="inlineStr">
        <x:is>
          <x:t xml:space="preserve">Local-bank holdout</x:t>
        </x:is>
      </x:c>
      <x:c r="L89" s="57" t="inlineStr">
        <x:is>
          <x:t xml:space="preserve">https://english.leumi.co.il/Investor_Relations</x:t>
        </x:is>
      </x:c>
      <x:c r="M89" s="71" t="inlineStr">
        <x:is>
          <x:t xml:space="preserve">Seeded</x:t>
        </x:is>
      </x:c>
      <x:c r="N89" s="71" t="inlineStr">
        <x:is>
          <x:t xml:space="preserve">Unknown / Insufficiently Understood</x:t>
        </x:is>
      </x:c>
      <x:c r="O89" s="71" t="inlineStr">
        <x:is>
          <x:t xml:space="preserve">UNKNOWN</x:t>
        </x:is>
      </x:c>
      <x:c r="P89" s="71" t="inlineStr">
        <x:is>
          <x:t xml:space="preserve">UNKNOWN</x:t>
        </x:is>
      </x:c>
      <x:c r="Q89" s="71" t="inlineStr">
        <x:is>
          <x:t xml:space="preserve">UNKNOWN</x:t>
        </x:is>
      </x:c>
      <x:c r="R89" s="71" t="inlineStr">
        <x:is>
          <x:t xml:space="preserve">UNKNOWN</x:t>
        </x:is>
      </x:c>
      <x:c r="S89" s="71" t="inlineStr">
        <x:is>
          <x:t xml:space="preserve">UNKNOWN</x:t>
        </x:is>
      </x:c>
      <x:c r="T89" s="71" t="inlineStr">
        <x:is>
          <x:t xml:space="preserve">UNKNOWN</x:t>
        </x:is>
      </x:c>
      <x:c r="U89" s="71" t="inlineStr">
        <x:is>
          <x:t xml:space="preserve">Evidence pack and 10 historical cutoffs not yet completed</x:t>
        </x:is>
      </x:c>
      <x:c r="V89" s="79" t="str">
        <x:f>IF(U89&lt;&gt;"","BLOCKED - FATAL UNKNOWN",IF(COUNTIF(O89:T89,"FAIL")&gt;0,"BLOCKED - FAIL",IF(COUNTIF(O89:T89,"UNKNOWN")&gt;0,"UNVALIDATED",IF(COUNTIF(O89:T89,"PASS")=6,"READY","UNVALIDATED"))))</x:f>
        <x:v>BLOCKED - FATAL UNKNOWN</x:v>
      </x:c>
      <x:c r="W89" s="71" t="inlineStr">
        <x:is>
          <x:t xml:space="preserve">P3</x:t>
        </x:is>
      </x:c>
      <x:c r="X89" s="71" t="inlineStr">
        <x:is>
          <x:t xml:space="preserve">Collect primary filings; choose 10 eligible historical cutoffs; identify control company</x:t>
        </x:is>
      </x:c>
      <x:c r="Y89" s="206" t="n">
        <x:v>46264</x:v>
      </x:c>
      <x:c r="Z89" s="206" t="n">
        <x:v>46299</x:v>
      </x:c>
      <x:c r="AA89" s="71" t="inlineStr">
        <x:is>
          <x:t xml:space="preserve">Not an investment recommendation.</x:t>
        </x:is>
      </x:c>
      <x:c r="AB89" s="57" t="str"/>
      <x:c r="AC89" s="57" t="str"/>
      <x:c r="AD89" s="57" t="inlineStr">
        <x:is>
          <x:t xml:space="preserve">Global expansion seed</x:t>
        </x:is>
      </x:c>
      <x:c r="AE89" s="57" t="inlineStr">
        <x:is>
          <x:t xml:space="preserve">Holdout</x:t>
        </x:is>
      </x:c>
    </x:row>
    <x:row r="90">
      <x:c r="A90" s="57" t="inlineStr">
        <x:is>
          <x:t xml:space="preserve">ARG-085</x:t>
        </x:is>
      </x:c>
      <x:c r="B90" s="57" t="inlineStr">
        <x:is>
          <x:t xml:space="preserve">American International Group</x:t>
        </x:is>
      </x:c>
      <x:c r="C90" s="57" t="inlineStr">
        <x:is>
          <x:t xml:space="preserve">AIG</x:t>
        </x:is>
      </x:c>
      <x:c r="D90" s="57" t="inlineStr">
        <x:is>
          <x:t xml:space="preserve">NYSE</x:t>
        </x:is>
      </x:c>
      <x:c r="E90" s="57" t="inlineStr">
        <x:is>
          <x:t xml:space="preserve">United States</x:t>
        </x:is>
      </x:c>
      <x:c r="F90" s="57" t="inlineStr">
        <x:is>
          <x:t xml:space="preserve">Insurance</x:t>
        </x:is>
      </x:c>
      <x:c r="G90" s="57" t="inlineStr">
        <x:is>
          <x:t xml:space="preserve">Global P&amp;C insurance</x:t>
        </x:is>
      </x:c>
      <x:c r="H90" s="57" t="inlineStr">
        <x:is>
          <x:t xml:space="preserve">Holdout cohort</x:t>
        </x:is>
      </x:c>
      <x:c r="I90" s="57" t="inlineStr">
        <x:is>
          <x:t xml:space="preserve">Underwriting plus float investment income</x:t>
        </x:is>
      </x:c>
      <x:c r="J90" s="57" t="inlineStr">
        <x:is>
          <x:t xml:space="preserve">Book growth + normalized underwriting</x:t>
        </x:is>
      </x:c>
      <x:c r="K90" s="57" t="inlineStr">
        <x:is>
          <x:t xml:space="preserve">Insurance holdout</x:t>
        </x:is>
      </x:c>
      <x:c r="L90" s="57" t="inlineStr">
        <x:is>
          <x:t xml:space="preserve">https://www.aig.com/home/investor-relations</x:t>
        </x:is>
      </x:c>
      <x:c r="M90" s="71" t="inlineStr">
        <x:is>
          <x:t xml:space="preserve">Seeded</x:t>
        </x:is>
      </x:c>
      <x:c r="N90" s="71" t="inlineStr">
        <x:is>
          <x:t xml:space="preserve">Unknown / Insufficiently Understood</x:t>
        </x:is>
      </x:c>
      <x:c r="O90" s="71" t="inlineStr">
        <x:is>
          <x:t xml:space="preserve">UNKNOWN</x:t>
        </x:is>
      </x:c>
      <x:c r="P90" s="71" t="inlineStr">
        <x:is>
          <x:t xml:space="preserve">UNKNOWN</x:t>
        </x:is>
      </x:c>
      <x:c r="Q90" s="71" t="inlineStr">
        <x:is>
          <x:t xml:space="preserve">UNKNOWN</x:t>
        </x:is>
      </x:c>
      <x:c r="R90" s="71" t="inlineStr">
        <x:is>
          <x:t xml:space="preserve">UNKNOWN</x:t>
        </x:is>
      </x:c>
      <x:c r="S90" s="71" t="inlineStr">
        <x:is>
          <x:t xml:space="preserve">UNKNOWN</x:t>
        </x:is>
      </x:c>
      <x:c r="T90" s="71" t="inlineStr">
        <x:is>
          <x:t xml:space="preserve">UNKNOWN</x:t>
        </x:is>
      </x:c>
      <x:c r="U90" s="71" t="inlineStr">
        <x:is>
          <x:t xml:space="preserve">Evidence pack and 10 historical cutoffs not yet completed</x:t>
        </x:is>
      </x:c>
      <x:c r="V90" s="79" t="str">
        <x:f>IF(U90&lt;&gt;"","BLOCKED - FATAL UNKNOWN",IF(COUNTIF(O90:T90,"FAIL")&gt;0,"BLOCKED - FAIL",IF(COUNTIF(O90:T90,"UNKNOWN")&gt;0,"UNVALIDATED",IF(COUNTIF(O90:T90,"PASS")=6,"READY","UNVALIDATED"))))</x:f>
        <x:v>BLOCKED - FATAL UNKNOWN</x:v>
      </x:c>
      <x:c r="W90" s="71" t="inlineStr">
        <x:is>
          <x:t xml:space="preserve">P3</x:t>
        </x:is>
      </x:c>
      <x:c r="X90" s="71" t="inlineStr">
        <x:is>
          <x:t xml:space="preserve">Collect primary filings; choose 10 eligible historical cutoffs; identify control company</x:t>
        </x:is>
      </x:c>
      <x:c r="Y90" s="206" t="n">
        <x:v>46264</x:v>
      </x:c>
      <x:c r="Z90" s="206" t="n">
        <x:v>46299</x:v>
      </x:c>
      <x:c r="AA90" s="71" t="inlineStr">
        <x:is>
          <x:t xml:space="preserve">Not an investment recommendation.</x:t>
        </x:is>
      </x:c>
      <x:c r="AB90" s="57" t="str"/>
      <x:c r="AC90" s="57" t="str"/>
      <x:c r="AD90" s="57" t="inlineStr">
        <x:is>
          <x:t xml:space="preserve">Global expansion seed</x:t>
        </x:is>
      </x:c>
      <x:c r="AE90" s="57" t="inlineStr">
        <x:is>
          <x:t xml:space="preserve">Holdout</x:t>
        </x:is>
      </x:c>
    </x:row>
    <x:row r="91">
      <x:c r="A91" s="57" t="inlineStr">
        <x:is>
          <x:t xml:space="preserve">ARG-086</x:t>
        </x:is>
      </x:c>
      <x:c r="B91" s="57" t="inlineStr">
        <x:is>
          <x:t xml:space="preserve">Travelers</x:t>
        </x:is>
      </x:c>
      <x:c r="C91" s="57" t="inlineStr">
        <x:is>
          <x:t xml:space="preserve">TRV</x:t>
        </x:is>
      </x:c>
      <x:c r="D91" s="57" t="inlineStr">
        <x:is>
          <x:t xml:space="preserve">NYSE</x:t>
        </x:is>
      </x:c>
      <x:c r="E91" s="57" t="inlineStr">
        <x:is>
          <x:t xml:space="preserve">United States</x:t>
        </x:is>
      </x:c>
      <x:c r="F91" s="57" t="inlineStr">
        <x:is>
          <x:t xml:space="preserve">Insurance</x:t>
        </x:is>
      </x:c>
      <x:c r="G91" s="57" t="inlineStr">
        <x:is>
          <x:t xml:space="preserve">US P&amp;C insurance</x:t>
        </x:is>
      </x:c>
      <x:c r="H91" s="57" t="inlineStr">
        <x:is>
          <x:t xml:space="preserve">Holdout cohort</x:t>
        </x:is>
      </x:c>
      <x:c r="I91" s="57" t="inlineStr">
        <x:is>
          <x:t xml:space="preserve">Risk pricing/retention/combined ratio plus float</x:t>
        </x:is>
      </x:c>
      <x:c r="J91" s="57" t="inlineStr">
        <x:is>
          <x:t xml:space="preserve">Book growth + normalized underwriting</x:t>
        </x:is>
      </x:c>
      <x:c r="K91" s="57" t="inlineStr">
        <x:is>
          <x:t xml:space="preserve">Insurance control holdout</x:t>
        </x:is>
      </x:c>
      <x:c r="L91" s="57" t="inlineStr">
        <x:is>
          <x:t xml:space="preserve">https://investor.travelers.com</x:t>
        </x:is>
      </x:c>
      <x:c r="M91" s="71" t="inlineStr">
        <x:is>
          <x:t xml:space="preserve">Seeded</x:t>
        </x:is>
      </x:c>
      <x:c r="N91" s="71" t="inlineStr">
        <x:is>
          <x:t xml:space="preserve">Unknown / Insufficiently Understood</x:t>
        </x:is>
      </x:c>
      <x:c r="O91" s="71" t="inlineStr">
        <x:is>
          <x:t xml:space="preserve">UNKNOWN</x:t>
        </x:is>
      </x:c>
      <x:c r="P91" s="71" t="inlineStr">
        <x:is>
          <x:t xml:space="preserve">UNKNOWN</x:t>
        </x:is>
      </x:c>
      <x:c r="Q91" s="71" t="inlineStr">
        <x:is>
          <x:t xml:space="preserve">UNKNOWN</x:t>
        </x:is>
      </x:c>
      <x:c r="R91" s="71" t="inlineStr">
        <x:is>
          <x:t xml:space="preserve">UNKNOWN</x:t>
        </x:is>
      </x:c>
      <x:c r="S91" s="71" t="inlineStr">
        <x:is>
          <x:t xml:space="preserve">UNKNOWN</x:t>
        </x:is>
      </x:c>
      <x:c r="T91" s="71" t="inlineStr">
        <x:is>
          <x:t xml:space="preserve">UNKNOWN</x:t>
        </x:is>
      </x:c>
      <x:c r="U91" s="71" t="inlineStr">
        <x:is>
          <x:t xml:space="preserve">Evidence pack and 10 historical cutoffs not yet completed</x:t>
        </x:is>
      </x:c>
      <x:c r="V91" s="79" t="str">
        <x:f>IF(U91&lt;&gt;"","BLOCKED - FATAL UNKNOWN",IF(COUNTIF(O91:T91,"FAIL")&gt;0,"BLOCKED - FAIL",IF(COUNTIF(O91:T91,"UNKNOWN")&gt;0,"UNVALIDATED",IF(COUNTIF(O91:T91,"PASS")=6,"READY","UNVALIDATED"))))</x:f>
        <x:v>BLOCKED - FATAL UNKNOWN</x:v>
      </x:c>
      <x:c r="W91" s="71" t="inlineStr">
        <x:is>
          <x:t xml:space="preserve">P3</x:t>
        </x:is>
      </x:c>
      <x:c r="X91" s="71" t="inlineStr">
        <x:is>
          <x:t xml:space="preserve">Collect primary filings; choose 10 eligible historical cutoffs; identify control company</x:t>
        </x:is>
      </x:c>
      <x:c r="Y91" s="206" t="n">
        <x:v>46264</x:v>
      </x:c>
      <x:c r="Z91" s="206" t="n">
        <x:v>46299</x:v>
      </x:c>
      <x:c r="AA91" s="71" t="inlineStr">
        <x:is>
          <x:t xml:space="preserve">Not an investment recommendation.</x:t>
        </x:is>
      </x:c>
      <x:c r="AB91" s="57" t="str"/>
      <x:c r="AC91" s="57" t="str"/>
      <x:c r="AD91" s="57" t="inlineStr">
        <x:is>
          <x:t xml:space="preserve">Global expansion seed</x:t>
        </x:is>
      </x:c>
      <x:c r="AE91" s="57" t="inlineStr">
        <x:is>
          <x:t xml:space="preserve">Holdout</x:t>
        </x:is>
      </x:c>
    </x:row>
    <x:row r="92">
      <x:c r="A92" s="57" t="inlineStr">
        <x:is>
          <x:t xml:space="preserve">ARG-087</x:t>
        </x:is>
      </x:c>
      <x:c r="B92" s="57" t="inlineStr">
        <x:is>
          <x:t xml:space="preserve">Regeneron Pharmaceuticals</x:t>
        </x:is>
      </x:c>
      <x:c r="C92" s="57" t="inlineStr">
        <x:is>
          <x:t xml:space="preserve">REGN</x:t>
        </x:is>
      </x:c>
      <x:c r="D92" s="57" t="inlineStr">
        <x:is>
          <x:t xml:space="preserve">NASDAQ</x:t>
        </x:is>
      </x:c>
      <x:c r="E92" s="57" t="inlineStr">
        <x:is>
          <x:t xml:space="preserve">United States</x:t>
        </x:is>
      </x:c>
      <x:c r="F92" s="57" t="inlineStr">
        <x:is>
          <x:t xml:space="preserve">Healthcare &amp; Biopharma</x:t>
        </x:is>
      </x:c>
      <x:c r="G92" s="57" t="inlineStr">
        <x:is>
          <x:t xml:space="preserve">Biotechnology portfolio</x:t>
        </x:is>
      </x:c>
      <x:c r="H92" s="57" t="inlineStr">
        <x:is>
          <x:t xml:space="preserve">Holdout cohort</x:t>
        </x:is>
      </x:c>
      <x:c r="I92" s="57" t="inlineStr">
        <x:is>
          <x:t xml:space="preserve">Existing product cash flows fund antibody pipeline</x:t>
        </x:is>
      </x:c>
      <x:c r="J92" s="57" t="inlineStr">
        <x:is>
          <x:t xml:space="preserve">Product DCF + rNPV</x:t>
        </x:is>
      </x:c>
      <x:c r="K92" s="57" t="inlineStr">
        <x:is>
          <x:t xml:space="preserve">Biotech holdout</x:t>
        </x:is>
      </x:c>
      <x:c r="L92" s="57" t="inlineStr">
        <x:is>
          <x:t xml:space="preserve">https://investor.regeneron.com</x:t>
        </x:is>
      </x:c>
      <x:c r="M92" s="71" t="inlineStr">
        <x:is>
          <x:t xml:space="preserve">Seeded</x:t>
        </x:is>
      </x:c>
      <x:c r="N92" s="71" t="inlineStr">
        <x:is>
          <x:t xml:space="preserve">Unknown / Insufficiently Understood</x:t>
        </x:is>
      </x:c>
      <x:c r="O92" s="71" t="inlineStr">
        <x:is>
          <x:t xml:space="preserve">UNKNOWN</x:t>
        </x:is>
      </x:c>
      <x:c r="P92" s="71" t="inlineStr">
        <x:is>
          <x:t xml:space="preserve">UNKNOWN</x:t>
        </x:is>
      </x:c>
      <x:c r="Q92" s="71" t="inlineStr">
        <x:is>
          <x:t xml:space="preserve">UNKNOWN</x:t>
        </x:is>
      </x:c>
      <x:c r="R92" s="71" t="inlineStr">
        <x:is>
          <x:t xml:space="preserve">UNKNOWN</x:t>
        </x:is>
      </x:c>
      <x:c r="S92" s="71" t="inlineStr">
        <x:is>
          <x:t xml:space="preserve">UNKNOWN</x:t>
        </x:is>
      </x:c>
      <x:c r="T92" s="71" t="inlineStr">
        <x:is>
          <x:t xml:space="preserve">UNKNOWN</x:t>
        </x:is>
      </x:c>
      <x:c r="U92" s="71" t="inlineStr">
        <x:is>
          <x:t xml:space="preserve">Evidence pack and 10 historical cutoffs not yet completed</x:t>
        </x:is>
      </x:c>
      <x:c r="V92" s="79" t="str">
        <x:f>IF(U92&lt;&gt;"","BLOCKED - FATAL UNKNOWN",IF(COUNTIF(O92:T92,"FAIL")&gt;0,"BLOCKED - FAIL",IF(COUNTIF(O92:T92,"UNKNOWN")&gt;0,"UNVALIDATED",IF(COUNTIF(O92:T92,"PASS")=6,"READY","UNVALIDATED"))))</x:f>
        <x:v>BLOCKED - FATAL UNKNOWN</x:v>
      </x:c>
      <x:c r="W92" s="71" t="inlineStr">
        <x:is>
          <x:t xml:space="preserve">P3</x:t>
        </x:is>
      </x:c>
      <x:c r="X92" s="71" t="inlineStr">
        <x:is>
          <x:t xml:space="preserve">Collect primary filings; choose 10 eligible historical cutoffs; identify control company</x:t>
        </x:is>
      </x:c>
      <x:c r="Y92" s="206" t="n">
        <x:v>46264</x:v>
      </x:c>
      <x:c r="Z92" s="206" t="n">
        <x:v>46299</x:v>
      </x:c>
      <x:c r="AA92" s="71" t="inlineStr">
        <x:is>
          <x:t xml:space="preserve">Not an investment recommendation.</x:t>
        </x:is>
      </x:c>
      <x:c r="AB92" s="57" t="str"/>
      <x:c r="AC92" s="57" t="str"/>
      <x:c r="AD92" s="57" t="inlineStr">
        <x:is>
          <x:t xml:space="preserve">Global expansion seed</x:t>
        </x:is>
      </x:c>
      <x:c r="AE92" s="57" t="inlineStr">
        <x:is>
          <x:t xml:space="preserve">Holdout</x:t>
        </x:is>
      </x:c>
    </x:row>
    <x:row r="93">
      <x:c r="A93" s="57" t="inlineStr">
        <x:is>
          <x:t xml:space="preserve">ARG-088</x:t>
        </x:is>
      </x:c>
      <x:c r="B93" s="57" t="inlineStr">
        <x:is>
          <x:t xml:space="preserve">Vertex Pharmaceuticals</x:t>
        </x:is>
      </x:c>
      <x:c r="C93" s="57" t="inlineStr">
        <x:is>
          <x:t xml:space="preserve">VRTX</x:t>
        </x:is>
      </x:c>
      <x:c r="D93" s="57" t="inlineStr">
        <x:is>
          <x:t xml:space="preserve">NASDAQ</x:t>
        </x:is>
      </x:c>
      <x:c r="E93" s="57" t="inlineStr">
        <x:is>
          <x:t xml:space="preserve">United States</x:t>
        </x:is>
      </x:c>
      <x:c r="F93" s="57" t="inlineStr">
        <x:is>
          <x:t xml:space="preserve">Healthcare &amp; Biopharma</x:t>
        </x:is>
      </x:c>
      <x:c r="G93" s="57" t="inlineStr">
        <x:is>
          <x:t xml:space="preserve">Specialty biotech</x:t>
        </x:is>
      </x:c>
      <x:c r="H93" s="57" t="inlineStr">
        <x:is>
          <x:t xml:space="preserve">Holdout cohort</x:t>
        </x:is>
      </x:c>
      <x:c r="I93" s="57" t="inlineStr">
        <x:is>
          <x:t xml:space="preserve">Franchise cash flows plus pipeline expansion</x:t>
        </x:is>
      </x:c>
      <x:c r="J93" s="57" t="inlineStr">
        <x:is>
          <x:t xml:space="preserve">Product DCF + rNPV</x:t>
        </x:is>
      </x:c>
      <x:c r="K93" s="57" t="inlineStr">
        <x:is>
          <x:t xml:space="preserve">Specialty-biotech holdout</x:t>
        </x:is>
      </x:c>
      <x:c r="L93" s="57" t="inlineStr">
        <x:is>
          <x:t xml:space="preserve">https://investors.vrtx.com</x:t>
        </x:is>
      </x:c>
      <x:c r="M93" s="71" t="inlineStr">
        <x:is>
          <x:t xml:space="preserve">Seeded</x:t>
        </x:is>
      </x:c>
      <x:c r="N93" s="71" t="inlineStr">
        <x:is>
          <x:t xml:space="preserve">Unknown / Insufficiently Understood</x:t>
        </x:is>
      </x:c>
      <x:c r="O93" s="71" t="inlineStr">
        <x:is>
          <x:t xml:space="preserve">UNKNOWN</x:t>
        </x:is>
      </x:c>
      <x:c r="P93" s="71" t="inlineStr">
        <x:is>
          <x:t xml:space="preserve">UNKNOWN</x:t>
        </x:is>
      </x:c>
      <x:c r="Q93" s="71" t="inlineStr">
        <x:is>
          <x:t xml:space="preserve">UNKNOWN</x:t>
        </x:is>
      </x:c>
      <x:c r="R93" s="71" t="inlineStr">
        <x:is>
          <x:t xml:space="preserve">UNKNOWN</x:t>
        </x:is>
      </x:c>
      <x:c r="S93" s="71" t="inlineStr">
        <x:is>
          <x:t xml:space="preserve">UNKNOWN</x:t>
        </x:is>
      </x:c>
      <x:c r="T93" s="71" t="inlineStr">
        <x:is>
          <x:t xml:space="preserve">UNKNOWN</x:t>
        </x:is>
      </x:c>
      <x:c r="U93" s="71" t="inlineStr">
        <x:is>
          <x:t xml:space="preserve">Evidence pack and 10 historical cutoffs not yet completed</x:t>
        </x:is>
      </x:c>
      <x:c r="V93" s="79" t="str">
        <x:f>IF(U93&lt;&gt;"","BLOCKED - FATAL UNKNOWN",IF(COUNTIF(O93:T93,"FAIL")&gt;0,"BLOCKED - FAIL",IF(COUNTIF(O93:T93,"UNKNOWN")&gt;0,"UNVALIDATED",IF(COUNTIF(O93:T93,"PASS")=6,"READY","UNVALIDATED"))))</x:f>
        <x:v>BLOCKED - FATAL UNKNOWN</x:v>
      </x:c>
      <x:c r="W93" s="71" t="inlineStr">
        <x:is>
          <x:t xml:space="preserve">P3</x:t>
        </x:is>
      </x:c>
      <x:c r="X93" s="71" t="inlineStr">
        <x:is>
          <x:t xml:space="preserve">Collect primary filings; choose 10 eligible historical cutoffs; identify control company</x:t>
        </x:is>
      </x:c>
      <x:c r="Y93" s="206" t="n">
        <x:v>46264</x:v>
      </x:c>
      <x:c r="Z93" s="206" t="n">
        <x:v>46299</x:v>
      </x:c>
      <x:c r="AA93" s="71" t="inlineStr">
        <x:is>
          <x:t xml:space="preserve">Not an investment recommendation.</x:t>
        </x:is>
      </x:c>
      <x:c r="AB93" s="57" t="str"/>
      <x:c r="AC93" s="57" t="str"/>
      <x:c r="AD93" s="57" t="inlineStr">
        <x:is>
          <x:t xml:space="preserve">Global expansion seed</x:t>
        </x:is>
      </x:c>
      <x:c r="AE93" s="57" t="inlineStr">
        <x:is>
          <x:t xml:space="preserve">Holdout</x:t>
        </x:is>
      </x:c>
    </x:row>
    <x:row r="94">
      <x:c r="A94" s="57" t="inlineStr">
        <x:is>
          <x:t xml:space="preserve">ARG-089</x:t>
        </x:is>
      </x:c>
      <x:c r="B94" s="57" t="inlineStr">
        <x:is>
          <x:t xml:space="preserve">UnitedHealth Group</x:t>
        </x:is>
      </x:c>
      <x:c r="C94" s="57" t="inlineStr">
        <x:is>
          <x:t xml:space="preserve">UNH</x:t>
        </x:is>
      </x:c>
      <x:c r="D94" s="57" t="inlineStr">
        <x:is>
          <x:t xml:space="preserve">NYSE</x:t>
        </x:is>
      </x:c>
      <x:c r="E94" s="57" t="inlineStr">
        <x:is>
          <x:t xml:space="preserve">United States</x:t>
        </x:is>
      </x:c>
      <x:c r="F94" s="57" t="inlineStr">
        <x:is>
          <x:t xml:space="preserve">Healthcare &amp; Biopharma</x:t>
        </x:is>
      </x:c>
      <x:c r="G94" s="57" t="inlineStr">
        <x:is>
          <x:t xml:space="preserve">Managed care and services</x:t>
        </x:is>
      </x:c>
      <x:c r="H94" s="57" t="inlineStr">
        <x:is>
          <x:t xml:space="preserve">Holdout cohort</x:t>
        </x:is>
      </x:c>
      <x:c r="I94" s="57" t="inlineStr">
        <x:is>
          <x:t xml:space="preserve">Membership/premium yield/care cost plus services</x:t>
        </x:is>
      </x:c>
      <x:c r="J94" s="57" t="inlineStr">
        <x:is>
          <x:t xml:space="preserve">Normalized earnings + SOTP</x:t>
        </x:is>
      </x:c>
      <x:c r="K94" s="57" t="inlineStr">
        <x:is>
          <x:t xml:space="preserve">Managed-care holdout</x:t>
        </x:is>
      </x:c>
      <x:c r="L94" s="57" t="inlineStr">
        <x:is>
          <x:t xml:space="preserve">https://www.unitedhealthgroup.com/investors.html</x:t>
        </x:is>
      </x:c>
      <x:c r="M94" s="71" t="inlineStr">
        <x:is>
          <x:t xml:space="preserve">Seeded</x:t>
        </x:is>
      </x:c>
      <x:c r="N94" s="71" t="inlineStr">
        <x:is>
          <x:t xml:space="preserve">Unknown / Insufficiently Understood</x:t>
        </x:is>
      </x:c>
      <x:c r="O94" s="71" t="inlineStr">
        <x:is>
          <x:t xml:space="preserve">UNKNOWN</x:t>
        </x:is>
      </x:c>
      <x:c r="P94" s="71" t="inlineStr">
        <x:is>
          <x:t xml:space="preserve">UNKNOWN</x:t>
        </x:is>
      </x:c>
      <x:c r="Q94" s="71" t="inlineStr">
        <x:is>
          <x:t xml:space="preserve">UNKNOWN</x:t>
        </x:is>
      </x:c>
      <x:c r="R94" s="71" t="inlineStr">
        <x:is>
          <x:t xml:space="preserve">UNKNOWN</x:t>
        </x:is>
      </x:c>
      <x:c r="S94" s="71" t="inlineStr">
        <x:is>
          <x:t xml:space="preserve">UNKNOWN</x:t>
        </x:is>
      </x:c>
      <x:c r="T94" s="71" t="inlineStr">
        <x:is>
          <x:t xml:space="preserve">UNKNOWN</x:t>
        </x:is>
      </x:c>
      <x:c r="U94" s="71" t="inlineStr">
        <x:is>
          <x:t xml:space="preserve">Evidence pack and 10 historical cutoffs not yet completed</x:t>
        </x:is>
      </x:c>
      <x:c r="V94" s="79" t="str">
        <x:f>IF(U94&lt;&gt;"","BLOCKED - FATAL UNKNOWN",IF(COUNTIF(O94:T94,"FAIL")&gt;0,"BLOCKED - FAIL",IF(COUNTIF(O94:T94,"UNKNOWN")&gt;0,"UNVALIDATED",IF(COUNTIF(O94:T94,"PASS")=6,"READY","UNVALIDATED"))))</x:f>
        <x:v>BLOCKED - FATAL UNKNOWN</x:v>
      </x:c>
      <x:c r="W94" s="71" t="inlineStr">
        <x:is>
          <x:t xml:space="preserve">P3</x:t>
        </x:is>
      </x:c>
      <x:c r="X94" s="71" t="inlineStr">
        <x:is>
          <x:t xml:space="preserve">Collect primary filings; choose 10 eligible historical cutoffs; identify control company</x:t>
        </x:is>
      </x:c>
      <x:c r="Y94" s="206" t="n">
        <x:v>46264</x:v>
      </x:c>
      <x:c r="Z94" s="206" t="n">
        <x:v>46299</x:v>
      </x:c>
      <x:c r="AA94" s="71" t="inlineStr">
        <x:is>
          <x:t xml:space="preserve">Not an investment recommendation.</x:t>
        </x:is>
      </x:c>
      <x:c r="AB94" s="57" t="str"/>
      <x:c r="AC94" s="57" t="str"/>
      <x:c r="AD94" s="57" t="inlineStr">
        <x:is>
          <x:t xml:space="preserve">Global expansion seed</x:t>
        </x:is>
      </x:c>
      <x:c r="AE94" s="57" t="inlineStr">
        <x:is>
          <x:t xml:space="preserve">Holdout</x:t>
        </x:is>
      </x:c>
    </x:row>
    <x:row r="95">
      <x:c r="A95" s="57" t="inlineStr">
        <x:is>
          <x:t xml:space="preserve">ARG-090</x:t>
        </x:is>
      </x:c>
      <x:c r="B95" s="57" t="inlineStr">
        <x:is>
          <x:t xml:space="preserve">PepsiCo</x:t>
        </x:is>
      </x:c>
      <x:c r="C95" s="57" t="inlineStr">
        <x:is>
          <x:t xml:space="preserve">PEP</x:t>
        </x:is>
      </x:c>
      <x:c r="D95" s="57" t="inlineStr">
        <x:is>
          <x:t xml:space="preserve">NASDAQ</x:t>
        </x:is>
      </x:c>
      <x:c r="E95" s="57" t="inlineStr">
        <x:is>
          <x:t xml:space="preserve">United States</x:t>
        </x:is>
      </x:c>
      <x:c r="F95" s="57" t="inlineStr">
        <x:is>
          <x:t xml:space="preserve">Consumer</x:t>
        </x:is>
      </x:c>
      <x:c r="G95" s="57" t="inlineStr">
        <x:is>
          <x:t xml:space="preserve">Snacks and beverages</x:t>
        </x:is>
      </x:c>
      <x:c r="H95" s="57" t="inlineStr">
        <x:is>
          <x:t xml:space="preserve">Holdout cohort</x:t>
        </x:is>
      </x:c>
      <x:c r="I95" s="57" t="inlineStr">
        <x:is>
          <x:t xml:space="preserve">Volume/price/mix plus distribution scale</x:t>
        </x:is>
      </x:c>
      <x:c r="J95" s="57" t="inlineStr">
        <x:is>
          <x:t xml:space="preserve">Normalized FCF</x:t>
        </x:is>
      </x:c>
      <x:c r="K95" s="57" t="inlineStr">
        <x:is>
          <x:t xml:space="preserve">Staples holdout</x:t>
        </x:is>
      </x:c>
      <x:c r="L95" s="57" t="inlineStr">
        <x:is>
          <x:t xml:space="preserve">https://www.pepsico.com/investors</x:t>
        </x:is>
      </x:c>
      <x:c r="M95" s="71" t="inlineStr">
        <x:is>
          <x:t xml:space="preserve">Seeded</x:t>
        </x:is>
      </x:c>
      <x:c r="N95" s="71" t="inlineStr">
        <x:is>
          <x:t xml:space="preserve">Unknown / Insufficiently Understood</x:t>
        </x:is>
      </x:c>
      <x:c r="O95" s="71" t="inlineStr">
        <x:is>
          <x:t xml:space="preserve">UNKNOWN</x:t>
        </x:is>
      </x:c>
      <x:c r="P95" s="71" t="inlineStr">
        <x:is>
          <x:t xml:space="preserve">UNKNOWN</x:t>
        </x:is>
      </x:c>
      <x:c r="Q95" s="71" t="inlineStr">
        <x:is>
          <x:t xml:space="preserve">UNKNOWN</x:t>
        </x:is>
      </x:c>
      <x:c r="R95" s="71" t="inlineStr">
        <x:is>
          <x:t xml:space="preserve">UNKNOWN</x:t>
        </x:is>
      </x:c>
      <x:c r="S95" s="71" t="inlineStr">
        <x:is>
          <x:t xml:space="preserve">UNKNOWN</x:t>
        </x:is>
      </x:c>
      <x:c r="T95" s="71" t="inlineStr">
        <x:is>
          <x:t xml:space="preserve">UNKNOWN</x:t>
        </x:is>
      </x:c>
      <x:c r="U95" s="71" t="inlineStr">
        <x:is>
          <x:t xml:space="preserve">Evidence pack and 10 historical cutoffs not yet completed</x:t>
        </x:is>
      </x:c>
      <x:c r="V95" s="79" t="str">
        <x:f>IF(U95&lt;&gt;"","BLOCKED - FATAL UNKNOWN",IF(COUNTIF(O95:T95,"FAIL")&gt;0,"BLOCKED - FAIL",IF(COUNTIF(O95:T95,"UNKNOWN")&gt;0,"UNVALIDATED",IF(COUNTIF(O95:T95,"PASS")=6,"READY","UNVALIDATED"))))</x:f>
        <x:v>BLOCKED - FATAL UNKNOWN</x:v>
      </x:c>
      <x:c r="W95" s="71" t="inlineStr">
        <x:is>
          <x:t xml:space="preserve">P3</x:t>
        </x:is>
      </x:c>
      <x:c r="X95" s="71" t="inlineStr">
        <x:is>
          <x:t xml:space="preserve">Collect primary filings; choose 10 eligible historical cutoffs; identify control company</x:t>
        </x:is>
      </x:c>
      <x:c r="Y95" s="206" t="n">
        <x:v>46264</x:v>
      </x:c>
      <x:c r="Z95" s="206" t="n">
        <x:v>46299</x:v>
      </x:c>
      <x:c r="AA95" s="71" t="inlineStr">
        <x:is>
          <x:t xml:space="preserve">Not an investment recommendation.</x:t>
        </x:is>
      </x:c>
      <x:c r="AB95" s="57" t="str"/>
      <x:c r="AC95" s="57" t="str"/>
      <x:c r="AD95" s="57" t="inlineStr">
        <x:is>
          <x:t xml:space="preserve">Global expansion seed</x:t>
        </x:is>
      </x:c>
      <x:c r="AE95" s="57" t="inlineStr">
        <x:is>
          <x:t xml:space="preserve">Holdout</x:t>
        </x:is>
      </x:c>
    </x:row>
    <x:row r="96">
      <x:c r="A96" s="57" t="inlineStr">
        <x:is>
          <x:t xml:space="preserve">ARG-091</x:t>
        </x:is>
      </x:c>
      <x:c r="B96" s="57" t="inlineStr">
        <x:is>
          <x:t xml:space="preserve">LVMH</x:t>
        </x:is>
      </x:c>
      <x:c r="C96" s="57" t="inlineStr">
        <x:is>
          <x:t xml:space="preserve">MC.PA</x:t>
        </x:is>
      </x:c>
      <x:c r="D96" s="57" t="inlineStr">
        <x:is>
          <x:t xml:space="preserve">Euronext Paris</x:t>
        </x:is>
      </x:c>
      <x:c r="E96" s="57" t="inlineStr">
        <x:is>
          <x:t xml:space="preserve">France</x:t>
        </x:is>
      </x:c>
      <x:c r="F96" s="57" t="inlineStr">
        <x:is>
          <x:t xml:space="preserve">Consumer</x:t>
        </x:is>
      </x:c>
      <x:c r="G96" s="57" t="inlineStr">
        <x:is>
          <x:t xml:space="preserve">Luxury goods</x:t>
        </x:is>
      </x:c>
      <x:c r="H96" s="57" t="inlineStr">
        <x:is>
          <x:t xml:space="preserve">Holdout cohort</x:t>
        </x:is>
      </x:c>
      <x:c r="I96" s="57" t="inlineStr">
        <x:is>
          <x:t xml:space="preserve">Brand heat × volume/price/mix × distribution control</x:t>
        </x:is>
      </x:c>
      <x:c r="J96" s="57" t="inlineStr">
        <x:is>
          <x:t xml:space="preserve">Normalized FCF + SOTP</x:t>
        </x:is>
      </x:c>
      <x:c r="K96" s="57" t="inlineStr">
        <x:is>
          <x:t xml:space="preserve">Luxury holdout</x:t>
        </x:is>
      </x:c>
      <x:c r="L96" s="57" t="inlineStr">
        <x:is>
          <x:t xml:space="preserve">https://www.lvmh.com/investors</x:t>
        </x:is>
      </x:c>
      <x:c r="M96" s="71" t="inlineStr">
        <x:is>
          <x:t xml:space="preserve">Seeded</x:t>
        </x:is>
      </x:c>
      <x:c r="N96" s="71" t="inlineStr">
        <x:is>
          <x:t xml:space="preserve">Unknown / Insufficiently Understood</x:t>
        </x:is>
      </x:c>
      <x:c r="O96" s="71" t="inlineStr">
        <x:is>
          <x:t xml:space="preserve">UNKNOWN</x:t>
        </x:is>
      </x:c>
      <x:c r="P96" s="71" t="inlineStr">
        <x:is>
          <x:t xml:space="preserve">UNKNOWN</x:t>
        </x:is>
      </x:c>
      <x:c r="Q96" s="71" t="inlineStr">
        <x:is>
          <x:t xml:space="preserve">UNKNOWN</x:t>
        </x:is>
      </x:c>
      <x:c r="R96" s="71" t="inlineStr">
        <x:is>
          <x:t xml:space="preserve">UNKNOWN</x:t>
        </x:is>
      </x:c>
      <x:c r="S96" s="71" t="inlineStr">
        <x:is>
          <x:t xml:space="preserve">UNKNOWN</x:t>
        </x:is>
      </x:c>
      <x:c r="T96" s="71" t="inlineStr">
        <x:is>
          <x:t xml:space="preserve">UNKNOWN</x:t>
        </x:is>
      </x:c>
      <x:c r="U96" s="71" t="inlineStr">
        <x:is>
          <x:t xml:space="preserve">Evidence pack and 10 historical cutoffs not yet completed</x:t>
        </x:is>
      </x:c>
      <x:c r="V96" s="79" t="str">
        <x:f>IF(U96&lt;&gt;"","BLOCKED - FATAL UNKNOWN",IF(COUNTIF(O96:T96,"FAIL")&gt;0,"BLOCKED - FAIL",IF(COUNTIF(O96:T96,"UNKNOWN")&gt;0,"UNVALIDATED",IF(COUNTIF(O96:T96,"PASS")=6,"READY","UNVALIDATED"))))</x:f>
        <x:v>BLOCKED - FATAL UNKNOWN</x:v>
      </x:c>
      <x:c r="W96" s="71" t="inlineStr">
        <x:is>
          <x:t xml:space="preserve">P3</x:t>
        </x:is>
      </x:c>
      <x:c r="X96" s="71" t="inlineStr">
        <x:is>
          <x:t xml:space="preserve">Collect primary filings; choose 10 eligible historical cutoffs; identify control company</x:t>
        </x:is>
      </x:c>
      <x:c r="Y96" s="206" t="n">
        <x:v>46264</x:v>
      </x:c>
      <x:c r="Z96" s="206" t="n">
        <x:v>46299</x:v>
      </x:c>
      <x:c r="AA96" s="71" t="inlineStr">
        <x:is>
          <x:t xml:space="preserve">Not an investment recommendation.</x:t>
        </x:is>
      </x:c>
      <x:c r="AB96" s="57" t="str"/>
      <x:c r="AC96" s="57" t="str"/>
      <x:c r="AD96" s="57" t="inlineStr">
        <x:is>
          <x:t xml:space="preserve">Global expansion seed</x:t>
        </x:is>
      </x:c>
      <x:c r="AE96" s="57" t="inlineStr">
        <x:is>
          <x:t xml:space="preserve">Holdout</x:t>
        </x:is>
      </x:c>
    </x:row>
    <x:row r="97">
      <x:c r="A97" s="57" t="inlineStr">
        <x:is>
          <x:t xml:space="preserve">ARG-092</x:t>
        </x:is>
      </x:c>
      <x:c r="B97" s="57" t="inlineStr">
        <x:is>
          <x:t xml:space="preserve">MercadoLibre</x:t>
        </x:is>
      </x:c>
      <x:c r="C97" s="57" t="inlineStr">
        <x:is>
          <x:t xml:space="preserve">MELI</x:t>
        </x:is>
      </x:c>
      <x:c r="D97" s="57" t="inlineStr">
        <x:is>
          <x:t xml:space="preserve">NASDAQ</x:t>
        </x:is>
      </x:c>
      <x:c r="E97" s="57" t="inlineStr">
        <x:is>
          <x:t xml:space="preserve">Uruguay</x:t>
        </x:is>
      </x:c>
      <x:c r="F97" s="57" t="inlineStr">
        <x:is>
          <x:t xml:space="preserve">Consumer</x:t>
        </x:is>
      </x:c>
      <x:c r="G97" s="57" t="inlineStr">
        <x:is>
          <x:t xml:space="preserve">E-commerce and fintech</x:t>
        </x:is>
      </x:c>
      <x:c r="H97" s="57" t="inlineStr">
        <x:is>
          <x:t xml:space="preserve">Holdout cohort</x:t>
        </x:is>
      </x:c>
      <x:c r="I97" s="57" t="inlineStr">
        <x:is>
          <x:t xml:space="preserve">Commerce volume/logistics plus payments/credit economics</x:t>
        </x:is>
      </x:c>
      <x:c r="J97" s="57" t="inlineStr">
        <x:is>
          <x:t xml:space="preserve">SOTP + owner earnings</x:t>
        </x:is>
      </x:c>
      <x:c r="K97" s="57" t="inlineStr">
        <x:is>
          <x:t xml:space="preserve">Emerging-market platform holdout</x:t>
        </x:is>
      </x:c>
      <x:c r="L97" s="57" t="inlineStr">
        <x:is>
          <x:t xml:space="preserve">https://investor.mercadolibre.com</x:t>
        </x:is>
      </x:c>
      <x:c r="M97" s="71" t="inlineStr">
        <x:is>
          <x:t xml:space="preserve">Seeded</x:t>
        </x:is>
      </x:c>
      <x:c r="N97" s="71" t="inlineStr">
        <x:is>
          <x:t xml:space="preserve">Unknown / Insufficiently Understood</x:t>
        </x:is>
      </x:c>
      <x:c r="O97" s="71" t="inlineStr">
        <x:is>
          <x:t xml:space="preserve">UNKNOWN</x:t>
        </x:is>
      </x:c>
      <x:c r="P97" s="71" t="inlineStr">
        <x:is>
          <x:t xml:space="preserve">UNKNOWN</x:t>
        </x:is>
      </x:c>
      <x:c r="Q97" s="71" t="inlineStr">
        <x:is>
          <x:t xml:space="preserve">UNKNOWN</x:t>
        </x:is>
      </x:c>
      <x:c r="R97" s="71" t="inlineStr">
        <x:is>
          <x:t xml:space="preserve">UNKNOWN</x:t>
        </x:is>
      </x:c>
      <x:c r="S97" s="71" t="inlineStr">
        <x:is>
          <x:t xml:space="preserve">UNKNOWN</x:t>
        </x:is>
      </x:c>
      <x:c r="T97" s="71" t="inlineStr">
        <x:is>
          <x:t xml:space="preserve">UNKNOWN</x:t>
        </x:is>
      </x:c>
      <x:c r="U97" s="71" t="inlineStr">
        <x:is>
          <x:t xml:space="preserve">Evidence pack and 10 historical cutoffs not yet completed</x:t>
        </x:is>
      </x:c>
      <x:c r="V97" s="79" t="str">
        <x:f>IF(U97&lt;&gt;"","BLOCKED - FATAL UNKNOWN",IF(COUNTIF(O97:T97,"FAIL")&gt;0,"BLOCKED - FAIL",IF(COUNTIF(O97:T97,"UNKNOWN")&gt;0,"UNVALIDATED",IF(COUNTIF(O97:T97,"PASS")=6,"READY","UNVALIDATED"))))</x:f>
        <x:v>BLOCKED - FATAL UNKNOWN</x:v>
      </x:c>
      <x:c r="W97" s="71" t="inlineStr">
        <x:is>
          <x:t xml:space="preserve">P3</x:t>
        </x:is>
      </x:c>
      <x:c r="X97" s="71" t="inlineStr">
        <x:is>
          <x:t xml:space="preserve">Collect primary filings; choose 10 eligible historical cutoffs; identify control company</x:t>
        </x:is>
      </x:c>
      <x:c r="Y97" s="206" t="n">
        <x:v>46264</x:v>
      </x:c>
      <x:c r="Z97" s="206" t="n">
        <x:v>46299</x:v>
      </x:c>
      <x:c r="AA97" s="71" t="inlineStr">
        <x:is>
          <x:t xml:space="preserve">Not an investment recommendation.</x:t>
        </x:is>
      </x:c>
      <x:c r="AB97" s="57" t="str"/>
      <x:c r="AC97" s="57" t="str"/>
      <x:c r="AD97" s="57" t="inlineStr">
        <x:is>
          <x:t xml:space="preserve">Global expansion seed</x:t>
        </x:is>
      </x:c>
      <x:c r="AE97" s="57" t="inlineStr">
        <x:is>
          <x:t xml:space="preserve">Holdout</x:t>
        </x:is>
      </x:c>
    </x:row>
    <x:row r="98">
      <x:c r="A98" s="57" t="inlineStr">
        <x:is>
          <x:t xml:space="preserve">ARG-093</x:t>
        </x:is>
      </x:c>
      <x:c r="B98" s="57" t="inlineStr">
        <x:is>
          <x:t xml:space="preserve">Lockheed Martin</x:t>
        </x:is>
      </x:c>
      <x:c r="C98" s="57" t="inlineStr">
        <x:is>
          <x:t xml:space="preserve">LMT</x:t>
        </x:is>
      </x:c>
      <x:c r="D98" s="57" t="inlineStr">
        <x:is>
          <x:t xml:space="preserve">NYSE</x:t>
        </x:is>
      </x:c>
      <x:c r="E98" s="57" t="inlineStr">
        <x:is>
          <x:t xml:space="preserve">United States</x:t>
        </x:is>
      </x:c>
      <x:c r="F98" s="57" t="inlineStr">
        <x:is>
          <x:t xml:space="preserve">Industrials &amp; Defense</x:t>
        </x:is>
      </x:c>
      <x:c r="G98" s="57" t="inlineStr">
        <x:is>
          <x:t xml:space="preserve">Defense prime</x:t>
        </x:is>
      </x:c>
      <x:c r="H98" s="57" t="inlineStr">
        <x:is>
          <x:t xml:space="preserve">Holdout cohort</x:t>
        </x:is>
      </x:c>
      <x:c r="I98" s="57" t="inlineStr">
        <x:is>
          <x:t xml:space="preserve">Program backlog × execution margin − working capital</x:t>
        </x:is>
      </x:c>
      <x:c r="J98" s="57" t="inlineStr">
        <x:is>
          <x:t xml:space="preserve">Normalized FCF + backlog economics</x:t>
        </x:is>
      </x:c>
      <x:c r="K98" s="57" t="inlineStr">
        <x:is>
          <x:t xml:space="preserve">Defense holdout</x:t>
        </x:is>
      </x:c>
      <x:c r="L98" s="57" t="inlineStr">
        <x:is>
          <x:t xml:space="preserve">https://investors.lockheedmartin.com</x:t>
        </x:is>
      </x:c>
      <x:c r="M98" s="71" t="inlineStr">
        <x:is>
          <x:t xml:space="preserve">Seeded</x:t>
        </x:is>
      </x:c>
      <x:c r="N98" s="71" t="inlineStr">
        <x:is>
          <x:t xml:space="preserve">Unknown / Insufficiently Understood</x:t>
        </x:is>
      </x:c>
      <x:c r="O98" s="71" t="inlineStr">
        <x:is>
          <x:t xml:space="preserve">UNKNOWN</x:t>
        </x:is>
      </x:c>
      <x:c r="P98" s="71" t="inlineStr">
        <x:is>
          <x:t xml:space="preserve">UNKNOWN</x:t>
        </x:is>
      </x:c>
      <x:c r="Q98" s="71" t="inlineStr">
        <x:is>
          <x:t xml:space="preserve">UNKNOWN</x:t>
        </x:is>
      </x:c>
      <x:c r="R98" s="71" t="inlineStr">
        <x:is>
          <x:t xml:space="preserve">UNKNOWN</x:t>
        </x:is>
      </x:c>
      <x:c r="S98" s="71" t="inlineStr">
        <x:is>
          <x:t xml:space="preserve">UNKNOWN</x:t>
        </x:is>
      </x:c>
      <x:c r="T98" s="71" t="inlineStr">
        <x:is>
          <x:t xml:space="preserve">UNKNOWN</x:t>
        </x:is>
      </x:c>
      <x:c r="U98" s="71" t="inlineStr">
        <x:is>
          <x:t xml:space="preserve">Evidence pack and 10 historical cutoffs not yet completed</x:t>
        </x:is>
      </x:c>
      <x:c r="V98" s="79" t="str">
        <x:f>IF(U98&lt;&gt;"","BLOCKED - FATAL UNKNOWN",IF(COUNTIF(O98:T98,"FAIL")&gt;0,"BLOCKED - FAIL",IF(COUNTIF(O98:T98,"UNKNOWN")&gt;0,"UNVALIDATED",IF(COUNTIF(O98:T98,"PASS")=6,"READY","UNVALIDATED"))))</x:f>
        <x:v>BLOCKED - FATAL UNKNOWN</x:v>
      </x:c>
      <x:c r="W98" s="71" t="inlineStr">
        <x:is>
          <x:t xml:space="preserve">P3</x:t>
        </x:is>
      </x:c>
      <x:c r="X98" s="71" t="inlineStr">
        <x:is>
          <x:t xml:space="preserve">Collect primary filings; choose 10 eligible historical cutoffs; identify control company</x:t>
        </x:is>
      </x:c>
      <x:c r="Y98" s="206" t="n">
        <x:v>46264</x:v>
      </x:c>
      <x:c r="Z98" s="206" t="n">
        <x:v>46299</x:v>
      </x:c>
      <x:c r="AA98" s="71" t="inlineStr">
        <x:is>
          <x:t xml:space="preserve">Not an investment recommendation.</x:t>
        </x:is>
      </x:c>
      <x:c r="AB98" s="57" t="str"/>
      <x:c r="AC98" s="57" t="str"/>
      <x:c r="AD98" s="57" t="inlineStr">
        <x:is>
          <x:t xml:space="preserve">Global expansion seed</x:t>
        </x:is>
      </x:c>
      <x:c r="AE98" s="57" t="inlineStr">
        <x:is>
          <x:t xml:space="preserve">Holdout</x:t>
        </x:is>
      </x:c>
    </x:row>
    <x:row r="99">
      <x:c r="A99" s="57" t="inlineStr">
        <x:is>
          <x:t xml:space="preserve">ARG-094</x:t>
        </x:is>
      </x:c>
      <x:c r="B99" s="57" t="inlineStr">
        <x:is>
          <x:t xml:space="preserve">Honeywell</x:t>
        </x:is>
      </x:c>
      <x:c r="C99" s="57" t="inlineStr">
        <x:is>
          <x:t xml:space="preserve">HON</x:t>
        </x:is>
      </x:c>
      <x:c r="D99" s="57" t="inlineStr">
        <x:is>
          <x:t xml:space="preserve">NASDAQ</x:t>
        </x:is>
      </x:c>
      <x:c r="E99" s="57" t="inlineStr">
        <x:is>
          <x:t xml:space="preserve">United States</x:t>
        </x:is>
      </x:c>
      <x:c r="F99" s="57" t="inlineStr">
        <x:is>
          <x:t xml:space="preserve">Industrials &amp; Defense</x:t>
        </x:is>
      </x:c>
      <x:c r="G99" s="57" t="inlineStr">
        <x:is>
          <x:t xml:space="preserve">Diversified industrial</x:t>
        </x:is>
      </x:c>
      <x:c r="H99" s="57" t="inlineStr">
        <x:is>
          <x:t xml:space="preserve">Holdout cohort</x:t>
        </x:is>
      </x:c>
      <x:c r="I99" s="57" t="inlineStr">
        <x:is>
          <x:t xml:space="preserve">Installed base/service plus automation/aerospace mix</x:t>
        </x:is>
      </x:c>
      <x:c r="J99" s="57" t="inlineStr">
        <x:is>
          <x:t xml:space="preserve">SOTP + owner earnings</x:t>
        </x:is>
      </x:c>
      <x:c r="K99" s="57" t="inlineStr">
        <x:is>
          <x:t xml:space="preserve">Diversified-industrial holdout</x:t>
        </x:is>
      </x:c>
      <x:c r="L99" s="57" t="inlineStr">
        <x:is>
          <x:t xml:space="preserve">https://investor.honeywell.com</x:t>
        </x:is>
      </x:c>
      <x:c r="M99" s="71" t="inlineStr">
        <x:is>
          <x:t xml:space="preserve">Seeded</x:t>
        </x:is>
      </x:c>
      <x:c r="N99" s="71" t="inlineStr">
        <x:is>
          <x:t xml:space="preserve">Unknown / Insufficiently Understood</x:t>
        </x:is>
      </x:c>
      <x:c r="O99" s="71" t="inlineStr">
        <x:is>
          <x:t xml:space="preserve">UNKNOWN</x:t>
        </x:is>
      </x:c>
      <x:c r="P99" s="71" t="inlineStr">
        <x:is>
          <x:t xml:space="preserve">UNKNOWN</x:t>
        </x:is>
      </x:c>
      <x:c r="Q99" s="71" t="inlineStr">
        <x:is>
          <x:t xml:space="preserve">UNKNOWN</x:t>
        </x:is>
      </x:c>
      <x:c r="R99" s="71" t="inlineStr">
        <x:is>
          <x:t xml:space="preserve">UNKNOWN</x:t>
        </x:is>
      </x:c>
      <x:c r="S99" s="71" t="inlineStr">
        <x:is>
          <x:t xml:space="preserve">UNKNOWN</x:t>
        </x:is>
      </x:c>
      <x:c r="T99" s="71" t="inlineStr">
        <x:is>
          <x:t xml:space="preserve">UNKNOWN</x:t>
        </x:is>
      </x:c>
      <x:c r="U99" s="71" t="inlineStr">
        <x:is>
          <x:t xml:space="preserve">Evidence pack and 10 historical cutoffs not yet completed</x:t>
        </x:is>
      </x:c>
      <x:c r="V99" s="79" t="str">
        <x:f>IF(U99&lt;&gt;"","BLOCKED - FATAL UNKNOWN",IF(COUNTIF(O99:T99,"FAIL")&gt;0,"BLOCKED - FAIL",IF(COUNTIF(O99:T99,"UNKNOWN")&gt;0,"UNVALIDATED",IF(COUNTIF(O99:T99,"PASS")=6,"READY","UNVALIDATED"))))</x:f>
        <x:v>BLOCKED - FATAL UNKNOWN</x:v>
      </x:c>
      <x:c r="W99" s="71" t="inlineStr">
        <x:is>
          <x:t xml:space="preserve">P3</x:t>
        </x:is>
      </x:c>
      <x:c r="X99" s="71" t="inlineStr">
        <x:is>
          <x:t xml:space="preserve">Collect primary filings; choose 10 eligible historical cutoffs; identify control company</x:t>
        </x:is>
      </x:c>
      <x:c r="Y99" s="206" t="n">
        <x:v>46264</x:v>
      </x:c>
      <x:c r="Z99" s="206" t="n">
        <x:v>46299</x:v>
      </x:c>
      <x:c r="AA99" s="71" t="inlineStr">
        <x:is>
          <x:t xml:space="preserve">Not an investment recommendation.</x:t>
        </x:is>
      </x:c>
      <x:c r="AB99" s="57" t="str"/>
      <x:c r="AC99" s="57" t="str"/>
      <x:c r="AD99" s="57" t="inlineStr">
        <x:is>
          <x:t xml:space="preserve">Global expansion seed</x:t>
        </x:is>
      </x:c>
      <x:c r="AE99" s="57" t="inlineStr">
        <x:is>
          <x:t xml:space="preserve">Holdout</x:t>
        </x:is>
      </x:c>
    </x:row>
    <x:row r="100">
      <x:c r="A100" s="57" t="inlineStr">
        <x:is>
          <x:t xml:space="preserve">ARG-095</x:t>
        </x:is>
      </x:c>
      <x:c r="B100" s="57" t="inlineStr">
        <x:is>
          <x:t xml:space="preserve">Freeport-McMoRan</x:t>
        </x:is>
      </x:c>
      <x:c r="C100" s="57" t="inlineStr">
        <x:is>
          <x:t xml:space="preserve">FCX</x:t>
        </x:is>
      </x:c>
      <x:c r="D100" s="57" t="inlineStr">
        <x:is>
          <x:t xml:space="preserve">NYSE</x:t>
        </x:is>
      </x:c>
      <x:c r="E100" s="57" t="inlineStr">
        <x:is>
          <x:t xml:space="preserve">United States</x:t>
        </x:is>
      </x:c>
      <x:c r="F100" s="57" t="inlineStr">
        <x:is>
          <x:t xml:space="preserve">Materials &amp; Mining</x:t>
        </x:is>
      </x:c>
      <x:c r="G100" s="57" t="inlineStr">
        <x:is>
          <x:t xml:space="preserve">Copper producer</x:t>
        </x:is>
      </x:c>
      <x:c r="H100" s="57" t="inlineStr">
        <x:is>
          <x:t xml:space="preserve">Holdout cohort</x:t>
        </x:is>
      </x:c>
      <x:c r="I100" s="57" t="inlineStr">
        <x:is>
          <x:t xml:space="preserve">Copper volume × price − site costs/capex</x:t>
        </x:is>
      </x:c>
      <x:c r="J100" s="57" t="inlineStr">
        <x:is>
          <x:t xml:space="preserve">Mine NAV + mid-cycle FCF</x:t>
        </x:is>
      </x:c>
      <x:c r="K100" s="57" t="inlineStr">
        <x:is>
          <x:t xml:space="preserve">Copper holdout</x:t>
        </x:is>
      </x:c>
      <x:c r="L100" s="57" t="inlineStr">
        <x:is>
          <x:t xml:space="preserve">https://investors.fcx.com</x:t>
        </x:is>
      </x:c>
      <x:c r="M100" s="71" t="inlineStr">
        <x:is>
          <x:t xml:space="preserve">Seeded</x:t>
        </x:is>
      </x:c>
      <x:c r="N100" s="71" t="inlineStr">
        <x:is>
          <x:t xml:space="preserve">Unknown / Insufficiently Understood</x:t>
        </x:is>
      </x:c>
      <x:c r="O100" s="71" t="inlineStr">
        <x:is>
          <x:t xml:space="preserve">UNKNOWN</x:t>
        </x:is>
      </x:c>
      <x:c r="P100" s="71" t="inlineStr">
        <x:is>
          <x:t xml:space="preserve">UNKNOWN</x:t>
        </x:is>
      </x:c>
      <x:c r="Q100" s="71" t="inlineStr">
        <x:is>
          <x:t xml:space="preserve">UNKNOWN</x:t>
        </x:is>
      </x:c>
      <x:c r="R100" s="71" t="inlineStr">
        <x:is>
          <x:t xml:space="preserve">UNKNOWN</x:t>
        </x:is>
      </x:c>
      <x:c r="S100" s="71" t="inlineStr">
        <x:is>
          <x:t xml:space="preserve">UNKNOWN</x:t>
        </x:is>
      </x:c>
      <x:c r="T100" s="71" t="inlineStr">
        <x:is>
          <x:t xml:space="preserve">UNKNOWN</x:t>
        </x:is>
      </x:c>
      <x:c r="U100" s="71" t="inlineStr">
        <x:is>
          <x:t xml:space="preserve">Evidence pack and 10 historical cutoffs not yet completed</x:t>
        </x:is>
      </x:c>
      <x:c r="V100" s="79" t="str">
        <x:f>IF(U100&lt;&gt;"","BLOCKED - FATAL UNKNOWN",IF(COUNTIF(O100:T100,"FAIL")&gt;0,"BLOCKED - FAIL",IF(COUNTIF(O100:T100,"UNKNOWN")&gt;0,"UNVALIDATED",IF(COUNTIF(O100:T100,"PASS")=6,"READY","UNVALIDATED"))))</x:f>
        <x:v>BLOCKED - FATAL UNKNOWN</x:v>
      </x:c>
      <x:c r="W100" s="71" t="inlineStr">
        <x:is>
          <x:t xml:space="preserve">P3</x:t>
        </x:is>
      </x:c>
      <x:c r="X100" s="71" t="inlineStr">
        <x:is>
          <x:t xml:space="preserve">Collect primary filings; choose 10 eligible historical cutoffs; identify control company</x:t>
        </x:is>
      </x:c>
      <x:c r="Y100" s="206" t="n">
        <x:v>46264</x:v>
      </x:c>
      <x:c r="Z100" s="206" t="n">
        <x:v>46299</x:v>
      </x:c>
      <x:c r="AA100" s="71" t="inlineStr">
        <x:is>
          <x:t xml:space="preserve">Not an investment recommendation.</x:t>
        </x:is>
      </x:c>
      <x:c r="AB100" s="57" t="str"/>
      <x:c r="AC100" s="57" t="str"/>
      <x:c r="AD100" s="57" t="inlineStr">
        <x:is>
          <x:t xml:space="preserve">Global expansion seed</x:t>
        </x:is>
      </x:c>
      <x:c r="AE100" s="57" t="inlineStr">
        <x:is>
          <x:t xml:space="preserve">Holdout</x:t>
        </x:is>
      </x:c>
    </x:row>
    <x:row r="101">
      <x:c r="A101" s="57" t="inlineStr">
        <x:is>
          <x:t xml:space="preserve">ARG-096</x:t>
        </x:is>
      </x:c>
      <x:c r="B101" s="57" t="inlineStr">
        <x:is>
          <x:t xml:space="preserve">Nucor</x:t>
        </x:is>
      </x:c>
      <x:c r="C101" s="57" t="inlineStr">
        <x:is>
          <x:t xml:space="preserve">NUE</x:t>
        </x:is>
      </x:c>
      <x:c r="D101" s="57" t="inlineStr">
        <x:is>
          <x:t xml:space="preserve">NYSE</x:t>
        </x:is>
      </x:c>
      <x:c r="E101" s="57" t="inlineStr">
        <x:is>
          <x:t xml:space="preserve">United States</x:t>
        </x:is>
      </x:c>
      <x:c r="F101" s="57" t="inlineStr">
        <x:is>
          <x:t xml:space="preserve">Materials &amp; Mining</x:t>
        </x:is>
      </x:c>
      <x:c r="G101" s="57" t="inlineStr">
        <x:is>
          <x:t xml:space="preserve">Steel producer</x:t>
        </x:is>
      </x:c>
      <x:c r="H101" s="57" t="inlineStr">
        <x:is>
          <x:t xml:space="preserve">Holdout cohort</x:t>
        </x:is>
      </x:c>
      <x:c r="I101" s="57" t="inlineStr">
        <x:is>
          <x:t xml:space="preserve">Shipments × spread − utilization/capex</x:t>
        </x:is>
      </x:c>
      <x:c r="J101" s="57" t="inlineStr">
        <x:is>
          <x:t xml:space="preserve">Mid-cycle FCF + replacement value</x:t>
        </x:is>
      </x:c>
      <x:c r="K101" s="57" t="inlineStr">
        <x:is>
          <x:t xml:space="preserve">Steel-cycle holdout</x:t>
        </x:is>
      </x:c>
      <x:c r="L101" s="57" t="inlineStr">
        <x:is>
          <x:t xml:space="preserve">https://investors.nucor.com</x:t>
        </x:is>
      </x:c>
      <x:c r="M101" s="71" t="inlineStr">
        <x:is>
          <x:t xml:space="preserve">Seeded</x:t>
        </x:is>
      </x:c>
      <x:c r="N101" s="71" t="inlineStr">
        <x:is>
          <x:t xml:space="preserve">Unknown / Insufficiently Understood</x:t>
        </x:is>
      </x:c>
      <x:c r="O101" s="71" t="inlineStr">
        <x:is>
          <x:t xml:space="preserve">UNKNOWN</x:t>
        </x:is>
      </x:c>
      <x:c r="P101" s="71" t="inlineStr">
        <x:is>
          <x:t xml:space="preserve">UNKNOWN</x:t>
        </x:is>
      </x:c>
      <x:c r="Q101" s="71" t="inlineStr">
        <x:is>
          <x:t xml:space="preserve">UNKNOWN</x:t>
        </x:is>
      </x:c>
      <x:c r="R101" s="71" t="inlineStr">
        <x:is>
          <x:t xml:space="preserve">UNKNOWN</x:t>
        </x:is>
      </x:c>
      <x:c r="S101" s="71" t="inlineStr">
        <x:is>
          <x:t xml:space="preserve">UNKNOWN</x:t>
        </x:is>
      </x:c>
      <x:c r="T101" s="71" t="inlineStr">
        <x:is>
          <x:t xml:space="preserve">UNKNOWN</x:t>
        </x:is>
      </x:c>
      <x:c r="U101" s="71" t="inlineStr">
        <x:is>
          <x:t xml:space="preserve">Evidence pack and 10 historical cutoffs not yet completed</x:t>
        </x:is>
      </x:c>
      <x:c r="V101" s="79" t="str">
        <x:f>IF(U101&lt;&gt;"","BLOCKED - FATAL UNKNOWN",IF(COUNTIF(O101:T101,"FAIL")&gt;0,"BLOCKED - FAIL",IF(COUNTIF(O101:T101,"UNKNOWN")&gt;0,"UNVALIDATED",IF(COUNTIF(O101:T101,"PASS")=6,"READY","UNVALIDATED"))))</x:f>
        <x:v>BLOCKED - FATAL UNKNOWN</x:v>
      </x:c>
      <x:c r="W101" s="71" t="inlineStr">
        <x:is>
          <x:t xml:space="preserve">P3</x:t>
        </x:is>
      </x:c>
      <x:c r="X101" s="71" t="inlineStr">
        <x:is>
          <x:t xml:space="preserve">Collect primary filings; choose 10 eligible historical cutoffs; identify control company</x:t>
        </x:is>
      </x:c>
      <x:c r="Y101" s="206" t="n">
        <x:v>46264</x:v>
      </x:c>
      <x:c r="Z101" s="206" t="n">
        <x:v>46299</x:v>
      </x:c>
      <x:c r="AA101" s="71" t="inlineStr">
        <x:is>
          <x:t xml:space="preserve">Not an investment recommendation.</x:t>
        </x:is>
      </x:c>
      <x:c r="AB101" s="57" t="str"/>
      <x:c r="AC101" s="57" t="str"/>
      <x:c r="AD101" s="57" t="inlineStr">
        <x:is>
          <x:t xml:space="preserve">Global expansion seed</x:t>
        </x:is>
      </x:c>
      <x:c r="AE101" s="57" t="inlineStr">
        <x:is>
          <x:t xml:space="preserve">Holdout</x:t>
        </x:is>
      </x:c>
    </x:row>
    <x:row r="102">
      <x:c r="A102" s="57" t="inlineStr">
        <x:is>
          <x:t xml:space="preserve">ARG-097</x:t>
        </x:is>
      </x:c>
      <x:c r="B102" s="57" t="inlineStr">
        <x:is>
          <x:t xml:space="preserve">Southern Company</x:t>
        </x:is>
      </x:c>
      <x:c r="C102" s="57" t="inlineStr">
        <x:is>
          <x:t xml:space="preserve">SO</x:t>
        </x:is>
      </x:c>
      <x:c r="D102" s="57" t="inlineStr">
        <x:is>
          <x:t xml:space="preserve">NYSE</x:t>
        </x:is>
      </x:c>
      <x:c r="E102" s="57" t="inlineStr">
        <x:is>
          <x:t xml:space="preserve">United States</x:t>
        </x:is>
      </x:c>
      <x:c r="F102" s="57" t="inlineStr">
        <x:is>
          <x:t xml:space="preserve">Utilities</x:t>
        </x:is>
      </x:c>
      <x:c r="G102" s="57" t="inlineStr">
        <x:is>
          <x:t xml:space="preserve">Regulated utility</x:t>
        </x:is>
      </x:c>
      <x:c r="H102" s="57" t="inlineStr">
        <x:is>
          <x:t xml:space="preserve">Holdout cohort</x:t>
        </x:is>
      </x:c>
      <x:c r="I102" s="57" t="inlineStr">
        <x:is>
          <x:t xml:space="preserve">Rate base × allowed return − financing/capex</x:t>
        </x:is>
      </x:c>
      <x:c r="J102" s="57" t="inlineStr">
        <x:is>
          <x:t xml:space="preserve">Rate-base DCF</x:t>
        </x:is>
      </x:c>
      <x:c r="K102" s="57" t="inlineStr">
        <x:is>
          <x:t xml:space="preserve">Utility holdout</x:t>
        </x:is>
      </x:c>
      <x:c r="L102" s="57" t="inlineStr">
        <x:is>
          <x:t xml:space="preserve">https://investor.southerncompany.com</x:t>
        </x:is>
      </x:c>
      <x:c r="M102" s="71" t="inlineStr">
        <x:is>
          <x:t xml:space="preserve">Seeded</x:t>
        </x:is>
      </x:c>
      <x:c r="N102" s="71" t="inlineStr">
        <x:is>
          <x:t xml:space="preserve">Unknown / Insufficiently Understood</x:t>
        </x:is>
      </x:c>
      <x:c r="O102" s="71" t="inlineStr">
        <x:is>
          <x:t xml:space="preserve">UNKNOWN</x:t>
        </x:is>
      </x:c>
      <x:c r="P102" s="71" t="inlineStr">
        <x:is>
          <x:t xml:space="preserve">UNKNOWN</x:t>
        </x:is>
      </x:c>
      <x:c r="Q102" s="71" t="inlineStr">
        <x:is>
          <x:t xml:space="preserve">UNKNOWN</x:t>
        </x:is>
      </x:c>
      <x:c r="R102" s="71" t="inlineStr">
        <x:is>
          <x:t xml:space="preserve">UNKNOWN</x:t>
        </x:is>
      </x:c>
      <x:c r="S102" s="71" t="inlineStr">
        <x:is>
          <x:t xml:space="preserve">UNKNOWN</x:t>
        </x:is>
      </x:c>
      <x:c r="T102" s="71" t="inlineStr">
        <x:is>
          <x:t xml:space="preserve">UNKNOWN</x:t>
        </x:is>
      </x:c>
      <x:c r="U102" s="71" t="inlineStr">
        <x:is>
          <x:t xml:space="preserve">Evidence pack and 10 historical cutoffs not yet completed</x:t>
        </x:is>
      </x:c>
      <x:c r="V102" s="79" t="str">
        <x:f>IF(U102&lt;&gt;"","BLOCKED - FATAL UNKNOWN",IF(COUNTIF(O102:T102,"FAIL")&gt;0,"BLOCKED - FAIL",IF(COUNTIF(O102:T102,"UNKNOWN")&gt;0,"UNVALIDATED",IF(COUNTIF(O102:T102,"PASS")=6,"READY","UNVALIDATED"))))</x:f>
        <x:v>BLOCKED - FATAL UNKNOWN</x:v>
      </x:c>
      <x:c r="W102" s="71" t="inlineStr">
        <x:is>
          <x:t xml:space="preserve">P3</x:t>
        </x:is>
      </x:c>
      <x:c r="X102" s="71" t="inlineStr">
        <x:is>
          <x:t xml:space="preserve">Collect primary filings; choose 10 eligible historical cutoffs; identify control company</x:t>
        </x:is>
      </x:c>
      <x:c r="Y102" s="206" t="n">
        <x:v>46264</x:v>
      </x:c>
      <x:c r="Z102" s="206" t="n">
        <x:v>46299</x:v>
      </x:c>
      <x:c r="AA102" s="71" t="inlineStr">
        <x:is>
          <x:t xml:space="preserve">Not an investment recommendation.</x:t>
        </x:is>
      </x:c>
      <x:c r="AB102" s="57" t="str"/>
      <x:c r="AC102" s="57" t="str"/>
      <x:c r="AD102" s="57" t="inlineStr">
        <x:is>
          <x:t xml:space="preserve">Global expansion seed</x:t>
        </x:is>
      </x:c>
      <x:c r="AE102" s="57" t="inlineStr">
        <x:is>
          <x:t xml:space="preserve">Holdout</x:t>
        </x:is>
      </x:c>
    </x:row>
    <x:row r="103">
      <x:c r="A103" s="57" t="inlineStr">
        <x:is>
          <x:t xml:space="preserve">ARG-098</x:t>
        </x:is>
      </x:c>
      <x:c r="B103" s="57" t="inlineStr">
        <x:is>
          <x:t xml:space="preserve">Duke Energy</x:t>
        </x:is>
      </x:c>
      <x:c r="C103" s="57" t="inlineStr">
        <x:is>
          <x:t xml:space="preserve">DUK</x:t>
        </x:is>
      </x:c>
      <x:c r="D103" s="57" t="inlineStr">
        <x:is>
          <x:t xml:space="preserve">NYSE</x:t>
        </x:is>
      </x:c>
      <x:c r="E103" s="57" t="inlineStr">
        <x:is>
          <x:t xml:space="preserve">United States</x:t>
        </x:is>
      </x:c>
      <x:c r="F103" s="57" t="inlineStr">
        <x:is>
          <x:t xml:space="preserve">Utilities</x:t>
        </x:is>
      </x:c>
      <x:c r="G103" s="57" t="inlineStr">
        <x:is>
          <x:t xml:space="preserve">Regulated utility</x:t>
        </x:is>
      </x:c>
      <x:c r="H103" s="57" t="inlineStr">
        <x:is>
          <x:t xml:space="preserve">Holdout cohort</x:t>
        </x:is>
      </x:c>
      <x:c r="I103" s="57" t="inlineStr">
        <x:is>
          <x:t xml:space="preserve">Rate base/load growth − financing/capex</x:t>
        </x:is>
      </x:c>
      <x:c r="J103" s="57" t="inlineStr">
        <x:is>
          <x:t xml:space="preserve">Rate-base DCF</x:t>
        </x:is>
      </x:c>
      <x:c r="K103" s="57" t="inlineStr">
        <x:is>
          <x:t xml:space="preserve">Utility control holdout</x:t>
        </x:is>
      </x:c>
      <x:c r="L103" s="57" t="inlineStr">
        <x:is>
          <x:t xml:space="preserve">https://investors.duke-energy.com</x:t>
        </x:is>
      </x:c>
      <x:c r="M103" s="71" t="inlineStr">
        <x:is>
          <x:t xml:space="preserve">Seeded</x:t>
        </x:is>
      </x:c>
      <x:c r="N103" s="71" t="inlineStr">
        <x:is>
          <x:t xml:space="preserve">Unknown / Insufficiently Understood</x:t>
        </x:is>
      </x:c>
      <x:c r="O103" s="71" t="inlineStr">
        <x:is>
          <x:t xml:space="preserve">UNKNOWN</x:t>
        </x:is>
      </x:c>
      <x:c r="P103" s="71" t="inlineStr">
        <x:is>
          <x:t xml:space="preserve">UNKNOWN</x:t>
        </x:is>
      </x:c>
      <x:c r="Q103" s="71" t="inlineStr">
        <x:is>
          <x:t xml:space="preserve">UNKNOWN</x:t>
        </x:is>
      </x:c>
      <x:c r="R103" s="71" t="inlineStr">
        <x:is>
          <x:t xml:space="preserve">UNKNOWN</x:t>
        </x:is>
      </x:c>
      <x:c r="S103" s="71" t="inlineStr">
        <x:is>
          <x:t xml:space="preserve">UNKNOWN</x:t>
        </x:is>
      </x:c>
      <x:c r="T103" s="71" t="inlineStr">
        <x:is>
          <x:t xml:space="preserve">UNKNOWN</x:t>
        </x:is>
      </x:c>
      <x:c r="U103" s="71" t="inlineStr">
        <x:is>
          <x:t xml:space="preserve">Evidence pack and 10 historical cutoffs not yet completed</x:t>
        </x:is>
      </x:c>
      <x:c r="V103" s="79" t="str">
        <x:f>IF(U103&lt;&gt;"","BLOCKED - FATAL UNKNOWN",IF(COUNTIF(O103:T103,"FAIL")&gt;0,"BLOCKED - FAIL",IF(COUNTIF(O103:T103,"UNKNOWN")&gt;0,"UNVALIDATED",IF(COUNTIF(O103:T103,"PASS")=6,"READY","UNVALIDATED"))))</x:f>
        <x:v>BLOCKED - FATAL UNKNOWN</x:v>
      </x:c>
      <x:c r="W103" s="71" t="inlineStr">
        <x:is>
          <x:t xml:space="preserve">P3</x:t>
        </x:is>
      </x:c>
      <x:c r="X103" s="71" t="inlineStr">
        <x:is>
          <x:t xml:space="preserve">Collect primary filings; choose 10 eligible historical cutoffs; identify control company</x:t>
        </x:is>
      </x:c>
      <x:c r="Y103" s="206" t="n">
        <x:v>46264</x:v>
      </x:c>
      <x:c r="Z103" s="206" t="n">
        <x:v>46299</x:v>
      </x:c>
      <x:c r="AA103" s="71" t="inlineStr">
        <x:is>
          <x:t xml:space="preserve">Not an investment recommendation.</x:t>
        </x:is>
      </x:c>
      <x:c r="AB103" s="57" t="str"/>
      <x:c r="AC103" s="57" t="str"/>
      <x:c r="AD103" s="57" t="inlineStr">
        <x:is>
          <x:t xml:space="preserve">Global expansion seed</x:t>
        </x:is>
      </x:c>
      <x:c r="AE103" s="57" t="inlineStr">
        <x:is>
          <x:t xml:space="preserve">Holdout</x:t>
        </x:is>
      </x:c>
    </x:row>
    <x:row r="104">
      <x:c r="A104" s="57" t="inlineStr">
        <x:is>
          <x:t xml:space="preserve">ARG-099</x:t>
        </x:is>
      </x:c>
      <x:c r="B104" s="57" t="inlineStr">
        <x:is>
          <x:t xml:space="preserve">Nutrien</x:t>
        </x:is>
      </x:c>
      <x:c r="C104" s="57" t="inlineStr">
        <x:is>
          <x:t xml:space="preserve">NTR</x:t>
        </x:is>
      </x:c>
      <x:c r="D104" s="57" t="inlineStr">
        <x:is>
          <x:t xml:space="preserve">NYSE</x:t>
        </x:is>
      </x:c>
      <x:c r="E104" s="57" t="inlineStr">
        <x:is>
          <x:t xml:space="preserve">Canada</x:t>
        </x:is>
      </x:c>
      <x:c r="F104" s="57" t="inlineStr">
        <x:is>
          <x:t xml:space="preserve">Agriculture &amp; Fertilizers</x:t>
        </x:is>
      </x:c>
      <x:c r="G104" s="57" t="inlineStr">
        <x:is>
          <x:t xml:space="preserve">Fertilizer producer/retail</x:t>
        </x:is>
      </x:c>
      <x:c r="H104" s="57" t="inlineStr">
        <x:is>
          <x:t xml:space="preserve">Holdout cohort</x:t>
        </x:is>
      </x:c>
      <x:c r="I104" s="57" t="inlineStr">
        <x:is>
          <x:t xml:space="preserve">Nutrient price/volume × cost position plus retail</x:t>
        </x:is>
      </x:c>
      <x:c r="J104" s="57" t="inlineStr">
        <x:is>
          <x:t xml:space="preserve">Mid-cycle FCF + asset value</x:t>
        </x:is>
      </x:c>
      <x:c r="K104" s="57" t="inlineStr">
        <x:is>
          <x:t xml:space="preserve">Fertilizer holdout</x:t>
        </x:is>
      </x:c>
      <x:c r="L104" s="57" t="inlineStr">
        <x:is>
          <x:t xml:space="preserve">https://www.nutrien.com/investors</x:t>
        </x:is>
      </x:c>
      <x:c r="M104" s="71" t="inlineStr">
        <x:is>
          <x:t xml:space="preserve">Seeded</x:t>
        </x:is>
      </x:c>
      <x:c r="N104" s="71" t="inlineStr">
        <x:is>
          <x:t xml:space="preserve">Unknown / Insufficiently Understood</x:t>
        </x:is>
      </x:c>
      <x:c r="O104" s="71" t="inlineStr">
        <x:is>
          <x:t xml:space="preserve">UNKNOWN</x:t>
        </x:is>
      </x:c>
      <x:c r="P104" s="71" t="inlineStr">
        <x:is>
          <x:t xml:space="preserve">UNKNOWN</x:t>
        </x:is>
      </x:c>
      <x:c r="Q104" s="71" t="inlineStr">
        <x:is>
          <x:t xml:space="preserve">UNKNOWN</x:t>
        </x:is>
      </x:c>
      <x:c r="R104" s="71" t="inlineStr">
        <x:is>
          <x:t xml:space="preserve">UNKNOWN</x:t>
        </x:is>
      </x:c>
      <x:c r="S104" s="71" t="inlineStr">
        <x:is>
          <x:t xml:space="preserve">UNKNOWN</x:t>
        </x:is>
      </x:c>
      <x:c r="T104" s="71" t="inlineStr">
        <x:is>
          <x:t xml:space="preserve">UNKNOWN</x:t>
        </x:is>
      </x:c>
      <x:c r="U104" s="71" t="inlineStr">
        <x:is>
          <x:t xml:space="preserve">Evidence pack and 10 historical cutoffs not yet completed</x:t>
        </x:is>
      </x:c>
      <x:c r="V104" s="79" t="str">
        <x:f>IF(U104&lt;&gt;"","BLOCKED - FATAL UNKNOWN",IF(COUNTIF(O104:T104,"FAIL")&gt;0,"BLOCKED - FAIL",IF(COUNTIF(O104:T104,"UNKNOWN")&gt;0,"UNVALIDATED",IF(COUNTIF(O104:T104,"PASS")=6,"READY","UNVALIDATED"))))</x:f>
        <x:v>BLOCKED - FATAL UNKNOWN</x:v>
      </x:c>
      <x:c r="W104" s="71" t="inlineStr">
        <x:is>
          <x:t xml:space="preserve">P3</x:t>
        </x:is>
      </x:c>
      <x:c r="X104" s="71" t="inlineStr">
        <x:is>
          <x:t xml:space="preserve">Collect primary filings; choose 10 eligible historical cutoffs; identify control company</x:t>
        </x:is>
      </x:c>
      <x:c r="Y104" s="206" t="n">
        <x:v>46264</x:v>
      </x:c>
      <x:c r="Z104" s="206" t="n">
        <x:v>46299</x:v>
      </x:c>
      <x:c r="AA104" s="71" t="inlineStr">
        <x:is>
          <x:t xml:space="preserve">Not an investment recommendation.</x:t>
        </x:is>
      </x:c>
      <x:c r="AB104" s="57" t="str"/>
      <x:c r="AC104" s="57" t="str"/>
      <x:c r="AD104" s="57" t="inlineStr">
        <x:is>
          <x:t xml:space="preserve">Global expansion seed</x:t>
        </x:is>
      </x:c>
      <x:c r="AE104" s="57" t="inlineStr">
        <x:is>
          <x:t xml:space="preserve">Holdout</x:t>
        </x:is>
      </x:c>
    </x:row>
    <x:row r="105">
      <x:c r="A105" s="58" t="inlineStr">
        <x:is>
          <x:t xml:space="preserve">ARG-100</x:t>
        </x:is>
      </x:c>
      <x:c r="B105" s="58" t="inlineStr">
        <x:is>
          <x:t xml:space="preserve">United Rentals</x:t>
        </x:is>
      </x:c>
      <x:c r="C105" s="58" t="inlineStr">
        <x:is>
          <x:t xml:space="preserve">URI</x:t>
        </x:is>
      </x:c>
      <x:c r="D105" s="58" t="inlineStr">
        <x:is>
          <x:t xml:space="preserve">NYSE</x:t>
        </x:is>
      </x:c>
      <x:c r="E105" s="58" t="inlineStr">
        <x:is>
          <x:t xml:space="preserve">United States</x:t>
        </x:is>
      </x:c>
      <x:c r="F105" s="58" t="inlineStr">
        <x:is>
          <x:t xml:space="preserve">Construction &amp; Building Products</x:t>
        </x:is>
      </x:c>
      <x:c r="G105" s="58" t="inlineStr">
        <x:is>
          <x:t xml:space="preserve">Equipment rental</x:t>
        </x:is>
      </x:c>
      <x:c r="H105" s="58" t="inlineStr">
        <x:is>
          <x:t xml:space="preserve">Holdout cohort</x:t>
        </x:is>
      </x:c>
      <x:c r="I105" s="58" t="inlineStr">
        <x:is>
          <x:t xml:space="preserve">Rental volume/rate/utilization − fleet capex</x:t>
        </x:is>
      </x:c>
      <x:c r="J105" s="58" t="inlineStr">
        <x:is>
          <x:t xml:space="preserve">Mid-cycle FCF + fleet value</x:t>
        </x:is>
      </x:c>
      <x:c r="K105" s="58" t="inlineStr">
        <x:is>
          <x:t xml:space="preserve">Construction-cycle holdout</x:t>
        </x:is>
      </x:c>
      <x:c r="L105" s="58" t="inlineStr">
        <x:is>
          <x:t xml:space="preserve">https://investor-relations.unitedrentals.com</x:t>
        </x:is>
      </x:c>
      <x:c r="M105" s="73" t="inlineStr">
        <x:is>
          <x:t xml:space="preserve">Seeded</x:t>
        </x:is>
      </x:c>
      <x:c r="N105" s="73" t="inlineStr">
        <x:is>
          <x:t xml:space="preserve">Unknown / Insufficiently Understood</x:t>
        </x:is>
      </x:c>
      <x:c r="O105" s="73" t="inlineStr">
        <x:is>
          <x:t xml:space="preserve">UNKNOWN</x:t>
        </x:is>
      </x:c>
      <x:c r="P105" s="73" t="inlineStr">
        <x:is>
          <x:t xml:space="preserve">UNKNOWN</x:t>
        </x:is>
      </x:c>
      <x:c r="Q105" s="73" t="inlineStr">
        <x:is>
          <x:t xml:space="preserve">UNKNOWN</x:t>
        </x:is>
      </x:c>
      <x:c r="R105" s="73" t="inlineStr">
        <x:is>
          <x:t xml:space="preserve">UNKNOWN</x:t>
        </x:is>
      </x:c>
      <x:c r="S105" s="73" t="inlineStr">
        <x:is>
          <x:t xml:space="preserve">UNKNOWN</x:t>
        </x:is>
      </x:c>
      <x:c r="T105" s="73" t="inlineStr">
        <x:is>
          <x:t xml:space="preserve">UNKNOWN</x:t>
        </x:is>
      </x:c>
      <x:c r="U105" s="73" t="inlineStr">
        <x:is>
          <x:t xml:space="preserve">Evidence pack and 10 historical cutoffs not yet completed</x:t>
        </x:is>
      </x:c>
      <x:c r="V105" s="81" t="str">
        <x:f>IF(U105&lt;&gt;"","BLOCKED - FATAL UNKNOWN",IF(COUNTIF(O105:T105,"FAIL")&gt;0,"BLOCKED - FAIL",IF(COUNTIF(O105:T105,"UNKNOWN")&gt;0,"UNVALIDATED",IF(COUNTIF(O105:T105,"PASS")=6,"READY","UNVALIDATED"))))</x:f>
        <x:v>BLOCKED - FATAL UNKNOWN</x:v>
      </x:c>
      <x:c r="W105" s="73" t="inlineStr">
        <x:is>
          <x:t xml:space="preserve">P3</x:t>
        </x:is>
      </x:c>
      <x:c r="X105" s="73" t="inlineStr">
        <x:is>
          <x:t xml:space="preserve">Collect primary filings; choose 10 eligible historical cutoffs; identify control company</x:t>
        </x:is>
      </x:c>
      <x:c r="Y105" s="207" t="n">
        <x:v>46264</x:v>
      </x:c>
      <x:c r="Z105" s="207" t="n">
        <x:v>46299</x:v>
      </x:c>
      <x:c r="AA105" s="73" t="inlineStr">
        <x:is>
          <x:t xml:space="preserve">Not an investment recommendation.</x:t>
        </x:is>
      </x:c>
      <x:c r="AB105" s="58" t="str"/>
      <x:c r="AC105" s="58" t="str"/>
      <x:c r="AD105" s="58" t="inlineStr">
        <x:is>
          <x:t xml:space="preserve">Global expansion seed</x:t>
        </x:is>
      </x:c>
      <x:c r="AE105" s="58" t="inlineStr">
        <x:is>
          <x:t xml:space="preserve">Holdout</x:t>
        </x:is>
      </x:c>
    </x:row>
  </x:sheetData>
  <x:mergeCells>
    <x:mergeCell ref="A1:AE1"/>
    <x:mergeCell ref="A2:AE2"/>
  </x:mergeCells>
  <x:conditionalFormatting sqref="O6:O105">
    <x:cfRule type="containsText" dxfId="0" priority="1" operator="containsText" text="PASS"/>
    <x:cfRule type="containsText" dxfId="3" priority="2" operator="containsText" text="FAIL"/>
    <x:cfRule type="containsText" dxfId="1" priority="3" operator="containsText" text="UNKNOWN"/>
  </x:conditionalFormatting>
  <x:conditionalFormatting sqref="P6:P105">
    <x:cfRule type="containsText" dxfId="0" priority="4" operator="containsText" text="PASS"/>
    <x:cfRule type="containsText" dxfId="3" priority="5" operator="containsText" text="FAIL"/>
    <x:cfRule type="containsText" dxfId="1" priority="6" operator="containsText" text="UNKNOWN"/>
  </x:conditionalFormatting>
  <x:conditionalFormatting sqref="Q6:Q105">
    <x:cfRule type="containsText" dxfId="0" priority="7" operator="containsText" text="PASS"/>
    <x:cfRule type="containsText" dxfId="3" priority="8" operator="containsText" text="FAIL"/>
    <x:cfRule type="containsText" dxfId="1" priority="9" operator="containsText" text="UNKNOWN"/>
  </x:conditionalFormatting>
  <x:conditionalFormatting sqref="R6:R105">
    <x:cfRule type="containsText" dxfId="0" priority="10" operator="containsText" text="PASS"/>
    <x:cfRule type="containsText" dxfId="3" priority="11" operator="containsText" text="FAIL"/>
    <x:cfRule type="containsText" dxfId="1" priority="12" operator="containsText" text="UNKNOWN"/>
  </x:conditionalFormatting>
  <x:conditionalFormatting sqref="S6:S105">
    <x:cfRule type="containsText" dxfId="0" priority="13" operator="containsText" text="PASS"/>
    <x:cfRule type="containsText" dxfId="3" priority="14" operator="containsText" text="FAIL"/>
    <x:cfRule type="containsText" dxfId="1" priority="15" operator="containsText" text="UNKNOWN"/>
  </x:conditionalFormatting>
  <x:conditionalFormatting sqref="T6:T105">
    <x:cfRule type="containsText" dxfId="0" priority="16" operator="containsText" text="PASS"/>
    <x:cfRule type="containsText" dxfId="3" priority="17" operator="containsText" text="FAIL"/>
    <x:cfRule type="containsText" dxfId="1" priority="18" operator="containsText" text="UNKNOWN"/>
  </x:conditionalFormatting>
  <x:conditionalFormatting sqref="V6:V105">
    <x:cfRule type="containsText" dxfId="0" priority="19" operator="containsText" text="READY"/>
    <x:cfRule type="containsText" dxfId="3" priority="20" operator="containsText" text="BLOCKED"/>
    <x:cfRule type="containsText" dxfId="1" priority="21" operator="containsText" text="UNVALIDATED"/>
  </x:conditionalFormatting>
  <x:conditionalFormatting sqref="AB6:AB105">
    <x:cfRule type="containsText" dxfId="0" priority="22" operator="containsText" text="BUY"/>
    <x:cfRule type="containsText" dxfId="3" priority="23" operator="containsText" text="BLOCK"/>
  </x:conditionalFormatting>
  <x:conditionalFormatting sqref="AE6:AE105">
    <x:cfRule type="containsText" dxfId="25" priority="24" operator="containsText" text="Development"/>
    <x:cfRule type="containsText" dxfId="26" priority="25" operator="containsText" text="Validation"/>
    <x:cfRule type="containsText" dxfId="3" priority="26" operator="containsText" text="Holdout"/>
  </x:conditionalFormatting>
  <x:dataValidations count="4">
    <x:dataValidation type="list" allowBlank="0" showDropDown="0" showInputMessage="0" showErrorMessage="0" sqref="O6:T105">
      <x:formula1>"UNKNOWN,PASS,FAIL"</x:formula1>
    </x:dataValidation>
    <x:dataValidation type="list" allowBlank="0" showDropDown="0" showInputMessage="0" showErrorMessage="0" sqref="M6:M105">
      <x:formula1>"Imported V10 Baseline,Seeded,Evidence Collection,Screened,Deep Dive,Meeting Grade,Rejected,Monitoring"</x:formula1>
    </x:dataValidation>
    <x:dataValidation type="list" allowBlank="0" showDropDown="0" showInputMessage="0" showErrorMessage="0" sqref="N6:N105">
      <x:formula1>"Star,Developing,Situational / Cyclical,Special Situation,Avoid,Unknown / Insufficiently Understood"</x:formula1>
    </x:dataValidation>
    <x:dataValidation type="list" allowBlank="0" showDropDown="0" showInputMessage="0" showErrorMessage="0" sqref="W6:W105">
      <x:formula1>"P1,P2,P3"</x:formula1>
    </x:dataValidation>
  </x:dataValidations>
  <x:pageMargins left="0.7" right="0.7" top="0.75" bottom="0.75" header="0.3" footer="0.3"/>
  <x:tableParts count="1">
    <x:tablePart xmlns:r="http://schemas.openxmlformats.org/officeDocument/2006/relationships" r:id="R10e2f02029e84a0e"/>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2" style="139" customWidth="1"/>
    <x:col min="2" max="2" width="28" style="139" customWidth="1"/>
    <x:col min="3" max="3" width="11" style="139" customWidth="1"/>
    <x:col min="4" max="4" width="24" style="139" customWidth="1"/>
    <x:col min="5" max="5" width="9" style="139" customWidth="1"/>
    <x:col min="6" max="6" width="12" style="139" customWidth="1"/>
    <x:col min="7" max="7" width="23" style="139" customWidth="1"/>
    <x:col min="8" max="8" width="16" style="139" customWidth="1"/>
    <x:col min="9" max="9" width="16" style="139" customWidth="1"/>
    <x:col min="10" max="10" width="16" style="139" customWidth="1"/>
    <x:col min="11" max="11" width="18" style="139" customWidth="1"/>
    <x:col min="12" max="12" width="18" style="139" customWidth="1"/>
    <x:col min="13" max="13" width="16" style="139" customWidth="1"/>
    <x:col min="14" max="14" width="17" style="139" customWidth="1"/>
    <x:col min="15" max="15" width="15" style="139" customWidth="1"/>
    <x:col min="16" max="16" width="15" style="139" customWidth="1"/>
    <x:col min="17" max="17" width="15" style="139" customWidth="1"/>
    <x:col min="18" max="18" width="15" style="139" customWidth="1"/>
    <x:col min="19" max="19" width="15" style="139" customWidth="1"/>
    <x:col min="20" max="20" width="18" style="139" customWidth="1"/>
    <x:col min="21" max="21" width="42" style="139" customWidth="1"/>
    <x:col min="22" max="22" width="42" style="139" customWidth="1"/>
    <x:col min="23" max="23" width="18" style="139" customWidth="1"/>
    <x:col min="24" max="24" width="12" style="139" customWidth="1"/>
  </x:cols>
  <x:sheetData>
    <x:row r="1" s="139" customFormat="1" ht="28" customHeight="1">
      <x:c r="A1" s="201" t="str">
        <x:v>ARGUS V10.30 — Buffett–Munger Owner Test | 100-Company Fail-Closed Matrix</x:v>
      </x:c>
      <x:c r="B1" s="201" t="n"/>
      <x:c r="C1" s="201" t="n"/>
      <x:c r="D1" s="201" t="n"/>
      <x:c r="E1" s="201" t="n"/>
      <x:c r="F1" s="201" t="n"/>
      <x:c r="G1" s="201" t="n"/>
      <x:c r="H1" s="201" t="n"/>
      <x:c r="I1" s="201" t="n"/>
      <x:c r="J1" s="201" t="n"/>
      <x:c r="K1" s="201" t="n"/>
      <x:c r="L1" s="201" t="n"/>
      <x:c r="M1" s="201" t="n"/>
      <x:c r="N1" s="201" t="n"/>
      <x:c r="O1" s="201" t="n"/>
      <x:c r="P1" s="201" t="n"/>
      <x:c r="Q1" s="201" t="n"/>
      <x:c r="R1" s="201" t="n"/>
      <x:c r="S1" s="201" t="n"/>
      <x:c r="T1" s="201" t="n"/>
      <x:c r="U1" s="201" t="n"/>
      <x:c r="V1" s="201" t="n"/>
      <x:c r="W1" s="201" t="n"/>
      <x:c r="X1" s="201" t="n"/>
    </x:row>
    <x:row r="2" s="139" customFormat="1" ht="34" customHeight="1">
      <x:c r="A2" s="202" t="inlineStr">
        <x:is>
          <x:t xml:space="preserve">UNKNOWN is a control state, not a neutral score. Any FAIL blocks a new BUY; any UNKNOWN prevents READY; four or more WATCH states cap conviction and sizing.</x:t>
        </x:is>
      </x:c>
      <x:c r="B2" s="202" t="n"/>
      <x:c r="C2" s="202" t="n"/>
      <x:c r="D2" s="202" t="n"/>
      <x:c r="E2" s="202" t="n"/>
      <x:c r="F2" s="202" t="n"/>
      <x:c r="G2" s="202" t="n"/>
      <x:c r="H2" s="202" t="n"/>
      <x:c r="I2" s="202" t="n"/>
      <x:c r="J2" s="202" t="n"/>
      <x:c r="K2" s="202" t="n"/>
      <x:c r="L2" s="202" t="n"/>
      <x:c r="M2" s="202" t="n"/>
      <x:c r="N2" s="202" t="n"/>
      <x:c r="O2" s="202" t="n"/>
      <x:c r="P2" s="202" t="n"/>
      <x:c r="Q2" s="202" t="n"/>
      <x:c r="R2" s="202" t="n"/>
      <x:c r="S2" s="202" t="n"/>
      <x:c r="T2" s="202" t="n"/>
      <x:c r="U2" s="202" t="n"/>
      <x:c r="V2" s="202" t="n"/>
      <x:c r="W2" s="202" t="n"/>
      <x:c r="X2" s="202" t="n"/>
    </x:row>
    <x:row r="4" s="139" customFormat="1" ht="42" customHeight="1">
      <x:c r="A4" s="203" t="inlineStr">
        <x:is>
          <x:t xml:space="preserve">Company ID</x:t>
        </x:is>
      </x:c>
      <x:c r="B4" s="203" t="inlineStr">
        <x:is>
          <x:t xml:space="preserve">Company</x:t>
        </x:is>
      </x:c>
      <x:c r="C4" s="203" t="inlineStr">
        <x:is>
          <x:t xml:space="preserve">Ticker</x:t>
        </x:is>
      </x:c>
      <x:c r="D4" s="203" t="inlineStr">
        <x:is>
          <x:t xml:space="preserve">Sector</x:t>
        </x:is>
      </x:c>
      <x:c r="E4" s="203" t="inlineStr">
        <x:is>
          <x:t xml:space="preserve">Priority</x:t>
        </x:is>
      </x:c>
      <x:c r="F4" s="203" t="inlineStr">
        <x:is>
          <x:t xml:space="preserve">Phase</x:t>
        </x:is>
      </x:c>
      <x:c r="G4" s="203" t="inlineStr">
        <x:is>
          <x:t xml:space="preserve">Review Depth</x:t>
        </x:is>
      </x:c>
      <x:c r="H4" s="203" t="inlineStr">
        <x:is>
          <x:t xml:space="preserve">Circle of Competence</x:t>
        </x:is>
      </x:c>
      <x:c r="I4" s="203" t="inlineStr">
        <x:is>
          <x:t xml:space="preserve">Owner Earnings</x:t>
        </x:is>
      </x:c>
      <x:c r="J4" s="203" t="inlineStr">
        <x:is>
          <x:t xml:space="preserve">Enduring Moat</x:t>
        </x:is>
      </x:c>
      <x:c r="K4" s="203" t="inlineStr">
        <x:is>
          <x:t xml:space="preserve">Incremental Capital Returns</x:t>
        </x:is>
      </x:c>
      <x:c r="L4" s="203" t="inlineStr">
        <x:is>
          <x:t xml:space="preserve">Management &amp; Incentives</x:t>
        </x:is>
      </x:c>
      <x:c r="M4" s="203" t="inlineStr">
        <x:is>
          <x:t xml:space="preserve">Per-Share Progress</x:t>
        </x:is>
      </x:c>
      <x:c r="N4" s="203" t="inlineStr">
        <x:is>
          <x:t xml:space="preserve">Balance-Sheet Survival</x:t>
        </x:is>
      </x:c>
      <x:c r="O4" s="203" t="inlineStr">
        <x:is>
          <x:t xml:space="preserve">Margin of Safety</x:t>
        </x:is>
      </x:c>
      <x:c r="P4" s="203" t="inlineStr">
        <x:is>
          <x:t xml:space="preserve">Evidence Candor</x:t>
        </x:is>
      </x:c>
      <x:c r="Q4" s="203" t="inlineStr">
        <x:is>
          <x:t xml:space="preserve">Opportunity Cost</x:t>
        </x:is>
      </x:c>
      <x:c r="R4" s="203" t="inlineStr">
        <x:is>
          <x:t xml:space="preserve">Mistake Correction</x:t>
        </x:is>
      </x:c>
      <x:c r="S4" s="203" t="inlineStr">
        <x:is>
          <x:t xml:space="preserve">Valuation Humility</x:t>
        </x:is>
      </x:c>
      <x:c r="T4" s="203" t="inlineStr">
        <x:is>
          <x:t xml:space="preserve">Overall</x:t>
        </x:is>
      </x:c>
      <x:c r="U4" s="203" t="inlineStr">
        <x:is>
          <x:t xml:space="preserve">Critical Gap</x:t>
        </x:is>
      </x:c>
      <x:c r="V4" s="203" t="inlineStr">
        <x:is>
          <x:t xml:space="preserve">Next Evidence</x:t>
        </x:is>
      </x:c>
      <x:c r="W4" s="203" t="inlineStr">
        <x:is>
          <x:t xml:space="preserve">V10 Frozen Final</x:t>
        </x:is>
      </x:c>
      <x:c r="X4" s="203" t="inlineStr">
        <x:is>
          <x:t xml:space="preserve">As Of</x:t>
        </x:is>
      </x:c>
    </x:row>
    <x:row r="5">
      <x:c r="A5" s="204" t="inlineStr">
        <x:is>
          <x:t xml:space="preserve">ARG-001</x:t>
        </x:is>
      </x:c>
      <x:c r="B5" s="204" t="inlineStr">
        <x:is>
          <x:t xml:space="preserve">IonQ</x:t>
        </x:is>
      </x:c>
      <x:c r="C5" s="204" t="inlineStr">
        <x:is>
          <x:t xml:space="preserve">IONQ</x:t>
        </x:is>
      </x:c>
      <x:c r="D5" s="204" t="inlineStr">
        <x:is>
          <x:t xml:space="preserve">Quantum Computing</x:t>
        </x:is>
      </x:c>
      <x:c r="E5" s="204" t="inlineStr">
        <x:is>
          <x:t xml:space="preserve">P1</x:t>
        </x:is>
      </x:c>
      <x:c r="F5" s="204" t="inlineStr">
        <x:is>
          <x:t xml:space="preserve">Development</x:t>
        </x:is>
      </x:c>
      <x:c r="G5" s="204" t="str">
        <x:v>DEEP REVIEW AVAILABLE</x:v>
      </x:c>
      <x:c r="H5" s="204" t="str">
        <x:v>WATCH</x:v>
      </x:c>
      <x:c r="I5" s="204" t="str">
        <x:v>FAIL</x:v>
      </x:c>
      <x:c r="J5" s="204" t="str">
        <x:v>WATCH</x:v>
      </x:c>
      <x:c r="K5" s="204" t="str">
        <x:v>FAIL</x:v>
      </x:c>
      <x:c r="L5" s="204" t="str">
        <x:v>WATCH</x:v>
      </x:c>
      <x:c r="M5" s="204" t="str">
        <x:v>WATCH</x:v>
      </x:c>
      <x:c r="N5" s="204" t="str">
        <x:v>PASS</x:v>
      </x:c>
      <x:c r="O5" s="204" t="str">
        <x:v>FAIL</x:v>
      </x:c>
      <x:c r="P5" s="204" t="str">
        <x:v>WATCH</x:v>
      </x:c>
      <x:c r="Q5" s="204" t="str">
        <x:v>FAIL</x:v>
      </x:c>
      <x:c r="R5" s="204" t="str">
        <x:v>WATCH</x:v>
      </x:c>
      <x:c r="S5" s="204" t="str">
        <x:v>FAIL</x:v>
      </x:c>
      <x:c r="T5" s="204" t="str">
        <x:f>IF(COUNTIF(H5:S5,"FAIL")&gt;0,"BLOCKED - FAIL",IF(COUNTIF(H5:S5,"UNKNOWN")&gt;0,"UNVALIDATED",IF(COUNTIF(H5:S5,"WATCH")&gt;=4,"WATCH-CAPPED","READY")))</x:f>
        <x:v>BLOCKED - FAIL</x:v>
      </x:c>
      <x:c r="U5" s="204" t="str">
        <x:v>Organic vs acquired revenue and independently verified customer ROI</x:v>
      </x:c>
      <x:c r="V5" s="204" t="str">
        <x:v>WAIT — require organic/repeat revenue, customer ROI and post-acquisition cash bridge</x:v>
      </x:c>
      <x:c r="W5" s="204" t="inlineStr">
        <x:is>
          <x:t xml:space="preserve">WAIT FOR PRICE</x:t>
        </x:is>
      </x:c>
      <x:c r="X5" s="204" t="str">
        <x:v>2026-09-02</x:v>
      </x:c>
    </x:row>
    <x:row r="6">
      <x:c r="A6" s="204" t="inlineStr">
        <x:is>
          <x:t xml:space="preserve">ARG-002</x:t>
        </x:is>
      </x:c>
      <x:c r="B6" s="204" t="inlineStr">
        <x:is>
          <x:t xml:space="preserve">D-Wave Quantum</x:t>
        </x:is>
      </x:c>
      <x:c r="C6" s="204" t="inlineStr">
        <x:is>
          <x:t xml:space="preserve">QBTS</x:t>
        </x:is>
      </x:c>
      <x:c r="D6" s="204" t="inlineStr">
        <x:is>
          <x:t xml:space="preserve">Quantum Computing</x:t>
        </x:is>
      </x:c>
      <x:c r="E6" s="204" t="inlineStr">
        <x:is>
          <x:t xml:space="preserve">P1</x:t>
        </x:is>
      </x:c>
      <x:c r="F6" s="204" t="inlineStr">
        <x:is>
          <x:t xml:space="preserve">Development</x:t>
        </x:is>
      </x:c>
      <x:c r="G6" s="204" t="str">
        <x:v>DEEP REVIEW AVAILABLE</x:v>
      </x:c>
      <x:c r="H6" s="204" t="str">
        <x:v>WATCH</x:v>
      </x:c>
      <x:c r="I6" s="204" t="str">
        <x:v>FAIL</x:v>
      </x:c>
      <x:c r="J6" s="204" t="str">
        <x:v>WATCH</x:v>
      </x:c>
      <x:c r="K6" s="204" t="str">
        <x:v>FAIL</x:v>
      </x:c>
      <x:c r="L6" s="204" t="str">
        <x:v>WATCH</x:v>
      </x:c>
      <x:c r="M6" s="204" t="str">
        <x:v>FAIL</x:v>
      </x:c>
      <x:c r="N6" s="204" t="str">
        <x:v>PASS</x:v>
      </x:c>
      <x:c r="O6" s="204" t="str">
        <x:v>FAIL</x:v>
      </x:c>
      <x:c r="P6" s="204" t="str">
        <x:v>WATCH</x:v>
      </x:c>
      <x:c r="Q6" s="204" t="str">
        <x:v>FAIL</x:v>
      </x:c>
      <x:c r="R6" s="204" t="str">
        <x:v>WATCH</x:v>
      </x:c>
      <x:c r="S6" s="204" t="str">
        <x:v>FAIL</x:v>
      </x:c>
      <x:c r="T6" s="204" t="str">
        <x:f>IF(COUNTIF(H6:S6,"FAIL")&gt;0,"BLOCKED - FAIL",IF(COUNTIF(H6:S6,"UNKNOWN")&gt;0,"UNVALIDATED",IF(COUNTIF(H6:S6,"WATCH")&gt;=4,"WATCH-CAPPED","READY")))</x:f>
        <x:v>BLOCKED - FAIL</x:v>
      </x:c>
      <x:c r="U6" s="204" t="str">
        <x:v>Conversion of the $20m system booking into cash and repeat customer economics</x:v>
      </x:c>
      <x:c r="V6" s="204" t="str">
        <x:v>RESEARCH — prove backlog conversion and recurring enterprise economics</x:v>
      </x:c>
      <x:c r="W6" s="204" t="inlineStr">
        <x:is>
          <x:t xml:space="preserve">RESEARCH</x:t>
        </x:is>
      </x:c>
      <x:c r="X6" s="204" t="str">
        <x:v>2026-09-02</x:v>
      </x:c>
    </x:row>
    <x:row r="7">
      <x:c r="A7" s="204" t="inlineStr">
        <x:is>
          <x:t xml:space="preserve">ARG-003</x:t>
        </x:is>
      </x:c>
      <x:c r="B7" s="204" t="inlineStr">
        <x:is>
          <x:t xml:space="preserve">Rigetti Computing</x:t>
        </x:is>
      </x:c>
      <x:c r="C7" s="204" t="inlineStr">
        <x:is>
          <x:t xml:space="preserve">RGTI</x:t>
        </x:is>
      </x:c>
      <x:c r="D7" s="204" t="inlineStr">
        <x:is>
          <x:t xml:space="preserve">Quantum Computing</x:t>
        </x:is>
      </x:c>
      <x:c r="E7" s="204" t="inlineStr">
        <x:is>
          <x:t xml:space="preserve">P1</x:t>
        </x:is>
      </x:c>
      <x:c r="F7" s="204" t="inlineStr">
        <x:is>
          <x:t xml:space="preserve">Development</x:t>
        </x:is>
      </x:c>
      <x:c r="G7" s="204" t="str">
        <x:v>DEEP REVIEW AVAILABLE</x:v>
      </x:c>
      <x:c r="H7" s="204" t="str">
        <x:v>WATCH</x:v>
      </x:c>
      <x:c r="I7" s="204" t="str">
        <x:v>FAIL</x:v>
      </x:c>
      <x:c r="J7" s="204" t="str">
        <x:v>WATCH</x:v>
      </x:c>
      <x:c r="K7" s="204" t="str">
        <x:v>FAIL</x:v>
      </x:c>
      <x:c r="L7" s="204" t="str">
        <x:v>WATCH</x:v>
      </x:c>
      <x:c r="M7" s="204" t="str">
        <x:v>FAIL</x:v>
      </x:c>
      <x:c r="N7" s="204" t="str">
        <x:v>PASS</x:v>
      </x:c>
      <x:c r="O7" s="204" t="str">
        <x:v>FAIL</x:v>
      </x:c>
      <x:c r="P7" s="204" t="str">
        <x:v>WATCH</x:v>
      </x:c>
      <x:c r="Q7" s="204" t="str">
        <x:v>FAIL</x:v>
      </x:c>
      <x:c r="R7" s="204" t="str">
        <x:v>FAIL</x:v>
      </x:c>
      <x:c r="S7" s="204" t="str">
        <x:v>FAIL</x:v>
      </x:c>
      <x:c r="T7" s="204" t="str">
        <x:f>IF(COUNTIF(H7:S7,"FAIL")&gt;0,"BLOCKED - FAIL",IF(COUNTIF(H7:S7,"UNKNOWN")&gt;0,"UNVALIDATED",IF(COUNTIF(H7:S7,"WATCH")&gt;=4,"WATCH-CAPPED","READY")))</x:f>
        <x:v>BLOCKED - FAIL</x:v>
      </x:c>
      <x:c r="U7" s="204" t="str">
        <x:v>Independent verification and roadmap credibility after repeated historical changes</x:v>
      </x:c>
      <x:c r="V7" s="204" t="str">
        <x:v>NO ACTION — require externally reproduced milestones and commercial conversion</x:v>
      </x:c>
      <x:c r="W7" s="204" t="inlineStr">
        <x:is>
          <x:t xml:space="preserve">NO ACTION</x:t>
        </x:is>
      </x:c>
      <x:c r="X7" s="204" t="str">
        <x:v>2026-09-02</x:v>
      </x:c>
    </x:row>
    <x:row r="8">
      <x:c r="A8" s="204" t="inlineStr">
        <x:is>
          <x:t xml:space="preserve">ARG-004</x:t>
        </x:is>
      </x:c>
      <x:c r="B8" s="204" t="inlineStr">
        <x:is>
          <x:t xml:space="preserve">Quantum Computing Inc.</x:t>
        </x:is>
      </x:c>
      <x:c r="C8" s="204" t="inlineStr">
        <x:is>
          <x:t xml:space="preserve">QUBT</x:t>
        </x:is>
      </x:c>
      <x:c r="D8" s="204" t="inlineStr">
        <x:is>
          <x:t xml:space="preserve">Quantum Computing</x:t>
        </x:is>
      </x:c>
      <x:c r="E8" s="204" t="inlineStr">
        <x:is>
          <x:t xml:space="preserve">P1</x:t>
        </x:is>
      </x:c>
      <x:c r="F8" s="204" t="inlineStr">
        <x:is>
          <x:t xml:space="preserve">Development</x:t>
        </x:is>
      </x:c>
      <x:c r="G8" s="204" t="str">
        <x:v>DEEP REVIEW AVAILABLE</x:v>
      </x:c>
      <x:c r="H8" s="204" t="str">
        <x:v>FAIL</x:v>
      </x:c>
      <x:c r="I8" s="204" t="str">
        <x:v>FAIL</x:v>
      </x:c>
      <x:c r="J8" s="204" t="str">
        <x:v>UNKNOWN</x:v>
      </x:c>
      <x:c r="K8" s="204" t="str">
        <x:v>FAIL</x:v>
      </x:c>
      <x:c r="L8" s="204" t="str">
        <x:v>WATCH</x:v>
      </x:c>
      <x:c r="M8" s="204" t="str">
        <x:v>FAIL</x:v>
      </x:c>
      <x:c r="N8" s="204" t="str">
        <x:v>PASS</x:v>
      </x:c>
      <x:c r="O8" s="204" t="str">
        <x:v>FAIL</x:v>
      </x:c>
      <x:c r="P8" s="204" t="str">
        <x:v>WATCH</x:v>
      </x:c>
      <x:c r="Q8" s="204" t="str">
        <x:v>FAIL</x:v>
      </x:c>
      <x:c r="R8" s="204" t="str">
        <x:v>UNKNOWN</x:v>
      </x:c>
      <x:c r="S8" s="204" t="str">
        <x:v>FAIL</x:v>
      </x:c>
      <x:c r="T8" s="204" t="str">
        <x:f>IF(COUNTIF(H8:S8,"FAIL")&gt;0,"BLOCKED - FAIL",IF(COUNTIF(H8:S8,"UNKNOWN")&gt;0,"UNVALIDATED",IF(COUNTIF(H8:S8,"WATCH")&gt;=4,"WATCH-CAPPED","READY")))</x:f>
        <x:v>BLOCKED - FAIL</x:v>
      </x:c>
      <x:c r="U8" s="204" t="str">
        <x:v>Stable business identity and segment-level organic economics</x:v>
      </x:c>
      <x:c r="V8" s="204" t="str">
        <x:v>BLOCKED — reconstruct the post-acquisition economic engine first</x:v>
      </x:c>
      <x:c r="W8" s="204" t="inlineStr">
        <x:is>
          <x:t xml:space="preserve">BLOCKED</x:t>
        </x:is>
      </x:c>
      <x:c r="X8" s="204" t="str">
        <x:v>2026-09-02</x:v>
      </x:c>
    </x:row>
    <x:row r="9">
      <x:c r="A9" s="204" t="inlineStr">
        <x:is>
          <x:t xml:space="preserve">ARG-005</x:t>
        </x:is>
      </x:c>
      <x:c r="B9" s="204" t="inlineStr">
        <x:is>
          <x:t xml:space="preserve">NVIDIA</x:t>
        </x:is>
      </x:c>
      <x:c r="C9" s="204" t="inlineStr">
        <x:is>
          <x:t xml:space="preserve">NVDA</x:t>
        </x:is>
      </x:c>
      <x:c r="D9" s="204" t="inlineStr">
        <x:is>
          <x:t xml:space="preserve">AI &amp; Semiconductors</x:t>
        </x:is>
      </x:c>
      <x:c r="E9" s="204" t="inlineStr">
        <x:is>
          <x:t xml:space="preserve">P1</x:t>
        </x:is>
      </x:c>
      <x:c r="F9" s="204" t="inlineStr">
        <x:is>
          <x:t xml:space="preserve">Development</x:t>
        </x:is>
      </x:c>
      <x:c r="G9" s="204" t="str">
        <x:v>DEEP REVIEW AVAILABLE</x:v>
      </x:c>
      <x:c r="H9" s="204" t="str">
        <x:v>PASS</x:v>
      </x:c>
      <x:c r="I9" s="204" t="str">
        <x:v>PASS</x:v>
      </x:c>
      <x:c r="J9" s="204" t="str">
        <x:v>PASS</x:v>
      </x:c>
      <x:c r="K9" s="204" t="str">
        <x:v>PASS</x:v>
      </x:c>
      <x:c r="L9" s="204" t="str">
        <x:v>WATCH</x:v>
      </x:c>
      <x:c r="M9" s="204" t="str">
        <x:v>PASS</x:v>
      </x:c>
      <x:c r="N9" s="204" t="str">
        <x:v>PASS</x:v>
      </x:c>
      <x:c r="O9" s="204" t="str">
        <x:v>WATCH</x:v>
      </x:c>
      <x:c r="P9" s="204" t="str">
        <x:v>WATCH</x:v>
      </x:c>
      <x:c r="Q9" s="204" t="str">
        <x:v>WATCH</x:v>
      </x:c>
      <x:c r="R9" s="204" t="str">
        <x:v>WATCH</x:v>
      </x:c>
      <x:c r="S9" s="204" t="str">
        <x:v>WATCH</x:v>
      </x:c>
      <x:c r="T9" s="204" t="str">
        <x:f>IF(COUNTIF(H9:S9,"FAIL")&gt;0,"BLOCKED - FAIL",IF(COUNTIF(H9:S9,"UNKNOWN")&gt;0,"UNVALIDATED",IF(COUNTIF(H9:S9,"WATCH")&gt;=4,"WATCH-CAPPED","READY")))</x:f>
        <x:v>WATCH-CAPPED</x:v>
      </x:c>
      <x:c r="U9" s="204" t="str">
        <x:v>Normalized customer AI ROI and full-cycle gross margin</x:v>
      </x:c>
      <x:c r="V9" s="204" t="str">
        <x:v>WAIT / SMALL ONLY — track customer ROI, capex financing and normalized margin</x:v>
      </x:c>
      <x:c r="W9" s="204" t="inlineStr">
        <x:is>
          <x:t xml:space="preserve">WAIT / SMALL ONLY</x:t>
        </x:is>
      </x:c>
      <x:c r="X9" s="204" t="str">
        <x:v>2026-09-02</x:v>
      </x:c>
    </x:row>
    <x:row r="10">
      <x:c r="A10" s="204" t="inlineStr">
        <x:is>
          <x:t xml:space="preserve">ARG-006</x:t>
        </x:is>
      </x:c>
      <x:c r="B10" s="204" t="inlineStr">
        <x:is>
          <x:t xml:space="preserve">Advanced Micro Devices</x:t>
        </x:is>
      </x:c>
      <x:c r="C10" s="204" t="inlineStr">
        <x:is>
          <x:t xml:space="preserve">AMD</x:t>
        </x:is>
      </x:c>
      <x:c r="D10" s="204" t="inlineStr">
        <x:is>
          <x:t xml:space="preserve">AI &amp; Semiconductors</x:t>
        </x:is>
      </x:c>
      <x:c r="E10" s="204" t="inlineStr">
        <x:is>
          <x:t xml:space="preserve">P2</x:t>
        </x:is>
      </x:c>
      <x:c r="F10" s="204" t="inlineStr">
        <x:is>
          <x:t xml:space="preserve">Development</x:t>
        </x:is>
      </x:c>
      <x:c r="G10" s="204" t="str">
        <x:v>DEEP REVIEW AVAILABLE</x:v>
      </x:c>
      <x:c r="H10" s="204" t="str">
        <x:v>PASS</x:v>
      </x:c>
      <x:c r="I10" s="204" t="str">
        <x:v>PASS</x:v>
      </x:c>
      <x:c r="J10" s="204" t="str">
        <x:v>WATCH</x:v>
      </x:c>
      <x:c r="K10" s="204" t="str">
        <x:v>PASS</x:v>
      </x:c>
      <x:c r="L10" s="204" t="str">
        <x:v>PASS</x:v>
      </x:c>
      <x:c r="M10" s="204" t="str">
        <x:v>WATCH</x:v>
      </x:c>
      <x:c r="N10" s="204" t="str">
        <x:v>PASS</x:v>
      </x:c>
      <x:c r="O10" s="204" t="str">
        <x:v>WATCH</x:v>
      </x:c>
      <x:c r="P10" s="204" t="str">
        <x:v>PASS</x:v>
      </x:c>
      <x:c r="Q10" s="204" t="str">
        <x:v>WATCH</x:v>
      </x:c>
      <x:c r="R10" s="204" t="str">
        <x:v>PASS</x:v>
      </x:c>
      <x:c r="S10" s="204" t="str">
        <x:v>WATCH</x:v>
      </x:c>
      <x:c r="T10" s="204" t="str">
        <x:f>IF(COUNTIF(H10:S10,"FAIL")&gt;0,"BLOCKED - FAIL",IF(COUNTIF(H10:S10,"UNKNOWN")&gt;0,"UNVALIDATED",IF(COUNTIF(H10:S10,"WATCH")&gt;=4,"WATCH-CAPPED","READY")))</x:f>
        <x:v>WATCH-CAPPED</x:v>
      </x:c>
      <x:c r="U10" s="204" t="str">
        <x:v>Normalized AI customer ROI, accelerator customer concentration and full-cycle FCF/share</x:v>
      </x:c>
      <x:c r="V10" s="204" t="str">
        <x:v>WATCH — no upgrade; require normalized customer AI ROI, durable accelerator share and free-cash-flow conversion</x:v>
      </x:c>
      <x:c r="W10" s="204" t="inlineStr">
        <x:is>
          <x:t xml:space="preserve">WATCH</x:t>
        </x:is>
      </x:c>
      <x:c r="X10" s="204" t="str">
        <x:v>2026-09-02</x:v>
      </x:c>
    </x:row>
    <x:row r="11">
      <x:c r="A11" s="204" t="inlineStr">
        <x:is>
          <x:t xml:space="preserve">ARG-007</x:t>
        </x:is>
      </x:c>
      <x:c r="B11" s="204" t="inlineStr">
        <x:is>
          <x:t xml:space="preserve">Taiwan Semiconductor Manufacturing</x:t>
        </x:is>
      </x:c>
      <x:c r="C11" s="204" t="inlineStr">
        <x:is>
          <x:t xml:space="preserve">TSM</x:t>
        </x:is>
      </x:c>
      <x:c r="D11" s="204" t="inlineStr">
        <x:is>
          <x:t xml:space="preserve">AI &amp; Semiconductors</x:t>
        </x:is>
      </x:c>
      <x:c r="E11" s="204" t="inlineStr">
        <x:is>
          <x:t xml:space="preserve">P2</x:t>
        </x:is>
      </x:c>
      <x:c r="F11" s="204" t="inlineStr">
        <x:is>
          <x:t xml:space="preserve">Development</x:t>
        </x:is>
      </x:c>
      <x:c r="G11" s="204" t="str">
        <x:v>DEEP REVIEW AVAILABLE</x:v>
      </x:c>
      <x:c r="H11" s="204" t="str">
        <x:v>PASS</x:v>
      </x:c>
      <x:c r="I11" s="204" t="str">
        <x:v>PASS</x:v>
      </x:c>
      <x:c r="J11" s="204" t="str">
        <x:v>PASS</x:v>
      </x:c>
      <x:c r="K11" s="204" t="str">
        <x:v>PASS</x:v>
      </x:c>
      <x:c r="L11" s="204" t="str">
        <x:v>PASS</x:v>
      </x:c>
      <x:c r="M11" s="204" t="str">
        <x:v>PASS</x:v>
      </x:c>
      <x:c r="N11" s="204" t="str">
        <x:v>WATCH</x:v>
      </x:c>
      <x:c r="O11" s="204" t="str">
        <x:v>WATCH</x:v>
      </x:c>
      <x:c r="P11" s="204" t="str">
        <x:v>PASS</x:v>
      </x:c>
      <x:c r="Q11" s="204" t="str">
        <x:v>WATCH</x:v>
      </x:c>
      <x:c r="R11" s="204" t="str">
        <x:v>PASS</x:v>
      </x:c>
      <x:c r="S11" s="204" t="str">
        <x:v>WATCH</x:v>
      </x:c>
      <x:c r="T11" s="204" t="str">
        <x:f>IF(COUNTIF(H11:S11,"FAIL")&gt;0,"BLOCKED - FAIL",IF(COUNTIF(H11:S11,"UNKNOWN")&gt;0,"UNVALIDATED",IF(COUNTIF(H11:S11,"WATCH")&gt;=4,"WATCH-CAPPED","READY")))</x:f>
        <x:v>WATCH-CAPPED</x:v>
      </x:c>
      <x:c r="U11" s="204" t="str">
        <x:v>Quantified geopolitical loss tail and normalized returns on overseas capacity</x:v>
      </x:c>
      <x:c r="V11" s="204" t="str">
        <x:v>WATCH — moat affirmed; require Taiwan-tail price protection and overseas-fab return evidence</x:v>
      </x:c>
      <x:c r="W11" s="204" t="inlineStr">
        <x:is>
          <x:t xml:space="preserve">WATCH</x:t>
        </x:is>
      </x:c>
      <x:c r="X11" s="204" t="str">
        <x:v>2026-09-02</x:v>
      </x:c>
    </x:row>
    <x:row r="12">
      <x:c r="A12" s="204" t="inlineStr">
        <x:is>
          <x:t xml:space="preserve">ARG-008</x:t>
        </x:is>
      </x:c>
      <x:c r="B12" s="204" t="inlineStr">
        <x:is>
          <x:t xml:space="preserve">ASML Holding</x:t>
        </x:is>
      </x:c>
      <x:c r="C12" s="204" t="inlineStr">
        <x:is>
          <x:t xml:space="preserve">ASML</x:t>
        </x:is>
      </x:c>
      <x:c r="D12" s="204" t="inlineStr">
        <x:is>
          <x:t xml:space="preserve">AI &amp; Semiconductors</x:t>
        </x:is>
      </x:c>
      <x:c r="E12" s="204" t="inlineStr">
        <x:is>
          <x:t xml:space="preserve">P2</x:t>
        </x:is>
      </x:c>
      <x:c r="F12" s="204" t="inlineStr">
        <x:is>
          <x:t xml:space="preserve">Development</x:t>
        </x:is>
      </x:c>
      <x:c r="G12" s="204" t="str">
        <x:v>DEEP REVIEW AVAILABLE</x:v>
      </x:c>
      <x:c r="H12" s="204" t="str">
        <x:v>PASS</x:v>
      </x:c>
      <x:c r="I12" s="204" t="str">
        <x:v>PASS</x:v>
      </x:c>
      <x:c r="J12" s="204" t="str">
        <x:v>PASS</x:v>
      </x:c>
      <x:c r="K12" s="204" t="str">
        <x:v>PASS</x:v>
      </x:c>
      <x:c r="L12" s="204" t="str">
        <x:v>PASS</x:v>
      </x:c>
      <x:c r="M12" s="204" t="str">
        <x:v>PASS</x:v>
      </x:c>
      <x:c r="N12" s="204" t="str">
        <x:v>PASS</x:v>
      </x:c>
      <x:c r="O12" s="204" t="str">
        <x:v>FAIL</x:v>
      </x:c>
      <x:c r="P12" s="204" t="str">
        <x:v>PASS</x:v>
      </x:c>
      <x:c r="Q12" s="204" t="str">
        <x:v>WATCH</x:v>
      </x:c>
      <x:c r="R12" s="204" t="str">
        <x:v>PASS</x:v>
      </x:c>
      <x:c r="S12" s="204" t="str">
        <x:v>WATCH</x:v>
      </x:c>
      <x:c r="T12" s="204" t="str">
        <x:f>IF(COUNTIF(H12:S12,"FAIL")&gt;0,"BLOCKED - FAIL",IF(COUNTIF(H12:S12,"UNKNOWN")&gt;0,"UNVALIDATED",IF(COUNTIF(H12:S12,"WATCH")&gt;=4,"WATCH-CAPPED","READY")))</x:f>
        <x:v>BLOCKED - FAIL</x:v>
      </x:c>
      <x:c r="U12" s="204" t="str">
        <x:v>Conservative value range under export restrictions and a WFE down-cycle</x:v>
      </x:c>
      <x:c r="V12" s="204" t="str">
        <x:v>WAIT FOR PRICE — evidence strengthens the franchise, not the entry price</x:v>
      </x:c>
      <x:c r="W12" s="204" t="inlineStr">
        <x:is>
          <x:t xml:space="preserve">WAIT FOR PRICE</x:t>
        </x:is>
      </x:c>
      <x:c r="X12" s="204" t="str">
        <x:v>2026-09-02</x:v>
      </x:c>
    </x:row>
    <x:row r="13">
      <x:c r="A13" s="204" t="str">
        <x:v>ARG-009</x:v>
      </x:c>
      <x:c r="B13" s="204" t="str">
        <x:v>Applied Materials</x:v>
      </x:c>
      <x:c r="C13" s="204" t="str">
        <x:v>AMAT</x:v>
      </x:c>
      <x:c r="D13" s="204" t="str">
        <x:v>AI &amp; Semiconductors</x:v>
      </x:c>
      <x:c r="E13" s="204" t="str">
        <x:v>P2</x:v>
      </x:c>
      <x:c r="F13" s="204" t="str">
        <x:v>Development</x:v>
      </x:c>
      <x:c r="G13" s="204" t="str">
        <x:v>DEEP REVIEW AVAILABLE</x:v>
      </x:c>
      <x:c r="H13" s="204" t="str">
        <x:v>PASS</x:v>
      </x:c>
      <x:c r="I13" s="204" t="str">
        <x:v>PASS</x:v>
      </x:c>
      <x:c r="J13" s="204" t="str">
        <x:v>PASS</x:v>
      </x:c>
      <x:c r="K13" s="204" t="str">
        <x:v>WATCH</x:v>
      </x:c>
      <x:c r="L13" s="204" t="str">
        <x:v>PASS</x:v>
      </x:c>
      <x:c r="M13" s="204" t="str">
        <x:v>PASS</x:v>
      </x:c>
      <x:c r="N13" s="204" t="str">
        <x:v>PASS</x:v>
      </x:c>
      <x:c r="O13" s="204" t="str">
        <x:v>FAIL</x:v>
      </x:c>
      <x:c r="P13" s="204" t="str">
        <x:v>PASS</x:v>
      </x:c>
      <x:c r="Q13" s="204" t="str">
        <x:v>FAIL</x:v>
      </x:c>
      <x:c r="R13" s="204" t="str">
        <x:v>WATCH</x:v>
      </x:c>
      <x:c r="S13" s="204" t="str">
        <x:v>FAIL</x:v>
      </x:c>
      <x:c r="T13" s="204" t="str">
        <x:v>BLOCKED - FAIL</x:v>
      </x:c>
      <x:c r="U13" s="204" t="str">
        <x:v>Normalized WFE/service owner earnings under export limits and the return on EPIC/capacity investment</x:v>
      </x:c>
      <x:c r="V13" s="204" t="str">
        <x:v>WAIT FOR PRICE — require a cycle-normalized FCF range, export-loss case and EPIC return evidence</x:v>
      </x:c>
      <x:c r="W13" s="204" t="str">
        <x:v>WAIT FOR PRICE</x:v>
      </x:c>
      <x:c r="X13" s="204" t="str">
        <x:v>2026-09-02</x:v>
      </x:c>
    </x:row>
    <x:row r="14">
      <x:c r="A14" s="204" t="str">
        <x:v>ARG-010</x:v>
      </x:c>
      <x:c r="B14" s="204" t="str">
        <x:v>Lam Research</x:v>
      </x:c>
      <x:c r="C14" s="204" t="str">
        <x:v>LRCX</x:v>
      </x:c>
      <x:c r="D14" s="204" t="str">
        <x:v>AI &amp; Semiconductors</x:v>
      </x:c>
      <x:c r="E14" s="204" t="str">
        <x:v>P2</x:v>
      </x:c>
      <x:c r="F14" s="204" t="str">
        <x:v>Development</x:v>
      </x:c>
      <x:c r="G14" s="204" t="str">
        <x:v>DEEP REVIEW AVAILABLE</x:v>
      </x:c>
      <x:c r="H14" s="204" t="str">
        <x:v>PASS</x:v>
      </x:c>
      <x:c r="I14" s="204" t="str">
        <x:v>PASS</x:v>
      </x:c>
      <x:c r="J14" s="204" t="str">
        <x:v>PASS</x:v>
      </x:c>
      <x:c r="K14" s="204" t="str">
        <x:v>WATCH</x:v>
      </x:c>
      <x:c r="L14" s="204" t="str">
        <x:v>PASS</x:v>
      </x:c>
      <x:c r="M14" s="204" t="str">
        <x:v>PASS</x:v>
      </x:c>
      <x:c r="N14" s="204" t="str">
        <x:v>PASS</x:v>
      </x:c>
      <x:c r="O14" s="204" t="str">
        <x:v>FAIL</x:v>
      </x:c>
      <x:c r="P14" s="204" t="str">
        <x:v>PASS</x:v>
      </x:c>
      <x:c r="Q14" s="204" t="str">
        <x:v>FAIL</x:v>
      </x:c>
      <x:c r="R14" s="204" t="str">
        <x:v>PASS</x:v>
      </x:c>
      <x:c r="S14" s="204" t="str">
        <x:v>FAIL</x:v>
      </x:c>
      <x:c r="T14" s="204" t="str">
        <x:v>BLOCKED - FAIL</x:v>
      </x:c>
      <x:c r="U14" s="204" t="str">
        <x:v>Customer-level concentration, export-adjusted installed-base value and trough-cycle owner earnings</x:v>
      </x:c>
      <x:c r="V14" s="204" t="str">
        <x:v>WAIT FOR PRICE — normalize the September ramp, China exposure, service durability and full-cycle FCF</x:v>
      </x:c>
      <x:c r="W14" s="204" t="str">
        <x:v>WAIT FOR PRICE</x:v>
      </x:c>
      <x:c r="X14" s="204" t="str">
        <x:v>2026-09-02</x:v>
      </x:c>
    </x:row>
    <x:row r="15">
      <x:c r="A15" s="204" t="inlineStr">
        <x:is>
          <x:t xml:space="preserve">ARG-011</x:t>
        </x:is>
      </x:c>
      <x:c r="B15" s="204" t="inlineStr">
        <x:is>
          <x:t xml:space="preserve">Micron Technology</x:t>
        </x:is>
      </x:c>
      <x:c r="C15" s="204" t="inlineStr">
        <x:is>
          <x:t xml:space="preserve">MU</x:t>
        </x:is>
      </x:c>
      <x:c r="D15" s="204" t="inlineStr">
        <x:is>
          <x:t xml:space="preserve">AI &amp; Semiconductors</x:t>
        </x:is>
      </x:c>
      <x:c r="E15" s="204" t="inlineStr">
        <x:is>
          <x:t xml:space="preserve">P2</x:t>
        </x:is>
      </x:c>
      <x:c r="F15" s="204" t="inlineStr">
        <x:is>
          <x:t xml:space="preserve">Development</x:t>
        </x:is>
      </x:c>
      <x:c r="G15" s="204" t="str">
        <x:v>DEEP REVIEW AVAILABLE</x:v>
      </x:c>
      <x:c r="H15" s="204" t="str">
        <x:v>PASS</x:v>
      </x:c>
      <x:c r="I15" s="204" t="str">
        <x:v>PASS</x:v>
      </x:c>
      <x:c r="J15" s="204" t="str">
        <x:v>WATCH</x:v>
      </x:c>
      <x:c r="K15" s="204" t="str">
        <x:v>WATCH</x:v>
      </x:c>
      <x:c r="L15" s="204" t="str">
        <x:v>PASS</x:v>
      </x:c>
      <x:c r="M15" s="204" t="str">
        <x:v>PASS</x:v>
      </x:c>
      <x:c r="N15" s="204" t="str">
        <x:v>PASS</x:v>
      </x:c>
      <x:c r="O15" s="204" t="str">
        <x:v>FAIL</x:v>
      </x:c>
      <x:c r="P15" s="204" t="str">
        <x:v>PASS</x:v>
      </x:c>
      <x:c r="Q15" s="204" t="str">
        <x:v>FAIL</x:v>
      </x:c>
      <x:c r="R15" s="204" t="str">
        <x:v>PASS</x:v>
      </x:c>
      <x:c r="S15" s="204" t="str">
        <x:v>WATCH</x:v>
      </x:c>
      <x:c r="T15" s="204" t="str">
        <x:f>IF(COUNTIF(H15:S15,"FAIL")&gt;0,"BLOCKED - FAIL",IF(COUNTIF(H15:S15,"UNKNOWN")&gt;0,"UNVALIDATED",IF(COUNTIF(H15:S15,"WATCH")&gt;=4,"WATCH-CAPPED","READY")))</x:f>
        <x:v>BLOCKED - FAIL</x:v>
      </x:c>
      <x:c r="U15" s="204" t="str">
        <x:v>Full-cycle HBM/DRAM price, utilization and owner-earnings normalization</x:v>
      </x:c>
      <x:c r="V15" s="204" t="str">
        <x:v>WAIT — normalize HBM pricing, supply response, depreciation and capex before valuation</x:v>
      </x:c>
      <x:c r="W15" s="204" t="inlineStr">
        <x:is>
          <x:t xml:space="preserve">WAIT</x:t>
        </x:is>
      </x:c>
      <x:c r="X15" s="204" t="str">
        <x:v>2026-09-02</x:v>
      </x:c>
    </x:row>
    <x:row r="16">
      <x:c r="A16" s="204" t="inlineStr">
        <x:is>
          <x:t xml:space="preserve">ARG-012</x:t>
        </x:is>
      </x:c>
      <x:c r="B16" s="204" t="inlineStr">
        <x:is>
          <x:t xml:space="preserve">Broadcom</x:t>
        </x:is>
      </x:c>
      <x:c r="C16" s="204" t="inlineStr">
        <x:is>
          <x:t xml:space="preserve">AVGO</x:t>
        </x:is>
      </x:c>
      <x:c r="D16" s="204" t="inlineStr">
        <x:is>
          <x:t xml:space="preserve">AI &amp; Semiconductors</x:t>
        </x:is>
      </x:c>
      <x:c r="E16" s="204" t="inlineStr">
        <x:is>
          <x:t xml:space="preserve">P2</x:t>
        </x:is>
      </x:c>
      <x:c r="F16" s="204" t="inlineStr">
        <x:is>
          <x:t xml:space="preserve">Development</x:t>
        </x:is>
      </x:c>
      <x:c r="G16" s="204" t="str">
        <x:v>DEEP REVIEW AVAILABLE</x:v>
      </x:c>
      <x:c r="H16" s="204" t="str">
        <x:v>PASS</x:v>
      </x:c>
      <x:c r="I16" s="204" t="str">
        <x:v>PASS</x:v>
      </x:c>
      <x:c r="J16" s="204" t="str">
        <x:v>PASS</x:v>
      </x:c>
      <x:c r="K16" s="204" t="str">
        <x:v>PASS</x:v>
      </x:c>
      <x:c r="L16" s="204" t="str">
        <x:v>PASS</x:v>
      </x:c>
      <x:c r="M16" s="204" t="str">
        <x:v>WATCH</x:v>
      </x:c>
      <x:c r="N16" s="204" t="str">
        <x:v>WATCH</x:v>
      </x:c>
      <x:c r="O16" s="204" t="str">
        <x:v>WATCH</x:v>
      </x:c>
      <x:c r="P16" s="204" t="str">
        <x:v>PASS</x:v>
      </x:c>
      <x:c r="Q16" s="204" t="str">
        <x:v>WATCH</x:v>
      </x:c>
      <x:c r="R16" s="204" t="str">
        <x:v>PASS</x:v>
      </x:c>
      <x:c r="S16" s="204" t="str">
        <x:v>WATCH</x:v>
      </x:c>
      <x:c r="T16" s="204" t="str">
        <x:f>IF(COUNTIF(H16:S16,"FAIL")&gt;0,"BLOCKED - FAIL",IF(COUNTIF(H16:S16,"UNKNOWN")&gt;0,"UNVALIDATED",IF(COUNTIF(H16:S16,"WATCH")&gt;=4,"WATCH-CAPPED","READY")))</x:f>
        <x:v>WATCH-CAPPED</x:v>
      </x:c>
      <x:c r="U16" s="204" t="str">
        <x:v>Customer-level AI concentration and acquisition-cohort return after debt/SBC</x:v>
      </x:c>
      <x:c r="V16" s="204" t="str">
        <x:v>WATCH — replace the Q2 snapshot with Q3 evidence; require customer concentration, debt/SBC-adjusted per-share FCF and reverse-valuation proof before promotion.</x:v>
      </x:c>
      <x:c r="W16" s="204" t="inlineStr">
        <x:is>
          <x:t xml:space="preserve">WATCH</x:t>
        </x:is>
      </x:c>
      <x:c r="X16" s="204" t="str">
        <x:v>2026-09-03</x:v>
      </x:c>
    </x:row>
    <x:row r="17">
      <x:c r="A17" s="204" t="str">
        <x:v>ARG-013</x:v>
      </x:c>
      <x:c r="B17" s="204" t="str">
        <x:v>Marvell Technology</x:v>
      </x:c>
      <x:c r="C17" s="204" t="str">
        <x:v>MRVL</x:v>
      </x:c>
      <x:c r="D17" s="204" t="str">
        <x:v>AI &amp; Semiconductors</x:v>
      </x:c>
      <x:c r="E17" s="204" t="str">
        <x:v>P2</x:v>
      </x:c>
      <x:c r="F17" s="204" t="str">
        <x:v>Development</x:v>
      </x:c>
      <x:c r="G17" s="204" t="str">
        <x:v>DEEP REVIEW AVAILABLE</x:v>
      </x:c>
      <x:c r="H17" s="204" t="str">
        <x:v>PASS</x:v>
      </x:c>
      <x:c r="I17" s="204" t="str">
        <x:v>WATCH</x:v>
      </x:c>
      <x:c r="J17" s="204" t="str">
        <x:v>WATCH</x:v>
      </x:c>
      <x:c r="K17" s="204" t="str">
        <x:v>WATCH</x:v>
      </x:c>
      <x:c r="L17" s="204" t="str">
        <x:v>WATCH</x:v>
      </x:c>
      <x:c r="M17" s="204" t="str">
        <x:v>WATCH</x:v>
      </x:c>
      <x:c r="N17" s="204" t="str">
        <x:v>PASS</x:v>
      </x:c>
      <x:c r="O17" s="204" t="str">
        <x:v>FAIL</x:v>
      </x:c>
      <x:c r="P17" s="204" t="str">
        <x:v>PASS</x:v>
      </x:c>
      <x:c r="Q17" s="204" t="str">
        <x:v>FAIL</x:v>
      </x:c>
      <x:c r="R17" s="204" t="str">
        <x:v>WATCH</x:v>
      </x:c>
      <x:c r="S17" s="204" t="str">
        <x:v>FAIL</x:v>
      </x:c>
      <x:c r="T17" s="204" t="str">
        <x:v>BLOCKED - FAIL</x:v>
      </x:c>
      <x:c r="U17" s="204" t="str">
        <x:v>Customer-program concentration, SBC-adjusted owner earnings and normalized custom-silicon returns</x:v>
      </x:c>
      <x:c r="V17" s="204" t="str">
        <x:v>WAIT — preserve the existing block until GAAP/SBC-adjusted owner earnings, customer-program concentration and dilution are reconciled.</x:v>
      </x:c>
      <x:c r="W17" s="204" t="str">
        <x:v>WAIT</x:v>
      </x:c>
      <x:c r="X17" s="204" t="str">
        <x:v>2026-09-03</x:v>
      </x:c>
    </x:row>
    <x:row r="18">
      <x:c r="A18" s="204" t="inlineStr">
        <x:is>
          <x:t xml:space="preserve">ARG-014</x:t>
        </x:is>
      </x:c>
      <x:c r="B18" s="204" t="inlineStr">
        <x:is>
          <x:t xml:space="preserve">Eaton</x:t>
        </x:is>
      </x:c>
      <x:c r="C18" s="204" t="inlineStr">
        <x:is>
          <x:t xml:space="preserve">ETN</x:t>
        </x:is>
      </x:c>
      <x:c r="D18" s="204" t="inlineStr">
        <x:is>
          <x:t xml:space="preserve">Power &amp; Grid</x:t>
        </x:is>
      </x:c>
      <x:c r="E18" s="204" t="inlineStr">
        <x:is>
          <x:t xml:space="preserve">P2</x:t>
        </x:is>
      </x:c>
      <x:c r="F18" s="204" t="inlineStr">
        <x:is>
          <x:t xml:space="preserve">Development</x:t>
        </x:is>
      </x:c>
      <x:c r="G18" s="204" t="str">
        <x:v>DEEP REVIEW AVAILABLE</x:v>
      </x:c>
      <x:c r="H18" s="204" t="str">
        <x:v>PASS</x:v>
      </x:c>
      <x:c r="I18" s="204" t="str">
        <x:v>PASS</x:v>
      </x:c>
      <x:c r="J18" s="204" t="str">
        <x:v>PASS</x:v>
      </x:c>
      <x:c r="K18" s="204" t="str">
        <x:v>PASS</x:v>
      </x:c>
      <x:c r="L18" s="204" t="str">
        <x:v>PASS</x:v>
      </x:c>
      <x:c r="M18" s="204" t="str">
        <x:v>PASS</x:v>
      </x:c>
      <x:c r="N18" s="204" t="str">
        <x:v>PASS</x:v>
      </x:c>
      <x:c r="O18" s="204" t="str">
        <x:v>FAIL</x:v>
      </x:c>
      <x:c r="P18" s="204" t="str">
        <x:v>PASS</x:v>
      </x:c>
      <x:c r="Q18" s="204" t="str">
        <x:v>WATCH</x:v>
      </x:c>
      <x:c r="R18" s="204" t="str">
        <x:v>PASS</x:v>
      </x:c>
      <x:c r="S18" s="204" t="str">
        <x:v>WATCH</x:v>
      </x:c>
      <x:c r="T18" s="204" t="str">
        <x:f>IF(COUNTIF(H18:S18,"FAIL")&gt;0,"BLOCKED - FAIL",IF(COUNTIF(H18:S18,"UNKNOWN")&gt;0,"UNVALIDATED",IF(COUNTIF(H18:S18,"WATCH")&gt;=4,"WATCH-CAPPED","READY")))</x:f>
        <x:v>BLOCKED - FAIL</x:v>
      </x:c>
      <x:c r="U18" s="204" t="str">
        <x:v>Normalized incremental returns after capacity expansion and a conservative entry value</x:v>
      </x:c>
      <x:c r="V18" s="204" t="str">
        <x:v>WAIT FOR PRICE — wonderful business; require valuation protection and backlog cash conversion</x:v>
      </x:c>
      <x:c r="W18" s="204" t="inlineStr">
        <x:is>
          <x:t xml:space="preserve">WAIT FOR PRICE</x:t>
        </x:is>
      </x:c>
      <x:c r="X18" s="204" t="str">
        <x:v>2026-09-02</x:v>
      </x:c>
    </x:row>
    <x:row r="19">
      <x:c r="A19" s="204" t="str">
        <x:v>ARG-015</x:v>
      </x:c>
      <x:c r="B19" s="204" t="str">
        <x:v>Quanta Services</x:v>
      </x:c>
      <x:c r="C19" s="204" t="str">
        <x:v>PWR</x:v>
      </x:c>
      <x:c r="D19" s="204" t="str">
        <x:v>Power &amp; Grid</x:v>
      </x:c>
      <x:c r="E19" s="204" t="str">
        <x:v>P2</x:v>
      </x:c>
      <x:c r="F19" s="204" t="str">
        <x:v>Development</x:v>
      </x:c>
      <x:c r="G19" s="204" t="str">
        <x:v>DEEP REVIEW AVAILABLE</x:v>
      </x:c>
      <x:c r="H19" s="204" t="str">
        <x:v>PASS</x:v>
      </x:c>
      <x:c r="I19" s="204" t="str">
        <x:v>PASS</x:v>
      </x:c>
      <x:c r="J19" s="204" t="str">
        <x:v>PASS</x:v>
      </x:c>
      <x:c r="K19" s="204" t="str">
        <x:v>WATCH</x:v>
      </x:c>
      <x:c r="L19" s="204" t="str">
        <x:v>PASS</x:v>
      </x:c>
      <x:c r="M19" s="204" t="str">
        <x:v>PASS</x:v>
      </x:c>
      <x:c r="N19" s="204" t="str">
        <x:v>WATCH</x:v>
      </x:c>
      <x:c r="O19" s="204" t="str">
        <x:v>FAIL</x:v>
      </x:c>
      <x:c r="P19" s="204" t="str">
        <x:v>PASS</x:v>
      </x:c>
      <x:c r="Q19" s="204" t="str">
        <x:v>FAIL</x:v>
      </x:c>
      <x:c r="R19" s="204" t="str">
        <x:v>PASS</x:v>
      </x:c>
      <x:c r="S19" s="204" t="str">
        <x:v>FAIL</x:v>
      </x:c>
      <x:c r="T19" s="204" t="str">
        <x:v>BLOCKED - FAIL</x:v>
      </x:c>
      <x:c r="U19" s="204" t="str">
        <x:v>Firm backlog cash margins, working-capital normalization and acquisition-cohort returns</x:v>
      </x:c>
      <x:c r="V19" s="204" t="str">
        <x:v>WAIT FOR PRICE — require contract-level backlog quality, acquisition returns and a normalized FCF multiple</x:v>
      </x:c>
      <x:c r="W19" s="204" t="str">
        <x:v>WAIT FOR PRICE</x:v>
      </x:c>
      <x:c r="X19" s="204" t="str">
        <x:v>2026-09-02</x:v>
      </x:c>
    </x:row>
    <x:row r="20">
      <x:c r="A20" s="204" t="str">
        <x:v>ARG-016</x:v>
      </x:c>
      <x:c r="B20" s="204" t="str">
        <x:v>Hubbell</x:v>
      </x:c>
      <x:c r="C20" s="204" t="str">
        <x:v>HUBB</x:v>
      </x:c>
      <x:c r="D20" s="204" t="str">
        <x:v>Power &amp; Grid</x:v>
      </x:c>
      <x:c r="E20" s="204" t="str">
        <x:v>P2</x:v>
      </x:c>
      <x:c r="F20" s="204" t="str">
        <x:v>Development</x:v>
      </x:c>
      <x:c r="G20" s="204" t="str">
        <x:v>DEEP REVIEW AVAILABLE</x:v>
      </x:c>
      <x:c r="H20" s="204" t="str">
        <x:v>PASS</x:v>
      </x:c>
      <x:c r="I20" s="204" t="str">
        <x:v>PASS</x:v>
      </x:c>
      <x:c r="J20" s="204" t="str">
        <x:v>PASS</x:v>
      </x:c>
      <x:c r="K20" s="204" t="str">
        <x:v>WATCH</x:v>
      </x:c>
      <x:c r="L20" s="204" t="str">
        <x:v>PASS</x:v>
      </x:c>
      <x:c r="M20" s="204" t="str">
        <x:v>PASS</x:v>
      </x:c>
      <x:c r="N20" s="204" t="str">
        <x:v>WATCH</x:v>
      </x:c>
      <x:c r="O20" s="204" t="str">
        <x:v>WATCH</x:v>
      </x:c>
      <x:c r="P20" s="204" t="str">
        <x:v>PASS</x:v>
      </x:c>
      <x:c r="Q20" s="204" t="str">
        <x:v>WATCH</x:v>
      </x:c>
      <x:c r="R20" s="204" t="str">
        <x:v>WATCH</x:v>
      </x:c>
      <x:c r="S20" s="204" t="str">
        <x:v>WATCH</x:v>
      </x:c>
      <x:c r="T20" s="204" t="str">
        <x:v>WATCH-CAPPED</x:v>
      </x:c>
      <x:c r="U20" s="204" t="str">
        <x:v>NSI purchase-price return, clean owner cash and organic margin recovery</x:v>
      </x:c>
      <x:c r="V20" s="204" t="str">
        <x:v>WATCH — require NSI integration economics, debt path and margin recovery before any promotion</x:v>
      </x:c>
      <x:c r="W20" s="204" t="str">
        <x:v>WATCH</x:v>
      </x:c>
      <x:c r="X20" s="204" t="str">
        <x:v>2026-09-02</x:v>
      </x:c>
    </x:row>
    <x:row r="21">
      <x:c r="A21" s="204" t="inlineStr">
        <x:is>
          <x:t xml:space="preserve">ARG-017</x:t>
        </x:is>
      </x:c>
      <x:c r="B21" s="204" t="inlineStr">
        <x:is>
          <x:t xml:space="preserve">Vertiv</x:t>
        </x:is>
      </x:c>
      <x:c r="C21" s="204" t="inlineStr">
        <x:is>
          <x:t xml:space="preserve">VRT</x:t>
        </x:is>
      </x:c>
      <x:c r="D21" s="204" t="inlineStr">
        <x:is>
          <x:t xml:space="preserve">Power &amp; Grid</x:t>
        </x:is>
      </x:c>
      <x:c r="E21" s="204" t="inlineStr">
        <x:is>
          <x:t xml:space="preserve">P2</x:t>
        </x:is>
      </x:c>
      <x:c r="F21" s="204" t="inlineStr">
        <x:is>
          <x:t xml:space="preserve">Development</x:t>
        </x:is>
      </x:c>
      <x:c r="G21" s="204" t="str">
        <x:v>DEEP REVIEW AVAILABLE</x:v>
      </x:c>
      <x:c r="H21" s="204" t="str">
        <x:v>PASS</x:v>
      </x:c>
      <x:c r="I21" s="204" t="str">
        <x:v>PASS</x:v>
      </x:c>
      <x:c r="J21" s="204" t="str">
        <x:v>WATCH</x:v>
      </x:c>
      <x:c r="K21" s="204" t="str">
        <x:v>PASS</x:v>
      </x:c>
      <x:c r="L21" s="204" t="str">
        <x:v>WATCH</x:v>
      </x:c>
      <x:c r="M21" s="204" t="str">
        <x:v>PASS</x:v>
      </x:c>
      <x:c r="N21" s="204" t="str">
        <x:v>PASS</x:v>
      </x:c>
      <x:c r="O21" s="204" t="str">
        <x:v>FAIL</x:v>
      </x:c>
      <x:c r="P21" s="204" t="str">
        <x:v>WATCH</x:v>
      </x:c>
      <x:c r="Q21" s="204" t="str">
        <x:v>FAIL</x:v>
      </x:c>
      <x:c r="R21" s="204" t="str">
        <x:v>WATCH</x:v>
      </x:c>
      <x:c r="S21" s="204" t="str">
        <x:v>FAIL</x:v>
      </x:c>
      <x:c r="T21" s="204" t="str">
        <x:f>IF(COUNTIF(H21:S21,"FAIL")&gt;0,"BLOCKED - FAIL",IF(COUNTIF(H21:S21,"UNKNOWN")&gt;0,"UNVALIDATED",IF(COUNTIF(H21:S21,"WATCH")&gt;=4,"WATCH-CAPPED","READY")))</x:f>
        <x:v>BLOCKED - FAIL</x:v>
      </x:c>
      <x:c r="U21" s="204" t="str">
        <x:v>Full-cycle service/moat evidence and normalized cash after capacity/working-capital effects</x:v>
      </x:c>
      <x:c r="V21" s="204" t="str">
        <x:v>WAIT FOR PRICE — preserve the existing block; require normalized backlog conversion, full-cycle margins and service-moat evidence.</x:v>
      </x:c>
      <x:c r="W21" s="204" t="inlineStr">
        <x:is>
          <x:t xml:space="preserve">WAIT FOR PRICE</x:t>
        </x:is>
      </x:c>
      <x:c r="X21" s="204" t="str">
        <x:v>2026-09-03</x:v>
      </x:c>
    </x:row>
    <x:row r="22">
      <x:c r="A22" s="204" t="str">
        <x:v>ARG-018</x:v>
      </x:c>
      <x:c r="B22" s="204" t="str">
        <x:v>nVent Electric</x:v>
      </x:c>
      <x:c r="C22" s="204" t="str">
        <x:v>NVT</x:v>
      </x:c>
      <x:c r="D22" s="204" t="str">
        <x:v>Power &amp; Grid</x:v>
      </x:c>
      <x:c r="E22" s="204" t="str">
        <x:v>P2</x:v>
      </x:c>
      <x:c r="F22" s="204" t="str">
        <x:v>Development</x:v>
      </x:c>
      <x:c r="G22" s="204" t="str">
        <x:v>DEEP REVIEW AVAILABLE</x:v>
      </x:c>
      <x:c r="H22" s="204" t="str">
        <x:v>PASS</x:v>
      </x:c>
      <x:c r="I22" s="204" t="str">
        <x:v>PASS</x:v>
      </x:c>
      <x:c r="J22" s="204" t="str">
        <x:v>PASS</x:v>
      </x:c>
      <x:c r="K22" s="204" t="str">
        <x:v>WATCH</x:v>
      </x:c>
      <x:c r="L22" s="204" t="str">
        <x:v>WATCH</x:v>
      </x:c>
      <x:c r="M22" s="204" t="str">
        <x:v>PASS</x:v>
      </x:c>
      <x:c r="N22" s="204" t="str">
        <x:v>WATCH</x:v>
      </x:c>
      <x:c r="O22" s="204" t="str">
        <x:v>WATCH</x:v>
      </x:c>
      <x:c r="P22" s="204" t="str">
        <x:v>PASS</x:v>
      </x:c>
      <x:c r="Q22" s="204" t="str">
        <x:v>WATCH</x:v>
      </x:c>
      <x:c r="R22" s="204" t="str">
        <x:v>WATCH</x:v>
      </x:c>
      <x:c r="S22" s="204" t="str">
        <x:v>WATCH</x:v>
      </x:c>
      <x:c r="T22" s="204" t="str">
        <x:v>WATCH-CAPPED</x:v>
      </x:c>
      <x:c r="U22" s="204" t="str">
        <x:v>Maverick purchase-price return, customer concentration and normalized organic growth</x:v>
      </x:c>
      <x:c r="V22" s="204" t="str">
        <x:v>WATCH — require Maverick cohort returns, pro-forma leverage and organic margin durability</x:v>
      </x:c>
      <x:c r="W22" s="204" t="str">
        <x:v>WATCH</x:v>
      </x:c>
      <x:c r="X22" s="204" t="str">
        <x:v>2026-09-02</x:v>
      </x:c>
    </x:row>
    <x:row r="23">
      <x:c r="A23" s="204" t="inlineStr">
        <x:is>
          <x:t xml:space="preserve">ARG-019</x:t>
        </x:is>
      </x:c>
      <x:c r="B23" s="204" t="inlineStr">
        <x:is>
          <x:t xml:space="preserve">GE Vernova</x:t>
        </x:is>
      </x:c>
      <x:c r="C23" s="204" t="inlineStr">
        <x:is>
          <x:t xml:space="preserve">GEV</x:t>
        </x:is>
      </x:c>
      <x:c r="D23" s="204" t="inlineStr">
        <x:is>
          <x:t xml:space="preserve">Power &amp; Grid</x:t>
        </x:is>
      </x:c>
      <x:c r="E23" s="204" t="inlineStr">
        <x:is>
          <x:t xml:space="preserve">P2</x:t>
        </x:is>
      </x:c>
      <x:c r="F23" s="204" t="inlineStr">
        <x:is>
          <x:t xml:space="preserve">Development</x:t>
        </x:is>
      </x:c>
      <x:c r="G23" s="204" t="str">
        <x:v>DEEP REVIEW AVAILABLE</x:v>
      </x:c>
      <x:c r="H23" s="204" t="str">
        <x:v>WATCH</x:v>
      </x:c>
      <x:c r="I23" s="204" t="str">
        <x:v>PASS</x:v>
      </x:c>
      <x:c r="J23" s="204" t="str">
        <x:v>WATCH</x:v>
      </x:c>
      <x:c r="K23" s="204" t="str">
        <x:v>PASS</x:v>
      </x:c>
      <x:c r="L23" s="204" t="str">
        <x:v>WATCH</x:v>
      </x:c>
      <x:c r="M23" s="204" t="str">
        <x:v>PASS</x:v>
      </x:c>
      <x:c r="N23" s="204" t="str">
        <x:v>PASS</x:v>
      </x:c>
      <x:c r="O23" s="204" t="str">
        <x:v>FAIL</x:v>
      </x:c>
      <x:c r="P23" s="204" t="str">
        <x:v>PASS</x:v>
      </x:c>
      <x:c r="Q23" s="204" t="str">
        <x:v>FAIL</x:v>
      </x:c>
      <x:c r="R23" s="204" t="str">
        <x:v>UNKNOWN</x:v>
      </x:c>
      <x:c r="S23" s="204" t="str">
        <x:v>WATCH</x:v>
      </x:c>
      <x:c r="T23" s="204" t="str">
        <x:f>IF(COUNTIF(H23:S23,"FAIL")&gt;0,"BLOCKED - FAIL",IF(COUNTIF(H23:S23,"UNKNOWN")&gt;0,"UNVALIDATED",IF(COUNTIF(H23:S23,"WATCH")&gt;=4,"WATCH-CAPPED","READY")))</x:f>
        <x:v>BLOCKED - FAIL</x:v>
      </x:c>
      <x:c r="U23" s="204" t="str">
        <x:v>Firm versus reserved backlog, contract/warranty economics and post-spin correction record</x:v>
      </x:c>
      <x:c r="V23" s="204" t="str">
        <x:v>WAIT FOR PRICE — require firm-order quality, contract cash margins and a longer stewardship record</x:v>
      </x:c>
      <x:c r="W23" s="204" t="inlineStr">
        <x:is>
          <x:t xml:space="preserve">WAIT FOR PRICE</x:t>
        </x:is>
      </x:c>
      <x:c r="X23" s="204" t="str">
        <x:v>2026-09-02</x:v>
      </x:c>
    </x:row>
    <x:row r="24">
      <x:c r="A24" s="204" t="str">
        <x:v>ARG-020</x:v>
      </x:c>
      <x:c r="B24" s="204" t="str">
        <x:v>Schneider Electric</x:v>
      </x:c>
      <x:c r="C24" s="204" t="str">
        <x:v>SU.PA</x:v>
      </x:c>
      <x:c r="D24" s="204" t="str">
        <x:v>Power &amp; Grid</x:v>
      </x:c>
      <x:c r="E24" s="204" t="str">
        <x:v>P2</x:v>
      </x:c>
      <x:c r="F24" s="204" t="str">
        <x:v>Development</x:v>
      </x:c>
      <x:c r="G24" s="204" t="str">
        <x:v>DEEP REVIEW AVAILABLE</x:v>
      </x:c>
      <x:c r="H24" s="204" t="str">
        <x:v>PASS</x:v>
      </x:c>
      <x:c r="I24" s="204" t="str">
        <x:v>PASS</x:v>
      </x:c>
      <x:c r="J24" s="204" t="str">
        <x:v>PASS</x:v>
      </x:c>
      <x:c r="K24" s="204" t="str">
        <x:v>PASS</x:v>
      </x:c>
      <x:c r="L24" s="204" t="str">
        <x:v>PASS</x:v>
      </x:c>
      <x:c r="M24" s="204" t="str">
        <x:v>PASS</x:v>
      </x:c>
      <x:c r="N24" s="204" t="str">
        <x:v>PASS</x:v>
      </x:c>
      <x:c r="O24" s="204" t="str">
        <x:v>WATCH</x:v>
      </x:c>
      <x:c r="P24" s="204" t="str">
        <x:v>PASS</x:v>
      </x:c>
      <x:c r="Q24" s="204" t="str">
        <x:v>WATCH</x:v>
      </x:c>
      <x:c r="R24" s="204" t="str">
        <x:v>PASS</x:v>
      </x:c>
      <x:c r="S24" s="204" t="str">
        <x:v>WATCH</x:v>
      </x:c>
      <x:c r="T24" s="204" t="str">
        <x:v>WATCH-CAPPED</x:v>
      </x:c>
      <x:c r="U24" s="204" t="str">
        <x:v>Normalized segment returns after capacity investment and a conservative entry-value range</x:v>
      </x:c>
      <x:c r="V24" s="204" t="str">
        <x:v>WATCH — retain the quality premium only with normalized incremental returns and price protection</x:v>
      </x:c>
      <x:c r="W24" s="204" t="str">
        <x:v>WATCH</x:v>
      </x:c>
      <x:c r="X24" s="204" t="str">
        <x:v>2026-09-02</x:v>
      </x:c>
    </x:row>
    <x:row r="25">
      <x:c r="A25" s="204" t="str">
        <x:v>ARG-021</x:v>
      </x:c>
      <x:c r="B25" s="204" t="str">
        <x:v>Trane Technologies</x:v>
      </x:c>
      <x:c r="C25" s="204" t="str">
        <x:v>TT</x:v>
      </x:c>
      <x:c r="D25" s="204" t="str">
        <x:v>Power &amp; Grid</x:v>
      </x:c>
      <x:c r="E25" s="204" t="str">
        <x:v>P2</x:v>
      </x:c>
      <x:c r="F25" s="204" t="str">
        <x:v>Development</x:v>
      </x:c>
      <x:c r="G25" s="204" t="str">
        <x:v>DEEP REVIEW AVAILABLE</x:v>
      </x:c>
      <x:c r="H25" s="204" t="str">
        <x:v>PASS</x:v>
      </x:c>
      <x:c r="I25" s="204" t="str">
        <x:v>PASS</x:v>
      </x:c>
      <x:c r="J25" s="204" t="str">
        <x:v>PASS</x:v>
      </x:c>
      <x:c r="K25" s="204" t="str">
        <x:v>WATCH</x:v>
      </x:c>
      <x:c r="L25" s="204" t="str">
        <x:v>PASS</x:v>
      </x:c>
      <x:c r="M25" s="204" t="str">
        <x:v>PASS</x:v>
      </x:c>
      <x:c r="N25" s="204" t="str">
        <x:v>PASS</x:v>
      </x:c>
      <x:c r="O25" s="204" t="str">
        <x:v>FAIL</x:v>
      </x:c>
      <x:c r="P25" s="204" t="str">
        <x:v>PASS</x:v>
      </x:c>
      <x:c r="Q25" s="204" t="str">
        <x:v>FAIL</x:v>
      </x:c>
      <x:c r="R25" s="204" t="str">
        <x:v>PASS</x:v>
      </x:c>
      <x:c r="S25" s="204" t="str">
        <x:v>FAIL</x:v>
      </x:c>
      <x:c r="T25" s="204" t="str">
        <x:v>BLOCKED - FAIL</x:v>
      </x:c>
      <x:c r="U25" s="204" t="str">
        <x:v>Backlog firmness, data-center customer concentration and post-Stellar owner earnings</x:v>
      </x:c>
      <x:c r="V25" s="204" t="str">
        <x:v>WAIT FOR PRICE — require backlog cash conversion, Stellar returns and a normalized service/equipment mix</x:v>
      </x:c>
      <x:c r="W25" s="204" t="str">
        <x:v>WAIT FOR PRICE</x:v>
      </x:c>
      <x:c r="X25" s="204" t="str">
        <x:v>2026-09-02</x:v>
      </x:c>
    </x:row>
    <x:row r="26">
      <x:c r="A26" s="204" t="inlineStr">
        <x:is>
          <x:t xml:space="preserve">ARG-022</x:t>
        </x:is>
      </x:c>
      <x:c r="B26" s="204" t="inlineStr">
        <x:is>
          <x:t xml:space="preserve">International Flavors &amp; Fragrances</x:t>
        </x:is>
      </x:c>
      <x:c r="C26" s="204" t="inlineStr">
        <x:is>
          <x:t xml:space="preserve">IFF</x:t>
        </x:is>
      </x:c>
      <x:c r="D26" s="204" t="inlineStr">
        <x:is>
          <x:t xml:space="preserve">Specialty Ingredients</x:t>
        </x:is>
      </x:c>
      <x:c r="E26" s="204" t="inlineStr">
        <x:is>
          <x:t xml:space="preserve">P1</x:t>
        </x:is>
      </x:c>
      <x:c r="F26" s="204" t="inlineStr">
        <x:is>
          <x:t xml:space="preserve">Development</x:t>
        </x:is>
      </x:c>
      <x:c r="G26" s="204" t="str">
        <x:v>DEEP REVIEW AVAILABLE</x:v>
      </x:c>
      <x:c r="H26" s="204" t="str">
        <x:v>PASS</x:v>
      </x:c>
      <x:c r="I26" s="204" t="str">
        <x:v>WATCH</x:v>
      </x:c>
      <x:c r="J26" s="204" t="str">
        <x:v>PASS</x:v>
      </x:c>
      <x:c r="K26" s="204" t="str">
        <x:v>WATCH</x:v>
      </x:c>
      <x:c r="L26" s="204" t="str">
        <x:v>WATCH</x:v>
      </x:c>
      <x:c r="M26" s="204" t="str">
        <x:v>WATCH</x:v>
      </x:c>
      <x:c r="N26" s="204" t="str">
        <x:v>WATCH</x:v>
      </x:c>
      <x:c r="O26" s="204" t="str">
        <x:v>WATCH</x:v>
      </x:c>
      <x:c r="P26" s="204" t="str">
        <x:v>PASS</x:v>
      </x:c>
      <x:c r="Q26" s="204" t="str">
        <x:v>WATCH</x:v>
      </x:c>
      <x:c r="R26" s="204" t="str">
        <x:v>WATCH</x:v>
      </x:c>
      <x:c r="S26" s="204" t="str">
        <x:v>PASS</x:v>
      </x:c>
      <x:c r="T26" s="204" t="str">
        <x:f>IF(COUNTIF(H26:S26,"FAIL")&gt;0,"BLOCKED - FAIL",IF(COUNTIF(H26:S26,"UNKNOWN")&gt;0,"UNVALIDATED",IF(COUNTIF(H26:S26,"WATCH")&gt;=4,"WATCH-CAPPED","READY")))</x:f>
        <x:v>WATCH-CAPPED</x:v>
      </x:c>
      <x:c r="U26" s="204" t="str">
        <x:v>Use of divestiture proceeds and clean continuing-operations owner earnings</x:v>
      </x:c>
      <x:c r="V26" s="204" t="str">
        <x:v>HOLD / BUY LOWER — verify proceeds bridge and per-share capital allocation</x:v>
      </x:c>
      <x:c r="W26" s="204" t="inlineStr">
        <x:is>
          <x:t xml:space="preserve">HOLD / BUY LOWER</x:t>
        </x:is>
      </x:c>
      <x:c r="X26" s="204" t="str">
        <x:v>2026-09-02</x:v>
      </x:c>
    </x:row>
    <x:row r="27">
      <x:c r="A27" s="204" t="inlineStr">
        <x:is>
          <x:t xml:space="preserve">ARG-023</x:t>
        </x:is>
      </x:c>
      <x:c r="B27" s="204" t="inlineStr">
        <x:is>
          <x:t xml:space="preserve">Givaudan</x:t>
        </x:is>
      </x:c>
      <x:c r="C27" s="204" t="inlineStr">
        <x:is>
          <x:t xml:space="preserve">GIVN.SW</x:t>
        </x:is>
      </x:c>
      <x:c r="D27" s="204" t="inlineStr">
        <x:is>
          <x:t xml:space="preserve">Specialty Ingredients</x:t>
        </x:is>
      </x:c>
      <x:c r="E27" s="204" t="inlineStr">
        <x:is>
          <x:t xml:space="preserve">P1</x:t>
        </x:is>
      </x:c>
      <x:c r="F27" s="204" t="inlineStr">
        <x:is>
          <x:t xml:space="preserve">Development</x:t>
        </x:is>
      </x:c>
      <x:c r="G27" s="204" t="str">
        <x:v>DEEP REVIEW AVAILABLE</x:v>
      </x:c>
      <x:c r="H27" s="204" t="str">
        <x:v>PASS</x:v>
      </x:c>
      <x:c r="I27" s="204" t="str">
        <x:v>PASS</x:v>
      </x:c>
      <x:c r="J27" s="204" t="str">
        <x:v>PASS</x:v>
      </x:c>
      <x:c r="K27" s="204" t="str">
        <x:v>PASS</x:v>
      </x:c>
      <x:c r="L27" s="204" t="str">
        <x:v>PASS</x:v>
      </x:c>
      <x:c r="M27" s="204" t="str">
        <x:v>PASS</x:v>
      </x:c>
      <x:c r="N27" s="204" t="str">
        <x:v>PASS</x:v>
      </x:c>
      <x:c r="O27" s="204" t="str">
        <x:v>WATCH</x:v>
      </x:c>
      <x:c r="P27" s="204" t="str">
        <x:v>PASS</x:v>
      </x:c>
      <x:c r="Q27" s="204" t="str">
        <x:v>WATCH</x:v>
      </x:c>
      <x:c r="R27" s="204" t="str">
        <x:v>WATCH</x:v>
      </x:c>
      <x:c r="S27" s="204" t="str">
        <x:v>WATCH</x:v>
      </x:c>
      <x:c r="T27" s="204" t="str">
        <x:f>IF(COUNTIF(H27:S27,"FAIL")&gt;0,"BLOCKED - FAIL",IF(COUNTIF(H27:S27,"UNKNOWN")&gt;0,"UNVALIDATED",IF(COUNTIF(H27:S27,"WATCH")&gt;=4,"WATCH-CAPPED","READY")))</x:f>
        <x:v>WATCH-CAPPED</x:v>
      </x:c>
      <x:c r="U27" s="204" t="str">
        <x:v>Taste &amp; Wellbeing normalization and valuation margin of safety</x:v>
      </x:c>
      <x:c r="V27" s="204" t="str">
        <x:v>WATCH — premium quality; require valuation protection and Taste recovery</x:v>
      </x:c>
      <x:c r="W27" s="204" t="inlineStr">
        <x:is>
          <x:t xml:space="preserve">WATCH</x:t>
        </x:is>
      </x:c>
      <x:c r="X27" s="204" t="str">
        <x:v>2026-09-02</x:v>
      </x:c>
    </x:row>
    <x:row r="28">
      <x:c r="A28" s="204" t="inlineStr">
        <x:is>
          <x:t xml:space="preserve">ARG-024</x:t>
        </x:is>
      </x:c>
      <x:c r="B28" s="204" t="inlineStr">
        <x:is>
          <x:t xml:space="preserve">Symrise</x:t>
        </x:is>
      </x:c>
      <x:c r="C28" s="204" t="inlineStr">
        <x:is>
          <x:t xml:space="preserve">SY1.DE</x:t>
        </x:is>
      </x:c>
      <x:c r="D28" s="204" t="inlineStr">
        <x:is>
          <x:t xml:space="preserve">Specialty Ingredients</x:t>
        </x:is>
      </x:c>
      <x:c r="E28" s="204" t="inlineStr">
        <x:is>
          <x:t xml:space="preserve">P1</x:t>
        </x:is>
      </x:c>
      <x:c r="F28" s="204" t="inlineStr">
        <x:is>
          <x:t xml:space="preserve">Development</x:t>
        </x:is>
      </x:c>
      <x:c r="G28" s="204" t="str">
        <x:v>DEEP REVIEW AVAILABLE</x:v>
      </x:c>
      <x:c r="H28" s="204" t="str">
        <x:v>PASS</x:v>
      </x:c>
      <x:c r="I28" s="204" t="str">
        <x:v>WATCH</x:v>
      </x:c>
      <x:c r="J28" s="204" t="str">
        <x:v>PASS</x:v>
      </x:c>
      <x:c r="K28" s="204" t="str">
        <x:v>WATCH</x:v>
      </x:c>
      <x:c r="L28" s="204" t="str">
        <x:v>WATCH</x:v>
      </x:c>
      <x:c r="M28" s="204" t="str">
        <x:v>WATCH</x:v>
      </x:c>
      <x:c r="N28" s="204" t="str">
        <x:v>WATCH</x:v>
      </x:c>
      <x:c r="O28" s="204" t="str">
        <x:v>WATCH</x:v>
      </x:c>
      <x:c r="P28" s="204" t="str">
        <x:v>WATCH</x:v>
      </x:c>
      <x:c r="Q28" s="204" t="str">
        <x:v>WATCH</x:v>
      </x:c>
      <x:c r="R28" s="204" t="str">
        <x:v>WATCH</x:v>
      </x:c>
      <x:c r="S28" s="204" t="str">
        <x:v>WATCH</x:v>
      </x:c>
      <x:c r="T28" s="204" t="str">
        <x:f>IF(COUNTIF(H28:S28,"FAIL")&gt;0,"BLOCKED - FAIL",IF(COUNTIF(H28:S28,"UNKNOWN")&gt;0,"UNVALIDATED",IF(COUNTIF(H28:S28,"WATCH")&gt;=4,"WATCH-CAPPED","READY")))</x:f>
        <x:v>WATCH-CAPPED</x:v>
      </x:c>
      <x:c r="U28" s="204" t="str">
        <x:v>Fresh half-year cash-flow/leverage bridge and repeat Q2 organic momentum</x:v>
      </x:c>
      <x:c r="V28" s="204" t="str">
        <x:v>WATCH — require repeat organic acceleration and owner-cash reconciliation</x:v>
      </x:c>
      <x:c r="W28" s="204" t="inlineStr">
        <x:is>
          <x:t xml:space="preserve">WATCH</x:t>
        </x:is>
      </x:c>
      <x:c r="X28" s="204" t="str">
        <x:v>2026-09-02</x:v>
      </x:c>
    </x:row>
    <x:row r="29">
      <x:c r="A29" s="204" t="str">
        <x:v>ARG-025</x:v>
      </x:c>
      <x:c r="B29" s="204" t="str">
        <x:v>Croda International</x:v>
      </x:c>
      <x:c r="C29" s="204" t="str">
        <x:v>CRDA.L</x:v>
      </x:c>
      <x:c r="D29" s="204" t="str">
        <x:v>Specialty Ingredients</x:v>
      </x:c>
      <x:c r="E29" s="204" t="str">
        <x:v>P2</x:v>
      </x:c>
      <x:c r="F29" s="204" t="str">
        <x:v>Development</x:v>
      </x:c>
      <x:c r="G29" s="204" t="str">
        <x:v>DEEP REVIEW AVAILABLE</x:v>
      </x:c>
      <x:c r="H29" s="204" t="str">
        <x:v>PASS</x:v>
      </x:c>
      <x:c r="I29" s="204" t="str">
        <x:v>WATCH</x:v>
      </x:c>
      <x:c r="J29" s="204" t="str">
        <x:v>PASS</x:v>
      </x:c>
      <x:c r="K29" s="204" t="str">
        <x:v>WATCH</x:v>
      </x:c>
      <x:c r="L29" s="204" t="str">
        <x:v>WATCH</x:v>
      </x:c>
      <x:c r="M29" s="204" t="str">
        <x:v>WATCH</x:v>
      </x:c>
      <x:c r="N29" s="204" t="str">
        <x:v>PASS</x:v>
      </x:c>
      <x:c r="O29" s="204" t="str">
        <x:v>WATCH</x:v>
      </x:c>
      <x:c r="P29" s="204" t="str">
        <x:v>PASS</x:v>
      </x:c>
      <x:c r="Q29" s="204" t="str">
        <x:v>WATCH</x:v>
      </x:c>
      <x:c r="R29" s="204" t="str">
        <x:v>WATCH</x:v>
      </x:c>
      <x:c r="S29" s="204" t="str">
        <x:v>WATCH</x:v>
      </x:c>
      <x:c r="T29" s="204" t="str">
        <x:v>WATCH-CAPPED</x:v>
      </x:c>
      <x:c r="U29" s="204" t="str">
        <x:v>Lipid/Pharma capacity returns, clean FCF conversion and segment-level recovery durability</x:v>
      </x:c>
      <x:c r="V29" s="204" t="str">
        <x:v>WATCH — demand Pharma Solutions recovery, capacity utilization and conversion of adjusted profit to FCF</x:v>
      </x:c>
      <x:c r="W29" s="204" t="str">
        <x:v>WATCH</x:v>
      </x:c>
      <x:c r="X29" s="204" t="str">
        <x:v>2026-09-02</x:v>
      </x:c>
    </x:row>
    <x:row r="30">
      <x:c r="A30" s="204" t="str">
        <x:v>ARG-026</x:v>
      </x:c>
      <x:c r="B30" s="204" t="str">
        <x:v>Sensient Technologies</x:v>
      </x:c>
      <x:c r="C30" s="204" t="str">
        <x:v>SXT</x:v>
      </x:c>
      <x:c r="D30" s="204" t="str">
        <x:v>Specialty Ingredients</x:v>
      </x:c>
      <x:c r="E30" s="204" t="str">
        <x:v>P2</x:v>
      </x:c>
      <x:c r="F30" s="204" t="str">
        <x:v>Development</x:v>
      </x:c>
      <x:c r="G30" s="204" t="str">
        <x:v>DEEP REVIEW AVAILABLE</x:v>
      </x:c>
      <x:c r="H30" s="204" t="str">
        <x:v>PASS</x:v>
      </x:c>
      <x:c r="I30" s="204" t="str">
        <x:v>PASS</x:v>
      </x:c>
      <x:c r="J30" s="204" t="str">
        <x:v>PASS</x:v>
      </x:c>
      <x:c r="K30" s="204" t="str">
        <x:v>WATCH</x:v>
      </x:c>
      <x:c r="L30" s="204" t="str">
        <x:v>PASS</x:v>
      </x:c>
      <x:c r="M30" s="204" t="str">
        <x:v>PASS</x:v>
      </x:c>
      <x:c r="N30" s="204" t="str">
        <x:v>PASS</x:v>
      </x:c>
      <x:c r="O30" s="204" t="str">
        <x:v>FAIL</x:v>
      </x:c>
      <x:c r="P30" s="204" t="str">
        <x:v>PASS</x:v>
      </x:c>
      <x:c r="Q30" s="204" t="str">
        <x:v>FAIL</x:v>
      </x:c>
      <x:c r="R30" s="204" t="str">
        <x:v>PASS</x:v>
      </x:c>
      <x:c r="S30" s="204" t="str">
        <x:v>FAIL</x:v>
      </x:c>
      <x:c r="T30" s="204" t="str">
        <x:v>BLOCKED - FAIL</x:v>
      </x:c>
      <x:c r="U30" s="204" t="str">
        <x:v>Normalized FCF after working capital, sustainable Color growth and defensible entry range</x:v>
      </x:c>
      <x:c r="V30" s="204" t="str">
        <x:v>WAIT FOR PRICE — preserve quality thesis but require normalized FCF and a materially lower expectations burden</x:v>
      </x:c>
      <x:c r="W30" s="204" t="str">
        <x:v>WAIT FOR PRICE</x:v>
      </x:c>
      <x:c r="X30" s="204" t="str">
        <x:v>2026-09-02</x:v>
      </x:c>
    </x:row>
    <x:row r="31">
      <x:c r="A31" s="204" t="inlineStr">
        <x:is>
          <x:t xml:space="preserve">ARG-027</x:t>
        </x:is>
      </x:c>
      <x:c r="B31" s="204" t="inlineStr">
        <x:is>
          <x:t xml:space="preserve">Torpaz Industries</x:t>
        </x:is>
      </x:c>
      <x:c r="C31" s="204" t="inlineStr">
        <x:is>
          <x:t xml:space="preserve">TRPZ.TA</x:t>
        </x:is>
      </x:c>
      <x:c r="D31" s="204" t="inlineStr">
        <x:is>
          <x:t xml:space="preserve">Specialty Ingredients</x:t>
        </x:is>
      </x:c>
      <x:c r="E31" s="204" t="inlineStr">
        <x:is>
          <x:t xml:space="preserve">P1</x:t>
        </x:is>
      </x:c>
      <x:c r="F31" s="204" t="inlineStr">
        <x:is>
          <x:t xml:space="preserve">Development</x:t>
        </x:is>
      </x:c>
      <x:c r="G31" s="204" t="str">
        <x:v>DEEP REVIEW AVAILABLE</x:v>
      </x:c>
      <x:c r="H31" s="204" t="str">
        <x:v>PASS</x:v>
      </x:c>
      <x:c r="I31" s="204" t="str">
        <x:v>WATCH</x:v>
      </x:c>
      <x:c r="J31" s="204" t="str">
        <x:v>WATCH</x:v>
      </x:c>
      <x:c r="K31" s="204" t="str">
        <x:v>WATCH</x:v>
      </x:c>
      <x:c r="L31" s="204" t="str">
        <x:v>WATCH</x:v>
      </x:c>
      <x:c r="M31" s="204" t="str">
        <x:v>WATCH</x:v>
      </x:c>
      <x:c r="N31" s="204" t="str">
        <x:v>WATCH</x:v>
      </x:c>
      <x:c r="O31" s="204" t="str">
        <x:v>FAIL</x:v>
      </x:c>
      <x:c r="P31" s="204" t="str">
        <x:v>WATCH</x:v>
      </x:c>
      <x:c r="Q31" s="204" t="str">
        <x:v>FAIL</x:v>
      </x:c>
      <x:c r="R31" s="204" t="str">
        <x:v>UNKNOWN</x:v>
      </x:c>
      <x:c r="S31" s="204" t="str">
        <x:v>WATCH</x:v>
      </x:c>
      <x:c r="T31" s="204" t="str">
        <x:f>IF(COUNTIF(H31:S31,"FAIL")&gt;0,"BLOCKED - FAIL",IF(COUNTIF(H31:S31,"UNKNOWN")&gt;0,"UNVALIDATED",IF(COUNTIF(H31:S31,"WATCH")&gt;=4,"WATCH-CAPPED","READY")))</x:f>
        <x:v>BLOCKED - FAIL</x:v>
      </x:c>
      <x:c r="U31" s="204" t="str">
        <x:v>Acquisition-cohort owner returns, leverage and earn-out cash requirements</x:v>
      </x:c>
      <x:c r="V31" s="204" t="str">
        <x:v>WAIT FOR PRICE — require acquisition-cohort ROIC and cash conversion</x:v>
      </x:c>
      <x:c r="W31" s="204" t="inlineStr">
        <x:is>
          <x:t xml:space="preserve">WAIT FOR PRICE</x:t>
        </x:is>
      </x:c>
      <x:c r="X31" s="204" t="str">
        <x:v>2026-09-02</x:v>
      </x:c>
    </x:row>
    <x:row r="32">
      <x:c r="A32" s="204" t="str">
        <x:v>ARG-028</x:v>
      </x:c>
      <x:c r="B32" s="204" t="str">
        <x:v>Exxon Mobil</x:v>
      </x:c>
      <x:c r="C32" s="204" t="str">
        <x:v>XOM</x:v>
      </x:c>
      <x:c r="D32" s="204" t="str">
        <x:v>Energy</x:v>
      </x:c>
      <x:c r="E32" s="204" t="str">
        <x:v>P2</x:v>
      </x:c>
      <x:c r="F32" s="204" t="str">
        <x:v>Development</x:v>
      </x:c>
      <x:c r="G32" s="204" t="str">
        <x:v>DEEP REVIEW AVAILABLE</x:v>
      </x:c>
      <x:c r="H32" s="204" t="str">
        <x:v>PASS</x:v>
      </x:c>
      <x:c r="I32" s="204" t="str">
        <x:v>WATCH</x:v>
      </x:c>
      <x:c r="J32" s="204" t="str">
        <x:v>PASS</x:v>
      </x:c>
      <x:c r="K32" s="204" t="str">
        <x:v>WATCH</x:v>
      </x:c>
      <x:c r="L32" s="204" t="str">
        <x:v>PASS</x:v>
      </x:c>
      <x:c r="M32" s="204" t="str">
        <x:v>PASS</x:v>
      </x:c>
      <x:c r="N32" s="204" t="str">
        <x:v>PASS</x:v>
      </x:c>
      <x:c r="O32" s="204" t="str">
        <x:v>WATCH</x:v>
      </x:c>
      <x:c r="P32" s="204" t="str">
        <x:v>PASS</x:v>
      </x:c>
      <x:c r="Q32" s="204" t="str">
        <x:v>WATCH</x:v>
      </x:c>
      <x:c r="R32" s="204" t="str">
        <x:v>PASS</x:v>
      </x:c>
      <x:c r="S32" s="204" t="str">
        <x:v>WATCH</x:v>
      </x:c>
      <x:c r="T32" s="204" t="str">
        <x:v>WATCH-CAPPED</x:v>
      </x:c>
      <x:c r="U32" s="204" t="str">
        <x:v>Mid-cycle integrated owner earnings, project-level returns and buyback price discipline</x:v>
      </x:c>
      <x:c r="V32" s="204" t="str">
        <x:v>WATCH — value only on mid-cycle oil/refining/chemical margins and full sustaining capital</x:v>
      </x:c>
      <x:c r="W32" s="204" t="str">
        <x:v>WATCH</x:v>
      </x:c>
      <x:c r="X32" s="204" t="str">
        <x:v>2026-09-02</x:v>
      </x:c>
    </x:row>
    <x:row r="33">
      <x:c r="A33" s="204" t="str">
        <x:v>ARG-029</x:v>
      </x:c>
      <x:c r="B33" s="204" t="str">
        <x:v>Chevron</x:v>
      </x:c>
      <x:c r="C33" s="204" t="str">
        <x:v>CVX</x:v>
      </x:c>
      <x:c r="D33" s="204" t="str">
        <x:v>Energy</x:v>
      </x:c>
      <x:c r="E33" s="204" t="str">
        <x:v>P2</x:v>
      </x:c>
      <x:c r="F33" s="204" t="str">
        <x:v>Development</x:v>
      </x:c>
      <x:c r="G33" s="204" t="str">
        <x:v>DEEP REVIEW AVAILABLE</x:v>
      </x:c>
      <x:c r="H33" s="204" t="str">
        <x:v>PASS</x:v>
      </x:c>
      <x:c r="I33" s="204" t="str">
        <x:v>WATCH</x:v>
      </x:c>
      <x:c r="J33" s="204" t="str">
        <x:v>PASS</x:v>
      </x:c>
      <x:c r="K33" s="204" t="str">
        <x:v>WATCH</x:v>
      </x:c>
      <x:c r="L33" s="204" t="str">
        <x:v>WATCH</x:v>
      </x:c>
      <x:c r="M33" s="204" t="str">
        <x:v>PASS</x:v>
      </x:c>
      <x:c r="N33" s="204" t="str">
        <x:v>PASS</x:v>
      </x:c>
      <x:c r="O33" s="204" t="str">
        <x:v>WATCH</x:v>
      </x:c>
      <x:c r="P33" s="204" t="str">
        <x:v>PASS</x:v>
      </x:c>
      <x:c r="Q33" s="204" t="str">
        <x:v>WATCH</x:v>
      </x:c>
      <x:c r="R33" s="204" t="str">
        <x:v>WATCH</x:v>
      </x:c>
      <x:c r="S33" s="204" t="str">
        <x:v>WATCH</x:v>
      </x:c>
      <x:c r="T33" s="204" t="str">
        <x:v>WATCH-CAPPED</x:v>
      </x:c>
      <x:c r="U33" s="204" t="str">
        <x:v>Hess integration economics, mid-cycle FCF and jurisdiction-adjusted NAV</x:v>
      </x:c>
      <x:c r="V33" s="204" t="str">
        <x:v>WATCH — require post-Hess returns and a conservative mid-cycle FCF/NAV range</x:v>
      </x:c>
      <x:c r="W33" s="204" t="str">
        <x:v>WATCH</x:v>
      </x:c>
      <x:c r="X33" s="204" t="str">
        <x:v>2026-09-02</x:v>
      </x:c>
    </x:row>
    <x:row r="34">
      <x:c r="A34" s="204" t="str">
        <x:v>ARG-030</x:v>
      </x:c>
      <x:c r="B34" s="204" t="str">
        <x:v>ConocoPhillips</x:v>
      </x:c>
      <x:c r="C34" s="204" t="str">
        <x:v>COP</x:v>
      </x:c>
      <x:c r="D34" s="204" t="str">
        <x:v>Energy</x:v>
      </x:c>
      <x:c r="E34" s="204" t="str">
        <x:v>P2</x:v>
      </x:c>
      <x:c r="F34" s="204" t="str">
        <x:v>Development</x:v>
      </x:c>
      <x:c r="G34" s="204" t="str">
        <x:v>DEEP REVIEW AVAILABLE</x:v>
      </x:c>
      <x:c r="H34" s="204" t="str">
        <x:v>PASS</x:v>
      </x:c>
      <x:c r="I34" s="204" t="str">
        <x:v>WATCH</x:v>
      </x:c>
      <x:c r="J34" s="204" t="str">
        <x:v>PASS</x:v>
      </x:c>
      <x:c r="K34" s="204" t="str">
        <x:v>WATCH</x:v>
      </x:c>
      <x:c r="L34" s="204" t="str">
        <x:v>WATCH</x:v>
      </x:c>
      <x:c r="M34" s="204" t="str">
        <x:v>PASS</x:v>
      </x:c>
      <x:c r="N34" s="204" t="str">
        <x:v>WATCH</x:v>
      </x:c>
      <x:c r="O34" s="204" t="str">
        <x:v>FAIL</x:v>
      </x:c>
      <x:c r="P34" s="204" t="str">
        <x:v>PASS</x:v>
      </x:c>
      <x:c r="Q34" s="204" t="str">
        <x:v>FAIL</x:v>
      </x:c>
      <x:c r="R34" s="204" t="str">
        <x:v>WATCH</x:v>
      </x:c>
      <x:c r="S34" s="204" t="str">
        <x:v>FAIL</x:v>
      </x:c>
      <x:c r="T34" s="204" t="str">
        <x:v>BLOCKED - FAIL</x:v>
      </x:c>
      <x:c r="U34" s="204" t="str">
        <x:v>Mid-cycle FCF, sustaining capital/decline rate and post-transition allocation discipline</x:v>
      </x:c>
      <x:c r="V34" s="204" t="str">
        <x:v>WAIT — re-underwrite at $50–60 oil with full sustaining capital and Marathon integration costs</x:v>
      </x:c>
      <x:c r="W34" s="204" t="str">
        <x:v>WATCH</x:v>
      </x:c>
      <x:c r="X34" s="204" t="str">
        <x:v>2026-09-02</x:v>
      </x:c>
    </x:row>
    <x:row r="35">
      <x:c r="A35" s="204" t="str">
        <x:v>ARG-031</x:v>
      </x:c>
      <x:c r="B35" s="204" t="str">
        <x:v>Occidental Petroleum</x:v>
      </x:c>
      <x:c r="C35" s="204" t="str">
        <x:v>OXY</x:v>
      </x:c>
      <x:c r="D35" s="204" t="str">
        <x:v>Energy</x:v>
      </x:c>
      <x:c r="E35" s="204" t="str">
        <x:v>P2</x:v>
      </x:c>
      <x:c r="F35" s="204" t="str">
        <x:v>Development</x:v>
      </x:c>
      <x:c r="G35" s="204" t="str">
        <x:v>DEEP REVIEW AVAILABLE</x:v>
      </x:c>
      <x:c r="H35" s="204" t="str">
        <x:v>PASS</x:v>
      </x:c>
      <x:c r="I35" s="204" t="str">
        <x:v>WATCH</x:v>
      </x:c>
      <x:c r="J35" s="204" t="str">
        <x:v>WATCH</x:v>
      </x:c>
      <x:c r="K35" s="204" t="str">
        <x:v>WATCH</x:v>
      </x:c>
      <x:c r="L35" s="204" t="str">
        <x:v>WATCH</x:v>
      </x:c>
      <x:c r="M35" s="204" t="str">
        <x:v>PASS</x:v>
      </x:c>
      <x:c r="N35" s="204" t="str">
        <x:v>WATCH</x:v>
      </x:c>
      <x:c r="O35" s="204" t="str">
        <x:v>WATCH</x:v>
      </x:c>
      <x:c r="P35" s="204" t="str">
        <x:v>PASS</x:v>
      </x:c>
      <x:c r="Q35" s="204" t="str">
        <x:v>WATCH</x:v>
      </x:c>
      <x:c r="R35" s="204" t="str">
        <x:v>WATCH</x:v>
      </x:c>
      <x:c r="S35" s="204" t="str">
        <x:v>WATCH</x:v>
      </x:c>
      <x:c r="T35" s="204" t="str">
        <x:v>WATCH-CAPPED</x:v>
      </x:c>
      <x:c r="U35" s="204" t="str">
        <x:v>Post-OxyChem mid-cycle FCF, sustaining capital and debt/preferred-claim waterfall</x:v>
      </x:c>
      <x:c r="V35" s="204" t="str">
        <x:v>WATCH — require sub-$10bn debt and owner earnings that survive $50–55 oil</x:v>
      </x:c>
      <x:c r="W35" s="204" t="str">
        <x:v>WATCH</x:v>
      </x:c>
      <x:c r="X35" s="204" t="str">
        <x:v>2026-09-02</x:v>
      </x:c>
    </x:row>
    <x:row r="36">
      <x:c r="A36" s="204" t="str">
        <x:v>ARG-032</x:v>
      </x:c>
      <x:c r="B36" s="204" t="str">
        <x:v>SLB</x:v>
      </x:c>
      <x:c r="C36" s="204" t="str">
        <x:v>SLB</x:v>
      </x:c>
      <x:c r="D36" s="204" t="str">
        <x:v>Energy</x:v>
      </x:c>
      <x:c r="E36" s="204" t="str">
        <x:v>P2</x:v>
      </x:c>
      <x:c r="F36" s="204" t="str">
        <x:v>Development</x:v>
      </x:c>
      <x:c r="G36" s="204" t="str">
        <x:v>DEEP REVIEW AVAILABLE</x:v>
      </x:c>
      <x:c r="H36" s="204" t="str">
        <x:v>PASS</x:v>
      </x:c>
      <x:c r="I36" s="204" t="str">
        <x:v>WATCH</x:v>
      </x:c>
      <x:c r="J36" s="204" t="str">
        <x:v>PASS</x:v>
      </x:c>
      <x:c r="K36" s="204" t="str">
        <x:v>FAIL</x:v>
      </x:c>
      <x:c r="L36" s="204" t="str">
        <x:v>WATCH</x:v>
      </x:c>
      <x:c r="M36" s="204" t="str">
        <x:v>WATCH</x:v>
      </x:c>
      <x:c r="N36" s="204" t="str">
        <x:v>WATCH</x:v>
      </x:c>
      <x:c r="O36" s="204" t="str">
        <x:v>FAIL</x:v>
      </x:c>
      <x:c r="P36" s="204" t="str">
        <x:v>PASS</x:v>
      </x:c>
      <x:c r="Q36" s="204" t="str">
        <x:v>FAIL</x:v>
      </x:c>
      <x:c r="R36" s="204" t="str">
        <x:v>WATCH</x:v>
      </x:c>
      <x:c r="S36" s="204" t="str">
        <x:v>FAIL</x:v>
      </x:c>
      <x:c r="T36" s="204" t="str">
        <x:v>BLOCKED - FAIL</x:v>
      </x:c>
      <x:c r="U36" s="204" t="str">
        <x:v>Kelvion purchase-price return, pro-forma leverage and segment-level normalized FCF</x:v>
      </x:c>
      <x:c r="V36" s="204" t="str">
        <x:v>WAIT — block promotion until Kelvion return, leverage and normalized oil-service FCF are evidenced</x:v>
      </x:c>
      <x:c r="W36" s="204" t="str">
        <x:v>WATCH</x:v>
      </x:c>
      <x:c r="X36" s="204" t="str">
        <x:v>2026-09-02</x:v>
      </x:c>
    </x:row>
    <x:row r="37">
      <x:c r="A37" s="204" t="inlineStr">
        <x:is>
          <x:t xml:space="preserve">ARG-033</x:t>
        </x:is>
      </x:c>
      <x:c r="B37" s="204" t="inlineStr">
        <x:is>
          <x:t xml:space="preserve">Fidelity National Information Services</x:t>
        </x:is>
      </x:c>
      <x:c r="C37" s="204" t="inlineStr">
        <x:is>
          <x:t xml:space="preserve">FIS</x:t>
        </x:is>
      </x:c>
      <x:c r="D37" s="204" t="inlineStr">
        <x:is>
          <x:t xml:space="preserve">Software &amp; Payments</x:t>
        </x:is>
      </x:c>
      <x:c r="E37" s="204" t="inlineStr">
        <x:is>
          <x:t xml:space="preserve">P1</x:t>
        </x:is>
      </x:c>
      <x:c r="F37" s="204" t="inlineStr">
        <x:is>
          <x:t xml:space="preserve">Development</x:t>
        </x:is>
      </x:c>
      <x:c r="G37" s="204" t="str">
        <x:v>DEEP REVIEW AVAILABLE</x:v>
      </x:c>
      <x:c r="H37" s="204" t="str">
        <x:v>PASS</x:v>
      </x:c>
      <x:c r="I37" s="204" t="str">
        <x:v>WATCH</x:v>
      </x:c>
      <x:c r="J37" s="204" t="str">
        <x:v>PASS</x:v>
      </x:c>
      <x:c r="K37" s="204" t="str">
        <x:v>WATCH</x:v>
      </x:c>
      <x:c r="L37" s="204" t="str">
        <x:v>FAIL</x:v>
      </x:c>
      <x:c r="M37" s="204" t="str">
        <x:v>WATCH</x:v>
      </x:c>
      <x:c r="N37" s="204" t="str">
        <x:v>FAIL</x:v>
      </x:c>
      <x:c r="O37" s="204" t="str">
        <x:v>PASS</x:v>
      </x:c>
      <x:c r="P37" s="204" t="str">
        <x:v>WATCH</x:v>
      </x:c>
      <x:c r="Q37" s="204" t="str">
        <x:v>WATCH</x:v>
      </x:c>
      <x:c r="R37" s="204" t="str">
        <x:v>FAIL</x:v>
      </x:c>
      <x:c r="S37" s="204" t="str">
        <x:v>WATCH</x:v>
      </x:c>
      <x:c r="T37" s="204" t="str">
        <x:f>IF(COUNTIF(H37:S37,"FAIL")&gt;0,"BLOCKED - FAIL",IF(COUNTIF(H37:S37,"UNKNOWN")&gt;0,"UNVALIDATED",IF(COUNTIF(H37:S37,"WATCH")&gt;=4,"WATCH-CAPPED","READY")))</x:f>
        <x:v>BLOCKED - FAIL</x:v>
      </x:c>
      <x:c r="U37" s="204" t="str">
        <x:v>Reported cash-to-net-debt bridge and acquisition capital-allocation repair</x:v>
      </x:c>
      <x:c r="V37" s="204" t="str">
        <x:v>PROVE IT — no upgrade until FCF becomes measurable net-debt reduction</x:v>
      </x:c>
      <x:c r="W37" s="204" t="inlineStr">
        <x:is>
          <x:t xml:space="preserve">PROVE IT</x:t>
        </x:is>
      </x:c>
      <x:c r="X37" s="204" t="str">
        <x:v>2026-09-02</x:v>
      </x:c>
    </x:row>
    <x:row r="38">
      <x:c r="A38" s="204" t="inlineStr">
        <x:is>
          <x:t xml:space="preserve">ARG-034</x:t>
        </x:is>
      </x:c>
      <x:c r="B38" s="204" t="inlineStr">
        <x:is>
          <x:t xml:space="preserve">Fiserv</x:t>
        </x:is>
      </x:c>
      <x:c r="C38" s="204" t="inlineStr">
        <x:is>
          <x:t xml:space="preserve">FISV</x:t>
        </x:is>
      </x:c>
      <x:c r="D38" s="204" t="inlineStr">
        <x:is>
          <x:t xml:space="preserve">Software &amp; Payments</x:t>
        </x:is>
      </x:c>
      <x:c r="E38" s="204" t="inlineStr">
        <x:is>
          <x:t xml:space="preserve">P2</x:t>
        </x:is>
      </x:c>
      <x:c r="F38" s="204" t="inlineStr">
        <x:is>
          <x:t xml:space="preserve">Development</x:t>
        </x:is>
      </x:c>
      <x:c r="G38" s="204" t="str">
        <x:v>DEEP REVIEW AVAILABLE</x:v>
      </x:c>
      <x:c r="H38" s="204" t="str">
        <x:v>PASS</x:v>
      </x:c>
      <x:c r="I38" s="204" t="str">
        <x:v>WATCH</x:v>
      </x:c>
      <x:c r="J38" s="204" t="str">
        <x:v>FAIL</x:v>
      </x:c>
      <x:c r="K38" s="204" t="str">
        <x:v>FAIL</x:v>
      </x:c>
      <x:c r="L38" s="204" t="str">
        <x:v>FAIL</x:v>
      </x:c>
      <x:c r="M38" s="204" t="str">
        <x:v>WATCH</x:v>
      </x:c>
      <x:c r="N38" s="204" t="str">
        <x:v>PASS</x:v>
      </x:c>
      <x:c r="O38" s="204" t="str">
        <x:v>PASS</x:v>
      </x:c>
      <x:c r="P38" s="204" t="str">
        <x:v>PASS</x:v>
      </x:c>
      <x:c r="Q38" s="204" t="str">
        <x:v>FAIL</x:v>
      </x:c>
      <x:c r="R38" s="204" t="str">
        <x:v>FAIL</x:v>
      </x:c>
      <x:c r="S38" s="204" t="str">
        <x:v>PASS</x:v>
      </x:c>
      <x:c r="T38" s="204" t="str">
        <x:f>IF(COUNTIF(H38:S38,"FAIL")&gt;0,"BLOCKED - FAIL",IF(COUNTIF(H38:S38,"UNKNOWN")&gt;0,"UNVALIDATED",IF(COUNTIF(H38:S38,"WATCH")&gt;=4,"WATCH-CAPPED","READY")))</x:f>
        <x:v>BLOCKED - FAIL</x:v>
      </x:c>
      <x:c r="U38" s="204" t="str">
        <x:v>Customer retention, unadjusted owner earnings and evidence management corrected the decline</x:v>
      </x:c>
      <x:c r="V38" s="204" t="str">
        <x:v>PROVE IT — no upgrade until organic growth, margins and clean FCF recover together</x:v>
      </x:c>
      <x:c r="W38" s="204" t="inlineStr">
        <x:is>
          <x:t xml:space="preserve">WAIT / VALUE-TRAP RISK</x:t>
        </x:is>
      </x:c>
      <x:c r="X38" s="204" t="str">
        <x:v>2026-09-02</x:v>
      </x:c>
    </x:row>
    <x:row r="39">
      <x:c r="A39" s="204" t="str">
        <x:v>ARG-035</x:v>
      </x:c>
      <x:c r="B39" s="204" t="str">
        <x:v>PayPal</x:v>
      </x:c>
      <x:c r="C39" s="204" t="str">
        <x:v>PYPL</x:v>
      </x:c>
      <x:c r="D39" s="204" t="str">
        <x:v>Software &amp; Payments</x:v>
      </x:c>
      <x:c r="E39" s="204" t="str">
        <x:v>P2</x:v>
      </x:c>
      <x:c r="F39" s="204" t="str">
        <x:v>Development</x:v>
      </x:c>
      <x:c r="G39" s="204" t="str">
        <x:v>DEEP REVIEW AVAILABLE</x:v>
      </x:c>
      <x:c r="H39" s="204" t="str">
        <x:v>PASS</x:v>
      </x:c>
      <x:c r="I39" s="204" t="str">
        <x:v>PASS</x:v>
      </x:c>
      <x:c r="J39" s="204" t="str">
        <x:v>WATCH</x:v>
      </x:c>
      <x:c r="K39" s="204" t="str">
        <x:v>WATCH</x:v>
      </x:c>
      <x:c r="L39" s="204" t="str">
        <x:v>WATCH</x:v>
      </x:c>
      <x:c r="M39" s="204" t="str">
        <x:v>PASS</x:v>
      </x:c>
      <x:c r="N39" s="204" t="str">
        <x:v>WATCH</x:v>
      </x:c>
      <x:c r="O39" s="204" t="str">
        <x:v>PASS</x:v>
      </x:c>
      <x:c r="P39" s="204" t="str">
        <x:v>PASS</x:v>
      </x:c>
      <x:c r="Q39" s="204" t="str">
        <x:v>WATCH</x:v>
      </x:c>
      <x:c r="R39" s="204" t="str">
        <x:v>WATCH</x:v>
      </x:c>
      <x:c r="S39" s="204" t="str">
        <x:v>PASS</x:v>
      </x:c>
      <x:c r="T39" s="204" t="str">
        <x:v>WATCH-CAPPED</x:v>
      </x:c>
      <x:c r="U39" s="204" t="str">
        <x:v>Branded checkout retention, transaction-margin cohort economics and unadjusted owner cash</x:v>
      </x:c>
      <x:c r="V39" s="204" t="str">
        <x:v>PROVE DURABILITY — require branded checkout growth, transaction-margin expansion and clean FCF per share together</x:v>
      </x:c>
      <x:c r="W39" s="204" t="str">
        <x:v>WATCH</x:v>
      </x:c>
      <x:c r="X39" s="204" t="str">
        <x:v>2026-09-02</x:v>
      </x:c>
    </x:row>
    <x:row r="40">
      <x:c r="A40" s="204" t="str">
        <x:v>ARG-036</x:v>
      </x:c>
      <x:c r="B40" s="204" t="str">
        <x:v>JPMorgan Chase</x:v>
      </x:c>
      <x:c r="C40" s="204" t="str">
        <x:v>JPM</x:v>
      </x:c>
      <x:c r="D40" s="204" t="str">
        <x:v>Banks</x:v>
      </x:c>
      <x:c r="E40" s="204" t="str">
        <x:v>P2</x:v>
      </x:c>
      <x:c r="F40" s="204" t="str">
        <x:v>Development</x:v>
      </x:c>
      <x:c r="G40" s="204" t="str">
        <x:v>DEEP REVIEW AVAILABLE</x:v>
      </x:c>
      <x:c r="H40" s="204" t="str">
        <x:v>PASS</x:v>
      </x:c>
      <x:c r="I40" s="204" t="str">
        <x:v>PASS</x:v>
      </x:c>
      <x:c r="J40" s="204" t="str">
        <x:v>PASS</x:v>
      </x:c>
      <x:c r="K40" s="204" t="str">
        <x:v>PASS</x:v>
      </x:c>
      <x:c r="L40" s="204" t="str">
        <x:v>PASS</x:v>
      </x:c>
      <x:c r="M40" s="204" t="str">
        <x:v>PASS</x:v>
      </x:c>
      <x:c r="N40" s="204" t="str">
        <x:v>PASS</x:v>
      </x:c>
      <x:c r="O40" s="204" t="str">
        <x:v>WATCH</x:v>
      </x:c>
      <x:c r="P40" s="204" t="str">
        <x:v>PASS</x:v>
      </x:c>
      <x:c r="Q40" s="204" t="str">
        <x:v>WATCH</x:v>
      </x:c>
      <x:c r="R40" s="204" t="str">
        <x:v>PASS</x:v>
      </x:c>
      <x:c r="S40" s="204" t="str">
        <x:v>WATCH</x:v>
      </x:c>
      <x:c r="T40" s="204" t="str">
        <x:v>WATCH-CAPPED</x:v>
      </x:c>
      <x:c r="U40" s="204" t="str">
        <x:v>Normalized credit losses, deposit beta, required capital and succession-era allocation</x:v>
      </x:c>
      <x:c r="V40" s="204" t="str">
        <x:v>WATCH — value on normalized ROTCE/tangible book after removing gains and stressing credit/capital</x:v>
      </x:c>
      <x:c r="W40" s="204" t="str">
        <x:v>WATCH</x:v>
      </x:c>
      <x:c r="X40" s="204" t="str">
        <x:v>2026-09-02</x:v>
      </x:c>
    </x:row>
    <x:row r="41">
      <x:c r="A41" s="204" t="str">
        <x:v>ARG-037</x:v>
      </x:c>
      <x:c r="B41" s="204" t="str">
        <x:v>Bank of America</x:v>
      </x:c>
      <x:c r="C41" s="204" t="str">
        <x:v>BAC</x:v>
      </x:c>
      <x:c r="D41" s="204" t="str">
        <x:v>Banks</x:v>
      </x:c>
      <x:c r="E41" s="204" t="str">
        <x:v>P2</x:v>
      </x:c>
      <x:c r="F41" s="204" t="str">
        <x:v>Development</x:v>
      </x:c>
      <x:c r="G41" s="204" t="str">
        <x:v>DEEP REVIEW AVAILABLE</x:v>
      </x:c>
      <x:c r="H41" s="204" t="str">
        <x:v>PASS</x:v>
      </x:c>
      <x:c r="I41" s="204" t="str">
        <x:v>WATCH</x:v>
      </x:c>
      <x:c r="J41" s="204" t="str">
        <x:v>PASS</x:v>
      </x:c>
      <x:c r="K41" s="204" t="str">
        <x:v>WATCH</x:v>
      </x:c>
      <x:c r="L41" s="204" t="str">
        <x:v>WATCH</x:v>
      </x:c>
      <x:c r="M41" s="204" t="str">
        <x:v>PASS</x:v>
      </x:c>
      <x:c r="N41" s="204" t="str">
        <x:v>PASS</x:v>
      </x:c>
      <x:c r="O41" s="204" t="str">
        <x:v>WATCH</x:v>
      </x:c>
      <x:c r="P41" s="204" t="str">
        <x:v>PASS</x:v>
      </x:c>
      <x:c r="Q41" s="204" t="str">
        <x:v>WATCH</x:v>
      </x:c>
      <x:c r="R41" s="204" t="str">
        <x:v>WATCH</x:v>
      </x:c>
      <x:c r="S41" s="204" t="str">
        <x:v>WATCH</x:v>
      </x:c>
      <x:c r="T41" s="204" t="str">
        <x:v>WATCH-CAPPED</x:v>
      </x:c>
      <x:c r="U41" s="204" t="str">
        <x:v>Through-cycle credit, deposit beta, AOCI economics and post-stress capital need</x:v>
      </x:c>
      <x:c r="V41" s="204" t="str">
        <x:v>WATCH — normalize NII, credit, securities marks and required CET1 before valuation</x:v>
      </x:c>
      <x:c r="W41" s="204" t="str">
        <x:v>WATCH</x:v>
      </x:c>
      <x:c r="X41" s="204" t="str">
        <x:v>2026-09-02</x:v>
      </x:c>
    </x:row>
    <x:row r="42">
      <x:c r="A42" s="204" t="str">
        <x:v>ARG-038</x:v>
      </x:c>
      <x:c r="B42" s="204" t="str">
        <x:v>Citigroup</x:v>
      </x:c>
      <x:c r="C42" s="204" t="str">
        <x:v>C</x:v>
      </x:c>
      <x:c r="D42" s="204" t="str">
        <x:v>Banks</x:v>
      </x:c>
      <x:c r="E42" s="204" t="str">
        <x:v>P2</x:v>
      </x:c>
      <x:c r="F42" s="204" t="str">
        <x:v>Development</x:v>
      </x:c>
      <x:c r="G42" s="204" t="str">
        <x:v>DEEP REVIEW AVAILABLE</x:v>
      </x:c>
      <x:c r="H42" s="204" t="str">
        <x:v>PASS</x:v>
      </x:c>
      <x:c r="I42" s="204" t="str">
        <x:v>WATCH</x:v>
      </x:c>
      <x:c r="J42" s="204" t="str">
        <x:v>WATCH</x:v>
      </x:c>
      <x:c r="K42" s="204" t="str">
        <x:v>WATCH</x:v>
      </x:c>
      <x:c r="L42" s="204" t="str">
        <x:v>WATCH</x:v>
      </x:c>
      <x:c r="M42" s="204" t="str">
        <x:v>WATCH</x:v>
      </x:c>
      <x:c r="N42" s="204" t="str">
        <x:v>PASS</x:v>
      </x:c>
      <x:c r="O42" s="204" t="str">
        <x:v>WATCH</x:v>
      </x:c>
      <x:c r="P42" s="204" t="str">
        <x:v>PASS</x:v>
      </x:c>
      <x:c r="Q42" s="204" t="str">
        <x:v>WATCH</x:v>
      </x:c>
      <x:c r="R42" s="204" t="str">
        <x:v>WATCH</x:v>
      </x:c>
      <x:c r="S42" s="204" t="str">
        <x:v>WATCH</x:v>
      </x:c>
      <x:c r="T42" s="204" t="str">
        <x:v>WATCH-CAPPED</x:v>
      </x:c>
      <x:c r="U42" s="204" t="str">
        <x:v>Control remediation, normalized markets revenue, expense path and capital-efficient ROTCE</x:v>
      </x:c>
      <x:c r="V42" s="204" t="str">
        <x:v>PROVE TRANSFORMATION — require durable 11–13% ROTCE, expense delivery and clean controls</x:v>
      </x:c>
      <x:c r="W42" s="204" t="str">
        <x:v>WATCH</x:v>
      </x:c>
      <x:c r="X42" s="204" t="str">
        <x:v>2026-09-02</x:v>
      </x:c>
    </x:row>
    <x:row r="43">
      <x:c r="A43" s="204" t="str">
        <x:v>ARG-039</x:v>
      </x:c>
      <x:c r="B43" s="204" t="str">
        <x:v>Goldman Sachs</x:v>
      </x:c>
      <x:c r="C43" s="204" t="str">
        <x:v>GS</x:v>
      </x:c>
      <x:c r="D43" s="204" t="str">
        <x:v>Capital Markets</x:v>
      </x:c>
      <x:c r="E43" s="204" t="str">
        <x:v>P2</x:v>
      </x:c>
      <x:c r="F43" s="204" t="str">
        <x:v>Development</x:v>
      </x:c>
      <x:c r="G43" s="204" t="str">
        <x:v>DEEP REVIEW AVAILABLE</x:v>
      </x:c>
      <x:c r="H43" s="204" t="str">
        <x:v>PASS</x:v>
      </x:c>
      <x:c r="I43" s="204" t="str">
        <x:v>WATCH</x:v>
      </x:c>
      <x:c r="J43" s="204" t="str">
        <x:v>PASS</x:v>
      </x:c>
      <x:c r="K43" s="204" t="str">
        <x:v>WATCH</x:v>
      </x:c>
      <x:c r="L43" s="204" t="str">
        <x:v>WATCH</x:v>
      </x:c>
      <x:c r="M43" s="204" t="str">
        <x:v>PASS</x:v>
      </x:c>
      <x:c r="N43" s="204" t="str">
        <x:v>PASS</x:v>
      </x:c>
      <x:c r="O43" s="204" t="str">
        <x:v>WATCH</x:v>
      </x:c>
      <x:c r="P43" s="204" t="str">
        <x:v>PASS</x:v>
      </x:c>
      <x:c r="Q43" s="204" t="str">
        <x:v>WATCH</x:v>
      </x:c>
      <x:c r="R43" s="204" t="str">
        <x:v>PASS</x:v>
      </x:c>
      <x:c r="S43" s="204" t="str">
        <x:v>WATCH</x:v>
      </x:c>
      <x:c r="T43" s="204" t="str">
        <x:v>WATCH-CAPPED</x:v>
      </x:c>
      <x:c r="U43" s="204" t="str">
        <x:v>Mid-cycle business mix, private-credit loss exposure and required capital</x:v>
      </x:c>
      <x:c r="V43" s="204" t="str">
        <x:v>WATCH — value on mid-cycle ROE/tangible book, not record trading and deal revenue</x:v>
      </x:c>
      <x:c r="W43" s="204" t="str">
        <x:v>WATCH</x:v>
      </x:c>
      <x:c r="X43" s="204" t="str">
        <x:v>2026-09-02</x:v>
      </x:c>
    </x:row>
    <x:row r="44">
      <x:c r="A44" s="204" t="inlineStr">
        <x:is>
          <x:t xml:space="preserve">ARG-040</x:t>
        </x:is>
      </x:c>
      <x:c r="B44" s="204" t="inlineStr">
        <x:is>
          <x:t xml:space="preserve">Berkshire Hathaway</x:t>
        </x:is>
      </x:c>
      <x:c r="C44" s="204" t="inlineStr">
        <x:is>
          <x:t xml:space="preserve">BRK.B</x:t>
        </x:is>
      </x:c>
      <x:c r="D44" s="204" t="inlineStr">
        <x:is>
          <x:t xml:space="preserve">Insurance</x:t>
        </x:is>
      </x:c>
      <x:c r="E44" s="204" t="inlineStr">
        <x:is>
          <x:t xml:space="preserve">P2</x:t>
        </x:is>
      </x:c>
      <x:c r="F44" s="204" t="inlineStr">
        <x:is>
          <x:t xml:space="preserve">Development</x:t>
        </x:is>
      </x:c>
      <x:c r="G44" s="204" t="str">
        <x:v>DEEP REVIEW AVAILABLE</x:v>
      </x:c>
      <x:c r="H44" s="204" t="str">
        <x:v>PASS</x:v>
      </x:c>
      <x:c r="I44" s="204" t="str">
        <x:v>PASS</x:v>
      </x:c>
      <x:c r="J44" s="204" t="str">
        <x:v>PASS</x:v>
      </x:c>
      <x:c r="K44" s="204" t="str">
        <x:v>PASS</x:v>
      </x:c>
      <x:c r="L44" s="204" t="str">
        <x:v>WATCH</x:v>
      </x:c>
      <x:c r="M44" s="204" t="str">
        <x:v>PASS</x:v>
      </x:c>
      <x:c r="N44" s="204" t="str">
        <x:v>PASS</x:v>
      </x:c>
      <x:c r="O44" s="204" t="str">
        <x:v>WATCH</x:v>
      </x:c>
      <x:c r="P44" s="204" t="str">
        <x:v>PASS</x:v>
      </x:c>
      <x:c r="Q44" s="204" t="str">
        <x:v>WATCH</x:v>
      </x:c>
      <x:c r="R44" s="204" t="str">
        <x:v>WATCH</x:v>
      </x:c>
      <x:c r="S44" s="204" t="str">
        <x:v>WATCH</x:v>
      </x:c>
      <x:c r="T44" s="204" t="str">
        <x:f>IF(COUNTIF(H44:S44,"FAIL")&gt;0,"BLOCKED - FAIL",IF(COUNTIF(H44:S44,"UNKNOWN")&gt;0,"UNVALIDATED",IF(COUNTIF(H44:S44,"WATCH")&gt;=4,"WATCH-CAPPED","READY")))</x:f>
        <x:v>WATCH-CAPPED</x:v>
      </x:c>
      <x:c r="U44" s="204" t="str">
        <x:v>Succession-era allocation evidence, catastrophe normalization and current discount to conservative value</x:v>
      </x:c>
      <x:c r="V44" s="204" t="str">
        <x:v>WATCH — require price protection and evidence of disciplined large-scale deployment under Abel</x:v>
      </x:c>
      <x:c r="W44" s="204" t="inlineStr">
        <x:is>
          <x:t xml:space="preserve">WATCH</x:t>
        </x:is>
      </x:c>
      <x:c r="X44" s="204" t="str">
        <x:v>2026-09-02</x:v>
      </x:c>
    </x:row>
    <x:row r="45">
      <x:c r="A45" s="204" t="inlineStr">
        <x:is>
          <x:t xml:space="preserve">ARG-041</x:t>
        </x:is>
      </x:c>
      <x:c r="B45" s="204" t="inlineStr">
        <x:is>
          <x:t xml:space="preserve">Chubb</x:t>
        </x:is>
      </x:c>
      <x:c r="C45" s="204" t="inlineStr">
        <x:is>
          <x:t xml:space="preserve">CB</x:t>
        </x:is>
      </x:c>
      <x:c r="D45" s="204" t="inlineStr">
        <x:is>
          <x:t xml:space="preserve">Insurance</x:t>
        </x:is>
      </x:c>
      <x:c r="E45" s="204" t="inlineStr">
        <x:is>
          <x:t xml:space="preserve">P1</x:t>
        </x:is>
      </x:c>
      <x:c r="F45" s="204" t="inlineStr">
        <x:is>
          <x:t xml:space="preserve">Development</x:t>
        </x:is>
      </x:c>
      <x:c r="G45" s="204" t="str">
        <x:v>DEEP REVIEW AVAILABLE</x:v>
      </x:c>
      <x:c r="H45" s="204" t="str">
        <x:v>PASS</x:v>
      </x:c>
      <x:c r="I45" s="204" t="str">
        <x:v>PASS</x:v>
      </x:c>
      <x:c r="J45" s="204" t="str">
        <x:v>PASS</x:v>
      </x:c>
      <x:c r="K45" s="204" t="str">
        <x:v>PASS</x:v>
      </x:c>
      <x:c r="L45" s="204" t="str">
        <x:v>PASS</x:v>
      </x:c>
      <x:c r="M45" s="204" t="str">
        <x:v>PASS</x:v>
      </x:c>
      <x:c r="N45" s="204" t="str">
        <x:v>PASS</x:v>
      </x:c>
      <x:c r="O45" s="204" t="str">
        <x:v>WATCH</x:v>
      </x:c>
      <x:c r="P45" s="204" t="str">
        <x:v>WATCH</x:v>
      </x:c>
      <x:c r="Q45" s="204" t="str">
        <x:v>WATCH</x:v>
      </x:c>
      <x:c r="R45" s="204" t="str">
        <x:v>WATCH</x:v>
      </x:c>
      <x:c r="S45" s="204" t="str">
        <x:v>WATCH</x:v>
      </x:c>
      <x:c r="T45" s="204" t="str">
        <x:f>IF(COUNTIF(H45:S45,"FAIL")&gt;0,"BLOCKED - FAIL",IF(COUNTIF(H45:S45,"UNKNOWN")&gt;0,"UNVALIDATED",IF(COUNTIF(H45:S45,"WATCH")&gt;=4,"WATCH-CAPPED","READY")))</x:f>
        <x:v>WATCH-CAPPED</x:v>
      </x:c>
      <x:c r="U45" s="204" t="str">
        <x:v>Reserve/catastrophe normalization and current valuation protection</x:v>
      </x:c>
      <x:c r="V45" s="204" t="str">
        <x:v>MEETING CONTROL — verify reserves, catastrophe normalization and price</x:v>
      </x:c>
      <x:c r="W45" s="204" t="inlineStr">
        <x:is>
          <x:t xml:space="preserve">MEETING CONTROL</x:t>
        </x:is>
      </x:c>
      <x:c r="X45" s="204" t="str">
        <x:v>2026-09-02</x:v>
      </x:c>
    </x:row>
    <x:row r="46">
      <x:c r="A46" s="204" t="str">
        <x:v>ARG-042</x:v>
      </x:c>
      <x:c r="B46" s="204" t="str">
        <x:v>Progressive</x:v>
      </x:c>
      <x:c r="C46" s="204" t="str">
        <x:v>PGR</x:v>
      </x:c>
      <x:c r="D46" s="204" t="str">
        <x:v>Insurance</x:v>
      </x:c>
      <x:c r="E46" s="204" t="str">
        <x:v>P2</x:v>
      </x:c>
      <x:c r="F46" s="204" t="str">
        <x:v>Development</x:v>
      </x:c>
      <x:c r="G46" s="204" t="str">
        <x:v>DEEP REVIEW AVAILABLE</x:v>
      </x:c>
      <x:c r="H46" s="204" t="str">
        <x:v>PASS</x:v>
      </x:c>
      <x:c r="I46" s="204" t="str">
        <x:v>PASS</x:v>
      </x:c>
      <x:c r="J46" s="204" t="str">
        <x:v>PASS</x:v>
      </x:c>
      <x:c r="K46" s="204" t="str">
        <x:v>PASS</x:v>
      </x:c>
      <x:c r="L46" s="204" t="str">
        <x:v>PASS</x:v>
      </x:c>
      <x:c r="M46" s="204" t="str">
        <x:v>PASS</x:v>
      </x:c>
      <x:c r="N46" s="204" t="str">
        <x:v>PASS</x:v>
      </x:c>
      <x:c r="O46" s="204" t="str">
        <x:v>FAIL</x:v>
      </x:c>
      <x:c r="P46" s="204" t="str">
        <x:v>PASS</x:v>
      </x:c>
      <x:c r="Q46" s="204" t="str">
        <x:v>WATCH</x:v>
      </x:c>
      <x:c r="R46" s="204" t="str">
        <x:v>PASS</x:v>
      </x:c>
      <x:c r="S46" s="204" t="str">
        <x:v>FAIL</x:v>
      </x:c>
      <x:c r="T46" s="204" t="str">
        <x:v>BLOCKED - FAIL</x:v>
      </x:c>
      <x:c r="U46" s="204" t="str">
        <x:v>Reserve triangles, cohort profitability and mid-cycle combined-ratio/float normalization</x:v>
      </x:c>
      <x:c r="V46" s="204" t="str">
        <x:v>WAIT FOR NORMALIZED UNDERWRITING — price on reserve-adjusted, mid-cycle combined ratios and float income</x:v>
      </x:c>
      <x:c r="W46" s="204" t="str">
        <x:v>WAIT FOR PRICE</x:v>
      </x:c>
      <x:c r="X46" s="204" t="str">
        <x:v>2026-09-02</x:v>
      </x:c>
    </x:row>
    <x:row r="47">
      <x:c r="A47" s="204" t="inlineStr">
        <x:is>
          <x:t xml:space="preserve">ARG-043</x:t>
        </x:is>
      </x:c>
      <x:c r="B47" s="204" t="inlineStr">
        <x:is>
          <x:t xml:space="preserve">Microsoft</x:t>
        </x:is>
      </x:c>
      <x:c r="C47" s="204" t="inlineStr">
        <x:is>
          <x:t xml:space="preserve">MSFT</x:t>
        </x:is>
      </x:c>
      <x:c r="D47" s="204" t="inlineStr">
        <x:is>
          <x:t xml:space="preserve">Software &amp; Payments</x:t>
        </x:is>
      </x:c>
      <x:c r="E47" s="204" t="inlineStr">
        <x:is>
          <x:t xml:space="preserve">P2</x:t>
        </x:is>
      </x:c>
      <x:c r="F47" s="204" t="inlineStr">
        <x:is>
          <x:t xml:space="preserve">Development</x:t>
        </x:is>
      </x:c>
      <x:c r="G47" s="204" t="str">
        <x:v>DEEP REVIEW AVAILABLE</x:v>
      </x:c>
      <x:c r="H47" s="204" t="str">
        <x:v>PASS</x:v>
      </x:c>
      <x:c r="I47" s="204" t="str">
        <x:v>PASS</x:v>
      </x:c>
      <x:c r="J47" s="204" t="str">
        <x:v>PASS</x:v>
      </x:c>
      <x:c r="K47" s="204" t="str">
        <x:v>PASS</x:v>
      </x:c>
      <x:c r="L47" s="204" t="str">
        <x:v>WATCH</x:v>
      </x:c>
      <x:c r="M47" s="204" t="str">
        <x:v>PASS</x:v>
      </x:c>
      <x:c r="N47" s="204" t="str">
        <x:v>PASS</x:v>
      </x:c>
      <x:c r="O47" s="204" t="str">
        <x:v>WATCH</x:v>
      </x:c>
      <x:c r="P47" s="204" t="str">
        <x:v>PASS</x:v>
      </x:c>
      <x:c r="Q47" s="204" t="str">
        <x:v>WATCH</x:v>
      </x:c>
      <x:c r="R47" s="204" t="str">
        <x:v>PASS</x:v>
      </x:c>
      <x:c r="S47" s="204" t="str">
        <x:v>WATCH</x:v>
      </x:c>
      <x:c r="T47" s="204" t="str">
        <x:f>IF(COUNTIF(H47:S47,"FAIL")&gt;0,"BLOCKED - FAIL",IF(COUNTIF(H47:S47,"UNKNOWN")&gt;0,"UNVALIDATED",IF(COUNTIF(H47:S47,"WATCH")&gt;=4,"WATCH-CAPPED","READY")))</x:f>
        <x:v>WATCH-CAPPED</x:v>
      </x:c>
      <x:c r="U47" s="204" t="str">
        <x:v>Normalized AI infrastructure returns after depreciation and partner economics</x:v>
      </x:c>
      <x:c r="V47" s="204" t="str">
        <x:v>WATCH — require a transparent capex-to-owner-cash bridge and price protection</x:v>
      </x:c>
      <x:c r="W47" s="204" t="inlineStr">
        <x:is>
          <x:t xml:space="preserve">WATCH</x:t>
        </x:is>
      </x:c>
      <x:c r="X47" s="204" t="str">
        <x:v>2026-09-02</x:v>
      </x:c>
    </x:row>
    <x:row r="48">
      <x:c r="A48" s="204" t="inlineStr">
        <x:is>
          <x:t xml:space="preserve">ARG-044</x:t>
        </x:is>
      </x:c>
      <x:c r="B48" s="204" t="inlineStr">
        <x:is>
          <x:t xml:space="preserve">Alphabet</x:t>
        </x:is>
      </x:c>
      <x:c r="C48" s="204" t="inlineStr">
        <x:is>
          <x:t xml:space="preserve">GOOGL</x:t>
        </x:is>
      </x:c>
      <x:c r="D48" s="204" t="inlineStr">
        <x:is>
          <x:t xml:space="preserve">Media &amp; Internet</x:t>
        </x:is>
      </x:c>
      <x:c r="E48" s="204" t="inlineStr">
        <x:is>
          <x:t xml:space="preserve">P2</x:t>
        </x:is>
      </x:c>
      <x:c r="F48" s="204" t="inlineStr">
        <x:is>
          <x:t xml:space="preserve">Development</x:t>
        </x:is>
      </x:c>
      <x:c r="G48" s="204" t="str">
        <x:v>DEEP REVIEW AVAILABLE</x:v>
      </x:c>
      <x:c r="H48" s="204" t="str">
        <x:v>PASS</x:v>
      </x:c>
      <x:c r="I48" s="204" t="str">
        <x:v>FAIL</x:v>
      </x:c>
      <x:c r="J48" s="204" t="str">
        <x:v>PASS</x:v>
      </x:c>
      <x:c r="K48" s="204" t="str">
        <x:v>FAIL</x:v>
      </x:c>
      <x:c r="L48" s="204" t="str">
        <x:v>WATCH</x:v>
      </x:c>
      <x:c r="M48" s="204" t="str">
        <x:v>FAIL</x:v>
      </x:c>
      <x:c r="N48" s="204" t="str">
        <x:v>PASS</x:v>
      </x:c>
      <x:c r="O48" s="204" t="str">
        <x:v>WATCH</x:v>
      </x:c>
      <x:c r="P48" s="204" t="str">
        <x:v>PASS</x:v>
      </x:c>
      <x:c r="Q48" s="204" t="str">
        <x:v>WATCH</x:v>
      </x:c>
      <x:c r="R48" s="204" t="str">
        <x:v>WATCH</x:v>
      </x:c>
      <x:c r="S48" s="204" t="str">
        <x:v>PASS</x:v>
      </x:c>
      <x:c r="T48" s="204" t="str">
        <x:f>IF(COUNTIF(H48:S48,"FAIL")&gt;0,"BLOCKED - FAIL",IF(COUNTIF(H48:S48,"UNKNOWN")&gt;0,"UNVALIDATED",IF(COUNTIF(H48:S48,"WATCH")&gt;=4,"WATCH-CAPPED","READY")))</x:f>
        <x:v>BLOCKED - FAIL</x:v>
      </x:c>
      <x:c r="U48" s="204" t="str">
        <x:v>Capex/financing return bridge excluding non-operating investment gains</x:v>
      </x:c>
      <x:c r="V48" s="204" t="str">
        <x:v>CAPITAL GATE — no new BUY until FCF, issuance and compute returns reconcile on a per-share basis</x:v>
      </x:c>
      <x:c r="W48" s="204" t="inlineStr">
        <x:is>
          <x:t xml:space="preserve">WATCH</x:t>
        </x:is>
      </x:c>
      <x:c r="X48" s="204" t="str">
        <x:v>2026-09-02</x:v>
      </x:c>
    </x:row>
    <x:row r="49">
      <x:c r="A49" s="204" t="inlineStr">
        <x:is>
          <x:t xml:space="preserve">ARG-045</x:t>
        </x:is>
      </x:c>
      <x:c r="B49" s="204" t="inlineStr">
        <x:is>
          <x:t xml:space="preserve">Meta Platforms</x:t>
        </x:is>
      </x:c>
      <x:c r="C49" s="204" t="inlineStr">
        <x:is>
          <x:t xml:space="preserve">META</x:t>
        </x:is>
      </x:c>
      <x:c r="D49" s="204" t="inlineStr">
        <x:is>
          <x:t xml:space="preserve">Media &amp; Internet</x:t>
        </x:is>
      </x:c>
      <x:c r="E49" s="204" t="inlineStr">
        <x:is>
          <x:t xml:space="preserve">P2</x:t>
        </x:is>
      </x:c>
      <x:c r="F49" s="204" t="inlineStr">
        <x:is>
          <x:t xml:space="preserve">Development</x:t>
        </x:is>
      </x:c>
      <x:c r="G49" s="204" t="str">
        <x:v>DEEP REVIEW AVAILABLE</x:v>
      </x:c>
      <x:c r="H49" s="204" t="str">
        <x:v>PASS</x:v>
      </x:c>
      <x:c r="I49" s="204" t="str">
        <x:v>FAIL</x:v>
      </x:c>
      <x:c r="J49" s="204" t="str">
        <x:v>WATCH</x:v>
      </x:c>
      <x:c r="K49" s="204" t="str">
        <x:v>FAIL</x:v>
      </x:c>
      <x:c r="L49" s="204" t="str">
        <x:v>WATCH</x:v>
      </x:c>
      <x:c r="M49" s="204" t="str">
        <x:v>WATCH</x:v>
      </x:c>
      <x:c r="N49" s="204" t="str">
        <x:v>WATCH</x:v>
      </x:c>
      <x:c r="O49" s="204" t="str">
        <x:v>WATCH</x:v>
      </x:c>
      <x:c r="P49" s="204" t="str">
        <x:v>PASS</x:v>
      </x:c>
      <x:c r="Q49" s="204" t="str">
        <x:v>WATCH</x:v>
      </x:c>
      <x:c r="R49" s="204" t="str">
        <x:v>WATCH</x:v>
      </x:c>
      <x:c r="S49" s="204" t="str">
        <x:v>WATCH</x:v>
      </x:c>
      <x:c r="T49" s="204" t="str">
        <x:f>IF(COUNTIF(H49:S49,"FAIL")&gt;0,"BLOCKED - FAIL",IF(COUNTIF(H49:S49,"UNKNOWN")&gt;0,"UNVALIDATED",IF(COUNTIF(H49:S49,"WATCH")&gt;=4,"WATCH-CAPPED","READY")))</x:f>
        <x:v>BLOCKED - FAIL</x:v>
      </x:c>
      <x:c r="U49" s="204" t="str">
        <x:v>Normalized owner earnings after AI capex, depreciation, debt and Reality Labs</x:v>
      </x:c>
      <x:c r="V49" s="204" t="str">
        <x:v>CAPITAL GATE — no new BUY until capex converts into durable FCF per share</x:v>
      </x:c>
      <x:c r="W49" s="204" t="inlineStr">
        <x:is>
          <x:t xml:space="preserve">WATCH</x:t>
        </x:is>
      </x:c>
      <x:c r="X49" s="204" t="str">
        <x:v>2026-09-02</x:v>
      </x:c>
    </x:row>
    <x:row r="50">
      <x:c r="A50" s="204" t="inlineStr">
        <x:is>
          <x:t xml:space="preserve">ARG-046</x:t>
        </x:is>
      </x:c>
      <x:c r="B50" s="204" t="inlineStr">
        <x:is>
          <x:t xml:space="preserve">Amazon</x:t>
        </x:is>
      </x:c>
      <x:c r="C50" s="204" t="inlineStr">
        <x:is>
          <x:t xml:space="preserve">AMZN</x:t>
        </x:is>
      </x:c>
      <x:c r="D50" s="204" t="inlineStr">
        <x:is>
          <x:t xml:space="preserve">Software &amp; Payments</x:t>
        </x:is>
      </x:c>
      <x:c r="E50" s="204" t="inlineStr">
        <x:is>
          <x:t xml:space="preserve">P2</x:t>
        </x:is>
      </x:c>
      <x:c r="F50" s="204" t="inlineStr">
        <x:is>
          <x:t xml:space="preserve">Development</x:t>
        </x:is>
      </x:c>
      <x:c r="G50" s="204" t="str">
        <x:v>DEEP REVIEW AVAILABLE</x:v>
      </x:c>
      <x:c r="H50" s="204" t="str">
        <x:v>PASS</x:v>
      </x:c>
      <x:c r="I50" s="204" t="str">
        <x:v>FAIL</x:v>
      </x:c>
      <x:c r="J50" s="204" t="str">
        <x:v>PASS</x:v>
      </x:c>
      <x:c r="K50" s="204" t="str">
        <x:v>WATCH</x:v>
      </x:c>
      <x:c r="L50" s="204" t="str">
        <x:v>PASS</x:v>
      </x:c>
      <x:c r="M50" s="204" t="str">
        <x:v>WATCH</x:v>
      </x:c>
      <x:c r="N50" s="204" t="str">
        <x:v>PASS</x:v>
      </x:c>
      <x:c r="O50" s="204" t="str">
        <x:v>WATCH</x:v>
      </x:c>
      <x:c r="P50" s="204" t="str">
        <x:v>WATCH</x:v>
      </x:c>
      <x:c r="Q50" s="204" t="str">
        <x:v>WATCH</x:v>
      </x:c>
      <x:c r="R50" s="204" t="str">
        <x:v>PASS</x:v>
      </x:c>
      <x:c r="S50" s="204" t="str">
        <x:v>WATCH</x:v>
      </x:c>
      <x:c r="T50" s="204" t="str">
        <x:f>IF(COUNTIF(H50:S50,"FAIL")&gt;0,"BLOCKED - FAIL",IF(COUNTIF(H50:S50,"UNKNOWN")&gt;0,"UNVALIDATED",IF(COUNTIF(H50:S50,"WATCH")&gt;=4,"WATCH-CAPPED","READY")))</x:f>
        <x:v>BLOCKED - FAIL</x:v>
      </x:c>
      <x:c r="U50" s="204" t="str">
        <x:v>Segment owner-earnings bridge after AI/logistics capex, leases, SBC and investment marks</x:v>
      </x:c>
      <x:c r="V50" s="204" t="str">
        <x:v>CAPITAL GATE — no new BUY until TTM FCF turns positive excluding Anthropic revaluation</x:v>
      </x:c>
      <x:c r="W50" s="204" t="inlineStr">
        <x:is>
          <x:t xml:space="preserve">WATCH</x:t>
        </x:is>
      </x:c>
      <x:c r="X50" s="204" t="str">
        <x:v>2026-09-02</x:v>
      </x:c>
    </x:row>
    <x:row r="51">
      <x:c r="A51" s="204" t="inlineStr">
        <x:is>
          <x:t xml:space="preserve">ARG-047</x:t>
        </x:is>
      </x:c>
      <x:c r="B51" s="204" t="inlineStr">
        <x:is>
          <x:t xml:space="preserve">Intuit</x:t>
        </x:is>
      </x:c>
      <x:c r="C51" s="204" t="inlineStr">
        <x:is>
          <x:t xml:space="preserve">INTU</x:t>
        </x:is>
      </x:c>
      <x:c r="D51" s="204" t="inlineStr">
        <x:is>
          <x:t xml:space="preserve">Software &amp; Payments</x:t>
        </x:is>
      </x:c>
      <x:c r="E51" s="204" t="inlineStr">
        <x:is>
          <x:t xml:space="preserve">P1</x:t>
        </x:is>
      </x:c>
      <x:c r="F51" s="204" t="inlineStr">
        <x:is>
          <x:t xml:space="preserve">Development</x:t>
        </x:is>
      </x:c>
      <x:c r="G51" s="204" t="str">
        <x:v>DEEP REVIEW AVAILABLE</x:v>
      </x:c>
      <x:c r="H51" s="204" t="str">
        <x:v>PASS</x:v>
      </x:c>
      <x:c r="I51" s="204" t="str">
        <x:v>PASS</x:v>
      </x:c>
      <x:c r="J51" s="204" t="str">
        <x:v>PASS</x:v>
      </x:c>
      <x:c r="K51" s="204" t="str">
        <x:v>PASS</x:v>
      </x:c>
      <x:c r="L51" s="204" t="str">
        <x:v>WATCH</x:v>
      </x:c>
      <x:c r="M51" s="204" t="str">
        <x:v>PASS</x:v>
      </x:c>
      <x:c r="N51" s="204" t="str">
        <x:v>PASS</x:v>
      </x:c>
      <x:c r="O51" s="204" t="str">
        <x:v>PASS</x:v>
      </x:c>
      <x:c r="P51" s="204" t="str">
        <x:v>WATCH</x:v>
      </x:c>
      <x:c r="Q51" s="204" t="str">
        <x:v>WATCH</x:v>
      </x:c>
      <x:c r="R51" s="204" t="str">
        <x:v>WATCH</x:v>
      </x:c>
      <x:c r="S51" s="204" t="str">
        <x:v>WATCH</x:v>
      </x:c>
      <x:c r="T51" s="204" t="str">
        <x:f>IF(COUNTIF(H51:S51,"FAIL")&gt;0,"BLOCKED - FAIL",IF(COUNTIF(H51:S51,"UNKNOWN")&gt;0,"UNVALIDATED",IF(COUNTIF(H51:S51,"WATCH")&gt;=4,"WATCH-CAPPED","READY")))</x:f>
        <x:v>WATCH-CAPPED</x:v>
      </x:c>
      <x:c r="U51" s="204" t="str">
        <x:v>Durability of TurboTax/QBO pricing under AI and tax-policy change</x:v>
      </x:c>
      <x:c r="V51" s="204" t="str">
        <x:v>BUY only inside sizing band — monitor AI/tax policy and per-share cash</x:v>
      </x:c>
      <x:c r="W51" s="204" t="inlineStr">
        <x:is>
          <x:t xml:space="preserve">BUY</x:t>
        </x:is>
      </x:c>
      <x:c r="X51" s="204" t="str">
        <x:v>2026-09-02</x:v>
      </x:c>
    </x:row>
    <x:row r="52">
      <x:c r="A52" s="204" t="inlineStr">
        <x:is>
          <x:t xml:space="preserve">ARG-048</x:t>
        </x:is>
      </x:c>
      <x:c r="B52" s="204" t="inlineStr">
        <x:is>
          <x:t xml:space="preserve">Oracle</x:t>
        </x:is>
      </x:c>
      <x:c r="C52" s="204" t="inlineStr">
        <x:is>
          <x:t xml:space="preserve">ORCL</x:t>
        </x:is>
      </x:c>
      <x:c r="D52" s="204" t="inlineStr">
        <x:is>
          <x:t xml:space="preserve">Software &amp; Payments</x:t>
        </x:is>
      </x:c>
      <x:c r="E52" s="204" t="inlineStr">
        <x:is>
          <x:t xml:space="preserve">P2</x:t>
        </x:is>
      </x:c>
      <x:c r="F52" s="204" t="inlineStr">
        <x:is>
          <x:t xml:space="preserve">Development</x:t>
        </x:is>
      </x:c>
      <x:c r="G52" s="204" t="str">
        <x:v>DEEP REVIEW AVAILABLE</x:v>
      </x:c>
      <x:c r="H52" s="204" t="str">
        <x:v>PASS</x:v>
      </x:c>
      <x:c r="I52" s="204" t="str">
        <x:v>FAIL</x:v>
      </x:c>
      <x:c r="J52" s="204" t="str">
        <x:v>PASS</x:v>
      </x:c>
      <x:c r="K52" s="204" t="str">
        <x:v>FAIL</x:v>
      </x:c>
      <x:c r="L52" s="204" t="str">
        <x:v>WATCH</x:v>
      </x:c>
      <x:c r="M52" s="204" t="str">
        <x:v>WATCH</x:v>
      </x:c>
      <x:c r="N52" s="204" t="str">
        <x:v>WATCH</x:v>
      </x:c>
      <x:c r="O52" s="204" t="str">
        <x:v>WATCH</x:v>
      </x:c>
      <x:c r="P52" s="204" t="str">
        <x:v>WATCH</x:v>
      </x:c>
      <x:c r="Q52" s="204" t="str">
        <x:v>FAIL</x:v>
      </x:c>
      <x:c r="R52" s="204" t="str">
        <x:v>WATCH</x:v>
      </x:c>
      <x:c r="S52" s="204" t="str">
        <x:v>FAIL</x:v>
      </x:c>
      <x:c r="T52" s="204" t="str">
        <x:f>IF(COUNTIF(H52:S52,"FAIL")&gt;0,"BLOCKED - FAIL",IF(COUNTIF(H52:S52,"UNKNOWN")&gt;0,"UNVALIDATED",IF(COUNTIF(H52:S52,"WATCH")&gt;=4,"WATCH-CAPPED","READY")))</x:f>
        <x:v>BLOCKED - FAIL</x:v>
      </x:c>
      <x:c r="U52" s="204" t="str">
        <x:v>Contract-level return, financing obligations and path from RPO to positive owner cash</x:v>
      </x:c>
      <x:c r="V52" s="204" t="str">
        <x:v>NO NEW BUY — prove the RPO-to-FCF funding bridge and normalized infrastructure return</x:v>
      </x:c>
      <x:c r="W52" s="204" t="inlineStr">
        <x:is>
          <x:t xml:space="preserve">WATCH — CAPITAL GATE</x:t>
        </x:is>
      </x:c>
      <x:c r="X52" s="204" t="str">
        <x:v>2026-09-02</x:v>
      </x:c>
    </x:row>
    <x:row r="53">
      <x:c r="A53" s="204" t="inlineStr">
        <x:is>
          <x:t xml:space="preserve">ARG-049</x:t>
        </x:is>
      </x:c>
      <x:c r="B53" s="204" t="inlineStr">
        <x:is>
          <x:t xml:space="preserve">Salesforce</x:t>
        </x:is>
      </x:c>
      <x:c r="C53" s="204" t="inlineStr">
        <x:is>
          <x:t xml:space="preserve">CRM</x:t>
        </x:is>
      </x:c>
      <x:c r="D53" s="204" t="inlineStr">
        <x:is>
          <x:t xml:space="preserve">Software &amp; Payments</x:t>
        </x:is>
      </x:c>
      <x:c r="E53" s="204" t="inlineStr">
        <x:is>
          <x:t xml:space="preserve">P1</x:t>
        </x:is>
      </x:c>
      <x:c r="F53" s="204" t="inlineStr">
        <x:is>
          <x:t xml:space="preserve">Development</x:t>
        </x:is>
      </x:c>
      <x:c r="G53" s="204" t="str">
        <x:v>DEEP REVIEW AVAILABLE</x:v>
      </x:c>
      <x:c r="H53" s="204" t="str">
        <x:v>PASS</x:v>
      </x:c>
      <x:c r="I53" s="204" t="str">
        <x:v>PASS</x:v>
      </x:c>
      <x:c r="J53" s="204" t="str">
        <x:v>PASS</x:v>
      </x:c>
      <x:c r="K53" s="204" t="str">
        <x:v>WATCH</x:v>
      </x:c>
      <x:c r="L53" s="204" t="str">
        <x:v>WATCH</x:v>
      </x:c>
      <x:c r="M53" s="204" t="str">
        <x:v>WATCH</x:v>
      </x:c>
      <x:c r="N53" s="204" t="str">
        <x:v>WATCH</x:v>
      </x:c>
      <x:c r="O53" s="204" t="str">
        <x:v>WATCH</x:v>
      </x:c>
      <x:c r="P53" s="204" t="str">
        <x:v>WATCH</x:v>
      </x:c>
      <x:c r="Q53" s="204" t="str">
        <x:v>WATCH</x:v>
      </x:c>
      <x:c r="R53" s="204" t="str">
        <x:v>WATCH</x:v>
      </x:c>
      <x:c r="S53" s="204" t="str">
        <x:v>WATCH</x:v>
      </x:c>
      <x:c r="T53" s="204" t="str">
        <x:f>IF(COUNTIF(H53:S53,"FAIL")&gt;0,"BLOCKED - FAIL",IF(COUNTIF(H53:S53,"UNKNOWN")&gt;0,"UNVALIDATED",IF(COUNTIF(H53:S53,"WATCH")&gt;=4,"WATCH-CAPPED","READY")))</x:f>
        <x:v>WATCH-CAPPED</x:v>
      </x:c>
      <x:c r="U53" s="204" t="str">
        <x:v>Organic versus acquired AI growth and clean per-share cash economics</x:v>
      </x:c>
      <x:c r="V53" s="204" t="str">
        <x:v>DEEP WATCH — require organic paid AI and per-share FCF after SBC/debt</x:v>
      </x:c>
      <x:c r="W53" s="204" t="inlineStr">
        <x:is>
          <x:t xml:space="preserve">DEEP WATCH</x:t>
        </x:is>
      </x:c>
      <x:c r="X53" s="204" t="str">
        <x:v>2026-09-02</x:v>
      </x:c>
    </x:row>
    <x:row r="54">
      <x:c r="A54" s="204" t="str">
        <x:v>ARG-050</x:v>
      </x:c>
      <x:c r="B54" s="204" t="str">
        <x:v>Apple</x:v>
      </x:c>
      <x:c r="C54" s="204" t="str">
        <x:v>AAPL</x:v>
      </x:c>
      <x:c r="D54" s="204" t="str">
        <x:v>Consumer</x:v>
      </x:c>
      <x:c r="E54" s="204" t="str">
        <x:v>P2</x:v>
      </x:c>
      <x:c r="F54" s="204" t="str">
        <x:v>Development</x:v>
      </x:c>
      <x:c r="G54" s="204" t="str">
        <x:v>DEEP REVIEW AVAILABLE</x:v>
      </x:c>
      <x:c r="H54" s="204" t="str">
        <x:v>PASS</x:v>
      </x:c>
      <x:c r="I54" s="204" t="str">
        <x:v>PASS</x:v>
      </x:c>
      <x:c r="J54" s="204" t="str">
        <x:v>PASS</x:v>
      </x:c>
      <x:c r="K54" s="204" t="str">
        <x:v>WATCH</x:v>
      </x:c>
      <x:c r="L54" s="204" t="str">
        <x:v>PASS</x:v>
      </x:c>
      <x:c r="M54" s="204" t="str">
        <x:v>PASS</x:v>
      </x:c>
      <x:c r="N54" s="204" t="str">
        <x:v>PASS</x:v>
      </x:c>
      <x:c r="O54" s="204" t="str">
        <x:v>FAIL</x:v>
      </x:c>
      <x:c r="P54" s="204" t="str">
        <x:v>WATCH</x:v>
      </x:c>
      <x:c r="Q54" s="204" t="str">
        <x:v>FAIL</x:v>
      </x:c>
      <x:c r="R54" s="204" t="str">
        <x:v>WATCH</x:v>
      </x:c>
      <x:c r="S54" s="204" t="str">
        <x:v>FAIL</x:v>
      </x:c>
      <x:c r="T54" s="204" t="str">
        <x:v>BLOCKED - FAIL</x:v>
      </x:c>
      <x:c r="U54" s="204" t="str">
        <x:v>Normalized post-tariff margin, China economics and incremental return on AI/R&amp;D plus buybacks</x:v>
      </x:c>
      <x:c r="V54" s="204" t="str">
        <x:v>WAIT FOR PRICE — strip tariff refunds and require durable Services/AI cash returns at a lower implied expectation</x:v>
      </x:c>
      <x:c r="W54" s="204" t="str">
        <x:v>WAIT FOR PRICE</x:v>
      </x:c>
      <x:c r="X54" s="204" t="str">
        <x:v>2026-09-02</x:v>
      </x:c>
    </x:row>
    <x:row r="55">
      <x:c r="A55" s="204" t="inlineStr">
        <x:is>
          <x:t xml:space="preserve">ARG-051</x:t>
        </x:is>
      </x:c>
      <x:c r="B55" s="204" t="inlineStr">
        <x:is>
          <x:t xml:space="preserve">DHT Holdings</x:t>
        </x:is>
      </x:c>
      <x:c r="C55" s="204" t="inlineStr">
        <x:is>
          <x:t xml:space="preserve">DHT</x:t>
        </x:is>
      </x:c>
      <x:c r="D55" s="204" t="inlineStr">
        <x:is>
          <x:t xml:space="preserve">Shipping</x:t>
        </x:is>
      </x:c>
      <x:c r="E55" s="204" t="inlineStr">
        <x:is>
          <x:t xml:space="preserve">P1</x:t>
        </x:is>
      </x:c>
      <x:c r="F55" s="204" t="inlineStr">
        <x:is>
          <x:t xml:space="preserve">Development</x:t>
        </x:is>
      </x:c>
      <x:c r="G55" s="204" t="str">
        <x:v>DEEP REVIEW AVAILABLE</x:v>
      </x:c>
      <x:c r="H55" s="204" t="str">
        <x:v>PASS</x:v>
      </x:c>
      <x:c r="I55" s="204" t="str">
        <x:v>WATCH</x:v>
      </x:c>
      <x:c r="J55" s="204" t="str">
        <x:v>FAIL</x:v>
      </x:c>
      <x:c r="K55" s="204" t="str">
        <x:v>WATCH</x:v>
      </x:c>
      <x:c r="L55" s="204" t="str">
        <x:v>PASS</x:v>
      </x:c>
      <x:c r="M55" s="204" t="str">
        <x:v>PASS</x:v>
      </x:c>
      <x:c r="N55" s="204" t="str">
        <x:v>PASS</x:v>
      </x:c>
      <x:c r="O55" s="204" t="str">
        <x:v>WATCH</x:v>
      </x:c>
      <x:c r="P55" s="204" t="str">
        <x:v>PASS</x:v>
      </x:c>
      <x:c r="Q55" s="204" t="str">
        <x:v>WATCH</x:v>
      </x:c>
      <x:c r="R55" s="204" t="str">
        <x:v>WATCH</x:v>
      </x:c>
      <x:c r="S55" s="204" t="str">
        <x:v>WATCH</x:v>
      </x:c>
      <x:c r="T55" s="204" t="str">
        <x:f>IF(COUNTIF(H55:S55,"FAIL")&gt;0,"BLOCKED - FAIL",IF(COUNTIF(H55:S55,"UNKNOWN")&gt;0,"UNVALIDATED",IF(COUNTIF(H55:S55,"WATCH")&gt;=4,"WATCH-CAPPED","READY")))</x:f>
        <x:v>BLOCKED - FAIL</x:v>
      </x:c>
      <x:c r="U55" s="204" t="str">
        <x:v>Cycle-normalized TCE, fleet NAV and forward orderbook</x:v>
      </x:c>
      <x:c r="V55" s="204" t="str">
        <x:v>SITUATIONAL ONLY — update NAV/TCE bands; do not extrapolate the dividend</x:v>
      </x:c>
      <x:c r="W55" s="204" t="n"/>
      <x:c r="X55" s="204" t="str">
        <x:v>2026-09-02</x:v>
      </x:c>
    </x:row>
    <x:row r="56">
      <x:c r="A56" s="204" t="str">
        <x:v>ARG-052</x:v>
      </x:c>
      <x:c r="B56" s="204" t="str">
        <x:v>UBS Group</x:v>
      </x:c>
      <x:c r="C56" s="204" t="str">
        <x:v>UBS</x:v>
      </x:c>
      <x:c r="D56" s="204" t="str">
        <x:v>Banks</x:v>
      </x:c>
      <x:c r="E56" s="204" t="str">
        <x:v>P2</x:v>
      </x:c>
      <x:c r="F56" s="204" t="str">
        <x:v>Development</x:v>
      </x:c>
      <x:c r="G56" s="204" t="str">
        <x:v>DEEP REVIEW AVAILABLE</x:v>
      </x:c>
      <x:c r="H56" s="204" t="str">
        <x:v>PASS</x:v>
      </x:c>
      <x:c r="I56" s="204" t="str">
        <x:v>WATCH</x:v>
      </x:c>
      <x:c r="J56" s="204" t="str">
        <x:v>PASS</x:v>
      </x:c>
      <x:c r="K56" s="204" t="str">
        <x:v>WATCH</x:v>
      </x:c>
      <x:c r="L56" s="204" t="str">
        <x:v>WATCH</x:v>
      </x:c>
      <x:c r="M56" s="204" t="str">
        <x:v>WATCH</x:v>
      </x:c>
      <x:c r="N56" s="204" t="str">
        <x:v>WATCH</x:v>
      </x:c>
      <x:c r="O56" s="204" t="str">
        <x:v>WATCH</x:v>
      </x:c>
      <x:c r="P56" s="204" t="str">
        <x:v>PASS</x:v>
      </x:c>
      <x:c r="Q56" s="204" t="str">
        <x:v>WATCH</x:v>
      </x:c>
      <x:c r="R56" s="204" t="str">
        <x:v>WATCH</x:v>
      </x:c>
      <x:c r="S56" s="204" t="str">
        <x:v>WATCH</x:v>
      </x:c>
      <x:c r="T56" s="204" t="str">
        <x:v>WATCH-CAPPED</x:v>
      </x:c>
      <x:c r="U56" s="204" t="str">
        <x:v>Swiss capital end-state, Credit Suisse tail losses and post-integration cost/fee durability</x:v>
      </x:c>
      <x:c r="V56" s="204" t="str">
        <x:v>WATCH — require final Swiss capital rules, legacy-risk runoff and recurring wealth economics</x:v>
      </x:c>
      <x:c r="W56" s="204"/>
      <x:c r="X56" s="204" t="str">
        <x:v>2026-09-02</x:v>
      </x:c>
    </x:row>
    <x:row r="57">
      <x:c r="A57" s="204" t="str">
        <x:v>ARG-053</x:v>
      </x:c>
      <x:c r="B57" s="204" t="str">
        <x:v>Munich Re</x:v>
      </x:c>
      <x:c r="C57" s="204" t="str">
        <x:v>MUV2</x:v>
      </x:c>
      <x:c r="D57" s="204" t="str">
        <x:v>Insurance</x:v>
      </x:c>
      <x:c r="E57" s="204" t="str">
        <x:v>P2</x:v>
      </x:c>
      <x:c r="F57" s="204" t="str">
        <x:v>Development</x:v>
      </x:c>
      <x:c r="G57" s="204" t="str">
        <x:v>DEEP REVIEW AVAILABLE</x:v>
      </x:c>
      <x:c r="H57" s="204" t="str">
        <x:v>PASS</x:v>
      </x:c>
      <x:c r="I57" s="204" t="str">
        <x:v>WATCH</x:v>
      </x:c>
      <x:c r="J57" s="204" t="str">
        <x:v>PASS</x:v>
      </x:c>
      <x:c r="K57" s="204" t="str">
        <x:v>WATCH</x:v>
      </x:c>
      <x:c r="L57" s="204" t="str">
        <x:v>PASS</x:v>
      </x:c>
      <x:c r="M57" s="204" t="str">
        <x:v>PASS</x:v>
      </x:c>
      <x:c r="N57" s="204" t="str">
        <x:v>PASS</x:v>
      </x:c>
      <x:c r="O57" s="204" t="str">
        <x:v>WATCH</x:v>
      </x:c>
      <x:c r="P57" s="204" t="str">
        <x:v>PASS</x:v>
      </x:c>
      <x:c r="Q57" s="204" t="str">
        <x:v>WATCH</x:v>
      </x:c>
      <x:c r="R57" s="204" t="str">
        <x:v>PASS</x:v>
      </x:c>
      <x:c r="S57" s="204" t="str">
        <x:v>WATCH</x:v>
      </x:c>
      <x:c r="T57" s="204" t="str">
        <x:v>WATCH-CAPPED</x:v>
      </x:c>
      <x:c r="U57" s="204" t="str">
        <x:v>Normalized major-loss load, reserve conservatism and renewal-price adequacy</x:v>
      </x:c>
      <x:c r="V57" s="204" t="str">
        <x:v>WATCH — normalize catastrophe, reserve and investment results across a full insurance cycle</x:v>
      </x:c>
      <x:c r="W57" s="204"/>
      <x:c r="X57" s="204" t="str">
        <x:v>2026-09-02</x:v>
      </x:c>
    </x:row>
    <x:row r="58">
      <x:c r="A58" s="204" t="str">
        <x:v>ARG-054</x:v>
      </x:c>
      <x:c r="B58" s="204" t="str">
        <x:v>Eli Lilly</x:v>
      </x:c>
      <x:c r="C58" s="204" t="str">
        <x:v>LLY</x:v>
      </x:c>
      <x:c r="D58" s="204" t="str">
        <x:v>Healthcare &amp; Biopharma</x:v>
      </x:c>
      <x:c r="E58" s="204" t="str">
        <x:v>P2</x:v>
      </x:c>
      <x:c r="F58" s="204" t="str">
        <x:v>Development</x:v>
      </x:c>
      <x:c r="G58" s="204" t="str">
        <x:v>DEEP REVIEW AVAILABLE</x:v>
      </x:c>
      <x:c r="H58" s="204" t="str">
        <x:v>PASS</x:v>
      </x:c>
      <x:c r="I58" s="204" t="str">
        <x:v>PASS</x:v>
      </x:c>
      <x:c r="J58" s="204" t="str">
        <x:v>PASS</x:v>
      </x:c>
      <x:c r="K58" s="204" t="str">
        <x:v>WATCH</x:v>
      </x:c>
      <x:c r="L58" s="204" t="str">
        <x:v>WATCH</x:v>
      </x:c>
      <x:c r="M58" s="204" t="str">
        <x:v>PASS</x:v>
      </x:c>
      <x:c r="N58" s="204" t="str">
        <x:v>PASS</x:v>
      </x:c>
      <x:c r="O58" s="204" t="str">
        <x:v>FAIL</x:v>
      </x:c>
      <x:c r="P58" s="204" t="str">
        <x:v>PASS</x:v>
      </x:c>
      <x:c r="Q58" s="204" t="str">
        <x:v>FAIL</x:v>
      </x:c>
      <x:c r="R58" s="204" t="str">
        <x:v>WATCH</x:v>
      </x:c>
      <x:c r="S58" s="204" t="str">
        <x:v>FAIL</x:v>
      </x:c>
      <x:c r="T58" s="204" t="str">
        <x:v>BLOCKED - FAIL</x:v>
      </x:c>
      <x:c r="U58" s="204" t="str">
        <x:v>Net-price durability, product concentration and cohort returns on manufacturing plus seven acquisitions</x:v>
      </x:c>
      <x:c r="V58" s="204" t="str">
        <x:v>WAIT FOR PRICE — require concentration, net-price and acquisition/capacity returns in a probability-weighted value range</x:v>
      </x:c>
      <x:c r="W58" s="204"/>
      <x:c r="X58" s="204" t="str">
        <x:v>2026-09-02</x:v>
      </x:c>
    </x:row>
    <x:row r="59">
      <x:c r="A59" s="204" t="str">
        <x:v>ARG-055</x:v>
      </x:c>
      <x:c r="B59" s="204" t="str">
        <x:v>Costco Wholesale</x:v>
      </x:c>
      <x:c r="C59" s="204" t="str">
        <x:v>COST</x:v>
      </x:c>
      <x:c r="D59" s="204" t="str">
        <x:v>Consumer</x:v>
      </x:c>
      <x:c r="E59" s="204" t="str">
        <x:v>P2</x:v>
      </x:c>
      <x:c r="F59" s="204" t="str">
        <x:v>Development</x:v>
      </x:c>
      <x:c r="G59" s="204" t="str">
        <x:v>DEEP REVIEW AVAILABLE</x:v>
      </x:c>
      <x:c r="H59" s="204" t="str">
        <x:v>PASS</x:v>
      </x:c>
      <x:c r="I59" s="204" t="str">
        <x:v>PASS</x:v>
      </x:c>
      <x:c r="J59" s="204" t="str">
        <x:v>PASS</x:v>
      </x:c>
      <x:c r="K59" s="204" t="str">
        <x:v>PASS</x:v>
      </x:c>
      <x:c r="L59" s="204" t="str">
        <x:v>PASS</x:v>
      </x:c>
      <x:c r="M59" s="204" t="str">
        <x:v>PASS</x:v>
      </x:c>
      <x:c r="N59" s="204" t="str">
        <x:v>PASS</x:v>
      </x:c>
      <x:c r="O59" s="204" t="str">
        <x:v>FAIL</x:v>
      </x:c>
      <x:c r="P59" s="204" t="str">
        <x:v>PASS</x:v>
      </x:c>
      <x:c r="Q59" s="204" t="str">
        <x:v>FAIL</x:v>
      </x:c>
      <x:c r="R59" s="204" t="str">
        <x:v>PASS</x:v>
      </x:c>
      <x:c r="S59" s="204" t="str">
        <x:v>FAIL</x:v>
      </x:c>
      <x:c r="T59" s="204" t="str">
        <x:v>BLOCKED - FAIL</x:v>
      </x:c>
      <x:c r="U59" s="204" t="str">
        <x:v>Conservative entry value using normalized warehouse returns, wage/shrink and capex</x:v>
      </x:c>
      <x:c r="V59" s="204" t="str">
        <x:v>WAIT FOR PRICE — preserve the franchise assessment but require a materially lower expectation burden</x:v>
      </x:c>
      <x:c r="W59" s="204"/>
      <x:c r="X59" s="204" t="str">
        <x:v>2026-09-02</x:v>
      </x:c>
    </x:row>
    <x:row r="60">
      <x:c r="A60" s="204" t="str">
        <x:v>ARG-056</x:v>
      </x:c>
      <x:c r="B60" s="204" t="str">
        <x:v>Caterpillar</x:v>
      </x:c>
      <x:c r="C60" s="204" t="str">
        <x:v>CAT</x:v>
      </x:c>
      <x:c r="D60" s="204" t="str">
        <x:v>Industrials &amp; Defense</x:v>
      </x:c>
      <x:c r="E60" s="204" t="str">
        <x:v>P2</x:v>
      </x:c>
      <x:c r="F60" s="204" t="str">
        <x:v>Development</x:v>
      </x:c>
      <x:c r="G60" s="204" t="str">
        <x:v>DEEP REVIEW AVAILABLE</x:v>
      </x:c>
      <x:c r="H60" s="204" t="str">
        <x:v>PASS</x:v>
      </x:c>
      <x:c r="I60" s="204" t="str">
        <x:v>WATCH</x:v>
      </x:c>
      <x:c r="J60" s="204" t="str">
        <x:v>PASS</x:v>
      </x:c>
      <x:c r="K60" s="204" t="str">
        <x:v>WATCH</x:v>
      </x:c>
      <x:c r="L60" s="204" t="str">
        <x:v>PASS</x:v>
      </x:c>
      <x:c r="M60" s="204" t="str">
        <x:v>PASS</x:v>
      </x:c>
      <x:c r="N60" s="204" t="str">
        <x:v>PASS</x:v>
      </x:c>
      <x:c r="O60" s="204" t="str">
        <x:v>FAIL</x:v>
      </x:c>
      <x:c r="P60" s="204" t="str">
        <x:v>PASS</x:v>
      </x:c>
      <x:c r="Q60" s="204" t="str">
        <x:v>FAIL</x:v>
      </x:c>
      <x:c r="R60" s="204" t="str">
        <x:v>PASS</x:v>
      </x:c>
      <x:c r="S60" s="204" t="str">
        <x:v>FAIL</x:v>
      </x:c>
      <x:c r="T60" s="204" t="str">
        <x:v>BLOCKED - FAIL</x:v>
      </x:c>
      <x:c r="U60" s="204" t="str">
        <x:v>Mid-cycle segment margins, dealer inventory quality and Cat Financial stress losses</x:v>
      </x:c>
      <x:c r="V60" s="204" t="str">
        <x:v>WAIT FOR PRICE — underwrite trough dealer inventory, finance losses and mid-cycle margins</x:v>
      </x:c>
      <x:c r="W60" s="204"/>
      <x:c r="X60" s="204" t="str">
        <x:v>2026-09-02</x:v>
      </x:c>
    </x:row>
    <x:row r="61">
      <x:c r="A61" s="204" t="str">
        <x:v>ARG-057</x:v>
      </x:c>
      <x:c r="B61" s="204" t="str">
        <x:v>BHP Group</x:v>
      </x:c>
      <x:c r="C61" s="204" t="str">
        <x:v>BHP</x:v>
      </x:c>
      <x:c r="D61" s="204" t="str">
        <x:v>Materials &amp; Mining</x:v>
      </x:c>
      <x:c r="E61" s="204" t="str">
        <x:v>P2</x:v>
      </x:c>
      <x:c r="F61" s="204" t="str">
        <x:v>Development</x:v>
      </x:c>
      <x:c r="G61" s="204" t="str">
        <x:v>DEEP REVIEW AVAILABLE</x:v>
      </x:c>
      <x:c r="H61" s="204" t="str">
        <x:v>PASS</x:v>
      </x:c>
      <x:c r="I61" s="204" t="str">
        <x:v>WATCH</x:v>
      </x:c>
      <x:c r="J61" s="204" t="str">
        <x:v>PASS</x:v>
      </x:c>
      <x:c r="K61" s="204" t="str">
        <x:v>WATCH</x:v>
      </x:c>
      <x:c r="L61" s="204" t="str">
        <x:v>WATCH</x:v>
      </x:c>
      <x:c r="M61" s="204" t="str">
        <x:v>PASS</x:v>
      </x:c>
      <x:c r="N61" s="204" t="str">
        <x:v>PASS</x:v>
      </x:c>
      <x:c r="O61" s="204" t="str">
        <x:v>WATCH</x:v>
      </x:c>
      <x:c r="P61" s="204" t="str">
        <x:v>PASS</x:v>
      </x:c>
      <x:c r="Q61" s="204" t="str">
        <x:v>WATCH</x:v>
      </x:c>
      <x:c r="R61" s="204" t="str">
        <x:v>PASS</x:v>
      </x:c>
      <x:c r="S61" s="204" t="str">
        <x:v>WATCH</x:v>
      </x:c>
      <x:c r="T61" s="204" t="str">
        <x:v>WATCH-CAPPED</x:v>
      </x:c>
      <x:c r="U61" s="204" t="str">
        <x:v>Long-run price deck, Jansen/copper-project returns and jurisdiction-adjusted liabilities</x:v>
      </x:c>
      <x:c r="V61" s="204" t="str">
        <x:v>WATCH — use long-run copper/iron-ore prices and full project/tailings capital</x:v>
      </x:c>
      <x:c r="W61" s="204"/>
      <x:c r="X61" s="204" t="str">
        <x:v>2026-09-02</x:v>
      </x:c>
    </x:row>
    <x:row r="62">
      <x:c r="A62" s="204" t="inlineStr">
        <x:is>
          <x:t xml:space="preserve">ARG-058</x:t>
        </x:is>
      </x:c>
      <x:c r="B62" s="204" t="inlineStr">
        <x:is>
          <x:t xml:space="preserve">Prologis</x:t>
        </x:is>
      </x:c>
      <x:c r="C62" s="204" t="inlineStr">
        <x:is>
          <x:t xml:space="preserve">PLD</x:t>
        </x:is>
      </x:c>
      <x:c r="D62" s="204" t="inlineStr">
        <x:is>
          <x:t xml:space="preserve">Real Estate &amp; Telecom</x:t>
        </x:is>
      </x:c>
      <x:c r="E62" s="204" t="inlineStr">
        <x:is>
          <x:t xml:space="preserve">P3</x:t>
        </x:is>
      </x:c>
      <x:c r="F62" s="204" t="inlineStr">
        <x:is>
          <x:t xml:space="preserve">Development</x:t>
        </x:is>
      </x:c>
      <x:c r="G62" s="204" t="inlineStr">
        <x:is>
          <x:t xml:space="preserve">SCAFFOLD / EVIDENCE PENDING</x:t>
        </x:is>
      </x:c>
      <x:c r="H62" s="204" t="inlineStr">
        <x:is>
          <x:t xml:space="preserve">UNKNOWN</x:t>
        </x:is>
      </x:c>
      <x:c r="I62" s="204" t="inlineStr">
        <x:is>
          <x:t xml:space="preserve">UNKNOWN</x:t>
        </x:is>
      </x:c>
      <x:c r="J62" s="204" t="inlineStr">
        <x:is>
          <x:t xml:space="preserve">UNKNOWN</x:t>
        </x:is>
      </x:c>
      <x:c r="K62" s="204" t="inlineStr">
        <x:is>
          <x:t xml:space="preserve">UNKNOWN</x:t>
        </x:is>
      </x:c>
      <x:c r="L62" s="204" t="inlineStr">
        <x:is>
          <x:t xml:space="preserve">UNKNOWN</x:t>
        </x:is>
      </x:c>
      <x:c r="M62" s="204" t="inlineStr">
        <x:is>
          <x:t xml:space="preserve">UNKNOWN</x:t>
        </x:is>
      </x:c>
      <x:c r="N62" s="204" t="inlineStr">
        <x:is>
          <x:t xml:space="preserve">UNKNOWN</x:t>
        </x:is>
      </x:c>
      <x:c r="O62" s="204" t="inlineStr">
        <x:is>
          <x:t xml:space="preserve">UNKNOWN</x:t>
        </x:is>
      </x:c>
      <x:c r="P62" s="204" t="inlineStr">
        <x:is>
          <x:t xml:space="preserve">UNKNOWN</x:t>
        </x:is>
      </x:c>
      <x:c r="Q62" s="204" t="inlineStr">
        <x:is>
          <x:t xml:space="preserve">UNKNOWN</x:t>
        </x:is>
      </x:c>
      <x:c r="R62" s="204" t="inlineStr">
        <x:is>
          <x:t xml:space="preserve">UNKNOWN</x:t>
        </x:is>
      </x:c>
      <x:c r="S62" s="204" t="inlineStr">
        <x:is>
          <x:t xml:space="preserve">UNKNOWN</x:t>
        </x:is>
      </x:c>
      <x:c r="T62" s="204" t="str">
        <x:f>IF(COUNTIF(H62:S62,"FAIL")&gt;0,"BLOCKED - FAIL",IF(COUNTIF(H62:S62,"UNKNOWN")&gt;0,"UNVALIDATED",IF(COUNTIF(H62:S62,"WATCH")&gt;=4,"WATCH-CAPPED","READY")))</x:f>
        <x:v>UNVALIDATED</x:v>
      </x:c>
      <x:c r="U62" s="204" t="inlineStr">
        <x:is>
          <x:t xml:space="preserve">Evidence pack and 10 historical cutoffs not yet completed</x:t>
        </x:is>
      </x:c>
      <x:c r="V62" s="204" t="inlineStr">
        <x:is>
          <x:t xml:space="preserve">AFFO/FCF after capex, leverage, occupancy/churn, refinancing</x:t>
        </x:is>
      </x:c>
      <x:c r="W62" s="204" t="n"/>
      <x:c r="X62" s="204" t="inlineStr">
        <x:is>
          <x:t xml:space="preserve">2026-09-02</x:t>
        </x:is>
      </x:c>
    </x:row>
    <x:row r="63">
      <x:c r="A63" s="204" t="inlineStr">
        <x:is>
          <x:t xml:space="preserve">ARG-059</x:t>
        </x:is>
      </x:c>
      <x:c r="B63" s="204" t="inlineStr">
        <x:is>
          <x:t xml:space="preserve">Union Pacific</x:t>
        </x:is>
      </x:c>
      <x:c r="C63" s="204" t="inlineStr">
        <x:is>
          <x:t xml:space="preserve">UNP</x:t>
        </x:is>
      </x:c>
      <x:c r="D63" s="204" t="inlineStr">
        <x:is>
          <x:t xml:space="preserve">Transportation</x:t>
        </x:is>
      </x:c>
      <x:c r="E63" s="204" t="inlineStr">
        <x:is>
          <x:t xml:space="preserve">P3</x:t>
        </x:is>
      </x:c>
      <x:c r="F63" s="204" t="inlineStr">
        <x:is>
          <x:t xml:space="preserve">Development</x:t>
        </x:is>
      </x:c>
      <x:c r="G63" s="204" t="inlineStr">
        <x:is>
          <x:t xml:space="preserve">SCAFFOLD / EVIDENCE PENDING</x:t>
        </x:is>
      </x:c>
      <x:c r="H63" s="204" t="inlineStr">
        <x:is>
          <x:t xml:space="preserve">UNKNOWN</x:t>
        </x:is>
      </x:c>
      <x:c r="I63" s="204" t="inlineStr">
        <x:is>
          <x:t xml:space="preserve">UNKNOWN</x:t>
        </x:is>
      </x:c>
      <x:c r="J63" s="204" t="inlineStr">
        <x:is>
          <x:t xml:space="preserve">UNKNOWN</x:t>
        </x:is>
      </x:c>
      <x:c r="K63" s="204" t="inlineStr">
        <x:is>
          <x:t xml:space="preserve">UNKNOWN</x:t>
        </x:is>
      </x:c>
      <x:c r="L63" s="204" t="inlineStr">
        <x:is>
          <x:t xml:space="preserve">UNKNOWN</x:t>
        </x:is>
      </x:c>
      <x:c r="M63" s="204" t="inlineStr">
        <x:is>
          <x:t xml:space="preserve">UNKNOWN</x:t>
        </x:is>
      </x:c>
      <x:c r="N63" s="204" t="inlineStr">
        <x:is>
          <x:t xml:space="preserve">UNKNOWN</x:t>
        </x:is>
      </x:c>
      <x:c r="O63" s="204" t="inlineStr">
        <x:is>
          <x:t xml:space="preserve">UNKNOWN</x:t>
        </x:is>
      </x:c>
      <x:c r="P63" s="204" t="inlineStr">
        <x:is>
          <x:t xml:space="preserve">UNKNOWN</x:t>
        </x:is>
      </x:c>
      <x:c r="Q63" s="204" t="inlineStr">
        <x:is>
          <x:t xml:space="preserve">UNKNOWN</x:t>
        </x:is>
      </x:c>
      <x:c r="R63" s="204" t="inlineStr">
        <x:is>
          <x:t xml:space="preserve">UNKNOWN</x:t>
        </x:is>
      </x:c>
      <x:c r="S63" s="204" t="inlineStr">
        <x:is>
          <x:t xml:space="preserve">UNKNOWN</x:t>
        </x:is>
      </x:c>
      <x:c r="T63" s="204" t="str">
        <x:f>IF(COUNTIF(H63:S63,"FAIL")&gt;0,"BLOCKED - FAIL",IF(COUNTIF(H63:S63,"UNKNOWN")&gt;0,"UNVALIDATED",IF(COUNTIF(H63:S63,"WATCH")&gt;=4,"WATCH-CAPPED","READY")))</x:f>
        <x:v>UNVALIDATED</x:v>
      </x:c>
      <x:c r="U63" s="204" t="inlineStr">
        <x:is>
          <x:t xml:space="preserve">Evidence pack and 10 historical cutoffs not yet completed</x:t>
        </x:is>
      </x:c>
      <x:c r="V63" s="204" t="inlineStr">
        <x:is>
          <x:t xml:space="preserve">Yield, load factor, fuel/labor, capex, cyclicality</x:t>
        </x:is>
      </x:c>
      <x:c r="W63" s="204" t="n"/>
      <x:c r="X63" s="204" t="inlineStr">
        <x:is>
          <x:t xml:space="preserve">2026-09-02</x:t>
        </x:is>
      </x:c>
    </x:row>
    <x:row r="64">
      <x:c r="A64" s="204" t="inlineStr">
        <x:is>
          <x:t xml:space="preserve">ARG-060</x:t>
        </x:is>
      </x:c>
      <x:c r="B64" s="204" t="inlineStr">
        <x:is>
          <x:t xml:space="preserve">Palo Alto Networks</x:t>
        </x:is>
      </x:c>
      <x:c r="C64" s="204" t="inlineStr">
        <x:is>
          <x:t xml:space="preserve">PANW</x:t>
        </x:is>
      </x:c>
      <x:c r="D64" s="204" t="inlineStr">
        <x:is>
          <x:t xml:space="preserve">Cybersecurity</x:t>
        </x:is>
      </x:c>
      <x:c r="E64" s="204" t="inlineStr">
        <x:is>
          <x:t xml:space="preserve">P3</x:t>
        </x:is>
      </x:c>
      <x:c r="F64" s="204" t="inlineStr">
        <x:is>
          <x:t xml:space="preserve">Development</x:t>
        </x:is>
      </x:c>
      <x:c r="G64" s="204" t="inlineStr">
        <x:is>
          <x:t xml:space="preserve">SCAFFOLD / EVIDENCE PENDING</x:t>
        </x:is>
      </x:c>
      <x:c r="H64" s="204" t="inlineStr">
        <x:is>
          <x:t xml:space="preserve">UNKNOWN</x:t>
        </x:is>
      </x:c>
      <x:c r="I64" s="204" t="inlineStr">
        <x:is>
          <x:t xml:space="preserve">UNKNOWN</x:t>
        </x:is>
      </x:c>
      <x:c r="J64" s="204" t="inlineStr">
        <x:is>
          <x:t xml:space="preserve">UNKNOWN</x:t>
        </x:is>
      </x:c>
      <x:c r="K64" s="204" t="inlineStr">
        <x:is>
          <x:t xml:space="preserve">UNKNOWN</x:t>
        </x:is>
      </x:c>
      <x:c r="L64" s="204" t="inlineStr">
        <x:is>
          <x:t xml:space="preserve">UNKNOWN</x:t>
        </x:is>
      </x:c>
      <x:c r="M64" s="204" t="inlineStr">
        <x:is>
          <x:t xml:space="preserve">UNKNOWN</x:t>
        </x:is>
      </x:c>
      <x:c r="N64" s="204" t="inlineStr">
        <x:is>
          <x:t xml:space="preserve">UNKNOWN</x:t>
        </x:is>
      </x:c>
      <x:c r="O64" s="204" t="inlineStr">
        <x:is>
          <x:t xml:space="preserve">UNKNOWN</x:t>
        </x:is>
      </x:c>
      <x:c r="P64" s="204" t="inlineStr">
        <x:is>
          <x:t xml:space="preserve">UNKNOWN</x:t>
        </x:is>
      </x:c>
      <x:c r="Q64" s="204" t="inlineStr">
        <x:is>
          <x:t xml:space="preserve">UNKNOWN</x:t>
        </x:is>
      </x:c>
      <x:c r="R64" s="204" t="inlineStr">
        <x:is>
          <x:t xml:space="preserve">UNKNOWN</x:t>
        </x:is>
      </x:c>
      <x:c r="S64" s="204" t="inlineStr">
        <x:is>
          <x:t xml:space="preserve">UNKNOWN</x:t>
        </x:is>
      </x:c>
      <x:c r="T64" s="204" t="str">
        <x:f>IF(COUNTIF(H64:S64,"FAIL")&gt;0,"BLOCKED - FAIL",IF(COUNTIF(H64:S64,"UNKNOWN")&gt;0,"UNVALIDATED",IF(COUNTIF(H64:S64,"WATCH")&gt;=4,"WATCH-CAPPED","READY")))</x:f>
        <x:v>UNVALIDATED</x:v>
      </x:c>
      <x:c r="U64" s="204" t="inlineStr">
        <x:is>
          <x:t xml:space="preserve">Evidence pack and 10 historical cutoffs not yet completed</x:t>
        </x:is>
      </x:c>
      <x:c r="V64" s="204" t="inlineStr">
        <x:is>
          <x:t xml:space="preserve">Platform consolidation, net retention, SBC, cash conversion</x:t>
        </x:is>
      </x:c>
      <x:c r="W64" s="204" t="n"/>
      <x:c r="X64" s="204" t="inlineStr">
        <x:is>
          <x:t xml:space="preserve">2026-09-02</x:t>
        </x:is>
      </x:c>
    </x:row>
    <x:row r="65">
      <x:c r="A65" s="204" t="inlineStr">
        <x:is>
          <x:t xml:space="preserve">ARG-061</x:t>
        </x:is>
      </x:c>
      <x:c r="B65" s="204" t="inlineStr">
        <x:is>
          <x:t xml:space="preserve">Scorpio Tankers</x:t>
        </x:is>
      </x:c>
      <x:c r="C65" s="204" t="inlineStr">
        <x:is>
          <x:t xml:space="preserve">STNG</x:t>
        </x:is>
      </x:c>
      <x:c r="D65" s="204" t="inlineStr">
        <x:is>
          <x:t xml:space="preserve">Shipping</x:t>
        </x:is>
      </x:c>
      <x:c r="E65" s="204" t="inlineStr">
        <x:is>
          <x:t xml:space="preserve">P1</x:t>
        </x:is>
      </x:c>
      <x:c r="F65" s="204" t="inlineStr">
        <x:is>
          <x:t xml:space="preserve">Validation</x:t>
        </x:is>
      </x:c>
      <x:c r="G65" s="204" t="str">
        <x:v>DEEP REVIEW AVAILABLE</x:v>
      </x:c>
      <x:c r="H65" s="204" t="str">
        <x:v>PASS</x:v>
      </x:c>
      <x:c r="I65" s="204" t="str">
        <x:v>WATCH</x:v>
      </x:c>
      <x:c r="J65" s="204" t="str">
        <x:v>FAIL</x:v>
      </x:c>
      <x:c r="K65" s="204" t="str">
        <x:v>WATCH</x:v>
      </x:c>
      <x:c r="L65" s="204" t="str">
        <x:v>PASS</x:v>
      </x:c>
      <x:c r="M65" s="204" t="str">
        <x:v>PASS</x:v>
      </x:c>
      <x:c r="N65" s="204" t="str">
        <x:v>PASS</x:v>
      </x:c>
      <x:c r="O65" s="204" t="str">
        <x:v>WATCH</x:v>
      </x:c>
      <x:c r="P65" s="204" t="str">
        <x:v>PASS</x:v>
      </x:c>
      <x:c r="Q65" s="204" t="str">
        <x:v>WATCH</x:v>
      </x:c>
      <x:c r="R65" s="204" t="str">
        <x:v>WATCH</x:v>
      </x:c>
      <x:c r="S65" s="204" t="str">
        <x:v>WATCH</x:v>
      </x:c>
      <x:c r="T65" s="204" t="str">
        <x:f>IF(COUNTIF(H65:S65,"FAIL")&gt;0,"BLOCKED - FAIL",IF(COUNTIF(H65:S65,"UNKNOWN")&gt;0,"UNVALIDATED",IF(COUNTIF(H65:S65,"WATCH")&gt;=4,"WATCH-CAPPED","READY")))</x:f>
        <x:v>BLOCKED - FAIL</x:v>
      </x:c>
      <x:c r="U65" s="204" t="str">
        <x:v>Normalized product-tanker rates and post-deleveraging capital allocation</x:v>
      </x:c>
      <x:c r="V65" s="204" t="str">
        <x:v>SITUATIONAL ONLY — reward deleveraging; wait for normalized NAV/TCE protection</x:v>
      </x:c>
      <x:c r="W65" s="204" t="n"/>
      <x:c r="X65" s="204" t="str">
        <x:v>2026-09-02</x:v>
      </x:c>
    </x:row>
    <x:row r="66">
      <x:c r="A66" s="204" t="str">
        <x:v>ARG-062</x:v>
      </x:c>
      <x:c r="B66" s="204" t="str">
        <x:v>HSBC Holdings</x:v>
      </x:c>
      <x:c r="C66" s="204" t="str">
        <x:v>HSBC</x:v>
      </x:c>
      <x:c r="D66" s="204" t="str">
        <x:v>Banks</x:v>
      </x:c>
      <x:c r="E66" s="204" t="str">
        <x:v>P2</x:v>
      </x:c>
      <x:c r="F66" s="204" t="str">
        <x:v>Validation</x:v>
      </x:c>
      <x:c r="G66" s="204" t="str">
        <x:v>DEEP REVIEW AVAILABLE</x:v>
      </x:c>
      <x:c r="H66" s="204" t="str">
        <x:v>PASS</x:v>
      </x:c>
      <x:c r="I66" s="204" t="str">
        <x:v>WATCH</x:v>
      </x:c>
      <x:c r="J66" s="204" t="str">
        <x:v>PASS</x:v>
      </x:c>
      <x:c r="K66" s="204" t="str">
        <x:v>WATCH</x:v>
      </x:c>
      <x:c r="L66" s="204" t="str">
        <x:v>WATCH</x:v>
      </x:c>
      <x:c r="M66" s="204" t="str">
        <x:v>WATCH</x:v>
      </x:c>
      <x:c r="N66" s="204" t="str">
        <x:v>WATCH</x:v>
      </x:c>
      <x:c r="O66" s="204" t="str">
        <x:v>WATCH</x:v>
      </x:c>
      <x:c r="P66" s="204" t="str">
        <x:v>PASS</x:v>
      </x:c>
      <x:c r="Q66" s="204" t="str">
        <x:v>WATCH</x:v>
      </x:c>
      <x:c r="R66" s="204" t="str">
        <x:v>WATCH</x:v>
      </x:c>
      <x:c r="S66" s="204" t="str">
        <x:v>WATCH</x:v>
      </x:c>
      <x:c r="T66" s="204" t="str">
        <x:v>WATCH-CAPPED</x:v>
      </x:c>
      <x:c r="U66" s="204" t="str">
        <x:v>Hang Seng integration return, China/HK credit loss and normalized banking NII</x:v>
      </x:c>
      <x:c r="V66" s="204" t="str">
        <x:v>WATCH — require Hang Seng capital returns and China/HK credit stress within CET1</x:v>
      </x:c>
      <x:c r="W66" s="204"/>
      <x:c r="X66" s="204" t="str">
        <x:v>2026-09-02</x:v>
      </x:c>
    </x:row>
    <x:row r="67">
      <x:c r="A67" s="204" t="str">
        <x:v>ARG-063</x:v>
      </x:c>
      <x:c r="B67" s="204" t="str">
        <x:v>Allianz</x:v>
      </x:c>
      <x:c r="C67" s="204" t="str">
        <x:v>ALV.DE</x:v>
      </x:c>
      <x:c r="D67" s="204" t="str">
        <x:v>Insurance</x:v>
      </x:c>
      <x:c r="E67" s="204" t="str">
        <x:v>P2</x:v>
      </x:c>
      <x:c r="F67" s="204" t="str">
        <x:v>Validation</x:v>
      </x:c>
      <x:c r="G67" s="204" t="str">
        <x:v>DEEP REVIEW AVAILABLE</x:v>
      </x:c>
      <x:c r="H67" s="204" t="str">
        <x:v>PASS</x:v>
      </x:c>
      <x:c r="I67" s="204" t="str">
        <x:v>WATCH</x:v>
      </x:c>
      <x:c r="J67" s="204" t="str">
        <x:v>PASS</x:v>
      </x:c>
      <x:c r="K67" s="204" t="str">
        <x:v>WATCH</x:v>
      </x:c>
      <x:c r="L67" s="204" t="str">
        <x:v>PASS</x:v>
      </x:c>
      <x:c r="M67" s="204" t="str">
        <x:v>PASS</x:v>
      </x:c>
      <x:c r="N67" s="204" t="str">
        <x:v>PASS</x:v>
      </x:c>
      <x:c r="O67" s="204" t="str">
        <x:v>WATCH</x:v>
      </x:c>
      <x:c r="P67" s="204" t="str">
        <x:v>PASS</x:v>
      </x:c>
      <x:c r="Q67" s="204" t="str">
        <x:v>WATCH</x:v>
      </x:c>
      <x:c r="R67" s="204" t="str">
        <x:v>PASS</x:v>
      </x:c>
      <x:c r="S67" s="204" t="str">
        <x:v>WATCH</x:v>
      </x:c>
      <x:c r="T67" s="204" t="str">
        <x:v>WATCH-CAPPED</x:v>
      </x:c>
      <x:c r="U67" s="204" t="str">
        <x:v>Normalized combined ratio, reserve adequacy and fee/spread sensitivity</x:v>
      </x:c>
      <x:c r="V67" s="204" t="str">
        <x:v>WATCH — normalize catastrophe, reserve, investment and asset-management earnings</x:v>
      </x:c>
      <x:c r="W67" s="204"/>
      <x:c r="X67" s="204" t="str">
        <x:v>2026-09-02</x:v>
      </x:c>
    </x:row>
    <x:row r="68">
      <x:c r="A68" s="204" t="str">
        <x:v>ARG-064</x:v>
      </x:c>
      <x:c r="B68" s="204" t="str">
        <x:v>Novo Nordisk</x:v>
      </x:c>
      <x:c r="C68" s="204" t="str">
        <x:v>NVO</x:v>
      </x:c>
      <x:c r="D68" s="204" t="str">
        <x:v>Healthcare &amp; Biopharma</x:v>
      </x:c>
      <x:c r="E68" s="204" t="str">
        <x:v>P2</x:v>
      </x:c>
      <x:c r="F68" s="204" t="str">
        <x:v>Validation</x:v>
      </x:c>
      <x:c r="G68" s="204" t="str">
        <x:v>DEEP REVIEW AVAILABLE</x:v>
      </x:c>
      <x:c r="H68" s="204" t="str">
        <x:v>PASS</x:v>
      </x:c>
      <x:c r="I68" s="204" t="str">
        <x:v>WATCH</x:v>
      </x:c>
      <x:c r="J68" s="204" t="str">
        <x:v>PASS</x:v>
      </x:c>
      <x:c r="K68" s="204" t="str">
        <x:v>WATCH</x:v>
      </x:c>
      <x:c r="L68" s="204" t="str">
        <x:v>WATCH</x:v>
      </x:c>
      <x:c r="M68" s="204" t="str">
        <x:v>PASS</x:v>
      </x:c>
      <x:c r="N68" s="204" t="str">
        <x:v>PASS</x:v>
      </x:c>
      <x:c r="O68" s="204" t="str">
        <x:v>WATCH</x:v>
      </x:c>
      <x:c r="P68" s="204" t="str">
        <x:v>PASS</x:v>
      </x:c>
      <x:c r="Q68" s="204" t="str">
        <x:v>WATCH</x:v>
      </x:c>
      <x:c r="R68" s="204" t="str">
        <x:v>WATCH</x:v>
      </x:c>
      <x:c r="S68" s="204" t="str">
        <x:v>PASS</x:v>
      </x:c>
      <x:c r="T68" s="204" t="str">
        <x:v>WATCH-CAPPED</x:v>
      </x:c>
      <x:c r="U68" s="204" t="str">
        <x:v>US share/net price, oral cannibalization economics and post-impairment pipeline productivity</x:v>
      </x:c>
      <x:c r="V68" s="204" t="str">
        <x:v>PROVE REACCELERATION — require share, net-price, pipeline and owner-earnings recovery without adjustment dependence</x:v>
      </x:c>
      <x:c r="W68" s="204"/>
      <x:c r="X68" s="204" t="str">
        <x:v>2026-09-02</x:v>
      </x:c>
    </x:row>
    <x:row r="69">
      <x:c r="A69" s="204" t="inlineStr">
        <x:is>
          <x:t xml:space="preserve">ARG-065</x:t>
        </x:is>
      </x:c>
      <x:c r="B69" s="204" t="inlineStr">
        <x:is>
          <x:t xml:space="preserve">Johnson &amp; Johnson</x:t>
        </x:is>
      </x:c>
      <x:c r="C69" s="204" t="inlineStr">
        <x:is>
          <x:t xml:space="preserve">JNJ</x:t>
        </x:is>
      </x:c>
      <x:c r="D69" s="204" t="inlineStr">
        <x:is>
          <x:t xml:space="preserve">Healthcare &amp; Biopharma</x:t>
        </x:is>
      </x:c>
      <x:c r="E69" s="204" t="inlineStr">
        <x:is>
          <x:t xml:space="preserve">P3</x:t>
        </x:is>
      </x:c>
      <x:c r="F69" s="204" t="inlineStr">
        <x:is>
          <x:t xml:space="preserve">Validation</x:t>
        </x:is>
      </x:c>
      <x:c r="G69" s="204" t="inlineStr">
        <x:is>
          <x:t xml:space="preserve">SCAFFOLD / EVIDENCE PENDING</x:t>
        </x:is>
      </x:c>
      <x:c r="H69" s="204" t="inlineStr">
        <x:is>
          <x:t xml:space="preserve">UNKNOWN</x:t>
        </x:is>
      </x:c>
      <x:c r="I69" s="204" t="inlineStr">
        <x:is>
          <x:t xml:space="preserve">UNKNOWN</x:t>
        </x:is>
      </x:c>
      <x:c r="J69" s="204" t="inlineStr">
        <x:is>
          <x:t xml:space="preserve">UNKNOWN</x:t>
        </x:is>
      </x:c>
      <x:c r="K69" s="204" t="inlineStr">
        <x:is>
          <x:t xml:space="preserve">UNKNOWN</x:t>
        </x:is>
      </x:c>
      <x:c r="L69" s="204" t="inlineStr">
        <x:is>
          <x:t xml:space="preserve">UNKNOWN</x:t>
        </x:is>
      </x:c>
      <x:c r="M69" s="204" t="inlineStr">
        <x:is>
          <x:t xml:space="preserve">UNKNOWN</x:t>
        </x:is>
      </x:c>
      <x:c r="N69" s="204" t="inlineStr">
        <x:is>
          <x:t xml:space="preserve">UNKNOWN</x:t>
        </x:is>
      </x:c>
      <x:c r="O69" s="204" t="inlineStr">
        <x:is>
          <x:t xml:space="preserve">UNKNOWN</x:t>
        </x:is>
      </x:c>
      <x:c r="P69" s="204" t="inlineStr">
        <x:is>
          <x:t xml:space="preserve">UNKNOWN</x:t>
        </x:is>
      </x:c>
      <x:c r="Q69" s="204" t="inlineStr">
        <x:is>
          <x:t xml:space="preserve">UNKNOWN</x:t>
        </x:is>
      </x:c>
      <x:c r="R69" s="204" t="inlineStr">
        <x:is>
          <x:t xml:space="preserve">UNKNOWN</x:t>
        </x:is>
      </x:c>
      <x:c r="S69" s="204" t="inlineStr">
        <x:is>
          <x:t xml:space="preserve">UNKNOWN</x:t>
        </x:is>
      </x:c>
      <x:c r="T69" s="204" t="str">
        <x:f>IF(COUNTIF(H69:S69,"FAIL")&gt;0,"BLOCKED - FAIL",IF(COUNTIF(H69:S69,"UNKNOWN")&gt;0,"UNVALIDATED",IF(COUNTIF(H69:S69,"WATCH")&gt;=4,"WATCH-CAPPED","READY")))</x:f>
        <x:v>UNVALIDATED</x:v>
      </x:c>
      <x:c r="U69" s="204" t="inlineStr">
        <x:is>
          <x:t xml:space="preserve">Evidence pack and 10 historical cutoffs not yet completed</x:t>
        </x:is>
      </x:c>
      <x:c r="V69" s="204" t="inlineStr">
        <x:is>
          <x:t xml:space="preserve">Patient access, safety, probability-adjusted pipeline, concentration</x:t>
        </x:is>
      </x:c>
      <x:c r="W69" s="204" t="n"/>
      <x:c r="X69" s="204" t="inlineStr">
        <x:is>
          <x:t xml:space="preserve">2026-09-02</x:t>
        </x:is>
      </x:c>
    </x:row>
    <x:row r="70">
      <x:c r="A70" s="204" t="str">
        <x:v>ARG-066</x:v>
      </x:c>
      <x:c r="B70" s="204" t="str">
        <x:v>NIKE</x:v>
      </x:c>
      <x:c r="C70" s="204" t="str">
        <x:v>NKE</x:v>
      </x:c>
      <x:c r="D70" s="204" t="str">
        <x:v>Consumer</x:v>
      </x:c>
      <x:c r="E70" s="204" t="str">
        <x:v>P2</x:v>
      </x:c>
      <x:c r="F70" s="204" t="str">
        <x:v>Validation</x:v>
      </x:c>
      <x:c r="G70" s="204" t="str">
        <x:v>DEEP REVIEW AVAILABLE</x:v>
      </x:c>
      <x:c r="H70" s="204" t="str">
        <x:v>PASS</x:v>
      </x:c>
      <x:c r="I70" s="204" t="str">
        <x:v>WATCH</x:v>
      </x:c>
      <x:c r="J70" s="204" t="str">
        <x:v>WATCH</x:v>
      </x:c>
      <x:c r="K70" s="204" t="str">
        <x:v>WATCH</x:v>
      </x:c>
      <x:c r="L70" s="204" t="str">
        <x:v>WATCH</x:v>
      </x:c>
      <x:c r="M70" s="204" t="str">
        <x:v>WATCH</x:v>
      </x:c>
      <x:c r="N70" s="204" t="str">
        <x:v>PASS</x:v>
      </x:c>
      <x:c r="O70" s="204" t="str">
        <x:v>WATCH</x:v>
      </x:c>
      <x:c r="P70" s="204" t="str">
        <x:v>PASS</x:v>
      </x:c>
      <x:c r="Q70" s="204" t="str">
        <x:v>WATCH</x:v>
      </x:c>
      <x:c r="R70" s="204" t="str">
        <x:v>WATCH</x:v>
      </x:c>
      <x:c r="S70" s="204" t="str">
        <x:v>WATCH</x:v>
      </x:c>
      <x:c r="T70" s="204" t="str">
        <x:v>WATCH-CAPPED</x:v>
      </x:c>
      <x:c r="U70" s="204" t="str">
        <x:v>Ex-tariff gross margin, digital/full-price sell-through and China brand recovery</x:v>
      </x:c>
      <x:c r="V70" s="204" t="str">
        <x:v>PROVE TURNAROUND — require full-price revenue, China stabilization and clean gross margin together</x:v>
      </x:c>
      <x:c r="W70" s="204"/>
      <x:c r="X70" s="204" t="str">
        <x:v>2026-09-02</x:v>
      </x:c>
    </x:row>
    <x:row r="71">
      <x:c r="A71" s="204" t="inlineStr">
        <x:is>
          <x:t xml:space="preserve">ARG-067</x:t>
        </x:is>
      </x:c>
      <x:c r="B71" s="204" t="inlineStr">
        <x:is>
          <x:t xml:space="preserve">Unilever</x:t>
        </x:is>
      </x:c>
      <x:c r="C71" s="204" t="inlineStr">
        <x:is>
          <x:t xml:space="preserve">UL</x:t>
        </x:is>
      </x:c>
      <x:c r="D71" s="204" t="inlineStr">
        <x:is>
          <x:t xml:space="preserve">Consumer</x:t>
        </x:is>
      </x:c>
      <x:c r="E71" s="204" t="inlineStr">
        <x:is>
          <x:t xml:space="preserve">P3</x:t>
        </x:is>
      </x:c>
      <x:c r="F71" s="204" t="inlineStr">
        <x:is>
          <x:t xml:space="preserve">Validation</x:t>
        </x:is>
      </x:c>
      <x:c r="G71" s="204" t="inlineStr">
        <x:is>
          <x:t xml:space="preserve">SCAFFOLD / EVIDENCE PENDING</x:t>
        </x:is>
      </x:c>
      <x:c r="H71" s="204" t="inlineStr">
        <x:is>
          <x:t xml:space="preserve">UNKNOWN</x:t>
        </x:is>
      </x:c>
      <x:c r="I71" s="204" t="inlineStr">
        <x:is>
          <x:t xml:space="preserve">UNKNOWN</x:t>
        </x:is>
      </x:c>
      <x:c r="J71" s="204" t="inlineStr">
        <x:is>
          <x:t xml:space="preserve">UNKNOWN</x:t>
        </x:is>
      </x:c>
      <x:c r="K71" s="204" t="inlineStr">
        <x:is>
          <x:t xml:space="preserve">UNKNOWN</x:t>
        </x:is>
      </x:c>
      <x:c r="L71" s="204" t="inlineStr">
        <x:is>
          <x:t xml:space="preserve">UNKNOWN</x:t>
        </x:is>
      </x:c>
      <x:c r="M71" s="204" t="inlineStr">
        <x:is>
          <x:t xml:space="preserve">UNKNOWN</x:t>
        </x:is>
      </x:c>
      <x:c r="N71" s="204" t="inlineStr">
        <x:is>
          <x:t xml:space="preserve">UNKNOWN</x:t>
        </x:is>
      </x:c>
      <x:c r="O71" s="204" t="inlineStr">
        <x:is>
          <x:t xml:space="preserve">UNKNOWN</x:t>
        </x:is>
      </x:c>
      <x:c r="P71" s="204" t="inlineStr">
        <x:is>
          <x:t xml:space="preserve">UNKNOWN</x:t>
        </x:is>
      </x:c>
      <x:c r="Q71" s="204" t="inlineStr">
        <x:is>
          <x:t xml:space="preserve">UNKNOWN</x:t>
        </x:is>
      </x:c>
      <x:c r="R71" s="204" t="inlineStr">
        <x:is>
          <x:t xml:space="preserve">UNKNOWN</x:t>
        </x:is>
      </x:c>
      <x:c r="S71" s="204" t="inlineStr">
        <x:is>
          <x:t xml:space="preserve">UNKNOWN</x:t>
        </x:is>
      </x:c>
      <x:c r="T71" s="204" t="str">
        <x:f>IF(COUNTIF(H71:S71,"FAIL")&gt;0,"BLOCKED - FAIL",IF(COUNTIF(H71:S71,"UNKNOWN")&gt;0,"UNVALIDATED",IF(COUNTIF(H71:S71,"WATCH")&gt;=4,"WATCH-CAPPED","READY")))</x:f>
        <x:v>UNVALIDATED</x:v>
      </x:c>
      <x:c r="U71" s="204" t="inlineStr">
        <x:is>
          <x:t xml:space="preserve">Evidence pack and 10 historical cutoffs not yet completed</x:t>
        </x:is>
      </x:c>
      <x:c r="V71" s="204" t="inlineStr">
        <x:is>
          <x:t xml:space="preserve">Volume/price mix, traffic, inventory, consumer credit, reinvestment</x:t>
        </x:is>
      </x:c>
      <x:c r="W71" s="204" t="n"/>
      <x:c r="X71" s="204" t="inlineStr">
        <x:is>
          <x:t xml:space="preserve">2026-09-02</x:t>
        </x:is>
      </x:c>
    </x:row>
    <x:row r="72">
      <x:c r="A72" s="204" t="str">
        <x:v>ARG-068</x:v>
      </x:c>
      <x:c r="B72" s="204" t="str">
        <x:v>RTX</x:v>
      </x:c>
      <x:c r="C72" s="204" t="str">
        <x:v>RTX</x:v>
      </x:c>
      <x:c r="D72" s="204" t="str">
        <x:v>Industrials &amp; Defense</x:v>
      </x:c>
      <x:c r="E72" s="204" t="str">
        <x:v>P2</x:v>
      </x:c>
      <x:c r="F72" s="204" t="str">
        <x:v>Validation</x:v>
      </x:c>
      <x:c r="G72" s="204" t="str">
        <x:v>DEEP REVIEW AVAILABLE</x:v>
      </x:c>
      <x:c r="H72" s="204" t="str">
        <x:v>PASS</x:v>
      </x:c>
      <x:c r="I72" s="204" t="str">
        <x:v>PASS</x:v>
      </x:c>
      <x:c r="J72" s="204" t="str">
        <x:v>PASS</x:v>
      </x:c>
      <x:c r="K72" s="204" t="str">
        <x:v>WATCH</x:v>
      </x:c>
      <x:c r="L72" s="204" t="str">
        <x:v>WATCH</x:v>
      </x:c>
      <x:c r="M72" s="204" t="str">
        <x:v>PASS</x:v>
      </x:c>
      <x:c r="N72" s="204" t="str">
        <x:v>WATCH</x:v>
      </x:c>
      <x:c r="O72" s="204" t="str">
        <x:v>WATCH</x:v>
      </x:c>
      <x:c r="P72" s="204" t="str">
        <x:v>PASS</x:v>
      </x:c>
      <x:c r="Q72" s="204" t="str">
        <x:v>WATCH</x:v>
      </x:c>
      <x:c r="R72" s="204" t="str">
        <x:v>WATCH</x:v>
      </x:c>
      <x:c r="S72" s="204" t="str">
        <x:v>WATCH</x:v>
      </x:c>
      <x:c r="T72" s="204" t="str">
        <x:v>WATCH-CAPPED</x:v>
      </x:c>
      <x:c r="U72" s="204" t="str">
        <x:v>Powder-metal ultimate cash cost, fixed-price program margins and normalized FCF after remediation</x:v>
      </x:c>
      <x:c r="V72" s="204" t="str">
        <x:v>WATCH — require Pratt correction closure, backlog cash margins and adjusted-to-owner-cash reconciliation</x:v>
      </x:c>
      <x:c r="W72" s="204"/>
      <x:c r="X72" s="204" t="str">
        <x:v>2026-09-02</x:v>
      </x:c>
    </x:row>
    <x:row r="73">
      <x:c r="A73" s="204" t="inlineStr">
        <x:is>
          <x:t xml:space="preserve">ARG-069</x:t>
        </x:is>
      </x:c>
      <x:c r="B73" s="204" t="inlineStr">
        <x:is>
          <x:t xml:space="preserve">Deere &amp; Company</x:t>
        </x:is>
      </x:c>
      <x:c r="C73" s="204" t="inlineStr">
        <x:is>
          <x:t xml:space="preserve">DE</x:t>
        </x:is>
      </x:c>
      <x:c r="D73" s="204" t="inlineStr">
        <x:is>
          <x:t xml:space="preserve">Industrials &amp; Defense</x:t>
        </x:is>
      </x:c>
      <x:c r="E73" s="204" t="inlineStr">
        <x:is>
          <x:t xml:space="preserve">P3</x:t>
        </x:is>
      </x:c>
      <x:c r="F73" s="204" t="inlineStr">
        <x:is>
          <x:t xml:space="preserve">Validation</x:t>
        </x:is>
      </x:c>
      <x:c r="G73" s="204" t="inlineStr">
        <x:is>
          <x:t xml:space="preserve">SCAFFOLD / EVIDENCE PENDING</x:t>
        </x:is>
      </x:c>
      <x:c r="H73" s="204" t="inlineStr">
        <x:is>
          <x:t xml:space="preserve">UNKNOWN</x:t>
        </x:is>
      </x:c>
      <x:c r="I73" s="204" t="inlineStr">
        <x:is>
          <x:t xml:space="preserve">UNKNOWN</x:t>
        </x:is>
      </x:c>
      <x:c r="J73" s="204" t="inlineStr">
        <x:is>
          <x:t xml:space="preserve">UNKNOWN</x:t>
        </x:is>
      </x:c>
      <x:c r="K73" s="204" t="inlineStr">
        <x:is>
          <x:t xml:space="preserve">UNKNOWN</x:t>
        </x:is>
      </x:c>
      <x:c r="L73" s="204" t="inlineStr">
        <x:is>
          <x:t xml:space="preserve">UNKNOWN</x:t>
        </x:is>
      </x:c>
      <x:c r="M73" s="204" t="inlineStr">
        <x:is>
          <x:t xml:space="preserve">UNKNOWN</x:t>
        </x:is>
      </x:c>
      <x:c r="N73" s="204" t="inlineStr">
        <x:is>
          <x:t xml:space="preserve">UNKNOWN</x:t>
        </x:is>
      </x:c>
      <x:c r="O73" s="204" t="inlineStr">
        <x:is>
          <x:t xml:space="preserve">UNKNOWN</x:t>
        </x:is>
      </x:c>
      <x:c r="P73" s="204" t="inlineStr">
        <x:is>
          <x:t xml:space="preserve">UNKNOWN</x:t>
        </x:is>
      </x:c>
      <x:c r="Q73" s="204" t="inlineStr">
        <x:is>
          <x:t xml:space="preserve">UNKNOWN</x:t>
        </x:is>
      </x:c>
      <x:c r="R73" s="204" t="inlineStr">
        <x:is>
          <x:t xml:space="preserve">UNKNOWN</x:t>
        </x:is>
      </x:c>
      <x:c r="S73" s="204" t="inlineStr">
        <x:is>
          <x:t xml:space="preserve">UNKNOWN</x:t>
        </x:is>
      </x:c>
      <x:c r="T73" s="204" t="str">
        <x:f>IF(COUNTIF(H73:S73,"FAIL")&gt;0,"BLOCKED - FAIL",IF(COUNTIF(H73:S73,"UNKNOWN")&gt;0,"UNVALIDATED",IF(COUNTIF(H73:S73,"WATCH")&gt;=4,"WATCH-CAPPED","READY")))</x:f>
        <x:v>UNVALIDATED</x:v>
      </x:c>
      <x:c r="U73" s="204" t="inlineStr">
        <x:is>
          <x:t xml:space="preserve">Evidence pack and 10 historical cutoffs not yet completed</x:t>
        </x:is>
      </x:c>
      <x:c r="V73" s="204" t="inlineStr">
        <x:is>
          <x:t xml:space="preserve">Backlog cash conversion, fixed-price risk, supply chain, program charges</x:t>
        </x:is>
      </x:c>
      <x:c r="W73" s="204" t="n"/>
      <x:c r="X73" s="204" t="inlineStr">
        <x:is>
          <x:t xml:space="preserve">2026-09-02</x:t>
        </x:is>
      </x:c>
    </x:row>
    <x:row r="74">
      <x:c r="A74" s="204" t="str">
        <x:v>ARG-070</x:v>
      </x:c>
      <x:c r="B74" s="204" t="str">
        <x:v>Rio Tinto</x:v>
      </x:c>
      <x:c r="C74" s="204" t="str">
        <x:v>RIO</x:v>
      </x:c>
      <x:c r="D74" s="204" t="str">
        <x:v>Materials &amp; Mining</x:v>
      </x:c>
      <x:c r="E74" s="204" t="str">
        <x:v>P2</x:v>
      </x:c>
      <x:c r="F74" s="204" t="str">
        <x:v>Validation</x:v>
      </x:c>
      <x:c r="G74" s="204" t="str">
        <x:v>DEEP REVIEW AVAILABLE</x:v>
      </x:c>
      <x:c r="H74" s="204" t="str">
        <x:v>PASS</x:v>
      </x:c>
      <x:c r="I74" s="204" t="str">
        <x:v>WATCH</x:v>
      </x:c>
      <x:c r="J74" s="204" t="str">
        <x:v>PASS</x:v>
      </x:c>
      <x:c r="K74" s="204" t="str">
        <x:v>WATCH</x:v>
      </x:c>
      <x:c r="L74" s="204" t="str">
        <x:v>WATCH</x:v>
      </x:c>
      <x:c r="M74" s="204" t="str">
        <x:v>PASS</x:v>
      </x:c>
      <x:c r="N74" s="204" t="str">
        <x:v>WATCH</x:v>
      </x:c>
      <x:c r="O74" s="204" t="str">
        <x:v>WATCH</x:v>
      </x:c>
      <x:c r="P74" s="204" t="str">
        <x:v>PASS</x:v>
      </x:c>
      <x:c r="Q74" s="204" t="str">
        <x:v>WATCH</x:v>
      </x:c>
      <x:c r="R74" s="204" t="str">
        <x:v>WATCH</x:v>
      </x:c>
      <x:c r="S74" s="204" t="str">
        <x:v>WATCH</x:v>
      </x:c>
      <x:c r="T74" s="204" t="str">
        <x:v>WATCH-CAPPED</x:v>
      </x:c>
      <x:c r="U74" s="204" t="str">
        <x:v>Simandou/lithium project returns, long-run price deck and consolidated debt path</x:v>
      </x:c>
      <x:c r="V74" s="204" t="str">
        <x:v>WATCH — value at long-run commodity prices after Simandou/lithium growth capital</x:v>
      </x:c>
      <x:c r="W74" s="204"/>
      <x:c r="X74" s="204" t="str">
        <x:v>2026-09-02</x:v>
      </x:c>
    </x:row>
    <x:row r="75">
      <x:c r="A75" s="204" t="str">
        <x:v>ARG-071</x:v>
      </x:c>
      <x:c r="B75" s="204" t="str">
        <x:v>Linde</x:v>
      </x:c>
      <x:c r="C75" s="204" t="str">
        <x:v>LIN</x:v>
      </x:c>
      <x:c r="D75" s="204" t="str">
        <x:v>Materials &amp; Mining</x:v>
      </x:c>
      <x:c r="E75" s="204" t="str">
        <x:v>P2</x:v>
      </x:c>
      <x:c r="F75" s="204" t="str">
        <x:v>Validation</x:v>
      </x:c>
      <x:c r="G75" s="204" t="str">
        <x:v>DEEP REVIEW AVAILABLE</x:v>
      </x:c>
      <x:c r="H75" s="204" t="str">
        <x:v>PASS</x:v>
      </x:c>
      <x:c r="I75" s="204" t="str">
        <x:v>PASS</x:v>
      </x:c>
      <x:c r="J75" s="204" t="str">
        <x:v>PASS</x:v>
      </x:c>
      <x:c r="K75" s="204" t="str">
        <x:v>PASS</x:v>
      </x:c>
      <x:c r="L75" s="204" t="str">
        <x:v>PASS</x:v>
      </x:c>
      <x:c r="M75" s="204" t="str">
        <x:v>PASS</x:v>
      </x:c>
      <x:c r="N75" s="204" t="str">
        <x:v>PASS</x:v>
      </x:c>
      <x:c r="O75" s="204" t="str">
        <x:v>WATCH</x:v>
      </x:c>
      <x:c r="P75" s="204" t="str">
        <x:v>PASS</x:v>
      </x:c>
      <x:c r="Q75" s="204" t="str">
        <x:v>WATCH</x:v>
      </x:c>
      <x:c r="R75" s="204" t="str">
        <x:v>PASS</x:v>
      </x:c>
      <x:c r="S75" s="204" t="str">
        <x:v>WATCH</x:v>
      </x:c>
      <x:c r="T75" s="204" t="str">
        <x:v>WATCH-CAPPED</x:v>
      </x:c>
      <x:c r="U75" s="204" t="str">
        <x:v>Project-level return and utilization evidence for backlog and the $1bn semiconductor facility</x:v>
      </x:c>
      <x:c r="V75" s="204" t="str">
        <x:v>WATCH — require contracted project returns, clean FCF and price protection before promotion</x:v>
      </x:c>
      <x:c r="W75" s="204"/>
      <x:c r="X75" s="204" t="str">
        <x:v>2026-09-02</x:v>
      </x:c>
    </x:row>
    <x:row r="76">
      <x:c r="A76" s="204" t="inlineStr">
        <x:is>
          <x:t xml:space="preserve">ARG-072</x:t>
        </x:is>
      </x:c>
      <x:c r="B76" s="204" t="inlineStr">
        <x:is>
          <x:t xml:space="preserve">American Tower</x:t>
        </x:is>
      </x:c>
      <x:c r="C76" s="204" t="inlineStr">
        <x:is>
          <x:t xml:space="preserve">AMT</x:t>
        </x:is>
      </x:c>
      <x:c r="D76" s="204" t="inlineStr">
        <x:is>
          <x:t xml:space="preserve">Real Estate &amp; Telecom</x:t>
        </x:is>
      </x:c>
      <x:c r="E76" s="204" t="inlineStr">
        <x:is>
          <x:t xml:space="preserve">P3</x:t>
        </x:is>
      </x:c>
      <x:c r="F76" s="204" t="inlineStr">
        <x:is>
          <x:t xml:space="preserve">Validation</x:t>
        </x:is>
      </x:c>
      <x:c r="G76" s="204" t="inlineStr">
        <x:is>
          <x:t xml:space="preserve">SCAFFOLD / EVIDENCE PENDING</x:t>
        </x:is>
      </x:c>
      <x:c r="H76" s="204" t="inlineStr">
        <x:is>
          <x:t xml:space="preserve">UNKNOWN</x:t>
        </x:is>
      </x:c>
      <x:c r="I76" s="204" t="inlineStr">
        <x:is>
          <x:t xml:space="preserve">UNKNOWN</x:t>
        </x:is>
      </x:c>
      <x:c r="J76" s="204" t="inlineStr">
        <x:is>
          <x:t xml:space="preserve">UNKNOWN</x:t>
        </x:is>
      </x:c>
      <x:c r="K76" s="204" t="inlineStr">
        <x:is>
          <x:t xml:space="preserve">UNKNOWN</x:t>
        </x:is>
      </x:c>
      <x:c r="L76" s="204" t="inlineStr">
        <x:is>
          <x:t xml:space="preserve">UNKNOWN</x:t>
        </x:is>
      </x:c>
      <x:c r="M76" s="204" t="inlineStr">
        <x:is>
          <x:t xml:space="preserve">UNKNOWN</x:t>
        </x:is>
      </x:c>
      <x:c r="N76" s="204" t="inlineStr">
        <x:is>
          <x:t xml:space="preserve">UNKNOWN</x:t>
        </x:is>
      </x:c>
      <x:c r="O76" s="204" t="inlineStr">
        <x:is>
          <x:t xml:space="preserve">UNKNOWN</x:t>
        </x:is>
      </x:c>
      <x:c r="P76" s="204" t="inlineStr">
        <x:is>
          <x:t xml:space="preserve">UNKNOWN</x:t>
        </x:is>
      </x:c>
      <x:c r="Q76" s="204" t="inlineStr">
        <x:is>
          <x:t xml:space="preserve">UNKNOWN</x:t>
        </x:is>
      </x:c>
      <x:c r="R76" s="204" t="inlineStr">
        <x:is>
          <x:t xml:space="preserve">UNKNOWN</x:t>
        </x:is>
      </x:c>
      <x:c r="S76" s="204" t="inlineStr">
        <x:is>
          <x:t xml:space="preserve">UNKNOWN</x:t>
        </x:is>
      </x:c>
      <x:c r="T76" s="204" t="str">
        <x:f>IF(COUNTIF(H76:S76,"FAIL")&gt;0,"BLOCKED - FAIL",IF(COUNTIF(H76:S76,"UNKNOWN")&gt;0,"UNVALIDATED",IF(COUNTIF(H76:S76,"WATCH")&gt;=4,"WATCH-CAPPED","READY")))</x:f>
        <x:v>UNVALIDATED</x:v>
      </x:c>
      <x:c r="U76" s="204" t="inlineStr">
        <x:is>
          <x:t xml:space="preserve">Evidence pack and 10 historical cutoffs not yet completed</x:t>
        </x:is>
      </x:c>
      <x:c r="V76" s="204" t="inlineStr">
        <x:is>
          <x:t xml:space="preserve">AFFO/FCF after capex, leverage, occupancy/churn, refinancing</x:t>
        </x:is>
      </x:c>
      <x:c r="W76" s="204" t="n"/>
      <x:c r="X76" s="204" t="inlineStr">
        <x:is>
          <x:t xml:space="preserve">2026-09-02</x:t>
        </x:is>
      </x:c>
    </x:row>
    <x:row r="77">
      <x:c r="A77" s="204" t="inlineStr">
        <x:is>
          <x:t xml:space="preserve">ARG-073</x:t>
        </x:is>
      </x:c>
      <x:c r="B77" s="204" t="inlineStr">
        <x:is>
          <x:t xml:space="preserve">NextEra Energy</x:t>
        </x:is>
      </x:c>
      <x:c r="C77" s="204" t="inlineStr">
        <x:is>
          <x:t xml:space="preserve">NEE</x:t>
        </x:is>
      </x:c>
      <x:c r="D77" s="204" t="inlineStr">
        <x:is>
          <x:t xml:space="preserve">Utilities</x:t>
        </x:is>
      </x:c>
      <x:c r="E77" s="204" t="inlineStr">
        <x:is>
          <x:t xml:space="preserve">P3</x:t>
        </x:is>
      </x:c>
      <x:c r="F77" s="204" t="inlineStr">
        <x:is>
          <x:t xml:space="preserve">Validation</x:t>
        </x:is>
      </x:c>
      <x:c r="G77" s="204" t="inlineStr">
        <x:is>
          <x:t xml:space="preserve">SCAFFOLD / EVIDENCE PENDING</x:t>
        </x:is>
      </x:c>
      <x:c r="H77" s="204" t="inlineStr">
        <x:is>
          <x:t xml:space="preserve">UNKNOWN</x:t>
        </x:is>
      </x:c>
      <x:c r="I77" s="204" t="inlineStr">
        <x:is>
          <x:t xml:space="preserve">UNKNOWN</x:t>
        </x:is>
      </x:c>
      <x:c r="J77" s="204" t="inlineStr">
        <x:is>
          <x:t xml:space="preserve">UNKNOWN</x:t>
        </x:is>
      </x:c>
      <x:c r="K77" s="204" t="inlineStr">
        <x:is>
          <x:t xml:space="preserve">UNKNOWN</x:t>
        </x:is>
      </x:c>
      <x:c r="L77" s="204" t="inlineStr">
        <x:is>
          <x:t xml:space="preserve">UNKNOWN</x:t>
        </x:is>
      </x:c>
      <x:c r="M77" s="204" t="inlineStr">
        <x:is>
          <x:t xml:space="preserve">UNKNOWN</x:t>
        </x:is>
      </x:c>
      <x:c r="N77" s="204" t="inlineStr">
        <x:is>
          <x:t xml:space="preserve">UNKNOWN</x:t>
        </x:is>
      </x:c>
      <x:c r="O77" s="204" t="inlineStr">
        <x:is>
          <x:t xml:space="preserve">UNKNOWN</x:t>
        </x:is>
      </x:c>
      <x:c r="P77" s="204" t="inlineStr">
        <x:is>
          <x:t xml:space="preserve">UNKNOWN</x:t>
        </x:is>
      </x:c>
      <x:c r="Q77" s="204" t="inlineStr">
        <x:is>
          <x:t xml:space="preserve">UNKNOWN</x:t>
        </x:is>
      </x:c>
      <x:c r="R77" s="204" t="inlineStr">
        <x:is>
          <x:t xml:space="preserve">UNKNOWN</x:t>
        </x:is>
      </x:c>
      <x:c r="S77" s="204" t="inlineStr">
        <x:is>
          <x:t xml:space="preserve">UNKNOWN</x:t>
        </x:is>
      </x:c>
      <x:c r="T77" s="204" t="str">
        <x:f>IF(COUNTIF(H77:S77,"FAIL")&gt;0,"BLOCKED - FAIL",IF(COUNTIF(H77:S77,"UNKNOWN")&gt;0,"UNVALIDATED",IF(COUNTIF(H77:S77,"WATCH")&gt;=4,"WATCH-CAPPED","READY")))</x:f>
        <x:v>UNVALIDATED</x:v>
      </x:c>
      <x:c r="U77" s="204" t="inlineStr">
        <x:is>
          <x:t xml:space="preserve">Evidence pack and 10 historical cutoffs not yet completed</x:t>
        </x:is>
      </x:c>
      <x:c r="V77" s="204" t="inlineStr">
        <x:is>
          <x:t xml:space="preserve">Allowed returns, capex recovery, financing, customer affordability</x:t>
        </x:is>
      </x:c>
      <x:c r="W77" s="204" t="n"/>
      <x:c r="X77" s="204" t="inlineStr">
        <x:is>
          <x:t xml:space="preserve">2026-09-02</x:t>
        </x:is>
      </x:c>
    </x:row>
    <x:row r="78">
      <x:c r="A78" s="204" t="inlineStr">
        <x:is>
          <x:t xml:space="preserve">ARG-074</x:t>
        </x:is>
      </x:c>
      <x:c r="B78" s="204" t="inlineStr">
        <x:is>
          <x:t xml:space="preserve">Verizon Communications</x:t>
        </x:is>
      </x:c>
      <x:c r="C78" s="204" t="inlineStr">
        <x:is>
          <x:t xml:space="preserve">VZ</x:t>
        </x:is>
      </x:c>
      <x:c r="D78" s="204" t="inlineStr">
        <x:is>
          <x:t xml:space="preserve">Real Estate &amp; Telecom</x:t>
        </x:is>
      </x:c>
      <x:c r="E78" s="204" t="inlineStr">
        <x:is>
          <x:t xml:space="preserve">P3</x:t>
        </x:is>
      </x:c>
      <x:c r="F78" s="204" t="inlineStr">
        <x:is>
          <x:t xml:space="preserve">Validation</x:t>
        </x:is>
      </x:c>
      <x:c r="G78" s="204" t="inlineStr">
        <x:is>
          <x:t xml:space="preserve">SCAFFOLD / EVIDENCE PENDING</x:t>
        </x:is>
      </x:c>
      <x:c r="H78" s="204" t="inlineStr">
        <x:is>
          <x:t xml:space="preserve">UNKNOWN</x:t>
        </x:is>
      </x:c>
      <x:c r="I78" s="204" t="inlineStr">
        <x:is>
          <x:t xml:space="preserve">UNKNOWN</x:t>
        </x:is>
      </x:c>
      <x:c r="J78" s="204" t="inlineStr">
        <x:is>
          <x:t xml:space="preserve">UNKNOWN</x:t>
        </x:is>
      </x:c>
      <x:c r="K78" s="204" t="inlineStr">
        <x:is>
          <x:t xml:space="preserve">UNKNOWN</x:t>
        </x:is>
      </x:c>
      <x:c r="L78" s="204" t="inlineStr">
        <x:is>
          <x:t xml:space="preserve">UNKNOWN</x:t>
        </x:is>
      </x:c>
      <x:c r="M78" s="204" t="inlineStr">
        <x:is>
          <x:t xml:space="preserve">UNKNOWN</x:t>
        </x:is>
      </x:c>
      <x:c r="N78" s="204" t="inlineStr">
        <x:is>
          <x:t xml:space="preserve">UNKNOWN</x:t>
        </x:is>
      </x:c>
      <x:c r="O78" s="204" t="inlineStr">
        <x:is>
          <x:t xml:space="preserve">UNKNOWN</x:t>
        </x:is>
      </x:c>
      <x:c r="P78" s="204" t="inlineStr">
        <x:is>
          <x:t xml:space="preserve">UNKNOWN</x:t>
        </x:is>
      </x:c>
      <x:c r="Q78" s="204" t="inlineStr">
        <x:is>
          <x:t xml:space="preserve">UNKNOWN</x:t>
        </x:is>
      </x:c>
      <x:c r="R78" s="204" t="inlineStr">
        <x:is>
          <x:t xml:space="preserve">UNKNOWN</x:t>
        </x:is>
      </x:c>
      <x:c r="S78" s="204" t="inlineStr">
        <x:is>
          <x:t xml:space="preserve">UNKNOWN</x:t>
        </x:is>
      </x:c>
      <x:c r="T78" s="204" t="str">
        <x:f>IF(COUNTIF(H78:S78,"FAIL")&gt;0,"BLOCKED - FAIL",IF(COUNTIF(H78:S78,"UNKNOWN")&gt;0,"UNVALIDATED",IF(COUNTIF(H78:S78,"WATCH")&gt;=4,"WATCH-CAPPED","READY")))</x:f>
        <x:v>UNVALIDATED</x:v>
      </x:c>
      <x:c r="U78" s="204" t="inlineStr">
        <x:is>
          <x:t xml:space="preserve">Evidence pack and 10 historical cutoffs not yet completed</x:t>
        </x:is>
      </x:c>
      <x:c r="V78" s="204" t="inlineStr">
        <x:is>
          <x:t xml:space="preserve">AFFO/FCF after capex, leverage, occupancy/churn, refinancing</x:t>
        </x:is>
      </x:c>
      <x:c r="W78" s="204" t="n"/>
      <x:c r="X78" s="204" t="inlineStr">
        <x:is>
          <x:t xml:space="preserve">2026-09-02</x:t>
        </x:is>
      </x:c>
    </x:row>
    <x:row r="79">
      <x:c r="A79" s="204" t="inlineStr">
        <x:is>
          <x:t xml:space="preserve">ARG-075</x:t>
        </x:is>
      </x:c>
      <x:c r="B79" s="204" t="inlineStr">
        <x:is>
          <x:t xml:space="preserve">Delta Air Lines</x:t>
        </x:is>
      </x:c>
      <x:c r="C79" s="204" t="inlineStr">
        <x:is>
          <x:t xml:space="preserve">DAL</x:t>
        </x:is>
      </x:c>
      <x:c r="D79" s="204" t="inlineStr">
        <x:is>
          <x:t xml:space="preserve">Transportation</x:t>
        </x:is>
      </x:c>
      <x:c r="E79" s="204" t="inlineStr">
        <x:is>
          <x:t xml:space="preserve">P3</x:t>
        </x:is>
      </x:c>
      <x:c r="F79" s="204" t="inlineStr">
        <x:is>
          <x:t xml:space="preserve">Validation</x:t>
        </x:is>
      </x:c>
      <x:c r="G79" s="204" t="inlineStr">
        <x:is>
          <x:t xml:space="preserve">SCAFFOLD / EVIDENCE PENDING</x:t>
        </x:is>
      </x:c>
      <x:c r="H79" s="204" t="inlineStr">
        <x:is>
          <x:t xml:space="preserve">UNKNOWN</x:t>
        </x:is>
      </x:c>
      <x:c r="I79" s="204" t="inlineStr">
        <x:is>
          <x:t xml:space="preserve">UNKNOWN</x:t>
        </x:is>
      </x:c>
      <x:c r="J79" s="204" t="inlineStr">
        <x:is>
          <x:t xml:space="preserve">UNKNOWN</x:t>
        </x:is>
      </x:c>
      <x:c r="K79" s="204" t="inlineStr">
        <x:is>
          <x:t xml:space="preserve">UNKNOWN</x:t>
        </x:is>
      </x:c>
      <x:c r="L79" s="204" t="inlineStr">
        <x:is>
          <x:t xml:space="preserve">UNKNOWN</x:t>
        </x:is>
      </x:c>
      <x:c r="M79" s="204" t="inlineStr">
        <x:is>
          <x:t xml:space="preserve">UNKNOWN</x:t>
        </x:is>
      </x:c>
      <x:c r="N79" s="204" t="inlineStr">
        <x:is>
          <x:t xml:space="preserve">UNKNOWN</x:t>
        </x:is>
      </x:c>
      <x:c r="O79" s="204" t="inlineStr">
        <x:is>
          <x:t xml:space="preserve">UNKNOWN</x:t>
        </x:is>
      </x:c>
      <x:c r="P79" s="204" t="inlineStr">
        <x:is>
          <x:t xml:space="preserve">UNKNOWN</x:t>
        </x:is>
      </x:c>
      <x:c r="Q79" s="204" t="inlineStr">
        <x:is>
          <x:t xml:space="preserve">UNKNOWN</x:t>
        </x:is>
      </x:c>
      <x:c r="R79" s="204" t="inlineStr">
        <x:is>
          <x:t xml:space="preserve">UNKNOWN</x:t>
        </x:is>
      </x:c>
      <x:c r="S79" s="204" t="inlineStr">
        <x:is>
          <x:t xml:space="preserve">UNKNOWN</x:t>
        </x:is>
      </x:c>
      <x:c r="T79" s="204" t="str">
        <x:f>IF(COUNTIF(H79:S79,"FAIL")&gt;0,"BLOCKED - FAIL",IF(COUNTIF(H79:S79,"UNKNOWN")&gt;0,"UNVALIDATED",IF(COUNTIF(H79:S79,"WATCH")&gt;=4,"WATCH-CAPPED","READY")))</x:f>
        <x:v>UNVALIDATED</x:v>
      </x:c>
      <x:c r="U79" s="204" t="inlineStr">
        <x:is>
          <x:t xml:space="preserve">Evidence pack and 10 historical cutoffs not yet completed</x:t>
        </x:is>
      </x:c>
      <x:c r="V79" s="204" t="inlineStr">
        <x:is>
          <x:t xml:space="preserve">Yield, load factor, fuel/labor, capex, cyclicality</x:t>
        </x:is>
      </x:c>
      <x:c r="W79" s="204" t="n"/>
      <x:c r="X79" s="204" t="inlineStr">
        <x:is>
          <x:t xml:space="preserve">2026-09-02</x:t>
        </x:is>
      </x:c>
    </x:row>
    <x:row r="80">
      <x:c r="A80" s="204" t="inlineStr">
        <x:is>
          <x:t xml:space="preserve">ARG-076</x:t>
        </x:is>
      </x:c>
      <x:c r="B80" s="204" t="inlineStr">
        <x:is>
          <x:t xml:space="preserve">Toyota Motor</x:t>
        </x:is>
      </x:c>
      <x:c r="C80" s="204" t="inlineStr">
        <x:is>
          <x:t xml:space="preserve">TM</x:t>
        </x:is>
      </x:c>
      <x:c r="D80" s="204" t="inlineStr">
        <x:is>
          <x:t xml:space="preserve">Autos &amp; Mobility</x:t>
        </x:is>
      </x:c>
      <x:c r="E80" s="204" t="inlineStr">
        <x:is>
          <x:t xml:space="preserve">P3</x:t>
        </x:is>
      </x:c>
      <x:c r="F80" s="204" t="inlineStr">
        <x:is>
          <x:t xml:space="preserve">Validation</x:t>
        </x:is>
      </x:c>
      <x:c r="G80" s="204" t="inlineStr">
        <x:is>
          <x:t xml:space="preserve">SCAFFOLD / EVIDENCE PENDING</x:t>
        </x:is>
      </x:c>
      <x:c r="H80" s="204" t="inlineStr">
        <x:is>
          <x:t xml:space="preserve">UNKNOWN</x:t>
        </x:is>
      </x:c>
      <x:c r="I80" s="204" t="inlineStr">
        <x:is>
          <x:t xml:space="preserve">UNKNOWN</x:t>
        </x:is>
      </x:c>
      <x:c r="J80" s="204" t="inlineStr">
        <x:is>
          <x:t xml:space="preserve">UNKNOWN</x:t>
        </x:is>
      </x:c>
      <x:c r="K80" s="204" t="inlineStr">
        <x:is>
          <x:t xml:space="preserve">UNKNOWN</x:t>
        </x:is>
      </x:c>
      <x:c r="L80" s="204" t="inlineStr">
        <x:is>
          <x:t xml:space="preserve">UNKNOWN</x:t>
        </x:is>
      </x:c>
      <x:c r="M80" s="204" t="inlineStr">
        <x:is>
          <x:t xml:space="preserve">UNKNOWN</x:t>
        </x:is>
      </x:c>
      <x:c r="N80" s="204" t="inlineStr">
        <x:is>
          <x:t xml:space="preserve">UNKNOWN</x:t>
        </x:is>
      </x:c>
      <x:c r="O80" s="204" t="inlineStr">
        <x:is>
          <x:t xml:space="preserve">UNKNOWN</x:t>
        </x:is>
      </x:c>
      <x:c r="P80" s="204" t="inlineStr">
        <x:is>
          <x:t xml:space="preserve">UNKNOWN</x:t>
        </x:is>
      </x:c>
      <x:c r="Q80" s="204" t="inlineStr">
        <x:is>
          <x:t xml:space="preserve">UNKNOWN</x:t>
        </x:is>
      </x:c>
      <x:c r="R80" s="204" t="inlineStr">
        <x:is>
          <x:t xml:space="preserve">UNKNOWN</x:t>
        </x:is>
      </x:c>
      <x:c r="S80" s="204" t="inlineStr">
        <x:is>
          <x:t xml:space="preserve">UNKNOWN</x:t>
        </x:is>
      </x:c>
      <x:c r="T80" s="204" t="str">
        <x:f>IF(COUNTIF(H80:S80,"FAIL")&gt;0,"BLOCKED - FAIL",IF(COUNTIF(H80:S80,"UNKNOWN")&gt;0,"UNVALIDATED",IF(COUNTIF(H80:S80,"WATCH")&gt;=4,"WATCH-CAPPED","READY")))</x:f>
        <x:v>UNVALIDATED</x:v>
      </x:c>
      <x:c r="U80" s="204" t="inlineStr">
        <x:is>
          <x:t xml:space="preserve">Evidence pack and 10 historical cutoffs not yet completed</x:t>
        </x:is>
      </x:c>
      <x:c r="V80" s="204" t="inlineStr">
        <x:is>
          <x:t xml:space="preserve">Unit economics, incentives, residuals, capex, autonomy evidence</x:t>
        </x:is>
      </x:c>
      <x:c r="W80" s="204" t="n"/>
      <x:c r="X80" s="204" t="inlineStr">
        <x:is>
          <x:t xml:space="preserve">2026-09-02</x:t>
        </x:is>
      </x:c>
    </x:row>
    <x:row r="81">
      <x:c r="A81" s="204" t="inlineStr">
        <x:is>
          <x:t xml:space="preserve">ARG-077</x:t>
        </x:is>
      </x:c>
      <x:c r="B81" s="204" t="inlineStr">
        <x:is>
          <x:t xml:space="preserve">Corteva</x:t>
        </x:is>
      </x:c>
      <x:c r="C81" s="204" t="inlineStr">
        <x:is>
          <x:t xml:space="preserve">CTVA</x:t>
        </x:is>
      </x:c>
      <x:c r="D81" s="204" t="inlineStr">
        <x:is>
          <x:t xml:space="preserve">Agriculture &amp; Fertilizers</x:t>
        </x:is>
      </x:c>
      <x:c r="E81" s="204" t="inlineStr">
        <x:is>
          <x:t xml:space="preserve">P3</x:t>
        </x:is>
      </x:c>
      <x:c r="F81" s="204" t="inlineStr">
        <x:is>
          <x:t xml:space="preserve">Validation</x:t>
        </x:is>
      </x:c>
      <x:c r="G81" s="204" t="inlineStr">
        <x:is>
          <x:t xml:space="preserve">SCAFFOLD / EVIDENCE PENDING</x:t>
        </x:is>
      </x:c>
      <x:c r="H81" s="204" t="inlineStr">
        <x:is>
          <x:t xml:space="preserve">UNKNOWN</x:t>
        </x:is>
      </x:c>
      <x:c r="I81" s="204" t="inlineStr">
        <x:is>
          <x:t xml:space="preserve">UNKNOWN</x:t>
        </x:is>
      </x:c>
      <x:c r="J81" s="204" t="inlineStr">
        <x:is>
          <x:t xml:space="preserve">UNKNOWN</x:t>
        </x:is>
      </x:c>
      <x:c r="K81" s="204" t="inlineStr">
        <x:is>
          <x:t xml:space="preserve">UNKNOWN</x:t>
        </x:is>
      </x:c>
      <x:c r="L81" s="204" t="inlineStr">
        <x:is>
          <x:t xml:space="preserve">UNKNOWN</x:t>
        </x:is>
      </x:c>
      <x:c r="M81" s="204" t="inlineStr">
        <x:is>
          <x:t xml:space="preserve">UNKNOWN</x:t>
        </x:is>
      </x:c>
      <x:c r="N81" s="204" t="inlineStr">
        <x:is>
          <x:t xml:space="preserve">UNKNOWN</x:t>
        </x:is>
      </x:c>
      <x:c r="O81" s="204" t="inlineStr">
        <x:is>
          <x:t xml:space="preserve">UNKNOWN</x:t>
        </x:is>
      </x:c>
      <x:c r="P81" s="204" t="inlineStr">
        <x:is>
          <x:t xml:space="preserve">UNKNOWN</x:t>
        </x:is>
      </x:c>
      <x:c r="Q81" s="204" t="inlineStr">
        <x:is>
          <x:t xml:space="preserve">UNKNOWN</x:t>
        </x:is>
      </x:c>
      <x:c r="R81" s="204" t="inlineStr">
        <x:is>
          <x:t xml:space="preserve">UNKNOWN</x:t>
        </x:is>
      </x:c>
      <x:c r="S81" s="204" t="inlineStr">
        <x:is>
          <x:t xml:space="preserve">UNKNOWN</x:t>
        </x:is>
      </x:c>
      <x:c r="T81" s="204" t="str">
        <x:f>IF(COUNTIF(H81:S81,"FAIL")&gt;0,"BLOCKED - FAIL",IF(COUNTIF(H81:S81,"UNKNOWN")&gt;0,"UNVALIDATED",IF(COUNTIF(H81:S81,"WATCH")&gt;=4,"WATCH-CAPPED","READY")))</x:f>
        <x:v>UNVALIDATED</x:v>
      </x:c>
      <x:c r="U81" s="204" t="inlineStr">
        <x:is>
          <x:t xml:space="preserve">Evidence pack and 10 historical cutoffs not yet completed</x:t>
        </x:is>
      </x:c>
      <x:c r="V81" s="204" t="inlineStr">
        <x:is>
          <x:t xml:space="preserve">Crop economics, input costs, capacity, cycle-normalized cash</x:t>
        </x:is>
      </x:c>
      <x:c r="W81" s="204" t="n"/>
      <x:c r="X81" s="204" t="inlineStr">
        <x:is>
          <x:t xml:space="preserve">2026-09-02</x:t>
        </x:is>
      </x:c>
    </x:row>
    <x:row r="82">
      <x:c r="A82" s="204" t="inlineStr">
        <x:is>
          <x:t xml:space="preserve">ARG-078</x:t>
        </x:is>
      </x:c>
      <x:c r="B82" s="204" t="inlineStr">
        <x:is>
          <x:t xml:space="preserve">Netflix</x:t>
        </x:is>
      </x:c>
      <x:c r="C82" s="204" t="inlineStr">
        <x:is>
          <x:t xml:space="preserve">NFLX</x:t>
        </x:is>
      </x:c>
      <x:c r="D82" s="204" t="inlineStr">
        <x:is>
          <x:t xml:space="preserve">Media &amp; Internet</x:t>
        </x:is>
      </x:c>
      <x:c r="E82" s="204" t="inlineStr">
        <x:is>
          <x:t xml:space="preserve">P3</x:t>
        </x:is>
      </x:c>
      <x:c r="F82" s="204" t="inlineStr">
        <x:is>
          <x:t xml:space="preserve">Validation</x:t>
        </x:is>
      </x:c>
      <x:c r="G82" s="204" t="inlineStr">
        <x:is>
          <x:t xml:space="preserve">SCAFFOLD / EVIDENCE PENDING</x:t>
        </x:is>
      </x:c>
      <x:c r="H82" s="204" t="inlineStr">
        <x:is>
          <x:t xml:space="preserve">UNKNOWN</x:t>
        </x:is>
      </x:c>
      <x:c r="I82" s="204" t="inlineStr">
        <x:is>
          <x:t xml:space="preserve">UNKNOWN</x:t>
        </x:is>
      </x:c>
      <x:c r="J82" s="204" t="inlineStr">
        <x:is>
          <x:t xml:space="preserve">UNKNOWN</x:t>
        </x:is>
      </x:c>
      <x:c r="K82" s="204" t="inlineStr">
        <x:is>
          <x:t xml:space="preserve">UNKNOWN</x:t>
        </x:is>
      </x:c>
      <x:c r="L82" s="204" t="inlineStr">
        <x:is>
          <x:t xml:space="preserve">UNKNOWN</x:t>
        </x:is>
      </x:c>
      <x:c r="M82" s="204" t="inlineStr">
        <x:is>
          <x:t xml:space="preserve">UNKNOWN</x:t>
        </x:is>
      </x:c>
      <x:c r="N82" s="204" t="inlineStr">
        <x:is>
          <x:t xml:space="preserve">UNKNOWN</x:t>
        </x:is>
      </x:c>
      <x:c r="O82" s="204" t="inlineStr">
        <x:is>
          <x:t xml:space="preserve">UNKNOWN</x:t>
        </x:is>
      </x:c>
      <x:c r="P82" s="204" t="inlineStr">
        <x:is>
          <x:t xml:space="preserve">UNKNOWN</x:t>
        </x:is>
      </x:c>
      <x:c r="Q82" s="204" t="inlineStr">
        <x:is>
          <x:t xml:space="preserve">UNKNOWN</x:t>
        </x:is>
      </x:c>
      <x:c r="R82" s="204" t="inlineStr">
        <x:is>
          <x:t xml:space="preserve">UNKNOWN</x:t>
        </x:is>
      </x:c>
      <x:c r="S82" s="204" t="inlineStr">
        <x:is>
          <x:t xml:space="preserve">UNKNOWN</x:t>
        </x:is>
      </x:c>
      <x:c r="T82" s="204" t="str">
        <x:f>IF(COUNTIF(H82:S82,"FAIL")&gt;0,"BLOCKED - FAIL",IF(COUNTIF(H82:S82,"UNKNOWN")&gt;0,"UNVALIDATED",IF(COUNTIF(H82:S82,"WATCH")&gt;=4,"WATCH-CAPPED","READY")))</x:f>
        <x:v>UNVALIDATED</x:v>
      </x:c>
      <x:c r="U82" s="204" t="inlineStr">
        <x:is>
          <x:t xml:space="preserve">Evidence pack and 10 historical cutoffs not yet completed</x:t>
        </x:is>
      </x:c>
      <x:c r="V82" s="204" t="inlineStr">
        <x:is>
          <x:t xml:space="preserve">Monetization, churn, content cost, platform policy, SBC</x:t>
        </x:is>
      </x:c>
      <x:c r="W82" s="204" t="n"/>
      <x:c r="X82" s="204" t="inlineStr">
        <x:is>
          <x:t xml:space="preserve">2026-09-02</x:t>
        </x:is>
      </x:c>
    </x:row>
    <x:row r="83">
      <x:c r="A83" s="204" t="inlineStr">
        <x:is>
          <x:t xml:space="preserve">ARG-079</x:t>
        </x:is>
      </x:c>
      <x:c r="B83" s="204" t="inlineStr">
        <x:is>
          <x:t xml:space="preserve">CME Group</x:t>
        </x:is>
      </x:c>
      <x:c r="C83" s="204" t="inlineStr">
        <x:is>
          <x:t xml:space="preserve">CME</x:t>
        </x:is>
      </x:c>
      <x:c r="D83" s="204" t="inlineStr">
        <x:is>
          <x:t xml:space="preserve">Business Services &amp; Exchanges</x:t>
        </x:is>
      </x:c>
      <x:c r="E83" s="204" t="inlineStr">
        <x:is>
          <x:t xml:space="preserve">P3</x:t>
        </x:is>
      </x:c>
      <x:c r="F83" s="204" t="inlineStr">
        <x:is>
          <x:t xml:space="preserve">Validation</x:t>
        </x:is>
      </x:c>
      <x:c r="G83" s="204" t="inlineStr">
        <x:is>
          <x:t xml:space="preserve">SCAFFOLD / EVIDENCE PENDING</x:t>
        </x:is>
      </x:c>
      <x:c r="H83" s="204" t="inlineStr">
        <x:is>
          <x:t xml:space="preserve">UNKNOWN</x:t>
        </x:is>
      </x:c>
      <x:c r="I83" s="204" t="inlineStr">
        <x:is>
          <x:t xml:space="preserve">UNKNOWN</x:t>
        </x:is>
      </x:c>
      <x:c r="J83" s="204" t="inlineStr">
        <x:is>
          <x:t xml:space="preserve">UNKNOWN</x:t>
        </x:is>
      </x:c>
      <x:c r="K83" s="204" t="inlineStr">
        <x:is>
          <x:t xml:space="preserve">UNKNOWN</x:t>
        </x:is>
      </x:c>
      <x:c r="L83" s="204" t="inlineStr">
        <x:is>
          <x:t xml:space="preserve">UNKNOWN</x:t>
        </x:is>
      </x:c>
      <x:c r="M83" s="204" t="inlineStr">
        <x:is>
          <x:t xml:space="preserve">UNKNOWN</x:t>
        </x:is>
      </x:c>
      <x:c r="N83" s="204" t="inlineStr">
        <x:is>
          <x:t xml:space="preserve">UNKNOWN</x:t>
        </x:is>
      </x:c>
      <x:c r="O83" s="204" t="inlineStr">
        <x:is>
          <x:t xml:space="preserve">UNKNOWN</x:t>
        </x:is>
      </x:c>
      <x:c r="P83" s="204" t="inlineStr">
        <x:is>
          <x:t xml:space="preserve">UNKNOWN</x:t>
        </x:is>
      </x:c>
      <x:c r="Q83" s="204" t="inlineStr">
        <x:is>
          <x:t xml:space="preserve">UNKNOWN</x:t>
        </x:is>
      </x:c>
      <x:c r="R83" s="204" t="inlineStr">
        <x:is>
          <x:t xml:space="preserve">UNKNOWN</x:t>
        </x:is>
      </x:c>
      <x:c r="S83" s="204" t="inlineStr">
        <x:is>
          <x:t xml:space="preserve">UNKNOWN</x:t>
        </x:is>
      </x:c>
      <x:c r="T83" s="204" t="str">
        <x:f>IF(COUNTIF(H83:S83,"FAIL")&gt;0,"BLOCKED - FAIL",IF(COUNTIF(H83:S83,"UNKNOWN")&gt;0,"UNVALIDATED",IF(COUNTIF(H83:S83,"WATCH")&gt;=4,"WATCH-CAPPED","READY")))</x:f>
        <x:v>UNVALIDATED</x:v>
      </x:c>
      <x:c r="U83" s="204" t="inlineStr">
        <x:is>
          <x:t xml:space="preserve">Evidence pack and 10 historical cutoffs not yet completed</x:t>
        </x:is>
      </x:c>
      <x:c r="V83" s="204" t="inlineStr">
        <x:is>
          <x:t xml:space="preserve">Recurring revenue, pricing, transaction sensitivity, capital allocation</x:t>
        </x:is>
      </x:c>
      <x:c r="W83" s="204" t="n"/>
      <x:c r="X83" s="204" t="inlineStr">
        <x:is>
          <x:t xml:space="preserve">2026-09-02</x:t>
        </x:is>
      </x:c>
    </x:row>
    <x:row r="84">
      <x:c r="A84" s="204" t="inlineStr">
        <x:is>
          <x:t xml:space="preserve">ARG-080</x:t>
        </x:is>
      </x:c>
      <x:c r="B84" s="204" t="inlineStr">
        <x:is>
          <x:t xml:space="preserve">Intuitive Surgical</x:t>
        </x:is>
      </x:c>
      <x:c r="C84" s="204" t="inlineStr">
        <x:is>
          <x:t xml:space="preserve">ISRG</x:t>
        </x:is>
      </x:c>
      <x:c r="D84" s="204" t="inlineStr">
        <x:is>
          <x:t xml:space="preserve">Medical Devices</x:t>
        </x:is>
      </x:c>
      <x:c r="E84" s="204" t="inlineStr">
        <x:is>
          <x:t xml:space="preserve">P3</x:t>
        </x:is>
      </x:c>
      <x:c r="F84" s="204" t="inlineStr">
        <x:is>
          <x:t xml:space="preserve">Validation</x:t>
        </x:is>
      </x:c>
      <x:c r="G84" s="204" t="inlineStr">
        <x:is>
          <x:t xml:space="preserve">SCAFFOLD / EVIDENCE PENDING</x:t>
        </x:is>
      </x:c>
      <x:c r="H84" s="204" t="inlineStr">
        <x:is>
          <x:t xml:space="preserve">UNKNOWN</x:t>
        </x:is>
      </x:c>
      <x:c r="I84" s="204" t="inlineStr">
        <x:is>
          <x:t xml:space="preserve">UNKNOWN</x:t>
        </x:is>
      </x:c>
      <x:c r="J84" s="204" t="inlineStr">
        <x:is>
          <x:t xml:space="preserve">UNKNOWN</x:t>
        </x:is>
      </x:c>
      <x:c r="K84" s="204" t="inlineStr">
        <x:is>
          <x:t xml:space="preserve">UNKNOWN</x:t>
        </x:is>
      </x:c>
      <x:c r="L84" s="204" t="inlineStr">
        <x:is>
          <x:t xml:space="preserve">UNKNOWN</x:t>
        </x:is>
      </x:c>
      <x:c r="M84" s="204" t="inlineStr">
        <x:is>
          <x:t xml:space="preserve">UNKNOWN</x:t>
        </x:is>
      </x:c>
      <x:c r="N84" s="204" t="inlineStr">
        <x:is>
          <x:t xml:space="preserve">UNKNOWN</x:t>
        </x:is>
      </x:c>
      <x:c r="O84" s="204" t="inlineStr">
        <x:is>
          <x:t xml:space="preserve">UNKNOWN</x:t>
        </x:is>
      </x:c>
      <x:c r="P84" s="204" t="inlineStr">
        <x:is>
          <x:t xml:space="preserve">UNKNOWN</x:t>
        </x:is>
      </x:c>
      <x:c r="Q84" s="204" t="inlineStr">
        <x:is>
          <x:t xml:space="preserve">UNKNOWN</x:t>
        </x:is>
      </x:c>
      <x:c r="R84" s="204" t="inlineStr">
        <x:is>
          <x:t xml:space="preserve">UNKNOWN</x:t>
        </x:is>
      </x:c>
      <x:c r="S84" s="204" t="inlineStr">
        <x:is>
          <x:t xml:space="preserve">UNKNOWN</x:t>
        </x:is>
      </x:c>
      <x:c r="T84" s="204" t="str">
        <x:f>IF(COUNTIF(H84:S84,"FAIL")&gt;0,"BLOCKED - FAIL",IF(COUNTIF(H84:S84,"UNKNOWN")&gt;0,"UNVALIDATED",IF(COUNTIF(H84:S84,"WATCH")&gt;=4,"WATCH-CAPPED","READY")))</x:f>
        <x:v>UNVALIDATED</x:v>
      </x:c>
      <x:c r="U84" s="204" t="inlineStr">
        <x:is>
          <x:t xml:space="preserve">Evidence pack and 10 historical cutoffs not yet completed</x:t>
        </x:is>
      </x:c>
      <x:c r="V84" s="204" t="inlineStr">
        <x:is>
          <x:t xml:space="preserve">Procedure growth, utilization, safety, recurring instrument economics</x:t>
        </x:is>
      </x:c>
      <x:c r="W84" s="204" t="n"/>
      <x:c r="X84" s="204" t="inlineStr">
        <x:is>
          <x:t xml:space="preserve">2026-09-02</x:t>
        </x:is>
      </x:c>
    </x:row>
    <x:row r="85">
      <x:c r="A85" s="204" t="inlineStr">
        <x:is>
          <x:t xml:space="preserve">ARG-081</x:t>
        </x:is>
      </x:c>
      <x:c r="B85" s="204" t="inlineStr">
        <x:is>
          <x:t xml:space="preserve">International Seaways</x:t>
        </x:is>
      </x:c>
      <x:c r="C85" s="204" t="inlineStr">
        <x:is>
          <x:t xml:space="preserve">INSW</x:t>
        </x:is>
      </x:c>
      <x:c r="D85" s="204" t="inlineStr">
        <x:is>
          <x:t xml:space="preserve">Shipping</x:t>
        </x:is>
      </x:c>
      <x:c r="E85" s="204" t="inlineStr">
        <x:is>
          <x:t xml:space="preserve">P1</x:t>
        </x:is>
      </x:c>
      <x:c r="F85" s="204" t="inlineStr">
        <x:is>
          <x:t xml:space="preserve">Holdout</x:t>
        </x:is>
      </x:c>
      <x:c r="G85" s="204" t="str">
        <x:v>DEEP REVIEW AVAILABLE</x:v>
      </x:c>
      <x:c r="H85" s="204" t="str">
        <x:v>PASS</x:v>
      </x:c>
      <x:c r="I85" s="204" t="str">
        <x:v>WATCH</x:v>
      </x:c>
      <x:c r="J85" s="204" t="str">
        <x:v>FAIL</x:v>
      </x:c>
      <x:c r="K85" s="204" t="str">
        <x:v>WATCH</x:v>
      </x:c>
      <x:c r="L85" s="204" t="str">
        <x:v>PASS</x:v>
      </x:c>
      <x:c r="M85" s="204" t="str">
        <x:v>PASS</x:v>
      </x:c>
      <x:c r="N85" s="204" t="str">
        <x:v>PASS</x:v>
      </x:c>
      <x:c r="O85" s="204" t="str">
        <x:v>WATCH</x:v>
      </x:c>
      <x:c r="P85" s="204" t="str">
        <x:v>PASS</x:v>
      </x:c>
      <x:c r="Q85" s="204" t="str">
        <x:v>WATCH</x:v>
      </x:c>
      <x:c r="R85" s="204" t="str">
        <x:v>WATCH</x:v>
      </x:c>
      <x:c r="S85" s="204" t="str">
        <x:v>WATCH</x:v>
      </x:c>
      <x:c r="T85" s="204" t="str">
        <x:f>IF(COUNTIF(H85:S85,"FAIL")&gt;0,"BLOCKED - FAIL",IF(COUNTIF(H85:S85,"UNKNOWN")&gt;0,"UNVALIDATED",IF(COUNTIF(H85:S85,"WATCH")&gt;=4,"WATCH-CAPPED","READY")))</x:f>
        <x:v>BLOCKED - FAIL</x:v>
      </x:c>
      <x:c r="U85" s="204" t="str">
        <x:v>Segment-normalized TCE, fleet renewal cost and discount-to-NAV</x:v>
      </x:c>
      <x:c r="V85" s="204" t="str">
        <x:v>SITUATIONAL ONLY — segment NAV/TCE and replacement-capex test required</x:v>
      </x:c>
      <x:c r="W85" s="204" t="n"/>
      <x:c r="X85" s="204" t="str">
        <x:v>2026-09-02</x:v>
      </x:c>
    </x:row>
    <x:row r="86">
      <x:c r="A86" s="204" t="inlineStr">
        <x:is>
          <x:t xml:space="preserve">ARG-082</x:t>
        </x:is>
      </x:c>
      <x:c r="B86" s="204" t="inlineStr">
        <x:is>
          <x:t xml:space="preserve">Frontline</x:t>
        </x:is>
      </x:c>
      <x:c r="C86" s="204" t="inlineStr">
        <x:is>
          <x:t xml:space="preserve">FRO</x:t>
        </x:is>
      </x:c>
      <x:c r="D86" s="204" t="inlineStr">
        <x:is>
          <x:t xml:space="preserve">Shipping</x:t>
        </x:is>
      </x:c>
      <x:c r="E86" s="204" t="inlineStr">
        <x:is>
          <x:t xml:space="preserve">P1</x:t>
        </x:is>
      </x:c>
      <x:c r="F86" s="204" t="inlineStr">
        <x:is>
          <x:t xml:space="preserve">Holdout</x:t>
        </x:is>
      </x:c>
      <x:c r="G86" s="204" t="str">
        <x:v>DEEP REVIEW AVAILABLE</x:v>
      </x:c>
      <x:c r="H86" s="204" t="str">
        <x:v>PASS</x:v>
      </x:c>
      <x:c r="I86" s="204" t="str">
        <x:v>WATCH</x:v>
      </x:c>
      <x:c r="J86" s="204" t="str">
        <x:v>FAIL</x:v>
      </x:c>
      <x:c r="K86" s="204" t="str">
        <x:v>WATCH</x:v>
      </x:c>
      <x:c r="L86" s="204" t="str">
        <x:v>WATCH</x:v>
      </x:c>
      <x:c r="M86" s="204" t="str">
        <x:v>PASS</x:v>
      </x:c>
      <x:c r="N86" s="204" t="str">
        <x:v>WATCH</x:v>
      </x:c>
      <x:c r="O86" s="204" t="str">
        <x:v>WATCH</x:v>
      </x:c>
      <x:c r="P86" s="204" t="str">
        <x:v>PASS</x:v>
      </x:c>
      <x:c r="Q86" s="204" t="str">
        <x:v>WATCH</x:v>
      </x:c>
      <x:c r="R86" s="204" t="str">
        <x:v>WATCH</x:v>
      </x:c>
      <x:c r="S86" s="204" t="str">
        <x:v>WATCH</x:v>
      </x:c>
      <x:c r="T86" s="204" t="str">
        <x:f>IF(COUNTIF(H86:S86,"FAIL")&gt;0,"BLOCKED - FAIL",IF(COUNTIF(H86:S86,"UNKNOWN")&gt;0,"UNVALIDATED",IF(COUNTIF(H86:S86,"WATCH")&gt;=4,"WATCH-CAPPED","READY")))</x:f>
        <x:v>BLOCKED - FAIL</x:v>
      </x:c>
      <x:c r="U86" s="204" t="str">
        <x:v>Governance-adjusted NAV, normalized TCE and refinancing/fleet needs</x:v>
      </x:c>
      <x:c r="V86" s="204" t="str">
        <x:v>SITUATIONAL ONLY — governance-adjusted NAV and normalized TCE required</x:v>
      </x:c>
      <x:c r="W86" s="204" t="n"/>
      <x:c r="X86" s="204" t="str">
        <x:v>2026-09-02</x:v>
      </x:c>
    </x:row>
    <x:row r="87">
      <x:c r="A87" s="204" t="inlineStr">
        <x:is>
          <x:t xml:space="preserve">ARG-083</x:t>
        </x:is>
      </x:c>
      <x:c r="B87" s="204" t="inlineStr">
        <x:is>
          <x:t xml:space="preserve">Lloyds Banking Group</x:t>
        </x:is>
      </x:c>
      <x:c r="C87" s="204" t="inlineStr">
        <x:is>
          <x:t xml:space="preserve">LLOY</x:t>
        </x:is>
      </x:c>
      <x:c r="D87" s="204" t="inlineStr">
        <x:is>
          <x:t xml:space="preserve">Banks</x:t>
        </x:is>
      </x:c>
      <x:c r="E87" s="204" t="inlineStr">
        <x:is>
          <x:t xml:space="preserve">P3</x:t>
        </x:is>
      </x:c>
      <x:c r="F87" s="204" t="inlineStr">
        <x:is>
          <x:t xml:space="preserve">Holdout</x:t>
        </x:is>
      </x:c>
      <x:c r="G87" s="204" t="inlineStr">
        <x:is>
          <x:t xml:space="preserve">SCAFFOLD / EVIDENCE PENDING</x:t>
        </x:is>
      </x:c>
      <x:c r="H87" s="204" t="inlineStr">
        <x:is>
          <x:t xml:space="preserve">UNKNOWN</x:t>
        </x:is>
      </x:c>
      <x:c r="I87" s="204" t="inlineStr">
        <x:is>
          <x:t xml:space="preserve">UNKNOWN</x:t>
        </x:is>
      </x:c>
      <x:c r="J87" s="204" t="inlineStr">
        <x:is>
          <x:t xml:space="preserve">UNKNOWN</x:t>
        </x:is>
      </x:c>
      <x:c r="K87" s="204" t="inlineStr">
        <x:is>
          <x:t xml:space="preserve">UNKNOWN</x:t>
        </x:is>
      </x:c>
      <x:c r="L87" s="204" t="inlineStr">
        <x:is>
          <x:t xml:space="preserve">UNKNOWN</x:t>
        </x:is>
      </x:c>
      <x:c r="M87" s="204" t="inlineStr">
        <x:is>
          <x:t xml:space="preserve">UNKNOWN</x:t>
        </x:is>
      </x:c>
      <x:c r="N87" s="204" t="inlineStr">
        <x:is>
          <x:t xml:space="preserve">UNKNOWN</x:t>
        </x:is>
      </x:c>
      <x:c r="O87" s="204" t="inlineStr">
        <x:is>
          <x:t xml:space="preserve">UNKNOWN</x:t>
        </x:is>
      </x:c>
      <x:c r="P87" s="204" t="inlineStr">
        <x:is>
          <x:t xml:space="preserve">UNKNOWN</x:t>
        </x:is>
      </x:c>
      <x:c r="Q87" s="204" t="inlineStr">
        <x:is>
          <x:t xml:space="preserve">UNKNOWN</x:t>
        </x:is>
      </x:c>
      <x:c r="R87" s="204" t="inlineStr">
        <x:is>
          <x:t xml:space="preserve">UNKNOWN</x:t>
        </x:is>
      </x:c>
      <x:c r="S87" s="204" t="inlineStr">
        <x:is>
          <x:t xml:space="preserve">UNKNOWN</x:t>
        </x:is>
      </x:c>
      <x:c r="T87" s="204" t="str">
        <x:f>IF(COUNTIF(H87:S87,"FAIL")&gt;0,"BLOCKED - FAIL",IF(COUNTIF(H87:S87,"UNKNOWN")&gt;0,"UNVALIDATED",IF(COUNTIF(H87:S87,"WATCH")&gt;=4,"WATCH-CAPPED","READY")))</x:f>
        <x:v>UNVALIDATED</x:v>
      </x:c>
      <x:c r="U87" s="204" t="inlineStr">
        <x:is>
          <x:t xml:space="preserve">Evidence pack and 10 historical cutoffs not yet completed</x:t>
        </x:is>
      </x:c>
      <x:c r="V87" s="204" t="inlineStr">
        <x:is>
          <x:t xml:space="preserve">Deposit beta, credit vintages, funding, capital, loss absorption</x:t>
        </x:is>
      </x:c>
      <x:c r="W87" s="204" t="n"/>
      <x:c r="X87" s="204" t="inlineStr">
        <x:is>
          <x:t xml:space="preserve">2026-09-02</x:t>
        </x:is>
      </x:c>
    </x:row>
    <x:row r="88">
      <x:c r="A88" s="204" t="inlineStr">
        <x:is>
          <x:t xml:space="preserve">ARG-084</x:t>
        </x:is>
      </x:c>
      <x:c r="B88" s="204" t="inlineStr">
        <x:is>
          <x:t xml:space="preserve">Bank Leumi</x:t>
        </x:is>
      </x:c>
      <x:c r="C88" s="204" t="inlineStr">
        <x:is>
          <x:t xml:space="preserve">LUMI.TA</x:t>
        </x:is>
      </x:c>
      <x:c r="D88" s="204" t="inlineStr">
        <x:is>
          <x:t xml:space="preserve">Banks</x:t>
        </x:is>
      </x:c>
      <x:c r="E88" s="204" t="inlineStr">
        <x:is>
          <x:t xml:space="preserve">P3</x:t>
        </x:is>
      </x:c>
      <x:c r="F88" s="204" t="inlineStr">
        <x:is>
          <x:t xml:space="preserve">Holdout</x:t>
        </x:is>
      </x:c>
      <x:c r="G88" s="204" t="inlineStr">
        <x:is>
          <x:t xml:space="preserve">SCAFFOLD / EVIDENCE PENDING</x:t>
        </x:is>
      </x:c>
      <x:c r="H88" s="204" t="inlineStr">
        <x:is>
          <x:t xml:space="preserve">UNKNOWN</x:t>
        </x:is>
      </x:c>
      <x:c r="I88" s="204" t="inlineStr">
        <x:is>
          <x:t xml:space="preserve">UNKNOWN</x:t>
        </x:is>
      </x:c>
      <x:c r="J88" s="204" t="inlineStr">
        <x:is>
          <x:t xml:space="preserve">UNKNOWN</x:t>
        </x:is>
      </x:c>
      <x:c r="K88" s="204" t="inlineStr">
        <x:is>
          <x:t xml:space="preserve">UNKNOWN</x:t>
        </x:is>
      </x:c>
      <x:c r="L88" s="204" t="inlineStr">
        <x:is>
          <x:t xml:space="preserve">UNKNOWN</x:t>
        </x:is>
      </x:c>
      <x:c r="M88" s="204" t="inlineStr">
        <x:is>
          <x:t xml:space="preserve">UNKNOWN</x:t>
        </x:is>
      </x:c>
      <x:c r="N88" s="204" t="inlineStr">
        <x:is>
          <x:t xml:space="preserve">UNKNOWN</x:t>
        </x:is>
      </x:c>
      <x:c r="O88" s="204" t="inlineStr">
        <x:is>
          <x:t xml:space="preserve">UNKNOWN</x:t>
        </x:is>
      </x:c>
      <x:c r="P88" s="204" t="inlineStr">
        <x:is>
          <x:t xml:space="preserve">UNKNOWN</x:t>
        </x:is>
      </x:c>
      <x:c r="Q88" s="204" t="inlineStr">
        <x:is>
          <x:t xml:space="preserve">UNKNOWN</x:t>
        </x:is>
      </x:c>
      <x:c r="R88" s="204" t="inlineStr">
        <x:is>
          <x:t xml:space="preserve">UNKNOWN</x:t>
        </x:is>
      </x:c>
      <x:c r="S88" s="204" t="inlineStr">
        <x:is>
          <x:t xml:space="preserve">UNKNOWN</x:t>
        </x:is>
      </x:c>
      <x:c r="T88" s="204" t="str">
        <x:f>IF(COUNTIF(H88:S88,"FAIL")&gt;0,"BLOCKED - FAIL",IF(COUNTIF(H88:S88,"UNKNOWN")&gt;0,"UNVALIDATED",IF(COUNTIF(H88:S88,"WATCH")&gt;=4,"WATCH-CAPPED","READY")))</x:f>
        <x:v>UNVALIDATED</x:v>
      </x:c>
      <x:c r="U88" s="204" t="inlineStr">
        <x:is>
          <x:t xml:space="preserve">Evidence pack and 10 historical cutoffs not yet completed</x:t>
        </x:is>
      </x:c>
      <x:c r="V88" s="204" t="inlineStr">
        <x:is>
          <x:t xml:space="preserve">Deposit beta, credit vintages, funding, capital, loss absorption</x:t>
        </x:is>
      </x:c>
      <x:c r="W88" s="204" t="n"/>
      <x:c r="X88" s="204" t="inlineStr">
        <x:is>
          <x:t xml:space="preserve">2026-09-02</x:t>
        </x:is>
      </x:c>
    </x:row>
    <x:row r="89">
      <x:c r="A89" s="204" t="inlineStr">
        <x:is>
          <x:t xml:space="preserve">ARG-085</x:t>
        </x:is>
      </x:c>
      <x:c r="B89" s="204" t="inlineStr">
        <x:is>
          <x:t xml:space="preserve">American International Group</x:t>
        </x:is>
      </x:c>
      <x:c r="C89" s="204" t="inlineStr">
        <x:is>
          <x:t xml:space="preserve">AIG</x:t>
        </x:is>
      </x:c>
      <x:c r="D89" s="204" t="inlineStr">
        <x:is>
          <x:t xml:space="preserve">Insurance</x:t>
        </x:is>
      </x:c>
      <x:c r="E89" s="204" t="inlineStr">
        <x:is>
          <x:t xml:space="preserve">P3</x:t>
        </x:is>
      </x:c>
      <x:c r="F89" s="204" t="inlineStr">
        <x:is>
          <x:t xml:space="preserve">Holdout</x:t>
        </x:is>
      </x:c>
      <x:c r="G89" s="204" t="inlineStr">
        <x:is>
          <x:t xml:space="preserve">SCAFFOLD / EVIDENCE PENDING</x:t>
        </x:is>
      </x:c>
      <x:c r="H89" s="204" t="inlineStr">
        <x:is>
          <x:t xml:space="preserve">UNKNOWN</x:t>
        </x:is>
      </x:c>
      <x:c r="I89" s="204" t="inlineStr">
        <x:is>
          <x:t xml:space="preserve">UNKNOWN</x:t>
        </x:is>
      </x:c>
      <x:c r="J89" s="204" t="inlineStr">
        <x:is>
          <x:t xml:space="preserve">UNKNOWN</x:t>
        </x:is>
      </x:c>
      <x:c r="K89" s="204" t="inlineStr">
        <x:is>
          <x:t xml:space="preserve">UNKNOWN</x:t>
        </x:is>
      </x:c>
      <x:c r="L89" s="204" t="inlineStr">
        <x:is>
          <x:t xml:space="preserve">UNKNOWN</x:t>
        </x:is>
      </x:c>
      <x:c r="M89" s="204" t="inlineStr">
        <x:is>
          <x:t xml:space="preserve">UNKNOWN</x:t>
        </x:is>
      </x:c>
      <x:c r="N89" s="204" t="inlineStr">
        <x:is>
          <x:t xml:space="preserve">UNKNOWN</x:t>
        </x:is>
      </x:c>
      <x:c r="O89" s="204" t="inlineStr">
        <x:is>
          <x:t xml:space="preserve">UNKNOWN</x:t>
        </x:is>
      </x:c>
      <x:c r="P89" s="204" t="inlineStr">
        <x:is>
          <x:t xml:space="preserve">UNKNOWN</x:t>
        </x:is>
      </x:c>
      <x:c r="Q89" s="204" t="inlineStr">
        <x:is>
          <x:t xml:space="preserve">UNKNOWN</x:t>
        </x:is>
      </x:c>
      <x:c r="R89" s="204" t="inlineStr">
        <x:is>
          <x:t xml:space="preserve">UNKNOWN</x:t>
        </x:is>
      </x:c>
      <x:c r="S89" s="204" t="inlineStr">
        <x:is>
          <x:t xml:space="preserve">UNKNOWN</x:t>
        </x:is>
      </x:c>
      <x:c r="T89" s="204" t="str">
        <x:f>IF(COUNTIF(H89:S89,"FAIL")&gt;0,"BLOCKED - FAIL",IF(COUNTIF(H89:S89,"UNKNOWN")&gt;0,"UNVALIDATED",IF(COUNTIF(H89:S89,"WATCH")&gt;=4,"WATCH-CAPPED","READY")))</x:f>
        <x:v>UNVALIDATED</x:v>
      </x:c>
      <x:c r="U89" s="204" t="inlineStr">
        <x:is>
          <x:t xml:space="preserve">Evidence pack and 10 historical cutoffs not yet completed</x:t>
        </x:is>
      </x:c>
      <x:c r="V89" s="204" t="inlineStr">
        <x:is>
          <x:t xml:space="preserve">Reserve development, underwriting cycle, float cost, investment risk</x:t>
        </x:is>
      </x:c>
      <x:c r="W89" s="204" t="n"/>
      <x:c r="X89" s="204" t="inlineStr">
        <x:is>
          <x:t xml:space="preserve">2026-09-02</x:t>
        </x:is>
      </x:c>
    </x:row>
    <x:row r="90">
      <x:c r="A90" s="204" t="inlineStr">
        <x:is>
          <x:t xml:space="preserve">ARG-086</x:t>
        </x:is>
      </x:c>
      <x:c r="B90" s="204" t="inlineStr">
        <x:is>
          <x:t xml:space="preserve">Travelers</x:t>
        </x:is>
      </x:c>
      <x:c r="C90" s="204" t="inlineStr">
        <x:is>
          <x:t xml:space="preserve">TRV</x:t>
        </x:is>
      </x:c>
      <x:c r="D90" s="204" t="inlineStr">
        <x:is>
          <x:t xml:space="preserve">Insurance</x:t>
        </x:is>
      </x:c>
      <x:c r="E90" s="204" t="inlineStr">
        <x:is>
          <x:t xml:space="preserve">P3</x:t>
        </x:is>
      </x:c>
      <x:c r="F90" s="204" t="inlineStr">
        <x:is>
          <x:t xml:space="preserve">Holdout</x:t>
        </x:is>
      </x:c>
      <x:c r="G90" s="204" t="inlineStr">
        <x:is>
          <x:t xml:space="preserve">SCAFFOLD / EVIDENCE PENDING</x:t>
        </x:is>
      </x:c>
      <x:c r="H90" s="204" t="inlineStr">
        <x:is>
          <x:t xml:space="preserve">UNKNOWN</x:t>
        </x:is>
      </x:c>
      <x:c r="I90" s="204" t="inlineStr">
        <x:is>
          <x:t xml:space="preserve">UNKNOWN</x:t>
        </x:is>
      </x:c>
      <x:c r="J90" s="204" t="inlineStr">
        <x:is>
          <x:t xml:space="preserve">UNKNOWN</x:t>
        </x:is>
      </x:c>
      <x:c r="K90" s="204" t="inlineStr">
        <x:is>
          <x:t xml:space="preserve">UNKNOWN</x:t>
        </x:is>
      </x:c>
      <x:c r="L90" s="204" t="inlineStr">
        <x:is>
          <x:t xml:space="preserve">UNKNOWN</x:t>
        </x:is>
      </x:c>
      <x:c r="M90" s="204" t="inlineStr">
        <x:is>
          <x:t xml:space="preserve">UNKNOWN</x:t>
        </x:is>
      </x:c>
      <x:c r="N90" s="204" t="inlineStr">
        <x:is>
          <x:t xml:space="preserve">UNKNOWN</x:t>
        </x:is>
      </x:c>
      <x:c r="O90" s="204" t="inlineStr">
        <x:is>
          <x:t xml:space="preserve">UNKNOWN</x:t>
        </x:is>
      </x:c>
      <x:c r="P90" s="204" t="inlineStr">
        <x:is>
          <x:t xml:space="preserve">UNKNOWN</x:t>
        </x:is>
      </x:c>
      <x:c r="Q90" s="204" t="inlineStr">
        <x:is>
          <x:t xml:space="preserve">UNKNOWN</x:t>
        </x:is>
      </x:c>
      <x:c r="R90" s="204" t="inlineStr">
        <x:is>
          <x:t xml:space="preserve">UNKNOWN</x:t>
        </x:is>
      </x:c>
      <x:c r="S90" s="204" t="inlineStr">
        <x:is>
          <x:t xml:space="preserve">UNKNOWN</x:t>
        </x:is>
      </x:c>
      <x:c r="T90" s="204" t="str">
        <x:f>IF(COUNTIF(H90:S90,"FAIL")&gt;0,"BLOCKED - FAIL",IF(COUNTIF(H90:S90,"UNKNOWN")&gt;0,"UNVALIDATED",IF(COUNTIF(H90:S90,"WATCH")&gt;=4,"WATCH-CAPPED","READY")))</x:f>
        <x:v>UNVALIDATED</x:v>
      </x:c>
      <x:c r="U90" s="204" t="inlineStr">
        <x:is>
          <x:t xml:space="preserve">Evidence pack and 10 historical cutoffs not yet completed</x:t>
        </x:is>
      </x:c>
      <x:c r="V90" s="204" t="inlineStr">
        <x:is>
          <x:t xml:space="preserve">Reserve development, underwriting cycle, float cost, investment risk</x:t>
        </x:is>
      </x:c>
      <x:c r="W90" s="204" t="n"/>
      <x:c r="X90" s="204" t="inlineStr">
        <x:is>
          <x:t xml:space="preserve">2026-09-02</x:t>
        </x:is>
      </x:c>
    </x:row>
    <x:row r="91">
      <x:c r="A91" s="204" t="inlineStr">
        <x:is>
          <x:t xml:space="preserve">ARG-087</x:t>
        </x:is>
      </x:c>
      <x:c r="B91" s="204" t="inlineStr">
        <x:is>
          <x:t xml:space="preserve">Regeneron Pharmaceuticals</x:t>
        </x:is>
      </x:c>
      <x:c r="C91" s="204" t="inlineStr">
        <x:is>
          <x:t xml:space="preserve">REGN</x:t>
        </x:is>
      </x:c>
      <x:c r="D91" s="204" t="inlineStr">
        <x:is>
          <x:t xml:space="preserve">Healthcare &amp; Biopharma</x:t>
        </x:is>
      </x:c>
      <x:c r="E91" s="204" t="inlineStr">
        <x:is>
          <x:t xml:space="preserve">P3</x:t>
        </x:is>
      </x:c>
      <x:c r="F91" s="204" t="inlineStr">
        <x:is>
          <x:t xml:space="preserve">Holdout</x:t>
        </x:is>
      </x:c>
      <x:c r="G91" s="204" t="inlineStr">
        <x:is>
          <x:t xml:space="preserve">SCAFFOLD / EVIDENCE PENDING</x:t>
        </x:is>
      </x:c>
      <x:c r="H91" s="204" t="inlineStr">
        <x:is>
          <x:t xml:space="preserve">UNKNOWN</x:t>
        </x:is>
      </x:c>
      <x:c r="I91" s="204" t="inlineStr">
        <x:is>
          <x:t xml:space="preserve">UNKNOWN</x:t>
        </x:is>
      </x:c>
      <x:c r="J91" s="204" t="inlineStr">
        <x:is>
          <x:t xml:space="preserve">UNKNOWN</x:t>
        </x:is>
      </x:c>
      <x:c r="K91" s="204" t="inlineStr">
        <x:is>
          <x:t xml:space="preserve">UNKNOWN</x:t>
        </x:is>
      </x:c>
      <x:c r="L91" s="204" t="inlineStr">
        <x:is>
          <x:t xml:space="preserve">UNKNOWN</x:t>
        </x:is>
      </x:c>
      <x:c r="M91" s="204" t="inlineStr">
        <x:is>
          <x:t xml:space="preserve">UNKNOWN</x:t>
        </x:is>
      </x:c>
      <x:c r="N91" s="204" t="inlineStr">
        <x:is>
          <x:t xml:space="preserve">UNKNOWN</x:t>
        </x:is>
      </x:c>
      <x:c r="O91" s="204" t="inlineStr">
        <x:is>
          <x:t xml:space="preserve">UNKNOWN</x:t>
        </x:is>
      </x:c>
      <x:c r="P91" s="204" t="inlineStr">
        <x:is>
          <x:t xml:space="preserve">UNKNOWN</x:t>
        </x:is>
      </x:c>
      <x:c r="Q91" s="204" t="inlineStr">
        <x:is>
          <x:t xml:space="preserve">UNKNOWN</x:t>
        </x:is>
      </x:c>
      <x:c r="R91" s="204" t="inlineStr">
        <x:is>
          <x:t xml:space="preserve">UNKNOWN</x:t>
        </x:is>
      </x:c>
      <x:c r="S91" s="204" t="inlineStr">
        <x:is>
          <x:t xml:space="preserve">UNKNOWN</x:t>
        </x:is>
      </x:c>
      <x:c r="T91" s="204" t="str">
        <x:f>IF(COUNTIF(H91:S91,"FAIL")&gt;0,"BLOCKED - FAIL",IF(COUNTIF(H91:S91,"UNKNOWN")&gt;0,"UNVALIDATED",IF(COUNTIF(H91:S91,"WATCH")&gt;=4,"WATCH-CAPPED","READY")))</x:f>
        <x:v>UNVALIDATED</x:v>
      </x:c>
      <x:c r="U91" s="204" t="inlineStr">
        <x:is>
          <x:t xml:space="preserve">Evidence pack and 10 historical cutoffs not yet completed</x:t>
        </x:is>
      </x:c>
      <x:c r="V91" s="204" t="inlineStr">
        <x:is>
          <x:t xml:space="preserve">Patient access, safety, probability-adjusted pipeline, concentration</x:t>
        </x:is>
      </x:c>
      <x:c r="W91" s="204" t="n"/>
      <x:c r="X91" s="204" t="inlineStr">
        <x:is>
          <x:t xml:space="preserve">2026-09-02</x:t>
        </x:is>
      </x:c>
    </x:row>
    <x:row r="92">
      <x:c r="A92" s="204" t="inlineStr">
        <x:is>
          <x:t xml:space="preserve">ARG-088</x:t>
        </x:is>
      </x:c>
      <x:c r="B92" s="204" t="inlineStr">
        <x:is>
          <x:t xml:space="preserve">Vertex Pharmaceuticals</x:t>
        </x:is>
      </x:c>
      <x:c r="C92" s="204" t="inlineStr">
        <x:is>
          <x:t xml:space="preserve">VRTX</x:t>
        </x:is>
      </x:c>
      <x:c r="D92" s="204" t="inlineStr">
        <x:is>
          <x:t xml:space="preserve">Healthcare &amp; Biopharma</x:t>
        </x:is>
      </x:c>
      <x:c r="E92" s="204" t="inlineStr">
        <x:is>
          <x:t xml:space="preserve">P3</x:t>
        </x:is>
      </x:c>
      <x:c r="F92" s="204" t="inlineStr">
        <x:is>
          <x:t xml:space="preserve">Holdout</x:t>
        </x:is>
      </x:c>
      <x:c r="G92" s="204" t="inlineStr">
        <x:is>
          <x:t xml:space="preserve">SCAFFOLD / EVIDENCE PENDING</x:t>
        </x:is>
      </x:c>
      <x:c r="H92" s="204" t="inlineStr">
        <x:is>
          <x:t xml:space="preserve">UNKNOWN</x:t>
        </x:is>
      </x:c>
      <x:c r="I92" s="204" t="inlineStr">
        <x:is>
          <x:t xml:space="preserve">UNKNOWN</x:t>
        </x:is>
      </x:c>
      <x:c r="J92" s="204" t="inlineStr">
        <x:is>
          <x:t xml:space="preserve">UNKNOWN</x:t>
        </x:is>
      </x:c>
      <x:c r="K92" s="204" t="inlineStr">
        <x:is>
          <x:t xml:space="preserve">UNKNOWN</x:t>
        </x:is>
      </x:c>
      <x:c r="L92" s="204" t="inlineStr">
        <x:is>
          <x:t xml:space="preserve">UNKNOWN</x:t>
        </x:is>
      </x:c>
      <x:c r="M92" s="204" t="inlineStr">
        <x:is>
          <x:t xml:space="preserve">UNKNOWN</x:t>
        </x:is>
      </x:c>
      <x:c r="N92" s="204" t="inlineStr">
        <x:is>
          <x:t xml:space="preserve">UNKNOWN</x:t>
        </x:is>
      </x:c>
      <x:c r="O92" s="204" t="inlineStr">
        <x:is>
          <x:t xml:space="preserve">UNKNOWN</x:t>
        </x:is>
      </x:c>
      <x:c r="P92" s="204" t="inlineStr">
        <x:is>
          <x:t xml:space="preserve">UNKNOWN</x:t>
        </x:is>
      </x:c>
      <x:c r="Q92" s="204" t="inlineStr">
        <x:is>
          <x:t xml:space="preserve">UNKNOWN</x:t>
        </x:is>
      </x:c>
      <x:c r="R92" s="204" t="inlineStr">
        <x:is>
          <x:t xml:space="preserve">UNKNOWN</x:t>
        </x:is>
      </x:c>
      <x:c r="S92" s="204" t="inlineStr">
        <x:is>
          <x:t xml:space="preserve">UNKNOWN</x:t>
        </x:is>
      </x:c>
      <x:c r="T92" s="204" t="str">
        <x:f>IF(COUNTIF(H92:S92,"FAIL")&gt;0,"BLOCKED - FAIL",IF(COUNTIF(H92:S92,"UNKNOWN")&gt;0,"UNVALIDATED",IF(COUNTIF(H92:S92,"WATCH")&gt;=4,"WATCH-CAPPED","READY")))</x:f>
        <x:v>UNVALIDATED</x:v>
      </x:c>
      <x:c r="U92" s="204" t="inlineStr">
        <x:is>
          <x:t xml:space="preserve">Evidence pack and 10 historical cutoffs not yet completed</x:t>
        </x:is>
      </x:c>
      <x:c r="V92" s="204" t="inlineStr">
        <x:is>
          <x:t xml:space="preserve">Patient access, safety, probability-adjusted pipeline, concentration</x:t>
        </x:is>
      </x:c>
      <x:c r="W92" s="204" t="n"/>
      <x:c r="X92" s="204" t="inlineStr">
        <x:is>
          <x:t xml:space="preserve">2026-09-02</x:t>
        </x:is>
      </x:c>
    </x:row>
    <x:row r="93">
      <x:c r="A93" s="204" t="inlineStr">
        <x:is>
          <x:t xml:space="preserve">ARG-089</x:t>
        </x:is>
      </x:c>
      <x:c r="B93" s="204" t="inlineStr">
        <x:is>
          <x:t xml:space="preserve">UnitedHealth Group</x:t>
        </x:is>
      </x:c>
      <x:c r="C93" s="204" t="inlineStr">
        <x:is>
          <x:t xml:space="preserve">UNH</x:t>
        </x:is>
      </x:c>
      <x:c r="D93" s="204" t="inlineStr">
        <x:is>
          <x:t xml:space="preserve">Healthcare &amp; Biopharma</x:t>
        </x:is>
      </x:c>
      <x:c r="E93" s="204" t="inlineStr">
        <x:is>
          <x:t xml:space="preserve">P3</x:t>
        </x:is>
      </x:c>
      <x:c r="F93" s="204" t="inlineStr">
        <x:is>
          <x:t xml:space="preserve">Holdout</x:t>
        </x:is>
      </x:c>
      <x:c r="G93" s="204" t="inlineStr">
        <x:is>
          <x:t xml:space="preserve">SCAFFOLD / EVIDENCE PENDING</x:t>
        </x:is>
      </x:c>
      <x:c r="H93" s="204" t="inlineStr">
        <x:is>
          <x:t xml:space="preserve">UNKNOWN</x:t>
        </x:is>
      </x:c>
      <x:c r="I93" s="204" t="inlineStr">
        <x:is>
          <x:t xml:space="preserve">UNKNOWN</x:t>
        </x:is>
      </x:c>
      <x:c r="J93" s="204" t="inlineStr">
        <x:is>
          <x:t xml:space="preserve">UNKNOWN</x:t>
        </x:is>
      </x:c>
      <x:c r="K93" s="204" t="inlineStr">
        <x:is>
          <x:t xml:space="preserve">UNKNOWN</x:t>
        </x:is>
      </x:c>
      <x:c r="L93" s="204" t="inlineStr">
        <x:is>
          <x:t xml:space="preserve">UNKNOWN</x:t>
        </x:is>
      </x:c>
      <x:c r="M93" s="204" t="inlineStr">
        <x:is>
          <x:t xml:space="preserve">UNKNOWN</x:t>
        </x:is>
      </x:c>
      <x:c r="N93" s="204" t="inlineStr">
        <x:is>
          <x:t xml:space="preserve">UNKNOWN</x:t>
        </x:is>
      </x:c>
      <x:c r="O93" s="204" t="inlineStr">
        <x:is>
          <x:t xml:space="preserve">UNKNOWN</x:t>
        </x:is>
      </x:c>
      <x:c r="P93" s="204" t="inlineStr">
        <x:is>
          <x:t xml:space="preserve">UNKNOWN</x:t>
        </x:is>
      </x:c>
      <x:c r="Q93" s="204" t="inlineStr">
        <x:is>
          <x:t xml:space="preserve">UNKNOWN</x:t>
        </x:is>
      </x:c>
      <x:c r="R93" s="204" t="inlineStr">
        <x:is>
          <x:t xml:space="preserve">UNKNOWN</x:t>
        </x:is>
      </x:c>
      <x:c r="S93" s="204" t="inlineStr">
        <x:is>
          <x:t xml:space="preserve">UNKNOWN</x:t>
        </x:is>
      </x:c>
      <x:c r="T93" s="204" t="str">
        <x:f>IF(COUNTIF(H93:S93,"FAIL")&gt;0,"BLOCKED - FAIL",IF(COUNTIF(H93:S93,"UNKNOWN")&gt;0,"UNVALIDATED",IF(COUNTIF(H93:S93,"WATCH")&gt;=4,"WATCH-CAPPED","READY")))</x:f>
        <x:v>UNVALIDATED</x:v>
      </x:c>
      <x:c r="U93" s="204" t="inlineStr">
        <x:is>
          <x:t xml:space="preserve">Evidence pack and 10 historical cutoffs not yet completed</x:t>
        </x:is>
      </x:c>
      <x:c r="V93" s="204" t="inlineStr">
        <x:is>
          <x:t xml:space="preserve">Patient access, safety, probability-adjusted pipeline, concentration</x:t>
        </x:is>
      </x:c>
      <x:c r="W93" s="204" t="n"/>
      <x:c r="X93" s="204" t="inlineStr">
        <x:is>
          <x:t xml:space="preserve">2026-09-02</x:t>
        </x:is>
      </x:c>
    </x:row>
    <x:row r="94">
      <x:c r="A94" s="204" t="inlineStr">
        <x:is>
          <x:t xml:space="preserve">ARG-090</x:t>
        </x:is>
      </x:c>
      <x:c r="B94" s="204" t="inlineStr">
        <x:is>
          <x:t xml:space="preserve">PepsiCo</x:t>
        </x:is>
      </x:c>
      <x:c r="C94" s="204" t="inlineStr">
        <x:is>
          <x:t xml:space="preserve">PEP</x:t>
        </x:is>
      </x:c>
      <x:c r="D94" s="204" t="inlineStr">
        <x:is>
          <x:t xml:space="preserve">Consumer</x:t>
        </x:is>
      </x:c>
      <x:c r="E94" s="204" t="inlineStr">
        <x:is>
          <x:t xml:space="preserve">P3</x:t>
        </x:is>
      </x:c>
      <x:c r="F94" s="204" t="inlineStr">
        <x:is>
          <x:t xml:space="preserve">Holdout</x:t>
        </x:is>
      </x:c>
      <x:c r="G94" s="204" t="inlineStr">
        <x:is>
          <x:t xml:space="preserve">SCAFFOLD / EVIDENCE PENDING</x:t>
        </x:is>
      </x:c>
      <x:c r="H94" s="204" t="inlineStr">
        <x:is>
          <x:t xml:space="preserve">UNKNOWN</x:t>
        </x:is>
      </x:c>
      <x:c r="I94" s="204" t="inlineStr">
        <x:is>
          <x:t xml:space="preserve">UNKNOWN</x:t>
        </x:is>
      </x:c>
      <x:c r="J94" s="204" t="inlineStr">
        <x:is>
          <x:t xml:space="preserve">UNKNOWN</x:t>
        </x:is>
      </x:c>
      <x:c r="K94" s="204" t="inlineStr">
        <x:is>
          <x:t xml:space="preserve">UNKNOWN</x:t>
        </x:is>
      </x:c>
      <x:c r="L94" s="204" t="inlineStr">
        <x:is>
          <x:t xml:space="preserve">UNKNOWN</x:t>
        </x:is>
      </x:c>
      <x:c r="M94" s="204" t="inlineStr">
        <x:is>
          <x:t xml:space="preserve">UNKNOWN</x:t>
        </x:is>
      </x:c>
      <x:c r="N94" s="204" t="inlineStr">
        <x:is>
          <x:t xml:space="preserve">UNKNOWN</x:t>
        </x:is>
      </x:c>
      <x:c r="O94" s="204" t="inlineStr">
        <x:is>
          <x:t xml:space="preserve">UNKNOWN</x:t>
        </x:is>
      </x:c>
      <x:c r="P94" s="204" t="inlineStr">
        <x:is>
          <x:t xml:space="preserve">UNKNOWN</x:t>
        </x:is>
      </x:c>
      <x:c r="Q94" s="204" t="inlineStr">
        <x:is>
          <x:t xml:space="preserve">UNKNOWN</x:t>
        </x:is>
      </x:c>
      <x:c r="R94" s="204" t="inlineStr">
        <x:is>
          <x:t xml:space="preserve">UNKNOWN</x:t>
        </x:is>
      </x:c>
      <x:c r="S94" s="204" t="inlineStr">
        <x:is>
          <x:t xml:space="preserve">UNKNOWN</x:t>
        </x:is>
      </x:c>
      <x:c r="T94" s="204" t="str">
        <x:f>IF(COUNTIF(H94:S94,"FAIL")&gt;0,"BLOCKED - FAIL",IF(COUNTIF(H94:S94,"UNKNOWN")&gt;0,"UNVALIDATED",IF(COUNTIF(H94:S94,"WATCH")&gt;=4,"WATCH-CAPPED","READY")))</x:f>
        <x:v>UNVALIDATED</x:v>
      </x:c>
      <x:c r="U94" s="204" t="inlineStr">
        <x:is>
          <x:t xml:space="preserve">Evidence pack and 10 historical cutoffs not yet completed</x:t>
        </x:is>
      </x:c>
      <x:c r="V94" s="204" t="inlineStr">
        <x:is>
          <x:t xml:space="preserve">Volume/price mix, traffic, inventory, consumer credit, reinvestment</x:t>
        </x:is>
      </x:c>
      <x:c r="W94" s="204" t="n"/>
      <x:c r="X94" s="204" t="inlineStr">
        <x:is>
          <x:t xml:space="preserve">2026-09-02</x:t>
        </x:is>
      </x:c>
    </x:row>
    <x:row r="95">
      <x:c r="A95" s="204" t="inlineStr">
        <x:is>
          <x:t xml:space="preserve">ARG-091</x:t>
        </x:is>
      </x:c>
      <x:c r="B95" s="204" t="inlineStr">
        <x:is>
          <x:t xml:space="preserve">LVMH</x:t>
        </x:is>
      </x:c>
      <x:c r="C95" s="204" t="inlineStr">
        <x:is>
          <x:t xml:space="preserve">MC.PA</x:t>
        </x:is>
      </x:c>
      <x:c r="D95" s="204" t="inlineStr">
        <x:is>
          <x:t xml:space="preserve">Consumer</x:t>
        </x:is>
      </x:c>
      <x:c r="E95" s="204" t="inlineStr">
        <x:is>
          <x:t xml:space="preserve">P3</x:t>
        </x:is>
      </x:c>
      <x:c r="F95" s="204" t="inlineStr">
        <x:is>
          <x:t xml:space="preserve">Holdout</x:t>
        </x:is>
      </x:c>
      <x:c r="G95" s="204" t="inlineStr">
        <x:is>
          <x:t xml:space="preserve">SCAFFOLD / EVIDENCE PENDING</x:t>
        </x:is>
      </x:c>
      <x:c r="H95" s="204" t="inlineStr">
        <x:is>
          <x:t xml:space="preserve">UNKNOWN</x:t>
        </x:is>
      </x:c>
      <x:c r="I95" s="204" t="inlineStr">
        <x:is>
          <x:t xml:space="preserve">UNKNOWN</x:t>
        </x:is>
      </x:c>
      <x:c r="J95" s="204" t="inlineStr">
        <x:is>
          <x:t xml:space="preserve">UNKNOWN</x:t>
        </x:is>
      </x:c>
      <x:c r="K95" s="204" t="inlineStr">
        <x:is>
          <x:t xml:space="preserve">UNKNOWN</x:t>
        </x:is>
      </x:c>
      <x:c r="L95" s="204" t="inlineStr">
        <x:is>
          <x:t xml:space="preserve">UNKNOWN</x:t>
        </x:is>
      </x:c>
      <x:c r="M95" s="204" t="inlineStr">
        <x:is>
          <x:t xml:space="preserve">UNKNOWN</x:t>
        </x:is>
      </x:c>
      <x:c r="N95" s="204" t="inlineStr">
        <x:is>
          <x:t xml:space="preserve">UNKNOWN</x:t>
        </x:is>
      </x:c>
      <x:c r="O95" s="204" t="inlineStr">
        <x:is>
          <x:t xml:space="preserve">UNKNOWN</x:t>
        </x:is>
      </x:c>
      <x:c r="P95" s="204" t="inlineStr">
        <x:is>
          <x:t xml:space="preserve">UNKNOWN</x:t>
        </x:is>
      </x:c>
      <x:c r="Q95" s="204" t="inlineStr">
        <x:is>
          <x:t xml:space="preserve">UNKNOWN</x:t>
        </x:is>
      </x:c>
      <x:c r="R95" s="204" t="inlineStr">
        <x:is>
          <x:t xml:space="preserve">UNKNOWN</x:t>
        </x:is>
      </x:c>
      <x:c r="S95" s="204" t="inlineStr">
        <x:is>
          <x:t xml:space="preserve">UNKNOWN</x:t>
        </x:is>
      </x:c>
      <x:c r="T95" s="204" t="str">
        <x:f>IF(COUNTIF(H95:S95,"FAIL")&gt;0,"BLOCKED - FAIL",IF(COUNTIF(H95:S95,"UNKNOWN")&gt;0,"UNVALIDATED",IF(COUNTIF(H95:S95,"WATCH")&gt;=4,"WATCH-CAPPED","READY")))</x:f>
        <x:v>UNVALIDATED</x:v>
      </x:c>
      <x:c r="U95" s="204" t="inlineStr">
        <x:is>
          <x:t xml:space="preserve">Evidence pack and 10 historical cutoffs not yet completed</x:t>
        </x:is>
      </x:c>
      <x:c r="V95" s="204" t="inlineStr">
        <x:is>
          <x:t xml:space="preserve">Volume/price mix, traffic, inventory, consumer credit, reinvestment</x:t>
        </x:is>
      </x:c>
      <x:c r="W95" s="204" t="n"/>
      <x:c r="X95" s="204" t="inlineStr">
        <x:is>
          <x:t xml:space="preserve">2026-09-02</x:t>
        </x:is>
      </x:c>
    </x:row>
    <x:row r="96">
      <x:c r="A96" s="204" t="inlineStr">
        <x:is>
          <x:t xml:space="preserve">ARG-092</x:t>
        </x:is>
      </x:c>
      <x:c r="B96" s="204" t="inlineStr">
        <x:is>
          <x:t xml:space="preserve">MercadoLibre</x:t>
        </x:is>
      </x:c>
      <x:c r="C96" s="204" t="inlineStr">
        <x:is>
          <x:t xml:space="preserve">MELI</x:t>
        </x:is>
      </x:c>
      <x:c r="D96" s="204" t="inlineStr">
        <x:is>
          <x:t xml:space="preserve">Consumer</x:t>
        </x:is>
      </x:c>
      <x:c r="E96" s="204" t="inlineStr">
        <x:is>
          <x:t xml:space="preserve">P3</x:t>
        </x:is>
      </x:c>
      <x:c r="F96" s="204" t="inlineStr">
        <x:is>
          <x:t xml:space="preserve">Holdout</x:t>
        </x:is>
      </x:c>
      <x:c r="G96" s="204" t="inlineStr">
        <x:is>
          <x:t xml:space="preserve">SCAFFOLD / EVIDENCE PENDING</x:t>
        </x:is>
      </x:c>
      <x:c r="H96" s="204" t="inlineStr">
        <x:is>
          <x:t xml:space="preserve">UNKNOWN</x:t>
        </x:is>
      </x:c>
      <x:c r="I96" s="204" t="inlineStr">
        <x:is>
          <x:t xml:space="preserve">UNKNOWN</x:t>
        </x:is>
      </x:c>
      <x:c r="J96" s="204" t="inlineStr">
        <x:is>
          <x:t xml:space="preserve">UNKNOWN</x:t>
        </x:is>
      </x:c>
      <x:c r="K96" s="204" t="inlineStr">
        <x:is>
          <x:t xml:space="preserve">UNKNOWN</x:t>
        </x:is>
      </x:c>
      <x:c r="L96" s="204" t="inlineStr">
        <x:is>
          <x:t xml:space="preserve">UNKNOWN</x:t>
        </x:is>
      </x:c>
      <x:c r="M96" s="204" t="inlineStr">
        <x:is>
          <x:t xml:space="preserve">UNKNOWN</x:t>
        </x:is>
      </x:c>
      <x:c r="N96" s="204" t="inlineStr">
        <x:is>
          <x:t xml:space="preserve">UNKNOWN</x:t>
        </x:is>
      </x:c>
      <x:c r="O96" s="204" t="inlineStr">
        <x:is>
          <x:t xml:space="preserve">UNKNOWN</x:t>
        </x:is>
      </x:c>
      <x:c r="P96" s="204" t="inlineStr">
        <x:is>
          <x:t xml:space="preserve">UNKNOWN</x:t>
        </x:is>
      </x:c>
      <x:c r="Q96" s="204" t="inlineStr">
        <x:is>
          <x:t xml:space="preserve">UNKNOWN</x:t>
        </x:is>
      </x:c>
      <x:c r="R96" s="204" t="inlineStr">
        <x:is>
          <x:t xml:space="preserve">UNKNOWN</x:t>
        </x:is>
      </x:c>
      <x:c r="S96" s="204" t="inlineStr">
        <x:is>
          <x:t xml:space="preserve">UNKNOWN</x:t>
        </x:is>
      </x:c>
      <x:c r="T96" s="204" t="str">
        <x:f>IF(COUNTIF(H96:S96,"FAIL")&gt;0,"BLOCKED - FAIL",IF(COUNTIF(H96:S96,"UNKNOWN")&gt;0,"UNVALIDATED",IF(COUNTIF(H96:S96,"WATCH")&gt;=4,"WATCH-CAPPED","READY")))</x:f>
        <x:v>UNVALIDATED</x:v>
      </x:c>
      <x:c r="U96" s="204" t="inlineStr">
        <x:is>
          <x:t xml:space="preserve">Evidence pack and 10 historical cutoffs not yet completed</x:t>
        </x:is>
      </x:c>
      <x:c r="V96" s="204" t="inlineStr">
        <x:is>
          <x:t xml:space="preserve">Volume/price mix, traffic, inventory, consumer credit, reinvestment</x:t>
        </x:is>
      </x:c>
      <x:c r="W96" s="204" t="n"/>
      <x:c r="X96" s="204" t="inlineStr">
        <x:is>
          <x:t xml:space="preserve">2026-09-02</x:t>
        </x:is>
      </x:c>
    </x:row>
    <x:row r="97">
      <x:c r="A97" s="204" t="inlineStr">
        <x:is>
          <x:t xml:space="preserve">ARG-093</x:t>
        </x:is>
      </x:c>
      <x:c r="B97" s="204" t="inlineStr">
        <x:is>
          <x:t xml:space="preserve">Lockheed Martin</x:t>
        </x:is>
      </x:c>
      <x:c r="C97" s="204" t="inlineStr">
        <x:is>
          <x:t xml:space="preserve">LMT</x:t>
        </x:is>
      </x:c>
      <x:c r="D97" s="204" t="inlineStr">
        <x:is>
          <x:t xml:space="preserve">Industrials &amp; Defense</x:t>
        </x:is>
      </x:c>
      <x:c r="E97" s="204" t="inlineStr">
        <x:is>
          <x:t xml:space="preserve">P3</x:t>
        </x:is>
      </x:c>
      <x:c r="F97" s="204" t="inlineStr">
        <x:is>
          <x:t xml:space="preserve">Holdout</x:t>
        </x:is>
      </x:c>
      <x:c r="G97" s="204" t="inlineStr">
        <x:is>
          <x:t xml:space="preserve">SCAFFOLD / EVIDENCE PENDING</x:t>
        </x:is>
      </x:c>
      <x:c r="H97" s="204" t="inlineStr">
        <x:is>
          <x:t xml:space="preserve">UNKNOWN</x:t>
        </x:is>
      </x:c>
      <x:c r="I97" s="204" t="inlineStr">
        <x:is>
          <x:t xml:space="preserve">UNKNOWN</x:t>
        </x:is>
      </x:c>
      <x:c r="J97" s="204" t="inlineStr">
        <x:is>
          <x:t xml:space="preserve">UNKNOWN</x:t>
        </x:is>
      </x:c>
      <x:c r="K97" s="204" t="inlineStr">
        <x:is>
          <x:t xml:space="preserve">UNKNOWN</x:t>
        </x:is>
      </x:c>
      <x:c r="L97" s="204" t="inlineStr">
        <x:is>
          <x:t xml:space="preserve">UNKNOWN</x:t>
        </x:is>
      </x:c>
      <x:c r="M97" s="204" t="inlineStr">
        <x:is>
          <x:t xml:space="preserve">UNKNOWN</x:t>
        </x:is>
      </x:c>
      <x:c r="N97" s="204" t="inlineStr">
        <x:is>
          <x:t xml:space="preserve">UNKNOWN</x:t>
        </x:is>
      </x:c>
      <x:c r="O97" s="204" t="inlineStr">
        <x:is>
          <x:t xml:space="preserve">UNKNOWN</x:t>
        </x:is>
      </x:c>
      <x:c r="P97" s="204" t="inlineStr">
        <x:is>
          <x:t xml:space="preserve">UNKNOWN</x:t>
        </x:is>
      </x:c>
      <x:c r="Q97" s="204" t="inlineStr">
        <x:is>
          <x:t xml:space="preserve">UNKNOWN</x:t>
        </x:is>
      </x:c>
      <x:c r="R97" s="204" t="inlineStr">
        <x:is>
          <x:t xml:space="preserve">UNKNOWN</x:t>
        </x:is>
      </x:c>
      <x:c r="S97" s="204" t="inlineStr">
        <x:is>
          <x:t xml:space="preserve">UNKNOWN</x:t>
        </x:is>
      </x:c>
      <x:c r="T97" s="204" t="str">
        <x:f>IF(COUNTIF(H97:S97,"FAIL")&gt;0,"BLOCKED - FAIL",IF(COUNTIF(H97:S97,"UNKNOWN")&gt;0,"UNVALIDATED",IF(COUNTIF(H97:S97,"WATCH")&gt;=4,"WATCH-CAPPED","READY")))</x:f>
        <x:v>UNVALIDATED</x:v>
      </x:c>
      <x:c r="U97" s="204" t="inlineStr">
        <x:is>
          <x:t xml:space="preserve">Evidence pack and 10 historical cutoffs not yet completed</x:t>
        </x:is>
      </x:c>
      <x:c r="V97" s="204" t="inlineStr">
        <x:is>
          <x:t xml:space="preserve">Backlog cash conversion, fixed-price risk, supply chain, program charges</x:t>
        </x:is>
      </x:c>
      <x:c r="W97" s="204" t="n"/>
      <x:c r="X97" s="204" t="inlineStr">
        <x:is>
          <x:t xml:space="preserve">2026-09-02</x:t>
        </x:is>
      </x:c>
    </x:row>
    <x:row r="98">
      <x:c r="A98" s="204" t="inlineStr">
        <x:is>
          <x:t xml:space="preserve">ARG-094</x:t>
        </x:is>
      </x:c>
      <x:c r="B98" s="204" t="inlineStr">
        <x:is>
          <x:t xml:space="preserve">Honeywell</x:t>
        </x:is>
      </x:c>
      <x:c r="C98" s="204" t="inlineStr">
        <x:is>
          <x:t xml:space="preserve">HON</x:t>
        </x:is>
      </x:c>
      <x:c r="D98" s="204" t="inlineStr">
        <x:is>
          <x:t xml:space="preserve">Industrials &amp; Defense</x:t>
        </x:is>
      </x:c>
      <x:c r="E98" s="204" t="inlineStr">
        <x:is>
          <x:t xml:space="preserve">P3</x:t>
        </x:is>
      </x:c>
      <x:c r="F98" s="204" t="inlineStr">
        <x:is>
          <x:t xml:space="preserve">Holdout</x:t>
        </x:is>
      </x:c>
      <x:c r="G98" s="204" t="inlineStr">
        <x:is>
          <x:t xml:space="preserve">SCAFFOLD / EVIDENCE PENDING</x:t>
        </x:is>
      </x:c>
      <x:c r="H98" s="204" t="inlineStr">
        <x:is>
          <x:t xml:space="preserve">UNKNOWN</x:t>
        </x:is>
      </x:c>
      <x:c r="I98" s="204" t="inlineStr">
        <x:is>
          <x:t xml:space="preserve">UNKNOWN</x:t>
        </x:is>
      </x:c>
      <x:c r="J98" s="204" t="inlineStr">
        <x:is>
          <x:t xml:space="preserve">UNKNOWN</x:t>
        </x:is>
      </x:c>
      <x:c r="K98" s="204" t="inlineStr">
        <x:is>
          <x:t xml:space="preserve">UNKNOWN</x:t>
        </x:is>
      </x:c>
      <x:c r="L98" s="204" t="inlineStr">
        <x:is>
          <x:t xml:space="preserve">UNKNOWN</x:t>
        </x:is>
      </x:c>
      <x:c r="M98" s="204" t="inlineStr">
        <x:is>
          <x:t xml:space="preserve">UNKNOWN</x:t>
        </x:is>
      </x:c>
      <x:c r="N98" s="204" t="inlineStr">
        <x:is>
          <x:t xml:space="preserve">UNKNOWN</x:t>
        </x:is>
      </x:c>
      <x:c r="O98" s="204" t="inlineStr">
        <x:is>
          <x:t xml:space="preserve">UNKNOWN</x:t>
        </x:is>
      </x:c>
      <x:c r="P98" s="204" t="inlineStr">
        <x:is>
          <x:t xml:space="preserve">UNKNOWN</x:t>
        </x:is>
      </x:c>
      <x:c r="Q98" s="204" t="inlineStr">
        <x:is>
          <x:t xml:space="preserve">UNKNOWN</x:t>
        </x:is>
      </x:c>
      <x:c r="R98" s="204" t="inlineStr">
        <x:is>
          <x:t xml:space="preserve">UNKNOWN</x:t>
        </x:is>
      </x:c>
      <x:c r="S98" s="204" t="inlineStr">
        <x:is>
          <x:t xml:space="preserve">UNKNOWN</x:t>
        </x:is>
      </x:c>
      <x:c r="T98" s="204" t="str">
        <x:f>IF(COUNTIF(H98:S98,"FAIL")&gt;0,"BLOCKED - FAIL",IF(COUNTIF(H98:S98,"UNKNOWN")&gt;0,"UNVALIDATED",IF(COUNTIF(H98:S98,"WATCH")&gt;=4,"WATCH-CAPPED","READY")))</x:f>
        <x:v>UNVALIDATED</x:v>
      </x:c>
      <x:c r="U98" s="204" t="inlineStr">
        <x:is>
          <x:t xml:space="preserve">Evidence pack and 10 historical cutoffs not yet completed</x:t>
        </x:is>
      </x:c>
      <x:c r="V98" s="204" t="inlineStr">
        <x:is>
          <x:t xml:space="preserve">Backlog cash conversion, fixed-price risk, supply chain, program charges</x:t>
        </x:is>
      </x:c>
      <x:c r="W98" s="204" t="n"/>
      <x:c r="X98" s="204" t="inlineStr">
        <x:is>
          <x:t xml:space="preserve">2026-09-02</x:t>
        </x:is>
      </x:c>
    </x:row>
    <x:row r="99">
      <x:c r="A99" s="204" t="inlineStr">
        <x:is>
          <x:t xml:space="preserve">ARG-095</x:t>
        </x:is>
      </x:c>
      <x:c r="B99" s="204" t="inlineStr">
        <x:is>
          <x:t xml:space="preserve">Freeport-McMoRan</x:t>
        </x:is>
      </x:c>
      <x:c r="C99" s="204" t="inlineStr">
        <x:is>
          <x:t xml:space="preserve">FCX</x:t>
        </x:is>
      </x:c>
      <x:c r="D99" s="204" t="inlineStr">
        <x:is>
          <x:t xml:space="preserve">Materials &amp; Mining</x:t>
        </x:is>
      </x:c>
      <x:c r="E99" s="204" t="inlineStr">
        <x:is>
          <x:t xml:space="preserve">P3</x:t>
        </x:is>
      </x:c>
      <x:c r="F99" s="204" t="inlineStr">
        <x:is>
          <x:t xml:space="preserve">Holdout</x:t>
        </x:is>
      </x:c>
      <x:c r="G99" s="204" t="inlineStr">
        <x:is>
          <x:t xml:space="preserve">SCAFFOLD / EVIDENCE PENDING</x:t>
        </x:is>
      </x:c>
      <x:c r="H99" s="204" t="inlineStr">
        <x:is>
          <x:t xml:space="preserve">UNKNOWN</x:t>
        </x:is>
      </x:c>
      <x:c r="I99" s="204" t="inlineStr">
        <x:is>
          <x:t xml:space="preserve">UNKNOWN</x:t>
        </x:is>
      </x:c>
      <x:c r="J99" s="204" t="inlineStr">
        <x:is>
          <x:t xml:space="preserve">UNKNOWN</x:t>
        </x:is>
      </x:c>
      <x:c r="K99" s="204" t="inlineStr">
        <x:is>
          <x:t xml:space="preserve">UNKNOWN</x:t>
        </x:is>
      </x:c>
      <x:c r="L99" s="204" t="inlineStr">
        <x:is>
          <x:t xml:space="preserve">UNKNOWN</x:t>
        </x:is>
      </x:c>
      <x:c r="M99" s="204" t="inlineStr">
        <x:is>
          <x:t xml:space="preserve">UNKNOWN</x:t>
        </x:is>
      </x:c>
      <x:c r="N99" s="204" t="inlineStr">
        <x:is>
          <x:t xml:space="preserve">UNKNOWN</x:t>
        </x:is>
      </x:c>
      <x:c r="O99" s="204" t="inlineStr">
        <x:is>
          <x:t xml:space="preserve">UNKNOWN</x:t>
        </x:is>
      </x:c>
      <x:c r="P99" s="204" t="inlineStr">
        <x:is>
          <x:t xml:space="preserve">UNKNOWN</x:t>
        </x:is>
      </x:c>
      <x:c r="Q99" s="204" t="inlineStr">
        <x:is>
          <x:t xml:space="preserve">UNKNOWN</x:t>
        </x:is>
      </x:c>
      <x:c r="R99" s="204" t="inlineStr">
        <x:is>
          <x:t xml:space="preserve">UNKNOWN</x:t>
        </x:is>
      </x:c>
      <x:c r="S99" s="204" t="inlineStr">
        <x:is>
          <x:t xml:space="preserve">UNKNOWN</x:t>
        </x:is>
      </x:c>
      <x:c r="T99" s="204" t="str">
        <x:f>IF(COUNTIF(H99:S99,"FAIL")&gt;0,"BLOCKED - FAIL",IF(COUNTIF(H99:S99,"UNKNOWN")&gt;0,"UNVALIDATED",IF(COUNTIF(H99:S99,"WATCH")&gt;=4,"WATCH-CAPPED","READY")))</x:f>
        <x:v>UNVALIDATED</x:v>
      </x:c>
      <x:c r="U99" s="204" t="inlineStr">
        <x:is>
          <x:t xml:space="preserve">Evidence pack and 10 historical cutoffs not yet completed</x:t>
        </x:is>
      </x:c>
      <x:c r="V99" s="204" t="inlineStr">
        <x:is>
          <x:t xml:space="preserve">Mid-cycle prices, grade, unit costs, capex, jurisdiction, balance sheet</x:t>
        </x:is>
      </x:c>
      <x:c r="W99" s="204" t="n"/>
      <x:c r="X99" s="204" t="inlineStr">
        <x:is>
          <x:t xml:space="preserve">2026-09-02</x:t>
        </x:is>
      </x:c>
    </x:row>
    <x:row r="100">
      <x:c r="A100" s="204" t="inlineStr">
        <x:is>
          <x:t xml:space="preserve">ARG-096</x:t>
        </x:is>
      </x:c>
      <x:c r="B100" s="204" t="inlineStr">
        <x:is>
          <x:t xml:space="preserve">Nucor</x:t>
        </x:is>
      </x:c>
      <x:c r="C100" s="204" t="inlineStr">
        <x:is>
          <x:t xml:space="preserve">NUE</x:t>
        </x:is>
      </x:c>
      <x:c r="D100" s="204" t="inlineStr">
        <x:is>
          <x:t xml:space="preserve">Materials &amp; Mining</x:t>
        </x:is>
      </x:c>
      <x:c r="E100" s="204" t="inlineStr">
        <x:is>
          <x:t xml:space="preserve">P3</x:t>
        </x:is>
      </x:c>
      <x:c r="F100" s="204" t="inlineStr">
        <x:is>
          <x:t xml:space="preserve">Holdout</x:t>
        </x:is>
      </x:c>
      <x:c r="G100" s="204" t="inlineStr">
        <x:is>
          <x:t xml:space="preserve">SCAFFOLD / EVIDENCE PENDING</x:t>
        </x:is>
      </x:c>
      <x:c r="H100" s="204" t="inlineStr">
        <x:is>
          <x:t xml:space="preserve">UNKNOWN</x:t>
        </x:is>
      </x:c>
      <x:c r="I100" s="204" t="inlineStr">
        <x:is>
          <x:t xml:space="preserve">UNKNOWN</x:t>
        </x:is>
      </x:c>
      <x:c r="J100" s="204" t="inlineStr">
        <x:is>
          <x:t xml:space="preserve">UNKNOWN</x:t>
        </x:is>
      </x:c>
      <x:c r="K100" s="204" t="inlineStr">
        <x:is>
          <x:t xml:space="preserve">UNKNOWN</x:t>
        </x:is>
      </x:c>
      <x:c r="L100" s="204" t="inlineStr">
        <x:is>
          <x:t xml:space="preserve">UNKNOWN</x:t>
        </x:is>
      </x:c>
      <x:c r="M100" s="204" t="inlineStr">
        <x:is>
          <x:t xml:space="preserve">UNKNOWN</x:t>
        </x:is>
      </x:c>
      <x:c r="N100" s="204" t="inlineStr">
        <x:is>
          <x:t xml:space="preserve">UNKNOWN</x:t>
        </x:is>
      </x:c>
      <x:c r="O100" s="204" t="inlineStr">
        <x:is>
          <x:t xml:space="preserve">UNKNOWN</x:t>
        </x:is>
      </x:c>
      <x:c r="P100" s="204" t="inlineStr">
        <x:is>
          <x:t xml:space="preserve">UNKNOWN</x:t>
        </x:is>
      </x:c>
      <x:c r="Q100" s="204" t="inlineStr">
        <x:is>
          <x:t xml:space="preserve">UNKNOWN</x:t>
        </x:is>
      </x:c>
      <x:c r="R100" s="204" t="inlineStr">
        <x:is>
          <x:t xml:space="preserve">UNKNOWN</x:t>
        </x:is>
      </x:c>
      <x:c r="S100" s="204" t="inlineStr">
        <x:is>
          <x:t xml:space="preserve">UNKNOWN</x:t>
        </x:is>
      </x:c>
      <x:c r="T100" s="204" t="str">
        <x:f>IF(COUNTIF(H100:S100,"FAIL")&gt;0,"BLOCKED - FAIL",IF(COUNTIF(H100:S100,"UNKNOWN")&gt;0,"UNVALIDATED",IF(COUNTIF(H100:S100,"WATCH")&gt;=4,"WATCH-CAPPED","READY")))</x:f>
        <x:v>UNVALIDATED</x:v>
      </x:c>
      <x:c r="U100" s="204" t="inlineStr">
        <x:is>
          <x:t xml:space="preserve">Evidence pack and 10 historical cutoffs not yet completed</x:t>
        </x:is>
      </x:c>
      <x:c r="V100" s="204" t="inlineStr">
        <x:is>
          <x:t xml:space="preserve">Mid-cycle prices, grade, unit costs, capex, jurisdiction, balance sheet</x:t>
        </x:is>
      </x:c>
      <x:c r="W100" s="204" t="n"/>
      <x:c r="X100" s="204" t="inlineStr">
        <x:is>
          <x:t xml:space="preserve">2026-09-02</x:t>
        </x:is>
      </x:c>
    </x:row>
    <x:row r="101">
      <x:c r="A101" s="204" t="inlineStr">
        <x:is>
          <x:t xml:space="preserve">ARG-097</x:t>
        </x:is>
      </x:c>
      <x:c r="B101" s="204" t="inlineStr">
        <x:is>
          <x:t xml:space="preserve">Southern Company</x:t>
        </x:is>
      </x:c>
      <x:c r="C101" s="204" t="inlineStr">
        <x:is>
          <x:t xml:space="preserve">SO</x:t>
        </x:is>
      </x:c>
      <x:c r="D101" s="204" t="inlineStr">
        <x:is>
          <x:t xml:space="preserve">Utilities</x:t>
        </x:is>
      </x:c>
      <x:c r="E101" s="204" t="inlineStr">
        <x:is>
          <x:t xml:space="preserve">P3</x:t>
        </x:is>
      </x:c>
      <x:c r="F101" s="204" t="inlineStr">
        <x:is>
          <x:t xml:space="preserve">Holdout</x:t>
        </x:is>
      </x:c>
      <x:c r="G101" s="204" t="inlineStr">
        <x:is>
          <x:t xml:space="preserve">SCAFFOLD / EVIDENCE PENDING</x:t>
        </x:is>
      </x:c>
      <x:c r="H101" s="204" t="inlineStr">
        <x:is>
          <x:t xml:space="preserve">UNKNOWN</x:t>
        </x:is>
      </x:c>
      <x:c r="I101" s="204" t="inlineStr">
        <x:is>
          <x:t xml:space="preserve">UNKNOWN</x:t>
        </x:is>
      </x:c>
      <x:c r="J101" s="204" t="inlineStr">
        <x:is>
          <x:t xml:space="preserve">UNKNOWN</x:t>
        </x:is>
      </x:c>
      <x:c r="K101" s="204" t="inlineStr">
        <x:is>
          <x:t xml:space="preserve">UNKNOWN</x:t>
        </x:is>
      </x:c>
      <x:c r="L101" s="204" t="inlineStr">
        <x:is>
          <x:t xml:space="preserve">UNKNOWN</x:t>
        </x:is>
      </x:c>
      <x:c r="M101" s="204" t="inlineStr">
        <x:is>
          <x:t xml:space="preserve">UNKNOWN</x:t>
        </x:is>
      </x:c>
      <x:c r="N101" s="204" t="inlineStr">
        <x:is>
          <x:t xml:space="preserve">UNKNOWN</x:t>
        </x:is>
      </x:c>
      <x:c r="O101" s="204" t="inlineStr">
        <x:is>
          <x:t xml:space="preserve">UNKNOWN</x:t>
        </x:is>
      </x:c>
      <x:c r="P101" s="204" t="inlineStr">
        <x:is>
          <x:t xml:space="preserve">UNKNOWN</x:t>
        </x:is>
      </x:c>
      <x:c r="Q101" s="204" t="inlineStr">
        <x:is>
          <x:t xml:space="preserve">UNKNOWN</x:t>
        </x:is>
      </x:c>
      <x:c r="R101" s="204" t="inlineStr">
        <x:is>
          <x:t xml:space="preserve">UNKNOWN</x:t>
        </x:is>
      </x:c>
      <x:c r="S101" s="204" t="inlineStr">
        <x:is>
          <x:t xml:space="preserve">UNKNOWN</x:t>
        </x:is>
      </x:c>
      <x:c r="T101" s="204" t="str">
        <x:f>IF(COUNTIF(H101:S101,"FAIL")&gt;0,"BLOCKED - FAIL",IF(COUNTIF(H101:S101,"UNKNOWN")&gt;0,"UNVALIDATED",IF(COUNTIF(H101:S101,"WATCH")&gt;=4,"WATCH-CAPPED","READY")))</x:f>
        <x:v>UNVALIDATED</x:v>
      </x:c>
      <x:c r="U101" s="204" t="inlineStr">
        <x:is>
          <x:t xml:space="preserve">Evidence pack and 10 historical cutoffs not yet completed</x:t>
        </x:is>
      </x:c>
      <x:c r="V101" s="204" t="inlineStr">
        <x:is>
          <x:t xml:space="preserve">Allowed returns, capex recovery, financing, customer affordability</x:t>
        </x:is>
      </x:c>
      <x:c r="W101" s="204" t="n"/>
      <x:c r="X101" s="204" t="inlineStr">
        <x:is>
          <x:t xml:space="preserve">2026-09-02</x:t>
        </x:is>
      </x:c>
    </x:row>
    <x:row r="102">
      <x:c r="A102" s="204" t="inlineStr">
        <x:is>
          <x:t xml:space="preserve">ARG-098</x:t>
        </x:is>
      </x:c>
      <x:c r="B102" s="204" t="inlineStr">
        <x:is>
          <x:t xml:space="preserve">Duke Energy</x:t>
        </x:is>
      </x:c>
      <x:c r="C102" s="204" t="inlineStr">
        <x:is>
          <x:t xml:space="preserve">DUK</x:t>
        </x:is>
      </x:c>
      <x:c r="D102" s="204" t="inlineStr">
        <x:is>
          <x:t xml:space="preserve">Utilities</x:t>
        </x:is>
      </x:c>
      <x:c r="E102" s="204" t="inlineStr">
        <x:is>
          <x:t xml:space="preserve">P3</x:t>
        </x:is>
      </x:c>
      <x:c r="F102" s="204" t="inlineStr">
        <x:is>
          <x:t xml:space="preserve">Holdout</x:t>
        </x:is>
      </x:c>
      <x:c r="G102" s="204" t="inlineStr">
        <x:is>
          <x:t xml:space="preserve">SCAFFOLD / EVIDENCE PENDING</x:t>
        </x:is>
      </x:c>
      <x:c r="H102" s="204" t="inlineStr">
        <x:is>
          <x:t xml:space="preserve">UNKNOWN</x:t>
        </x:is>
      </x:c>
      <x:c r="I102" s="204" t="inlineStr">
        <x:is>
          <x:t xml:space="preserve">UNKNOWN</x:t>
        </x:is>
      </x:c>
      <x:c r="J102" s="204" t="inlineStr">
        <x:is>
          <x:t xml:space="preserve">UNKNOWN</x:t>
        </x:is>
      </x:c>
      <x:c r="K102" s="204" t="inlineStr">
        <x:is>
          <x:t xml:space="preserve">UNKNOWN</x:t>
        </x:is>
      </x:c>
      <x:c r="L102" s="204" t="inlineStr">
        <x:is>
          <x:t xml:space="preserve">UNKNOWN</x:t>
        </x:is>
      </x:c>
      <x:c r="M102" s="204" t="inlineStr">
        <x:is>
          <x:t xml:space="preserve">UNKNOWN</x:t>
        </x:is>
      </x:c>
      <x:c r="N102" s="204" t="inlineStr">
        <x:is>
          <x:t xml:space="preserve">UNKNOWN</x:t>
        </x:is>
      </x:c>
      <x:c r="O102" s="204" t="inlineStr">
        <x:is>
          <x:t xml:space="preserve">UNKNOWN</x:t>
        </x:is>
      </x:c>
      <x:c r="P102" s="204" t="inlineStr">
        <x:is>
          <x:t xml:space="preserve">UNKNOWN</x:t>
        </x:is>
      </x:c>
      <x:c r="Q102" s="204" t="inlineStr">
        <x:is>
          <x:t xml:space="preserve">UNKNOWN</x:t>
        </x:is>
      </x:c>
      <x:c r="R102" s="204" t="inlineStr">
        <x:is>
          <x:t xml:space="preserve">UNKNOWN</x:t>
        </x:is>
      </x:c>
      <x:c r="S102" s="204" t="inlineStr">
        <x:is>
          <x:t xml:space="preserve">UNKNOWN</x:t>
        </x:is>
      </x:c>
      <x:c r="T102" s="204" t="str">
        <x:f>IF(COUNTIF(H102:S102,"FAIL")&gt;0,"BLOCKED - FAIL",IF(COUNTIF(H102:S102,"UNKNOWN")&gt;0,"UNVALIDATED",IF(COUNTIF(H102:S102,"WATCH")&gt;=4,"WATCH-CAPPED","READY")))</x:f>
        <x:v>UNVALIDATED</x:v>
      </x:c>
      <x:c r="U102" s="204" t="inlineStr">
        <x:is>
          <x:t xml:space="preserve">Evidence pack and 10 historical cutoffs not yet completed</x:t>
        </x:is>
      </x:c>
      <x:c r="V102" s="204" t="inlineStr">
        <x:is>
          <x:t xml:space="preserve">Allowed returns, capex recovery, financing, customer affordability</x:t>
        </x:is>
      </x:c>
      <x:c r="W102" s="204" t="n"/>
      <x:c r="X102" s="204" t="inlineStr">
        <x:is>
          <x:t xml:space="preserve">2026-09-02</x:t>
        </x:is>
      </x:c>
    </x:row>
    <x:row r="103">
      <x:c r="A103" s="204" t="inlineStr">
        <x:is>
          <x:t xml:space="preserve">ARG-099</x:t>
        </x:is>
      </x:c>
      <x:c r="B103" s="204" t="inlineStr">
        <x:is>
          <x:t xml:space="preserve">Nutrien</x:t>
        </x:is>
      </x:c>
      <x:c r="C103" s="204" t="inlineStr">
        <x:is>
          <x:t xml:space="preserve">NTR</x:t>
        </x:is>
      </x:c>
      <x:c r="D103" s="204" t="inlineStr">
        <x:is>
          <x:t xml:space="preserve">Agriculture &amp; Fertilizers</x:t>
        </x:is>
      </x:c>
      <x:c r="E103" s="204" t="inlineStr">
        <x:is>
          <x:t xml:space="preserve">P3</x:t>
        </x:is>
      </x:c>
      <x:c r="F103" s="204" t="inlineStr">
        <x:is>
          <x:t xml:space="preserve">Holdout</x:t>
        </x:is>
      </x:c>
      <x:c r="G103" s="204" t="inlineStr">
        <x:is>
          <x:t xml:space="preserve">SCAFFOLD / EVIDENCE PENDING</x:t>
        </x:is>
      </x:c>
      <x:c r="H103" s="204" t="inlineStr">
        <x:is>
          <x:t xml:space="preserve">UNKNOWN</x:t>
        </x:is>
      </x:c>
      <x:c r="I103" s="204" t="inlineStr">
        <x:is>
          <x:t xml:space="preserve">UNKNOWN</x:t>
        </x:is>
      </x:c>
      <x:c r="J103" s="204" t="inlineStr">
        <x:is>
          <x:t xml:space="preserve">UNKNOWN</x:t>
        </x:is>
      </x:c>
      <x:c r="K103" s="204" t="inlineStr">
        <x:is>
          <x:t xml:space="preserve">UNKNOWN</x:t>
        </x:is>
      </x:c>
      <x:c r="L103" s="204" t="inlineStr">
        <x:is>
          <x:t xml:space="preserve">UNKNOWN</x:t>
        </x:is>
      </x:c>
      <x:c r="M103" s="204" t="inlineStr">
        <x:is>
          <x:t xml:space="preserve">UNKNOWN</x:t>
        </x:is>
      </x:c>
      <x:c r="N103" s="204" t="inlineStr">
        <x:is>
          <x:t xml:space="preserve">UNKNOWN</x:t>
        </x:is>
      </x:c>
      <x:c r="O103" s="204" t="inlineStr">
        <x:is>
          <x:t xml:space="preserve">UNKNOWN</x:t>
        </x:is>
      </x:c>
      <x:c r="P103" s="204" t="inlineStr">
        <x:is>
          <x:t xml:space="preserve">UNKNOWN</x:t>
        </x:is>
      </x:c>
      <x:c r="Q103" s="204" t="inlineStr">
        <x:is>
          <x:t xml:space="preserve">UNKNOWN</x:t>
        </x:is>
      </x:c>
      <x:c r="R103" s="204" t="inlineStr">
        <x:is>
          <x:t xml:space="preserve">UNKNOWN</x:t>
        </x:is>
      </x:c>
      <x:c r="S103" s="204" t="inlineStr">
        <x:is>
          <x:t xml:space="preserve">UNKNOWN</x:t>
        </x:is>
      </x:c>
      <x:c r="T103" s="204" t="str">
        <x:f>IF(COUNTIF(H103:S103,"FAIL")&gt;0,"BLOCKED - FAIL",IF(COUNTIF(H103:S103,"UNKNOWN")&gt;0,"UNVALIDATED",IF(COUNTIF(H103:S103,"WATCH")&gt;=4,"WATCH-CAPPED","READY")))</x:f>
        <x:v>UNVALIDATED</x:v>
      </x:c>
      <x:c r="U103" s="204" t="inlineStr">
        <x:is>
          <x:t xml:space="preserve">Evidence pack and 10 historical cutoffs not yet completed</x:t>
        </x:is>
      </x:c>
      <x:c r="V103" s="204" t="inlineStr">
        <x:is>
          <x:t xml:space="preserve">Crop economics, input costs, capacity, cycle-normalized cash</x:t>
        </x:is>
      </x:c>
      <x:c r="W103" s="204" t="n"/>
      <x:c r="X103" s="204" t="inlineStr">
        <x:is>
          <x:t xml:space="preserve">2026-09-02</x:t>
        </x:is>
      </x:c>
    </x:row>
    <x:row r="104">
      <x:c r="A104" s="204" t="inlineStr">
        <x:is>
          <x:t xml:space="preserve">ARG-100</x:t>
        </x:is>
      </x:c>
      <x:c r="B104" s="204" t="inlineStr">
        <x:is>
          <x:t xml:space="preserve">United Rentals</x:t>
        </x:is>
      </x:c>
      <x:c r="C104" s="204" t="inlineStr">
        <x:is>
          <x:t xml:space="preserve">URI</x:t>
        </x:is>
      </x:c>
      <x:c r="D104" s="204" t="inlineStr">
        <x:is>
          <x:t xml:space="preserve">Construction &amp; Building Products</x:t>
        </x:is>
      </x:c>
      <x:c r="E104" s="204" t="inlineStr">
        <x:is>
          <x:t xml:space="preserve">P3</x:t>
        </x:is>
      </x:c>
      <x:c r="F104" s="204" t="inlineStr">
        <x:is>
          <x:t xml:space="preserve">Holdout</x:t>
        </x:is>
      </x:c>
      <x:c r="G104" s="204" t="inlineStr">
        <x:is>
          <x:t xml:space="preserve">SCAFFOLD / EVIDENCE PENDING</x:t>
        </x:is>
      </x:c>
      <x:c r="H104" s="204" t="inlineStr">
        <x:is>
          <x:t xml:space="preserve">UNKNOWN</x:t>
        </x:is>
      </x:c>
      <x:c r="I104" s="204" t="inlineStr">
        <x:is>
          <x:t xml:space="preserve">UNKNOWN</x:t>
        </x:is>
      </x:c>
      <x:c r="J104" s="204" t="inlineStr">
        <x:is>
          <x:t xml:space="preserve">UNKNOWN</x:t>
        </x:is>
      </x:c>
      <x:c r="K104" s="204" t="inlineStr">
        <x:is>
          <x:t xml:space="preserve">UNKNOWN</x:t>
        </x:is>
      </x:c>
      <x:c r="L104" s="204" t="inlineStr">
        <x:is>
          <x:t xml:space="preserve">UNKNOWN</x:t>
        </x:is>
      </x:c>
      <x:c r="M104" s="204" t="inlineStr">
        <x:is>
          <x:t xml:space="preserve">UNKNOWN</x:t>
        </x:is>
      </x:c>
      <x:c r="N104" s="204" t="inlineStr">
        <x:is>
          <x:t xml:space="preserve">UNKNOWN</x:t>
        </x:is>
      </x:c>
      <x:c r="O104" s="204" t="inlineStr">
        <x:is>
          <x:t xml:space="preserve">UNKNOWN</x:t>
        </x:is>
      </x:c>
      <x:c r="P104" s="204" t="inlineStr">
        <x:is>
          <x:t xml:space="preserve">UNKNOWN</x:t>
        </x:is>
      </x:c>
      <x:c r="Q104" s="204" t="inlineStr">
        <x:is>
          <x:t xml:space="preserve">UNKNOWN</x:t>
        </x:is>
      </x:c>
      <x:c r="R104" s="204" t="inlineStr">
        <x:is>
          <x:t xml:space="preserve">UNKNOWN</x:t>
        </x:is>
      </x:c>
      <x:c r="S104" s="204" t="inlineStr">
        <x:is>
          <x:t xml:space="preserve">UNKNOWN</x:t>
        </x:is>
      </x:c>
      <x:c r="T104" s="204" t="str">
        <x:f>IF(COUNTIF(H104:S104,"FAIL")&gt;0,"BLOCKED - FAIL",IF(COUNTIF(H104:S104,"UNKNOWN")&gt;0,"UNVALIDATED",IF(COUNTIF(H104:S104,"WATCH")&gt;=4,"WATCH-CAPPED","READY")))</x:f>
        <x:v>UNVALIDATED</x:v>
      </x:c>
      <x:c r="U104" s="204" t="inlineStr">
        <x:is>
          <x:t xml:space="preserve">Evidence pack and 10 historical cutoffs not yet completed</x:t>
        </x:is>
      </x:c>
      <x:c r="V104" s="204" t="inlineStr">
        <x:is>
          <x:t xml:space="preserve">Utilization, pricing, fleet capex, residual values, cycle</x:t>
        </x:is>
      </x:c>
      <x:c r="W104" s="204" t="n"/>
      <x:c r="X104" s="204" t="inlineStr">
        <x:is>
          <x:t xml:space="preserve">2026-09-02</x:t>
        </x:is>
      </x:c>
    </x:row>
  </x:sheetData>
  <x:mergeCells>
    <x:mergeCell ref="A2:X2"/>
    <x:mergeCell ref="A1:X1"/>
  </x:mergeCells>
  <x:conditionalFormatting sqref="H5:S104">
    <x:cfRule type="expression" dxfId="43" priority="1">
      <x:formula>H5="PASS"</x:formula>
    </x:cfRule>
    <x:cfRule type="expression" dxfId="44" priority="2">
      <x:formula>H5="WATCH"</x:formula>
    </x:cfRule>
    <x:cfRule type="expression" dxfId="45" priority="3">
      <x:formula>H5="FAIL"</x:formula>
    </x:cfRule>
    <x:cfRule type="expression" dxfId="46" priority="4">
      <x:formula>H5="UNKNOWN"</x:formula>
    </x:cfRule>
  </x:conditionalFormatting>
  <x:dataValidations count="1">
    <x:dataValidation type="list" allowBlank="0" showDropDown="0" showInputMessage="0" showErrorMessage="0" sqref="H5:S104">
      <x:formula1>"UNKNOWN,PASS,WATCH,FAIL"</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2" style="139" customWidth="1"/>
    <x:col min="2" max="2" width="28" style="139" customWidth="1"/>
    <x:col min="3" max="3" width="11" style="139" customWidth="1"/>
    <x:col min="4" max="4" width="24" style="139" customWidth="1"/>
    <x:col min="5" max="5" width="9" style="139" customWidth="1"/>
    <x:col min="6" max="6" width="34" style="139" customWidth="1"/>
    <x:col min="7" max="7" width="12" style="139" customWidth="1"/>
    <x:col min="8" max="8" width="13" style="139" customWidth="1"/>
    <x:col min="9" max="9" width="28" style="139" customWidth="1"/>
    <x:col min="10" max="10" width="34" style="139" customWidth="1"/>
    <x:col min="11" max="11" width="45" style="139" customWidth="1"/>
    <x:col min="12" max="12" width="16" style="139" customWidth="1"/>
    <x:col min="13" max="13" width="16" style="139" customWidth="1"/>
    <x:col min="14" max="14" width="17" style="139" customWidth="1"/>
    <x:col min="15" max="15" width="16" style="139" customWidth="1"/>
    <x:col min="16" max="16" width="55" style="139" customWidth="1"/>
    <x:col min="17" max="17" width="12" style="139" customWidth="1"/>
  </x:cols>
  <x:sheetData>
    <x:row r="1" s="139" customFormat="1" ht="28" customHeight="1">
      <x:c r="A1" s="201" t="str">
        <x:v>ARGUS V10.30 — Evidence Routing &amp; Source Coverage | 100 Companies</x:v>
      </x:c>
      <x:c r="B1" s="201" t="n"/>
      <x:c r="C1" s="201" t="n"/>
      <x:c r="D1" s="201" t="n"/>
      <x:c r="E1" s="201" t="n"/>
      <x:c r="F1" s="201" t="n"/>
      <x:c r="G1" s="201" t="n"/>
      <x:c r="H1" s="201" t="n"/>
      <x:c r="I1" s="201" t="n"/>
      <x:c r="J1" s="201" t="n"/>
      <x:c r="K1" s="201" t="n"/>
      <x:c r="L1" s="201" t="n"/>
      <x:c r="M1" s="201" t="n"/>
      <x:c r="N1" s="201" t="n"/>
      <x:c r="O1" s="201" t="n"/>
      <x:c r="P1" s="201" t="n"/>
      <x:c r="Q1" s="201" t="n"/>
    </x:row>
    <x:row r="2" s="139" customFormat="1" ht="34" customHeight="1">
      <x:c r="A2" s="202" t="inlineStr">
        <x:is>
          <x:t xml:space="preserve">T1 company evidence and T2 official macro/regulatory evidence are separate gates. A source URL proves location only; it does not prove freshness, completeness, or thesis support.</x:t>
        </x:is>
      </x:c>
      <x:c r="B2" s="202" t="n"/>
      <x:c r="C2" s="202" t="n"/>
      <x:c r="D2" s="202" t="n"/>
      <x:c r="E2" s="202" t="n"/>
      <x:c r="F2" s="202" t="n"/>
      <x:c r="G2" s="202" t="n"/>
      <x:c r="H2" s="202" t="n"/>
      <x:c r="I2" s="202" t="n"/>
      <x:c r="J2" s="202" t="n"/>
      <x:c r="K2" s="202" t="n"/>
      <x:c r="L2" s="202" t="n"/>
      <x:c r="M2" s="202" t="n"/>
      <x:c r="N2" s="202" t="n"/>
      <x:c r="O2" s="202" t="n"/>
      <x:c r="P2" s="202" t="n"/>
      <x:c r="Q2" s="202" t="n"/>
    </x:row>
    <x:row r="4" s="139" customFormat="1" ht="42" customHeight="1">
      <x:c r="A4" s="203" t="inlineStr">
        <x:is>
          <x:t xml:space="preserve">Company ID</x:t>
        </x:is>
      </x:c>
      <x:c r="B4" s="203" t="inlineStr">
        <x:is>
          <x:t xml:space="preserve">Company</x:t>
        </x:is>
      </x:c>
      <x:c r="C4" s="203" t="inlineStr">
        <x:is>
          <x:t xml:space="preserve">Ticker</x:t>
        </x:is>
      </x:c>
      <x:c r="D4" s="203" t="inlineStr">
        <x:is>
          <x:t xml:space="preserve">Sector</x:t>
        </x:is>
      </x:c>
      <x:c r="E4" s="203" t="inlineStr">
        <x:is>
          <x:t xml:space="preserve">Priority</x:t>
        </x:is>
      </x:c>
      <x:c r="F4" s="203" t="inlineStr">
        <x:is>
          <x:t xml:space="preserve">Primary Source URL</x:t>
        </x:is>
      </x:c>
      <x:c r="G4" s="203" t="inlineStr">
        <x:is>
          <x:t xml:space="preserve">T1 Location</x:t>
        </x:is>
      </x:c>
      <x:c r="H4" s="203" t="inlineStr">
        <x:is>
          <x:t xml:space="preserve">T1 Freshness</x:t>
        </x:is>
      </x:c>
      <x:c r="I4" s="203" t="inlineStr">
        <x:is>
          <x:t xml:space="preserve">T2 Route</x:t>
        </x:is>
      </x:c>
      <x:c r="J4" s="203" t="inlineStr">
        <x:is>
          <x:t xml:space="preserve">Sector Evidence Route</x:t>
        </x:is>
      </x:c>
      <x:c r="K4" s="203" t="inlineStr">
        <x:is>
          <x:t xml:space="preserve">Critical Sensors</x:t>
        </x:is>
      </x:c>
      <x:c r="L4" s="203" t="inlineStr">
        <x:is>
          <x:t xml:space="preserve">Three-Pass Review</x:t>
        </x:is>
      </x:c>
      <x:c r="M4" s="203" t="inlineStr">
        <x:is>
          <x:t xml:space="preserve">Contradiction Log</x:t>
        </x:is>
      </x:c>
      <x:c r="N4" s="203" t="inlineStr">
        <x:is>
          <x:t xml:space="preserve">Point-in-Time Data</x:t>
        </x:is>
      </x:c>
      <x:c r="O4" s="203" t="inlineStr">
        <x:is>
          <x:t xml:space="preserve">Overall Coverage</x:t>
        </x:is>
      </x:c>
      <x:c r="P4" s="203" t="inlineStr">
        <x:is>
          <x:t xml:space="preserve">Next Action</x:t>
        </x:is>
      </x:c>
      <x:c r="Q4" s="203" t="inlineStr">
        <x:is>
          <x:t xml:space="preserve">As Of</x:t>
        </x:is>
      </x:c>
    </x:row>
    <x:row r="5">
      <x:c r="A5" s="204" t="inlineStr">
        <x:is>
          <x:t xml:space="preserve">ARG-001</x:t>
        </x:is>
      </x:c>
      <x:c r="B5" s="204" t="inlineStr">
        <x:is>
          <x:t xml:space="preserve">IonQ</x:t>
        </x:is>
      </x:c>
      <x:c r="C5" s="204" t="inlineStr">
        <x:is>
          <x:t xml:space="preserve">IONQ</x:t>
        </x:is>
      </x:c>
      <x:c r="D5" s="204" t="inlineStr">
        <x:is>
          <x:t xml:space="preserve">Quantum Computing</x:t>
        </x:is>
      </x:c>
      <x:c r="E5" s="204" t="inlineStr">
        <x:is>
          <x:t xml:space="preserve">P1</x:t>
        </x:is>
      </x:c>
      <x:c r="F5" s="204" t="str">
        <x:v>https://investors.ionq.com/news/news-details/2026/IonQ-Announces-Record-Second-Quarter-2026-Revenues-Growing-287-YoY/default.aspx</x:v>
      </x:c>
      <x:c r="G5" s="204" t="str">
        <x:v>LOCATED</x:v>
      </x:c>
      <x:c r="H5" s="204" t="str">
        <x:v>FRESH</x:v>
      </x:c>
      <x:c r="I5" s="204" t="str">
        <x:v>https://www.quantum.gov/ | https://www.energy.gov/science/quantum-information-science | https://www.federalreserve.gov/newsevents/pressreleases/monetary20260729a.htm</x:v>
      </x:c>
      <x:c r="J5" s="204" t="str">
        <x:v>T1 filing/release + T2 official point-in-time package</x:v>
      </x:c>
      <x:c r="K5" s="204" t="str">
        <x:v>Organic vs acquired revenue and independently verified customer ROI</x:v>
      </x:c>
      <x:c r="L5" s="204" t="str">
        <x:v>COMPLETE</x:v>
      </x:c>
      <x:c r="M5" s="204" t="str">
        <x:v>LOGGED</x:v>
      </x:c>
      <x:c r="N5" s="204" t="str">
        <x:v>PRESENT</x:v>
      </x:c>
      <x:c r="O5" s="204" t="str">
        <x:f>IF(OR(G5="MISSING",H5="STALE"),"BLOCKED",IF(COUNTIF(H5:N5,"PENDING")+COUNTIF(H5:N5,"UNKNOWN")&gt;0,"INCOMPLETE","COMPLETE"))</x:f>
        <x:v>COMPLETE</x:v>
      </x:c>
      <x:c r="P5" s="204" t="str">
        <x:v>WAIT — require organic/repeat revenue, customer ROI and post-acquisition cash bridge</x:v>
      </x:c>
      <x:c r="Q5" s="204" t="str">
        <x:v>2026-09-02</x:v>
      </x:c>
    </x:row>
    <x:row r="6">
      <x:c r="A6" s="204" t="inlineStr">
        <x:is>
          <x:t xml:space="preserve">ARG-002</x:t>
        </x:is>
      </x:c>
      <x:c r="B6" s="204" t="inlineStr">
        <x:is>
          <x:t xml:space="preserve">D-Wave Quantum</x:t>
        </x:is>
      </x:c>
      <x:c r="C6" s="204" t="inlineStr">
        <x:is>
          <x:t xml:space="preserve">QBTS</x:t>
        </x:is>
      </x:c>
      <x:c r="D6" s="204" t="inlineStr">
        <x:is>
          <x:t xml:space="preserve">Quantum Computing</x:t>
        </x:is>
      </x:c>
      <x:c r="E6" s="204" t="inlineStr">
        <x:is>
          <x:t xml:space="preserve">P1</x:t>
        </x:is>
      </x:c>
      <x:c r="F6" s="204" t="str">
        <x:v>https://www.dwavequantum.com/company/newsroom/press-release/d-wave-reports-second-quarter-2026-results/</x:v>
      </x:c>
      <x:c r="G6" s="204" t="str">
        <x:v>LOCATED</x:v>
      </x:c>
      <x:c r="H6" s="204" t="str">
        <x:v>FRESH</x:v>
      </x:c>
      <x:c r="I6" s="204" t="str">
        <x:v>https://www.quantum.gov/ | https://www.energy.gov/science/quantum-information-science | https://www.federalreserve.gov/newsevents/pressreleases/monetary20260729a.htm</x:v>
      </x:c>
      <x:c r="J6" s="204" t="str">
        <x:v>T1 filing/release + T2 official point-in-time package</x:v>
      </x:c>
      <x:c r="K6" s="204" t="str">
        <x:v>Conversion of the $20m system booking into cash and repeat customer economics</x:v>
      </x:c>
      <x:c r="L6" s="204" t="str">
        <x:v>COMPLETE</x:v>
      </x:c>
      <x:c r="M6" s="204" t="str">
        <x:v>LOGGED</x:v>
      </x:c>
      <x:c r="N6" s="204" t="str">
        <x:v>PRESENT</x:v>
      </x:c>
      <x:c r="O6" s="204" t="str">
        <x:f>IF(OR(G6="MISSING",H6="STALE"),"BLOCKED",IF(COUNTIF(H6:N6,"PENDING")+COUNTIF(H6:N6,"UNKNOWN")&gt;0,"INCOMPLETE","COMPLETE"))</x:f>
        <x:v>COMPLETE</x:v>
      </x:c>
      <x:c r="P6" s="204" t="str">
        <x:v>RESEARCH — prove backlog conversion and recurring enterprise economics</x:v>
      </x:c>
      <x:c r="Q6" s="204" t="str">
        <x:v>2026-09-02</x:v>
      </x:c>
    </x:row>
    <x:row r="7">
      <x:c r="A7" s="204" t="inlineStr">
        <x:is>
          <x:t xml:space="preserve">ARG-003</x:t>
        </x:is>
      </x:c>
      <x:c r="B7" s="204" t="inlineStr">
        <x:is>
          <x:t xml:space="preserve">Rigetti Computing</x:t>
        </x:is>
      </x:c>
      <x:c r="C7" s="204" t="inlineStr">
        <x:is>
          <x:t xml:space="preserve">RGTI</x:t>
        </x:is>
      </x:c>
      <x:c r="D7" s="204" t="inlineStr">
        <x:is>
          <x:t xml:space="preserve">Quantum Computing</x:t>
        </x:is>
      </x:c>
      <x:c r="E7" s="204" t="inlineStr">
        <x:is>
          <x:t xml:space="preserve">P1</x:t>
        </x:is>
      </x:c>
      <x:c r="F7" s="204" t="str">
        <x:v>https://www.sec.gov/Archives/edgar/data/1838359/000110465926091993/rgti-20260630x10q.htm</x:v>
      </x:c>
      <x:c r="G7" s="204" t="str">
        <x:v>LOCATED</x:v>
      </x:c>
      <x:c r="H7" s="204" t="str">
        <x:v>FRESH</x:v>
      </x:c>
      <x:c r="I7" s="204" t="str">
        <x:v>https://www.quantum.gov/ | https://www.energy.gov/science/quantum-information-science | https://www.federalreserve.gov/newsevents/pressreleases/monetary20260729a.htm</x:v>
      </x:c>
      <x:c r="J7" s="204" t="str">
        <x:v>T1 filing/release + T2 official point-in-time package</x:v>
      </x:c>
      <x:c r="K7" s="204" t="str">
        <x:v>Independent verification and roadmap credibility after repeated historical changes</x:v>
      </x:c>
      <x:c r="L7" s="204" t="str">
        <x:v>COMPLETE</x:v>
      </x:c>
      <x:c r="M7" s="204" t="str">
        <x:v>LOGGED</x:v>
      </x:c>
      <x:c r="N7" s="204" t="str">
        <x:v>PRESENT</x:v>
      </x:c>
      <x:c r="O7" s="204" t="str">
        <x:f>IF(OR(G7="MISSING",H7="STALE"),"BLOCKED",IF(COUNTIF(H7:N7,"PENDING")+COUNTIF(H7:N7,"UNKNOWN")&gt;0,"INCOMPLETE","COMPLETE"))</x:f>
        <x:v>COMPLETE</x:v>
      </x:c>
      <x:c r="P7" s="204" t="str">
        <x:v>NO ACTION — require externally reproduced milestones and commercial conversion</x:v>
      </x:c>
      <x:c r="Q7" s="204" t="str">
        <x:v>2026-09-02</x:v>
      </x:c>
    </x:row>
    <x:row r="8">
      <x:c r="A8" s="204" t="inlineStr">
        <x:is>
          <x:t xml:space="preserve">ARG-004</x:t>
        </x:is>
      </x:c>
      <x:c r="B8" s="204" t="inlineStr">
        <x:is>
          <x:t xml:space="preserve">Quantum Computing Inc.</x:t>
        </x:is>
      </x:c>
      <x:c r="C8" s="204" t="inlineStr">
        <x:is>
          <x:t xml:space="preserve">QUBT</x:t>
        </x:is>
      </x:c>
      <x:c r="D8" s="204" t="inlineStr">
        <x:is>
          <x:t xml:space="preserve">Quantum Computing</x:t>
        </x:is>
      </x:c>
      <x:c r="E8" s="204" t="inlineStr">
        <x:is>
          <x:t xml:space="preserve">P1</x:t>
        </x:is>
      </x:c>
      <x:c r="F8" s="204" t="str">
        <x:v>https://quantumcomputinginc.com/investor-relations</x:v>
      </x:c>
      <x:c r="G8" s="204" t="str">
        <x:v>LOCATED</x:v>
      </x:c>
      <x:c r="H8" s="204" t="str">
        <x:v>FRESH</x:v>
      </x:c>
      <x:c r="I8" s="204" t="str">
        <x:v>https://www.quantum.gov/ | https://www.energy.gov/science/quantum-information-science | https://www.federalreserve.gov/newsevents/pressreleases/monetary20260729a.htm</x:v>
      </x:c>
      <x:c r="J8" s="204" t="str">
        <x:v>T1 filing/release + T2 official point-in-time package</x:v>
      </x:c>
      <x:c r="K8" s="204" t="str">
        <x:v>Stable business identity and segment-level organic economics</x:v>
      </x:c>
      <x:c r="L8" s="204" t="str">
        <x:v>COMPLETE</x:v>
      </x:c>
      <x:c r="M8" s="204" t="str">
        <x:v>LOGGED</x:v>
      </x:c>
      <x:c r="N8" s="204" t="str">
        <x:v>PRESENT</x:v>
      </x:c>
      <x:c r="O8" s="204" t="str">
        <x:f>IF(OR(G8="MISSING",H8="STALE"),"BLOCKED",IF(COUNTIF(H8:N8,"PENDING")+COUNTIF(H8:N8,"UNKNOWN")&gt;0,"INCOMPLETE","COMPLETE"))</x:f>
        <x:v>COMPLETE</x:v>
      </x:c>
      <x:c r="P8" s="204" t="str">
        <x:v>BLOCKED — reconstruct the post-acquisition economic engine first</x:v>
      </x:c>
      <x:c r="Q8" s="204" t="str">
        <x:v>2026-09-02</x:v>
      </x:c>
    </x:row>
    <x:row r="9">
      <x:c r="A9" s="204" t="inlineStr">
        <x:is>
          <x:t xml:space="preserve">ARG-005</x:t>
        </x:is>
      </x:c>
      <x:c r="B9" s="204" t="inlineStr">
        <x:is>
          <x:t xml:space="preserve">NVIDIA</x:t>
        </x:is>
      </x:c>
      <x:c r="C9" s="204" t="inlineStr">
        <x:is>
          <x:t xml:space="preserve">NVDA</x:t>
        </x:is>
      </x:c>
      <x:c r="D9" s="204" t="inlineStr">
        <x:is>
          <x:t xml:space="preserve">AI &amp; Semiconductors</x:t>
        </x:is>
      </x:c>
      <x:c r="E9" s="204" t="inlineStr">
        <x:is>
          <x:t xml:space="preserve">P1</x:t>
        </x:is>
      </x:c>
      <x:c r="F9" s="204" t="str">
        <x:v>https://nvidianews.nvidia.com/news/nvidia-announces-financial-results-for-second-quarter-fiscal-2027</x:v>
      </x:c>
      <x:c r="G9" s="204" t="str">
        <x:v>LOCATED</x:v>
      </x:c>
      <x:c r="H9" s="204" t="str">
        <x:v>FRESH</x:v>
      </x:c>
      <x:c r="I9" s="204" t="str">
        <x:v>https://www.federalreserve.gov/newsevents/pressreleases/monetary20260729a.htm | https://www.bea.gov/news/2026/personal-income-and-outlays-july-2026</x:v>
      </x:c>
      <x:c r="J9" s="204" t="str">
        <x:v>T1 filing/release + T2 official point-in-time package</x:v>
      </x:c>
      <x:c r="K9" s="204" t="str">
        <x:v>Normalized customer AI ROI and full-cycle gross margin</x:v>
      </x:c>
      <x:c r="L9" s="204" t="str">
        <x:v>COMPLETE</x:v>
      </x:c>
      <x:c r="M9" s="204" t="str">
        <x:v>LOGGED</x:v>
      </x:c>
      <x:c r="N9" s="204" t="str">
        <x:v>PRESENT</x:v>
      </x:c>
      <x:c r="O9" s="204" t="str">
        <x:f>IF(OR(G9="MISSING",H9="STALE"),"BLOCKED",IF(COUNTIF(H9:N9,"PENDING")+COUNTIF(H9:N9,"UNKNOWN")&gt;0,"INCOMPLETE","COMPLETE"))</x:f>
        <x:v>COMPLETE</x:v>
      </x:c>
      <x:c r="P9" s="204" t="str">
        <x:v>WAIT / SMALL ONLY — track customer ROI, capex financing and normalized margin</x:v>
      </x:c>
      <x:c r="Q9" s="204" t="str">
        <x:v>2026-09-02</x:v>
      </x:c>
    </x:row>
    <x:row r="10">
      <x:c r="A10" s="204" t="inlineStr">
        <x:is>
          <x:t xml:space="preserve">ARG-006</x:t>
        </x:is>
      </x:c>
      <x:c r="B10" s="204" t="inlineStr">
        <x:is>
          <x:t xml:space="preserve">Advanced Micro Devices</x:t>
        </x:is>
      </x:c>
      <x:c r="C10" s="204" t="inlineStr">
        <x:is>
          <x:t xml:space="preserve">AMD</x:t>
        </x:is>
      </x:c>
      <x:c r="D10" s="204" t="inlineStr">
        <x:is>
          <x:t xml:space="preserve">AI &amp; Semiconductors</x:t>
        </x:is>
      </x:c>
      <x:c r="E10" s="204" t="inlineStr">
        <x:is>
          <x:t xml:space="preserve">P2</x:t>
        </x:is>
      </x:c>
      <x:c r="F10" s="204" t="str">
        <x:v>https://ir.amd.com/news-events/press-releases/detail/1295/amd-reports-second-quarter-2026-financial-results</x:v>
      </x:c>
      <x:c r="G10" s="204" t="str">
        <x:v>LOCATED</x:v>
      </x:c>
      <x:c r="H10" s="204" t="str">
        <x:v>FRESH</x:v>
      </x:c>
      <x:c r="I10" s="204" t="str">
        <x:v>https://www.bis.gov/press-release | https://www.federalreserve.gov/newsevents/pressreleases/monetary20260729a.htm | https://www.bea.gov/news/2026/gdp-second-estimate-and-corporate-profits-2nd-quarter-2026</x:v>
      </x:c>
      <x:c r="J10" s="204" t="str">
        <x:v>T1 filing/release + T2 official point-in-time package</x:v>
      </x:c>
      <x:c r="K10" s="204" t="str">
        <x:v>Normalized AI customer ROI, accelerator customer concentration and full-cycle FCF/share</x:v>
      </x:c>
      <x:c r="L10" s="204" t="str">
        <x:v>COMPLETE</x:v>
      </x:c>
      <x:c r="M10" s="204" t="str">
        <x:v>LOGGED</x:v>
      </x:c>
      <x:c r="N10" s="204" t="str">
        <x:v>PRESENT</x:v>
      </x:c>
      <x:c r="O10" s="204" t="str">
        <x:f>IF(OR(G10="MISSING",H10="STALE"),"BLOCKED",IF(COUNTIF(H10:N10,"PENDING")+COUNTIF(H10:N10,"UNKNOWN")&gt;0,"INCOMPLETE","COMPLETE"))</x:f>
        <x:v>COMPLETE</x:v>
      </x:c>
      <x:c r="P10" s="204" t="str">
        <x:v>WATCH — no upgrade; require normalized customer AI ROI, durable accelerator share and free-cash-flow conversion</x:v>
      </x:c>
      <x:c r="Q10" s="204" t="str">
        <x:v>2026-09-02</x:v>
      </x:c>
    </x:row>
    <x:row r="11">
      <x:c r="A11" s="204" t="inlineStr">
        <x:is>
          <x:t xml:space="preserve">ARG-007</x:t>
        </x:is>
      </x:c>
      <x:c r="B11" s="204" t="inlineStr">
        <x:is>
          <x:t xml:space="preserve">Taiwan Semiconductor Manufacturing</x:t>
        </x:is>
      </x:c>
      <x:c r="C11" s="204" t="inlineStr">
        <x:is>
          <x:t xml:space="preserve">TSM</x:t>
        </x:is>
      </x:c>
      <x:c r="D11" s="204" t="inlineStr">
        <x:is>
          <x:t xml:space="preserve">AI &amp; Semiconductors</x:t>
        </x:is>
      </x:c>
      <x:c r="E11" s="204" t="inlineStr">
        <x:is>
          <x:t xml:space="preserve">P2</x:t>
        </x:is>
      </x:c>
      <x:c r="F11" s="204" t="str">
        <x:v>https://investor.tsmc.com/english/quarterly-results/2026/q2</x:v>
      </x:c>
      <x:c r="G11" s="204" t="str">
        <x:v>LOCATED</x:v>
      </x:c>
      <x:c r="H11" s="204" t="str">
        <x:v>FRESH</x:v>
      </x:c>
      <x:c r="I11" s="204" t="str">
        <x:v>https://www.bis.gov/press-release | https://www.federalreserve.gov/newsevents/pressreleases/monetary20260729a.htm | https://www.bea.gov/news/2026/gdp-second-estimate-and-corporate-profits-2nd-quarter-2026</x:v>
      </x:c>
      <x:c r="J11" s="204" t="str">
        <x:v>T1 filing/release + T2 official point-in-time package</x:v>
      </x:c>
      <x:c r="K11" s="204" t="str">
        <x:v>Quantified geopolitical loss tail and normalized returns on overseas capacity</x:v>
      </x:c>
      <x:c r="L11" s="204" t="str">
        <x:v>COMPLETE</x:v>
      </x:c>
      <x:c r="M11" s="204" t="str">
        <x:v>LOGGED</x:v>
      </x:c>
      <x:c r="N11" s="204" t="str">
        <x:v>PRESENT</x:v>
      </x:c>
      <x:c r="O11" s="204" t="str">
        <x:f>IF(OR(G11="MISSING",H11="STALE"),"BLOCKED",IF(COUNTIF(H11:N11,"PENDING")+COUNTIF(H11:N11,"UNKNOWN")&gt;0,"INCOMPLETE","COMPLETE"))</x:f>
        <x:v>COMPLETE</x:v>
      </x:c>
      <x:c r="P11" s="204" t="str">
        <x:v>WATCH — moat affirmed; require Taiwan-tail price protection and overseas-fab return evidence</x:v>
      </x:c>
      <x:c r="Q11" s="204" t="str">
        <x:v>2026-09-02</x:v>
      </x:c>
    </x:row>
    <x:row r="12">
      <x:c r="A12" s="204" t="inlineStr">
        <x:is>
          <x:t xml:space="preserve">ARG-008</x:t>
        </x:is>
      </x:c>
      <x:c r="B12" s="204" t="inlineStr">
        <x:is>
          <x:t xml:space="preserve">ASML Holding</x:t>
        </x:is>
      </x:c>
      <x:c r="C12" s="204" t="inlineStr">
        <x:is>
          <x:t xml:space="preserve">ASML</x:t>
        </x:is>
      </x:c>
      <x:c r="D12" s="204" t="inlineStr">
        <x:is>
          <x:t xml:space="preserve">AI &amp; Semiconductors</x:t>
        </x:is>
      </x:c>
      <x:c r="E12" s="204" t="inlineStr">
        <x:is>
          <x:t xml:space="preserve">P2</x:t>
        </x:is>
      </x:c>
      <x:c r="F12" s="204" t="str">
        <x:v>https://www.asml.com/en/investors/financial-results/q2-2026</x:v>
      </x:c>
      <x:c r="G12" s="204" t="str">
        <x:v>LOCATED</x:v>
      </x:c>
      <x:c r="H12" s="204" t="str">
        <x:v>FRESH</x:v>
      </x:c>
      <x:c r="I12" s="204" t="str">
        <x:v>https://www.bis.gov/press-release | https://www.federalreserve.gov/newsevents/pressreleases/monetary20260729a.htm | https://www.bea.gov/news/2026/gdp-second-estimate-and-corporate-profits-2nd-quarter-2026</x:v>
      </x:c>
      <x:c r="J12" s="204" t="str">
        <x:v>T1 filing/release + T2 official point-in-time package</x:v>
      </x:c>
      <x:c r="K12" s="204" t="str">
        <x:v>Conservative value range under export restrictions and a WFE down-cycle</x:v>
      </x:c>
      <x:c r="L12" s="204" t="str">
        <x:v>COMPLETE</x:v>
      </x:c>
      <x:c r="M12" s="204" t="str">
        <x:v>LOGGED</x:v>
      </x:c>
      <x:c r="N12" s="204" t="str">
        <x:v>PRESENT</x:v>
      </x:c>
      <x:c r="O12" s="204" t="str">
        <x:f>IF(OR(G12="MISSING",H12="STALE"),"BLOCKED",IF(COUNTIF(H12:N12,"PENDING")+COUNTIF(H12:N12,"UNKNOWN")&gt;0,"INCOMPLETE","COMPLETE"))</x:f>
        <x:v>COMPLETE</x:v>
      </x:c>
      <x:c r="P12" s="204" t="str">
        <x:v>WAIT FOR PRICE — evidence strengthens the franchise, not the entry price</x:v>
      </x:c>
      <x:c r="Q12" s="204" t="str">
        <x:v>2026-09-02</x:v>
      </x:c>
    </x:row>
    <x:row r="13">
      <x:c r="A13" s="204" t="str">
        <x:v>ARG-009</x:v>
      </x:c>
      <x:c r="B13" s="204" t="str">
        <x:v>Applied Materials</x:v>
      </x:c>
      <x:c r="C13" s="204" t="str">
        <x:v>AMAT</x:v>
      </x:c>
      <x:c r="D13" s="204" t="str">
        <x:v>AI &amp; Semiconductors</x:v>
      </x:c>
      <x:c r="E13" s="204" t="str">
        <x:v>P2</x:v>
      </x:c>
      <x:c r="F13" s="204" t="str">
        <x:v>https://ir.appliedmaterials.com/news-releases/news-release-details/applied-materials-announces-third-quarter-2026-results</x:v>
      </x:c>
      <x:c r="G13" s="204" t="str">
        <x:v>LOCATED</x:v>
      </x:c>
      <x:c r="H13" s="204" t="str">
        <x:v>FRESH</x:v>
      </x:c>
      <x:c r="I13" s="204" t="str">
        <x:v>https://www.bis.gov/press-release | https://www.federalreserve.gov/newsevents/pressreleases/monetary20260729a.htm | https://www.sec.gov/edgar/search/</x:v>
      </x:c>
      <x:c r="J13" s="204" t="str">
        <x:v>T1 filing/release + T2 official point-in-time package</x:v>
      </x:c>
      <x:c r="K13" s="204" t="str">
        <x:v>Normalized WFE/service owner earnings under export limits and the return on EPIC/capacity investment</x:v>
      </x:c>
      <x:c r="L13" s="204" t="str">
        <x:v>COMPLETE</x:v>
      </x:c>
      <x:c r="M13" s="204" t="str">
        <x:v>LOGGED</x:v>
      </x:c>
      <x:c r="N13" s="204" t="str">
        <x:v>PRESENT</x:v>
      </x:c>
      <x:c r="O13" s="204" t="str">
        <x:v>COMPLETE</x:v>
      </x:c>
      <x:c r="P13" s="204" t="str">
        <x:v>WAIT FOR PRICE — require a cycle-normalized FCF range, export-loss case and EPIC return evidence</x:v>
      </x:c>
      <x:c r="Q13" s="204" t="str">
        <x:v>2026-09-02</x:v>
      </x:c>
    </x:row>
    <x:row r="14">
      <x:c r="A14" s="204" t="str">
        <x:v>ARG-010</x:v>
      </x:c>
      <x:c r="B14" s="204" t="str">
        <x:v>Lam Research</x:v>
      </x:c>
      <x:c r="C14" s="204" t="str">
        <x:v>LRCX</x:v>
      </x:c>
      <x:c r="D14" s="204" t="str">
        <x:v>AI &amp; Semiconductors</x:v>
      </x:c>
      <x:c r="E14" s="204" t="str">
        <x:v>P2</x:v>
      </x:c>
      <x:c r="F14" s="204" t="str">
        <x:v>https://investor.lamresearch.com/quarterly-results</x:v>
      </x:c>
      <x:c r="G14" s="204" t="str">
        <x:v>LOCATED</x:v>
      </x:c>
      <x:c r="H14" s="204" t="str">
        <x:v>FRESH</x:v>
      </x:c>
      <x:c r="I14" s="204" t="str">
        <x:v>https://www.bis.gov/press-release | https://www.federalreserve.gov/newsevents/pressreleases/monetary20260729a.htm | https://www.sec.gov/edgar/search/</x:v>
      </x:c>
      <x:c r="J14" s="204" t="str">
        <x:v>T1 filing/release + T2 official point-in-time package</x:v>
      </x:c>
      <x:c r="K14" s="204" t="str">
        <x:v>Customer-level concentration, export-adjusted installed-base value and trough-cycle owner earnings</x:v>
      </x:c>
      <x:c r="L14" s="204" t="str">
        <x:v>COMPLETE</x:v>
      </x:c>
      <x:c r="M14" s="204" t="str">
        <x:v>LOGGED</x:v>
      </x:c>
      <x:c r="N14" s="204" t="str">
        <x:v>PRESENT</x:v>
      </x:c>
      <x:c r="O14" s="204" t="str">
        <x:v>COMPLETE</x:v>
      </x:c>
      <x:c r="P14" s="204" t="str">
        <x:v>WAIT FOR PRICE — normalize the September ramp, China exposure, service durability and full-cycle FCF</x:v>
      </x:c>
      <x:c r="Q14" s="204" t="str">
        <x:v>2026-09-02</x:v>
      </x:c>
    </x:row>
    <x:row r="15">
      <x:c r="A15" s="204" t="inlineStr">
        <x:is>
          <x:t xml:space="preserve">ARG-011</x:t>
        </x:is>
      </x:c>
      <x:c r="B15" s="204" t="inlineStr">
        <x:is>
          <x:t xml:space="preserve">Micron Technology</x:t>
        </x:is>
      </x:c>
      <x:c r="C15" s="204" t="inlineStr">
        <x:is>
          <x:t xml:space="preserve">MU</x:t>
        </x:is>
      </x:c>
      <x:c r="D15" s="204" t="inlineStr">
        <x:is>
          <x:t xml:space="preserve">AI &amp; Semiconductors</x:t>
        </x:is>
      </x:c>
      <x:c r="E15" s="204" t="inlineStr">
        <x:is>
          <x:t xml:space="preserve">P2</x:t>
        </x:is>
      </x:c>
      <x:c r="F15" s="204" t="str">
        <x:v>https://investors.micron.com/financials/quarterly-results/default.aspx</x:v>
      </x:c>
      <x:c r="G15" s="204" t="str">
        <x:v>LOCATED</x:v>
      </x:c>
      <x:c r="H15" s="204" t="str">
        <x:v>FRESH</x:v>
      </x:c>
      <x:c r="I15" s="204" t="str">
        <x:v>https://www.bis.gov/press-release | https://www.federalreserve.gov/newsevents/pressreleases/monetary20260729a.htm | https://www.bea.gov/news/2026/gdp-second-estimate-and-corporate-profits-2nd-quarter-2026</x:v>
      </x:c>
      <x:c r="J15" s="204" t="str">
        <x:v>T1 filing/release + T2 official point-in-time package</x:v>
      </x:c>
      <x:c r="K15" s="204" t="str">
        <x:v>Full-cycle HBM/DRAM price, utilization and owner-earnings normalization</x:v>
      </x:c>
      <x:c r="L15" s="204" t="str">
        <x:v>COMPLETE</x:v>
      </x:c>
      <x:c r="M15" s="204" t="str">
        <x:v>LOGGED</x:v>
      </x:c>
      <x:c r="N15" s="204" t="str">
        <x:v>PRESENT</x:v>
      </x:c>
      <x:c r="O15" s="204" t="str">
        <x:f>IF(OR(G15="MISSING",H15="STALE"),"BLOCKED",IF(COUNTIF(H15:N15,"PENDING")+COUNTIF(H15:N15,"UNKNOWN")&gt;0,"INCOMPLETE","COMPLETE"))</x:f>
        <x:v>COMPLETE</x:v>
      </x:c>
      <x:c r="P15" s="204" t="str">
        <x:v>WAIT — normalize HBM pricing, supply response, depreciation and capex before valuation</x:v>
      </x:c>
      <x:c r="Q15" s="204" t="str">
        <x:v>2026-09-02</x:v>
      </x:c>
    </x:row>
    <x:row r="16">
      <x:c r="A16" s="204" t="inlineStr">
        <x:is>
          <x:t xml:space="preserve">ARG-012</x:t>
        </x:is>
      </x:c>
      <x:c r="B16" s="204" t="inlineStr">
        <x:is>
          <x:t xml:space="preserve">Broadcom</x:t>
        </x:is>
      </x:c>
      <x:c r="C16" s="204" t="inlineStr">
        <x:is>
          <x:t xml:space="preserve">AVGO</x:t>
        </x:is>
      </x:c>
      <x:c r="D16" s="204" t="inlineStr">
        <x:is>
          <x:t xml:space="preserve">AI &amp; Semiconductors</x:t>
        </x:is>
      </x:c>
      <x:c r="E16" s="204" t="inlineStr">
        <x:is>
          <x:t xml:space="preserve">P2</x:t>
        </x:is>
      </x:c>
      <x:c r="F16" s="520" t="str">
        <x:v>https://investors.broadcom.com/news-releases/news-release-details/broadcom-inc-announces-third-quarter-fiscal-year-2026-financial</x:v>
      </x:c>
      <x:c r="G16" s="204" t="str">
        <x:v>LOCATED</x:v>
      </x:c>
      <x:c r="H16" s="204" t="str">
        <x:v>FRESH</x:v>
      </x:c>
      <x:c r="I16" s="204" t="str">
        <x:v>https://www.bis.gov/press-release | https://www.federalreserve.gov/newsevents/pressreleases/monetary20260729a.htm | https://www.bea.gov/news/2026/gdp-second-estimate-and-corporate-profits-2nd-quarter-2026</x:v>
      </x:c>
      <x:c r="J16" s="204" t="str">
        <x:v>T1 filing/release + T2 official point-in-time package</x:v>
      </x:c>
      <x:c r="K16" s="204" t="str">
        <x:v>Customer-level AI concentration and acquisition-cohort return after debt/SBC</x:v>
      </x:c>
      <x:c r="L16" s="204" t="str">
        <x:v>COMPLETE</x:v>
      </x:c>
      <x:c r="M16" s="204" t="str">
        <x:v>LOGGED</x:v>
      </x:c>
      <x:c r="N16" s="204" t="str">
        <x:v>PRESENT</x:v>
      </x:c>
      <x:c r="O16" s="204" t="str">
        <x:f>IF(OR(G16="MISSING",H16="STALE"),"BLOCKED",IF(COUNTIF(H16:N16,"PENDING")+COUNTIF(H16:N16,"UNKNOWN")&gt;0,"INCOMPLETE","COMPLETE"))</x:f>
        <x:v>COMPLETE</x:v>
      </x:c>
      <x:c r="P16" s="204" t="str">
        <x:v>WATCH — replace the Q2 snapshot with Q3 evidence; require customer concentration, debt/SBC-adjusted per-share FCF and reverse-valuation proof before promotion.</x:v>
      </x:c>
      <x:c r="Q16" s="204" t="str">
        <x:v>2026-09-03</x:v>
      </x:c>
    </x:row>
    <x:row r="17">
      <x:c r="A17" s="204" t="str">
        <x:v>ARG-013</x:v>
      </x:c>
      <x:c r="B17" s="204" t="str">
        <x:v>Marvell Technology</x:v>
      </x:c>
      <x:c r="C17" s="204" t="str">
        <x:v>MRVL</x:v>
      </x:c>
      <x:c r="D17" s="204" t="str">
        <x:v>AI &amp; Semiconductors</x:v>
      </x:c>
      <x:c r="E17" s="204" t="str">
        <x:v>P2</x:v>
      </x:c>
      <x:c r="F17" s="520" t="str">
        <x:v>https://investor.marvell.com/news-events/press-releases/detail/1031/marvell-technology-inc-reports-second-quarter-of-fiscal-year-2027-financial-results</x:v>
      </x:c>
      <x:c r="G17" s="204" t="str">
        <x:v>LOCATED</x:v>
      </x:c>
      <x:c r="H17" s="204" t="str">
        <x:v>FRESH</x:v>
      </x:c>
      <x:c r="I17" s="204" t="str">
        <x:v>https://www.bis.gov/press-release | https://www.federalreserve.gov/newsevents/pressreleases/monetary20260729a.htm | https://www.sec.gov/edgar/search/</x:v>
      </x:c>
      <x:c r="J17" s="204" t="str">
        <x:v>T1 filing/release + T2 official point-in-time package</x:v>
      </x:c>
      <x:c r="K17" s="204" t="str">
        <x:v>Customer-program concentration, SBC-adjusted owner earnings and normalized custom-silicon returns</x:v>
      </x:c>
      <x:c r="L17" s="204" t="str">
        <x:v>COMPLETE</x:v>
      </x:c>
      <x:c r="M17" s="204" t="str">
        <x:v>LOGGED</x:v>
      </x:c>
      <x:c r="N17" s="204" t="str">
        <x:v>PRESENT</x:v>
      </x:c>
      <x:c r="O17" s="204" t="str">
        <x:v>COMPLETE</x:v>
      </x:c>
      <x:c r="P17" s="204" t="str">
        <x:v>WAIT — preserve the existing block until GAAP/SBC-adjusted owner earnings, customer-program concentration and dilution are reconciled.</x:v>
      </x:c>
      <x:c r="Q17" s="204" t="str">
        <x:v>2026-09-03</x:v>
      </x:c>
    </x:row>
    <x:row r="18">
      <x:c r="A18" s="204" t="inlineStr">
        <x:is>
          <x:t xml:space="preserve">ARG-014</x:t>
        </x:is>
      </x:c>
      <x:c r="B18" s="204" t="inlineStr">
        <x:is>
          <x:t xml:space="preserve">Eaton</x:t>
        </x:is>
      </x:c>
      <x:c r="C18" s="204" t="inlineStr">
        <x:is>
          <x:t xml:space="preserve">ETN</x:t>
        </x:is>
      </x:c>
      <x:c r="D18" s="204" t="inlineStr">
        <x:is>
          <x:t xml:space="preserve">Power &amp; Grid</x:t>
        </x:is>
      </x:c>
      <x:c r="E18" s="204" t="inlineStr">
        <x:is>
          <x:t xml:space="preserve">P2</x:t>
        </x:is>
      </x:c>
      <x:c r="F18" s="204" t="str">
        <x:v>https://www.eaton.com/content/dam/eaton/company/investor-relations/quarterly-earnings/filings/2026/q2/q2-20265-earnings-complete.pdf</x:v>
      </x:c>
      <x:c r="G18" s="204" t="str">
        <x:v>LOCATED</x:v>
      </x:c>
      <x:c r="H18" s="204" t="str">
        <x:v>FRESH</x:v>
      </x:c>
      <x:c r="I18" s="204" t="str">
        <x:v>https://www.eia.gov/outlooks/steo/ | https://www.ferc.gov/industries-data/electric/power-sales-and-markets/market-assessments | https://www.federalreserve.gov/newsevents/pressreleases/monetary20260729a.htm</x:v>
      </x:c>
      <x:c r="J18" s="204" t="str">
        <x:v>T1 filing/release + T2 official point-in-time package</x:v>
      </x:c>
      <x:c r="K18" s="204" t="str">
        <x:v>Normalized incremental returns after capacity expansion and a conservative entry value</x:v>
      </x:c>
      <x:c r="L18" s="204" t="str">
        <x:v>COMPLETE</x:v>
      </x:c>
      <x:c r="M18" s="204" t="str">
        <x:v>LOGGED</x:v>
      </x:c>
      <x:c r="N18" s="204" t="str">
        <x:v>PRESENT</x:v>
      </x:c>
      <x:c r="O18" s="204" t="str">
        <x:f>IF(OR(G18="MISSING",H18="STALE"),"BLOCKED",IF(COUNTIF(H18:N18,"PENDING")+COUNTIF(H18:N18,"UNKNOWN")&gt;0,"INCOMPLETE","COMPLETE"))</x:f>
        <x:v>COMPLETE</x:v>
      </x:c>
      <x:c r="P18" s="204" t="str">
        <x:v>WAIT FOR PRICE — wonderful business; require valuation protection and backlog cash conversion</x:v>
      </x:c>
      <x:c r="Q18" s="204" t="str">
        <x:v>2026-09-02</x:v>
      </x:c>
    </x:row>
    <x:row r="19">
      <x:c r="A19" s="204" t="str">
        <x:v>ARG-015</x:v>
      </x:c>
      <x:c r="B19" s="204" t="str">
        <x:v>Quanta Services</x:v>
      </x:c>
      <x:c r="C19" s="204" t="str">
        <x:v>PWR</x:v>
      </x:c>
      <x:c r="D19" s="204" t="str">
        <x:v>Power &amp; Grid</x:v>
      </x:c>
      <x:c r="E19" s="204" t="str">
        <x:v>P2</x:v>
      </x:c>
      <x:c r="F19" s="204" t="str">
        <x:v>https://investors.quantaservices.com/news-events/press-releases/detail/402/quanta-services-reports-second-quarter-2026-results</x:v>
      </x:c>
      <x:c r="G19" s="204" t="str">
        <x:v>LOCATED</x:v>
      </x:c>
      <x:c r="H19" s="204" t="str">
        <x:v>FRESH</x:v>
      </x:c>
      <x:c r="I19" s="204" t="str">
        <x:v>https://www.eia.gov/outlooks/steo/ | https://www.ferc.gov/industries-data/electric/power-sales-and-markets/market-assessments | https://www.federalreserve.gov/newsevents/pressreleases/monetary20260729a.htm</x:v>
      </x:c>
      <x:c r="J19" s="204" t="str">
        <x:v>T1 filing/release + T2 official point-in-time package</x:v>
      </x:c>
      <x:c r="K19" s="204" t="str">
        <x:v>Firm backlog cash margins, working-capital normalization and acquisition-cohort returns</x:v>
      </x:c>
      <x:c r="L19" s="204" t="str">
        <x:v>COMPLETE</x:v>
      </x:c>
      <x:c r="M19" s="204" t="str">
        <x:v>LOGGED</x:v>
      </x:c>
      <x:c r="N19" s="204" t="str">
        <x:v>PRESENT</x:v>
      </x:c>
      <x:c r="O19" s="204" t="str">
        <x:v>COMPLETE</x:v>
      </x:c>
      <x:c r="P19" s="204" t="str">
        <x:v>WAIT FOR PRICE — require contract-level backlog quality, acquisition returns and a normalized FCF multiple</x:v>
      </x:c>
      <x:c r="Q19" s="204" t="str">
        <x:v>2026-09-02</x:v>
      </x:c>
    </x:row>
    <x:row r="20">
      <x:c r="A20" s="204" t="str">
        <x:v>ARG-016</x:v>
      </x:c>
      <x:c r="B20" s="204" t="str">
        <x:v>Hubbell</x:v>
      </x:c>
      <x:c r="C20" s="204" t="str">
        <x:v>HUBB</x:v>
      </x:c>
      <x:c r="D20" s="204" t="str">
        <x:v>Power &amp; Grid</x:v>
      </x:c>
      <x:c r="E20" s="204" t="str">
        <x:v>P2</x:v>
      </x:c>
      <x:c r="F20" s="204" t="str">
        <x:v>https://hubbell.gcs-web.com/news-releases/news-release-details/hubbell-reports-second-quarter-2026-results</x:v>
      </x:c>
      <x:c r="G20" s="204" t="str">
        <x:v>LOCATED</x:v>
      </x:c>
      <x:c r="H20" s="204" t="str">
        <x:v>FRESH</x:v>
      </x:c>
      <x:c r="I20" s="204" t="str">
        <x:v>https://www.eia.gov/outlooks/steo/ | https://www.ferc.gov/industries-data/electric/power-sales-and-markets/market-assessments | https://www.federalreserve.gov/newsevents/pressreleases/monetary20260729a.htm</x:v>
      </x:c>
      <x:c r="J20" s="204" t="str">
        <x:v>T1 filing/release + T2 official point-in-time package</x:v>
      </x:c>
      <x:c r="K20" s="204" t="str">
        <x:v>NSI purchase-price return, clean owner cash and organic margin recovery</x:v>
      </x:c>
      <x:c r="L20" s="204" t="str">
        <x:v>COMPLETE</x:v>
      </x:c>
      <x:c r="M20" s="204" t="str">
        <x:v>LOGGED</x:v>
      </x:c>
      <x:c r="N20" s="204" t="str">
        <x:v>PRESENT</x:v>
      </x:c>
      <x:c r="O20" s="204" t="str">
        <x:v>COMPLETE</x:v>
      </x:c>
      <x:c r="P20" s="204" t="str">
        <x:v>WATCH — require NSI integration economics, debt path and margin recovery before any promotion</x:v>
      </x:c>
      <x:c r="Q20" s="204" t="str">
        <x:v>2026-09-02</x:v>
      </x:c>
    </x:row>
    <x:row r="21">
      <x:c r="A21" s="204" t="inlineStr">
        <x:is>
          <x:t xml:space="preserve">ARG-017</x:t>
        </x:is>
      </x:c>
      <x:c r="B21" s="204" t="inlineStr">
        <x:is>
          <x:t xml:space="preserve">Vertiv</x:t>
        </x:is>
      </x:c>
      <x:c r="C21" s="204" t="inlineStr">
        <x:is>
          <x:t xml:space="preserve">VRT</x:t>
        </x:is>
      </x:c>
      <x:c r="D21" s="204" t="inlineStr">
        <x:is>
          <x:t xml:space="preserve">Power &amp; Grid</x:t>
        </x:is>
      </x:c>
      <x:c r="E21" s="204" t="inlineStr">
        <x:is>
          <x:t xml:space="preserve">P2</x:t>
        </x:is>
      </x:c>
      <x:c r="F21" s="520" t="str">
        <x:v>https://investors.vertiv.com/news/news-details/2026/Vertiv-Reports-Strong-Second-Quarter-2026-with-Diluted-EPS-Growth-of-53-Adjusted-Diluted-EPS-Growth-of-60-Raises-Full-Year-2026-Guidance-Across-All-Key-Metrics/default.aspx</x:v>
      </x:c>
      <x:c r="G21" s="204" t="str">
        <x:v>LOCATED</x:v>
      </x:c>
      <x:c r="H21" s="204" t="str">
        <x:v>FRESH</x:v>
      </x:c>
      <x:c r="I21" s="204" t="str">
        <x:v>https://www.eia.gov/outlooks/steo/ | https://www.ferc.gov/industries-data/electric/power-sales-and-markets/market-assessments | https://www.federalreserve.gov/newsevents/pressreleases/monetary20260729a.htm</x:v>
      </x:c>
      <x:c r="J21" s="204" t="str">
        <x:v>T1 filing/release + T2 official point-in-time package</x:v>
      </x:c>
      <x:c r="K21" s="204" t="str">
        <x:v>Full-cycle service/moat evidence and normalized cash after capacity/working-capital effects</x:v>
      </x:c>
      <x:c r="L21" s="204" t="str">
        <x:v>COMPLETE</x:v>
      </x:c>
      <x:c r="M21" s="204" t="str">
        <x:v>LOGGED</x:v>
      </x:c>
      <x:c r="N21" s="204" t="str">
        <x:v>PRESENT</x:v>
      </x:c>
      <x:c r="O21" s="204" t="str">
        <x:f>IF(OR(G21="MISSING",H21="STALE"),"BLOCKED",IF(COUNTIF(H21:N21,"PENDING")+COUNTIF(H21:N21,"UNKNOWN")&gt;0,"INCOMPLETE","COMPLETE"))</x:f>
        <x:v>COMPLETE</x:v>
      </x:c>
      <x:c r="P21" s="204" t="str">
        <x:v>WAIT FOR PRICE — preserve the existing block; require normalized backlog conversion, full-cycle margins and service-moat evidence.</x:v>
      </x:c>
      <x:c r="Q21" s="204" t="str">
        <x:v>2026-09-03</x:v>
      </x:c>
    </x:row>
    <x:row r="22">
      <x:c r="A22" s="204" t="str">
        <x:v>ARG-018</x:v>
      </x:c>
      <x:c r="B22" s="204" t="str">
        <x:v>nVent Electric</x:v>
      </x:c>
      <x:c r="C22" s="204" t="str">
        <x:v>NVT</x:v>
      </x:c>
      <x:c r="D22" s="204" t="str">
        <x:v>Power &amp; Grid</x:v>
      </x:c>
      <x:c r="E22" s="204" t="str">
        <x:v>P2</x:v>
      </x:c>
      <x:c r="F22" s="204" t="str">
        <x:v>https://www.sec.gov/Archives/edgar/data/1720635/000162828026051203/q22026nvtpressrelease.htm</x:v>
      </x:c>
      <x:c r="G22" s="204" t="str">
        <x:v>LOCATED</x:v>
      </x:c>
      <x:c r="H22" s="204" t="str">
        <x:v>FRESH</x:v>
      </x:c>
      <x:c r="I22" s="204" t="str">
        <x:v>https://www.eia.gov/outlooks/steo/ | https://www.ferc.gov/industries-data/electric/power-sales-and-markets/market-assessments | https://www.federalreserve.gov/newsevents/pressreleases/monetary20260729a.htm</x:v>
      </x:c>
      <x:c r="J22" s="204" t="str">
        <x:v>T1 filing/release + T2 official point-in-time package</x:v>
      </x:c>
      <x:c r="K22" s="204" t="str">
        <x:v>Maverick purchase-price return, customer concentration and normalized organic growth</x:v>
      </x:c>
      <x:c r="L22" s="204" t="str">
        <x:v>COMPLETE</x:v>
      </x:c>
      <x:c r="M22" s="204" t="str">
        <x:v>LOGGED</x:v>
      </x:c>
      <x:c r="N22" s="204" t="str">
        <x:v>PRESENT</x:v>
      </x:c>
      <x:c r="O22" s="204" t="str">
        <x:v>COMPLETE</x:v>
      </x:c>
      <x:c r="P22" s="204" t="str">
        <x:v>WATCH — require Maverick cohort returns, pro-forma leverage and organic margin durability</x:v>
      </x:c>
      <x:c r="Q22" s="204" t="str">
        <x:v>2026-09-02</x:v>
      </x:c>
    </x:row>
    <x:row r="23">
      <x:c r="A23" s="204" t="inlineStr">
        <x:is>
          <x:t xml:space="preserve">ARG-019</x:t>
        </x:is>
      </x:c>
      <x:c r="B23" s="204" t="inlineStr">
        <x:is>
          <x:t xml:space="preserve">GE Vernova</x:t>
        </x:is>
      </x:c>
      <x:c r="C23" s="204" t="inlineStr">
        <x:is>
          <x:t xml:space="preserve">GEV</x:t>
        </x:is>
      </x:c>
      <x:c r="D23" s="204" t="inlineStr">
        <x:is>
          <x:t xml:space="preserve">Power &amp; Grid</x:t>
        </x:is>
      </x:c>
      <x:c r="E23" s="204" t="inlineStr">
        <x:is>
          <x:t xml:space="preserve">P2</x:t>
        </x:is>
      </x:c>
      <x:c r="F23" s="204" t="str">
        <x:v>https://www.gevernova.com/news/articles/ge-vernova-releases-second-quarter-2026-financial-results</x:v>
      </x:c>
      <x:c r="G23" s="204" t="str">
        <x:v>LOCATED</x:v>
      </x:c>
      <x:c r="H23" s="204" t="str">
        <x:v>FRESH</x:v>
      </x:c>
      <x:c r="I23" s="204" t="str">
        <x:v>https://www.eia.gov/outlooks/steo/ | https://www.ferc.gov/industries-data/electric/power-sales-and-markets/market-assessments | https://www.federalreserve.gov/newsevents/pressreleases/monetary20260729a.htm</x:v>
      </x:c>
      <x:c r="J23" s="204" t="str">
        <x:v>T1 filing/release + T2 official point-in-time package</x:v>
      </x:c>
      <x:c r="K23" s="204" t="str">
        <x:v>Firm versus reserved backlog, contract/warranty economics and post-spin correction record</x:v>
      </x:c>
      <x:c r="L23" s="204" t="str">
        <x:v>COMPLETE</x:v>
      </x:c>
      <x:c r="M23" s="204" t="str">
        <x:v>LOGGED</x:v>
      </x:c>
      <x:c r="N23" s="204" t="str">
        <x:v>PRESENT</x:v>
      </x:c>
      <x:c r="O23" s="204" t="str">
        <x:f>IF(OR(G23="MISSING",H23="STALE"),"BLOCKED",IF(COUNTIF(H23:N23,"PENDING")+COUNTIF(H23:N23,"UNKNOWN")&gt;0,"INCOMPLETE","COMPLETE"))</x:f>
        <x:v>COMPLETE</x:v>
      </x:c>
      <x:c r="P23" s="204" t="str">
        <x:v>WAIT FOR PRICE — require firm-order quality, contract cash margins and a longer stewardship record</x:v>
      </x:c>
      <x:c r="Q23" s="204" t="str">
        <x:v>2026-09-02</x:v>
      </x:c>
    </x:row>
    <x:row r="24">
      <x:c r="A24" s="204" t="str">
        <x:v>ARG-020</x:v>
      </x:c>
      <x:c r="B24" s="204" t="str">
        <x:v>Schneider Electric</x:v>
      </x:c>
      <x:c r="C24" s="204" t="str">
        <x:v>SU.PA</x:v>
      </x:c>
      <x:c r="D24" s="204" t="str">
        <x:v>Power &amp; Grid</x:v>
      </x:c>
      <x:c r="E24" s="204" t="str">
        <x:v>P2</x:v>
      </x:c>
      <x:c r="F24" s="204" t="str">
        <x:v>https://www.se.com/ww/en/about-us/investor-relations/financial-results/</x:v>
      </x:c>
      <x:c r="G24" s="204" t="str">
        <x:v>LOCATED</x:v>
      </x:c>
      <x:c r="H24" s="204" t="str">
        <x:v>FRESH</x:v>
      </x:c>
      <x:c r="I24" s="204" t="str">
        <x:v>https://www.ecb.europa.eu/press/pr/date/2026/html/ecb.mp260723~29f24d99bc.en.html | https://www.eia.gov/outlooks/steo/ | https://www.ferc.gov/industries-data/electric/power-sales-and-markets/market-assessments</x:v>
      </x:c>
      <x:c r="J24" s="204" t="str">
        <x:v>T1 filing/release + T2 official point-in-time package</x:v>
      </x:c>
      <x:c r="K24" s="204" t="str">
        <x:v>Normalized segment returns after capacity investment and a conservative entry-value range</x:v>
      </x:c>
      <x:c r="L24" s="204" t="str">
        <x:v>COMPLETE</x:v>
      </x:c>
      <x:c r="M24" s="204" t="str">
        <x:v>LOGGED</x:v>
      </x:c>
      <x:c r="N24" s="204" t="str">
        <x:v>PRESENT</x:v>
      </x:c>
      <x:c r="O24" s="204" t="str">
        <x:v>COMPLETE</x:v>
      </x:c>
      <x:c r="P24" s="204" t="str">
        <x:v>WATCH — retain the quality premium only with normalized incremental returns and price protection</x:v>
      </x:c>
      <x:c r="Q24" s="204" t="str">
        <x:v>2026-09-02</x:v>
      </x:c>
    </x:row>
    <x:row r="25">
      <x:c r="A25" s="204" t="str">
        <x:v>ARG-021</x:v>
      </x:c>
      <x:c r="B25" s="204" t="str">
        <x:v>Trane Technologies</x:v>
      </x:c>
      <x:c r="C25" s="204" t="str">
        <x:v>TT</x:v>
      </x:c>
      <x:c r="D25" s="204" t="str">
        <x:v>Power &amp; Grid</x:v>
      </x:c>
      <x:c r="E25" s="204" t="str">
        <x:v>P2</x:v>
      </x:c>
      <x:c r="F25" s="204" t="str">
        <x:v>https://investors.tranetechnologies.com/news-and-events/news-releases/default.aspx</x:v>
      </x:c>
      <x:c r="G25" s="204" t="str">
        <x:v>LOCATED</x:v>
      </x:c>
      <x:c r="H25" s="204" t="str">
        <x:v>FRESH</x:v>
      </x:c>
      <x:c r="I25" s="204" t="str">
        <x:v>https://www.eia.gov/outlooks/steo/ | https://www.ferc.gov/industries-data/electric/power-sales-and-markets/market-assessments | https://www.federalreserve.gov/newsevents/pressreleases/monetary20260729a.htm</x:v>
      </x:c>
      <x:c r="J25" s="204" t="str">
        <x:v>T1 filing/release + T2 official point-in-time package</x:v>
      </x:c>
      <x:c r="K25" s="204" t="str">
        <x:v>Backlog firmness, data-center customer concentration and post-Stellar owner earnings</x:v>
      </x:c>
      <x:c r="L25" s="204" t="str">
        <x:v>COMPLETE</x:v>
      </x:c>
      <x:c r="M25" s="204" t="str">
        <x:v>LOGGED</x:v>
      </x:c>
      <x:c r="N25" s="204" t="str">
        <x:v>PRESENT</x:v>
      </x:c>
      <x:c r="O25" s="204" t="str">
        <x:v>COMPLETE</x:v>
      </x:c>
      <x:c r="P25" s="204" t="str">
        <x:v>WAIT FOR PRICE — require backlog cash conversion, Stellar returns and a normalized service/equipment mix</x:v>
      </x:c>
      <x:c r="Q25" s="204" t="str">
        <x:v>2026-09-02</x:v>
      </x:c>
    </x:row>
    <x:row r="26">
      <x:c r="A26" s="204" t="inlineStr">
        <x:is>
          <x:t xml:space="preserve">ARG-022</x:t>
        </x:is>
      </x:c>
      <x:c r="B26" s="204" t="inlineStr">
        <x:is>
          <x:t xml:space="preserve">International Flavors &amp; Fragrances</x:t>
        </x:is>
      </x:c>
      <x:c r="C26" s="204" t="inlineStr">
        <x:is>
          <x:t xml:space="preserve">IFF</x:t>
        </x:is>
      </x:c>
      <x:c r="D26" s="204" t="inlineStr">
        <x:is>
          <x:t xml:space="preserve">Specialty Ingredients</x:t>
        </x:is>
      </x:c>
      <x:c r="E26" s="204" t="inlineStr">
        <x:is>
          <x:t xml:space="preserve">P1</x:t>
        </x:is>
      </x:c>
      <x:c r="F26" s="204" t="str">
        <x:v>https://ir.iff.com/news-releases/news-release-details/iff-reports-second-quarter-2026-results-announces-use-proceeds</x:v>
      </x:c>
      <x:c r="G26" s="204" t="str">
        <x:v>LOCATED</x:v>
      </x:c>
      <x:c r="H26" s="204" t="str">
        <x:v>FRESH</x:v>
      </x:c>
      <x:c r="I26" s="204" t="str">
        <x:v>https://www.ecb.europa.eu/stats/policy_and_exchange_rates/euro_reference_exchange_rates/html/index.en.html | https://www.bea.gov/news/2026/personal-income-and-outlays-july-2026</x:v>
      </x:c>
      <x:c r="J26" s="204" t="str">
        <x:v>T1 filing/release + T2 official point-in-time package</x:v>
      </x:c>
      <x:c r="K26" s="204" t="str">
        <x:v>Use of divestiture proceeds and clean continuing-operations owner earnings</x:v>
      </x:c>
      <x:c r="L26" s="204" t="str">
        <x:v>COMPLETE</x:v>
      </x:c>
      <x:c r="M26" s="204" t="str">
        <x:v>LOGGED</x:v>
      </x:c>
      <x:c r="N26" s="204" t="str">
        <x:v>PRESENT</x:v>
      </x:c>
      <x:c r="O26" s="204" t="str">
        <x:f>IF(OR(G26="MISSING",H26="STALE"),"BLOCKED",IF(COUNTIF(H26:N26,"PENDING")+COUNTIF(H26:N26,"UNKNOWN")&gt;0,"INCOMPLETE","COMPLETE"))</x:f>
        <x:v>COMPLETE</x:v>
      </x:c>
      <x:c r="P26" s="204" t="str">
        <x:v>HOLD / BUY LOWER — verify proceeds bridge and per-share capital allocation</x:v>
      </x:c>
      <x:c r="Q26" s="204" t="str">
        <x:v>2026-09-02</x:v>
      </x:c>
    </x:row>
    <x:row r="27">
      <x:c r="A27" s="204" t="inlineStr">
        <x:is>
          <x:t xml:space="preserve">ARG-023</x:t>
        </x:is>
      </x:c>
      <x:c r="B27" s="204" t="inlineStr">
        <x:is>
          <x:t xml:space="preserve">Givaudan</x:t>
        </x:is>
      </x:c>
      <x:c r="C27" s="204" t="inlineStr">
        <x:is>
          <x:t xml:space="preserve">GIVN.SW</x:t>
        </x:is>
      </x:c>
      <x:c r="D27" s="204" t="inlineStr">
        <x:is>
          <x:t xml:space="preserve">Specialty Ingredients</x:t>
        </x:is>
      </x:c>
      <x:c r="E27" s="204" t="inlineStr">
        <x:is>
          <x:t xml:space="preserve">P1</x:t>
        </x:is>
      </x:c>
      <x:c r="F27" s="204" t="str">
        <x:v>https://www.givaudan.com/media/media-releases/2026/2026-half-year-results</x:v>
      </x:c>
      <x:c r="G27" s="204" t="str">
        <x:v>LOCATED</x:v>
      </x:c>
      <x:c r="H27" s="204" t="str">
        <x:v>FRESH</x:v>
      </x:c>
      <x:c r="I27" s="204" t="str">
        <x:v>https://www.ecb.europa.eu/stats/policy_and_exchange_rates/euro_reference_exchange_rates/html/index.en.html | https://www.bea.gov/news/2026/personal-income-and-outlays-july-2026</x:v>
      </x:c>
      <x:c r="J27" s="204" t="str">
        <x:v>T1 filing/release + T2 official point-in-time package</x:v>
      </x:c>
      <x:c r="K27" s="204" t="str">
        <x:v>Taste &amp; Wellbeing normalization and valuation margin of safety</x:v>
      </x:c>
      <x:c r="L27" s="204" t="str">
        <x:v>COMPLETE</x:v>
      </x:c>
      <x:c r="M27" s="204" t="str">
        <x:v>LOGGED</x:v>
      </x:c>
      <x:c r="N27" s="204" t="str">
        <x:v>PRESENT</x:v>
      </x:c>
      <x:c r="O27" s="204" t="str">
        <x:f>IF(OR(G27="MISSING",H27="STALE"),"BLOCKED",IF(COUNTIF(H27:N27,"PENDING")+COUNTIF(H27:N27,"UNKNOWN")&gt;0,"INCOMPLETE","COMPLETE"))</x:f>
        <x:v>COMPLETE</x:v>
      </x:c>
      <x:c r="P27" s="204" t="str">
        <x:v>WATCH — premium quality; require valuation protection and Taste recovery</x:v>
      </x:c>
      <x:c r="Q27" s="204" t="str">
        <x:v>2026-09-02</x:v>
      </x:c>
    </x:row>
    <x:row r="28">
      <x:c r="A28" s="204" t="inlineStr">
        <x:is>
          <x:t xml:space="preserve">ARG-024</x:t>
        </x:is>
      </x:c>
      <x:c r="B28" s="204" t="inlineStr">
        <x:is>
          <x:t xml:space="preserve">Symrise</x:t>
        </x:is>
      </x:c>
      <x:c r="C28" s="204" t="inlineStr">
        <x:is>
          <x:t xml:space="preserve">SY1.DE</x:t>
        </x:is>
      </x:c>
      <x:c r="D28" s="204" t="inlineStr">
        <x:is>
          <x:t xml:space="preserve">Specialty Ingredients</x:t>
        </x:is>
      </x:c>
      <x:c r="E28" s="204" t="inlineStr">
        <x:is>
          <x:t xml:space="preserve">P1</x:t>
        </x:is>
      </x:c>
      <x:c r="F28" s="204" t="str">
        <x:v>https://www.symrise.com/investors/</x:v>
      </x:c>
      <x:c r="G28" s="204" t="str">
        <x:v>LOCATED</x:v>
      </x:c>
      <x:c r="H28" s="204" t="str">
        <x:v>FRESH</x:v>
      </x:c>
      <x:c r="I28" s="204" t="str">
        <x:v>https://www.ecb.europa.eu/stats/policy_and_exchange_rates/euro_reference_exchange_rates/html/index.en.html | https://www.bea.gov/news/2026/personal-income-and-outlays-july-2026</x:v>
      </x:c>
      <x:c r="J28" s="204" t="str">
        <x:v>T1 filing/release + T2 official point-in-time package</x:v>
      </x:c>
      <x:c r="K28" s="204" t="str">
        <x:v>Fresh half-year cash-flow/leverage bridge and repeat Q2 organic momentum</x:v>
      </x:c>
      <x:c r="L28" s="204" t="str">
        <x:v>COMPLETE</x:v>
      </x:c>
      <x:c r="M28" s="204" t="str">
        <x:v>LOGGED</x:v>
      </x:c>
      <x:c r="N28" s="204" t="str">
        <x:v>PRESENT</x:v>
      </x:c>
      <x:c r="O28" s="204" t="str">
        <x:f>IF(OR(G28="MISSING",H28="STALE"),"BLOCKED",IF(COUNTIF(H28:N28,"PENDING")+COUNTIF(H28:N28,"UNKNOWN")&gt;0,"INCOMPLETE","COMPLETE"))</x:f>
        <x:v>COMPLETE</x:v>
      </x:c>
      <x:c r="P28" s="204" t="str">
        <x:v>WATCH — require repeat organic acceleration and owner-cash reconciliation</x:v>
      </x:c>
      <x:c r="Q28" s="204" t="str">
        <x:v>2026-09-02</x:v>
      </x:c>
    </x:row>
    <x:row r="29">
      <x:c r="A29" s="204" t="str">
        <x:v>ARG-025</x:v>
      </x:c>
      <x:c r="B29" s="204" t="str">
        <x:v>Croda International</x:v>
      </x:c>
      <x:c r="C29" s="204" t="str">
        <x:v>CRDA.L</x:v>
      </x:c>
      <x:c r="D29" s="204" t="str">
        <x:v>Specialty Ingredients</x:v>
      </x:c>
      <x:c r="E29" s="204" t="str">
        <x:v>P2</x:v>
      </x:c>
      <x:c r="F29" s="204" t="str">
        <x:v>https://www.croda.com/en-gb/media-hub/news/general/2026-half-year-results</x:v>
      </x:c>
      <x:c r="G29" s="204" t="str">
        <x:v>LOCATED</x:v>
      </x:c>
      <x:c r="H29" s="204" t="str">
        <x:v>FRESH</x:v>
      </x:c>
      <x:c r="I29" s="204" t="str">
        <x:v>https://www.ons.gov.uk/economy/grossdomesticproductgdp/bulletins/gdpfirstquarterlyestimateuk/apriltojune2026 | https://www.ecb.europa.eu/press/pr/date/2026/html/ecb.mp260723~29f24d99bc.en.html</x:v>
      </x:c>
      <x:c r="J29" s="204" t="str">
        <x:v>T1 filing/release + T2 official point-in-time package</x:v>
      </x:c>
      <x:c r="K29" s="204" t="str">
        <x:v>Lipid/Pharma capacity returns, clean FCF conversion and segment-level recovery durability</x:v>
      </x:c>
      <x:c r="L29" s="204" t="str">
        <x:v>COMPLETE</x:v>
      </x:c>
      <x:c r="M29" s="204" t="str">
        <x:v>LOGGED</x:v>
      </x:c>
      <x:c r="N29" s="204" t="str">
        <x:v>PRESENT</x:v>
      </x:c>
      <x:c r="O29" s="204" t="str">
        <x:v>COMPLETE</x:v>
      </x:c>
      <x:c r="P29" s="204" t="str">
        <x:v>WATCH — demand Pharma Solutions recovery, capacity utilization and conversion of adjusted profit to FCF</x:v>
      </x:c>
      <x:c r="Q29" s="204" t="str">
        <x:v>2026-09-02</x:v>
      </x:c>
    </x:row>
    <x:row r="30">
      <x:c r="A30" s="204" t="str">
        <x:v>ARG-026</x:v>
      </x:c>
      <x:c r="B30" s="204" t="str">
        <x:v>Sensient Technologies</x:v>
      </x:c>
      <x:c r="C30" s="204" t="str">
        <x:v>SXT</x:v>
      </x:c>
      <x:c r="D30" s="204" t="str">
        <x:v>Specialty Ingredients</x:v>
      </x:c>
      <x:c r="E30" s="204" t="str">
        <x:v>P2</x:v>
      </x:c>
      <x:c r="F30" s="204" t="str">
        <x:v>https://www.sec.gov/Archives/edgar/data/310142/000114036126029501/ef20078569_ex99-1.htm</x:v>
      </x:c>
      <x:c r="G30" s="204" t="str">
        <x:v>LOCATED</x:v>
      </x:c>
      <x:c r="H30" s="204" t="str">
        <x:v>FRESH</x:v>
      </x:c>
      <x:c r="I30" s="204" t="str">
        <x:v>https://www.census.gov/retail/index.html | https://www.bls.gov/cpi/ | https://www.sec.gov/edgar/search/</x:v>
      </x:c>
      <x:c r="J30" s="204" t="str">
        <x:v>T1 filing/release + T2 official point-in-time package</x:v>
      </x:c>
      <x:c r="K30" s="204" t="str">
        <x:v>Normalized FCF after working capital, sustainable Color growth and defensible entry range</x:v>
      </x:c>
      <x:c r="L30" s="204" t="str">
        <x:v>COMPLETE</x:v>
      </x:c>
      <x:c r="M30" s="204" t="str">
        <x:v>LOGGED</x:v>
      </x:c>
      <x:c r="N30" s="204" t="str">
        <x:v>PRESENT</x:v>
      </x:c>
      <x:c r="O30" s="204" t="str">
        <x:v>COMPLETE</x:v>
      </x:c>
      <x:c r="P30" s="204" t="str">
        <x:v>WAIT FOR PRICE — preserve quality thesis but require normalized FCF and a materially lower expectations burden</x:v>
      </x:c>
      <x:c r="Q30" s="204" t="str">
        <x:v>2026-09-02</x:v>
      </x:c>
    </x:row>
    <x:row r="31">
      <x:c r="A31" s="204" t="inlineStr">
        <x:is>
          <x:t xml:space="preserve">ARG-027</x:t>
        </x:is>
      </x:c>
      <x:c r="B31" s="204" t="inlineStr">
        <x:is>
          <x:t xml:space="preserve">Torpaz Industries</x:t>
        </x:is>
      </x:c>
      <x:c r="C31" s="204" t="inlineStr">
        <x:is>
          <x:t xml:space="preserve">TRPZ.TA</x:t>
        </x:is>
      </x:c>
      <x:c r="D31" s="204" t="inlineStr">
        <x:is>
          <x:t xml:space="preserve">Specialty Ingredients</x:t>
        </x:is>
      </x:c>
      <x:c r="E31" s="204" t="inlineStr">
        <x:is>
          <x:t xml:space="preserve">P1</x:t>
        </x:is>
      </x:c>
      <x:c r="F31" s="204" t="str">
        <x:v>https://www.turpaz.co.il/Financial-reports</x:v>
      </x:c>
      <x:c r="G31" s="204" t="str">
        <x:v>LOCATED</x:v>
      </x:c>
      <x:c r="H31" s="204" t="str">
        <x:v>FRESH</x:v>
      </x:c>
      <x:c r="I31" s="204" t="str">
        <x:v>https://www.ecb.europa.eu/stats/policy_and_exchange_rates/euro_reference_exchange_rates/html/index.en.html | https://www.bea.gov/news/2026/personal-income-and-outlays-july-2026</x:v>
      </x:c>
      <x:c r="J31" s="204" t="str">
        <x:v>T1 filing/release + T2 official point-in-time package</x:v>
      </x:c>
      <x:c r="K31" s="204" t="str">
        <x:v>Acquisition-cohort owner returns, leverage and earn-out cash requirements</x:v>
      </x:c>
      <x:c r="L31" s="204" t="str">
        <x:v>COMPLETE</x:v>
      </x:c>
      <x:c r="M31" s="204" t="str">
        <x:v>LOGGED</x:v>
      </x:c>
      <x:c r="N31" s="204" t="str">
        <x:v>PRESENT</x:v>
      </x:c>
      <x:c r="O31" s="204" t="str">
        <x:f>IF(OR(G31="MISSING",H31="STALE"),"BLOCKED",IF(COUNTIF(H31:N31,"PENDING")+COUNTIF(H31:N31,"UNKNOWN")&gt;0,"INCOMPLETE","COMPLETE"))</x:f>
        <x:v>COMPLETE</x:v>
      </x:c>
      <x:c r="P31" s="204" t="str">
        <x:v>WAIT FOR PRICE — require acquisition-cohort ROIC and cash conversion</x:v>
      </x:c>
      <x:c r="Q31" s="204" t="str">
        <x:v>2026-09-02</x:v>
      </x:c>
    </x:row>
    <x:row r="32">
      <x:c r="A32" s="204" t="str">
        <x:v>ARG-028</x:v>
      </x:c>
      <x:c r="B32" s="204" t="str">
        <x:v>Exxon Mobil</x:v>
      </x:c>
      <x:c r="C32" s="204" t="str">
        <x:v>XOM</x:v>
      </x:c>
      <x:c r="D32" s="204" t="str">
        <x:v>Energy</x:v>
      </x:c>
      <x:c r="E32" s="204" t="str">
        <x:v>P2</x:v>
      </x:c>
      <x:c r="F32" s="204" t="str">
        <x:v>https://investor.exxonmobil.com/</x:v>
      </x:c>
      <x:c r="G32" s="204" t="str">
        <x:v>LOCATED</x:v>
      </x:c>
      <x:c r="H32" s="204" t="str">
        <x:v>FRESH</x:v>
      </x:c>
      <x:c r="I32" s="204" t="str">
        <x:v>https://www.eia.gov/outlooks/steo/ | https://www.iea.org/reports/oil-market-report-august-2026 | https://www.sec.gov/edgar/search/</x:v>
      </x:c>
      <x:c r="J32" s="204" t="str">
        <x:v>T1 filing/release + T2 official point-in-time package</x:v>
      </x:c>
      <x:c r="K32" s="204" t="str">
        <x:v>Mid-cycle integrated owner earnings, project-level returns and buyback price discipline</x:v>
      </x:c>
      <x:c r="L32" s="204" t="str">
        <x:v>COMPLETE</x:v>
      </x:c>
      <x:c r="M32" s="204" t="str">
        <x:v>LOGGED</x:v>
      </x:c>
      <x:c r="N32" s="204" t="str">
        <x:v>PRESENT</x:v>
      </x:c>
      <x:c r="O32" s="204" t="str">
        <x:v>COMPLETE</x:v>
      </x:c>
      <x:c r="P32" s="204" t="str">
        <x:v>WATCH — value only on mid-cycle oil/refining/chemical margins and full sustaining capital</x:v>
      </x:c>
      <x:c r="Q32" s="204" t="str">
        <x:v>2026-09-02</x:v>
      </x:c>
    </x:row>
    <x:row r="33">
      <x:c r="A33" s="204" t="str">
        <x:v>ARG-029</x:v>
      </x:c>
      <x:c r="B33" s="204" t="str">
        <x:v>Chevron</x:v>
      </x:c>
      <x:c r="C33" s="204" t="str">
        <x:v>CVX</x:v>
      </x:c>
      <x:c r="D33" s="204" t="str">
        <x:v>Energy</x:v>
      </x:c>
      <x:c r="E33" s="204" t="str">
        <x:v>P2</x:v>
      </x:c>
      <x:c r="F33" s="204" t="str">
        <x:v>https://chevroncorp.gcs-web.com/news-releases/news-release-details/chevron-reports-second-quarter-2026-results</x:v>
      </x:c>
      <x:c r="G33" s="204" t="str">
        <x:v>LOCATED</x:v>
      </x:c>
      <x:c r="H33" s="204" t="str">
        <x:v>FRESH</x:v>
      </x:c>
      <x:c r="I33" s="204" t="str">
        <x:v>https://www.eia.gov/outlooks/steo/ | https://www.iea.org/reports/oil-market-report-august-2026 | https://www.sec.gov/edgar/search/</x:v>
      </x:c>
      <x:c r="J33" s="204" t="str">
        <x:v>T1 filing/release + T2 official point-in-time package</x:v>
      </x:c>
      <x:c r="K33" s="204" t="str">
        <x:v>Hess integration economics, mid-cycle FCF and jurisdiction-adjusted NAV</x:v>
      </x:c>
      <x:c r="L33" s="204" t="str">
        <x:v>COMPLETE</x:v>
      </x:c>
      <x:c r="M33" s="204" t="str">
        <x:v>LOGGED</x:v>
      </x:c>
      <x:c r="N33" s="204" t="str">
        <x:v>PRESENT</x:v>
      </x:c>
      <x:c r="O33" s="204" t="str">
        <x:v>COMPLETE</x:v>
      </x:c>
      <x:c r="P33" s="204" t="str">
        <x:v>WATCH — require post-Hess returns and a conservative mid-cycle FCF/NAV range</x:v>
      </x:c>
      <x:c r="Q33" s="204" t="str">
        <x:v>2026-09-02</x:v>
      </x:c>
    </x:row>
    <x:row r="34">
      <x:c r="A34" s="204" t="str">
        <x:v>ARG-030</x:v>
      </x:c>
      <x:c r="B34" s="204" t="str">
        <x:v>ConocoPhillips</x:v>
      </x:c>
      <x:c r="C34" s="204" t="str">
        <x:v>COP</x:v>
      </x:c>
      <x:c r="D34" s="204" t="str">
        <x:v>Energy</x:v>
      </x:c>
      <x:c r="E34" s="204" t="str">
        <x:v>P2</x:v>
      </x:c>
      <x:c r="F34" s="204" t="str">
        <x:v>https://www.conocophillips.com/news-media/story/conocophillips-announces-second-quarter-2026-results-and-quarterly-dividend/</x:v>
      </x:c>
      <x:c r="G34" s="204" t="str">
        <x:v>LOCATED</x:v>
      </x:c>
      <x:c r="H34" s="204" t="str">
        <x:v>FRESH</x:v>
      </x:c>
      <x:c r="I34" s="204" t="str">
        <x:v>https://www.eia.gov/outlooks/steo/ | https://www.iea.org/reports/oil-market-report-august-2026 | https://www.sec.gov/edgar/search/</x:v>
      </x:c>
      <x:c r="J34" s="204" t="str">
        <x:v>T1 filing/release + T2 official point-in-time package</x:v>
      </x:c>
      <x:c r="K34" s="204" t="str">
        <x:v>Mid-cycle FCF, sustaining capital/decline rate and post-transition allocation discipline</x:v>
      </x:c>
      <x:c r="L34" s="204" t="str">
        <x:v>COMPLETE</x:v>
      </x:c>
      <x:c r="M34" s="204" t="str">
        <x:v>LOGGED</x:v>
      </x:c>
      <x:c r="N34" s="204" t="str">
        <x:v>PRESENT</x:v>
      </x:c>
      <x:c r="O34" s="204" t="str">
        <x:v>COMPLETE</x:v>
      </x:c>
      <x:c r="P34" s="204" t="str">
        <x:v>WAIT — re-underwrite at $50–60 oil with full sustaining capital and Marathon integration costs</x:v>
      </x:c>
      <x:c r="Q34" s="204" t="str">
        <x:v>2026-09-02</x:v>
      </x:c>
    </x:row>
    <x:row r="35">
      <x:c r="A35" s="204" t="str">
        <x:v>ARG-031</x:v>
      </x:c>
      <x:c r="B35" s="204" t="str">
        <x:v>Occidental Petroleum</x:v>
      </x:c>
      <x:c r="C35" s="204" t="str">
        <x:v>OXY</x:v>
      </x:c>
      <x:c r="D35" s="204" t="str">
        <x:v>Energy</x:v>
      </x:c>
      <x:c r="E35" s="204" t="str">
        <x:v>P2</x:v>
      </x:c>
      <x:c r="F35" s="204" t="str">
        <x:v>https://www.oxy.com/news/news-releases/occidental-announces-2nd-quarter-2026-results/</x:v>
      </x:c>
      <x:c r="G35" s="204" t="str">
        <x:v>LOCATED</x:v>
      </x:c>
      <x:c r="H35" s="204" t="str">
        <x:v>FRESH</x:v>
      </x:c>
      <x:c r="I35" s="204" t="str">
        <x:v>https://www.eia.gov/outlooks/steo/ | https://www.iea.org/reports/oil-market-report-august-2026 | https://www.sec.gov/edgar/search/</x:v>
      </x:c>
      <x:c r="J35" s="204" t="str">
        <x:v>T1 filing/release + T2 official point-in-time package</x:v>
      </x:c>
      <x:c r="K35" s="204" t="str">
        <x:v>Post-OxyChem mid-cycle FCF, sustaining capital and debt/preferred-claim waterfall</x:v>
      </x:c>
      <x:c r="L35" s="204" t="str">
        <x:v>COMPLETE</x:v>
      </x:c>
      <x:c r="M35" s="204" t="str">
        <x:v>LOGGED</x:v>
      </x:c>
      <x:c r="N35" s="204" t="str">
        <x:v>PRESENT</x:v>
      </x:c>
      <x:c r="O35" s="204" t="str">
        <x:v>COMPLETE</x:v>
      </x:c>
      <x:c r="P35" s="204" t="str">
        <x:v>WATCH — require sub-$10bn debt and owner earnings that survive $50–55 oil</x:v>
      </x:c>
      <x:c r="Q35" s="204" t="str">
        <x:v>2026-09-02</x:v>
      </x:c>
    </x:row>
    <x:row r="36">
      <x:c r="A36" s="204" t="str">
        <x:v>ARG-032</x:v>
      </x:c>
      <x:c r="B36" s="204" t="str">
        <x:v>SLB</x:v>
      </x:c>
      <x:c r="C36" s="204" t="str">
        <x:v>SLB</x:v>
      </x:c>
      <x:c r="D36" s="204" t="str">
        <x:v>Energy</x:v>
      </x:c>
      <x:c r="E36" s="204" t="str">
        <x:v>P2</x:v>
      </x:c>
      <x:c r="F36" s="204" t="str">
        <x:v>https://investorcenter.slb.com/news-releases/news-release-details/slb-announces-second-quarter-2026-results</x:v>
      </x:c>
      <x:c r="G36" s="204" t="str">
        <x:v>LOCATED</x:v>
      </x:c>
      <x:c r="H36" s="204" t="str">
        <x:v>FRESH</x:v>
      </x:c>
      <x:c r="I36" s="204" t="str">
        <x:v>https://www.eia.gov/outlooks/steo/ | https://www.iea.org/reports/oil-market-report-august-2026 | https://www.sec.gov/edgar/search/</x:v>
      </x:c>
      <x:c r="J36" s="204" t="str">
        <x:v>T1 filing/release + T2 official point-in-time package</x:v>
      </x:c>
      <x:c r="K36" s="204" t="str">
        <x:v>Kelvion purchase-price return, pro-forma leverage and segment-level normalized FCF</x:v>
      </x:c>
      <x:c r="L36" s="204" t="str">
        <x:v>COMPLETE</x:v>
      </x:c>
      <x:c r="M36" s="204" t="str">
        <x:v>LOGGED</x:v>
      </x:c>
      <x:c r="N36" s="204" t="str">
        <x:v>PRESENT</x:v>
      </x:c>
      <x:c r="O36" s="204" t="str">
        <x:v>COMPLETE</x:v>
      </x:c>
      <x:c r="P36" s="204" t="str">
        <x:v>WAIT — block promotion until Kelvion return, leverage and normalized oil-service FCF are evidenced</x:v>
      </x:c>
      <x:c r="Q36" s="204" t="str">
        <x:v>2026-09-02</x:v>
      </x:c>
    </x:row>
    <x:row r="37">
      <x:c r="A37" s="204" t="inlineStr">
        <x:is>
          <x:t xml:space="preserve">ARG-033</x:t>
        </x:is>
      </x:c>
      <x:c r="B37" s="204" t="inlineStr">
        <x:is>
          <x:t xml:space="preserve">Fidelity National Information Services</x:t>
        </x:is>
      </x:c>
      <x:c r="C37" s="204" t="inlineStr">
        <x:is>
          <x:t xml:space="preserve">FIS</x:t>
        </x:is>
      </x:c>
      <x:c r="D37" s="204" t="inlineStr">
        <x:is>
          <x:t xml:space="preserve">Software &amp; Payments</x:t>
        </x:is>
      </x:c>
      <x:c r="E37" s="204" t="inlineStr">
        <x:is>
          <x:t xml:space="preserve">P1</x:t>
        </x:is>
      </x:c>
      <x:c r="F37" s="204" t="str">
        <x:v>https://www.fisglobal.com/about-us/media-room/press-release/2026/fis-reports-second-quarter-2026-results</x:v>
      </x:c>
      <x:c r="G37" s="204" t="str">
        <x:v>LOCATED</x:v>
      </x:c>
      <x:c r="H37" s="204" t="str">
        <x:v>FRESH</x:v>
      </x:c>
      <x:c r="I37" s="204" t="str">
        <x:v>https://www.federalreserve.gov/newsevents/pressreleases/monetary20260729a.htm | https://www.bea.gov/news/2026/personal-income-and-outlays-july-2026</x:v>
      </x:c>
      <x:c r="J37" s="204" t="str">
        <x:v>T1 filing/release + T2 official point-in-time package</x:v>
      </x:c>
      <x:c r="K37" s="204" t="str">
        <x:v>Reported cash-to-net-debt bridge and acquisition capital-allocation repair</x:v>
      </x:c>
      <x:c r="L37" s="204" t="str">
        <x:v>COMPLETE</x:v>
      </x:c>
      <x:c r="M37" s="204" t="str">
        <x:v>LOGGED</x:v>
      </x:c>
      <x:c r="N37" s="204" t="str">
        <x:v>PRESENT</x:v>
      </x:c>
      <x:c r="O37" s="204" t="str">
        <x:f>IF(OR(G37="MISSING",H37="STALE"),"BLOCKED",IF(COUNTIF(H37:N37,"PENDING")+COUNTIF(H37:N37,"UNKNOWN")&gt;0,"INCOMPLETE","COMPLETE"))</x:f>
        <x:v>COMPLETE</x:v>
      </x:c>
      <x:c r="P37" s="204" t="str">
        <x:v>PROVE IT — no upgrade until FCF becomes measurable net-debt reduction</x:v>
      </x:c>
      <x:c r="Q37" s="204" t="str">
        <x:v>2026-09-02</x:v>
      </x:c>
    </x:row>
    <x:row r="38">
      <x:c r="A38" s="204" t="inlineStr">
        <x:is>
          <x:t xml:space="preserve">ARG-034</x:t>
        </x:is>
      </x:c>
      <x:c r="B38" s="204" t="inlineStr">
        <x:is>
          <x:t xml:space="preserve">Fiserv</x:t>
        </x:is>
      </x:c>
      <x:c r="C38" s="204" t="inlineStr">
        <x:is>
          <x:t xml:space="preserve">FISV</x:t>
        </x:is>
      </x:c>
      <x:c r="D38" s="204" t="inlineStr">
        <x:is>
          <x:t xml:space="preserve">Software &amp; Payments</x:t>
        </x:is>
      </x:c>
      <x:c r="E38" s="204" t="inlineStr">
        <x:is>
          <x:t xml:space="preserve">P2</x:t>
        </x:is>
      </x:c>
      <x:c r="F38" s="204" t="str">
        <x:v>https://investors.fiserv.com/news-releases/news-release-details/fiserv-reports-second-quarter-2026-results</x:v>
      </x:c>
      <x:c r="G38" s="204" t="str">
        <x:v>LOCATED</x:v>
      </x:c>
      <x:c r="H38" s="204" t="str">
        <x:v>FRESH</x:v>
      </x:c>
      <x:c r="I38" s="204" t="str">
        <x:v>https://www.federalreserve.gov/newsevents/pressreleases/monetary20260729a.htm | https://www.bea.gov/news/2026/gdp-second-estimate-and-corporate-profits-2nd-quarter-2026 | https://www.ftc.gov/news-events/topics/competition-enforcement</x:v>
      </x:c>
      <x:c r="J38" s="204" t="str">
        <x:v>T1 filing/release + T2 official point-in-time package</x:v>
      </x:c>
      <x:c r="K38" s="204" t="str">
        <x:v>Customer retention, unadjusted owner earnings and evidence management corrected the decline</x:v>
      </x:c>
      <x:c r="L38" s="204" t="str">
        <x:v>COMPLETE</x:v>
      </x:c>
      <x:c r="M38" s="204" t="str">
        <x:v>LOGGED</x:v>
      </x:c>
      <x:c r="N38" s="204" t="str">
        <x:v>PRESENT</x:v>
      </x:c>
      <x:c r="O38" s="204" t="str">
        <x:f>IF(OR(G38="MISSING",H38="STALE"),"BLOCKED",IF(COUNTIF(H38:N38,"PENDING")+COUNTIF(H38:N38,"UNKNOWN")&gt;0,"INCOMPLETE","COMPLETE"))</x:f>
        <x:v>COMPLETE</x:v>
      </x:c>
      <x:c r="P38" s="204" t="str">
        <x:v>PROVE IT — no upgrade until organic growth, margins and clean FCF recover together</x:v>
      </x:c>
      <x:c r="Q38" s="204" t="str">
        <x:v>2026-09-02</x:v>
      </x:c>
    </x:row>
    <x:row r="39">
      <x:c r="A39" s="204" t="str">
        <x:v>ARG-035</x:v>
      </x:c>
      <x:c r="B39" s="204" t="str">
        <x:v>PayPal</x:v>
      </x:c>
      <x:c r="C39" s="204" t="str">
        <x:v>PYPL</x:v>
      </x:c>
      <x:c r="D39" s="204" t="str">
        <x:v>Software &amp; Payments</x:v>
      </x:c>
      <x:c r="E39" s="204" t="str">
        <x:v>P2</x:v>
      </x:c>
      <x:c r="F39" s="204" t="str">
        <x:v>https://investor.pypl.com/financials/quarterly-results/default.aspx</x:v>
      </x:c>
      <x:c r="G39" s="204" t="str">
        <x:v>LOCATED</x:v>
      </x:c>
      <x:c r="H39" s="204" t="str">
        <x:v>FRESH</x:v>
      </x:c>
      <x:c r="I39" s="204" t="str">
        <x:v>https://www.federalreserve.gov/paymentsystems.htm | https://www.federalreserve.gov/newsevents/pressreleases/monetary20260729a.htm | https://www.occ.gov/topics/supervision-and-examination/capital-markets/index-capital-markets.html</x:v>
      </x:c>
      <x:c r="J39" s="204" t="str">
        <x:v>T1 filing/release + T2 official point-in-time package</x:v>
      </x:c>
      <x:c r="K39" s="204" t="str">
        <x:v>Branded checkout retention, transaction-margin cohort economics and unadjusted owner cash</x:v>
      </x:c>
      <x:c r="L39" s="204" t="str">
        <x:v>COMPLETE</x:v>
      </x:c>
      <x:c r="M39" s="204" t="str">
        <x:v>LOGGED</x:v>
      </x:c>
      <x:c r="N39" s="204" t="str">
        <x:v>PRESENT</x:v>
      </x:c>
      <x:c r="O39" s="204" t="str">
        <x:v>COMPLETE</x:v>
      </x:c>
      <x:c r="P39" s="204" t="str">
        <x:v>PROVE DURABILITY — require branded checkout growth, transaction-margin expansion and clean FCF per share together</x:v>
      </x:c>
      <x:c r="Q39" s="204" t="str">
        <x:v>2026-09-02</x:v>
      </x:c>
    </x:row>
    <x:row r="40">
      <x:c r="A40" s="204" t="str">
        <x:v>ARG-036</x:v>
      </x:c>
      <x:c r="B40" s="204" t="str">
        <x:v>JPMorgan Chase</x:v>
      </x:c>
      <x:c r="C40" s="204" t="str">
        <x:v>JPM</x:v>
      </x:c>
      <x:c r="D40" s="204" t="str">
        <x:v>Banks</x:v>
      </x:c>
      <x:c r="E40" s="204" t="str">
        <x:v>P2</x:v>
      </x:c>
      <x:c r="F40" s="204" t="str">
        <x:v>https://www.jpmorganchase.com/ir/quarterly-earnings</x:v>
      </x:c>
      <x:c r="G40" s="204" t="str">
        <x:v>LOCATED</x:v>
      </x:c>
      <x:c r="H40" s="204" t="str">
        <x:v>FRESH</x:v>
      </x:c>
      <x:c r="I40" s="204" t="str">
        <x:v>https://www.fdic.gov/analysis/quarterly-banking-profile/ | https://www.federalreserve.gov/supervisionreg/ | https://www.occ.gov/topics/supervision-and-examination/capital-markets/index-capital-markets.html</x:v>
      </x:c>
      <x:c r="J40" s="204" t="str">
        <x:v>T1 filing/release + T2 official point-in-time package</x:v>
      </x:c>
      <x:c r="K40" s="204" t="str">
        <x:v>Normalized credit losses, deposit beta, required capital and succession-era allocation</x:v>
      </x:c>
      <x:c r="L40" s="204" t="str">
        <x:v>COMPLETE</x:v>
      </x:c>
      <x:c r="M40" s="204" t="str">
        <x:v>LOGGED</x:v>
      </x:c>
      <x:c r="N40" s="204" t="str">
        <x:v>PRESENT</x:v>
      </x:c>
      <x:c r="O40" s="204" t="str">
        <x:v>COMPLETE</x:v>
      </x:c>
      <x:c r="P40" s="204" t="str">
        <x:v>WATCH — value on normalized ROTCE/tangible book after removing gains and stressing credit/capital</x:v>
      </x:c>
      <x:c r="Q40" s="204" t="str">
        <x:v>2026-09-02</x:v>
      </x:c>
    </x:row>
    <x:row r="41">
      <x:c r="A41" s="204" t="str">
        <x:v>ARG-037</x:v>
      </x:c>
      <x:c r="B41" s="204" t="str">
        <x:v>Bank of America</x:v>
      </x:c>
      <x:c r="C41" s="204" t="str">
        <x:v>BAC</x:v>
      </x:c>
      <x:c r="D41" s="204" t="str">
        <x:v>Banks</x:v>
      </x:c>
      <x:c r="E41" s="204" t="str">
        <x:v>P2</x:v>
      </x:c>
      <x:c r="F41" s="204" t="str">
        <x:v>https://investor.bankofamerica.com/quarterly-earnings</x:v>
      </x:c>
      <x:c r="G41" s="204" t="str">
        <x:v>LOCATED</x:v>
      </x:c>
      <x:c r="H41" s="204" t="str">
        <x:v>FRESH</x:v>
      </x:c>
      <x:c r="I41" s="204" t="str">
        <x:v>https://www.fdic.gov/analysis/quarterly-banking-profile/ | https://www.federalreserve.gov/supervisionreg/ | https://www.occ.gov/topics/supervision-and-examination/capital-markets/index-capital-markets.html</x:v>
      </x:c>
      <x:c r="J41" s="204" t="str">
        <x:v>T1 filing/release + T2 official point-in-time package</x:v>
      </x:c>
      <x:c r="K41" s="204" t="str">
        <x:v>Through-cycle credit, deposit beta, AOCI economics and post-stress capital need</x:v>
      </x:c>
      <x:c r="L41" s="204" t="str">
        <x:v>COMPLETE</x:v>
      </x:c>
      <x:c r="M41" s="204" t="str">
        <x:v>LOGGED</x:v>
      </x:c>
      <x:c r="N41" s="204" t="str">
        <x:v>PRESENT</x:v>
      </x:c>
      <x:c r="O41" s="204" t="str">
        <x:v>COMPLETE</x:v>
      </x:c>
      <x:c r="P41" s="204" t="str">
        <x:v>WATCH — normalize NII, credit, securities marks and required CET1 before valuation</x:v>
      </x:c>
      <x:c r="Q41" s="204" t="str">
        <x:v>2026-09-02</x:v>
      </x:c>
    </x:row>
    <x:row r="42">
      <x:c r="A42" s="204" t="str">
        <x:v>ARG-038</x:v>
      </x:c>
      <x:c r="B42" s="204" t="str">
        <x:v>Citigroup</x:v>
      </x:c>
      <x:c r="C42" s="204" t="str">
        <x:v>C</x:v>
      </x:c>
      <x:c r="D42" s="204" t="str">
        <x:v>Banks</x:v>
      </x:c>
      <x:c r="E42" s="204" t="str">
        <x:v>P2</x:v>
      </x:c>
      <x:c r="F42" s="204" t="str">
        <x:v>https://www.citigroup.com/global/investors/quarterly-earnings</x:v>
      </x:c>
      <x:c r="G42" s="204" t="str">
        <x:v>LOCATED</x:v>
      </x:c>
      <x:c r="H42" s="204" t="str">
        <x:v>FRESH</x:v>
      </x:c>
      <x:c r="I42" s="204" t="str">
        <x:v>https://www.fdic.gov/analysis/quarterly-banking-profile/ | https://www.federalreserve.gov/supervisionreg/ | https://www.occ.gov/topics/supervision-and-examination/capital-markets/index-capital-markets.html</x:v>
      </x:c>
      <x:c r="J42" s="204" t="str">
        <x:v>T1 filing/release + T2 official point-in-time package</x:v>
      </x:c>
      <x:c r="K42" s="204" t="str">
        <x:v>Control remediation, normalized markets revenue, expense path and capital-efficient ROTCE</x:v>
      </x:c>
      <x:c r="L42" s="204" t="str">
        <x:v>COMPLETE</x:v>
      </x:c>
      <x:c r="M42" s="204" t="str">
        <x:v>LOGGED</x:v>
      </x:c>
      <x:c r="N42" s="204" t="str">
        <x:v>PRESENT</x:v>
      </x:c>
      <x:c r="O42" s="204" t="str">
        <x:v>COMPLETE</x:v>
      </x:c>
      <x:c r="P42" s="204" t="str">
        <x:v>PROVE TRANSFORMATION — require durable 11–13% ROTCE, expense delivery and clean controls</x:v>
      </x:c>
      <x:c r="Q42" s="204" t="str">
        <x:v>2026-09-02</x:v>
      </x:c>
    </x:row>
    <x:row r="43">
      <x:c r="A43" s="204" t="str">
        <x:v>ARG-039</x:v>
      </x:c>
      <x:c r="B43" s="204" t="str">
        <x:v>Goldman Sachs</x:v>
      </x:c>
      <x:c r="C43" s="204" t="str">
        <x:v>GS</x:v>
      </x:c>
      <x:c r="D43" s="204" t="str">
        <x:v>Capital Markets</x:v>
      </x:c>
      <x:c r="E43" s="204" t="str">
        <x:v>P2</x:v>
      </x:c>
      <x:c r="F43" s="204" t="str">
        <x:v>https://www.goldmansachs.com/pressroom/press-releases/2026/2026-07-14-q2-results</x:v>
      </x:c>
      <x:c r="G43" s="204" t="str">
        <x:v>LOCATED</x:v>
      </x:c>
      <x:c r="H43" s="204" t="str">
        <x:v>FRESH</x:v>
      </x:c>
      <x:c r="I43" s="204" t="str">
        <x:v>https://www.fdic.gov/analysis/quarterly-banking-profile/ | https://www.federalreserve.gov/supervisionreg/ | https://www.occ.gov/topics/supervision-and-examination/capital-markets/index-capital-markets.html</x:v>
      </x:c>
      <x:c r="J43" s="204" t="str">
        <x:v>T1 filing/release + T2 official point-in-time package</x:v>
      </x:c>
      <x:c r="K43" s="204" t="str">
        <x:v>Mid-cycle business mix, private-credit loss exposure and required capital</x:v>
      </x:c>
      <x:c r="L43" s="204" t="str">
        <x:v>COMPLETE</x:v>
      </x:c>
      <x:c r="M43" s="204" t="str">
        <x:v>LOGGED</x:v>
      </x:c>
      <x:c r="N43" s="204" t="str">
        <x:v>PRESENT</x:v>
      </x:c>
      <x:c r="O43" s="204" t="str">
        <x:v>COMPLETE</x:v>
      </x:c>
      <x:c r="P43" s="204" t="str">
        <x:v>WATCH — value on mid-cycle ROE/tangible book, not record trading and deal revenue</x:v>
      </x:c>
      <x:c r="Q43" s="204" t="str">
        <x:v>2026-09-02</x:v>
      </x:c>
    </x:row>
    <x:row r="44">
      <x:c r="A44" s="204" t="inlineStr">
        <x:is>
          <x:t xml:space="preserve">ARG-040</x:t>
        </x:is>
      </x:c>
      <x:c r="B44" s="204" t="inlineStr">
        <x:is>
          <x:t xml:space="preserve">Berkshire Hathaway</x:t>
        </x:is>
      </x:c>
      <x:c r="C44" s="204" t="inlineStr">
        <x:is>
          <x:t xml:space="preserve">BRK.B</x:t>
        </x:is>
      </x:c>
      <x:c r="D44" s="204" t="inlineStr">
        <x:is>
          <x:t xml:space="preserve">Insurance</x:t>
        </x:is>
      </x:c>
      <x:c r="E44" s="204" t="inlineStr">
        <x:is>
          <x:t xml:space="preserve">P2</x:t>
        </x:is>
      </x:c>
      <x:c r="F44" s="204" t="str">
        <x:v>https://berkshirehathaway.com/qtrly/2ndqtr26.pdf</x:v>
      </x:c>
      <x:c r="G44" s="204" t="str">
        <x:v>LOCATED</x:v>
      </x:c>
      <x:c r="H44" s="204" t="str">
        <x:v>FRESH</x:v>
      </x:c>
      <x:c r="I44" s="204" t="str">
        <x:v>https://www.federalreserve.gov/newsevents/pressreleases/monetary20260729a.htm | https://www.bea.gov/news/2026/gdp-second-estimate-and-corporate-profits-2nd-quarter-2026 | https://www.ncei.noaa.gov/access/billions/</x:v>
      </x:c>
      <x:c r="J44" s="204" t="str">
        <x:v>T1 filing/release + T2 official point-in-time package</x:v>
      </x:c>
      <x:c r="K44" s="204" t="str">
        <x:v>Succession-era allocation evidence, catastrophe normalization and current discount to conservative value</x:v>
      </x:c>
      <x:c r="L44" s="204" t="str">
        <x:v>COMPLETE</x:v>
      </x:c>
      <x:c r="M44" s="204" t="str">
        <x:v>LOGGED</x:v>
      </x:c>
      <x:c r="N44" s="204" t="str">
        <x:v>PRESENT</x:v>
      </x:c>
      <x:c r="O44" s="204" t="str">
        <x:f>IF(OR(G44="MISSING",H44="STALE"),"BLOCKED",IF(COUNTIF(H44:N44,"PENDING")+COUNTIF(H44:N44,"UNKNOWN")&gt;0,"INCOMPLETE","COMPLETE"))</x:f>
        <x:v>COMPLETE</x:v>
      </x:c>
      <x:c r="P44" s="204" t="str">
        <x:v>WATCH — require price protection and evidence of disciplined large-scale deployment under Abel</x:v>
      </x:c>
      <x:c r="Q44" s="204" t="str">
        <x:v>2026-09-02</x:v>
      </x:c>
    </x:row>
    <x:row r="45">
      <x:c r="A45" s="204" t="inlineStr">
        <x:is>
          <x:t xml:space="preserve">ARG-041</x:t>
        </x:is>
      </x:c>
      <x:c r="B45" s="204" t="inlineStr">
        <x:is>
          <x:t xml:space="preserve">Chubb</x:t>
        </x:is>
      </x:c>
      <x:c r="C45" s="204" t="inlineStr">
        <x:is>
          <x:t xml:space="preserve">CB</x:t>
        </x:is>
      </x:c>
      <x:c r="D45" s="204" t="inlineStr">
        <x:is>
          <x:t xml:space="preserve">Insurance</x:t>
        </x:is>
      </x:c>
      <x:c r="E45" s="204" t="inlineStr">
        <x:is>
          <x:t xml:space="preserve">P1</x:t>
        </x:is>
      </x:c>
      <x:c r="F45" s="204" t="str">
        <x:v>https://investors.chubb.com/News--Events/news/news-details/2026/Chubb-Reports-Second-Quarter-Per-Share-Net-Income-of-7-30-and-Per-Share-Core-Operating-Income-of-7-26-Up-18-2-Consolidated-Net-Premiums-Written-of-14-7-Billion-Up-3-6-with-PC-and-Life-Insurance-Up-3-0-and-7-5-PC-Combined-Ratio-of-83-8/default.aspx</x:v>
      </x:c>
      <x:c r="G45" s="204" t="str">
        <x:v>LOCATED</x:v>
      </x:c>
      <x:c r="H45" s="204" t="str">
        <x:v>FRESH</x:v>
      </x:c>
      <x:c r="I45" s="204" t="str">
        <x:v>https://www.ncei.noaa.gov/access/billions/ | https://www.federalreserve.gov/newsevents/pressreleases/monetary20260729a.htm</x:v>
      </x:c>
      <x:c r="J45" s="204" t="str">
        <x:v>T1 filing/release + T2 official point-in-time package</x:v>
      </x:c>
      <x:c r="K45" s="204" t="str">
        <x:v>Reserve/catastrophe normalization and current valuation protection</x:v>
      </x:c>
      <x:c r="L45" s="204" t="str">
        <x:v>COMPLETE</x:v>
      </x:c>
      <x:c r="M45" s="204" t="str">
        <x:v>LOGGED</x:v>
      </x:c>
      <x:c r="N45" s="204" t="str">
        <x:v>PRESENT</x:v>
      </x:c>
      <x:c r="O45" s="204" t="str">
        <x:f>IF(OR(G45="MISSING",H45="STALE"),"BLOCKED",IF(COUNTIF(H45:N45,"PENDING")+COUNTIF(H45:N45,"UNKNOWN")&gt;0,"INCOMPLETE","COMPLETE"))</x:f>
        <x:v>COMPLETE</x:v>
      </x:c>
      <x:c r="P45" s="204" t="str">
        <x:v>MEETING CONTROL — verify reserves, catastrophe normalization and price</x:v>
      </x:c>
      <x:c r="Q45" s="204" t="str">
        <x:v>2026-09-02</x:v>
      </x:c>
    </x:row>
    <x:row r="46">
      <x:c r="A46" s="204" t="str">
        <x:v>ARG-042</x:v>
      </x:c>
      <x:c r="B46" s="204" t="str">
        <x:v>Progressive</x:v>
      </x:c>
      <x:c r="C46" s="204" t="str">
        <x:v>PGR</x:v>
      </x:c>
      <x:c r="D46" s="204" t="str">
        <x:v>Insurance</x:v>
      </x:c>
      <x:c r="E46" s="204" t="str">
        <x:v>P2</x:v>
      </x:c>
      <x:c r="F46" s="204" t="str">
        <x:v>https://investors.progressive.com/financials/financial-news-releases/news-details/2026/Progressive-Reports-June-2026-Results/default.aspx</x:v>
      </x:c>
      <x:c r="G46" s="204" t="str">
        <x:v>LOCATED</x:v>
      </x:c>
      <x:c r="H46" s="204" t="str">
        <x:v>FRESH</x:v>
      </x:c>
      <x:c r="I46" s="204" t="str">
        <x:v>https://content.naic.org/cipr-topics/auto-insurance | https://www.federalreserve.gov/newsevents/pressreleases/monetary20260729a.htm | https://www.fema.gov/disaster/declarations</x:v>
      </x:c>
      <x:c r="J46" s="204" t="str">
        <x:v>T1 filing/release + T2 official point-in-time package</x:v>
      </x:c>
      <x:c r="K46" s="204" t="str">
        <x:v>Reserve triangles, cohort profitability and mid-cycle combined-ratio/float normalization</x:v>
      </x:c>
      <x:c r="L46" s="204" t="str">
        <x:v>COMPLETE</x:v>
      </x:c>
      <x:c r="M46" s="204" t="str">
        <x:v>LOGGED</x:v>
      </x:c>
      <x:c r="N46" s="204" t="str">
        <x:v>PRESENT</x:v>
      </x:c>
      <x:c r="O46" s="204" t="str">
        <x:v>COMPLETE</x:v>
      </x:c>
      <x:c r="P46" s="204" t="str">
        <x:v>WAIT FOR NORMALIZED UNDERWRITING — price on reserve-adjusted, mid-cycle combined ratios and float income</x:v>
      </x:c>
      <x:c r="Q46" s="204" t="str">
        <x:v>2026-09-02</x:v>
      </x:c>
    </x:row>
    <x:row r="47">
      <x:c r="A47" s="204" t="inlineStr">
        <x:is>
          <x:t xml:space="preserve">ARG-043</x:t>
        </x:is>
      </x:c>
      <x:c r="B47" s="204" t="inlineStr">
        <x:is>
          <x:t xml:space="preserve">Microsoft</x:t>
        </x:is>
      </x:c>
      <x:c r="C47" s="204" t="inlineStr">
        <x:is>
          <x:t xml:space="preserve">MSFT</x:t>
        </x:is>
      </x:c>
      <x:c r="D47" s="204" t="inlineStr">
        <x:is>
          <x:t xml:space="preserve">Software &amp; Payments</x:t>
        </x:is>
      </x:c>
      <x:c r="E47" s="204" t="inlineStr">
        <x:is>
          <x:t xml:space="preserve">P2</x:t>
        </x:is>
      </x:c>
      <x:c r="F47" s="204" t="str">
        <x:v>https://www.microsoft.com/en-us/investor/earnings/fy-2026-q4/press-release-webcast</x:v>
      </x:c>
      <x:c r="G47" s="204" t="str">
        <x:v>LOCATED</x:v>
      </x:c>
      <x:c r="H47" s="204" t="str">
        <x:v>FRESH</x:v>
      </x:c>
      <x:c r="I47" s="204" t="str">
        <x:v>https://www.federalreserve.gov/newsevents/pressreleases/monetary20260729a.htm | https://www.bea.gov/news/2026/gdp-second-estimate-and-corporate-profits-2nd-quarter-2026 | https://www.ftc.gov/news-events/topics/competition-enforcement</x:v>
      </x:c>
      <x:c r="J47" s="204" t="str">
        <x:v>T1 filing/release + T2 official point-in-time package</x:v>
      </x:c>
      <x:c r="K47" s="204" t="str">
        <x:v>Normalized AI infrastructure returns after depreciation and partner economics</x:v>
      </x:c>
      <x:c r="L47" s="204" t="str">
        <x:v>COMPLETE</x:v>
      </x:c>
      <x:c r="M47" s="204" t="str">
        <x:v>LOGGED</x:v>
      </x:c>
      <x:c r="N47" s="204" t="str">
        <x:v>PRESENT</x:v>
      </x:c>
      <x:c r="O47" s="204" t="str">
        <x:f>IF(OR(G47="MISSING",H47="STALE"),"BLOCKED",IF(COUNTIF(H47:N47,"PENDING")+COUNTIF(H47:N47,"UNKNOWN")&gt;0,"INCOMPLETE","COMPLETE"))</x:f>
        <x:v>COMPLETE</x:v>
      </x:c>
      <x:c r="P47" s="204" t="str">
        <x:v>WATCH — require a transparent capex-to-owner-cash bridge and price protection</x:v>
      </x:c>
      <x:c r="Q47" s="204" t="str">
        <x:v>2026-09-02</x:v>
      </x:c>
    </x:row>
    <x:row r="48">
      <x:c r="A48" s="204" t="inlineStr">
        <x:is>
          <x:t xml:space="preserve">ARG-044</x:t>
        </x:is>
      </x:c>
      <x:c r="B48" s="204" t="inlineStr">
        <x:is>
          <x:t xml:space="preserve">Alphabet</x:t>
        </x:is>
      </x:c>
      <x:c r="C48" s="204" t="inlineStr">
        <x:is>
          <x:t xml:space="preserve">GOOGL</x:t>
        </x:is>
      </x:c>
      <x:c r="D48" s="204" t="inlineStr">
        <x:is>
          <x:t xml:space="preserve">Media &amp; Internet</x:t>
        </x:is>
      </x:c>
      <x:c r="E48" s="204" t="inlineStr">
        <x:is>
          <x:t xml:space="preserve">P2</x:t>
        </x:is>
      </x:c>
      <x:c r="F48" s="204" t="str">
        <x:v>https://abc.xyz/investor/news/news-details/2026/Alphabet-Announces-Second-Quarter-2026-Results-2026-Y3uQ6H4ZJa/default.aspx</x:v>
      </x:c>
      <x:c r="G48" s="204" t="str">
        <x:v>LOCATED</x:v>
      </x:c>
      <x:c r="H48" s="204" t="str">
        <x:v>FRESH</x:v>
      </x:c>
      <x:c r="I48" s="204" t="str">
        <x:v>https://www.federalreserve.gov/newsevents/pressreleases/monetary20260729a.htm | https://www.bea.gov/news/2026/gdp-second-estimate-and-corporate-profits-2nd-quarter-2026 | https://www.ftc.gov/news-events/topics/competition-enforcement</x:v>
      </x:c>
      <x:c r="J48" s="204" t="str">
        <x:v>T1 filing/release + T2 official point-in-time package</x:v>
      </x:c>
      <x:c r="K48" s="204" t="str">
        <x:v>Capex/financing return bridge excluding non-operating investment gains</x:v>
      </x:c>
      <x:c r="L48" s="204" t="str">
        <x:v>COMPLETE</x:v>
      </x:c>
      <x:c r="M48" s="204" t="str">
        <x:v>LOGGED</x:v>
      </x:c>
      <x:c r="N48" s="204" t="str">
        <x:v>PRESENT</x:v>
      </x:c>
      <x:c r="O48" s="204" t="str">
        <x:f>IF(OR(G48="MISSING",H48="STALE"),"BLOCKED",IF(COUNTIF(H48:N48,"PENDING")+COUNTIF(H48:N48,"UNKNOWN")&gt;0,"INCOMPLETE","COMPLETE"))</x:f>
        <x:v>COMPLETE</x:v>
      </x:c>
      <x:c r="P48" s="204" t="str">
        <x:v>CAPITAL GATE — no new BUY until FCF, issuance and compute returns reconcile on a per-share basis</x:v>
      </x:c>
      <x:c r="Q48" s="204" t="str">
        <x:v>2026-09-02</x:v>
      </x:c>
    </x:row>
    <x:row r="49">
      <x:c r="A49" s="204" t="inlineStr">
        <x:is>
          <x:t xml:space="preserve">ARG-045</x:t>
        </x:is>
      </x:c>
      <x:c r="B49" s="204" t="inlineStr">
        <x:is>
          <x:t xml:space="preserve">Meta Platforms</x:t>
        </x:is>
      </x:c>
      <x:c r="C49" s="204" t="inlineStr">
        <x:is>
          <x:t xml:space="preserve">META</x:t>
        </x:is>
      </x:c>
      <x:c r="D49" s="204" t="inlineStr">
        <x:is>
          <x:t xml:space="preserve">Media &amp; Internet</x:t>
        </x:is>
      </x:c>
      <x:c r="E49" s="204" t="inlineStr">
        <x:is>
          <x:t xml:space="preserve">P2</x:t>
        </x:is>
      </x:c>
      <x:c r="F49" s="204" t="str">
        <x:v>https://investor.atmeta.com/investor-news/press-release-details/2026/Meta-Reports-Second-Quarter-2026-Results/default.aspx</x:v>
      </x:c>
      <x:c r="G49" s="204" t="str">
        <x:v>LOCATED</x:v>
      </x:c>
      <x:c r="H49" s="204" t="str">
        <x:v>FRESH</x:v>
      </x:c>
      <x:c r="I49" s="204" t="str">
        <x:v>https://www.federalreserve.gov/newsevents/pressreleases/monetary20260729a.htm | https://www.bea.gov/news/2026/gdp-second-estimate-and-corporate-profits-2nd-quarter-2026 | https://www.ftc.gov/news-events/topics/competition-enforcement</x:v>
      </x:c>
      <x:c r="J49" s="204" t="str">
        <x:v>T1 filing/release + T2 official point-in-time package</x:v>
      </x:c>
      <x:c r="K49" s="204" t="str">
        <x:v>Normalized owner earnings after AI capex, depreciation, debt and Reality Labs</x:v>
      </x:c>
      <x:c r="L49" s="204" t="str">
        <x:v>COMPLETE</x:v>
      </x:c>
      <x:c r="M49" s="204" t="str">
        <x:v>LOGGED</x:v>
      </x:c>
      <x:c r="N49" s="204" t="str">
        <x:v>PRESENT</x:v>
      </x:c>
      <x:c r="O49" s="204" t="str">
        <x:f>IF(OR(G49="MISSING",H49="STALE"),"BLOCKED",IF(COUNTIF(H49:N49,"PENDING")+COUNTIF(H49:N49,"UNKNOWN")&gt;0,"INCOMPLETE","COMPLETE"))</x:f>
        <x:v>COMPLETE</x:v>
      </x:c>
      <x:c r="P49" s="204" t="str">
        <x:v>CAPITAL GATE — no new BUY until capex converts into durable FCF per share</x:v>
      </x:c>
      <x:c r="Q49" s="204" t="str">
        <x:v>2026-09-02</x:v>
      </x:c>
    </x:row>
    <x:row r="50">
      <x:c r="A50" s="204" t="inlineStr">
        <x:is>
          <x:t xml:space="preserve">ARG-046</x:t>
        </x:is>
      </x:c>
      <x:c r="B50" s="204" t="inlineStr">
        <x:is>
          <x:t xml:space="preserve">Amazon</x:t>
        </x:is>
      </x:c>
      <x:c r="C50" s="204" t="inlineStr">
        <x:is>
          <x:t xml:space="preserve">AMZN</x:t>
        </x:is>
      </x:c>
      <x:c r="D50" s="204" t="inlineStr">
        <x:is>
          <x:t xml:space="preserve">Software &amp; Payments</x:t>
        </x:is>
      </x:c>
      <x:c r="E50" s="204" t="inlineStr">
        <x:is>
          <x:t xml:space="preserve">P2</x:t>
        </x:is>
      </x:c>
      <x:c r="F50" s="204" t="str">
        <x:v>https://ir.aboutamazon.com/news-release/news-release-details/2026/Amazon-com-Announces-Second-Quarter-Results/</x:v>
      </x:c>
      <x:c r="G50" s="204" t="str">
        <x:v>LOCATED</x:v>
      </x:c>
      <x:c r="H50" s="204" t="str">
        <x:v>FRESH</x:v>
      </x:c>
      <x:c r="I50" s="204" t="str">
        <x:v>https://www.federalreserve.gov/newsevents/pressreleases/monetary20260729a.htm | https://www.bea.gov/news/2026/gdp-second-estimate-and-corporate-profits-2nd-quarter-2026 | https://www.ftc.gov/news-events/topics/competition-enforcement</x:v>
      </x:c>
      <x:c r="J50" s="204" t="str">
        <x:v>T1 filing/release + T2 official point-in-time package</x:v>
      </x:c>
      <x:c r="K50" s="204" t="str">
        <x:v>Segment owner-earnings bridge after AI/logistics capex, leases, SBC and investment marks</x:v>
      </x:c>
      <x:c r="L50" s="204" t="str">
        <x:v>COMPLETE</x:v>
      </x:c>
      <x:c r="M50" s="204" t="str">
        <x:v>LOGGED</x:v>
      </x:c>
      <x:c r="N50" s="204" t="str">
        <x:v>PRESENT</x:v>
      </x:c>
      <x:c r="O50" s="204" t="str">
        <x:f>IF(OR(G50="MISSING",H50="STALE"),"BLOCKED",IF(COUNTIF(H50:N50,"PENDING")+COUNTIF(H50:N50,"UNKNOWN")&gt;0,"INCOMPLETE","COMPLETE"))</x:f>
        <x:v>COMPLETE</x:v>
      </x:c>
      <x:c r="P50" s="204" t="str">
        <x:v>CAPITAL GATE — no new BUY until TTM FCF turns positive excluding Anthropic revaluation</x:v>
      </x:c>
      <x:c r="Q50" s="204" t="str">
        <x:v>2026-09-02</x:v>
      </x:c>
    </x:row>
    <x:row r="51">
      <x:c r="A51" s="204" t="inlineStr">
        <x:is>
          <x:t xml:space="preserve">ARG-047</x:t>
        </x:is>
      </x:c>
      <x:c r="B51" s="204" t="inlineStr">
        <x:is>
          <x:t xml:space="preserve">Intuit</x:t>
        </x:is>
      </x:c>
      <x:c r="C51" s="204" t="inlineStr">
        <x:is>
          <x:t xml:space="preserve">INTU</x:t>
        </x:is>
      </x:c>
      <x:c r="D51" s="204" t="inlineStr">
        <x:is>
          <x:t xml:space="preserve">Software &amp; Payments</x:t>
        </x:is>
      </x:c>
      <x:c r="E51" s="204" t="inlineStr">
        <x:is>
          <x:t xml:space="preserve">P1</x:t>
        </x:is>
      </x:c>
      <x:c r="F51" s="204" t="str">
        <x:v>https://investors.intuit.com/news-events/press-releases/detail/1320/intuit-reports-fourth-quarter-and-full-year-fiscal-2026-results-sets-fiscal-2027-guidance</x:v>
      </x:c>
      <x:c r="G51" s="204" t="str">
        <x:v>LOCATED</x:v>
      </x:c>
      <x:c r="H51" s="204" t="str">
        <x:v>FRESH</x:v>
      </x:c>
      <x:c r="I51" s="204" t="str">
        <x:v>https://www.federalreserve.gov/newsevents/pressreleases/monetary20260729a.htm | https://www.bea.gov/news/2026/personal-income-and-outlays-july-2026</x:v>
      </x:c>
      <x:c r="J51" s="204" t="str">
        <x:v>T1 filing/release + T2 official point-in-time package</x:v>
      </x:c>
      <x:c r="K51" s="204" t="str">
        <x:v>Durability of TurboTax/QBO pricing under AI and tax-policy change</x:v>
      </x:c>
      <x:c r="L51" s="204" t="str">
        <x:v>COMPLETE</x:v>
      </x:c>
      <x:c r="M51" s="204" t="str">
        <x:v>LOGGED</x:v>
      </x:c>
      <x:c r="N51" s="204" t="str">
        <x:v>PRESENT</x:v>
      </x:c>
      <x:c r="O51" s="204" t="str">
        <x:f>IF(OR(G51="MISSING",H51="STALE"),"BLOCKED",IF(COUNTIF(H51:N51,"PENDING")+COUNTIF(H51:N51,"UNKNOWN")&gt;0,"INCOMPLETE","COMPLETE"))</x:f>
        <x:v>COMPLETE</x:v>
      </x:c>
      <x:c r="P51" s="204" t="str">
        <x:v>BUY only inside sizing band — monitor AI/tax policy and per-share cash</x:v>
      </x:c>
      <x:c r="Q51" s="204" t="str">
        <x:v>2026-09-02</x:v>
      </x:c>
    </x:row>
    <x:row r="52">
      <x:c r="A52" s="204" t="inlineStr">
        <x:is>
          <x:t xml:space="preserve">ARG-048</x:t>
        </x:is>
      </x:c>
      <x:c r="B52" s="204" t="inlineStr">
        <x:is>
          <x:t xml:space="preserve">Oracle</x:t>
        </x:is>
      </x:c>
      <x:c r="C52" s="204" t="inlineStr">
        <x:is>
          <x:t xml:space="preserve">ORCL</x:t>
        </x:is>
      </x:c>
      <x:c r="D52" s="204" t="inlineStr">
        <x:is>
          <x:t xml:space="preserve">Software &amp; Payments</x:t>
        </x:is>
      </x:c>
      <x:c r="E52" s="204" t="inlineStr">
        <x:is>
          <x:t xml:space="preserve">P2</x:t>
        </x:is>
      </x:c>
      <x:c r="F52" s="204" t="str">
        <x:v>https://investor.oracle.com/investor-news/news-details/2026/Oracle-Announces-Record-Q4-and-FY-2026-Results-Driven-by-Cloud-Infrastructure--Cloud-Applications/default.aspx</x:v>
      </x:c>
      <x:c r="G52" s="204" t="str">
        <x:v>LOCATED</x:v>
      </x:c>
      <x:c r="H52" s="204" t="str">
        <x:v>FRESH</x:v>
      </x:c>
      <x:c r="I52" s="204" t="str">
        <x:v>https://www.federalreserve.gov/newsevents/pressreleases/monetary20260729a.htm | https://www.bea.gov/news/2026/gdp-second-estimate-and-corporate-profits-2nd-quarter-2026 | https://www.ftc.gov/news-events/topics/competition-enforcement</x:v>
      </x:c>
      <x:c r="J52" s="204" t="str">
        <x:v>T1 filing/release + T2 official point-in-time package</x:v>
      </x:c>
      <x:c r="K52" s="204" t="str">
        <x:v>Contract-level return, financing obligations and path from RPO to positive owner cash</x:v>
      </x:c>
      <x:c r="L52" s="204" t="str">
        <x:v>COMPLETE</x:v>
      </x:c>
      <x:c r="M52" s="204" t="str">
        <x:v>LOGGED</x:v>
      </x:c>
      <x:c r="N52" s="204" t="str">
        <x:v>PRESENT</x:v>
      </x:c>
      <x:c r="O52" s="204" t="str">
        <x:f>IF(OR(G52="MISSING",H52="STALE"),"BLOCKED",IF(COUNTIF(H52:N52,"PENDING")+COUNTIF(H52:N52,"UNKNOWN")&gt;0,"INCOMPLETE","COMPLETE"))</x:f>
        <x:v>COMPLETE</x:v>
      </x:c>
      <x:c r="P52" s="204" t="str">
        <x:v>NO NEW BUY — prove the RPO-to-FCF funding bridge and normalized infrastructure return</x:v>
      </x:c>
      <x:c r="Q52" s="204" t="str">
        <x:v>2026-09-02</x:v>
      </x:c>
    </x:row>
    <x:row r="53">
      <x:c r="A53" s="204" t="inlineStr">
        <x:is>
          <x:t xml:space="preserve">ARG-049</x:t>
        </x:is>
      </x:c>
      <x:c r="B53" s="204" t="inlineStr">
        <x:is>
          <x:t xml:space="preserve">Salesforce</x:t>
        </x:is>
      </x:c>
      <x:c r="C53" s="204" t="inlineStr">
        <x:is>
          <x:t xml:space="preserve">CRM</x:t>
        </x:is>
      </x:c>
      <x:c r="D53" s="204" t="inlineStr">
        <x:is>
          <x:t xml:space="preserve">Software &amp; Payments</x:t>
        </x:is>
      </x:c>
      <x:c r="E53" s="204" t="inlineStr">
        <x:is>
          <x:t xml:space="preserve">P1</x:t>
        </x:is>
      </x:c>
      <x:c r="F53" s="204" t="str">
        <x:v>https://investor.salesforce.com/news/news-details/2026/Salesforce-Delivers-Record-Second-Quarter-Fiscal-2027-Results/default.aspx</x:v>
      </x:c>
      <x:c r="G53" s="204" t="str">
        <x:v>LOCATED</x:v>
      </x:c>
      <x:c r="H53" s="204" t="str">
        <x:v>FRESH</x:v>
      </x:c>
      <x:c r="I53" s="204" t="str">
        <x:v>https://www.federalreserve.gov/newsevents/pressreleases/monetary20260729a.htm | https://www.bea.gov/news/2026/personal-income-and-outlays-july-2026</x:v>
      </x:c>
      <x:c r="J53" s="204" t="str">
        <x:v>T1 filing/release + T2 official point-in-time package</x:v>
      </x:c>
      <x:c r="K53" s="204" t="str">
        <x:v>Organic versus acquired AI growth and clean per-share cash economics</x:v>
      </x:c>
      <x:c r="L53" s="204" t="str">
        <x:v>COMPLETE</x:v>
      </x:c>
      <x:c r="M53" s="204" t="str">
        <x:v>LOGGED</x:v>
      </x:c>
      <x:c r="N53" s="204" t="str">
        <x:v>PRESENT</x:v>
      </x:c>
      <x:c r="O53" s="204" t="str">
        <x:f>IF(OR(G53="MISSING",H53="STALE"),"BLOCKED",IF(COUNTIF(H53:N53,"PENDING")+COUNTIF(H53:N53,"UNKNOWN")&gt;0,"INCOMPLETE","COMPLETE"))</x:f>
        <x:v>COMPLETE</x:v>
      </x:c>
      <x:c r="P53" s="204" t="str">
        <x:v>DEEP WATCH — require organic paid AI and per-share FCF after SBC/debt</x:v>
      </x:c>
      <x:c r="Q53" s="204" t="str">
        <x:v>2026-09-02</x:v>
      </x:c>
    </x:row>
    <x:row r="54">
      <x:c r="A54" s="204" t="str">
        <x:v>ARG-050</x:v>
      </x:c>
      <x:c r="B54" s="204" t="str">
        <x:v>Apple</x:v>
      </x:c>
      <x:c r="C54" s="204" t="str">
        <x:v>AAPL</x:v>
      </x:c>
      <x:c r="D54" s="204" t="str">
        <x:v>Consumer</x:v>
      </x:c>
      <x:c r="E54" s="204" t="str">
        <x:v>P2</x:v>
      </x:c>
      <x:c r="F54" s="204" t="str">
        <x:v>https://www.apple.com/newsroom/2026/07/apple-reports-third-quarter-results/</x:v>
      </x:c>
      <x:c r="G54" s="204" t="str">
        <x:v>LOCATED</x:v>
      </x:c>
      <x:c r="H54" s="204" t="str">
        <x:v>FRESH</x:v>
      </x:c>
      <x:c r="I54" s="204" t="str">
        <x:v>https://www.bea.gov/news/current-releases | https://www.census.gov/retail/index.html | https://www.federalreserve.gov/newsevents/pressreleases/monetary20260729a.htm</x:v>
      </x:c>
      <x:c r="J54" s="204" t="str">
        <x:v>T1 filing/release + T2 official point-in-time package</x:v>
      </x:c>
      <x:c r="K54" s="204" t="str">
        <x:v>Normalized post-tariff margin, China economics and incremental return on AI/R&amp;D plus buybacks</x:v>
      </x:c>
      <x:c r="L54" s="204" t="str">
        <x:v>COMPLETE</x:v>
      </x:c>
      <x:c r="M54" s="204" t="str">
        <x:v>LOGGED</x:v>
      </x:c>
      <x:c r="N54" s="204" t="str">
        <x:v>PRESENT</x:v>
      </x:c>
      <x:c r="O54" s="204" t="str">
        <x:v>COMPLETE</x:v>
      </x:c>
      <x:c r="P54" s="204" t="str">
        <x:v>WAIT FOR PRICE — strip tariff refunds and require durable Services/AI cash returns at a lower implied expectation</x:v>
      </x:c>
      <x:c r="Q54" s="204" t="str">
        <x:v>2026-09-02</x:v>
      </x:c>
    </x:row>
    <x:row r="55">
      <x:c r="A55" s="204" t="inlineStr">
        <x:is>
          <x:t xml:space="preserve">ARG-051</x:t>
        </x:is>
      </x:c>
      <x:c r="B55" s="204" t="inlineStr">
        <x:is>
          <x:t xml:space="preserve">DHT Holdings</x:t>
        </x:is>
      </x:c>
      <x:c r="C55" s="204" t="inlineStr">
        <x:is>
          <x:t xml:space="preserve">DHT</x:t>
        </x:is>
      </x:c>
      <x:c r="D55" s="204" t="inlineStr">
        <x:is>
          <x:t xml:space="preserve">Shipping</x:t>
        </x:is>
      </x:c>
      <x:c r="E55" s="204" t="inlineStr">
        <x:is>
          <x:t xml:space="preserve">P1</x:t>
        </x:is>
      </x:c>
      <x:c r="F55" s="204" t="str">
        <x:v>https://www.dhtankers.com/dht-holdings-inc-second-quarter-2026-results/</x:v>
      </x:c>
      <x:c r="G55" s="204" t="str">
        <x:v>LOCATED</x:v>
      </x:c>
      <x:c r="H55" s="204" t="str">
        <x:v>FRESH</x:v>
      </x:c>
      <x:c r="I55" s="204" t="str">
        <x:v>https://www.eia.gov/outlooks/steo/ | https://www.eia.gov/petroleum/weekly/</x:v>
      </x:c>
      <x:c r="J55" s="204" t="str">
        <x:v>T1 filing/release + T2 official point-in-time package</x:v>
      </x:c>
      <x:c r="K55" s="204" t="str">
        <x:v>Cycle-normalized TCE, fleet NAV and forward orderbook</x:v>
      </x:c>
      <x:c r="L55" s="204" t="str">
        <x:v>COMPLETE</x:v>
      </x:c>
      <x:c r="M55" s="204" t="str">
        <x:v>LOGGED</x:v>
      </x:c>
      <x:c r="N55" s="204" t="str">
        <x:v>PRESENT</x:v>
      </x:c>
      <x:c r="O55" s="204" t="str">
        <x:f>IF(OR(G55="MISSING",H55="STALE"),"BLOCKED",IF(COUNTIF(H55:N55,"PENDING")+COUNTIF(H55:N55,"UNKNOWN")&gt;0,"INCOMPLETE","COMPLETE"))</x:f>
        <x:v>COMPLETE</x:v>
      </x:c>
      <x:c r="P55" s="204" t="str">
        <x:v>SITUATIONAL ONLY — update NAV/TCE bands; do not extrapolate the dividend</x:v>
      </x:c>
      <x:c r="Q55" s="204" t="str">
        <x:v>2026-09-02</x:v>
      </x:c>
    </x:row>
    <x:row r="56">
      <x:c r="A56" s="204" t="str">
        <x:v>ARG-052</x:v>
      </x:c>
      <x:c r="B56" s="204" t="str">
        <x:v>UBS Group</x:v>
      </x:c>
      <x:c r="C56" s="204" t="str">
        <x:v>UBS</x:v>
      </x:c>
      <x:c r="D56" s="204" t="str">
        <x:v>Banks</x:v>
      </x:c>
      <x:c r="E56" s="204" t="str">
        <x:v>P2</x:v>
      </x:c>
      <x:c r="F56" s="204" t="str">
        <x:v>https://www.ubs.com/global/en/investor-relations/financial-information/quarterly-reporting.html</x:v>
      </x:c>
      <x:c r="G56" s="204" t="str">
        <x:v>LOCATED</x:v>
      </x:c>
      <x:c r="H56" s="204" t="str">
        <x:v>FRESH</x:v>
      </x:c>
      <x:c r="I56" s="204" t="str">
        <x:v>https://www.ecb.europa.eu/press/pr/date/2026/html/ecb.mp260723~29f24d99bc.en.html | https://www.eba.europa.eu/risk-and-data-analysis/risk-analysis | https://www.bis.org/bcbs/</x:v>
      </x:c>
      <x:c r="J56" s="204" t="str">
        <x:v>T1 filing/release + T2 official point-in-time package</x:v>
      </x:c>
      <x:c r="K56" s="204" t="str">
        <x:v>Swiss capital end-state, Credit Suisse tail losses and post-integration cost/fee durability</x:v>
      </x:c>
      <x:c r="L56" s="204" t="str">
        <x:v>COMPLETE</x:v>
      </x:c>
      <x:c r="M56" s="204" t="str">
        <x:v>LOGGED</x:v>
      </x:c>
      <x:c r="N56" s="204" t="str">
        <x:v>PRESENT</x:v>
      </x:c>
      <x:c r="O56" s="204" t="str">
        <x:v>COMPLETE</x:v>
      </x:c>
      <x:c r="P56" s="204" t="str">
        <x:v>WATCH — require final Swiss capital rules, legacy-risk runoff and recurring wealth economics</x:v>
      </x:c>
      <x:c r="Q56" s="204" t="str">
        <x:v>2026-09-02</x:v>
      </x:c>
    </x:row>
    <x:row r="57">
      <x:c r="A57" s="204" t="str">
        <x:v>ARG-053</x:v>
      </x:c>
      <x:c r="B57" s="204" t="str">
        <x:v>Munich Re</x:v>
      </x:c>
      <x:c r="C57" s="204" t="str">
        <x:v>MUV2</x:v>
      </x:c>
      <x:c r="D57" s="204" t="str">
        <x:v>Insurance</x:v>
      </x:c>
      <x:c r="E57" s="204" t="str">
        <x:v>P2</x:v>
      </x:c>
      <x:c r="F57" s="204" t="str">
        <x:v>https://www.munichre.com/en/company/media-relations/media-information-and-corporate-news/media-information/2026/half-year-financial-report.html</x:v>
      </x:c>
      <x:c r="G57" s="204" t="str">
        <x:v>LOCATED</x:v>
      </x:c>
      <x:c r="H57" s="204" t="str">
        <x:v>FRESH</x:v>
      </x:c>
      <x:c r="I57" s="204" t="str">
        <x:v>https://www.ecb.europa.eu/press/pr/date/2026/html/ecb.mp260723~29f24d99bc.en.html | https://www.eiopa.europa.eu/tools-and-data/insurance-statistics_en | https://www.swissre.com/institute/research/sigma-research.html</x:v>
      </x:c>
      <x:c r="J57" s="204" t="str">
        <x:v>T1 filing/release + T2 official point-in-time package</x:v>
      </x:c>
      <x:c r="K57" s="204" t="str">
        <x:v>Normalized major-loss load, reserve conservatism and renewal-price adequacy</x:v>
      </x:c>
      <x:c r="L57" s="204" t="str">
        <x:v>COMPLETE</x:v>
      </x:c>
      <x:c r="M57" s="204" t="str">
        <x:v>LOGGED</x:v>
      </x:c>
      <x:c r="N57" s="204" t="str">
        <x:v>PRESENT</x:v>
      </x:c>
      <x:c r="O57" s="204" t="str">
        <x:v>COMPLETE</x:v>
      </x:c>
      <x:c r="P57" s="204" t="str">
        <x:v>WATCH — normalize catastrophe, reserve and investment results across a full insurance cycle</x:v>
      </x:c>
      <x:c r="Q57" s="204" t="str">
        <x:v>2026-09-02</x:v>
      </x:c>
    </x:row>
    <x:row r="58">
      <x:c r="A58" s="204" t="str">
        <x:v>ARG-054</x:v>
      </x:c>
      <x:c r="B58" s="204" t="str">
        <x:v>Eli Lilly</x:v>
      </x:c>
      <x:c r="C58" s="204" t="str">
        <x:v>LLY</x:v>
      </x:c>
      <x:c r="D58" s="204" t="str">
        <x:v>Healthcare &amp; Biopharma</x:v>
      </x:c>
      <x:c r="E58" s="204" t="str">
        <x:v>P2</x:v>
      </x:c>
      <x:c r="F58" s="204" t="str">
        <x:v>https://investor.lilly.com/financial-information/quarterly-results</x:v>
      </x:c>
      <x:c r="G58" s="204" t="str">
        <x:v>LOCATED</x:v>
      </x:c>
      <x:c r="H58" s="204" t="str">
        <x:v>FRESH</x:v>
      </x:c>
      <x:c r="I58" s="204" t="str">
        <x:v>https://www.fda.gov/drugs/drug-approvals-and-databases | https://clinicaltrials.gov/ | https://www.cms.gov/medicare/coverage</x:v>
      </x:c>
      <x:c r="J58" s="204" t="str">
        <x:v>T1 filing/release + T2 official point-in-time package</x:v>
      </x:c>
      <x:c r="K58" s="204" t="str">
        <x:v>Net-price durability, product concentration and cohort returns on manufacturing plus seven acquisitions</x:v>
      </x:c>
      <x:c r="L58" s="204" t="str">
        <x:v>COMPLETE</x:v>
      </x:c>
      <x:c r="M58" s="204" t="str">
        <x:v>LOGGED</x:v>
      </x:c>
      <x:c r="N58" s="204" t="str">
        <x:v>PRESENT</x:v>
      </x:c>
      <x:c r="O58" s="204" t="str">
        <x:v>COMPLETE</x:v>
      </x:c>
      <x:c r="P58" s="204" t="str">
        <x:v>WAIT FOR PRICE — require concentration, net-price and acquisition/capacity returns in a probability-weighted value range</x:v>
      </x:c>
      <x:c r="Q58" s="204" t="str">
        <x:v>2026-09-02</x:v>
      </x:c>
    </x:row>
    <x:row r="59">
      <x:c r="A59" s="204" t="str">
        <x:v>ARG-055</x:v>
      </x:c>
      <x:c r="B59" s="204" t="str">
        <x:v>Costco Wholesale</x:v>
      </x:c>
      <x:c r="C59" s="204" t="str">
        <x:v>COST</x:v>
      </x:c>
      <x:c r="D59" s="204" t="str">
        <x:v>Consumer</x:v>
      </x:c>
      <x:c r="E59" s="204" t="str">
        <x:v>P2</x:v>
      </x:c>
      <x:c r="F59" s="204" t="str">
        <x:v>https://investor.costco.com/news/news-details/2026/Costco-Wholesale-Corporation-Reports-Third-Quarter-and-Year-To-Date-Operating-Results-For-Fiscal-2026/default.aspx</x:v>
      </x:c>
      <x:c r="G59" s="204" t="str">
        <x:v>LOCATED</x:v>
      </x:c>
      <x:c r="H59" s="204" t="str">
        <x:v>FRESH</x:v>
      </x:c>
      <x:c r="I59" s="204" t="str">
        <x:v>https://www.bea.gov/news/current-releases | https://www.census.gov/retail/index.html | https://www.federalreserve.gov/newsevents/pressreleases/monetary20260729a.htm</x:v>
      </x:c>
      <x:c r="J59" s="204" t="str">
        <x:v>T1 filing/release + T2 official point-in-time package</x:v>
      </x:c>
      <x:c r="K59" s="204" t="str">
        <x:v>Conservative entry value using normalized warehouse returns, wage/shrink and capex</x:v>
      </x:c>
      <x:c r="L59" s="204" t="str">
        <x:v>COMPLETE</x:v>
      </x:c>
      <x:c r="M59" s="204" t="str">
        <x:v>LOGGED</x:v>
      </x:c>
      <x:c r="N59" s="204" t="str">
        <x:v>PRESENT</x:v>
      </x:c>
      <x:c r="O59" s="204" t="str">
        <x:v>COMPLETE</x:v>
      </x:c>
      <x:c r="P59" s="204" t="str">
        <x:v>WAIT FOR PRICE — preserve the franchise assessment but require a materially lower expectation burden</x:v>
      </x:c>
      <x:c r="Q59" s="204" t="str">
        <x:v>2026-09-02</x:v>
      </x:c>
    </x:row>
    <x:row r="60">
      <x:c r="A60" s="204" t="str">
        <x:v>ARG-056</x:v>
      </x:c>
      <x:c r="B60" s="204" t="str">
        <x:v>Caterpillar</x:v>
      </x:c>
      <x:c r="C60" s="204" t="str">
        <x:v>CAT</x:v>
      </x:c>
      <x:c r="D60" s="204" t="str">
        <x:v>Industrials &amp; Defense</x:v>
      </x:c>
      <x:c r="E60" s="204" t="str">
        <x:v>P2</x:v>
      </x:c>
      <x:c r="F60" s="204" t="str">
        <x:v>https://www.caterpillar.com/en/news/corporate-press-releases/h/2q26-results-caterpillar-inc.html</x:v>
      </x:c>
      <x:c r="G60" s="204" t="str">
        <x:v>LOCATED</x:v>
      </x:c>
      <x:c r="H60" s="204" t="str">
        <x:v>FRESH</x:v>
      </x:c>
      <x:c r="I60" s="204" t="str">
        <x:v>https://www.eia.gov/outlooks/steo/ | https://www.ferc.gov/industries-data/electric/power-sales-and-markets/market-assessments | https://www.federalreserve.gov/newsevents/pressreleases/monetary20260729a.htm</x:v>
      </x:c>
      <x:c r="J60" s="204" t="str">
        <x:v>T1 filing/release + T2 official point-in-time package</x:v>
      </x:c>
      <x:c r="K60" s="204" t="str">
        <x:v>Mid-cycle segment margins, dealer inventory quality and Cat Financial stress losses</x:v>
      </x:c>
      <x:c r="L60" s="204" t="str">
        <x:v>COMPLETE</x:v>
      </x:c>
      <x:c r="M60" s="204" t="str">
        <x:v>LOGGED</x:v>
      </x:c>
      <x:c r="N60" s="204" t="str">
        <x:v>PRESENT</x:v>
      </x:c>
      <x:c r="O60" s="204" t="str">
        <x:v>COMPLETE</x:v>
      </x:c>
      <x:c r="P60" s="204" t="str">
        <x:v>WAIT FOR PRICE — underwrite trough dealer inventory, finance losses and mid-cycle margins</x:v>
      </x:c>
      <x:c r="Q60" s="204" t="str">
        <x:v>2026-09-02</x:v>
      </x:c>
    </x:row>
    <x:row r="61">
      <x:c r="A61" s="204" t="str">
        <x:v>ARG-057</x:v>
      </x:c>
      <x:c r="B61" s="204" t="str">
        <x:v>BHP Group</x:v>
      </x:c>
      <x:c r="C61" s="204" t="str">
        <x:v>BHP</x:v>
      </x:c>
      <x:c r="D61" s="204" t="str">
        <x:v>Materials &amp; Mining</x:v>
      </x:c>
      <x:c r="E61" s="204" t="str">
        <x:v>P2</x:v>
      </x:c>
      <x:c r="F61" s="204" t="str">
        <x:v>https://www.bhp.com/investor-hub/reports-and-presentations/annual-report</x:v>
      </x:c>
      <x:c r="G61" s="204" t="str">
        <x:v>LOCATED</x:v>
      </x:c>
      <x:c r="H61" s="204" t="str">
        <x:v>FRESH</x:v>
      </x:c>
      <x:c r="I61" s="204" t="str">
        <x:v>https://www.worldbank.org/en/research/commodity-markets | https://www.iea.org/reports/global-critical-minerals-outlook-2026 | https://www.stats.gov.cn/english/</x:v>
      </x:c>
      <x:c r="J61" s="204" t="str">
        <x:v>T1 filing/release + T2 official point-in-time package</x:v>
      </x:c>
      <x:c r="K61" s="204" t="str">
        <x:v>Long-run price deck, Jansen/copper-project returns and jurisdiction-adjusted liabilities</x:v>
      </x:c>
      <x:c r="L61" s="204" t="str">
        <x:v>COMPLETE</x:v>
      </x:c>
      <x:c r="M61" s="204" t="str">
        <x:v>LOGGED</x:v>
      </x:c>
      <x:c r="N61" s="204" t="str">
        <x:v>PRESENT</x:v>
      </x:c>
      <x:c r="O61" s="204" t="str">
        <x:v>COMPLETE</x:v>
      </x:c>
      <x:c r="P61" s="204" t="str">
        <x:v>WATCH — use long-run copper/iron-ore prices and full project/tailings capital</x:v>
      </x:c>
      <x:c r="Q61" s="204" t="str">
        <x:v>2026-09-02</x:v>
      </x:c>
    </x:row>
    <x:row r="62">
      <x:c r="A62" s="204" t="inlineStr">
        <x:is>
          <x:t xml:space="preserve">ARG-058</x:t>
        </x:is>
      </x:c>
      <x:c r="B62" s="204" t="inlineStr">
        <x:is>
          <x:t xml:space="preserve">Prologis</x:t>
        </x:is>
      </x:c>
      <x:c r="C62" s="204" t="inlineStr">
        <x:is>
          <x:t xml:space="preserve">PLD</x:t>
        </x:is>
      </x:c>
      <x:c r="D62" s="204" t="inlineStr">
        <x:is>
          <x:t xml:space="preserve">Real Estate &amp; Telecom</x:t>
        </x:is>
      </x:c>
      <x:c r="E62" s="204" t="inlineStr">
        <x:is>
          <x:t xml:space="preserve">P3</x:t>
        </x:is>
      </x:c>
      <x:c r="F62" s="204" t="inlineStr">
        <x:is>
          <x:t xml:space="preserve">https://ir.prologis.com</x:t>
        </x:is>
      </x:c>
      <x:c r="G62" s="204" t="inlineStr">
        <x:is>
          <x:t xml:space="preserve">LOCATED</x:t>
        </x:is>
      </x:c>
      <x:c r="H62" s="204" t="inlineStr">
        <x:is>
          <x:t xml:space="preserve">UNKNOWN</x:t>
        </x:is>
      </x:c>
      <x:c r="I62" s="204" t="inlineStr">
        <x:is>
          <x:t xml:space="preserve">FCC; local filings; rate data</x:t>
        </x:is>
      </x:c>
      <x:c r="J62" s="204" t="inlineStr">
        <x:is>
          <x:t xml:space="preserve">Filings; property/network KPIs</x:t>
        </x:is>
      </x:c>
      <x:c r="K62" s="204" t="inlineStr">
        <x:is>
          <x:t xml:space="preserve">AFFO/FCF after capex, leverage, occupancy/churn, refinancing</x:t>
        </x:is>
      </x:c>
      <x:c r="L62" s="204" t="inlineStr">
        <x:is>
          <x:t xml:space="preserve">PENDING</x:t>
        </x:is>
      </x:c>
      <x:c r="M62" s="204" t="inlineStr">
        <x:is>
          <x:t xml:space="preserve">PENDING</x:t>
        </x:is>
      </x:c>
      <x:c r="N62" s="204" t="inlineStr">
        <x:is>
          <x:t xml:space="preserve">PENDING</x:t>
        </x:is>
      </x:c>
      <x:c r="O62" s="204" t="str">
        <x:f>IF(OR(G62="MISSING",H62="STALE"),"BLOCKED",IF(COUNTIF(H62:N62,"PENDING")+COUNTIF(H62:N62,"UNKNOWN")&gt;0,"INCOMPLETE","COMPLETE"))</x:f>
        <x:v>INCOMPLETE</x:v>
      </x:c>
      <x:c r="P62" s="204" t="inlineStr">
        <x:is>
          <x:t xml:space="preserve">Retrieve latest T1 filing; verify AFFO/FCF after capex, leverage, occupancy/churn, refinancing; complete three-pass review</x:t>
        </x:is>
      </x:c>
      <x:c r="Q62" s="204" t="inlineStr">
        <x:is>
          <x:t xml:space="preserve">2026-09-02</x:t>
        </x:is>
      </x:c>
    </x:row>
    <x:row r="63">
      <x:c r="A63" s="204" t="inlineStr">
        <x:is>
          <x:t xml:space="preserve">ARG-059</x:t>
        </x:is>
      </x:c>
      <x:c r="B63" s="204" t="inlineStr">
        <x:is>
          <x:t xml:space="preserve">Union Pacific</x:t>
        </x:is>
      </x:c>
      <x:c r="C63" s="204" t="inlineStr">
        <x:is>
          <x:t xml:space="preserve">UNP</x:t>
        </x:is>
      </x:c>
      <x:c r="D63" s="204" t="inlineStr">
        <x:is>
          <x:t xml:space="preserve">Transportation</x:t>
        </x:is>
      </x:c>
      <x:c r="E63" s="204" t="inlineStr">
        <x:is>
          <x:t xml:space="preserve">P3</x:t>
        </x:is>
      </x:c>
      <x:c r="F63" s="204" t="inlineStr">
        <x:is>
          <x:t xml:space="preserve">https://investor.unionpacific.com</x:t>
        </x:is>
      </x:c>
      <x:c r="G63" s="204" t="inlineStr">
        <x:is>
          <x:t xml:space="preserve">LOCATED</x:t>
        </x:is>
      </x:c>
      <x:c r="H63" s="204" t="inlineStr">
        <x:is>
          <x:t xml:space="preserve">UNKNOWN</x:t>
        </x:is>
      </x:c>
      <x:c r="I63" s="204" t="inlineStr">
        <x:is>
          <x:t xml:space="preserve">DOT; FAA; TSA; rail statistics</x:t>
        </x:is>
      </x:c>
      <x:c r="J63" s="204" t="inlineStr">
        <x:is>
          <x:t xml:space="preserve">Filings; traffic/yield disclosures</x:t>
        </x:is>
      </x:c>
      <x:c r="K63" s="204" t="inlineStr">
        <x:is>
          <x:t xml:space="preserve">Yield, load factor, fuel/labor, capex, cyclicality</x:t>
        </x:is>
      </x:c>
      <x:c r="L63" s="204" t="inlineStr">
        <x:is>
          <x:t xml:space="preserve">PENDING</x:t>
        </x:is>
      </x:c>
      <x:c r="M63" s="204" t="inlineStr">
        <x:is>
          <x:t xml:space="preserve">PENDING</x:t>
        </x:is>
      </x:c>
      <x:c r="N63" s="204" t="inlineStr">
        <x:is>
          <x:t xml:space="preserve">PENDING</x:t>
        </x:is>
      </x:c>
      <x:c r="O63" s="204" t="str">
        <x:f>IF(OR(G63="MISSING",H63="STALE"),"BLOCKED",IF(COUNTIF(H63:N63,"PENDING")+COUNTIF(H63:N63,"UNKNOWN")&gt;0,"INCOMPLETE","COMPLETE"))</x:f>
        <x:v>INCOMPLETE</x:v>
      </x:c>
      <x:c r="P63" s="204" t="inlineStr">
        <x:is>
          <x:t xml:space="preserve">Retrieve latest T1 filing; verify Yield, load factor, fuel/labor, capex, cyclicality; complete three-pass review</x:t>
        </x:is>
      </x:c>
      <x:c r="Q63" s="204" t="inlineStr">
        <x:is>
          <x:t xml:space="preserve">2026-09-02</x:t>
        </x:is>
      </x:c>
    </x:row>
    <x:row r="64">
      <x:c r="A64" s="204" t="inlineStr">
        <x:is>
          <x:t xml:space="preserve">ARG-060</x:t>
        </x:is>
      </x:c>
      <x:c r="B64" s="204" t="inlineStr">
        <x:is>
          <x:t xml:space="preserve">Palo Alto Networks</x:t>
        </x:is>
      </x:c>
      <x:c r="C64" s="204" t="inlineStr">
        <x:is>
          <x:t xml:space="preserve">PANW</x:t>
        </x:is>
      </x:c>
      <x:c r="D64" s="204" t="inlineStr">
        <x:is>
          <x:t xml:space="preserve">Cybersecurity</x:t>
        </x:is>
      </x:c>
      <x:c r="E64" s="204" t="inlineStr">
        <x:is>
          <x:t xml:space="preserve">P3</x:t>
        </x:is>
      </x:c>
      <x:c r="F64" s="204" t="inlineStr">
        <x:is>
          <x:t xml:space="preserve">https://investors.paloaltonetworks.com</x:t>
        </x:is>
      </x:c>
      <x:c r="G64" s="204" t="inlineStr">
        <x:is>
          <x:t xml:space="preserve">LOCATED</x:t>
        </x:is>
      </x:c>
      <x:c r="H64" s="204" t="inlineStr">
        <x:is>
          <x:t xml:space="preserve">UNKNOWN</x:t>
        </x:is>
      </x:c>
      <x:c r="I64" s="204" t="inlineStr">
        <x:is>
          <x:t xml:space="preserve">CISA; breach advisories</x:t>
        </x:is>
      </x:c>
      <x:c r="J64" s="204" t="inlineStr">
        <x:is>
          <x:t xml:space="preserve">SEC filings; retention and billings</x:t>
        </x:is>
      </x:c>
      <x:c r="K64" s="204" t="inlineStr">
        <x:is>
          <x:t xml:space="preserve">Platform consolidation, net retention, SBC, cash conversion</x:t>
        </x:is>
      </x:c>
      <x:c r="L64" s="204" t="inlineStr">
        <x:is>
          <x:t xml:space="preserve">PENDING</x:t>
        </x:is>
      </x:c>
      <x:c r="M64" s="204" t="inlineStr">
        <x:is>
          <x:t xml:space="preserve">PENDING</x:t>
        </x:is>
      </x:c>
      <x:c r="N64" s="204" t="inlineStr">
        <x:is>
          <x:t xml:space="preserve">PENDING</x:t>
        </x:is>
      </x:c>
      <x:c r="O64" s="204" t="str">
        <x:f>IF(OR(G64="MISSING",H64="STALE"),"BLOCKED",IF(COUNTIF(H64:N64,"PENDING")+COUNTIF(H64:N64,"UNKNOWN")&gt;0,"INCOMPLETE","COMPLETE"))</x:f>
        <x:v>INCOMPLETE</x:v>
      </x:c>
      <x:c r="P64" s="204" t="inlineStr">
        <x:is>
          <x:t xml:space="preserve">Retrieve latest T1 filing; verify Platform consolidation, net retention, SBC, cash conversion; complete three-pass review</x:t>
        </x:is>
      </x:c>
      <x:c r="Q64" s="204" t="inlineStr">
        <x:is>
          <x:t xml:space="preserve">2026-09-02</x:t>
        </x:is>
      </x:c>
    </x:row>
    <x:row r="65">
      <x:c r="A65" s="204" t="inlineStr">
        <x:is>
          <x:t xml:space="preserve">ARG-061</x:t>
        </x:is>
      </x:c>
      <x:c r="B65" s="204" t="inlineStr">
        <x:is>
          <x:t xml:space="preserve">Scorpio Tankers</x:t>
        </x:is>
      </x:c>
      <x:c r="C65" s="204" t="inlineStr">
        <x:is>
          <x:t xml:space="preserve">STNG</x:t>
        </x:is>
      </x:c>
      <x:c r="D65" s="204" t="inlineStr">
        <x:is>
          <x:t xml:space="preserve">Shipping</x:t>
        </x:is>
      </x:c>
      <x:c r="E65" s="204" t="inlineStr">
        <x:is>
          <x:t xml:space="preserve">P1</x:t>
        </x:is>
      </x:c>
      <x:c r="F65" s="204" t="str">
        <x:v>https://www.scorpiotankers.com/scorpio-tankers-inc-announces-financial-results-for-the-second-quarter-of-2026-and-the-declaration-of-a-dividend/</x:v>
      </x:c>
      <x:c r="G65" s="204" t="str">
        <x:v>LOCATED</x:v>
      </x:c>
      <x:c r="H65" s="204" t="str">
        <x:v>FRESH</x:v>
      </x:c>
      <x:c r="I65" s="204" t="str">
        <x:v>https://www.eia.gov/outlooks/steo/ | https://www.eia.gov/petroleum/weekly/</x:v>
      </x:c>
      <x:c r="J65" s="204" t="str">
        <x:v>T1 filing/release + T2 official point-in-time package</x:v>
      </x:c>
      <x:c r="K65" s="204" t="str">
        <x:v>Normalized product-tanker rates and post-deleveraging capital allocation</x:v>
      </x:c>
      <x:c r="L65" s="204" t="str">
        <x:v>COMPLETE</x:v>
      </x:c>
      <x:c r="M65" s="204" t="str">
        <x:v>LOGGED</x:v>
      </x:c>
      <x:c r="N65" s="204" t="str">
        <x:v>PRESENT</x:v>
      </x:c>
      <x:c r="O65" s="204" t="str">
        <x:f>IF(OR(G65="MISSING",H65="STALE"),"BLOCKED",IF(COUNTIF(H65:N65,"PENDING")+COUNTIF(H65:N65,"UNKNOWN")&gt;0,"INCOMPLETE","COMPLETE"))</x:f>
        <x:v>COMPLETE</x:v>
      </x:c>
      <x:c r="P65" s="204" t="str">
        <x:v>SITUATIONAL ONLY — reward deleveraging; wait for normalized NAV/TCE protection</x:v>
      </x:c>
      <x:c r="Q65" s="204" t="str">
        <x:v>2026-09-02</x:v>
      </x:c>
    </x:row>
    <x:row r="66">
      <x:c r="A66" s="204" t="str">
        <x:v>ARG-062</x:v>
      </x:c>
      <x:c r="B66" s="204" t="str">
        <x:v>HSBC Holdings</x:v>
      </x:c>
      <x:c r="C66" s="204" t="str">
        <x:v>HSBC</x:v>
      </x:c>
      <x:c r="D66" s="204" t="str">
        <x:v>Banks</x:v>
      </x:c>
      <x:c r="E66" s="204" t="str">
        <x:v>P2</x:v>
      </x:c>
      <x:c r="F66" s="204" t="str">
        <x:v>https://www.hsbc.com/investors/results-and-announcements/all-reporting/interim-results-2026-quick-read</x:v>
      </x:c>
      <x:c r="G66" s="204" t="str">
        <x:v>LOCATED</x:v>
      </x:c>
      <x:c r="H66" s="204" t="str">
        <x:v>FRESH</x:v>
      </x:c>
      <x:c r="I66" s="204" t="str">
        <x:v>https://www.ecb.europa.eu/press/pr/date/2026/html/ecb.mp260723~29f24d99bc.en.html | https://www.eba.europa.eu/risk-and-data-analysis/risk-analysis | https://www.bis.org/bcbs/</x:v>
      </x:c>
      <x:c r="J66" s="204" t="str">
        <x:v>T1 filing/release + T2 official point-in-time package</x:v>
      </x:c>
      <x:c r="K66" s="204" t="str">
        <x:v>Hang Seng integration return, China/HK credit loss and normalized banking NII</x:v>
      </x:c>
      <x:c r="L66" s="204" t="str">
        <x:v>COMPLETE</x:v>
      </x:c>
      <x:c r="M66" s="204" t="str">
        <x:v>LOGGED</x:v>
      </x:c>
      <x:c r="N66" s="204" t="str">
        <x:v>PRESENT</x:v>
      </x:c>
      <x:c r="O66" s="204" t="str">
        <x:v>COMPLETE</x:v>
      </x:c>
      <x:c r="P66" s="204" t="str">
        <x:v>WATCH — require Hang Seng capital returns and China/HK credit stress within CET1</x:v>
      </x:c>
      <x:c r="Q66" s="204" t="str">
        <x:v>2026-09-02</x:v>
      </x:c>
    </x:row>
    <x:row r="67">
      <x:c r="A67" s="204" t="str">
        <x:v>ARG-063</x:v>
      </x:c>
      <x:c r="B67" s="204" t="str">
        <x:v>Allianz</x:v>
      </x:c>
      <x:c r="C67" s="204" t="str">
        <x:v>ALV.DE</x:v>
      </x:c>
      <x:c r="D67" s="204" t="str">
        <x:v>Insurance</x:v>
      </x:c>
      <x:c r="E67" s="204" t="str">
        <x:v>P2</x:v>
      </x:c>
      <x:c r="F67" s="204" t="str">
        <x:v>https://www.allianz.com/en/mediacenter/news/media-releases/financials/260807-2q-2026-earnings-release.html</x:v>
      </x:c>
      <x:c r="G67" s="204" t="str">
        <x:v>LOCATED</x:v>
      </x:c>
      <x:c r="H67" s="204" t="str">
        <x:v>FRESH</x:v>
      </x:c>
      <x:c r="I67" s="204" t="str">
        <x:v>https://www.ecb.europa.eu/press/pr/date/2026/html/ecb.mp260723~29f24d99bc.en.html | https://www.eiopa.europa.eu/tools-and-data/insurance-statistics_en | https://www.swissre.com/institute/research/sigma-research.html</x:v>
      </x:c>
      <x:c r="J67" s="204" t="str">
        <x:v>T1 filing/release + T2 official point-in-time package</x:v>
      </x:c>
      <x:c r="K67" s="204" t="str">
        <x:v>Normalized combined ratio, reserve adequacy and fee/spread sensitivity</x:v>
      </x:c>
      <x:c r="L67" s="204" t="str">
        <x:v>COMPLETE</x:v>
      </x:c>
      <x:c r="M67" s="204" t="str">
        <x:v>LOGGED</x:v>
      </x:c>
      <x:c r="N67" s="204" t="str">
        <x:v>PRESENT</x:v>
      </x:c>
      <x:c r="O67" s="204" t="str">
        <x:v>COMPLETE</x:v>
      </x:c>
      <x:c r="P67" s="204" t="str">
        <x:v>WATCH — normalize catastrophe, reserve, investment and asset-management earnings</x:v>
      </x:c>
      <x:c r="Q67" s="204" t="str">
        <x:v>2026-09-02</x:v>
      </x:c>
    </x:row>
    <x:row r="68">
      <x:c r="A68" s="204" t="str">
        <x:v>ARG-064</x:v>
      </x:c>
      <x:c r="B68" s="204" t="str">
        <x:v>Novo Nordisk</x:v>
      </x:c>
      <x:c r="C68" s="204" t="str">
        <x:v>NVO</x:v>
      </x:c>
      <x:c r="D68" s="204" t="str">
        <x:v>Healthcare &amp; Biopharma</x:v>
      </x:c>
      <x:c r="E68" s="204" t="str">
        <x:v>P2</x:v>
      </x:c>
      <x:c r="F68" s="204" t="str">
        <x:v>https://www.novonordisk.com/content/nncorp/global/en/news-and-media/news-and-ir-materials/news-details.html?id=916590</x:v>
      </x:c>
      <x:c r="G68" s="204" t="str">
        <x:v>LOCATED</x:v>
      </x:c>
      <x:c r="H68" s="204" t="str">
        <x:v>FRESH</x:v>
      </x:c>
      <x:c r="I68" s="204" t="str">
        <x:v>https://www.fda.gov/drugs/drug-approvals-and-databases | https://clinicaltrials.gov/ | https://www.cms.gov/medicare/coverage</x:v>
      </x:c>
      <x:c r="J68" s="204" t="str">
        <x:v>T1 filing/release + T2 official point-in-time package</x:v>
      </x:c>
      <x:c r="K68" s="204" t="str">
        <x:v>US share/net price, oral cannibalization economics and post-impairment pipeline productivity</x:v>
      </x:c>
      <x:c r="L68" s="204" t="str">
        <x:v>COMPLETE</x:v>
      </x:c>
      <x:c r="M68" s="204" t="str">
        <x:v>LOGGED</x:v>
      </x:c>
      <x:c r="N68" s="204" t="str">
        <x:v>PRESENT</x:v>
      </x:c>
      <x:c r="O68" s="204" t="str">
        <x:v>COMPLETE</x:v>
      </x:c>
      <x:c r="P68" s="204" t="str">
        <x:v>PROVE REACCELERATION — require share, net-price, pipeline and owner-earnings recovery without adjustment dependence</x:v>
      </x:c>
      <x:c r="Q68" s="204" t="str">
        <x:v>2026-09-02</x:v>
      </x:c>
    </x:row>
    <x:row r="69">
      <x:c r="A69" s="204" t="inlineStr">
        <x:is>
          <x:t xml:space="preserve">ARG-065</x:t>
        </x:is>
      </x:c>
      <x:c r="B69" s="204" t="inlineStr">
        <x:is>
          <x:t xml:space="preserve">Johnson &amp; Johnson</x:t>
        </x:is>
      </x:c>
      <x:c r="C69" s="204" t="inlineStr">
        <x:is>
          <x:t xml:space="preserve">JNJ</x:t>
        </x:is>
      </x:c>
      <x:c r="D69" s="204" t="inlineStr">
        <x:is>
          <x:t xml:space="preserve">Healthcare &amp; Biopharma</x:t>
        </x:is>
      </x:c>
      <x:c r="E69" s="204" t="inlineStr">
        <x:is>
          <x:t xml:space="preserve">P3</x:t>
        </x:is>
      </x:c>
      <x:c r="F69" s="204" t="inlineStr">
        <x:is>
          <x:t xml:space="preserve">https://www.investor.jnj.com</x:t>
        </x:is>
      </x:c>
      <x:c r="G69" s="204" t="inlineStr">
        <x:is>
          <x:t xml:space="preserve">LOCATED</x:t>
        </x:is>
      </x:c>
      <x:c r="H69" s="204" t="inlineStr">
        <x:is>
          <x:t xml:space="preserve">UNKNOWN</x:t>
        </x:is>
      </x:c>
      <x:c r="I69" s="204" t="inlineStr">
        <x:is>
          <x:t xml:space="preserve">FDA; ClinicalTrials.gov; CMS</x:t>
        </x:is>
      </x:c>
      <x:c r="J69" s="204" t="inlineStr">
        <x:is>
          <x:t xml:space="preserve">SEC filings; trial and label documents</x:t>
        </x:is>
      </x:c>
      <x:c r="K69" s="204" t="inlineStr">
        <x:is>
          <x:t xml:space="preserve">Patient access, safety, probability-adjusted pipeline, concentration</x:t>
        </x:is>
      </x:c>
      <x:c r="L69" s="204" t="inlineStr">
        <x:is>
          <x:t xml:space="preserve">PENDING</x:t>
        </x:is>
      </x:c>
      <x:c r="M69" s="204" t="inlineStr">
        <x:is>
          <x:t xml:space="preserve">PENDING</x:t>
        </x:is>
      </x:c>
      <x:c r="N69" s="204" t="inlineStr">
        <x:is>
          <x:t xml:space="preserve">PENDING</x:t>
        </x:is>
      </x:c>
      <x:c r="O69" s="204" t="str">
        <x:f>IF(OR(G69="MISSING",H69="STALE"),"BLOCKED",IF(COUNTIF(H69:N69,"PENDING")+COUNTIF(H69:N69,"UNKNOWN")&gt;0,"INCOMPLETE","COMPLETE"))</x:f>
        <x:v>INCOMPLETE</x:v>
      </x:c>
      <x:c r="P69" s="204" t="inlineStr">
        <x:is>
          <x:t xml:space="preserve">Retrieve latest T1 filing; verify Patient access, safety, probability-adjusted pipeline, concentration; complete three-pass review</x:t>
        </x:is>
      </x:c>
      <x:c r="Q69" s="204" t="inlineStr">
        <x:is>
          <x:t xml:space="preserve">2026-09-02</x:t>
        </x:is>
      </x:c>
    </x:row>
    <x:row r="70">
      <x:c r="A70" s="204" t="str">
        <x:v>ARG-066</x:v>
      </x:c>
      <x:c r="B70" s="204" t="str">
        <x:v>NIKE</x:v>
      </x:c>
      <x:c r="C70" s="204" t="str">
        <x:v>NKE</x:v>
      </x:c>
      <x:c r="D70" s="204" t="str">
        <x:v>Consumer</x:v>
      </x:c>
      <x:c r="E70" s="204" t="str">
        <x:v>P2</x:v>
      </x:c>
      <x:c r="F70" s="204" t="str">
        <x:v>https://investors.nike.com/investors/news-events-and-reports/investor-news/investor-news-details/2026/NIKE-Inc--Reports-Fiscal-2026-Fourth-Quarter-and-Full-Year-Results/default.aspx</x:v>
      </x:c>
      <x:c r="G70" s="204" t="str">
        <x:v>LOCATED</x:v>
      </x:c>
      <x:c r="H70" s="204" t="str">
        <x:v>FRESH</x:v>
      </x:c>
      <x:c r="I70" s="204" t="str">
        <x:v>https://www.census.gov/retail/index.html | https://www.bls.gov/cpi/ | https://www.sec.gov/edgar/search/</x:v>
      </x:c>
      <x:c r="J70" s="204" t="str">
        <x:v>T1 filing/release + T2 official point-in-time package</x:v>
      </x:c>
      <x:c r="K70" s="204" t="str">
        <x:v>Ex-tariff gross margin, digital/full-price sell-through and China brand recovery</x:v>
      </x:c>
      <x:c r="L70" s="204" t="str">
        <x:v>COMPLETE</x:v>
      </x:c>
      <x:c r="M70" s="204" t="str">
        <x:v>LOGGED</x:v>
      </x:c>
      <x:c r="N70" s="204" t="str">
        <x:v>PRESENT</x:v>
      </x:c>
      <x:c r="O70" s="204" t="str">
        <x:v>COMPLETE</x:v>
      </x:c>
      <x:c r="P70" s="204" t="str">
        <x:v>PROVE TURNAROUND — require full-price revenue, China stabilization and clean gross margin together</x:v>
      </x:c>
      <x:c r="Q70" s="204" t="str">
        <x:v>2026-09-02</x:v>
      </x:c>
    </x:row>
    <x:row r="71">
      <x:c r="A71" s="204" t="inlineStr">
        <x:is>
          <x:t xml:space="preserve">ARG-067</x:t>
        </x:is>
      </x:c>
      <x:c r="B71" s="204" t="inlineStr">
        <x:is>
          <x:t xml:space="preserve">Unilever</x:t>
        </x:is>
      </x:c>
      <x:c r="C71" s="204" t="inlineStr">
        <x:is>
          <x:t xml:space="preserve">UL</x:t>
        </x:is>
      </x:c>
      <x:c r="D71" s="204" t="inlineStr">
        <x:is>
          <x:t xml:space="preserve">Consumer</x:t>
        </x:is>
      </x:c>
      <x:c r="E71" s="204" t="inlineStr">
        <x:is>
          <x:t xml:space="preserve">P3</x:t>
        </x:is>
      </x:c>
      <x:c r="F71" s="204" t="inlineStr">
        <x:is>
          <x:t xml:space="preserve">https://www.unilever.com/investors</x:t>
        </x:is>
      </x:c>
      <x:c r="G71" s="204" t="inlineStr">
        <x:is>
          <x:t xml:space="preserve">LOCATED</x:t>
        </x:is>
      </x:c>
      <x:c r="H71" s="204" t="inlineStr">
        <x:is>
          <x:t xml:space="preserve">UNKNOWN</x:t>
        </x:is>
      </x:c>
      <x:c r="I71" s="204" t="inlineStr">
        <x:is>
          <x:t xml:space="preserve">BEA; BLS; Census; credit data</x:t>
        </x:is>
      </x:c>
      <x:c r="J71" s="204" t="inlineStr">
        <x:is>
          <x:t xml:space="preserve">SEC filings; unit economics</x:t>
        </x:is>
      </x:c>
      <x:c r="K71" s="204" t="inlineStr">
        <x:is>
          <x:t xml:space="preserve">Volume/price mix, traffic, inventory, consumer credit, reinvestment</x:t>
        </x:is>
      </x:c>
      <x:c r="L71" s="204" t="inlineStr">
        <x:is>
          <x:t xml:space="preserve">PENDING</x:t>
        </x:is>
      </x:c>
      <x:c r="M71" s="204" t="inlineStr">
        <x:is>
          <x:t xml:space="preserve">PENDING</x:t>
        </x:is>
      </x:c>
      <x:c r="N71" s="204" t="inlineStr">
        <x:is>
          <x:t xml:space="preserve">PENDING</x:t>
        </x:is>
      </x:c>
      <x:c r="O71" s="204" t="str">
        <x:f>IF(OR(G71="MISSING",H71="STALE"),"BLOCKED",IF(COUNTIF(H71:N71,"PENDING")+COUNTIF(H71:N71,"UNKNOWN")&gt;0,"INCOMPLETE","COMPLETE"))</x:f>
        <x:v>INCOMPLETE</x:v>
      </x:c>
      <x:c r="P71" s="204" t="inlineStr">
        <x:is>
          <x:t xml:space="preserve">Retrieve latest T1 filing; verify Volume/price mix, traffic, inventory, consumer credit, reinvestment; complete three-pass review</x:t>
        </x:is>
      </x:c>
      <x:c r="Q71" s="204" t="inlineStr">
        <x:is>
          <x:t xml:space="preserve">2026-09-02</x:t>
        </x:is>
      </x:c>
    </x:row>
    <x:row r="72">
      <x:c r="A72" s="204" t="str">
        <x:v>ARG-068</x:v>
      </x:c>
      <x:c r="B72" s="204" t="str">
        <x:v>RTX</x:v>
      </x:c>
      <x:c r="C72" s="204" t="str">
        <x:v>RTX</x:v>
      </x:c>
      <x:c r="D72" s="204" t="str">
        <x:v>Industrials &amp; Defense</x:v>
      </x:c>
      <x:c r="E72" s="204" t="str">
        <x:v>P2</x:v>
      </x:c>
      <x:c r="F72" s="204" t="str">
        <x:v>https://www.rtx.com/news/news-center/2026/07/23/rtx-reports-q2-2026-results</x:v>
      </x:c>
      <x:c r="G72" s="204" t="str">
        <x:v>LOCATED</x:v>
      </x:c>
      <x:c r="H72" s="204" t="str">
        <x:v>FRESH</x:v>
      </x:c>
      <x:c r="I72" s="204" t="str">
        <x:v>https://www.defense.gov/News/Contracts/ | https://www.faa.gov/newsroom | https://www.federalreserve.gov/newsevents/pressreleases/monetary20260729a.htm</x:v>
      </x:c>
      <x:c r="J72" s="204" t="str">
        <x:v>T1 filing/release + T2 official point-in-time package</x:v>
      </x:c>
      <x:c r="K72" s="204" t="str">
        <x:v>Powder-metal ultimate cash cost, fixed-price program margins and normalized FCF after remediation</x:v>
      </x:c>
      <x:c r="L72" s="204" t="str">
        <x:v>COMPLETE</x:v>
      </x:c>
      <x:c r="M72" s="204" t="str">
        <x:v>LOGGED</x:v>
      </x:c>
      <x:c r="N72" s="204" t="str">
        <x:v>PRESENT</x:v>
      </x:c>
      <x:c r="O72" s="204" t="str">
        <x:v>COMPLETE</x:v>
      </x:c>
      <x:c r="P72" s="204" t="str">
        <x:v>WATCH — require Pratt correction closure, backlog cash margins and adjusted-to-owner-cash reconciliation</x:v>
      </x:c>
      <x:c r="Q72" s="204" t="str">
        <x:v>2026-09-02</x:v>
      </x:c>
    </x:row>
    <x:row r="73">
      <x:c r="A73" s="204" t="inlineStr">
        <x:is>
          <x:t xml:space="preserve">ARG-069</x:t>
        </x:is>
      </x:c>
      <x:c r="B73" s="204" t="inlineStr">
        <x:is>
          <x:t xml:space="preserve">Deere &amp; Company</x:t>
        </x:is>
      </x:c>
      <x:c r="C73" s="204" t="inlineStr">
        <x:is>
          <x:t xml:space="preserve">DE</x:t>
        </x:is>
      </x:c>
      <x:c r="D73" s="204" t="inlineStr">
        <x:is>
          <x:t xml:space="preserve">Industrials &amp; Defense</x:t>
        </x:is>
      </x:c>
      <x:c r="E73" s="204" t="inlineStr">
        <x:is>
          <x:t xml:space="preserve">P3</x:t>
        </x:is>
      </x:c>
      <x:c r="F73" s="204" t="inlineStr">
        <x:is>
          <x:t xml:space="preserve">https://investor.deere.com</x:t>
        </x:is>
      </x:c>
      <x:c r="G73" s="204" t="inlineStr">
        <x:is>
          <x:t xml:space="preserve">LOCATED</x:t>
        </x:is>
      </x:c>
      <x:c r="H73" s="204" t="inlineStr">
        <x:is>
          <x:t xml:space="preserve">UNKNOWN</x:t>
        </x:is>
      </x:c>
      <x:c r="I73" s="204" t="inlineStr">
        <x:is>
          <x:t xml:space="preserve">US DoD budget; FAA; procurement data</x:t>
        </x:is>
      </x:c>
      <x:c r="J73" s="204" t="inlineStr">
        <x:is>
          <x:t xml:space="preserve">SEC filings; backlog/program disclosures</x:t>
        </x:is>
      </x:c>
      <x:c r="K73" s="204" t="inlineStr">
        <x:is>
          <x:t xml:space="preserve">Backlog cash conversion, fixed-price risk, supply chain, program charges</x:t>
        </x:is>
      </x:c>
      <x:c r="L73" s="204" t="inlineStr">
        <x:is>
          <x:t xml:space="preserve">PENDING</x:t>
        </x:is>
      </x:c>
      <x:c r="M73" s="204" t="inlineStr">
        <x:is>
          <x:t xml:space="preserve">PENDING</x:t>
        </x:is>
      </x:c>
      <x:c r="N73" s="204" t="inlineStr">
        <x:is>
          <x:t xml:space="preserve">PENDING</x:t>
        </x:is>
      </x:c>
      <x:c r="O73" s="204" t="str">
        <x:f>IF(OR(G73="MISSING",H73="STALE"),"BLOCKED",IF(COUNTIF(H73:N73,"PENDING")+COUNTIF(H73:N73,"UNKNOWN")&gt;0,"INCOMPLETE","COMPLETE"))</x:f>
        <x:v>INCOMPLETE</x:v>
      </x:c>
      <x:c r="P73" s="204" t="inlineStr">
        <x:is>
          <x:t xml:space="preserve">Retrieve latest T1 filing; verify Backlog cash conversion, fixed-price risk, supply chain, program charges; complete three-pass review</x:t>
        </x:is>
      </x:c>
      <x:c r="Q73" s="204" t="inlineStr">
        <x:is>
          <x:t xml:space="preserve">2026-09-02</x:t>
        </x:is>
      </x:c>
    </x:row>
    <x:row r="74">
      <x:c r="A74" s="204" t="str">
        <x:v>ARG-070</x:v>
      </x:c>
      <x:c r="B74" s="204" t="str">
        <x:v>Rio Tinto</x:v>
      </x:c>
      <x:c r="C74" s="204" t="str">
        <x:v>RIO</x:v>
      </x:c>
      <x:c r="D74" s="204" t="str">
        <x:v>Materials &amp; Mining</x:v>
      </x:c>
      <x:c r="E74" s="204" t="str">
        <x:v>P2</x:v>
      </x:c>
      <x:c r="F74" s="204" t="str">
        <x:v>https://www.riotinto.com/en/news/releases/2026/rio-tinto-step-change-in-performance-delivering-higher-shareholder-returns</x:v>
      </x:c>
      <x:c r="G74" s="204" t="str">
        <x:v>LOCATED</x:v>
      </x:c>
      <x:c r="H74" s="204" t="str">
        <x:v>FRESH</x:v>
      </x:c>
      <x:c r="I74" s="204" t="str">
        <x:v>https://www.worldbank.org/en/research/commodity-markets | https://www.iea.org/reports/global-critical-minerals-outlook-2026 | https://www.stats.gov.cn/english/</x:v>
      </x:c>
      <x:c r="J74" s="204" t="str">
        <x:v>T1 filing/release + T2 official point-in-time package</x:v>
      </x:c>
      <x:c r="K74" s="204" t="str">
        <x:v>Simandou/lithium project returns, long-run price deck and consolidated debt path</x:v>
      </x:c>
      <x:c r="L74" s="204" t="str">
        <x:v>COMPLETE</x:v>
      </x:c>
      <x:c r="M74" s="204" t="str">
        <x:v>LOGGED</x:v>
      </x:c>
      <x:c r="N74" s="204" t="str">
        <x:v>PRESENT</x:v>
      </x:c>
      <x:c r="O74" s="204" t="str">
        <x:v>COMPLETE</x:v>
      </x:c>
      <x:c r="P74" s="204" t="str">
        <x:v>WATCH — value at long-run commodity prices after Simandou/lithium growth capital</x:v>
      </x:c>
      <x:c r="Q74" s="204" t="str">
        <x:v>2026-09-02</x:v>
      </x:c>
    </x:row>
    <x:row r="75">
      <x:c r="A75" s="204" t="str">
        <x:v>ARG-071</x:v>
      </x:c>
      <x:c r="B75" s="204" t="str">
        <x:v>Linde</x:v>
      </x:c>
      <x:c r="C75" s="204" t="str">
        <x:v>LIN</x:v>
      </x:c>
      <x:c r="D75" s="204" t="str">
        <x:v>Materials &amp; Mining</x:v>
      </x:c>
      <x:c r="E75" s="204" t="str">
        <x:v>P2</x:v>
      </x:c>
      <x:c r="F75" s="204" t="str">
        <x:v>https://www.linde.com/news-and-media/2026/linde-reports-second-quarter-2026-results</x:v>
      </x:c>
      <x:c r="G75" s="204" t="str">
        <x:v>LOCATED</x:v>
      </x:c>
      <x:c r="H75" s="204" t="str">
        <x:v>FRESH</x:v>
      </x:c>
      <x:c r="I75" s="204" t="str">
        <x:v>https://www.bea.gov/news/current-releases | https://www.eia.gov/outlooks/steo/ | https://www.federalreserve.gov/newsevents/pressreleases/monetary20260729a.htm</x:v>
      </x:c>
      <x:c r="J75" s="204" t="str">
        <x:v>T1 filing/release + T2 official point-in-time package</x:v>
      </x:c>
      <x:c r="K75" s="204" t="str">
        <x:v>Project-level return and utilization evidence for backlog and the $1bn semiconductor facility</x:v>
      </x:c>
      <x:c r="L75" s="204" t="str">
        <x:v>COMPLETE</x:v>
      </x:c>
      <x:c r="M75" s="204" t="str">
        <x:v>LOGGED</x:v>
      </x:c>
      <x:c r="N75" s="204" t="str">
        <x:v>PRESENT</x:v>
      </x:c>
      <x:c r="O75" s="204" t="str">
        <x:v>COMPLETE</x:v>
      </x:c>
      <x:c r="P75" s="204" t="str">
        <x:v>WATCH — require contracted project returns, clean FCF and price protection before promotion</x:v>
      </x:c>
      <x:c r="Q75" s="204" t="str">
        <x:v>2026-09-02</x:v>
      </x:c>
    </x:row>
    <x:row r="76">
      <x:c r="A76" s="204" t="inlineStr">
        <x:is>
          <x:t xml:space="preserve">ARG-072</x:t>
        </x:is>
      </x:c>
      <x:c r="B76" s="204" t="inlineStr">
        <x:is>
          <x:t xml:space="preserve">American Tower</x:t>
        </x:is>
      </x:c>
      <x:c r="C76" s="204" t="inlineStr">
        <x:is>
          <x:t xml:space="preserve">AMT</x:t>
        </x:is>
      </x:c>
      <x:c r="D76" s="204" t="inlineStr">
        <x:is>
          <x:t xml:space="preserve">Real Estate &amp; Telecom</x:t>
        </x:is>
      </x:c>
      <x:c r="E76" s="204" t="inlineStr">
        <x:is>
          <x:t xml:space="preserve">P3</x:t>
        </x:is>
      </x:c>
      <x:c r="F76" s="204" t="inlineStr">
        <x:is>
          <x:t xml:space="preserve">https://americantower.gcs-web.com</x:t>
        </x:is>
      </x:c>
      <x:c r="G76" s="204" t="inlineStr">
        <x:is>
          <x:t xml:space="preserve">LOCATED</x:t>
        </x:is>
      </x:c>
      <x:c r="H76" s="204" t="inlineStr">
        <x:is>
          <x:t xml:space="preserve">UNKNOWN</x:t>
        </x:is>
      </x:c>
      <x:c r="I76" s="204" t="inlineStr">
        <x:is>
          <x:t xml:space="preserve">FCC; local filings; rate data</x:t>
        </x:is>
      </x:c>
      <x:c r="J76" s="204" t="inlineStr">
        <x:is>
          <x:t xml:space="preserve">Filings; property/network KPIs</x:t>
        </x:is>
      </x:c>
      <x:c r="K76" s="204" t="inlineStr">
        <x:is>
          <x:t xml:space="preserve">AFFO/FCF after capex, leverage, occupancy/churn, refinancing</x:t>
        </x:is>
      </x:c>
      <x:c r="L76" s="204" t="inlineStr">
        <x:is>
          <x:t xml:space="preserve">PENDING</x:t>
        </x:is>
      </x:c>
      <x:c r="M76" s="204" t="inlineStr">
        <x:is>
          <x:t xml:space="preserve">PENDING</x:t>
        </x:is>
      </x:c>
      <x:c r="N76" s="204" t="inlineStr">
        <x:is>
          <x:t xml:space="preserve">PENDING</x:t>
        </x:is>
      </x:c>
      <x:c r="O76" s="204" t="str">
        <x:f>IF(OR(G76="MISSING",H76="STALE"),"BLOCKED",IF(COUNTIF(H76:N76,"PENDING")+COUNTIF(H76:N76,"UNKNOWN")&gt;0,"INCOMPLETE","COMPLETE"))</x:f>
        <x:v>INCOMPLETE</x:v>
      </x:c>
      <x:c r="P76" s="204" t="inlineStr">
        <x:is>
          <x:t xml:space="preserve">Retrieve latest T1 filing; verify AFFO/FCF after capex, leverage, occupancy/churn, refinancing; complete three-pass review</x:t>
        </x:is>
      </x:c>
      <x:c r="Q76" s="204" t="inlineStr">
        <x:is>
          <x:t xml:space="preserve">2026-09-02</x:t>
        </x:is>
      </x:c>
    </x:row>
    <x:row r="77">
      <x:c r="A77" s="204" t="inlineStr">
        <x:is>
          <x:t xml:space="preserve">ARG-073</x:t>
        </x:is>
      </x:c>
      <x:c r="B77" s="204" t="inlineStr">
        <x:is>
          <x:t xml:space="preserve">NextEra Energy</x:t>
        </x:is>
      </x:c>
      <x:c r="C77" s="204" t="inlineStr">
        <x:is>
          <x:t xml:space="preserve">NEE</x:t>
        </x:is>
      </x:c>
      <x:c r="D77" s="204" t="inlineStr">
        <x:is>
          <x:t xml:space="preserve">Utilities</x:t>
        </x:is>
      </x:c>
      <x:c r="E77" s="204" t="inlineStr">
        <x:is>
          <x:t xml:space="preserve">P3</x:t>
        </x:is>
      </x:c>
      <x:c r="F77" s="204" t="inlineStr">
        <x:is>
          <x:t xml:space="preserve">https://www.investor.nexteraenergy.com</x:t>
        </x:is>
      </x:c>
      <x:c r="G77" s="204" t="inlineStr">
        <x:is>
          <x:t xml:space="preserve">LOCATED</x:t>
        </x:is>
      </x:c>
      <x:c r="H77" s="204" t="inlineStr">
        <x:is>
          <x:t xml:space="preserve">UNKNOWN</x:t>
        </x:is>
      </x:c>
      <x:c r="I77" s="204" t="inlineStr">
        <x:is>
          <x:t xml:space="preserve">FERC; EIA; state commissions</x:t>
        </x:is>
      </x:c>
      <x:c r="J77" s="204" t="inlineStr">
        <x:is>
          <x:t xml:space="preserve">Regulatory and rate-case filings</x:t>
        </x:is>
      </x:c>
      <x:c r="K77" s="204" t="inlineStr">
        <x:is>
          <x:t xml:space="preserve">Allowed returns, capex recovery, financing, customer affordability</x:t>
        </x:is>
      </x:c>
      <x:c r="L77" s="204" t="inlineStr">
        <x:is>
          <x:t xml:space="preserve">PENDING</x:t>
        </x:is>
      </x:c>
      <x:c r="M77" s="204" t="inlineStr">
        <x:is>
          <x:t xml:space="preserve">PENDING</x:t>
        </x:is>
      </x:c>
      <x:c r="N77" s="204" t="inlineStr">
        <x:is>
          <x:t xml:space="preserve">PENDING</x:t>
        </x:is>
      </x:c>
      <x:c r="O77" s="204" t="str">
        <x:f>IF(OR(G77="MISSING",H77="STALE"),"BLOCKED",IF(COUNTIF(H77:N77,"PENDING")+COUNTIF(H77:N77,"UNKNOWN")&gt;0,"INCOMPLETE","COMPLETE"))</x:f>
        <x:v>INCOMPLETE</x:v>
      </x:c>
      <x:c r="P77" s="204" t="inlineStr">
        <x:is>
          <x:t xml:space="preserve">Retrieve latest T1 filing; verify Allowed returns, capex recovery, financing, customer affordability; complete three-pass review</x:t>
        </x:is>
      </x:c>
      <x:c r="Q77" s="204" t="inlineStr">
        <x:is>
          <x:t xml:space="preserve">2026-09-02</x:t>
        </x:is>
      </x:c>
    </x:row>
    <x:row r="78">
      <x:c r="A78" s="204" t="inlineStr">
        <x:is>
          <x:t xml:space="preserve">ARG-074</x:t>
        </x:is>
      </x:c>
      <x:c r="B78" s="204" t="inlineStr">
        <x:is>
          <x:t xml:space="preserve">Verizon Communications</x:t>
        </x:is>
      </x:c>
      <x:c r="C78" s="204" t="inlineStr">
        <x:is>
          <x:t xml:space="preserve">VZ</x:t>
        </x:is>
      </x:c>
      <x:c r="D78" s="204" t="inlineStr">
        <x:is>
          <x:t xml:space="preserve">Real Estate &amp; Telecom</x:t>
        </x:is>
      </x:c>
      <x:c r="E78" s="204" t="inlineStr">
        <x:is>
          <x:t xml:space="preserve">P3</x:t>
        </x:is>
      </x:c>
      <x:c r="F78" s="204" t="inlineStr">
        <x:is>
          <x:t xml:space="preserve">https://www.verizon.com/about/investors</x:t>
        </x:is>
      </x:c>
      <x:c r="G78" s="204" t="inlineStr">
        <x:is>
          <x:t xml:space="preserve">LOCATED</x:t>
        </x:is>
      </x:c>
      <x:c r="H78" s="204" t="inlineStr">
        <x:is>
          <x:t xml:space="preserve">UNKNOWN</x:t>
        </x:is>
      </x:c>
      <x:c r="I78" s="204" t="inlineStr">
        <x:is>
          <x:t xml:space="preserve">FCC; local filings; rate data</x:t>
        </x:is>
      </x:c>
      <x:c r="J78" s="204" t="inlineStr">
        <x:is>
          <x:t xml:space="preserve">Filings; property/network KPIs</x:t>
        </x:is>
      </x:c>
      <x:c r="K78" s="204" t="inlineStr">
        <x:is>
          <x:t xml:space="preserve">AFFO/FCF after capex, leverage, occupancy/churn, refinancing</x:t>
        </x:is>
      </x:c>
      <x:c r="L78" s="204" t="inlineStr">
        <x:is>
          <x:t xml:space="preserve">PENDING</x:t>
        </x:is>
      </x:c>
      <x:c r="M78" s="204" t="inlineStr">
        <x:is>
          <x:t xml:space="preserve">PENDING</x:t>
        </x:is>
      </x:c>
      <x:c r="N78" s="204" t="inlineStr">
        <x:is>
          <x:t xml:space="preserve">PENDING</x:t>
        </x:is>
      </x:c>
      <x:c r="O78" s="204" t="str">
        <x:f>IF(OR(G78="MISSING",H78="STALE"),"BLOCKED",IF(COUNTIF(H78:N78,"PENDING")+COUNTIF(H78:N78,"UNKNOWN")&gt;0,"INCOMPLETE","COMPLETE"))</x:f>
        <x:v>INCOMPLETE</x:v>
      </x:c>
      <x:c r="P78" s="204" t="inlineStr">
        <x:is>
          <x:t xml:space="preserve">Retrieve latest T1 filing; verify AFFO/FCF after capex, leverage, occupancy/churn, refinancing; complete three-pass review</x:t>
        </x:is>
      </x:c>
      <x:c r="Q78" s="204" t="inlineStr">
        <x:is>
          <x:t xml:space="preserve">2026-09-02</x:t>
        </x:is>
      </x:c>
    </x:row>
    <x:row r="79">
      <x:c r="A79" s="204" t="inlineStr">
        <x:is>
          <x:t xml:space="preserve">ARG-075</x:t>
        </x:is>
      </x:c>
      <x:c r="B79" s="204" t="inlineStr">
        <x:is>
          <x:t xml:space="preserve">Delta Air Lines</x:t>
        </x:is>
      </x:c>
      <x:c r="C79" s="204" t="inlineStr">
        <x:is>
          <x:t xml:space="preserve">DAL</x:t>
        </x:is>
      </x:c>
      <x:c r="D79" s="204" t="inlineStr">
        <x:is>
          <x:t xml:space="preserve">Transportation</x:t>
        </x:is>
      </x:c>
      <x:c r="E79" s="204" t="inlineStr">
        <x:is>
          <x:t xml:space="preserve">P3</x:t>
        </x:is>
      </x:c>
      <x:c r="F79" s="204" t="inlineStr">
        <x:is>
          <x:t xml:space="preserve">https://ir.delta.com</x:t>
        </x:is>
      </x:c>
      <x:c r="G79" s="204" t="inlineStr">
        <x:is>
          <x:t xml:space="preserve">LOCATED</x:t>
        </x:is>
      </x:c>
      <x:c r="H79" s="204" t="inlineStr">
        <x:is>
          <x:t xml:space="preserve">UNKNOWN</x:t>
        </x:is>
      </x:c>
      <x:c r="I79" s="204" t="inlineStr">
        <x:is>
          <x:t xml:space="preserve">DOT; FAA; TSA; rail statistics</x:t>
        </x:is>
      </x:c>
      <x:c r="J79" s="204" t="inlineStr">
        <x:is>
          <x:t xml:space="preserve">Filings; traffic/yield disclosures</x:t>
        </x:is>
      </x:c>
      <x:c r="K79" s="204" t="inlineStr">
        <x:is>
          <x:t xml:space="preserve">Yield, load factor, fuel/labor, capex, cyclicality</x:t>
        </x:is>
      </x:c>
      <x:c r="L79" s="204" t="inlineStr">
        <x:is>
          <x:t xml:space="preserve">PENDING</x:t>
        </x:is>
      </x:c>
      <x:c r="M79" s="204" t="inlineStr">
        <x:is>
          <x:t xml:space="preserve">PENDING</x:t>
        </x:is>
      </x:c>
      <x:c r="N79" s="204" t="inlineStr">
        <x:is>
          <x:t xml:space="preserve">PENDING</x:t>
        </x:is>
      </x:c>
      <x:c r="O79" s="204" t="str">
        <x:f>IF(OR(G79="MISSING",H79="STALE"),"BLOCKED",IF(COUNTIF(H79:N79,"PENDING")+COUNTIF(H79:N79,"UNKNOWN")&gt;0,"INCOMPLETE","COMPLETE"))</x:f>
        <x:v>INCOMPLETE</x:v>
      </x:c>
      <x:c r="P79" s="204" t="inlineStr">
        <x:is>
          <x:t xml:space="preserve">Retrieve latest T1 filing; verify Yield, load factor, fuel/labor, capex, cyclicality; complete three-pass review</x:t>
        </x:is>
      </x:c>
      <x:c r="Q79" s="204" t="inlineStr">
        <x:is>
          <x:t xml:space="preserve">2026-09-02</x:t>
        </x:is>
      </x:c>
    </x:row>
    <x:row r="80">
      <x:c r="A80" s="204" t="inlineStr">
        <x:is>
          <x:t xml:space="preserve">ARG-076</x:t>
        </x:is>
      </x:c>
      <x:c r="B80" s="204" t="inlineStr">
        <x:is>
          <x:t xml:space="preserve">Toyota Motor</x:t>
        </x:is>
      </x:c>
      <x:c r="C80" s="204" t="inlineStr">
        <x:is>
          <x:t xml:space="preserve">TM</x:t>
        </x:is>
      </x:c>
      <x:c r="D80" s="204" t="inlineStr">
        <x:is>
          <x:t xml:space="preserve">Autos &amp; Mobility</x:t>
        </x:is>
      </x:c>
      <x:c r="E80" s="204" t="inlineStr">
        <x:is>
          <x:t xml:space="preserve">P3</x:t>
        </x:is>
      </x:c>
      <x:c r="F80" s="204" t="inlineStr">
        <x:is>
          <x:t xml:space="preserve">https://global.toyota/en/ir/</x:t>
        </x:is>
      </x:c>
      <x:c r="G80" s="204" t="inlineStr">
        <x:is>
          <x:t xml:space="preserve">LOCATED</x:t>
        </x:is>
      </x:c>
      <x:c r="H80" s="204" t="inlineStr">
        <x:is>
          <x:t xml:space="preserve">UNKNOWN</x:t>
        </x:is>
      </x:c>
      <x:c r="I80" s="204" t="inlineStr">
        <x:is>
          <x:t xml:space="preserve">NHTSA; EPA; registration data</x:t>
        </x:is>
      </x:c>
      <x:c r="J80" s="204" t="inlineStr">
        <x:is>
          <x:t xml:space="preserve">Filings; delivery and finance disclosures</x:t>
        </x:is>
      </x:c>
      <x:c r="K80" s="204" t="inlineStr">
        <x:is>
          <x:t xml:space="preserve">Unit economics, incentives, residuals, capex, autonomy evidence</x:t>
        </x:is>
      </x:c>
      <x:c r="L80" s="204" t="inlineStr">
        <x:is>
          <x:t xml:space="preserve">PENDING</x:t>
        </x:is>
      </x:c>
      <x:c r="M80" s="204" t="inlineStr">
        <x:is>
          <x:t xml:space="preserve">PENDING</x:t>
        </x:is>
      </x:c>
      <x:c r="N80" s="204" t="inlineStr">
        <x:is>
          <x:t xml:space="preserve">PENDING</x:t>
        </x:is>
      </x:c>
      <x:c r="O80" s="204" t="str">
        <x:f>IF(OR(G80="MISSING",H80="STALE"),"BLOCKED",IF(COUNTIF(H80:N80,"PENDING")+COUNTIF(H80:N80,"UNKNOWN")&gt;0,"INCOMPLETE","COMPLETE"))</x:f>
        <x:v>INCOMPLETE</x:v>
      </x:c>
      <x:c r="P80" s="204" t="inlineStr">
        <x:is>
          <x:t xml:space="preserve">Retrieve latest T1 filing; verify Unit economics, incentives, residuals, capex, autonomy evidence; complete three-pass review</x:t>
        </x:is>
      </x:c>
      <x:c r="Q80" s="204" t="inlineStr">
        <x:is>
          <x:t xml:space="preserve">2026-09-02</x:t>
        </x:is>
      </x:c>
    </x:row>
    <x:row r="81">
      <x:c r="A81" s="204" t="inlineStr">
        <x:is>
          <x:t xml:space="preserve">ARG-077</x:t>
        </x:is>
      </x:c>
      <x:c r="B81" s="204" t="inlineStr">
        <x:is>
          <x:t xml:space="preserve">Corteva</x:t>
        </x:is>
      </x:c>
      <x:c r="C81" s="204" t="inlineStr">
        <x:is>
          <x:t xml:space="preserve">CTVA</x:t>
        </x:is>
      </x:c>
      <x:c r="D81" s="204" t="inlineStr">
        <x:is>
          <x:t xml:space="preserve">Agriculture &amp; Fertilizers</x:t>
        </x:is>
      </x:c>
      <x:c r="E81" s="204" t="inlineStr">
        <x:is>
          <x:t xml:space="preserve">P3</x:t>
        </x:is>
      </x:c>
      <x:c r="F81" s="204" t="inlineStr">
        <x:is>
          <x:t xml:space="preserve">https://investors.corteva.com</x:t>
        </x:is>
      </x:c>
      <x:c r="G81" s="204" t="inlineStr">
        <x:is>
          <x:t xml:space="preserve">LOCATED</x:t>
        </x:is>
      </x:c>
      <x:c r="H81" s="204" t="inlineStr">
        <x:is>
          <x:t xml:space="preserve">UNKNOWN</x:t>
        </x:is>
      </x:c>
      <x:c r="I81" s="204" t="inlineStr">
        <x:is>
          <x:t xml:space="preserve">USDA; FAO; nutrient trade data</x:t>
        </x:is>
      </x:c>
      <x:c r="J81" s="204" t="inlineStr">
        <x:is>
          <x:t xml:space="preserve">Filings; volume/cost disclosures</x:t>
        </x:is>
      </x:c>
      <x:c r="K81" s="204" t="inlineStr">
        <x:is>
          <x:t xml:space="preserve">Crop economics, input costs, capacity, cycle-normalized cash</x:t>
        </x:is>
      </x:c>
      <x:c r="L81" s="204" t="inlineStr">
        <x:is>
          <x:t xml:space="preserve">PENDING</x:t>
        </x:is>
      </x:c>
      <x:c r="M81" s="204" t="inlineStr">
        <x:is>
          <x:t xml:space="preserve">PENDING</x:t>
        </x:is>
      </x:c>
      <x:c r="N81" s="204" t="inlineStr">
        <x:is>
          <x:t xml:space="preserve">PENDING</x:t>
        </x:is>
      </x:c>
      <x:c r="O81" s="204" t="str">
        <x:f>IF(OR(G81="MISSING",H81="STALE"),"BLOCKED",IF(COUNTIF(H81:N81,"PENDING")+COUNTIF(H81:N81,"UNKNOWN")&gt;0,"INCOMPLETE","COMPLETE"))</x:f>
        <x:v>INCOMPLETE</x:v>
      </x:c>
      <x:c r="P81" s="204" t="inlineStr">
        <x:is>
          <x:t xml:space="preserve">Retrieve latest T1 filing; verify Crop economics, input costs, capacity, cycle-normalized cash; complete three-pass review</x:t>
        </x:is>
      </x:c>
      <x:c r="Q81" s="204" t="inlineStr">
        <x:is>
          <x:t xml:space="preserve">2026-09-02</x:t>
        </x:is>
      </x:c>
    </x:row>
    <x:row r="82">
      <x:c r="A82" s="204" t="inlineStr">
        <x:is>
          <x:t xml:space="preserve">ARG-078</x:t>
        </x:is>
      </x:c>
      <x:c r="B82" s="204" t="inlineStr">
        <x:is>
          <x:t xml:space="preserve">Netflix</x:t>
        </x:is>
      </x:c>
      <x:c r="C82" s="204" t="inlineStr">
        <x:is>
          <x:t xml:space="preserve">NFLX</x:t>
        </x:is>
      </x:c>
      <x:c r="D82" s="204" t="inlineStr">
        <x:is>
          <x:t xml:space="preserve">Media &amp; Internet</x:t>
        </x:is>
      </x:c>
      <x:c r="E82" s="204" t="inlineStr">
        <x:is>
          <x:t xml:space="preserve">P3</x:t>
        </x:is>
      </x:c>
      <x:c r="F82" s="204" t="inlineStr">
        <x:is>
          <x:t xml:space="preserve">https://ir.netflix.net</x:t>
        </x:is>
      </x:c>
      <x:c r="G82" s="204" t="inlineStr">
        <x:is>
          <x:t xml:space="preserve">LOCATED</x:t>
        </x:is>
      </x:c>
      <x:c r="H82" s="204" t="inlineStr">
        <x:is>
          <x:t xml:space="preserve">UNKNOWN</x:t>
        </x:is>
      </x:c>
      <x:c r="I82" s="204" t="inlineStr">
        <x:is>
          <x:t xml:space="preserve">Regulators; ad-market primary data</x:t>
        </x:is>
      </x:c>
      <x:c r="J82" s="204" t="inlineStr">
        <x:is>
          <x:t xml:space="preserve">Filings; engagement and ad disclosures</x:t>
        </x:is>
      </x:c>
      <x:c r="K82" s="204" t="inlineStr">
        <x:is>
          <x:t xml:space="preserve">Monetization, churn, content cost, platform policy, SBC</x:t>
        </x:is>
      </x:c>
      <x:c r="L82" s="204" t="inlineStr">
        <x:is>
          <x:t xml:space="preserve">PENDING</x:t>
        </x:is>
      </x:c>
      <x:c r="M82" s="204" t="inlineStr">
        <x:is>
          <x:t xml:space="preserve">PENDING</x:t>
        </x:is>
      </x:c>
      <x:c r="N82" s="204" t="inlineStr">
        <x:is>
          <x:t xml:space="preserve">PENDING</x:t>
        </x:is>
      </x:c>
      <x:c r="O82" s="204" t="str">
        <x:f>IF(OR(G82="MISSING",H82="STALE"),"BLOCKED",IF(COUNTIF(H82:N82,"PENDING")+COUNTIF(H82:N82,"UNKNOWN")&gt;0,"INCOMPLETE","COMPLETE"))</x:f>
        <x:v>INCOMPLETE</x:v>
      </x:c>
      <x:c r="P82" s="204" t="inlineStr">
        <x:is>
          <x:t xml:space="preserve">Retrieve latest T1 filing; verify Monetization, churn, content cost, platform policy, SBC; complete three-pass review</x:t>
        </x:is>
      </x:c>
      <x:c r="Q82" s="204" t="inlineStr">
        <x:is>
          <x:t xml:space="preserve">2026-09-02</x:t>
        </x:is>
      </x:c>
    </x:row>
    <x:row r="83">
      <x:c r="A83" s="204" t="inlineStr">
        <x:is>
          <x:t xml:space="preserve">ARG-079</x:t>
        </x:is>
      </x:c>
      <x:c r="B83" s="204" t="inlineStr">
        <x:is>
          <x:t xml:space="preserve">CME Group</x:t>
        </x:is>
      </x:c>
      <x:c r="C83" s="204" t="inlineStr">
        <x:is>
          <x:t xml:space="preserve">CME</x:t>
        </x:is>
      </x:c>
      <x:c r="D83" s="204" t="inlineStr">
        <x:is>
          <x:t xml:space="preserve">Business Services &amp; Exchanges</x:t>
        </x:is>
      </x:c>
      <x:c r="E83" s="204" t="inlineStr">
        <x:is>
          <x:t xml:space="preserve">P3</x:t>
        </x:is>
      </x:c>
      <x:c r="F83" s="204" t="inlineStr">
        <x:is>
          <x:t xml:space="preserve">https://investor.cmegroup.com</x:t>
        </x:is>
      </x:c>
      <x:c r="G83" s="204" t="inlineStr">
        <x:is>
          <x:t xml:space="preserve">LOCATED</x:t>
        </x:is>
      </x:c>
      <x:c r="H83" s="204" t="inlineStr">
        <x:is>
          <x:t xml:space="preserve">UNKNOWN</x:t>
        </x:is>
      </x:c>
      <x:c r="I83" s="204" t="inlineStr">
        <x:is>
          <x:t xml:space="preserve">SEC/CFTC; labor and activity data</x:t>
        </x:is>
      </x:c>
      <x:c r="J83" s="204" t="inlineStr">
        <x:is>
          <x:t xml:space="preserve">SEC filings; segment disclosures</x:t>
        </x:is>
      </x:c>
      <x:c r="K83" s="204" t="inlineStr">
        <x:is>
          <x:t xml:space="preserve">Recurring revenue, pricing, transaction sensitivity, capital allocation</x:t>
        </x:is>
      </x:c>
      <x:c r="L83" s="204" t="inlineStr">
        <x:is>
          <x:t xml:space="preserve">PENDING</x:t>
        </x:is>
      </x:c>
      <x:c r="M83" s="204" t="inlineStr">
        <x:is>
          <x:t xml:space="preserve">PENDING</x:t>
        </x:is>
      </x:c>
      <x:c r="N83" s="204" t="inlineStr">
        <x:is>
          <x:t xml:space="preserve">PENDING</x:t>
        </x:is>
      </x:c>
      <x:c r="O83" s="204" t="str">
        <x:f>IF(OR(G83="MISSING",H83="STALE"),"BLOCKED",IF(COUNTIF(H83:N83,"PENDING")+COUNTIF(H83:N83,"UNKNOWN")&gt;0,"INCOMPLETE","COMPLETE"))</x:f>
        <x:v>INCOMPLETE</x:v>
      </x:c>
      <x:c r="P83" s="204" t="inlineStr">
        <x:is>
          <x:t xml:space="preserve">Retrieve latest T1 filing; verify Recurring revenue, pricing, transaction sensitivity, capital allocation; complete three-pass review</x:t>
        </x:is>
      </x:c>
      <x:c r="Q83" s="204" t="inlineStr">
        <x:is>
          <x:t xml:space="preserve">2026-09-02</x:t>
        </x:is>
      </x:c>
    </x:row>
    <x:row r="84">
      <x:c r="A84" s="204" t="inlineStr">
        <x:is>
          <x:t xml:space="preserve">ARG-080</x:t>
        </x:is>
      </x:c>
      <x:c r="B84" s="204" t="inlineStr">
        <x:is>
          <x:t xml:space="preserve">Intuitive Surgical</x:t>
        </x:is>
      </x:c>
      <x:c r="C84" s="204" t="inlineStr">
        <x:is>
          <x:t xml:space="preserve">ISRG</x:t>
        </x:is>
      </x:c>
      <x:c r="D84" s="204" t="inlineStr">
        <x:is>
          <x:t xml:space="preserve">Medical Devices</x:t>
        </x:is>
      </x:c>
      <x:c r="E84" s="204" t="inlineStr">
        <x:is>
          <x:t xml:space="preserve">P3</x:t>
        </x:is>
      </x:c>
      <x:c r="F84" s="204" t="inlineStr">
        <x:is>
          <x:t xml:space="preserve">https://isrg.intuitive.com</x:t>
        </x:is>
      </x:c>
      <x:c r="G84" s="204" t="inlineStr">
        <x:is>
          <x:t xml:space="preserve">LOCATED</x:t>
        </x:is>
      </x:c>
      <x:c r="H84" s="204" t="inlineStr">
        <x:is>
          <x:t xml:space="preserve">UNKNOWN</x:t>
        </x:is>
      </x:c>
      <x:c r="I84" s="204" t="inlineStr">
        <x:is>
          <x:t xml:space="preserve">FDA; CMS; hospital capex data</x:t>
        </x:is>
      </x:c>
      <x:c r="J84" s="204" t="inlineStr">
        <x:is>
          <x:t xml:space="preserve">SEC filings; procedure and installed-base data</x:t>
        </x:is>
      </x:c>
      <x:c r="K84" s="204" t="inlineStr">
        <x:is>
          <x:t xml:space="preserve">Procedure growth, utilization, safety, recurring instrument economics</x:t>
        </x:is>
      </x:c>
      <x:c r="L84" s="204" t="inlineStr">
        <x:is>
          <x:t xml:space="preserve">PENDING</x:t>
        </x:is>
      </x:c>
      <x:c r="M84" s="204" t="inlineStr">
        <x:is>
          <x:t xml:space="preserve">PENDING</x:t>
        </x:is>
      </x:c>
      <x:c r="N84" s="204" t="inlineStr">
        <x:is>
          <x:t xml:space="preserve">PENDING</x:t>
        </x:is>
      </x:c>
      <x:c r="O84" s="204" t="str">
        <x:f>IF(OR(G84="MISSING",H84="STALE"),"BLOCKED",IF(COUNTIF(H84:N84,"PENDING")+COUNTIF(H84:N84,"UNKNOWN")&gt;0,"INCOMPLETE","COMPLETE"))</x:f>
        <x:v>INCOMPLETE</x:v>
      </x:c>
      <x:c r="P84" s="204" t="inlineStr">
        <x:is>
          <x:t xml:space="preserve">Retrieve latest T1 filing; verify Procedure growth, utilization, safety, recurring instrument economics; complete three-pass review</x:t>
        </x:is>
      </x:c>
      <x:c r="Q84" s="204" t="inlineStr">
        <x:is>
          <x:t xml:space="preserve">2026-09-02</x:t>
        </x:is>
      </x:c>
    </x:row>
    <x:row r="85">
      <x:c r="A85" s="204" t="inlineStr">
        <x:is>
          <x:t xml:space="preserve">ARG-081</x:t>
        </x:is>
      </x:c>
      <x:c r="B85" s="204" t="inlineStr">
        <x:is>
          <x:t xml:space="preserve">International Seaways</x:t>
        </x:is>
      </x:c>
      <x:c r="C85" s="204" t="inlineStr">
        <x:is>
          <x:t xml:space="preserve">INSW</x:t>
        </x:is>
      </x:c>
      <x:c r="D85" s="204" t="inlineStr">
        <x:is>
          <x:t xml:space="preserve">Shipping</x:t>
        </x:is>
      </x:c>
      <x:c r="E85" s="204" t="inlineStr">
        <x:is>
          <x:t xml:space="preserve">P1</x:t>
        </x:is>
      </x:c>
      <x:c r="F85" s="204" t="str">
        <x:v>https://www.intlseas.com/investor-relations/financials/quarterly-results/default.aspx</x:v>
      </x:c>
      <x:c r="G85" s="204" t="str">
        <x:v>LOCATED</x:v>
      </x:c>
      <x:c r="H85" s="204" t="str">
        <x:v>FRESH</x:v>
      </x:c>
      <x:c r="I85" s="204" t="str">
        <x:v>https://www.eia.gov/outlooks/steo/ | https://www.eia.gov/petroleum/weekly/</x:v>
      </x:c>
      <x:c r="J85" s="204" t="str">
        <x:v>T1 filing/release + T2 official point-in-time package</x:v>
      </x:c>
      <x:c r="K85" s="204" t="str">
        <x:v>Segment-normalized TCE, fleet renewal cost and discount-to-NAV</x:v>
      </x:c>
      <x:c r="L85" s="204" t="str">
        <x:v>COMPLETE</x:v>
      </x:c>
      <x:c r="M85" s="204" t="str">
        <x:v>LOGGED</x:v>
      </x:c>
      <x:c r="N85" s="204" t="str">
        <x:v>PRESENT</x:v>
      </x:c>
      <x:c r="O85" s="204" t="str">
        <x:f>IF(OR(G85="MISSING",H85="STALE"),"BLOCKED",IF(COUNTIF(H85:N85,"PENDING")+COUNTIF(H85:N85,"UNKNOWN")&gt;0,"INCOMPLETE","COMPLETE"))</x:f>
        <x:v>COMPLETE</x:v>
      </x:c>
      <x:c r="P85" s="204" t="str">
        <x:v>SITUATIONAL ONLY — segment NAV/TCE and replacement-capex test required</x:v>
      </x:c>
      <x:c r="Q85" s="204" t="str">
        <x:v>2026-09-02</x:v>
      </x:c>
    </x:row>
    <x:row r="86">
      <x:c r="A86" s="204" t="inlineStr">
        <x:is>
          <x:t xml:space="preserve">ARG-082</x:t>
        </x:is>
      </x:c>
      <x:c r="B86" s="204" t="inlineStr">
        <x:is>
          <x:t xml:space="preserve">Frontline</x:t>
        </x:is>
      </x:c>
      <x:c r="C86" s="204" t="inlineStr">
        <x:is>
          <x:t xml:space="preserve">FRO</x:t>
        </x:is>
      </x:c>
      <x:c r="D86" s="204" t="inlineStr">
        <x:is>
          <x:t xml:space="preserve">Shipping</x:t>
        </x:is>
      </x:c>
      <x:c r="E86" s="204" t="inlineStr">
        <x:is>
          <x:t xml:space="preserve">P1</x:t>
        </x:is>
      </x:c>
      <x:c r="F86" s="204" t="str">
        <x:v>https://www.frontlineplc.cy/investor-relations/</x:v>
      </x:c>
      <x:c r="G86" s="204" t="str">
        <x:v>LOCATED</x:v>
      </x:c>
      <x:c r="H86" s="204" t="str">
        <x:v>FRESH</x:v>
      </x:c>
      <x:c r="I86" s="204" t="str">
        <x:v>https://www.eia.gov/outlooks/steo/ | https://www.eia.gov/petroleum/weekly/</x:v>
      </x:c>
      <x:c r="J86" s="204" t="str">
        <x:v>T1 filing/release + T2 official point-in-time package</x:v>
      </x:c>
      <x:c r="K86" s="204" t="str">
        <x:v>Governance-adjusted NAV, normalized TCE and refinancing/fleet needs</x:v>
      </x:c>
      <x:c r="L86" s="204" t="str">
        <x:v>COMPLETE</x:v>
      </x:c>
      <x:c r="M86" s="204" t="str">
        <x:v>LOGGED</x:v>
      </x:c>
      <x:c r="N86" s="204" t="str">
        <x:v>PRESENT</x:v>
      </x:c>
      <x:c r="O86" s="204" t="str">
        <x:f>IF(OR(G86="MISSING",H86="STALE"),"BLOCKED",IF(COUNTIF(H86:N86,"PENDING")+COUNTIF(H86:N86,"UNKNOWN")&gt;0,"INCOMPLETE","COMPLETE"))</x:f>
        <x:v>COMPLETE</x:v>
      </x:c>
      <x:c r="P86" s="204" t="str">
        <x:v>SITUATIONAL ONLY — governance-adjusted NAV and normalized TCE required</x:v>
      </x:c>
      <x:c r="Q86" s="204" t="str">
        <x:v>2026-09-02</x:v>
      </x:c>
    </x:row>
    <x:row r="87">
      <x:c r="A87" s="204" t="inlineStr">
        <x:is>
          <x:t xml:space="preserve">ARG-083</x:t>
        </x:is>
      </x:c>
      <x:c r="B87" s="204" t="inlineStr">
        <x:is>
          <x:t xml:space="preserve">Lloyds Banking Group</x:t>
        </x:is>
      </x:c>
      <x:c r="C87" s="204" t="inlineStr">
        <x:is>
          <x:t xml:space="preserve">LLOY</x:t>
        </x:is>
      </x:c>
      <x:c r="D87" s="204" t="inlineStr">
        <x:is>
          <x:t xml:space="preserve">Banks</x:t>
        </x:is>
      </x:c>
      <x:c r="E87" s="204" t="inlineStr">
        <x:is>
          <x:t xml:space="preserve">P3</x:t>
        </x:is>
      </x:c>
      <x:c r="F87" s="204" t="inlineStr">
        <x:is>
          <x:t xml:space="preserve">https://www.lloydsbankinggroup.com/investors.html</x:t>
        </x:is>
      </x:c>
      <x:c r="G87" s="204" t="inlineStr">
        <x:is>
          <x:t xml:space="preserve">LOCATED</x:t>
        </x:is>
      </x:c>
      <x:c r="H87" s="204" t="inlineStr">
        <x:is>
          <x:t xml:space="preserve">UNKNOWN</x:t>
        </x:is>
      </x:c>
      <x:c r="I87" s="204" t="inlineStr">
        <x:is>
          <x:t xml:space="preserve">Fed; FDIC; OCC; Treasury</x:t>
        </x:is>
      </x:c>
      <x:c r="J87" s="204" t="inlineStr">
        <x:is>
          <x:t xml:space="preserve">SEC filings; call reports</x:t>
        </x:is>
      </x:c>
      <x:c r="K87" s="204" t="inlineStr">
        <x:is>
          <x:t xml:space="preserve">Deposit beta, credit vintages, funding, capital, loss absorption</x:t>
        </x:is>
      </x:c>
      <x:c r="L87" s="204" t="inlineStr">
        <x:is>
          <x:t xml:space="preserve">PENDING</x:t>
        </x:is>
      </x:c>
      <x:c r="M87" s="204" t="inlineStr">
        <x:is>
          <x:t xml:space="preserve">PENDING</x:t>
        </x:is>
      </x:c>
      <x:c r="N87" s="204" t="inlineStr">
        <x:is>
          <x:t xml:space="preserve">PENDING</x:t>
        </x:is>
      </x:c>
      <x:c r="O87" s="204" t="str">
        <x:f>IF(OR(G87="MISSING",H87="STALE"),"BLOCKED",IF(COUNTIF(H87:N87,"PENDING")+COUNTIF(H87:N87,"UNKNOWN")&gt;0,"INCOMPLETE","COMPLETE"))</x:f>
        <x:v>INCOMPLETE</x:v>
      </x:c>
      <x:c r="P87" s="204" t="inlineStr">
        <x:is>
          <x:t xml:space="preserve">Retrieve latest T1 filing; verify Deposit beta, credit vintages, funding, capital, loss absorption; complete three-pass review</x:t>
        </x:is>
      </x:c>
      <x:c r="Q87" s="204" t="inlineStr">
        <x:is>
          <x:t xml:space="preserve">2026-09-02</x:t>
        </x:is>
      </x:c>
    </x:row>
    <x:row r="88">
      <x:c r="A88" s="204" t="inlineStr">
        <x:is>
          <x:t xml:space="preserve">ARG-084</x:t>
        </x:is>
      </x:c>
      <x:c r="B88" s="204" t="inlineStr">
        <x:is>
          <x:t xml:space="preserve">Bank Leumi</x:t>
        </x:is>
      </x:c>
      <x:c r="C88" s="204" t="inlineStr">
        <x:is>
          <x:t xml:space="preserve">LUMI.TA</x:t>
        </x:is>
      </x:c>
      <x:c r="D88" s="204" t="inlineStr">
        <x:is>
          <x:t xml:space="preserve">Banks</x:t>
        </x:is>
      </x:c>
      <x:c r="E88" s="204" t="inlineStr">
        <x:is>
          <x:t xml:space="preserve">P3</x:t>
        </x:is>
      </x:c>
      <x:c r="F88" s="204" t="inlineStr">
        <x:is>
          <x:t xml:space="preserve">https://english.leumi.co.il/Investor_Relations</x:t>
        </x:is>
      </x:c>
      <x:c r="G88" s="204" t="inlineStr">
        <x:is>
          <x:t xml:space="preserve">LOCATED</x:t>
        </x:is>
      </x:c>
      <x:c r="H88" s="204" t="inlineStr">
        <x:is>
          <x:t xml:space="preserve">UNKNOWN</x:t>
        </x:is>
      </x:c>
      <x:c r="I88" s="204" t="inlineStr">
        <x:is>
          <x:t xml:space="preserve">Fed; FDIC; OCC; Treasury</x:t>
        </x:is>
      </x:c>
      <x:c r="J88" s="204" t="inlineStr">
        <x:is>
          <x:t xml:space="preserve">SEC filings; call reports</x:t>
        </x:is>
      </x:c>
      <x:c r="K88" s="204" t="inlineStr">
        <x:is>
          <x:t xml:space="preserve">Deposit beta, credit vintages, funding, capital, loss absorption</x:t>
        </x:is>
      </x:c>
      <x:c r="L88" s="204" t="inlineStr">
        <x:is>
          <x:t xml:space="preserve">PENDING</x:t>
        </x:is>
      </x:c>
      <x:c r="M88" s="204" t="inlineStr">
        <x:is>
          <x:t xml:space="preserve">PENDING</x:t>
        </x:is>
      </x:c>
      <x:c r="N88" s="204" t="inlineStr">
        <x:is>
          <x:t xml:space="preserve">PENDING</x:t>
        </x:is>
      </x:c>
      <x:c r="O88" s="204" t="str">
        <x:f>IF(OR(G88="MISSING",H88="STALE"),"BLOCKED",IF(COUNTIF(H88:N88,"PENDING")+COUNTIF(H88:N88,"UNKNOWN")&gt;0,"INCOMPLETE","COMPLETE"))</x:f>
        <x:v>INCOMPLETE</x:v>
      </x:c>
      <x:c r="P88" s="204" t="inlineStr">
        <x:is>
          <x:t xml:space="preserve">Retrieve latest T1 filing; verify Deposit beta, credit vintages, funding, capital, loss absorption; complete three-pass review</x:t>
        </x:is>
      </x:c>
      <x:c r="Q88" s="204" t="inlineStr">
        <x:is>
          <x:t xml:space="preserve">2026-09-02</x:t>
        </x:is>
      </x:c>
    </x:row>
    <x:row r="89">
      <x:c r="A89" s="204" t="inlineStr">
        <x:is>
          <x:t xml:space="preserve">ARG-085</x:t>
        </x:is>
      </x:c>
      <x:c r="B89" s="204" t="inlineStr">
        <x:is>
          <x:t xml:space="preserve">American International Group</x:t>
        </x:is>
      </x:c>
      <x:c r="C89" s="204" t="inlineStr">
        <x:is>
          <x:t xml:space="preserve">AIG</x:t>
        </x:is>
      </x:c>
      <x:c r="D89" s="204" t="inlineStr">
        <x:is>
          <x:t xml:space="preserve">Insurance</x:t>
        </x:is>
      </x:c>
      <x:c r="E89" s="204" t="inlineStr">
        <x:is>
          <x:t xml:space="preserve">P3</x:t>
        </x:is>
      </x:c>
      <x:c r="F89" s="204" t="inlineStr">
        <x:is>
          <x:t xml:space="preserve">https://www.aig.com/home/investor-relations</x:t>
        </x:is>
      </x:c>
      <x:c r="G89" s="204" t="inlineStr">
        <x:is>
          <x:t xml:space="preserve">LOCATED</x:t>
        </x:is>
      </x:c>
      <x:c r="H89" s="204" t="inlineStr">
        <x:is>
          <x:t xml:space="preserve">UNKNOWN</x:t>
        </x:is>
      </x:c>
      <x:c r="I89" s="204" t="inlineStr">
        <x:is>
          <x:t xml:space="preserve">NAIC; catastrophe and rate filings</x:t>
        </x:is>
      </x:c>
      <x:c r="J89" s="204" t="inlineStr">
        <x:is>
          <x:t xml:space="preserve">Statutory filings; SEC filings</x:t>
        </x:is>
      </x:c>
      <x:c r="K89" s="204" t="inlineStr">
        <x:is>
          <x:t xml:space="preserve">Reserve development, underwriting cycle, float cost, investment risk</x:t>
        </x:is>
      </x:c>
      <x:c r="L89" s="204" t="inlineStr">
        <x:is>
          <x:t xml:space="preserve">PENDING</x:t>
        </x:is>
      </x:c>
      <x:c r="M89" s="204" t="inlineStr">
        <x:is>
          <x:t xml:space="preserve">PENDING</x:t>
        </x:is>
      </x:c>
      <x:c r="N89" s="204" t="inlineStr">
        <x:is>
          <x:t xml:space="preserve">PENDING</x:t>
        </x:is>
      </x:c>
      <x:c r="O89" s="204" t="str">
        <x:f>IF(OR(G89="MISSING",H89="STALE"),"BLOCKED",IF(COUNTIF(H89:N89,"PENDING")+COUNTIF(H89:N89,"UNKNOWN")&gt;0,"INCOMPLETE","COMPLETE"))</x:f>
        <x:v>INCOMPLETE</x:v>
      </x:c>
      <x:c r="P89" s="204" t="inlineStr">
        <x:is>
          <x:t xml:space="preserve">Retrieve latest T1 filing; verify Reserve development, underwriting cycle, float cost, investment risk; complete three-pass review</x:t>
        </x:is>
      </x:c>
      <x:c r="Q89" s="204" t="inlineStr">
        <x:is>
          <x:t xml:space="preserve">2026-09-02</x:t>
        </x:is>
      </x:c>
    </x:row>
    <x:row r="90">
      <x:c r="A90" s="204" t="inlineStr">
        <x:is>
          <x:t xml:space="preserve">ARG-086</x:t>
        </x:is>
      </x:c>
      <x:c r="B90" s="204" t="inlineStr">
        <x:is>
          <x:t xml:space="preserve">Travelers</x:t>
        </x:is>
      </x:c>
      <x:c r="C90" s="204" t="inlineStr">
        <x:is>
          <x:t xml:space="preserve">TRV</x:t>
        </x:is>
      </x:c>
      <x:c r="D90" s="204" t="inlineStr">
        <x:is>
          <x:t xml:space="preserve">Insurance</x:t>
        </x:is>
      </x:c>
      <x:c r="E90" s="204" t="inlineStr">
        <x:is>
          <x:t xml:space="preserve">P3</x:t>
        </x:is>
      </x:c>
      <x:c r="F90" s="204" t="inlineStr">
        <x:is>
          <x:t xml:space="preserve">https://investor.travelers.com</x:t>
        </x:is>
      </x:c>
      <x:c r="G90" s="204" t="inlineStr">
        <x:is>
          <x:t xml:space="preserve">LOCATED</x:t>
        </x:is>
      </x:c>
      <x:c r="H90" s="204" t="inlineStr">
        <x:is>
          <x:t xml:space="preserve">UNKNOWN</x:t>
        </x:is>
      </x:c>
      <x:c r="I90" s="204" t="inlineStr">
        <x:is>
          <x:t xml:space="preserve">NAIC; catastrophe and rate filings</x:t>
        </x:is>
      </x:c>
      <x:c r="J90" s="204" t="inlineStr">
        <x:is>
          <x:t xml:space="preserve">Statutory filings; SEC filings</x:t>
        </x:is>
      </x:c>
      <x:c r="K90" s="204" t="inlineStr">
        <x:is>
          <x:t xml:space="preserve">Reserve development, underwriting cycle, float cost, investment risk</x:t>
        </x:is>
      </x:c>
      <x:c r="L90" s="204" t="inlineStr">
        <x:is>
          <x:t xml:space="preserve">PENDING</x:t>
        </x:is>
      </x:c>
      <x:c r="M90" s="204" t="inlineStr">
        <x:is>
          <x:t xml:space="preserve">PENDING</x:t>
        </x:is>
      </x:c>
      <x:c r="N90" s="204" t="inlineStr">
        <x:is>
          <x:t xml:space="preserve">PENDING</x:t>
        </x:is>
      </x:c>
      <x:c r="O90" s="204" t="str">
        <x:f>IF(OR(G90="MISSING",H90="STALE"),"BLOCKED",IF(COUNTIF(H90:N90,"PENDING")+COUNTIF(H90:N90,"UNKNOWN")&gt;0,"INCOMPLETE","COMPLETE"))</x:f>
        <x:v>INCOMPLETE</x:v>
      </x:c>
      <x:c r="P90" s="204" t="inlineStr">
        <x:is>
          <x:t xml:space="preserve">Retrieve latest T1 filing; verify Reserve development, underwriting cycle, float cost, investment risk; complete three-pass review</x:t>
        </x:is>
      </x:c>
      <x:c r="Q90" s="204" t="inlineStr">
        <x:is>
          <x:t xml:space="preserve">2026-09-02</x:t>
        </x:is>
      </x:c>
    </x:row>
    <x:row r="91">
      <x:c r="A91" s="204" t="inlineStr">
        <x:is>
          <x:t xml:space="preserve">ARG-087</x:t>
        </x:is>
      </x:c>
      <x:c r="B91" s="204" t="inlineStr">
        <x:is>
          <x:t xml:space="preserve">Regeneron Pharmaceuticals</x:t>
        </x:is>
      </x:c>
      <x:c r="C91" s="204" t="inlineStr">
        <x:is>
          <x:t xml:space="preserve">REGN</x:t>
        </x:is>
      </x:c>
      <x:c r="D91" s="204" t="inlineStr">
        <x:is>
          <x:t xml:space="preserve">Healthcare &amp; Biopharma</x:t>
        </x:is>
      </x:c>
      <x:c r="E91" s="204" t="inlineStr">
        <x:is>
          <x:t xml:space="preserve">P3</x:t>
        </x:is>
      </x:c>
      <x:c r="F91" s="204" t="inlineStr">
        <x:is>
          <x:t xml:space="preserve">https://investor.regeneron.com</x:t>
        </x:is>
      </x:c>
      <x:c r="G91" s="204" t="inlineStr">
        <x:is>
          <x:t xml:space="preserve">LOCATED</x:t>
        </x:is>
      </x:c>
      <x:c r="H91" s="204" t="inlineStr">
        <x:is>
          <x:t xml:space="preserve">UNKNOWN</x:t>
        </x:is>
      </x:c>
      <x:c r="I91" s="204" t="inlineStr">
        <x:is>
          <x:t xml:space="preserve">FDA; ClinicalTrials.gov; CMS</x:t>
        </x:is>
      </x:c>
      <x:c r="J91" s="204" t="inlineStr">
        <x:is>
          <x:t xml:space="preserve">SEC filings; trial and label documents</x:t>
        </x:is>
      </x:c>
      <x:c r="K91" s="204" t="inlineStr">
        <x:is>
          <x:t xml:space="preserve">Patient access, safety, probability-adjusted pipeline, concentration</x:t>
        </x:is>
      </x:c>
      <x:c r="L91" s="204" t="inlineStr">
        <x:is>
          <x:t xml:space="preserve">PENDING</x:t>
        </x:is>
      </x:c>
      <x:c r="M91" s="204" t="inlineStr">
        <x:is>
          <x:t xml:space="preserve">PENDING</x:t>
        </x:is>
      </x:c>
      <x:c r="N91" s="204" t="inlineStr">
        <x:is>
          <x:t xml:space="preserve">PENDING</x:t>
        </x:is>
      </x:c>
      <x:c r="O91" s="204" t="str">
        <x:f>IF(OR(G91="MISSING",H91="STALE"),"BLOCKED",IF(COUNTIF(H91:N91,"PENDING")+COUNTIF(H91:N91,"UNKNOWN")&gt;0,"INCOMPLETE","COMPLETE"))</x:f>
        <x:v>INCOMPLETE</x:v>
      </x:c>
      <x:c r="P91" s="204" t="inlineStr">
        <x:is>
          <x:t xml:space="preserve">Retrieve latest T1 filing; verify Patient access, safety, probability-adjusted pipeline, concentration; complete three-pass review</x:t>
        </x:is>
      </x:c>
      <x:c r="Q91" s="204" t="inlineStr">
        <x:is>
          <x:t xml:space="preserve">2026-09-02</x:t>
        </x:is>
      </x:c>
    </x:row>
    <x:row r="92">
      <x:c r="A92" s="204" t="inlineStr">
        <x:is>
          <x:t xml:space="preserve">ARG-088</x:t>
        </x:is>
      </x:c>
      <x:c r="B92" s="204" t="inlineStr">
        <x:is>
          <x:t xml:space="preserve">Vertex Pharmaceuticals</x:t>
        </x:is>
      </x:c>
      <x:c r="C92" s="204" t="inlineStr">
        <x:is>
          <x:t xml:space="preserve">VRTX</x:t>
        </x:is>
      </x:c>
      <x:c r="D92" s="204" t="inlineStr">
        <x:is>
          <x:t xml:space="preserve">Healthcare &amp; Biopharma</x:t>
        </x:is>
      </x:c>
      <x:c r="E92" s="204" t="inlineStr">
        <x:is>
          <x:t xml:space="preserve">P3</x:t>
        </x:is>
      </x:c>
      <x:c r="F92" s="204" t="inlineStr">
        <x:is>
          <x:t xml:space="preserve">https://investors.vrtx.com</x:t>
        </x:is>
      </x:c>
      <x:c r="G92" s="204" t="inlineStr">
        <x:is>
          <x:t xml:space="preserve">LOCATED</x:t>
        </x:is>
      </x:c>
      <x:c r="H92" s="204" t="inlineStr">
        <x:is>
          <x:t xml:space="preserve">UNKNOWN</x:t>
        </x:is>
      </x:c>
      <x:c r="I92" s="204" t="inlineStr">
        <x:is>
          <x:t xml:space="preserve">FDA; ClinicalTrials.gov; CMS</x:t>
        </x:is>
      </x:c>
      <x:c r="J92" s="204" t="inlineStr">
        <x:is>
          <x:t xml:space="preserve">SEC filings; trial and label documents</x:t>
        </x:is>
      </x:c>
      <x:c r="K92" s="204" t="inlineStr">
        <x:is>
          <x:t xml:space="preserve">Patient access, safety, probability-adjusted pipeline, concentration</x:t>
        </x:is>
      </x:c>
      <x:c r="L92" s="204" t="inlineStr">
        <x:is>
          <x:t xml:space="preserve">PENDING</x:t>
        </x:is>
      </x:c>
      <x:c r="M92" s="204" t="inlineStr">
        <x:is>
          <x:t xml:space="preserve">PENDING</x:t>
        </x:is>
      </x:c>
      <x:c r="N92" s="204" t="inlineStr">
        <x:is>
          <x:t xml:space="preserve">PENDING</x:t>
        </x:is>
      </x:c>
      <x:c r="O92" s="204" t="str">
        <x:f>IF(OR(G92="MISSING",H92="STALE"),"BLOCKED",IF(COUNTIF(H92:N92,"PENDING")+COUNTIF(H92:N92,"UNKNOWN")&gt;0,"INCOMPLETE","COMPLETE"))</x:f>
        <x:v>INCOMPLETE</x:v>
      </x:c>
      <x:c r="P92" s="204" t="inlineStr">
        <x:is>
          <x:t xml:space="preserve">Retrieve latest T1 filing; verify Patient access, safety, probability-adjusted pipeline, concentration; complete three-pass review</x:t>
        </x:is>
      </x:c>
      <x:c r="Q92" s="204" t="inlineStr">
        <x:is>
          <x:t xml:space="preserve">2026-09-02</x:t>
        </x:is>
      </x:c>
    </x:row>
    <x:row r="93">
      <x:c r="A93" s="204" t="inlineStr">
        <x:is>
          <x:t xml:space="preserve">ARG-089</x:t>
        </x:is>
      </x:c>
      <x:c r="B93" s="204" t="inlineStr">
        <x:is>
          <x:t xml:space="preserve">UnitedHealth Group</x:t>
        </x:is>
      </x:c>
      <x:c r="C93" s="204" t="inlineStr">
        <x:is>
          <x:t xml:space="preserve">UNH</x:t>
        </x:is>
      </x:c>
      <x:c r="D93" s="204" t="inlineStr">
        <x:is>
          <x:t xml:space="preserve">Healthcare &amp; Biopharma</x:t>
        </x:is>
      </x:c>
      <x:c r="E93" s="204" t="inlineStr">
        <x:is>
          <x:t xml:space="preserve">P3</x:t>
        </x:is>
      </x:c>
      <x:c r="F93" s="204" t="inlineStr">
        <x:is>
          <x:t xml:space="preserve">https://www.unitedhealthgroup.com/investors.html</x:t>
        </x:is>
      </x:c>
      <x:c r="G93" s="204" t="inlineStr">
        <x:is>
          <x:t xml:space="preserve">LOCATED</x:t>
        </x:is>
      </x:c>
      <x:c r="H93" s="204" t="inlineStr">
        <x:is>
          <x:t xml:space="preserve">UNKNOWN</x:t>
        </x:is>
      </x:c>
      <x:c r="I93" s="204" t="inlineStr">
        <x:is>
          <x:t xml:space="preserve">FDA; ClinicalTrials.gov; CMS</x:t>
        </x:is>
      </x:c>
      <x:c r="J93" s="204" t="inlineStr">
        <x:is>
          <x:t xml:space="preserve">SEC filings; trial and label documents</x:t>
        </x:is>
      </x:c>
      <x:c r="K93" s="204" t="inlineStr">
        <x:is>
          <x:t xml:space="preserve">Patient access, safety, probability-adjusted pipeline, concentration</x:t>
        </x:is>
      </x:c>
      <x:c r="L93" s="204" t="inlineStr">
        <x:is>
          <x:t xml:space="preserve">PENDING</x:t>
        </x:is>
      </x:c>
      <x:c r="M93" s="204" t="inlineStr">
        <x:is>
          <x:t xml:space="preserve">PENDING</x:t>
        </x:is>
      </x:c>
      <x:c r="N93" s="204" t="inlineStr">
        <x:is>
          <x:t xml:space="preserve">PENDING</x:t>
        </x:is>
      </x:c>
      <x:c r="O93" s="204" t="str">
        <x:f>IF(OR(G93="MISSING",H93="STALE"),"BLOCKED",IF(COUNTIF(H93:N93,"PENDING")+COUNTIF(H93:N93,"UNKNOWN")&gt;0,"INCOMPLETE","COMPLETE"))</x:f>
        <x:v>INCOMPLETE</x:v>
      </x:c>
      <x:c r="P93" s="204" t="inlineStr">
        <x:is>
          <x:t xml:space="preserve">Retrieve latest T1 filing; verify Patient access, safety, probability-adjusted pipeline, concentration; complete three-pass review</x:t>
        </x:is>
      </x:c>
      <x:c r="Q93" s="204" t="inlineStr">
        <x:is>
          <x:t xml:space="preserve">2026-09-02</x:t>
        </x:is>
      </x:c>
    </x:row>
    <x:row r="94">
      <x:c r="A94" s="204" t="inlineStr">
        <x:is>
          <x:t xml:space="preserve">ARG-090</x:t>
        </x:is>
      </x:c>
      <x:c r="B94" s="204" t="inlineStr">
        <x:is>
          <x:t xml:space="preserve">PepsiCo</x:t>
        </x:is>
      </x:c>
      <x:c r="C94" s="204" t="inlineStr">
        <x:is>
          <x:t xml:space="preserve">PEP</x:t>
        </x:is>
      </x:c>
      <x:c r="D94" s="204" t="inlineStr">
        <x:is>
          <x:t xml:space="preserve">Consumer</x:t>
        </x:is>
      </x:c>
      <x:c r="E94" s="204" t="inlineStr">
        <x:is>
          <x:t xml:space="preserve">P3</x:t>
        </x:is>
      </x:c>
      <x:c r="F94" s="204" t="inlineStr">
        <x:is>
          <x:t xml:space="preserve">https://www.pepsico.com/investors</x:t>
        </x:is>
      </x:c>
      <x:c r="G94" s="204" t="inlineStr">
        <x:is>
          <x:t xml:space="preserve">LOCATED</x:t>
        </x:is>
      </x:c>
      <x:c r="H94" s="204" t="inlineStr">
        <x:is>
          <x:t xml:space="preserve">UNKNOWN</x:t>
        </x:is>
      </x:c>
      <x:c r="I94" s="204" t="inlineStr">
        <x:is>
          <x:t xml:space="preserve">BEA; BLS; Census; credit data</x:t>
        </x:is>
      </x:c>
      <x:c r="J94" s="204" t="inlineStr">
        <x:is>
          <x:t xml:space="preserve">SEC filings; unit economics</x:t>
        </x:is>
      </x:c>
      <x:c r="K94" s="204" t="inlineStr">
        <x:is>
          <x:t xml:space="preserve">Volume/price mix, traffic, inventory, consumer credit, reinvestment</x:t>
        </x:is>
      </x:c>
      <x:c r="L94" s="204" t="inlineStr">
        <x:is>
          <x:t xml:space="preserve">PENDING</x:t>
        </x:is>
      </x:c>
      <x:c r="M94" s="204" t="inlineStr">
        <x:is>
          <x:t xml:space="preserve">PENDING</x:t>
        </x:is>
      </x:c>
      <x:c r="N94" s="204" t="inlineStr">
        <x:is>
          <x:t xml:space="preserve">PENDING</x:t>
        </x:is>
      </x:c>
      <x:c r="O94" s="204" t="str">
        <x:f>IF(OR(G94="MISSING",H94="STALE"),"BLOCKED",IF(COUNTIF(H94:N94,"PENDING")+COUNTIF(H94:N94,"UNKNOWN")&gt;0,"INCOMPLETE","COMPLETE"))</x:f>
        <x:v>INCOMPLETE</x:v>
      </x:c>
      <x:c r="P94" s="204" t="inlineStr">
        <x:is>
          <x:t xml:space="preserve">Retrieve latest T1 filing; verify Volume/price mix, traffic, inventory, consumer credit, reinvestment; complete three-pass review</x:t>
        </x:is>
      </x:c>
      <x:c r="Q94" s="204" t="inlineStr">
        <x:is>
          <x:t xml:space="preserve">2026-09-02</x:t>
        </x:is>
      </x:c>
    </x:row>
    <x:row r="95">
      <x:c r="A95" s="204" t="inlineStr">
        <x:is>
          <x:t xml:space="preserve">ARG-091</x:t>
        </x:is>
      </x:c>
      <x:c r="B95" s="204" t="inlineStr">
        <x:is>
          <x:t xml:space="preserve">LVMH</x:t>
        </x:is>
      </x:c>
      <x:c r="C95" s="204" t="inlineStr">
        <x:is>
          <x:t xml:space="preserve">MC.PA</x:t>
        </x:is>
      </x:c>
      <x:c r="D95" s="204" t="inlineStr">
        <x:is>
          <x:t xml:space="preserve">Consumer</x:t>
        </x:is>
      </x:c>
      <x:c r="E95" s="204" t="inlineStr">
        <x:is>
          <x:t xml:space="preserve">P3</x:t>
        </x:is>
      </x:c>
      <x:c r="F95" s="204" t="inlineStr">
        <x:is>
          <x:t xml:space="preserve">https://www.lvmh.com/investors</x:t>
        </x:is>
      </x:c>
      <x:c r="G95" s="204" t="inlineStr">
        <x:is>
          <x:t xml:space="preserve">LOCATED</x:t>
        </x:is>
      </x:c>
      <x:c r="H95" s="204" t="inlineStr">
        <x:is>
          <x:t xml:space="preserve">UNKNOWN</x:t>
        </x:is>
      </x:c>
      <x:c r="I95" s="204" t="inlineStr">
        <x:is>
          <x:t xml:space="preserve">BEA; BLS; Census; credit data</x:t>
        </x:is>
      </x:c>
      <x:c r="J95" s="204" t="inlineStr">
        <x:is>
          <x:t xml:space="preserve">SEC filings; unit economics</x:t>
        </x:is>
      </x:c>
      <x:c r="K95" s="204" t="inlineStr">
        <x:is>
          <x:t xml:space="preserve">Volume/price mix, traffic, inventory, consumer credit, reinvestment</x:t>
        </x:is>
      </x:c>
      <x:c r="L95" s="204" t="inlineStr">
        <x:is>
          <x:t xml:space="preserve">PENDING</x:t>
        </x:is>
      </x:c>
      <x:c r="M95" s="204" t="inlineStr">
        <x:is>
          <x:t xml:space="preserve">PENDING</x:t>
        </x:is>
      </x:c>
      <x:c r="N95" s="204" t="inlineStr">
        <x:is>
          <x:t xml:space="preserve">PENDING</x:t>
        </x:is>
      </x:c>
      <x:c r="O95" s="204" t="str">
        <x:f>IF(OR(G95="MISSING",H95="STALE"),"BLOCKED",IF(COUNTIF(H95:N95,"PENDING")+COUNTIF(H95:N95,"UNKNOWN")&gt;0,"INCOMPLETE","COMPLETE"))</x:f>
        <x:v>INCOMPLETE</x:v>
      </x:c>
      <x:c r="P95" s="204" t="inlineStr">
        <x:is>
          <x:t xml:space="preserve">Retrieve latest T1 filing; verify Volume/price mix, traffic, inventory, consumer credit, reinvestment; complete three-pass review</x:t>
        </x:is>
      </x:c>
      <x:c r="Q95" s="204" t="inlineStr">
        <x:is>
          <x:t xml:space="preserve">2026-09-02</x:t>
        </x:is>
      </x:c>
    </x:row>
    <x:row r="96">
      <x:c r="A96" s="204" t="inlineStr">
        <x:is>
          <x:t xml:space="preserve">ARG-092</x:t>
        </x:is>
      </x:c>
      <x:c r="B96" s="204" t="inlineStr">
        <x:is>
          <x:t xml:space="preserve">MercadoLibre</x:t>
        </x:is>
      </x:c>
      <x:c r="C96" s="204" t="inlineStr">
        <x:is>
          <x:t xml:space="preserve">MELI</x:t>
        </x:is>
      </x:c>
      <x:c r="D96" s="204" t="inlineStr">
        <x:is>
          <x:t xml:space="preserve">Consumer</x:t>
        </x:is>
      </x:c>
      <x:c r="E96" s="204" t="inlineStr">
        <x:is>
          <x:t xml:space="preserve">P3</x:t>
        </x:is>
      </x:c>
      <x:c r="F96" s="204" t="inlineStr">
        <x:is>
          <x:t xml:space="preserve">https://investor.mercadolibre.com</x:t>
        </x:is>
      </x:c>
      <x:c r="G96" s="204" t="inlineStr">
        <x:is>
          <x:t xml:space="preserve">LOCATED</x:t>
        </x:is>
      </x:c>
      <x:c r="H96" s="204" t="inlineStr">
        <x:is>
          <x:t xml:space="preserve">UNKNOWN</x:t>
        </x:is>
      </x:c>
      <x:c r="I96" s="204" t="inlineStr">
        <x:is>
          <x:t xml:space="preserve">BEA; BLS; Census; credit data</x:t>
        </x:is>
      </x:c>
      <x:c r="J96" s="204" t="inlineStr">
        <x:is>
          <x:t xml:space="preserve">SEC filings; unit economics</x:t>
        </x:is>
      </x:c>
      <x:c r="K96" s="204" t="inlineStr">
        <x:is>
          <x:t xml:space="preserve">Volume/price mix, traffic, inventory, consumer credit, reinvestment</x:t>
        </x:is>
      </x:c>
      <x:c r="L96" s="204" t="inlineStr">
        <x:is>
          <x:t xml:space="preserve">PENDING</x:t>
        </x:is>
      </x:c>
      <x:c r="M96" s="204" t="inlineStr">
        <x:is>
          <x:t xml:space="preserve">PENDING</x:t>
        </x:is>
      </x:c>
      <x:c r="N96" s="204" t="inlineStr">
        <x:is>
          <x:t xml:space="preserve">PENDING</x:t>
        </x:is>
      </x:c>
      <x:c r="O96" s="204" t="str">
        <x:f>IF(OR(G96="MISSING",H96="STALE"),"BLOCKED",IF(COUNTIF(H96:N96,"PENDING")+COUNTIF(H96:N96,"UNKNOWN")&gt;0,"INCOMPLETE","COMPLETE"))</x:f>
        <x:v>INCOMPLETE</x:v>
      </x:c>
      <x:c r="P96" s="204" t="inlineStr">
        <x:is>
          <x:t xml:space="preserve">Retrieve latest T1 filing; verify Volume/price mix, traffic, inventory, consumer credit, reinvestment; complete three-pass review</x:t>
        </x:is>
      </x:c>
      <x:c r="Q96" s="204" t="inlineStr">
        <x:is>
          <x:t xml:space="preserve">2026-09-02</x:t>
        </x:is>
      </x:c>
    </x:row>
    <x:row r="97">
      <x:c r="A97" s="204" t="inlineStr">
        <x:is>
          <x:t xml:space="preserve">ARG-093</x:t>
        </x:is>
      </x:c>
      <x:c r="B97" s="204" t="inlineStr">
        <x:is>
          <x:t xml:space="preserve">Lockheed Martin</x:t>
        </x:is>
      </x:c>
      <x:c r="C97" s="204" t="inlineStr">
        <x:is>
          <x:t xml:space="preserve">LMT</x:t>
        </x:is>
      </x:c>
      <x:c r="D97" s="204" t="inlineStr">
        <x:is>
          <x:t xml:space="preserve">Industrials &amp; Defense</x:t>
        </x:is>
      </x:c>
      <x:c r="E97" s="204" t="inlineStr">
        <x:is>
          <x:t xml:space="preserve">P3</x:t>
        </x:is>
      </x:c>
      <x:c r="F97" s="204" t="inlineStr">
        <x:is>
          <x:t xml:space="preserve">https://investors.lockheedmartin.com</x:t>
        </x:is>
      </x:c>
      <x:c r="G97" s="204" t="inlineStr">
        <x:is>
          <x:t xml:space="preserve">LOCATED</x:t>
        </x:is>
      </x:c>
      <x:c r="H97" s="204" t="inlineStr">
        <x:is>
          <x:t xml:space="preserve">UNKNOWN</x:t>
        </x:is>
      </x:c>
      <x:c r="I97" s="204" t="inlineStr">
        <x:is>
          <x:t xml:space="preserve">US DoD budget; FAA; procurement data</x:t>
        </x:is>
      </x:c>
      <x:c r="J97" s="204" t="inlineStr">
        <x:is>
          <x:t xml:space="preserve">SEC filings; backlog/program disclosures</x:t>
        </x:is>
      </x:c>
      <x:c r="K97" s="204" t="inlineStr">
        <x:is>
          <x:t xml:space="preserve">Backlog cash conversion, fixed-price risk, supply chain, program charges</x:t>
        </x:is>
      </x:c>
      <x:c r="L97" s="204" t="inlineStr">
        <x:is>
          <x:t xml:space="preserve">PENDING</x:t>
        </x:is>
      </x:c>
      <x:c r="M97" s="204" t="inlineStr">
        <x:is>
          <x:t xml:space="preserve">PENDING</x:t>
        </x:is>
      </x:c>
      <x:c r="N97" s="204" t="inlineStr">
        <x:is>
          <x:t xml:space="preserve">PENDING</x:t>
        </x:is>
      </x:c>
      <x:c r="O97" s="204" t="str">
        <x:f>IF(OR(G97="MISSING",H97="STALE"),"BLOCKED",IF(COUNTIF(H97:N97,"PENDING")+COUNTIF(H97:N97,"UNKNOWN")&gt;0,"INCOMPLETE","COMPLETE"))</x:f>
        <x:v>INCOMPLETE</x:v>
      </x:c>
      <x:c r="P97" s="204" t="inlineStr">
        <x:is>
          <x:t xml:space="preserve">Retrieve latest T1 filing; verify Backlog cash conversion, fixed-price risk, supply chain, program charges; complete three-pass review</x:t>
        </x:is>
      </x:c>
      <x:c r="Q97" s="204" t="inlineStr">
        <x:is>
          <x:t xml:space="preserve">2026-09-02</x:t>
        </x:is>
      </x:c>
    </x:row>
    <x:row r="98">
      <x:c r="A98" s="204" t="inlineStr">
        <x:is>
          <x:t xml:space="preserve">ARG-094</x:t>
        </x:is>
      </x:c>
      <x:c r="B98" s="204" t="inlineStr">
        <x:is>
          <x:t xml:space="preserve">Honeywell</x:t>
        </x:is>
      </x:c>
      <x:c r="C98" s="204" t="inlineStr">
        <x:is>
          <x:t xml:space="preserve">HON</x:t>
        </x:is>
      </x:c>
      <x:c r="D98" s="204" t="inlineStr">
        <x:is>
          <x:t xml:space="preserve">Industrials &amp; Defense</x:t>
        </x:is>
      </x:c>
      <x:c r="E98" s="204" t="inlineStr">
        <x:is>
          <x:t xml:space="preserve">P3</x:t>
        </x:is>
      </x:c>
      <x:c r="F98" s="204" t="inlineStr">
        <x:is>
          <x:t xml:space="preserve">https://investor.honeywell.com</x:t>
        </x:is>
      </x:c>
      <x:c r="G98" s="204" t="inlineStr">
        <x:is>
          <x:t xml:space="preserve">LOCATED</x:t>
        </x:is>
      </x:c>
      <x:c r="H98" s="204" t="inlineStr">
        <x:is>
          <x:t xml:space="preserve">UNKNOWN</x:t>
        </x:is>
      </x:c>
      <x:c r="I98" s="204" t="inlineStr">
        <x:is>
          <x:t xml:space="preserve">US DoD budget; FAA; procurement data</x:t>
        </x:is>
      </x:c>
      <x:c r="J98" s="204" t="inlineStr">
        <x:is>
          <x:t xml:space="preserve">SEC filings; backlog/program disclosures</x:t>
        </x:is>
      </x:c>
      <x:c r="K98" s="204" t="inlineStr">
        <x:is>
          <x:t xml:space="preserve">Backlog cash conversion, fixed-price risk, supply chain, program charges</x:t>
        </x:is>
      </x:c>
      <x:c r="L98" s="204" t="inlineStr">
        <x:is>
          <x:t xml:space="preserve">PENDING</x:t>
        </x:is>
      </x:c>
      <x:c r="M98" s="204" t="inlineStr">
        <x:is>
          <x:t xml:space="preserve">PENDING</x:t>
        </x:is>
      </x:c>
      <x:c r="N98" s="204" t="inlineStr">
        <x:is>
          <x:t xml:space="preserve">PENDING</x:t>
        </x:is>
      </x:c>
      <x:c r="O98" s="204" t="str">
        <x:f>IF(OR(G98="MISSING",H98="STALE"),"BLOCKED",IF(COUNTIF(H98:N98,"PENDING")+COUNTIF(H98:N98,"UNKNOWN")&gt;0,"INCOMPLETE","COMPLETE"))</x:f>
        <x:v>INCOMPLETE</x:v>
      </x:c>
      <x:c r="P98" s="204" t="inlineStr">
        <x:is>
          <x:t xml:space="preserve">Retrieve latest T1 filing; verify Backlog cash conversion, fixed-price risk, supply chain, program charges; complete three-pass review</x:t>
        </x:is>
      </x:c>
      <x:c r="Q98" s="204" t="inlineStr">
        <x:is>
          <x:t xml:space="preserve">2026-09-02</x:t>
        </x:is>
      </x:c>
    </x:row>
    <x:row r="99">
      <x:c r="A99" s="204" t="inlineStr">
        <x:is>
          <x:t xml:space="preserve">ARG-095</x:t>
        </x:is>
      </x:c>
      <x:c r="B99" s="204" t="inlineStr">
        <x:is>
          <x:t xml:space="preserve">Freeport-McMoRan</x:t>
        </x:is>
      </x:c>
      <x:c r="C99" s="204" t="inlineStr">
        <x:is>
          <x:t xml:space="preserve">FCX</x:t>
        </x:is>
      </x:c>
      <x:c r="D99" s="204" t="inlineStr">
        <x:is>
          <x:t xml:space="preserve">Materials &amp; Mining</x:t>
        </x:is>
      </x:c>
      <x:c r="E99" s="204" t="inlineStr">
        <x:is>
          <x:t xml:space="preserve">P3</x:t>
        </x:is>
      </x:c>
      <x:c r="F99" s="204" t="inlineStr">
        <x:is>
          <x:t xml:space="preserve">https://investors.fcx.com</x:t>
        </x:is>
      </x:c>
      <x:c r="G99" s="204" t="inlineStr">
        <x:is>
          <x:t xml:space="preserve">LOCATED</x:t>
        </x:is>
      </x:c>
      <x:c r="H99" s="204" t="inlineStr">
        <x:is>
          <x:t xml:space="preserve">UNKNOWN</x:t>
        </x:is>
      </x:c>
      <x:c r="I99" s="204" t="inlineStr">
        <x:is>
          <x:t xml:space="preserve">USGS; LME/CME; China customs</x:t>
        </x:is>
      </x:c>
      <x:c r="J99" s="204" t="inlineStr">
        <x:is>
          <x:t xml:space="preserve">Filings; reserve/resource and cost reports</x:t>
        </x:is>
      </x:c>
      <x:c r="K99" s="204" t="inlineStr">
        <x:is>
          <x:t xml:space="preserve">Mid-cycle prices, grade, unit costs, capex, jurisdiction, balance sheet</x:t>
        </x:is>
      </x:c>
      <x:c r="L99" s="204" t="inlineStr">
        <x:is>
          <x:t xml:space="preserve">PENDING</x:t>
        </x:is>
      </x:c>
      <x:c r="M99" s="204" t="inlineStr">
        <x:is>
          <x:t xml:space="preserve">PENDING</x:t>
        </x:is>
      </x:c>
      <x:c r="N99" s="204" t="inlineStr">
        <x:is>
          <x:t xml:space="preserve">PENDING</x:t>
        </x:is>
      </x:c>
      <x:c r="O99" s="204" t="str">
        <x:f>IF(OR(G99="MISSING",H99="STALE"),"BLOCKED",IF(COUNTIF(H99:N99,"PENDING")+COUNTIF(H99:N99,"UNKNOWN")&gt;0,"INCOMPLETE","COMPLETE"))</x:f>
        <x:v>INCOMPLETE</x:v>
      </x:c>
      <x:c r="P99" s="204" t="inlineStr">
        <x:is>
          <x:t xml:space="preserve">Retrieve latest T1 filing; verify Mid-cycle prices, grade, unit costs, capex, jurisdiction, balance sheet; complete three-pass review</x:t>
        </x:is>
      </x:c>
      <x:c r="Q99" s="204" t="inlineStr">
        <x:is>
          <x:t xml:space="preserve">2026-09-02</x:t>
        </x:is>
      </x:c>
    </x:row>
    <x:row r="100">
      <x:c r="A100" s="204" t="inlineStr">
        <x:is>
          <x:t xml:space="preserve">ARG-096</x:t>
        </x:is>
      </x:c>
      <x:c r="B100" s="204" t="inlineStr">
        <x:is>
          <x:t xml:space="preserve">Nucor</x:t>
        </x:is>
      </x:c>
      <x:c r="C100" s="204" t="inlineStr">
        <x:is>
          <x:t xml:space="preserve">NUE</x:t>
        </x:is>
      </x:c>
      <x:c r="D100" s="204" t="inlineStr">
        <x:is>
          <x:t xml:space="preserve">Materials &amp; Mining</x:t>
        </x:is>
      </x:c>
      <x:c r="E100" s="204" t="inlineStr">
        <x:is>
          <x:t xml:space="preserve">P3</x:t>
        </x:is>
      </x:c>
      <x:c r="F100" s="204" t="inlineStr">
        <x:is>
          <x:t xml:space="preserve">https://investors.nucor.com</x:t>
        </x:is>
      </x:c>
      <x:c r="G100" s="204" t="inlineStr">
        <x:is>
          <x:t xml:space="preserve">LOCATED</x:t>
        </x:is>
      </x:c>
      <x:c r="H100" s="204" t="inlineStr">
        <x:is>
          <x:t xml:space="preserve">UNKNOWN</x:t>
        </x:is>
      </x:c>
      <x:c r="I100" s="204" t="inlineStr">
        <x:is>
          <x:t xml:space="preserve">USGS; LME/CME; China customs</x:t>
        </x:is>
      </x:c>
      <x:c r="J100" s="204" t="inlineStr">
        <x:is>
          <x:t xml:space="preserve">Filings; reserve/resource and cost reports</x:t>
        </x:is>
      </x:c>
      <x:c r="K100" s="204" t="inlineStr">
        <x:is>
          <x:t xml:space="preserve">Mid-cycle prices, grade, unit costs, capex, jurisdiction, balance sheet</x:t>
        </x:is>
      </x:c>
      <x:c r="L100" s="204" t="inlineStr">
        <x:is>
          <x:t xml:space="preserve">PENDING</x:t>
        </x:is>
      </x:c>
      <x:c r="M100" s="204" t="inlineStr">
        <x:is>
          <x:t xml:space="preserve">PENDING</x:t>
        </x:is>
      </x:c>
      <x:c r="N100" s="204" t="inlineStr">
        <x:is>
          <x:t xml:space="preserve">PENDING</x:t>
        </x:is>
      </x:c>
      <x:c r="O100" s="204" t="str">
        <x:f>IF(OR(G100="MISSING",H100="STALE"),"BLOCKED",IF(COUNTIF(H100:N100,"PENDING")+COUNTIF(H100:N100,"UNKNOWN")&gt;0,"INCOMPLETE","COMPLETE"))</x:f>
        <x:v>INCOMPLETE</x:v>
      </x:c>
      <x:c r="P100" s="204" t="inlineStr">
        <x:is>
          <x:t xml:space="preserve">Retrieve latest T1 filing; verify Mid-cycle prices, grade, unit costs, capex, jurisdiction, balance sheet; complete three-pass review</x:t>
        </x:is>
      </x:c>
      <x:c r="Q100" s="204" t="inlineStr">
        <x:is>
          <x:t xml:space="preserve">2026-09-02</x:t>
        </x:is>
      </x:c>
    </x:row>
    <x:row r="101">
      <x:c r="A101" s="204" t="inlineStr">
        <x:is>
          <x:t xml:space="preserve">ARG-097</x:t>
        </x:is>
      </x:c>
      <x:c r="B101" s="204" t="inlineStr">
        <x:is>
          <x:t xml:space="preserve">Southern Company</x:t>
        </x:is>
      </x:c>
      <x:c r="C101" s="204" t="inlineStr">
        <x:is>
          <x:t xml:space="preserve">SO</x:t>
        </x:is>
      </x:c>
      <x:c r="D101" s="204" t="inlineStr">
        <x:is>
          <x:t xml:space="preserve">Utilities</x:t>
        </x:is>
      </x:c>
      <x:c r="E101" s="204" t="inlineStr">
        <x:is>
          <x:t xml:space="preserve">P3</x:t>
        </x:is>
      </x:c>
      <x:c r="F101" s="204" t="inlineStr">
        <x:is>
          <x:t xml:space="preserve">https://investor.southerncompany.com</x:t>
        </x:is>
      </x:c>
      <x:c r="G101" s="204" t="inlineStr">
        <x:is>
          <x:t xml:space="preserve">LOCATED</x:t>
        </x:is>
      </x:c>
      <x:c r="H101" s="204" t="inlineStr">
        <x:is>
          <x:t xml:space="preserve">UNKNOWN</x:t>
        </x:is>
      </x:c>
      <x:c r="I101" s="204" t="inlineStr">
        <x:is>
          <x:t xml:space="preserve">FERC; EIA; state commissions</x:t>
        </x:is>
      </x:c>
      <x:c r="J101" s="204" t="inlineStr">
        <x:is>
          <x:t xml:space="preserve">Regulatory and rate-case filings</x:t>
        </x:is>
      </x:c>
      <x:c r="K101" s="204" t="inlineStr">
        <x:is>
          <x:t xml:space="preserve">Allowed returns, capex recovery, financing, customer affordability</x:t>
        </x:is>
      </x:c>
      <x:c r="L101" s="204" t="inlineStr">
        <x:is>
          <x:t xml:space="preserve">PENDING</x:t>
        </x:is>
      </x:c>
      <x:c r="M101" s="204" t="inlineStr">
        <x:is>
          <x:t xml:space="preserve">PENDING</x:t>
        </x:is>
      </x:c>
      <x:c r="N101" s="204" t="inlineStr">
        <x:is>
          <x:t xml:space="preserve">PENDING</x:t>
        </x:is>
      </x:c>
      <x:c r="O101" s="204" t="str">
        <x:f>IF(OR(G101="MISSING",H101="STALE"),"BLOCKED",IF(COUNTIF(H101:N101,"PENDING")+COUNTIF(H101:N101,"UNKNOWN")&gt;0,"INCOMPLETE","COMPLETE"))</x:f>
        <x:v>INCOMPLETE</x:v>
      </x:c>
      <x:c r="P101" s="204" t="inlineStr">
        <x:is>
          <x:t xml:space="preserve">Retrieve latest T1 filing; verify Allowed returns, capex recovery, financing, customer affordability; complete three-pass review</x:t>
        </x:is>
      </x:c>
      <x:c r="Q101" s="204" t="inlineStr">
        <x:is>
          <x:t xml:space="preserve">2026-09-02</x:t>
        </x:is>
      </x:c>
    </x:row>
    <x:row r="102">
      <x:c r="A102" s="204" t="inlineStr">
        <x:is>
          <x:t xml:space="preserve">ARG-098</x:t>
        </x:is>
      </x:c>
      <x:c r="B102" s="204" t="inlineStr">
        <x:is>
          <x:t xml:space="preserve">Duke Energy</x:t>
        </x:is>
      </x:c>
      <x:c r="C102" s="204" t="inlineStr">
        <x:is>
          <x:t xml:space="preserve">DUK</x:t>
        </x:is>
      </x:c>
      <x:c r="D102" s="204" t="inlineStr">
        <x:is>
          <x:t xml:space="preserve">Utilities</x:t>
        </x:is>
      </x:c>
      <x:c r="E102" s="204" t="inlineStr">
        <x:is>
          <x:t xml:space="preserve">P3</x:t>
        </x:is>
      </x:c>
      <x:c r="F102" s="204" t="inlineStr">
        <x:is>
          <x:t xml:space="preserve">https://investors.duke-energy.com</x:t>
        </x:is>
      </x:c>
      <x:c r="G102" s="204" t="inlineStr">
        <x:is>
          <x:t xml:space="preserve">LOCATED</x:t>
        </x:is>
      </x:c>
      <x:c r="H102" s="204" t="inlineStr">
        <x:is>
          <x:t xml:space="preserve">UNKNOWN</x:t>
        </x:is>
      </x:c>
      <x:c r="I102" s="204" t="inlineStr">
        <x:is>
          <x:t xml:space="preserve">FERC; EIA; state commissions</x:t>
        </x:is>
      </x:c>
      <x:c r="J102" s="204" t="inlineStr">
        <x:is>
          <x:t xml:space="preserve">Regulatory and rate-case filings</x:t>
        </x:is>
      </x:c>
      <x:c r="K102" s="204" t="inlineStr">
        <x:is>
          <x:t xml:space="preserve">Allowed returns, capex recovery, financing, customer affordability</x:t>
        </x:is>
      </x:c>
      <x:c r="L102" s="204" t="inlineStr">
        <x:is>
          <x:t xml:space="preserve">PENDING</x:t>
        </x:is>
      </x:c>
      <x:c r="M102" s="204" t="inlineStr">
        <x:is>
          <x:t xml:space="preserve">PENDING</x:t>
        </x:is>
      </x:c>
      <x:c r="N102" s="204" t="inlineStr">
        <x:is>
          <x:t xml:space="preserve">PENDING</x:t>
        </x:is>
      </x:c>
      <x:c r="O102" s="204" t="str">
        <x:f>IF(OR(G102="MISSING",H102="STALE"),"BLOCKED",IF(COUNTIF(H102:N102,"PENDING")+COUNTIF(H102:N102,"UNKNOWN")&gt;0,"INCOMPLETE","COMPLETE"))</x:f>
        <x:v>INCOMPLETE</x:v>
      </x:c>
      <x:c r="P102" s="204" t="inlineStr">
        <x:is>
          <x:t xml:space="preserve">Retrieve latest T1 filing; verify Allowed returns, capex recovery, financing, customer affordability; complete three-pass review</x:t>
        </x:is>
      </x:c>
      <x:c r="Q102" s="204" t="inlineStr">
        <x:is>
          <x:t xml:space="preserve">2026-09-02</x:t>
        </x:is>
      </x:c>
    </x:row>
    <x:row r="103">
      <x:c r="A103" s="204" t="inlineStr">
        <x:is>
          <x:t xml:space="preserve">ARG-099</x:t>
        </x:is>
      </x:c>
      <x:c r="B103" s="204" t="inlineStr">
        <x:is>
          <x:t xml:space="preserve">Nutrien</x:t>
        </x:is>
      </x:c>
      <x:c r="C103" s="204" t="inlineStr">
        <x:is>
          <x:t xml:space="preserve">NTR</x:t>
        </x:is>
      </x:c>
      <x:c r="D103" s="204" t="inlineStr">
        <x:is>
          <x:t xml:space="preserve">Agriculture &amp; Fertilizers</x:t>
        </x:is>
      </x:c>
      <x:c r="E103" s="204" t="inlineStr">
        <x:is>
          <x:t xml:space="preserve">P3</x:t>
        </x:is>
      </x:c>
      <x:c r="F103" s="204" t="inlineStr">
        <x:is>
          <x:t xml:space="preserve">https://www.nutrien.com/investors</x:t>
        </x:is>
      </x:c>
      <x:c r="G103" s="204" t="inlineStr">
        <x:is>
          <x:t xml:space="preserve">LOCATED</x:t>
        </x:is>
      </x:c>
      <x:c r="H103" s="204" t="inlineStr">
        <x:is>
          <x:t xml:space="preserve">UNKNOWN</x:t>
        </x:is>
      </x:c>
      <x:c r="I103" s="204" t="inlineStr">
        <x:is>
          <x:t xml:space="preserve">USDA; FAO; nutrient trade data</x:t>
        </x:is>
      </x:c>
      <x:c r="J103" s="204" t="inlineStr">
        <x:is>
          <x:t xml:space="preserve">Filings; volume/cost disclosures</x:t>
        </x:is>
      </x:c>
      <x:c r="K103" s="204" t="inlineStr">
        <x:is>
          <x:t xml:space="preserve">Crop economics, input costs, capacity, cycle-normalized cash</x:t>
        </x:is>
      </x:c>
      <x:c r="L103" s="204" t="inlineStr">
        <x:is>
          <x:t xml:space="preserve">PENDING</x:t>
        </x:is>
      </x:c>
      <x:c r="M103" s="204" t="inlineStr">
        <x:is>
          <x:t xml:space="preserve">PENDING</x:t>
        </x:is>
      </x:c>
      <x:c r="N103" s="204" t="inlineStr">
        <x:is>
          <x:t xml:space="preserve">PENDING</x:t>
        </x:is>
      </x:c>
      <x:c r="O103" s="204" t="str">
        <x:f>IF(OR(G103="MISSING",H103="STALE"),"BLOCKED",IF(COUNTIF(H103:N103,"PENDING")+COUNTIF(H103:N103,"UNKNOWN")&gt;0,"INCOMPLETE","COMPLETE"))</x:f>
        <x:v>INCOMPLETE</x:v>
      </x:c>
      <x:c r="P103" s="204" t="inlineStr">
        <x:is>
          <x:t xml:space="preserve">Retrieve latest T1 filing; verify Crop economics, input costs, capacity, cycle-normalized cash; complete three-pass review</x:t>
        </x:is>
      </x:c>
      <x:c r="Q103" s="204" t="inlineStr">
        <x:is>
          <x:t xml:space="preserve">2026-09-02</x:t>
        </x:is>
      </x:c>
    </x:row>
    <x:row r="104">
      <x:c r="A104" s="204" t="inlineStr">
        <x:is>
          <x:t xml:space="preserve">ARG-100</x:t>
        </x:is>
      </x:c>
      <x:c r="B104" s="204" t="inlineStr">
        <x:is>
          <x:t xml:space="preserve">United Rentals</x:t>
        </x:is>
      </x:c>
      <x:c r="C104" s="204" t="inlineStr">
        <x:is>
          <x:t xml:space="preserve">URI</x:t>
        </x:is>
      </x:c>
      <x:c r="D104" s="204" t="inlineStr">
        <x:is>
          <x:t xml:space="preserve">Construction &amp; Building Products</x:t>
        </x:is>
      </x:c>
      <x:c r="E104" s="204" t="inlineStr">
        <x:is>
          <x:t xml:space="preserve">P3</x:t>
        </x:is>
      </x:c>
      <x:c r="F104" s="204" t="inlineStr">
        <x:is>
          <x:t xml:space="preserve">https://investor-relations.unitedrentals.com</x:t>
        </x:is>
      </x:c>
      <x:c r="G104" s="204" t="inlineStr">
        <x:is>
          <x:t xml:space="preserve">LOCATED</x:t>
        </x:is>
      </x:c>
      <x:c r="H104" s="204" t="inlineStr">
        <x:is>
          <x:t xml:space="preserve">UNKNOWN</x:t>
        </x:is>
      </x:c>
      <x:c r="I104" s="204" t="inlineStr">
        <x:is>
          <x:t xml:space="preserve">Census construction; infrastructure budgets</x:t>
        </x:is>
      </x:c>
      <x:c r="J104" s="204" t="inlineStr">
        <x:is>
          <x:t xml:space="preserve">Filings; rental/utilization data</x:t>
        </x:is>
      </x:c>
      <x:c r="K104" s="204" t="inlineStr">
        <x:is>
          <x:t xml:space="preserve">Utilization, pricing, fleet capex, residual values, cycle</x:t>
        </x:is>
      </x:c>
      <x:c r="L104" s="204" t="inlineStr">
        <x:is>
          <x:t xml:space="preserve">PENDING</x:t>
        </x:is>
      </x:c>
      <x:c r="M104" s="204" t="inlineStr">
        <x:is>
          <x:t xml:space="preserve">PENDING</x:t>
        </x:is>
      </x:c>
      <x:c r="N104" s="204" t="inlineStr">
        <x:is>
          <x:t xml:space="preserve">PENDING</x:t>
        </x:is>
      </x:c>
      <x:c r="O104" s="204" t="str">
        <x:f>IF(OR(G104="MISSING",H104="STALE"),"BLOCKED",IF(COUNTIF(H104:N104,"PENDING")+COUNTIF(H104:N104,"UNKNOWN")&gt;0,"INCOMPLETE","COMPLETE"))</x:f>
        <x:v>INCOMPLETE</x:v>
      </x:c>
      <x:c r="P104" s="204" t="inlineStr">
        <x:is>
          <x:t xml:space="preserve">Retrieve latest T1 filing; verify Utilization, pricing, fleet capex, residual values, cycle; complete three-pass review</x:t>
        </x:is>
      </x:c>
      <x:c r="Q104" s="204" t="inlineStr">
        <x:is>
          <x:t xml:space="preserve">2026-09-02</x:t>
        </x:is>
      </x:c>
    </x:row>
  </x:sheetData>
  <x:mergeCells>
    <x:mergeCell ref="A2:Q2"/>
    <x:mergeCell ref="A1:Q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5.5600004196167" style="139" customWidth="1"/>
    <x:col min="2" max="2" width="10" style="139" customWidth="1"/>
    <x:col min="3" max="3" width="10" style="139" customWidth="1"/>
    <x:col min="4" max="4" width="10.5600004196167" style="139" customWidth="1"/>
    <x:col min="5" max="5" width="12.220000267028809" style="139" customWidth="1"/>
    <x:col min="6" max="6" width="12.220000267028809" style="139" customWidth="1"/>
    <x:col min="7" max="7" width="12.220000267028809" style="139" customWidth="1"/>
    <x:col min="8" max="8" width="11.109999656677246" style="139" customWidth="1"/>
    <x:col min="9" max="9" width="12.220000267028809" style="139" customWidth="1"/>
    <x:col min="10" max="10" width="2.7799999713897705" style="139" customWidth="1"/>
  </x:cols>
  <x:sheetData>
    <x:row r="1" s="139" customFormat="1" ht="34" customHeight="1">
      <x:c r="A1" s="112" t="inlineStr">
        <x:is>
          <x:t xml:space="preserve">Cycle Dashboard &amp; Authorization Gate</x:t>
        </x:is>
      </x:c>
    </x:row>
    <x:row r="2" s="139" customFormat="1" ht="28" customHeight="1">
      <x:c r="A2" s="113" t="inlineStr">
        <x:is>
          <x:t xml:space="preserve">Metrics are formula-driven from the 1,000-cycle register. Empty means not yet empirically tested.</x:t>
        </x:is>
      </x:c>
    </x:row>
    <x:row r="3">
      <x:c r="A3" s="114" t="n"/>
      <x:c r="B3" s="114" t="n"/>
      <x:c r="C3" s="114" t="n"/>
      <x:c r="D3" s="114" t="n"/>
      <x:c r="E3" s="114" t="n"/>
      <x:c r="F3" s="114" t="n"/>
      <x:c r="G3" s="114" t="n"/>
      <x:c r="H3" s="114" t="n"/>
      <x:c r="I3" s="114" t="n"/>
    </x:row>
    <x:row r="4">
      <x:c r="A4" s="114" t="n"/>
      <x:c r="B4" s="114" t="n"/>
      <x:c r="C4" s="114" t="n"/>
      <x:c r="D4" s="114" t="n"/>
      <x:c r="E4" s="114" t="n"/>
      <x:c r="F4" s="114" t="n"/>
      <x:c r="G4" s="114" t="n"/>
      <x:c r="H4" s="114" t="n"/>
      <x:c r="I4" s="114" t="n"/>
    </x:row>
    <x:row r="5" s="139" customFormat="1" ht="30" customHeight="1">
      <x:c r="A5" s="116" t="inlineStr">
        <x:is>
          <x:t xml:space="preserve">Phase</x:t>
        </x:is>
      </x:c>
      <x:c r="B5" s="116" t="inlineStr">
        <x:is>
          <x:t xml:space="preserve">Planned</x:t>
        </x:is>
      </x:c>
      <x:c r="C5" s="116" t="inlineStr">
        <x:is>
          <x:t xml:space="preserve">Completed</x:t>
        </x:is>
      </x:c>
      <x:c r="D5" s="116" t="inlineStr">
        <x:is>
          <x:t xml:space="preserve">Eligible</x:t>
        </x:is>
      </x:c>
      <x:c r="E5" s="116" t="inlineStr">
        <x:is>
          <x:t xml:space="preserve">Decision Accuracy</x:t>
        </x:is>
      </x:c>
      <x:c r="F5" s="116" t="inlineStr">
        <x:is>
          <x:t xml:space="preserve">Hard-Gate Accuracy</x:t>
        </x:is>
      </x:c>
      <x:c r="G5" s="116" t="inlineStr">
        <x:is>
          <x:t xml:space="preserve">False-Negative Rate</x:t>
        </x:is>
      </x:c>
      <x:c r="H5" s="116" t="inlineStr">
        <x:is>
          <x:t xml:space="preserve">Avg Lead Time</x:t>
        </x:is>
      </x:c>
      <x:c r="I5" s="116" t="inlineStr">
        <x:is>
          <x:t xml:space="preserve">Status</x:t>
        </x:is>
      </x:c>
    </x:row>
    <x:row r="6">
      <x:c r="A6" s="56" t="inlineStr">
        <x:is>
          <x:t xml:space="preserve">Development</x:t>
        </x:is>
      </x:c>
      <x:c r="B6" s="56" t="n">
        <x:v>600</x:v>
      </x:c>
      <x:c r="C6" s="56" t="n">
        <x:f>COUNTIFS('1000 Cycles'!$B$6:$B$1005,A6,'1000 Cycles'!$AE$6:$AE$1005,"COMPLETE")</x:f>
        <x:v>0</x:v>
      </x:c>
      <x:c r="D6" s="56" t="n">
        <x:f>COUNTIFS('1000 Cycles'!$B$6:$B$1005,A6,'1000 Cycles'!$AF$6:$AF$1005,"YES")</x:f>
        <x:v>0</x:v>
      </x:c>
      <x:c r="E6" s="208" t="str">
        <x:f>IF(D6=0,"",COUNTIFS('1000 Cycles'!$B$6:$B$1005,A6,'1000 Cycles'!$AF$6:$AF$1005,"YES",'1000 Cycles'!$V$6:$V$1005,"YES")/D6)</x:f>
      </x:c>
      <x:c r="F6" s="208" t="str">
        <x:f>IF(D6=0,"",COUNTIFS('1000 Cycles'!$B$6:$B$1005,A6,'1000 Cycles'!$AF$6:$AF$1005,"YES",'1000 Cycles'!$W$6:$W$1005,"YES")/D6)</x:f>
      </x:c>
      <x:c r="G6" s="208" t="str">
        <x:f>IF(D6=0,"",COUNTIFS('1000 Cycles'!$B$6:$B$1005,A6,'1000 Cycles'!$AF$6:$AF$1005,"YES",'1000 Cycles'!$Y$6:$Y$1005,"YES")/D6)</x:f>
      </x:c>
      <x:c r="H6" s="193" t="str">
        <x:f>IF(D6=0,"",AVERAGEIFS('1000 Cycles'!$X$6:$X$1005,'1000 Cycles'!$B$6:$B$1005,A6,'1000 Cycles'!$AF$6:$AF$1005,"YES"))</x:f>
      </x:c>
      <x:c r="I6" s="56" t="str">
        <x:f>IF(C6=0,"NOT STARTED",IF(C6&lt;B6,"IN PROGRESS","COMPLETE"))</x:f>
        <x:v>NOT STARTED</x:v>
      </x:c>
    </x:row>
    <x:row r="7">
      <x:c r="A7" s="57" t="inlineStr">
        <x:is>
          <x:t xml:space="preserve">Validation</x:t>
        </x:is>
      </x:c>
      <x:c r="B7" s="57" t="n">
        <x:v>200</x:v>
      </x:c>
      <x:c r="C7" s="57" t="n">
        <x:f>COUNTIFS('1000 Cycles'!$B$6:$B$1005,A7,'1000 Cycles'!$AE$6:$AE$1005,"COMPLETE")</x:f>
        <x:v>0</x:v>
      </x:c>
      <x:c r="D7" s="57" t="n">
        <x:f>COUNTIFS('1000 Cycles'!$B$6:$B$1005,A7,'1000 Cycles'!$AF$6:$AF$1005,"YES")</x:f>
        <x:v>0</x:v>
      </x:c>
      <x:c r="E7" s="209" t="str">
        <x:f>IF(D7=0,"",COUNTIFS('1000 Cycles'!$B$6:$B$1005,A7,'1000 Cycles'!$AF$6:$AF$1005,"YES",'1000 Cycles'!$V$6:$V$1005,"YES")/D7)</x:f>
      </x:c>
      <x:c r="F7" s="209" t="str">
        <x:f>IF(D7=0,"",COUNTIFS('1000 Cycles'!$B$6:$B$1005,A7,'1000 Cycles'!$AF$6:$AF$1005,"YES",'1000 Cycles'!$W$6:$W$1005,"YES")/D7)</x:f>
      </x:c>
      <x:c r="G7" s="209" t="str">
        <x:f>IF(D7=0,"",COUNTIFS('1000 Cycles'!$B$6:$B$1005,A7,'1000 Cycles'!$AF$6:$AF$1005,"YES",'1000 Cycles'!$Y$6:$Y$1005,"YES")/D7)</x:f>
      </x:c>
      <x:c r="H7" s="194" t="str">
        <x:f>IF(D7=0,"",AVERAGEIFS('1000 Cycles'!$X$6:$X$1005,'1000 Cycles'!$B$6:$B$1005,A7,'1000 Cycles'!$AF$6:$AF$1005,"YES"))</x:f>
      </x:c>
      <x:c r="I7" s="57" t="str">
        <x:f>IF(C7=0,"NOT STARTED",IF(C7&lt;B7,"IN PROGRESS","COMPLETE"))</x:f>
        <x:v>NOT STARTED</x:v>
      </x:c>
    </x:row>
    <x:row r="8">
      <x:c r="A8" s="57" t="inlineStr">
        <x:is>
          <x:t xml:space="preserve">Holdout</x:t>
        </x:is>
      </x:c>
      <x:c r="B8" s="57" t="n">
        <x:v>200</x:v>
      </x:c>
      <x:c r="C8" s="57" t="n">
        <x:f>COUNTIFS('1000 Cycles'!$B$6:$B$1005,A8,'1000 Cycles'!$AE$6:$AE$1005,"COMPLETE")</x:f>
        <x:v>0</x:v>
      </x:c>
      <x:c r="D8" s="57" t="n">
        <x:f>COUNTIFS('1000 Cycles'!$B$6:$B$1005,A8,'1000 Cycles'!$AF$6:$AF$1005,"YES")</x:f>
        <x:v>0</x:v>
      </x:c>
      <x:c r="E8" s="209" t="str">
        <x:f>IF(D8=0,"",COUNTIFS('1000 Cycles'!$B$6:$B$1005,A8,'1000 Cycles'!$AF$6:$AF$1005,"YES",'1000 Cycles'!$V$6:$V$1005,"YES")/D8)</x:f>
      </x:c>
      <x:c r="F8" s="209" t="str">
        <x:f>IF(D8=0,"",COUNTIFS('1000 Cycles'!$B$6:$B$1005,A8,'1000 Cycles'!$AF$6:$AF$1005,"YES",'1000 Cycles'!$W$6:$W$1005,"YES")/D8)</x:f>
      </x:c>
      <x:c r="G8" s="209" t="str">
        <x:f>IF(D8=0,"",COUNTIFS('1000 Cycles'!$B$6:$B$1005,A8,'1000 Cycles'!$AF$6:$AF$1005,"YES",'1000 Cycles'!$Y$6:$Y$1005,"YES")/D8)</x:f>
      </x:c>
      <x:c r="H8" s="194" t="str">
        <x:f>IF(D8=0,"",AVERAGEIFS('1000 Cycles'!$X$6:$X$1005,'1000 Cycles'!$B$6:$B$1005,A8,'1000 Cycles'!$AF$6:$AF$1005,"YES"))</x:f>
      </x:c>
      <x:c r="I8" s="57" t="str">
        <x:f>IF(C8=0,"NOT STARTED",IF(C8&lt;B8,"IN PROGRESS","COMPLETE"))</x:f>
        <x:v>NOT STARTED</x:v>
      </x:c>
    </x:row>
    <x:row r="9">
      <x:c r="A9" s="92" t="inlineStr">
        <x:is>
          <x:t xml:space="preserve">Total</x:t>
        </x:is>
      </x:c>
      <x:c r="B9" s="92" t="n">
        <x:v>1000</x:v>
      </x:c>
      <x:c r="C9" s="92" t="n">
        <x:f>SUM(C6:C8)</x:f>
        <x:v>0</x:v>
      </x:c>
      <x:c r="D9" s="92" t="n">
        <x:f>SUM(D6:D8)</x:f>
        <x:v>0</x:v>
      </x:c>
      <x:c r="E9" s="210" t="str">
        <x:f>IF(D9=0,"",COUNTIFS('1000 Cycles'!$AF$6:$AF$1005,"YES",'1000 Cycles'!$V$6:$V$1005,"YES")/D9)</x:f>
      </x:c>
      <x:c r="F9" s="210" t="str">
        <x:f>IF(D9=0,"",COUNTIFS('1000 Cycles'!$AF$6:$AF$1005,"YES",'1000 Cycles'!$W$6:$W$1005,"YES")/D9)</x:f>
      </x:c>
      <x:c r="G9" s="210" t="str">
        <x:f>IF(D9=0,"",COUNTIFS('1000 Cycles'!$AF$6:$AF$1005,"YES",'1000 Cycles'!$Y$6:$Y$1005,"YES")/D9)</x:f>
      </x:c>
      <x:c r="H9" s="211" t="str">
        <x:f>IF(D9=0,"",AVERAGEIFS('1000 Cycles'!$X$6:$X$1005,'1000 Cycles'!$AF$6:$AF$1005,"YES"))</x:f>
      </x:c>
      <x:c r="I9" s="92" t="str">
        <x:f>IF(C9=0,"NOT STARTED",IF(C9&lt;B9,"IN PROGRESS","COMPLETE"))</x:f>
        <x:v>NOT STARTED</x:v>
      </x:c>
    </x:row>
    <x:row r="10">
      <x:c r="A10" s="114" t="n"/>
      <x:c r="B10" s="114" t="n"/>
      <x:c r="C10" s="114" t="n"/>
      <x:c r="D10" s="114" t="n"/>
      <x:c r="E10" s="114" t="n"/>
      <x:c r="F10" s="114" t="n"/>
      <x:c r="G10" s="114" t="n"/>
      <x:c r="H10" s="114" t="n"/>
      <x:c r="I10" s="114" t="n"/>
    </x:row>
    <x:row r="11">
      <x:c r="A11" s="114" t="n"/>
      <x:c r="B11" s="114" t="n"/>
      <x:c r="C11" s="114" t="n"/>
      <x:c r="D11" s="114" t="n"/>
      <x:c r="E11" s="114" t="n"/>
      <x:c r="F11" s="114" t="n"/>
      <x:c r="G11" s="114" t="n"/>
      <x:c r="H11" s="114" t="n"/>
      <x:c r="I11" s="114" t="n"/>
    </x:row>
    <x:row r="12">
      <x:c r="A12" s="131" t="inlineStr">
        <x:is>
          <x:t xml:space="preserve">Hard Authorization Gate</x:t>
        </x:is>
      </x:c>
      <x:c r="E12" s="114" t="n"/>
      <x:c r="F12" s="114" t="n"/>
      <x:c r="G12" s="114" t="n"/>
      <x:c r="H12" s="114" t="n"/>
      <x:c r="I12" s="114" t="n"/>
    </x:row>
    <x:row r="13">
      <x:c r="A13" s="132" t="inlineStr">
        <x:is>
          <x:t xml:space="preserve">Holdout complete</x:t>
        </x:is>
      </x:c>
      <x:c r="B13" s="133" t="n">
        <x:f>C8</x:f>
        <x:v>0</x:v>
      </x:c>
      <x:c r="C13" s="114" t="n"/>
      <x:c r="D13" s="134" t="inlineStr">
        <x:is>
          <x:t xml:space="preserve">המשמעות: גם מעבר סף 60% אינו מפעיל API או מערכת אוטומטית. הוא מאפשר בדיקה אנושית של איכות ה־holdout, false negatives, lead time ויציבות הכללים. רק לאחר בדיקה ואישור מפורש ניתן לשקול שלב הבא.</x:t>
        </x:is>
      </x:c>
    </x:row>
    <x:row r="14">
      <x:c r="A14" s="132" t="inlineStr">
        <x:is>
          <x:t xml:space="preserve">Decision accuracy</x:t>
        </x:is>
      </x:c>
      <x:c r="B14" s="212" t="n">
        <x:f>E8</x:f>
        <x:v>0</x:v>
      </x:c>
      <x:c r="C14" s="114" t="n"/>
    </x:row>
    <x:row r="15">
      <x:c r="A15" s="132" t="inlineStr">
        <x:is>
          <x:t xml:space="preserve">Hard-gate accuracy</x:t>
        </x:is>
      </x:c>
      <x:c r="B15" s="212" t="n">
        <x:f>F8</x:f>
        <x:v>0</x:v>
      </x:c>
      <x:c r="C15" s="114" t="n"/>
    </x:row>
    <x:row r="16">
      <x:c r="A16" s="132" t="inlineStr">
        <x:is>
          <x:t xml:space="preserve">False negatives measured</x:t>
        </x:is>
      </x:c>
      <x:c r="B16" s="133" t="str">
        <x:f>IF(D8=0,"NO",IF(COUNTIFS('1000 Cycles'!$B$6:$B$1005,"Holdout",'1000 Cycles'!$AF$6:$AF$1005,"YES",'1000 Cycles'!$Y$6:$Y$1005,"&lt;&gt;")=D8,"YES","NO"))</x:f>
        <x:v>NO</x:v>
      </x:c>
      <x:c r="C16" s="114" t="n"/>
    </x:row>
    <x:row r="17">
      <x:c r="A17" s="132" t="inlineStr">
        <x:is>
          <x:t xml:space="preserve">Lead time measured</x:t>
        </x:is>
      </x:c>
      <x:c r="B17" s="133" t="str">
        <x:f>IF(D8=0,"NO",IF(COUNTIFS('1000 Cycles'!$B$6:$B$1005,"Holdout",'1000 Cycles'!$AF$6:$AF$1005,"YES",'1000 Cycles'!$X$6:$X$1005,"&gt;=0")=D8,"YES","NO"))</x:f>
        <x:v>NO</x:v>
      </x:c>
      <x:c r="C17" s="114" t="n"/>
    </x:row>
    <x:row r="18">
      <x:c r="A18" s="132" t="inlineStr">
        <x:is>
          <x:t xml:space="preserve">Result</x:t>
        </x:is>
      </x:c>
      <x:c r="B18" s="136" t="str">
        <x:f>IF(AND(B13=200,B14&gt;=60%,B15&gt;=60%,B16="YES",B17="YES"),"ELIGIBLE FOR HUMAN REVIEW","BLOCKED")</x:f>
        <x:v>BLOCKED</x:v>
      </x:c>
      <x:c r="C18" s="114" t="n"/>
    </x:row>
    <x:row r="20">
      <x:c r="A20" s="186" t="inlineStr">
        <x:is>
          <x:t xml:space="preserve">Parallel Model-Development Stress Test (NOT Empirical Accuracy)</x:t>
        </x:is>
      </x:c>
    </x:row>
    <x:row r="21">
      <x:c r="A21" s="185" t="inlineStr">
        <x:is>
          <x:t xml:space="preserve">Metric</x:t>
        </x:is>
      </x:c>
      <x:c r="B21" s="185" t="inlineStr">
        <x:is>
          <x:t xml:space="preserve">Value</x:t>
        </x:is>
      </x:c>
      <x:c r="C21" s="185" t="inlineStr">
        <x:is>
          <x:t xml:space="preserve">Interpretation</x:t>
        </x:is>
      </x:c>
      <x:c r="D21" s="187" t="n"/>
      <x:c r="E21" s="187" t="n"/>
      <x:c r="F21" s="187" t="n"/>
      <x:c r="G21" s="187" t="n"/>
      <x:c r="H21" s="187" t="n"/>
      <x:c r="I21" s="187" t="n"/>
    </x:row>
    <x:row r="22">
      <x:c r="A22" s="160" t="inlineStr">
        <x:is>
          <x:t xml:space="preserve">Improvement loops completed</x:t>
        </x:is>
      </x:c>
      <x:c r="B22" s="160" t="n">
        <x:v>1000</x:v>
      </x:c>
      <x:c r="C22" s="160" t="inlineStr">
        <x:is>
          <x:t xml:space="preserve">960 on Development companies + 40 abstract controls; all closed.</x:t>
        </x:is>
      </x:c>
      <x:c r="D22" s="187" t="n"/>
      <x:c r="E22" s="187" t="n"/>
      <x:c r="F22" s="187" t="n"/>
      <x:c r="G22" s="187" t="n"/>
      <x:c r="H22" s="187" t="n"/>
      <x:c r="I22" s="187" t="n"/>
    </x:row>
    <x:row r="23">
      <x:c r="A23" s="160" t="inlineStr">
        <x:is>
          <x:t xml:space="preserve">Validation / Holdout companies exposed</x:t>
        </x:is>
      </x:c>
      <x:c r="B23" s="160" t="inlineStr">
        <x:is>
          <x:t xml:space="preserve">0 / 0</x:t>
        </x:is>
      </x:c>
      <x:c r="C23" s="160" t="inlineStr">
        <x:is>
          <x:t xml:space="preserve">No learning leakage into empirical cohorts.</x:t>
        </x:is>
      </x:c>
      <x:c r="D23" s="187" t="n"/>
      <x:c r="E23" s="187" t="n"/>
      <x:c r="F23" s="187" t="n"/>
      <x:c r="G23" s="187" t="n"/>
      <x:c r="H23" s="187" t="n"/>
      <x:c r="I23" s="187" t="n"/>
    </x:row>
    <x:row r="24">
      <x:c r="A24" s="160" t="inlineStr">
        <x:is>
          <x:t xml:space="preserve">Simulation rule-evolution events</x:t>
        </x:is>
      </x:c>
      <x:c r="B24" s="160" t="n">
        <x:v>92</x:v>
      </x:c>
      <x:c r="C24" s="160" t="inlineStr">
        <x:is>
          <x:t xml:space="preserve">Changes may improve Development logic but are not empirically validated.</x:t>
        </x:is>
      </x:c>
      <x:c r="D24" s="187" t="n"/>
      <x:c r="E24" s="187" t="n"/>
      <x:c r="F24" s="187" t="n"/>
      <x:c r="G24" s="187" t="n"/>
      <x:c r="H24" s="187" t="n"/>
      <x:c r="I24" s="187" t="n"/>
    </x:row>
    <x:row r="25">
      <x:c r="A25" s="160" t="inlineStr">
        <x:is>
          <x:t xml:space="preserve">Empirical Accuracy Points from simulation</x:t>
        </x:is>
      </x:c>
      <x:c r="B25" s="160" t="n">
        <x:v>0</x:v>
      </x:c>
      <x:c r="C25" s="160" t="inlineStr">
        <x:is>
          <x:t xml:space="preserve">Synthetic/adversarial loops cannot raise accuracy.</x:t>
        </x:is>
      </x:c>
      <x:c r="D25" s="187" t="n"/>
      <x:c r="E25" s="187" t="n"/>
      <x:c r="F25" s="187" t="n"/>
      <x:c r="G25" s="187" t="n"/>
      <x:c r="H25" s="187" t="n"/>
      <x:c r="I25" s="187" t="n"/>
    </x:row>
    <x:row r="26">
      <x:c r="A26" s="160" t="inlineStr">
        <x:is>
          <x:t xml:space="preserve">Authorization effect</x:t>
        </x:is>
      </x:c>
      <x:c r="B26" s="160" t="inlineStr">
        <x:is>
          <x:t xml:space="preserve">NONE — BLOCKED</x:t>
        </x:is>
      </x:c>
      <x:c r="C26" s="160" t="inlineStr">
        <x:is>
          <x:t xml:space="preserve">Prospective Validation and locked Holdout remain mandatory.</x:t>
        </x:is>
      </x:c>
      <x:c r="D26" s="187" t="n"/>
      <x:c r="E26" s="187" t="n"/>
      <x:c r="F26" s="187" t="n"/>
      <x:c r="G26" s="187" t="n"/>
      <x:c r="H26" s="187" t="n"/>
      <x:c r="I26" s="187" t="n"/>
    </x:row>
  </x:sheetData>
  <x:mergeCells>
    <x:mergeCell ref="A2:I2"/>
    <x:mergeCell ref="A12:D12"/>
    <x:mergeCell ref="A1:I1"/>
    <x:mergeCell ref="D13:I18"/>
    <x:mergeCell ref="A20:I20"/>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7.78000020980835" style="139" customWidth="1"/>
    <x:col min="2" max="2" width="9.4399995803833" style="139" customWidth="1"/>
    <x:col min="3" max="3" width="8.329999923706055" style="139" customWidth="1"/>
    <x:col min="4" max="4" width="8.890000343322754" style="139" customWidth="1"/>
    <x:col min="5" max="5" width="17.780000686645508" style="139" customWidth="1"/>
    <x:col min="6" max="6" width="7.21999979019165" style="139" customWidth="1"/>
    <x:col min="7" max="7" width="16.110000610351562" style="139" customWidth="1"/>
    <x:col min="8" max="8" width="7.21999979019165" style="139" customWidth="1"/>
    <x:col min="9" max="9" width="10" style="139" customWidth="1"/>
    <x:col min="10" max="10" width="8.890000343322754" style="139" customWidth="1"/>
    <x:col min="11" max="11" width="24.440000534057617" style="139" customWidth="1"/>
    <x:col min="12" max="12" width="9.4399995803833" style="139" customWidth="1"/>
    <x:col min="13" max="13" width="26.670000076293945" style="139" customWidth="1"/>
    <x:col min="14" max="14" width="24.440000534057617" style="139" customWidth="1"/>
    <x:col min="15" max="15" width="20" style="139" customWidth="1"/>
    <x:col min="16" max="16" width="10" style="139" customWidth="1"/>
    <x:col min="17" max="17" width="24.440000534057617" style="139" customWidth="1"/>
    <x:col min="18" max="18" width="16.670000076293945" style="139" customWidth="1"/>
    <x:col min="19" max="19" width="10" style="139" customWidth="1"/>
    <x:col min="20" max="20" width="24.440000534057617" style="139" customWidth="1"/>
    <x:col min="21" max="21" width="20" style="139" customWidth="1"/>
    <x:col min="22" max="22" width="10" style="139" customWidth="1"/>
    <x:col min="23" max="23" width="11.109999656677246" style="139" customWidth="1"/>
    <x:col min="24" max="24" width="9.4399995803833" style="139" customWidth="1"/>
    <x:col min="25" max="25" width="9.4399995803833" style="139" customWidth="1"/>
    <x:col min="26" max="26" width="17.780000686645508" style="139" customWidth="1"/>
    <x:col min="27" max="27" width="25.559999465942383" style="139" customWidth="1"/>
    <x:col min="28" max="28" width="10" style="139" customWidth="1"/>
    <x:col min="29" max="29" width="9.4399995803833" style="139" customWidth="1"/>
    <x:col min="30" max="30" width="24.440000534057617" style="139" customWidth="1"/>
    <x:col min="31" max="31" width="10.5600004196167" style="139" customWidth="1"/>
    <x:col min="32" max="32" width="11.109999656677246" style="139" customWidth="1"/>
    <x:col min="33" max="33" width="9.4399995803833" style="139" customWidth="1"/>
  </x:cols>
  <x:sheetData>
    <x:row r="1" s="139" customFormat="1" ht="34" customHeight="1">
      <x:c r="A1" s="112" t="inlineStr">
        <x:is>
          <x:t xml:space="preserve">1,000-Cycle Blind Historical Improvement Register</x:t>
        </x:is>
      </x:c>
    </x:row>
    <x:row r="2" s="139" customFormat="1" ht="28" customHeight="1">
      <x:c r="A2" s="113" t="inlineStr">
        <x:is>
          <x:t xml:space="preserve">100 companies × 10 historical cutoffs. Each company belongs to only one phase to prevent company leakage.</x:t>
        </x:is>
      </x:c>
    </x:row>
    <x:row r="3">
      <x:c r="A3" s="141" t="inlineStr">
        <x:is>
          <x:t xml:space="preserve">V10.5 DRY-RUN NOTE — C0001:C0050 (IonQ + D-Wave + Rigetti + QCi + NVIDIA) are retrospective Development reconstructions for failure analysis only. NOT genuine pre-registrations, NOT accuracy-eligible, ZERO Accuracy Points. Six V10 fatal gates remain frozen. Holdout remains locked and untouched.</x:t>
        </x:is>
      </x:c>
    </x:row>
    <x:row r="4">
      <x:c r="A4" s="114" t="n"/>
      <x:c r="B4" s="114" t="n"/>
      <x:c r="C4" s="114" t="n"/>
      <x:c r="D4" s="114" t="n"/>
      <x:c r="E4" s="114" t="n"/>
      <x:c r="F4" s="114" t="n"/>
      <x:c r="G4" s="114" t="n"/>
      <x:c r="H4" s="114" t="n"/>
      <x:c r="I4" s="114" t="n"/>
      <x:c r="J4" s="114" t="n"/>
      <x:c r="K4" s="114" t="n"/>
      <x:c r="L4" s="114" t="n"/>
      <x:c r="M4" s="114" t="n"/>
      <x:c r="N4" s="114" t="n"/>
      <x:c r="O4" s="114" t="n"/>
      <x:c r="P4" s="114" t="n"/>
      <x:c r="Q4" s="114" t="n"/>
      <x:c r="R4" s="114" t="n"/>
      <x:c r="S4" s="114" t="n"/>
      <x:c r="T4" s="114" t="n"/>
      <x:c r="U4" s="114" t="n"/>
      <x:c r="V4" s="114" t="n"/>
      <x:c r="W4" s="114" t="n"/>
      <x:c r="X4" s="114" t="n"/>
      <x:c r="Y4" s="114" t="n"/>
      <x:c r="Z4" s="114" t="n"/>
      <x:c r="AA4" s="114" t="n"/>
      <x:c r="AB4" s="114" t="n"/>
      <x:c r="AC4" s="114" t="n"/>
      <x:c r="AD4" s="114" t="n"/>
      <x:c r="AE4" s="114" t="n"/>
      <x:c r="AF4" s="114" t="n"/>
      <x:c r="AG4" s="114" t="n"/>
    </x:row>
    <x:row r="5" s="139" customFormat="1" ht="30" customHeight="1">
      <x:c r="A5" s="116" t="inlineStr">
        <x:is>
          <x:t xml:space="preserve">Cycle ID</x:t>
        </x:is>
      </x:c>
      <x:c r="B5" s="116" t="inlineStr">
        <x:is>
          <x:t xml:space="preserve">Phase</x:t>
        </x:is>
      </x:c>
      <x:c r="C5" s="116" t="inlineStr">
        <x:is>
          <x:t xml:space="preserve">Lock Status</x:t>
        </x:is>
      </x:c>
      <x:c r="D5" s="116" t="inlineStr">
        <x:is>
          <x:t xml:space="preserve">Company ID</x:t>
        </x:is>
      </x:c>
      <x:c r="E5" s="116" t="inlineStr">
        <x:is>
          <x:t xml:space="preserve">Company</x:t>
        </x:is>
      </x:c>
      <x:c r="F5" s="116" t="inlineStr">
        <x:is>
          <x:t xml:space="preserve">Ticker</x:t>
        </x:is>
      </x:c>
      <x:c r="G5" s="116" t="inlineStr">
        <x:is>
          <x:t xml:space="preserve">Sector</x:t>
        </x:is>
      </x:c>
      <x:c r="H5" s="116" t="inlineStr">
        <x:is>
          <x:t xml:space="preserve">Historical Slot</x:t>
        </x:is>
      </x:c>
      <x:c r="I5" s="116" t="inlineStr">
        <x:is>
          <x:t xml:space="preserve">Cutoff Date</x:t>
        </x:is>
      </x:c>
      <x:c r="J5" s="116" t="inlineStr">
        <x:is>
          <x:t xml:space="preserve">Horizon (Months)</x:t>
        </x:is>
      </x:c>
      <x:c r="K5" s="116" t="inlineStr">
        <x:is>
          <x:t xml:space="preserve">Snapshot Source</x:t>
        </x:is>
      </x:c>
      <x:c r="L5" s="116" t="inlineStr">
        <x:is>
          <x:t xml:space="preserve">Pre-Registered?</x:t>
        </x:is>
      </x:c>
      <x:c r="M5" s="116" t="inlineStr">
        <x:is>
          <x:t xml:space="preserve">Thesis / Prediction</x:t>
        </x:is>
      </x:c>
      <x:c r="N5" s="116" t="inlineStr">
        <x:is>
          <x:t xml:space="preserve">Expected Fundamental Change</x:t>
        </x:is>
      </x:c>
      <x:c r="O5" s="116" t="inlineStr">
        <x:is>
          <x:t xml:space="preserve">Expected IV Change</x:t>
        </x:is>
      </x:c>
      <x:c r="P5" s="116" t="inlineStr">
        <x:is>
          <x:t xml:space="preserve">Expected Decision</x:t>
        </x:is>
      </x:c>
      <x:c r="Q5" s="116" t="inlineStr">
        <x:is>
          <x:t xml:space="preserve">Kill Trigger</x:t>
        </x:is>
      </x:c>
      <x:c r="R5" s="116" t="inlineStr">
        <x:is>
          <x:t xml:space="preserve">Control Company</x:t>
        </x:is>
      </x:c>
      <x:c r="S5" s="116" t="inlineStr">
        <x:is>
          <x:t xml:space="preserve">Reveal Date</x:t>
        </x:is>
      </x:c>
      <x:c r="T5" s="116" t="inlineStr">
        <x:is>
          <x:t xml:space="preserve">Actual Fundamental Outcome</x:t>
        </x:is>
      </x:c>
      <x:c r="U5" s="116" t="inlineStr">
        <x:is>
          <x:t xml:space="preserve">Actual IV Outcome</x:t>
        </x:is>
      </x:c>
      <x:c r="V5" s="116" t="inlineStr">
        <x:is>
          <x:t xml:space="preserve">Decision Correct</x:t>
        </x:is>
      </x:c>
      <x:c r="W5" s="116" t="inlineStr">
        <x:is>
          <x:t xml:space="preserve">Hard-Gate Correct</x:t>
        </x:is>
      </x:c>
      <x:c r="X5" s="116" t="inlineStr">
        <x:is>
          <x:t xml:space="preserve">Lead Time (Days)</x:t>
        </x:is>
      </x:c>
      <x:c r="Y5" s="116" t="inlineStr">
        <x:is>
          <x:t xml:space="preserve">False Negative</x:t>
        </x:is>
      </x:c>
      <x:c r="Z5" s="116" t="inlineStr">
        <x:is>
          <x:t xml:space="preserve">Failure Class</x:t>
        </x:is>
      </x:c>
      <x:c r="AA5" s="116" t="inlineStr">
        <x:is>
          <x:t xml:space="preserve">Improvement Candidate</x:t>
        </x:is>
      </x:c>
      <x:c r="AB5" s="116" t="inlineStr">
        <x:is>
          <x:t xml:space="preserve">Change Accepted</x:t>
        </x:is>
      </x:c>
      <x:c r="AC5" s="116" t="inlineStr">
        <x:is>
          <x:t xml:space="preserve">Model Version</x:t>
        </x:is>
      </x:c>
      <x:c r="AD5" s="116" t="inlineStr">
        <x:is>
          <x:t xml:space="preserve">Reviewer Notes</x:t>
        </x:is>
      </x:c>
      <x:c r="AE5" s="116" t="inlineStr">
        <x:is>
          <x:t xml:space="preserve">Cycle Complete</x:t>
        </x:is>
      </x:c>
      <x:c r="AF5" s="116" t="inlineStr">
        <x:is>
          <x:t xml:space="preserve">Eligible for Accuracy</x:t>
        </x:is>
      </x:c>
      <x:c r="AG5" s="116" t="inlineStr">
        <x:is>
          <x:t xml:space="preserve">Accuracy Points</x:t>
        </x:is>
      </x:c>
    </x:row>
    <x:row r="6">
      <x:c r="A6" s="56" t="inlineStr">
        <x:is>
          <x:t xml:space="preserve">C0001</x:t>
        </x:is>
      </x:c>
      <x:c r="B6" s="56" t="inlineStr">
        <x:is>
          <x:t xml:space="preserve">Development</x:t>
        </x:is>
      </x:c>
      <x:c r="C6" s="56" t="inlineStr">
        <x:is>
          <x:t xml:space="preserve">OPEN</x:t>
        </x:is>
      </x:c>
      <x:c r="D6" s="56" t="inlineStr">
        <x:is>
          <x:t xml:space="preserve">ARG-001</x:t>
        </x:is>
      </x:c>
      <x:c r="E6" s="74" t="str">
        <x:f>INDEX('Company Universe'!$B$6:$B$105,MATCH(D6,'Company Universe'!$A$6:$A$105,0))</x:f>
        <x:v>IonQ</x:v>
      </x:c>
      <x:c r="F6" s="74" t="str">
        <x:f>INDEX('Company Universe'!$C$6:$C$105,MATCH(D6,'Company Universe'!$A$6:$A$105,0))</x:f>
        <x:v>IONQ</x:v>
      </x:c>
      <x:c r="G6" s="74" t="str">
        <x:f>INDEX('Company Universe'!$F$6:$F$105,MATCH(D6,'Company Universe'!$A$6:$A$105,0))</x:f>
        <x:v>Quantum Computing</x:v>
      </x:c>
      <x:c r="H6" s="56" t="n">
        <x:v>1</x:v>
      </x:c>
      <x:c r="I6" s="205" t="inlineStr">
        <x:is>
          <x:t xml:space="preserve">2023-05-11</x:t>
        </x:is>
      </x:c>
      <x:c r="J6" s="69" t="n">
        <x:v>12</x:v>
      </x:c>
      <x:c r="K6" s="69" t="inlineStr">
        <x:is>
          <x:t xml:space="preserve">https://investors.ionq.com/news/news-details/2023/IonQ-Announces-First-Quarter-2023-Financial-Results/</x:t>
        </x:is>
      </x:c>
      <x:c r="L6" s="69" t="inlineStr">
        <x:is>
          <x:t xml:space="preserve">NO</x:t>
        </x:is>
      </x:c>
      <x:c r="M6" s="69" t="inlineStr">
        <x:is>
          <x:t xml:space="preserve">RECONSTRUCTED: #AQ29 achieved seven months early; early revenue/bookings show real technical/commercial progress, but losses mean no owner-earnings pass.</x:t>
        </x:is>
      </x:c>
      <x:c r="N6" s="69" t="inlineStr">
        <x:is>
          <x:t xml:space="preserve">Positive commercialization; owner earnings remain negative</x:t>
        </x:is>
      </x:c>
      <x:c r="O6" s="69" t="inlineStr">
        <x:is>
          <x:t xml:space="preserve">Wider / highly assumption-sensitive</x:t>
        </x:is>
      </x:c>
      <x:c r="P6" s="69" t="inlineStr">
        <x:is>
          <x:t xml:space="preserve">WAIT / RESEARCH</x:t>
        </x:is>
      </x:c>
      <x:c r="Q6" s="69" t="inlineStr">
        <x:is>
          <x:t xml:space="preserve">Roadmap miss; bookings collapse; cash runway &lt;24 months; customer concentration worsens</x:t>
        </x:is>
      </x:c>
      <x:c r="R6" s="69" t="inlineStr">
        <x:is>
          <x:t xml:space="preserve">D-Wave Quantum (QBTS)</x:t>
        </x:is>
      </x:c>
      <x:c r="S6" s="205" t="inlineStr">
        <x:is>
          <x:t xml:space="preserve">2024-05-08</x:t>
        </x:is>
      </x:c>
      <x:c r="T6" s="69" t="inlineStr">
        <x:is>
          <x:t xml:space="preserve">Q1 2024 revenue $7.6m (+77% YoY), bookings only $0.3m, cash $434.4m, net loss $39.6m. Top-line/technical progress continued but owner economics remained negative.</x:t>
        </x:is>
      </x:c>
      <x:c r="U6" s="69" t="inlineStr">
        <x:is>
          <x:t xml:space="preserve">UNSCORED — no point-in-time IV reconstruction</x:t>
        </x:is>
      </x:c>
      <x:c r="V6" s="69" t="inlineStr">
        <x:is>
          <x:t xml:space="preserve">UNSCORED</x:t>
        </x:is>
      </x:c>
      <x:c r="W6" s="69" t="inlineStr">
        <x:is>
          <x:t xml:space="preserve">UNSCORED</x:t>
        </x:is>
      </x:c>
      <x:c r="X6" s="69" t="n"/>
      <x:c r="Y6" s="69" t="inlineStr">
        <x:is>
          <x:t xml:space="preserve">NO</x:t>
        </x:is>
      </x:c>
      <x:c r="Z6" s="69" t="inlineStr">
        <x:is>
          <x:t xml:space="preserve">Look-ahead bias (fatal)</x:t>
        </x:is>
      </x:c>
      <x:c r="AA6" s="69" t="inlineStr">
        <x:is>
          <x:t xml:space="preserve">Require source-isolated analyst/reviewer preregistration before reveal; keep fundamental progress separate from investability.</x:t>
        </x:is>
      </x:c>
      <x:c r="AB6" s="69" t="inlineStr">
        <x:is>
          <x:t xml:space="preserve">NO</x:t>
        </x:is>
      </x:c>
      <x:c r="AC6" s="56" t="inlineStr">
        <x:is>
          <x:t xml:space="preserve">V10.1-DRYRUN</x:t>
        </x:is>
      </x:c>
      <x:c r="AD6" s="56" t="inlineStr">
        <x:is>
          <x:t xml:space="preserve">Retrospective reconstruction only. Cutoff source: IonQ Q1 2023; reveal source: IonQ Q1 2024. Not eligible for accuracy because prediction was not genuinely preregistered at the historical cutoff.</x:t>
        </x:is>
      </x:c>
      <x:c r="AE6" s="77" t="inlineStr">
        <x:is>
          <x:t xml:space="preserve">DRY RUN</x:t>
        </x:is>
      </x:c>
      <x:c r="AF6" s="77" t="inlineStr">
        <x:is>
          <x:t xml:space="preserve">NO</x:t>
        </x:is>
      </x:c>
      <x:c r="AG6" s="213" t="n"/>
    </x:row>
    <x:row r="7">
      <x:c r="A7" s="57" t="inlineStr">
        <x:is>
          <x:t xml:space="preserve">C0002</x:t>
        </x:is>
      </x:c>
      <x:c r="B7" s="57" t="inlineStr">
        <x:is>
          <x:t xml:space="preserve">Development</x:t>
        </x:is>
      </x:c>
      <x:c r="C7" s="57" t="inlineStr">
        <x:is>
          <x:t xml:space="preserve">OPEN</x:t>
        </x:is>
      </x:c>
      <x:c r="D7" s="57" t="inlineStr">
        <x:is>
          <x:t xml:space="preserve">ARG-001</x:t>
        </x:is>
      </x:c>
      <x:c r="E7" s="75" t="str">
        <x:f>INDEX('Company Universe'!$B$6:$B$105,MATCH(D7,'Company Universe'!$A$6:$A$105,0))</x:f>
        <x:v>IonQ</x:v>
      </x:c>
      <x:c r="F7" s="75" t="str">
        <x:f>INDEX('Company Universe'!$C$6:$C$105,MATCH(D7,'Company Universe'!$A$6:$A$105,0))</x:f>
        <x:v>IONQ</x:v>
      </x:c>
      <x:c r="G7" s="75" t="str">
        <x:f>INDEX('Company Universe'!$F$6:$F$105,MATCH(D7,'Company Universe'!$A$6:$A$105,0))</x:f>
        <x:v>Quantum Computing</x:v>
      </x:c>
      <x:c r="H7" s="57" t="n">
        <x:v>2</x:v>
      </x:c>
      <x:c r="I7" s="206" t="inlineStr">
        <x:is>
          <x:t xml:space="preserve">2023-08-10</x:t>
        </x:is>
      </x:c>
      <x:c r="J7" s="71" t="n">
        <x:v>12</x:v>
      </x:c>
      <x:c r="K7" s="71" t="inlineStr">
        <x:is>
          <x:t xml:space="preserve">https://investors.ionq.com/news/news-details/2023/IonQ-Announces-Second-Quarter-2023-Financial-Results/</x:t>
        </x:is>
      </x:c>
      <x:c r="L7" s="71" t="inlineStr">
        <x:is>
          <x:t xml:space="preserve">NO</x:t>
        </x:is>
      </x:c>
      <x:c r="M7" s="71" t="inlineStr">
        <x:is>
          <x:t xml:space="preserve">RECONSTRUCTED: $28m Q2 bookings and #AQ29 delivery support commercialization; expect growth but lumpy contracts and persistent cash burn keep owner economics unproven.</x:t>
        </x:is>
      </x:c>
      <x:c r="N7" s="71" t="inlineStr">
        <x:is>
          <x:t xml:space="preserve">Positive but lumpy growth; losses persist</x:t>
        </x:is>
      </x:c>
      <x:c r="O7" s="71" t="inlineStr">
        <x:is>
          <x:t xml:space="preserve">Wider / highly assumption-sensitive</x:t>
        </x:is>
      </x:c>
      <x:c r="P7" s="71" t="inlineStr">
        <x:is>
          <x:t xml:space="preserve">WAIT / RESEARCH</x:t>
        </x:is>
      </x:c>
      <x:c r="Q7" s="71" t="inlineStr">
        <x:is>
          <x:t xml:space="preserve">Bookings/revenue fail to convert; technical roadmap slips; cash burn accelerates</x:t>
        </x:is>
      </x:c>
      <x:c r="R7" s="71" t="inlineStr">
        <x:is>
          <x:t xml:space="preserve">D-Wave Quantum (QBTS)</x:t>
        </x:is>
      </x:c>
      <x:c r="S7" s="206" t="inlineStr">
        <x:is>
          <x:t xml:space="preserve">2024-08-07</x:t>
        </x:is>
      </x:c>
      <x:c r="T7" s="71" t="inlineStr">
        <x:is>
          <x:t xml:space="preserve">Q2 2024 revenue $11.4m (+106% YoY), bookings $9.0m, cash $402.0m, net loss $37.6m; 99.9% fidelity and partial error correction added technical evidence. Strong progress, still negative owner earnings.</x:t>
        </x:is>
      </x:c>
      <x:c r="U7" s="71" t="inlineStr">
        <x:is>
          <x:t xml:space="preserve">UNSCORED — no point-in-time IV reconstruction</x:t>
        </x:is>
      </x:c>
      <x:c r="V7" s="71" t="inlineStr">
        <x:is>
          <x:t xml:space="preserve">UNSCORED</x:t>
        </x:is>
      </x:c>
      <x:c r="W7" s="71" t="inlineStr">
        <x:is>
          <x:t xml:space="preserve">UNSCORED</x:t>
        </x:is>
      </x:c>
      <x:c r="X7" s="71" t="n"/>
      <x:c r="Y7" s="71" t="inlineStr">
        <x:is>
          <x:t xml:space="preserve">NO</x:t>
        </x:is>
      </x:c>
      <x:c r="Z7" s="71" t="inlineStr">
        <x:is>
          <x:t xml:space="preserve">Look-ahead bias (fatal)</x:t>
        </x:is>
      </x:c>
      <x:c r="AA7" s="71" t="inlineStr">
        <x:is>
          <x:t xml:space="preserve">Blindly score revenue/bookings conversion and cash consumption; do not reward technical milestones as owner earnings.</x:t>
        </x:is>
      </x:c>
      <x:c r="AB7" s="71" t="inlineStr">
        <x:is>
          <x:t xml:space="preserve">NO</x:t>
        </x:is>
      </x:c>
      <x:c r="AC7" s="57" t="inlineStr">
        <x:is>
          <x:t xml:space="preserve">V10.1-DRYRUN</x:t>
        </x:is>
      </x:c>
      <x:c r="AD7" s="57" t="inlineStr">
        <x:is>
          <x:t xml:space="preserve">Retrospective reconstruction only; official IonQ Q2 2023 -&gt; Q2 2024 sources. Accuracy remains locked out.</x:t>
        </x:is>
      </x:c>
      <x:c r="AE7" s="79" t="inlineStr">
        <x:is>
          <x:t xml:space="preserve">DRY RUN</x:t>
        </x:is>
      </x:c>
      <x:c r="AF7" s="79" t="inlineStr">
        <x:is>
          <x:t xml:space="preserve">NO</x:t>
        </x:is>
      </x:c>
      <x:c r="AG7" s="214" t="n"/>
    </x:row>
    <x:row r="8">
      <x:c r="A8" s="57" t="inlineStr">
        <x:is>
          <x:t xml:space="preserve">C0003</x:t>
        </x:is>
      </x:c>
      <x:c r="B8" s="57" t="inlineStr">
        <x:is>
          <x:t xml:space="preserve">Development</x:t>
        </x:is>
      </x:c>
      <x:c r="C8" s="57" t="inlineStr">
        <x:is>
          <x:t xml:space="preserve">OPEN</x:t>
        </x:is>
      </x:c>
      <x:c r="D8" s="57" t="inlineStr">
        <x:is>
          <x:t xml:space="preserve">ARG-001</x:t>
        </x:is>
      </x:c>
      <x:c r="E8" s="75" t="str">
        <x:f>INDEX('Company Universe'!$B$6:$B$105,MATCH(D8,'Company Universe'!$A$6:$A$105,0))</x:f>
        <x:v>IonQ</x:v>
      </x:c>
      <x:c r="F8" s="75" t="str">
        <x:f>INDEX('Company Universe'!$C$6:$C$105,MATCH(D8,'Company Universe'!$A$6:$A$105,0))</x:f>
        <x:v>IONQ</x:v>
      </x:c>
      <x:c r="G8" s="75" t="str">
        <x:f>INDEX('Company Universe'!$F$6:$F$105,MATCH(D8,'Company Universe'!$A$6:$A$105,0))</x:f>
        <x:v>Quantum Computing</x:v>
      </x:c>
      <x:c r="H8" s="57" t="n">
        <x:v>3</x:v>
      </x:c>
      <x:c r="I8" s="206" t="inlineStr">
        <x:is>
          <x:t xml:space="preserve">2023-11-08</x:t>
        </x:is>
      </x:c>
      <x:c r="J8" s="71" t="n">
        <x:v>12</x:v>
      </x:c>
      <x:c r="K8" s="71" t="inlineStr">
        <x:is>
          <x:t xml:space="preserve">https://investors.ionq.com/news/news-details/2023/IonQ-Announces-Third-Quarter-2023-Financial-Results/default.aspx</x:t>
        </x:is>
      </x:c>
      <x:c r="L8" s="71" t="inlineStr">
        <x:is>
          <x:t xml:space="preserve">NO</x:t>
        </x:is>
      </x:c>
      <x:c r="M8" s="71" t="inlineStr">
        <x:is>
          <x:t xml:space="preserve">RECONSTRUCTED: AFRL $25.5m system sale and $58.4m YTD bookings validate demand; expect higher commercial traction, but government concentration and losses remain hard gates.</x:t>
        </x:is>
      </x:c>
      <x:c r="N8" s="71" t="inlineStr">
        <x:is>
          <x:t xml:space="preserve">Positive commercialization; owner economics negative</x:t>
        </x:is>
      </x:c>
      <x:c r="O8" s="71" t="inlineStr">
        <x:is>
          <x:t xml:space="preserve">Wider / highly assumption-sensitive</x:t>
        </x:is>
      </x:c>
      <x:c r="P8" s="71" t="inlineStr">
        <x:is>
          <x:t xml:space="preserve">WAIT / RESEARCH</x:t>
        </x:is>
      </x:c>
      <x:c r="Q8" s="71" t="inlineStr">
        <x:is>
          <x:t xml:space="preserve">Government concentration rises without repeat commercial demand; roadmap miss; cash runway deteriorates</x:t>
        </x:is>
      </x:c>
      <x:c r="R8" s="71" t="inlineStr">
        <x:is>
          <x:t xml:space="preserve">D-Wave Quantum (QBTS)</x:t>
        </x:is>
      </x:c>
      <x:c r="S8" s="206" t="inlineStr">
        <x:is>
          <x:t xml:space="preserve">2024-11-06</x:t>
        </x:is>
      </x:c>
      <x:c r="T8" s="71" t="inlineStr">
        <x:is>
          <x:t xml:space="preserve">Q3 2024 revenue $12.4m (+102% YoY), bookings $63.5m, cash $382.8m, net loss $52.5m; AFRL/networking strength increased and Qubitekk acquisition was announced. Progress strong; M&amp;A/stewardship risk increased.</x:t>
        </x:is>
      </x:c>
      <x:c r="U8" s="71" t="inlineStr">
        <x:is>
          <x:t xml:space="preserve">UNSCORED — no point-in-time IV reconstruction</x:t>
        </x:is>
      </x:c>
      <x:c r="V8" s="71" t="inlineStr">
        <x:is>
          <x:t xml:space="preserve">UNSCORED</x:t>
        </x:is>
      </x:c>
      <x:c r="W8" s="71" t="inlineStr">
        <x:is>
          <x:t xml:space="preserve">UNSCORED</x:t>
        </x:is>
      </x:c>
      <x:c r="X8" s="71" t="n"/>
      <x:c r="Y8" s="71" t="inlineStr">
        <x:is>
          <x:t xml:space="preserve">NO</x:t>
        </x:is>
      </x:c>
      <x:c r="Z8" s="71" t="inlineStr">
        <x:is>
          <x:t xml:space="preserve">Look-ahead bias (fatal)</x:t>
        </x:is>
      </x:c>
      <x:c r="AA8" s="71" t="inlineStr">
        <x:is>
          <x:t xml:space="preserve">Add government/customer concentration and acquisition discipline to quantum-specific Stewardship gate.</x:t>
        </x:is>
      </x:c>
      <x:c r="AB8" s="71" t="inlineStr">
        <x:is>
          <x:t xml:space="preserve">NO</x:t>
        </x:is>
      </x:c>
      <x:c r="AC8" s="57" t="inlineStr">
        <x:is>
          <x:t xml:space="preserve">V10.1-DRYRUN</x:t>
        </x:is>
      </x:c>
      <x:c r="AD8" s="57" t="inlineStr">
        <x:is>
          <x:t xml:space="preserve">Retrospective reconstruction only; official IonQ Q3 2023 -&gt; Q3 2024 sources. Accuracy remains locked out.</x:t>
        </x:is>
      </x:c>
      <x:c r="AE8" s="79" t="inlineStr">
        <x:is>
          <x:t xml:space="preserve">DRY RUN</x:t>
        </x:is>
      </x:c>
      <x:c r="AF8" s="79" t="inlineStr">
        <x:is>
          <x:t xml:space="preserve">NO</x:t>
        </x:is>
      </x:c>
      <x:c r="AG8" s="214" t="n"/>
    </x:row>
    <x:row r="9">
      <x:c r="A9" s="57" t="inlineStr">
        <x:is>
          <x:t xml:space="preserve">C0004</x:t>
        </x:is>
      </x:c>
      <x:c r="B9" s="57" t="inlineStr">
        <x:is>
          <x:t xml:space="preserve">Development</x:t>
        </x:is>
      </x:c>
      <x:c r="C9" s="57" t="inlineStr">
        <x:is>
          <x:t xml:space="preserve">OPEN</x:t>
        </x:is>
      </x:c>
      <x:c r="D9" s="57" t="inlineStr">
        <x:is>
          <x:t xml:space="preserve">ARG-001</x:t>
        </x:is>
      </x:c>
      <x:c r="E9" s="75" t="str">
        <x:f>INDEX('Company Universe'!$B$6:$B$105,MATCH(D9,'Company Universe'!$A$6:$A$105,0))</x:f>
        <x:v>IonQ</x:v>
      </x:c>
      <x:c r="F9" s="75" t="str">
        <x:f>INDEX('Company Universe'!$C$6:$C$105,MATCH(D9,'Company Universe'!$A$6:$A$105,0))</x:f>
        <x:v>IONQ</x:v>
      </x:c>
      <x:c r="G9" s="75" t="str">
        <x:f>INDEX('Company Universe'!$F$6:$F$105,MATCH(D9,'Company Universe'!$A$6:$A$105,0))</x:f>
        <x:v>Quantum Computing</x:v>
      </x:c>
      <x:c r="H9" s="57" t="n">
        <x:v>4</x:v>
      </x:c>
      <x:c r="I9" s="206" t="inlineStr">
        <x:is>
          <x:t xml:space="preserve">2024-02-28</x:t>
        </x:is>
      </x:c>
      <x:c r="J9" s="71" t="n">
        <x:v>12</x:v>
      </x:c>
      <x:c r="K9" s="71" t="inlineStr">
        <x:is>
          <x:t xml:space="preserve">https://investors.ionq.com/news/news-details/2024/IonQ-Announces-Fourth-Quarter-and-Full-Year-2023-Financial-Results/</x:t>
        </x:is>
      </x:c>
      <x:c r="L9" s="71" t="inlineStr">
        <x:is>
          <x:t xml:space="preserve">NO</x:t>
        </x:is>
      </x:c>
      <x:c r="M9" s="71" t="inlineStr">
        <x:is>
          <x:t xml:space="preserve">RECONSTRUCTED: FY23 revenue +98%, bookings +166%, AQ35 early; expect continued growth but valuation still depends on distant commercialization and negative cash economics.</x:t>
        </x:is>
      </x:c>
      <x:c r="N9" s="71" t="inlineStr">
        <x:is>
          <x:t xml:space="preserve">Positive revenue/bookings trajectory; owner earnings remain negative</x:t>
        </x:is>
      </x:c>
      <x:c r="O9" s="71" t="inlineStr">
        <x:is>
          <x:t xml:space="preserve">Wider / highly assumption-sensitive</x:t>
        </x:is>
      </x:c>
      <x:c r="P9" s="71" t="inlineStr">
        <x:is>
          <x:t xml:space="preserve">WAIT / RESEARCH</x:t>
        </x:is>
      </x:c>
      <x:c r="Q9" s="71" t="inlineStr">
        <x:is>
          <x:t xml:space="preserve">Bookings decelerate materially; AQ roadmap fails; cash burn requires distressed financing</x:t>
        </x:is>
      </x:c>
      <x:c r="R9" s="71" t="inlineStr">
        <x:is>
          <x:t xml:space="preserve">D-Wave Quantum (QBTS)</x:t>
        </x:is>
      </x:c>
      <x:c r="S9" s="206" t="inlineStr">
        <x:is>
          <x:t xml:space="preserve">2025-02-26</x:t>
        </x:is>
      </x:c>
      <x:c r="T9" s="71" t="inlineStr">
        <x:is>
          <x:t xml:space="preserve">FY2024 revenue $43.1m (+95%), bookings $95.6m, cash $363.8m; networking contracts and ID Quantique transaction expanded the platform. Fundamental thesis improved, but owner earnings were still not established.</x:t>
        </x:is>
      </x:c>
      <x:c r="U9" s="71" t="inlineStr">
        <x:is>
          <x:t xml:space="preserve">UNSCORED — no point-in-time IV reconstruction</x:t>
        </x:is>
      </x:c>
      <x:c r="V9" s="71" t="inlineStr">
        <x:is>
          <x:t xml:space="preserve">UNSCORED</x:t>
        </x:is>
      </x:c>
      <x:c r="W9" s="71" t="inlineStr">
        <x:is>
          <x:t xml:space="preserve">UNSCORED</x:t>
        </x:is>
      </x:c>
      <x:c r="X9" s="71" t="n"/>
      <x:c r="Y9" s="71" t="inlineStr">
        <x:is>
          <x:t xml:space="preserve">NO</x:t>
        </x:is>
      </x:c>
      <x:c r="Z9" s="71" t="inlineStr">
        <x:is>
          <x:t xml:space="preserve">Look-ahead bias (fatal)</x:t>
        </x:is>
      </x:c>
      <x:c r="AA9" s="71" t="inlineStr">
        <x:is>
          <x:t xml:space="preserve">Use separate technical/commercial score and owner-economics score; never let top-line acceleration automatically pass valuation gate.</x:t>
        </x:is>
      </x:c>
      <x:c r="AB9" s="71" t="inlineStr">
        <x:is>
          <x:t xml:space="preserve">NO</x:t>
        </x:is>
      </x:c>
      <x:c r="AC9" s="57" t="inlineStr">
        <x:is>
          <x:t xml:space="preserve">V10.1-DRYRUN</x:t>
        </x:is>
      </x:c>
      <x:c r="AD9" s="57" t="inlineStr">
        <x:is>
          <x:t xml:space="preserve">Retrospective reconstruction only; official FY2023 -&gt; FY2024 IonQ results. Accuracy remains locked out.</x:t>
        </x:is>
      </x:c>
      <x:c r="AE9" s="79" t="inlineStr">
        <x:is>
          <x:t xml:space="preserve">DRY RUN</x:t>
        </x:is>
      </x:c>
      <x:c r="AF9" s="79" t="inlineStr">
        <x:is>
          <x:t xml:space="preserve">NO</x:t>
        </x:is>
      </x:c>
      <x:c r="AG9" s="214" t="n"/>
    </x:row>
    <x:row r="10">
      <x:c r="A10" s="57" t="inlineStr">
        <x:is>
          <x:t xml:space="preserve">C0005</x:t>
        </x:is>
      </x:c>
      <x:c r="B10" s="57" t="inlineStr">
        <x:is>
          <x:t xml:space="preserve">Development</x:t>
        </x:is>
      </x:c>
      <x:c r="C10" s="57" t="inlineStr">
        <x:is>
          <x:t xml:space="preserve">OPEN</x:t>
        </x:is>
      </x:c>
      <x:c r="D10" s="57" t="inlineStr">
        <x:is>
          <x:t xml:space="preserve">ARG-001</x:t>
        </x:is>
      </x:c>
      <x:c r="E10" s="75" t="str">
        <x:f>INDEX('Company Universe'!$B$6:$B$105,MATCH(D10,'Company Universe'!$A$6:$A$105,0))</x:f>
        <x:v>IonQ</x:v>
      </x:c>
      <x:c r="F10" s="75" t="str">
        <x:f>INDEX('Company Universe'!$C$6:$C$105,MATCH(D10,'Company Universe'!$A$6:$A$105,0))</x:f>
        <x:v>IONQ</x:v>
      </x:c>
      <x:c r="G10" s="75" t="str">
        <x:f>INDEX('Company Universe'!$F$6:$F$105,MATCH(D10,'Company Universe'!$A$6:$A$105,0))</x:f>
        <x:v>Quantum Computing</x:v>
      </x:c>
      <x:c r="H10" s="57" t="n">
        <x:v>5</x:v>
      </x:c>
      <x:c r="I10" s="206" t="inlineStr">
        <x:is>
          <x:t xml:space="preserve">2024-05-08</x:t>
        </x:is>
      </x:c>
      <x:c r="J10" s="71" t="n">
        <x:v>12</x:v>
      </x:c>
      <x:c r="K10" s="71" t="inlineStr">
        <x:is>
          <x:t xml:space="preserve">https://investors.ionq.com/news/news-details/2024/IonQ-Announces-First-Quarter-2024-Financial-Results/default.aspx</x:t>
        </x:is>
      </x:c>
      <x:c r="L10" s="71" t="inlineStr">
        <x:is>
          <x:t xml:space="preserve">NO</x:t>
        </x:is>
      </x:c>
      <x:c r="M10" s="71" t="inlineStr">
        <x:is>
          <x:t xml:space="preserve">RECONSTRUCTED: Q1 revenue +77% and pipeline larger, but only $0.3m new bookings shows lumpiness. Expect business progress without a clean owner-earnings inflection.</x:t>
        </x:is>
      </x:c>
      <x:c r="N10" s="71" t="inlineStr">
        <x:is>
          <x:t xml:space="preserve">Mixed-positive; commercialization grows but quarter-to-quarter bookings lumpy</x:t>
        </x:is>
      </x:c>
      <x:c r="O10" s="71" t="inlineStr">
        <x:is>
          <x:t xml:space="preserve">Wider / highly assumption-sensitive</x:t>
        </x:is>
      </x:c>
      <x:c r="P10" s="71" t="inlineStr">
        <x:is>
          <x:t xml:space="preserve">WAIT / RESEARCH</x:t>
        </x:is>
      </x:c>
      <x:c r="Q10" s="71" t="inlineStr">
        <x:is>
          <x:t xml:space="preserve">Pipeline fails to become bookings; burn accelerates; technical advantage narrows</x:t>
        </x:is>
      </x:c>
      <x:c r="R10" s="71" t="inlineStr">
        <x:is>
          <x:t xml:space="preserve">D-Wave Quantum (QBTS)</x:t>
        </x:is>
      </x:c>
      <x:c r="S10" s="206" t="inlineStr">
        <x:is>
          <x:t xml:space="preserve">2025-05-07</x:t>
        </x:is>
      </x:c>
      <x:c r="T10" s="71" t="inlineStr">
        <x:is>
          <x:t xml:space="preserve">Q1 2025 revenue was $7.6m, flat YoY; cash rose to $697.1m because of a $372.6m ATM facility; net loss $32.3m. Commercial/M&amp;A activity advanced, but financing—not owner cash generation—drove balance-sheet strength.</x:t>
        </x:is>
      </x:c>
      <x:c r="U10" s="71" t="inlineStr">
        <x:is>
          <x:t xml:space="preserve">UNSCORED — no point-in-time IV reconstruction</x:t>
        </x:is>
      </x:c>
      <x:c r="V10" s="71" t="inlineStr">
        <x:is>
          <x:t xml:space="preserve">UNSCORED</x:t>
        </x:is>
      </x:c>
      <x:c r="W10" s="71" t="inlineStr">
        <x:is>
          <x:t xml:space="preserve">UNSCORED</x:t>
        </x:is>
      </x:c>
      <x:c r="X10" s="71" t="n"/>
      <x:c r="Y10" s="71" t="inlineStr">
        <x:is>
          <x:t xml:space="preserve">NO</x:t>
        </x:is>
      </x:c>
      <x:c r="Z10" s="71" t="inlineStr">
        <x:is>
          <x:t xml:space="preserve">Look-ahead bias (fatal)</x:t>
        </x:is>
      </x:c>
      <x:c r="AA10" s="71" t="inlineStr">
        <x:is>
          <x:t xml:space="preserve">Explicitly decompose cash growth into operating generation vs equity financing; treat dilution as economic cost.</x:t>
        </x:is>
      </x:c>
      <x:c r="AB10" s="71" t="inlineStr">
        <x:is>
          <x:t xml:space="preserve">NO</x:t>
        </x:is>
      </x:c>
      <x:c r="AC10" s="57" t="inlineStr">
        <x:is>
          <x:t xml:space="preserve">V10.1-DRYRUN</x:t>
        </x:is>
      </x:c>
      <x:c r="AD10" s="57" t="inlineStr">
        <x:is>
          <x:t xml:space="preserve">Retrospective reconstruction only; Q1 2024 -&gt; Q1 2025. Key lesson: cash balance can improve while owner economics do not.</x:t>
        </x:is>
      </x:c>
      <x:c r="AE10" s="79" t="inlineStr">
        <x:is>
          <x:t xml:space="preserve">DRY RUN</x:t>
        </x:is>
      </x:c>
      <x:c r="AF10" s="79" t="inlineStr">
        <x:is>
          <x:t xml:space="preserve">NO</x:t>
        </x:is>
      </x:c>
      <x:c r="AG10" s="214" t="n"/>
    </x:row>
    <x:row r="11">
      <x:c r="A11" s="57" t="inlineStr">
        <x:is>
          <x:t xml:space="preserve">C0006</x:t>
        </x:is>
      </x:c>
      <x:c r="B11" s="57" t="inlineStr">
        <x:is>
          <x:t xml:space="preserve">Development</x:t>
        </x:is>
      </x:c>
      <x:c r="C11" s="57" t="inlineStr">
        <x:is>
          <x:t xml:space="preserve">OPEN</x:t>
        </x:is>
      </x:c>
      <x:c r="D11" s="57" t="inlineStr">
        <x:is>
          <x:t xml:space="preserve">ARG-001</x:t>
        </x:is>
      </x:c>
      <x:c r="E11" s="75" t="str">
        <x:f>INDEX('Company Universe'!$B$6:$B$105,MATCH(D11,'Company Universe'!$A$6:$A$105,0))</x:f>
        <x:v>IonQ</x:v>
      </x:c>
      <x:c r="F11" s="75" t="str">
        <x:f>INDEX('Company Universe'!$C$6:$C$105,MATCH(D11,'Company Universe'!$A$6:$A$105,0))</x:f>
        <x:v>IONQ</x:v>
      </x:c>
      <x:c r="G11" s="75" t="str">
        <x:f>INDEX('Company Universe'!$F$6:$F$105,MATCH(D11,'Company Universe'!$A$6:$A$105,0))</x:f>
        <x:v>Quantum Computing</x:v>
      </x:c>
      <x:c r="H11" s="57" t="n">
        <x:v>6</x:v>
      </x:c>
      <x:c r="I11" s="206" t="inlineStr">
        <x:is>
          <x:t xml:space="preserve">2024-08-07</x:t>
        </x:is>
      </x:c>
      <x:c r="J11" s="71" t="n">
        <x:v>12</x:v>
      </x:c>
      <x:c r="K11" s="71" t="inlineStr">
        <x:is>
          <x:t xml:space="preserve">https://investors.ionq.com/news/news-details/2024/IonQ-Announces-Second-Quarter-2024-Financial-Results/</x:t>
        </x:is>
      </x:c>
      <x:c r="L11" s="71" t="inlineStr">
        <x:is>
          <x:t xml:space="preserve">NO</x:t>
        </x:is>
      </x:c>
      <x:c r="M11" s="71" t="inlineStr">
        <x:is>
          <x:t xml:space="preserve">RECONSTRUCTED: Q2 revenue +106%, 99.9% fidelity and partial error correction strengthen technical case; expect higher commercialization, while negative EBITDA and cash burn keep valuation fragile.</x:t>
        </x:is>
      </x:c>
      <x:c r="N11" s="71" t="inlineStr">
        <x:is>
          <x:t xml:space="preserve">Positive technical/commercial progress; owner earnings remain negative</x:t>
        </x:is>
      </x:c>
      <x:c r="O11" s="71" t="inlineStr">
        <x:is>
          <x:t xml:space="preserve">Wider / highly assumption-sensitive</x:t>
        </x:is>
      </x:c>
      <x:c r="P11" s="71" t="inlineStr">
        <x:is>
          <x:t xml:space="preserve">WAIT / RESEARCH</x:t>
        </x:is>
      </x:c>
      <x:c r="Q11" s="71" t="inlineStr">
        <x:is>
          <x:t xml:space="preserve">Technical milestones fail to convert to customer revenue; cash burn accelerates; dilution rises</x:t>
        </x:is>
      </x:c>
      <x:c r="R11" s="71" t="inlineStr">
        <x:is>
          <x:t xml:space="preserve">D-Wave Quantum (QBTS)</x:t>
        </x:is>
      </x:c>
      <x:c r="S11" s="206" t="inlineStr">
        <x:is>
          <x:t xml:space="preserve">2025-08-06</x:t>
        </x:is>
      </x:c>
      <x:c r="T11" s="71" t="inlineStr">
        <x:is>
          <x:t xml:space="preserve">Q2 2025 revenue $20.7m, but net loss $177.5m and adjusted EBITDA loss $36.5m; cash was strengthened by a $1.0bn equity financing while IonQ pursued Oxford Ionics/Lightsynq/Capella. Strong growth, but dilution and M&amp;A became central owner-economics risks.</x:t>
        </x:is>
      </x:c>
      <x:c r="U11" s="71" t="inlineStr">
        <x:is>
          <x:t xml:space="preserve">UNSCORED — no point-in-time IV reconstruction</x:t>
        </x:is>
      </x:c>
      <x:c r="V11" s="71" t="inlineStr">
        <x:is>
          <x:t xml:space="preserve">UNSCORED</x:t>
        </x:is>
      </x:c>
      <x:c r="W11" s="71" t="inlineStr">
        <x:is>
          <x:t xml:space="preserve">UNSCORED</x:t>
        </x:is>
      </x:c>
      <x:c r="X11" s="71" t="n"/>
      <x:c r="Y11" s="71" t="inlineStr">
        <x:is>
          <x:t xml:space="preserve">NO</x:t>
        </x:is>
      </x:c>
      <x:c r="Z11" s="71" t="inlineStr">
        <x:is>
          <x:t xml:space="preserve">Look-ahead bias (fatal)</x:t>
        </x:is>
      </x:c>
      <x:c r="AA11" s="71" t="inlineStr">
        <x:is>
          <x:t xml:space="preserve">Quantum Stewardship gate must charge equity issuance, SBC and acquisition spend against per-share owner value, not just corporate revenue growth.</x:t>
        </x:is>
      </x:c>
      <x:c r="AB11" s="71" t="inlineStr">
        <x:is>
          <x:t xml:space="preserve">NO</x:t>
        </x:is>
      </x:c>
      <x:c r="AC11" s="57" t="inlineStr">
        <x:is>
          <x:t xml:space="preserve">V10.1-DRYRUN</x:t>
        </x:is>
      </x:c>
      <x:c r="AD11" s="57" t="inlineStr">
        <x:is>
          <x:t xml:space="preserve">Retrospective reconstruction only; Q2 2024 -&gt; Q2 2025. This is the clearest demonstration that company progress != investability.</x:t>
        </x:is>
      </x:c>
      <x:c r="AE11" s="79" t="inlineStr">
        <x:is>
          <x:t xml:space="preserve">DRY RUN</x:t>
        </x:is>
      </x:c>
      <x:c r="AF11" s="79" t="inlineStr">
        <x:is>
          <x:t xml:space="preserve">NO</x:t>
        </x:is>
      </x:c>
      <x:c r="AG11" s="214" t="n"/>
    </x:row>
    <x:row r="12">
      <x:c r="A12" s="57" t="inlineStr">
        <x:is>
          <x:t xml:space="preserve">C0007</x:t>
        </x:is>
      </x:c>
      <x:c r="B12" s="57" t="inlineStr">
        <x:is>
          <x:t xml:space="preserve">Development</x:t>
        </x:is>
      </x:c>
      <x:c r="C12" s="57" t="inlineStr">
        <x:is>
          <x:t xml:space="preserve">OPEN</x:t>
        </x:is>
      </x:c>
      <x:c r="D12" s="57" t="inlineStr">
        <x:is>
          <x:t xml:space="preserve">ARG-001</x:t>
        </x:is>
      </x:c>
      <x:c r="E12" s="75" t="str">
        <x:f>INDEX('Company Universe'!$B$6:$B$105,MATCH(D12,'Company Universe'!$A$6:$A$105,0))</x:f>
        <x:v>IonQ</x:v>
      </x:c>
      <x:c r="F12" s="75" t="str">
        <x:f>INDEX('Company Universe'!$C$6:$C$105,MATCH(D12,'Company Universe'!$A$6:$A$105,0))</x:f>
        <x:v>IONQ</x:v>
      </x:c>
      <x:c r="G12" s="75" t="str">
        <x:f>INDEX('Company Universe'!$F$6:$F$105,MATCH(D12,'Company Universe'!$A$6:$A$105,0))</x:f>
        <x:v>Quantum Computing</x:v>
      </x:c>
      <x:c r="H12" s="57" t="n">
        <x:v>7</x:v>
      </x:c>
      <x:c r="I12" s="206" t="inlineStr">
        <x:is>
          <x:t xml:space="preserve">2024-11-06</x:t>
        </x:is>
      </x:c>
      <x:c r="J12" s="71" t="n">
        <x:v>12</x:v>
      </x:c>
      <x:c r="K12" s="71" t="inlineStr">
        <x:is>
          <x:t xml:space="preserve">https://investors.ionq.com/news/news-details/2024/IonQ-Announces-Third-Quarter-2024-Financial-Results/default.aspx</x:t>
        </x:is>
      </x:c>
      <x:c r="L12" s="71" t="inlineStr">
        <x:is>
          <x:t xml:space="preserve">NO</x:t>
        </x:is>
      </x:c>
      <x:c r="M12" s="71" t="inlineStr">
        <x:is>
          <x:t xml:space="preserve">RECONSTRUCTED: $63.5m bookings and networking expansion point to stronger revenue, but the Qubitekk deal makes acquisition discipline a new fatal-gate input.</x:t>
        </x:is>
      </x:c>
      <x:c r="N12" s="71" t="inlineStr">
        <x:is>
          <x:t xml:space="preserve">Positive growth with rising M&amp;A complexity</x:t>
        </x:is>
      </x:c>
      <x:c r="O12" s="71" t="inlineStr">
        <x:is>
          <x:t xml:space="preserve">Wider / acquisition-sensitive</x:t>
        </x:is>
      </x:c>
      <x:c r="P12" s="71" t="inlineStr">
        <x:is>
          <x:t xml:space="preserve">WAIT / RESEARCH</x:t>
        </x:is>
      </x:c>
      <x:c r="Q12" s="71" t="inlineStr">
        <x:is>
          <x:t xml:space="preserve">Acquisitions dilute focus or require repeated equity; bookings quality weakens; roadmap slips</x:t>
        </x:is>
      </x:c>
      <x:c r="R12" s="71" t="inlineStr">
        <x:is>
          <x:t xml:space="preserve">D-Wave Quantum (QBTS)</x:t>
        </x:is>
      </x:c>
      <x:c r="S12" s="206" t="inlineStr">
        <x:is>
          <x:t xml:space="preserve">2025-11-05</x:t>
        </x:is>
      </x:c>
      <x:c r="T12" s="71" t="inlineStr">
        <x:is>
          <x:t xml:space="preserve">Q3 2025 revenue $39.9m (+222% YoY); 99.99% two-qubit fidelity and AQ64 supported the roadmap. Cash was $1.5bn and $3.5bn pro forma after a $2bn equity offering; net loss was $1.1bn. Technical/commercial evidence surged together with external-capital dependence.</x:t>
        </x:is>
      </x:c>
      <x:c r="U12" s="71" t="inlineStr">
        <x:is>
          <x:t xml:space="preserve">UNSCORED — no point-in-time IV reconstruction</x:t>
        </x:is>
      </x:c>
      <x:c r="V12" s="71" t="inlineStr">
        <x:is>
          <x:t xml:space="preserve">UNSCORED</x:t>
        </x:is>
      </x:c>
      <x:c r="W12" s="71" t="inlineStr">
        <x:is>
          <x:t xml:space="preserve">UNSCORED</x:t>
        </x:is>
      </x:c>
      <x:c r="X12" s="71" t="n"/>
      <x:c r="Y12" s="71" t="inlineStr">
        <x:is>
          <x:t xml:space="preserve">NO</x:t>
        </x:is>
      </x:c>
      <x:c r="Z12" s="71" t="inlineStr">
        <x:is>
          <x:t xml:space="preserve">Look-ahead bias (fatal)</x:t>
        </x:is>
      </x:c>
      <x:c r="AA12" s="71" t="inlineStr">
        <x:is>
          <x:t xml:space="preserve">Add per-share value bridge: organic revenue + acquired revenue + equity issued + goodwill/intangibles + normalized losses.</x:t>
        </x:is>
      </x:c>
      <x:c r="AB12" s="71" t="inlineStr">
        <x:is>
          <x:t xml:space="preserve">NO</x:t>
        </x:is>
      </x:c>
      <x:c r="AC12" s="57" t="inlineStr">
        <x:is>
          <x:t xml:space="preserve">V10.1-DRYRUN</x:t>
        </x:is>
      </x:c>
      <x:c r="AD12" s="57" t="inlineStr">
        <x:is>
          <x:t xml:space="preserve">Retrospective reconstruction only; Q3 2024 -&gt; Q3 2025. No accuracy credit.</x:t>
        </x:is>
      </x:c>
      <x:c r="AE12" s="79" t="inlineStr">
        <x:is>
          <x:t xml:space="preserve">DRY RUN</x:t>
        </x:is>
      </x:c>
      <x:c r="AF12" s="79" t="inlineStr">
        <x:is>
          <x:t xml:space="preserve">NO</x:t>
        </x:is>
      </x:c>
      <x:c r="AG12" s="214" t="n"/>
    </x:row>
    <x:row r="13">
      <x:c r="A13" s="57" t="inlineStr">
        <x:is>
          <x:t xml:space="preserve">C0008</x:t>
        </x:is>
      </x:c>
      <x:c r="B13" s="57" t="inlineStr">
        <x:is>
          <x:t xml:space="preserve">Development</x:t>
        </x:is>
      </x:c>
      <x:c r="C13" s="57" t="inlineStr">
        <x:is>
          <x:t xml:space="preserve">OPEN</x:t>
        </x:is>
      </x:c>
      <x:c r="D13" s="57" t="inlineStr">
        <x:is>
          <x:t xml:space="preserve">ARG-001</x:t>
        </x:is>
      </x:c>
      <x:c r="E13" s="75" t="str">
        <x:f>INDEX('Company Universe'!$B$6:$B$105,MATCH(D13,'Company Universe'!$A$6:$A$105,0))</x:f>
        <x:v>IonQ</x:v>
      </x:c>
      <x:c r="F13" s="75" t="str">
        <x:f>INDEX('Company Universe'!$C$6:$C$105,MATCH(D13,'Company Universe'!$A$6:$A$105,0))</x:f>
        <x:v>IONQ</x:v>
      </x:c>
      <x:c r="G13" s="75" t="str">
        <x:f>INDEX('Company Universe'!$F$6:$F$105,MATCH(D13,'Company Universe'!$A$6:$A$105,0))</x:f>
        <x:v>Quantum Computing</x:v>
      </x:c>
      <x:c r="H13" s="57" t="n">
        <x:v>8</x:v>
      </x:c>
      <x:c r="I13" s="206" t="inlineStr">
        <x:is>
          <x:t xml:space="preserve">2025-02-26</x:t>
        </x:is>
      </x:c>
      <x:c r="J13" s="71" t="n">
        <x:v>12</x:v>
      </x:c>
      <x:c r="K13" s="71" t="inlineStr">
        <x:is>
          <x:t xml:space="preserve">https://investors.ionq.com/news/news-details/2025/IonQ-Announces-Fourth-Quarter-and-Full-Year-2024-Financial-Results/default.aspx</x:t>
        </x:is>
      </x:c>
      <x:c r="L13" s="71" t="inlineStr">
        <x:is>
          <x:t xml:space="preserve">NO</x:t>
        </x:is>
      </x:c>
      <x:c r="M13" s="71" t="inlineStr">
        <x:is>
          <x:t xml:space="preserve">RECONSTRUCTED: FY24 revenue +95% and bookings $95.6m demonstrate scaling; ID Quantique/networking can broaden TAM, but M&amp;A plus negative economics widen the range of outcomes.</x:t>
        </x:is>
      </x:c>
      <x:c r="N13" s="71" t="inlineStr">
        <x:is>
          <x:t xml:space="preserve">Strong growth; business mix broadens; owner earnings still negative</x:t>
        </x:is>
      </x:c>
      <x:c r="O13" s="71" t="inlineStr">
        <x:is>
          <x:t xml:space="preserve">Wider / acquisition-sensitive</x:t>
        </x:is>
      </x:c>
      <x:c r="P13" s="71" t="inlineStr">
        <x:is>
          <x:t xml:space="preserve">WAIT / RESEARCH</x:t>
        </x:is>
      </x:c>
      <x:c r="Q13" s="71" t="inlineStr">
        <x:is>
          <x:t xml:space="preserve">Organic growth stalls behind acquisitions; equity funding accelerates; integration fails</x:t>
        </x:is>
      </x:c>
      <x:c r="R13" s="71" t="inlineStr">
        <x:is>
          <x:t xml:space="preserve">D-Wave Quantum (QBTS)</x:t>
        </x:is>
      </x:c>
      <x:c r="S13" s="206" t="inlineStr">
        <x:is>
          <x:t xml:space="preserve">2026-02-25</x:t>
        </x:is>
      </x:c>
      <x:c r="T13" s="71" t="inlineStr">
        <x:is>
          <x:t xml:space="preserve">FY2025 revenue $130.0m (+202%), with company-reported nearly 80% organic growth; cash $3.3bn. Full-year net loss was $510.4m and adjusted EBITDA loss $186.8m. Commercial breadth improved dramatically, while normalized owner earnings remained negative.</x:t>
        </x:is>
      </x:c>
      <x:c r="U13" s="71" t="inlineStr">
        <x:is>
          <x:t xml:space="preserve">UNSCORED — no point-in-time IV reconstruction</x:t>
        </x:is>
      </x:c>
      <x:c r="V13" s="71" t="inlineStr">
        <x:is>
          <x:t xml:space="preserve">UNSCORED</x:t>
        </x:is>
      </x:c>
      <x:c r="W13" s="71" t="inlineStr">
        <x:is>
          <x:t xml:space="preserve">UNSCORED</x:t>
        </x:is>
      </x:c>
      <x:c r="X13" s="71" t="n"/>
      <x:c r="Y13" s="71" t="inlineStr">
        <x:is>
          <x:t xml:space="preserve">NO</x:t>
        </x:is>
      </x:c>
      <x:c r="Z13" s="71" t="inlineStr">
        <x:is>
          <x:t xml:space="preserve">Look-ahead bias (fatal)</x:t>
        </x:is>
      </x:c>
      <x:c r="AA13" s="71" t="inlineStr">
        <x:is>
          <x:t xml:space="preserve">Require organic-vs-acquired revenue attribution and per-share economics before upgrading a quantum company from WAIT to ownership candidate.</x:t>
        </x:is>
      </x:c>
      <x:c r="AB13" s="71" t="inlineStr">
        <x:is>
          <x:t xml:space="preserve">NO</x:t>
        </x:is>
      </x:c>
      <x:c r="AC13" s="57" t="inlineStr">
        <x:is>
          <x:t xml:space="preserve">V10.1-DRYRUN</x:t>
        </x:is>
      </x:c>
      <x:c r="AD13" s="57" t="inlineStr">
        <x:is>
          <x:t xml:space="preserve">Retrospective reconstruction only; FY2024 -&gt; FY2025. No accuracy credit.</x:t>
        </x:is>
      </x:c>
      <x:c r="AE13" s="79" t="inlineStr">
        <x:is>
          <x:t xml:space="preserve">DRY RUN</x:t>
        </x:is>
      </x:c>
      <x:c r="AF13" s="79" t="inlineStr">
        <x:is>
          <x:t xml:space="preserve">NO</x:t>
        </x:is>
      </x:c>
      <x:c r="AG13" s="214" t="n"/>
    </x:row>
    <x:row r="14">
      <x:c r="A14" s="57" t="inlineStr">
        <x:is>
          <x:t xml:space="preserve">C0009</x:t>
        </x:is>
      </x:c>
      <x:c r="B14" s="57" t="inlineStr">
        <x:is>
          <x:t xml:space="preserve">Development</x:t>
        </x:is>
      </x:c>
      <x:c r="C14" s="57" t="inlineStr">
        <x:is>
          <x:t xml:space="preserve">OPEN</x:t>
        </x:is>
      </x:c>
      <x:c r="D14" s="57" t="inlineStr">
        <x:is>
          <x:t xml:space="preserve">ARG-001</x:t>
        </x:is>
      </x:c>
      <x:c r="E14" s="75" t="str">
        <x:f>INDEX('Company Universe'!$B$6:$B$105,MATCH(D14,'Company Universe'!$A$6:$A$105,0))</x:f>
        <x:v>IonQ</x:v>
      </x:c>
      <x:c r="F14" s="75" t="str">
        <x:f>INDEX('Company Universe'!$C$6:$C$105,MATCH(D14,'Company Universe'!$A$6:$A$105,0))</x:f>
        <x:v>IONQ</x:v>
      </x:c>
      <x:c r="G14" s="75" t="str">
        <x:f>INDEX('Company Universe'!$F$6:$F$105,MATCH(D14,'Company Universe'!$A$6:$A$105,0))</x:f>
        <x:v>Quantum Computing</x:v>
      </x:c>
      <x:c r="H14" s="57" t="n">
        <x:v>9</x:v>
      </x:c>
      <x:c r="I14" s="206" t="inlineStr">
        <x:is>
          <x:t xml:space="preserve">2025-05-07</x:t>
        </x:is>
      </x:c>
      <x:c r="J14" s="71" t="n">
        <x:v>12</x:v>
      </x:c>
      <x:c r="K14" s="71" t="inlineStr">
        <x:is>
          <x:t xml:space="preserve">https://investors.ionq.com/news/news-details/2025/IonQ-Announces-First-Quarter-Financial-Results/default.aspx</x:t>
        </x:is>
      </x:c>
      <x:c r="L14" s="71" t="inlineStr">
        <x:is>
          <x:t xml:space="preserve">NO</x:t>
        </x:is>
      </x:c>
      <x:c r="M14" s="71" t="inlineStr">
        <x:is>
          <x:t xml:space="preserve">RECONSTRUCTED: Revenue flat YoY but EPB deal, IDQ close and platform expansion suggest future acceleration. ATM financing extends runway but is dilution, not owner earnings.</x:t>
        </x:is>
      </x:c>
      <x:c r="N14" s="71" t="inlineStr">
        <x:is>
          <x:t xml:space="preserve">Commercial acceleration likely after a flat revenue quarter; dilution remains material</x:t>
        </x:is>
      </x:c>
      <x:c r="O14" s="71" t="inlineStr">
        <x:is>
          <x:t xml:space="preserve">Wider / dilution-sensitive</x:t>
        </x:is>
      </x:c>
      <x:c r="P14" s="71" t="inlineStr">
        <x:is>
          <x:t xml:space="preserve">WAIT / RESEARCH</x:t>
        </x:is>
      </x:c>
      <x:c r="Q14" s="71" t="inlineStr">
        <x:is>
          <x:t xml:space="preserve">Commercial wins fail to become recognized revenue; acquisition integration weak; share count rises faster than per-share value</x:t>
        </x:is>
      </x:c>
      <x:c r="R14" s="71" t="inlineStr">
        <x:is>
          <x:t xml:space="preserve">D-Wave Quantum (QBTS)</x:t>
        </x:is>
      </x:c>
      <x:c r="S14" s="206" t="inlineStr">
        <x:is>
          <x:t xml:space="preserve">2026-05-06</x:t>
        </x:is>
      </x:c>
      <x:c r="T14" s="71" t="inlineStr">
        <x:is>
          <x:t xml:space="preserve">Q1 2026 revenue $64.7m (+755% YoY), cash $3.1bn, first 256-qubit system sale and broader multi-product revenue. Adjusted EBITDA loss was $96.8m. The predicted business acceleration occurred, but owner economics still did not pass.</x:t>
        </x:is>
      </x:c>
      <x:c r="U14" s="71" t="inlineStr">
        <x:is>
          <x:t xml:space="preserve">UNSCORED — no point-in-time IV reconstruction</x:t>
        </x:is>
      </x:c>
      <x:c r="V14" s="71" t="inlineStr">
        <x:is>
          <x:t xml:space="preserve">UNSCORED</x:t>
        </x:is>
      </x:c>
      <x:c r="W14" s="71" t="inlineStr">
        <x:is>
          <x:t xml:space="preserve">UNSCORED</x:t>
        </x:is>
      </x:c>
      <x:c r="X14" s="71" t="n"/>
      <x:c r="Y14" s="71" t="inlineStr">
        <x:is>
          <x:t xml:space="preserve">NO</x:t>
        </x:is>
      </x:c>
      <x:c r="Z14" s="71" t="inlineStr">
        <x:is>
          <x:t xml:space="preserve">Look-ahead bias (fatal)</x:t>
        </x:is>
      </x:c>
      <x:c r="AA14" s="71" t="inlineStr">
        <x:is>
          <x:t xml:space="preserve">Track per-share commercial progress: revenue/RPO growth must be compared with share-count growth and acquisition capital consumed.</x:t>
        </x:is>
      </x:c>
      <x:c r="AB14" s="71" t="inlineStr">
        <x:is>
          <x:t xml:space="preserve">NO</x:t>
        </x:is>
      </x:c>
      <x:c r="AC14" s="57" t="inlineStr">
        <x:is>
          <x:t xml:space="preserve">V10.1-DRYRUN</x:t>
        </x:is>
      </x:c>
      <x:c r="AD14" s="57" t="inlineStr">
        <x:is>
          <x:t xml:space="preserve">Retrospective reconstruction only; Q1 2025 -&gt; Q1 2026. No accuracy credit.</x:t>
        </x:is>
      </x:c>
      <x:c r="AE14" s="79" t="inlineStr">
        <x:is>
          <x:t xml:space="preserve">DRY RUN</x:t>
        </x:is>
      </x:c>
      <x:c r="AF14" s="79" t="inlineStr">
        <x:is>
          <x:t xml:space="preserve">NO</x:t>
        </x:is>
      </x:c>
      <x:c r="AG14" s="214" t="n"/>
    </x:row>
    <x:row r="15">
      <x:c r="A15" s="57" t="inlineStr">
        <x:is>
          <x:t xml:space="preserve">C0010</x:t>
        </x:is>
      </x:c>
      <x:c r="B15" s="57" t="inlineStr">
        <x:is>
          <x:t xml:space="preserve">Development</x:t>
        </x:is>
      </x:c>
      <x:c r="C15" s="57" t="inlineStr">
        <x:is>
          <x:t xml:space="preserve">OPEN</x:t>
        </x:is>
      </x:c>
      <x:c r="D15" s="57" t="inlineStr">
        <x:is>
          <x:t xml:space="preserve">ARG-001</x:t>
        </x:is>
      </x:c>
      <x:c r="E15" s="75" t="str">
        <x:f>INDEX('Company Universe'!$B$6:$B$105,MATCH(D15,'Company Universe'!$A$6:$A$105,0))</x:f>
        <x:v>IonQ</x:v>
      </x:c>
      <x:c r="F15" s="75" t="str">
        <x:f>INDEX('Company Universe'!$C$6:$C$105,MATCH(D15,'Company Universe'!$A$6:$A$105,0))</x:f>
        <x:v>IONQ</x:v>
      </x:c>
      <x:c r="G15" s="75" t="str">
        <x:f>INDEX('Company Universe'!$F$6:$F$105,MATCH(D15,'Company Universe'!$A$6:$A$105,0))</x:f>
        <x:v>Quantum Computing</x:v>
      </x:c>
      <x:c r="H15" s="57" t="n">
        <x:v>10</x:v>
      </x:c>
      <x:c r="I15" s="206" t="inlineStr">
        <x:is>
          <x:t xml:space="preserve">2025-08-06</x:t>
        </x:is>
      </x:c>
      <x:c r="J15" s="71" t="n">
        <x:v>12</x:v>
      </x:c>
      <x:c r="K15" s="71" t="inlineStr">
        <x:is>
          <x:t xml:space="preserve">https://investors.ionq.com/news/news-details/2025/IonQ-Announces-Second-Quarter-Financial-Results/</x:t>
        </x:is>
      </x:c>
      <x:c r="L15" s="71" t="inlineStr">
        <x:is>
          <x:t xml:space="preserve">NO</x:t>
        </x:is>
      </x:c>
      <x:c r="M15" s="71" t="inlineStr">
        <x:is>
          <x:t xml:space="preserve">RECONSTRUCTED: Q2 revenue $20.7m and platform acquisitions support rapid scale, but $1bn equity financing and a $1.075bn proposed Oxford Ionics acquisition make dilution/integration the central valuation risk.</x:t>
        </x:is>
      </x:c>
      <x:c r="N15" s="71" t="inlineStr">
        <x:is>
          <x:t xml:space="preserve">Rapid scale with rising acquisition/dilution burden</x:t>
        </x:is>
      </x:c>
      <x:c r="O15" s="71" t="inlineStr">
        <x:is>
          <x:t xml:space="preserve">Wider / dilution-and-integration sensitive</x:t>
        </x:is>
      </x:c>
      <x:c r="P15" s="71" t="inlineStr">
        <x:is>
          <x:t xml:space="preserve">WAIT / RESEARCH</x:t>
        </x:is>
      </x:c>
      <x:c r="Q15" s="71" t="inlineStr">
        <x:is>
          <x:t xml:space="preserve">Per-share value fails to keep pace with equity issuance; acquisitions do not produce durable organic demand; roadmap slips</x:t>
        </x:is>
      </x:c>
      <x:c r="R15" s="71" t="inlineStr">
        <x:is>
          <x:t xml:space="preserve">D-Wave Quantum (QBTS)</x:t>
        </x:is>
      </x:c>
      <x:c r="S15" s="206" t="inlineStr">
        <x:is>
          <x:t xml:space="preserve">2026-08-05</x:t>
        </x:is>
      </x:c>
      <x:c r="T15" s="71" t="inlineStr">
        <x:is>
          <x:t xml:space="preserve">Q2 2026 revenue $80.1m (+287% YoY), ~60% commercial and ~50% international; cash $3.0bn ($2.0bn pro forma after SkyWater). Adjusted EBITDA loss was $120.3m. Weighted-average shares rose to 367.7m from 251.0m YoY (~46.5%), reinforcing the dilution/per-share gate despite exceptional business growth.</x:t>
        </x:is>
      </x:c>
      <x:c r="U15" s="71" t="inlineStr">
        <x:is>
          <x:t xml:space="preserve">UNSCORED — no point-in-time IV reconstruction</x:t>
        </x:is>
      </x:c>
      <x:c r="V15" s="71" t="inlineStr">
        <x:is>
          <x:t xml:space="preserve">UNSCORED</x:t>
        </x:is>
      </x:c>
      <x:c r="W15" s="71" t="inlineStr">
        <x:is>
          <x:t xml:space="preserve">UNSCORED</x:t>
        </x:is>
      </x:c>
      <x:c r="X15" s="71" t="n"/>
      <x:c r="Y15" s="71" t="inlineStr">
        <x:is>
          <x:t xml:space="preserve">NO</x:t>
        </x:is>
      </x:c>
      <x:c r="Z15" s="71" t="inlineStr">
        <x:is>
          <x:t xml:space="preserve">Look-ahead bias (fatal)</x:t>
        </x:is>
      </x:c>
      <x:c r="AA15" s="71" t="inlineStr">
        <x:is>
          <x:t xml:space="preserve">Promote dilution-adjusted per-share value bridge to a mandatory quantum hard gate; corporate growth alone cannot earn BUY.</x:t>
        </x:is>
      </x:c>
      <x:c r="AB15" s="71" t="inlineStr">
        <x:is>
          <x:t xml:space="preserve">NO</x:t>
        </x:is>
      </x:c>
      <x:c r="AC15" s="57" t="inlineStr">
        <x:is>
          <x:t xml:space="preserve">V10.1-DRYRUN</x:t>
        </x:is>
      </x:c>
      <x:c r="AD15" s="57" t="inlineStr">
        <x:is>
          <x:t xml:space="preserve">Retrospective reconstruction only; Q2 2025 -&gt; Q2 2026. No accuracy credit; useful as protocol/failure-analysis dry-run.</x:t>
        </x:is>
      </x:c>
      <x:c r="AE15" s="79" t="inlineStr">
        <x:is>
          <x:t xml:space="preserve">DRY RUN</x:t>
        </x:is>
      </x:c>
      <x:c r="AF15" s="79" t="inlineStr">
        <x:is>
          <x:t xml:space="preserve">NO</x:t>
        </x:is>
      </x:c>
      <x:c r="AG15" s="214" t="n"/>
    </x:row>
    <x:row r="16">
      <x:c r="A16" s="57" t="inlineStr">
        <x:is>
          <x:t xml:space="preserve">C0011</x:t>
        </x:is>
      </x:c>
      <x:c r="B16" s="57" t="inlineStr">
        <x:is>
          <x:t xml:space="preserve">Development</x:t>
        </x:is>
      </x:c>
      <x:c r="C16" s="57" t="inlineStr">
        <x:is>
          <x:t xml:space="preserve">OPEN</x:t>
        </x:is>
      </x:c>
      <x:c r="D16" s="57" t="inlineStr">
        <x:is>
          <x:t xml:space="preserve">ARG-002</x:t>
        </x:is>
      </x:c>
      <x:c r="E16" s="75" t="str">
        <x:f>INDEX('Company Universe'!$B$6:$B$105,MATCH(D16,'Company Universe'!$A$6:$A$105,0))</x:f>
        <x:v>D-Wave Quantum</x:v>
      </x:c>
      <x:c r="F16" s="75" t="str">
        <x:f>INDEX('Company Universe'!$C$6:$C$105,MATCH(D16,'Company Universe'!$A$6:$A$105,0))</x:f>
        <x:v>QBTS</x:v>
      </x:c>
      <x:c r="G16" s="75" t="str">
        <x:f>INDEX('Company Universe'!$F$6:$F$105,MATCH(D16,'Company Universe'!$A$6:$A$105,0))</x:f>
        <x:v>Quantum Computing</x:v>
      </x:c>
      <x:c r="H16" s="57" t="n">
        <x:v>1</x:v>
      </x:c>
      <x:c r="I16" s="206" t="inlineStr">
        <x:is>
          <x:t xml:space="preserve">2023-05-19</x:t>
        </x:is>
      </x:c>
      <x:c r="J16" s="71" t="n">
        <x:v>12</x:v>
      </x:c>
      <x:c r="K16" s="71" t="inlineStr">
        <x:is>
          <x:t xml:space="preserve">https://www.dwavequantum.com/company/newsroom/press-release/d-wave-reports-first-quarter-results/</x:t>
        </x:is>
      </x:c>
      <x:c r="L16" s="71" t="inlineStr">
        <x:is>
          <x:t xml:space="preserve">NO</x:t>
        </x:is>
      </x:c>
      <x:c r="M16" s="71" t="inlineStr">
        <x:is>
          <x:t xml:space="preserve">RECONSTRUCTED: Nature computational-advantage evidence and $2.9m bookings support real use, but Q1 revenue fell 7.6% and financing relied on ELOC.</x:t>
        </x:is>
      </x:c>
      <x:c r="N16" s="71" t="inlineStr">
        <x:is>
          <x:t xml:space="preserve">Commercial adoption can improve, but cash economics remain negative</x:t>
        </x:is>
      </x:c>
      <x:c r="O16" s="71" t="inlineStr">
        <x:is>
          <x:t xml:space="preserve">Wider / financing-sensitive</x:t>
        </x:is>
      </x:c>
      <x:c r="P16" s="71" t="inlineStr">
        <x:is>
          <x:t xml:space="preserve">WAIT / RESEARCH</x:t>
        </x:is>
      </x:c>
      <x:c r="Q16" s="71" t="inlineStr">
        <x:is>
          <x:t xml:space="preserve">Bookings fail to convert; liquidity tightens; production applications fail to emerge</x:t>
        </x:is>
      </x:c>
      <x:c r="R16" s="71" t="inlineStr">
        <x:is>
          <x:t xml:space="preserve">IonQ (IONQ)</x:t>
        </x:is>
      </x:c>
      <x:c r="S16" s="206" t="inlineStr">
        <x:is>
          <x:t xml:space="preserve">2024-05-13</x:t>
        </x:is>
      </x:c>
      <x:c r="T16" s="71" t="inlineStr">
        <x:is>
          <x:t xml:space="preserve">Q1 2024 revenue $2.5m (+56% YoY), bookings $4.5m (+54%) and gross profit improved sharply. Commercial evidence strengthened, but the business remained subscale and loss-making.</x:t>
        </x:is>
      </x:c>
      <x:c r="U16" s="71" t="inlineStr">
        <x:is>
          <x:t xml:space="preserve">UNSCORED — no point-in-time IV reconstruction</x:t>
        </x:is>
      </x:c>
      <x:c r="V16" s="71" t="inlineStr">
        <x:is>
          <x:t xml:space="preserve">UNSCORED</x:t>
        </x:is>
      </x:c>
      <x:c r="W16" s="71" t="inlineStr">
        <x:is>
          <x:t xml:space="preserve">UNSCORED</x:t>
        </x:is>
      </x:c>
      <x:c r="X16" s="71" t="n"/>
      <x:c r="Y16" s="71" t="inlineStr">
        <x:is>
          <x:t xml:space="preserve">NO</x:t>
        </x:is>
      </x:c>
      <x:c r="Z16" s="71" t="inlineStr">
        <x:is>
          <x:t xml:space="preserve">Look-ahead bias (fatal)</x:t>
        </x:is>
      </x:c>
      <x:c r="AA16" s="71" t="inlineStr">
        <x:is>
          <x:t xml:space="preserve">Source-isolated preregistration; keep technical advantage separate from recurring economic value.</x:t>
        </x:is>
      </x:c>
      <x:c r="AB16" s="71" t="inlineStr">
        <x:is>
          <x:t xml:space="preserve">NO</x:t>
        </x:is>
      </x:c>
      <x:c r="AC16" s="57" t="inlineStr">
        <x:is>
          <x:t xml:space="preserve">V10.2-DRYRUN</x:t>
        </x:is>
      </x:c>
      <x:c r="AD16" s="57" t="inlineStr">
        <x:is>
          <x:t xml:space="preserve">Q1 2023 -&gt; Q1 2024. Retrospective dry run only. Not eligible for accuracy because no genuine historical pre-registration.</x:t>
        </x:is>
      </x:c>
      <x:c r="AE16" s="79" t="inlineStr">
        <x:is>
          <x:t xml:space="preserve">DRY RUN</x:t>
        </x:is>
      </x:c>
      <x:c r="AF16" s="79" t="inlineStr">
        <x:is>
          <x:t xml:space="preserve">NO</x:t>
        </x:is>
      </x:c>
      <x:c r="AG16" s="214" t="n"/>
    </x:row>
    <x:row r="17">
      <x:c r="A17" s="57" t="inlineStr">
        <x:is>
          <x:t xml:space="preserve">C0012</x:t>
        </x:is>
      </x:c>
      <x:c r="B17" s="57" t="inlineStr">
        <x:is>
          <x:t xml:space="preserve">Development</x:t>
        </x:is>
      </x:c>
      <x:c r="C17" s="57" t="inlineStr">
        <x:is>
          <x:t xml:space="preserve">OPEN</x:t>
        </x:is>
      </x:c>
      <x:c r="D17" s="57" t="inlineStr">
        <x:is>
          <x:t xml:space="preserve">ARG-002</x:t>
        </x:is>
      </x:c>
      <x:c r="E17" s="75" t="str">
        <x:f>INDEX('Company Universe'!$B$6:$B$105,MATCH(D17,'Company Universe'!$A$6:$A$105,0))</x:f>
        <x:v>D-Wave Quantum</x:v>
      </x:c>
      <x:c r="F17" s="75" t="str">
        <x:f>INDEX('Company Universe'!$C$6:$C$105,MATCH(D17,'Company Universe'!$A$6:$A$105,0))</x:f>
        <x:v>QBTS</x:v>
      </x:c>
      <x:c r="G17" s="75" t="str">
        <x:f>INDEX('Company Universe'!$F$6:$F$105,MATCH(D17,'Company Universe'!$A$6:$A$105,0))</x:f>
        <x:v>Quantum Computing</x:v>
      </x:c>
      <x:c r="H17" s="57" t="n">
        <x:v>2</x:v>
      </x:c>
      <x:c r="I17" s="206" t="inlineStr">
        <x:is>
          <x:t xml:space="preserve">2023-08-10</x:t>
        </x:is>
      </x:c>
      <x:c r="J17" s="71" t="n">
        <x:v>12</x:v>
      </x:c>
      <x:c r="K17" s="71" t="inlineStr">
        <x:is>
          <x:t xml:space="preserve">https://www.dwavequantum.com/company/newsroom/press-release/d-wave-reports-second-quarter-results/</x:t>
        </x:is>
      </x:c>
      <x:c r="L17" s="71" t="inlineStr">
        <x:is>
          <x:t xml:space="preserve">NO</x:t>
        </x:is>
      </x:c>
      <x:c r="M17" s="71" t="inlineStr">
        <x:is>
          <x:t xml:space="preserve">RECONSTRUCTED: Q2 bookings +146%, larger deals and cash &gt;$50m indicate improving demand; Advantage2 roadmap advancing.</x:t>
        </x:is>
      </x:c>
      <x:c r="N17" s="71" t="inlineStr">
        <x:is>
          <x:t xml:space="preserve">Bookings/customer adoption improve; revenue conversion remains lumpy</x:t>
        </x:is>
      </x:c>
      <x:c r="O17" s="71" t="inlineStr">
        <x:is>
          <x:t xml:space="preserve">Wider / financing-sensitive</x:t>
        </x:is>
      </x:c>
      <x:c r="P17" s="71" t="inlineStr">
        <x:is>
          <x:t xml:space="preserve">WAIT / RESEARCH</x:t>
        </x:is>
      </x:c>
      <x:c r="Q17" s="71" t="inlineStr">
        <x:is>
          <x:t xml:space="preserve">Bookings reverse; customer count shrinks; cash runway deteriorates</x:t>
        </x:is>
      </x:c>
      <x:c r="R17" s="71" t="inlineStr">
        <x:is>
          <x:t xml:space="preserve">IonQ (IONQ)</x:t>
        </x:is>
      </x:c>
      <x:c r="S17" s="206" t="inlineStr">
        <x:is>
          <x:t xml:space="preserve">2024-08-08</x:t>
        </x:is>
      </x:c>
      <x:c r="T17" s="71" t="inlineStr">
        <x:is>
          <x:t xml:space="preserve">Q2 2024 revenue $2.2m (+28% YoY) and original Q2 release reported bookings $2.7m; Advantage2 and solver progress continued. Later comparative disclosures used a different prior-period bookings figure, creating a source-vintage/data-quality issue.</x:t>
        </x:is>
      </x:c>
      <x:c r="U17" s="71" t="inlineStr">
        <x:is>
          <x:t xml:space="preserve">UNSCORED — no point-in-time IV reconstruction</x:t>
        </x:is>
      </x:c>
      <x:c r="V17" s="71" t="inlineStr">
        <x:is>
          <x:t xml:space="preserve">UNSCORED</x:t>
        </x:is>
      </x:c>
      <x:c r="W17" s="71" t="inlineStr">
        <x:is>
          <x:t xml:space="preserve">UNSCORED</x:t>
        </x:is>
      </x:c>
      <x:c r="X17" s="71" t="n"/>
      <x:c r="Y17" s="71" t="inlineStr">
        <x:is>
          <x:t xml:space="preserve">NO</x:t>
        </x:is>
      </x:c>
      <x:c r="Z17" s="71" t="inlineStr">
        <x:is>
          <x:t xml:space="preserve">Look-ahead bias (fatal)</x:t>
        </x:is>
      </x:c>
      <x:c r="AA17" s="71" t="inlineStr">
        <x:is>
          <x:t xml:space="preserve">Lock source vintage and restatement history; store original vs subsequently restated KPIs separately.</x:t>
        </x:is>
      </x:c>
      <x:c r="AB17" s="71" t="inlineStr">
        <x:is>
          <x:t xml:space="preserve">NO</x:t>
        </x:is>
      </x:c>
      <x:c r="AC17" s="57" t="inlineStr">
        <x:is>
          <x:t xml:space="preserve">V10.2-DRYRUN</x:t>
        </x:is>
      </x:c>
      <x:c r="AD17" s="57" t="inlineStr">
        <x:is>
          <x:t xml:space="preserve">Q2 2023 -&gt; Q2 2024. Retrospective dry run only; later booking comparatives differ, so vintage control is mandatory. Not eligible for accuracy because no genuine historical pre-registration.</x:t>
        </x:is>
      </x:c>
      <x:c r="AE17" s="79" t="inlineStr">
        <x:is>
          <x:t xml:space="preserve">DRY RUN</x:t>
        </x:is>
      </x:c>
      <x:c r="AF17" s="79" t="inlineStr">
        <x:is>
          <x:t xml:space="preserve">NO</x:t>
        </x:is>
      </x:c>
      <x:c r="AG17" s="214" t="n"/>
    </x:row>
    <x:row r="18">
      <x:c r="A18" s="57" t="inlineStr">
        <x:is>
          <x:t xml:space="preserve">C0013</x:t>
        </x:is>
      </x:c>
      <x:c r="B18" s="57" t="inlineStr">
        <x:is>
          <x:t xml:space="preserve">Development</x:t>
        </x:is>
      </x:c>
      <x:c r="C18" s="57" t="inlineStr">
        <x:is>
          <x:t xml:space="preserve">OPEN</x:t>
        </x:is>
      </x:c>
      <x:c r="D18" s="57" t="inlineStr">
        <x:is>
          <x:t xml:space="preserve">ARG-002</x:t>
        </x:is>
      </x:c>
      <x:c r="E18" s="75" t="str">
        <x:f>INDEX('Company Universe'!$B$6:$B$105,MATCH(D18,'Company Universe'!$A$6:$A$105,0))</x:f>
        <x:v>D-Wave Quantum</x:v>
      </x:c>
      <x:c r="F18" s="75" t="str">
        <x:f>INDEX('Company Universe'!$C$6:$C$105,MATCH(D18,'Company Universe'!$A$6:$A$105,0))</x:f>
        <x:v>QBTS</x:v>
      </x:c>
      <x:c r="G18" s="75" t="str">
        <x:f>INDEX('Company Universe'!$F$6:$F$105,MATCH(D18,'Company Universe'!$A$6:$A$105,0))</x:f>
        <x:v>Quantum Computing</x:v>
      </x:c>
      <x:c r="H18" s="57" t="n">
        <x:v>3</x:v>
      </x:c>
      <x:c r="I18" s="206" t="inlineStr">
        <x:is>
          <x:t xml:space="preserve">2023-11-09</x:t>
        </x:is>
      </x:c>
      <x:c r="J18" s="71" t="n">
        <x:v>12</x:v>
      </x:c>
      <x:c r="K18" s="71" t="inlineStr">
        <x:is>
          <x:t xml:space="preserve">https://www.dwavequantum.com/company/newsroom/press-release/d-wave-reports-third-quarter-results/</x:t>
        </x:is>
      </x:c>
      <x:c r="L18" s="71" t="inlineStr">
        <x:is>
          <x:t xml:space="preserve">NO</x:t>
        </x:is>
      </x:c>
      <x:c r="M18" s="71" t="inlineStr">
        <x:is>
          <x:t xml:space="preserve">RECONSTRUCTED: Q3 revenue +51%, bookings +53%, cash $53.3m and customer applications moving toward deployment support near-term annealing utility.</x:t>
        </x:is>
      </x:c>
      <x:c r="N18" s="71" t="inlineStr">
        <x:is>
          <x:t xml:space="preserve">Commercial production use grows; recurring mix becomes more important</x:t>
        </x:is>
      </x:c>
      <x:c r="O18" s="71" t="inlineStr">
        <x:is>
          <x:t xml:space="preserve">Wider / execution-sensitive</x:t>
        </x:is>
      </x:c>
      <x:c r="P18" s="71" t="inlineStr">
        <x:is>
          <x:t xml:space="preserve">WAIT / RESEARCH</x:t>
        </x:is>
      </x:c>
      <x:c r="Q18" s="71" t="inlineStr">
        <x:is>
          <x:t xml:space="preserve">Production deployments stall; commercial QCaaS fails to grow; financing stress returns</x:t>
        </x:is>
      </x:c>
      <x:c r="R18" s="71" t="inlineStr">
        <x:is>
          <x:t xml:space="preserve">IonQ (IONQ)</x:t>
        </x:is>
      </x:c>
      <x:c r="S18" s="206" t="inlineStr">
        <x:is>
          <x:t xml:space="preserve">2024-11-14</x:t>
        </x:is>
      </x:c>
      <x:c r="T18" s="71" t="inlineStr">
        <x:is>
          <x:t xml:space="preserve">Q3 2024 total revenue fell 27% and bookings fell 22%, but QCaaS revenue rose 41% and NTT DOCOMO planned production deployment. Aggregate quarterly revenue was noisy; recurring production-use evidence improved.</x:t>
        </x:is>
      </x:c>
      <x:c r="U18" s="71" t="inlineStr">
        <x:is>
          <x:t xml:space="preserve">UNSCORED — no point-in-time IV reconstruction</x:t>
        </x:is>
      </x:c>
      <x:c r="V18" s="71" t="inlineStr">
        <x:is>
          <x:t xml:space="preserve">UNSCORED</x:t>
        </x:is>
      </x:c>
      <x:c r="W18" s="71" t="inlineStr">
        <x:is>
          <x:t xml:space="preserve">UNSCORED</x:t>
        </x:is>
      </x:c>
      <x:c r="X18" s="71" t="n"/>
      <x:c r="Y18" s="71" t="inlineStr">
        <x:is>
          <x:t xml:space="preserve">NO</x:t>
        </x:is>
      </x:c>
      <x:c r="Z18" s="71" t="inlineStr">
        <x:is>
          <x:t xml:space="preserve">Look-ahead bias (fatal)</x:t>
        </x:is>
      </x:c>
      <x:c r="AA18" s="71" t="inlineStr">
        <x:is>
          <x:t xml:space="preserve">For annealing, weight recurring QCaaS + production applications above professional-services timing and single-quarter total revenue.</x:t>
        </x:is>
      </x:c>
      <x:c r="AB18" s="71" t="inlineStr">
        <x:is>
          <x:t xml:space="preserve">NO</x:t>
        </x:is>
      </x:c>
      <x:c r="AC18" s="57" t="inlineStr">
        <x:is>
          <x:t xml:space="preserve">V10.2-DRYRUN</x:t>
        </x:is>
      </x:c>
      <x:c r="AD18" s="57" t="inlineStr">
        <x:is>
          <x:t xml:space="preserve">Q3 2023 -&gt; Q3 2024. Retrospective dry run only. Not eligible for accuracy because no genuine historical pre-registration.</x:t>
        </x:is>
      </x:c>
      <x:c r="AE18" s="79" t="inlineStr">
        <x:is>
          <x:t xml:space="preserve">DRY RUN</x:t>
        </x:is>
      </x:c>
      <x:c r="AF18" s="79" t="inlineStr">
        <x:is>
          <x:t xml:space="preserve">NO</x:t>
        </x:is>
      </x:c>
      <x:c r="AG18" s="214" t="n"/>
    </x:row>
    <x:row r="19">
      <x:c r="A19" s="57" t="inlineStr">
        <x:is>
          <x:t xml:space="preserve">C0014</x:t>
        </x:is>
      </x:c>
      <x:c r="B19" s="57" t="inlineStr">
        <x:is>
          <x:t xml:space="preserve">Development</x:t>
        </x:is>
      </x:c>
      <x:c r="C19" s="57" t="inlineStr">
        <x:is>
          <x:t xml:space="preserve">OPEN</x:t>
        </x:is>
      </x:c>
      <x:c r="D19" s="57" t="inlineStr">
        <x:is>
          <x:t xml:space="preserve">ARG-002</x:t>
        </x:is>
      </x:c>
      <x:c r="E19" s="75" t="str">
        <x:f>INDEX('Company Universe'!$B$6:$B$105,MATCH(D19,'Company Universe'!$A$6:$A$105,0))</x:f>
        <x:v>D-Wave Quantum</x:v>
      </x:c>
      <x:c r="F19" s="75" t="str">
        <x:f>INDEX('Company Universe'!$C$6:$C$105,MATCH(D19,'Company Universe'!$A$6:$A$105,0))</x:f>
        <x:v>QBTS</x:v>
      </x:c>
      <x:c r="G19" s="75" t="str">
        <x:f>INDEX('Company Universe'!$F$6:$F$105,MATCH(D19,'Company Universe'!$A$6:$A$105,0))</x:f>
        <x:v>Quantum Computing</x:v>
      </x:c>
      <x:c r="H19" s="57" t="n">
        <x:v>4</x:v>
      </x:c>
      <x:c r="I19" s="206" t="inlineStr">
        <x:is>
          <x:t xml:space="preserve">2024-03-28</x:t>
        </x:is>
      </x:c>
      <x:c r="J19" s="71" t="n">
        <x:v>12</x:v>
      </x:c>
      <x:c r="K19" s="71" t="inlineStr">
        <x:is>
          <x:t xml:space="preserve">https://www.dwavequantum.com/company/newsroom/press-release/d-wave-reports-fourth-quarter-and-year-end-2023-results/</x:t>
        </x:is>
      </x:c>
      <x:c r="L19" s="71" t="inlineStr">
        <x:is>
          <x:t xml:space="preserve">NO</x:t>
        </x:is>
      </x:c>
      <x:c r="M19" s="71" t="inlineStr">
        <x:is>
          <x:t xml:space="preserve">RECONSTRUCTED: FY23 revenue +22%, bookings +89%, two applications in production, but cash only $41.3m and equity-line capacity remains important.</x:t>
        </x:is>
      </x:c>
      <x:c r="N19" s="71" t="inlineStr">
        <x:is>
          <x:t xml:space="preserve">Bookings and production apps improve; financing remains a hard gate</x:t>
        </x:is>
      </x:c>
      <x:c r="O19" s="71" t="inlineStr">
        <x:is>
          <x:t xml:space="preserve">Wider / financing-sensitive</x:t>
        </x:is>
      </x:c>
      <x:c r="P19" s="71" t="inlineStr">
        <x:is>
          <x:t xml:space="preserve">WAIT / RESEARCH</x:t>
        </x:is>
      </x:c>
      <x:c r="Q19" s="71" t="inlineStr">
        <x:is>
          <x:t xml:space="preserve">Bookings growth fails; production apps do not expand; equity issuance becomes dominant funding source</x:t>
        </x:is>
      </x:c>
      <x:c r="R19" s="71" t="inlineStr">
        <x:is>
          <x:t xml:space="preserve">IonQ (IONQ)</x:t>
        </x:is>
      </x:c>
      <x:c r="S19" s="206" t="inlineStr">
        <x:is>
          <x:t xml:space="preserve">2025-03-13</x:t>
        </x:is>
      </x:c>
      <x:c r="T19" s="71" t="inlineStr">
        <x:is>
          <x:t xml:space="preserve">FY2024 revenue was flat at $8.8m while bookings rose 128% to $23.9m. Cash was $178m at year-end and &gt;$300m by report date after $307.5m of equity issuance; adjusted EBITDA loss was $56m. Demand signals improved, but financing/dilution remained central.</x:t>
        </x:is>
      </x:c>
      <x:c r="U19" s="71" t="inlineStr">
        <x:is>
          <x:t xml:space="preserve">UNSCORED — no point-in-time IV reconstruction</x:t>
        </x:is>
      </x:c>
      <x:c r="V19" s="71" t="inlineStr">
        <x:is>
          <x:t xml:space="preserve">UNSCORED</x:t>
        </x:is>
      </x:c>
      <x:c r="W19" s="71" t="inlineStr">
        <x:is>
          <x:t xml:space="preserve">UNSCORED</x:t>
        </x:is>
      </x:c>
      <x:c r="X19" s="71" t="n"/>
      <x:c r="Y19" s="71" t="inlineStr">
        <x:is>
          <x:t xml:space="preserve">NO</x:t>
        </x:is>
      </x:c>
      <x:c r="Z19" s="71" t="inlineStr">
        <x:is>
          <x:t xml:space="preserve">Look-ahead bias (fatal)</x:t>
        </x:is>
      </x:c>
      <x:c r="AA19" s="71" t="inlineStr">
        <x:is>
          <x:t xml:space="preserve">Separate demand momentum (bookings/RPO) from revenue recognition and explicitly charge equity-funded runway to per-share Stewardship.</x:t>
        </x:is>
      </x:c>
      <x:c r="AB19" s="71" t="inlineStr">
        <x:is>
          <x:t xml:space="preserve">NO</x:t>
        </x:is>
      </x:c>
      <x:c r="AC19" s="57" t="inlineStr">
        <x:is>
          <x:t xml:space="preserve">V10.2-DRYRUN</x:t>
        </x:is>
      </x:c>
      <x:c r="AD19" s="57" t="inlineStr">
        <x:is>
          <x:t xml:space="preserve">FY2023 -&gt; FY2024. Retrospective dry run only. Not eligible for accuracy because no genuine historical pre-registration.</x:t>
        </x:is>
      </x:c>
      <x:c r="AE19" s="79" t="inlineStr">
        <x:is>
          <x:t xml:space="preserve">DRY RUN</x:t>
        </x:is>
      </x:c>
      <x:c r="AF19" s="79" t="inlineStr">
        <x:is>
          <x:t xml:space="preserve">NO</x:t>
        </x:is>
      </x:c>
      <x:c r="AG19" s="214" t="n"/>
    </x:row>
    <x:row r="20">
      <x:c r="A20" s="57" t="inlineStr">
        <x:is>
          <x:t xml:space="preserve">C0015</x:t>
        </x:is>
      </x:c>
      <x:c r="B20" s="57" t="inlineStr">
        <x:is>
          <x:t xml:space="preserve">Development</x:t>
        </x:is>
      </x:c>
      <x:c r="C20" s="57" t="inlineStr">
        <x:is>
          <x:t xml:space="preserve">OPEN</x:t>
        </x:is>
      </x:c>
      <x:c r="D20" s="57" t="inlineStr">
        <x:is>
          <x:t xml:space="preserve">ARG-002</x:t>
        </x:is>
      </x:c>
      <x:c r="E20" s="75" t="str">
        <x:f>INDEX('Company Universe'!$B$6:$B$105,MATCH(D20,'Company Universe'!$A$6:$A$105,0))</x:f>
        <x:v>D-Wave Quantum</x:v>
      </x:c>
      <x:c r="F20" s="75" t="str">
        <x:f>INDEX('Company Universe'!$C$6:$C$105,MATCH(D20,'Company Universe'!$A$6:$A$105,0))</x:f>
        <x:v>QBTS</x:v>
      </x:c>
      <x:c r="G20" s="75" t="str">
        <x:f>INDEX('Company Universe'!$F$6:$F$105,MATCH(D20,'Company Universe'!$A$6:$A$105,0))</x:f>
        <x:v>Quantum Computing</x:v>
      </x:c>
      <x:c r="H20" s="57" t="n">
        <x:v>5</x:v>
      </x:c>
      <x:c r="I20" s="206" t="inlineStr">
        <x:is>
          <x:t xml:space="preserve">2024-05-13</x:t>
        </x:is>
      </x:c>
      <x:c r="J20" s="71" t="n">
        <x:v>12</x:v>
      </x:c>
      <x:c r="K20" s="71" t="inlineStr">
        <x:is>
          <x:t xml:space="preserve">https://www.dwavequantum.com/company/newsroom/press-release/d-wave-reports-first-quarter-2024-results/</x:t>
        </x:is>
      </x:c>
      <x:c r="L20" s="71" t="inlineStr">
        <x:is>
          <x:t xml:space="preserve">NO</x:t>
        </x:is>
      </x:c>
      <x:c r="M20" s="71" t="inlineStr">
        <x:is>
          <x:t xml:space="preserve">RECONSTRUCTED: Q1 revenue +56%, bookings +54% and Advantage2 progress suggest stronger adoption; recurring use and liquidity should determine whether growth is durable.</x:t>
        </x:is>
      </x:c>
      <x:c r="N20" s="71" t="inlineStr">
        <x:is>
          <x:t xml:space="preserve">Positive commercial trajectory, still subscale</x:t>
        </x:is>
      </x:c>
      <x:c r="O20" s="71" t="inlineStr">
        <x:is>
          <x:t xml:space="preserve">Wider / revenue-mix sensitive</x:t>
        </x:is>
      </x:c>
      <x:c r="P20" s="71" t="inlineStr">
        <x:is>
          <x:t xml:space="preserve">WAIT / RESEARCH</x:t>
        </x:is>
      </x:c>
      <x:c r="Q20" s="71" t="inlineStr">
        <x:is>
          <x:t xml:space="preserve">Bookings slow; QCaaS/production use weakens; cash needs repeated equity</x:t>
        </x:is>
      </x:c>
      <x:c r="R20" s="71" t="inlineStr">
        <x:is>
          <x:t xml:space="preserve">IonQ (IONQ)</x:t>
        </x:is>
      </x:c>
      <x:c r="S20" s="206" t="inlineStr">
        <x:is>
          <x:t xml:space="preserve">2025-05-08</x:t>
        </x:is>
      </x:c>
      <x:c r="T20" s="71" t="inlineStr">
        <x:is>
          <x:t xml:space="preserve">Q1 2025 revenue hit $15.0m (&gt;500% YoY) largely because of the first Advantage system sale; cash reached $304.3m. The quarter proved hardware monetization, but also showed how a single system sale can dominate reported growth.</x:t>
        </x:is>
      </x:c>
      <x:c r="U20" s="71" t="inlineStr">
        <x:is>
          <x:t xml:space="preserve">UNSCORED — no point-in-time IV reconstruction</x:t>
        </x:is>
      </x:c>
      <x:c r="V20" s="71" t="inlineStr">
        <x:is>
          <x:t xml:space="preserve">UNSCORED</x:t>
        </x:is>
      </x:c>
      <x:c r="W20" s="71" t="inlineStr">
        <x:is>
          <x:t xml:space="preserve">UNSCORED</x:t>
        </x:is>
      </x:c>
      <x:c r="X20" s="71" t="n"/>
      <x:c r="Y20" s="71" t="inlineStr">
        <x:is>
          <x:t xml:space="preserve">NO</x:t>
        </x:is>
      </x:c>
      <x:c r="Z20" s="71" t="inlineStr">
        <x:is>
          <x:t xml:space="preserve">Look-ahead bias (fatal)</x:t>
        </x:is>
      </x:c>
      <x:c r="AA20" s="71" t="inlineStr">
        <x:is>
          <x:t xml:space="preserve">Normalize system-sale revenue separately from recurring QCaaS/services; build revenue-quality bridge before valuation.</x:t>
        </x:is>
      </x:c>
      <x:c r="AB20" s="71" t="inlineStr">
        <x:is>
          <x:t xml:space="preserve">NO</x:t>
        </x:is>
      </x:c>
      <x:c r="AC20" s="57" t="inlineStr">
        <x:is>
          <x:t xml:space="preserve">V10.2-DRYRUN</x:t>
        </x:is>
      </x:c>
      <x:c r="AD20" s="57" t="inlineStr">
        <x:is>
          <x:t xml:space="preserve">Q1 2024 -&gt; Q1 2025. Retrospective dry run only. Not eligible for accuracy because no genuine historical pre-registration.</x:t>
        </x:is>
      </x:c>
      <x:c r="AE20" s="79" t="inlineStr">
        <x:is>
          <x:t xml:space="preserve">DRY RUN</x:t>
        </x:is>
      </x:c>
      <x:c r="AF20" s="79" t="inlineStr">
        <x:is>
          <x:t xml:space="preserve">NO</x:t>
        </x:is>
      </x:c>
      <x:c r="AG20" s="214" t="n"/>
    </x:row>
    <x:row r="21">
      <x:c r="A21" s="57" t="inlineStr">
        <x:is>
          <x:t xml:space="preserve">C0016</x:t>
        </x:is>
      </x:c>
      <x:c r="B21" s="57" t="inlineStr">
        <x:is>
          <x:t xml:space="preserve">Development</x:t>
        </x:is>
      </x:c>
      <x:c r="C21" s="57" t="inlineStr">
        <x:is>
          <x:t xml:space="preserve">OPEN</x:t>
        </x:is>
      </x:c>
      <x:c r="D21" s="57" t="inlineStr">
        <x:is>
          <x:t xml:space="preserve">ARG-002</x:t>
        </x:is>
      </x:c>
      <x:c r="E21" s="75" t="str">
        <x:f>INDEX('Company Universe'!$B$6:$B$105,MATCH(D21,'Company Universe'!$A$6:$A$105,0))</x:f>
        <x:v>D-Wave Quantum</x:v>
      </x:c>
      <x:c r="F21" s="75" t="str">
        <x:f>INDEX('Company Universe'!$C$6:$C$105,MATCH(D21,'Company Universe'!$A$6:$A$105,0))</x:f>
        <x:v>QBTS</x:v>
      </x:c>
      <x:c r="G21" s="75" t="str">
        <x:f>INDEX('Company Universe'!$F$6:$F$105,MATCH(D21,'Company Universe'!$A$6:$A$105,0))</x:f>
        <x:v>Quantum Computing</x:v>
      </x:c>
      <x:c r="H21" s="57" t="n">
        <x:v>6</x:v>
      </x:c>
      <x:c r="I21" s="206" t="inlineStr">
        <x:is>
          <x:t xml:space="preserve">2024-08-08</x:t>
        </x:is>
      </x:c>
      <x:c r="J21" s="71" t="n">
        <x:v>12</x:v>
      </x:c>
      <x:c r="K21" s="71" t="inlineStr">
        <x:is>
          <x:t xml:space="preserve">https://www.dwavequantum.com/company/newsroom/press-release/d-wave-reports-second-quarter-2024-results/</x:t>
        </x:is>
      </x:c>
      <x:c r="L21" s="71" t="inlineStr">
        <x:is>
          <x:t xml:space="preserve">NO</x:t>
        </x:is>
      </x:c>
      <x:c r="M21" s="71" t="inlineStr">
        <x:is>
          <x:t xml:space="preserve">RECONSTRUCTED: Revenue +28%, growing commercial customers, Advantage2/solver progress support adoption; quarterly bookings are noisy and should be paired with recurring usage.</x:t>
        </x:is>
      </x:c>
      <x:c r="N21" s="71" t="inlineStr">
        <x:is>
          <x:t xml:space="preserve">Moderate commercial improvement; recurring mix matters</x:t>
        </x:is>
      </x:c>
      <x:c r="O21" s="71" t="inlineStr">
        <x:is>
          <x:t xml:space="preserve">Wider / execution-sensitive</x:t>
        </x:is>
      </x:c>
      <x:c r="P21" s="71" t="inlineStr">
        <x:is>
          <x:t xml:space="preserve">WAIT / RESEARCH</x:t>
        </x:is>
      </x:c>
      <x:c r="Q21" s="71" t="inlineStr">
        <x:is>
          <x:t xml:space="preserve">Recurring QCaaS fails to rise; Advantage2 monetization delayed; costs rise faster than gross profit</x:t>
        </x:is>
      </x:c>
      <x:c r="R21" s="71" t="inlineStr">
        <x:is>
          <x:t xml:space="preserve">IonQ (IONQ)</x:t>
        </x:is>
      </x:c>
      <x:c r="S21" s="206" t="inlineStr">
        <x:is>
          <x:t xml:space="preserve">2025-08-07</x:t>
        </x:is>
      </x:c>
      <x:c r="T21" s="71" t="inlineStr">
        <x:is>
          <x:t xml:space="preserve">Q2 2025 revenue $3.1m (+42%), bookings $1.3m, gross margin 63.8%; operating expenses rose 41% and adjusted EBITDA loss worsened to $20.0m. Cash exceeded $819m, but runway strength was not operating cash generation.</x:t>
        </x:is>
      </x:c>
      <x:c r="U21" s="71" t="inlineStr">
        <x:is>
          <x:t xml:space="preserve">UNSCORED — no point-in-time IV reconstruction</x:t>
        </x:is>
      </x:c>
      <x:c r="V21" s="71" t="inlineStr">
        <x:is>
          <x:t xml:space="preserve">UNSCORED</x:t>
        </x:is>
      </x:c>
      <x:c r="W21" s="71" t="inlineStr">
        <x:is>
          <x:t xml:space="preserve">UNSCORED</x:t>
        </x:is>
      </x:c>
      <x:c r="X21" s="71" t="n"/>
      <x:c r="Y21" s="71" t="inlineStr">
        <x:is>
          <x:t xml:space="preserve">NO</x:t>
        </x:is>
      </x:c>
      <x:c r="Z21" s="71" t="inlineStr">
        <x:is>
          <x:t xml:space="preserve">Look-ahead bias (fatal)</x:t>
        </x:is>
      </x:c>
      <x:c r="AA21" s="71" t="inlineStr">
        <x:is>
          <x:t xml:space="preserve">Owner Earnings gate must compare gross-profit dollars with R&amp;D/S&amp;M cash needs and identify financing-sourced cash explicitly.</x:t>
        </x:is>
      </x:c>
      <x:c r="AB21" s="71" t="inlineStr">
        <x:is>
          <x:t xml:space="preserve">NO</x:t>
        </x:is>
      </x:c>
      <x:c r="AC21" s="57" t="inlineStr">
        <x:is>
          <x:t xml:space="preserve">V10.2-DRYRUN</x:t>
        </x:is>
      </x:c>
      <x:c r="AD21" s="57" t="inlineStr">
        <x:is>
          <x:t xml:space="preserve">Q2 2024 -&gt; Q2 2025. Retrospective dry run only. Not eligible for accuracy because no genuine historical pre-registration.</x:t>
        </x:is>
      </x:c>
      <x:c r="AE21" s="79" t="inlineStr">
        <x:is>
          <x:t xml:space="preserve">DRY RUN</x:t>
        </x:is>
      </x:c>
      <x:c r="AF21" s="79" t="inlineStr">
        <x:is>
          <x:t xml:space="preserve">NO</x:t>
        </x:is>
      </x:c>
      <x:c r="AG21" s="214" t="n"/>
    </x:row>
    <x:row r="22">
      <x:c r="A22" s="57" t="inlineStr">
        <x:is>
          <x:t xml:space="preserve">C0017</x:t>
        </x:is>
      </x:c>
      <x:c r="B22" s="57" t="inlineStr">
        <x:is>
          <x:t xml:space="preserve">Development</x:t>
        </x:is>
      </x:c>
      <x:c r="C22" s="57" t="inlineStr">
        <x:is>
          <x:t xml:space="preserve">OPEN</x:t>
        </x:is>
      </x:c>
      <x:c r="D22" s="57" t="inlineStr">
        <x:is>
          <x:t xml:space="preserve">ARG-002</x:t>
        </x:is>
      </x:c>
      <x:c r="E22" s="75" t="str">
        <x:f>INDEX('Company Universe'!$B$6:$B$105,MATCH(D22,'Company Universe'!$A$6:$A$105,0))</x:f>
        <x:v>D-Wave Quantum</x:v>
      </x:c>
      <x:c r="F22" s="75" t="str">
        <x:f>INDEX('Company Universe'!$C$6:$C$105,MATCH(D22,'Company Universe'!$A$6:$A$105,0))</x:f>
        <x:v>QBTS</x:v>
      </x:c>
      <x:c r="G22" s="75" t="str">
        <x:f>INDEX('Company Universe'!$F$6:$F$105,MATCH(D22,'Company Universe'!$A$6:$A$105,0))</x:f>
        <x:v>Quantum Computing</x:v>
      </x:c>
      <x:c r="H22" s="57" t="n">
        <x:v>7</x:v>
      </x:c>
      <x:c r="I22" s="206" t="inlineStr">
        <x:is>
          <x:t xml:space="preserve">2024-11-14</x:t>
        </x:is>
      </x:c>
      <x:c r="J22" s="71" t="n">
        <x:v>12</x:v>
      </x:c>
      <x:c r="K22" s="71" t="inlineStr">
        <x:is>
          <x:t xml:space="preserve">https://www.dwavequantum.com/company/newsroom/press-release/d-wave-reports-third-quarter-2024-results/</x:t>
        </x:is>
      </x:c>
      <x:c r="L22" s="71" t="inlineStr">
        <x:is>
          <x:t xml:space="preserve">NO</x:t>
        </x:is>
      </x:c>
      <x:c r="M22" s="71" t="inlineStr">
        <x:is>
          <x:t xml:space="preserve">RECONSTRUCTED: Total Q3 revenue/bookings declined, but QCaaS +41% and planned NTT production deployment may signal higher-quality recurring adoption beneath noisy services revenue.</x:t>
        </x:is>
      </x:c>
      <x:c r="N22" s="71" t="inlineStr">
        <x:is>
          <x:t xml:space="preserve">Recurring/production use improves even if aggregate revenue is lumpy</x:t>
        </x:is>
      </x:c>
      <x:c r="O22" s="71" t="inlineStr">
        <x:is>
          <x:t xml:space="preserve">Wider / mix-sensitive</x:t>
        </x:is>
      </x:c>
      <x:c r="P22" s="71" t="inlineStr">
        <x:is>
          <x:t xml:space="preserve">WAIT / RESEARCH</x:t>
        </x:is>
      </x:c>
      <x:c r="Q22" s="71" t="inlineStr">
        <x:is>
          <x:t xml:space="preserve">QCaaS stalls; announced production deployments do not recur; OpEx outruns monetization</x:t>
        </x:is>
      </x:c>
      <x:c r="R22" s="71" t="inlineStr">
        <x:is>
          <x:t xml:space="preserve">IonQ (IONQ)</x:t>
        </x:is>
      </x:c>
      <x:c r="S22" s="206" t="inlineStr">
        <x:is>
          <x:t xml:space="preserve">2025-11-06</x:t>
        </x:is>
      </x:c>
      <x:c r="T22" s="71" t="inlineStr">
        <x:is>
          <x:t xml:space="preserve">Q3 2025 revenue $3.7m (+100%), bookings $2.4m (+3%) and gross margin 71.4%; cash &gt;$836m. Adjusted EBITDA loss worsened to $20.6m. Commercial signal improved but scale still did not cover operating investment.</x:t>
        </x:is>
      </x:c>
      <x:c r="U22" s="71" t="inlineStr">
        <x:is>
          <x:t xml:space="preserve">UNSCORED — no point-in-time IV reconstruction</x:t>
        </x:is>
      </x:c>
      <x:c r="V22" s="71" t="inlineStr">
        <x:is>
          <x:t xml:space="preserve">UNSCORED</x:t>
        </x:is>
      </x:c>
      <x:c r="W22" s="71" t="inlineStr">
        <x:is>
          <x:t xml:space="preserve">UNSCORED</x:t>
        </x:is>
      </x:c>
      <x:c r="X22" s="71" t="n"/>
      <x:c r="Y22" s="71" t="inlineStr">
        <x:is>
          <x:t xml:space="preserve">NO</x:t>
        </x:is>
      </x:c>
      <x:c r="Z22" s="71" t="inlineStr">
        <x:is>
          <x:t xml:space="preserve">Look-ahead bias (fatal)</x:t>
        </x:is>
      </x:c>
      <x:c r="AA22" s="71" t="inlineStr">
        <x:is>
          <x:t xml:space="preserve">Track production applications, recurring QCaaS and gross-profit dollars per operating-expense dollar as leading economic sensors.</x:t>
        </x:is>
      </x:c>
      <x:c r="AB22" s="71" t="inlineStr">
        <x:is>
          <x:t xml:space="preserve">NO</x:t>
        </x:is>
      </x:c>
      <x:c r="AC22" s="57" t="inlineStr">
        <x:is>
          <x:t xml:space="preserve">V10.2-DRYRUN</x:t>
        </x:is>
      </x:c>
      <x:c r="AD22" s="57" t="inlineStr">
        <x:is>
          <x:t xml:space="preserve">Q3 2024 -&gt; Q3 2025. Retrospective dry run only. Not eligible for accuracy because no genuine historical pre-registration.</x:t>
        </x:is>
      </x:c>
      <x:c r="AE22" s="79" t="inlineStr">
        <x:is>
          <x:t xml:space="preserve">DRY RUN</x:t>
        </x:is>
      </x:c>
      <x:c r="AF22" s="79" t="inlineStr">
        <x:is>
          <x:t xml:space="preserve">NO</x:t>
        </x:is>
      </x:c>
      <x:c r="AG22" s="214" t="n"/>
    </x:row>
    <x:row r="23">
      <x:c r="A23" s="57" t="inlineStr">
        <x:is>
          <x:t xml:space="preserve">C0018</x:t>
        </x:is>
      </x:c>
      <x:c r="B23" s="57" t="inlineStr">
        <x:is>
          <x:t xml:space="preserve">Development</x:t>
        </x:is>
      </x:c>
      <x:c r="C23" s="57" t="inlineStr">
        <x:is>
          <x:t xml:space="preserve">OPEN</x:t>
        </x:is>
      </x:c>
      <x:c r="D23" s="57" t="inlineStr">
        <x:is>
          <x:t xml:space="preserve">ARG-002</x:t>
        </x:is>
      </x:c>
      <x:c r="E23" s="75" t="str">
        <x:f>INDEX('Company Universe'!$B$6:$B$105,MATCH(D23,'Company Universe'!$A$6:$A$105,0))</x:f>
        <x:v>D-Wave Quantum</x:v>
      </x:c>
      <x:c r="F23" s="75" t="str">
        <x:f>INDEX('Company Universe'!$C$6:$C$105,MATCH(D23,'Company Universe'!$A$6:$A$105,0))</x:f>
        <x:v>QBTS</x:v>
      </x:c>
      <x:c r="G23" s="75" t="str">
        <x:f>INDEX('Company Universe'!$F$6:$F$105,MATCH(D23,'Company Universe'!$A$6:$A$105,0))</x:f>
        <x:v>Quantum Computing</x:v>
      </x:c>
      <x:c r="H23" s="57" t="n">
        <x:v>8</x:v>
      </x:c>
      <x:c r="I23" s="206" t="inlineStr">
        <x:is>
          <x:t xml:space="preserve">2025-03-13</x:t>
        </x:is>
      </x:c>
      <x:c r="J23" s="71" t="n">
        <x:v>12</x:v>
      </x:c>
      <x:c r="K23" s="71" t="inlineStr">
        <x:is>
          <x:t xml:space="preserve">https://www.dwavequantum.com/company/newsroom/press-release/d-wave-reports-fourth-quarter-and-year-end-2024-results/</x:t>
        </x:is>
      </x:c>
      <x:c r="L23" s="71" t="inlineStr">
        <x:is>
          <x:t xml:space="preserve">NO</x:t>
        </x:is>
      </x:c>
      <x:c r="M23" s="71" t="inlineStr">
        <x:is>
          <x:t xml:space="preserve">RECONSTRUCTED: FY24 revenue flat but bookings +128%; first on-prem system sale and quantum-supremacy claim may unlock hardware demand. $307.5m equity issuance materially changes per-share economics.</x:t>
        </x:is>
      </x:c>
      <x:c r="N23" s="71" t="inlineStr">
        <x:is>
          <x:t xml:space="preserve">Hardware bookings can accelerate; revenue stays lumpy; dilution risk high</x:t>
        </x:is>
      </x:c>
      <x:c r="O23" s="71" t="inlineStr">
        <x:is>
          <x:t xml:space="preserve">Wider / dilution-and-system-sale sensitive</x:t>
        </x:is>
      </x:c>
      <x:c r="P23" s="71" t="inlineStr">
        <x:is>
          <x:t xml:space="preserve">WAIT / RESEARCH</x:t>
        </x:is>
      </x:c>
      <x:c r="Q23" s="71" t="inlineStr">
        <x:is>
          <x:t xml:space="preserve">System-sale bookings fail to convert; cash burn rises; equity-funded growth destroys per-share value</x:t>
        </x:is>
      </x:c>
      <x:c r="R23" s="71" t="inlineStr">
        <x:is>
          <x:t xml:space="preserve">IonQ (IONQ)</x:t>
        </x:is>
      </x:c>
      <x:c r="S23" s="206" t="inlineStr">
        <x:is>
          <x:t xml:space="preserve">2026-02-26</x:t>
        </x:is>
      </x:c>
      <x:c r="T23" s="71" t="inlineStr">
        <x:is>
          <x:t xml:space="preserve">FY2025 revenue rose 179% to $24.6m, driven materially by a system sale; bookings fell 22% to $18.7m. GAAP OpEx rose 46% to $120.7m and cash/securities reached $884.5m. Growth and balance-sheet strength coexisted with high operating investment and external capital.</x:t>
        </x:is>
      </x:c>
      <x:c r="U23" s="71" t="inlineStr">
        <x:is>
          <x:t xml:space="preserve">UNSCORED — no point-in-time IV reconstruction</x:t>
        </x:is>
      </x:c>
      <x:c r="V23" s="71" t="inlineStr">
        <x:is>
          <x:t xml:space="preserve">UNSCORED</x:t>
        </x:is>
      </x:c>
      <x:c r="W23" s="71" t="inlineStr">
        <x:is>
          <x:t xml:space="preserve">UNSCORED</x:t>
        </x:is>
      </x:c>
      <x:c r="X23" s="71" t="n"/>
      <x:c r="Y23" s="71" t="inlineStr">
        <x:is>
          <x:t xml:space="preserve">NO</x:t>
        </x:is>
      </x:c>
      <x:c r="Z23" s="71" t="inlineStr">
        <x:is>
          <x:t xml:space="preserve">Look-ahead bias (fatal)</x:t>
        </x:is>
      </x:c>
      <x:c r="AA23" s="71" t="inlineStr">
        <x:is>
          <x:t xml:space="preserve">Mandatory bridge: system-sale revenue/bookings vs recurring revenue, plus fully diluted per-share capital bridge.</x:t>
        </x:is>
      </x:c>
      <x:c r="AB23" s="71" t="inlineStr">
        <x:is>
          <x:t xml:space="preserve">NO</x:t>
        </x:is>
      </x:c>
      <x:c r="AC23" s="57" t="inlineStr">
        <x:is>
          <x:t xml:space="preserve">V10.2-DRYRUN</x:t>
        </x:is>
      </x:c>
      <x:c r="AD23" s="57" t="inlineStr">
        <x:is>
          <x:t xml:space="preserve">FY2024 -&gt; FY2025. Retrospective dry run only. Not eligible for accuracy because no genuine historical pre-registration.</x:t>
        </x:is>
      </x:c>
      <x:c r="AE23" s="79" t="inlineStr">
        <x:is>
          <x:t xml:space="preserve">DRY RUN</x:t>
        </x:is>
      </x:c>
      <x:c r="AF23" s="79" t="inlineStr">
        <x:is>
          <x:t xml:space="preserve">NO</x:t>
        </x:is>
      </x:c>
      <x:c r="AG23" s="214" t="n"/>
    </x:row>
    <x:row r="24">
      <x:c r="A24" s="57" t="inlineStr">
        <x:is>
          <x:t xml:space="preserve">C0019</x:t>
        </x:is>
      </x:c>
      <x:c r="B24" s="57" t="inlineStr">
        <x:is>
          <x:t xml:space="preserve">Development</x:t>
        </x:is>
      </x:c>
      <x:c r="C24" s="57" t="inlineStr">
        <x:is>
          <x:t xml:space="preserve">OPEN</x:t>
        </x:is>
      </x:c>
      <x:c r="D24" s="57" t="inlineStr">
        <x:is>
          <x:t xml:space="preserve">ARG-002</x:t>
        </x:is>
      </x:c>
      <x:c r="E24" s="75" t="str">
        <x:f>INDEX('Company Universe'!$B$6:$B$105,MATCH(D24,'Company Universe'!$A$6:$A$105,0))</x:f>
        <x:v>D-Wave Quantum</x:v>
      </x:c>
      <x:c r="F24" s="75" t="str">
        <x:f>INDEX('Company Universe'!$C$6:$C$105,MATCH(D24,'Company Universe'!$A$6:$A$105,0))</x:f>
        <x:v>QBTS</x:v>
      </x:c>
      <x:c r="G24" s="75" t="str">
        <x:f>INDEX('Company Universe'!$F$6:$F$105,MATCH(D24,'Company Universe'!$A$6:$A$105,0))</x:f>
        <x:v>Quantum Computing</x:v>
      </x:c>
      <x:c r="H24" s="57" t="n">
        <x:v>9</x:v>
      </x:c>
      <x:c r="I24" s="206" t="inlineStr">
        <x:is>
          <x:t xml:space="preserve">2025-05-08</x:t>
        </x:is>
      </x:c>
      <x:c r="J24" s="71" t="n">
        <x:v>12</x:v>
      </x:c>
      <x:c r="K24" s="71" t="inlineStr">
        <x:is>
          <x:t xml:space="preserve">https://www.dwavequantum.com/company/newsroom/press-release/d-wave-reports-first-quarter-2025-results/</x:t>
        </x:is>
      </x:c>
      <x:c r="L24" s="71" t="inlineStr">
        <x:is>
          <x:t xml:space="preserve">NO</x:t>
        </x:is>
      </x:c>
      <x:c r="M24" s="71" t="inlineStr">
        <x:is>
          <x:t xml:space="preserve">RECONSTRUCTED: $15m Q1 revenue validates system monetization, but it is explicitly dominated by one hardware sale. Normalize it; focus on bookings, RPO, production apps and recurring QCaaS.</x:t>
        </x:is>
      </x:c>
      <x:c r="N24" s="71" t="inlineStr">
        <x:is>
          <x:t xml:space="preserve">Reported revenue likely normalizes lower; bookings/production use more informative</x:t>
        </x:is>
      </x:c>
      <x:c r="O24" s="71" t="inlineStr">
        <x:is>
          <x:t xml:space="preserve">Wider / lumpy-revenue sensitive</x:t>
        </x:is>
      </x:c>
      <x:c r="P24" s="71" t="inlineStr">
        <x:is>
          <x:t xml:space="preserve">WAIT / RESEARCH</x:t>
        </x:is>
      </x:c>
      <x:c r="Q24" s="71" t="inlineStr">
        <x:is>
          <x:t xml:space="preserve">Follow-on bookings absent; recurring use weak; spending expands before durable demand</x:t>
        </x:is>
      </x:c>
      <x:c r="R24" s="71" t="inlineStr">
        <x:is>
          <x:t xml:space="preserve">IonQ (IONQ)</x:t>
        </x:is>
      </x:c>
      <x:c r="S24" s="206" t="inlineStr">
        <x:is>
          <x:t xml:space="preserve">2026-05-12</x:t>
        </x:is>
      </x:c>
      <x:c r="T24" s="71" t="inlineStr">
        <x:is>
          <x:t xml:space="preserve">Q1 2026 revenue fell 81% to $2.9m because the prior-year system sale did not repeat, while bookings surged to $33.4m (+1,994%) and RPO reached $42.4m (+563%). Adjusted EBITDA loss worsened to $32.8m. The revenue-normalization prediction was structurally correct; demand indicators moved the other way.</x:t>
        </x:is>
      </x:c>
      <x:c r="U24" s="71" t="inlineStr">
        <x:is>
          <x:t xml:space="preserve">UNSCORED — no point-in-time IV reconstruction</x:t>
        </x:is>
      </x:c>
      <x:c r="V24" s="71" t="inlineStr">
        <x:is>
          <x:t xml:space="preserve">UNSCORED</x:t>
        </x:is>
      </x:c>
      <x:c r="W24" s="71" t="inlineStr">
        <x:is>
          <x:t xml:space="preserve">UNSCORED</x:t>
        </x:is>
      </x:c>
      <x:c r="X24" s="71" t="n"/>
      <x:c r="Y24" s="71" t="inlineStr">
        <x:is>
          <x:t xml:space="preserve">NO</x:t>
        </x:is>
      </x:c>
      <x:c r="Z24" s="71" t="inlineStr">
        <x:is>
          <x:t xml:space="preserve">Look-ahead bias (fatal)</x:t>
        </x:is>
      </x:c>
      <x:c r="AA24" s="71" t="inlineStr">
        <x:is>
          <x:t xml:space="preserve">For hardware quantum, score revenue quality using trailing system sales + bookings/RPO + recurring QCaaS, not YoY quarterly revenue alone.</x:t>
        </x:is>
      </x:c>
      <x:c r="AB24" s="71" t="inlineStr">
        <x:is>
          <x:t xml:space="preserve">NO</x:t>
        </x:is>
      </x:c>
      <x:c r="AC24" s="57" t="inlineStr">
        <x:is>
          <x:t xml:space="preserve">V10.2-DRYRUN</x:t>
        </x:is>
      </x:c>
      <x:c r="AD24" s="57" t="inlineStr">
        <x:is>
          <x:t xml:space="preserve">Q1 2025 -&gt; Q1 2026. Retrospective dry run only; illustrates correct KPI hierarchy. Not eligible for accuracy because no genuine historical pre-registration.</x:t>
        </x:is>
      </x:c>
      <x:c r="AE24" s="79" t="inlineStr">
        <x:is>
          <x:t xml:space="preserve">DRY RUN</x:t>
        </x:is>
      </x:c>
      <x:c r="AF24" s="79" t="inlineStr">
        <x:is>
          <x:t xml:space="preserve">NO</x:t>
        </x:is>
      </x:c>
      <x:c r="AG24" s="214" t="n"/>
    </x:row>
    <x:row r="25">
      <x:c r="A25" s="57" t="inlineStr">
        <x:is>
          <x:t xml:space="preserve">C0020</x:t>
        </x:is>
      </x:c>
      <x:c r="B25" s="57" t="inlineStr">
        <x:is>
          <x:t xml:space="preserve">Development</x:t>
        </x:is>
      </x:c>
      <x:c r="C25" s="57" t="inlineStr">
        <x:is>
          <x:t xml:space="preserve">OPEN</x:t>
        </x:is>
      </x:c>
      <x:c r="D25" s="57" t="inlineStr">
        <x:is>
          <x:t xml:space="preserve">ARG-002</x:t>
        </x:is>
      </x:c>
      <x:c r="E25" s="75" t="str">
        <x:f>INDEX('Company Universe'!$B$6:$B$105,MATCH(D25,'Company Universe'!$A$6:$A$105,0))</x:f>
        <x:v>D-Wave Quantum</x:v>
      </x:c>
      <x:c r="F25" s="75" t="str">
        <x:f>INDEX('Company Universe'!$C$6:$C$105,MATCH(D25,'Company Universe'!$A$6:$A$105,0))</x:f>
        <x:v>QBTS</x:v>
      </x:c>
      <x:c r="G25" s="75" t="str">
        <x:f>INDEX('Company Universe'!$F$6:$F$105,MATCH(D25,'Company Universe'!$A$6:$A$105,0))</x:f>
        <x:v>Quantum Computing</x:v>
      </x:c>
      <x:c r="H25" s="57" t="n">
        <x:v>10</x:v>
      </x:c>
      <x:c r="I25" s="206" t="inlineStr">
        <x:is>
          <x:t xml:space="preserve">2025-08-07</x:t>
        </x:is>
      </x:c>
      <x:c r="J25" s="71" t="n">
        <x:v>12</x:v>
      </x:c>
      <x:c r="K25" s="71" t="inlineStr">
        <x:is>
          <x:t xml:space="preserve">https://www.dwavequantum.com/company/newsroom/press-release/d-wave-reports-second-quarter-2025-results/</x:t>
        </x:is>
      </x:c>
      <x:c r="L25" s="71" t="inlineStr">
        <x:is>
          <x:t xml:space="preserve">NO</x:t>
        </x:is>
      </x:c>
      <x:c r="M25" s="71" t="inlineStr">
        <x:is>
          <x:t xml:space="preserve">RECONSTRUCTED: Q2 revenue +42% but OpEx +41% and adjusted EBITDA loss worsened; record cash follows capital-market activity. Advantage2 launch improves product evidence, not yet owner cash generation.</x:t>
        </x:is>
      </x:c>
      <x:c r="N25" s="71" t="inlineStr">
        <x:is>
          <x:t xml:space="preserve">Commercial mix can improve; owner economics remain negative</x:t>
        </x:is>
      </x:c>
      <x:c r="O25" s="71" t="inlineStr">
        <x:is>
          <x:t xml:space="preserve">Wider / dilution-and-cost sensitive</x:t>
        </x:is>
      </x:c>
      <x:c r="P25" s="71" t="inlineStr">
        <x:is>
          <x:t xml:space="preserve">WAIT / RESEARCH</x:t>
        </x:is>
      </x:c>
      <x:c r="Q25" s="71" t="inlineStr">
        <x:is>
          <x:t xml:space="preserve">Bookings/RPO fail to expand; production QCaaS remains small; OpEx grows faster than economic gross profit</x:t>
        </x:is>
      </x:c>
      <x:c r="R25" s="71" t="inlineStr">
        <x:is>
          <x:t xml:space="preserve">IonQ (IONQ)</x:t>
        </x:is>
      </x:c>
      <x:c r="S25" s="206" t="inlineStr">
        <x:is>
          <x:t xml:space="preserve">2026-08-06</x:t>
        </x:is>
      </x:c>
      <x:c r="T25" s="71" t="inlineStr">
        <x:is>
          <x:t xml:space="preserve">Q2 2026 revenue was flat at $3.1m, bookings rose 59% to $2.1m; first-half bookings reached $35.5m (+1,120%). Production-application QCaaS became 37.3% of QCaaS revenue, but adjusted EBITDA loss widened to $37.1m. Higher-quality adoption improved while owner economics remained negative.</x:t>
        </x:is>
      </x:c>
      <x:c r="U25" s="71" t="inlineStr">
        <x:is>
          <x:t xml:space="preserve">UNSCORED — no point-in-time IV reconstruction</x:t>
        </x:is>
      </x:c>
      <x:c r="V25" s="71" t="inlineStr">
        <x:is>
          <x:t xml:space="preserve">UNSCORED</x:t>
        </x:is>
      </x:c>
      <x:c r="W25" s="71" t="inlineStr">
        <x:is>
          <x:t xml:space="preserve">UNSCORED</x:t>
        </x:is>
      </x:c>
      <x:c r="X25" s="71" t="n"/>
      <x:c r="Y25" s="71" t="inlineStr">
        <x:is>
          <x:t xml:space="preserve">NO</x:t>
        </x:is>
      </x:c>
      <x:c r="Z25" s="71" t="inlineStr">
        <x:is>
          <x:t xml:space="preserve">Look-ahead bias (fatal)</x:t>
        </x:is>
      </x:c>
      <x:c r="AA25" s="71" t="inlineStr">
        <x:is>
          <x:t xml:space="preserve">Promote recurring production QCaaS + RPO/bookings quality to quantum operating-engine sensors, with dilution-adjusted owner economics as separate fatal gate.</x:t>
        </x:is>
      </x:c>
      <x:c r="AB25" s="71" t="inlineStr">
        <x:is>
          <x:t xml:space="preserve">NO</x:t>
        </x:is>
      </x:c>
      <x:c r="AC25" s="57" t="inlineStr">
        <x:is>
          <x:t xml:space="preserve">V10.2-DRYRUN</x:t>
        </x:is>
      </x:c>
      <x:c r="AD25" s="57" t="inlineStr">
        <x:is>
          <x:t xml:space="preserve">Q2 2025 -&gt; Q2 2026. Retrospective dry run only. Not eligible for accuracy because no genuine historical pre-registration.</x:t>
        </x:is>
      </x:c>
      <x:c r="AE25" s="79" t="inlineStr">
        <x:is>
          <x:t xml:space="preserve">DRY RUN</x:t>
        </x:is>
      </x:c>
      <x:c r="AF25" s="79" t="inlineStr">
        <x:is>
          <x:t xml:space="preserve">NO</x:t>
        </x:is>
      </x:c>
      <x:c r="AG25" s="214" t="n"/>
    </x:row>
    <x:row r="26">
      <x:c r="A26" s="57" t="inlineStr">
        <x:is>
          <x:t xml:space="preserve">C0021</x:t>
        </x:is>
      </x:c>
      <x:c r="B26" s="57" t="inlineStr">
        <x:is>
          <x:t xml:space="preserve">Development</x:t>
        </x:is>
      </x:c>
      <x:c r="C26" s="57" t="inlineStr">
        <x:is>
          <x:t xml:space="preserve">OPEN</x:t>
        </x:is>
      </x:c>
      <x:c r="D26" s="57" t="inlineStr">
        <x:is>
          <x:t xml:space="preserve">ARG-003</x:t>
        </x:is>
      </x:c>
      <x:c r="E26" s="75" t="str">
        <x:f>INDEX('Company Universe'!$B$6:$B$105,MATCH(D26,'Company Universe'!$A$6:$A$105,0))</x:f>
        <x:v>Rigetti Computing</x:v>
      </x:c>
      <x:c r="F26" s="75" t="str">
        <x:f>INDEX('Company Universe'!$C$6:$C$105,MATCH(D26,'Company Universe'!$A$6:$A$105,0))</x:f>
        <x:v>RGTI</x:v>
      </x:c>
      <x:c r="G26" s="75" t="str">
        <x:f>INDEX('Company Universe'!$F$6:$F$105,MATCH(D26,'Company Universe'!$A$6:$A$105,0))</x:f>
        <x:v>Quantum Computing</x:v>
      </x:c>
      <x:c r="H26" s="57" t="n">
        <x:v>1</x:v>
      </x:c>
      <x:c r="I26" s="206" t="inlineStr">
        <x:is>
          <x:t xml:space="preserve">2023-05-11</x:t>
        </x:is>
      </x:c>
      <x:c r="J26" s="71" t="n">
        <x:v>12</x:v>
      </x:c>
      <x:c r="K26" s="71" t="inlineStr">
        <x:is>
          <x:t xml:space="preserve">https://investors.rigetti.com/news-releases/news-release-details/rigetti-computing-reports-first-quarter-2023-financial-results</x:t>
        </x:is>
      </x:c>
      <x:c r="L26" s="71" t="inlineStr">
        <x:is>
          <x:t xml:space="preserve">NO</x:t>
        </x:is>
      </x:c>
      <x:c r="M26" s="71" t="inlineStr">
        <x:is>
          <x:t xml:space="preserve">Ankaa roadmap can improve fidelity and unlock early QPU commercialization, but economics remain subscale.</x:t>
        </x:is>
      </x:c>
      <x:c r="N26" s="71" t="inlineStr">
        <x:is>
          <x:t xml:space="preserve">Technical fidelity improves; revenue begins converting from research/services into repeat paid QPU use.</x:t>
        </x:is>
      </x:c>
      <x:c r="O26" s="71" t="inlineStr">
        <x:is>
          <x:t xml:space="preserve">IV only rises if technical progress converts to recurring paid deployments without destructive financing.</x:t>
        </x:is>
      </x:c>
      <x:c r="P26" s="71" t="inlineStr">
        <x:is>
          <x:t xml:space="preserve">NO ACTION / RESEARCH</x:t>
        </x:is>
      </x:c>
      <x:c r="Q26" s="71" t="inlineStr">
        <x:is>
          <x:t xml:space="preserve">Owner Earnings remain deeply negative or capital runway depends on repeated equity issuance.</x:t>
        </x:is>
      </x:c>
      <x:c r="R26" s="71" t="inlineStr">
        <x:is>
          <x:t xml:space="preserve">IONQ</x:t>
        </x:is>
      </x:c>
      <x:c r="S26" s="206" t="inlineStr">
        <x:is>
          <x:t xml:space="preserve">2024-05-09</x:t>
        </x:is>
      </x:c>
      <x:c r="T26" s="71" t="inlineStr">
        <x:is>
          <x:t xml:space="preserve">Q1 revenue rose from about $2.2M to $3.1M, but Q1-24 OpEx was about $18.1M and operating loss about $16.6M. Rigetti sold about 23M shares Jan-May 2024 for roughly $32.9M; cash was about $102.8M.</x:t>
        </x:is>
      </x:c>
      <x:c r="U26" s="71" t="inlineStr">
        <x:is>
          <x:t xml:space="preserve">Business progress did not establish per-share owner value; financing dependence remained material.</x:t>
        </x:is>
      </x:c>
      <x:c r="V26" s="71" t="inlineStr">
        <x:is>
          <x:t xml:space="preserve">UNSCORED</x:t>
        </x:is>
      </x:c>
      <x:c r="W26" s="71" t="inlineStr">
        <x:is>
          <x:t xml:space="preserve">UNSCORED</x:t>
        </x:is>
      </x:c>
      <x:c r="X26" s="71" t="str"/>
      <x:c r="Y26" s="71" t="inlineStr">
        <x:is>
          <x:t xml:space="preserve">NO</x:t>
        </x:is>
      </x:c>
      <x:c r="Z26" s="71" t="inlineStr">
        <x:is>
          <x:t xml:space="preserve">Look-ahead bias (fatal)</x:t>
        </x:is>
      </x:c>
      <x:c r="AA26" s="71" t="inlineStr">
        <x:is>
          <x:t xml:space="preserve">Add explicit per-share capital bridge: operating cash burn + equity issuance + share-count growth before Stewardship can pass.</x:t>
        </x:is>
      </x:c>
      <x:c r="AB26" s="71" t="inlineStr">
        <x:is>
          <x:t xml:space="preserve">NO</x:t>
        </x:is>
      </x:c>
      <x:c r="AC26" s="57" t="inlineStr">
        <x:is>
          <x:t xml:space="preserve">V10.3-DRYRUN</x:t>
        </x:is>
      </x:c>
      <x:c r="AD26" s="57" t="inlineStr">
        <x:is>
          <x:t xml:space="preserve">Retrospective reconstruction only; not genuine preregistration; no accuracy credit.</x:t>
        </x:is>
      </x:c>
      <x:c r="AE26" s="79" t="inlineStr">
        <x:is>
          <x:t xml:space="preserve">DRY RUN</x:t>
        </x:is>
      </x:c>
      <x:c r="AF26" s="79" t="inlineStr">
        <x:is>
          <x:t xml:space="preserve">NO</x:t>
        </x:is>
      </x:c>
      <x:c r="AG26" s="214" t="str"/>
    </x:row>
    <x:row r="27">
      <x:c r="A27" s="57" t="inlineStr">
        <x:is>
          <x:t xml:space="preserve">C0022</x:t>
        </x:is>
      </x:c>
      <x:c r="B27" s="57" t="inlineStr">
        <x:is>
          <x:t xml:space="preserve">Development</x:t>
        </x:is>
      </x:c>
      <x:c r="C27" s="57" t="inlineStr">
        <x:is>
          <x:t xml:space="preserve">OPEN</x:t>
        </x:is>
      </x:c>
      <x:c r="D27" s="57" t="inlineStr">
        <x:is>
          <x:t xml:space="preserve">ARG-003</x:t>
        </x:is>
      </x:c>
      <x:c r="E27" s="75" t="str">
        <x:f>INDEX('Company Universe'!$B$6:$B$105,MATCH(D27,'Company Universe'!$A$6:$A$105,0))</x:f>
        <x:v>Rigetti Computing</x:v>
      </x:c>
      <x:c r="F27" s="75" t="str">
        <x:f>INDEX('Company Universe'!$C$6:$C$105,MATCH(D27,'Company Universe'!$A$6:$A$105,0))</x:f>
        <x:v>RGTI</x:v>
      </x:c>
      <x:c r="G27" s="75" t="str">
        <x:f>INDEX('Company Universe'!$F$6:$F$105,MATCH(D27,'Company Universe'!$A$6:$A$105,0))</x:f>
        <x:v>Quantum Computing</x:v>
      </x:c>
      <x:c r="H27" s="57" t="n">
        <x:v>2</x:v>
      </x:c>
      <x:c r="I27" s="206" t="inlineStr">
        <x:is>
          <x:t xml:space="preserve">2023-08-10</x:t>
        </x:is>
      </x:c>
      <x:c r="J27" s="71" t="n">
        <x:v>12</x:v>
      </x:c>
      <x:c r="K27" s="71" t="inlineStr">
        <x:is>
          <x:t xml:space="preserve">https://investors.rigetti.com/news-releases/news-release-details/rigetti-computing-reports-second-quarter-2023-financial-results</x:t>
        </x:is>
      </x:c>
      <x:c r="L27" s="71" t="inlineStr">
        <x:is>
          <x:t xml:space="preserve">NO</x:t>
        </x:is>
      </x:c>
      <x:c r="M27" s="71" t="inlineStr">
        <x:is>
          <x:t xml:space="preserve">Initial QPU sales plus Ankaa-2 fidelity progress could establish a commercial hardware path.</x:t>
        </x:is>
      </x:c>
      <x:c r="N27" s="71" t="inlineStr">
        <x:is>
          <x:t xml:space="preserve">Stable/growing revenue with repeat QPU/system demand and improving unit economics.</x:t>
        </x:is>
      </x:c>
      <x:c r="O27" s="71" t="inlineStr">
        <x:is>
          <x:t xml:space="preserve">IV improves only if commercial conversion outpaces dilution and operating losses.</x:t>
        </x:is>
      </x:c>
      <x:c r="P27" s="71" t="inlineStr">
        <x:is>
          <x:t xml:space="preserve">NO ACTION / RESEARCH</x:t>
        </x:is>
      </x:c>
      <x:c r="Q27" s="71" t="inlineStr">
        <x:is>
          <x:t xml:space="preserve">Revenue stalls while loss base remains large and cash runway is extended mainly by new shares.</x:t>
        </x:is>
      </x:c>
      <x:c r="R27" s="71" t="inlineStr">
        <x:is>
          <x:t xml:space="preserve">IONQ</x:t>
        </x:is>
      </x:c>
      <x:c r="S27" s="206" t="inlineStr">
        <x:is>
          <x:t xml:space="preserve">2024-08-08</x:t>
        </x:is>
      </x:c>
      <x:c r="T27" s="71" t="inlineStr">
        <x:is>
          <x:t xml:space="preserve">Q2 revenue was roughly $3.1M versus $3.3M a year earlier; OpEx about $18.1M and operating loss about $16.1M. Apr-Jul 2024 Rigetti raised about $27.8M by selling roughly 24.1M shares; cash about $100.5M.</x:t>
        </x:is>
      </x:c>
      <x:c r="U27" s="71" t="inlineStr">
        <x:is>
          <x:t xml:space="preserve">Technical roadmap did not yet produce owner-economics improvement.</x:t>
        </x:is>
      </x:c>
      <x:c r="V27" s="71" t="inlineStr">
        <x:is>
          <x:t xml:space="preserve">UNSCORED</x:t>
        </x:is>
      </x:c>
      <x:c r="W27" s="71" t="inlineStr">
        <x:is>
          <x:t xml:space="preserve">UNSCORED</x:t>
        </x:is>
      </x:c>
      <x:c r="X27" s="71" t="str"/>
      <x:c r="Y27" s="71" t="inlineStr">
        <x:is>
          <x:t xml:space="preserve">NO</x:t>
        </x:is>
      </x:c>
      <x:c r="Z27" s="71" t="inlineStr">
        <x:is>
          <x:t xml:space="preserve">Look-ahead bias (fatal)</x:t>
        </x:is>
      </x:c>
      <x:c r="AA27" s="71" t="inlineStr">
        <x:is>
          <x:t xml:space="preserve">Track paid-system conversion and dilution together; decompose source of cash.</x:t>
        </x:is>
      </x:c>
      <x:c r="AB27" s="71" t="inlineStr">
        <x:is>
          <x:t xml:space="preserve">NO</x:t>
        </x:is>
      </x:c>
      <x:c r="AC27" s="57" t="inlineStr">
        <x:is>
          <x:t xml:space="preserve">V10.3-DRYRUN</x:t>
        </x:is>
      </x:c>
      <x:c r="AD27" s="57" t="inlineStr">
        <x:is>
          <x:t xml:space="preserve">Retrospective reconstruction only; not genuine preregistration; no accuracy credit.</x:t>
        </x:is>
      </x:c>
      <x:c r="AE27" s="79" t="inlineStr">
        <x:is>
          <x:t xml:space="preserve">DRY RUN</x:t>
        </x:is>
      </x:c>
      <x:c r="AF27" s="79" t="inlineStr">
        <x:is>
          <x:t xml:space="preserve">NO</x:t>
        </x:is>
      </x:c>
      <x:c r="AG27" s="214" t="str"/>
    </x:row>
    <x:row r="28">
      <x:c r="A28" s="57" t="inlineStr">
        <x:is>
          <x:t xml:space="preserve">C0023</x:t>
        </x:is>
      </x:c>
      <x:c r="B28" s="57" t="inlineStr">
        <x:is>
          <x:t xml:space="preserve">Development</x:t>
        </x:is>
      </x:c>
      <x:c r="C28" s="57" t="inlineStr">
        <x:is>
          <x:t xml:space="preserve">OPEN</x:t>
        </x:is>
      </x:c>
      <x:c r="D28" s="57" t="inlineStr">
        <x:is>
          <x:t xml:space="preserve">ARG-003</x:t>
        </x:is>
      </x:c>
      <x:c r="E28" s="75" t="str">
        <x:f>INDEX('Company Universe'!$B$6:$B$105,MATCH(D28,'Company Universe'!$A$6:$A$105,0))</x:f>
        <x:v>Rigetti Computing</x:v>
      </x:c>
      <x:c r="F28" s="75" t="str">
        <x:f>INDEX('Company Universe'!$C$6:$C$105,MATCH(D28,'Company Universe'!$A$6:$A$105,0))</x:f>
        <x:v>RGTI</x:v>
      </x:c>
      <x:c r="G28" s="75" t="str">
        <x:f>INDEX('Company Universe'!$F$6:$F$105,MATCH(D28,'Company Universe'!$A$6:$A$105,0))</x:f>
        <x:v>Quantum Computing</x:v>
      </x:c>
      <x:c r="H28" s="57" t="n">
        <x:v>3</x:v>
      </x:c>
      <x:c r="I28" s="206" t="inlineStr">
        <x:is>
          <x:t xml:space="preserve">2023-11-09</x:t>
        </x:is>
      </x:c>
      <x:c r="J28" s="71" t="n">
        <x:v>12</x:v>
      </x:c>
      <x:c r="K28" s="71" t="inlineStr">
        <x:is>
          <x:t xml:space="preserve">https://investors.rigetti.com/news-releases/news-release-details/rigetti-computing-reports-third-quarter-2023-financial-results</x:t>
        </x:is>
      </x:c>
      <x:c r="L28" s="71" t="inlineStr">
        <x:is>
          <x:t xml:space="preserve">NO</x:t>
        </x:is>
      </x:c>
      <x:c r="M28" s="71" t="inlineStr">
        <x:is>
          <x:t xml:space="preserve">Growing QPU sales/foundry activity can validate modular superconducting architecture commercially.</x:t>
        </x:is>
      </x:c>
      <x:c r="N28" s="71" t="inlineStr">
        <x:is>
          <x:t xml:space="preserve">Revenue/backlog expand while cash burn moderates.</x:t>
        </x:is>
      </x:c>
      <x:c r="O28" s="71" t="inlineStr">
        <x:is>
          <x:t xml:space="preserve">IV rises only with repeat customers and reduced financing dependence.</x:t>
        </x:is>
      </x:c>
      <x:c r="P28" s="71" t="inlineStr">
        <x:is>
          <x:t xml:space="preserve">NO ACTION / RESEARCH</x:t>
        </x:is>
      </x:c>
      <x:c r="Q28" s="71" t="inlineStr">
        <x:is>
          <x:t xml:space="preserve">Technical milestones progress but revenue contracts or recurring commercial demand fails to appear.</x:t>
        </x:is>
      </x:c>
      <x:c r="R28" s="71" t="inlineStr">
        <x:is>
          <x:t xml:space="preserve">IONQ</x:t>
        </x:is>
      </x:c>
      <x:c r="S28" s="206" t="inlineStr">
        <x:is>
          <x:t xml:space="preserve">2024-11-12</x:t>
        </x:is>
      </x:c>
      <x:c r="T28" s="71" t="inlineStr">
        <x:is>
          <x:t xml:space="preserve">Q3-24 revenue fell to about $2.4M from $3.1M; OpEx about $18.6M, operating loss about $17.3M, cash about $92.6M. Modular roadmap advanced, monetization weakened.</x:t>
        </x:is>
      </x:c>
      <x:c r="U28" s="71" t="inlineStr">
        <x:is>
          <x:t xml:space="preserve">Per-share IV support remained weak despite technical progress.</x:t>
        </x:is>
      </x:c>
      <x:c r="V28" s="71" t="inlineStr">
        <x:is>
          <x:t xml:space="preserve">UNSCORED</x:t>
        </x:is>
      </x:c>
      <x:c r="W28" s="71" t="inlineStr">
        <x:is>
          <x:t xml:space="preserve">UNSCORED</x:t>
        </x:is>
      </x:c>
      <x:c r="X28" s="71" t="str"/>
      <x:c r="Y28" s="71" t="inlineStr">
        <x:is>
          <x:t xml:space="preserve">NO</x:t>
        </x:is>
      </x:c>
      <x:c r="Z28" s="71" t="inlineStr">
        <x:is>
          <x:t xml:space="preserve">Look-ahead bias (fatal)</x:t>
        </x:is>
      </x:c>
      <x:c r="AA28" s="71" t="inlineStr">
        <x:is>
          <x:t xml:space="preserve">Require technical milestones to convert into paid deployments; score technical and commercial proof separately.</x:t>
        </x:is>
      </x:c>
      <x:c r="AB28" s="71" t="inlineStr">
        <x:is>
          <x:t xml:space="preserve">NO</x:t>
        </x:is>
      </x:c>
      <x:c r="AC28" s="57" t="inlineStr">
        <x:is>
          <x:t xml:space="preserve">V10.3-DRYRUN</x:t>
        </x:is>
      </x:c>
      <x:c r="AD28" s="57" t="inlineStr">
        <x:is>
          <x:t xml:space="preserve">Retrospective reconstruction only; not genuine preregistration; no accuracy credit.</x:t>
        </x:is>
      </x:c>
      <x:c r="AE28" s="79" t="inlineStr">
        <x:is>
          <x:t xml:space="preserve">DRY RUN</x:t>
        </x:is>
      </x:c>
      <x:c r="AF28" s="79" t="inlineStr">
        <x:is>
          <x:t xml:space="preserve">NO</x:t>
        </x:is>
      </x:c>
      <x:c r="AG28" s="214" t="str"/>
    </x:row>
    <x:row r="29">
      <x:c r="A29" s="57" t="inlineStr">
        <x:is>
          <x:t xml:space="preserve">C0024</x:t>
        </x:is>
      </x:c>
      <x:c r="B29" s="57" t="inlineStr">
        <x:is>
          <x:t xml:space="preserve">Development</x:t>
        </x:is>
      </x:c>
      <x:c r="C29" s="57" t="inlineStr">
        <x:is>
          <x:t xml:space="preserve">OPEN</x:t>
        </x:is>
      </x:c>
      <x:c r="D29" s="57" t="inlineStr">
        <x:is>
          <x:t xml:space="preserve">ARG-003</x:t>
        </x:is>
      </x:c>
      <x:c r="E29" s="75" t="str">
        <x:f>INDEX('Company Universe'!$B$6:$B$105,MATCH(D29,'Company Universe'!$A$6:$A$105,0))</x:f>
        <x:v>Rigetti Computing</x:v>
      </x:c>
      <x:c r="F29" s="75" t="str">
        <x:f>INDEX('Company Universe'!$C$6:$C$105,MATCH(D29,'Company Universe'!$A$6:$A$105,0))</x:f>
        <x:v>RGTI</x:v>
      </x:c>
      <x:c r="G29" s="75" t="str">
        <x:f>INDEX('Company Universe'!$F$6:$F$105,MATCH(D29,'Company Universe'!$A$6:$A$105,0))</x:f>
        <x:v>Quantum Computing</x:v>
      </x:c>
      <x:c r="H29" s="57" t="n">
        <x:v>4</x:v>
      </x:c>
      <x:c r="I29" s="206" t="inlineStr">
        <x:is>
          <x:t xml:space="preserve">2024-03-14</x:t>
        </x:is>
      </x:c>
      <x:c r="J29" s="71" t="n">
        <x:v>12</x:v>
      </x:c>
      <x:c r="K29" s="71" t="inlineStr">
        <x:is>
          <x:t xml:space="preserve">https://investors.rigetti.com/news-releases/news-release-details/rigetti-computing-reports-fourth-quarter-and-full-year-2023</x:t>
        </x:is>
      </x:c>
      <x:c r="L29" s="71" t="inlineStr">
        <x:is>
          <x:t xml:space="preserve">NO</x:t>
        </x:is>
      </x:c>
      <x:c r="M29" s="71" t="inlineStr">
        <x:is>
          <x:t xml:space="preserve">84-qubit Ankaa-2 and fidelity gains create a path to modular scaling/on-prem demand.</x:t>
        </x:is>
      </x:c>
      <x:c r="N29" s="71" t="inlineStr">
        <x:is>
          <x:t xml:space="preserve">2024 revenue grows with deployments and normalized operating loss improves.</x:t>
        </x:is>
      </x:c>
      <x:c r="O29" s="71" t="inlineStr">
        <x:is>
          <x:t xml:space="preserve">IV requires monetization and normalized losses, not headline GAAP swings.</x:t>
        </x:is>
      </x:c>
      <x:c r="P29" s="71" t="inlineStr">
        <x:is>
          <x:t xml:space="preserve">NO ACTION / RESEARCH</x:t>
        </x:is>
      </x:c>
      <x:c r="Q29" s="71" t="inlineStr">
        <x:is>
          <x:t xml:space="preserve">Revenue remains tiny vs expense base; financing/accounting volatility dominates earnings.</x:t>
        </x:is>
      </x:c>
      <x:c r="R29" s="71" t="inlineStr">
        <x:is>
          <x:t xml:space="preserve">QBTS</x:t>
        </x:is>
      </x:c>
      <x:c r="S29" s="206" t="inlineStr">
        <x:is>
          <x:t xml:space="preserve">2025-03-05</x:t>
        </x:is>
      </x:c>
      <x:c r="T29" s="71" t="inlineStr">
        <x:is>
          <x:t xml:space="preserve">FY2024 revenue about $10.8M; OpEx about $74.2M; operating loss about $68.5M. GAAP net loss heavily distorted by warrant/earnout fair-value changes.</x:t>
        </x:is>
      </x:c>
      <x:c r="U29" s="71" t="inlineStr">
        <x:is>
          <x:t xml:space="preserve">Headline GAAP loss was not a useful owner-economics measure; normalized economics remained poor.</x:t>
        </x:is>
      </x:c>
      <x:c r="V29" s="71" t="inlineStr">
        <x:is>
          <x:t xml:space="preserve">UNSCORED</x:t>
        </x:is>
      </x:c>
      <x:c r="W29" s="71" t="inlineStr">
        <x:is>
          <x:t xml:space="preserve">UNSCORED</x:t>
        </x:is>
      </x:c>
      <x:c r="X29" s="71" t="str"/>
      <x:c r="Y29" s="71" t="inlineStr">
        <x:is>
          <x:t xml:space="preserve">NO</x:t>
        </x:is>
      </x:c>
      <x:c r="Z29" s="71" t="inlineStr">
        <x:is>
          <x:t xml:space="preserve">Look-ahead bias (fatal)</x:t>
        </x:is>
      </x:c>
      <x:c r="AA29" s="71" t="inlineStr">
        <x:is>
          <x:t xml:space="preserve">Add normalized operating-economics bridge excluding warrant/earnout fair-value noise.</x:t>
        </x:is>
      </x:c>
      <x:c r="AB29" s="71" t="inlineStr">
        <x:is>
          <x:t xml:space="preserve">NO</x:t>
        </x:is>
      </x:c>
      <x:c r="AC29" s="57" t="inlineStr">
        <x:is>
          <x:t xml:space="preserve">V10.3-DRYRUN</x:t>
        </x:is>
      </x:c>
      <x:c r="AD29" s="57" t="inlineStr">
        <x:is>
          <x:t xml:space="preserve">Retrospective reconstruction only; not genuine preregistration; no accuracy credit.</x:t>
        </x:is>
      </x:c>
      <x:c r="AE29" s="79" t="inlineStr">
        <x:is>
          <x:t xml:space="preserve">DRY RUN</x:t>
        </x:is>
      </x:c>
      <x:c r="AF29" s="79" t="inlineStr">
        <x:is>
          <x:t xml:space="preserve">NO</x:t>
        </x:is>
      </x:c>
      <x:c r="AG29" s="214" t="str"/>
    </x:row>
    <x:row r="30">
      <x:c r="A30" s="57" t="inlineStr">
        <x:is>
          <x:t xml:space="preserve">C0025</x:t>
        </x:is>
      </x:c>
      <x:c r="B30" s="57" t="inlineStr">
        <x:is>
          <x:t xml:space="preserve">Development</x:t>
        </x:is>
      </x:c>
      <x:c r="C30" s="57" t="inlineStr">
        <x:is>
          <x:t xml:space="preserve">OPEN</x:t>
        </x:is>
      </x:c>
      <x:c r="D30" s="57" t="inlineStr">
        <x:is>
          <x:t xml:space="preserve">ARG-003</x:t>
        </x:is>
      </x:c>
      <x:c r="E30" s="75" t="str">
        <x:f>INDEX('Company Universe'!$B$6:$B$105,MATCH(D30,'Company Universe'!$A$6:$A$105,0))</x:f>
        <x:v>Rigetti Computing</x:v>
      </x:c>
      <x:c r="F30" s="75" t="str">
        <x:f>INDEX('Company Universe'!$C$6:$C$105,MATCH(D30,'Company Universe'!$A$6:$A$105,0))</x:f>
        <x:v>RGTI</x:v>
      </x:c>
      <x:c r="G30" s="75" t="str">
        <x:f>INDEX('Company Universe'!$F$6:$F$105,MATCH(D30,'Company Universe'!$A$6:$A$105,0))</x:f>
        <x:v>Quantum Computing</x:v>
      </x:c>
      <x:c r="H30" s="57" t="n">
        <x:v>5</x:v>
      </x:c>
      <x:c r="I30" s="206" t="inlineStr">
        <x:is>
          <x:t xml:space="preserve">2024-05-09</x:t>
        </x:is>
      </x:c>
      <x:c r="J30" s="71" t="n">
        <x:v>12</x:v>
      </x:c>
      <x:c r="K30" s="71" t="inlineStr">
        <x:is>
          <x:t xml:space="preserve">https://investors.rigetti.com/news-releases/news-release-details/rigetti-computing-reports-first-quarter-2024-financial-results</x:t>
        </x:is>
      </x:c>
      <x:c r="L30" s="71" t="inlineStr">
        <x:is>
          <x:t xml:space="preserve">NO</x:t>
        </x:is>
      </x:c>
      <x:c r="M30" s="71" t="inlineStr">
        <x:is>
          <x:t xml:space="preserve">Improving fidelity/2025 modular roadmap can drive larger paid deployments.</x:t>
        </x:is>
      </x:c>
      <x:c r="N30" s="71" t="inlineStr">
        <x:is>
          <x:t xml:space="preserve">Revenue grows and normalized operating loss narrows; cash less equity-dependent.</x:t>
        </x:is>
      </x:c>
      <x:c r="O30" s="71" t="inlineStr">
        <x:is>
          <x:t xml:space="preserve">IV capped if operating losses grow faster than commercial traction.</x:t>
        </x:is>
      </x:c>
      <x:c r="P30" s="71" t="inlineStr">
        <x:is>
          <x:t xml:space="preserve">NO ACTION / RESEARCH</x:t>
        </x:is>
      </x:c>
      <x:c r="Q30" s="71" t="inlineStr">
        <x:is>
          <x:t xml:space="preserve">Revenue falls while financing-derived cash masks worsening operating economics.</x:t>
        </x:is>
      </x:c>
      <x:c r="R30" s="71" t="inlineStr">
        <x:is>
          <x:t xml:space="preserve">QBTS</x:t>
        </x:is>
      </x:c>
      <x:c r="S30" s="206" t="inlineStr">
        <x:is>
          <x:t xml:space="preserve">2025-05-12</x:t>
        </x:is>
      </x:c>
      <x:c r="T30" s="71" t="inlineStr">
        <x:is>
          <x:t xml:space="preserve">Q1-25 revenue fell to about $1.5M from $3.1M; OpEx about $22.1M. GAAP net income about $42.6M was driven by roughly $62.1M of non-cash fair-value gains; liquidity strengthened by outside capital including Quanta.</x:t>
        </x:is>
      </x:c>
      <x:c r="U30" s="71" t="inlineStr">
        <x:is>
          <x:t xml:space="preserve">GAAP profitability was economically misleading; owner earnings remained negative.</x:t>
        </x:is>
      </x:c>
      <x:c r="V30" s="71" t="inlineStr">
        <x:is>
          <x:t xml:space="preserve">UNSCORED</x:t>
        </x:is>
      </x:c>
      <x:c r="W30" s="71" t="inlineStr">
        <x:is>
          <x:t xml:space="preserve">UNSCORED</x:t>
        </x:is>
      </x:c>
      <x:c r="X30" s="71" t="str"/>
      <x:c r="Y30" s="71" t="inlineStr">
        <x:is>
          <x:t xml:space="preserve">NO</x:t>
        </x:is>
      </x:c>
      <x:c r="Z30" s="71" t="inlineStr">
        <x:is>
          <x:t xml:space="preserve">Look-ahead bias (fatal)</x:t>
        </x:is>
      </x:c>
      <x:c r="AA30" s="71" t="inlineStr">
        <x:is>
          <x:t xml:space="preserve">Never use GAAP net income alone; normalize derivative/warrant gains and identify financing-sourced liquidity.</x:t>
        </x:is>
      </x:c>
      <x:c r="AB30" s="71" t="inlineStr">
        <x:is>
          <x:t xml:space="preserve">NO</x:t>
        </x:is>
      </x:c>
      <x:c r="AC30" s="57" t="inlineStr">
        <x:is>
          <x:t xml:space="preserve">V10.3-DRYRUN</x:t>
        </x:is>
      </x:c>
      <x:c r="AD30" s="57" t="inlineStr">
        <x:is>
          <x:t xml:space="preserve">Retrospective reconstruction only; not genuine preregistration; no accuracy credit.</x:t>
        </x:is>
      </x:c>
      <x:c r="AE30" s="79" t="inlineStr">
        <x:is>
          <x:t xml:space="preserve">DRY RUN</x:t>
        </x:is>
      </x:c>
      <x:c r="AF30" s="79" t="inlineStr">
        <x:is>
          <x:t xml:space="preserve">NO</x:t>
        </x:is>
      </x:c>
      <x:c r="AG30" s="214" t="str"/>
    </x:row>
    <x:row r="31">
      <x:c r="A31" s="57" t="inlineStr">
        <x:is>
          <x:t xml:space="preserve">C0026</x:t>
        </x:is>
      </x:c>
      <x:c r="B31" s="57" t="inlineStr">
        <x:is>
          <x:t xml:space="preserve">Development</x:t>
        </x:is>
      </x:c>
      <x:c r="C31" s="57" t="inlineStr">
        <x:is>
          <x:t xml:space="preserve">OPEN</x:t>
        </x:is>
      </x:c>
      <x:c r="D31" s="57" t="inlineStr">
        <x:is>
          <x:t xml:space="preserve">ARG-003</x:t>
        </x:is>
      </x:c>
      <x:c r="E31" s="75" t="str">
        <x:f>INDEX('Company Universe'!$B$6:$B$105,MATCH(D31,'Company Universe'!$A$6:$A$105,0))</x:f>
        <x:v>Rigetti Computing</x:v>
      </x:c>
      <x:c r="F31" s="75" t="str">
        <x:f>INDEX('Company Universe'!$C$6:$C$105,MATCH(D31,'Company Universe'!$A$6:$A$105,0))</x:f>
        <x:v>RGTI</x:v>
      </x:c>
      <x:c r="G31" s="75" t="str">
        <x:f>INDEX('Company Universe'!$F$6:$F$105,MATCH(D31,'Company Universe'!$A$6:$A$105,0))</x:f>
        <x:v>Quantum Computing</x:v>
      </x:c>
      <x:c r="H31" s="57" t="n">
        <x:v>6</x:v>
      </x:c>
      <x:c r="I31" s="206" t="inlineStr">
        <x:is>
          <x:t xml:space="preserve">2024-08-08</x:t>
        </x:is>
      </x:c>
      <x:c r="J31" s="71" t="n">
        <x:v>12</x:v>
      </x:c>
      <x:c r="K31" s="71" t="inlineStr">
        <x:is>
          <x:t xml:space="preserve">https://investors.rigetti.com/news-releases/news-release-details/rigetti-computing-reports-second-quarter-2024-financial-results</x:t>
        </x:is>
      </x:c>
      <x:c r="L31" s="71" t="inlineStr">
        <x:is>
          <x:t xml:space="preserve">NO</x:t>
        </x:is>
      </x:c>
      <x:c r="M31" s="71" t="inlineStr">
        <x:is>
          <x:t xml:space="preserve">Modular architecture can convert into scalable 36Q+ commercial systems.</x:t>
        </x:is>
      </x:c>
      <x:c r="N31" s="71" t="inlineStr">
        <x:is>
          <x:t xml:space="preserve">Commercial revenue/repeat deployments accelerate; loss-to-revenue ratio improves.</x:t>
        </x:is>
      </x:c>
      <x:c r="O31" s="71" t="inlineStr">
        <x:is>
          <x:t xml:space="preserve">IV improves only if milestones translate into monetization per share.</x:t>
        </x:is>
      </x:c>
      <x:c r="P31" s="71" t="inlineStr">
        <x:is>
          <x:t xml:space="preserve">NO ACTION / RESEARCH</x:t>
        </x:is>
      </x:c>
      <x:c r="Q31" s="71" t="inlineStr">
        <x:is>
          <x:t xml:space="preserve">Cash rises mainly from equity while revenue remains immaterial vs operating cost.</x:t>
        </x:is>
      </x:c>
      <x:c r="R31" s="71" t="inlineStr">
        <x:is>
          <x:t xml:space="preserve">QBTS</x:t>
        </x:is>
      </x:c>
      <x:c r="S31" s="206" t="inlineStr">
        <x:is>
          <x:t xml:space="preserve">2025-08-12</x:t>
        </x:is>
      </x:c>
      <x:c r="T31" s="71" t="inlineStr">
        <x:is>
          <x:t xml:space="preserve">Q2-25 revenue about $1.8M vs $3.1M; OpEx about $20.4M and operating loss about $19.9M. Cash about $571.6M while 36Q multi-chip reached general availability.</x:t>
        </x:is>
      </x:c>
      <x:c r="U31" s="71" t="inlineStr">
        <x:is>
          <x:t xml:space="preserve">Technology advanced; economic conversion remained weak relative to capital base.</x:t>
        </x:is>
      </x:c>
      <x:c r="V31" s="71" t="inlineStr">
        <x:is>
          <x:t xml:space="preserve">UNSCORED</x:t>
        </x:is>
      </x:c>
      <x:c r="W31" s="71" t="inlineStr">
        <x:is>
          <x:t xml:space="preserve">UNSCORED</x:t>
        </x:is>
      </x:c>
      <x:c r="X31" s="71" t="str"/>
      <x:c r="Y31" s="71" t="inlineStr">
        <x:is>
          <x:t xml:space="preserve">NO</x:t>
        </x:is>
      </x:c>
      <x:c r="Z31" s="71" t="inlineStr">
        <x:is>
          <x:t xml:space="preserve">Look-ahead bias (fatal)</x:t>
        </x:is>
      </x:c>
      <x:c r="AA31" s="71" t="inlineStr">
        <x:is>
          <x:t xml:space="preserve">Add revenue/normalized-OpEx ratio plus deployment-to-revenue conversion.</x:t>
        </x:is>
      </x:c>
      <x:c r="AB31" s="71" t="inlineStr">
        <x:is>
          <x:t xml:space="preserve">NO</x:t>
        </x:is>
      </x:c>
      <x:c r="AC31" s="57" t="inlineStr">
        <x:is>
          <x:t xml:space="preserve">V10.3-DRYRUN</x:t>
        </x:is>
      </x:c>
      <x:c r="AD31" s="57" t="inlineStr">
        <x:is>
          <x:t xml:space="preserve">Retrospective reconstruction only; not genuine preregistration; no accuracy credit.</x:t>
        </x:is>
      </x:c>
      <x:c r="AE31" s="79" t="inlineStr">
        <x:is>
          <x:t xml:space="preserve">DRY RUN</x:t>
        </x:is>
      </x:c>
      <x:c r="AF31" s="79" t="inlineStr">
        <x:is>
          <x:t xml:space="preserve">NO</x:t>
        </x:is>
      </x:c>
      <x:c r="AG31" s="214" t="str"/>
    </x:row>
    <x:row r="32">
      <x:c r="A32" s="57" t="inlineStr">
        <x:is>
          <x:t xml:space="preserve">C0027</x:t>
        </x:is>
      </x:c>
      <x:c r="B32" s="57" t="inlineStr">
        <x:is>
          <x:t xml:space="preserve">Development</x:t>
        </x:is>
      </x:c>
      <x:c r="C32" s="57" t="inlineStr">
        <x:is>
          <x:t xml:space="preserve">OPEN</x:t>
        </x:is>
      </x:c>
      <x:c r="D32" s="57" t="inlineStr">
        <x:is>
          <x:t xml:space="preserve">ARG-003</x:t>
        </x:is>
      </x:c>
      <x:c r="E32" s="75" t="str">
        <x:f>INDEX('Company Universe'!$B$6:$B$105,MATCH(D32,'Company Universe'!$A$6:$A$105,0))</x:f>
        <x:v>Rigetti Computing</x:v>
      </x:c>
      <x:c r="F32" s="75" t="str">
        <x:f>INDEX('Company Universe'!$C$6:$C$105,MATCH(D32,'Company Universe'!$A$6:$A$105,0))</x:f>
        <x:v>RGTI</x:v>
      </x:c>
      <x:c r="G32" s="75" t="str">
        <x:f>INDEX('Company Universe'!$F$6:$F$105,MATCH(D32,'Company Universe'!$A$6:$A$105,0))</x:f>
        <x:v>Quantum Computing</x:v>
      </x:c>
      <x:c r="H32" s="57" t="n">
        <x:v>7</x:v>
      </x:c>
      <x:c r="I32" s="206" t="inlineStr">
        <x:is>
          <x:t xml:space="preserve">2024-11-12</x:t>
        </x:is>
      </x:c>
      <x:c r="J32" s="71" t="n">
        <x:v>12</x:v>
      </x:c>
      <x:c r="K32" s="71" t="inlineStr">
        <x:is>
          <x:t xml:space="preserve">https://investors.rigetti.com/news-releases/news-release-details/rigetti-computing-reports-third-quarter-2024-financial-results</x:t>
        </x:is>
      </x:c>
      <x:c r="L32" s="71" t="inlineStr">
        <x:is>
          <x:t xml:space="preserve">NO</x:t>
        </x:is>
      </x:c>
      <x:c r="M32" s="71" t="inlineStr">
        <x:is>
          <x:t xml:space="preserve">Modular 2025 roadmap can reverse revenue weakness via paid on-prem/cloud demand.</x:t>
        </x:is>
      </x:c>
      <x:c r="N32" s="71" t="inlineStr">
        <x:is>
          <x:t xml:space="preserve">Revenue resumes growth and normalized loss improves.</x:t>
        </x:is>
      </x:c>
      <x:c r="O32" s="71" t="inlineStr">
        <x:is>
          <x:t xml:space="preserve">IV requires repeat paid use plus lower dilution-adjusted burn.</x:t>
        </x:is>
      </x:c>
      <x:c r="P32" s="71" t="inlineStr">
        <x:is>
          <x:t xml:space="preserve">NO ACTION / RESEARCH</x:t>
        </x:is>
      </x:c>
      <x:c r="Q32" s="71" t="inlineStr">
        <x:is>
          <x:t xml:space="preserve">GAAP fair-value effects obscure underlying loss or revenue fails to respond to roadmap delivery.</x:t>
        </x:is>
      </x:c>
      <x:c r="R32" s="71" t="inlineStr">
        <x:is>
          <x:t xml:space="preserve">QBTS</x:t>
        </x:is>
      </x:c>
      <x:c r="S32" s="206" t="inlineStr">
        <x:is>
          <x:t xml:space="preserve">2025-11-10</x:t>
        </x:is>
      </x:c>
      <x:c r="T32" s="71" t="inlineStr">
        <x:is>
          <x:t xml:space="preserve">Q3-25 revenue about $1.9M vs $2.4M; operating loss about $20.5M. GAAP net loss about $201M vs non-GAAP net loss about $10.7M due warrant/earnout valuation effects.</x:t>
        </x:is>
      </x:c>
      <x:c r="U32" s="71" t="inlineStr">
        <x:is>
          <x:t xml:space="preserve">Reported GAAP volatility was mostly non-operating; monetization remained limited.</x:t>
        </x:is>
      </x:c>
      <x:c r="V32" s="71" t="inlineStr">
        <x:is>
          <x:t xml:space="preserve">UNSCORED</x:t>
        </x:is>
      </x:c>
      <x:c r="W32" s="71" t="inlineStr">
        <x:is>
          <x:t xml:space="preserve">UNSCORED</x:t>
        </x:is>
      </x:c>
      <x:c r="X32" s="71" t="str"/>
      <x:c r="Y32" s="71" t="inlineStr">
        <x:is>
          <x:t xml:space="preserve">NO</x:t>
        </x:is>
      </x:c>
      <x:c r="Z32" s="71" t="inlineStr">
        <x:is>
          <x:t xml:space="preserve">Look-ahead bias (fatal)</x:t>
        </x:is>
      </x:c>
      <x:c r="AA32" s="71" t="inlineStr">
        <x:is>
          <x:t xml:space="preserve">Make normalized-loss bridge mandatory and flag accounting noise larger than operating revenue.</x:t>
        </x:is>
      </x:c>
      <x:c r="AB32" s="71" t="inlineStr">
        <x:is>
          <x:t xml:space="preserve">NO</x:t>
        </x:is>
      </x:c>
      <x:c r="AC32" s="57" t="inlineStr">
        <x:is>
          <x:t xml:space="preserve">V10.3-DRYRUN</x:t>
        </x:is>
      </x:c>
      <x:c r="AD32" s="57" t="inlineStr">
        <x:is>
          <x:t xml:space="preserve">Retrospective reconstruction only; not genuine preregistration; no accuracy credit.</x:t>
        </x:is>
      </x:c>
      <x:c r="AE32" s="79" t="inlineStr">
        <x:is>
          <x:t xml:space="preserve">DRY RUN</x:t>
        </x:is>
      </x:c>
      <x:c r="AF32" s="79" t="inlineStr">
        <x:is>
          <x:t xml:space="preserve">NO</x:t>
        </x:is>
      </x:c>
      <x:c r="AG32" s="214" t="str"/>
    </x:row>
    <x:row r="33">
      <x:c r="A33" s="57" t="inlineStr">
        <x:is>
          <x:t xml:space="preserve">C0028</x:t>
        </x:is>
      </x:c>
      <x:c r="B33" s="57" t="inlineStr">
        <x:is>
          <x:t xml:space="preserve">Development</x:t>
        </x:is>
      </x:c>
      <x:c r="C33" s="57" t="inlineStr">
        <x:is>
          <x:t xml:space="preserve">OPEN</x:t>
        </x:is>
      </x:c>
      <x:c r="D33" s="57" t="inlineStr">
        <x:is>
          <x:t xml:space="preserve">ARG-003</x:t>
        </x:is>
      </x:c>
      <x:c r="E33" s="75" t="str">
        <x:f>INDEX('Company Universe'!$B$6:$B$105,MATCH(D33,'Company Universe'!$A$6:$A$105,0))</x:f>
        <x:v>Rigetti Computing</x:v>
      </x:c>
      <x:c r="F33" s="75" t="str">
        <x:f>INDEX('Company Universe'!$C$6:$C$105,MATCH(D33,'Company Universe'!$A$6:$A$105,0))</x:f>
        <x:v>RGTI</x:v>
      </x:c>
      <x:c r="G33" s="75" t="str">
        <x:f>INDEX('Company Universe'!$F$6:$F$105,MATCH(D33,'Company Universe'!$A$6:$A$105,0))</x:f>
        <x:v>Quantum Computing</x:v>
      </x:c>
      <x:c r="H33" s="57" t="n">
        <x:v>8</x:v>
      </x:c>
      <x:c r="I33" s="206" t="inlineStr">
        <x:is>
          <x:t xml:space="preserve">2025-03-05</x:t>
        </x:is>
      </x:c>
      <x:c r="J33" s="71" t="n">
        <x:v>12</x:v>
      </x:c>
      <x:c r="K33" s="71" t="inlineStr">
        <x:is>
          <x:t xml:space="preserve">https://investors.rigetti.com/news-releases/news-release-details/rigetti-computing-reports-fourth-quarter-and-full-year-2024-financial-results</x:t>
        </x:is>
      </x:c>
      <x:c r="L33" s="71" t="inlineStr">
        <x:is>
          <x:t xml:space="preserve">NO</x:t>
        </x:is>
      </x:c>
      <x:c r="M33" s="71" t="inlineStr">
        <x:is>
          <x:t xml:space="preserve">Technical improvements + liquidity can support commercialization, but paid deployments are decisive.</x:t>
        </x:is>
      </x:c>
      <x:c r="N33" s="71" t="inlineStr">
        <x:is>
          <x:t xml:space="preserve">FY2025 revenue grows, fidelity improves, normalized loss-to-revenue improves.</x:t>
        </x:is>
      </x:c>
      <x:c r="O33" s="71" t="inlineStr">
        <x:is>
          <x:t xml:space="preserve">IV improves only if technical leadership becomes commercial traction before capital is consumed.</x:t>
        </x:is>
      </x:c>
      <x:c r="P33" s="71" t="inlineStr">
        <x:is>
          <x:t xml:space="preserve">NO ACTION / RESEARCH</x:t>
        </x:is>
      </x:c>
      <x:c r="Q33" s="71" t="inlineStr">
        <x:is>
          <x:t xml:space="preserve">Fidelity improves while annual revenue shrinks or owner losses stay structurally large.</x:t>
        </x:is>
      </x:c>
      <x:c r="R33" s="71" t="inlineStr">
        <x:is>
          <x:t xml:space="preserve">IONQ</x:t>
        </x:is>
      </x:c>
      <x:c r="S33" s="206" t="inlineStr">
        <x:is>
          <x:t xml:space="preserve">2026-03-04</x:t>
        </x:is>
      </x:c>
      <x:c r="T33" s="71" t="inlineStr">
        <x:is>
          <x:t xml:space="preserve">FY2025 revenue fell to about $7.1M from $10.8M; non-GAAP net loss about $50.5M; cash about $589.8M; technical progress included ~99.9% two-qubit fidelity on a prototype.</x:t>
        </x:is>
      </x:c>
      <x:c r="U33" s="71" t="inlineStr">
        <x:is>
          <x:t xml:space="preserve">Strong technical evidence coexisted with deteriorating annual revenue; no owner-economics pass.</x:t>
        </x:is>
      </x:c>
      <x:c r="V33" s="71" t="inlineStr">
        <x:is>
          <x:t xml:space="preserve">UNSCORED</x:t>
        </x:is>
      </x:c>
      <x:c r="W33" s="71" t="inlineStr">
        <x:is>
          <x:t xml:space="preserve">UNSCORED</x:t>
        </x:is>
      </x:c>
      <x:c r="X33" s="71" t="str"/>
      <x:c r="Y33" s="71" t="inlineStr">
        <x:is>
          <x:t xml:space="preserve">NO</x:t>
        </x:is>
      </x:c>
      <x:c r="Z33" s="71" t="inlineStr">
        <x:is>
          <x:t xml:space="preserve">Look-ahead bias (fatal)</x:t>
        </x:is>
      </x:c>
      <x:c r="AA33" s="71" t="inlineStr">
        <x:is>
          <x:t xml:space="preserve">Separate technical-score trend from commercial-score trend; require both for IV upgrade.</x:t>
        </x:is>
      </x:c>
      <x:c r="AB33" s="71" t="inlineStr">
        <x:is>
          <x:t xml:space="preserve">NO</x:t>
        </x:is>
      </x:c>
      <x:c r="AC33" s="57" t="inlineStr">
        <x:is>
          <x:t xml:space="preserve">V10.3-DRYRUN</x:t>
        </x:is>
      </x:c>
      <x:c r="AD33" s="57" t="inlineStr">
        <x:is>
          <x:t xml:space="preserve">Retrospective reconstruction only; not genuine preregistration; no accuracy credit.</x:t>
        </x:is>
      </x:c>
      <x:c r="AE33" s="79" t="inlineStr">
        <x:is>
          <x:t xml:space="preserve">DRY RUN</x:t>
        </x:is>
      </x:c>
      <x:c r="AF33" s="79" t="inlineStr">
        <x:is>
          <x:t xml:space="preserve">NO</x:t>
        </x:is>
      </x:c>
      <x:c r="AG33" s="214" t="str"/>
    </x:row>
    <x:row r="34">
      <x:c r="A34" s="57" t="inlineStr">
        <x:is>
          <x:t xml:space="preserve">C0029</x:t>
        </x:is>
      </x:c>
      <x:c r="B34" s="57" t="inlineStr">
        <x:is>
          <x:t xml:space="preserve">Development</x:t>
        </x:is>
      </x:c>
      <x:c r="C34" s="57" t="inlineStr">
        <x:is>
          <x:t xml:space="preserve">OPEN</x:t>
        </x:is>
      </x:c>
      <x:c r="D34" s="57" t="inlineStr">
        <x:is>
          <x:t xml:space="preserve">ARG-003</x:t>
        </x:is>
      </x:c>
      <x:c r="E34" s="75" t="str">
        <x:f>INDEX('Company Universe'!$B$6:$B$105,MATCH(D34,'Company Universe'!$A$6:$A$105,0))</x:f>
        <x:v>Rigetti Computing</x:v>
      </x:c>
      <x:c r="F34" s="75" t="str">
        <x:f>INDEX('Company Universe'!$C$6:$C$105,MATCH(D34,'Company Universe'!$A$6:$A$105,0))</x:f>
        <x:v>RGTI</x:v>
      </x:c>
      <x:c r="G34" s="75" t="str">
        <x:f>INDEX('Company Universe'!$F$6:$F$105,MATCH(D34,'Company Universe'!$A$6:$A$105,0))</x:f>
        <x:v>Quantum Computing</x:v>
      </x:c>
      <x:c r="H34" s="57" t="n">
        <x:v>9</x:v>
      </x:c>
      <x:c r="I34" s="206" t="inlineStr">
        <x:is>
          <x:t xml:space="preserve">2025-05-12</x:t>
        </x:is>
      </x:c>
      <x:c r="J34" s="71" t="n">
        <x:v>12</x:v>
      </x:c>
      <x:c r="K34" s="71" t="inlineStr">
        <x:is>
          <x:t xml:space="preserve">https://investors.rigetti.com/news-releases/news-release-details/rigetti-computing-reports-first-quarter-2025-financial-results</x:t>
        </x:is>
      </x:c>
      <x:c r="L34" s="71" t="inlineStr">
        <x:is>
          <x:t xml:space="preserve">NO</x:t>
        </x:is>
      </x:c>
      <x:c r="M34" s="71" t="inlineStr">
        <x:is>
          <x:t xml:space="preserve">36Q modular availability plus deployments can create a 2026 revenue inflection.</x:t>
        </x:is>
      </x:c>
      <x:c r="N34" s="71" t="inlineStr">
        <x:is>
          <x:t xml:space="preserve">Revenue accelerates with identifiable system/deployment customers; normalized loss grows slower than revenue.</x:t>
        </x:is>
      </x:c>
      <x:c r="O34" s="71" t="inlineStr">
        <x:is>
          <x:t xml:space="preserve">IV can improve if commercialization begins without fresh dilution cycle.</x:t>
        </x:is>
      </x:c>
      <x:c r="P34" s="71" t="inlineStr">
        <x:is>
          <x:t xml:space="preserve">NO ACTION / RESEARCH</x:t>
        </x:is>
      </x:c>
      <x:c r="Q34" s="71" t="inlineStr">
        <x:is>
          <x:t xml:space="preserve">Revenue improves but absolute burn/capital intensity still swamp gross economic value.</x:t>
        </x:is>
      </x:c>
      <x:c r="R34" s="71" t="inlineStr">
        <x:is>
          <x:t xml:space="preserve">IONQ</x:t>
        </x:is>
      </x:c>
      <x:c r="S34" s="206" t="inlineStr">
        <x:is>
          <x:t xml:space="preserve">2026-05-11</x:t>
        </x:is>
      </x:c>
      <x:c r="T34" s="71" t="inlineStr">
        <x:is>
          <x:t xml:space="preserve">Q1-26 revenue increased to about $4.4M from $1.5M, but operating loss about $26M and cash about $569M. 108Q-system/deployment progress improved commercial evidence.</x:t>
        </x:is>
      </x:c>
      <x:c r="U34" s="71" t="inlineStr">
        <x:is>
          <x:t xml:space="preserve">Commercialization strengthened, owner economics remained far from self-funding.</x:t>
        </x:is>
      </x:c>
      <x:c r="V34" s="71" t="inlineStr">
        <x:is>
          <x:t xml:space="preserve">UNSCORED</x:t>
        </x:is>
      </x:c>
      <x:c r="W34" s="71" t="inlineStr">
        <x:is>
          <x:t xml:space="preserve">UNSCORED</x:t>
        </x:is>
      </x:c>
      <x:c r="X34" s="71" t="str"/>
      <x:c r="Y34" s="71" t="inlineStr">
        <x:is>
          <x:t xml:space="preserve">NO</x:t>
        </x:is>
      </x:c>
      <x:c r="Z34" s="71" t="inlineStr">
        <x:is>
          <x:t xml:space="preserve">Look-ahead bias (fatal)</x:t>
        </x:is>
      </x:c>
      <x:c r="AA34" s="71" t="inlineStr">
        <x:is>
          <x:t xml:space="preserve">Compare revenue acceleration with incremental OpEx and cash burn, not revenue growth alone.</x:t>
        </x:is>
      </x:c>
      <x:c r="AB34" s="71" t="inlineStr">
        <x:is>
          <x:t xml:space="preserve">NO</x:t>
        </x:is>
      </x:c>
      <x:c r="AC34" s="57" t="inlineStr">
        <x:is>
          <x:t xml:space="preserve">V10.3-DRYRUN</x:t>
        </x:is>
      </x:c>
      <x:c r="AD34" s="57" t="inlineStr">
        <x:is>
          <x:t xml:space="preserve">Retrospective reconstruction only; not genuine preregistration; no accuracy credit.</x:t>
        </x:is>
      </x:c>
      <x:c r="AE34" s="79" t="inlineStr">
        <x:is>
          <x:t xml:space="preserve">DRY RUN</x:t>
        </x:is>
      </x:c>
      <x:c r="AF34" s="79" t="inlineStr">
        <x:is>
          <x:t xml:space="preserve">NO</x:t>
        </x:is>
      </x:c>
      <x:c r="AG34" s="214" t="str"/>
    </x:row>
    <x:row r="35">
      <x:c r="A35" s="57" t="inlineStr">
        <x:is>
          <x:t xml:space="preserve">C0030</x:t>
        </x:is>
      </x:c>
      <x:c r="B35" s="57" t="inlineStr">
        <x:is>
          <x:t xml:space="preserve">Development</x:t>
        </x:is>
      </x:c>
      <x:c r="C35" s="57" t="inlineStr">
        <x:is>
          <x:t xml:space="preserve">OPEN</x:t>
        </x:is>
      </x:c>
      <x:c r="D35" s="57" t="inlineStr">
        <x:is>
          <x:t xml:space="preserve">ARG-003</x:t>
        </x:is>
      </x:c>
      <x:c r="E35" s="75" t="str">
        <x:f>INDEX('Company Universe'!$B$6:$B$105,MATCH(D35,'Company Universe'!$A$6:$A$105,0))</x:f>
        <x:v>Rigetti Computing</x:v>
      </x:c>
      <x:c r="F35" s="75" t="str">
        <x:f>INDEX('Company Universe'!$C$6:$C$105,MATCH(D35,'Company Universe'!$A$6:$A$105,0))</x:f>
        <x:v>RGTI</x:v>
      </x:c>
      <x:c r="G35" s="75" t="str">
        <x:f>INDEX('Company Universe'!$F$6:$F$105,MATCH(D35,'Company Universe'!$A$6:$A$105,0))</x:f>
        <x:v>Quantum Computing</x:v>
      </x:c>
      <x:c r="H35" s="57" t="n">
        <x:v>10</x:v>
      </x:c>
      <x:c r="I35" s="206" t="inlineStr">
        <x:is>
          <x:t xml:space="preserve">2025-08-12</x:t>
        </x:is>
      </x:c>
      <x:c r="J35" s="71" t="n">
        <x:v>12</x:v>
      </x:c>
      <x:c r="K35" s="71" t="inlineStr">
        <x:is>
          <x:t xml:space="preserve">https://investors.rigetti.com/news-releases/news-release-details/rigetti-computing-reports-second-quarter-2025-financial-results</x:t>
        </x:is>
      </x:c>
      <x:c r="L35" s="71" t="inlineStr">
        <x:is>
          <x:t xml:space="preserve">NO</x:t>
        </x:is>
      </x:c>
      <x:c r="M35" s="71" t="inlineStr">
        <x:is>
          <x:t xml:space="preserve">General availability of multi-chip systems can translate into larger 2026 product revenue.</x:t>
        </x:is>
      </x:c>
      <x:c r="N35" s="71" t="inlineStr">
        <x:is>
          <x:t xml:space="preserve">Revenue scales materially and normalized loss-to-revenue improves.</x:t>
        </x:is>
      </x:c>
      <x:c r="O35" s="71" t="inlineStr">
        <x:is>
          <x:t xml:space="preserve">IV upgrade requires paid deployment growth + stabilizing per-share financing burden.</x:t>
        </x:is>
      </x:c>
      <x:c r="P35" s="71" t="inlineStr">
        <x:is>
          <x:t xml:space="preserve">NO ACTION / RESEARCH</x:t>
        </x:is>
      </x:c>
      <x:c r="Q35" s="71" t="inlineStr">
        <x:is>
          <x:t xml:space="preserve">Sales grow but OpEx/cash burn scale as fast or faster.</x:t>
        </x:is>
      </x:c>
      <x:c r="R35" s="71" t="inlineStr">
        <x:is>
          <x:t xml:space="preserve">IONQ</x:t>
        </x:is>
      </x:c>
      <x:c r="S35" s="206" t="inlineStr">
        <x:is>
          <x:t xml:space="preserve">2026-08-06</x:t>
        </x:is>
      </x:c>
      <x:c r="T35" s="71" t="inlineStr">
        <x:is>
          <x:t xml:space="preserve">Q2-26 revenue increased to about $5.1M from $1.8M, but operating loss widened to about $28.1M and cash declined to about $541.3M.</x:t>
        </x:is>
      </x:c>
      <x:c r="U35" s="71" t="inlineStr">
        <x:is>
          <x:t xml:space="preserve">Revenue inflected, but durable per-share owner value remained unproven.</x:t>
        </x:is>
      </x:c>
      <x:c r="V35" s="71" t="inlineStr">
        <x:is>
          <x:t xml:space="preserve">UNSCORED</x:t>
        </x:is>
      </x:c>
      <x:c r="W35" s="71" t="inlineStr">
        <x:is>
          <x:t xml:space="preserve">UNSCORED</x:t>
        </x:is>
      </x:c>
      <x:c r="X35" s="71" t="str"/>
      <x:c r="Y35" s="71" t="inlineStr">
        <x:is>
          <x:t xml:space="preserve">NO</x:t>
        </x:is>
      </x:c>
      <x:c r="Z35" s="71" t="inlineStr">
        <x:is>
          <x:t xml:space="preserve">Look-ahead bias (fatal)</x:t>
        </x:is>
      </x:c>
      <x:c r="AA35" s="71" t="inlineStr">
        <x:is>
          <x:t xml:space="preserve">Require incremental revenue-to-incremental normalized OpEx/cash-burn conversion before gate improvement.</x:t>
        </x:is>
      </x:c>
      <x:c r="AB35" s="71" t="inlineStr">
        <x:is>
          <x:t xml:space="preserve">NO</x:t>
        </x:is>
      </x:c>
      <x:c r="AC35" s="57" t="inlineStr">
        <x:is>
          <x:t xml:space="preserve">V10.3-DRYRUN</x:t>
        </x:is>
      </x:c>
      <x:c r="AD35" s="57" t="inlineStr">
        <x:is>
          <x:t xml:space="preserve">Retrospective reconstruction only; not genuine preregistration; no accuracy credit.</x:t>
        </x:is>
      </x:c>
      <x:c r="AE35" s="79" t="inlineStr">
        <x:is>
          <x:t xml:space="preserve">DRY RUN</x:t>
        </x:is>
      </x:c>
      <x:c r="AF35" s="79" t="inlineStr">
        <x:is>
          <x:t xml:space="preserve">NO</x:t>
        </x:is>
      </x:c>
      <x:c r="AG35" s="214" t="str"/>
    </x:row>
    <x:row r="36">
      <x:c r="A36" s="57" t="inlineStr">
        <x:is>
          <x:t xml:space="preserve">C0031</x:t>
        </x:is>
      </x:c>
      <x:c r="B36" s="57" t="inlineStr">
        <x:is>
          <x:t xml:space="preserve">Development</x:t>
        </x:is>
      </x:c>
      <x:c r="C36" s="57" t="inlineStr">
        <x:is>
          <x:t xml:space="preserve">OPEN</x:t>
        </x:is>
      </x:c>
      <x:c r="D36" s="57" t="inlineStr">
        <x:is>
          <x:t xml:space="preserve">ARG-004</x:t>
        </x:is>
      </x:c>
      <x:c r="E36" s="75" t="str">
        <x:f>INDEX('Company Universe'!$B$6:$B$105,MATCH(D36,'Company Universe'!$A$6:$A$105,0))</x:f>
        <x:v>Quantum Computing Inc.</x:v>
      </x:c>
      <x:c r="F36" s="75" t="str">
        <x:f>INDEX('Company Universe'!$C$6:$C$105,MATCH(D36,'Company Universe'!$A$6:$A$105,0))</x:f>
        <x:v>QUBT</x:v>
      </x:c>
      <x:c r="G36" s="75" t="str">
        <x:f>INDEX('Company Universe'!$F$6:$F$105,MATCH(D36,'Company Universe'!$A$6:$A$105,0))</x:f>
        <x:v>Quantum Computing</x:v>
      </x:c>
      <x:c r="H36" s="57" t="n">
        <x:v>1</x:v>
      </x:c>
      <x:c r="I36" s="206" t="inlineStr">
        <x:is>
          <x:t xml:space="preserve">2023-05-11</x:t>
        </x:is>
      </x:c>
      <x:c r="J36" s="71" t="n">
        <x:v>13</x:v>
      </x:c>
      <x:c r="K36" s="71" t="inlineStr">
        <x:is>
          <x:t xml:space="preserve">https://quantumcomputinginc.com/news/press-releases/2023/quantum-computing-inc-announces-first-quarter-2023-financial-results</x:t>
        </x:is>
      </x:c>
      <x:c r="L36" s="71" t="inlineStr">
        <x:is>
          <x:t xml:space="preserve">NO</x:t>
        </x:is>
      </x:c>
      <x:c r="M36" s="71" t="inlineStr">
        <x:is>
          <x:t xml:space="preserve">Commercial launch across photonic quantum products can turn initial contracts into scalable revenue.</x:t>
        </x:is>
      </x:c>
      <x:c r="N36" s="71" t="inlineStr">
        <x:is>
          <x:t xml:space="preserve">Revenue accelerates from $121K base; cash burn stays controlled; share growth slows.</x:t>
        </x:is>
      </x:c>
      <x:c r="O36" s="71" t="inlineStr">
        <x:is>
          <x:t xml:space="preserve">IV only improves if commercialization outruns dilution and cash burn.</x:t>
        </x:is>
      </x:c>
      <x:c r="P36" s="71" t="inlineStr">
        <x:is>
          <x:t xml:space="preserve">NO ACTION / RESEARCH</x:t>
        </x:is>
      </x:c>
      <x:c r="Q36" s="71" t="inlineStr">
        <x:is>
          <x:t xml:space="preserve">Revenue remains immaterial while shares/cash burn expand.</x:t>
        </x:is>
      </x:c>
      <x:c r="R36" s="71" t="inlineStr">
        <x:is>
          <x:t xml:space="preserve">RGTI</x:t>
        </x:is>
      </x:c>
      <x:c r="S36" s="206" t="inlineStr">
        <x:is>
          <x:t xml:space="preserve">2024-06-11</x:t>
        </x:is>
      </x:c>
      <x:c r="T36" s="71" t="inlineStr">
        <x:is>
          <x:t xml:space="preserve">Q1-24 preliminary revenue was only about $27K versus $121K; the company was also in an auditor transition/reporting-delay period. Commercial conversion did not materialize.</x:t>
        </x:is>
      </x:c>
      <x:c r="U36" s="71" t="inlineStr">
        <x:is>
          <x:t xml:space="preserve">Business engine remained unproven; reporting quality became a material Stewardship/Data-quality issue.</x:t>
        </x:is>
      </x:c>
      <x:c r="V36" s="71" t="inlineStr">
        <x:is>
          <x:t xml:space="preserve">UNSCORED</x:t>
        </x:is>
      </x:c>
      <x:c r="W36" s="71" t="inlineStr">
        <x:is>
          <x:t xml:space="preserve">UNSCORED</x:t>
        </x:is>
      </x:c>
      <x:c r="X36" s="71" t="str"/>
      <x:c r="Y36" s="71" t="inlineStr">
        <x:is>
          <x:t xml:space="preserve">NO</x:t>
        </x:is>
      </x:c>
      <x:c r="Z36" s="71" t="inlineStr">
        <x:is>
          <x:t xml:space="preserve">Look-ahead bias (fatal)</x:t>
        </x:is>
      </x:c>
      <x:c r="AA36" s="71" t="inlineStr">
        <x:is>
          <x:t xml:space="preserve">Add filing reliability/auditor continuity as Stewardship evidence; late/restated filings cannot be treated like clean KPI history.</x:t>
        </x:is>
      </x:c>
      <x:c r="AB36" s="71" t="inlineStr">
        <x:is>
          <x:t xml:space="preserve">NO</x:t>
        </x:is>
      </x:c>
      <x:c r="AC36" s="57" t="inlineStr">
        <x:is>
          <x:t xml:space="preserve">V10.4-DRYRUN</x:t>
        </x:is>
      </x:c>
      <x:c r="AD36" s="57" t="inlineStr">
        <x:is>
          <x:t xml:space="preserve">Retrospective reconstruction only; not genuine preregistration; no accuracy credit.</x:t>
        </x:is>
      </x:c>
      <x:c r="AE36" s="79" t="inlineStr">
        <x:is>
          <x:t xml:space="preserve">DRY RUN</x:t>
        </x:is>
      </x:c>
      <x:c r="AF36" s="79" t="inlineStr">
        <x:is>
          <x:t xml:space="preserve">NO</x:t>
        </x:is>
      </x:c>
      <x:c r="AG36" s="214" t="str"/>
    </x:row>
    <x:row r="37">
      <x:c r="A37" s="57" t="inlineStr">
        <x:is>
          <x:t xml:space="preserve">C0032</x:t>
        </x:is>
      </x:c>
      <x:c r="B37" s="57" t="inlineStr">
        <x:is>
          <x:t xml:space="preserve">Development</x:t>
        </x:is>
      </x:c>
      <x:c r="C37" s="57" t="inlineStr">
        <x:is>
          <x:t xml:space="preserve">OPEN</x:t>
        </x:is>
      </x:c>
      <x:c r="D37" s="57" t="inlineStr">
        <x:is>
          <x:t xml:space="preserve">ARG-004</x:t>
        </x:is>
      </x:c>
      <x:c r="E37" s="75" t="str">
        <x:f>INDEX('Company Universe'!$B$6:$B$105,MATCH(D37,'Company Universe'!$A$6:$A$105,0))</x:f>
        <x:v>Quantum Computing Inc.</x:v>
      </x:c>
      <x:c r="F37" s="75" t="str">
        <x:f>INDEX('Company Universe'!$C$6:$C$105,MATCH(D37,'Company Universe'!$A$6:$A$105,0))</x:f>
        <x:v>QUBT</x:v>
      </x:c>
      <x:c r="G37" s="75" t="str">
        <x:f>INDEX('Company Universe'!$F$6:$F$105,MATCH(D37,'Company Universe'!$A$6:$A$105,0))</x:f>
        <x:v>Quantum Computing</x:v>
      </x:c>
      <x:c r="H37" s="57" t="n">
        <x:v>2</x:v>
      </x:c>
      <x:c r="I37" s="206" t="inlineStr">
        <x:is>
          <x:t xml:space="preserve">2023-08-14</x:t>
        </x:is>
      </x:c>
      <x:c r="J37" s="71" t="n">
        <x:v>14</x:v>
      </x:c>
      <x:c r="K37" s="71" t="inlineStr">
        <x:is>
          <x:t xml:space="preserve">https://quantumcomputinginc.com/news/press-releases/2023/quantum-computing-inc.-reports-second-quarter-and-first-half-2023-financial-results</x:t>
        </x:is>
      </x:c>
      <x:c r="L37" s="71" t="inlineStr">
        <x:is>
          <x:t xml:space="preserve">NO</x:t>
        </x:is>
      </x:c>
      <x:c r="M37" s="71" t="inlineStr">
        <x:is>
          <x:t xml:space="preserve">Professional-services traction can transition to hardware/product revenue and broader customer adoption.</x:t>
        </x:is>
      </x:c>
      <x:c r="N37" s="71" t="inlineStr">
        <x:is>
          <x:t xml:space="preserve">Revenue scales above services base with improving quality/repeatability.</x:t>
        </x:is>
      </x:c>
      <x:c r="O37" s="71" t="inlineStr">
        <x:is>
          <x:t xml:space="preserve">IV rises only if productization reduces dependence on capital markets.</x:t>
        </x:is>
      </x:c>
      <x:c r="P37" s="71" t="inlineStr">
        <x:is>
          <x:t xml:space="preserve">NO ACTION / RESEARCH</x:t>
        </x:is>
      </x:c>
      <x:c r="Q37" s="71" t="inlineStr">
        <x:is>
          <x:t xml:space="preserve">Products launch but revenue stays tiny or historical financials require restatement.</x:t>
        </x:is>
      </x:c>
      <x:c r="R37" s="71" t="inlineStr">
        <x:is>
          <x:t xml:space="preserve">RGTI</x:t>
        </x:is>
      </x:c>
      <x:c r="S37" s="206" t="inlineStr">
        <x:is>
          <x:t xml:space="preserve">2024-10-02</x:t>
        </x:is>
      </x:c>
      <x:c r="T37" s="71" t="inlineStr">
        <x:is>
          <x:t xml:space="preserve">Q2-24 restated revenue was about $183K vs $112K, but reporting was delayed until Oct 2024 after auditor transition/restatement work. Operating expenses were about $5.3M.</x:t>
        </x:is>
      </x:c>
      <x:c r="U37" s="71" t="inlineStr">
        <x:is>
          <x:t xml:space="preserve">Revenue growth was too small relative to cost base; data-quality risk was material.</x:t>
        </x:is>
      </x:c>
      <x:c r="V37" s="71" t="inlineStr">
        <x:is>
          <x:t xml:space="preserve">UNSCORED</x:t>
        </x:is>
      </x:c>
      <x:c r="W37" s="71" t="inlineStr">
        <x:is>
          <x:t xml:space="preserve">UNSCORED</x:t>
        </x:is>
      </x:c>
      <x:c r="X37" s="71" t="str"/>
      <x:c r="Y37" s="71" t="inlineStr">
        <x:is>
          <x:t xml:space="preserve">NO</x:t>
        </x:is>
      </x:c>
      <x:c r="Z37" s="71" t="inlineStr">
        <x:is>
          <x:t xml:space="preserve">Look-ahead bias (fatal)</x:t>
        </x:is>
      </x:c>
      <x:c r="AA37" s="71" t="inlineStr">
        <x:is>
          <x:t xml:space="preserve">Add source-vintage/restatement tracking and distinguish originally reported from restated financial history.</x:t>
        </x:is>
      </x:c>
      <x:c r="AB37" s="71" t="inlineStr">
        <x:is>
          <x:t xml:space="preserve">NO</x:t>
        </x:is>
      </x:c>
      <x:c r="AC37" s="57" t="inlineStr">
        <x:is>
          <x:t xml:space="preserve">V10.4-DRYRUN</x:t>
        </x:is>
      </x:c>
      <x:c r="AD37" s="57" t="inlineStr">
        <x:is>
          <x:t xml:space="preserve">Retrospective reconstruction only; not genuine preregistration; no accuracy credit.</x:t>
        </x:is>
      </x:c>
      <x:c r="AE37" s="79" t="inlineStr">
        <x:is>
          <x:t xml:space="preserve">DRY RUN</x:t>
        </x:is>
      </x:c>
      <x:c r="AF37" s="79" t="inlineStr">
        <x:is>
          <x:t xml:space="preserve">NO</x:t>
        </x:is>
      </x:c>
      <x:c r="AG37" s="214" t="str"/>
    </x:row>
    <x:row r="38">
      <x:c r="A38" s="57" t="inlineStr">
        <x:is>
          <x:t xml:space="preserve">C0033</x:t>
        </x:is>
      </x:c>
      <x:c r="B38" s="57" t="inlineStr">
        <x:is>
          <x:t xml:space="preserve">Development</x:t>
        </x:is>
      </x:c>
      <x:c r="C38" s="57" t="inlineStr">
        <x:is>
          <x:t xml:space="preserve">OPEN</x:t>
        </x:is>
      </x:c>
      <x:c r="D38" s="57" t="inlineStr">
        <x:is>
          <x:t xml:space="preserve">ARG-004</x:t>
        </x:is>
      </x:c>
      <x:c r="E38" s="75" t="str">
        <x:f>INDEX('Company Universe'!$B$6:$B$105,MATCH(D38,'Company Universe'!$A$6:$A$105,0))</x:f>
        <x:v>Quantum Computing Inc.</x:v>
      </x:c>
      <x:c r="F38" s="75" t="str">
        <x:f>INDEX('Company Universe'!$C$6:$C$105,MATCH(D38,'Company Universe'!$A$6:$A$105,0))</x:f>
        <x:v>QUBT</x:v>
      </x:c>
      <x:c r="G38" s="75" t="str">
        <x:f>INDEX('Company Universe'!$F$6:$F$105,MATCH(D38,'Company Universe'!$A$6:$A$105,0))</x:f>
        <x:v>Quantum Computing</x:v>
      </x:c>
      <x:c r="H38" s="57" t="n">
        <x:v>3</x:v>
      </x:c>
      <x:c r="I38" s="206" t="inlineStr">
        <x:is>
          <x:t xml:space="preserve">2023-11-13</x:t>
        </x:is>
      </x:c>
      <x:c r="J38" s="71" t="n">
        <x:v>12</x:v>
      </x:c>
      <x:c r="K38" s="71" t="inlineStr">
        <x:is>
          <x:t xml:space="preserve">https://quantumcomputinginc.com/news/press-releases/2023/quantum-computing-inc.-reports-third-quarter-and-nine-months-2023-financial-results</x:t>
        </x:is>
      </x:c>
      <x:c r="L38" s="71" t="inlineStr">
        <x:is>
          <x:t xml:space="preserve">NO</x:t>
        </x:is>
      </x:c>
      <x:c r="M38" s="71" t="inlineStr">
        <x:is>
          <x:t xml:space="preserve">First hardware sales + multiple POCs can establish product-market proof in 2024.</x:t>
        </x:is>
      </x:c>
      <x:c r="N38" s="71" t="inlineStr">
        <x:is>
          <x:t xml:space="preserve">Hardware/foundry/product revenue becomes meaningful and repeatable; financing needs moderate.</x:t>
        </x:is>
      </x:c>
      <x:c r="O38" s="71" t="inlineStr">
        <x:is>
          <x:t xml:space="preserve">IV improves if early hardware sales convert to a durable engine.</x:t>
        </x:is>
      </x:c>
      <x:c r="P38" s="71" t="inlineStr">
        <x:is>
          <x:t xml:space="preserve">NO ACTION / RESEARCH</x:t>
        </x:is>
      </x:c>
      <x:c r="Q38" s="71" t="inlineStr">
        <x:is>
          <x:t xml:space="preserve">POCs do not convert or financing/dilution dominates cash generation.</x:t>
        </x:is>
      </x:c>
      <x:c r="R38" s="71" t="inlineStr">
        <x:is>
          <x:t xml:space="preserve">RGTI</x:t>
        </x:is>
      </x:c>
      <x:c r="S38" s="206" t="inlineStr">
        <x:is>
          <x:t xml:space="preserve">2024-11-06</x:t>
        </x:is>
      </x:c>
      <x:c r="T38" s="71" t="inlineStr">
        <x:is>
          <x:t xml:space="preserve">Q3-24 revenue was about $101K. Foundry commissioning progressed, but revenue remained immaterial relative to operating expense and commercialization claims.</x:t>
        </x:is>
      </x:c>
      <x:c r="U38" s="71" t="inlineStr">
        <x:is>
          <x:t xml:space="preserve">POC/product narrative did not yet establish a durable economic engine.</x:t>
        </x:is>
      </x:c>
      <x:c r="V38" s="71" t="inlineStr">
        <x:is>
          <x:t xml:space="preserve">UNSCORED</x:t>
        </x:is>
      </x:c>
      <x:c r="W38" s="71" t="inlineStr">
        <x:is>
          <x:t xml:space="preserve">UNSCORED</x:t>
        </x:is>
      </x:c>
      <x:c r="X38" s="71" t="str"/>
      <x:c r="Y38" s="71" t="inlineStr">
        <x:is>
          <x:t xml:space="preserve">NO</x:t>
        </x:is>
      </x:c>
      <x:c r="Z38" s="71" t="inlineStr">
        <x:is>
          <x:t xml:space="preserve">Look-ahead bias (fatal)</x:t>
        </x:is>
      </x:c>
      <x:c r="AA38" s="71" t="inlineStr">
        <x:is>
          <x:t xml:space="preserve">Require POC-to-paid-order conversion rate and paid repeat-customer evidence before commercial gate improves.</x:t>
        </x:is>
      </x:c>
      <x:c r="AB38" s="71" t="inlineStr">
        <x:is>
          <x:t xml:space="preserve">NO</x:t>
        </x:is>
      </x:c>
      <x:c r="AC38" s="57" t="inlineStr">
        <x:is>
          <x:t xml:space="preserve">V10.4-DRYRUN</x:t>
        </x:is>
      </x:c>
      <x:c r="AD38" s="57" t="inlineStr">
        <x:is>
          <x:t xml:space="preserve">Retrospective reconstruction only; not genuine preregistration; no accuracy credit.</x:t>
        </x:is>
      </x:c>
      <x:c r="AE38" s="79" t="inlineStr">
        <x:is>
          <x:t xml:space="preserve">DRY RUN</x:t>
        </x:is>
      </x:c>
      <x:c r="AF38" s="79" t="inlineStr">
        <x:is>
          <x:t xml:space="preserve">NO</x:t>
        </x:is>
      </x:c>
      <x:c r="AG38" s="214" t="str"/>
    </x:row>
    <x:row r="39">
      <x:c r="A39" s="57" t="inlineStr">
        <x:is>
          <x:t xml:space="preserve">C0034</x:t>
        </x:is>
      </x:c>
      <x:c r="B39" s="57" t="inlineStr">
        <x:is>
          <x:t xml:space="preserve">Development</x:t>
        </x:is>
      </x:c>
      <x:c r="C39" s="57" t="inlineStr">
        <x:is>
          <x:t xml:space="preserve">OPEN</x:t>
        </x:is>
      </x:c>
      <x:c r="D39" s="57" t="inlineStr">
        <x:is>
          <x:t xml:space="preserve">ARG-004</x:t>
        </x:is>
      </x:c>
      <x:c r="E39" s="75" t="str">
        <x:f>INDEX('Company Universe'!$B$6:$B$105,MATCH(D39,'Company Universe'!$A$6:$A$105,0))</x:f>
        <x:v>Quantum Computing Inc.</x:v>
      </x:c>
      <x:c r="F39" s="75" t="str">
        <x:f>INDEX('Company Universe'!$C$6:$C$105,MATCH(D39,'Company Universe'!$A$6:$A$105,0))</x:f>
        <x:v>QUBT</x:v>
      </x:c>
      <x:c r="G39" s="75" t="str">
        <x:f>INDEX('Company Universe'!$F$6:$F$105,MATCH(D39,'Company Universe'!$A$6:$A$105,0))</x:f>
        <x:v>Quantum Computing</x:v>
      </x:c>
      <x:c r="H39" s="57" t="n">
        <x:v>4</x:v>
      </x:c>
      <x:c r="I39" s="206" t="inlineStr">
        <x:is>
          <x:t xml:space="preserve">2024-06-11</x:t>
        </x:is>
      </x:c>
      <x:c r="J39" s="71" t="n">
        <x:v>11</x:v>
      </x:c>
      <x:c r="K39" s="71" t="inlineStr">
        <x:is>
          <x:t xml:space="preserve">https://quantumcomputinginc.com/news/press-releases/quantum-computing-inc.-reports-first-quarter-2024-financial-results</x:t>
        </x:is>
      </x:c>
      <x:c r="L39" s="71" t="inlineStr">
        <x:is>
          <x:t xml:space="preserve">NO</x:t>
        </x:is>
      </x:c>
      <x:c r="M39" s="71" t="inlineStr">
        <x:is>
          <x:t xml:space="preserve">Foundry buildout + Dirac-3/NASA work can create a cleaner commercialization base after reporting cleanup.</x:t>
        </x:is>
      </x:c>
      <x:c r="N39" s="71" t="inlineStr">
        <x:is>
          <x:t xml:space="preserve">Revenue and orders rise while filings normalize and audit reliability is restored.</x:t>
        </x:is>
      </x:c>
      <x:c r="O39" s="71" t="inlineStr">
        <x:is>
          <x:t xml:space="preserve">IV remains blocked until reporting quality and monetization both improve.</x:t>
        </x:is>
      </x:c>
      <x:c r="P39" s="71" t="inlineStr">
        <x:is>
          <x:t xml:space="preserve">NO ACTION / RESEARCH</x:t>
        </x:is>
      </x:c>
      <x:c r="Q39" s="71" t="inlineStr">
        <x:is>
          <x:t xml:space="preserve">Audit/reporting issues persist or financing masks weak operating progress.</x:t>
        </x:is>
      </x:c>
      <x:c r="R39" s="71" t="inlineStr">
        <x:is>
          <x:t xml:space="preserve">RGTI</x:t>
        </x:is>
      </x:c>
      <x:c r="S39" s="206" t="inlineStr">
        <x:is>
          <x:t xml:space="preserve">2025-05-15</x:t>
        </x:is>
      </x:c>
      <x:c r="T39" s="71" t="inlineStr">
        <x:is>
          <x:t xml:space="preserve">Q1-25 revenue was about $39K vs $27K; OpEx rose to $8.3M. Net income of $17M was driven primarily by a $23.6M non-cash warrant mark-to-market gain. $93.6M net proceeds were raised via common stock.</x:t>
        </x:is>
      </x:c>
      <x:c r="U39" s="71" t="inlineStr">
        <x:is>
          <x:t xml:space="preserve">Reported profitability was non-economic; operating engine still tiny and financing-funded.</x:t>
        </x:is>
      </x:c>
      <x:c r="V39" s="71" t="inlineStr">
        <x:is>
          <x:t xml:space="preserve">UNSCORED</x:t>
        </x:is>
      </x:c>
      <x:c r="W39" s="71" t="inlineStr">
        <x:is>
          <x:t xml:space="preserve">UNSCORED</x:t>
        </x:is>
      </x:c>
      <x:c r="X39" s="71" t="str"/>
      <x:c r="Y39" s="71" t="inlineStr">
        <x:is>
          <x:t xml:space="preserve">NO</x:t>
        </x:is>
      </x:c>
      <x:c r="Z39" s="71" t="inlineStr">
        <x:is>
          <x:t xml:space="preserve">Look-ahead bias (fatal)</x:t>
        </x:is>
      </x:c>
      <x:c r="AA39" s="71" t="inlineStr">
        <x:is>
          <x:t xml:space="preserve">Normalize derivative gains/losses and separate operating cash engine from equity-funded liquidity.</x:t>
        </x:is>
      </x:c>
      <x:c r="AB39" s="71" t="inlineStr">
        <x:is>
          <x:t xml:space="preserve">NO</x:t>
        </x:is>
      </x:c>
      <x:c r="AC39" s="57" t="inlineStr">
        <x:is>
          <x:t xml:space="preserve">V10.4-DRYRUN</x:t>
        </x:is>
      </x:c>
      <x:c r="AD39" s="57" t="inlineStr">
        <x:is>
          <x:t xml:space="preserve">Retrospective reconstruction only; not genuine preregistration; no accuracy credit.</x:t>
        </x:is>
      </x:c>
      <x:c r="AE39" s="79" t="inlineStr">
        <x:is>
          <x:t xml:space="preserve">DRY RUN</x:t>
        </x:is>
      </x:c>
      <x:c r="AF39" s="79" t="inlineStr">
        <x:is>
          <x:t xml:space="preserve">NO</x:t>
        </x:is>
      </x:c>
      <x:c r="AG39" s="214" t="str"/>
    </x:row>
    <x:row r="40">
      <x:c r="A40" s="57" t="inlineStr">
        <x:is>
          <x:t xml:space="preserve">C0035</x:t>
        </x:is>
      </x:c>
      <x:c r="B40" s="57" t="inlineStr">
        <x:is>
          <x:t xml:space="preserve">Development</x:t>
        </x:is>
      </x:c>
      <x:c r="C40" s="57" t="inlineStr">
        <x:is>
          <x:t xml:space="preserve">OPEN</x:t>
        </x:is>
      </x:c>
      <x:c r="D40" s="57" t="inlineStr">
        <x:is>
          <x:t xml:space="preserve">ARG-004</x:t>
        </x:is>
      </x:c>
      <x:c r="E40" s="75" t="str">
        <x:f>INDEX('Company Universe'!$B$6:$B$105,MATCH(D40,'Company Universe'!$A$6:$A$105,0))</x:f>
        <x:v>Quantum Computing Inc.</x:v>
      </x:c>
      <x:c r="F40" s="75" t="str">
        <x:f>INDEX('Company Universe'!$C$6:$C$105,MATCH(D40,'Company Universe'!$A$6:$A$105,0))</x:f>
        <x:v>QUBT</x:v>
      </x:c>
      <x:c r="G40" s="75" t="str">
        <x:f>INDEX('Company Universe'!$F$6:$F$105,MATCH(D40,'Company Universe'!$A$6:$A$105,0))</x:f>
        <x:v>Quantum Computing</x:v>
      </x:c>
      <x:c r="H40" s="57" t="n">
        <x:v>5</x:v>
      </x:c>
      <x:c r="I40" s="206" t="inlineStr">
        <x:is>
          <x:t xml:space="preserve">2024-09-11</x:t>
        </x:is>
      </x:c>
      <x:c r="J40" s="71" t="n">
        <x:v>14</x:v>
      </x:c>
      <x:c r="K40" s="71" t="inlineStr">
        <x:is>
          <x:t xml:space="preserve">https://quantumcomputinginc.com/news/press-releases/2024/quantum-computing-inc.-completes-restatement-and-files-form-10-ka-for-fiscal-years-2023-and-2022</x:t>
        </x:is>
      </x:c>
      <x:c r="L40" s="71" t="inlineStr">
        <x:is>
          <x:t xml:space="preserve">NO</x:t>
        </x:is>
      </x:c>
      <x:c r="M40" s="71" t="inlineStr">
        <x:is>
          <x:t xml:space="preserve">Restatement completion can reset reporting credibility if subsequent filings stay timely/clean.</x:t>
        </x:is>
      </x:c>
      <x:c r="N40" s="71" t="inlineStr">
        <x:is>
          <x:t xml:space="preserve">No further restatements; timely filings; business KPIs become comparable.</x:t>
        </x:is>
      </x:c>
      <x:c r="O40" s="71" t="inlineStr">
        <x:is>
          <x:t xml:space="preserve">Stewardship can improve only after a sustained clean-reporting period.</x:t>
        </x:is>
      </x:c>
      <x:c r="P40" s="71" t="inlineStr">
        <x:is>
          <x:t xml:space="preserve">NO ACTION / RESEARCH</x:t>
        </x:is>
      </x:c>
      <x:c r="Q40" s="71" t="inlineStr">
        <x:is>
          <x:t xml:space="preserve">Further reporting anomalies, auditor issues, or unverifiable historical comparisons.</x:t>
        </x:is>
      </x:c>
      <x:c r="R40" s="71" t="inlineStr">
        <x:is>
          <x:t xml:space="preserve">RGTI</x:t>
        </x:is>
      </x:c>
      <x:c r="S40" s="206" t="inlineStr">
        <x:is>
          <x:t xml:space="preserve">2025-11-14</x:t>
        </x:is>
      </x:c>
      <x:c r="T40" s="71" t="inlineStr">
        <x:is>
          <x:t xml:space="preserve">By Q3-25 reporting was current, but quarterly revenue was only about $384K and OpEx about $10.5M. The company raised $500M in Q3 and another $750M after quarter-end; net income was again influenced by derivative marks/interest.</x:t>
        </x:is>
      </x:c>
      <x:c r="U40" s="71" t="inlineStr">
        <x:is>
          <x:t xml:space="preserve">Reporting reliability improved, but financial scale was dominated by capital raising rather than the operating engine.</x:t>
        </x:is>
      </x:c>
      <x:c r="V40" s="71" t="inlineStr">
        <x:is>
          <x:t xml:space="preserve">UNSCORED</x:t>
        </x:is>
      </x:c>
      <x:c r="W40" s="71" t="inlineStr">
        <x:is>
          <x:t xml:space="preserve">UNSCORED</x:t>
        </x:is>
      </x:c>
      <x:c r="X40" s="71" t="str"/>
      <x:c r="Y40" s="71" t="inlineStr">
        <x:is>
          <x:t xml:space="preserve">NO</x:t>
        </x:is>
      </x:c>
      <x:c r="Z40" s="71" t="inlineStr">
        <x:is>
          <x:t xml:space="preserve">Look-ahead bias (fatal)</x:t>
        </x:is>
      </x:c>
      <x:c r="AA40" s="71" t="inlineStr">
        <x:is>
          <x:t xml:space="preserve">Create reporting-quality probation: audit cleanup is necessary but not sufficient; require 4 clean quarters plus operating conversion.</x:t>
        </x:is>
      </x:c>
      <x:c r="AB40" s="71" t="inlineStr">
        <x:is>
          <x:t xml:space="preserve">NO</x:t>
        </x:is>
      </x:c>
      <x:c r="AC40" s="57" t="inlineStr">
        <x:is>
          <x:t xml:space="preserve">V10.4-DRYRUN</x:t>
        </x:is>
      </x:c>
      <x:c r="AD40" s="57" t="inlineStr">
        <x:is>
          <x:t xml:space="preserve">Retrospective reconstruction only; not genuine preregistration; no accuracy credit.</x:t>
        </x:is>
      </x:c>
      <x:c r="AE40" s="79" t="inlineStr">
        <x:is>
          <x:t xml:space="preserve">DRY RUN</x:t>
        </x:is>
      </x:c>
      <x:c r="AF40" s="79" t="inlineStr">
        <x:is>
          <x:t xml:space="preserve">NO</x:t>
        </x:is>
      </x:c>
      <x:c r="AG40" s="214" t="str"/>
    </x:row>
    <x:row r="41">
      <x:c r="A41" s="57" t="inlineStr">
        <x:is>
          <x:t xml:space="preserve">C0036</x:t>
        </x:is>
      </x:c>
      <x:c r="B41" s="57" t="inlineStr">
        <x:is>
          <x:t xml:space="preserve">Development</x:t>
        </x:is>
      </x:c>
      <x:c r="C41" s="57" t="inlineStr">
        <x:is>
          <x:t xml:space="preserve">OPEN</x:t>
        </x:is>
      </x:c>
      <x:c r="D41" s="57" t="inlineStr">
        <x:is>
          <x:t xml:space="preserve">ARG-004</x:t>
        </x:is>
      </x:c>
      <x:c r="E41" s="75" t="str">
        <x:f>INDEX('Company Universe'!$B$6:$B$105,MATCH(D41,'Company Universe'!$A$6:$A$105,0))</x:f>
        <x:v>Quantum Computing Inc.</x:v>
      </x:c>
      <x:c r="F41" s="75" t="str">
        <x:f>INDEX('Company Universe'!$C$6:$C$105,MATCH(D41,'Company Universe'!$A$6:$A$105,0))</x:f>
        <x:v>QUBT</x:v>
      </x:c>
      <x:c r="G41" s="75" t="str">
        <x:f>INDEX('Company Universe'!$F$6:$F$105,MATCH(D41,'Company Universe'!$A$6:$A$105,0))</x:f>
        <x:v>Quantum Computing</x:v>
      </x:c>
      <x:c r="H41" s="57" t="n">
        <x:v>6</x:v>
      </x:c>
      <x:c r="I41" s="206" t="inlineStr">
        <x:is>
          <x:t xml:space="preserve">2024-10-02</x:t>
        </x:is>
      </x:c>
      <x:c r="J41" s="71" t="n">
        <x:v>10</x:v>
      </x:c>
      <x:c r="K41" s="71" t="inlineStr">
        <x:is>
          <x:t xml:space="preserve">https://quantumcomputinginc.com/news/press-releases/2024/quantum-computing-inc.-reports-second-quarter-and-first-half-2024-financial-results</x:t>
        </x:is>
      </x:c>
      <x:c r="L41" s="71" t="inlineStr">
        <x:is>
          <x:t xml:space="preserve">NO</x:t>
        </x:is>
      </x:c>
      <x:c r="M41" s="71" t="inlineStr">
        <x:is>
          <x:t xml:space="preserve">Foundry progress and contractual sales can turn into measurable 2025 commercial traction.</x:t>
        </x:is>
      </x:c>
      <x:c r="N41" s="71" t="inlineStr">
        <x:is>
          <x:t xml:space="preserve">Orders convert to revenue; gross profit grows faster than operating expense.</x:t>
        </x:is>
      </x:c>
      <x:c r="O41" s="71" t="inlineStr">
        <x:is>
          <x:t xml:space="preserve">IV improves only if foundry economics become visible without heavy dilution.</x:t>
        </x:is>
      </x:c>
      <x:c r="P41" s="71" t="inlineStr">
        <x:is>
          <x:t xml:space="preserve">NO ACTION / RESEARCH</x:t>
        </x:is>
      </x:c>
      <x:c r="Q41" s="71" t="inlineStr">
        <x:is>
          <x:t xml:space="preserve">Revenue remains subscale; financing far exceeds customer cash generation.</x:t>
        </x:is>
      </x:c>
      <x:c r="R41" s="71" t="inlineStr">
        <x:is>
          <x:t xml:space="preserve">RGTI</x:t>
        </x:is>
      </x:c>
      <x:c r="S41" s="206" t="inlineStr">
        <x:is>
          <x:t xml:space="preserve">2025-08-14</x:t>
        </x:is>
      </x:c>
      <x:c r="T41" s="71" t="inlineStr">
        <x:is>
          <x:t xml:space="preserve">Q2-25 revenue fell to about $61K from $183K while OpEx rose to about $10.2M. Cash reached about $348.8M after $188M net proceeds from common-stock private placement.</x:t>
        </x:is>
      </x:c>
      <x:c r="U41" s="71" t="inlineStr">
        <x:is>
          <x:t xml:space="preserve">Balance-sheet strength was financing-created; operating economics deteriorated.</x:t>
        </x:is>
      </x:c>
      <x:c r="V41" s="71" t="inlineStr">
        <x:is>
          <x:t xml:space="preserve">UNSCORED</x:t>
        </x:is>
      </x:c>
      <x:c r="W41" s="71" t="inlineStr">
        <x:is>
          <x:t xml:space="preserve">UNSCORED</x:t>
        </x:is>
      </x:c>
      <x:c r="X41" s="71" t="str"/>
      <x:c r="Y41" s="71" t="inlineStr">
        <x:is>
          <x:t xml:space="preserve">NO</x:t>
        </x:is>
      </x:c>
      <x:c r="Z41" s="71" t="inlineStr">
        <x:is>
          <x:t xml:space="preserve">Look-ahead bias (fatal)</x:t>
        </x:is>
      </x:c>
      <x:c r="AA41" s="71" t="inlineStr">
        <x:is>
          <x:t xml:space="preserve">Mandatory source-of-cash bridge: customer/operations, debt, equity, warrants, interest income shown separately.</x:t>
        </x:is>
      </x:c>
      <x:c r="AB41" s="71" t="inlineStr">
        <x:is>
          <x:t xml:space="preserve">NO</x:t>
        </x:is>
      </x:c>
      <x:c r="AC41" s="57" t="inlineStr">
        <x:is>
          <x:t xml:space="preserve">V10.4-DRYRUN</x:t>
        </x:is>
      </x:c>
      <x:c r="AD41" s="57" t="inlineStr">
        <x:is>
          <x:t xml:space="preserve">Retrospective reconstruction only; not genuine preregistration; no accuracy credit.</x:t>
        </x:is>
      </x:c>
      <x:c r="AE41" s="79" t="inlineStr">
        <x:is>
          <x:t xml:space="preserve">DRY RUN</x:t>
        </x:is>
      </x:c>
      <x:c r="AF41" s="79" t="inlineStr">
        <x:is>
          <x:t xml:space="preserve">NO</x:t>
        </x:is>
      </x:c>
      <x:c r="AG41" s="214" t="str"/>
    </x:row>
    <x:row r="42">
      <x:c r="A42" s="57" t="inlineStr">
        <x:is>
          <x:t xml:space="preserve">C0037</x:t>
        </x:is>
      </x:c>
      <x:c r="B42" s="57" t="inlineStr">
        <x:is>
          <x:t xml:space="preserve">Development</x:t>
        </x:is>
      </x:c>
      <x:c r="C42" s="57" t="inlineStr">
        <x:is>
          <x:t xml:space="preserve">OPEN</x:t>
        </x:is>
      </x:c>
      <x:c r="D42" s="57" t="inlineStr">
        <x:is>
          <x:t xml:space="preserve">ARG-004</x:t>
        </x:is>
      </x:c>
      <x:c r="E42" s="75" t="str">
        <x:f>INDEX('Company Universe'!$B$6:$B$105,MATCH(D42,'Company Universe'!$A$6:$A$105,0))</x:f>
        <x:v>Quantum Computing Inc.</x:v>
      </x:c>
      <x:c r="F42" s="75" t="str">
        <x:f>INDEX('Company Universe'!$C$6:$C$105,MATCH(D42,'Company Universe'!$A$6:$A$105,0))</x:f>
        <x:v>QUBT</x:v>
      </x:c>
      <x:c r="G42" s="75" t="str">
        <x:f>INDEX('Company Universe'!$F$6:$F$105,MATCH(D42,'Company Universe'!$A$6:$A$105,0))</x:f>
        <x:v>Quantum Computing</x:v>
      </x:c>
      <x:c r="H42" s="57" t="n">
        <x:v>7</x:v>
      </x:c>
      <x:c r="I42" s="206" t="inlineStr">
        <x:is>
          <x:t xml:space="preserve">2024-11-06</x:t>
        </x:is>
      </x:c>
      <x:c r="J42" s="71" t="n">
        <x:v>12</x:v>
      </x:c>
      <x:c r="K42" s="71" t="inlineStr">
        <x:is>
          <x:t xml:space="preserve">https://quantumcomputinginc.com/news/press-releases/2024/quantum-computing-inc.-reports-third-quarter-2024-financial-results</x:t>
        </x:is>
      </x:c>
      <x:c r="L42" s="71" t="inlineStr">
        <x:is>
          <x:t xml:space="preserve">NO</x:t>
        </x:is>
      </x:c>
      <x:c r="M42" s="71" t="inlineStr">
        <x:is>
          <x:t xml:space="preserve">TFLN foundry commissioning and purchase-order pipeline can make photonics the primary economic engine.</x:t>
        </x:is>
      </x:c>
      <x:c r="N42" s="71" t="inlineStr">
        <x:is>
          <x:t xml:space="preserve">Foundry orders convert to repeat product revenue and positive gross-profit dollars.</x:t>
        </x:is>
      </x:c>
      <x:c r="O42" s="71" t="inlineStr">
        <x:is>
          <x:t xml:space="preserve">IV depends on proving which business engine actually creates economic value.</x:t>
        </x:is>
      </x:c>
      <x:c r="P42" s="71" t="inlineStr">
        <x:is>
          <x:t xml:space="preserve">NO ACTION / RESEARCH</x:t>
        </x:is>
      </x:c>
      <x:c r="Q42" s="71" t="inlineStr">
        <x:is>
          <x:t xml:space="preserve">Narrative shifts across quantum machines/foundry/sensing without one scalable revenue engine.</x:t>
        </x:is>
      </x:c>
      <x:c r="R42" s="71" t="inlineStr">
        <x:is>
          <x:t xml:space="preserve">RGTI</x:t>
        </x:is>
      </x:c>
      <x:c r="S42" s="206" t="inlineStr">
        <x:is>
          <x:t xml:space="preserve">2025-11-14</x:t>
        </x:is>
      </x:c>
      <x:c r="T42" s="71" t="inlineStr">
        <x:is>
          <x:t xml:space="preserve">Q3-25 revenue rose to about $384K from $101K, including R&amp;D/custom hardware and first cloud Dirac-3 revenue, but OpEx was about $10.5M and financing dwarfed operations.</x:t>
        </x:is>
      </x:c>
      <x:c r="U42" s="71" t="inlineStr">
        <x:is>
          <x:t xml:space="preserve">Commercial evidence improved from a very small base, but engine dominance remained unclear.</x:t>
        </x:is>
      </x:c>
      <x:c r="V42" s="71" t="inlineStr">
        <x:is>
          <x:t xml:space="preserve">UNSCORED</x:t>
        </x:is>
      </x:c>
      <x:c r="W42" s="71" t="inlineStr">
        <x:is>
          <x:t xml:space="preserve">UNSCORED</x:t>
        </x:is>
      </x:c>
      <x:c r="X42" s="71" t="str"/>
      <x:c r="Y42" s="71" t="inlineStr">
        <x:is>
          <x:t xml:space="preserve">NO</x:t>
        </x:is>
      </x:c>
      <x:c r="Z42" s="71" t="inlineStr">
        <x:is>
          <x:t xml:space="preserve">Look-ahead bias (fatal)</x:t>
        </x:is>
      </x:c>
      <x:c r="AA42" s="71" t="inlineStr">
        <x:is>
          <x:t xml:space="preserve">Add business-engine mix bridge: revenue/gross profit/backlog by foundry, quantum systems, cloud, sensing and acquired products.</x:t>
        </x:is>
      </x:c>
      <x:c r="AB42" s="71" t="inlineStr">
        <x:is>
          <x:t xml:space="preserve">NO</x:t>
        </x:is>
      </x:c>
      <x:c r="AC42" s="57" t="inlineStr">
        <x:is>
          <x:t xml:space="preserve">V10.4-DRYRUN</x:t>
        </x:is>
      </x:c>
      <x:c r="AD42" s="57" t="inlineStr">
        <x:is>
          <x:t xml:space="preserve">Retrospective reconstruction only; not genuine preregistration; no accuracy credit.</x:t>
        </x:is>
      </x:c>
      <x:c r="AE42" s="79" t="inlineStr">
        <x:is>
          <x:t xml:space="preserve">DRY RUN</x:t>
        </x:is>
      </x:c>
      <x:c r="AF42" s="79" t="inlineStr">
        <x:is>
          <x:t xml:space="preserve">NO</x:t>
        </x:is>
      </x:c>
      <x:c r="AG42" s="214" t="str"/>
    </x:row>
    <x:row r="43">
      <x:c r="A43" s="57" t="inlineStr">
        <x:is>
          <x:t xml:space="preserve">C0038</x:t>
        </x:is>
      </x:c>
      <x:c r="B43" s="57" t="inlineStr">
        <x:is>
          <x:t xml:space="preserve">Development</x:t>
        </x:is>
      </x:c>
      <x:c r="C43" s="57" t="inlineStr">
        <x:is>
          <x:t xml:space="preserve">OPEN</x:t>
        </x:is>
      </x:c>
      <x:c r="D43" s="57" t="inlineStr">
        <x:is>
          <x:t xml:space="preserve">ARG-004</x:t>
        </x:is>
      </x:c>
      <x:c r="E43" s="75" t="str">
        <x:f>INDEX('Company Universe'!$B$6:$B$105,MATCH(D43,'Company Universe'!$A$6:$A$105,0))</x:f>
        <x:v>Quantum Computing Inc.</x:v>
      </x:c>
      <x:c r="F43" s="75" t="str">
        <x:f>INDEX('Company Universe'!$C$6:$C$105,MATCH(D43,'Company Universe'!$A$6:$A$105,0))</x:f>
        <x:v>QUBT</x:v>
      </x:c>
      <x:c r="G43" s="75" t="str">
        <x:f>INDEX('Company Universe'!$F$6:$F$105,MATCH(D43,'Company Universe'!$A$6:$A$105,0))</x:f>
        <x:v>Quantum Computing</x:v>
      </x:c>
      <x:c r="H43" s="57" t="n">
        <x:v>8</x:v>
      </x:c>
      <x:c r="I43" s="206" t="inlineStr">
        <x:is>
          <x:t xml:space="preserve">2025-03-20</x:t>
        </x:is>
      </x:c>
      <x:c r="J43" s="71" t="n">
        <x:v>12</x:v>
      </x:c>
      <x:c r="K43" s="71" t="inlineStr">
        <x:is>
          <x:t xml:space="preserve">https://quantumcomputinginc.com/news/press-releases/2025/quantum-computing-inc.-reports-fourth-quarter-2024-financial-results</x:t>
        </x:is>
      </x:c>
      <x:c r="L43" s="71" t="inlineStr">
        <x:is>
          <x:t xml:space="preserve">NO</x:t>
        </x:is>
      </x:c>
      <x:c r="M43" s="71" t="inlineStr">
        <x:is>
          <x:t xml:space="preserve">Fab 1 launch + purchase orders can create 2025 foundry revenue from a strengthened balance sheet.</x:t>
        </x:is>
      </x:c>
      <x:c r="N43" s="71" t="inlineStr">
        <x:is>
          <x:t xml:space="preserve">Foundry starts generating meaningful organic revenue; operating-loss ratio improves.</x:t>
        </x:is>
      </x:c>
      <x:c r="O43" s="71" t="inlineStr">
        <x:is>
          <x:t xml:space="preserve">IV rises only if capital converts into productive revenue/gross profit rather than optionality alone.</x:t>
        </x:is>
      </x:c>
      <x:c r="P43" s="71" t="inlineStr">
        <x:is>
          <x:t xml:space="preserve">NO ACTION / RESEARCH</x:t>
        </x:is>
      </x:c>
      <x:c r="Q43" s="71" t="inlineStr">
        <x:is>
          <x:t xml:space="preserve">Capital grows much faster than organic commercial output.</x:t>
        </x:is>
      </x:c>
      <x:c r="R43" s="71" t="inlineStr">
        <x:is>
          <x:t xml:space="preserve">RGTI</x:t>
        </x:is>
      </x:c>
      <x:c r="S43" s="206" t="inlineStr">
        <x:is>
          <x:t xml:space="preserve">2026-03-02</x:t>
        </x:is>
      </x:c>
      <x:c r="T43" s="71" t="inlineStr">
        <x:is>
          <x:t xml:space="preserve">During 2025 QCi opened Fab 1 and raised over $1.5B; year-end commentary described early foundry revenue/customer engagement. Capital formation vastly exceeded the pre-existing operating revenue base.</x:t>
        </x:is>
      </x:c>
      <x:c r="U43" s="71" t="inlineStr">
        <x:is>
          <x:t xml:space="preserve">Capital optionality increased, but owner-value proof required return-on-capital evidence.</x:t>
        </x:is>
      </x:c>
      <x:c r="V43" s="71" t="inlineStr">
        <x:is>
          <x:t xml:space="preserve">UNSCORED</x:t>
        </x:is>
      </x:c>
      <x:c r="W43" s="71" t="inlineStr">
        <x:is>
          <x:t xml:space="preserve">UNSCORED</x:t>
        </x:is>
      </x:c>
      <x:c r="X43" s="71" t="str"/>
      <x:c r="Y43" s="71" t="inlineStr">
        <x:is>
          <x:t xml:space="preserve">NO</x:t>
        </x:is>
      </x:c>
      <x:c r="Z43" s="71" t="inlineStr">
        <x:is>
          <x:t xml:space="preserve">Look-ahead bias (fatal)</x:t>
        </x:is>
      </x:c>
      <x:c r="AA43" s="71" t="inlineStr">
        <x:is>
          <x:t xml:space="preserve">Add capital-efficiency denominator: gross profit/backlog/organic revenue created per net new capital raised and deployed.</x:t>
        </x:is>
      </x:c>
      <x:c r="AB43" s="71" t="inlineStr">
        <x:is>
          <x:t xml:space="preserve">NO</x:t>
        </x:is>
      </x:c>
      <x:c r="AC43" s="57" t="inlineStr">
        <x:is>
          <x:t xml:space="preserve">V10.4-DRYRUN</x:t>
        </x:is>
      </x:c>
      <x:c r="AD43" s="57" t="inlineStr">
        <x:is>
          <x:t xml:space="preserve">Retrospective reconstruction only; not genuine preregistration; no accuracy credit.</x:t>
        </x:is>
      </x:c>
      <x:c r="AE43" s="79" t="inlineStr">
        <x:is>
          <x:t xml:space="preserve">DRY RUN</x:t>
        </x:is>
      </x:c>
      <x:c r="AF43" s="79" t="inlineStr">
        <x:is>
          <x:t xml:space="preserve">NO</x:t>
        </x:is>
      </x:c>
      <x:c r="AG43" s="214" t="str"/>
    </x:row>
    <x:row r="44">
      <x:c r="A44" s="57" t="inlineStr">
        <x:is>
          <x:t xml:space="preserve">C0039</x:t>
        </x:is>
      </x:c>
      <x:c r="B44" s="57" t="inlineStr">
        <x:is>
          <x:t xml:space="preserve">Development</x:t>
        </x:is>
      </x:c>
      <x:c r="C44" s="57" t="inlineStr">
        <x:is>
          <x:t xml:space="preserve">OPEN</x:t>
        </x:is>
      </x:c>
      <x:c r="D44" s="57" t="inlineStr">
        <x:is>
          <x:t xml:space="preserve">ARG-004</x:t>
        </x:is>
      </x:c>
      <x:c r="E44" s="75" t="str">
        <x:f>INDEX('Company Universe'!$B$6:$B$105,MATCH(D44,'Company Universe'!$A$6:$A$105,0))</x:f>
        <x:v>Quantum Computing Inc.</x:v>
      </x:c>
      <x:c r="F44" s="75" t="str">
        <x:f>INDEX('Company Universe'!$C$6:$C$105,MATCH(D44,'Company Universe'!$A$6:$A$105,0))</x:f>
        <x:v>QUBT</x:v>
      </x:c>
      <x:c r="G44" s="75" t="str">
        <x:f>INDEX('Company Universe'!$F$6:$F$105,MATCH(D44,'Company Universe'!$A$6:$A$105,0))</x:f>
        <x:v>Quantum Computing</x:v>
      </x:c>
      <x:c r="H44" s="57" t="n">
        <x:v>9</x:v>
      </x:c>
      <x:c r="I44" s="206" t="inlineStr">
        <x:is>
          <x:t xml:space="preserve">2025-05-15</x:t>
        </x:is>
      </x:c>
      <x:c r="J44" s="71" t="n">
        <x:v>12</x:v>
      </x:c>
      <x:c r="K44" s="71" t="inlineStr">
        <x:is>
          <x:t xml:space="preserve">https://quantumcomputinginc.com/news/press-releases/2025/quantum-computing-inc.-reports-first-quarter-2025-financial-results</x:t>
        </x:is>
      </x:c>
      <x:c r="L44" s="71" t="inlineStr">
        <x:is>
          <x:t xml:space="preserve">NO</x:t>
        </x:is>
      </x:c>
      <x:c r="M44" s="71" t="inlineStr">
        <x:is>
          <x:t xml:space="preserve">Completed foundry + $166M cash can accelerate organic sales across chips/quantum systems.</x:t>
        </x:is>
      </x:c>
      <x:c r="N44" s="71" t="inlineStr">
        <x:is>
          <x:t xml:space="preserve">Organic revenue grows sharply; OpEx grows slower; financing dependence falls.</x:t>
        </x:is>
      </x:c>
      <x:c r="O44" s="71" t="inlineStr">
        <x:is>
          <x:t xml:space="preserve">IV upgrade only if operating engine—not mark-to-market or acquisitions—drives growth.</x:t>
        </x:is>
      </x:c>
      <x:c r="P44" s="71" t="inlineStr">
        <x:is>
          <x:t xml:space="preserve">NO ACTION / RESEARCH</x:t>
        </x:is>
      </x:c>
      <x:c r="Q44" s="71" t="inlineStr">
        <x:is>
          <x:t xml:space="preserve">Revenue growth is mainly acquired, or interest/derivative accounting obscures operating loss.</x:t>
        </x:is>
      </x:c>
      <x:c r="R44" s="71" t="inlineStr">
        <x:is>
          <x:t xml:space="preserve">RGTI</x:t>
        </x:is>
      </x:c>
      <x:c r="S44" s="206" t="inlineStr">
        <x:is>
          <x:t xml:space="preserve">2026-05-11</x:t>
        </x:is>
      </x:c>
      <x:c r="T44" s="71" t="inlineStr">
        <x:is>
          <x:t xml:space="preserve">Q1-26 revenue jumped to about $3.7M from $39K, but the company said the increase was driven primarily by the LSI acquisition and secondarily NuCrypt. OpEx rose 139% to $19.8M; backlog about $16M.</x:t>
        </x:is>
      </x:c>
      <x:c r="U44" s="71" t="inlineStr">
        <x:is>
          <x:t xml:space="preserve">Headline growth overstated organic engine improvement because acquisitions drove most revenue.</x:t>
        </x:is>
      </x:c>
      <x:c r="V44" s="71" t="inlineStr">
        <x:is>
          <x:t xml:space="preserve">UNSCORED</x:t>
        </x:is>
      </x:c>
      <x:c r="W44" s="71" t="inlineStr">
        <x:is>
          <x:t xml:space="preserve">UNSCORED</x:t>
        </x:is>
      </x:c>
      <x:c r="X44" s="71" t="str"/>
      <x:c r="Y44" s="71" t="inlineStr">
        <x:is>
          <x:t xml:space="preserve">NO</x:t>
        </x:is>
      </x:c>
      <x:c r="Z44" s="71" t="inlineStr">
        <x:is>
          <x:t xml:space="preserve">Look-ahead bias (fatal)</x:t>
        </x:is>
      </x:c>
      <x:c r="AA44" s="71" t="inlineStr">
        <x:is>
          <x:t xml:space="preserve">Mandatory organic-vs-acquired revenue/gross-profit bridge; M&amp;A cannot automatically upgrade the moat/engine score.</x:t>
        </x:is>
      </x:c>
      <x:c r="AB44" s="71" t="inlineStr">
        <x:is>
          <x:t xml:space="preserve">NO</x:t>
        </x:is>
      </x:c>
      <x:c r="AC44" s="57" t="inlineStr">
        <x:is>
          <x:t xml:space="preserve">V10.4-DRYRUN</x:t>
        </x:is>
      </x:c>
      <x:c r="AD44" s="57" t="inlineStr">
        <x:is>
          <x:t xml:space="preserve">Retrospective reconstruction only; not genuine preregistration; no accuracy credit.</x:t>
        </x:is>
      </x:c>
      <x:c r="AE44" s="79" t="inlineStr">
        <x:is>
          <x:t xml:space="preserve">DRY RUN</x:t>
        </x:is>
      </x:c>
      <x:c r="AF44" s="79" t="inlineStr">
        <x:is>
          <x:t xml:space="preserve">NO</x:t>
        </x:is>
      </x:c>
      <x:c r="AG44" s="214" t="str"/>
    </x:row>
    <x:row r="45">
      <x:c r="A45" s="57" t="inlineStr">
        <x:is>
          <x:t xml:space="preserve">C0040</x:t>
        </x:is>
      </x:c>
      <x:c r="B45" s="57" t="inlineStr">
        <x:is>
          <x:t xml:space="preserve">Development</x:t>
        </x:is>
      </x:c>
      <x:c r="C45" s="57" t="inlineStr">
        <x:is>
          <x:t xml:space="preserve">OPEN</x:t>
        </x:is>
      </x:c>
      <x:c r="D45" s="57" t="inlineStr">
        <x:is>
          <x:t xml:space="preserve">ARG-004</x:t>
        </x:is>
      </x:c>
      <x:c r="E45" s="75" t="str">
        <x:f>INDEX('Company Universe'!$B$6:$B$105,MATCH(D45,'Company Universe'!$A$6:$A$105,0))</x:f>
        <x:v>Quantum Computing Inc.</x:v>
      </x:c>
      <x:c r="F45" s="75" t="str">
        <x:f>INDEX('Company Universe'!$C$6:$C$105,MATCH(D45,'Company Universe'!$A$6:$A$105,0))</x:f>
        <x:v>QUBT</x:v>
      </x:c>
      <x:c r="G45" s="75" t="str">
        <x:f>INDEX('Company Universe'!$F$6:$F$105,MATCH(D45,'Company Universe'!$A$6:$A$105,0))</x:f>
        <x:v>Quantum Computing</x:v>
      </x:c>
      <x:c r="H45" s="57" t="n">
        <x:v>10</x:v>
      </x:c>
      <x:c r="I45" s="206" t="inlineStr">
        <x:is>
          <x:t xml:space="preserve">2025-08-14</x:t>
        </x:is>
      </x:c>
      <x:c r="J45" s="71" t="n">
        <x:v>12</x:v>
      </x:c>
      <x:c r="K45" s="71" t="inlineStr">
        <x:is>
          <x:t xml:space="preserve">https://quantumcomputinginc.com/news/press-releases/2025/quantum-computing-inc.-reports-second-quarter-2025-financial-results</x:t>
        </x:is>
      </x:c>
      <x:c r="L45" s="71" t="inlineStr">
        <x:is>
          <x:t xml:space="preserve">NO</x:t>
        </x:is>
      </x:c>
      <x:c r="M45" s="71" t="inlineStr">
        <x:is>
          <x:t xml:space="preserve">Commercial shipments + operating foundry can establish 2026 recurring photonics/quantum revenue.</x:t>
        </x:is>
      </x:c>
      <x:c r="N45" s="71" t="inlineStr">
        <x:is>
          <x:t xml:space="preserve">Revenue/backlog expand organically and acquisition spend earns visible returns.</x:t>
        </x:is>
      </x:c>
      <x:c r="O45" s="71" t="inlineStr">
        <x:is>
          <x:t xml:space="preserve">IV improves only if revenue quality + ROIC on acquisitions are measurable.</x:t>
        </x:is>
      </x:c>
      <x:c r="P45" s="71" t="inlineStr">
        <x:is>
          <x:t xml:space="preserve">NO ACTION / RESEARCH</x:t>
        </x:is>
      </x:c>
      <x:c r="Q45" s="71" t="inlineStr">
        <x:is>
          <x:t xml:space="preserve">Acquisition-driven scale, rising OpEx and cash deployment obscure organic economics.</x:t>
        </x:is>
      </x:c>
      <x:c r="R45" s="71" t="inlineStr">
        <x:is>
          <x:t xml:space="preserve">RGTI</x:t>
        </x:is>
      </x:c>
      <x:c r="S45" s="206" t="inlineStr">
        <x:is>
          <x:t xml:space="preserve">2026-08-10</x:t>
        </x:is>
      </x:c>
      <x:c r="T45" s="71" t="inlineStr">
        <x:is>
          <x:t xml:space="preserve">Q2-26 revenue reached $5.6M vs $61K; OpEx rose 114% to $21.8M. QCi used about $180M cash on LSI, NuCrypt and NHanced acquisitions; backlog reached about $42.5M and cash/investments were about $1.3B.</x:t>
        </x:is>
      </x:c>
      <x:c r="U45" s="71" t="inlineStr">
        <x:is>
          <x:t xml:space="preserve">Scale increased substantially, but organic/acquired mix and return on deployed capital remained unresolved.</x:t>
        </x:is>
      </x:c>
      <x:c r="V45" s="71" t="inlineStr">
        <x:is>
          <x:t xml:space="preserve">UNSCORED</x:t>
        </x:is>
      </x:c>
      <x:c r="W45" s="71" t="inlineStr">
        <x:is>
          <x:t xml:space="preserve">UNSCORED</x:t>
        </x:is>
      </x:c>
      <x:c r="X45" s="71" t="str"/>
      <x:c r="Y45" s="71" t="inlineStr">
        <x:is>
          <x:t xml:space="preserve">NO</x:t>
        </x:is>
      </x:c>
      <x:c r="Z45" s="71" t="inlineStr">
        <x:is>
          <x:t xml:space="preserve">Look-ahead bias (fatal)</x:t>
        </x:is>
      </x:c>
      <x:c r="AA45" s="71" t="inlineStr">
        <x:is>
          <x:t xml:space="preserve">Add acquisition cohort tracking: purchase price, acquired revenue/gross profit, organic growth, integration cost and ROIC before IV upgrade.</x:t>
        </x:is>
      </x:c>
      <x:c r="AB45" s="71" t="inlineStr">
        <x:is>
          <x:t xml:space="preserve">NO</x:t>
        </x:is>
      </x:c>
      <x:c r="AC45" s="57" t="inlineStr">
        <x:is>
          <x:t xml:space="preserve">V10.4-DRYRUN</x:t>
        </x:is>
      </x:c>
      <x:c r="AD45" s="57" t="inlineStr">
        <x:is>
          <x:t xml:space="preserve">Retrospective reconstruction only; not genuine preregistration; no accuracy credit.</x:t>
        </x:is>
      </x:c>
      <x:c r="AE45" s="79" t="inlineStr">
        <x:is>
          <x:t xml:space="preserve">DRY RUN</x:t>
        </x:is>
      </x:c>
      <x:c r="AF45" s="79" t="inlineStr">
        <x:is>
          <x:t xml:space="preserve">NO</x:t>
        </x:is>
      </x:c>
      <x:c r="AG45" s="214" t="str"/>
    </x:row>
    <x:row r="46">
      <x:c r="A46" s="57" t="inlineStr">
        <x:is>
          <x:t xml:space="preserve">C0041</x:t>
        </x:is>
      </x:c>
      <x:c r="B46" s="57" t="inlineStr">
        <x:is>
          <x:t xml:space="preserve">Development</x:t>
        </x:is>
      </x:c>
      <x:c r="C46" s="57" t="inlineStr">
        <x:is>
          <x:t xml:space="preserve">OPEN</x:t>
        </x:is>
      </x:c>
      <x:c r="D46" s="57" t="inlineStr">
        <x:is>
          <x:t xml:space="preserve">ARG-005</x:t>
        </x:is>
      </x:c>
      <x:c r="E46" s="75" t="str">
        <x:f>INDEX('Company Universe'!$B$6:$B$105,MATCH(D46,'Company Universe'!$A$6:$A$105,0))</x:f>
        <x:v>NVIDIA</x:v>
      </x:c>
      <x:c r="F46" s="75" t="str">
        <x:f>INDEX('Company Universe'!$C$6:$C$105,MATCH(D46,'Company Universe'!$A$6:$A$105,0))</x:f>
        <x:v>NVDA</x:v>
      </x:c>
      <x:c r="G46" s="75" t="str">
        <x:f>INDEX('Company Universe'!$F$6:$F$105,MATCH(D46,'Company Universe'!$A$6:$A$105,0))</x:f>
        <x:v>AI &amp; Semiconductors</x:v>
      </x:c>
      <x:c r="H46" s="57" t="n">
        <x:v>1</x:v>
      </x:c>
      <x:c r="I46" s="206" t="inlineStr">
        <x:is>
          <x:t xml:space="preserve">2023-05-24</x:t>
        </x:is>
      </x:c>
      <x:c r="J46" s="71" t="n">
        <x:v>12</x:v>
      </x:c>
      <x:c r="K46" s="71" t="inlineStr">
        <x:is>
          <x:t xml:space="preserve">https://investor.nvidia.com/news/press-release-details/2023/NVIDIA-Announces-Financial-Results-for-First-Quarter-Fiscal-2024/default.aspx</x:t>
        </x:is>
      </x:c>
      <x:c r="L46" s="71" t="inlineStr">
        <x:is>
          <x:t xml:space="preserve">NO</x:t>
        </x:is>
      </x:c>
      <x:c r="M46" s="71" t="inlineStr">
        <x:is>
          <x:t xml:space="preserve">Generative AI/accelerated computing can turn the Data Center rebound into a structural step-change, not a one-quarter spike.</x:t>
        </x:is>
      </x:c>
      <x:c r="N46" s="71" t="inlineStr">
        <x:is>
          <x:t xml:space="preserve">Data Center revenue compounds, gross margin expands and platform demand broadens beyond a few early AI labs.</x:t>
        </x:is>
      </x:c>
      <x:c r="O46" s="71" t="inlineStr">
        <x:is>
          <x:t xml:space="preserve">Business IV should rise materially; buy decision still requires independent Margin-of-Safety reconstruction.</x:t>
        </x:is>
      </x:c>
      <x:c r="P46" s="71" t="inlineStr">
        <x:is>
          <x:t xml:space="preserve">WATCH / SMALL ONLY</x:t>
        </x:is>
      </x:c>
      <x:c r="Q46" s="71" t="inlineStr">
        <x:is>
          <x:t xml:space="preserve">Data Center growth fades, gross margin fails to scale, or customer economics do not support continued AI capex.</x:t>
        </x:is>
      </x:c>
      <x:c r="R46" s="71" t="inlineStr">
        <x:is>
          <x:t xml:space="preserve">AMD</x:t>
        </x:is>
      </x:c>
      <x:c r="S46" s="206" t="inlineStr">
        <x:is>
          <x:t xml:space="preserve">2024-05-22</x:t>
        </x:is>
      </x:c>
      <x:c r="T46" s="71" t="inlineStr">
        <x:is>
          <x:t xml:space="preserve">Q1 FY25 revenue reached $26.0B vs $7.19B; Data Center $22.6B vs $4.28B. The structural demand thesis was strongly confirmed.</x:t>
        </x:is>
      </x:c>
      <x:c r="U46" s="71" t="inlineStr">
        <x:is>
          <x:t xml:space="preserve">Fundamental earning power/IV engine improved dramatically; historical price/MOS remains unscored in this dry run.</x:t>
        </x:is>
      </x:c>
      <x:c r="V46" s="71" t="inlineStr">
        <x:is>
          <x:t xml:space="preserve">UNSCORED</x:t>
        </x:is>
      </x:c>
      <x:c r="W46" s="71" t="inlineStr">
        <x:is>
          <x:t xml:space="preserve">UNSCORED</x:t>
        </x:is>
      </x:c>
      <x:c r="X46" s="71" t="str"/>
      <x:c r="Y46" s="71" t="inlineStr">
        <x:is>
          <x:t xml:space="preserve">NO</x:t>
        </x:is>
      </x:c>
      <x:c r="Z46" s="71" t="inlineStr">
        <x:is>
          <x:t xml:space="preserve">Look-ahead bias (fatal)</x:t>
        </x:is>
      </x:c>
      <x:c r="AA46" s="71" t="inlineStr">
        <x:is>
          <x:t xml:space="preserve">Separate Business-Quality correctness from Price/MOS correctness; never downgrade a correct engine thesis merely because valuation blocks purchase.</x:t>
        </x:is>
      </x:c>
      <x:c r="AB46" s="71" t="inlineStr">
        <x:is>
          <x:t xml:space="preserve">NO</x:t>
        </x:is>
      </x:c>
      <x:c r="AC46" s="57" t="inlineStr">
        <x:is>
          <x:t xml:space="preserve">V10.5-DRYRUN</x:t>
        </x:is>
      </x:c>
      <x:c r="AD46" s="57" t="inlineStr">
        <x:is>
          <x:t xml:space="preserve">Retrospective reconstruction only; no genuine preregistration; no accuracy credit.</x:t>
        </x:is>
      </x:c>
      <x:c r="AE46" s="79" t="inlineStr">
        <x:is>
          <x:t xml:space="preserve">DRY RUN</x:t>
        </x:is>
      </x:c>
      <x:c r="AF46" s="79" t="inlineStr">
        <x:is>
          <x:t xml:space="preserve">NO</x:t>
        </x:is>
      </x:c>
      <x:c r="AG46" s="214" t="str"/>
    </x:row>
    <x:row r="47">
      <x:c r="A47" s="57" t="inlineStr">
        <x:is>
          <x:t xml:space="preserve">C0042</x:t>
        </x:is>
      </x:c>
      <x:c r="B47" s="57" t="inlineStr">
        <x:is>
          <x:t xml:space="preserve">Development</x:t>
        </x:is>
      </x:c>
      <x:c r="C47" s="57" t="inlineStr">
        <x:is>
          <x:t xml:space="preserve">OPEN</x:t>
        </x:is>
      </x:c>
      <x:c r="D47" s="57" t="inlineStr">
        <x:is>
          <x:t xml:space="preserve">ARG-005</x:t>
        </x:is>
      </x:c>
      <x:c r="E47" s="75" t="str">
        <x:f>INDEX('Company Universe'!$B$6:$B$105,MATCH(D47,'Company Universe'!$A$6:$A$105,0))</x:f>
        <x:v>NVIDIA</x:v>
      </x:c>
      <x:c r="F47" s="75" t="str">
        <x:f>INDEX('Company Universe'!$C$6:$C$105,MATCH(D47,'Company Universe'!$A$6:$A$105,0))</x:f>
        <x:v>NVDA</x:v>
      </x:c>
      <x:c r="G47" s="75" t="str">
        <x:f>INDEX('Company Universe'!$F$6:$F$105,MATCH(D47,'Company Universe'!$A$6:$A$105,0))</x:f>
        <x:v>AI &amp; Semiconductors</x:v>
      </x:c>
      <x:c r="H47" s="57" t="n">
        <x:v>2</x:v>
      </x:c>
      <x:c r="I47" s="206" t="inlineStr">
        <x:is>
          <x:t xml:space="preserve">2023-08-23</x:t>
        </x:is>
      </x:c>
      <x:c r="J47" s="71" t="n">
        <x:v>12</x:v>
      </x:c>
      <x:c r="K47" s="71" t="inlineStr">
        <x:is>
          <x:t xml:space="preserve">https://investor.nvidia.com/news/press-release-details/2023/NVIDIA-Announces-Financial-Results-for-Second-Quarter-Fiscal-2024/default.aspx</x:t>
        </x:is>
      </x:c>
      <x:c r="L47" s="71" t="inlineStr">
        <x:is>
          <x:t xml:space="preserve">NO</x:t>
        </x:is>
      </x:c>
      <x:c r="M47" s="71" t="inlineStr">
        <x:is>
          <x:t xml:space="preserve">CUDA + networking + GPUs can sustain AI infrastructure demand after the initial generative-AI surge.</x:t>
        </x:is>
      </x:c>
      <x:c r="N47" s="71" t="inlineStr">
        <x:is>
          <x:t xml:space="preserve">Data Center remains the dominant growth engine with strong sequential demand and high margins.</x:t>
        </x:is>
      </x:c>
      <x:c r="O47" s="71" t="inlineStr">
        <x:is>
          <x:t xml:space="preserve">IV rises if ecosystem attachment and supply conversion remain strong; price discipline remains separate.</x:t>
        </x:is>
      </x:c>
      <x:c r="P47" s="71" t="inlineStr">
        <x:is>
          <x:t xml:space="preserve">WATCH / SMALL ONLY</x:t>
        </x:is>
      </x:c>
      <x:c r="Q47" s="71" t="inlineStr">
        <x:is>
          <x:t xml:space="preserve">Sequential Data Center demand stalls or gross margin collapses as supply normalizes.</x:t>
        </x:is>
      </x:c>
      <x:c r="R47" s="71" t="inlineStr">
        <x:is>
          <x:t xml:space="preserve">AMD</x:t>
        </x:is>
      </x:c>
      <x:c r="S47" s="206" t="inlineStr">
        <x:is>
          <x:t xml:space="preserve">2024-08-28</x:t>
        </x:is>
      </x:c>
      <x:c r="T47" s="71" t="inlineStr">
        <x:is>
          <x:t xml:space="preserve">Q2 FY25 revenue was $30.0B (+122% YoY) and Data Center $26.3B (+154% YoY). Demand remained exceptional.</x:t>
        </x:is>
      </x:c>
      <x:c r="U47" s="71" t="inlineStr">
        <x:is>
          <x:t xml:space="preserve">Business IV support strengthened; purchase attractiveness still depends on price/normalized-cycle assumptions.</x:t>
        </x:is>
      </x:c>
      <x:c r="V47" s="71" t="inlineStr">
        <x:is>
          <x:t xml:space="preserve">UNSCORED</x:t>
        </x:is>
      </x:c>
      <x:c r="W47" s="71" t="inlineStr">
        <x:is>
          <x:t xml:space="preserve">UNSCORED</x:t>
        </x:is>
      </x:c>
      <x:c r="X47" s="71" t="str"/>
      <x:c r="Y47" s="71" t="inlineStr">
        <x:is>
          <x:t xml:space="preserve">NO</x:t>
        </x:is>
      </x:c>
      <x:c r="Z47" s="71" t="inlineStr">
        <x:is>
          <x:t xml:space="preserve">Look-ahead bias (fatal)</x:t>
        </x:is>
      </x:c>
      <x:c r="AA47" s="71" t="inlineStr">
        <x:is>
          <x:t xml:space="preserve">Track ecosystem attachment (networking/software/systems) and supply conversion, not GPU units alone.</x:t>
        </x:is>
      </x:c>
      <x:c r="AB47" s="71" t="inlineStr">
        <x:is>
          <x:t xml:space="preserve">NO</x:t>
        </x:is>
      </x:c>
      <x:c r="AC47" s="57" t="inlineStr">
        <x:is>
          <x:t xml:space="preserve">V10.5-DRYRUN</x:t>
        </x:is>
      </x:c>
      <x:c r="AD47" s="57" t="inlineStr">
        <x:is>
          <x:t xml:space="preserve">Retrospective reconstruction only; no genuine preregistration; no accuracy credit.</x:t>
        </x:is>
      </x:c>
      <x:c r="AE47" s="79" t="inlineStr">
        <x:is>
          <x:t xml:space="preserve">DRY RUN</x:t>
        </x:is>
      </x:c>
      <x:c r="AF47" s="79" t="inlineStr">
        <x:is>
          <x:t xml:space="preserve">NO</x:t>
        </x:is>
      </x:c>
      <x:c r="AG47" s="214" t="str"/>
    </x:row>
    <x:row r="48">
      <x:c r="A48" s="57" t="inlineStr">
        <x:is>
          <x:t xml:space="preserve">C0043</x:t>
        </x:is>
      </x:c>
      <x:c r="B48" s="57" t="inlineStr">
        <x:is>
          <x:t xml:space="preserve">Development</x:t>
        </x:is>
      </x:c>
      <x:c r="C48" s="57" t="inlineStr">
        <x:is>
          <x:t xml:space="preserve">OPEN</x:t>
        </x:is>
      </x:c>
      <x:c r="D48" s="57" t="inlineStr">
        <x:is>
          <x:t xml:space="preserve">ARG-005</x:t>
        </x:is>
      </x:c>
      <x:c r="E48" s="75" t="str">
        <x:f>INDEX('Company Universe'!$B$6:$B$105,MATCH(D48,'Company Universe'!$A$6:$A$105,0))</x:f>
        <x:v>NVIDIA</x:v>
      </x:c>
      <x:c r="F48" s="75" t="str">
        <x:f>INDEX('Company Universe'!$C$6:$C$105,MATCH(D48,'Company Universe'!$A$6:$A$105,0))</x:f>
        <x:v>NVDA</x:v>
      </x:c>
      <x:c r="G48" s="75" t="str">
        <x:f>INDEX('Company Universe'!$F$6:$F$105,MATCH(D48,'Company Universe'!$A$6:$A$105,0))</x:f>
        <x:v>AI &amp; Semiconductors</x:v>
      </x:c>
      <x:c r="H48" s="57" t="n">
        <x:v>3</x:v>
      </x:c>
      <x:c r="I48" s="206" t="inlineStr">
        <x:is>
          <x:t xml:space="preserve">2023-11-21</x:t>
        </x:is>
      </x:c>
      <x:c r="J48" s="71" t="n">
        <x:v>12</x:v>
      </x:c>
      <x:c r="K48" s="71" t="inlineStr">
        <x:is>
          <x:t xml:space="preserve">https://investor.nvidia.com/news/press-release-details/2023/NVIDIA-Announces-Financial-Results-for-Third-Quarter-Fiscal-2024/default.aspx</x:t>
        </x:is>
      </x:c>
      <x:c r="L48" s="71" t="inlineStr">
        <x:is>
          <x:t xml:space="preserve">NO</x:t>
        </x:is>
      </x:c>
      <x:c r="M48" s="71" t="inlineStr">
        <x:is>
          <x:t xml:space="preserve">AI infrastructure demand can persist through product transitions if NVIDIA owns a full-stack moat rather than a single-chip lead.</x:t>
        </x:is>
      </x:c>
      <x:c r="N48" s="71" t="inlineStr">
        <x:is>
          <x:t xml:space="preserve">Revenue/Data Center continue growing through H200/Blackwell transition without material customer defection.</x:t>
        </x:is>
      </x:c>
      <x:c r="O48" s="71" t="inlineStr">
        <x:is>
          <x:t xml:space="preserve">Moat/IV strengthen if transition execution preserves pricing and margins.</x:t>
        </x:is>
      </x:c>
      <x:c r="P48" s="71" t="inlineStr">
        <x:is>
          <x:t xml:space="preserve">WATCH / SMALL ONLY</x:t>
        </x:is>
      </x:c>
      <x:c r="Q48" s="71" t="inlineStr">
        <x:is>
          <x:t xml:space="preserve">Platform transition causes demand air pocket, meaningful share loss, or major margin compression.</x:t>
        </x:is>
      </x:c>
      <x:c r="R48" s="71" t="inlineStr">
        <x:is>
          <x:t xml:space="preserve">AMD</x:t>
        </x:is>
      </x:c>
      <x:c r="S48" s="206" t="inlineStr">
        <x:is>
          <x:t xml:space="preserve">2024-11-20</x:t>
        </x:is>
      </x:c>
      <x:c r="T48" s="71" t="inlineStr">
        <x:is>
          <x:t xml:space="preserve">Q3 FY25 revenue reached $35.1B (+94% YoY); Data Center $30.8B (+112%). Hopper demand and Blackwell anticipation remained very strong.</x:t>
        </x:is>
      </x:c>
      <x:c r="U48" s="71" t="inlineStr">
        <x:is>
          <x:t xml:space="preserve">Full-stack moat evidence strengthened, but valuation gate remains independent.</x:t>
        </x:is>
      </x:c>
      <x:c r="V48" s="71" t="inlineStr">
        <x:is>
          <x:t xml:space="preserve">UNSCORED</x:t>
        </x:is>
      </x:c>
      <x:c r="W48" s="71" t="inlineStr">
        <x:is>
          <x:t xml:space="preserve">UNSCORED</x:t>
        </x:is>
      </x:c>
      <x:c r="X48" s="71" t="str"/>
      <x:c r="Y48" s="71" t="inlineStr">
        <x:is>
          <x:t xml:space="preserve">NO</x:t>
        </x:is>
      </x:c>
      <x:c r="Z48" s="71" t="inlineStr">
        <x:is>
          <x:t xml:space="preserve">Look-ahead bias (fatal)</x:t>
        </x:is>
      </x:c>
      <x:c r="AA48" s="71" t="inlineStr">
        <x:is>
          <x:t xml:space="preserve">Add platform-transition continuity test: old-generation demand, new-generation ramp, networking/software attachment and gross-margin continuity.</x:t>
        </x:is>
      </x:c>
      <x:c r="AB48" s="71" t="inlineStr">
        <x:is>
          <x:t xml:space="preserve">NO</x:t>
        </x:is>
      </x:c>
      <x:c r="AC48" s="57" t="inlineStr">
        <x:is>
          <x:t xml:space="preserve">V10.5-DRYRUN</x:t>
        </x:is>
      </x:c>
      <x:c r="AD48" s="57" t="inlineStr">
        <x:is>
          <x:t xml:space="preserve">Retrospective reconstruction only; no genuine preregistration; no accuracy credit.</x:t>
        </x:is>
      </x:c>
      <x:c r="AE48" s="79" t="inlineStr">
        <x:is>
          <x:t xml:space="preserve">DRY RUN</x:t>
        </x:is>
      </x:c>
      <x:c r="AF48" s="79" t="inlineStr">
        <x:is>
          <x:t xml:space="preserve">NO</x:t>
        </x:is>
      </x:c>
      <x:c r="AG48" s="214" t="str"/>
    </x:row>
    <x:row r="49">
      <x:c r="A49" s="57" t="inlineStr">
        <x:is>
          <x:t xml:space="preserve">C0044</x:t>
        </x:is>
      </x:c>
      <x:c r="B49" s="57" t="inlineStr">
        <x:is>
          <x:t xml:space="preserve">Development</x:t>
        </x:is>
      </x:c>
      <x:c r="C49" s="57" t="inlineStr">
        <x:is>
          <x:t xml:space="preserve">OPEN</x:t>
        </x:is>
      </x:c>
      <x:c r="D49" s="57" t="inlineStr">
        <x:is>
          <x:t xml:space="preserve">ARG-005</x:t>
        </x:is>
      </x:c>
      <x:c r="E49" s="75" t="str">
        <x:f>INDEX('Company Universe'!$B$6:$B$105,MATCH(D49,'Company Universe'!$A$6:$A$105,0))</x:f>
        <x:v>NVIDIA</x:v>
      </x:c>
      <x:c r="F49" s="75" t="str">
        <x:f>INDEX('Company Universe'!$C$6:$C$105,MATCH(D49,'Company Universe'!$A$6:$A$105,0))</x:f>
        <x:v>NVDA</x:v>
      </x:c>
      <x:c r="G49" s="75" t="str">
        <x:f>INDEX('Company Universe'!$F$6:$F$105,MATCH(D49,'Company Universe'!$A$6:$A$105,0))</x:f>
        <x:v>AI &amp; Semiconductors</x:v>
      </x:c>
      <x:c r="H49" s="57" t="n">
        <x:v>4</x:v>
      </x:c>
      <x:c r="I49" s="206" t="inlineStr">
        <x:is>
          <x:t xml:space="preserve">2024-02-21</x:t>
        </x:is>
      </x:c>
      <x:c r="J49" s="71" t="n">
        <x:v>12</x:v>
      </x:c>
      <x:c r="K49" s="71" t="inlineStr">
        <x:is>
          <x:t xml:space="preserve">https://investor.nvidia.com/news/press-release-details/2024/NVIDIA-Announces-Financial-Results-for-Fourth-Quarter-and-Fiscal-2024/</x:t>
        </x:is>
      </x:c>
      <x:c r="L49" s="71" t="inlineStr">
        <x:is>
          <x:t xml:space="preserve">NO</x:t>
        </x:is>
      </x:c>
      <x:c r="M49" s="71" t="inlineStr">
        <x:is>
          <x:t xml:space="preserve">FY24 step-change can persist if AI capex produces economic ROI for hyperscalers/model builders and NVIDIA retains platform control.</x:t>
        </x:is>
      </x:c>
      <x:c r="N49" s="71" t="inlineStr">
        <x:is>
          <x:t xml:space="preserve">FY25 revenue grows strongly with durable profitability and customer expansion.</x:t>
        </x:is>
      </x:c>
      <x:c r="O49" s="71" t="inlineStr">
        <x:is>
          <x:t xml:space="preserve">IV can compound with owner earnings, but MOS may contract as market expectations rise.</x:t>
        </x:is>
      </x:c>
      <x:c r="P49" s="71" t="inlineStr">
        <x:is>
          <x:t xml:space="preserve">WATCH / SMALL ONLY</x:t>
        </x:is>
      </x:c>
      <x:c r="Q49" s="71" t="inlineStr">
        <x:is>
          <x:t xml:space="preserve">Customer capex growth decouples from AI monetization or competitive alternatives erode platform economics.</x:t>
        </x:is>
      </x:c>
      <x:c r="R49" s="71" t="inlineStr">
        <x:is>
          <x:t xml:space="preserve">AMD</x:t>
        </x:is>
      </x:c>
      <x:c r="S49" s="206" t="inlineStr">
        <x:is>
          <x:t xml:space="preserve">2025-02-26</x:t>
        </x:is>
      </x:c>
      <x:c r="T49" s="71" t="inlineStr">
        <x:is>
          <x:t xml:space="preserve">FY25 revenue reached $130.5B, up 114% from FY24 $60.9B; Q4 Data Center was $35.6B (+93% YoY).</x:t>
        </x:is>
      </x:c>
      <x:c r="U49" s="71" t="inlineStr">
        <x:is>
          <x:t xml:space="preserve">Owner-earnings capacity expanded dramatically; risk shifted toward expectations/valuation and customer capex sustainability.</x:t>
        </x:is>
      </x:c>
      <x:c r="V49" s="71" t="inlineStr">
        <x:is>
          <x:t xml:space="preserve">UNSCORED</x:t>
        </x:is>
      </x:c>
      <x:c r="W49" s="71" t="inlineStr">
        <x:is>
          <x:t xml:space="preserve">UNSCORED</x:t>
        </x:is>
      </x:c>
      <x:c r="X49" s="71" t="str"/>
      <x:c r="Y49" s="71" t="inlineStr">
        <x:is>
          <x:t xml:space="preserve">NO</x:t>
        </x:is>
      </x:c>
      <x:c r="Z49" s="71" t="inlineStr">
        <x:is>
          <x:t xml:space="preserve">Look-ahead bias (fatal)</x:t>
        </x:is>
      </x:c>
      <x:c r="AA49" s="71" t="inlineStr">
        <x:is>
          <x:t xml:space="preserve">Add customer-ROI/capex bridge: hyperscaler AI capex, AI revenue/FCF monetization, utilization and NVIDIA revenue concentration.</x:t>
        </x:is>
      </x:c>
      <x:c r="AB49" s="71" t="inlineStr">
        <x:is>
          <x:t xml:space="preserve">NO</x:t>
        </x:is>
      </x:c>
      <x:c r="AC49" s="57" t="inlineStr">
        <x:is>
          <x:t xml:space="preserve">V10.5-DRYRUN</x:t>
        </x:is>
      </x:c>
      <x:c r="AD49" s="57" t="inlineStr">
        <x:is>
          <x:t xml:space="preserve">Retrospective reconstruction only; no genuine preregistration; no accuracy credit.</x:t>
        </x:is>
      </x:c>
      <x:c r="AE49" s="79" t="inlineStr">
        <x:is>
          <x:t xml:space="preserve">DRY RUN</x:t>
        </x:is>
      </x:c>
      <x:c r="AF49" s="79" t="inlineStr">
        <x:is>
          <x:t xml:space="preserve">NO</x:t>
        </x:is>
      </x:c>
      <x:c r="AG49" s="214" t="str"/>
    </x:row>
    <x:row r="50">
      <x:c r="A50" s="57" t="inlineStr">
        <x:is>
          <x:t xml:space="preserve">C0045</x:t>
        </x:is>
      </x:c>
      <x:c r="B50" s="57" t="inlineStr">
        <x:is>
          <x:t xml:space="preserve">Development</x:t>
        </x:is>
      </x:c>
      <x:c r="C50" s="57" t="inlineStr">
        <x:is>
          <x:t xml:space="preserve">OPEN</x:t>
        </x:is>
      </x:c>
      <x:c r="D50" s="57" t="inlineStr">
        <x:is>
          <x:t xml:space="preserve">ARG-005</x:t>
        </x:is>
      </x:c>
      <x:c r="E50" s="75" t="str">
        <x:f>INDEX('Company Universe'!$B$6:$B$105,MATCH(D50,'Company Universe'!$A$6:$A$105,0))</x:f>
        <x:v>NVIDIA</x:v>
      </x:c>
      <x:c r="F50" s="75" t="str">
        <x:f>INDEX('Company Universe'!$C$6:$C$105,MATCH(D50,'Company Universe'!$A$6:$A$105,0))</x:f>
        <x:v>NVDA</x:v>
      </x:c>
      <x:c r="G50" s="75" t="str">
        <x:f>INDEX('Company Universe'!$F$6:$F$105,MATCH(D50,'Company Universe'!$A$6:$A$105,0))</x:f>
        <x:v>AI &amp; Semiconductors</x:v>
      </x:c>
      <x:c r="H50" s="57" t="n">
        <x:v>5</x:v>
      </x:c>
      <x:c r="I50" s="206" t="inlineStr">
        <x:is>
          <x:t xml:space="preserve">2024-05-22</x:t>
        </x:is>
      </x:c>
      <x:c r="J50" s="71" t="n">
        <x:v>12</x:v>
      </x:c>
      <x:c r="K50" s="71" t="inlineStr">
        <x:is>
          <x:t xml:space="preserve">https://investor.nvidia.com/news/press-release-details/2024/NVIDIA-Announces-Financial-Results-for-First-Quarter-Fiscal-2025/default.aspx</x:t>
        </x:is>
      </x:c>
      <x:c r="L50" s="71" t="inlineStr">
        <x:is>
          <x:t xml:space="preserve">NO</x:t>
        </x:is>
      </x:c>
      <x:c r="M50" s="71" t="inlineStr">
        <x:is>
          <x:t xml:space="preserve">Blackwell can extend the platform while sustaining mid-70s gross margins and high owner earnings.</x:t>
        </x:is>
      </x:c>
      <x:c r="N50" s="71" t="inlineStr">
        <x:is>
          <x:t xml:space="preserve">Blackwell ramps; Data Center grows; gross margin remains structurally high excluding one-offs.</x:t>
        </x:is>
      </x:c>
      <x:c r="O50" s="71" t="inlineStr">
        <x:is>
          <x:t xml:space="preserve">IV rises if transition preserves economics; geopolitical exposure must be stress-tested separately.</x:t>
        </x:is>
      </x:c>
      <x:c r="P50" s="71" t="inlineStr">
        <x:is>
          <x:t xml:space="preserve">WATCH / SMALL ONLY</x:t>
        </x:is>
      </x:c>
      <x:c r="Q50" s="71" t="inlineStr">
        <x:is>
          <x:t xml:space="preserve">Blackwell delays, material gross-margin erosion, or export controls remove a large profitable market.</x:t>
        </x:is>
      </x:c>
      <x:c r="R50" s="71" t="inlineStr">
        <x:is>
          <x:t xml:space="preserve">AMD</x:t>
        </x:is>
      </x:c>
      <x:c r="S50" s="206" t="inlineStr">
        <x:is>
          <x:t xml:space="preserve">2025-05-28</x:t>
        </x:is>
      </x:c>
      <x:c r="T50" s="71" t="inlineStr">
        <x:is>
          <x:t xml:space="preserve">Q1 FY26 revenue rose to $44.1B (+69%), Data Center $39.1B (+73%), but U.S. H20 export controls caused a $4.5B charge; reported non-GAAP gross margin fell to 61.0% (71.3% excluding charge).</x:t>
        </x:is>
      </x:c>
      <x:c r="U50" s="71" t="inlineStr">
        <x:is>
          <x:t xml:space="preserve">Core engine strengthened while geopolitical transmission produced a real one-quarter economic shock.</x:t>
        </x:is>
      </x:c>
      <x:c r="V50" s="71" t="inlineStr">
        <x:is>
          <x:t xml:space="preserve">UNSCORED</x:t>
        </x:is>
      </x:c>
      <x:c r="W50" s="71" t="inlineStr">
        <x:is>
          <x:t xml:space="preserve">UNSCORED</x:t>
        </x:is>
      </x:c>
      <x:c r="X50" s="71" t="str"/>
      <x:c r="Y50" s="71" t="inlineStr">
        <x:is>
          <x:t xml:space="preserve">NO</x:t>
        </x:is>
      </x:c>
      <x:c r="Z50" s="71" t="inlineStr">
        <x:is>
          <x:t xml:space="preserve">Look-ahead bias (fatal)</x:t>
        </x:is>
      </x:c>
      <x:c r="AA50" s="71" t="inlineStr">
        <x:is>
          <x:t xml:space="preserve">Make export-control/geopolitical transmission explicit: exposed products/revenue, inventory obligations, substitute demand, margin impact and recovery path.</x:t>
        </x:is>
      </x:c>
      <x:c r="AB50" s="71" t="inlineStr">
        <x:is>
          <x:t xml:space="preserve">NO</x:t>
        </x:is>
      </x:c>
      <x:c r="AC50" s="57" t="inlineStr">
        <x:is>
          <x:t xml:space="preserve">V10.5-DRYRUN</x:t>
        </x:is>
      </x:c>
      <x:c r="AD50" s="57" t="inlineStr">
        <x:is>
          <x:t xml:space="preserve">Retrospective reconstruction only; no genuine preregistration; no accuracy credit.</x:t>
        </x:is>
      </x:c>
      <x:c r="AE50" s="79" t="inlineStr">
        <x:is>
          <x:t xml:space="preserve">DRY RUN</x:t>
        </x:is>
      </x:c>
      <x:c r="AF50" s="79" t="inlineStr">
        <x:is>
          <x:t xml:space="preserve">NO</x:t>
        </x:is>
      </x:c>
      <x:c r="AG50" s="214" t="str"/>
    </x:row>
    <x:row r="51">
      <x:c r="A51" s="57" t="inlineStr">
        <x:is>
          <x:t xml:space="preserve">C0046</x:t>
        </x:is>
      </x:c>
      <x:c r="B51" s="57" t="inlineStr">
        <x:is>
          <x:t xml:space="preserve">Development</x:t>
        </x:is>
      </x:c>
      <x:c r="C51" s="57" t="inlineStr">
        <x:is>
          <x:t xml:space="preserve">OPEN</x:t>
        </x:is>
      </x:c>
      <x:c r="D51" s="57" t="inlineStr">
        <x:is>
          <x:t xml:space="preserve">ARG-005</x:t>
        </x:is>
      </x:c>
      <x:c r="E51" s="75" t="str">
        <x:f>INDEX('Company Universe'!$B$6:$B$105,MATCH(D51,'Company Universe'!$A$6:$A$105,0))</x:f>
        <x:v>NVIDIA</x:v>
      </x:c>
      <x:c r="F51" s="75" t="str">
        <x:f>INDEX('Company Universe'!$C$6:$C$105,MATCH(D51,'Company Universe'!$A$6:$A$105,0))</x:f>
        <x:v>NVDA</x:v>
      </x:c>
      <x:c r="G51" s="75" t="str">
        <x:f>INDEX('Company Universe'!$F$6:$F$105,MATCH(D51,'Company Universe'!$A$6:$A$105,0))</x:f>
        <x:v>AI &amp; Semiconductors</x:v>
      </x:c>
      <x:c r="H51" s="57" t="n">
        <x:v>6</x:v>
      </x:c>
      <x:c r="I51" s="206" t="inlineStr">
        <x:is>
          <x:t xml:space="preserve">2024-08-28</x:t>
        </x:is>
      </x:c>
      <x:c r="J51" s="71" t="n">
        <x:v>12</x:v>
      </x:c>
      <x:c r="K51" s="71" t="inlineStr">
        <x:is>
          <x:t xml:space="preserve">https://investor.nvidia.com/news/press-release-details/2024/NVIDIA-Announces-Financial-Results-for-Second-Quarter-Fiscal-2025/default.aspx</x:t>
        </x:is>
      </x:c>
      <x:c r="L51" s="71" t="inlineStr">
        <x:is>
          <x:t xml:space="preserve">NO</x:t>
        </x:is>
      </x:c>
      <x:c r="M51" s="71" t="inlineStr">
        <x:is>
          <x:t xml:space="preserve">Hopper-to-Blackwell transition can sustain extraordinary demand even as growth rates normalize.</x:t>
        </x:is>
      </x:c>
      <x:c r="N51" s="71" t="inlineStr">
        <x:is>
          <x:t xml:space="preserve">Revenue/operating income grow faster than OpEx; margin recovers after transition/export shocks.</x:t>
        </x:is>
      </x:c>
      <x:c r="O51" s="71" t="inlineStr">
        <x:is>
          <x:t xml:space="preserve">Business IV grows if owner earnings scale; do not infer MOS from growth rate alone.</x:t>
        </x:is>
      </x:c>
      <x:c r="P51" s="71" t="inlineStr">
        <x:is>
          <x:t xml:space="preserve">WATCH / SMALL ONLY</x:t>
        </x:is>
      </x:c>
      <x:c r="Q51" s="71" t="inlineStr">
        <x:is>
          <x:t xml:space="preserve">Incremental OpEx/capital intensity rises faster than gross profit or China exposure becomes structurally unreplaceable.</x:t>
        </x:is>
      </x:c>
      <x:c r="R51" s="71" t="inlineStr">
        <x:is>
          <x:t xml:space="preserve">AMD</x:t>
        </x:is>
      </x:c>
      <x:c r="S51" s="206" t="inlineStr">
        <x:is>
          <x:t xml:space="preserve">2025-08-27</x:t>
        </x:is>
      </x:c>
      <x:c r="T51" s="71" t="inlineStr">
        <x:is>
          <x:t xml:space="preserve">Q2 FY26 revenue reached $46.7B (+56% YoY); non-GAAP operating income $30.2B (+51%). Gross margin was 72.7%; outlook assumed no H20 shipments to China.</x:t>
        </x:is>
      </x:c>
      <x:c r="U51" s="71" t="inlineStr">
        <x:is>
          <x:t xml:space="preserve">Operating leverage remained exceptional despite export constraints.</x:t>
        </x:is>
      </x:c>
      <x:c r="V51" s="71" t="inlineStr">
        <x:is>
          <x:t xml:space="preserve">UNSCORED</x:t>
        </x:is>
      </x:c>
      <x:c r="W51" s="71" t="inlineStr">
        <x:is>
          <x:t xml:space="preserve">UNSCORED</x:t>
        </x:is>
      </x:c>
      <x:c r="X51" s="71" t="str"/>
      <x:c r="Y51" s="71" t="inlineStr">
        <x:is>
          <x:t xml:space="preserve">NO</x:t>
        </x:is>
      </x:c>
      <x:c r="Z51" s="71" t="inlineStr">
        <x:is>
          <x:t xml:space="preserve">Look-ahead bias (fatal)</x:t>
        </x:is>
      </x:c>
      <x:c r="AA51" s="71" t="inlineStr">
        <x:is>
          <x:t xml:space="preserve">Use incremental gross-profit/OpEx conversion and region/product exposure; treat regulatory shocks separately from moat decay.</x:t>
        </x:is>
      </x:c>
      <x:c r="AB51" s="71" t="inlineStr">
        <x:is>
          <x:t xml:space="preserve">NO</x:t>
        </x:is>
      </x:c>
      <x:c r="AC51" s="57" t="inlineStr">
        <x:is>
          <x:t xml:space="preserve">V10.5-DRYRUN</x:t>
        </x:is>
      </x:c>
      <x:c r="AD51" s="57" t="inlineStr">
        <x:is>
          <x:t xml:space="preserve">Retrospective reconstruction only; no genuine preregistration; no accuracy credit.</x:t>
        </x:is>
      </x:c>
      <x:c r="AE51" s="79" t="inlineStr">
        <x:is>
          <x:t xml:space="preserve">DRY RUN</x:t>
        </x:is>
      </x:c>
      <x:c r="AF51" s="79" t="inlineStr">
        <x:is>
          <x:t xml:space="preserve">NO</x:t>
        </x:is>
      </x:c>
      <x:c r="AG51" s="214" t="str"/>
    </x:row>
    <x:row r="52">
      <x:c r="A52" s="57" t="inlineStr">
        <x:is>
          <x:t xml:space="preserve">C0047</x:t>
        </x:is>
      </x:c>
      <x:c r="B52" s="57" t="inlineStr">
        <x:is>
          <x:t xml:space="preserve">Development</x:t>
        </x:is>
      </x:c>
      <x:c r="C52" s="57" t="inlineStr">
        <x:is>
          <x:t xml:space="preserve">OPEN</x:t>
        </x:is>
      </x:c>
      <x:c r="D52" s="57" t="inlineStr">
        <x:is>
          <x:t xml:space="preserve">ARG-005</x:t>
        </x:is>
      </x:c>
      <x:c r="E52" s="75" t="str">
        <x:f>INDEX('Company Universe'!$B$6:$B$105,MATCH(D52,'Company Universe'!$A$6:$A$105,0))</x:f>
        <x:v>NVIDIA</x:v>
      </x:c>
      <x:c r="F52" s="75" t="str">
        <x:f>INDEX('Company Universe'!$C$6:$C$105,MATCH(D52,'Company Universe'!$A$6:$A$105,0))</x:f>
        <x:v>NVDA</x:v>
      </x:c>
      <x:c r="G52" s="75" t="str">
        <x:f>INDEX('Company Universe'!$F$6:$F$105,MATCH(D52,'Company Universe'!$A$6:$A$105,0))</x:f>
        <x:v>AI &amp; Semiconductors</x:v>
      </x:c>
      <x:c r="H52" s="57" t="n">
        <x:v>7</x:v>
      </x:c>
      <x:c r="I52" s="206" t="inlineStr">
        <x:is>
          <x:t xml:space="preserve">2024-11-20</x:t>
        </x:is>
      </x:c>
      <x:c r="J52" s="71" t="n">
        <x:v>12</x:v>
      </x:c>
      <x:c r="K52" s="71" t="inlineStr">
        <x:is>
          <x:t xml:space="preserve">https://investor.nvidia.com/news/press-release-details/2024/NVIDIA-Announces-Financial-Results-for-Third-Quarter-Fiscal-2025/default.aspx</x:t>
        </x:is>
      </x:c>
      <x:c r="L52" s="71" t="inlineStr">
        <x:is>
          <x:t xml:space="preserve">NO</x:t>
        </x:is>
      </x:c>
      <x:c r="M52" s="71" t="inlineStr">
        <x:is>
          <x:t xml:space="preserve">Blackwell demand and full-stack ecosystem can preserve dominance as inference becomes a larger workload.</x:t>
        </x:is>
      </x:c>
      <x:c r="N52" s="71" t="inlineStr">
        <x:is>
          <x:t xml:space="preserve">Revenue and Data Center expand with evidence of cost-per-token advantage and broad cloud/customer deployment.</x:t>
        </x:is>
      </x:c>
      <x:c r="O52" s="71" t="inlineStr">
        <x:is>
          <x:t xml:space="preserve">IV rises with sustained economics; competition judged on customer TCO, not benchmark headlines.</x:t>
        </x:is>
      </x:c>
      <x:c r="P52" s="71" t="inlineStr">
        <x:is>
          <x:t xml:space="preserve">WATCH / SMALL ONLY</x:t>
        </x:is>
      </x:c>
      <x:c r="Q52" s="71" t="inlineStr">
        <x:is>
          <x:t xml:space="preserve">Customers adopt credible lower-TCO alternatives at scale or NVIDIA loses software/networking attachment.</x:t>
        </x:is>
      </x:c>
      <x:c r="R52" s="71" t="inlineStr">
        <x:is>
          <x:t xml:space="preserve">AMD</x:t>
        </x:is>
      </x:c>
      <x:c r="S52" s="206" t="inlineStr">
        <x:is>
          <x:t xml:space="preserve">2025-11-19</x:t>
        </x:is>
      </x:c>
      <x:c r="T52" s="71" t="inlineStr">
        <x:is>
          <x:t xml:space="preserve">Q3 FY26 revenue was $57.0B (+62%) and Data Center $51.2B (+66%); management reported Blackwell sold out and strong inference efficiency.</x:t>
        </x:is>
      </x:c>
      <x:c r="U52" s="71" t="inlineStr">
        <x:is>
          <x:t xml:space="preserve">Moat remained economically visible across platform transition.</x:t>
        </x:is>
      </x:c>
      <x:c r="V52" s="71" t="inlineStr">
        <x:is>
          <x:t xml:space="preserve">UNSCORED</x:t>
        </x:is>
      </x:c>
      <x:c r="W52" s="71" t="inlineStr">
        <x:is>
          <x:t xml:space="preserve">UNSCORED</x:t>
        </x:is>
      </x:c>
      <x:c r="X52" s="71" t="str"/>
      <x:c r="Y52" s="71" t="inlineStr">
        <x:is>
          <x:t xml:space="preserve">NO</x:t>
        </x:is>
      </x:c>
      <x:c r="Z52" s="71" t="inlineStr">
        <x:is>
          <x:t xml:space="preserve">Look-ahead bias (fatal)</x:t>
        </x:is>
      </x:c>
      <x:c r="AA52" s="71" t="inlineStr">
        <x:is>
          <x:t xml:space="preserve">Moat test should focus on customer total cost per useful token, software switching costs, networking attach and deployment breadth.</x:t>
        </x:is>
      </x:c>
      <x:c r="AB52" s="71" t="inlineStr">
        <x:is>
          <x:t xml:space="preserve">NO</x:t>
        </x:is>
      </x:c>
      <x:c r="AC52" s="57" t="inlineStr">
        <x:is>
          <x:t xml:space="preserve">V10.5-DRYRUN</x:t>
        </x:is>
      </x:c>
      <x:c r="AD52" s="57" t="inlineStr">
        <x:is>
          <x:t xml:space="preserve">Retrospective reconstruction only; no genuine preregistration; no accuracy credit.</x:t>
        </x:is>
      </x:c>
      <x:c r="AE52" s="79" t="inlineStr">
        <x:is>
          <x:t xml:space="preserve">DRY RUN</x:t>
        </x:is>
      </x:c>
      <x:c r="AF52" s="79" t="inlineStr">
        <x:is>
          <x:t xml:space="preserve">NO</x:t>
        </x:is>
      </x:c>
      <x:c r="AG52" s="214" t="str"/>
    </x:row>
    <x:row r="53">
      <x:c r="A53" s="57" t="inlineStr">
        <x:is>
          <x:t xml:space="preserve">C0048</x:t>
        </x:is>
      </x:c>
      <x:c r="B53" s="57" t="inlineStr">
        <x:is>
          <x:t xml:space="preserve">Development</x:t>
        </x:is>
      </x:c>
      <x:c r="C53" s="57" t="inlineStr">
        <x:is>
          <x:t xml:space="preserve">OPEN</x:t>
        </x:is>
      </x:c>
      <x:c r="D53" s="57" t="inlineStr">
        <x:is>
          <x:t xml:space="preserve">ARG-005</x:t>
        </x:is>
      </x:c>
      <x:c r="E53" s="75" t="str">
        <x:f>INDEX('Company Universe'!$B$6:$B$105,MATCH(D53,'Company Universe'!$A$6:$A$105,0))</x:f>
        <x:v>NVIDIA</x:v>
      </x:c>
      <x:c r="F53" s="75" t="str">
        <x:f>INDEX('Company Universe'!$C$6:$C$105,MATCH(D53,'Company Universe'!$A$6:$A$105,0))</x:f>
        <x:v>NVDA</x:v>
      </x:c>
      <x:c r="G53" s="75" t="str">
        <x:f>INDEX('Company Universe'!$F$6:$F$105,MATCH(D53,'Company Universe'!$A$6:$A$105,0))</x:f>
        <x:v>AI &amp; Semiconductors</x:v>
      </x:c>
      <x:c r="H53" s="57" t="n">
        <x:v>8</x:v>
      </x:c>
      <x:c r="I53" s="206" t="inlineStr">
        <x:is>
          <x:t xml:space="preserve">2025-02-26</x:t>
        </x:is>
      </x:c>
      <x:c r="J53" s="71" t="n">
        <x:v>12</x:v>
      </x:c>
      <x:c r="K53" s="71" t="inlineStr">
        <x:is>
          <x:t xml:space="preserve">https://investor.nvidia.com/news/press-release-details/2025/NVIDIA-Announces-Financial-Results-for-Fourth-Quarter-and-Fiscal-2025/default.aspx</x:t>
        </x:is>
      </x:c>
      <x:c r="L53" s="71" t="inlineStr">
        <x:is>
          <x:t xml:space="preserve">NO</x:t>
        </x:is>
      </x:c>
      <x:c r="M53" s="71" t="inlineStr">
        <x:is>
          <x:t xml:space="preserve">FY25 scale can still compound if Blackwell expands AI inference economics and NVIDIA converts ecosystem control into cash returns.</x:t>
        </x:is>
      </x:c>
      <x:c r="N53" s="71" t="inlineStr">
        <x:is>
          <x:t xml:space="preserve">FY26 revenue/owner earnings grow materially and capital returns expand without weakening R&amp;D moat.</x:t>
        </x:is>
      </x:c>
      <x:c r="O53" s="71" t="inlineStr">
        <x:is>
          <x:t xml:space="preserve">IV grows; MOS requires normalization of long-run growth/margins rather than extrapolating peak rates.</x:t>
        </x:is>
      </x:c>
      <x:c r="P53" s="71" t="inlineStr">
        <x:is>
          <x:t xml:space="preserve">WATCH / SMALL ONLY</x:t>
        </x:is>
      </x:c>
      <x:c r="Q53" s="71" t="inlineStr">
        <x:is>
          <x:t xml:space="preserve">Growth requires unsustainable customer capex, margins structurally compress, or free-cash-flow conversion weakens.</x:t>
        </x:is>
      </x:c>
      <x:c r="R53" s="71" t="inlineStr">
        <x:is>
          <x:t xml:space="preserve">AMD</x:t>
        </x:is>
      </x:c>
      <x:c r="S53" s="206" t="inlineStr">
        <x:is>
          <x:t xml:space="preserve">2026-02-25</x:t>
        </x:is>
      </x:c>
      <x:c r="T53" s="71" t="inlineStr">
        <x:is>
          <x:t xml:space="preserve">FY26 revenue reached $215.9B (+65%); Q4 revenue $68.1B (+73%) and Data Center $62.3B (+75%). NVIDIA returned $41.1B to shareholders during FY26.</x:t>
        </x:is>
      </x:c>
      <x:c r="U53" s="71" t="inlineStr">
        <x:is>
          <x:t xml:space="preserve">Owner earnings and capital-return capacity remained exceptionally strong; valuation normalization is still a distinct problem.</x:t>
        </x:is>
      </x:c>
      <x:c r="V53" s="71" t="inlineStr">
        <x:is>
          <x:t xml:space="preserve">UNSCORED</x:t>
        </x:is>
      </x:c>
      <x:c r="W53" s="71" t="inlineStr">
        <x:is>
          <x:t xml:space="preserve">UNSCORED</x:t>
        </x:is>
      </x:c>
      <x:c r="X53" s="71" t="str"/>
      <x:c r="Y53" s="71" t="inlineStr">
        <x:is>
          <x:t xml:space="preserve">NO</x:t>
        </x:is>
      </x:c>
      <x:c r="Z53" s="71" t="inlineStr">
        <x:is>
          <x:t xml:space="preserve">Look-ahead bias (fatal)</x:t>
        </x:is>
      </x:c>
      <x:c r="AA53" s="71" t="inlineStr">
        <x:is>
          <x:t xml:space="preserve">Add durable-growth normalization: scenario long-run AI capex, margin, replacement cycle and capital returns rather than extrapolating recent CAGR.</x:t>
        </x:is>
      </x:c>
      <x:c r="AB53" s="71" t="inlineStr">
        <x:is>
          <x:t xml:space="preserve">NO</x:t>
        </x:is>
      </x:c>
      <x:c r="AC53" s="57" t="inlineStr">
        <x:is>
          <x:t xml:space="preserve">V10.5-DRYRUN</x:t>
        </x:is>
      </x:c>
      <x:c r="AD53" s="57" t="inlineStr">
        <x:is>
          <x:t xml:space="preserve">Retrospective reconstruction only; no genuine preregistration; no accuracy credit.</x:t>
        </x:is>
      </x:c>
      <x:c r="AE53" s="79" t="inlineStr">
        <x:is>
          <x:t xml:space="preserve">DRY RUN</x:t>
        </x:is>
      </x:c>
      <x:c r="AF53" s="79" t="inlineStr">
        <x:is>
          <x:t xml:space="preserve">NO</x:t>
        </x:is>
      </x:c>
      <x:c r="AG53" s="214" t="str"/>
    </x:row>
    <x:row r="54">
      <x:c r="A54" s="57" t="inlineStr">
        <x:is>
          <x:t xml:space="preserve">C0049</x:t>
        </x:is>
      </x:c>
      <x:c r="B54" s="57" t="inlineStr">
        <x:is>
          <x:t xml:space="preserve">Development</x:t>
        </x:is>
      </x:c>
      <x:c r="C54" s="57" t="inlineStr">
        <x:is>
          <x:t xml:space="preserve">OPEN</x:t>
        </x:is>
      </x:c>
      <x:c r="D54" s="57" t="inlineStr">
        <x:is>
          <x:t xml:space="preserve">ARG-005</x:t>
        </x:is>
      </x:c>
      <x:c r="E54" s="75" t="str">
        <x:f>INDEX('Company Universe'!$B$6:$B$105,MATCH(D54,'Company Universe'!$A$6:$A$105,0))</x:f>
        <x:v>NVIDIA</x:v>
      </x:c>
      <x:c r="F54" s="75" t="str">
        <x:f>INDEX('Company Universe'!$C$6:$C$105,MATCH(D54,'Company Universe'!$A$6:$A$105,0))</x:f>
        <x:v>NVDA</x:v>
      </x:c>
      <x:c r="G54" s="75" t="str">
        <x:f>INDEX('Company Universe'!$F$6:$F$105,MATCH(D54,'Company Universe'!$A$6:$A$105,0))</x:f>
        <x:v>AI &amp; Semiconductors</x:v>
      </x:c>
      <x:c r="H54" s="57" t="n">
        <x:v>9</x:v>
      </x:c>
      <x:c r="I54" s="206" t="inlineStr">
        <x:is>
          <x:t xml:space="preserve">2025-05-28</x:t>
        </x:is>
      </x:c>
      <x:c r="J54" s="71" t="n">
        <x:v>12</x:v>
      </x:c>
      <x:c r="K54" s="71" t="inlineStr">
        <x:is>
          <x:t xml:space="preserve">https://investor.nvidia.com/news/press-release-details/2025/NVIDIA-Announces-Financial-Results-for-First-Quarter-Fiscal-2026/default.aspx</x:t>
        </x:is>
      </x:c>
      <x:c r="L54" s="71" t="inlineStr">
        <x:is>
          <x:t xml:space="preserve">NO</x:t>
        </x:is>
      </x:c>
      <x:c r="M54" s="71" t="inlineStr">
        <x:is>
          <x:t xml:space="preserve">Export controls are a real shock, but the global AI infrastructure engine can absorb China loss if demand is broad and product economics remain superior.</x:t>
        </x:is>
      </x:c>
      <x:c r="N54" s="71" t="inlineStr">
        <x:is>
          <x:t xml:space="preserve">Revenue reaccelerates outside restricted China products; gross margin returns to mid-70s; platform roadmap remains on time.</x:t>
        </x:is>
      </x:c>
      <x:c r="O54" s="71" t="inlineStr">
        <x:is>
          <x:t xml:space="preserve">IV resilience improves if lost China economics are replaced without price concessions.</x:t>
        </x:is>
      </x:c>
      <x:c r="P54" s="71" t="inlineStr">
        <x:is>
          <x:t xml:space="preserve">WATCH / SMALL ONLY</x:t>
        </x:is>
      </x:c>
      <x:c r="Q54" s="71" t="inlineStr">
        <x:is>
          <x:t xml:space="preserve">Ex-China demand fails to absorb supply or regulatory restrictions expand faster than alternative markets.</x:t>
        </x:is>
      </x:c>
      <x:c r="R54" s="71" t="inlineStr">
        <x:is>
          <x:t xml:space="preserve">AMD</x:t>
        </x:is>
      </x:c>
      <x:c r="S54" s="206" t="inlineStr">
        <x:is>
          <x:t xml:space="preserve">2026-05-20</x:t>
        </x:is>
      </x:c>
      <x:c r="T54" s="71" t="inlineStr">
        <x:is>
          <x:t xml:space="preserve">Q1 FY27 revenue reached $81.6B (+85% YoY) and Data Center $75.2B (+92%); Q2 outlook assumed no China Data Center compute revenue.</x:t>
        </x:is>
      </x:c>
      <x:c r="U54" s="71" t="inlineStr">
        <x:is>
          <x:t xml:space="preserve">The engine absorbed the shock exceptionally well; geographic concentration risk remained but did not break the thesis.</x:t>
        </x:is>
      </x:c>
      <x:c r="V54" s="71" t="inlineStr">
        <x:is>
          <x:t xml:space="preserve">UNSCORED</x:t>
        </x:is>
      </x:c>
      <x:c r="W54" s="71" t="inlineStr">
        <x:is>
          <x:t xml:space="preserve">UNSCORED</x:t>
        </x:is>
      </x:c>
      <x:c r="X54" s="71" t="str"/>
      <x:c r="Y54" s="71" t="inlineStr">
        <x:is>
          <x:t xml:space="preserve">NO</x:t>
        </x:is>
      </x:c>
      <x:c r="Z54" s="71" t="inlineStr">
        <x:is>
          <x:t xml:space="preserve">Look-ahead bias (fatal)</x:t>
        </x:is>
      </x:c>
      <x:c r="AA54" s="71" t="inlineStr">
        <x:is>
          <x:t xml:space="preserve">Geopolitical stress test should model lost-region revenue separately from global substitution and supply redeployment.</x:t>
        </x:is>
      </x:c>
      <x:c r="AB54" s="71" t="inlineStr">
        <x:is>
          <x:t xml:space="preserve">NO</x:t>
        </x:is>
      </x:c>
      <x:c r="AC54" s="57" t="inlineStr">
        <x:is>
          <x:t xml:space="preserve">V10.5-DRYRUN</x:t>
        </x:is>
      </x:c>
      <x:c r="AD54" s="57" t="inlineStr">
        <x:is>
          <x:t xml:space="preserve">Retrospective reconstruction only; no genuine preregistration; no accuracy credit.</x:t>
        </x:is>
      </x:c>
      <x:c r="AE54" s="79" t="inlineStr">
        <x:is>
          <x:t xml:space="preserve">DRY RUN</x:t>
        </x:is>
      </x:c>
      <x:c r="AF54" s="79" t="inlineStr">
        <x:is>
          <x:t xml:space="preserve">NO</x:t>
        </x:is>
      </x:c>
      <x:c r="AG54" s="214" t="str"/>
    </x:row>
    <x:row r="55">
      <x:c r="A55" s="57" t="inlineStr">
        <x:is>
          <x:t xml:space="preserve">C0050</x:t>
        </x:is>
      </x:c>
      <x:c r="B55" s="57" t="inlineStr">
        <x:is>
          <x:t xml:space="preserve">Development</x:t>
        </x:is>
      </x:c>
      <x:c r="C55" s="57" t="inlineStr">
        <x:is>
          <x:t xml:space="preserve">OPEN</x:t>
        </x:is>
      </x:c>
      <x:c r="D55" s="57" t="inlineStr">
        <x:is>
          <x:t xml:space="preserve">ARG-005</x:t>
        </x:is>
      </x:c>
      <x:c r="E55" s="75" t="str">
        <x:f>INDEX('Company Universe'!$B$6:$B$105,MATCH(D55,'Company Universe'!$A$6:$A$105,0))</x:f>
        <x:v>NVIDIA</x:v>
      </x:c>
      <x:c r="F55" s="75" t="str">
        <x:f>INDEX('Company Universe'!$C$6:$C$105,MATCH(D55,'Company Universe'!$A$6:$A$105,0))</x:f>
        <x:v>NVDA</x:v>
      </x:c>
      <x:c r="G55" s="75" t="str">
        <x:f>INDEX('Company Universe'!$F$6:$F$105,MATCH(D55,'Company Universe'!$A$6:$A$105,0))</x:f>
        <x:v>AI &amp; Semiconductors</x:v>
      </x:c>
      <x:c r="H55" s="57" t="n">
        <x:v>10</x:v>
      </x:c>
      <x:c r="I55" s="206" t="inlineStr">
        <x:is>
          <x:t xml:space="preserve">2025-08-27</x:t>
        </x:is>
      </x:c>
      <x:c r="J55" s="71" t="n">
        <x:v>12</x:v>
      </x:c>
      <x:c r="K55" s="71" t="inlineStr">
        <x:is>
          <x:t xml:space="preserve">https://investor.nvidia.com/news/press-release-details/2025/NVIDIA-Announces-Financial-Results-for-Second-Quarter-Fiscal-2026/default.aspx</x:t>
        </x:is>
      </x:c>
      <x:c r="L55" s="71" t="inlineStr">
        <x:is>
          <x:t xml:space="preserve">NO</x:t>
        </x:is>
      </x:c>
      <x:c r="M55" s="71" t="inlineStr">
        <x:is>
          <x:t xml:space="preserve">Blackwell/Vera Rubin roadmap plus inference economics can sustain growth despite a much larger base.</x:t>
        </x:is>
      </x:c>
      <x:c r="N55" s="71" t="inlineStr">
        <x:is>
          <x:t xml:space="preserve">Revenue/Data Center continue compounding; gross margin returns ~75%; capital returns scale.</x:t>
        </x:is>
      </x:c>
      <x:c r="O55" s="71" t="inlineStr">
        <x:is>
          <x:t xml:space="preserve">IV remains high-quality but purchase requires explicit reverse-DCF/MOS against enormous embedded expectations.</x:t>
        </x:is>
      </x:c>
      <x:c r="P55" s="71" t="inlineStr">
        <x:is>
          <x:t xml:space="preserve">WATCH / SMALL ONLY</x:t>
        </x:is>
      </x:c>
      <x:c r="Q55" s="71" t="inlineStr">
        <x:is>
          <x:t xml:space="preserve">Growth decelerates below embedded expectations, customer ROI weakens, or competitive TCO closes materially.</x:t>
        </x:is>
      </x:c>
      <x:c r="R55" s="71" t="inlineStr">
        <x:is>
          <x:t xml:space="preserve">AMD</x:t>
        </x:is>
      </x:c>
      <x:c r="S55" s="206" t="inlineStr">
        <x:is>
          <x:t xml:space="preserve">2026-08-26</x:t>
        </x:is>
      </x:c>
      <x:c r="T55" s="71" t="inlineStr">
        <x:is>
          <x:t xml:space="preserve">Q2 FY27 revenue reached $96.2B (+106% YoY), Data Center $89.0B (+117%), gross margin 75.0%. NVIDIA returned about $26.0B to shareholders in the quarter.</x:t>
        </x:is>
      </x:c>
      <x:c r="U55" s="71" t="inlineStr">
        <x:is>
          <x:t xml:space="preserve">Business/owner-economics thesis was overwhelmingly confirmed; the unresolved question is price versus normalized long-run IV.</x:t>
        </x:is>
      </x:c>
      <x:c r="V55" s="71" t="inlineStr">
        <x:is>
          <x:t xml:space="preserve">UNSCORED</x:t>
        </x:is>
      </x:c>
      <x:c r="W55" s="71" t="inlineStr">
        <x:is>
          <x:t xml:space="preserve">UNSCORED</x:t>
        </x:is>
      </x:c>
      <x:c r="X55" s="71" t="str"/>
      <x:c r="Y55" s="71" t="inlineStr">
        <x:is>
          <x:t xml:space="preserve">NO</x:t>
        </x:is>
      </x:c>
      <x:c r="Z55" s="71" t="inlineStr">
        <x:is>
          <x:t xml:space="preserve">Look-ahead bias (fatal)</x:t>
        </x:is>
      </x:c>
      <x:c r="AA55" s="71" t="inlineStr">
        <x:is>
          <x:t xml:space="preserve">For elite compounders, enforce reverse valuation: what long-run revenue, margins and reinvestment are already required by price, separate from business quality.</x:t>
        </x:is>
      </x:c>
      <x:c r="AB55" s="71" t="inlineStr">
        <x:is>
          <x:t xml:space="preserve">NO</x:t>
        </x:is>
      </x:c>
      <x:c r="AC55" s="57" t="inlineStr">
        <x:is>
          <x:t xml:space="preserve">V10.5-DRYRUN</x:t>
        </x:is>
      </x:c>
      <x:c r="AD55" s="57" t="inlineStr">
        <x:is>
          <x:t xml:space="preserve">Retrospective reconstruction only; no genuine preregistration; no accuracy credit.</x:t>
        </x:is>
      </x:c>
      <x:c r="AE55" s="79" t="inlineStr">
        <x:is>
          <x:t xml:space="preserve">DRY RUN</x:t>
        </x:is>
      </x:c>
      <x:c r="AF55" s="79" t="inlineStr">
        <x:is>
          <x:t xml:space="preserve">NO</x:t>
        </x:is>
      </x:c>
      <x:c r="AG55" s="214" t="str"/>
    </x:row>
    <x:row r="56">
      <x:c r="A56" s="57" t="inlineStr">
        <x:is>
          <x:t xml:space="preserve">C0051</x:t>
        </x:is>
      </x:c>
      <x:c r="B56" s="57" t="inlineStr">
        <x:is>
          <x:t xml:space="preserve">Development</x:t>
        </x:is>
      </x:c>
      <x:c r="C56" s="57" t="inlineStr">
        <x:is>
          <x:t xml:space="preserve">OPEN</x:t>
        </x:is>
      </x:c>
      <x:c r="D56" s="57" t="inlineStr">
        <x:is>
          <x:t xml:space="preserve">ARG-006</x:t>
        </x:is>
      </x:c>
      <x:c r="E56" s="75" t="str">
        <x:f>INDEX('Company Universe'!$B$6:$B$105,MATCH(D56,'Company Universe'!$A$6:$A$105,0))</x:f>
        <x:v>Advanced Micro Devices</x:v>
      </x:c>
      <x:c r="F56" s="75" t="str">
        <x:f>INDEX('Company Universe'!$C$6:$C$105,MATCH(D56,'Company Universe'!$A$6:$A$105,0))</x:f>
        <x:v>AMD</x:v>
      </x:c>
      <x:c r="G56" s="75" t="str">
        <x:f>INDEX('Company Universe'!$F$6:$F$105,MATCH(D56,'Company Universe'!$A$6:$A$105,0))</x:f>
        <x:v>AI &amp; Semiconductors</x:v>
      </x:c>
      <x:c r="H56" s="57" t="n">
        <x:v>1</x:v>
      </x:c>
      <x:c r="I56" s="206" t="n"/>
      <x:c r="J56" s="71" t="n"/>
      <x:c r="K56" s="71" t="n"/>
      <x:c r="L56" s="71" t="inlineStr">
        <x:is>
          <x:t xml:space="preserve">NO</x:t>
        </x:is>
      </x:c>
      <x:c r="M56" s="71" t="n"/>
      <x:c r="N56" s="71" t="n"/>
      <x:c r="O56" s="71" t="n"/>
      <x:c r="P56" s="71" t="n"/>
      <x:c r="Q56" s="71" t="n"/>
      <x:c r="R56" s="71" t="n"/>
      <x:c r="S56" s="206" t="n"/>
      <x:c r="T56" s="71" t="n"/>
      <x:c r="U56" s="71" t="n"/>
      <x:c r="V56" s="71" t="n"/>
      <x:c r="W56" s="71" t="n"/>
      <x:c r="X56" s="71" t="n"/>
      <x:c r="Y56" s="71" t="n"/>
      <x:c r="Z56" s="71" t="n"/>
      <x:c r="AA56" s="71" t="n"/>
      <x:c r="AB56" s="71" t="inlineStr">
        <x:is>
          <x:t xml:space="preserve">NO</x:t>
        </x:is>
      </x:c>
      <x:c r="AC56" s="57" t="inlineStr">
        <x:is>
          <x:t xml:space="preserve">V10</x:t>
        </x:is>
      </x:c>
      <x:c r="AD56" s="57" t="n"/>
      <x:c r="AE56" s="79" t="str">
        <x:f>IF(AND(I56&lt;&gt;"",J56&lt;&gt;"",K56&lt;&gt;"",L56="YES",M56&lt;&gt;"",S56&lt;&gt;"",T56&lt;&gt;"",U56&lt;&gt;"",V56&lt;&gt;"",W56&lt;&gt;"",X56&lt;&gt;"",Y56&lt;&gt;""),"COMPLETE","PENDING")</x:f>
        <x:v>PENDING</x:v>
      </x:c>
      <x:c r="AF56" s="79" t="str">
        <x:f>IF(AE56="COMPLETE","YES","NO")</x:f>
        <x:v>NO</x:v>
      </x:c>
      <x:c r="AG56" s="214" t="str">
        <x:f>IF(AF56&lt;&gt;"YES","",(IF(V56="YES",1,0)+IF(W56="YES",1,0))/2)</x:f>
      </x:c>
    </x:row>
    <x:row r="57">
      <x:c r="A57" s="57" t="inlineStr">
        <x:is>
          <x:t xml:space="preserve">C0052</x:t>
        </x:is>
      </x:c>
      <x:c r="B57" s="57" t="inlineStr">
        <x:is>
          <x:t xml:space="preserve">Development</x:t>
        </x:is>
      </x:c>
      <x:c r="C57" s="57" t="inlineStr">
        <x:is>
          <x:t xml:space="preserve">OPEN</x:t>
        </x:is>
      </x:c>
      <x:c r="D57" s="57" t="inlineStr">
        <x:is>
          <x:t xml:space="preserve">ARG-006</x:t>
        </x:is>
      </x:c>
      <x:c r="E57" s="75" t="str">
        <x:f>INDEX('Company Universe'!$B$6:$B$105,MATCH(D57,'Company Universe'!$A$6:$A$105,0))</x:f>
        <x:v>Advanced Micro Devices</x:v>
      </x:c>
      <x:c r="F57" s="75" t="str">
        <x:f>INDEX('Company Universe'!$C$6:$C$105,MATCH(D57,'Company Universe'!$A$6:$A$105,0))</x:f>
        <x:v>AMD</x:v>
      </x:c>
      <x:c r="G57" s="75" t="str">
        <x:f>INDEX('Company Universe'!$F$6:$F$105,MATCH(D57,'Company Universe'!$A$6:$A$105,0))</x:f>
        <x:v>AI &amp; Semiconductors</x:v>
      </x:c>
      <x:c r="H57" s="57" t="n">
        <x:v>2</x:v>
      </x:c>
      <x:c r="I57" s="206" t="n"/>
      <x:c r="J57" s="71" t="n"/>
      <x:c r="K57" s="71" t="n"/>
      <x:c r="L57" s="71" t="inlineStr">
        <x:is>
          <x:t xml:space="preserve">NO</x:t>
        </x:is>
      </x:c>
      <x:c r="M57" s="71" t="n"/>
      <x:c r="N57" s="71" t="n"/>
      <x:c r="O57" s="71" t="n"/>
      <x:c r="P57" s="71" t="n"/>
      <x:c r="Q57" s="71" t="n"/>
      <x:c r="R57" s="71" t="n"/>
      <x:c r="S57" s="206" t="n"/>
      <x:c r="T57" s="71" t="n"/>
      <x:c r="U57" s="71" t="n"/>
      <x:c r="V57" s="71" t="n"/>
      <x:c r="W57" s="71" t="n"/>
      <x:c r="X57" s="71" t="n"/>
      <x:c r="Y57" s="71" t="n"/>
      <x:c r="Z57" s="71" t="n"/>
      <x:c r="AA57" s="71" t="n"/>
      <x:c r="AB57" s="71" t="inlineStr">
        <x:is>
          <x:t xml:space="preserve">NO</x:t>
        </x:is>
      </x:c>
      <x:c r="AC57" s="57" t="inlineStr">
        <x:is>
          <x:t xml:space="preserve">V10</x:t>
        </x:is>
      </x:c>
      <x:c r="AD57" s="57" t="n"/>
      <x:c r="AE57" s="79" t="str">
        <x:f>IF(AND(I57&lt;&gt;"",J57&lt;&gt;"",K57&lt;&gt;"",L57="YES",M57&lt;&gt;"",S57&lt;&gt;"",T57&lt;&gt;"",U57&lt;&gt;"",V57&lt;&gt;"",W57&lt;&gt;"",X57&lt;&gt;"",Y57&lt;&gt;""),"COMPLETE","PENDING")</x:f>
        <x:v>PENDING</x:v>
      </x:c>
      <x:c r="AF57" s="79" t="str">
        <x:f>IF(AE57="COMPLETE","YES","NO")</x:f>
        <x:v>NO</x:v>
      </x:c>
      <x:c r="AG57" s="214" t="str">
        <x:f>IF(AF57&lt;&gt;"YES","",(IF(V57="YES",1,0)+IF(W57="YES",1,0))/2)</x:f>
      </x:c>
    </x:row>
    <x:row r="58">
      <x:c r="A58" s="57" t="inlineStr">
        <x:is>
          <x:t xml:space="preserve">C0053</x:t>
        </x:is>
      </x:c>
      <x:c r="B58" s="57" t="inlineStr">
        <x:is>
          <x:t xml:space="preserve">Development</x:t>
        </x:is>
      </x:c>
      <x:c r="C58" s="57" t="inlineStr">
        <x:is>
          <x:t xml:space="preserve">OPEN</x:t>
        </x:is>
      </x:c>
      <x:c r="D58" s="57" t="inlineStr">
        <x:is>
          <x:t xml:space="preserve">ARG-006</x:t>
        </x:is>
      </x:c>
      <x:c r="E58" s="75" t="str">
        <x:f>INDEX('Company Universe'!$B$6:$B$105,MATCH(D58,'Company Universe'!$A$6:$A$105,0))</x:f>
        <x:v>Advanced Micro Devices</x:v>
      </x:c>
      <x:c r="F58" s="75" t="str">
        <x:f>INDEX('Company Universe'!$C$6:$C$105,MATCH(D58,'Company Universe'!$A$6:$A$105,0))</x:f>
        <x:v>AMD</x:v>
      </x:c>
      <x:c r="G58" s="75" t="str">
        <x:f>INDEX('Company Universe'!$F$6:$F$105,MATCH(D58,'Company Universe'!$A$6:$A$105,0))</x:f>
        <x:v>AI &amp; Semiconductors</x:v>
      </x:c>
      <x:c r="H58" s="57" t="n">
        <x:v>3</x:v>
      </x:c>
      <x:c r="I58" s="206" t="n"/>
      <x:c r="J58" s="71" t="n"/>
      <x:c r="K58" s="71" t="n"/>
      <x:c r="L58" s="71" t="inlineStr">
        <x:is>
          <x:t xml:space="preserve">NO</x:t>
        </x:is>
      </x:c>
      <x:c r="M58" s="71" t="n"/>
      <x:c r="N58" s="71" t="n"/>
      <x:c r="O58" s="71" t="n"/>
      <x:c r="P58" s="71" t="n"/>
      <x:c r="Q58" s="71" t="n"/>
      <x:c r="R58" s="71" t="n"/>
      <x:c r="S58" s="206" t="n"/>
      <x:c r="T58" s="71" t="n"/>
      <x:c r="U58" s="71" t="n"/>
      <x:c r="V58" s="71" t="n"/>
      <x:c r="W58" s="71" t="n"/>
      <x:c r="X58" s="71" t="n"/>
      <x:c r="Y58" s="71" t="n"/>
      <x:c r="Z58" s="71" t="n"/>
      <x:c r="AA58" s="71" t="n"/>
      <x:c r="AB58" s="71" t="inlineStr">
        <x:is>
          <x:t xml:space="preserve">NO</x:t>
        </x:is>
      </x:c>
      <x:c r="AC58" s="57" t="inlineStr">
        <x:is>
          <x:t xml:space="preserve">V10</x:t>
        </x:is>
      </x:c>
      <x:c r="AD58" s="57" t="n"/>
      <x:c r="AE58" s="79" t="str">
        <x:f>IF(AND(I58&lt;&gt;"",J58&lt;&gt;"",K58&lt;&gt;"",L58="YES",M58&lt;&gt;"",S58&lt;&gt;"",T58&lt;&gt;"",U58&lt;&gt;"",V58&lt;&gt;"",W58&lt;&gt;"",X58&lt;&gt;"",Y58&lt;&gt;""),"COMPLETE","PENDING")</x:f>
        <x:v>PENDING</x:v>
      </x:c>
      <x:c r="AF58" s="79" t="str">
        <x:f>IF(AE58="COMPLETE","YES","NO")</x:f>
        <x:v>NO</x:v>
      </x:c>
      <x:c r="AG58" s="214" t="str">
        <x:f>IF(AF58&lt;&gt;"YES","",(IF(V58="YES",1,0)+IF(W58="YES",1,0))/2)</x:f>
      </x:c>
    </x:row>
    <x:row r="59">
      <x:c r="A59" s="57" t="inlineStr">
        <x:is>
          <x:t xml:space="preserve">C0054</x:t>
        </x:is>
      </x:c>
      <x:c r="B59" s="57" t="inlineStr">
        <x:is>
          <x:t xml:space="preserve">Development</x:t>
        </x:is>
      </x:c>
      <x:c r="C59" s="57" t="inlineStr">
        <x:is>
          <x:t xml:space="preserve">OPEN</x:t>
        </x:is>
      </x:c>
      <x:c r="D59" s="57" t="inlineStr">
        <x:is>
          <x:t xml:space="preserve">ARG-006</x:t>
        </x:is>
      </x:c>
      <x:c r="E59" s="75" t="str">
        <x:f>INDEX('Company Universe'!$B$6:$B$105,MATCH(D59,'Company Universe'!$A$6:$A$105,0))</x:f>
        <x:v>Advanced Micro Devices</x:v>
      </x:c>
      <x:c r="F59" s="75" t="str">
        <x:f>INDEX('Company Universe'!$C$6:$C$105,MATCH(D59,'Company Universe'!$A$6:$A$105,0))</x:f>
        <x:v>AMD</x:v>
      </x:c>
      <x:c r="G59" s="75" t="str">
        <x:f>INDEX('Company Universe'!$F$6:$F$105,MATCH(D59,'Company Universe'!$A$6:$A$105,0))</x:f>
        <x:v>AI &amp; Semiconductors</x:v>
      </x:c>
      <x:c r="H59" s="57" t="n">
        <x:v>4</x:v>
      </x:c>
      <x:c r="I59" s="206" t="n"/>
      <x:c r="J59" s="71" t="n"/>
      <x:c r="K59" s="71" t="n"/>
      <x:c r="L59" s="71" t="inlineStr">
        <x:is>
          <x:t xml:space="preserve">NO</x:t>
        </x:is>
      </x:c>
      <x:c r="M59" s="71" t="n"/>
      <x:c r="N59" s="71" t="n"/>
      <x:c r="O59" s="71" t="n"/>
      <x:c r="P59" s="71" t="n"/>
      <x:c r="Q59" s="71" t="n"/>
      <x:c r="R59" s="71" t="n"/>
      <x:c r="S59" s="206" t="n"/>
      <x:c r="T59" s="71" t="n"/>
      <x:c r="U59" s="71" t="n"/>
      <x:c r="V59" s="71" t="n"/>
      <x:c r="W59" s="71" t="n"/>
      <x:c r="X59" s="71" t="n"/>
      <x:c r="Y59" s="71" t="n"/>
      <x:c r="Z59" s="71" t="n"/>
      <x:c r="AA59" s="71" t="n"/>
      <x:c r="AB59" s="71" t="inlineStr">
        <x:is>
          <x:t xml:space="preserve">NO</x:t>
        </x:is>
      </x:c>
      <x:c r="AC59" s="57" t="inlineStr">
        <x:is>
          <x:t xml:space="preserve">V10</x:t>
        </x:is>
      </x:c>
      <x:c r="AD59" s="57" t="n"/>
      <x:c r="AE59" s="79" t="str">
        <x:f>IF(AND(I59&lt;&gt;"",J59&lt;&gt;"",K59&lt;&gt;"",L59="YES",M59&lt;&gt;"",S59&lt;&gt;"",T59&lt;&gt;"",U59&lt;&gt;"",V59&lt;&gt;"",W59&lt;&gt;"",X59&lt;&gt;"",Y59&lt;&gt;""),"COMPLETE","PENDING")</x:f>
        <x:v>PENDING</x:v>
      </x:c>
      <x:c r="AF59" s="79" t="str">
        <x:f>IF(AE59="COMPLETE","YES","NO")</x:f>
        <x:v>NO</x:v>
      </x:c>
      <x:c r="AG59" s="214" t="str">
        <x:f>IF(AF59&lt;&gt;"YES","",(IF(V59="YES",1,0)+IF(W59="YES",1,0))/2)</x:f>
      </x:c>
    </x:row>
    <x:row r="60">
      <x:c r="A60" s="57" t="inlineStr">
        <x:is>
          <x:t xml:space="preserve">C0055</x:t>
        </x:is>
      </x:c>
      <x:c r="B60" s="57" t="inlineStr">
        <x:is>
          <x:t xml:space="preserve">Development</x:t>
        </x:is>
      </x:c>
      <x:c r="C60" s="57" t="inlineStr">
        <x:is>
          <x:t xml:space="preserve">OPEN</x:t>
        </x:is>
      </x:c>
      <x:c r="D60" s="57" t="inlineStr">
        <x:is>
          <x:t xml:space="preserve">ARG-006</x:t>
        </x:is>
      </x:c>
      <x:c r="E60" s="75" t="str">
        <x:f>INDEX('Company Universe'!$B$6:$B$105,MATCH(D60,'Company Universe'!$A$6:$A$105,0))</x:f>
        <x:v>Advanced Micro Devices</x:v>
      </x:c>
      <x:c r="F60" s="75" t="str">
        <x:f>INDEX('Company Universe'!$C$6:$C$105,MATCH(D60,'Company Universe'!$A$6:$A$105,0))</x:f>
        <x:v>AMD</x:v>
      </x:c>
      <x:c r="G60" s="75" t="str">
        <x:f>INDEX('Company Universe'!$F$6:$F$105,MATCH(D60,'Company Universe'!$A$6:$A$105,0))</x:f>
        <x:v>AI &amp; Semiconductors</x:v>
      </x:c>
      <x:c r="H60" s="57" t="n">
        <x:v>5</x:v>
      </x:c>
      <x:c r="I60" s="206" t="n"/>
      <x:c r="J60" s="71" t="n"/>
      <x:c r="K60" s="71" t="n"/>
      <x:c r="L60" s="71" t="inlineStr">
        <x:is>
          <x:t xml:space="preserve">NO</x:t>
        </x:is>
      </x:c>
      <x:c r="M60" s="71" t="n"/>
      <x:c r="N60" s="71" t="n"/>
      <x:c r="O60" s="71" t="n"/>
      <x:c r="P60" s="71" t="n"/>
      <x:c r="Q60" s="71" t="n"/>
      <x:c r="R60" s="71" t="n"/>
      <x:c r="S60" s="206" t="n"/>
      <x:c r="T60" s="71" t="n"/>
      <x:c r="U60" s="71" t="n"/>
      <x:c r="V60" s="71" t="n"/>
      <x:c r="W60" s="71" t="n"/>
      <x:c r="X60" s="71" t="n"/>
      <x:c r="Y60" s="71" t="n"/>
      <x:c r="Z60" s="71" t="n"/>
      <x:c r="AA60" s="71" t="n"/>
      <x:c r="AB60" s="71" t="inlineStr">
        <x:is>
          <x:t xml:space="preserve">NO</x:t>
        </x:is>
      </x:c>
      <x:c r="AC60" s="57" t="inlineStr">
        <x:is>
          <x:t xml:space="preserve">V10</x:t>
        </x:is>
      </x:c>
      <x:c r="AD60" s="57" t="n"/>
      <x:c r="AE60" s="79" t="str">
        <x:f>IF(AND(I60&lt;&gt;"",J60&lt;&gt;"",K60&lt;&gt;"",L60="YES",M60&lt;&gt;"",S60&lt;&gt;"",T60&lt;&gt;"",U60&lt;&gt;"",V60&lt;&gt;"",W60&lt;&gt;"",X60&lt;&gt;"",Y60&lt;&gt;""),"COMPLETE","PENDING")</x:f>
        <x:v>PENDING</x:v>
      </x:c>
      <x:c r="AF60" s="79" t="str">
        <x:f>IF(AE60="COMPLETE","YES","NO")</x:f>
        <x:v>NO</x:v>
      </x:c>
      <x:c r="AG60" s="214" t="str">
        <x:f>IF(AF60&lt;&gt;"YES","",(IF(V60="YES",1,0)+IF(W60="YES",1,0))/2)</x:f>
      </x:c>
    </x:row>
    <x:row r="61">
      <x:c r="A61" s="57" t="inlineStr">
        <x:is>
          <x:t xml:space="preserve">C0056</x:t>
        </x:is>
      </x:c>
      <x:c r="B61" s="57" t="inlineStr">
        <x:is>
          <x:t xml:space="preserve">Development</x:t>
        </x:is>
      </x:c>
      <x:c r="C61" s="57" t="inlineStr">
        <x:is>
          <x:t xml:space="preserve">OPEN</x:t>
        </x:is>
      </x:c>
      <x:c r="D61" s="57" t="inlineStr">
        <x:is>
          <x:t xml:space="preserve">ARG-006</x:t>
        </x:is>
      </x:c>
      <x:c r="E61" s="75" t="str">
        <x:f>INDEX('Company Universe'!$B$6:$B$105,MATCH(D61,'Company Universe'!$A$6:$A$105,0))</x:f>
        <x:v>Advanced Micro Devices</x:v>
      </x:c>
      <x:c r="F61" s="75" t="str">
        <x:f>INDEX('Company Universe'!$C$6:$C$105,MATCH(D61,'Company Universe'!$A$6:$A$105,0))</x:f>
        <x:v>AMD</x:v>
      </x:c>
      <x:c r="G61" s="75" t="str">
        <x:f>INDEX('Company Universe'!$F$6:$F$105,MATCH(D61,'Company Universe'!$A$6:$A$105,0))</x:f>
        <x:v>AI &amp; Semiconductors</x:v>
      </x:c>
      <x:c r="H61" s="57" t="n">
        <x:v>6</x:v>
      </x:c>
      <x:c r="I61" s="206" t="n"/>
      <x:c r="J61" s="71" t="n"/>
      <x:c r="K61" s="71" t="n"/>
      <x:c r="L61" s="71" t="inlineStr">
        <x:is>
          <x:t xml:space="preserve">NO</x:t>
        </x:is>
      </x:c>
      <x:c r="M61" s="71" t="n"/>
      <x:c r="N61" s="71" t="n"/>
      <x:c r="O61" s="71" t="n"/>
      <x:c r="P61" s="71" t="n"/>
      <x:c r="Q61" s="71" t="n"/>
      <x:c r="R61" s="71" t="n"/>
      <x:c r="S61" s="206" t="n"/>
      <x:c r="T61" s="71" t="n"/>
      <x:c r="U61" s="71" t="n"/>
      <x:c r="V61" s="71" t="n"/>
      <x:c r="W61" s="71" t="n"/>
      <x:c r="X61" s="71" t="n"/>
      <x:c r="Y61" s="71" t="n"/>
      <x:c r="Z61" s="71" t="n"/>
      <x:c r="AA61" s="71" t="n"/>
      <x:c r="AB61" s="71" t="inlineStr">
        <x:is>
          <x:t xml:space="preserve">NO</x:t>
        </x:is>
      </x:c>
      <x:c r="AC61" s="57" t="inlineStr">
        <x:is>
          <x:t xml:space="preserve">V10</x:t>
        </x:is>
      </x:c>
      <x:c r="AD61" s="57" t="n"/>
      <x:c r="AE61" s="79" t="str">
        <x:f>IF(AND(I61&lt;&gt;"",J61&lt;&gt;"",K61&lt;&gt;"",L61="YES",M61&lt;&gt;"",S61&lt;&gt;"",T61&lt;&gt;"",U61&lt;&gt;"",V61&lt;&gt;"",W61&lt;&gt;"",X61&lt;&gt;"",Y61&lt;&gt;""),"COMPLETE","PENDING")</x:f>
        <x:v>PENDING</x:v>
      </x:c>
      <x:c r="AF61" s="79" t="str">
        <x:f>IF(AE61="COMPLETE","YES","NO")</x:f>
        <x:v>NO</x:v>
      </x:c>
      <x:c r="AG61" s="214" t="str">
        <x:f>IF(AF61&lt;&gt;"YES","",(IF(V61="YES",1,0)+IF(W61="YES",1,0))/2)</x:f>
      </x:c>
    </x:row>
    <x:row r="62">
      <x:c r="A62" s="57" t="inlineStr">
        <x:is>
          <x:t xml:space="preserve">C0057</x:t>
        </x:is>
      </x:c>
      <x:c r="B62" s="57" t="inlineStr">
        <x:is>
          <x:t xml:space="preserve">Development</x:t>
        </x:is>
      </x:c>
      <x:c r="C62" s="57" t="inlineStr">
        <x:is>
          <x:t xml:space="preserve">OPEN</x:t>
        </x:is>
      </x:c>
      <x:c r="D62" s="57" t="inlineStr">
        <x:is>
          <x:t xml:space="preserve">ARG-006</x:t>
        </x:is>
      </x:c>
      <x:c r="E62" s="75" t="str">
        <x:f>INDEX('Company Universe'!$B$6:$B$105,MATCH(D62,'Company Universe'!$A$6:$A$105,0))</x:f>
        <x:v>Advanced Micro Devices</x:v>
      </x:c>
      <x:c r="F62" s="75" t="str">
        <x:f>INDEX('Company Universe'!$C$6:$C$105,MATCH(D62,'Company Universe'!$A$6:$A$105,0))</x:f>
        <x:v>AMD</x:v>
      </x:c>
      <x:c r="G62" s="75" t="str">
        <x:f>INDEX('Company Universe'!$F$6:$F$105,MATCH(D62,'Company Universe'!$A$6:$A$105,0))</x:f>
        <x:v>AI &amp; Semiconductors</x:v>
      </x:c>
      <x:c r="H62" s="57" t="n">
        <x:v>7</x:v>
      </x:c>
      <x:c r="I62" s="206" t="n"/>
      <x:c r="J62" s="71" t="n"/>
      <x:c r="K62" s="71" t="n"/>
      <x:c r="L62" s="71" t="inlineStr">
        <x:is>
          <x:t xml:space="preserve">NO</x:t>
        </x:is>
      </x:c>
      <x:c r="M62" s="71" t="n"/>
      <x:c r="N62" s="71" t="n"/>
      <x:c r="O62" s="71" t="n"/>
      <x:c r="P62" s="71" t="n"/>
      <x:c r="Q62" s="71" t="n"/>
      <x:c r="R62" s="71" t="n"/>
      <x:c r="S62" s="206" t="n"/>
      <x:c r="T62" s="71" t="n"/>
      <x:c r="U62" s="71" t="n"/>
      <x:c r="V62" s="71" t="n"/>
      <x:c r="W62" s="71" t="n"/>
      <x:c r="X62" s="71" t="n"/>
      <x:c r="Y62" s="71" t="n"/>
      <x:c r="Z62" s="71" t="n"/>
      <x:c r="AA62" s="71" t="n"/>
      <x:c r="AB62" s="71" t="inlineStr">
        <x:is>
          <x:t xml:space="preserve">NO</x:t>
        </x:is>
      </x:c>
      <x:c r="AC62" s="57" t="inlineStr">
        <x:is>
          <x:t xml:space="preserve">V10</x:t>
        </x:is>
      </x:c>
      <x:c r="AD62" s="57" t="n"/>
      <x:c r="AE62" s="79" t="str">
        <x:f>IF(AND(I62&lt;&gt;"",J62&lt;&gt;"",K62&lt;&gt;"",L62="YES",M62&lt;&gt;"",S62&lt;&gt;"",T62&lt;&gt;"",U62&lt;&gt;"",V62&lt;&gt;"",W62&lt;&gt;"",X62&lt;&gt;"",Y62&lt;&gt;""),"COMPLETE","PENDING")</x:f>
        <x:v>PENDING</x:v>
      </x:c>
      <x:c r="AF62" s="79" t="str">
        <x:f>IF(AE62="COMPLETE","YES","NO")</x:f>
        <x:v>NO</x:v>
      </x:c>
      <x:c r="AG62" s="214" t="str">
        <x:f>IF(AF62&lt;&gt;"YES","",(IF(V62="YES",1,0)+IF(W62="YES",1,0))/2)</x:f>
      </x:c>
    </x:row>
    <x:row r="63">
      <x:c r="A63" s="57" t="inlineStr">
        <x:is>
          <x:t xml:space="preserve">C0058</x:t>
        </x:is>
      </x:c>
      <x:c r="B63" s="57" t="inlineStr">
        <x:is>
          <x:t xml:space="preserve">Development</x:t>
        </x:is>
      </x:c>
      <x:c r="C63" s="57" t="inlineStr">
        <x:is>
          <x:t xml:space="preserve">OPEN</x:t>
        </x:is>
      </x:c>
      <x:c r="D63" s="57" t="inlineStr">
        <x:is>
          <x:t xml:space="preserve">ARG-006</x:t>
        </x:is>
      </x:c>
      <x:c r="E63" s="75" t="str">
        <x:f>INDEX('Company Universe'!$B$6:$B$105,MATCH(D63,'Company Universe'!$A$6:$A$105,0))</x:f>
        <x:v>Advanced Micro Devices</x:v>
      </x:c>
      <x:c r="F63" s="75" t="str">
        <x:f>INDEX('Company Universe'!$C$6:$C$105,MATCH(D63,'Company Universe'!$A$6:$A$105,0))</x:f>
        <x:v>AMD</x:v>
      </x:c>
      <x:c r="G63" s="75" t="str">
        <x:f>INDEX('Company Universe'!$F$6:$F$105,MATCH(D63,'Company Universe'!$A$6:$A$105,0))</x:f>
        <x:v>AI &amp; Semiconductors</x:v>
      </x:c>
      <x:c r="H63" s="57" t="n">
        <x:v>8</x:v>
      </x:c>
      <x:c r="I63" s="206" t="n"/>
      <x:c r="J63" s="71" t="n"/>
      <x:c r="K63" s="71" t="n"/>
      <x:c r="L63" s="71" t="inlineStr">
        <x:is>
          <x:t xml:space="preserve">NO</x:t>
        </x:is>
      </x:c>
      <x:c r="M63" s="71" t="n"/>
      <x:c r="N63" s="71" t="n"/>
      <x:c r="O63" s="71" t="n"/>
      <x:c r="P63" s="71" t="n"/>
      <x:c r="Q63" s="71" t="n"/>
      <x:c r="R63" s="71" t="n"/>
      <x:c r="S63" s="206" t="n"/>
      <x:c r="T63" s="71" t="n"/>
      <x:c r="U63" s="71" t="n"/>
      <x:c r="V63" s="71" t="n"/>
      <x:c r="W63" s="71" t="n"/>
      <x:c r="X63" s="71" t="n"/>
      <x:c r="Y63" s="71" t="n"/>
      <x:c r="Z63" s="71" t="n"/>
      <x:c r="AA63" s="71" t="n"/>
      <x:c r="AB63" s="71" t="inlineStr">
        <x:is>
          <x:t xml:space="preserve">NO</x:t>
        </x:is>
      </x:c>
      <x:c r="AC63" s="57" t="inlineStr">
        <x:is>
          <x:t xml:space="preserve">V10</x:t>
        </x:is>
      </x:c>
      <x:c r="AD63" s="57" t="n"/>
      <x:c r="AE63" s="79" t="str">
        <x:f>IF(AND(I63&lt;&gt;"",J63&lt;&gt;"",K63&lt;&gt;"",L63="YES",M63&lt;&gt;"",S63&lt;&gt;"",T63&lt;&gt;"",U63&lt;&gt;"",V63&lt;&gt;"",W63&lt;&gt;"",X63&lt;&gt;"",Y63&lt;&gt;""),"COMPLETE","PENDING")</x:f>
        <x:v>PENDING</x:v>
      </x:c>
      <x:c r="AF63" s="79" t="str">
        <x:f>IF(AE63="COMPLETE","YES","NO")</x:f>
        <x:v>NO</x:v>
      </x:c>
      <x:c r="AG63" s="214" t="str">
        <x:f>IF(AF63&lt;&gt;"YES","",(IF(V63="YES",1,0)+IF(W63="YES",1,0))/2)</x:f>
      </x:c>
    </x:row>
    <x:row r="64">
      <x:c r="A64" s="57" t="inlineStr">
        <x:is>
          <x:t xml:space="preserve">C0059</x:t>
        </x:is>
      </x:c>
      <x:c r="B64" s="57" t="inlineStr">
        <x:is>
          <x:t xml:space="preserve">Development</x:t>
        </x:is>
      </x:c>
      <x:c r="C64" s="57" t="inlineStr">
        <x:is>
          <x:t xml:space="preserve">OPEN</x:t>
        </x:is>
      </x:c>
      <x:c r="D64" s="57" t="inlineStr">
        <x:is>
          <x:t xml:space="preserve">ARG-006</x:t>
        </x:is>
      </x:c>
      <x:c r="E64" s="75" t="str">
        <x:f>INDEX('Company Universe'!$B$6:$B$105,MATCH(D64,'Company Universe'!$A$6:$A$105,0))</x:f>
        <x:v>Advanced Micro Devices</x:v>
      </x:c>
      <x:c r="F64" s="75" t="str">
        <x:f>INDEX('Company Universe'!$C$6:$C$105,MATCH(D64,'Company Universe'!$A$6:$A$105,0))</x:f>
        <x:v>AMD</x:v>
      </x:c>
      <x:c r="G64" s="75" t="str">
        <x:f>INDEX('Company Universe'!$F$6:$F$105,MATCH(D64,'Company Universe'!$A$6:$A$105,0))</x:f>
        <x:v>AI &amp; Semiconductors</x:v>
      </x:c>
      <x:c r="H64" s="57" t="n">
        <x:v>9</x:v>
      </x:c>
      <x:c r="I64" s="206" t="n"/>
      <x:c r="J64" s="71" t="n"/>
      <x:c r="K64" s="71" t="n"/>
      <x:c r="L64" s="71" t="inlineStr">
        <x:is>
          <x:t xml:space="preserve">NO</x:t>
        </x:is>
      </x:c>
      <x:c r="M64" s="71" t="n"/>
      <x:c r="N64" s="71" t="n"/>
      <x:c r="O64" s="71" t="n"/>
      <x:c r="P64" s="71" t="n"/>
      <x:c r="Q64" s="71" t="n"/>
      <x:c r="R64" s="71" t="n"/>
      <x:c r="S64" s="206" t="n"/>
      <x:c r="T64" s="71" t="n"/>
      <x:c r="U64" s="71" t="n"/>
      <x:c r="V64" s="71" t="n"/>
      <x:c r="W64" s="71" t="n"/>
      <x:c r="X64" s="71" t="n"/>
      <x:c r="Y64" s="71" t="n"/>
      <x:c r="Z64" s="71" t="n"/>
      <x:c r="AA64" s="71" t="n"/>
      <x:c r="AB64" s="71" t="inlineStr">
        <x:is>
          <x:t xml:space="preserve">NO</x:t>
        </x:is>
      </x:c>
      <x:c r="AC64" s="57" t="inlineStr">
        <x:is>
          <x:t xml:space="preserve">V10</x:t>
        </x:is>
      </x:c>
      <x:c r="AD64" s="57" t="n"/>
      <x:c r="AE64" s="79" t="str">
        <x:f>IF(AND(I64&lt;&gt;"",J64&lt;&gt;"",K64&lt;&gt;"",L64="YES",M64&lt;&gt;"",S64&lt;&gt;"",T64&lt;&gt;"",U64&lt;&gt;"",V64&lt;&gt;"",W64&lt;&gt;"",X64&lt;&gt;"",Y64&lt;&gt;""),"COMPLETE","PENDING")</x:f>
        <x:v>PENDING</x:v>
      </x:c>
      <x:c r="AF64" s="79" t="str">
        <x:f>IF(AE64="COMPLETE","YES","NO")</x:f>
        <x:v>NO</x:v>
      </x:c>
      <x:c r="AG64" s="214" t="str">
        <x:f>IF(AF64&lt;&gt;"YES","",(IF(V64="YES",1,0)+IF(W64="YES",1,0))/2)</x:f>
      </x:c>
    </x:row>
    <x:row r="65">
      <x:c r="A65" s="57" t="inlineStr">
        <x:is>
          <x:t xml:space="preserve">C0060</x:t>
        </x:is>
      </x:c>
      <x:c r="B65" s="57" t="inlineStr">
        <x:is>
          <x:t xml:space="preserve">Development</x:t>
        </x:is>
      </x:c>
      <x:c r="C65" s="57" t="inlineStr">
        <x:is>
          <x:t xml:space="preserve">OPEN</x:t>
        </x:is>
      </x:c>
      <x:c r="D65" s="57" t="inlineStr">
        <x:is>
          <x:t xml:space="preserve">ARG-006</x:t>
        </x:is>
      </x:c>
      <x:c r="E65" s="75" t="str">
        <x:f>INDEX('Company Universe'!$B$6:$B$105,MATCH(D65,'Company Universe'!$A$6:$A$105,0))</x:f>
        <x:v>Advanced Micro Devices</x:v>
      </x:c>
      <x:c r="F65" s="75" t="str">
        <x:f>INDEX('Company Universe'!$C$6:$C$105,MATCH(D65,'Company Universe'!$A$6:$A$105,0))</x:f>
        <x:v>AMD</x:v>
      </x:c>
      <x:c r="G65" s="75" t="str">
        <x:f>INDEX('Company Universe'!$F$6:$F$105,MATCH(D65,'Company Universe'!$A$6:$A$105,0))</x:f>
        <x:v>AI &amp; Semiconductors</x:v>
      </x:c>
      <x:c r="H65" s="57" t="n">
        <x:v>10</x:v>
      </x:c>
      <x:c r="I65" s="206" t="n"/>
      <x:c r="J65" s="71" t="n"/>
      <x:c r="K65" s="71" t="n"/>
      <x:c r="L65" s="71" t="inlineStr">
        <x:is>
          <x:t xml:space="preserve">NO</x:t>
        </x:is>
      </x:c>
      <x:c r="M65" s="71" t="n"/>
      <x:c r="N65" s="71" t="n"/>
      <x:c r="O65" s="71" t="n"/>
      <x:c r="P65" s="71" t="n"/>
      <x:c r="Q65" s="71" t="n"/>
      <x:c r="R65" s="71" t="n"/>
      <x:c r="S65" s="206" t="n"/>
      <x:c r="T65" s="71" t="n"/>
      <x:c r="U65" s="71" t="n"/>
      <x:c r="V65" s="71" t="n"/>
      <x:c r="W65" s="71" t="n"/>
      <x:c r="X65" s="71" t="n"/>
      <x:c r="Y65" s="71" t="n"/>
      <x:c r="Z65" s="71" t="n"/>
      <x:c r="AA65" s="71" t="n"/>
      <x:c r="AB65" s="71" t="inlineStr">
        <x:is>
          <x:t xml:space="preserve">NO</x:t>
        </x:is>
      </x:c>
      <x:c r="AC65" s="57" t="inlineStr">
        <x:is>
          <x:t xml:space="preserve">V10</x:t>
        </x:is>
      </x:c>
      <x:c r="AD65" s="57" t="n"/>
      <x:c r="AE65" s="79" t="str">
        <x:f>IF(AND(I65&lt;&gt;"",J65&lt;&gt;"",K65&lt;&gt;"",L65="YES",M65&lt;&gt;"",S65&lt;&gt;"",T65&lt;&gt;"",U65&lt;&gt;"",V65&lt;&gt;"",W65&lt;&gt;"",X65&lt;&gt;"",Y65&lt;&gt;""),"COMPLETE","PENDING")</x:f>
        <x:v>PENDING</x:v>
      </x:c>
      <x:c r="AF65" s="79" t="str">
        <x:f>IF(AE65="COMPLETE","YES","NO")</x:f>
        <x:v>NO</x:v>
      </x:c>
      <x:c r="AG65" s="214" t="str">
        <x:f>IF(AF65&lt;&gt;"YES","",(IF(V65="YES",1,0)+IF(W65="YES",1,0))/2)</x:f>
      </x:c>
    </x:row>
    <x:row r="66">
      <x:c r="A66" s="57" t="inlineStr">
        <x:is>
          <x:t xml:space="preserve">C0061</x:t>
        </x:is>
      </x:c>
      <x:c r="B66" s="57" t="inlineStr">
        <x:is>
          <x:t xml:space="preserve">Development</x:t>
        </x:is>
      </x:c>
      <x:c r="C66" s="57" t="inlineStr">
        <x:is>
          <x:t xml:space="preserve">OPEN</x:t>
        </x:is>
      </x:c>
      <x:c r="D66" s="57" t="inlineStr">
        <x:is>
          <x:t xml:space="preserve">ARG-007</x:t>
        </x:is>
      </x:c>
      <x:c r="E66" s="75" t="str">
        <x:f>INDEX('Company Universe'!$B$6:$B$105,MATCH(D66,'Company Universe'!$A$6:$A$105,0))</x:f>
        <x:v>Taiwan Semiconductor Manufacturing</x:v>
      </x:c>
      <x:c r="F66" s="75" t="str">
        <x:f>INDEX('Company Universe'!$C$6:$C$105,MATCH(D66,'Company Universe'!$A$6:$A$105,0))</x:f>
        <x:v>TSM</x:v>
      </x:c>
      <x:c r="G66" s="75" t="str">
        <x:f>INDEX('Company Universe'!$F$6:$F$105,MATCH(D66,'Company Universe'!$A$6:$A$105,0))</x:f>
        <x:v>AI &amp; Semiconductors</x:v>
      </x:c>
      <x:c r="H66" s="57" t="n">
        <x:v>1</x:v>
      </x:c>
      <x:c r="I66" s="206" t="n"/>
      <x:c r="J66" s="71" t="n"/>
      <x:c r="K66" s="71" t="n"/>
      <x:c r="L66" s="71" t="inlineStr">
        <x:is>
          <x:t xml:space="preserve">NO</x:t>
        </x:is>
      </x:c>
      <x:c r="M66" s="71" t="n"/>
      <x:c r="N66" s="71" t="n"/>
      <x:c r="O66" s="71" t="n"/>
      <x:c r="P66" s="71" t="n"/>
      <x:c r="Q66" s="71" t="n"/>
      <x:c r="R66" s="71" t="n"/>
      <x:c r="S66" s="206" t="n"/>
      <x:c r="T66" s="71" t="n"/>
      <x:c r="U66" s="71" t="n"/>
      <x:c r="V66" s="71" t="n"/>
      <x:c r="W66" s="71" t="n"/>
      <x:c r="X66" s="71" t="n"/>
      <x:c r="Y66" s="71" t="n"/>
      <x:c r="Z66" s="71" t="n"/>
      <x:c r="AA66" s="71" t="n"/>
      <x:c r="AB66" s="71" t="inlineStr">
        <x:is>
          <x:t xml:space="preserve">NO</x:t>
        </x:is>
      </x:c>
      <x:c r="AC66" s="57" t="inlineStr">
        <x:is>
          <x:t xml:space="preserve">V10</x:t>
        </x:is>
      </x:c>
      <x:c r="AD66" s="57" t="n"/>
      <x:c r="AE66" s="79" t="str">
        <x:f>IF(AND(I66&lt;&gt;"",J66&lt;&gt;"",K66&lt;&gt;"",L66="YES",M66&lt;&gt;"",S66&lt;&gt;"",T66&lt;&gt;"",U66&lt;&gt;"",V66&lt;&gt;"",W66&lt;&gt;"",X66&lt;&gt;"",Y66&lt;&gt;""),"COMPLETE","PENDING")</x:f>
        <x:v>PENDING</x:v>
      </x:c>
      <x:c r="AF66" s="79" t="str">
        <x:f>IF(AE66="COMPLETE","YES","NO")</x:f>
        <x:v>NO</x:v>
      </x:c>
      <x:c r="AG66" s="214" t="str">
        <x:f>IF(AF66&lt;&gt;"YES","",(IF(V66="YES",1,0)+IF(W66="YES",1,0))/2)</x:f>
      </x:c>
    </x:row>
    <x:row r="67">
      <x:c r="A67" s="57" t="inlineStr">
        <x:is>
          <x:t xml:space="preserve">C0062</x:t>
        </x:is>
      </x:c>
      <x:c r="B67" s="57" t="inlineStr">
        <x:is>
          <x:t xml:space="preserve">Development</x:t>
        </x:is>
      </x:c>
      <x:c r="C67" s="57" t="inlineStr">
        <x:is>
          <x:t xml:space="preserve">OPEN</x:t>
        </x:is>
      </x:c>
      <x:c r="D67" s="57" t="inlineStr">
        <x:is>
          <x:t xml:space="preserve">ARG-007</x:t>
        </x:is>
      </x:c>
      <x:c r="E67" s="75" t="str">
        <x:f>INDEX('Company Universe'!$B$6:$B$105,MATCH(D67,'Company Universe'!$A$6:$A$105,0))</x:f>
        <x:v>Taiwan Semiconductor Manufacturing</x:v>
      </x:c>
      <x:c r="F67" s="75" t="str">
        <x:f>INDEX('Company Universe'!$C$6:$C$105,MATCH(D67,'Company Universe'!$A$6:$A$105,0))</x:f>
        <x:v>TSM</x:v>
      </x:c>
      <x:c r="G67" s="75" t="str">
        <x:f>INDEX('Company Universe'!$F$6:$F$105,MATCH(D67,'Company Universe'!$A$6:$A$105,0))</x:f>
        <x:v>AI &amp; Semiconductors</x:v>
      </x:c>
      <x:c r="H67" s="57" t="n">
        <x:v>2</x:v>
      </x:c>
      <x:c r="I67" s="206" t="n"/>
      <x:c r="J67" s="71" t="n"/>
      <x:c r="K67" s="71" t="n"/>
      <x:c r="L67" s="71" t="inlineStr">
        <x:is>
          <x:t xml:space="preserve">NO</x:t>
        </x:is>
      </x:c>
      <x:c r="M67" s="71" t="n"/>
      <x:c r="N67" s="71" t="n"/>
      <x:c r="O67" s="71" t="n"/>
      <x:c r="P67" s="71" t="n"/>
      <x:c r="Q67" s="71" t="n"/>
      <x:c r="R67" s="71" t="n"/>
      <x:c r="S67" s="206" t="n"/>
      <x:c r="T67" s="71" t="n"/>
      <x:c r="U67" s="71" t="n"/>
      <x:c r="V67" s="71" t="n"/>
      <x:c r="W67" s="71" t="n"/>
      <x:c r="X67" s="71" t="n"/>
      <x:c r="Y67" s="71" t="n"/>
      <x:c r="Z67" s="71" t="n"/>
      <x:c r="AA67" s="71" t="n"/>
      <x:c r="AB67" s="71" t="inlineStr">
        <x:is>
          <x:t xml:space="preserve">NO</x:t>
        </x:is>
      </x:c>
      <x:c r="AC67" s="57" t="inlineStr">
        <x:is>
          <x:t xml:space="preserve">V10</x:t>
        </x:is>
      </x:c>
      <x:c r="AD67" s="57" t="n"/>
      <x:c r="AE67" s="79" t="str">
        <x:f>IF(AND(I67&lt;&gt;"",J67&lt;&gt;"",K67&lt;&gt;"",L67="YES",M67&lt;&gt;"",S67&lt;&gt;"",T67&lt;&gt;"",U67&lt;&gt;"",V67&lt;&gt;"",W67&lt;&gt;"",X67&lt;&gt;"",Y67&lt;&gt;""),"COMPLETE","PENDING")</x:f>
        <x:v>PENDING</x:v>
      </x:c>
      <x:c r="AF67" s="79" t="str">
        <x:f>IF(AE67="COMPLETE","YES","NO")</x:f>
        <x:v>NO</x:v>
      </x:c>
      <x:c r="AG67" s="214" t="str">
        <x:f>IF(AF67&lt;&gt;"YES","",(IF(V67="YES",1,0)+IF(W67="YES",1,0))/2)</x:f>
      </x:c>
    </x:row>
    <x:row r="68">
      <x:c r="A68" s="57" t="inlineStr">
        <x:is>
          <x:t xml:space="preserve">C0063</x:t>
        </x:is>
      </x:c>
      <x:c r="B68" s="57" t="inlineStr">
        <x:is>
          <x:t xml:space="preserve">Development</x:t>
        </x:is>
      </x:c>
      <x:c r="C68" s="57" t="inlineStr">
        <x:is>
          <x:t xml:space="preserve">OPEN</x:t>
        </x:is>
      </x:c>
      <x:c r="D68" s="57" t="inlineStr">
        <x:is>
          <x:t xml:space="preserve">ARG-007</x:t>
        </x:is>
      </x:c>
      <x:c r="E68" s="75" t="str">
        <x:f>INDEX('Company Universe'!$B$6:$B$105,MATCH(D68,'Company Universe'!$A$6:$A$105,0))</x:f>
        <x:v>Taiwan Semiconductor Manufacturing</x:v>
      </x:c>
      <x:c r="F68" s="75" t="str">
        <x:f>INDEX('Company Universe'!$C$6:$C$105,MATCH(D68,'Company Universe'!$A$6:$A$105,0))</x:f>
        <x:v>TSM</x:v>
      </x:c>
      <x:c r="G68" s="75" t="str">
        <x:f>INDEX('Company Universe'!$F$6:$F$105,MATCH(D68,'Company Universe'!$A$6:$A$105,0))</x:f>
        <x:v>AI &amp; Semiconductors</x:v>
      </x:c>
      <x:c r="H68" s="57" t="n">
        <x:v>3</x:v>
      </x:c>
      <x:c r="I68" s="206" t="n"/>
      <x:c r="J68" s="71" t="n"/>
      <x:c r="K68" s="71" t="n"/>
      <x:c r="L68" s="71" t="inlineStr">
        <x:is>
          <x:t xml:space="preserve">NO</x:t>
        </x:is>
      </x:c>
      <x:c r="M68" s="71" t="n"/>
      <x:c r="N68" s="71" t="n"/>
      <x:c r="O68" s="71" t="n"/>
      <x:c r="P68" s="71" t="n"/>
      <x:c r="Q68" s="71" t="n"/>
      <x:c r="R68" s="71" t="n"/>
      <x:c r="S68" s="206" t="n"/>
      <x:c r="T68" s="71" t="n"/>
      <x:c r="U68" s="71" t="n"/>
      <x:c r="V68" s="71" t="n"/>
      <x:c r="W68" s="71" t="n"/>
      <x:c r="X68" s="71" t="n"/>
      <x:c r="Y68" s="71" t="n"/>
      <x:c r="Z68" s="71" t="n"/>
      <x:c r="AA68" s="71" t="n"/>
      <x:c r="AB68" s="71" t="inlineStr">
        <x:is>
          <x:t xml:space="preserve">NO</x:t>
        </x:is>
      </x:c>
      <x:c r="AC68" s="57" t="inlineStr">
        <x:is>
          <x:t xml:space="preserve">V10</x:t>
        </x:is>
      </x:c>
      <x:c r="AD68" s="57" t="n"/>
      <x:c r="AE68" s="79" t="str">
        <x:f>IF(AND(I68&lt;&gt;"",J68&lt;&gt;"",K68&lt;&gt;"",L68="YES",M68&lt;&gt;"",S68&lt;&gt;"",T68&lt;&gt;"",U68&lt;&gt;"",V68&lt;&gt;"",W68&lt;&gt;"",X68&lt;&gt;"",Y68&lt;&gt;""),"COMPLETE","PENDING")</x:f>
        <x:v>PENDING</x:v>
      </x:c>
      <x:c r="AF68" s="79" t="str">
        <x:f>IF(AE68="COMPLETE","YES","NO")</x:f>
        <x:v>NO</x:v>
      </x:c>
      <x:c r="AG68" s="214" t="str">
        <x:f>IF(AF68&lt;&gt;"YES","",(IF(V68="YES",1,0)+IF(W68="YES",1,0))/2)</x:f>
      </x:c>
    </x:row>
    <x:row r="69">
      <x:c r="A69" s="57" t="inlineStr">
        <x:is>
          <x:t xml:space="preserve">C0064</x:t>
        </x:is>
      </x:c>
      <x:c r="B69" s="57" t="inlineStr">
        <x:is>
          <x:t xml:space="preserve">Development</x:t>
        </x:is>
      </x:c>
      <x:c r="C69" s="57" t="inlineStr">
        <x:is>
          <x:t xml:space="preserve">OPEN</x:t>
        </x:is>
      </x:c>
      <x:c r="D69" s="57" t="inlineStr">
        <x:is>
          <x:t xml:space="preserve">ARG-007</x:t>
        </x:is>
      </x:c>
      <x:c r="E69" s="75" t="str">
        <x:f>INDEX('Company Universe'!$B$6:$B$105,MATCH(D69,'Company Universe'!$A$6:$A$105,0))</x:f>
        <x:v>Taiwan Semiconductor Manufacturing</x:v>
      </x:c>
      <x:c r="F69" s="75" t="str">
        <x:f>INDEX('Company Universe'!$C$6:$C$105,MATCH(D69,'Company Universe'!$A$6:$A$105,0))</x:f>
        <x:v>TSM</x:v>
      </x:c>
      <x:c r="G69" s="75" t="str">
        <x:f>INDEX('Company Universe'!$F$6:$F$105,MATCH(D69,'Company Universe'!$A$6:$A$105,0))</x:f>
        <x:v>AI &amp; Semiconductors</x:v>
      </x:c>
      <x:c r="H69" s="57" t="n">
        <x:v>4</x:v>
      </x:c>
      <x:c r="I69" s="206" t="n"/>
      <x:c r="J69" s="71" t="n"/>
      <x:c r="K69" s="71" t="n"/>
      <x:c r="L69" s="71" t="inlineStr">
        <x:is>
          <x:t xml:space="preserve">NO</x:t>
        </x:is>
      </x:c>
      <x:c r="M69" s="71" t="n"/>
      <x:c r="N69" s="71" t="n"/>
      <x:c r="O69" s="71" t="n"/>
      <x:c r="P69" s="71" t="n"/>
      <x:c r="Q69" s="71" t="n"/>
      <x:c r="R69" s="71" t="n"/>
      <x:c r="S69" s="206" t="n"/>
      <x:c r="T69" s="71" t="n"/>
      <x:c r="U69" s="71" t="n"/>
      <x:c r="V69" s="71" t="n"/>
      <x:c r="W69" s="71" t="n"/>
      <x:c r="X69" s="71" t="n"/>
      <x:c r="Y69" s="71" t="n"/>
      <x:c r="Z69" s="71" t="n"/>
      <x:c r="AA69" s="71" t="n"/>
      <x:c r="AB69" s="71" t="inlineStr">
        <x:is>
          <x:t xml:space="preserve">NO</x:t>
        </x:is>
      </x:c>
      <x:c r="AC69" s="57" t="inlineStr">
        <x:is>
          <x:t xml:space="preserve">V10</x:t>
        </x:is>
      </x:c>
      <x:c r="AD69" s="57" t="n"/>
      <x:c r="AE69" s="79" t="str">
        <x:f>IF(AND(I69&lt;&gt;"",J69&lt;&gt;"",K69&lt;&gt;"",L69="YES",M69&lt;&gt;"",S69&lt;&gt;"",T69&lt;&gt;"",U69&lt;&gt;"",V69&lt;&gt;"",W69&lt;&gt;"",X69&lt;&gt;"",Y69&lt;&gt;""),"COMPLETE","PENDING")</x:f>
        <x:v>PENDING</x:v>
      </x:c>
      <x:c r="AF69" s="79" t="str">
        <x:f>IF(AE69="COMPLETE","YES","NO")</x:f>
        <x:v>NO</x:v>
      </x:c>
      <x:c r="AG69" s="214" t="str">
        <x:f>IF(AF69&lt;&gt;"YES","",(IF(V69="YES",1,0)+IF(W69="YES",1,0))/2)</x:f>
      </x:c>
    </x:row>
    <x:row r="70">
      <x:c r="A70" s="57" t="inlineStr">
        <x:is>
          <x:t xml:space="preserve">C0065</x:t>
        </x:is>
      </x:c>
      <x:c r="B70" s="57" t="inlineStr">
        <x:is>
          <x:t xml:space="preserve">Development</x:t>
        </x:is>
      </x:c>
      <x:c r="C70" s="57" t="inlineStr">
        <x:is>
          <x:t xml:space="preserve">OPEN</x:t>
        </x:is>
      </x:c>
      <x:c r="D70" s="57" t="inlineStr">
        <x:is>
          <x:t xml:space="preserve">ARG-007</x:t>
        </x:is>
      </x:c>
      <x:c r="E70" s="75" t="str">
        <x:f>INDEX('Company Universe'!$B$6:$B$105,MATCH(D70,'Company Universe'!$A$6:$A$105,0))</x:f>
        <x:v>Taiwan Semiconductor Manufacturing</x:v>
      </x:c>
      <x:c r="F70" s="75" t="str">
        <x:f>INDEX('Company Universe'!$C$6:$C$105,MATCH(D70,'Company Universe'!$A$6:$A$105,0))</x:f>
        <x:v>TSM</x:v>
      </x:c>
      <x:c r="G70" s="75" t="str">
        <x:f>INDEX('Company Universe'!$F$6:$F$105,MATCH(D70,'Company Universe'!$A$6:$A$105,0))</x:f>
        <x:v>AI &amp; Semiconductors</x:v>
      </x:c>
      <x:c r="H70" s="57" t="n">
        <x:v>5</x:v>
      </x:c>
      <x:c r="I70" s="206" t="n"/>
      <x:c r="J70" s="71" t="n"/>
      <x:c r="K70" s="71" t="n"/>
      <x:c r="L70" s="71" t="inlineStr">
        <x:is>
          <x:t xml:space="preserve">NO</x:t>
        </x:is>
      </x:c>
      <x:c r="M70" s="71" t="n"/>
      <x:c r="N70" s="71" t="n"/>
      <x:c r="O70" s="71" t="n"/>
      <x:c r="P70" s="71" t="n"/>
      <x:c r="Q70" s="71" t="n"/>
      <x:c r="R70" s="71" t="n"/>
      <x:c r="S70" s="206" t="n"/>
      <x:c r="T70" s="71" t="n"/>
      <x:c r="U70" s="71" t="n"/>
      <x:c r="V70" s="71" t="n"/>
      <x:c r="W70" s="71" t="n"/>
      <x:c r="X70" s="71" t="n"/>
      <x:c r="Y70" s="71" t="n"/>
      <x:c r="Z70" s="71" t="n"/>
      <x:c r="AA70" s="71" t="n"/>
      <x:c r="AB70" s="71" t="inlineStr">
        <x:is>
          <x:t xml:space="preserve">NO</x:t>
        </x:is>
      </x:c>
      <x:c r="AC70" s="57" t="inlineStr">
        <x:is>
          <x:t xml:space="preserve">V10</x:t>
        </x:is>
      </x:c>
      <x:c r="AD70" s="57" t="n"/>
      <x:c r="AE70" s="79" t="str">
        <x:f>IF(AND(I70&lt;&gt;"",J70&lt;&gt;"",K70&lt;&gt;"",L70="YES",M70&lt;&gt;"",S70&lt;&gt;"",T70&lt;&gt;"",U70&lt;&gt;"",V70&lt;&gt;"",W70&lt;&gt;"",X70&lt;&gt;"",Y70&lt;&gt;""),"COMPLETE","PENDING")</x:f>
        <x:v>PENDING</x:v>
      </x:c>
      <x:c r="AF70" s="79" t="str">
        <x:f>IF(AE70="COMPLETE","YES","NO")</x:f>
        <x:v>NO</x:v>
      </x:c>
      <x:c r="AG70" s="214" t="str">
        <x:f>IF(AF70&lt;&gt;"YES","",(IF(V70="YES",1,0)+IF(W70="YES",1,0))/2)</x:f>
      </x:c>
    </x:row>
    <x:row r="71">
      <x:c r="A71" s="57" t="inlineStr">
        <x:is>
          <x:t xml:space="preserve">C0066</x:t>
        </x:is>
      </x:c>
      <x:c r="B71" s="57" t="inlineStr">
        <x:is>
          <x:t xml:space="preserve">Development</x:t>
        </x:is>
      </x:c>
      <x:c r="C71" s="57" t="inlineStr">
        <x:is>
          <x:t xml:space="preserve">OPEN</x:t>
        </x:is>
      </x:c>
      <x:c r="D71" s="57" t="inlineStr">
        <x:is>
          <x:t xml:space="preserve">ARG-007</x:t>
        </x:is>
      </x:c>
      <x:c r="E71" s="75" t="str">
        <x:f>INDEX('Company Universe'!$B$6:$B$105,MATCH(D71,'Company Universe'!$A$6:$A$105,0))</x:f>
        <x:v>Taiwan Semiconductor Manufacturing</x:v>
      </x:c>
      <x:c r="F71" s="75" t="str">
        <x:f>INDEX('Company Universe'!$C$6:$C$105,MATCH(D71,'Company Universe'!$A$6:$A$105,0))</x:f>
        <x:v>TSM</x:v>
      </x:c>
      <x:c r="G71" s="75" t="str">
        <x:f>INDEX('Company Universe'!$F$6:$F$105,MATCH(D71,'Company Universe'!$A$6:$A$105,0))</x:f>
        <x:v>AI &amp; Semiconductors</x:v>
      </x:c>
      <x:c r="H71" s="57" t="n">
        <x:v>6</x:v>
      </x:c>
      <x:c r="I71" s="206" t="n"/>
      <x:c r="J71" s="71" t="n"/>
      <x:c r="K71" s="71" t="n"/>
      <x:c r="L71" s="71" t="inlineStr">
        <x:is>
          <x:t xml:space="preserve">NO</x:t>
        </x:is>
      </x:c>
      <x:c r="M71" s="71" t="n"/>
      <x:c r="N71" s="71" t="n"/>
      <x:c r="O71" s="71" t="n"/>
      <x:c r="P71" s="71" t="n"/>
      <x:c r="Q71" s="71" t="n"/>
      <x:c r="R71" s="71" t="n"/>
      <x:c r="S71" s="206" t="n"/>
      <x:c r="T71" s="71" t="n"/>
      <x:c r="U71" s="71" t="n"/>
      <x:c r="V71" s="71" t="n"/>
      <x:c r="W71" s="71" t="n"/>
      <x:c r="X71" s="71" t="n"/>
      <x:c r="Y71" s="71" t="n"/>
      <x:c r="Z71" s="71" t="n"/>
      <x:c r="AA71" s="71" t="n"/>
      <x:c r="AB71" s="71" t="inlineStr">
        <x:is>
          <x:t xml:space="preserve">NO</x:t>
        </x:is>
      </x:c>
      <x:c r="AC71" s="57" t="inlineStr">
        <x:is>
          <x:t xml:space="preserve">V10</x:t>
        </x:is>
      </x:c>
      <x:c r="AD71" s="57" t="n"/>
      <x:c r="AE71" s="79" t="str">
        <x:f>IF(AND(I71&lt;&gt;"",J71&lt;&gt;"",K71&lt;&gt;"",L71="YES",M71&lt;&gt;"",S71&lt;&gt;"",T71&lt;&gt;"",U71&lt;&gt;"",V71&lt;&gt;"",W71&lt;&gt;"",X71&lt;&gt;"",Y71&lt;&gt;""),"COMPLETE","PENDING")</x:f>
        <x:v>PENDING</x:v>
      </x:c>
      <x:c r="AF71" s="79" t="str">
        <x:f>IF(AE71="COMPLETE","YES","NO")</x:f>
        <x:v>NO</x:v>
      </x:c>
      <x:c r="AG71" s="214" t="str">
        <x:f>IF(AF71&lt;&gt;"YES","",(IF(V71="YES",1,0)+IF(W71="YES",1,0))/2)</x:f>
      </x:c>
    </x:row>
    <x:row r="72">
      <x:c r="A72" s="57" t="inlineStr">
        <x:is>
          <x:t xml:space="preserve">C0067</x:t>
        </x:is>
      </x:c>
      <x:c r="B72" s="57" t="inlineStr">
        <x:is>
          <x:t xml:space="preserve">Development</x:t>
        </x:is>
      </x:c>
      <x:c r="C72" s="57" t="inlineStr">
        <x:is>
          <x:t xml:space="preserve">OPEN</x:t>
        </x:is>
      </x:c>
      <x:c r="D72" s="57" t="inlineStr">
        <x:is>
          <x:t xml:space="preserve">ARG-007</x:t>
        </x:is>
      </x:c>
      <x:c r="E72" s="75" t="str">
        <x:f>INDEX('Company Universe'!$B$6:$B$105,MATCH(D72,'Company Universe'!$A$6:$A$105,0))</x:f>
        <x:v>Taiwan Semiconductor Manufacturing</x:v>
      </x:c>
      <x:c r="F72" s="75" t="str">
        <x:f>INDEX('Company Universe'!$C$6:$C$105,MATCH(D72,'Company Universe'!$A$6:$A$105,0))</x:f>
        <x:v>TSM</x:v>
      </x:c>
      <x:c r="G72" s="75" t="str">
        <x:f>INDEX('Company Universe'!$F$6:$F$105,MATCH(D72,'Company Universe'!$A$6:$A$105,0))</x:f>
        <x:v>AI &amp; Semiconductors</x:v>
      </x:c>
      <x:c r="H72" s="57" t="n">
        <x:v>7</x:v>
      </x:c>
      <x:c r="I72" s="206" t="n"/>
      <x:c r="J72" s="71" t="n"/>
      <x:c r="K72" s="71" t="n"/>
      <x:c r="L72" s="71" t="inlineStr">
        <x:is>
          <x:t xml:space="preserve">NO</x:t>
        </x:is>
      </x:c>
      <x:c r="M72" s="71" t="n"/>
      <x:c r="N72" s="71" t="n"/>
      <x:c r="O72" s="71" t="n"/>
      <x:c r="P72" s="71" t="n"/>
      <x:c r="Q72" s="71" t="n"/>
      <x:c r="R72" s="71" t="n"/>
      <x:c r="S72" s="206" t="n"/>
      <x:c r="T72" s="71" t="n"/>
      <x:c r="U72" s="71" t="n"/>
      <x:c r="V72" s="71" t="n"/>
      <x:c r="W72" s="71" t="n"/>
      <x:c r="X72" s="71" t="n"/>
      <x:c r="Y72" s="71" t="n"/>
      <x:c r="Z72" s="71" t="n"/>
      <x:c r="AA72" s="71" t="n"/>
      <x:c r="AB72" s="71" t="inlineStr">
        <x:is>
          <x:t xml:space="preserve">NO</x:t>
        </x:is>
      </x:c>
      <x:c r="AC72" s="57" t="inlineStr">
        <x:is>
          <x:t xml:space="preserve">V10</x:t>
        </x:is>
      </x:c>
      <x:c r="AD72" s="57" t="n"/>
      <x:c r="AE72" s="79" t="str">
        <x:f>IF(AND(I72&lt;&gt;"",J72&lt;&gt;"",K72&lt;&gt;"",L72="YES",M72&lt;&gt;"",S72&lt;&gt;"",T72&lt;&gt;"",U72&lt;&gt;"",V72&lt;&gt;"",W72&lt;&gt;"",X72&lt;&gt;"",Y72&lt;&gt;""),"COMPLETE","PENDING")</x:f>
        <x:v>PENDING</x:v>
      </x:c>
      <x:c r="AF72" s="79" t="str">
        <x:f>IF(AE72="COMPLETE","YES","NO")</x:f>
        <x:v>NO</x:v>
      </x:c>
      <x:c r="AG72" s="214" t="str">
        <x:f>IF(AF72&lt;&gt;"YES","",(IF(V72="YES",1,0)+IF(W72="YES",1,0))/2)</x:f>
      </x:c>
    </x:row>
    <x:row r="73">
      <x:c r="A73" s="57" t="inlineStr">
        <x:is>
          <x:t xml:space="preserve">C0068</x:t>
        </x:is>
      </x:c>
      <x:c r="B73" s="57" t="inlineStr">
        <x:is>
          <x:t xml:space="preserve">Development</x:t>
        </x:is>
      </x:c>
      <x:c r="C73" s="57" t="inlineStr">
        <x:is>
          <x:t xml:space="preserve">OPEN</x:t>
        </x:is>
      </x:c>
      <x:c r="D73" s="57" t="inlineStr">
        <x:is>
          <x:t xml:space="preserve">ARG-007</x:t>
        </x:is>
      </x:c>
      <x:c r="E73" s="75" t="str">
        <x:f>INDEX('Company Universe'!$B$6:$B$105,MATCH(D73,'Company Universe'!$A$6:$A$105,0))</x:f>
        <x:v>Taiwan Semiconductor Manufacturing</x:v>
      </x:c>
      <x:c r="F73" s="75" t="str">
        <x:f>INDEX('Company Universe'!$C$6:$C$105,MATCH(D73,'Company Universe'!$A$6:$A$105,0))</x:f>
        <x:v>TSM</x:v>
      </x:c>
      <x:c r="G73" s="75" t="str">
        <x:f>INDEX('Company Universe'!$F$6:$F$105,MATCH(D73,'Company Universe'!$A$6:$A$105,0))</x:f>
        <x:v>AI &amp; Semiconductors</x:v>
      </x:c>
      <x:c r="H73" s="57" t="n">
        <x:v>8</x:v>
      </x:c>
      <x:c r="I73" s="206" t="n"/>
      <x:c r="J73" s="71" t="n"/>
      <x:c r="K73" s="71" t="n"/>
      <x:c r="L73" s="71" t="inlineStr">
        <x:is>
          <x:t xml:space="preserve">NO</x:t>
        </x:is>
      </x:c>
      <x:c r="M73" s="71" t="n"/>
      <x:c r="N73" s="71" t="n"/>
      <x:c r="O73" s="71" t="n"/>
      <x:c r="P73" s="71" t="n"/>
      <x:c r="Q73" s="71" t="n"/>
      <x:c r="R73" s="71" t="n"/>
      <x:c r="S73" s="206" t="n"/>
      <x:c r="T73" s="71" t="n"/>
      <x:c r="U73" s="71" t="n"/>
      <x:c r="V73" s="71" t="n"/>
      <x:c r="W73" s="71" t="n"/>
      <x:c r="X73" s="71" t="n"/>
      <x:c r="Y73" s="71" t="n"/>
      <x:c r="Z73" s="71" t="n"/>
      <x:c r="AA73" s="71" t="n"/>
      <x:c r="AB73" s="71" t="inlineStr">
        <x:is>
          <x:t xml:space="preserve">NO</x:t>
        </x:is>
      </x:c>
      <x:c r="AC73" s="57" t="inlineStr">
        <x:is>
          <x:t xml:space="preserve">V10</x:t>
        </x:is>
      </x:c>
      <x:c r="AD73" s="57" t="n"/>
      <x:c r="AE73" s="79" t="str">
        <x:f>IF(AND(I73&lt;&gt;"",J73&lt;&gt;"",K73&lt;&gt;"",L73="YES",M73&lt;&gt;"",S73&lt;&gt;"",T73&lt;&gt;"",U73&lt;&gt;"",V73&lt;&gt;"",W73&lt;&gt;"",X73&lt;&gt;"",Y73&lt;&gt;""),"COMPLETE","PENDING")</x:f>
        <x:v>PENDING</x:v>
      </x:c>
      <x:c r="AF73" s="79" t="str">
        <x:f>IF(AE73="COMPLETE","YES","NO")</x:f>
        <x:v>NO</x:v>
      </x:c>
      <x:c r="AG73" s="214" t="str">
        <x:f>IF(AF73&lt;&gt;"YES","",(IF(V73="YES",1,0)+IF(W73="YES",1,0))/2)</x:f>
      </x:c>
    </x:row>
    <x:row r="74">
      <x:c r="A74" s="57" t="inlineStr">
        <x:is>
          <x:t xml:space="preserve">C0069</x:t>
        </x:is>
      </x:c>
      <x:c r="B74" s="57" t="inlineStr">
        <x:is>
          <x:t xml:space="preserve">Development</x:t>
        </x:is>
      </x:c>
      <x:c r="C74" s="57" t="inlineStr">
        <x:is>
          <x:t xml:space="preserve">OPEN</x:t>
        </x:is>
      </x:c>
      <x:c r="D74" s="57" t="inlineStr">
        <x:is>
          <x:t xml:space="preserve">ARG-007</x:t>
        </x:is>
      </x:c>
      <x:c r="E74" s="75" t="str">
        <x:f>INDEX('Company Universe'!$B$6:$B$105,MATCH(D74,'Company Universe'!$A$6:$A$105,0))</x:f>
        <x:v>Taiwan Semiconductor Manufacturing</x:v>
      </x:c>
      <x:c r="F74" s="75" t="str">
        <x:f>INDEX('Company Universe'!$C$6:$C$105,MATCH(D74,'Company Universe'!$A$6:$A$105,0))</x:f>
        <x:v>TSM</x:v>
      </x:c>
      <x:c r="G74" s="75" t="str">
        <x:f>INDEX('Company Universe'!$F$6:$F$105,MATCH(D74,'Company Universe'!$A$6:$A$105,0))</x:f>
        <x:v>AI &amp; Semiconductors</x:v>
      </x:c>
      <x:c r="H74" s="57" t="n">
        <x:v>9</x:v>
      </x:c>
      <x:c r="I74" s="206" t="n"/>
      <x:c r="J74" s="71" t="n"/>
      <x:c r="K74" s="71" t="n"/>
      <x:c r="L74" s="71" t="inlineStr">
        <x:is>
          <x:t xml:space="preserve">NO</x:t>
        </x:is>
      </x:c>
      <x:c r="M74" s="71" t="n"/>
      <x:c r="N74" s="71" t="n"/>
      <x:c r="O74" s="71" t="n"/>
      <x:c r="P74" s="71" t="n"/>
      <x:c r="Q74" s="71" t="n"/>
      <x:c r="R74" s="71" t="n"/>
      <x:c r="S74" s="206" t="n"/>
      <x:c r="T74" s="71" t="n"/>
      <x:c r="U74" s="71" t="n"/>
      <x:c r="V74" s="71" t="n"/>
      <x:c r="W74" s="71" t="n"/>
      <x:c r="X74" s="71" t="n"/>
      <x:c r="Y74" s="71" t="n"/>
      <x:c r="Z74" s="71" t="n"/>
      <x:c r="AA74" s="71" t="n"/>
      <x:c r="AB74" s="71" t="inlineStr">
        <x:is>
          <x:t xml:space="preserve">NO</x:t>
        </x:is>
      </x:c>
      <x:c r="AC74" s="57" t="inlineStr">
        <x:is>
          <x:t xml:space="preserve">V10</x:t>
        </x:is>
      </x:c>
      <x:c r="AD74" s="57" t="n"/>
      <x:c r="AE74" s="79" t="str">
        <x:f>IF(AND(I74&lt;&gt;"",J74&lt;&gt;"",K74&lt;&gt;"",L74="YES",M74&lt;&gt;"",S74&lt;&gt;"",T74&lt;&gt;"",U74&lt;&gt;"",V74&lt;&gt;"",W74&lt;&gt;"",X74&lt;&gt;"",Y74&lt;&gt;""),"COMPLETE","PENDING")</x:f>
        <x:v>PENDING</x:v>
      </x:c>
      <x:c r="AF74" s="79" t="str">
        <x:f>IF(AE74="COMPLETE","YES","NO")</x:f>
        <x:v>NO</x:v>
      </x:c>
      <x:c r="AG74" s="214" t="str">
        <x:f>IF(AF74&lt;&gt;"YES","",(IF(V74="YES",1,0)+IF(W74="YES",1,0))/2)</x:f>
      </x:c>
    </x:row>
    <x:row r="75">
      <x:c r="A75" s="57" t="inlineStr">
        <x:is>
          <x:t xml:space="preserve">C0070</x:t>
        </x:is>
      </x:c>
      <x:c r="B75" s="57" t="inlineStr">
        <x:is>
          <x:t xml:space="preserve">Development</x:t>
        </x:is>
      </x:c>
      <x:c r="C75" s="57" t="inlineStr">
        <x:is>
          <x:t xml:space="preserve">OPEN</x:t>
        </x:is>
      </x:c>
      <x:c r="D75" s="57" t="inlineStr">
        <x:is>
          <x:t xml:space="preserve">ARG-007</x:t>
        </x:is>
      </x:c>
      <x:c r="E75" s="75" t="str">
        <x:f>INDEX('Company Universe'!$B$6:$B$105,MATCH(D75,'Company Universe'!$A$6:$A$105,0))</x:f>
        <x:v>Taiwan Semiconductor Manufacturing</x:v>
      </x:c>
      <x:c r="F75" s="75" t="str">
        <x:f>INDEX('Company Universe'!$C$6:$C$105,MATCH(D75,'Company Universe'!$A$6:$A$105,0))</x:f>
        <x:v>TSM</x:v>
      </x:c>
      <x:c r="G75" s="75" t="str">
        <x:f>INDEX('Company Universe'!$F$6:$F$105,MATCH(D75,'Company Universe'!$A$6:$A$105,0))</x:f>
        <x:v>AI &amp; Semiconductors</x:v>
      </x:c>
      <x:c r="H75" s="57" t="n">
        <x:v>10</x:v>
      </x:c>
      <x:c r="I75" s="206" t="n"/>
      <x:c r="J75" s="71" t="n"/>
      <x:c r="K75" s="71" t="n"/>
      <x:c r="L75" s="71" t="inlineStr">
        <x:is>
          <x:t xml:space="preserve">NO</x:t>
        </x:is>
      </x:c>
      <x:c r="M75" s="71" t="n"/>
      <x:c r="N75" s="71" t="n"/>
      <x:c r="O75" s="71" t="n"/>
      <x:c r="P75" s="71" t="n"/>
      <x:c r="Q75" s="71" t="n"/>
      <x:c r="R75" s="71" t="n"/>
      <x:c r="S75" s="206" t="n"/>
      <x:c r="T75" s="71" t="n"/>
      <x:c r="U75" s="71" t="n"/>
      <x:c r="V75" s="71" t="n"/>
      <x:c r="W75" s="71" t="n"/>
      <x:c r="X75" s="71" t="n"/>
      <x:c r="Y75" s="71" t="n"/>
      <x:c r="Z75" s="71" t="n"/>
      <x:c r="AA75" s="71" t="n"/>
      <x:c r="AB75" s="71" t="inlineStr">
        <x:is>
          <x:t xml:space="preserve">NO</x:t>
        </x:is>
      </x:c>
      <x:c r="AC75" s="57" t="inlineStr">
        <x:is>
          <x:t xml:space="preserve">V10</x:t>
        </x:is>
      </x:c>
      <x:c r="AD75" s="57" t="n"/>
      <x:c r="AE75" s="79" t="str">
        <x:f>IF(AND(I75&lt;&gt;"",J75&lt;&gt;"",K75&lt;&gt;"",L75="YES",M75&lt;&gt;"",S75&lt;&gt;"",T75&lt;&gt;"",U75&lt;&gt;"",V75&lt;&gt;"",W75&lt;&gt;"",X75&lt;&gt;"",Y75&lt;&gt;""),"COMPLETE","PENDING")</x:f>
        <x:v>PENDING</x:v>
      </x:c>
      <x:c r="AF75" s="79" t="str">
        <x:f>IF(AE75="COMPLETE","YES","NO")</x:f>
        <x:v>NO</x:v>
      </x:c>
      <x:c r="AG75" s="214" t="str">
        <x:f>IF(AF75&lt;&gt;"YES","",(IF(V75="YES",1,0)+IF(W75="YES",1,0))/2)</x:f>
      </x:c>
    </x:row>
    <x:row r="76">
      <x:c r="A76" s="57" t="inlineStr">
        <x:is>
          <x:t xml:space="preserve">C0071</x:t>
        </x:is>
      </x:c>
      <x:c r="B76" s="57" t="inlineStr">
        <x:is>
          <x:t xml:space="preserve">Development</x:t>
        </x:is>
      </x:c>
      <x:c r="C76" s="57" t="inlineStr">
        <x:is>
          <x:t xml:space="preserve">OPEN</x:t>
        </x:is>
      </x:c>
      <x:c r="D76" s="57" t="inlineStr">
        <x:is>
          <x:t xml:space="preserve">ARG-008</x:t>
        </x:is>
      </x:c>
      <x:c r="E76" s="75" t="str">
        <x:f>INDEX('Company Universe'!$B$6:$B$105,MATCH(D76,'Company Universe'!$A$6:$A$105,0))</x:f>
        <x:v>ASML Holding</x:v>
      </x:c>
      <x:c r="F76" s="75" t="str">
        <x:f>INDEX('Company Universe'!$C$6:$C$105,MATCH(D76,'Company Universe'!$A$6:$A$105,0))</x:f>
        <x:v>ASML</x:v>
      </x:c>
      <x:c r="G76" s="75" t="str">
        <x:f>INDEX('Company Universe'!$F$6:$F$105,MATCH(D76,'Company Universe'!$A$6:$A$105,0))</x:f>
        <x:v>AI &amp; Semiconductors</x:v>
      </x:c>
      <x:c r="H76" s="57" t="n">
        <x:v>1</x:v>
      </x:c>
      <x:c r="I76" s="206" t="n"/>
      <x:c r="J76" s="71" t="n"/>
      <x:c r="K76" s="71" t="n"/>
      <x:c r="L76" s="71" t="inlineStr">
        <x:is>
          <x:t xml:space="preserve">NO</x:t>
        </x:is>
      </x:c>
      <x:c r="M76" s="71" t="n"/>
      <x:c r="N76" s="71" t="n"/>
      <x:c r="O76" s="71" t="n"/>
      <x:c r="P76" s="71" t="n"/>
      <x:c r="Q76" s="71" t="n"/>
      <x:c r="R76" s="71" t="n"/>
      <x:c r="S76" s="206" t="n"/>
      <x:c r="T76" s="71" t="n"/>
      <x:c r="U76" s="71" t="n"/>
      <x:c r="V76" s="71" t="n"/>
      <x:c r="W76" s="71" t="n"/>
      <x:c r="X76" s="71" t="n"/>
      <x:c r="Y76" s="71" t="n"/>
      <x:c r="Z76" s="71" t="n"/>
      <x:c r="AA76" s="71" t="n"/>
      <x:c r="AB76" s="71" t="inlineStr">
        <x:is>
          <x:t xml:space="preserve">NO</x:t>
        </x:is>
      </x:c>
      <x:c r="AC76" s="57" t="inlineStr">
        <x:is>
          <x:t xml:space="preserve">V10</x:t>
        </x:is>
      </x:c>
      <x:c r="AD76" s="57" t="n"/>
      <x:c r="AE76" s="79" t="str">
        <x:f>IF(AND(I76&lt;&gt;"",J76&lt;&gt;"",K76&lt;&gt;"",L76="YES",M76&lt;&gt;"",S76&lt;&gt;"",T76&lt;&gt;"",U76&lt;&gt;"",V76&lt;&gt;"",W76&lt;&gt;"",X76&lt;&gt;"",Y76&lt;&gt;""),"COMPLETE","PENDING")</x:f>
        <x:v>PENDING</x:v>
      </x:c>
      <x:c r="AF76" s="79" t="str">
        <x:f>IF(AE76="COMPLETE","YES","NO")</x:f>
        <x:v>NO</x:v>
      </x:c>
      <x:c r="AG76" s="214" t="str">
        <x:f>IF(AF76&lt;&gt;"YES","",(IF(V76="YES",1,0)+IF(W76="YES",1,0))/2)</x:f>
      </x:c>
    </x:row>
    <x:row r="77">
      <x:c r="A77" s="57" t="inlineStr">
        <x:is>
          <x:t xml:space="preserve">C0072</x:t>
        </x:is>
      </x:c>
      <x:c r="B77" s="57" t="inlineStr">
        <x:is>
          <x:t xml:space="preserve">Development</x:t>
        </x:is>
      </x:c>
      <x:c r="C77" s="57" t="inlineStr">
        <x:is>
          <x:t xml:space="preserve">OPEN</x:t>
        </x:is>
      </x:c>
      <x:c r="D77" s="57" t="inlineStr">
        <x:is>
          <x:t xml:space="preserve">ARG-008</x:t>
        </x:is>
      </x:c>
      <x:c r="E77" s="75" t="str">
        <x:f>INDEX('Company Universe'!$B$6:$B$105,MATCH(D77,'Company Universe'!$A$6:$A$105,0))</x:f>
        <x:v>ASML Holding</x:v>
      </x:c>
      <x:c r="F77" s="75" t="str">
        <x:f>INDEX('Company Universe'!$C$6:$C$105,MATCH(D77,'Company Universe'!$A$6:$A$105,0))</x:f>
        <x:v>ASML</x:v>
      </x:c>
      <x:c r="G77" s="75" t="str">
        <x:f>INDEX('Company Universe'!$F$6:$F$105,MATCH(D77,'Company Universe'!$A$6:$A$105,0))</x:f>
        <x:v>AI &amp; Semiconductors</x:v>
      </x:c>
      <x:c r="H77" s="57" t="n">
        <x:v>2</x:v>
      </x:c>
      <x:c r="I77" s="206" t="n"/>
      <x:c r="J77" s="71" t="n"/>
      <x:c r="K77" s="71" t="n"/>
      <x:c r="L77" s="71" t="inlineStr">
        <x:is>
          <x:t xml:space="preserve">NO</x:t>
        </x:is>
      </x:c>
      <x:c r="M77" s="71" t="n"/>
      <x:c r="N77" s="71" t="n"/>
      <x:c r="O77" s="71" t="n"/>
      <x:c r="P77" s="71" t="n"/>
      <x:c r="Q77" s="71" t="n"/>
      <x:c r="R77" s="71" t="n"/>
      <x:c r="S77" s="206" t="n"/>
      <x:c r="T77" s="71" t="n"/>
      <x:c r="U77" s="71" t="n"/>
      <x:c r="V77" s="71" t="n"/>
      <x:c r="W77" s="71" t="n"/>
      <x:c r="X77" s="71" t="n"/>
      <x:c r="Y77" s="71" t="n"/>
      <x:c r="Z77" s="71" t="n"/>
      <x:c r="AA77" s="71" t="n"/>
      <x:c r="AB77" s="71" t="inlineStr">
        <x:is>
          <x:t xml:space="preserve">NO</x:t>
        </x:is>
      </x:c>
      <x:c r="AC77" s="57" t="inlineStr">
        <x:is>
          <x:t xml:space="preserve">V10</x:t>
        </x:is>
      </x:c>
      <x:c r="AD77" s="57" t="n"/>
      <x:c r="AE77" s="79" t="str">
        <x:f>IF(AND(I77&lt;&gt;"",J77&lt;&gt;"",K77&lt;&gt;"",L77="YES",M77&lt;&gt;"",S77&lt;&gt;"",T77&lt;&gt;"",U77&lt;&gt;"",V77&lt;&gt;"",W77&lt;&gt;"",X77&lt;&gt;"",Y77&lt;&gt;""),"COMPLETE","PENDING")</x:f>
        <x:v>PENDING</x:v>
      </x:c>
      <x:c r="AF77" s="79" t="str">
        <x:f>IF(AE77="COMPLETE","YES","NO")</x:f>
        <x:v>NO</x:v>
      </x:c>
      <x:c r="AG77" s="214" t="str">
        <x:f>IF(AF77&lt;&gt;"YES","",(IF(V77="YES",1,0)+IF(W77="YES",1,0))/2)</x:f>
      </x:c>
    </x:row>
    <x:row r="78">
      <x:c r="A78" s="57" t="inlineStr">
        <x:is>
          <x:t xml:space="preserve">C0073</x:t>
        </x:is>
      </x:c>
      <x:c r="B78" s="57" t="inlineStr">
        <x:is>
          <x:t xml:space="preserve">Development</x:t>
        </x:is>
      </x:c>
      <x:c r="C78" s="57" t="inlineStr">
        <x:is>
          <x:t xml:space="preserve">OPEN</x:t>
        </x:is>
      </x:c>
      <x:c r="D78" s="57" t="inlineStr">
        <x:is>
          <x:t xml:space="preserve">ARG-008</x:t>
        </x:is>
      </x:c>
      <x:c r="E78" s="75" t="str">
        <x:f>INDEX('Company Universe'!$B$6:$B$105,MATCH(D78,'Company Universe'!$A$6:$A$105,0))</x:f>
        <x:v>ASML Holding</x:v>
      </x:c>
      <x:c r="F78" s="75" t="str">
        <x:f>INDEX('Company Universe'!$C$6:$C$105,MATCH(D78,'Company Universe'!$A$6:$A$105,0))</x:f>
        <x:v>ASML</x:v>
      </x:c>
      <x:c r="G78" s="75" t="str">
        <x:f>INDEX('Company Universe'!$F$6:$F$105,MATCH(D78,'Company Universe'!$A$6:$A$105,0))</x:f>
        <x:v>AI &amp; Semiconductors</x:v>
      </x:c>
      <x:c r="H78" s="57" t="n">
        <x:v>3</x:v>
      </x:c>
      <x:c r="I78" s="206" t="n"/>
      <x:c r="J78" s="71" t="n"/>
      <x:c r="K78" s="71" t="n"/>
      <x:c r="L78" s="71" t="inlineStr">
        <x:is>
          <x:t xml:space="preserve">NO</x:t>
        </x:is>
      </x:c>
      <x:c r="M78" s="71" t="n"/>
      <x:c r="N78" s="71" t="n"/>
      <x:c r="O78" s="71" t="n"/>
      <x:c r="P78" s="71" t="n"/>
      <x:c r="Q78" s="71" t="n"/>
      <x:c r="R78" s="71" t="n"/>
      <x:c r="S78" s="206" t="n"/>
      <x:c r="T78" s="71" t="n"/>
      <x:c r="U78" s="71" t="n"/>
      <x:c r="V78" s="71" t="n"/>
      <x:c r="W78" s="71" t="n"/>
      <x:c r="X78" s="71" t="n"/>
      <x:c r="Y78" s="71" t="n"/>
      <x:c r="Z78" s="71" t="n"/>
      <x:c r="AA78" s="71" t="n"/>
      <x:c r="AB78" s="71" t="inlineStr">
        <x:is>
          <x:t xml:space="preserve">NO</x:t>
        </x:is>
      </x:c>
      <x:c r="AC78" s="57" t="inlineStr">
        <x:is>
          <x:t xml:space="preserve">V10</x:t>
        </x:is>
      </x:c>
      <x:c r="AD78" s="57" t="n"/>
      <x:c r="AE78" s="79" t="str">
        <x:f>IF(AND(I78&lt;&gt;"",J78&lt;&gt;"",K78&lt;&gt;"",L78="YES",M78&lt;&gt;"",S78&lt;&gt;"",T78&lt;&gt;"",U78&lt;&gt;"",V78&lt;&gt;"",W78&lt;&gt;"",X78&lt;&gt;"",Y78&lt;&gt;""),"COMPLETE","PENDING")</x:f>
        <x:v>PENDING</x:v>
      </x:c>
      <x:c r="AF78" s="79" t="str">
        <x:f>IF(AE78="COMPLETE","YES","NO")</x:f>
        <x:v>NO</x:v>
      </x:c>
      <x:c r="AG78" s="214" t="str">
        <x:f>IF(AF78&lt;&gt;"YES","",(IF(V78="YES",1,0)+IF(W78="YES",1,0))/2)</x:f>
      </x:c>
    </x:row>
    <x:row r="79">
      <x:c r="A79" s="57" t="inlineStr">
        <x:is>
          <x:t xml:space="preserve">C0074</x:t>
        </x:is>
      </x:c>
      <x:c r="B79" s="57" t="inlineStr">
        <x:is>
          <x:t xml:space="preserve">Development</x:t>
        </x:is>
      </x:c>
      <x:c r="C79" s="57" t="inlineStr">
        <x:is>
          <x:t xml:space="preserve">OPEN</x:t>
        </x:is>
      </x:c>
      <x:c r="D79" s="57" t="inlineStr">
        <x:is>
          <x:t xml:space="preserve">ARG-008</x:t>
        </x:is>
      </x:c>
      <x:c r="E79" s="75" t="str">
        <x:f>INDEX('Company Universe'!$B$6:$B$105,MATCH(D79,'Company Universe'!$A$6:$A$105,0))</x:f>
        <x:v>ASML Holding</x:v>
      </x:c>
      <x:c r="F79" s="75" t="str">
        <x:f>INDEX('Company Universe'!$C$6:$C$105,MATCH(D79,'Company Universe'!$A$6:$A$105,0))</x:f>
        <x:v>ASML</x:v>
      </x:c>
      <x:c r="G79" s="75" t="str">
        <x:f>INDEX('Company Universe'!$F$6:$F$105,MATCH(D79,'Company Universe'!$A$6:$A$105,0))</x:f>
        <x:v>AI &amp; Semiconductors</x:v>
      </x:c>
      <x:c r="H79" s="57" t="n">
        <x:v>4</x:v>
      </x:c>
      <x:c r="I79" s="206" t="n"/>
      <x:c r="J79" s="71" t="n"/>
      <x:c r="K79" s="71" t="n"/>
      <x:c r="L79" s="71" t="inlineStr">
        <x:is>
          <x:t xml:space="preserve">NO</x:t>
        </x:is>
      </x:c>
      <x:c r="M79" s="71" t="n"/>
      <x:c r="N79" s="71" t="n"/>
      <x:c r="O79" s="71" t="n"/>
      <x:c r="P79" s="71" t="n"/>
      <x:c r="Q79" s="71" t="n"/>
      <x:c r="R79" s="71" t="n"/>
      <x:c r="S79" s="206" t="n"/>
      <x:c r="T79" s="71" t="n"/>
      <x:c r="U79" s="71" t="n"/>
      <x:c r="V79" s="71" t="n"/>
      <x:c r="W79" s="71" t="n"/>
      <x:c r="X79" s="71" t="n"/>
      <x:c r="Y79" s="71" t="n"/>
      <x:c r="Z79" s="71" t="n"/>
      <x:c r="AA79" s="71" t="n"/>
      <x:c r="AB79" s="71" t="inlineStr">
        <x:is>
          <x:t xml:space="preserve">NO</x:t>
        </x:is>
      </x:c>
      <x:c r="AC79" s="57" t="inlineStr">
        <x:is>
          <x:t xml:space="preserve">V10</x:t>
        </x:is>
      </x:c>
      <x:c r="AD79" s="57" t="n"/>
      <x:c r="AE79" s="79" t="str">
        <x:f>IF(AND(I79&lt;&gt;"",J79&lt;&gt;"",K79&lt;&gt;"",L79="YES",M79&lt;&gt;"",S79&lt;&gt;"",T79&lt;&gt;"",U79&lt;&gt;"",V79&lt;&gt;"",W79&lt;&gt;"",X79&lt;&gt;"",Y79&lt;&gt;""),"COMPLETE","PENDING")</x:f>
        <x:v>PENDING</x:v>
      </x:c>
      <x:c r="AF79" s="79" t="str">
        <x:f>IF(AE79="COMPLETE","YES","NO")</x:f>
        <x:v>NO</x:v>
      </x:c>
      <x:c r="AG79" s="214" t="str">
        <x:f>IF(AF79&lt;&gt;"YES","",(IF(V79="YES",1,0)+IF(W79="YES",1,0))/2)</x:f>
      </x:c>
    </x:row>
    <x:row r="80">
      <x:c r="A80" s="57" t="inlineStr">
        <x:is>
          <x:t xml:space="preserve">C0075</x:t>
        </x:is>
      </x:c>
      <x:c r="B80" s="57" t="inlineStr">
        <x:is>
          <x:t xml:space="preserve">Development</x:t>
        </x:is>
      </x:c>
      <x:c r="C80" s="57" t="inlineStr">
        <x:is>
          <x:t xml:space="preserve">OPEN</x:t>
        </x:is>
      </x:c>
      <x:c r="D80" s="57" t="inlineStr">
        <x:is>
          <x:t xml:space="preserve">ARG-008</x:t>
        </x:is>
      </x:c>
      <x:c r="E80" s="75" t="str">
        <x:f>INDEX('Company Universe'!$B$6:$B$105,MATCH(D80,'Company Universe'!$A$6:$A$105,0))</x:f>
        <x:v>ASML Holding</x:v>
      </x:c>
      <x:c r="F80" s="75" t="str">
        <x:f>INDEX('Company Universe'!$C$6:$C$105,MATCH(D80,'Company Universe'!$A$6:$A$105,0))</x:f>
        <x:v>ASML</x:v>
      </x:c>
      <x:c r="G80" s="75" t="str">
        <x:f>INDEX('Company Universe'!$F$6:$F$105,MATCH(D80,'Company Universe'!$A$6:$A$105,0))</x:f>
        <x:v>AI &amp; Semiconductors</x:v>
      </x:c>
      <x:c r="H80" s="57" t="n">
        <x:v>5</x:v>
      </x:c>
      <x:c r="I80" s="206" t="n"/>
      <x:c r="J80" s="71" t="n"/>
      <x:c r="K80" s="71" t="n"/>
      <x:c r="L80" s="71" t="inlineStr">
        <x:is>
          <x:t xml:space="preserve">NO</x:t>
        </x:is>
      </x:c>
      <x:c r="M80" s="71" t="n"/>
      <x:c r="N80" s="71" t="n"/>
      <x:c r="O80" s="71" t="n"/>
      <x:c r="P80" s="71" t="n"/>
      <x:c r="Q80" s="71" t="n"/>
      <x:c r="R80" s="71" t="n"/>
      <x:c r="S80" s="206" t="n"/>
      <x:c r="T80" s="71" t="n"/>
      <x:c r="U80" s="71" t="n"/>
      <x:c r="V80" s="71" t="n"/>
      <x:c r="W80" s="71" t="n"/>
      <x:c r="X80" s="71" t="n"/>
      <x:c r="Y80" s="71" t="n"/>
      <x:c r="Z80" s="71" t="n"/>
      <x:c r="AA80" s="71" t="n"/>
      <x:c r="AB80" s="71" t="inlineStr">
        <x:is>
          <x:t xml:space="preserve">NO</x:t>
        </x:is>
      </x:c>
      <x:c r="AC80" s="57" t="inlineStr">
        <x:is>
          <x:t xml:space="preserve">V10</x:t>
        </x:is>
      </x:c>
      <x:c r="AD80" s="57" t="n"/>
      <x:c r="AE80" s="79" t="str">
        <x:f>IF(AND(I80&lt;&gt;"",J80&lt;&gt;"",K80&lt;&gt;"",L80="YES",M80&lt;&gt;"",S80&lt;&gt;"",T80&lt;&gt;"",U80&lt;&gt;"",V80&lt;&gt;"",W80&lt;&gt;"",X80&lt;&gt;"",Y80&lt;&gt;""),"COMPLETE","PENDING")</x:f>
        <x:v>PENDING</x:v>
      </x:c>
      <x:c r="AF80" s="79" t="str">
        <x:f>IF(AE80="COMPLETE","YES","NO")</x:f>
        <x:v>NO</x:v>
      </x:c>
      <x:c r="AG80" s="214" t="str">
        <x:f>IF(AF80&lt;&gt;"YES","",(IF(V80="YES",1,0)+IF(W80="YES",1,0))/2)</x:f>
      </x:c>
    </x:row>
    <x:row r="81">
      <x:c r="A81" s="57" t="inlineStr">
        <x:is>
          <x:t xml:space="preserve">C0076</x:t>
        </x:is>
      </x:c>
      <x:c r="B81" s="57" t="inlineStr">
        <x:is>
          <x:t xml:space="preserve">Development</x:t>
        </x:is>
      </x:c>
      <x:c r="C81" s="57" t="inlineStr">
        <x:is>
          <x:t xml:space="preserve">OPEN</x:t>
        </x:is>
      </x:c>
      <x:c r="D81" s="57" t="inlineStr">
        <x:is>
          <x:t xml:space="preserve">ARG-008</x:t>
        </x:is>
      </x:c>
      <x:c r="E81" s="75" t="str">
        <x:f>INDEX('Company Universe'!$B$6:$B$105,MATCH(D81,'Company Universe'!$A$6:$A$105,0))</x:f>
        <x:v>ASML Holding</x:v>
      </x:c>
      <x:c r="F81" s="75" t="str">
        <x:f>INDEX('Company Universe'!$C$6:$C$105,MATCH(D81,'Company Universe'!$A$6:$A$105,0))</x:f>
        <x:v>ASML</x:v>
      </x:c>
      <x:c r="G81" s="75" t="str">
        <x:f>INDEX('Company Universe'!$F$6:$F$105,MATCH(D81,'Company Universe'!$A$6:$A$105,0))</x:f>
        <x:v>AI &amp; Semiconductors</x:v>
      </x:c>
      <x:c r="H81" s="57" t="n">
        <x:v>6</x:v>
      </x:c>
      <x:c r="I81" s="206" t="n"/>
      <x:c r="J81" s="71" t="n"/>
      <x:c r="K81" s="71" t="n"/>
      <x:c r="L81" s="71" t="inlineStr">
        <x:is>
          <x:t xml:space="preserve">NO</x:t>
        </x:is>
      </x:c>
      <x:c r="M81" s="71" t="n"/>
      <x:c r="N81" s="71" t="n"/>
      <x:c r="O81" s="71" t="n"/>
      <x:c r="P81" s="71" t="n"/>
      <x:c r="Q81" s="71" t="n"/>
      <x:c r="R81" s="71" t="n"/>
      <x:c r="S81" s="206" t="n"/>
      <x:c r="T81" s="71" t="n"/>
      <x:c r="U81" s="71" t="n"/>
      <x:c r="V81" s="71" t="n"/>
      <x:c r="W81" s="71" t="n"/>
      <x:c r="X81" s="71" t="n"/>
      <x:c r="Y81" s="71" t="n"/>
      <x:c r="Z81" s="71" t="n"/>
      <x:c r="AA81" s="71" t="n"/>
      <x:c r="AB81" s="71" t="inlineStr">
        <x:is>
          <x:t xml:space="preserve">NO</x:t>
        </x:is>
      </x:c>
      <x:c r="AC81" s="57" t="inlineStr">
        <x:is>
          <x:t xml:space="preserve">V10</x:t>
        </x:is>
      </x:c>
      <x:c r="AD81" s="57" t="n"/>
      <x:c r="AE81" s="79" t="str">
        <x:f>IF(AND(I81&lt;&gt;"",J81&lt;&gt;"",K81&lt;&gt;"",L81="YES",M81&lt;&gt;"",S81&lt;&gt;"",T81&lt;&gt;"",U81&lt;&gt;"",V81&lt;&gt;"",W81&lt;&gt;"",X81&lt;&gt;"",Y81&lt;&gt;""),"COMPLETE","PENDING")</x:f>
        <x:v>PENDING</x:v>
      </x:c>
      <x:c r="AF81" s="79" t="str">
        <x:f>IF(AE81="COMPLETE","YES","NO")</x:f>
        <x:v>NO</x:v>
      </x:c>
      <x:c r="AG81" s="214" t="str">
        <x:f>IF(AF81&lt;&gt;"YES","",(IF(V81="YES",1,0)+IF(W81="YES",1,0))/2)</x:f>
      </x:c>
    </x:row>
    <x:row r="82">
      <x:c r="A82" s="57" t="inlineStr">
        <x:is>
          <x:t xml:space="preserve">C0077</x:t>
        </x:is>
      </x:c>
      <x:c r="B82" s="57" t="inlineStr">
        <x:is>
          <x:t xml:space="preserve">Development</x:t>
        </x:is>
      </x:c>
      <x:c r="C82" s="57" t="inlineStr">
        <x:is>
          <x:t xml:space="preserve">OPEN</x:t>
        </x:is>
      </x:c>
      <x:c r="D82" s="57" t="inlineStr">
        <x:is>
          <x:t xml:space="preserve">ARG-008</x:t>
        </x:is>
      </x:c>
      <x:c r="E82" s="75" t="str">
        <x:f>INDEX('Company Universe'!$B$6:$B$105,MATCH(D82,'Company Universe'!$A$6:$A$105,0))</x:f>
        <x:v>ASML Holding</x:v>
      </x:c>
      <x:c r="F82" s="75" t="str">
        <x:f>INDEX('Company Universe'!$C$6:$C$105,MATCH(D82,'Company Universe'!$A$6:$A$105,0))</x:f>
        <x:v>ASML</x:v>
      </x:c>
      <x:c r="G82" s="75" t="str">
        <x:f>INDEX('Company Universe'!$F$6:$F$105,MATCH(D82,'Company Universe'!$A$6:$A$105,0))</x:f>
        <x:v>AI &amp; Semiconductors</x:v>
      </x:c>
      <x:c r="H82" s="57" t="n">
        <x:v>7</x:v>
      </x:c>
      <x:c r="I82" s="206" t="n"/>
      <x:c r="J82" s="71" t="n"/>
      <x:c r="K82" s="71" t="n"/>
      <x:c r="L82" s="71" t="inlineStr">
        <x:is>
          <x:t xml:space="preserve">NO</x:t>
        </x:is>
      </x:c>
      <x:c r="M82" s="71" t="n"/>
      <x:c r="N82" s="71" t="n"/>
      <x:c r="O82" s="71" t="n"/>
      <x:c r="P82" s="71" t="n"/>
      <x:c r="Q82" s="71" t="n"/>
      <x:c r="R82" s="71" t="n"/>
      <x:c r="S82" s="206" t="n"/>
      <x:c r="T82" s="71" t="n"/>
      <x:c r="U82" s="71" t="n"/>
      <x:c r="V82" s="71" t="n"/>
      <x:c r="W82" s="71" t="n"/>
      <x:c r="X82" s="71" t="n"/>
      <x:c r="Y82" s="71" t="n"/>
      <x:c r="Z82" s="71" t="n"/>
      <x:c r="AA82" s="71" t="n"/>
      <x:c r="AB82" s="71" t="inlineStr">
        <x:is>
          <x:t xml:space="preserve">NO</x:t>
        </x:is>
      </x:c>
      <x:c r="AC82" s="57" t="inlineStr">
        <x:is>
          <x:t xml:space="preserve">V10</x:t>
        </x:is>
      </x:c>
      <x:c r="AD82" s="57" t="n"/>
      <x:c r="AE82" s="79" t="str">
        <x:f>IF(AND(I82&lt;&gt;"",J82&lt;&gt;"",K82&lt;&gt;"",L82="YES",M82&lt;&gt;"",S82&lt;&gt;"",T82&lt;&gt;"",U82&lt;&gt;"",V82&lt;&gt;"",W82&lt;&gt;"",X82&lt;&gt;"",Y82&lt;&gt;""),"COMPLETE","PENDING")</x:f>
        <x:v>PENDING</x:v>
      </x:c>
      <x:c r="AF82" s="79" t="str">
        <x:f>IF(AE82="COMPLETE","YES","NO")</x:f>
        <x:v>NO</x:v>
      </x:c>
      <x:c r="AG82" s="214" t="str">
        <x:f>IF(AF82&lt;&gt;"YES","",(IF(V82="YES",1,0)+IF(W82="YES",1,0))/2)</x:f>
      </x:c>
    </x:row>
    <x:row r="83">
      <x:c r="A83" s="57" t="inlineStr">
        <x:is>
          <x:t xml:space="preserve">C0078</x:t>
        </x:is>
      </x:c>
      <x:c r="B83" s="57" t="inlineStr">
        <x:is>
          <x:t xml:space="preserve">Development</x:t>
        </x:is>
      </x:c>
      <x:c r="C83" s="57" t="inlineStr">
        <x:is>
          <x:t xml:space="preserve">OPEN</x:t>
        </x:is>
      </x:c>
      <x:c r="D83" s="57" t="inlineStr">
        <x:is>
          <x:t xml:space="preserve">ARG-008</x:t>
        </x:is>
      </x:c>
      <x:c r="E83" s="75" t="str">
        <x:f>INDEX('Company Universe'!$B$6:$B$105,MATCH(D83,'Company Universe'!$A$6:$A$105,0))</x:f>
        <x:v>ASML Holding</x:v>
      </x:c>
      <x:c r="F83" s="75" t="str">
        <x:f>INDEX('Company Universe'!$C$6:$C$105,MATCH(D83,'Company Universe'!$A$6:$A$105,0))</x:f>
        <x:v>ASML</x:v>
      </x:c>
      <x:c r="G83" s="75" t="str">
        <x:f>INDEX('Company Universe'!$F$6:$F$105,MATCH(D83,'Company Universe'!$A$6:$A$105,0))</x:f>
        <x:v>AI &amp; Semiconductors</x:v>
      </x:c>
      <x:c r="H83" s="57" t="n">
        <x:v>8</x:v>
      </x:c>
      <x:c r="I83" s="206" t="n"/>
      <x:c r="J83" s="71" t="n"/>
      <x:c r="K83" s="71" t="n"/>
      <x:c r="L83" s="71" t="inlineStr">
        <x:is>
          <x:t xml:space="preserve">NO</x:t>
        </x:is>
      </x:c>
      <x:c r="M83" s="71" t="n"/>
      <x:c r="N83" s="71" t="n"/>
      <x:c r="O83" s="71" t="n"/>
      <x:c r="P83" s="71" t="n"/>
      <x:c r="Q83" s="71" t="n"/>
      <x:c r="R83" s="71" t="n"/>
      <x:c r="S83" s="206" t="n"/>
      <x:c r="T83" s="71" t="n"/>
      <x:c r="U83" s="71" t="n"/>
      <x:c r="V83" s="71" t="n"/>
      <x:c r="W83" s="71" t="n"/>
      <x:c r="X83" s="71" t="n"/>
      <x:c r="Y83" s="71" t="n"/>
      <x:c r="Z83" s="71" t="n"/>
      <x:c r="AA83" s="71" t="n"/>
      <x:c r="AB83" s="71" t="inlineStr">
        <x:is>
          <x:t xml:space="preserve">NO</x:t>
        </x:is>
      </x:c>
      <x:c r="AC83" s="57" t="inlineStr">
        <x:is>
          <x:t xml:space="preserve">V10</x:t>
        </x:is>
      </x:c>
      <x:c r="AD83" s="57" t="n"/>
      <x:c r="AE83" s="79" t="str">
        <x:f>IF(AND(I83&lt;&gt;"",J83&lt;&gt;"",K83&lt;&gt;"",L83="YES",M83&lt;&gt;"",S83&lt;&gt;"",T83&lt;&gt;"",U83&lt;&gt;"",V83&lt;&gt;"",W83&lt;&gt;"",X83&lt;&gt;"",Y83&lt;&gt;""),"COMPLETE","PENDING")</x:f>
        <x:v>PENDING</x:v>
      </x:c>
      <x:c r="AF83" s="79" t="str">
        <x:f>IF(AE83="COMPLETE","YES","NO")</x:f>
        <x:v>NO</x:v>
      </x:c>
      <x:c r="AG83" s="214" t="str">
        <x:f>IF(AF83&lt;&gt;"YES","",(IF(V83="YES",1,0)+IF(W83="YES",1,0))/2)</x:f>
      </x:c>
    </x:row>
    <x:row r="84">
      <x:c r="A84" s="57" t="inlineStr">
        <x:is>
          <x:t xml:space="preserve">C0079</x:t>
        </x:is>
      </x:c>
      <x:c r="B84" s="57" t="inlineStr">
        <x:is>
          <x:t xml:space="preserve">Development</x:t>
        </x:is>
      </x:c>
      <x:c r="C84" s="57" t="inlineStr">
        <x:is>
          <x:t xml:space="preserve">OPEN</x:t>
        </x:is>
      </x:c>
      <x:c r="D84" s="57" t="inlineStr">
        <x:is>
          <x:t xml:space="preserve">ARG-008</x:t>
        </x:is>
      </x:c>
      <x:c r="E84" s="75" t="str">
        <x:f>INDEX('Company Universe'!$B$6:$B$105,MATCH(D84,'Company Universe'!$A$6:$A$105,0))</x:f>
        <x:v>ASML Holding</x:v>
      </x:c>
      <x:c r="F84" s="75" t="str">
        <x:f>INDEX('Company Universe'!$C$6:$C$105,MATCH(D84,'Company Universe'!$A$6:$A$105,0))</x:f>
        <x:v>ASML</x:v>
      </x:c>
      <x:c r="G84" s="75" t="str">
        <x:f>INDEX('Company Universe'!$F$6:$F$105,MATCH(D84,'Company Universe'!$A$6:$A$105,0))</x:f>
        <x:v>AI &amp; Semiconductors</x:v>
      </x:c>
      <x:c r="H84" s="57" t="n">
        <x:v>9</x:v>
      </x:c>
      <x:c r="I84" s="206" t="n"/>
      <x:c r="J84" s="71" t="n"/>
      <x:c r="K84" s="71" t="n"/>
      <x:c r="L84" s="71" t="inlineStr">
        <x:is>
          <x:t xml:space="preserve">NO</x:t>
        </x:is>
      </x:c>
      <x:c r="M84" s="71" t="n"/>
      <x:c r="N84" s="71" t="n"/>
      <x:c r="O84" s="71" t="n"/>
      <x:c r="P84" s="71" t="n"/>
      <x:c r="Q84" s="71" t="n"/>
      <x:c r="R84" s="71" t="n"/>
      <x:c r="S84" s="206" t="n"/>
      <x:c r="T84" s="71" t="n"/>
      <x:c r="U84" s="71" t="n"/>
      <x:c r="V84" s="71" t="n"/>
      <x:c r="W84" s="71" t="n"/>
      <x:c r="X84" s="71" t="n"/>
      <x:c r="Y84" s="71" t="n"/>
      <x:c r="Z84" s="71" t="n"/>
      <x:c r="AA84" s="71" t="n"/>
      <x:c r="AB84" s="71" t="inlineStr">
        <x:is>
          <x:t xml:space="preserve">NO</x:t>
        </x:is>
      </x:c>
      <x:c r="AC84" s="57" t="inlineStr">
        <x:is>
          <x:t xml:space="preserve">V10</x:t>
        </x:is>
      </x:c>
      <x:c r="AD84" s="57" t="n"/>
      <x:c r="AE84" s="79" t="str">
        <x:f>IF(AND(I84&lt;&gt;"",J84&lt;&gt;"",K84&lt;&gt;"",L84="YES",M84&lt;&gt;"",S84&lt;&gt;"",T84&lt;&gt;"",U84&lt;&gt;"",V84&lt;&gt;"",W84&lt;&gt;"",X84&lt;&gt;"",Y84&lt;&gt;""),"COMPLETE","PENDING")</x:f>
        <x:v>PENDING</x:v>
      </x:c>
      <x:c r="AF84" s="79" t="str">
        <x:f>IF(AE84="COMPLETE","YES","NO")</x:f>
        <x:v>NO</x:v>
      </x:c>
      <x:c r="AG84" s="214" t="str">
        <x:f>IF(AF84&lt;&gt;"YES","",(IF(V84="YES",1,0)+IF(W84="YES",1,0))/2)</x:f>
      </x:c>
    </x:row>
    <x:row r="85">
      <x:c r="A85" s="57" t="inlineStr">
        <x:is>
          <x:t xml:space="preserve">C0080</x:t>
        </x:is>
      </x:c>
      <x:c r="B85" s="57" t="inlineStr">
        <x:is>
          <x:t xml:space="preserve">Development</x:t>
        </x:is>
      </x:c>
      <x:c r="C85" s="57" t="inlineStr">
        <x:is>
          <x:t xml:space="preserve">OPEN</x:t>
        </x:is>
      </x:c>
      <x:c r="D85" s="57" t="inlineStr">
        <x:is>
          <x:t xml:space="preserve">ARG-008</x:t>
        </x:is>
      </x:c>
      <x:c r="E85" s="75" t="str">
        <x:f>INDEX('Company Universe'!$B$6:$B$105,MATCH(D85,'Company Universe'!$A$6:$A$105,0))</x:f>
        <x:v>ASML Holding</x:v>
      </x:c>
      <x:c r="F85" s="75" t="str">
        <x:f>INDEX('Company Universe'!$C$6:$C$105,MATCH(D85,'Company Universe'!$A$6:$A$105,0))</x:f>
        <x:v>ASML</x:v>
      </x:c>
      <x:c r="G85" s="75" t="str">
        <x:f>INDEX('Company Universe'!$F$6:$F$105,MATCH(D85,'Company Universe'!$A$6:$A$105,0))</x:f>
        <x:v>AI &amp; Semiconductors</x:v>
      </x:c>
      <x:c r="H85" s="57" t="n">
        <x:v>10</x:v>
      </x:c>
      <x:c r="I85" s="206" t="n"/>
      <x:c r="J85" s="71" t="n"/>
      <x:c r="K85" s="71" t="n"/>
      <x:c r="L85" s="71" t="inlineStr">
        <x:is>
          <x:t xml:space="preserve">NO</x:t>
        </x:is>
      </x:c>
      <x:c r="M85" s="71" t="n"/>
      <x:c r="N85" s="71" t="n"/>
      <x:c r="O85" s="71" t="n"/>
      <x:c r="P85" s="71" t="n"/>
      <x:c r="Q85" s="71" t="n"/>
      <x:c r="R85" s="71" t="n"/>
      <x:c r="S85" s="206" t="n"/>
      <x:c r="T85" s="71" t="n"/>
      <x:c r="U85" s="71" t="n"/>
      <x:c r="V85" s="71" t="n"/>
      <x:c r="W85" s="71" t="n"/>
      <x:c r="X85" s="71" t="n"/>
      <x:c r="Y85" s="71" t="n"/>
      <x:c r="Z85" s="71" t="n"/>
      <x:c r="AA85" s="71" t="n"/>
      <x:c r="AB85" s="71" t="inlineStr">
        <x:is>
          <x:t xml:space="preserve">NO</x:t>
        </x:is>
      </x:c>
      <x:c r="AC85" s="57" t="inlineStr">
        <x:is>
          <x:t xml:space="preserve">V10</x:t>
        </x:is>
      </x:c>
      <x:c r="AD85" s="57" t="n"/>
      <x:c r="AE85" s="79" t="str">
        <x:f>IF(AND(I85&lt;&gt;"",J85&lt;&gt;"",K85&lt;&gt;"",L85="YES",M85&lt;&gt;"",S85&lt;&gt;"",T85&lt;&gt;"",U85&lt;&gt;"",V85&lt;&gt;"",W85&lt;&gt;"",X85&lt;&gt;"",Y85&lt;&gt;""),"COMPLETE","PENDING")</x:f>
        <x:v>PENDING</x:v>
      </x:c>
      <x:c r="AF85" s="79" t="str">
        <x:f>IF(AE85="COMPLETE","YES","NO")</x:f>
        <x:v>NO</x:v>
      </x:c>
      <x:c r="AG85" s="214" t="str">
        <x:f>IF(AF85&lt;&gt;"YES","",(IF(V85="YES",1,0)+IF(W85="YES",1,0))/2)</x:f>
      </x:c>
    </x:row>
    <x:row r="86">
      <x:c r="A86" s="57" t="inlineStr">
        <x:is>
          <x:t xml:space="preserve">C0081</x:t>
        </x:is>
      </x:c>
      <x:c r="B86" s="57" t="inlineStr">
        <x:is>
          <x:t xml:space="preserve">Development</x:t>
        </x:is>
      </x:c>
      <x:c r="C86" s="57" t="inlineStr">
        <x:is>
          <x:t xml:space="preserve">OPEN</x:t>
        </x:is>
      </x:c>
      <x:c r="D86" s="57" t="inlineStr">
        <x:is>
          <x:t xml:space="preserve">ARG-009</x:t>
        </x:is>
      </x:c>
      <x:c r="E86" s="75" t="str">
        <x:f>INDEX('Company Universe'!$B$6:$B$105,MATCH(D86,'Company Universe'!$A$6:$A$105,0))</x:f>
        <x:v>Applied Materials</x:v>
      </x:c>
      <x:c r="F86" s="75" t="str">
        <x:f>INDEX('Company Universe'!$C$6:$C$105,MATCH(D86,'Company Universe'!$A$6:$A$105,0))</x:f>
        <x:v>AMAT</x:v>
      </x:c>
      <x:c r="G86" s="75" t="str">
        <x:f>INDEX('Company Universe'!$F$6:$F$105,MATCH(D86,'Company Universe'!$A$6:$A$105,0))</x:f>
        <x:v>AI &amp; Semiconductors</x:v>
      </x:c>
      <x:c r="H86" s="57" t="n">
        <x:v>1</x:v>
      </x:c>
      <x:c r="I86" s="206" t="n"/>
      <x:c r="J86" s="71" t="n"/>
      <x:c r="K86" s="71" t="n"/>
      <x:c r="L86" s="71" t="inlineStr">
        <x:is>
          <x:t xml:space="preserve">NO</x:t>
        </x:is>
      </x:c>
      <x:c r="M86" s="71" t="n"/>
      <x:c r="N86" s="71" t="n"/>
      <x:c r="O86" s="71" t="n"/>
      <x:c r="P86" s="71" t="n"/>
      <x:c r="Q86" s="71" t="n"/>
      <x:c r="R86" s="71" t="n"/>
      <x:c r="S86" s="206" t="n"/>
      <x:c r="T86" s="71" t="n"/>
      <x:c r="U86" s="71" t="n"/>
      <x:c r="V86" s="71" t="n"/>
      <x:c r="W86" s="71" t="n"/>
      <x:c r="X86" s="71" t="n"/>
      <x:c r="Y86" s="71" t="n"/>
      <x:c r="Z86" s="71" t="n"/>
      <x:c r="AA86" s="71" t="n"/>
      <x:c r="AB86" s="71" t="inlineStr">
        <x:is>
          <x:t xml:space="preserve">NO</x:t>
        </x:is>
      </x:c>
      <x:c r="AC86" s="57" t="inlineStr">
        <x:is>
          <x:t xml:space="preserve">V10</x:t>
        </x:is>
      </x:c>
      <x:c r="AD86" s="57" t="n"/>
      <x:c r="AE86" s="79" t="str">
        <x:f>IF(AND(I86&lt;&gt;"",J86&lt;&gt;"",K86&lt;&gt;"",L86="YES",M86&lt;&gt;"",S86&lt;&gt;"",T86&lt;&gt;"",U86&lt;&gt;"",V86&lt;&gt;"",W86&lt;&gt;"",X86&lt;&gt;"",Y86&lt;&gt;""),"COMPLETE","PENDING")</x:f>
        <x:v>PENDING</x:v>
      </x:c>
      <x:c r="AF86" s="79" t="str">
        <x:f>IF(AE86="COMPLETE","YES","NO")</x:f>
        <x:v>NO</x:v>
      </x:c>
      <x:c r="AG86" s="214" t="str">
        <x:f>IF(AF86&lt;&gt;"YES","",(IF(V86="YES",1,0)+IF(W86="YES",1,0))/2)</x:f>
      </x:c>
    </x:row>
    <x:row r="87">
      <x:c r="A87" s="57" t="inlineStr">
        <x:is>
          <x:t xml:space="preserve">C0082</x:t>
        </x:is>
      </x:c>
      <x:c r="B87" s="57" t="inlineStr">
        <x:is>
          <x:t xml:space="preserve">Development</x:t>
        </x:is>
      </x:c>
      <x:c r="C87" s="57" t="inlineStr">
        <x:is>
          <x:t xml:space="preserve">OPEN</x:t>
        </x:is>
      </x:c>
      <x:c r="D87" s="57" t="inlineStr">
        <x:is>
          <x:t xml:space="preserve">ARG-009</x:t>
        </x:is>
      </x:c>
      <x:c r="E87" s="75" t="str">
        <x:f>INDEX('Company Universe'!$B$6:$B$105,MATCH(D87,'Company Universe'!$A$6:$A$105,0))</x:f>
        <x:v>Applied Materials</x:v>
      </x:c>
      <x:c r="F87" s="75" t="str">
        <x:f>INDEX('Company Universe'!$C$6:$C$105,MATCH(D87,'Company Universe'!$A$6:$A$105,0))</x:f>
        <x:v>AMAT</x:v>
      </x:c>
      <x:c r="G87" s="75" t="str">
        <x:f>INDEX('Company Universe'!$F$6:$F$105,MATCH(D87,'Company Universe'!$A$6:$A$105,0))</x:f>
        <x:v>AI &amp; Semiconductors</x:v>
      </x:c>
      <x:c r="H87" s="57" t="n">
        <x:v>2</x:v>
      </x:c>
      <x:c r="I87" s="206" t="n"/>
      <x:c r="J87" s="71" t="n"/>
      <x:c r="K87" s="71" t="n"/>
      <x:c r="L87" s="71" t="inlineStr">
        <x:is>
          <x:t xml:space="preserve">NO</x:t>
        </x:is>
      </x:c>
      <x:c r="M87" s="71" t="n"/>
      <x:c r="N87" s="71" t="n"/>
      <x:c r="O87" s="71" t="n"/>
      <x:c r="P87" s="71" t="n"/>
      <x:c r="Q87" s="71" t="n"/>
      <x:c r="R87" s="71" t="n"/>
      <x:c r="S87" s="206" t="n"/>
      <x:c r="T87" s="71" t="n"/>
      <x:c r="U87" s="71" t="n"/>
      <x:c r="V87" s="71" t="n"/>
      <x:c r="W87" s="71" t="n"/>
      <x:c r="X87" s="71" t="n"/>
      <x:c r="Y87" s="71" t="n"/>
      <x:c r="Z87" s="71" t="n"/>
      <x:c r="AA87" s="71" t="n"/>
      <x:c r="AB87" s="71" t="inlineStr">
        <x:is>
          <x:t xml:space="preserve">NO</x:t>
        </x:is>
      </x:c>
      <x:c r="AC87" s="57" t="inlineStr">
        <x:is>
          <x:t xml:space="preserve">V10</x:t>
        </x:is>
      </x:c>
      <x:c r="AD87" s="57" t="n"/>
      <x:c r="AE87" s="79" t="str">
        <x:f>IF(AND(I87&lt;&gt;"",J87&lt;&gt;"",K87&lt;&gt;"",L87="YES",M87&lt;&gt;"",S87&lt;&gt;"",T87&lt;&gt;"",U87&lt;&gt;"",V87&lt;&gt;"",W87&lt;&gt;"",X87&lt;&gt;"",Y87&lt;&gt;""),"COMPLETE","PENDING")</x:f>
        <x:v>PENDING</x:v>
      </x:c>
      <x:c r="AF87" s="79" t="str">
        <x:f>IF(AE87="COMPLETE","YES","NO")</x:f>
        <x:v>NO</x:v>
      </x:c>
      <x:c r="AG87" s="214" t="str">
        <x:f>IF(AF87&lt;&gt;"YES","",(IF(V87="YES",1,0)+IF(W87="YES",1,0))/2)</x:f>
      </x:c>
    </x:row>
    <x:row r="88">
      <x:c r="A88" s="57" t="inlineStr">
        <x:is>
          <x:t xml:space="preserve">C0083</x:t>
        </x:is>
      </x:c>
      <x:c r="B88" s="57" t="inlineStr">
        <x:is>
          <x:t xml:space="preserve">Development</x:t>
        </x:is>
      </x:c>
      <x:c r="C88" s="57" t="inlineStr">
        <x:is>
          <x:t xml:space="preserve">OPEN</x:t>
        </x:is>
      </x:c>
      <x:c r="D88" s="57" t="inlineStr">
        <x:is>
          <x:t xml:space="preserve">ARG-009</x:t>
        </x:is>
      </x:c>
      <x:c r="E88" s="75" t="str">
        <x:f>INDEX('Company Universe'!$B$6:$B$105,MATCH(D88,'Company Universe'!$A$6:$A$105,0))</x:f>
        <x:v>Applied Materials</x:v>
      </x:c>
      <x:c r="F88" s="75" t="str">
        <x:f>INDEX('Company Universe'!$C$6:$C$105,MATCH(D88,'Company Universe'!$A$6:$A$105,0))</x:f>
        <x:v>AMAT</x:v>
      </x:c>
      <x:c r="G88" s="75" t="str">
        <x:f>INDEX('Company Universe'!$F$6:$F$105,MATCH(D88,'Company Universe'!$A$6:$A$105,0))</x:f>
        <x:v>AI &amp; Semiconductors</x:v>
      </x:c>
      <x:c r="H88" s="57" t="n">
        <x:v>3</x:v>
      </x:c>
      <x:c r="I88" s="206" t="n"/>
      <x:c r="J88" s="71" t="n"/>
      <x:c r="K88" s="71" t="n"/>
      <x:c r="L88" s="71" t="inlineStr">
        <x:is>
          <x:t xml:space="preserve">NO</x:t>
        </x:is>
      </x:c>
      <x:c r="M88" s="71" t="n"/>
      <x:c r="N88" s="71" t="n"/>
      <x:c r="O88" s="71" t="n"/>
      <x:c r="P88" s="71" t="n"/>
      <x:c r="Q88" s="71" t="n"/>
      <x:c r="R88" s="71" t="n"/>
      <x:c r="S88" s="206" t="n"/>
      <x:c r="T88" s="71" t="n"/>
      <x:c r="U88" s="71" t="n"/>
      <x:c r="V88" s="71" t="n"/>
      <x:c r="W88" s="71" t="n"/>
      <x:c r="X88" s="71" t="n"/>
      <x:c r="Y88" s="71" t="n"/>
      <x:c r="Z88" s="71" t="n"/>
      <x:c r="AA88" s="71" t="n"/>
      <x:c r="AB88" s="71" t="inlineStr">
        <x:is>
          <x:t xml:space="preserve">NO</x:t>
        </x:is>
      </x:c>
      <x:c r="AC88" s="57" t="inlineStr">
        <x:is>
          <x:t xml:space="preserve">V10</x:t>
        </x:is>
      </x:c>
      <x:c r="AD88" s="57" t="n"/>
      <x:c r="AE88" s="79" t="str">
        <x:f>IF(AND(I88&lt;&gt;"",J88&lt;&gt;"",K88&lt;&gt;"",L88="YES",M88&lt;&gt;"",S88&lt;&gt;"",T88&lt;&gt;"",U88&lt;&gt;"",V88&lt;&gt;"",W88&lt;&gt;"",X88&lt;&gt;"",Y88&lt;&gt;""),"COMPLETE","PENDING")</x:f>
        <x:v>PENDING</x:v>
      </x:c>
      <x:c r="AF88" s="79" t="str">
        <x:f>IF(AE88="COMPLETE","YES","NO")</x:f>
        <x:v>NO</x:v>
      </x:c>
      <x:c r="AG88" s="214" t="str">
        <x:f>IF(AF88&lt;&gt;"YES","",(IF(V88="YES",1,0)+IF(W88="YES",1,0))/2)</x:f>
      </x:c>
    </x:row>
    <x:row r="89">
      <x:c r="A89" s="57" t="inlineStr">
        <x:is>
          <x:t xml:space="preserve">C0084</x:t>
        </x:is>
      </x:c>
      <x:c r="B89" s="57" t="inlineStr">
        <x:is>
          <x:t xml:space="preserve">Development</x:t>
        </x:is>
      </x:c>
      <x:c r="C89" s="57" t="inlineStr">
        <x:is>
          <x:t xml:space="preserve">OPEN</x:t>
        </x:is>
      </x:c>
      <x:c r="D89" s="57" t="inlineStr">
        <x:is>
          <x:t xml:space="preserve">ARG-009</x:t>
        </x:is>
      </x:c>
      <x:c r="E89" s="75" t="str">
        <x:f>INDEX('Company Universe'!$B$6:$B$105,MATCH(D89,'Company Universe'!$A$6:$A$105,0))</x:f>
        <x:v>Applied Materials</x:v>
      </x:c>
      <x:c r="F89" s="75" t="str">
        <x:f>INDEX('Company Universe'!$C$6:$C$105,MATCH(D89,'Company Universe'!$A$6:$A$105,0))</x:f>
        <x:v>AMAT</x:v>
      </x:c>
      <x:c r="G89" s="75" t="str">
        <x:f>INDEX('Company Universe'!$F$6:$F$105,MATCH(D89,'Company Universe'!$A$6:$A$105,0))</x:f>
        <x:v>AI &amp; Semiconductors</x:v>
      </x:c>
      <x:c r="H89" s="57" t="n">
        <x:v>4</x:v>
      </x:c>
      <x:c r="I89" s="206" t="n"/>
      <x:c r="J89" s="71" t="n"/>
      <x:c r="K89" s="71" t="n"/>
      <x:c r="L89" s="71" t="inlineStr">
        <x:is>
          <x:t xml:space="preserve">NO</x:t>
        </x:is>
      </x:c>
      <x:c r="M89" s="71" t="n"/>
      <x:c r="N89" s="71" t="n"/>
      <x:c r="O89" s="71" t="n"/>
      <x:c r="P89" s="71" t="n"/>
      <x:c r="Q89" s="71" t="n"/>
      <x:c r="R89" s="71" t="n"/>
      <x:c r="S89" s="206" t="n"/>
      <x:c r="T89" s="71" t="n"/>
      <x:c r="U89" s="71" t="n"/>
      <x:c r="V89" s="71" t="n"/>
      <x:c r="W89" s="71" t="n"/>
      <x:c r="X89" s="71" t="n"/>
      <x:c r="Y89" s="71" t="n"/>
      <x:c r="Z89" s="71" t="n"/>
      <x:c r="AA89" s="71" t="n"/>
      <x:c r="AB89" s="71" t="inlineStr">
        <x:is>
          <x:t xml:space="preserve">NO</x:t>
        </x:is>
      </x:c>
      <x:c r="AC89" s="57" t="inlineStr">
        <x:is>
          <x:t xml:space="preserve">V10</x:t>
        </x:is>
      </x:c>
      <x:c r="AD89" s="57" t="n"/>
      <x:c r="AE89" s="79" t="str">
        <x:f>IF(AND(I89&lt;&gt;"",J89&lt;&gt;"",K89&lt;&gt;"",L89="YES",M89&lt;&gt;"",S89&lt;&gt;"",T89&lt;&gt;"",U89&lt;&gt;"",V89&lt;&gt;"",W89&lt;&gt;"",X89&lt;&gt;"",Y89&lt;&gt;""),"COMPLETE","PENDING")</x:f>
        <x:v>PENDING</x:v>
      </x:c>
      <x:c r="AF89" s="79" t="str">
        <x:f>IF(AE89="COMPLETE","YES","NO")</x:f>
        <x:v>NO</x:v>
      </x:c>
      <x:c r="AG89" s="214" t="str">
        <x:f>IF(AF89&lt;&gt;"YES","",(IF(V89="YES",1,0)+IF(W89="YES",1,0))/2)</x:f>
      </x:c>
    </x:row>
    <x:row r="90">
      <x:c r="A90" s="57" t="inlineStr">
        <x:is>
          <x:t xml:space="preserve">C0085</x:t>
        </x:is>
      </x:c>
      <x:c r="B90" s="57" t="inlineStr">
        <x:is>
          <x:t xml:space="preserve">Development</x:t>
        </x:is>
      </x:c>
      <x:c r="C90" s="57" t="inlineStr">
        <x:is>
          <x:t xml:space="preserve">OPEN</x:t>
        </x:is>
      </x:c>
      <x:c r="D90" s="57" t="inlineStr">
        <x:is>
          <x:t xml:space="preserve">ARG-009</x:t>
        </x:is>
      </x:c>
      <x:c r="E90" s="75" t="str">
        <x:f>INDEX('Company Universe'!$B$6:$B$105,MATCH(D90,'Company Universe'!$A$6:$A$105,0))</x:f>
        <x:v>Applied Materials</x:v>
      </x:c>
      <x:c r="F90" s="75" t="str">
        <x:f>INDEX('Company Universe'!$C$6:$C$105,MATCH(D90,'Company Universe'!$A$6:$A$105,0))</x:f>
        <x:v>AMAT</x:v>
      </x:c>
      <x:c r="G90" s="75" t="str">
        <x:f>INDEX('Company Universe'!$F$6:$F$105,MATCH(D90,'Company Universe'!$A$6:$A$105,0))</x:f>
        <x:v>AI &amp; Semiconductors</x:v>
      </x:c>
      <x:c r="H90" s="57" t="n">
        <x:v>5</x:v>
      </x:c>
      <x:c r="I90" s="206" t="n"/>
      <x:c r="J90" s="71" t="n"/>
      <x:c r="K90" s="71" t="n"/>
      <x:c r="L90" s="71" t="inlineStr">
        <x:is>
          <x:t xml:space="preserve">NO</x:t>
        </x:is>
      </x:c>
      <x:c r="M90" s="71" t="n"/>
      <x:c r="N90" s="71" t="n"/>
      <x:c r="O90" s="71" t="n"/>
      <x:c r="P90" s="71" t="n"/>
      <x:c r="Q90" s="71" t="n"/>
      <x:c r="R90" s="71" t="n"/>
      <x:c r="S90" s="206" t="n"/>
      <x:c r="T90" s="71" t="n"/>
      <x:c r="U90" s="71" t="n"/>
      <x:c r="V90" s="71" t="n"/>
      <x:c r="W90" s="71" t="n"/>
      <x:c r="X90" s="71" t="n"/>
      <x:c r="Y90" s="71" t="n"/>
      <x:c r="Z90" s="71" t="n"/>
      <x:c r="AA90" s="71" t="n"/>
      <x:c r="AB90" s="71" t="inlineStr">
        <x:is>
          <x:t xml:space="preserve">NO</x:t>
        </x:is>
      </x:c>
      <x:c r="AC90" s="57" t="inlineStr">
        <x:is>
          <x:t xml:space="preserve">V10</x:t>
        </x:is>
      </x:c>
      <x:c r="AD90" s="57" t="n"/>
      <x:c r="AE90" s="79" t="str">
        <x:f>IF(AND(I90&lt;&gt;"",J90&lt;&gt;"",K90&lt;&gt;"",L90="YES",M90&lt;&gt;"",S90&lt;&gt;"",T90&lt;&gt;"",U90&lt;&gt;"",V90&lt;&gt;"",W90&lt;&gt;"",X90&lt;&gt;"",Y90&lt;&gt;""),"COMPLETE","PENDING")</x:f>
        <x:v>PENDING</x:v>
      </x:c>
      <x:c r="AF90" s="79" t="str">
        <x:f>IF(AE90="COMPLETE","YES","NO")</x:f>
        <x:v>NO</x:v>
      </x:c>
      <x:c r="AG90" s="214" t="str">
        <x:f>IF(AF90&lt;&gt;"YES","",(IF(V90="YES",1,0)+IF(W90="YES",1,0))/2)</x:f>
      </x:c>
    </x:row>
    <x:row r="91">
      <x:c r="A91" s="57" t="inlineStr">
        <x:is>
          <x:t xml:space="preserve">C0086</x:t>
        </x:is>
      </x:c>
      <x:c r="B91" s="57" t="inlineStr">
        <x:is>
          <x:t xml:space="preserve">Development</x:t>
        </x:is>
      </x:c>
      <x:c r="C91" s="57" t="inlineStr">
        <x:is>
          <x:t xml:space="preserve">OPEN</x:t>
        </x:is>
      </x:c>
      <x:c r="D91" s="57" t="inlineStr">
        <x:is>
          <x:t xml:space="preserve">ARG-009</x:t>
        </x:is>
      </x:c>
      <x:c r="E91" s="75" t="str">
        <x:f>INDEX('Company Universe'!$B$6:$B$105,MATCH(D91,'Company Universe'!$A$6:$A$105,0))</x:f>
        <x:v>Applied Materials</x:v>
      </x:c>
      <x:c r="F91" s="75" t="str">
        <x:f>INDEX('Company Universe'!$C$6:$C$105,MATCH(D91,'Company Universe'!$A$6:$A$105,0))</x:f>
        <x:v>AMAT</x:v>
      </x:c>
      <x:c r="G91" s="75" t="str">
        <x:f>INDEX('Company Universe'!$F$6:$F$105,MATCH(D91,'Company Universe'!$A$6:$A$105,0))</x:f>
        <x:v>AI &amp; Semiconductors</x:v>
      </x:c>
      <x:c r="H91" s="57" t="n">
        <x:v>6</x:v>
      </x:c>
      <x:c r="I91" s="206" t="n"/>
      <x:c r="J91" s="71" t="n"/>
      <x:c r="K91" s="71" t="n"/>
      <x:c r="L91" s="71" t="inlineStr">
        <x:is>
          <x:t xml:space="preserve">NO</x:t>
        </x:is>
      </x:c>
      <x:c r="M91" s="71" t="n"/>
      <x:c r="N91" s="71" t="n"/>
      <x:c r="O91" s="71" t="n"/>
      <x:c r="P91" s="71" t="n"/>
      <x:c r="Q91" s="71" t="n"/>
      <x:c r="R91" s="71" t="n"/>
      <x:c r="S91" s="206" t="n"/>
      <x:c r="T91" s="71" t="n"/>
      <x:c r="U91" s="71" t="n"/>
      <x:c r="V91" s="71" t="n"/>
      <x:c r="W91" s="71" t="n"/>
      <x:c r="X91" s="71" t="n"/>
      <x:c r="Y91" s="71" t="n"/>
      <x:c r="Z91" s="71" t="n"/>
      <x:c r="AA91" s="71" t="n"/>
      <x:c r="AB91" s="71" t="inlineStr">
        <x:is>
          <x:t xml:space="preserve">NO</x:t>
        </x:is>
      </x:c>
      <x:c r="AC91" s="57" t="inlineStr">
        <x:is>
          <x:t xml:space="preserve">V10</x:t>
        </x:is>
      </x:c>
      <x:c r="AD91" s="57" t="n"/>
      <x:c r="AE91" s="79" t="str">
        <x:f>IF(AND(I91&lt;&gt;"",J91&lt;&gt;"",K91&lt;&gt;"",L91="YES",M91&lt;&gt;"",S91&lt;&gt;"",T91&lt;&gt;"",U91&lt;&gt;"",V91&lt;&gt;"",W91&lt;&gt;"",X91&lt;&gt;"",Y91&lt;&gt;""),"COMPLETE","PENDING")</x:f>
        <x:v>PENDING</x:v>
      </x:c>
      <x:c r="AF91" s="79" t="str">
        <x:f>IF(AE91="COMPLETE","YES","NO")</x:f>
        <x:v>NO</x:v>
      </x:c>
      <x:c r="AG91" s="214" t="str">
        <x:f>IF(AF91&lt;&gt;"YES","",(IF(V91="YES",1,0)+IF(W91="YES",1,0))/2)</x:f>
      </x:c>
    </x:row>
    <x:row r="92">
      <x:c r="A92" s="57" t="inlineStr">
        <x:is>
          <x:t xml:space="preserve">C0087</x:t>
        </x:is>
      </x:c>
      <x:c r="B92" s="57" t="inlineStr">
        <x:is>
          <x:t xml:space="preserve">Development</x:t>
        </x:is>
      </x:c>
      <x:c r="C92" s="57" t="inlineStr">
        <x:is>
          <x:t xml:space="preserve">OPEN</x:t>
        </x:is>
      </x:c>
      <x:c r="D92" s="57" t="inlineStr">
        <x:is>
          <x:t xml:space="preserve">ARG-009</x:t>
        </x:is>
      </x:c>
      <x:c r="E92" s="75" t="str">
        <x:f>INDEX('Company Universe'!$B$6:$B$105,MATCH(D92,'Company Universe'!$A$6:$A$105,0))</x:f>
        <x:v>Applied Materials</x:v>
      </x:c>
      <x:c r="F92" s="75" t="str">
        <x:f>INDEX('Company Universe'!$C$6:$C$105,MATCH(D92,'Company Universe'!$A$6:$A$105,0))</x:f>
        <x:v>AMAT</x:v>
      </x:c>
      <x:c r="G92" s="75" t="str">
        <x:f>INDEX('Company Universe'!$F$6:$F$105,MATCH(D92,'Company Universe'!$A$6:$A$105,0))</x:f>
        <x:v>AI &amp; Semiconductors</x:v>
      </x:c>
      <x:c r="H92" s="57" t="n">
        <x:v>7</x:v>
      </x:c>
      <x:c r="I92" s="206" t="n"/>
      <x:c r="J92" s="71" t="n"/>
      <x:c r="K92" s="71" t="n"/>
      <x:c r="L92" s="71" t="inlineStr">
        <x:is>
          <x:t xml:space="preserve">NO</x:t>
        </x:is>
      </x:c>
      <x:c r="M92" s="71" t="n"/>
      <x:c r="N92" s="71" t="n"/>
      <x:c r="O92" s="71" t="n"/>
      <x:c r="P92" s="71" t="n"/>
      <x:c r="Q92" s="71" t="n"/>
      <x:c r="R92" s="71" t="n"/>
      <x:c r="S92" s="206" t="n"/>
      <x:c r="T92" s="71" t="n"/>
      <x:c r="U92" s="71" t="n"/>
      <x:c r="V92" s="71" t="n"/>
      <x:c r="W92" s="71" t="n"/>
      <x:c r="X92" s="71" t="n"/>
      <x:c r="Y92" s="71" t="n"/>
      <x:c r="Z92" s="71" t="n"/>
      <x:c r="AA92" s="71" t="n"/>
      <x:c r="AB92" s="71" t="inlineStr">
        <x:is>
          <x:t xml:space="preserve">NO</x:t>
        </x:is>
      </x:c>
      <x:c r="AC92" s="57" t="inlineStr">
        <x:is>
          <x:t xml:space="preserve">V10</x:t>
        </x:is>
      </x:c>
      <x:c r="AD92" s="57" t="n"/>
      <x:c r="AE92" s="79" t="str">
        <x:f>IF(AND(I92&lt;&gt;"",J92&lt;&gt;"",K92&lt;&gt;"",L92="YES",M92&lt;&gt;"",S92&lt;&gt;"",T92&lt;&gt;"",U92&lt;&gt;"",V92&lt;&gt;"",W92&lt;&gt;"",X92&lt;&gt;"",Y92&lt;&gt;""),"COMPLETE","PENDING")</x:f>
        <x:v>PENDING</x:v>
      </x:c>
      <x:c r="AF92" s="79" t="str">
        <x:f>IF(AE92="COMPLETE","YES","NO")</x:f>
        <x:v>NO</x:v>
      </x:c>
      <x:c r="AG92" s="214" t="str">
        <x:f>IF(AF92&lt;&gt;"YES","",(IF(V92="YES",1,0)+IF(W92="YES",1,0))/2)</x:f>
      </x:c>
    </x:row>
    <x:row r="93">
      <x:c r="A93" s="57" t="inlineStr">
        <x:is>
          <x:t xml:space="preserve">C0088</x:t>
        </x:is>
      </x:c>
      <x:c r="B93" s="57" t="inlineStr">
        <x:is>
          <x:t xml:space="preserve">Development</x:t>
        </x:is>
      </x:c>
      <x:c r="C93" s="57" t="inlineStr">
        <x:is>
          <x:t xml:space="preserve">OPEN</x:t>
        </x:is>
      </x:c>
      <x:c r="D93" s="57" t="inlineStr">
        <x:is>
          <x:t xml:space="preserve">ARG-009</x:t>
        </x:is>
      </x:c>
      <x:c r="E93" s="75" t="str">
        <x:f>INDEX('Company Universe'!$B$6:$B$105,MATCH(D93,'Company Universe'!$A$6:$A$105,0))</x:f>
        <x:v>Applied Materials</x:v>
      </x:c>
      <x:c r="F93" s="75" t="str">
        <x:f>INDEX('Company Universe'!$C$6:$C$105,MATCH(D93,'Company Universe'!$A$6:$A$105,0))</x:f>
        <x:v>AMAT</x:v>
      </x:c>
      <x:c r="G93" s="75" t="str">
        <x:f>INDEX('Company Universe'!$F$6:$F$105,MATCH(D93,'Company Universe'!$A$6:$A$105,0))</x:f>
        <x:v>AI &amp; Semiconductors</x:v>
      </x:c>
      <x:c r="H93" s="57" t="n">
        <x:v>8</x:v>
      </x:c>
      <x:c r="I93" s="206" t="n"/>
      <x:c r="J93" s="71" t="n"/>
      <x:c r="K93" s="71" t="n"/>
      <x:c r="L93" s="71" t="inlineStr">
        <x:is>
          <x:t xml:space="preserve">NO</x:t>
        </x:is>
      </x:c>
      <x:c r="M93" s="71" t="n"/>
      <x:c r="N93" s="71" t="n"/>
      <x:c r="O93" s="71" t="n"/>
      <x:c r="P93" s="71" t="n"/>
      <x:c r="Q93" s="71" t="n"/>
      <x:c r="R93" s="71" t="n"/>
      <x:c r="S93" s="206" t="n"/>
      <x:c r="T93" s="71" t="n"/>
      <x:c r="U93" s="71" t="n"/>
      <x:c r="V93" s="71" t="n"/>
      <x:c r="W93" s="71" t="n"/>
      <x:c r="X93" s="71" t="n"/>
      <x:c r="Y93" s="71" t="n"/>
      <x:c r="Z93" s="71" t="n"/>
      <x:c r="AA93" s="71" t="n"/>
      <x:c r="AB93" s="71" t="inlineStr">
        <x:is>
          <x:t xml:space="preserve">NO</x:t>
        </x:is>
      </x:c>
      <x:c r="AC93" s="57" t="inlineStr">
        <x:is>
          <x:t xml:space="preserve">V10</x:t>
        </x:is>
      </x:c>
      <x:c r="AD93" s="57" t="n"/>
      <x:c r="AE93" s="79" t="str">
        <x:f>IF(AND(I93&lt;&gt;"",J93&lt;&gt;"",K93&lt;&gt;"",L93="YES",M93&lt;&gt;"",S93&lt;&gt;"",T93&lt;&gt;"",U93&lt;&gt;"",V93&lt;&gt;"",W93&lt;&gt;"",X93&lt;&gt;"",Y93&lt;&gt;""),"COMPLETE","PENDING")</x:f>
        <x:v>PENDING</x:v>
      </x:c>
      <x:c r="AF93" s="79" t="str">
        <x:f>IF(AE93="COMPLETE","YES","NO")</x:f>
        <x:v>NO</x:v>
      </x:c>
      <x:c r="AG93" s="214" t="str">
        <x:f>IF(AF93&lt;&gt;"YES","",(IF(V93="YES",1,0)+IF(W93="YES",1,0))/2)</x:f>
      </x:c>
    </x:row>
    <x:row r="94">
      <x:c r="A94" s="57" t="inlineStr">
        <x:is>
          <x:t xml:space="preserve">C0089</x:t>
        </x:is>
      </x:c>
      <x:c r="B94" s="57" t="inlineStr">
        <x:is>
          <x:t xml:space="preserve">Development</x:t>
        </x:is>
      </x:c>
      <x:c r="C94" s="57" t="inlineStr">
        <x:is>
          <x:t xml:space="preserve">OPEN</x:t>
        </x:is>
      </x:c>
      <x:c r="D94" s="57" t="inlineStr">
        <x:is>
          <x:t xml:space="preserve">ARG-009</x:t>
        </x:is>
      </x:c>
      <x:c r="E94" s="75" t="str">
        <x:f>INDEX('Company Universe'!$B$6:$B$105,MATCH(D94,'Company Universe'!$A$6:$A$105,0))</x:f>
        <x:v>Applied Materials</x:v>
      </x:c>
      <x:c r="F94" s="75" t="str">
        <x:f>INDEX('Company Universe'!$C$6:$C$105,MATCH(D94,'Company Universe'!$A$6:$A$105,0))</x:f>
        <x:v>AMAT</x:v>
      </x:c>
      <x:c r="G94" s="75" t="str">
        <x:f>INDEX('Company Universe'!$F$6:$F$105,MATCH(D94,'Company Universe'!$A$6:$A$105,0))</x:f>
        <x:v>AI &amp; Semiconductors</x:v>
      </x:c>
      <x:c r="H94" s="57" t="n">
        <x:v>9</x:v>
      </x:c>
      <x:c r="I94" s="206" t="n"/>
      <x:c r="J94" s="71" t="n"/>
      <x:c r="K94" s="71" t="n"/>
      <x:c r="L94" s="71" t="inlineStr">
        <x:is>
          <x:t xml:space="preserve">NO</x:t>
        </x:is>
      </x:c>
      <x:c r="M94" s="71" t="n"/>
      <x:c r="N94" s="71" t="n"/>
      <x:c r="O94" s="71" t="n"/>
      <x:c r="P94" s="71" t="n"/>
      <x:c r="Q94" s="71" t="n"/>
      <x:c r="R94" s="71" t="n"/>
      <x:c r="S94" s="206" t="n"/>
      <x:c r="T94" s="71" t="n"/>
      <x:c r="U94" s="71" t="n"/>
      <x:c r="V94" s="71" t="n"/>
      <x:c r="W94" s="71" t="n"/>
      <x:c r="X94" s="71" t="n"/>
      <x:c r="Y94" s="71" t="n"/>
      <x:c r="Z94" s="71" t="n"/>
      <x:c r="AA94" s="71" t="n"/>
      <x:c r="AB94" s="71" t="inlineStr">
        <x:is>
          <x:t xml:space="preserve">NO</x:t>
        </x:is>
      </x:c>
      <x:c r="AC94" s="57" t="inlineStr">
        <x:is>
          <x:t xml:space="preserve">V10</x:t>
        </x:is>
      </x:c>
      <x:c r="AD94" s="57" t="n"/>
      <x:c r="AE94" s="79" t="str">
        <x:f>IF(AND(I94&lt;&gt;"",J94&lt;&gt;"",K94&lt;&gt;"",L94="YES",M94&lt;&gt;"",S94&lt;&gt;"",T94&lt;&gt;"",U94&lt;&gt;"",V94&lt;&gt;"",W94&lt;&gt;"",X94&lt;&gt;"",Y94&lt;&gt;""),"COMPLETE","PENDING")</x:f>
        <x:v>PENDING</x:v>
      </x:c>
      <x:c r="AF94" s="79" t="str">
        <x:f>IF(AE94="COMPLETE","YES","NO")</x:f>
        <x:v>NO</x:v>
      </x:c>
      <x:c r="AG94" s="214" t="str">
        <x:f>IF(AF94&lt;&gt;"YES","",(IF(V94="YES",1,0)+IF(W94="YES",1,0))/2)</x:f>
      </x:c>
    </x:row>
    <x:row r="95">
      <x:c r="A95" s="57" t="inlineStr">
        <x:is>
          <x:t xml:space="preserve">C0090</x:t>
        </x:is>
      </x:c>
      <x:c r="B95" s="57" t="inlineStr">
        <x:is>
          <x:t xml:space="preserve">Development</x:t>
        </x:is>
      </x:c>
      <x:c r="C95" s="57" t="inlineStr">
        <x:is>
          <x:t xml:space="preserve">OPEN</x:t>
        </x:is>
      </x:c>
      <x:c r="D95" s="57" t="inlineStr">
        <x:is>
          <x:t xml:space="preserve">ARG-009</x:t>
        </x:is>
      </x:c>
      <x:c r="E95" s="75" t="str">
        <x:f>INDEX('Company Universe'!$B$6:$B$105,MATCH(D95,'Company Universe'!$A$6:$A$105,0))</x:f>
        <x:v>Applied Materials</x:v>
      </x:c>
      <x:c r="F95" s="75" t="str">
        <x:f>INDEX('Company Universe'!$C$6:$C$105,MATCH(D95,'Company Universe'!$A$6:$A$105,0))</x:f>
        <x:v>AMAT</x:v>
      </x:c>
      <x:c r="G95" s="75" t="str">
        <x:f>INDEX('Company Universe'!$F$6:$F$105,MATCH(D95,'Company Universe'!$A$6:$A$105,0))</x:f>
        <x:v>AI &amp; Semiconductors</x:v>
      </x:c>
      <x:c r="H95" s="57" t="n">
        <x:v>10</x:v>
      </x:c>
      <x:c r="I95" s="206" t="n"/>
      <x:c r="J95" s="71" t="n"/>
      <x:c r="K95" s="71" t="n"/>
      <x:c r="L95" s="71" t="inlineStr">
        <x:is>
          <x:t xml:space="preserve">NO</x:t>
        </x:is>
      </x:c>
      <x:c r="M95" s="71" t="n"/>
      <x:c r="N95" s="71" t="n"/>
      <x:c r="O95" s="71" t="n"/>
      <x:c r="P95" s="71" t="n"/>
      <x:c r="Q95" s="71" t="n"/>
      <x:c r="R95" s="71" t="n"/>
      <x:c r="S95" s="206" t="n"/>
      <x:c r="T95" s="71" t="n"/>
      <x:c r="U95" s="71" t="n"/>
      <x:c r="V95" s="71" t="n"/>
      <x:c r="W95" s="71" t="n"/>
      <x:c r="X95" s="71" t="n"/>
      <x:c r="Y95" s="71" t="n"/>
      <x:c r="Z95" s="71" t="n"/>
      <x:c r="AA95" s="71" t="n"/>
      <x:c r="AB95" s="71" t="inlineStr">
        <x:is>
          <x:t xml:space="preserve">NO</x:t>
        </x:is>
      </x:c>
      <x:c r="AC95" s="57" t="inlineStr">
        <x:is>
          <x:t xml:space="preserve">V10</x:t>
        </x:is>
      </x:c>
      <x:c r="AD95" s="57" t="n"/>
      <x:c r="AE95" s="79" t="str">
        <x:f>IF(AND(I95&lt;&gt;"",J95&lt;&gt;"",K95&lt;&gt;"",L95="YES",M95&lt;&gt;"",S95&lt;&gt;"",T95&lt;&gt;"",U95&lt;&gt;"",V95&lt;&gt;"",W95&lt;&gt;"",X95&lt;&gt;"",Y95&lt;&gt;""),"COMPLETE","PENDING")</x:f>
        <x:v>PENDING</x:v>
      </x:c>
      <x:c r="AF95" s="79" t="str">
        <x:f>IF(AE95="COMPLETE","YES","NO")</x:f>
        <x:v>NO</x:v>
      </x:c>
      <x:c r="AG95" s="214" t="str">
        <x:f>IF(AF95&lt;&gt;"YES","",(IF(V95="YES",1,0)+IF(W95="YES",1,0))/2)</x:f>
      </x:c>
    </x:row>
    <x:row r="96">
      <x:c r="A96" s="57" t="inlineStr">
        <x:is>
          <x:t xml:space="preserve">C0091</x:t>
        </x:is>
      </x:c>
      <x:c r="B96" s="57" t="inlineStr">
        <x:is>
          <x:t xml:space="preserve">Development</x:t>
        </x:is>
      </x:c>
      <x:c r="C96" s="57" t="inlineStr">
        <x:is>
          <x:t xml:space="preserve">OPEN</x:t>
        </x:is>
      </x:c>
      <x:c r="D96" s="57" t="inlineStr">
        <x:is>
          <x:t xml:space="preserve">ARG-010</x:t>
        </x:is>
      </x:c>
      <x:c r="E96" s="75" t="str">
        <x:f>INDEX('Company Universe'!$B$6:$B$105,MATCH(D96,'Company Universe'!$A$6:$A$105,0))</x:f>
        <x:v>Lam Research</x:v>
      </x:c>
      <x:c r="F96" s="75" t="str">
        <x:f>INDEX('Company Universe'!$C$6:$C$105,MATCH(D96,'Company Universe'!$A$6:$A$105,0))</x:f>
        <x:v>LRCX</x:v>
      </x:c>
      <x:c r="G96" s="75" t="str">
        <x:f>INDEX('Company Universe'!$F$6:$F$105,MATCH(D96,'Company Universe'!$A$6:$A$105,0))</x:f>
        <x:v>AI &amp; Semiconductors</x:v>
      </x:c>
      <x:c r="H96" s="57" t="n">
        <x:v>1</x:v>
      </x:c>
      <x:c r="I96" s="206" t="n"/>
      <x:c r="J96" s="71" t="n"/>
      <x:c r="K96" s="71" t="n"/>
      <x:c r="L96" s="71" t="inlineStr">
        <x:is>
          <x:t xml:space="preserve">NO</x:t>
        </x:is>
      </x:c>
      <x:c r="M96" s="71" t="n"/>
      <x:c r="N96" s="71" t="n"/>
      <x:c r="O96" s="71" t="n"/>
      <x:c r="P96" s="71" t="n"/>
      <x:c r="Q96" s="71" t="n"/>
      <x:c r="R96" s="71" t="n"/>
      <x:c r="S96" s="206" t="n"/>
      <x:c r="T96" s="71" t="n"/>
      <x:c r="U96" s="71" t="n"/>
      <x:c r="V96" s="71" t="n"/>
      <x:c r="W96" s="71" t="n"/>
      <x:c r="X96" s="71" t="n"/>
      <x:c r="Y96" s="71" t="n"/>
      <x:c r="Z96" s="71" t="n"/>
      <x:c r="AA96" s="71" t="n"/>
      <x:c r="AB96" s="71" t="inlineStr">
        <x:is>
          <x:t xml:space="preserve">NO</x:t>
        </x:is>
      </x:c>
      <x:c r="AC96" s="57" t="inlineStr">
        <x:is>
          <x:t xml:space="preserve">V10</x:t>
        </x:is>
      </x:c>
      <x:c r="AD96" s="57" t="n"/>
      <x:c r="AE96" s="79" t="str">
        <x:f>IF(AND(I96&lt;&gt;"",J96&lt;&gt;"",K96&lt;&gt;"",L96="YES",M96&lt;&gt;"",S96&lt;&gt;"",T96&lt;&gt;"",U96&lt;&gt;"",V96&lt;&gt;"",W96&lt;&gt;"",X96&lt;&gt;"",Y96&lt;&gt;""),"COMPLETE","PENDING")</x:f>
        <x:v>PENDING</x:v>
      </x:c>
      <x:c r="AF96" s="79" t="str">
        <x:f>IF(AE96="COMPLETE","YES","NO")</x:f>
        <x:v>NO</x:v>
      </x:c>
      <x:c r="AG96" s="214" t="str">
        <x:f>IF(AF96&lt;&gt;"YES","",(IF(V96="YES",1,0)+IF(W96="YES",1,0))/2)</x:f>
      </x:c>
    </x:row>
    <x:row r="97">
      <x:c r="A97" s="57" t="inlineStr">
        <x:is>
          <x:t xml:space="preserve">C0092</x:t>
        </x:is>
      </x:c>
      <x:c r="B97" s="57" t="inlineStr">
        <x:is>
          <x:t xml:space="preserve">Development</x:t>
        </x:is>
      </x:c>
      <x:c r="C97" s="57" t="inlineStr">
        <x:is>
          <x:t xml:space="preserve">OPEN</x:t>
        </x:is>
      </x:c>
      <x:c r="D97" s="57" t="inlineStr">
        <x:is>
          <x:t xml:space="preserve">ARG-010</x:t>
        </x:is>
      </x:c>
      <x:c r="E97" s="75" t="str">
        <x:f>INDEX('Company Universe'!$B$6:$B$105,MATCH(D97,'Company Universe'!$A$6:$A$105,0))</x:f>
        <x:v>Lam Research</x:v>
      </x:c>
      <x:c r="F97" s="75" t="str">
        <x:f>INDEX('Company Universe'!$C$6:$C$105,MATCH(D97,'Company Universe'!$A$6:$A$105,0))</x:f>
        <x:v>LRCX</x:v>
      </x:c>
      <x:c r="G97" s="75" t="str">
        <x:f>INDEX('Company Universe'!$F$6:$F$105,MATCH(D97,'Company Universe'!$A$6:$A$105,0))</x:f>
        <x:v>AI &amp; Semiconductors</x:v>
      </x:c>
      <x:c r="H97" s="57" t="n">
        <x:v>2</x:v>
      </x:c>
      <x:c r="I97" s="206" t="n"/>
      <x:c r="J97" s="71" t="n"/>
      <x:c r="K97" s="71" t="n"/>
      <x:c r="L97" s="71" t="inlineStr">
        <x:is>
          <x:t xml:space="preserve">NO</x:t>
        </x:is>
      </x:c>
      <x:c r="M97" s="71" t="n"/>
      <x:c r="N97" s="71" t="n"/>
      <x:c r="O97" s="71" t="n"/>
      <x:c r="P97" s="71" t="n"/>
      <x:c r="Q97" s="71" t="n"/>
      <x:c r="R97" s="71" t="n"/>
      <x:c r="S97" s="206" t="n"/>
      <x:c r="T97" s="71" t="n"/>
      <x:c r="U97" s="71" t="n"/>
      <x:c r="V97" s="71" t="n"/>
      <x:c r="W97" s="71" t="n"/>
      <x:c r="X97" s="71" t="n"/>
      <x:c r="Y97" s="71" t="n"/>
      <x:c r="Z97" s="71" t="n"/>
      <x:c r="AA97" s="71" t="n"/>
      <x:c r="AB97" s="71" t="inlineStr">
        <x:is>
          <x:t xml:space="preserve">NO</x:t>
        </x:is>
      </x:c>
      <x:c r="AC97" s="57" t="inlineStr">
        <x:is>
          <x:t xml:space="preserve">V10</x:t>
        </x:is>
      </x:c>
      <x:c r="AD97" s="57" t="n"/>
      <x:c r="AE97" s="79" t="str">
        <x:f>IF(AND(I97&lt;&gt;"",J97&lt;&gt;"",K97&lt;&gt;"",L97="YES",M97&lt;&gt;"",S97&lt;&gt;"",T97&lt;&gt;"",U97&lt;&gt;"",V97&lt;&gt;"",W97&lt;&gt;"",X97&lt;&gt;"",Y97&lt;&gt;""),"COMPLETE","PENDING")</x:f>
        <x:v>PENDING</x:v>
      </x:c>
      <x:c r="AF97" s="79" t="str">
        <x:f>IF(AE97="COMPLETE","YES","NO")</x:f>
        <x:v>NO</x:v>
      </x:c>
      <x:c r="AG97" s="214" t="str">
        <x:f>IF(AF97&lt;&gt;"YES","",(IF(V97="YES",1,0)+IF(W97="YES",1,0))/2)</x:f>
      </x:c>
    </x:row>
    <x:row r="98">
      <x:c r="A98" s="57" t="inlineStr">
        <x:is>
          <x:t xml:space="preserve">C0093</x:t>
        </x:is>
      </x:c>
      <x:c r="B98" s="57" t="inlineStr">
        <x:is>
          <x:t xml:space="preserve">Development</x:t>
        </x:is>
      </x:c>
      <x:c r="C98" s="57" t="inlineStr">
        <x:is>
          <x:t xml:space="preserve">OPEN</x:t>
        </x:is>
      </x:c>
      <x:c r="D98" s="57" t="inlineStr">
        <x:is>
          <x:t xml:space="preserve">ARG-010</x:t>
        </x:is>
      </x:c>
      <x:c r="E98" s="75" t="str">
        <x:f>INDEX('Company Universe'!$B$6:$B$105,MATCH(D98,'Company Universe'!$A$6:$A$105,0))</x:f>
        <x:v>Lam Research</x:v>
      </x:c>
      <x:c r="F98" s="75" t="str">
        <x:f>INDEX('Company Universe'!$C$6:$C$105,MATCH(D98,'Company Universe'!$A$6:$A$105,0))</x:f>
        <x:v>LRCX</x:v>
      </x:c>
      <x:c r="G98" s="75" t="str">
        <x:f>INDEX('Company Universe'!$F$6:$F$105,MATCH(D98,'Company Universe'!$A$6:$A$105,0))</x:f>
        <x:v>AI &amp; Semiconductors</x:v>
      </x:c>
      <x:c r="H98" s="57" t="n">
        <x:v>3</x:v>
      </x:c>
      <x:c r="I98" s="206" t="n"/>
      <x:c r="J98" s="71" t="n"/>
      <x:c r="K98" s="71" t="n"/>
      <x:c r="L98" s="71" t="inlineStr">
        <x:is>
          <x:t xml:space="preserve">NO</x:t>
        </x:is>
      </x:c>
      <x:c r="M98" s="71" t="n"/>
      <x:c r="N98" s="71" t="n"/>
      <x:c r="O98" s="71" t="n"/>
      <x:c r="P98" s="71" t="n"/>
      <x:c r="Q98" s="71" t="n"/>
      <x:c r="R98" s="71" t="n"/>
      <x:c r="S98" s="206" t="n"/>
      <x:c r="T98" s="71" t="n"/>
      <x:c r="U98" s="71" t="n"/>
      <x:c r="V98" s="71" t="n"/>
      <x:c r="W98" s="71" t="n"/>
      <x:c r="X98" s="71" t="n"/>
      <x:c r="Y98" s="71" t="n"/>
      <x:c r="Z98" s="71" t="n"/>
      <x:c r="AA98" s="71" t="n"/>
      <x:c r="AB98" s="71" t="inlineStr">
        <x:is>
          <x:t xml:space="preserve">NO</x:t>
        </x:is>
      </x:c>
      <x:c r="AC98" s="57" t="inlineStr">
        <x:is>
          <x:t xml:space="preserve">V10</x:t>
        </x:is>
      </x:c>
      <x:c r="AD98" s="57" t="n"/>
      <x:c r="AE98" s="79" t="str">
        <x:f>IF(AND(I98&lt;&gt;"",J98&lt;&gt;"",K98&lt;&gt;"",L98="YES",M98&lt;&gt;"",S98&lt;&gt;"",T98&lt;&gt;"",U98&lt;&gt;"",V98&lt;&gt;"",W98&lt;&gt;"",X98&lt;&gt;"",Y98&lt;&gt;""),"COMPLETE","PENDING")</x:f>
        <x:v>PENDING</x:v>
      </x:c>
      <x:c r="AF98" s="79" t="str">
        <x:f>IF(AE98="COMPLETE","YES","NO")</x:f>
        <x:v>NO</x:v>
      </x:c>
      <x:c r="AG98" s="214" t="str">
        <x:f>IF(AF98&lt;&gt;"YES","",(IF(V98="YES",1,0)+IF(W98="YES",1,0))/2)</x:f>
      </x:c>
    </x:row>
    <x:row r="99">
      <x:c r="A99" s="57" t="inlineStr">
        <x:is>
          <x:t xml:space="preserve">C0094</x:t>
        </x:is>
      </x:c>
      <x:c r="B99" s="57" t="inlineStr">
        <x:is>
          <x:t xml:space="preserve">Development</x:t>
        </x:is>
      </x:c>
      <x:c r="C99" s="57" t="inlineStr">
        <x:is>
          <x:t xml:space="preserve">OPEN</x:t>
        </x:is>
      </x:c>
      <x:c r="D99" s="57" t="inlineStr">
        <x:is>
          <x:t xml:space="preserve">ARG-010</x:t>
        </x:is>
      </x:c>
      <x:c r="E99" s="75" t="str">
        <x:f>INDEX('Company Universe'!$B$6:$B$105,MATCH(D99,'Company Universe'!$A$6:$A$105,0))</x:f>
        <x:v>Lam Research</x:v>
      </x:c>
      <x:c r="F99" s="75" t="str">
        <x:f>INDEX('Company Universe'!$C$6:$C$105,MATCH(D99,'Company Universe'!$A$6:$A$105,0))</x:f>
        <x:v>LRCX</x:v>
      </x:c>
      <x:c r="G99" s="75" t="str">
        <x:f>INDEX('Company Universe'!$F$6:$F$105,MATCH(D99,'Company Universe'!$A$6:$A$105,0))</x:f>
        <x:v>AI &amp; Semiconductors</x:v>
      </x:c>
      <x:c r="H99" s="57" t="n">
        <x:v>4</x:v>
      </x:c>
      <x:c r="I99" s="206" t="n"/>
      <x:c r="J99" s="71" t="n"/>
      <x:c r="K99" s="71" t="n"/>
      <x:c r="L99" s="71" t="inlineStr">
        <x:is>
          <x:t xml:space="preserve">NO</x:t>
        </x:is>
      </x:c>
      <x:c r="M99" s="71" t="n"/>
      <x:c r="N99" s="71" t="n"/>
      <x:c r="O99" s="71" t="n"/>
      <x:c r="P99" s="71" t="n"/>
      <x:c r="Q99" s="71" t="n"/>
      <x:c r="R99" s="71" t="n"/>
      <x:c r="S99" s="206" t="n"/>
      <x:c r="T99" s="71" t="n"/>
      <x:c r="U99" s="71" t="n"/>
      <x:c r="V99" s="71" t="n"/>
      <x:c r="W99" s="71" t="n"/>
      <x:c r="X99" s="71" t="n"/>
      <x:c r="Y99" s="71" t="n"/>
      <x:c r="Z99" s="71" t="n"/>
      <x:c r="AA99" s="71" t="n"/>
      <x:c r="AB99" s="71" t="inlineStr">
        <x:is>
          <x:t xml:space="preserve">NO</x:t>
        </x:is>
      </x:c>
      <x:c r="AC99" s="57" t="inlineStr">
        <x:is>
          <x:t xml:space="preserve">V10</x:t>
        </x:is>
      </x:c>
      <x:c r="AD99" s="57" t="n"/>
      <x:c r="AE99" s="79" t="str">
        <x:f>IF(AND(I99&lt;&gt;"",J99&lt;&gt;"",K99&lt;&gt;"",L99="YES",M99&lt;&gt;"",S99&lt;&gt;"",T99&lt;&gt;"",U99&lt;&gt;"",V99&lt;&gt;"",W99&lt;&gt;"",X99&lt;&gt;"",Y99&lt;&gt;""),"COMPLETE","PENDING")</x:f>
        <x:v>PENDING</x:v>
      </x:c>
      <x:c r="AF99" s="79" t="str">
        <x:f>IF(AE99="COMPLETE","YES","NO")</x:f>
        <x:v>NO</x:v>
      </x:c>
      <x:c r="AG99" s="214" t="str">
        <x:f>IF(AF99&lt;&gt;"YES","",(IF(V99="YES",1,0)+IF(W99="YES",1,0))/2)</x:f>
      </x:c>
    </x:row>
    <x:row r="100">
      <x:c r="A100" s="57" t="inlineStr">
        <x:is>
          <x:t xml:space="preserve">C0095</x:t>
        </x:is>
      </x:c>
      <x:c r="B100" s="57" t="inlineStr">
        <x:is>
          <x:t xml:space="preserve">Development</x:t>
        </x:is>
      </x:c>
      <x:c r="C100" s="57" t="inlineStr">
        <x:is>
          <x:t xml:space="preserve">OPEN</x:t>
        </x:is>
      </x:c>
      <x:c r="D100" s="57" t="inlineStr">
        <x:is>
          <x:t xml:space="preserve">ARG-010</x:t>
        </x:is>
      </x:c>
      <x:c r="E100" s="75" t="str">
        <x:f>INDEX('Company Universe'!$B$6:$B$105,MATCH(D100,'Company Universe'!$A$6:$A$105,0))</x:f>
        <x:v>Lam Research</x:v>
      </x:c>
      <x:c r="F100" s="75" t="str">
        <x:f>INDEX('Company Universe'!$C$6:$C$105,MATCH(D100,'Company Universe'!$A$6:$A$105,0))</x:f>
        <x:v>LRCX</x:v>
      </x:c>
      <x:c r="G100" s="75" t="str">
        <x:f>INDEX('Company Universe'!$F$6:$F$105,MATCH(D100,'Company Universe'!$A$6:$A$105,0))</x:f>
        <x:v>AI &amp; Semiconductors</x:v>
      </x:c>
      <x:c r="H100" s="57" t="n">
        <x:v>5</x:v>
      </x:c>
      <x:c r="I100" s="206" t="n"/>
      <x:c r="J100" s="71" t="n"/>
      <x:c r="K100" s="71" t="n"/>
      <x:c r="L100" s="71" t="inlineStr">
        <x:is>
          <x:t xml:space="preserve">NO</x:t>
        </x:is>
      </x:c>
      <x:c r="M100" s="71" t="n"/>
      <x:c r="N100" s="71" t="n"/>
      <x:c r="O100" s="71" t="n"/>
      <x:c r="P100" s="71" t="n"/>
      <x:c r="Q100" s="71" t="n"/>
      <x:c r="R100" s="71" t="n"/>
      <x:c r="S100" s="206" t="n"/>
      <x:c r="T100" s="71" t="n"/>
      <x:c r="U100" s="71" t="n"/>
      <x:c r="V100" s="71" t="n"/>
      <x:c r="W100" s="71" t="n"/>
      <x:c r="X100" s="71" t="n"/>
      <x:c r="Y100" s="71" t="n"/>
      <x:c r="Z100" s="71" t="n"/>
      <x:c r="AA100" s="71" t="n"/>
      <x:c r="AB100" s="71" t="inlineStr">
        <x:is>
          <x:t xml:space="preserve">NO</x:t>
        </x:is>
      </x:c>
      <x:c r="AC100" s="57" t="inlineStr">
        <x:is>
          <x:t xml:space="preserve">V10</x:t>
        </x:is>
      </x:c>
      <x:c r="AD100" s="57" t="n"/>
      <x:c r="AE100" s="79" t="str">
        <x:f>IF(AND(I100&lt;&gt;"",J100&lt;&gt;"",K100&lt;&gt;"",L100="YES",M100&lt;&gt;"",S100&lt;&gt;"",T100&lt;&gt;"",U100&lt;&gt;"",V100&lt;&gt;"",W100&lt;&gt;"",X100&lt;&gt;"",Y100&lt;&gt;""),"COMPLETE","PENDING")</x:f>
        <x:v>PENDING</x:v>
      </x:c>
      <x:c r="AF100" s="79" t="str">
        <x:f>IF(AE100="COMPLETE","YES","NO")</x:f>
        <x:v>NO</x:v>
      </x:c>
      <x:c r="AG100" s="214" t="str">
        <x:f>IF(AF100&lt;&gt;"YES","",(IF(V100="YES",1,0)+IF(W100="YES",1,0))/2)</x:f>
      </x:c>
    </x:row>
    <x:row r="101">
      <x:c r="A101" s="57" t="inlineStr">
        <x:is>
          <x:t xml:space="preserve">C0096</x:t>
        </x:is>
      </x:c>
      <x:c r="B101" s="57" t="inlineStr">
        <x:is>
          <x:t xml:space="preserve">Development</x:t>
        </x:is>
      </x:c>
      <x:c r="C101" s="57" t="inlineStr">
        <x:is>
          <x:t xml:space="preserve">OPEN</x:t>
        </x:is>
      </x:c>
      <x:c r="D101" s="57" t="inlineStr">
        <x:is>
          <x:t xml:space="preserve">ARG-010</x:t>
        </x:is>
      </x:c>
      <x:c r="E101" s="75" t="str">
        <x:f>INDEX('Company Universe'!$B$6:$B$105,MATCH(D101,'Company Universe'!$A$6:$A$105,0))</x:f>
        <x:v>Lam Research</x:v>
      </x:c>
      <x:c r="F101" s="75" t="str">
        <x:f>INDEX('Company Universe'!$C$6:$C$105,MATCH(D101,'Company Universe'!$A$6:$A$105,0))</x:f>
        <x:v>LRCX</x:v>
      </x:c>
      <x:c r="G101" s="75" t="str">
        <x:f>INDEX('Company Universe'!$F$6:$F$105,MATCH(D101,'Company Universe'!$A$6:$A$105,0))</x:f>
        <x:v>AI &amp; Semiconductors</x:v>
      </x:c>
      <x:c r="H101" s="57" t="n">
        <x:v>6</x:v>
      </x:c>
      <x:c r="I101" s="206" t="n"/>
      <x:c r="J101" s="71" t="n"/>
      <x:c r="K101" s="71" t="n"/>
      <x:c r="L101" s="71" t="inlineStr">
        <x:is>
          <x:t xml:space="preserve">NO</x:t>
        </x:is>
      </x:c>
      <x:c r="M101" s="71" t="n"/>
      <x:c r="N101" s="71" t="n"/>
      <x:c r="O101" s="71" t="n"/>
      <x:c r="P101" s="71" t="n"/>
      <x:c r="Q101" s="71" t="n"/>
      <x:c r="R101" s="71" t="n"/>
      <x:c r="S101" s="206" t="n"/>
      <x:c r="T101" s="71" t="n"/>
      <x:c r="U101" s="71" t="n"/>
      <x:c r="V101" s="71" t="n"/>
      <x:c r="W101" s="71" t="n"/>
      <x:c r="X101" s="71" t="n"/>
      <x:c r="Y101" s="71" t="n"/>
      <x:c r="Z101" s="71" t="n"/>
      <x:c r="AA101" s="71" t="n"/>
      <x:c r="AB101" s="71" t="inlineStr">
        <x:is>
          <x:t xml:space="preserve">NO</x:t>
        </x:is>
      </x:c>
      <x:c r="AC101" s="57" t="inlineStr">
        <x:is>
          <x:t xml:space="preserve">V10</x:t>
        </x:is>
      </x:c>
      <x:c r="AD101" s="57" t="n"/>
      <x:c r="AE101" s="79" t="str">
        <x:f>IF(AND(I101&lt;&gt;"",J101&lt;&gt;"",K101&lt;&gt;"",L101="YES",M101&lt;&gt;"",S101&lt;&gt;"",T101&lt;&gt;"",U101&lt;&gt;"",V101&lt;&gt;"",W101&lt;&gt;"",X101&lt;&gt;"",Y101&lt;&gt;""),"COMPLETE","PENDING")</x:f>
        <x:v>PENDING</x:v>
      </x:c>
      <x:c r="AF101" s="79" t="str">
        <x:f>IF(AE101="COMPLETE","YES","NO")</x:f>
        <x:v>NO</x:v>
      </x:c>
      <x:c r="AG101" s="214" t="str">
        <x:f>IF(AF101&lt;&gt;"YES","",(IF(V101="YES",1,0)+IF(W101="YES",1,0))/2)</x:f>
      </x:c>
    </x:row>
    <x:row r="102">
      <x:c r="A102" s="57" t="inlineStr">
        <x:is>
          <x:t xml:space="preserve">C0097</x:t>
        </x:is>
      </x:c>
      <x:c r="B102" s="57" t="inlineStr">
        <x:is>
          <x:t xml:space="preserve">Development</x:t>
        </x:is>
      </x:c>
      <x:c r="C102" s="57" t="inlineStr">
        <x:is>
          <x:t xml:space="preserve">OPEN</x:t>
        </x:is>
      </x:c>
      <x:c r="D102" s="57" t="inlineStr">
        <x:is>
          <x:t xml:space="preserve">ARG-010</x:t>
        </x:is>
      </x:c>
      <x:c r="E102" s="75" t="str">
        <x:f>INDEX('Company Universe'!$B$6:$B$105,MATCH(D102,'Company Universe'!$A$6:$A$105,0))</x:f>
        <x:v>Lam Research</x:v>
      </x:c>
      <x:c r="F102" s="75" t="str">
        <x:f>INDEX('Company Universe'!$C$6:$C$105,MATCH(D102,'Company Universe'!$A$6:$A$105,0))</x:f>
        <x:v>LRCX</x:v>
      </x:c>
      <x:c r="G102" s="75" t="str">
        <x:f>INDEX('Company Universe'!$F$6:$F$105,MATCH(D102,'Company Universe'!$A$6:$A$105,0))</x:f>
        <x:v>AI &amp; Semiconductors</x:v>
      </x:c>
      <x:c r="H102" s="57" t="n">
        <x:v>7</x:v>
      </x:c>
      <x:c r="I102" s="206" t="n"/>
      <x:c r="J102" s="71" t="n"/>
      <x:c r="K102" s="71" t="n"/>
      <x:c r="L102" s="71" t="inlineStr">
        <x:is>
          <x:t xml:space="preserve">NO</x:t>
        </x:is>
      </x:c>
      <x:c r="M102" s="71" t="n"/>
      <x:c r="N102" s="71" t="n"/>
      <x:c r="O102" s="71" t="n"/>
      <x:c r="P102" s="71" t="n"/>
      <x:c r="Q102" s="71" t="n"/>
      <x:c r="R102" s="71" t="n"/>
      <x:c r="S102" s="206" t="n"/>
      <x:c r="T102" s="71" t="n"/>
      <x:c r="U102" s="71" t="n"/>
      <x:c r="V102" s="71" t="n"/>
      <x:c r="W102" s="71" t="n"/>
      <x:c r="X102" s="71" t="n"/>
      <x:c r="Y102" s="71" t="n"/>
      <x:c r="Z102" s="71" t="n"/>
      <x:c r="AA102" s="71" t="n"/>
      <x:c r="AB102" s="71" t="inlineStr">
        <x:is>
          <x:t xml:space="preserve">NO</x:t>
        </x:is>
      </x:c>
      <x:c r="AC102" s="57" t="inlineStr">
        <x:is>
          <x:t xml:space="preserve">V10</x:t>
        </x:is>
      </x:c>
      <x:c r="AD102" s="57" t="n"/>
      <x:c r="AE102" s="79" t="str">
        <x:f>IF(AND(I102&lt;&gt;"",J102&lt;&gt;"",K102&lt;&gt;"",L102="YES",M102&lt;&gt;"",S102&lt;&gt;"",T102&lt;&gt;"",U102&lt;&gt;"",V102&lt;&gt;"",W102&lt;&gt;"",X102&lt;&gt;"",Y102&lt;&gt;""),"COMPLETE","PENDING")</x:f>
        <x:v>PENDING</x:v>
      </x:c>
      <x:c r="AF102" s="79" t="str">
        <x:f>IF(AE102="COMPLETE","YES","NO")</x:f>
        <x:v>NO</x:v>
      </x:c>
      <x:c r="AG102" s="214" t="str">
        <x:f>IF(AF102&lt;&gt;"YES","",(IF(V102="YES",1,0)+IF(W102="YES",1,0))/2)</x:f>
      </x:c>
    </x:row>
    <x:row r="103">
      <x:c r="A103" s="57" t="inlineStr">
        <x:is>
          <x:t xml:space="preserve">C0098</x:t>
        </x:is>
      </x:c>
      <x:c r="B103" s="57" t="inlineStr">
        <x:is>
          <x:t xml:space="preserve">Development</x:t>
        </x:is>
      </x:c>
      <x:c r="C103" s="57" t="inlineStr">
        <x:is>
          <x:t xml:space="preserve">OPEN</x:t>
        </x:is>
      </x:c>
      <x:c r="D103" s="57" t="inlineStr">
        <x:is>
          <x:t xml:space="preserve">ARG-010</x:t>
        </x:is>
      </x:c>
      <x:c r="E103" s="75" t="str">
        <x:f>INDEX('Company Universe'!$B$6:$B$105,MATCH(D103,'Company Universe'!$A$6:$A$105,0))</x:f>
        <x:v>Lam Research</x:v>
      </x:c>
      <x:c r="F103" s="75" t="str">
        <x:f>INDEX('Company Universe'!$C$6:$C$105,MATCH(D103,'Company Universe'!$A$6:$A$105,0))</x:f>
        <x:v>LRCX</x:v>
      </x:c>
      <x:c r="G103" s="75" t="str">
        <x:f>INDEX('Company Universe'!$F$6:$F$105,MATCH(D103,'Company Universe'!$A$6:$A$105,0))</x:f>
        <x:v>AI &amp; Semiconductors</x:v>
      </x:c>
      <x:c r="H103" s="57" t="n">
        <x:v>8</x:v>
      </x:c>
      <x:c r="I103" s="206" t="n"/>
      <x:c r="J103" s="71" t="n"/>
      <x:c r="K103" s="71" t="n"/>
      <x:c r="L103" s="71" t="inlineStr">
        <x:is>
          <x:t xml:space="preserve">NO</x:t>
        </x:is>
      </x:c>
      <x:c r="M103" s="71" t="n"/>
      <x:c r="N103" s="71" t="n"/>
      <x:c r="O103" s="71" t="n"/>
      <x:c r="P103" s="71" t="n"/>
      <x:c r="Q103" s="71" t="n"/>
      <x:c r="R103" s="71" t="n"/>
      <x:c r="S103" s="206" t="n"/>
      <x:c r="T103" s="71" t="n"/>
      <x:c r="U103" s="71" t="n"/>
      <x:c r="V103" s="71" t="n"/>
      <x:c r="W103" s="71" t="n"/>
      <x:c r="X103" s="71" t="n"/>
      <x:c r="Y103" s="71" t="n"/>
      <x:c r="Z103" s="71" t="n"/>
      <x:c r="AA103" s="71" t="n"/>
      <x:c r="AB103" s="71" t="inlineStr">
        <x:is>
          <x:t xml:space="preserve">NO</x:t>
        </x:is>
      </x:c>
      <x:c r="AC103" s="57" t="inlineStr">
        <x:is>
          <x:t xml:space="preserve">V10</x:t>
        </x:is>
      </x:c>
      <x:c r="AD103" s="57" t="n"/>
      <x:c r="AE103" s="79" t="str">
        <x:f>IF(AND(I103&lt;&gt;"",J103&lt;&gt;"",K103&lt;&gt;"",L103="YES",M103&lt;&gt;"",S103&lt;&gt;"",T103&lt;&gt;"",U103&lt;&gt;"",V103&lt;&gt;"",W103&lt;&gt;"",X103&lt;&gt;"",Y103&lt;&gt;""),"COMPLETE","PENDING")</x:f>
        <x:v>PENDING</x:v>
      </x:c>
      <x:c r="AF103" s="79" t="str">
        <x:f>IF(AE103="COMPLETE","YES","NO")</x:f>
        <x:v>NO</x:v>
      </x:c>
      <x:c r="AG103" s="214" t="str">
        <x:f>IF(AF103&lt;&gt;"YES","",(IF(V103="YES",1,0)+IF(W103="YES",1,0))/2)</x:f>
      </x:c>
    </x:row>
    <x:row r="104">
      <x:c r="A104" s="57" t="inlineStr">
        <x:is>
          <x:t xml:space="preserve">C0099</x:t>
        </x:is>
      </x:c>
      <x:c r="B104" s="57" t="inlineStr">
        <x:is>
          <x:t xml:space="preserve">Development</x:t>
        </x:is>
      </x:c>
      <x:c r="C104" s="57" t="inlineStr">
        <x:is>
          <x:t xml:space="preserve">OPEN</x:t>
        </x:is>
      </x:c>
      <x:c r="D104" s="57" t="inlineStr">
        <x:is>
          <x:t xml:space="preserve">ARG-010</x:t>
        </x:is>
      </x:c>
      <x:c r="E104" s="75" t="str">
        <x:f>INDEX('Company Universe'!$B$6:$B$105,MATCH(D104,'Company Universe'!$A$6:$A$105,0))</x:f>
        <x:v>Lam Research</x:v>
      </x:c>
      <x:c r="F104" s="75" t="str">
        <x:f>INDEX('Company Universe'!$C$6:$C$105,MATCH(D104,'Company Universe'!$A$6:$A$105,0))</x:f>
        <x:v>LRCX</x:v>
      </x:c>
      <x:c r="G104" s="75" t="str">
        <x:f>INDEX('Company Universe'!$F$6:$F$105,MATCH(D104,'Company Universe'!$A$6:$A$105,0))</x:f>
        <x:v>AI &amp; Semiconductors</x:v>
      </x:c>
      <x:c r="H104" s="57" t="n">
        <x:v>9</x:v>
      </x:c>
      <x:c r="I104" s="206" t="n"/>
      <x:c r="J104" s="71" t="n"/>
      <x:c r="K104" s="71" t="n"/>
      <x:c r="L104" s="71" t="inlineStr">
        <x:is>
          <x:t xml:space="preserve">NO</x:t>
        </x:is>
      </x:c>
      <x:c r="M104" s="71" t="n"/>
      <x:c r="N104" s="71" t="n"/>
      <x:c r="O104" s="71" t="n"/>
      <x:c r="P104" s="71" t="n"/>
      <x:c r="Q104" s="71" t="n"/>
      <x:c r="R104" s="71" t="n"/>
      <x:c r="S104" s="206" t="n"/>
      <x:c r="T104" s="71" t="n"/>
      <x:c r="U104" s="71" t="n"/>
      <x:c r="V104" s="71" t="n"/>
      <x:c r="W104" s="71" t="n"/>
      <x:c r="X104" s="71" t="n"/>
      <x:c r="Y104" s="71" t="n"/>
      <x:c r="Z104" s="71" t="n"/>
      <x:c r="AA104" s="71" t="n"/>
      <x:c r="AB104" s="71" t="inlineStr">
        <x:is>
          <x:t xml:space="preserve">NO</x:t>
        </x:is>
      </x:c>
      <x:c r="AC104" s="57" t="inlineStr">
        <x:is>
          <x:t xml:space="preserve">V10</x:t>
        </x:is>
      </x:c>
      <x:c r="AD104" s="57" t="n"/>
      <x:c r="AE104" s="79" t="str">
        <x:f>IF(AND(I104&lt;&gt;"",J104&lt;&gt;"",K104&lt;&gt;"",L104="YES",M104&lt;&gt;"",S104&lt;&gt;"",T104&lt;&gt;"",U104&lt;&gt;"",V104&lt;&gt;"",W104&lt;&gt;"",X104&lt;&gt;"",Y104&lt;&gt;""),"COMPLETE","PENDING")</x:f>
        <x:v>PENDING</x:v>
      </x:c>
      <x:c r="AF104" s="79" t="str">
        <x:f>IF(AE104="COMPLETE","YES","NO")</x:f>
        <x:v>NO</x:v>
      </x:c>
      <x:c r="AG104" s="214" t="str">
        <x:f>IF(AF104&lt;&gt;"YES","",(IF(V104="YES",1,0)+IF(W104="YES",1,0))/2)</x:f>
      </x:c>
    </x:row>
    <x:row r="105">
      <x:c r="A105" s="57" t="inlineStr">
        <x:is>
          <x:t xml:space="preserve">C0100</x:t>
        </x:is>
      </x:c>
      <x:c r="B105" s="57" t="inlineStr">
        <x:is>
          <x:t xml:space="preserve">Development</x:t>
        </x:is>
      </x:c>
      <x:c r="C105" s="57" t="inlineStr">
        <x:is>
          <x:t xml:space="preserve">OPEN</x:t>
        </x:is>
      </x:c>
      <x:c r="D105" s="57" t="inlineStr">
        <x:is>
          <x:t xml:space="preserve">ARG-010</x:t>
        </x:is>
      </x:c>
      <x:c r="E105" s="75" t="str">
        <x:f>INDEX('Company Universe'!$B$6:$B$105,MATCH(D105,'Company Universe'!$A$6:$A$105,0))</x:f>
        <x:v>Lam Research</x:v>
      </x:c>
      <x:c r="F105" s="75" t="str">
        <x:f>INDEX('Company Universe'!$C$6:$C$105,MATCH(D105,'Company Universe'!$A$6:$A$105,0))</x:f>
        <x:v>LRCX</x:v>
      </x:c>
      <x:c r="G105" s="75" t="str">
        <x:f>INDEX('Company Universe'!$F$6:$F$105,MATCH(D105,'Company Universe'!$A$6:$A$105,0))</x:f>
        <x:v>AI &amp; Semiconductors</x:v>
      </x:c>
      <x:c r="H105" s="57" t="n">
        <x:v>10</x:v>
      </x:c>
      <x:c r="I105" s="206" t="n"/>
      <x:c r="J105" s="71" t="n"/>
      <x:c r="K105" s="71" t="n"/>
      <x:c r="L105" s="71" t="inlineStr">
        <x:is>
          <x:t xml:space="preserve">NO</x:t>
        </x:is>
      </x:c>
      <x:c r="M105" s="71" t="n"/>
      <x:c r="N105" s="71" t="n"/>
      <x:c r="O105" s="71" t="n"/>
      <x:c r="P105" s="71" t="n"/>
      <x:c r="Q105" s="71" t="n"/>
      <x:c r="R105" s="71" t="n"/>
      <x:c r="S105" s="206" t="n"/>
      <x:c r="T105" s="71" t="n"/>
      <x:c r="U105" s="71" t="n"/>
      <x:c r="V105" s="71" t="n"/>
      <x:c r="W105" s="71" t="n"/>
      <x:c r="X105" s="71" t="n"/>
      <x:c r="Y105" s="71" t="n"/>
      <x:c r="Z105" s="71" t="n"/>
      <x:c r="AA105" s="71" t="n"/>
      <x:c r="AB105" s="71" t="inlineStr">
        <x:is>
          <x:t xml:space="preserve">NO</x:t>
        </x:is>
      </x:c>
      <x:c r="AC105" s="57" t="inlineStr">
        <x:is>
          <x:t xml:space="preserve">V10</x:t>
        </x:is>
      </x:c>
      <x:c r="AD105" s="57" t="n"/>
      <x:c r="AE105" s="79" t="str">
        <x:f>IF(AND(I105&lt;&gt;"",J105&lt;&gt;"",K105&lt;&gt;"",L105="YES",M105&lt;&gt;"",S105&lt;&gt;"",T105&lt;&gt;"",U105&lt;&gt;"",V105&lt;&gt;"",W105&lt;&gt;"",X105&lt;&gt;"",Y105&lt;&gt;""),"COMPLETE","PENDING")</x:f>
        <x:v>PENDING</x:v>
      </x:c>
      <x:c r="AF105" s="79" t="str">
        <x:f>IF(AE105="COMPLETE","YES","NO")</x:f>
        <x:v>NO</x:v>
      </x:c>
      <x:c r="AG105" s="214" t="str">
        <x:f>IF(AF105&lt;&gt;"YES","",(IF(V105="YES",1,0)+IF(W105="YES",1,0))/2)</x:f>
      </x:c>
    </x:row>
    <x:row r="106">
      <x:c r="A106" s="57" t="inlineStr">
        <x:is>
          <x:t xml:space="preserve">C0101</x:t>
        </x:is>
      </x:c>
      <x:c r="B106" s="57" t="inlineStr">
        <x:is>
          <x:t xml:space="preserve">Development</x:t>
        </x:is>
      </x:c>
      <x:c r="C106" s="57" t="inlineStr">
        <x:is>
          <x:t xml:space="preserve">OPEN</x:t>
        </x:is>
      </x:c>
      <x:c r="D106" s="57" t="inlineStr">
        <x:is>
          <x:t xml:space="preserve">ARG-011</x:t>
        </x:is>
      </x:c>
      <x:c r="E106" s="75" t="str">
        <x:f>INDEX('Company Universe'!$B$6:$B$105,MATCH(D106,'Company Universe'!$A$6:$A$105,0))</x:f>
        <x:v>Micron Technology</x:v>
      </x:c>
      <x:c r="F106" s="75" t="str">
        <x:f>INDEX('Company Universe'!$C$6:$C$105,MATCH(D106,'Company Universe'!$A$6:$A$105,0))</x:f>
        <x:v>MU</x:v>
      </x:c>
      <x:c r="G106" s="75" t="str">
        <x:f>INDEX('Company Universe'!$F$6:$F$105,MATCH(D106,'Company Universe'!$A$6:$A$105,0))</x:f>
        <x:v>AI &amp; Semiconductors</x:v>
      </x:c>
      <x:c r="H106" s="57" t="n">
        <x:v>1</x:v>
      </x:c>
      <x:c r="I106" s="206" t="n"/>
      <x:c r="J106" s="71" t="n"/>
      <x:c r="K106" s="71" t="n"/>
      <x:c r="L106" s="71" t="inlineStr">
        <x:is>
          <x:t xml:space="preserve">NO</x:t>
        </x:is>
      </x:c>
      <x:c r="M106" s="71" t="n"/>
      <x:c r="N106" s="71" t="n"/>
      <x:c r="O106" s="71" t="n"/>
      <x:c r="P106" s="71" t="n"/>
      <x:c r="Q106" s="71" t="n"/>
      <x:c r="R106" s="71" t="n"/>
      <x:c r="S106" s="206" t="n"/>
      <x:c r="T106" s="71" t="n"/>
      <x:c r="U106" s="71" t="n"/>
      <x:c r="V106" s="71" t="n"/>
      <x:c r="W106" s="71" t="n"/>
      <x:c r="X106" s="71" t="n"/>
      <x:c r="Y106" s="71" t="n"/>
      <x:c r="Z106" s="71" t="n"/>
      <x:c r="AA106" s="71" t="n"/>
      <x:c r="AB106" s="71" t="inlineStr">
        <x:is>
          <x:t xml:space="preserve">NO</x:t>
        </x:is>
      </x:c>
      <x:c r="AC106" s="57" t="inlineStr">
        <x:is>
          <x:t xml:space="preserve">V10</x:t>
        </x:is>
      </x:c>
      <x:c r="AD106" s="57" t="n"/>
      <x:c r="AE106" s="79" t="str">
        <x:f>IF(AND(I106&lt;&gt;"",J106&lt;&gt;"",K106&lt;&gt;"",L106="YES",M106&lt;&gt;"",S106&lt;&gt;"",T106&lt;&gt;"",U106&lt;&gt;"",V106&lt;&gt;"",W106&lt;&gt;"",X106&lt;&gt;"",Y106&lt;&gt;""),"COMPLETE","PENDING")</x:f>
        <x:v>PENDING</x:v>
      </x:c>
      <x:c r="AF106" s="79" t="str">
        <x:f>IF(AE106="COMPLETE","YES","NO")</x:f>
        <x:v>NO</x:v>
      </x:c>
      <x:c r="AG106" s="214" t="str">
        <x:f>IF(AF106&lt;&gt;"YES","",(IF(V106="YES",1,0)+IF(W106="YES",1,0))/2)</x:f>
      </x:c>
    </x:row>
    <x:row r="107">
      <x:c r="A107" s="57" t="inlineStr">
        <x:is>
          <x:t xml:space="preserve">C0102</x:t>
        </x:is>
      </x:c>
      <x:c r="B107" s="57" t="inlineStr">
        <x:is>
          <x:t xml:space="preserve">Development</x:t>
        </x:is>
      </x:c>
      <x:c r="C107" s="57" t="inlineStr">
        <x:is>
          <x:t xml:space="preserve">OPEN</x:t>
        </x:is>
      </x:c>
      <x:c r="D107" s="57" t="inlineStr">
        <x:is>
          <x:t xml:space="preserve">ARG-011</x:t>
        </x:is>
      </x:c>
      <x:c r="E107" s="75" t="str">
        <x:f>INDEX('Company Universe'!$B$6:$B$105,MATCH(D107,'Company Universe'!$A$6:$A$105,0))</x:f>
        <x:v>Micron Technology</x:v>
      </x:c>
      <x:c r="F107" s="75" t="str">
        <x:f>INDEX('Company Universe'!$C$6:$C$105,MATCH(D107,'Company Universe'!$A$6:$A$105,0))</x:f>
        <x:v>MU</x:v>
      </x:c>
      <x:c r="G107" s="75" t="str">
        <x:f>INDEX('Company Universe'!$F$6:$F$105,MATCH(D107,'Company Universe'!$A$6:$A$105,0))</x:f>
        <x:v>AI &amp; Semiconductors</x:v>
      </x:c>
      <x:c r="H107" s="57" t="n">
        <x:v>2</x:v>
      </x:c>
      <x:c r="I107" s="206" t="n"/>
      <x:c r="J107" s="71" t="n"/>
      <x:c r="K107" s="71" t="n"/>
      <x:c r="L107" s="71" t="inlineStr">
        <x:is>
          <x:t xml:space="preserve">NO</x:t>
        </x:is>
      </x:c>
      <x:c r="M107" s="71" t="n"/>
      <x:c r="N107" s="71" t="n"/>
      <x:c r="O107" s="71" t="n"/>
      <x:c r="P107" s="71" t="n"/>
      <x:c r="Q107" s="71" t="n"/>
      <x:c r="R107" s="71" t="n"/>
      <x:c r="S107" s="206" t="n"/>
      <x:c r="T107" s="71" t="n"/>
      <x:c r="U107" s="71" t="n"/>
      <x:c r="V107" s="71" t="n"/>
      <x:c r="W107" s="71" t="n"/>
      <x:c r="X107" s="71" t="n"/>
      <x:c r="Y107" s="71" t="n"/>
      <x:c r="Z107" s="71" t="n"/>
      <x:c r="AA107" s="71" t="n"/>
      <x:c r="AB107" s="71" t="inlineStr">
        <x:is>
          <x:t xml:space="preserve">NO</x:t>
        </x:is>
      </x:c>
      <x:c r="AC107" s="57" t="inlineStr">
        <x:is>
          <x:t xml:space="preserve">V10</x:t>
        </x:is>
      </x:c>
      <x:c r="AD107" s="57" t="n"/>
      <x:c r="AE107" s="79" t="str">
        <x:f>IF(AND(I107&lt;&gt;"",J107&lt;&gt;"",K107&lt;&gt;"",L107="YES",M107&lt;&gt;"",S107&lt;&gt;"",T107&lt;&gt;"",U107&lt;&gt;"",V107&lt;&gt;"",W107&lt;&gt;"",X107&lt;&gt;"",Y107&lt;&gt;""),"COMPLETE","PENDING")</x:f>
        <x:v>PENDING</x:v>
      </x:c>
      <x:c r="AF107" s="79" t="str">
        <x:f>IF(AE107="COMPLETE","YES","NO")</x:f>
        <x:v>NO</x:v>
      </x:c>
      <x:c r="AG107" s="214" t="str">
        <x:f>IF(AF107&lt;&gt;"YES","",(IF(V107="YES",1,0)+IF(W107="YES",1,0))/2)</x:f>
      </x:c>
    </x:row>
    <x:row r="108">
      <x:c r="A108" s="57" t="inlineStr">
        <x:is>
          <x:t xml:space="preserve">C0103</x:t>
        </x:is>
      </x:c>
      <x:c r="B108" s="57" t="inlineStr">
        <x:is>
          <x:t xml:space="preserve">Development</x:t>
        </x:is>
      </x:c>
      <x:c r="C108" s="57" t="inlineStr">
        <x:is>
          <x:t xml:space="preserve">OPEN</x:t>
        </x:is>
      </x:c>
      <x:c r="D108" s="57" t="inlineStr">
        <x:is>
          <x:t xml:space="preserve">ARG-011</x:t>
        </x:is>
      </x:c>
      <x:c r="E108" s="75" t="str">
        <x:f>INDEX('Company Universe'!$B$6:$B$105,MATCH(D108,'Company Universe'!$A$6:$A$105,0))</x:f>
        <x:v>Micron Technology</x:v>
      </x:c>
      <x:c r="F108" s="75" t="str">
        <x:f>INDEX('Company Universe'!$C$6:$C$105,MATCH(D108,'Company Universe'!$A$6:$A$105,0))</x:f>
        <x:v>MU</x:v>
      </x:c>
      <x:c r="G108" s="75" t="str">
        <x:f>INDEX('Company Universe'!$F$6:$F$105,MATCH(D108,'Company Universe'!$A$6:$A$105,0))</x:f>
        <x:v>AI &amp; Semiconductors</x:v>
      </x:c>
      <x:c r="H108" s="57" t="n">
        <x:v>3</x:v>
      </x:c>
      <x:c r="I108" s="206" t="n"/>
      <x:c r="J108" s="71" t="n"/>
      <x:c r="K108" s="71" t="n"/>
      <x:c r="L108" s="71" t="inlineStr">
        <x:is>
          <x:t xml:space="preserve">NO</x:t>
        </x:is>
      </x:c>
      <x:c r="M108" s="71" t="n"/>
      <x:c r="N108" s="71" t="n"/>
      <x:c r="O108" s="71" t="n"/>
      <x:c r="P108" s="71" t="n"/>
      <x:c r="Q108" s="71" t="n"/>
      <x:c r="R108" s="71" t="n"/>
      <x:c r="S108" s="206" t="n"/>
      <x:c r="T108" s="71" t="n"/>
      <x:c r="U108" s="71" t="n"/>
      <x:c r="V108" s="71" t="n"/>
      <x:c r="W108" s="71" t="n"/>
      <x:c r="X108" s="71" t="n"/>
      <x:c r="Y108" s="71" t="n"/>
      <x:c r="Z108" s="71" t="n"/>
      <x:c r="AA108" s="71" t="n"/>
      <x:c r="AB108" s="71" t="inlineStr">
        <x:is>
          <x:t xml:space="preserve">NO</x:t>
        </x:is>
      </x:c>
      <x:c r="AC108" s="57" t="inlineStr">
        <x:is>
          <x:t xml:space="preserve">V10</x:t>
        </x:is>
      </x:c>
      <x:c r="AD108" s="57" t="n"/>
      <x:c r="AE108" s="79" t="str">
        <x:f>IF(AND(I108&lt;&gt;"",J108&lt;&gt;"",K108&lt;&gt;"",L108="YES",M108&lt;&gt;"",S108&lt;&gt;"",T108&lt;&gt;"",U108&lt;&gt;"",V108&lt;&gt;"",W108&lt;&gt;"",X108&lt;&gt;"",Y108&lt;&gt;""),"COMPLETE","PENDING")</x:f>
        <x:v>PENDING</x:v>
      </x:c>
      <x:c r="AF108" s="79" t="str">
        <x:f>IF(AE108="COMPLETE","YES","NO")</x:f>
        <x:v>NO</x:v>
      </x:c>
      <x:c r="AG108" s="214" t="str">
        <x:f>IF(AF108&lt;&gt;"YES","",(IF(V108="YES",1,0)+IF(W108="YES",1,0))/2)</x:f>
      </x:c>
    </x:row>
    <x:row r="109">
      <x:c r="A109" s="57" t="inlineStr">
        <x:is>
          <x:t xml:space="preserve">C0104</x:t>
        </x:is>
      </x:c>
      <x:c r="B109" s="57" t="inlineStr">
        <x:is>
          <x:t xml:space="preserve">Development</x:t>
        </x:is>
      </x:c>
      <x:c r="C109" s="57" t="inlineStr">
        <x:is>
          <x:t xml:space="preserve">OPEN</x:t>
        </x:is>
      </x:c>
      <x:c r="D109" s="57" t="inlineStr">
        <x:is>
          <x:t xml:space="preserve">ARG-011</x:t>
        </x:is>
      </x:c>
      <x:c r="E109" s="75" t="str">
        <x:f>INDEX('Company Universe'!$B$6:$B$105,MATCH(D109,'Company Universe'!$A$6:$A$105,0))</x:f>
        <x:v>Micron Technology</x:v>
      </x:c>
      <x:c r="F109" s="75" t="str">
        <x:f>INDEX('Company Universe'!$C$6:$C$105,MATCH(D109,'Company Universe'!$A$6:$A$105,0))</x:f>
        <x:v>MU</x:v>
      </x:c>
      <x:c r="G109" s="75" t="str">
        <x:f>INDEX('Company Universe'!$F$6:$F$105,MATCH(D109,'Company Universe'!$A$6:$A$105,0))</x:f>
        <x:v>AI &amp; Semiconductors</x:v>
      </x:c>
      <x:c r="H109" s="57" t="n">
        <x:v>4</x:v>
      </x:c>
      <x:c r="I109" s="206" t="n"/>
      <x:c r="J109" s="71" t="n"/>
      <x:c r="K109" s="71" t="n"/>
      <x:c r="L109" s="71" t="inlineStr">
        <x:is>
          <x:t xml:space="preserve">NO</x:t>
        </x:is>
      </x:c>
      <x:c r="M109" s="71" t="n"/>
      <x:c r="N109" s="71" t="n"/>
      <x:c r="O109" s="71" t="n"/>
      <x:c r="P109" s="71" t="n"/>
      <x:c r="Q109" s="71" t="n"/>
      <x:c r="R109" s="71" t="n"/>
      <x:c r="S109" s="206" t="n"/>
      <x:c r="T109" s="71" t="n"/>
      <x:c r="U109" s="71" t="n"/>
      <x:c r="V109" s="71" t="n"/>
      <x:c r="W109" s="71" t="n"/>
      <x:c r="X109" s="71" t="n"/>
      <x:c r="Y109" s="71" t="n"/>
      <x:c r="Z109" s="71" t="n"/>
      <x:c r="AA109" s="71" t="n"/>
      <x:c r="AB109" s="71" t="inlineStr">
        <x:is>
          <x:t xml:space="preserve">NO</x:t>
        </x:is>
      </x:c>
      <x:c r="AC109" s="57" t="inlineStr">
        <x:is>
          <x:t xml:space="preserve">V10</x:t>
        </x:is>
      </x:c>
      <x:c r="AD109" s="57" t="n"/>
      <x:c r="AE109" s="79" t="str">
        <x:f>IF(AND(I109&lt;&gt;"",J109&lt;&gt;"",K109&lt;&gt;"",L109="YES",M109&lt;&gt;"",S109&lt;&gt;"",T109&lt;&gt;"",U109&lt;&gt;"",V109&lt;&gt;"",W109&lt;&gt;"",X109&lt;&gt;"",Y109&lt;&gt;""),"COMPLETE","PENDING")</x:f>
        <x:v>PENDING</x:v>
      </x:c>
      <x:c r="AF109" s="79" t="str">
        <x:f>IF(AE109="COMPLETE","YES","NO")</x:f>
        <x:v>NO</x:v>
      </x:c>
      <x:c r="AG109" s="214" t="str">
        <x:f>IF(AF109&lt;&gt;"YES","",(IF(V109="YES",1,0)+IF(W109="YES",1,0))/2)</x:f>
      </x:c>
    </x:row>
    <x:row r="110">
      <x:c r="A110" s="57" t="inlineStr">
        <x:is>
          <x:t xml:space="preserve">C0105</x:t>
        </x:is>
      </x:c>
      <x:c r="B110" s="57" t="inlineStr">
        <x:is>
          <x:t xml:space="preserve">Development</x:t>
        </x:is>
      </x:c>
      <x:c r="C110" s="57" t="inlineStr">
        <x:is>
          <x:t xml:space="preserve">OPEN</x:t>
        </x:is>
      </x:c>
      <x:c r="D110" s="57" t="inlineStr">
        <x:is>
          <x:t xml:space="preserve">ARG-011</x:t>
        </x:is>
      </x:c>
      <x:c r="E110" s="75" t="str">
        <x:f>INDEX('Company Universe'!$B$6:$B$105,MATCH(D110,'Company Universe'!$A$6:$A$105,0))</x:f>
        <x:v>Micron Technology</x:v>
      </x:c>
      <x:c r="F110" s="75" t="str">
        <x:f>INDEX('Company Universe'!$C$6:$C$105,MATCH(D110,'Company Universe'!$A$6:$A$105,0))</x:f>
        <x:v>MU</x:v>
      </x:c>
      <x:c r="G110" s="75" t="str">
        <x:f>INDEX('Company Universe'!$F$6:$F$105,MATCH(D110,'Company Universe'!$A$6:$A$105,0))</x:f>
        <x:v>AI &amp; Semiconductors</x:v>
      </x:c>
      <x:c r="H110" s="57" t="n">
        <x:v>5</x:v>
      </x:c>
      <x:c r="I110" s="206" t="n"/>
      <x:c r="J110" s="71" t="n"/>
      <x:c r="K110" s="71" t="n"/>
      <x:c r="L110" s="71" t="inlineStr">
        <x:is>
          <x:t xml:space="preserve">NO</x:t>
        </x:is>
      </x:c>
      <x:c r="M110" s="71" t="n"/>
      <x:c r="N110" s="71" t="n"/>
      <x:c r="O110" s="71" t="n"/>
      <x:c r="P110" s="71" t="n"/>
      <x:c r="Q110" s="71" t="n"/>
      <x:c r="R110" s="71" t="n"/>
      <x:c r="S110" s="206" t="n"/>
      <x:c r="T110" s="71" t="n"/>
      <x:c r="U110" s="71" t="n"/>
      <x:c r="V110" s="71" t="n"/>
      <x:c r="W110" s="71" t="n"/>
      <x:c r="X110" s="71" t="n"/>
      <x:c r="Y110" s="71" t="n"/>
      <x:c r="Z110" s="71" t="n"/>
      <x:c r="AA110" s="71" t="n"/>
      <x:c r="AB110" s="71" t="inlineStr">
        <x:is>
          <x:t xml:space="preserve">NO</x:t>
        </x:is>
      </x:c>
      <x:c r="AC110" s="57" t="inlineStr">
        <x:is>
          <x:t xml:space="preserve">V10</x:t>
        </x:is>
      </x:c>
      <x:c r="AD110" s="57" t="n"/>
      <x:c r="AE110" s="79" t="str">
        <x:f>IF(AND(I110&lt;&gt;"",J110&lt;&gt;"",K110&lt;&gt;"",L110="YES",M110&lt;&gt;"",S110&lt;&gt;"",T110&lt;&gt;"",U110&lt;&gt;"",V110&lt;&gt;"",W110&lt;&gt;"",X110&lt;&gt;"",Y110&lt;&gt;""),"COMPLETE","PENDING")</x:f>
        <x:v>PENDING</x:v>
      </x:c>
      <x:c r="AF110" s="79" t="str">
        <x:f>IF(AE110="COMPLETE","YES","NO")</x:f>
        <x:v>NO</x:v>
      </x:c>
      <x:c r="AG110" s="214" t="str">
        <x:f>IF(AF110&lt;&gt;"YES","",(IF(V110="YES",1,0)+IF(W110="YES",1,0))/2)</x:f>
      </x:c>
    </x:row>
    <x:row r="111">
      <x:c r="A111" s="57" t="inlineStr">
        <x:is>
          <x:t xml:space="preserve">C0106</x:t>
        </x:is>
      </x:c>
      <x:c r="B111" s="57" t="inlineStr">
        <x:is>
          <x:t xml:space="preserve">Development</x:t>
        </x:is>
      </x:c>
      <x:c r="C111" s="57" t="inlineStr">
        <x:is>
          <x:t xml:space="preserve">OPEN</x:t>
        </x:is>
      </x:c>
      <x:c r="D111" s="57" t="inlineStr">
        <x:is>
          <x:t xml:space="preserve">ARG-011</x:t>
        </x:is>
      </x:c>
      <x:c r="E111" s="75" t="str">
        <x:f>INDEX('Company Universe'!$B$6:$B$105,MATCH(D111,'Company Universe'!$A$6:$A$105,0))</x:f>
        <x:v>Micron Technology</x:v>
      </x:c>
      <x:c r="F111" s="75" t="str">
        <x:f>INDEX('Company Universe'!$C$6:$C$105,MATCH(D111,'Company Universe'!$A$6:$A$105,0))</x:f>
        <x:v>MU</x:v>
      </x:c>
      <x:c r="G111" s="75" t="str">
        <x:f>INDEX('Company Universe'!$F$6:$F$105,MATCH(D111,'Company Universe'!$A$6:$A$105,0))</x:f>
        <x:v>AI &amp; Semiconductors</x:v>
      </x:c>
      <x:c r="H111" s="57" t="n">
        <x:v>6</x:v>
      </x:c>
      <x:c r="I111" s="206" t="n"/>
      <x:c r="J111" s="71" t="n"/>
      <x:c r="K111" s="71" t="n"/>
      <x:c r="L111" s="71" t="inlineStr">
        <x:is>
          <x:t xml:space="preserve">NO</x:t>
        </x:is>
      </x:c>
      <x:c r="M111" s="71" t="n"/>
      <x:c r="N111" s="71" t="n"/>
      <x:c r="O111" s="71" t="n"/>
      <x:c r="P111" s="71" t="n"/>
      <x:c r="Q111" s="71" t="n"/>
      <x:c r="R111" s="71" t="n"/>
      <x:c r="S111" s="206" t="n"/>
      <x:c r="T111" s="71" t="n"/>
      <x:c r="U111" s="71" t="n"/>
      <x:c r="V111" s="71" t="n"/>
      <x:c r="W111" s="71" t="n"/>
      <x:c r="X111" s="71" t="n"/>
      <x:c r="Y111" s="71" t="n"/>
      <x:c r="Z111" s="71" t="n"/>
      <x:c r="AA111" s="71" t="n"/>
      <x:c r="AB111" s="71" t="inlineStr">
        <x:is>
          <x:t xml:space="preserve">NO</x:t>
        </x:is>
      </x:c>
      <x:c r="AC111" s="57" t="inlineStr">
        <x:is>
          <x:t xml:space="preserve">V10</x:t>
        </x:is>
      </x:c>
      <x:c r="AD111" s="57" t="n"/>
      <x:c r="AE111" s="79" t="str">
        <x:f>IF(AND(I111&lt;&gt;"",J111&lt;&gt;"",K111&lt;&gt;"",L111="YES",M111&lt;&gt;"",S111&lt;&gt;"",T111&lt;&gt;"",U111&lt;&gt;"",V111&lt;&gt;"",W111&lt;&gt;"",X111&lt;&gt;"",Y111&lt;&gt;""),"COMPLETE","PENDING")</x:f>
        <x:v>PENDING</x:v>
      </x:c>
      <x:c r="AF111" s="79" t="str">
        <x:f>IF(AE111="COMPLETE","YES","NO")</x:f>
        <x:v>NO</x:v>
      </x:c>
      <x:c r="AG111" s="214" t="str">
        <x:f>IF(AF111&lt;&gt;"YES","",(IF(V111="YES",1,0)+IF(W111="YES",1,0))/2)</x:f>
      </x:c>
    </x:row>
    <x:row r="112">
      <x:c r="A112" s="57" t="inlineStr">
        <x:is>
          <x:t xml:space="preserve">C0107</x:t>
        </x:is>
      </x:c>
      <x:c r="B112" s="57" t="inlineStr">
        <x:is>
          <x:t xml:space="preserve">Development</x:t>
        </x:is>
      </x:c>
      <x:c r="C112" s="57" t="inlineStr">
        <x:is>
          <x:t xml:space="preserve">OPEN</x:t>
        </x:is>
      </x:c>
      <x:c r="D112" s="57" t="inlineStr">
        <x:is>
          <x:t xml:space="preserve">ARG-011</x:t>
        </x:is>
      </x:c>
      <x:c r="E112" s="75" t="str">
        <x:f>INDEX('Company Universe'!$B$6:$B$105,MATCH(D112,'Company Universe'!$A$6:$A$105,0))</x:f>
        <x:v>Micron Technology</x:v>
      </x:c>
      <x:c r="F112" s="75" t="str">
        <x:f>INDEX('Company Universe'!$C$6:$C$105,MATCH(D112,'Company Universe'!$A$6:$A$105,0))</x:f>
        <x:v>MU</x:v>
      </x:c>
      <x:c r="G112" s="75" t="str">
        <x:f>INDEX('Company Universe'!$F$6:$F$105,MATCH(D112,'Company Universe'!$A$6:$A$105,0))</x:f>
        <x:v>AI &amp; Semiconductors</x:v>
      </x:c>
      <x:c r="H112" s="57" t="n">
        <x:v>7</x:v>
      </x:c>
      <x:c r="I112" s="206" t="n"/>
      <x:c r="J112" s="71" t="n"/>
      <x:c r="K112" s="71" t="n"/>
      <x:c r="L112" s="71" t="inlineStr">
        <x:is>
          <x:t xml:space="preserve">NO</x:t>
        </x:is>
      </x:c>
      <x:c r="M112" s="71" t="n"/>
      <x:c r="N112" s="71" t="n"/>
      <x:c r="O112" s="71" t="n"/>
      <x:c r="P112" s="71" t="n"/>
      <x:c r="Q112" s="71" t="n"/>
      <x:c r="R112" s="71" t="n"/>
      <x:c r="S112" s="206" t="n"/>
      <x:c r="T112" s="71" t="n"/>
      <x:c r="U112" s="71" t="n"/>
      <x:c r="V112" s="71" t="n"/>
      <x:c r="W112" s="71" t="n"/>
      <x:c r="X112" s="71" t="n"/>
      <x:c r="Y112" s="71" t="n"/>
      <x:c r="Z112" s="71" t="n"/>
      <x:c r="AA112" s="71" t="n"/>
      <x:c r="AB112" s="71" t="inlineStr">
        <x:is>
          <x:t xml:space="preserve">NO</x:t>
        </x:is>
      </x:c>
      <x:c r="AC112" s="57" t="inlineStr">
        <x:is>
          <x:t xml:space="preserve">V10</x:t>
        </x:is>
      </x:c>
      <x:c r="AD112" s="57" t="n"/>
      <x:c r="AE112" s="79" t="str">
        <x:f>IF(AND(I112&lt;&gt;"",J112&lt;&gt;"",K112&lt;&gt;"",L112="YES",M112&lt;&gt;"",S112&lt;&gt;"",T112&lt;&gt;"",U112&lt;&gt;"",V112&lt;&gt;"",W112&lt;&gt;"",X112&lt;&gt;"",Y112&lt;&gt;""),"COMPLETE","PENDING")</x:f>
        <x:v>PENDING</x:v>
      </x:c>
      <x:c r="AF112" s="79" t="str">
        <x:f>IF(AE112="COMPLETE","YES","NO")</x:f>
        <x:v>NO</x:v>
      </x:c>
      <x:c r="AG112" s="214" t="str">
        <x:f>IF(AF112&lt;&gt;"YES","",(IF(V112="YES",1,0)+IF(W112="YES",1,0))/2)</x:f>
      </x:c>
    </x:row>
    <x:row r="113">
      <x:c r="A113" s="57" t="inlineStr">
        <x:is>
          <x:t xml:space="preserve">C0108</x:t>
        </x:is>
      </x:c>
      <x:c r="B113" s="57" t="inlineStr">
        <x:is>
          <x:t xml:space="preserve">Development</x:t>
        </x:is>
      </x:c>
      <x:c r="C113" s="57" t="inlineStr">
        <x:is>
          <x:t xml:space="preserve">OPEN</x:t>
        </x:is>
      </x:c>
      <x:c r="D113" s="57" t="inlineStr">
        <x:is>
          <x:t xml:space="preserve">ARG-011</x:t>
        </x:is>
      </x:c>
      <x:c r="E113" s="75" t="str">
        <x:f>INDEX('Company Universe'!$B$6:$B$105,MATCH(D113,'Company Universe'!$A$6:$A$105,0))</x:f>
        <x:v>Micron Technology</x:v>
      </x:c>
      <x:c r="F113" s="75" t="str">
        <x:f>INDEX('Company Universe'!$C$6:$C$105,MATCH(D113,'Company Universe'!$A$6:$A$105,0))</x:f>
        <x:v>MU</x:v>
      </x:c>
      <x:c r="G113" s="75" t="str">
        <x:f>INDEX('Company Universe'!$F$6:$F$105,MATCH(D113,'Company Universe'!$A$6:$A$105,0))</x:f>
        <x:v>AI &amp; Semiconductors</x:v>
      </x:c>
      <x:c r="H113" s="57" t="n">
        <x:v>8</x:v>
      </x:c>
      <x:c r="I113" s="206" t="n"/>
      <x:c r="J113" s="71" t="n"/>
      <x:c r="K113" s="71" t="n"/>
      <x:c r="L113" s="71" t="inlineStr">
        <x:is>
          <x:t xml:space="preserve">NO</x:t>
        </x:is>
      </x:c>
      <x:c r="M113" s="71" t="n"/>
      <x:c r="N113" s="71" t="n"/>
      <x:c r="O113" s="71" t="n"/>
      <x:c r="P113" s="71" t="n"/>
      <x:c r="Q113" s="71" t="n"/>
      <x:c r="R113" s="71" t="n"/>
      <x:c r="S113" s="206" t="n"/>
      <x:c r="T113" s="71" t="n"/>
      <x:c r="U113" s="71" t="n"/>
      <x:c r="V113" s="71" t="n"/>
      <x:c r="W113" s="71" t="n"/>
      <x:c r="X113" s="71" t="n"/>
      <x:c r="Y113" s="71" t="n"/>
      <x:c r="Z113" s="71" t="n"/>
      <x:c r="AA113" s="71" t="n"/>
      <x:c r="AB113" s="71" t="inlineStr">
        <x:is>
          <x:t xml:space="preserve">NO</x:t>
        </x:is>
      </x:c>
      <x:c r="AC113" s="57" t="inlineStr">
        <x:is>
          <x:t xml:space="preserve">V10</x:t>
        </x:is>
      </x:c>
      <x:c r="AD113" s="57" t="n"/>
      <x:c r="AE113" s="79" t="str">
        <x:f>IF(AND(I113&lt;&gt;"",J113&lt;&gt;"",K113&lt;&gt;"",L113="YES",M113&lt;&gt;"",S113&lt;&gt;"",T113&lt;&gt;"",U113&lt;&gt;"",V113&lt;&gt;"",W113&lt;&gt;"",X113&lt;&gt;"",Y113&lt;&gt;""),"COMPLETE","PENDING")</x:f>
        <x:v>PENDING</x:v>
      </x:c>
      <x:c r="AF113" s="79" t="str">
        <x:f>IF(AE113="COMPLETE","YES","NO")</x:f>
        <x:v>NO</x:v>
      </x:c>
      <x:c r="AG113" s="214" t="str">
        <x:f>IF(AF113&lt;&gt;"YES","",(IF(V113="YES",1,0)+IF(W113="YES",1,0))/2)</x:f>
      </x:c>
    </x:row>
    <x:row r="114">
      <x:c r="A114" s="57" t="inlineStr">
        <x:is>
          <x:t xml:space="preserve">C0109</x:t>
        </x:is>
      </x:c>
      <x:c r="B114" s="57" t="inlineStr">
        <x:is>
          <x:t xml:space="preserve">Development</x:t>
        </x:is>
      </x:c>
      <x:c r="C114" s="57" t="inlineStr">
        <x:is>
          <x:t xml:space="preserve">OPEN</x:t>
        </x:is>
      </x:c>
      <x:c r="D114" s="57" t="inlineStr">
        <x:is>
          <x:t xml:space="preserve">ARG-011</x:t>
        </x:is>
      </x:c>
      <x:c r="E114" s="75" t="str">
        <x:f>INDEX('Company Universe'!$B$6:$B$105,MATCH(D114,'Company Universe'!$A$6:$A$105,0))</x:f>
        <x:v>Micron Technology</x:v>
      </x:c>
      <x:c r="F114" s="75" t="str">
        <x:f>INDEX('Company Universe'!$C$6:$C$105,MATCH(D114,'Company Universe'!$A$6:$A$105,0))</x:f>
        <x:v>MU</x:v>
      </x:c>
      <x:c r="G114" s="75" t="str">
        <x:f>INDEX('Company Universe'!$F$6:$F$105,MATCH(D114,'Company Universe'!$A$6:$A$105,0))</x:f>
        <x:v>AI &amp; Semiconductors</x:v>
      </x:c>
      <x:c r="H114" s="57" t="n">
        <x:v>9</x:v>
      </x:c>
      <x:c r="I114" s="206" t="n"/>
      <x:c r="J114" s="71" t="n"/>
      <x:c r="K114" s="71" t="n"/>
      <x:c r="L114" s="71" t="inlineStr">
        <x:is>
          <x:t xml:space="preserve">NO</x:t>
        </x:is>
      </x:c>
      <x:c r="M114" s="71" t="n"/>
      <x:c r="N114" s="71" t="n"/>
      <x:c r="O114" s="71" t="n"/>
      <x:c r="P114" s="71" t="n"/>
      <x:c r="Q114" s="71" t="n"/>
      <x:c r="R114" s="71" t="n"/>
      <x:c r="S114" s="206" t="n"/>
      <x:c r="T114" s="71" t="n"/>
      <x:c r="U114" s="71" t="n"/>
      <x:c r="V114" s="71" t="n"/>
      <x:c r="W114" s="71" t="n"/>
      <x:c r="X114" s="71" t="n"/>
      <x:c r="Y114" s="71" t="n"/>
      <x:c r="Z114" s="71" t="n"/>
      <x:c r="AA114" s="71" t="n"/>
      <x:c r="AB114" s="71" t="inlineStr">
        <x:is>
          <x:t xml:space="preserve">NO</x:t>
        </x:is>
      </x:c>
      <x:c r="AC114" s="57" t="inlineStr">
        <x:is>
          <x:t xml:space="preserve">V10</x:t>
        </x:is>
      </x:c>
      <x:c r="AD114" s="57" t="n"/>
      <x:c r="AE114" s="79" t="str">
        <x:f>IF(AND(I114&lt;&gt;"",J114&lt;&gt;"",K114&lt;&gt;"",L114="YES",M114&lt;&gt;"",S114&lt;&gt;"",T114&lt;&gt;"",U114&lt;&gt;"",V114&lt;&gt;"",W114&lt;&gt;"",X114&lt;&gt;"",Y114&lt;&gt;""),"COMPLETE","PENDING")</x:f>
        <x:v>PENDING</x:v>
      </x:c>
      <x:c r="AF114" s="79" t="str">
        <x:f>IF(AE114="COMPLETE","YES","NO")</x:f>
        <x:v>NO</x:v>
      </x:c>
      <x:c r="AG114" s="214" t="str">
        <x:f>IF(AF114&lt;&gt;"YES","",(IF(V114="YES",1,0)+IF(W114="YES",1,0))/2)</x:f>
      </x:c>
    </x:row>
    <x:row r="115">
      <x:c r="A115" s="57" t="inlineStr">
        <x:is>
          <x:t xml:space="preserve">C0110</x:t>
        </x:is>
      </x:c>
      <x:c r="B115" s="57" t="inlineStr">
        <x:is>
          <x:t xml:space="preserve">Development</x:t>
        </x:is>
      </x:c>
      <x:c r="C115" s="57" t="inlineStr">
        <x:is>
          <x:t xml:space="preserve">OPEN</x:t>
        </x:is>
      </x:c>
      <x:c r="D115" s="57" t="inlineStr">
        <x:is>
          <x:t xml:space="preserve">ARG-011</x:t>
        </x:is>
      </x:c>
      <x:c r="E115" s="75" t="str">
        <x:f>INDEX('Company Universe'!$B$6:$B$105,MATCH(D115,'Company Universe'!$A$6:$A$105,0))</x:f>
        <x:v>Micron Technology</x:v>
      </x:c>
      <x:c r="F115" s="75" t="str">
        <x:f>INDEX('Company Universe'!$C$6:$C$105,MATCH(D115,'Company Universe'!$A$6:$A$105,0))</x:f>
        <x:v>MU</x:v>
      </x:c>
      <x:c r="G115" s="75" t="str">
        <x:f>INDEX('Company Universe'!$F$6:$F$105,MATCH(D115,'Company Universe'!$A$6:$A$105,0))</x:f>
        <x:v>AI &amp; Semiconductors</x:v>
      </x:c>
      <x:c r="H115" s="57" t="n">
        <x:v>10</x:v>
      </x:c>
      <x:c r="I115" s="206" t="n"/>
      <x:c r="J115" s="71" t="n"/>
      <x:c r="K115" s="71" t="n"/>
      <x:c r="L115" s="71" t="inlineStr">
        <x:is>
          <x:t xml:space="preserve">NO</x:t>
        </x:is>
      </x:c>
      <x:c r="M115" s="71" t="n"/>
      <x:c r="N115" s="71" t="n"/>
      <x:c r="O115" s="71" t="n"/>
      <x:c r="P115" s="71" t="n"/>
      <x:c r="Q115" s="71" t="n"/>
      <x:c r="R115" s="71" t="n"/>
      <x:c r="S115" s="206" t="n"/>
      <x:c r="T115" s="71" t="n"/>
      <x:c r="U115" s="71" t="n"/>
      <x:c r="V115" s="71" t="n"/>
      <x:c r="W115" s="71" t="n"/>
      <x:c r="X115" s="71" t="n"/>
      <x:c r="Y115" s="71" t="n"/>
      <x:c r="Z115" s="71" t="n"/>
      <x:c r="AA115" s="71" t="n"/>
      <x:c r="AB115" s="71" t="inlineStr">
        <x:is>
          <x:t xml:space="preserve">NO</x:t>
        </x:is>
      </x:c>
      <x:c r="AC115" s="57" t="inlineStr">
        <x:is>
          <x:t xml:space="preserve">V10</x:t>
        </x:is>
      </x:c>
      <x:c r="AD115" s="57" t="n"/>
      <x:c r="AE115" s="79" t="str">
        <x:f>IF(AND(I115&lt;&gt;"",J115&lt;&gt;"",K115&lt;&gt;"",L115="YES",M115&lt;&gt;"",S115&lt;&gt;"",T115&lt;&gt;"",U115&lt;&gt;"",V115&lt;&gt;"",W115&lt;&gt;"",X115&lt;&gt;"",Y115&lt;&gt;""),"COMPLETE","PENDING")</x:f>
        <x:v>PENDING</x:v>
      </x:c>
      <x:c r="AF115" s="79" t="str">
        <x:f>IF(AE115="COMPLETE","YES","NO")</x:f>
        <x:v>NO</x:v>
      </x:c>
      <x:c r="AG115" s="214" t="str">
        <x:f>IF(AF115&lt;&gt;"YES","",(IF(V115="YES",1,0)+IF(W115="YES",1,0))/2)</x:f>
      </x:c>
    </x:row>
    <x:row r="116">
      <x:c r="A116" s="57" t="inlineStr">
        <x:is>
          <x:t xml:space="preserve">C0111</x:t>
        </x:is>
      </x:c>
      <x:c r="B116" s="57" t="inlineStr">
        <x:is>
          <x:t xml:space="preserve">Development</x:t>
        </x:is>
      </x:c>
      <x:c r="C116" s="57" t="inlineStr">
        <x:is>
          <x:t xml:space="preserve">OPEN</x:t>
        </x:is>
      </x:c>
      <x:c r="D116" s="57" t="inlineStr">
        <x:is>
          <x:t xml:space="preserve">ARG-012</x:t>
        </x:is>
      </x:c>
      <x:c r="E116" s="75" t="str">
        <x:f>INDEX('Company Universe'!$B$6:$B$105,MATCH(D116,'Company Universe'!$A$6:$A$105,0))</x:f>
        <x:v>Broadcom</x:v>
      </x:c>
      <x:c r="F116" s="75" t="str">
        <x:f>INDEX('Company Universe'!$C$6:$C$105,MATCH(D116,'Company Universe'!$A$6:$A$105,0))</x:f>
        <x:v>AVGO</x:v>
      </x:c>
      <x:c r="G116" s="75" t="str">
        <x:f>INDEX('Company Universe'!$F$6:$F$105,MATCH(D116,'Company Universe'!$A$6:$A$105,0))</x:f>
        <x:v>AI &amp; Semiconductors</x:v>
      </x:c>
      <x:c r="H116" s="57" t="n">
        <x:v>1</x:v>
      </x:c>
      <x:c r="I116" s="206" t="n"/>
      <x:c r="J116" s="71" t="n"/>
      <x:c r="K116" s="71" t="n"/>
      <x:c r="L116" s="71" t="inlineStr">
        <x:is>
          <x:t xml:space="preserve">NO</x:t>
        </x:is>
      </x:c>
      <x:c r="M116" s="71" t="n"/>
      <x:c r="N116" s="71" t="n"/>
      <x:c r="O116" s="71" t="n"/>
      <x:c r="P116" s="71" t="n"/>
      <x:c r="Q116" s="71" t="n"/>
      <x:c r="R116" s="71" t="n"/>
      <x:c r="S116" s="206" t="n"/>
      <x:c r="T116" s="71" t="n"/>
      <x:c r="U116" s="71" t="n"/>
      <x:c r="V116" s="71" t="n"/>
      <x:c r="W116" s="71" t="n"/>
      <x:c r="X116" s="71" t="n"/>
      <x:c r="Y116" s="71" t="n"/>
      <x:c r="Z116" s="71" t="n"/>
      <x:c r="AA116" s="71" t="n"/>
      <x:c r="AB116" s="71" t="inlineStr">
        <x:is>
          <x:t xml:space="preserve">NO</x:t>
        </x:is>
      </x:c>
      <x:c r="AC116" s="57" t="inlineStr">
        <x:is>
          <x:t xml:space="preserve">V10</x:t>
        </x:is>
      </x:c>
      <x:c r="AD116" s="57" t="n"/>
      <x:c r="AE116" s="79" t="str">
        <x:f>IF(AND(I116&lt;&gt;"",J116&lt;&gt;"",K116&lt;&gt;"",L116="YES",M116&lt;&gt;"",S116&lt;&gt;"",T116&lt;&gt;"",U116&lt;&gt;"",V116&lt;&gt;"",W116&lt;&gt;"",X116&lt;&gt;"",Y116&lt;&gt;""),"COMPLETE","PENDING")</x:f>
        <x:v>PENDING</x:v>
      </x:c>
      <x:c r="AF116" s="79" t="str">
        <x:f>IF(AE116="COMPLETE","YES","NO")</x:f>
        <x:v>NO</x:v>
      </x:c>
      <x:c r="AG116" s="214" t="str">
        <x:f>IF(AF116&lt;&gt;"YES","",(IF(V116="YES",1,0)+IF(W116="YES",1,0))/2)</x:f>
      </x:c>
    </x:row>
    <x:row r="117">
      <x:c r="A117" s="57" t="inlineStr">
        <x:is>
          <x:t xml:space="preserve">C0112</x:t>
        </x:is>
      </x:c>
      <x:c r="B117" s="57" t="inlineStr">
        <x:is>
          <x:t xml:space="preserve">Development</x:t>
        </x:is>
      </x:c>
      <x:c r="C117" s="57" t="inlineStr">
        <x:is>
          <x:t xml:space="preserve">OPEN</x:t>
        </x:is>
      </x:c>
      <x:c r="D117" s="57" t="inlineStr">
        <x:is>
          <x:t xml:space="preserve">ARG-012</x:t>
        </x:is>
      </x:c>
      <x:c r="E117" s="75" t="str">
        <x:f>INDEX('Company Universe'!$B$6:$B$105,MATCH(D117,'Company Universe'!$A$6:$A$105,0))</x:f>
        <x:v>Broadcom</x:v>
      </x:c>
      <x:c r="F117" s="75" t="str">
        <x:f>INDEX('Company Universe'!$C$6:$C$105,MATCH(D117,'Company Universe'!$A$6:$A$105,0))</x:f>
        <x:v>AVGO</x:v>
      </x:c>
      <x:c r="G117" s="75" t="str">
        <x:f>INDEX('Company Universe'!$F$6:$F$105,MATCH(D117,'Company Universe'!$A$6:$A$105,0))</x:f>
        <x:v>AI &amp; Semiconductors</x:v>
      </x:c>
      <x:c r="H117" s="57" t="n">
        <x:v>2</x:v>
      </x:c>
      <x:c r="I117" s="206" t="n"/>
      <x:c r="J117" s="71" t="n"/>
      <x:c r="K117" s="71" t="n"/>
      <x:c r="L117" s="71" t="inlineStr">
        <x:is>
          <x:t xml:space="preserve">NO</x:t>
        </x:is>
      </x:c>
      <x:c r="M117" s="71" t="n"/>
      <x:c r="N117" s="71" t="n"/>
      <x:c r="O117" s="71" t="n"/>
      <x:c r="P117" s="71" t="n"/>
      <x:c r="Q117" s="71" t="n"/>
      <x:c r="R117" s="71" t="n"/>
      <x:c r="S117" s="206" t="n"/>
      <x:c r="T117" s="71" t="n"/>
      <x:c r="U117" s="71" t="n"/>
      <x:c r="V117" s="71" t="n"/>
      <x:c r="W117" s="71" t="n"/>
      <x:c r="X117" s="71" t="n"/>
      <x:c r="Y117" s="71" t="n"/>
      <x:c r="Z117" s="71" t="n"/>
      <x:c r="AA117" s="71" t="n"/>
      <x:c r="AB117" s="71" t="inlineStr">
        <x:is>
          <x:t xml:space="preserve">NO</x:t>
        </x:is>
      </x:c>
      <x:c r="AC117" s="57" t="inlineStr">
        <x:is>
          <x:t xml:space="preserve">V10</x:t>
        </x:is>
      </x:c>
      <x:c r="AD117" s="57" t="n"/>
      <x:c r="AE117" s="79" t="str">
        <x:f>IF(AND(I117&lt;&gt;"",J117&lt;&gt;"",K117&lt;&gt;"",L117="YES",M117&lt;&gt;"",S117&lt;&gt;"",T117&lt;&gt;"",U117&lt;&gt;"",V117&lt;&gt;"",W117&lt;&gt;"",X117&lt;&gt;"",Y117&lt;&gt;""),"COMPLETE","PENDING")</x:f>
        <x:v>PENDING</x:v>
      </x:c>
      <x:c r="AF117" s="79" t="str">
        <x:f>IF(AE117="COMPLETE","YES","NO")</x:f>
        <x:v>NO</x:v>
      </x:c>
      <x:c r="AG117" s="214" t="str">
        <x:f>IF(AF117&lt;&gt;"YES","",(IF(V117="YES",1,0)+IF(W117="YES",1,0))/2)</x:f>
      </x:c>
    </x:row>
    <x:row r="118">
      <x:c r="A118" s="57" t="inlineStr">
        <x:is>
          <x:t xml:space="preserve">C0113</x:t>
        </x:is>
      </x:c>
      <x:c r="B118" s="57" t="inlineStr">
        <x:is>
          <x:t xml:space="preserve">Development</x:t>
        </x:is>
      </x:c>
      <x:c r="C118" s="57" t="inlineStr">
        <x:is>
          <x:t xml:space="preserve">OPEN</x:t>
        </x:is>
      </x:c>
      <x:c r="D118" s="57" t="inlineStr">
        <x:is>
          <x:t xml:space="preserve">ARG-012</x:t>
        </x:is>
      </x:c>
      <x:c r="E118" s="75" t="str">
        <x:f>INDEX('Company Universe'!$B$6:$B$105,MATCH(D118,'Company Universe'!$A$6:$A$105,0))</x:f>
        <x:v>Broadcom</x:v>
      </x:c>
      <x:c r="F118" s="75" t="str">
        <x:f>INDEX('Company Universe'!$C$6:$C$105,MATCH(D118,'Company Universe'!$A$6:$A$105,0))</x:f>
        <x:v>AVGO</x:v>
      </x:c>
      <x:c r="G118" s="75" t="str">
        <x:f>INDEX('Company Universe'!$F$6:$F$105,MATCH(D118,'Company Universe'!$A$6:$A$105,0))</x:f>
        <x:v>AI &amp; Semiconductors</x:v>
      </x:c>
      <x:c r="H118" s="57" t="n">
        <x:v>3</x:v>
      </x:c>
      <x:c r="I118" s="206" t="n"/>
      <x:c r="J118" s="71" t="n"/>
      <x:c r="K118" s="71" t="n"/>
      <x:c r="L118" s="71" t="inlineStr">
        <x:is>
          <x:t xml:space="preserve">NO</x:t>
        </x:is>
      </x:c>
      <x:c r="M118" s="71" t="n"/>
      <x:c r="N118" s="71" t="n"/>
      <x:c r="O118" s="71" t="n"/>
      <x:c r="P118" s="71" t="n"/>
      <x:c r="Q118" s="71" t="n"/>
      <x:c r="R118" s="71" t="n"/>
      <x:c r="S118" s="206" t="n"/>
      <x:c r="T118" s="71" t="n"/>
      <x:c r="U118" s="71" t="n"/>
      <x:c r="V118" s="71" t="n"/>
      <x:c r="W118" s="71" t="n"/>
      <x:c r="X118" s="71" t="n"/>
      <x:c r="Y118" s="71" t="n"/>
      <x:c r="Z118" s="71" t="n"/>
      <x:c r="AA118" s="71" t="n"/>
      <x:c r="AB118" s="71" t="inlineStr">
        <x:is>
          <x:t xml:space="preserve">NO</x:t>
        </x:is>
      </x:c>
      <x:c r="AC118" s="57" t="inlineStr">
        <x:is>
          <x:t xml:space="preserve">V10</x:t>
        </x:is>
      </x:c>
      <x:c r="AD118" s="57" t="n"/>
      <x:c r="AE118" s="79" t="str">
        <x:f>IF(AND(I118&lt;&gt;"",J118&lt;&gt;"",K118&lt;&gt;"",L118="YES",M118&lt;&gt;"",S118&lt;&gt;"",T118&lt;&gt;"",U118&lt;&gt;"",V118&lt;&gt;"",W118&lt;&gt;"",X118&lt;&gt;"",Y118&lt;&gt;""),"COMPLETE","PENDING")</x:f>
        <x:v>PENDING</x:v>
      </x:c>
      <x:c r="AF118" s="79" t="str">
        <x:f>IF(AE118="COMPLETE","YES","NO")</x:f>
        <x:v>NO</x:v>
      </x:c>
      <x:c r="AG118" s="214" t="str">
        <x:f>IF(AF118&lt;&gt;"YES","",(IF(V118="YES",1,0)+IF(W118="YES",1,0))/2)</x:f>
      </x:c>
    </x:row>
    <x:row r="119">
      <x:c r="A119" s="57" t="inlineStr">
        <x:is>
          <x:t xml:space="preserve">C0114</x:t>
        </x:is>
      </x:c>
      <x:c r="B119" s="57" t="inlineStr">
        <x:is>
          <x:t xml:space="preserve">Development</x:t>
        </x:is>
      </x:c>
      <x:c r="C119" s="57" t="inlineStr">
        <x:is>
          <x:t xml:space="preserve">OPEN</x:t>
        </x:is>
      </x:c>
      <x:c r="D119" s="57" t="inlineStr">
        <x:is>
          <x:t xml:space="preserve">ARG-012</x:t>
        </x:is>
      </x:c>
      <x:c r="E119" s="75" t="str">
        <x:f>INDEX('Company Universe'!$B$6:$B$105,MATCH(D119,'Company Universe'!$A$6:$A$105,0))</x:f>
        <x:v>Broadcom</x:v>
      </x:c>
      <x:c r="F119" s="75" t="str">
        <x:f>INDEX('Company Universe'!$C$6:$C$105,MATCH(D119,'Company Universe'!$A$6:$A$105,0))</x:f>
        <x:v>AVGO</x:v>
      </x:c>
      <x:c r="G119" s="75" t="str">
        <x:f>INDEX('Company Universe'!$F$6:$F$105,MATCH(D119,'Company Universe'!$A$6:$A$105,0))</x:f>
        <x:v>AI &amp; Semiconductors</x:v>
      </x:c>
      <x:c r="H119" s="57" t="n">
        <x:v>4</x:v>
      </x:c>
      <x:c r="I119" s="206" t="n"/>
      <x:c r="J119" s="71" t="n"/>
      <x:c r="K119" s="71" t="n"/>
      <x:c r="L119" s="71" t="inlineStr">
        <x:is>
          <x:t xml:space="preserve">NO</x:t>
        </x:is>
      </x:c>
      <x:c r="M119" s="71" t="n"/>
      <x:c r="N119" s="71" t="n"/>
      <x:c r="O119" s="71" t="n"/>
      <x:c r="P119" s="71" t="n"/>
      <x:c r="Q119" s="71" t="n"/>
      <x:c r="R119" s="71" t="n"/>
      <x:c r="S119" s="206" t="n"/>
      <x:c r="T119" s="71" t="n"/>
      <x:c r="U119" s="71" t="n"/>
      <x:c r="V119" s="71" t="n"/>
      <x:c r="W119" s="71" t="n"/>
      <x:c r="X119" s="71" t="n"/>
      <x:c r="Y119" s="71" t="n"/>
      <x:c r="Z119" s="71" t="n"/>
      <x:c r="AA119" s="71" t="n"/>
      <x:c r="AB119" s="71" t="inlineStr">
        <x:is>
          <x:t xml:space="preserve">NO</x:t>
        </x:is>
      </x:c>
      <x:c r="AC119" s="57" t="inlineStr">
        <x:is>
          <x:t xml:space="preserve">V10</x:t>
        </x:is>
      </x:c>
      <x:c r="AD119" s="57" t="n"/>
      <x:c r="AE119" s="79" t="str">
        <x:f>IF(AND(I119&lt;&gt;"",J119&lt;&gt;"",K119&lt;&gt;"",L119="YES",M119&lt;&gt;"",S119&lt;&gt;"",T119&lt;&gt;"",U119&lt;&gt;"",V119&lt;&gt;"",W119&lt;&gt;"",X119&lt;&gt;"",Y119&lt;&gt;""),"COMPLETE","PENDING")</x:f>
        <x:v>PENDING</x:v>
      </x:c>
      <x:c r="AF119" s="79" t="str">
        <x:f>IF(AE119="COMPLETE","YES","NO")</x:f>
        <x:v>NO</x:v>
      </x:c>
      <x:c r="AG119" s="214" t="str">
        <x:f>IF(AF119&lt;&gt;"YES","",(IF(V119="YES",1,0)+IF(W119="YES",1,0))/2)</x:f>
      </x:c>
    </x:row>
    <x:row r="120">
      <x:c r="A120" s="57" t="inlineStr">
        <x:is>
          <x:t xml:space="preserve">C0115</x:t>
        </x:is>
      </x:c>
      <x:c r="B120" s="57" t="inlineStr">
        <x:is>
          <x:t xml:space="preserve">Development</x:t>
        </x:is>
      </x:c>
      <x:c r="C120" s="57" t="inlineStr">
        <x:is>
          <x:t xml:space="preserve">OPEN</x:t>
        </x:is>
      </x:c>
      <x:c r="D120" s="57" t="inlineStr">
        <x:is>
          <x:t xml:space="preserve">ARG-012</x:t>
        </x:is>
      </x:c>
      <x:c r="E120" s="75" t="str">
        <x:f>INDEX('Company Universe'!$B$6:$B$105,MATCH(D120,'Company Universe'!$A$6:$A$105,0))</x:f>
        <x:v>Broadcom</x:v>
      </x:c>
      <x:c r="F120" s="75" t="str">
        <x:f>INDEX('Company Universe'!$C$6:$C$105,MATCH(D120,'Company Universe'!$A$6:$A$105,0))</x:f>
        <x:v>AVGO</x:v>
      </x:c>
      <x:c r="G120" s="75" t="str">
        <x:f>INDEX('Company Universe'!$F$6:$F$105,MATCH(D120,'Company Universe'!$A$6:$A$105,0))</x:f>
        <x:v>AI &amp; Semiconductors</x:v>
      </x:c>
      <x:c r="H120" s="57" t="n">
        <x:v>5</x:v>
      </x:c>
      <x:c r="I120" s="206" t="n"/>
      <x:c r="J120" s="71" t="n"/>
      <x:c r="K120" s="71" t="n"/>
      <x:c r="L120" s="71" t="inlineStr">
        <x:is>
          <x:t xml:space="preserve">NO</x:t>
        </x:is>
      </x:c>
      <x:c r="M120" s="71" t="n"/>
      <x:c r="N120" s="71" t="n"/>
      <x:c r="O120" s="71" t="n"/>
      <x:c r="P120" s="71" t="n"/>
      <x:c r="Q120" s="71" t="n"/>
      <x:c r="R120" s="71" t="n"/>
      <x:c r="S120" s="206" t="n"/>
      <x:c r="T120" s="71" t="n"/>
      <x:c r="U120" s="71" t="n"/>
      <x:c r="V120" s="71" t="n"/>
      <x:c r="W120" s="71" t="n"/>
      <x:c r="X120" s="71" t="n"/>
      <x:c r="Y120" s="71" t="n"/>
      <x:c r="Z120" s="71" t="n"/>
      <x:c r="AA120" s="71" t="n"/>
      <x:c r="AB120" s="71" t="inlineStr">
        <x:is>
          <x:t xml:space="preserve">NO</x:t>
        </x:is>
      </x:c>
      <x:c r="AC120" s="57" t="inlineStr">
        <x:is>
          <x:t xml:space="preserve">V10</x:t>
        </x:is>
      </x:c>
      <x:c r="AD120" s="57" t="n"/>
      <x:c r="AE120" s="79" t="str">
        <x:f>IF(AND(I120&lt;&gt;"",J120&lt;&gt;"",K120&lt;&gt;"",L120="YES",M120&lt;&gt;"",S120&lt;&gt;"",T120&lt;&gt;"",U120&lt;&gt;"",V120&lt;&gt;"",W120&lt;&gt;"",X120&lt;&gt;"",Y120&lt;&gt;""),"COMPLETE","PENDING")</x:f>
        <x:v>PENDING</x:v>
      </x:c>
      <x:c r="AF120" s="79" t="str">
        <x:f>IF(AE120="COMPLETE","YES","NO")</x:f>
        <x:v>NO</x:v>
      </x:c>
      <x:c r="AG120" s="214" t="str">
        <x:f>IF(AF120&lt;&gt;"YES","",(IF(V120="YES",1,0)+IF(W120="YES",1,0))/2)</x:f>
      </x:c>
    </x:row>
    <x:row r="121">
      <x:c r="A121" s="57" t="inlineStr">
        <x:is>
          <x:t xml:space="preserve">C0116</x:t>
        </x:is>
      </x:c>
      <x:c r="B121" s="57" t="inlineStr">
        <x:is>
          <x:t xml:space="preserve">Development</x:t>
        </x:is>
      </x:c>
      <x:c r="C121" s="57" t="inlineStr">
        <x:is>
          <x:t xml:space="preserve">OPEN</x:t>
        </x:is>
      </x:c>
      <x:c r="D121" s="57" t="inlineStr">
        <x:is>
          <x:t xml:space="preserve">ARG-012</x:t>
        </x:is>
      </x:c>
      <x:c r="E121" s="75" t="str">
        <x:f>INDEX('Company Universe'!$B$6:$B$105,MATCH(D121,'Company Universe'!$A$6:$A$105,0))</x:f>
        <x:v>Broadcom</x:v>
      </x:c>
      <x:c r="F121" s="75" t="str">
        <x:f>INDEX('Company Universe'!$C$6:$C$105,MATCH(D121,'Company Universe'!$A$6:$A$105,0))</x:f>
        <x:v>AVGO</x:v>
      </x:c>
      <x:c r="G121" s="75" t="str">
        <x:f>INDEX('Company Universe'!$F$6:$F$105,MATCH(D121,'Company Universe'!$A$6:$A$105,0))</x:f>
        <x:v>AI &amp; Semiconductors</x:v>
      </x:c>
      <x:c r="H121" s="57" t="n">
        <x:v>6</x:v>
      </x:c>
      <x:c r="I121" s="206" t="n"/>
      <x:c r="J121" s="71" t="n"/>
      <x:c r="K121" s="71" t="n"/>
      <x:c r="L121" s="71" t="inlineStr">
        <x:is>
          <x:t xml:space="preserve">NO</x:t>
        </x:is>
      </x:c>
      <x:c r="M121" s="71" t="n"/>
      <x:c r="N121" s="71" t="n"/>
      <x:c r="O121" s="71" t="n"/>
      <x:c r="P121" s="71" t="n"/>
      <x:c r="Q121" s="71" t="n"/>
      <x:c r="R121" s="71" t="n"/>
      <x:c r="S121" s="206" t="n"/>
      <x:c r="T121" s="71" t="n"/>
      <x:c r="U121" s="71" t="n"/>
      <x:c r="V121" s="71" t="n"/>
      <x:c r="W121" s="71" t="n"/>
      <x:c r="X121" s="71" t="n"/>
      <x:c r="Y121" s="71" t="n"/>
      <x:c r="Z121" s="71" t="n"/>
      <x:c r="AA121" s="71" t="n"/>
      <x:c r="AB121" s="71" t="inlineStr">
        <x:is>
          <x:t xml:space="preserve">NO</x:t>
        </x:is>
      </x:c>
      <x:c r="AC121" s="57" t="inlineStr">
        <x:is>
          <x:t xml:space="preserve">V10</x:t>
        </x:is>
      </x:c>
      <x:c r="AD121" s="57" t="n"/>
      <x:c r="AE121" s="79" t="str">
        <x:f>IF(AND(I121&lt;&gt;"",J121&lt;&gt;"",K121&lt;&gt;"",L121="YES",M121&lt;&gt;"",S121&lt;&gt;"",T121&lt;&gt;"",U121&lt;&gt;"",V121&lt;&gt;"",W121&lt;&gt;"",X121&lt;&gt;"",Y121&lt;&gt;""),"COMPLETE","PENDING")</x:f>
        <x:v>PENDING</x:v>
      </x:c>
      <x:c r="AF121" s="79" t="str">
        <x:f>IF(AE121="COMPLETE","YES","NO")</x:f>
        <x:v>NO</x:v>
      </x:c>
      <x:c r="AG121" s="214" t="str">
        <x:f>IF(AF121&lt;&gt;"YES","",(IF(V121="YES",1,0)+IF(W121="YES",1,0))/2)</x:f>
      </x:c>
    </x:row>
    <x:row r="122">
      <x:c r="A122" s="57" t="inlineStr">
        <x:is>
          <x:t xml:space="preserve">C0117</x:t>
        </x:is>
      </x:c>
      <x:c r="B122" s="57" t="inlineStr">
        <x:is>
          <x:t xml:space="preserve">Development</x:t>
        </x:is>
      </x:c>
      <x:c r="C122" s="57" t="inlineStr">
        <x:is>
          <x:t xml:space="preserve">OPEN</x:t>
        </x:is>
      </x:c>
      <x:c r="D122" s="57" t="inlineStr">
        <x:is>
          <x:t xml:space="preserve">ARG-012</x:t>
        </x:is>
      </x:c>
      <x:c r="E122" s="75" t="str">
        <x:f>INDEX('Company Universe'!$B$6:$B$105,MATCH(D122,'Company Universe'!$A$6:$A$105,0))</x:f>
        <x:v>Broadcom</x:v>
      </x:c>
      <x:c r="F122" s="75" t="str">
        <x:f>INDEX('Company Universe'!$C$6:$C$105,MATCH(D122,'Company Universe'!$A$6:$A$105,0))</x:f>
        <x:v>AVGO</x:v>
      </x:c>
      <x:c r="G122" s="75" t="str">
        <x:f>INDEX('Company Universe'!$F$6:$F$105,MATCH(D122,'Company Universe'!$A$6:$A$105,0))</x:f>
        <x:v>AI &amp; Semiconductors</x:v>
      </x:c>
      <x:c r="H122" s="57" t="n">
        <x:v>7</x:v>
      </x:c>
      <x:c r="I122" s="206" t="n"/>
      <x:c r="J122" s="71" t="n"/>
      <x:c r="K122" s="71" t="n"/>
      <x:c r="L122" s="71" t="inlineStr">
        <x:is>
          <x:t xml:space="preserve">NO</x:t>
        </x:is>
      </x:c>
      <x:c r="M122" s="71" t="n"/>
      <x:c r="N122" s="71" t="n"/>
      <x:c r="O122" s="71" t="n"/>
      <x:c r="P122" s="71" t="n"/>
      <x:c r="Q122" s="71" t="n"/>
      <x:c r="R122" s="71" t="n"/>
      <x:c r="S122" s="206" t="n"/>
      <x:c r="T122" s="71" t="n"/>
      <x:c r="U122" s="71" t="n"/>
      <x:c r="V122" s="71" t="n"/>
      <x:c r="W122" s="71" t="n"/>
      <x:c r="X122" s="71" t="n"/>
      <x:c r="Y122" s="71" t="n"/>
      <x:c r="Z122" s="71" t="n"/>
      <x:c r="AA122" s="71" t="n"/>
      <x:c r="AB122" s="71" t="inlineStr">
        <x:is>
          <x:t xml:space="preserve">NO</x:t>
        </x:is>
      </x:c>
      <x:c r="AC122" s="57" t="inlineStr">
        <x:is>
          <x:t xml:space="preserve">V10</x:t>
        </x:is>
      </x:c>
      <x:c r="AD122" s="57" t="n"/>
      <x:c r="AE122" s="79" t="str">
        <x:f>IF(AND(I122&lt;&gt;"",J122&lt;&gt;"",K122&lt;&gt;"",L122="YES",M122&lt;&gt;"",S122&lt;&gt;"",T122&lt;&gt;"",U122&lt;&gt;"",V122&lt;&gt;"",W122&lt;&gt;"",X122&lt;&gt;"",Y122&lt;&gt;""),"COMPLETE","PENDING")</x:f>
        <x:v>PENDING</x:v>
      </x:c>
      <x:c r="AF122" s="79" t="str">
        <x:f>IF(AE122="COMPLETE","YES","NO")</x:f>
        <x:v>NO</x:v>
      </x:c>
      <x:c r="AG122" s="214" t="str">
        <x:f>IF(AF122&lt;&gt;"YES","",(IF(V122="YES",1,0)+IF(W122="YES",1,0))/2)</x:f>
      </x:c>
    </x:row>
    <x:row r="123">
      <x:c r="A123" s="57" t="inlineStr">
        <x:is>
          <x:t xml:space="preserve">C0118</x:t>
        </x:is>
      </x:c>
      <x:c r="B123" s="57" t="inlineStr">
        <x:is>
          <x:t xml:space="preserve">Development</x:t>
        </x:is>
      </x:c>
      <x:c r="C123" s="57" t="inlineStr">
        <x:is>
          <x:t xml:space="preserve">OPEN</x:t>
        </x:is>
      </x:c>
      <x:c r="D123" s="57" t="inlineStr">
        <x:is>
          <x:t xml:space="preserve">ARG-012</x:t>
        </x:is>
      </x:c>
      <x:c r="E123" s="75" t="str">
        <x:f>INDEX('Company Universe'!$B$6:$B$105,MATCH(D123,'Company Universe'!$A$6:$A$105,0))</x:f>
        <x:v>Broadcom</x:v>
      </x:c>
      <x:c r="F123" s="75" t="str">
        <x:f>INDEX('Company Universe'!$C$6:$C$105,MATCH(D123,'Company Universe'!$A$6:$A$105,0))</x:f>
        <x:v>AVGO</x:v>
      </x:c>
      <x:c r="G123" s="75" t="str">
        <x:f>INDEX('Company Universe'!$F$6:$F$105,MATCH(D123,'Company Universe'!$A$6:$A$105,0))</x:f>
        <x:v>AI &amp; Semiconductors</x:v>
      </x:c>
      <x:c r="H123" s="57" t="n">
        <x:v>8</x:v>
      </x:c>
      <x:c r="I123" s="206" t="n"/>
      <x:c r="J123" s="71" t="n"/>
      <x:c r="K123" s="71" t="n"/>
      <x:c r="L123" s="71" t="inlineStr">
        <x:is>
          <x:t xml:space="preserve">NO</x:t>
        </x:is>
      </x:c>
      <x:c r="M123" s="71" t="n"/>
      <x:c r="N123" s="71" t="n"/>
      <x:c r="O123" s="71" t="n"/>
      <x:c r="P123" s="71" t="n"/>
      <x:c r="Q123" s="71" t="n"/>
      <x:c r="R123" s="71" t="n"/>
      <x:c r="S123" s="206" t="n"/>
      <x:c r="T123" s="71" t="n"/>
      <x:c r="U123" s="71" t="n"/>
      <x:c r="V123" s="71" t="n"/>
      <x:c r="W123" s="71" t="n"/>
      <x:c r="X123" s="71" t="n"/>
      <x:c r="Y123" s="71" t="n"/>
      <x:c r="Z123" s="71" t="n"/>
      <x:c r="AA123" s="71" t="n"/>
      <x:c r="AB123" s="71" t="inlineStr">
        <x:is>
          <x:t xml:space="preserve">NO</x:t>
        </x:is>
      </x:c>
      <x:c r="AC123" s="57" t="inlineStr">
        <x:is>
          <x:t xml:space="preserve">V10</x:t>
        </x:is>
      </x:c>
      <x:c r="AD123" s="57" t="n"/>
      <x:c r="AE123" s="79" t="str">
        <x:f>IF(AND(I123&lt;&gt;"",J123&lt;&gt;"",K123&lt;&gt;"",L123="YES",M123&lt;&gt;"",S123&lt;&gt;"",T123&lt;&gt;"",U123&lt;&gt;"",V123&lt;&gt;"",W123&lt;&gt;"",X123&lt;&gt;"",Y123&lt;&gt;""),"COMPLETE","PENDING")</x:f>
        <x:v>PENDING</x:v>
      </x:c>
      <x:c r="AF123" s="79" t="str">
        <x:f>IF(AE123="COMPLETE","YES","NO")</x:f>
        <x:v>NO</x:v>
      </x:c>
      <x:c r="AG123" s="214" t="str">
        <x:f>IF(AF123&lt;&gt;"YES","",(IF(V123="YES",1,0)+IF(W123="YES",1,0))/2)</x:f>
      </x:c>
    </x:row>
    <x:row r="124">
      <x:c r="A124" s="57" t="inlineStr">
        <x:is>
          <x:t xml:space="preserve">C0119</x:t>
        </x:is>
      </x:c>
      <x:c r="B124" s="57" t="inlineStr">
        <x:is>
          <x:t xml:space="preserve">Development</x:t>
        </x:is>
      </x:c>
      <x:c r="C124" s="57" t="inlineStr">
        <x:is>
          <x:t xml:space="preserve">OPEN</x:t>
        </x:is>
      </x:c>
      <x:c r="D124" s="57" t="inlineStr">
        <x:is>
          <x:t xml:space="preserve">ARG-012</x:t>
        </x:is>
      </x:c>
      <x:c r="E124" s="75" t="str">
        <x:f>INDEX('Company Universe'!$B$6:$B$105,MATCH(D124,'Company Universe'!$A$6:$A$105,0))</x:f>
        <x:v>Broadcom</x:v>
      </x:c>
      <x:c r="F124" s="75" t="str">
        <x:f>INDEX('Company Universe'!$C$6:$C$105,MATCH(D124,'Company Universe'!$A$6:$A$105,0))</x:f>
        <x:v>AVGO</x:v>
      </x:c>
      <x:c r="G124" s="75" t="str">
        <x:f>INDEX('Company Universe'!$F$6:$F$105,MATCH(D124,'Company Universe'!$A$6:$A$105,0))</x:f>
        <x:v>AI &amp; Semiconductors</x:v>
      </x:c>
      <x:c r="H124" s="57" t="n">
        <x:v>9</x:v>
      </x:c>
      <x:c r="I124" s="206" t="n"/>
      <x:c r="J124" s="71" t="n"/>
      <x:c r="K124" s="71" t="n"/>
      <x:c r="L124" s="71" t="inlineStr">
        <x:is>
          <x:t xml:space="preserve">NO</x:t>
        </x:is>
      </x:c>
      <x:c r="M124" s="71" t="n"/>
      <x:c r="N124" s="71" t="n"/>
      <x:c r="O124" s="71" t="n"/>
      <x:c r="P124" s="71" t="n"/>
      <x:c r="Q124" s="71" t="n"/>
      <x:c r="R124" s="71" t="n"/>
      <x:c r="S124" s="206" t="n"/>
      <x:c r="T124" s="71" t="n"/>
      <x:c r="U124" s="71" t="n"/>
      <x:c r="V124" s="71" t="n"/>
      <x:c r="W124" s="71" t="n"/>
      <x:c r="X124" s="71" t="n"/>
      <x:c r="Y124" s="71" t="n"/>
      <x:c r="Z124" s="71" t="n"/>
      <x:c r="AA124" s="71" t="n"/>
      <x:c r="AB124" s="71" t="inlineStr">
        <x:is>
          <x:t xml:space="preserve">NO</x:t>
        </x:is>
      </x:c>
      <x:c r="AC124" s="57" t="inlineStr">
        <x:is>
          <x:t xml:space="preserve">V10</x:t>
        </x:is>
      </x:c>
      <x:c r="AD124" s="57" t="n"/>
      <x:c r="AE124" s="79" t="str">
        <x:f>IF(AND(I124&lt;&gt;"",J124&lt;&gt;"",K124&lt;&gt;"",L124="YES",M124&lt;&gt;"",S124&lt;&gt;"",T124&lt;&gt;"",U124&lt;&gt;"",V124&lt;&gt;"",W124&lt;&gt;"",X124&lt;&gt;"",Y124&lt;&gt;""),"COMPLETE","PENDING")</x:f>
        <x:v>PENDING</x:v>
      </x:c>
      <x:c r="AF124" s="79" t="str">
        <x:f>IF(AE124="COMPLETE","YES","NO")</x:f>
        <x:v>NO</x:v>
      </x:c>
      <x:c r="AG124" s="214" t="str">
        <x:f>IF(AF124&lt;&gt;"YES","",(IF(V124="YES",1,0)+IF(W124="YES",1,0))/2)</x:f>
      </x:c>
    </x:row>
    <x:row r="125">
      <x:c r="A125" s="57" t="inlineStr">
        <x:is>
          <x:t xml:space="preserve">C0120</x:t>
        </x:is>
      </x:c>
      <x:c r="B125" s="57" t="inlineStr">
        <x:is>
          <x:t xml:space="preserve">Development</x:t>
        </x:is>
      </x:c>
      <x:c r="C125" s="57" t="inlineStr">
        <x:is>
          <x:t xml:space="preserve">OPEN</x:t>
        </x:is>
      </x:c>
      <x:c r="D125" s="57" t="inlineStr">
        <x:is>
          <x:t xml:space="preserve">ARG-012</x:t>
        </x:is>
      </x:c>
      <x:c r="E125" s="75" t="str">
        <x:f>INDEX('Company Universe'!$B$6:$B$105,MATCH(D125,'Company Universe'!$A$6:$A$105,0))</x:f>
        <x:v>Broadcom</x:v>
      </x:c>
      <x:c r="F125" s="75" t="str">
        <x:f>INDEX('Company Universe'!$C$6:$C$105,MATCH(D125,'Company Universe'!$A$6:$A$105,0))</x:f>
        <x:v>AVGO</x:v>
      </x:c>
      <x:c r="G125" s="75" t="str">
        <x:f>INDEX('Company Universe'!$F$6:$F$105,MATCH(D125,'Company Universe'!$A$6:$A$105,0))</x:f>
        <x:v>AI &amp; Semiconductors</x:v>
      </x:c>
      <x:c r="H125" s="57" t="n">
        <x:v>10</x:v>
      </x:c>
      <x:c r="I125" s="206" t="n"/>
      <x:c r="J125" s="71" t="n"/>
      <x:c r="K125" s="71" t="n"/>
      <x:c r="L125" s="71" t="inlineStr">
        <x:is>
          <x:t xml:space="preserve">NO</x:t>
        </x:is>
      </x:c>
      <x:c r="M125" s="71" t="n"/>
      <x:c r="N125" s="71" t="n"/>
      <x:c r="O125" s="71" t="n"/>
      <x:c r="P125" s="71" t="n"/>
      <x:c r="Q125" s="71" t="n"/>
      <x:c r="R125" s="71" t="n"/>
      <x:c r="S125" s="206" t="n"/>
      <x:c r="T125" s="71" t="n"/>
      <x:c r="U125" s="71" t="n"/>
      <x:c r="V125" s="71" t="n"/>
      <x:c r="W125" s="71" t="n"/>
      <x:c r="X125" s="71" t="n"/>
      <x:c r="Y125" s="71" t="n"/>
      <x:c r="Z125" s="71" t="n"/>
      <x:c r="AA125" s="71" t="n"/>
      <x:c r="AB125" s="71" t="inlineStr">
        <x:is>
          <x:t xml:space="preserve">NO</x:t>
        </x:is>
      </x:c>
      <x:c r="AC125" s="57" t="inlineStr">
        <x:is>
          <x:t xml:space="preserve">V10</x:t>
        </x:is>
      </x:c>
      <x:c r="AD125" s="57" t="n"/>
      <x:c r="AE125" s="79" t="str">
        <x:f>IF(AND(I125&lt;&gt;"",J125&lt;&gt;"",K125&lt;&gt;"",L125="YES",M125&lt;&gt;"",S125&lt;&gt;"",T125&lt;&gt;"",U125&lt;&gt;"",V125&lt;&gt;"",W125&lt;&gt;"",X125&lt;&gt;"",Y125&lt;&gt;""),"COMPLETE","PENDING")</x:f>
        <x:v>PENDING</x:v>
      </x:c>
      <x:c r="AF125" s="79" t="str">
        <x:f>IF(AE125="COMPLETE","YES","NO")</x:f>
        <x:v>NO</x:v>
      </x:c>
      <x:c r="AG125" s="214" t="str">
        <x:f>IF(AF125&lt;&gt;"YES","",(IF(V125="YES",1,0)+IF(W125="YES",1,0))/2)</x:f>
      </x:c>
    </x:row>
    <x:row r="126">
      <x:c r="A126" s="57" t="inlineStr">
        <x:is>
          <x:t xml:space="preserve">C0121</x:t>
        </x:is>
      </x:c>
      <x:c r="B126" s="57" t="inlineStr">
        <x:is>
          <x:t xml:space="preserve">Development</x:t>
        </x:is>
      </x:c>
      <x:c r="C126" s="57" t="inlineStr">
        <x:is>
          <x:t xml:space="preserve">OPEN</x:t>
        </x:is>
      </x:c>
      <x:c r="D126" s="57" t="inlineStr">
        <x:is>
          <x:t xml:space="preserve">ARG-013</x:t>
        </x:is>
      </x:c>
      <x:c r="E126" s="75" t="str">
        <x:f>INDEX('Company Universe'!$B$6:$B$105,MATCH(D126,'Company Universe'!$A$6:$A$105,0))</x:f>
        <x:v>Marvell Technology</x:v>
      </x:c>
      <x:c r="F126" s="75" t="str">
        <x:f>INDEX('Company Universe'!$C$6:$C$105,MATCH(D126,'Company Universe'!$A$6:$A$105,0))</x:f>
        <x:v>MRVL</x:v>
      </x:c>
      <x:c r="G126" s="75" t="str">
        <x:f>INDEX('Company Universe'!$F$6:$F$105,MATCH(D126,'Company Universe'!$A$6:$A$105,0))</x:f>
        <x:v>AI &amp; Semiconductors</x:v>
      </x:c>
      <x:c r="H126" s="57" t="n">
        <x:v>1</x:v>
      </x:c>
      <x:c r="I126" s="206" t="n"/>
      <x:c r="J126" s="71" t="n"/>
      <x:c r="K126" s="71" t="n"/>
      <x:c r="L126" s="71" t="inlineStr">
        <x:is>
          <x:t xml:space="preserve">NO</x:t>
        </x:is>
      </x:c>
      <x:c r="M126" s="71" t="n"/>
      <x:c r="N126" s="71" t="n"/>
      <x:c r="O126" s="71" t="n"/>
      <x:c r="P126" s="71" t="n"/>
      <x:c r="Q126" s="71" t="n"/>
      <x:c r="R126" s="71" t="n"/>
      <x:c r="S126" s="206" t="n"/>
      <x:c r="T126" s="71" t="n"/>
      <x:c r="U126" s="71" t="n"/>
      <x:c r="V126" s="71" t="n"/>
      <x:c r="W126" s="71" t="n"/>
      <x:c r="X126" s="71" t="n"/>
      <x:c r="Y126" s="71" t="n"/>
      <x:c r="Z126" s="71" t="n"/>
      <x:c r="AA126" s="71" t="n"/>
      <x:c r="AB126" s="71" t="inlineStr">
        <x:is>
          <x:t xml:space="preserve">NO</x:t>
        </x:is>
      </x:c>
      <x:c r="AC126" s="57" t="inlineStr">
        <x:is>
          <x:t xml:space="preserve">V10</x:t>
        </x:is>
      </x:c>
      <x:c r="AD126" s="57" t="n"/>
      <x:c r="AE126" s="79" t="str">
        <x:f>IF(AND(I126&lt;&gt;"",J126&lt;&gt;"",K126&lt;&gt;"",L126="YES",M126&lt;&gt;"",S126&lt;&gt;"",T126&lt;&gt;"",U126&lt;&gt;"",V126&lt;&gt;"",W126&lt;&gt;"",X126&lt;&gt;"",Y126&lt;&gt;""),"COMPLETE","PENDING")</x:f>
        <x:v>PENDING</x:v>
      </x:c>
      <x:c r="AF126" s="79" t="str">
        <x:f>IF(AE126="COMPLETE","YES","NO")</x:f>
        <x:v>NO</x:v>
      </x:c>
      <x:c r="AG126" s="214" t="str">
        <x:f>IF(AF126&lt;&gt;"YES","",(IF(V126="YES",1,0)+IF(W126="YES",1,0))/2)</x:f>
      </x:c>
    </x:row>
    <x:row r="127">
      <x:c r="A127" s="57" t="inlineStr">
        <x:is>
          <x:t xml:space="preserve">C0122</x:t>
        </x:is>
      </x:c>
      <x:c r="B127" s="57" t="inlineStr">
        <x:is>
          <x:t xml:space="preserve">Development</x:t>
        </x:is>
      </x:c>
      <x:c r="C127" s="57" t="inlineStr">
        <x:is>
          <x:t xml:space="preserve">OPEN</x:t>
        </x:is>
      </x:c>
      <x:c r="D127" s="57" t="inlineStr">
        <x:is>
          <x:t xml:space="preserve">ARG-013</x:t>
        </x:is>
      </x:c>
      <x:c r="E127" s="75" t="str">
        <x:f>INDEX('Company Universe'!$B$6:$B$105,MATCH(D127,'Company Universe'!$A$6:$A$105,0))</x:f>
        <x:v>Marvell Technology</x:v>
      </x:c>
      <x:c r="F127" s="75" t="str">
        <x:f>INDEX('Company Universe'!$C$6:$C$105,MATCH(D127,'Company Universe'!$A$6:$A$105,0))</x:f>
        <x:v>MRVL</x:v>
      </x:c>
      <x:c r="G127" s="75" t="str">
        <x:f>INDEX('Company Universe'!$F$6:$F$105,MATCH(D127,'Company Universe'!$A$6:$A$105,0))</x:f>
        <x:v>AI &amp; Semiconductors</x:v>
      </x:c>
      <x:c r="H127" s="57" t="n">
        <x:v>2</x:v>
      </x:c>
      <x:c r="I127" s="206" t="n"/>
      <x:c r="J127" s="71" t="n"/>
      <x:c r="K127" s="71" t="n"/>
      <x:c r="L127" s="71" t="inlineStr">
        <x:is>
          <x:t xml:space="preserve">NO</x:t>
        </x:is>
      </x:c>
      <x:c r="M127" s="71" t="n"/>
      <x:c r="N127" s="71" t="n"/>
      <x:c r="O127" s="71" t="n"/>
      <x:c r="P127" s="71" t="n"/>
      <x:c r="Q127" s="71" t="n"/>
      <x:c r="R127" s="71" t="n"/>
      <x:c r="S127" s="206" t="n"/>
      <x:c r="T127" s="71" t="n"/>
      <x:c r="U127" s="71" t="n"/>
      <x:c r="V127" s="71" t="n"/>
      <x:c r="W127" s="71" t="n"/>
      <x:c r="X127" s="71" t="n"/>
      <x:c r="Y127" s="71" t="n"/>
      <x:c r="Z127" s="71" t="n"/>
      <x:c r="AA127" s="71" t="n"/>
      <x:c r="AB127" s="71" t="inlineStr">
        <x:is>
          <x:t xml:space="preserve">NO</x:t>
        </x:is>
      </x:c>
      <x:c r="AC127" s="57" t="inlineStr">
        <x:is>
          <x:t xml:space="preserve">V10</x:t>
        </x:is>
      </x:c>
      <x:c r="AD127" s="57" t="n"/>
      <x:c r="AE127" s="79" t="str">
        <x:f>IF(AND(I127&lt;&gt;"",J127&lt;&gt;"",K127&lt;&gt;"",L127="YES",M127&lt;&gt;"",S127&lt;&gt;"",T127&lt;&gt;"",U127&lt;&gt;"",V127&lt;&gt;"",W127&lt;&gt;"",X127&lt;&gt;"",Y127&lt;&gt;""),"COMPLETE","PENDING")</x:f>
        <x:v>PENDING</x:v>
      </x:c>
      <x:c r="AF127" s="79" t="str">
        <x:f>IF(AE127="COMPLETE","YES","NO")</x:f>
        <x:v>NO</x:v>
      </x:c>
      <x:c r="AG127" s="214" t="str">
        <x:f>IF(AF127&lt;&gt;"YES","",(IF(V127="YES",1,0)+IF(W127="YES",1,0))/2)</x:f>
      </x:c>
    </x:row>
    <x:row r="128">
      <x:c r="A128" s="57" t="inlineStr">
        <x:is>
          <x:t xml:space="preserve">C0123</x:t>
        </x:is>
      </x:c>
      <x:c r="B128" s="57" t="inlineStr">
        <x:is>
          <x:t xml:space="preserve">Development</x:t>
        </x:is>
      </x:c>
      <x:c r="C128" s="57" t="inlineStr">
        <x:is>
          <x:t xml:space="preserve">OPEN</x:t>
        </x:is>
      </x:c>
      <x:c r="D128" s="57" t="inlineStr">
        <x:is>
          <x:t xml:space="preserve">ARG-013</x:t>
        </x:is>
      </x:c>
      <x:c r="E128" s="75" t="str">
        <x:f>INDEX('Company Universe'!$B$6:$B$105,MATCH(D128,'Company Universe'!$A$6:$A$105,0))</x:f>
        <x:v>Marvell Technology</x:v>
      </x:c>
      <x:c r="F128" s="75" t="str">
        <x:f>INDEX('Company Universe'!$C$6:$C$105,MATCH(D128,'Company Universe'!$A$6:$A$105,0))</x:f>
        <x:v>MRVL</x:v>
      </x:c>
      <x:c r="G128" s="75" t="str">
        <x:f>INDEX('Company Universe'!$F$6:$F$105,MATCH(D128,'Company Universe'!$A$6:$A$105,0))</x:f>
        <x:v>AI &amp; Semiconductors</x:v>
      </x:c>
      <x:c r="H128" s="57" t="n">
        <x:v>3</x:v>
      </x:c>
      <x:c r="I128" s="206" t="n"/>
      <x:c r="J128" s="71" t="n"/>
      <x:c r="K128" s="71" t="n"/>
      <x:c r="L128" s="71" t="inlineStr">
        <x:is>
          <x:t xml:space="preserve">NO</x:t>
        </x:is>
      </x:c>
      <x:c r="M128" s="71" t="n"/>
      <x:c r="N128" s="71" t="n"/>
      <x:c r="O128" s="71" t="n"/>
      <x:c r="P128" s="71" t="n"/>
      <x:c r="Q128" s="71" t="n"/>
      <x:c r="R128" s="71" t="n"/>
      <x:c r="S128" s="206" t="n"/>
      <x:c r="T128" s="71" t="n"/>
      <x:c r="U128" s="71" t="n"/>
      <x:c r="V128" s="71" t="n"/>
      <x:c r="W128" s="71" t="n"/>
      <x:c r="X128" s="71" t="n"/>
      <x:c r="Y128" s="71" t="n"/>
      <x:c r="Z128" s="71" t="n"/>
      <x:c r="AA128" s="71" t="n"/>
      <x:c r="AB128" s="71" t="inlineStr">
        <x:is>
          <x:t xml:space="preserve">NO</x:t>
        </x:is>
      </x:c>
      <x:c r="AC128" s="57" t="inlineStr">
        <x:is>
          <x:t xml:space="preserve">V10</x:t>
        </x:is>
      </x:c>
      <x:c r="AD128" s="57" t="n"/>
      <x:c r="AE128" s="79" t="str">
        <x:f>IF(AND(I128&lt;&gt;"",J128&lt;&gt;"",K128&lt;&gt;"",L128="YES",M128&lt;&gt;"",S128&lt;&gt;"",T128&lt;&gt;"",U128&lt;&gt;"",V128&lt;&gt;"",W128&lt;&gt;"",X128&lt;&gt;"",Y128&lt;&gt;""),"COMPLETE","PENDING")</x:f>
        <x:v>PENDING</x:v>
      </x:c>
      <x:c r="AF128" s="79" t="str">
        <x:f>IF(AE128="COMPLETE","YES","NO")</x:f>
        <x:v>NO</x:v>
      </x:c>
      <x:c r="AG128" s="214" t="str">
        <x:f>IF(AF128&lt;&gt;"YES","",(IF(V128="YES",1,0)+IF(W128="YES",1,0))/2)</x:f>
      </x:c>
    </x:row>
    <x:row r="129">
      <x:c r="A129" s="57" t="inlineStr">
        <x:is>
          <x:t xml:space="preserve">C0124</x:t>
        </x:is>
      </x:c>
      <x:c r="B129" s="57" t="inlineStr">
        <x:is>
          <x:t xml:space="preserve">Development</x:t>
        </x:is>
      </x:c>
      <x:c r="C129" s="57" t="inlineStr">
        <x:is>
          <x:t xml:space="preserve">OPEN</x:t>
        </x:is>
      </x:c>
      <x:c r="D129" s="57" t="inlineStr">
        <x:is>
          <x:t xml:space="preserve">ARG-013</x:t>
        </x:is>
      </x:c>
      <x:c r="E129" s="75" t="str">
        <x:f>INDEX('Company Universe'!$B$6:$B$105,MATCH(D129,'Company Universe'!$A$6:$A$105,0))</x:f>
        <x:v>Marvell Technology</x:v>
      </x:c>
      <x:c r="F129" s="75" t="str">
        <x:f>INDEX('Company Universe'!$C$6:$C$105,MATCH(D129,'Company Universe'!$A$6:$A$105,0))</x:f>
        <x:v>MRVL</x:v>
      </x:c>
      <x:c r="G129" s="75" t="str">
        <x:f>INDEX('Company Universe'!$F$6:$F$105,MATCH(D129,'Company Universe'!$A$6:$A$105,0))</x:f>
        <x:v>AI &amp; Semiconductors</x:v>
      </x:c>
      <x:c r="H129" s="57" t="n">
        <x:v>4</x:v>
      </x:c>
      <x:c r="I129" s="206" t="n"/>
      <x:c r="J129" s="71" t="n"/>
      <x:c r="K129" s="71" t="n"/>
      <x:c r="L129" s="71" t="inlineStr">
        <x:is>
          <x:t xml:space="preserve">NO</x:t>
        </x:is>
      </x:c>
      <x:c r="M129" s="71" t="n"/>
      <x:c r="N129" s="71" t="n"/>
      <x:c r="O129" s="71" t="n"/>
      <x:c r="P129" s="71" t="n"/>
      <x:c r="Q129" s="71" t="n"/>
      <x:c r="R129" s="71" t="n"/>
      <x:c r="S129" s="206" t="n"/>
      <x:c r="T129" s="71" t="n"/>
      <x:c r="U129" s="71" t="n"/>
      <x:c r="V129" s="71" t="n"/>
      <x:c r="W129" s="71" t="n"/>
      <x:c r="X129" s="71" t="n"/>
      <x:c r="Y129" s="71" t="n"/>
      <x:c r="Z129" s="71" t="n"/>
      <x:c r="AA129" s="71" t="n"/>
      <x:c r="AB129" s="71" t="inlineStr">
        <x:is>
          <x:t xml:space="preserve">NO</x:t>
        </x:is>
      </x:c>
      <x:c r="AC129" s="57" t="inlineStr">
        <x:is>
          <x:t xml:space="preserve">V10</x:t>
        </x:is>
      </x:c>
      <x:c r="AD129" s="57" t="n"/>
      <x:c r="AE129" s="79" t="str">
        <x:f>IF(AND(I129&lt;&gt;"",J129&lt;&gt;"",K129&lt;&gt;"",L129="YES",M129&lt;&gt;"",S129&lt;&gt;"",T129&lt;&gt;"",U129&lt;&gt;"",V129&lt;&gt;"",W129&lt;&gt;"",X129&lt;&gt;"",Y129&lt;&gt;""),"COMPLETE","PENDING")</x:f>
        <x:v>PENDING</x:v>
      </x:c>
      <x:c r="AF129" s="79" t="str">
        <x:f>IF(AE129="COMPLETE","YES","NO")</x:f>
        <x:v>NO</x:v>
      </x:c>
      <x:c r="AG129" s="214" t="str">
        <x:f>IF(AF129&lt;&gt;"YES","",(IF(V129="YES",1,0)+IF(W129="YES",1,0))/2)</x:f>
      </x:c>
    </x:row>
    <x:row r="130">
      <x:c r="A130" s="57" t="inlineStr">
        <x:is>
          <x:t xml:space="preserve">C0125</x:t>
        </x:is>
      </x:c>
      <x:c r="B130" s="57" t="inlineStr">
        <x:is>
          <x:t xml:space="preserve">Development</x:t>
        </x:is>
      </x:c>
      <x:c r="C130" s="57" t="inlineStr">
        <x:is>
          <x:t xml:space="preserve">OPEN</x:t>
        </x:is>
      </x:c>
      <x:c r="D130" s="57" t="inlineStr">
        <x:is>
          <x:t xml:space="preserve">ARG-013</x:t>
        </x:is>
      </x:c>
      <x:c r="E130" s="75" t="str">
        <x:f>INDEX('Company Universe'!$B$6:$B$105,MATCH(D130,'Company Universe'!$A$6:$A$105,0))</x:f>
        <x:v>Marvell Technology</x:v>
      </x:c>
      <x:c r="F130" s="75" t="str">
        <x:f>INDEX('Company Universe'!$C$6:$C$105,MATCH(D130,'Company Universe'!$A$6:$A$105,0))</x:f>
        <x:v>MRVL</x:v>
      </x:c>
      <x:c r="G130" s="75" t="str">
        <x:f>INDEX('Company Universe'!$F$6:$F$105,MATCH(D130,'Company Universe'!$A$6:$A$105,0))</x:f>
        <x:v>AI &amp; Semiconductors</x:v>
      </x:c>
      <x:c r="H130" s="57" t="n">
        <x:v>5</x:v>
      </x:c>
      <x:c r="I130" s="206" t="n"/>
      <x:c r="J130" s="71" t="n"/>
      <x:c r="K130" s="71" t="n"/>
      <x:c r="L130" s="71" t="inlineStr">
        <x:is>
          <x:t xml:space="preserve">NO</x:t>
        </x:is>
      </x:c>
      <x:c r="M130" s="71" t="n"/>
      <x:c r="N130" s="71" t="n"/>
      <x:c r="O130" s="71" t="n"/>
      <x:c r="P130" s="71" t="n"/>
      <x:c r="Q130" s="71" t="n"/>
      <x:c r="R130" s="71" t="n"/>
      <x:c r="S130" s="206" t="n"/>
      <x:c r="T130" s="71" t="n"/>
      <x:c r="U130" s="71" t="n"/>
      <x:c r="V130" s="71" t="n"/>
      <x:c r="W130" s="71" t="n"/>
      <x:c r="X130" s="71" t="n"/>
      <x:c r="Y130" s="71" t="n"/>
      <x:c r="Z130" s="71" t="n"/>
      <x:c r="AA130" s="71" t="n"/>
      <x:c r="AB130" s="71" t="inlineStr">
        <x:is>
          <x:t xml:space="preserve">NO</x:t>
        </x:is>
      </x:c>
      <x:c r="AC130" s="57" t="inlineStr">
        <x:is>
          <x:t xml:space="preserve">V10</x:t>
        </x:is>
      </x:c>
      <x:c r="AD130" s="57" t="n"/>
      <x:c r="AE130" s="79" t="str">
        <x:f>IF(AND(I130&lt;&gt;"",J130&lt;&gt;"",K130&lt;&gt;"",L130="YES",M130&lt;&gt;"",S130&lt;&gt;"",T130&lt;&gt;"",U130&lt;&gt;"",V130&lt;&gt;"",W130&lt;&gt;"",X130&lt;&gt;"",Y130&lt;&gt;""),"COMPLETE","PENDING")</x:f>
        <x:v>PENDING</x:v>
      </x:c>
      <x:c r="AF130" s="79" t="str">
        <x:f>IF(AE130="COMPLETE","YES","NO")</x:f>
        <x:v>NO</x:v>
      </x:c>
      <x:c r="AG130" s="214" t="str">
        <x:f>IF(AF130&lt;&gt;"YES","",(IF(V130="YES",1,0)+IF(W130="YES",1,0))/2)</x:f>
      </x:c>
    </x:row>
    <x:row r="131">
      <x:c r="A131" s="57" t="inlineStr">
        <x:is>
          <x:t xml:space="preserve">C0126</x:t>
        </x:is>
      </x:c>
      <x:c r="B131" s="57" t="inlineStr">
        <x:is>
          <x:t xml:space="preserve">Development</x:t>
        </x:is>
      </x:c>
      <x:c r="C131" s="57" t="inlineStr">
        <x:is>
          <x:t xml:space="preserve">OPEN</x:t>
        </x:is>
      </x:c>
      <x:c r="D131" s="57" t="inlineStr">
        <x:is>
          <x:t xml:space="preserve">ARG-013</x:t>
        </x:is>
      </x:c>
      <x:c r="E131" s="75" t="str">
        <x:f>INDEX('Company Universe'!$B$6:$B$105,MATCH(D131,'Company Universe'!$A$6:$A$105,0))</x:f>
        <x:v>Marvell Technology</x:v>
      </x:c>
      <x:c r="F131" s="75" t="str">
        <x:f>INDEX('Company Universe'!$C$6:$C$105,MATCH(D131,'Company Universe'!$A$6:$A$105,0))</x:f>
        <x:v>MRVL</x:v>
      </x:c>
      <x:c r="G131" s="75" t="str">
        <x:f>INDEX('Company Universe'!$F$6:$F$105,MATCH(D131,'Company Universe'!$A$6:$A$105,0))</x:f>
        <x:v>AI &amp; Semiconductors</x:v>
      </x:c>
      <x:c r="H131" s="57" t="n">
        <x:v>6</x:v>
      </x:c>
      <x:c r="I131" s="206" t="n"/>
      <x:c r="J131" s="71" t="n"/>
      <x:c r="K131" s="71" t="n"/>
      <x:c r="L131" s="71" t="inlineStr">
        <x:is>
          <x:t xml:space="preserve">NO</x:t>
        </x:is>
      </x:c>
      <x:c r="M131" s="71" t="n"/>
      <x:c r="N131" s="71" t="n"/>
      <x:c r="O131" s="71" t="n"/>
      <x:c r="P131" s="71" t="n"/>
      <x:c r="Q131" s="71" t="n"/>
      <x:c r="R131" s="71" t="n"/>
      <x:c r="S131" s="206" t="n"/>
      <x:c r="T131" s="71" t="n"/>
      <x:c r="U131" s="71" t="n"/>
      <x:c r="V131" s="71" t="n"/>
      <x:c r="W131" s="71" t="n"/>
      <x:c r="X131" s="71" t="n"/>
      <x:c r="Y131" s="71" t="n"/>
      <x:c r="Z131" s="71" t="n"/>
      <x:c r="AA131" s="71" t="n"/>
      <x:c r="AB131" s="71" t="inlineStr">
        <x:is>
          <x:t xml:space="preserve">NO</x:t>
        </x:is>
      </x:c>
      <x:c r="AC131" s="57" t="inlineStr">
        <x:is>
          <x:t xml:space="preserve">V10</x:t>
        </x:is>
      </x:c>
      <x:c r="AD131" s="57" t="n"/>
      <x:c r="AE131" s="79" t="str">
        <x:f>IF(AND(I131&lt;&gt;"",J131&lt;&gt;"",K131&lt;&gt;"",L131="YES",M131&lt;&gt;"",S131&lt;&gt;"",T131&lt;&gt;"",U131&lt;&gt;"",V131&lt;&gt;"",W131&lt;&gt;"",X131&lt;&gt;"",Y131&lt;&gt;""),"COMPLETE","PENDING")</x:f>
        <x:v>PENDING</x:v>
      </x:c>
      <x:c r="AF131" s="79" t="str">
        <x:f>IF(AE131="COMPLETE","YES","NO")</x:f>
        <x:v>NO</x:v>
      </x:c>
      <x:c r="AG131" s="214" t="str">
        <x:f>IF(AF131&lt;&gt;"YES","",(IF(V131="YES",1,0)+IF(W131="YES",1,0))/2)</x:f>
      </x:c>
    </x:row>
    <x:row r="132">
      <x:c r="A132" s="57" t="inlineStr">
        <x:is>
          <x:t xml:space="preserve">C0127</x:t>
        </x:is>
      </x:c>
      <x:c r="B132" s="57" t="inlineStr">
        <x:is>
          <x:t xml:space="preserve">Development</x:t>
        </x:is>
      </x:c>
      <x:c r="C132" s="57" t="inlineStr">
        <x:is>
          <x:t xml:space="preserve">OPEN</x:t>
        </x:is>
      </x:c>
      <x:c r="D132" s="57" t="inlineStr">
        <x:is>
          <x:t xml:space="preserve">ARG-013</x:t>
        </x:is>
      </x:c>
      <x:c r="E132" s="75" t="str">
        <x:f>INDEX('Company Universe'!$B$6:$B$105,MATCH(D132,'Company Universe'!$A$6:$A$105,0))</x:f>
        <x:v>Marvell Technology</x:v>
      </x:c>
      <x:c r="F132" s="75" t="str">
        <x:f>INDEX('Company Universe'!$C$6:$C$105,MATCH(D132,'Company Universe'!$A$6:$A$105,0))</x:f>
        <x:v>MRVL</x:v>
      </x:c>
      <x:c r="G132" s="75" t="str">
        <x:f>INDEX('Company Universe'!$F$6:$F$105,MATCH(D132,'Company Universe'!$A$6:$A$105,0))</x:f>
        <x:v>AI &amp; Semiconductors</x:v>
      </x:c>
      <x:c r="H132" s="57" t="n">
        <x:v>7</x:v>
      </x:c>
      <x:c r="I132" s="206" t="n"/>
      <x:c r="J132" s="71" t="n"/>
      <x:c r="K132" s="71" t="n"/>
      <x:c r="L132" s="71" t="inlineStr">
        <x:is>
          <x:t xml:space="preserve">NO</x:t>
        </x:is>
      </x:c>
      <x:c r="M132" s="71" t="n"/>
      <x:c r="N132" s="71" t="n"/>
      <x:c r="O132" s="71" t="n"/>
      <x:c r="P132" s="71" t="n"/>
      <x:c r="Q132" s="71" t="n"/>
      <x:c r="R132" s="71" t="n"/>
      <x:c r="S132" s="206" t="n"/>
      <x:c r="T132" s="71" t="n"/>
      <x:c r="U132" s="71" t="n"/>
      <x:c r="V132" s="71" t="n"/>
      <x:c r="W132" s="71" t="n"/>
      <x:c r="X132" s="71" t="n"/>
      <x:c r="Y132" s="71" t="n"/>
      <x:c r="Z132" s="71" t="n"/>
      <x:c r="AA132" s="71" t="n"/>
      <x:c r="AB132" s="71" t="inlineStr">
        <x:is>
          <x:t xml:space="preserve">NO</x:t>
        </x:is>
      </x:c>
      <x:c r="AC132" s="57" t="inlineStr">
        <x:is>
          <x:t xml:space="preserve">V10</x:t>
        </x:is>
      </x:c>
      <x:c r="AD132" s="57" t="n"/>
      <x:c r="AE132" s="79" t="str">
        <x:f>IF(AND(I132&lt;&gt;"",J132&lt;&gt;"",K132&lt;&gt;"",L132="YES",M132&lt;&gt;"",S132&lt;&gt;"",T132&lt;&gt;"",U132&lt;&gt;"",V132&lt;&gt;"",W132&lt;&gt;"",X132&lt;&gt;"",Y132&lt;&gt;""),"COMPLETE","PENDING")</x:f>
        <x:v>PENDING</x:v>
      </x:c>
      <x:c r="AF132" s="79" t="str">
        <x:f>IF(AE132="COMPLETE","YES","NO")</x:f>
        <x:v>NO</x:v>
      </x:c>
      <x:c r="AG132" s="214" t="str">
        <x:f>IF(AF132&lt;&gt;"YES","",(IF(V132="YES",1,0)+IF(W132="YES",1,0))/2)</x:f>
      </x:c>
    </x:row>
    <x:row r="133">
      <x:c r="A133" s="57" t="inlineStr">
        <x:is>
          <x:t xml:space="preserve">C0128</x:t>
        </x:is>
      </x:c>
      <x:c r="B133" s="57" t="inlineStr">
        <x:is>
          <x:t xml:space="preserve">Development</x:t>
        </x:is>
      </x:c>
      <x:c r="C133" s="57" t="inlineStr">
        <x:is>
          <x:t xml:space="preserve">OPEN</x:t>
        </x:is>
      </x:c>
      <x:c r="D133" s="57" t="inlineStr">
        <x:is>
          <x:t xml:space="preserve">ARG-013</x:t>
        </x:is>
      </x:c>
      <x:c r="E133" s="75" t="str">
        <x:f>INDEX('Company Universe'!$B$6:$B$105,MATCH(D133,'Company Universe'!$A$6:$A$105,0))</x:f>
        <x:v>Marvell Technology</x:v>
      </x:c>
      <x:c r="F133" s="75" t="str">
        <x:f>INDEX('Company Universe'!$C$6:$C$105,MATCH(D133,'Company Universe'!$A$6:$A$105,0))</x:f>
        <x:v>MRVL</x:v>
      </x:c>
      <x:c r="G133" s="75" t="str">
        <x:f>INDEX('Company Universe'!$F$6:$F$105,MATCH(D133,'Company Universe'!$A$6:$A$105,0))</x:f>
        <x:v>AI &amp; Semiconductors</x:v>
      </x:c>
      <x:c r="H133" s="57" t="n">
        <x:v>8</x:v>
      </x:c>
      <x:c r="I133" s="206" t="n"/>
      <x:c r="J133" s="71" t="n"/>
      <x:c r="K133" s="71" t="n"/>
      <x:c r="L133" s="71" t="inlineStr">
        <x:is>
          <x:t xml:space="preserve">NO</x:t>
        </x:is>
      </x:c>
      <x:c r="M133" s="71" t="n"/>
      <x:c r="N133" s="71" t="n"/>
      <x:c r="O133" s="71" t="n"/>
      <x:c r="P133" s="71" t="n"/>
      <x:c r="Q133" s="71" t="n"/>
      <x:c r="R133" s="71" t="n"/>
      <x:c r="S133" s="206" t="n"/>
      <x:c r="T133" s="71" t="n"/>
      <x:c r="U133" s="71" t="n"/>
      <x:c r="V133" s="71" t="n"/>
      <x:c r="W133" s="71" t="n"/>
      <x:c r="X133" s="71" t="n"/>
      <x:c r="Y133" s="71" t="n"/>
      <x:c r="Z133" s="71" t="n"/>
      <x:c r="AA133" s="71" t="n"/>
      <x:c r="AB133" s="71" t="inlineStr">
        <x:is>
          <x:t xml:space="preserve">NO</x:t>
        </x:is>
      </x:c>
      <x:c r="AC133" s="57" t="inlineStr">
        <x:is>
          <x:t xml:space="preserve">V10</x:t>
        </x:is>
      </x:c>
      <x:c r="AD133" s="57" t="n"/>
      <x:c r="AE133" s="79" t="str">
        <x:f>IF(AND(I133&lt;&gt;"",J133&lt;&gt;"",K133&lt;&gt;"",L133="YES",M133&lt;&gt;"",S133&lt;&gt;"",T133&lt;&gt;"",U133&lt;&gt;"",V133&lt;&gt;"",W133&lt;&gt;"",X133&lt;&gt;"",Y133&lt;&gt;""),"COMPLETE","PENDING")</x:f>
        <x:v>PENDING</x:v>
      </x:c>
      <x:c r="AF133" s="79" t="str">
        <x:f>IF(AE133="COMPLETE","YES","NO")</x:f>
        <x:v>NO</x:v>
      </x:c>
      <x:c r="AG133" s="214" t="str">
        <x:f>IF(AF133&lt;&gt;"YES","",(IF(V133="YES",1,0)+IF(W133="YES",1,0))/2)</x:f>
      </x:c>
    </x:row>
    <x:row r="134">
      <x:c r="A134" s="57" t="inlineStr">
        <x:is>
          <x:t xml:space="preserve">C0129</x:t>
        </x:is>
      </x:c>
      <x:c r="B134" s="57" t="inlineStr">
        <x:is>
          <x:t xml:space="preserve">Development</x:t>
        </x:is>
      </x:c>
      <x:c r="C134" s="57" t="inlineStr">
        <x:is>
          <x:t xml:space="preserve">OPEN</x:t>
        </x:is>
      </x:c>
      <x:c r="D134" s="57" t="inlineStr">
        <x:is>
          <x:t xml:space="preserve">ARG-013</x:t>
        </x:is>
      </x:c>
      <x:c r="E134" s="75" t="str">
        <x:f>INDEX('Company Universe'!$B$6:$B$105,MATCH(D134,'Company Universe'!$A$6:$A$105,0))</x:f>
        <x:v>Marvell Technology</x:v>
      </x:c>
      <x:c r="F134" s="75" t="str">
        <x:f>INDEX('Company Universe'!$C$6:$C$105,MATCH(D134,'Company Universe'!$A$6:$A$105,0))</x:f>
        <x:v>MRVL</x:v>
      </x:c>
      <x:c r="G134" s="75" t="str">
        <x:f>INDEX('Company Universe'!$F$6:$F$105,MATCH(D134,'Company Universe'!$A$6:$A$105,0))</x:f>
        <x:v>AI &amp; Semiconductors</x:v>
      </x:c>
      <x:c r="H134" s="57" t="n">
        <x:v>9</x:v>
      </x:c>
      <x:c r="I134" s="206" t="n"/>
      <x:c r="J134" s="71" t="n"/>
      <x:c r="K134" s="71" t="n"/>
      <x:c r="L134" s="71" t="inlineStr">
        <x:is>
          <x:t xml:space="preserve">NO</x:t>
        </x:is>
      </x:c>
      <x:c r="M134" s="71" t="n"/>
      <x:c r="N134" s="71" t="n"/>
      <x:c r="O134" s="71" t="n"/>
      <x:c r="P134" s="71" t="n"/>
      <x:c r="Q134" s="71" t="n"/>
      <x:c r="R134" s="71" t="n"/>
      <x:c r="S134" s="206" t="n"/>
      <x:c r="T134" s="71" t="n"/>
      <x:c r="U134" s="71" t="n"/>
      <x:c r="V134" s="71" t="n"/>
      <x:c r="W134" s="71" t="n"/>
      <x:c r="X134" s="71" t="n"/>
      <x:c r="Y134" s="71" t="n"/>
      <x:c r="Z134" s="71" t="n"/>
      <x:c r="AA134" s="71" t="n"/>
      <x:c r="AB134" s="71" t="inlineStr">
        <x:is>
          <x:t xml:space="preserve">NO</x:t>
        </x:is>
      </x:c>
      <x:c r="AC134" s="57" t="inlineStr">
        <x:is>
          <x:t xml:space="preserve">V10</x:t>
        </x:is>
      </x:c>
      <x:c r="AD134" s="57" t="n"/>
      <x:c r="AE134" s="79" t="str">
        <x:f>IF(AND(I134&lt;&gt;"",J134&lt;&gt;"",K134&lt;&gt;"",L134="YES",M134&lt;&gt;"",S134&lt;&gt;"",T134&lt;&gt;"",U134&lt;&gt;"",V134&lt;&gt;"",W134&lt;&gt;"",X134&lt;&gt;"",Y134&lt;&gt;""),"COMPLETE","PENDING")</x:f>
        <x:v>PENDING</x:v>
      </x:c>
      <x:c r="AF134" s="79" t="str">
        <x:f>IF(AE134="COMPLETE","YES","NO")</x:f>
        <x:v>NO</x:v>
      </x:c>
      <x:c r="AG134" s="214" t="str">
        <x:f>IF(AF134&lt;&gt;"YES","",(IF(V134="YES",1,0)+IF(W134="YES",1,0))/2)</x:f>
      </x:c>
    </x:row>
    <x:row r="135">
      <x:c r="A135" s="57" t="inlineStr">
        <x:is>
          <x:t xml:space="preserve">C0130</x:t>
        </x:is>
      </x:c>
      <x:c r="B135" s="57" t="inlineStr">
        <x:is>
          <x:t xml:space="preserve">Development</x:t>
        </x:is>
      </x:c>
      <x:c r="C135" s="57" t="inlineStr">
        <x:is>
          <x:t xml:space="preserve">OPEN</x:t>
        </x:is>
      </x:c>
      <x:c r="D135" s="57" t="inlineStr">
        <x:is>
          <x:t xml:space="preserve">ARG-013</x:t>
        </x:is>
      </x:c>
      <x:c r="E135" s="75" t="str">
        <x:f>INDEX('Company Universe'!$B$6:$B$105,MATCH(D135,'Company Universe'!$A$6:$A$105,0))</x:f>
        <x:v>Marvell Technology</x:v>
      </x:c>
      <x:c r="F135" s="75" t="str">
        <x:f>INDEX('Company Universe'!$C$6:$C$105,MATCH(D135,'Company Universe'!$A$6:$A$105,0))</x:f>
        <x:v>MRVL</x:v>
      </x:c>
      <x:c r="G135" s="75" t="str">
        <x:f>INDEX('Company Universe'!$F$6:$F$105,MATCH(D135,'Company Universe'!$A$6:$A$105,0))</x:f>
        <x:v>AI &amp; Semiconductors</x:v>
      </x:c>
      <x:c r="H135" s="57" t="n">
        <x:v>10</x:v>
      </x:c>
      <x:c r="I135" s="206" t="n"/>
      <x:c r="J135" s="71" t="n"/>
      <x:c r="K135" s="71" t="n"/>
      <x:c r="L135" s="71" t="inlineStr">
        <x:is>
          <x:t xml:space="preserve">NO</x:t>
        </x:is>
      </x:c>
      <x:c r="M135" s="71" t="n"/>
      <x:c r="N135" s="71" t="n"/>
      <x:c r="O135" s="71" t="n"/>
      <x:c r="P135" s="71" t="n"/>
      <x:c r="Q135" s="71" t="n"/>
      <x:c r="R135" s="71" t="n"/>
      <x:c r="S135" s="206" t="n"/>
      <x:c r="T135" s="71" t="n"/>
      <x:c r="U135" s="71" t="n"/>
      <x:c r="V135" s="71" t="n"/>
      <x:c r="W135" s="71" t="n"/>
      <x:c r="X135" s="71" t="n"/>
      <x:c r="Y135" s="71" t="n"/>
      <x:c r="Z135" s="71" t="n"/>
      <x:c r="AA135" s="71" t="n"/>
      <x:c r="AB135" s="71" t="inlineStr">
        <x:is>
          <x:t xml:space="preserve">NO</x:t>
        </x:is>
      </x:c>
      <x:c r="AC135" s="57" t="inlineStr">
        <x:is>
          <x:t xml:space="preserve">V10</x:t>
        </x:is>
      </x:c>
      <x:c r="AD135" s="57" t="n"/>
      <x:c r="AE135" s="79" t="str">
        <x:f>IF(AND(I135&lt;&gt;"",J135&lt;&gt;"",K135&lt;&gt;"",L135="YES",M135&lt;&gt;"",S135&lt;&gt;"",T135&lt;&gt;"",U135&lt;&gt;"",V135&lt;&gt;"",W135&lt;&gt;"",X135&lt;&gt;"",Y135&lt;&gt;""),"COMPLETE","PENDING")</x:f>
        <x:v>PENDING</x:v>
      </x:c>
      <x:c r="AF135" s="79" t="str">
        <x:f>IF(AE135="COMPLETE","YES","NO")</x:f>
        <x:v>NO</x:v>
      </x:c>
      <x:c r="AG135" s="214" t="str">
        <x:f>IF(AF135&lt;&gt;"YES","",(IF(V135="YES",1,0)+IF(W135="YES",1,0))/2)</x:f>
      </x:c>
    </x:row>
    <x:row r="136">
      <x:c r="A136" s="57" t="inlineStr">
        <x:is>
          <x:t xml:space="preserve">C0131</x:t>
        </x:is>
      </x:c>
      <x:c r="B136" s="57" t="inlineStr">
        <x:is>
          <x:t xml:space="preserve">Development</x:t>
        </x:is>
      </x:c>
      <x:c r="C136" s="57" t="inlineStr">
        <x:is>
          <x:t xml:space="preserve">OPEN</x:t>
        </x:is>
      </x:c>
      <x:c r="D136" s="57" t="inlineStr">
        <x:is>
          <x:t xml:space="preserve">ARG-014</x:t>
        </x:is>
      </x:c>
      <x:c r="E136" s="75" t="str">
        <x:f>INDEX('Company Universe'!$B$6:$B$105,MATCH(D136,'Company Universe'!$A$6:$A$105,0))</x:f>
        <x:v>Eaton</x:v>
      </x:c>
      <x:c r="F136" s="75" t="str">
        <x:f>INDEX('Company Universe'!$C$6:$C$105,MATCH(D136,'Company Universe'!$A$6:$A$105,0))</x:f>
        <x:v>ETN</x:v>
      </x:c>
      <x:c r="G136" s="75" t="str">
        <x:f>INDEX('Company Universe'!$F$6:$F$105,MATCH(D136,'Company Universe'!$A$6:$A$105,0))</x:f>
        <x:v>Power &amp; Grid</x:v>
      </x:c>
      <x:c r="H136" s="57" t="n">
        <x:v>1</x:v>
      </x:c>
      <x:c r="I136" s="206" t="n"/>
      <x:c r="J136" s="71" t="n"/>
      <x:c r="K136" s="71" t="n"/>
      <x:c r="L136" s="71" t="inlineStr">
        <x:is>
          <x:t xml:space="preserve">NO</x:t>
        </x:is>
      </x:c>
      <x:c r="M136" s="71" t="n"/>
      <x:c r="N136" s="71" t="n"/>
      <x:c r="O136" s="71" t="n"/>
      <x:c r="P136" s="71" t="n"/>
      <x:c r="Q136" s="71" t="n"/>
      <x:c r="R136" s="71" t="n"/>
      <x:c r="S136" s="206" t="n"/>
      <x:c r="T136" s="71" t="n"/>
      <x:c r="U136" s="71" t="n"/>
      <x:c r="V136" s="71" t="n"/>
      <x:c r="W136" s="71" t="n"/>
      <x:c r="X136" s="71" t="n"/>
      <x:c r="Y136" s="71" t="n"/>
      <x:c r="Z136" s="71" t="n"/>
      <x:c r="AA136" s="71" t="n"/>
      <x:c r="AB136" s="71" t="inlineStr">
        <x:is>
          <x:t xml:space="preserve">NO</x:t>
        </x:is>
      </x:c>
      <x:c r="AC136" s="57" t="inlineStr">
        <x:is>
          <x:t xml:space="preserve">V10</x:t>
        </x:is>
      </x:c>
      <x:c r="AD136" s="57" t="n"/>
      <x:c r="AE136" s="79" t="str">
        <x:f>IF(AND(I136&lt;&gt;"",J136&lt;&gt;"",K136&lt;&gt;"",L136="YES",M136&lt;&gt;"",S136&lt;&gt;"",T136&lt;&gt;"",U136&lt;&gt;"",V136&lt;&gt;"",W136&lt;&gt;"",X136&lt;&gt;"",Y136&lt;&gt;""),"COMPLETE","PENDING")</x:f>
        <x:v>PENDING</x:v>
      </x:c>
      <x:c r="AF136" s="79" t="str">
        <x:f>IF(AE136="COMPLETE","YES","NO")</x:f>
        <x:v>NO</x:v>
      </x:c>
      <x:c r="AG136" s="214" t="str">
        <x:f>IF(AF136&lt;&gt;"YES","",(IF(V136="YES",1,0)+IF(W136="YES",1,0))/2)</x:f>
      </x:c>
    </x:row>
    <x:row r="137">
      <x:c r="A137" s="57" t="inlineStr">
        <x:is>
          <x:t xml:space="preserve">C0132</x:t>
        </x:is>
      </x:c>
      <x:c r="B137" s="57" t="inlineStr">
        <x:is>
          <x:t xml:space="preserve">Development</x:t>
        </x:is>
      </x:c>
      <x:c r="C137" s="57" t="inlineStr">
        <x:is>
          <x:t xml:space="preserve">OPEN</x:t>
        </x:is>
      </x:c>
      <x:c r="D137" s="57" t="inlineStr">
        <x:is>
          <x:t xml:space="preserve">ARG-014</x:t>
        </x:is>
      </x:c>
      <x:c r="E137" s="75" t="str">
        <x:f>INDEX('Company Universe'!$B$6:$B$105,MATCH(D137,'Company Universe'!$A$6:$A$105,0))</x:f>
        <x:v>Eaton</x:v>
      </x:c>
      <x:c r="F137" s="75" t="str">
        <x:f>INDEX('Company Universe'!$C$6:$C$105,MATCH(D137,'Company Universe'!$A$6:$A$105,0))</x:f>
        <x:v>ETN</x:v>
      </x:c>
      <x:c r="G137" s="75" t="str">
        <x:f>INDEX('Company Universe'!$F$6:$F$105,MATCH(D137,'Company Universe'!$A$6:$A$105,0))</x:f>
        <x:v>Power &amp; Grid</x:v>
      </x:c>
      <x:c r="H137" s="57" t="n">
        <x:v>2</x:v>
      </x:c>
      <x:c r="I137" s="206" t="n"/>
      <x:c r="J137" s="71" t="n"/>
      <x:c r="K137" s="71" t="n"/>
      <x:c r="L137" s="71" t="inlineStr">
        <x:is>
          <x:t xml:space="preserve">NO</x:t>
        </x:is>
      </x:c>
      <x:c r="M137" s="71" t="n"/>
      <x:c r="N137" s="71" t="n"/>
      <x:c r="O137" s="71" t="n"/>
      <x:c r="P137" s="71" t="n"/>
      <x:c r="Q137" s="71" t="n"/>
      <x:c r="R137" s="71" t="n"/>
      <x:c r="S137" s="206" t="n"/>
      <x:c r="T137" s="71" t="n"/>
      <x:c r="U137" s="71" t="n"/>
      <x:c r="V137" s="71" t="n"/>
      <x:c r="W137" s="71" t="n"/>
      <x:c r="X137" s="71" t="n"/>
      <x:c r="Y137" s="71" t="n"/>
      <x:c r="Z137" s="71" t="n"/>
      <x:c r="AA137" s="71" t="n"/>
      <x:c r="AB137" s="71" t="inlineStr">
        <x:is>
          <x:t xml:space="preserve">NO</x:t>
        </x:is>
      </x:c>
      <x:c r="AC137" s="57" t="inlineStr">
        <x:is>
          <x:t xml:space="preserve">V10</x:t>
        </x:is>
      </x:c>
      <x:c r="AD137" s="57" t="n"/>
      <x:c r="AE137" s="79" t="str">
        <x:f>IF(AND(I137&lt;&gt;"",J137&lt;&gt;"",K137&lt;&gt;"",L137="YES",M137&lt;&gt;"",S137&lt;&gt;"",T137&lt;&gt;"",U137&lt;&gt;"",V137&lt;&gt;"",W137&lt;&gt;"",X137&lt;&gt;"",Y137&lt;&gt;""),"COMPLETE","PENDING")</x:f>
        <x:v>PENDING</x:v>
      </x:c>
      <x:c r="AF137" s="79" t="str">
        <x:f>IF(AE137="COMPLETE","YES","NO")</x:f>
        <x:v>NO</x:v>
      </x:c>
      <x:c r="AG137" s="214" t="str">
        <x:f>IF(AF137&lt;&gt;"YES","",(IF(V137="YES",1,0)+IF(W137="YES",1,0))/2)</x:f>
      </x:c>
    </x:row>
    <x:row r="138">
      <x:c r="A138" s="57" t="inlineStr">
        <x:is>
          <x:t xml:space="preserve">C0133</x:t>
        </x:is>
      </x:c>
      <x:c r="B138" s="57" t="inlineStr">
        <x:is>
          <x:t xml:space="preserve">Development</x:t>
        </x:is>
      </x:c>
      <x:c r="C138" s="57" t="inlineStr">
        <x:is>
          <x:t xml:space="preserve">OPEN</x:t>
        </x:is>
      </x:c>
      <x:c r="D138" s="57" t="inlineStr">
        <x:is>
          <x:t xml:space="preserve">ARG-014</x:t>
        </x:is>
      </x:c>
      <x:c r="E138" s="75" t="str">
        <x:f>INDEX('Company Universe'!$B$6:$B$105,MATCH(D138,'Company Universe'!$A$6:$A$105,0))</x:f>
        <x:v>Eaton</x:v>
      </x:c>
      <x:c r="F138" s="75" t="str">
        <x:f>INDEX('Company Universe'!$C$6:$C$105,MATCH(D138,'Company Universe'!$A$6:$A$105,0))</x:f>
        <x:v>ETN</x:v>
      </x:c>
      <x:c r="G138" s="75" t="str">
        <x:f>INDEX('Company Universe'!$F$6:$F$105,MATCH(D138,'Company Universe'!$A$6:$A$105,0))</x:f>
        <x:v>Power &amp; Grid</x:v>
      </x:c>
      <x:c r="H138" s="57" t="n">
        <x:v>3</x:v>
      </x:c>
      <x:c r="I138" s="206" t="n"/>
      <x:c r="J138" s="71" t="n"/>
      <x:c r="K138" s="71" t="n"/>
      <x:c r="L138" s="71" t="inlineStr">
        <x:is>
          <x:t xml:space="preserve">NO</x:t>
        </x:is>
      </x:c>
      <x:c r="M138" s="71" t="n"/>
      <x:c r="N138" s="71" t="n"/>
      <x:c r="O138" s="71" t="n"/>
      <x:c r="P138" s="71" t="n"/>
      <x:c r="Q138" s="71" t="n"/>
      <x:c r="R138" s="71" t="n"/>
      <x:c r="S138" s="206" t="n"/>
      <x:c r="T138" s="71" t="n"/>
      <x:c r="U138" s="71" t="n"/>
      <x:c r="V138" s="71" t="n"/>
      <x:c r="W138" s="71" t="n"/>
      <x:c r="X138" s="71" t="n"/>
      <x:c r="Y138" s="71" t="n"/>
      <x:c r="Z138" s="71" t="n"/>
      <x:c r="AA138" s="71" t="n"/>
      <x:c r="AB138" s="71" t="inlineStr">
        <x:is>
          <x:t xml:space="preserve">NO</x:t>
        </x:is>
      </x:c>
      <x:c r="AC138" s="57" t="inlineStr">
        <x:is>
          <x:t xml:space="preserve">V10</x:t>
        </x:is>
      </x:c>
      <x:c r="AD138" s="57" t="n"/>
      <x:c r="AE138" s="79" t="str">
        <x:f>IF(AND(I138&lt;&gt;"",J138&lt;&gt;"",K138&lt;&gt;"",L138="YES",M138&lt;&gt;"",S138&lt;&gt;"",T138&lt;&gt;"",U138&lt;&gt;"",V138&lt;&gt;"",W138&lt;&gt;"",X138&lt;&gt;"",Y138&lt;&gt;""),"COMPLETE","PENDING")</x:f>
        <x:v>PENDING</x:v>
      </x:c>
      <x:c r="AF138" s="79" t="str">
        <x:f>IF(AE138="COMPLETE","YES","NO")</x:f>
        <x:v>NO</x:v>
      </x:c>
      <x:c r="AG138" s="214" t="str">
        <x:f>IF(AF138&lt;&gt;"YES","",(IF(V138="YES",1,0)+IF(W138="YES",1,0))/2)</x:f>
      </x:c>
    </x:row>
    <x:row r="139">
      <x:c r="A139" s="57" t="inlineStr">
        <x:is>
          <x:t xml:space="preserve">C0134</x:t>
        </x:is>
      </x:c>
      <x:c r="B139" s="57" t="inlineStr">
        <x:is>
          <x:t xml:space="preserve">Development</x:t>
        </x:is>
      </x:c>
      <x:c r="C139" s="57" t="inlineStr">
        <x:is>
          <x:t xml:space="preserve">OPEN</x:t>
        </x:is>
      </x:c>
      <x:c r="D139" s="57" t="inlineStr">
        <x:is>
          <x:t xml:space="preserve">ARG-014</x:t>
        </x:is>
      </x:c>
      <x:c r="E139" s="75" t="str">
        <x:f>INDEX('Company Universe'!$B$6:$B$105,MATCH(D139,'Company Universe'!$A$6:$A$105,0))</x:f>
        <x:v>Eaton</x:v>
      </x:c>
      <x:c r="F139" s="75" t="str">
        <x:f>INDEX('Company Universe'!$C$6:$C$105,MATCH(D139,'Company Universe'!$A$6:$A$105,0))</x:f>
        <x:v>ETN</x:v>
      </x:c>
      <x:c r="G139" s="75" t="str">
        <x:f>INDEX('Company Universe'!$F$6:$F$105,MATCH(D139,'Company Universe'!$A$6:$A$105,0))</x:f>
        <x:v>Power &amp; Grid</x:v>
      </x:c>
      <x:c r="H139" s="57" t="n">
        <x:v>4</x:v>
      </x:c>
      <x:c r="I139" s="206" t="n"/>
      <x:c r="J139" s="71" t="n"/>
      <x:c r="K139" s="71" t="n"/>
      <x:c r="L139" s="71" t="inlineStr">
        <x:is>
          <x:t xml:space="preserve">NO</x:t>
        </x:is>
      </x:c>
      <x:c r="M139" s="71" t="n"/>
      <x:c r="N139" s="71" t="n"/>
      <x:c r="O139" s="71" t="n"/>
      <x:c r="P139" s="71" t="n"/>
      <x:c r="Q139" s="71" t="n"/>
      <x:c r="R139" s="71" t="n"/>
      <x:c r="S139" s="206" t="n"/>
      <x:c r="T139" s="71" t="n"/>
      <x:c r="U139" s="71" t="n"/>
      <x:c r="V139" s="71" t="n"/>
      <x:c r="W139" s="71" t="n"/>
      <x:c r="X139" s="71" t="n"/>
      <x:c r="Y139" s="71" t="n"/>
      <x:c r="Z139" s="71" t="n"/>
      <x:c r="AA139" s="71" t="n"/>
      <x:c r="AB139" s="71" t="inlineStr">
        <x:is>
          <x:t xml:space="preserve">NO</x:t>
        </x:is>
      </x:c>
      <x:c r="AC139" s="57" t="inlineStr">
        <x:is>
          <x:t xml:space="preserve">V10</x:t>
        </x:is>
      </x:c>
      <x:c r="AD139" s="57" t="n"/>
      <x:c r="AE139" s="79" t="str">
        <x:f>IF(AND(I139&lt;&gt;"",J139&lt;&gt;"",K139&lt;&gt;"",L139="YES",M139&lt;&gt;"",S139&lt;&gt;"",T139&lt;&gt;"",U139&lt;&gt;"",V139&lt;&gt;"",W139&lt;&gt;"",X139&lt;&gt;"",Y139&lt;&gt;""),"COMPLETE","PENDING")</x:f>
        <x:v>PENDING</x:v>
      </x:c>
      <x:c r="AF139" s="79" t="str">
        <x:f>IF(AE139="COMPLETE","YES","NO")</x:f>
        <x:v>NO</x:v>
      </x:c>
      <x:c r="AG139" s="214" t="str">
        <x:f>IF(AF139&lt;&gt;"YES","",(IF(V139="YES",1,0)+IF(W139="YES",1,0))/2)</x:f>
      </x:c>
    </x:row>
    <x:row r="140">
      <x:c r="A140" s="57" t="inlineStr">
        <x:is>
          <x:t xml:space="preserve">C0135</x:t>
        </x:is>
      </x:c>
      <x:c r="B140" s="57" t="inlineStr">
        <x:is>
          <x:t xml:space="preserve">Development</x:t>
        </x:is>
      </x:c>
      <x:c r="C140" s="57" t="inlineStr">
        <x:is>
          <x:t xml:space="preserve">OPEN</x:t>
        </x:is>
      </x:c>
      <x:c r="D140" s="57" t="inlineStr">
        <x:is>
          <x:t xml:space="preserve">ARG-014</x:t>
        </x:is>
      </x:c>
      <x:c r="E140" s="75" t="str">
        <x:f>INDEX('Company Universe'!$B$6:$B$105,MATCH(D140,'Company Universe'!$A$6:$A$105,0))</x:f>
        <x:v>Eaton</x:v>
      </x:c>
      <x:c r="F140" s="75" t="str">
        <x:f>INDEX('Company Universe'!$C$6:$C$105,MATCH(D140,'Company Universe'!$A$6:$A$105,0))</x:f>
        <x:v>ETN</x:v>
      </x:c>
      <x:c r="G140" s="75" t="str">
        <x:f>INDEX('Company Universe'!$F$6:$F$105,MATCH(D140,'Company Universe'!$A$6:$A$105,0))</x:f>
        <x:v>Power &amp; Grid</x:v>
      </x:c>
      <x:c r="H140" s="57" t="n">
        <x:v>5</x:v>
      </x:c>
      <x:c r="I140" s="206" t="n"/>
      <x:c r="J140" s="71" t="n"/>
      <x:c r="K140" s="71" t="n"/>
      <x:c r="L140" s="71" t="inlineStr">
        <x:is>
          <x:t xml:space="preserve">NO</x:t>
        </x:is>
      </x:c>
      <x:c r="M140" s="71" t="n"/>
      <x:c r="N140" s="71" t="n"/>
      <x:c r="O140" s="71" t="n"/>
      <x:c r="P140" s="71" t="n"/>
      <x:c r="Q140" s="71" t="n"/>
      <x:c r="R140" s="71" t="n"/>
      <x:c r="S140" s="206" t="n"/>
      <x:c r="T140" s="71" t="n"/>
      <x:c r="U140" s="71" t="n"/>
      <x:c r="V140" s="71" t="n"/>
      <x:c r="W140" s="71" t="n"/>
      <x:c r="X140" s="71" t="n"/>
      <x:c r="Y140" s="71" t="n"/>
      <x:c r="Z140" s="71" t="n"/>
      <x:c r="AA140" s="71" t="n"/>
      <x:c r="AB140" s="71" t="inlineStr">
        <x:is>
          <x:t xml:space="preserve">NO</x:t>
        </x:is>
      </x:c>
      <x:c r="AC140" s="57" t="inlineStr">
        <x:is>
          <x:t xml:space="preserve">V10</x:t>
        </x:is>
      </x:c>
      <x:c r="AD140" s="57" t="n"/>
      <x:c r="AE140" s="79" t="str">
        <x:f>IF(AND(I140&lt;&gt;"",J140&lt;&gt;"",K140&lt;&gt;"",L140="YES",M140&lt;&gt;"",S140&lt;&gt;"",T140&lt;&gt;"",U140&lt;&gt;"",V140&lt;&gt;"",W140&lt;&gt;"",X140&lt;&gt;"",Y140&lt;&gt;""),"COMPLETE","PENDING")</x:f>
        <x:v>PENDING</x:v>
      </x:c>
      <x:c r="AF140" s="79" t="str">
        <x:f>IF(AE140="COMPLETE","YES","NO")</x:f>
        <x:v>NO</x:v>
      </x:c>
      <x:c r="AG140" s="214" t="str">
        <x:f>IF(AF140&lt;&gt;"YES","",(IF(V140="YES",1,0)+IF(W140="YES",1,0))/2)</x:f>
      </x:c>
    </x:row>
    <x:row r="141">
      <x:c r="A141" s="57" t="inlineStr">
        <x:is>
          <x:t xml:space="preserve">C0136</x:t>
        </x:is>
      </x:c>
      <x:c r="B141" s="57" t="inlineStr">
        <x:is>
          <x:t xml:space="preserve">Development</x:t>
        </x:is>
      </x:c>
      <x:c r="C141" s="57" t="inlineStr">
        <x:is>
          <x:t xml:space="preserve">OPEN</x:t>
        </x:is>
      </x:c>
      <x:c r="D141" s="57" t="inlineStr">
        <x:is>
          <x:t xml:space="preserve">ARG-014</x:t>
        </x:is>
      </x:c>
      <x:c r="E141" s="75" t="str">
        <x:f>INDEX('Company Universe'!$B$6:$B$105,MATCH(D141,'Company Universe'!$A$6:$A$105,0))</x:f>
        <x:v>Eaton</x:v>
      </x:c>
      <x:c r="F141" s="75" t="str">
        <x:f>INDEX('Company Universe'!$C$6:$C$105,MATCH(D141,'Company Universe'!$A$6:$A$105,0))</x:f>
        <x:v>ETN</x:v>
      </x:c>
      <x:c r="G141" s="75" t="str">
        <x:f>INDEX('Company Universe'!$F$6:$F$105,MATCH(D141,'Company Universe'!$A$6:$A$105,0))</x:f>
        <x:v>Power &amp; Grid</x:v>
      </x:c>
      <x:c r="H141" s="57" t="n">
        <x:v>6</x:v>
      </x:c>
      <x:c r="I141" s="206" t="n"/>
      <x:c r="J141" s="71" t="n"/>
      <x:c r="K141" s="71" t="n"/>
      <x:c r="L141" s="71" t="inlineStr">
        <x:is>
          <x:t xml:space="preserve">NO</x:t>
        </x:is>
      </x:c>
      <x:c r="M141" s="71" t="n"/>
      <x:c r="N141" s="71" t="n"/>
      <x:c r="O141" s="71" t="n"/>
      <x:c r="P141" s="71" t="n"/>
      <x:c r="Q141" s="71" t="n"/>
      <x:c r="R141" s="71" t="n"/>
      <x:c r="S141" s="206" t="n"/>
      <x:c r="T141" s="71" t="n"/>
      <x:c r="U141" s="71" t="n"/>
      <x:c r="V141" s="71" t="n"/>
      <x:c r="W141" s="71" t="n"/>
      <x:c r="X141" s="71" t="n"/>
      <x:c r="Y141" s="71" t="n"/>
      <x:c r="Z141" s="71" t="n"/>
      <x:c r="AA141" s="71" t="n"/>
      <x:c r="AB141" s="71" t="inlineStr">
        <x:is>
          <x:t xml:space="preserve">NO</x:t>
        </x:is>
      </x:c>
      <x:c r="AC141" s="57" t="inlineStr">
        <x:is>
          <x:t xml:space="preserve">V10</x:t>
        </x:is>
      </x:c>
      <x:c r="AD141" s="57" t="n"/>
      <x:c r="AE141" s="79" t="str">
        <x:f>IF(AND(I141&lt;&gt;"",J141&lt;&gt;"",K141&lt;&gt;"",L141="YES",M141&lt;&gt;"",S141&lt;&gt;"",T141&lt;&gt;"",U141&lt;&gt;"",V141&lt;&gt;"",W141&lt;&gt;"",X141&lt;&gt;"",Y141&lt;&gt;""),"COMPLETE","PENDING")</x:f>
        <x:v>PENDING</x:v>
      </x:c>
      <x:c r="AF141" s="79" t="str">
        <x:f>IF(AE141="COMPLETE","YES","NO")</x:f>
        <x:v>NO</x:v>
      </x:c>
      <x:c r="AG141" s="214" t="str">
        <x:f>IF(AF141&lt;&gt;"YES","",(IF(V141="YES",1,0)+IF(W141="YES",1,0))/2)</x:f>
      </x:c>
    </x:row>
    <x:row r="142">
      <x:c r="A142" s="57" t="inlineStr">
        <x:is>
          <x:t xml:space="preserve">C0137</x:t>
        </x:is>
      </x:c>
      <x:c r="B142" s="57" t="inlineStr">
        <x:is>
          <x:t xml:space="preserve">Development</x:t>
        </x:is>
      </x:c>
      <x:c r="C142" s="57" t="inlineStr">
        <x:is>
          <x:t xml:space="preserve">OPEN</x:t>
        </x:is>
      </x:c>
      <x:c r="D142" s="57" t="inlineStr">
        <x:is>
          <x:t xml:space="preserve">ARG-014</x:t>
        </x:is>
      </x:c>
      <x:c r="E142" s="75" t="str">
        <x:f>INDEX('Company Universe'!$B$6:$B$105,MATCH(D142,'Company Universe'!$A$6:$A$105,0))</x:f>
        <x:v>Eaton</x:v>
      </x:c>
      <x:c r="F142" s="75" t="str">
        <x:f>INDEX('Company Universe'!$C$6:$C$105,MATCH(D142,'Company Universe'!$A$6:$A$105,0))</x:f>
        <x:v>ETN</x:v>
      </x:c>
      <x:c r="G142" s="75" t="str">
        <x:f>INDEX('Company Universe'!$F$6:$F$105,MATCH(D142,'Company Universe'!$A$6:$A$105,0))</x:f>
        <x:v>Power &amp; Grid</x:v>
      </x:c>
      <x:c r="H142" s="57" t="n">
        <x:v>7</x:v>
      </x:c>
      <x:c r="I142" s="206" t="n"/>
      <x:c r="J142" s="71" t="n"/>
      <x:c r="K142" s="71" t="n"/>
      <x:c r="L142" s="71" t="inlineStr">
        <x:is>
          <x:t xml:space="preserve">NO</x:t>
        </x:is>
      </x:c>
      <x:c r="M142" s="71" t="n"/>
      <x:c r="N142" s="71" t="n"/>
      <x:c r="O142" s="71" t="n"/>
      <x:c r="P142" s="71" t="n"/>
      <x:c r="Q142" s="71" t="n"/>
      <x:c r="R142" s="71" t="n"/>
      <x:c r="S142" s="206" t="n"/>
      <x:c r="T142" s="71" t="n"/>
      <x:c r="U142" s="71" t="n"/>
      <x:c r="V142" s="71" t="n"/>
      <x:c r="W142" s="71" t="n"/>
      <x:c r="X142" s="71" t="n"/>
      <x:c r="Y142" s="71" t="n"/>
      <x:c r="Z142" s="71" t="n"/>
      <x:c r="AA142" s="71" t="n"/>
      <x:c r="AB142" s="71" t="inlineStr">
        <x:is>
          <x:t xml:space="preserve">NO</x:t>
        </x:is>
      </x:c>
      <x:c r="AC142" s="57" t="inlineStr">
        <x:is>
          <x:t xml:space="preserve">V10</x:t>
        </x:is>
      </x:c>
      <x:c r="AD142" s="57" t="n"/>
      <x:c r="AE142" s="79" t="str">
        <x:f>IF(AND(I142&lt;&gt;"",J142&lt;&gt;"",K142&lt;&gt;"",L142="YES",M142&lt;&gt;"",S142&lt;&gt;"",T142&lt;&gt;"",U142&lt;&gt;"",V142&lt;&gt;"",W142&lt;&gt;"",X142&lt;&gt;"",Y142&lt;&gt;""),"COMPLETE","PENDING")</x:f>
        <x:v>PENDING</x:v>
      </x:c>
      <x:c r="AF142" s="79" t="str">
        <x:f>IF(AE142="COMPLETE","YES","NO")</x:f>
        <x:v>NO</x:v>
      </x:c>
      <x:c r="AG142" s="214" t="str">
        <x:f>IF(AF142&lt;&gt;"YES","",(IF(V142="YES",1,0)+IF(W142="YES",1,0))/2)</x:f>
      </x:c>
    </x:row>
    <x:row r="143">
      <x:c r="A143" s="57" t="inlineStr">
        <x:is>
          <x:t xml:space="preserve">C0138</x:t>
        </x:is>
      </x:c>
      <x:c r="B143" s="57" t="inlineStr">
        <x:is>
          <x:t xml:space="preserve">Development</x:t>
        </x:is>
      </x:c>
      <x:c r="C143" s="57" t="inlineStr">
        <x:is>
          <x:t xml:space="preserve">OPEN</x:t>
        </x:is>
      </x:c>
      <x:c r="D143" s="57" t="inlineStr">
        <x:is>
          <x:t xml:space="preserve">ARG-014</x:t>
        </x:is>
      </x:c>
      <x:c r="E143" s="75" t="str">
        <x:f>INDEX('Company Universe'!$B$6:$B$105,MATCH(D143,'Company Universe'!$A$6:$A$105,0))</x:f>
        <x:v>Eaton</x:v>
      </x:c>
      <x:c r="F143" s="75" t="str">
        <x:f>INDEX('Company Universe'!$C$6:$C$105,MATCH(D143,'Company Universe'!$A$6:$A$105,0))</x:f>
        <x:v>ETN</x:v>
      </x:c>
      <x:c r="G143" s="75" t="str">
        <x:f>INDEX('Company Universe'!$F$6:$F$105,MATCH(D143,'Company Universe'!$A$6:$A$105,0))</x:f>
        <x:v>Power &amp; Grid</x:v>
      </x:c>
      <x:c r="H143" s="57" t="n">
        <x:v>8</x:v>
      </x:c>
      <x:c r="I143" s="206" t="n"/>
      <x:c r="J143" s="71" t="n"/>
      <x:c r="K143" s="71" t="n"/>
      <x:c r="L143" s="71" t="inlineStr">
        <x:is>
          <x:t xml:space="preserve">NO</x:t>
        </x:is>
      </x:c>
      <x:c r="M143" s="71" t="n"/>
      <x:c r="N143" s="71" t="n"/>
      <x:c r="O143" s="71" t="n"/>
      <x:c r="P143" s="71" t="n"/>
      <x:c r="Q143" s="71" t="n"/>
      <x:c r="R143" s="71" t="n"/>
      <x:c r="S143" s="206" t="n"/>
      <x:c r="T143" s="71" t="n"/>
      <x:c r="U143" s="71" t="n"/>
      <x:c r="V143" s="71" t="n"/>
      <x:c r="W143" s="71" t="n"/>
      <x:c r="X143" s="71" t="n"/>
      <x:c r="Y143" s="71" t="n"/>
      <x:c r="Z143" s="71" t="n"/>
      <x:c r="AA143" s="71" t="n"/>
      <x:c r="AB143" s="71" t="inlineStr">
        <x:is>
          <x:t xml:space="preserve">NO</x:t>
        </x:is>
      </x:c>
      <x:c r="AC143" s="57" t="inlineStr">
        <x:is>
          <x:t xml:space="preserve">V10</x:t>
        </x:is>
      </x:c>
      <x:c r="AD143" s="57" t="n"/>
      <x:c r="AE143" s="79" t="str">
        <x:f>IF(AND(I143&lt;&gt;"",J143&lt;&gt;"",K143&lt;&gt;"",L143="YES",M143&lt;&gt;"",S143&lt;&gt;"",T143&lt;&gt;"",U143&lt;&gt;"",V143&lt;&gt;"",W143&lt;&gt;"",X143&lt;&gt;"",Y143&lt;&gt;""),"COMPLETE","PENDING")</x:f>
        <x:v>PENDING</x:v>
      </x:c>
      <x:c r="AF143" s="79" t="str">
        <x:f>IF(AE143="COMPLETE","YES","NO")</x:f>
        <x:v>NO</x:v>
      </x:c>
      <x:c r="AG143" s="214" t="str">
        <x:f>IF(AF143&lt;&gt;"YES","",(IF(V143="YES",1,0)+IF(W143="YES",1,0))/2)</x:f>
      </x:c>
    </x:row>
    <x:row r="144">
      <x:c r="A144" s="57" t="inlineStr">
        <x:is>
          <x:t xml:space="preserve">C0139</x:t>
        </x:is>
      </x:c>
      <x:c r="B144" s="57" t="inlineStr">
        <x:is>
          <x:t xml:space="preserve">Development</x:t>
        </x:is>
      </x:c>
      <x:c r="C144" s="57" t="inlineStr">
        <x:is>
          <x:t xml:space="preserve">OPEN</x:t>
        </x:is>
      </x:c>
      <x:c r="D144" s="57" t="inlineStr">
        <x:is>
          <x:t xml:space="preserve">ARG-014</x:t>
        </x:is>
      </x:c>
      <x:c r="E144" s="75" t="str">
        <x:f>INDEX('Company Universe'!$B$6:$B$105,MATCH(D144,'Company Universe'!$A$6:$A$105,0))</x:f>
        <x:v>Eaton</x:v>
      </x:c>
      <x:c r="F144" s="75" t="str">
        <x:f>INDEX('Company Universe'!$C$6:$C$105,MATCH(D144,'Company Universe'!$A$6:$A$105,0))</x:f>
        <x:v>ETN</x:v>
      </x:c>
      <x:c r="G144" s="75" t="str">
        <x:f>INDEX('Company Universe'!$F$6:$F$105,MATCH(D144,'Company Universe'!$A$6:$A$105,0))</x:f>
        <x:v>Power &amp; Grid</x:v>
      </x:c>
      <x:c r="H144" s="57" t="n">
        <x:v>9</x:v>
      </x:c>
      <x:c r="I144" s="206" t="n"/>
      <x:c r="J144" s="71" t="n"/>
      <x:c r="K144" s="71" t="n"/>
      <x:c r="L144" s="71" t="inlineStr">
        <x:is>
          <x:t xml:space="preserve">NO</x:t>
        </x:is>
      </x:c>
      <x:c r="M144" s="71" t="n"/>
      <x:c r="N144" s="71" t="n"/>
      <x:c r="O144" s="71" t="n"/>
      <x:c r="P144" s="71" t="n"/>
      <x:c r="Q144" s="71" t="n"/>
      <x:c r="R144" s="71" t="n"/>
      <x:c r="S144" s="206" t="n"/>
      <x:c r="T144" s="71" t="n"/>
      <x:c r="U144" s="71" t="n"/>
      <x:c r="V144" s="71" t="n"/>
      <x:c r="W144" s="71" t="n"/>
      <x:c r="X144" s="71" t="n"/>
      <x:c r="Y144" s="71" t="n"/>
      <x:c r="Z144" s="71" t="n"/>
      <x:c r="AA144" s="71" t="n"/>
      <x:c r="AB144" s="71" t="inlineStr">
        <x:is>
          <x:t xml:space="preserve">NO</x:t>
        </x:is>
      </x:c>
      <x:c r="AC144" s="57" t="inlineStr">
        <x:is>
          <x:t xml:space="preserve">V10</x:t>
        </x:is>
      </x:c>
      <x:c r="AD144" s="57" t="n"/>
      <x:c r="AE144" s="79" t="str">
        <x:f>IF(AND(I144&lt;&gt;"",J144&lt;&gt;"",K144&lt;&gt;"",L144="YES",M144&lt;&gt;"",S144&lt;&gt;"",T144&lt;&gt;"",U144&lt;&gt;"",V144&lt;&gt;"",W144&lt;&gt;"",X144&lt;&gt;"",Y144&lt;&gt;""),"COMPLETE","PENDING")</x:f>
        <x:v>PENDING</x:v>
      </x:c>
      <x:c r="AF144" s="79" t="str">
        <x:f>IF(AE144="COMPLETE","YES","NO")</x:f>
        <x:v>NO</x:v>
      </x:c>
      <x:c r="AG144" s="214" t="str">
        <x:f>IF(AF144&lt;&gt;"YES","",(IF(V144="YES",1,0)+IF(W144="YES",1,0))/2)</x:f>
      </x:c>
    </x:row>
    <x:row r="145">
      <x:c r="A145" s="57" t="inlineStr">
        <x:is>
          <x:t xml:space="preserve">C0140</x:t>
        </x:is>
      </x:c>
      <x:c r="B145" s="57" t="inlineStr">
        <x:is>
          <x:t xml:space="preserve">Development</x:t>
        </x:is>
      </x:c>
      <x:c r="C145" s="57" t="inlineStr">
        <x:is>
          <x:t xml:space="preserve">OPEN</x:t>
        </x:is>
      </x:c>
      <x:c r="D145" s="57" t="inlineStr">
        <x:is>
          <x:t xml:space="preserve">ARG-014</x:t>
        </x:is>
      </x:c>
      <x:c r="E145" s="75" t="str">
        <x:f>INDEX('Company Universe'!$B$6:$B$105,MATCH(D145,'Company Universe'!$A$6:$A$105,0))</x:f>
        <x:v>Eaton</x:v>
      </x:c>
      <x:c r="F145" s="75" t="str">
        <x:f>INDEX('Company Universe'!$C$6:$C$105,MATCH(D145,'Company Universe'!$A$6:$A$105,0))</x:f>
        <x:v>ETN</x:v>
      </x:c>
      <x:c r="G145" s="75" t="str">
        <x:f>INDEX('Company Universe'!$F$6:$F$105,MATCH(D145,'Company Universe'!$A$6:$A$105,0))</x:f>
        <x:v>Power &amp; Grid</x:v>
      </x:c>
      <x:c r="H145" s="57" t="n">
        <x:v>10</x:v>
      </x:c>
      <x:c r="I145" s="206" t="n"/>
      <x:c r="J145" s="71" t="n"/>
      <x:c r="K145" s="71" t="n"/>
      <x:c r="L145" s="71" t="inlineStr">
        <x:is>
          <x:t xml:space="preserve">NO</x:t>
        </x:is>
      </x:c>
      <x:c r="M145" s="71" t="n"/>
      <x:c r="N145" s="71" t="n"/>
      <x:c r="O145" s="71" t="n"/>
      <x:c r="P145" s="71" t="n"/>
      <x:c r="Q145" s="71" t="n"/>
      <x:c r="R145" s="71" t="n"/>
      <x:c r="S145" s="206" t="n"/>
      <x:c r="T145" s="71" t="n"/>
      <x:c r="U145" s="71" t="n"/>
      <x:c r="V145" s="71" t="n"/>
      <x:c r="W145" s="71" t="n"/>
      <x:c r="X145" s="71" t="n"/>
      <x:c r="Y145" s="71" t="n"/>
      <x:c r="Z145" s="71" t="n"/>
      <x:c r="AA145" s="71" t="n"/>
      <x:c r="AB145" s="71" t="inlineStr">
        <x:is>
          <x:t xml:space="preserve">NO</x:t>
        </x:is>
      </x:c>
      <x:c r="AC145" s="57" t="inlineStr">
        <x:is>
          <x:t xml:space="preserve">V10</x:t>
        </x:is>
      </x:c>
      <x:c r="AD145" s="57" t="n"/>
      <x:c r="AE145" s="79" t="str">
        <x:f>IF(AND(I145&lt;&gt;"",J145&lt;&gt;"",K145&lt;&gt;"",L145="YES",M145&lt;&gt;"",S145&lt;&gt;"",T145&lt;&gt;"",U145&lt;&gt;"",V145&lt;&gt;"",W145&lt;&gt;"",X145&lt;&gt;"",Y145&lt;&gt;""),"COMPLETE","PENDING")</x:f>
        <x:v>PENDING</x:v>
      </x:c>
      <x:c r="AF145" s="79" t="str">
        <x:f>IF(AE145="COMPLETE","YES","NO")</x:f>
        <x:v>NO</x:v>
      </x:c>
      <x:c r="AG145" s="214" t="str">
        <x:f>IF(AF145&lt;&gt;"YES","",(IF(V145="YES",1,0)+IF(W145="YES",1,0))/2)</x:f>
      </x:c>
    </x:row>
    <x:row r="146">
      <x:c r="A146" s="57" t="inlineStr">
        <x:is>
          <x:t xml:space="preserve">C0141</x:t>
        </x:is>
      </x:c>
      <x:c r="B146" s="57" t="inlineStr">
        <x:is>
          <x:t xml:space="preserve">Development</x:t>
        </x:is>
      </x:c>
      <x:c r="C146" s="57" t="inlineStr">
        <x:is>
          <x:t xml:space="preserve">OPEN</x:t>
        </x:is>
      </x:c>
      <x:c r="D146" s="57" t="inlineStr">
        <x:is>
          <x:t xml:space="preserve">ARG-015</x:t>
        </x:is>
      </x:c>
      <x:c r="E146" s="75" t="str">
        <x:f>INDEX('Company Universe'!$B$6:$B$105,MATCH(D146,'Company Universe'!$A$6:$A$105,0))</x:f>
        <x:v>Quanta Services</x:v>
      </x:c>
      <x:c r="F146" s="75" t="str">
        <x:f>INDEX('Company Universe'!$C$6:$C$105,MATCH(D146,'Company Universe'!$A$6:$A$105,0))</x:f>
        <x:v>PWR</x:v>
      </x:c>
      <x:c r="G146" s="75" t="str">
        <x:f>INDEX('Company Universe'!$F$6:$F$105,MATCH(D146,'Company Universe'!$A$6:$A$105,0))</x:f>
        <x:v>Power &amp; Grid</x:v>
      </x:c>
      <x:c r="H146" s="57" t="n">
        <x:v>1</x:v>
      </x:c>
      <x:c r="I146" s="206" t="n"/>
      <x:c r="J146" s="71" t="n"/>
      <x:c r="K146" s="71" t="n"/>
      <x:c r="L146" s="71" t="inlineStr">
        <x:is>
          <x:t xml:space="preserve">NO</x:t>
        </x:is>
      </x:c>
      <x:c r="M146" s="71" t="n"/>
      <x:c r="N146" s="71" t="n"/>
      <x:c r="O146" s="71" t="n"/>
      <x:c r="P146" s="71" t="n"/>
      <x:c r="Q146" s="71" t="n"/>
      <x:c r="R146" s="71" t="n"/>
      <x:c r="S146" s="206" t="n"/>
      <x:c r="T146" s="71" t="n"/>
      <x:c r="U146" s="71" t="n"/>
      <x:c r="V146" s="71" t="n"/>
      <x:c r="W146" s="71" t="n"/>
      <x:c r="X146" s="71" t="n"/>
      <x:c r="Y146" s="71" t="n"/>
      <x:c r="Z146" s="71" t="n"/>
      <x:c r="AA146" s="71" t="n"/>
      <x:c r="AB146" s="71" t="inlineStr">
        <x:is>
          <x:t xml:space="preserve">NO</x:t>
        </x:is>
      </x:c>
      <x:c r="AC146" s="57" t="inlineStr">
        <x:is>
          <x:t xml:space="preserve">V10</x:t>
        </x:is>
      </x:c>
      <x:c r="AD146" s="57" t="n"/>
      <x:c r="AE146" s="79" t="str">
        <x:f>IF(AND(I146&lt;&gt;"",J146&lt;&gt;"",K146&lt;&gt;"",L146="YES",M146&lt;&gt;"",S146&lt;&gt;"",T146&lt;&gt;"",U146&lt;&gt;"",V146&lt;&gt;"",W146&lt;&gt;"",X146&lt;&gt;"",Y146&lt;&gt;""),"COMPLETE","PENDING")</x:f>
        <x:v>PENDING</x:v>
      </x:c>
      <x:c r="AF146" s="79" t="str">
        <x:f>IF(AE146="COMPLETE","YES","NO")</x:f>
        <x:v>NO</x:v>
      </x:c>
      <x:c r="AG146" s="214" t="str">
        <x:f>IF(AF146&lt;&gt;"YES","",(IF(V146="YES",1,0)+IF(W146="YES",1,0))/2)</x:f>
      </x:c>
    </x:row>
    <x:row r="147">
      <x:c r="A147" s="57" t="inlineStr">
        <x:is>
          <x:t xml:space="preserve">C0142</x:t>
        </x:is>
      </x:c>
      <x:c r="B147" s="57" t="inlineStr">
        <x:is>
          <x:t xml:space="preserve">Development</x:t>
        </x:is>
      </x:c>
      <x:c r="C147" s="57" t="inlineStr">
        <x:is>
          <x:t xml:space="preserve">OPEN</x:t>
        </x:is>
      </x:c>
      <x:c r="D147" s="57" t="inlineStr">
        <x:is>
          <x:t xml:space="preserve">ARG-015</x:t>
        </x:is>
      </x:c>
      <x:c r="E147" s="75" t="str">
        <x:f>INDEX('Company Universe'!$B$6:$B$105,MATCH(D147,'Company Universe'!$A$6:$A$105,0))</x:f>
        <x:v>Quanta Services</x:v>
      </x:c>
      <x:c r="F147" s="75" t="str">
        <x:f>INDEX('Company Universe'!$C$6:$C$105,MATCH(D147,'Company Universe'!$A$6:$A$105,0))</x:f>
        <x:v>PWR</x:v>
      </x:c>
      <x:c r="G147" s="75" t="str">
        <x:f>INDEX('Company Universe'!$F$6:$F$105,MATCH(D147,'Company Universe'!$A$6:$A$105,0))</x:f>
        <x:v>Power &amp; Grid</x:v>
      </x:c>
      <x:c r="H147" s="57" t="n">
        <x:v>2</x:v>
      </x:c>
      <x:c r="I147" s="206" t="n"/>
      <x:c r="J147" s="71" t="n"/>
      <x:c r="K147" s="71" t="n"/>
      <x:c r="L147" s="71" t="inlineStr">
        <x:is>
          <x:t xml:space="preserve">NO</x:t>
        </x:is>
      </x:c>
      <x:c r="M147" s="71" t="n"/>
      <x:c r="N147" s="71" t="n"/>
      <x:c r="O147" s="71" t="n"/>
      <x:c r="P147" s="71" t="n"/>
      <x:c r="Q147" s="71" t="n"/>
      <x:c r="R147" s="71" t="n"/>
      <x:c r="S147" s="206" t="n"/>
      <x:c r="T147" s="71" t="n"/>
      <x:c r="U147" s="71" t="n"/>
      <x:c r="V147" s="71" t="n"/>
      <x:c r="W147" s="71" t="n"/>
      <x:c r="X147" s="71" t="n"/>
      <x:c r="Y147" s="71" t="n"/>
      <x:c r="Z147" s="71" t="n"/>
      <x:c r="AA147" s="71" t="n"/>
      <x:c r="AB147" s="71" t="inlineStr">
        <x:is>
          <x:t xml:space="preserve">NO</x:t>
        </x:is>
      </x:c>
      <x:c r="AC147" s="57" t="inlineStr">
        <x:is>
          <x:t xml:space="preserve">V10</x:t>
        </x:is>
      </x:c>
      <x:c r="AD147" s="57" t="n"/>
      <x:c r="AE147" s="79" t="str">
        <x:f>IF(AND(I147&lt;&gt;"",J147&lt;&gt;"",K147&lt;&gt;"",L147="YES",M147&lt;&gt;"",S147&lt;&gt;"",T147&lt;&gt;"",U147&lt;&gt;"",V147&lt;&gt;"",W147&lt;&gt;"",X147&lt;&gt;"",Y147&lt;&gt;""),"COMPLETE","PENDING")</x:f>
        <x:v>PENDING</x:v>
      </x:c>
      <x:c r="AF147" s="79" t="str">
        <x:f>IF(AE147="COMPLETE","YES","NO")</x:f>
        <x:v>NO</x:v>
      </x:c>
      <x:c r="AG147" s="214" t="str">
        <x:f>IF(AF147&lt;&gt;"YES","",(IF(V147="YES",1,0)+IF(W147="YES",1,0))/2)</x:f>
      </x:c>
    </x:row>
    <x:row r="148">
      <x:c r="A148" s="57" t="inlineStr">
        <x:is>
          <x:t xml:space="preserve">C0143</x:t>
        </x:is>
      </x:c>
      <x:c r="B148" s="57" t="inlineStr">
        <x:is>
          <x:t xml:space="preserve">Development</x:t>
        </x:is>
      </x:c>
      <x:c r="C148" s="57" t="inlineStr">
        <x:is>
          <x:t xml:space="preserve">OPEN</x:t>
        </x:is>
      </x:c>
      <x:c r="D148" s="57" t="inlineStr">
        <x:is>
          <x:t xml:space="preserve">ARG-015</x:t>
        </x:is>
      </x:c>
      <x:c r="E148" s="75" t="str">
        <x:f>INDEX('Company Universe'!$B$6:$B$105,MATCH(D148,'Company Universe'!$A$6:$A$105,0))</x:f>
        <x:v>Quanta Services</x:v>
      </x:c>
      <x:c r="F148" s="75" t="str">
        <x:f>INDEX('Company Universe'!$C$6:$C$105,MATCH(D148,'Company Universe'!$A$6:$A$105,0))</x:f>
        <x:v>PWR</x:v>
      </x:c>
      <x:c r="G148" s="75" t="str">
        <x:f>INDEX('Company Universe'!$F$6:$F$105,MATCH(D148,'Company Universe'!$A$6:$A$105,0))</x:f>
        <x:v>Power &amp; Grid</x:v>
      </x:c>
      <x:c r="H148" s="57" t="n">
        <x:v>3</x:v>
      </x:c>
      <x:c r="I148" s="206" t="n"/>
      <x:c r="J148" s="71" t="n"/>
      <x:c r="K148" s="71" t="n"/>
      <x:c r="L148" s="71" t="inlineStr">
        <x:is>
          <x:t xml:space="preserve">NO</x:t>
        </x:is>
      </x:c>
      <x:c r="M148" s="71" t="n"/>
      <x:c r="N148" s="71" t="n"/>
      <x:c r="O148" s="71" t="n"/>
      <x:c r="P148" s="71" t="n"/>
      <x:c r="Q148" s="71" t="n"/>
      <x:c r="R148" s="71" t="n"/>
      <x:c r="S148" s="206" t="n"/>
      <x:c r="T148" s="71" t="n"/>
      <x:c r="U148" s="71" t="n"/>
      <x:c r="V148" s="71" t="n"/>
      <x:c r="W148" s="71" t="n"/>
      <x:c r="X148" s="71" t="n"/>
      <x:c r="Y148" s="71" t="n"/>
      <x:c r="Z148" s="71" t="n"/>
      <x:c r="AA148" s="71" t="n"/>
      <x:c r="AB148" s="71" t="inlineStr">
        <x:is>
          <x:t xml:space="preserve">NO</x:t>
        </x:is>
      </x:c>
      <x:c r="AC148" s="57" t="inlineStr">
        <x:is>
          <x:t xml:space="preserve">V10</x:t>
        </x:is>
      </x:c>
      <x:c r="AD148" s="57" t="n"/>
      <x:c r="AE148" s="79" t="str">
        <x:f>IF(AND(I148&lt;&gt;"",J148&lt;&gt;"",K148&lt;&gt;"",L148="YES",M148&lt;&gt;"",S148&lt;&gt;"",T148&lt;&gt;"",U148&lt;&gt;"",V148&lt;&gt;"",W148&lt;&gt;"",X148&lt;&gt;"",Y148&lt;&gt;""),"COMPLETE","PENDING")</x:f>
        <x:v>PENDING</x:v>
      </x:c>
      <x:c r="AF148" s="79" t="str">
        <x:f>IF(AE148="COMPLETE","YES","NO")</x:f>
        <x:v>NO</x:v>
      </x:c>
      <x:c r="AG148" s="214" t="str">
        <x:f>IF(AF148&lt;&gt;"YES","",(IF(V148="YES",1,0)+IF(W148="YES",1,0))/2)</x:f>
      </x:c>
    </x:row>
    <x:row r="149">
      <x:c r="A149" s="57" t="inlineStr">
        <x:is>
          <x:t xml:space="preserve">C0144</x:t>
        </x:is>
      </x:c>
      <x:c r="B149" s="57" t="inlineStr">
        <x:is>
          <x:t xml:space="preserve">Development</x:t>
        </x:is>
      </x:c>
      <x:c r="C149" s="57" t="inlineStr">
        <x:is>
          <x:t xml:space="preserve">OPEN</x:t>
        </x:is>
      </x:c>
      <x:c r="D149" s="57" t="inlineStr">
        <x:is>
          <x:t xml:space="preserve">ARG-015</x:t>
        </x:is>
      </x:c>
      <x:c r="E149" s="75" t="str">
        <x:f>INDEX('Company Universe'!$B$6:$B$105,MATCH(D149,'Company Universe'!$A$6:$A$105,0))</x:f>
        <x:v>Quanta Services</x:v>
      </x:c>
      <x:c r="F149" s="75" t="str">
        <x:f>INDEX('Company Universe'!$C$6:$C$105,MATCH(D149,'Company Universe'!$A$6:$A$105,0))</x:f>
        <x:v>PWR</x:v>
      </x:c>
      <x:c r="G149" s="75" t="str">
        <x:f>INDEX('Company Universe'!$F$6:$F$105,MATCH(D149,'Company Universe'!$A$6:$A$105,0))</x:f>
        <x:v>Power &amp; Grid</x:v>
      </x:c>
      <x:c r="H149" s="57" t="n">
        <x:v>4</x:v>
      </x:c>
      <x:c r="I149" s="206" t="n"/>
      <x:c r="J149" s="71" t="n"/>
      <x:c r="K149" s="71" t="n"/>
      <x:c r="L149" s="71" t="inlineStr">
        <x:is>
          <x:t xml:space="preserve">NO</x:t>
        </x:is>
      </x:c>
      <x:c r="M149" s="71" t="n"/>
      <x:c r="N149" s="71" t="n"/>
      <x:c r="O149" s="71" t="n"/>
      <x:c r="P149" s="71" t="n"/>
      <x:c r="Q149" s="71" t="n"/>
      <x:c r="R149" s="71" t="n"/>
      <x:c r="S149" s="206" t="n"/>
      <x:c r="T149" s="71" t="n"/>
      <x:c r="U149" s="71" t="n"/>
      <x:c r="V149" s="71" t="n"/>
      <x:c r="W149" s="71" t="n"/>
      <x:c r="X149" s="71" t="n"/>
      <x:c r="Y149" s="71" t="n"/>
      <x:c r="Z149" s="71" t="n"/>
      <x:c r="AA149" s="71" t="n"/>
      <x:c r="AB149" s="71" t="inlineStr">
        <x:is>
          <x:t xml:space="preserve">NO</x:t>
        </x:is>
      </x:c>
      <x:c r="AC149" s="57" t="inlineStr">
        <x:is>
          <x:t xml:space="preserve">V10</x:t>
        </x:is>
      </x:c>
      <x:c r="AD149" s="57" t="n"/>
      <x:c r="AE149" s="79" t="str">
        <x:f>IF(AND(I149&lt;&gt;"",J149&lt;&gt;"",K149&lt;&gt;"",L149="YES",M149&lt;&gt;"",S149&lt;&gt;"",T149&lt;&gt;"",U149&lt;&gt;"",V149&lt;&gt;"",W149&lt;&gt;"",X149&lt;&gt;"",Y149&lt;&gt;""),"COMPLETE","PENDING")</x:f>
        <x:v>PENDING</x:v>
      </x:c>
      <x:c r="AF149" s="79" t="str">
        <x:f>IF(AE149="COMPLETE","YES","NO")</x:f>
        <x:v>NO</x:v>
      </x:c>
      <x:c r="AG149" s="214" t="str">
        <x:f>IF(AF149&lt;&gt;"YES","",(IF(V149="YES",1,0)+IF(W149="YES",1,0))/2)</x:f>
      </x:c>
    </x:row>
    <x:row r="150">
      <x:c r="A150" s="57" t="inlineStr">
        <x:is>
          <x:t xml:space="preserve">C0145</x:t>
        </x:is>
      </x:c>
      <x:c r="B150" s="57" t="inlineStr">
        <x:is>
          <x:t xml:space="preserve">Development</x:t>
        </x:is>
      </x:c>
      <x:c r="C150" s="57" t="inlineStr">
        <x:is>
          <x:t xml:space="preserve">OPEN</x:t>
        </x:is>
      </x:c>
      <x:c r="D150" s="57" t="inlineStr">
        <x:is>
          <x:t xml:space="preserve">ARG-015</x:t>
        </x:is>
      </x:c>
      <x:c r="E150" s="75" t="str">
        <x:f>INDEX('Company Universe'!$B$6:$B$105,MATCH(D150,'Company Universe'!$A$6:$A$105,0))</x:f>
        <x:v>Quanta Services</x:v>
      </x:c>
      <x:c r="F150" s="75" t="str">
        <x:f>INDEX('Company Universe'!$C$6:$C$105,MATCH(D150,'Company Universe'!$A$6:$A$105,0))</x:f>
        <x:v>PWR</x:v>
      </x:c>
      <x:c r="G150" s="75" t="str">
        <x:f>INDEX('Company Universe'!$F$6:$F$105,MATCH(D150,'Company Universe'!$A$6:$A$105,0))</x:f>
        <x:v>Power &amp; Grid</x:v>
      </x:c>
      <x:c r="H150" s="57" t="n">
        <x:v>5</x:v>
      </x:c>
      <x:c r="I150" s="206" t="n"/>
      <x:c r="J150" s="71" t="n"/>
      <x:c r="K150" s="71" t="n"/>
      <x:c r="L150" s="71" t="inlineStr">
        <x:is>
          <x:t xml:space="preserve">NO</x:t>
        </x:is>
      </x:c>
      <x:c r="M150" s="71" t="n"/>
      <x:c r="N150" s="71" t="n"/>
      <x:c r="O150" s="71" t="n"/>
      <x:c r="P150" s="71" t="n"/>
      <x:c r="Q150" s="71" t="n"/>
      <x:c r="R150" s="71" t="n"/>
      <x:c r="S150" s="206" t="n"/>
      <x:c r="T150" s="71" t="n"/>
      <x:c r="U150" s="71" t="n"/>
      <x:c r="V150" s="71" t="n"/>
      <x:c r="W150" s="71" t="n"/>
      <x:c r="X150" s="71" t="n"/>
      <x:c r="Y150" s="71" t="n"/>
      <x:c r="Z150" s="71" t="n"/>
      <x:c r="AA150" s="71" t="n"/>
      <x:c r="AB150" s="71" t="inlineStr">
        <x:is>
          <x:t xml:space="preserve">NO</x:t>
        </x:is>
      </x:c>
      <x:c r="AC150" s="57" t="inlineStr">
        <x:is>
          <x:t xml:space="preserve">V10</x:t>
        </x:is>
      </x:c>
      <x:c r="AD150" s="57" t="n"/>
      <x:c r="AE150" s="79" t="str">
        <x:f>IF(AND(I150&lt;&gt;"",J150&lt;&gt;"",K150&lt;&gt;"",L150="YES",M150&lt;&gt;"",S150&lt;&gt;"",T150&lt;&gt;"",U150&lt;&gt;"",V150&lt;&gt;"",W150&lt;&gt;"",X150&lt;&gt;"",Y150&lt;&gt;""),"COMPLETE","PENDING")</x:f>
        <x:v>PENDING</x:v>
      </x:c>
      <x:c r="AF150" s="79" t="str">
        <x:f>IF(AE150="COMPLETE","YES","NO")</x:f>
        <x:v>NO</x:v>
      </x:c>
      <x:c r="AG150" s="214" t="str">
        <x:f>IF(AF150&lt;&gt;"YES","",(IF(V150="YES",1,0)+IF(W150="YES",1,0))/2)</x:f>
      </x:c>
    </x:row>
    <x:row r="151">
      <x:c r="A151" s="57" t="inlineStr">
        <x:is>
          <x:t xml:space="preserve">C0146</x:t>
        </x:is>
      </x:c>
      <x:c r="B151" s="57" t="inlineStr">
        <x:is>
          <x:t xml:space="preserve">Development</x:t>
        </x:is>
      </x:c>
      <x:c r="C151" s="57" t="inlineStr">
        <x:is>
          <x:t xml:space="preserve">OPEN</x:t>
        </x:is>
      </x:c>
      <x:c r="D151" s="57" t="inlineStr">
        <x:is>
          <x:t xml:space="preserve">ARG-015</x:t>
        </x:is>
      </x:c>
      <x:c r="E151" s="75" t="str">
        <x:f>INDEX('Company Universe'!$B$6:$B$105,MATCH(D151,'Company Universe'!$A$6:$A$105,0))</x:f>
        <x:v>Quanta Services</x:v>
      </x:c>
      <x:c r="F151" s="75" t="str">
        <x:f>INDEX('Company Universe'!$C$6:$C$105,MATCH(D151,'Company Universe'!$A$6:$A$105,0))</x:f>
        <x:v>PWR</x:v>
      </x:c>
      <x:c r="G151" s="75" t="str">
        <x:f>INDEX('Company Universe'!$F$6:$F$105,MATCH(D151,'Company Universe'!$A$6:$A$105,0))</x:f>
        <x:v>Power &amp; Grid</x:v>
      </x:c>
      <x:c r="H151" s="57" t="n">
        <x:v>6</x:v>
      </x:c>
      <x:c r="I151" s="206" t="n"/>
      <x:c r="J151" s="71" t="n"/>
      <x:c r="K151" s="71" t="n"/>
      <x:c r="L151" s="71" t="inlineStr">
        <x:is>
          <x:t xml:space="preserve">NO</x:t>
        </x:is>
      </x:c>
      <x:c r="M151" s="71" t="n"/>
      <x:c r="N151" s="71" t="n"/>
      <x:c r="O151" s="71" t="n"/>
      <x:c r="P151" s="71" t="n"/>
      <x:c r="Q151" s="71" t="n"/>
      <x:c r="R151" s="71" t="n"/>
      <x:c r="S151" s="206" t="n"/>
      <x:c r="T151" s="71" t="n"/>
      <x:c r="U151" s="71" t="n"/>
      <x:c r="V151" s="71" t="n"/>
      <x:c r="W151" s="71" t="n"/>
      <x:c r="X151" s="71" t="n"/>
      <x:c r="Y151" s="71" t="n"/>
      <x:c r="Z151" s="71" t="n"/>
      <x:c r="AA151" s="71" t="n"/>
      <x:c r="AB151" s="71" t="inlineStr">
        <x:is>
          <x:t xml:space="preserve">NO</x:t>
        </x:is>
      </x:c>
      <x:c r="AC151" s="57" t="inlineStr">
        <x:is>
          <x:t xml:space="preserve">V10</x:t>
        </x:is>
      </x:c>
      <x:c r="AD151" s="57" t="n"/>
      <x:c r="AE151" s="79" t="str">
        <x:f>IF(AND(I151&lt;&gt;"",J151&lt;&gt;"",K151&lt;&gt;"",L151="YES",M151&lt;&gt;"",S151&lt;&gt;"",T151&lt;&gt;"",U151&lt;&gt;"",V151&lt;&gt;"",W151&lt;&gt;"",X151&lt;&gt;"",Y151&lt;&gt;""),"COMPLETE","PENDING")</x:f>
        <x:v>PENDING</x:v>
      </x:c>
      <x:c r="AF151" s="79" t="str">
        <x:f>IF(AE151="COMPLETE","YES","NO")</x:f>
        <x:v>NO</x:v>
      </x:c>
      <x:c r="AG151" s="214" t="str">
        <x:f>IF(AF151&lt;&gt;"YES","",(IF(V151="YES",1,0)+IF(W151="YES",1,0))/2)</x:f>
      </x:c>
    </x:row>
    <x:row r="152">
      <x:c r="A152" s="57" t="inlineStr">
        <x:is>
          <x:t xml:space="preserve">C0147</x:t>
        </x:is>
      </x:c>
      <x:c r="B152" s="57" t="inlineStr">
        <x:is>
          <x:t xml:space="preserve">Development</x:t>
        </x:is>
      </x:c>
      <x:c r="C152" s="57" t="inlineStr">
        <x:is>
          <x:t xml:space="preserve">OPEN</x:t>
        </x:is>
      </x:c>
      <x:c r="D152" s="57" t="inlineStr">
        <x:is>
          <x:t xml:space="preserve">ARG-015</x:t>
        </x:is>
      </x:c>
      <x:c r="E152" s="75" t="str">
        <x:f>INDEX('Company Universe'!$B$6:$B$105,MATCH(D152,'Company Universe'!$A$6:$A$105,0))</x:f>
        <x:v>Quanta Services</x:v>
      </x:c>
      <x:c r="F152" s="75" t="str">
        <x:f>INDEX('Company Universe'!$C$6:$C$105,MATCH(D152,'Company Universe'!$A$6:$A$105,0))</x:f>
        <x:v>PWR</x:v>
      </x:c>
      <x:c r="G152" s="75" t="str">
        <x:f>INDEX('Company Universe'!$F$6:$F$105,MATCH(D152,'Company Universe'!$A$6:$A$105,0))</x:f>
        <x:v>Power &amp; Grid</x:v>
      </x:c>
      <x:c r="H152" s="57" t="n">
        <x:v>7</x:v>
      </x:c>
      <x:c r="I152" s="206" t="n"/>
      <x:c r="J152" s="71" t="n"/>
      <x:c r="K152" s="71" t="n"/>
      <x:c r="L152" s="71" t="inlineStr">
        <x:is>
          <x:t xml:space="preserve">NO</x:t>
        </x:is>
      </x:c>
      <x:c r="M152" s="71" t="n"/>
      <x:c r="N152" s="71" t="n"/>
      <x:c r="O152" s="71" t="n"/>
      <x:c r="P152" s="71" t="n"/>
      <x:c r="Q152" s="71" t="n"/>
      <x:c r="R152" s="71" t="n"/>
      <x:c r="S152" s="206" t="n"/>
      <x:c r="T152" s="71" t="n"/>
      <x:c r="U152" s="71" t="n"/>
      <x:c r="V152" s="71" t="n"/>
      <x:c r="W152" s="71" t="n"/>
      <x:c r="X152" s="71" t="n"/>
      <x:c r="Y152" s="71" t="n"/>
      <x:c r="Z152" s="71" t="n"/>
      <x:c r="AA152" s="71" t="n"/>
      <x:c r="AB152" s="71" t="inlineStr">
        <x:is>
          <x:t xml:space="preserve">NO</x:t>
        </x:is>
      </x:c>
      <x:c r="AC152" s="57" t="inlineStr">
        <x:is>
          <x:t xml:space="preserve">V10</x:t>
        </x:is>
      </x:c>
      <x:c r="AD152" s="57" t="n"/>
      <x:c r="AE152" s="79" t="str">
        <x:f>IF(AND(I152&lt;&gt;"",J152&lt;&gt;"",K152&lt;&gt;"",L152="YES",M152&lt;&gt;"",S152&lt;&gt;"",T152&lt;&gt;"",U152&lt;&gt;"",V152&lt;&gt;"",W152&lt;&gt;"",X152&lt;&gt;"",Y152&lt;&gt;""),"COMPLETE","PENDING")</x:f>
        <x:v>PENDING</x:v>
      </x:c>
      <x:c r="AF152" s="79" t="str">
        <x:f>IF(AE152="COMPLETE","YES","NO")</x:f>
        <x:v>NO</x:v>
      </x:c>
      <x:c r="AG152" s="214" t="str">
        <x:f>IF(AF152&lt;&gt;"YES","",(IF(V152="YES",1,0)+IF(W152="YES",1,0))/2)</x:f>
      </x:c>
    </x:row>
    <x:row r="153">
      <x:c r="A153" s="57" t="inlineStr">
        <x:is>
          <x:t xml:space="preserve">C0148</x:t>
        </x:is>
      </x:c>
      <x:c r="B153" s="57" t="inlineStr">
        <x:is>
          <x:t xml:space="preserve">Development</x:t>
        </x:is>
      </x:c>
      <x:c r="C153" s="57" t="inlineStr">
        <x:is>
          <x:t xml:space="preserve">OPEN</x:t>
        </x:is>
      </x:c>
      <x:c r="D153" s="57" t="inlineStr">
        <x:is>
          <x:t xml:space="preserve">ARG-015</x:t>
        </x:is>
      </x:c>
      <x:c r="E153" s="75" t="str">
        <x:f>INDEX('Company Universe'!$B$6:$B$105,MATCH(D153,'Company Universe'!$A$6:$A$105,0))</x:f>
        <x:v>Quanta Services</x:v>
      </x:c>
      <x:c r="F153" s="75" t="str">
        <x:f>INDEX('Company Universe'!$C$6:$C$105,MATCH(D153,'Company Universe'!$A$6:$A$105,0))</x:f>
        <x:v>PWR</x:v>
      </x:c>
      <x:c r="G153" s="75" t="str">
        <x:f>INDEX('Company Universe'!$F$6:$F$105,MATCH(D153,'Company Universe'!$A$6:$A$105,0))</x:f>
        <x:v>Power &amp; Grid</x:v>
      </x:c>
      <x:c r="H153" s="57" t="n">
        <x:v>8</x:v>
      </x:c>
      <x:c r="I153" s="206" t="n"/>
      <x:c r="J153" s="71" t="n"/>
      <x:c r="K153" s="71" t="n"/>
      <x:c r="L153" s="71" t="inlineStr">
        <x:is>
          <x:t xml:space="preserve">NO</x:t>
        </x:is>
      </x:c>
      <x:c r="M153" s="71" t="n"/>
      <x:c r="N153" s="71" t="n"/>
      <x:c r="O153" s="71" t="n"/>
      <x:c r="P153" s="71" t="n"/>
      <x:c r="Q153" s="71" t="n"/>
      <x:c r="R153" s="71" t="n"/>
      <x:c r="S153" s="206" t="n"/>
      <x:c r="T153" s="71" t="n"/>
      <x:c r="U153" s="71" t="n"/>
      <x:c r="V153" s="71" t="n"/>
      <x:c r="W153" s="71" t="n"/>
      <x:c r="X153" s="71" t="n"/>
      <x:c r="Y153" s="71" t="n"/>
      <x:c r="Z153" s="71" t="n"/>
      <x:c r="AA153" s="71" t="n"/>
      <x:c r="AB153" s="71" t="inlineStr">
        <x:is>
          <x:t xml:space="preserve">NO</x:t>
        </x:is>
      </x:c>
      <x:c r="AC153" s="57" t="inlineStr">
        <x:is>
          <x:t xml:space="preserve">V10</x:t>
        </x:is>
      </x:c>
      <x:c r="AD153" s="57" t="n"/>
      <x:c r="AE153" s="79" t="str">
        <x:f>IF(AND(I153&lt;&gt;"",J153&lt;&gt;"",K153&lt;&gt;"",L153="YES",M153&lt;&gt;"",S153&lt;&gt;"",T153&lt;&gt;"",U153&lt;&gt;"",V153&lt;&gt;"",W153&lt;&gt;"",X153&lt;&gt;"",Y153&lt;&gt;""),"COMPLETE","PENDING")</x:f>
        <x:v>PENDING</x:v>
      </x:c>
      <x:c r="AF153" s="79" t="str">
        <x:f>IF(AE153="COMPLETE","YES","NO")</x:f>
        <x:v>NO</x:v>
      </x:c>
      <x:c r="AG153" s="214" t="str">
        <x:f>IF(AF153&lt;&gt;"YES","",(IF(V153="YES",1,0)+IF(W153="YES",1,0))/2)</x:f>
      </x:c>
    </x:row>
    <x:row r="154">
      <x:c r="A154" s="57" t="inlineStr">
        <x:is>
          <x:t xml:space="preserve">C0149</x:t>
        </x:is>
      </x:c>
      <x:c r="B154" s="57" t="inlineStr">
        <x:is>
          <x:t xml:space="preserve">Development</x:t>
        </x:is>
      </x:c>
      <x:c r="C154" s="57" t="inlineStr">
        <x:is>
          <x:t xml:space="preserve">OPEN</x:t>
        </x:is>
      </x:c>
      <x:c r="D154" s="57" t="inlineStr">
        <x:is>
          <x:t xml:space="preserve">ARG-015</x:t>
        </x:is>
      </x:c>
      <x:c r="E154" s="75" t="str">
        <x:f>INDEX('Company Universe'!$B$6:$B$105,MATCH(D154,'Company Universe'!$A$6:$A$105,0))</x:f>
        <x:v>Quanta Services</x:v>
      </x:c>
      <x:c r="F154" s="75" t="str">
        <x:f>INDEX('Company Universe'!$C$6:$C$105,MATCH(D154,'Company Universe'!$A$6:$A$105,0))</x:f>
        <x:v>PWR</x:v>
      </x:c>
      <x:c r="G154" s="75" t="str">
        <x:f>INDEX('Company Universe'!$F$6:$F$105,MATCH(D154,'Company Universe'!$A$6:$A$105,0))</x:f>
        <x:v>Power &amp; Grid</x:v>
      </x:c>
      <x:c r="H154" s="57" t="n">
        <x:v>9</x:v>
      </x:c>
      <x:c r="I154" s="206" t="n"/>
      <x:c r="J154" s="71" t="n"/>
      <x:c r="K154" s="71" t="n"/>
      <x:c r="L154" s="71" t="inlineStr">
        <x:is>
          <x:t xml:space="preserve">NO</x:t>
        </x:is>
      </x:c>
      <x:c r="M154" s="71" t="n"/>
      <x:c r="N154" s="71" t="n"/>
      <x:c r="O154" s="71" t="n"/>
      <x:c r="P154" s="71" t="n"/>
      <x:c r="Q154" s="71" t="n"/>
      <x:c r="R154" s="71" t="n"/>
      <x:c r="S154" s="206" t="n"/>
      <x:c r="T154" s="71" t="n"/>
      <x:c r="U154" s="71" t="n"/>
      <x:c r="V154" s="71" t="n"/>
      <x:c r="W154" s="71" t="n"/>
      <x:c r="X154" s="71" t="n"/>
      <x:c r="Y154" s="71" t="n"/>
      <x:c r="Z154" s="71" t="n"/>
      <x:c r="AA154" s="71" t="n"/>
      <x:c r="AB154" s="71" t="inlineStr">
        <x:is>
          <x:t xml:space="preserve">NO</x:t>
        </x:is>
      </x:c>
      <x:c r="AC154" s="57" t="inlineStr">
        <x:is>
          <x:t xml:space="preserve">V10</x:t>
        </x:is>
      </x:c>
      <x:c r="AD154" s="57" t="n"/>
      <x:c r="AE154" s="79" t="str">
        <x:f>IF(AND(I154&lt;&gt;"",J154&lt;&gt;"",K154&lt;&gt;"",L154="YES",M154&lt;&gt;"",S154&lt;&gt;"",T154&lt;&gt;"",U154&lt;&gt;"",V154&lt;&gt;"",W154&lt;&gt;"",X154&lt;&gt;"",Y154&lt;&gt;""),"COMPLETE","PENDING")</x:f>
        <x:v>PENDING</x:v>
      </x:c>
      <x:c r="AF154" s="79" t="str">
        <x:f>IF(AE154="COMPLETE","YES","NO")</x:f>
        <x:v>NO</x:v>
      </x:c>
      <x:c r="AG154" s="214" t="str">
        <x:f>IF(AF154&lt;&gt;"YES","",(IF(V154="YES",1,0)+IF(W154="YES",1,0))/2)</x:f>
      </x:c>
    </x:row>
    <x:row r="155">
      <x:c r="A155" s="57" t="inlineStr">
        <x:is>
          <x:t xml:space="preserve">C0150</x:t>
        </x:is>
      </x:c>
      <x:c r="B155" s="57" t="inlineStr">
        <x:is>
          <x:t xml:space="preserve">Development</x:t>
        </x:is>
      </x:c>
      <x:c r="C155" s="57" t="inlineStr">
        <x:is>
          <x:t xml:space="preserve">OPEN</x:t>
        </x:is>
      </x:c>
      <x:c r="D155" s="57" t="inlineStr">
        <x:is>
          <x:t xml:space="preserve">ARG-015</x:t>
        </x:is>
      </x:c>
      <x:c r="E155" s="75" t="str">
        <x:f>INDEX('Company Universe'!$B$6:$B$105,MATCH(D155,'Company Universe'!$A$6:$A$105,0))</x:f>
        <x:v>Quanta Services</x:v>
      </x:c>
      <x:c r="F155" s="75" t="str">
        <x:f>INDEX('Company Universe'!$C$6:$C$105,MATCH(D155,'Company Universe'!$A$6:$A$105,0))</x:f>
        <x:v>PWR</x:v>
      </x:c>
      <x:c r="G155" s="75" t="str">
        <x:f>INDEX('Company Universe'!$F$6:$F$105,MATCH(D155,'Company Universe'!$A$6:$A$105,0))</x:f>
        <x:v>Power &amp; Grid</x:v>
      </x:c>
      <x:c r="H155" s="57" t="n">
        <x:v>10</x:v>
      </x:c>
      <x:c r="I155" s="206" t="n"/>
      <x:c r="J155" s="71" t="n"/>
      <x:c r="K155" s="71" t="n"/>
      <x:c r="L155" s="71" t="inlineStr">
        <x:is>
          <x:t xml:space="preserve">NO</x:t>
        </x:is>
      </x:c>
      <x:c r="M155" s="71" t="n"/>
      <x:c r="N155" s="71" t="n"/>
      <x:c r="O155" s="71" t="n"/>
      <x:c r="P155" s="71" t="n"/>
      <x:c r="Q155" s="71" t="n"/>
      <x:c r="R155" s="71" t="n"/>
      <x:c r="S155" s="206" t="n"/>
      <x:c r="T155" s="71" t="n"/>
      <x:c r="U155" s="71" t="n"/>
      <x:c r="V155" s="71" t="n"/>
      <x:c r="W155" s="71" t="n"/>
      <x:c r="X155" s="71" t="n"/>
      <x:c r="Y155" s="71" t="n"/>
      <x:c r="Z155" s="71" t="n"/>
      <x:c r="AA155" s="71" t="n"/>
      <x:c r="AB155" s="71" t="inlineStr">
        <x:is>
          <x:t xml:space="preserve">NO</x:t>
        </x:is>
      </x:c>
      <x:c r="AC155" s="57" t="inlineStr">
        <x:is>
          <x:t xml:space="preserve">V10</x:t>
        </x:is>
      </x:c>
      <x:c r="AD155" s="57" t="n"/>
      <x:c r="AE155" s="79" t="str">
        <x:f>IF(AND(I155&lt;&gt;"",J155&lt;&gt;"",K155&lt;&gt;"",L155="YES",M155&lt;&gt;"",S155&lt;&gt;"",T155&lt;&gt;"",U155&lt;&gt;"",V155&lt;&gt;"",W155&lt;&gt;"",X155&lt;&gt;"",Y155&lt;&gt;""),"COMPLETE","PENDING")</x:f>
        <x:v>PENDING</x:v>
      </x:c>
      <x:c r="AF155" s="79" t="str">
        <x:f>IF(AE155="COMPLETE","YES","NO")</x:f>
        <x:v>NO</x:v>
      </x:c>
      <x:c r="AG155" s="214" t="str">
        <x:f>IF(AF155&lt;&gt;"YES","",(IF(V155="YES",1,0)+IF(W155="YES",1,0))/2)</x:f>
      </x:c>
    </x:row>
    <x:row r="156">
      <x:c r="A156" s="57" t="inlineStr">
        <x:is>
          <x:t xml:space="preserve">C0151</x:t>
        </x:is>
      </x:c>
      <x:c r="B156" s="57" t="inlineStr">
        <x:is>
          <x:t xml:space="preserve">Development</x:t>
        </x:is>
      </x:c>
      <x:c r="C156" s="57" t="inlineStr">
        <x:is>
          <x:t xml:space="preserve">OPEN</x:t>
        </x:is>
      </x:c>
      <x:c r="D156" s="57" t="inlineStr">
        <x:is>
          <x:t xml:space="preserve">ARG-016</x:t>
        </x:is>
      </x:c>
      <x:c r="E156" s="75" t="str">
        <x:f>INDEX('Company Universe'!$B$6:$B$105,MATCH(D156,'Company Universe'!$A$6:$A$105,0))</x:f>
        <x:v>Hubbell</x:v>
      </x:c>
      <x:c r="F156" s="75" t="str">
        <x:f>INDEX('Company Universe'!$C$6:$C$105,MATCH(D156,'Company Universe'!$A$6:$A$105,0))</x:f>
        <x:v>HUBB</x:v>
      </x:c>
      <x:c r="G156" s="75" t="str">
        <x:f>INDEX('Company Universe'!$F$6:$F$105,MATCH(D156,'Company Universe'!$A$6:$A$105,0))</x:f>
        <x:v>Power &amp; Grid</x:v>
      </x:c>
      <x:c r="H156" s="57" t="n">
        <x:v>1</x:v>
      </x:c>
      <x:c r="I156" s="206" t="n"/>
      <x:c r="J156" s="71" t="n"/>
      <x:c r="K156" s="71" t="n"/>
      <x:c r="L156" s="71" t="inlineStr">
        <x:is>
          <x:t xml:space="preserve">NO</x:t>
        </x:is>
      </x:c>
      <x:c r="M156" s="71" t="n"/>
      <x:c r="N156" s="71" t="n"/>
      <x:c r="O156" s="71" t="n"/>
      <x:c r="P156" s="71" t="n"/>
      <x:c r="Q156" s="71" t="n"/>
      <x:c r="R156" s="71" t="n"/>
      <x:c r="S156" s="206" t="n"/>
      <x:c r="T156" s="71" t="n"/>
      <x:c r="U156" s="71" t="n"/>
      <x:c r="V156" s="71" t="n"/>
      <x:c r="W156" s="71" t="n"/>
      <x:c r="X156" s="71" t="n"/>
      <x:c r="Y156" s="71" t="n"/>
      <x:c r="Z156" s="71" t="n"/>
      <x:c r="AA156" s="71" t="n"/>
      <x:c r="AB156" s="71" t="inlineStr">
        <x:is>
          <x:t xml:space="preserve">NO</x:t>
        </x:is>
      </x:c>
      <x:c r="AC156" s="57" t="inlineStr">
        <x:is>
          <x:t xml:space="preserve">V10</x:t>
        </x:is>
      </x:c>
      <x:c r="AD156" s="57" t="n"/>
      <x:c r="AE156" s="79" t="str">
        <x:f>IF(AND(I156&lt;&gt;"",J156&lt;&gt;"",K156&lt;&gt;"",L156="YES",M156&lt;&gt;"",S156&lt;&gt;"",T156&lt;&gt;"",U156&lt;&gt;"",V156&lt;&gt;"",W156&lt;&gt;"",X156&lt;&gt;"",Y156&lt;&gt;""),"COMPLETE","PENDING")</x:f>
        <x:v>PENDING</x:v>
      </x:c>
      <x:c r="AF156" s="79" t="str">
        <x:f>IF(AE156="COMPLETE","YES","NO")</x:f>
        <x:v>NO</x:v>
      </x:c>
      <x:c r="AG156" s="214" t="str">
        <x:f>IF(AF156&lt;&gt;"YES","",(IF(V156="YES",1,0)+IF(W156="YES",1,0))/2)</x:f>
      </x:c>
    </x:row>
    <x:row r="157">
      <x:c r="A157" s="57" t="inlineStr">
        <x:is>
          <x:t xml:space="preserve">C0152</x:t>
        </x:is>
      </x:c>
      <x:c r="B157" s="57" t="inlineStr">
        <x:is>
          <x:t xml:space="preserve">Development</x:t>
        </x:is>
      </x:c>
      <x:c r="C157" s="57" t="inlineStr">
        <x:is>
          <x:t xml:space="preserve">OPEN</x:t>
        </x:is>
      </x:c>
      <x:c r="D157" s="57" t="inlineStr">
        <x:is>
          <x:t xml:space="preserve">ARG-016</x:t>
        </x:is>
      </x:c>
      <x:c r="E157" s="75" t="str">
        <x:f>INDEX('Company Universe'!$B$6:$B$105,MATCH(D157,'Company Universe'!$A$6:$A$105,0))</x:f>
        <x:v>Hubbell</x:v>
      </x:c>
      <x:c r="F157" s="75" t="str">
        <x:f>INDEX('Company Universe'!$C$6:$C$105,MATCH(D157,'Company Universe'!$A$6:$A$105,0))</x:f>
        <x:v>HUBB</x:v>
      </x:c>
      <x:c r="G157" s="75" t="str">
        <x:f>INDEX('Company Universe'!$F$6:$F$105,MATCH(D157,'Company Universe'!$A$6:$A$105,0))</x:f>
        <x:v>Power &amp; Grid</x:v>
      </x:c>
      <x:c r="H157" s="57" t="n">
        <x:v>2</x:v>
      </x:c>
      <x:c r="I157" s="206" t="n"/>
      <x:c r="J157" s="71" t="n"/>
      <x:c r="K157" s="71" t="n"/>
      <x:c r="L157" s="71" t="inlineStr">
        <x:is>
          <x:t xml:space="preserve">NO</x:t>
        </x:is>
      </x:c>
      <x:c r="M157" s="71" t="n"/>
      <x:c r="N157" s="71" t="n"/>
      <x:c r="O157" s="71" t="n"/>
      <x:c r="P157" s="71" t="n"/>
      <x:c r="Q157" s="71" t="n"/>
      <x:c r="R157" s="71" t="n"/>
      <x:c r="S157" s="206" t="n"/>
      <x:c r="T157" s="71" t="n"/>
      <x:c r="U157" s="71" t="n"/>
      <x:c r="V157" s="71" t="n"/>
      <x:c r="W157" s="71" t="n"/>
      <x:c r="X157" s="71" t="n"/>
      <x:c r="Y157" s="71" t="n"/>
      <x:c r="Z157" s="71" t="n"/>
      <x:c r="AA157" s="71" t="n"/>
      <x:c r="AB157" s="71" t="inlineStr">
        <x:is>
          <x:t xml:space="preserve">NO</x:t>
        </x:is>
      </x:c>
      <x:c r="AC157" s="57" t="inlineStr">
        <x:is>
          <x:t xml:space="preserve">V10</x:t>
        </x:is>
      </x:c>
      <x:c r="AD157" s="57" t="n"/>
      <x:c r="AE157" s="79" t="str">
        <x:f>IF(AND(I157&lt;&gt;"",J157&lt;&gt;"",K157&lt;&gt;"",L157="YES",M157&lt;&gt;"",S157&lt;&gt;"",T157&lt;&gt;"",U157&lt;&gt;"",V157&lt;&gt;"",W157&lt;&gt;"",X157&lt;&gt;"",Y157&lt;&gt;""),"COMPLETE","PENDING")</x:f>
        <x:v>PENDING</x:v>
      </x:c>
      <x:c r="AF157" s="79" t="str">
        <x:f>IF(AE157="COMPLETE","YES","NO")</x:f>
        <x:v>NO</x:v>
      </x:c>
      <x:c r="AG157" s="214" t="str">
        <x:f>IF(AF157&lt;&gt;"YES","",(IF(V157="YES",1,0)+IF(W157="YES",1,0))/2)</x:f>
      </x:c>
    </x:row>
    <x:row r="158">
      <x:c r="A158" s="57" t="inlineStr">
        <x:is>
          <x:t xml:space="preserve">C0153</x:t>
        </x:is>
      </x:c>
      <x:c r="B158" s="57" t="inlineStr">
        <x:is>
          <x:t xml:space="preserve">Development</x:t>
        </x:is>
      </x:c>
      <x:c r="C158" s="57" t="inlineStr">
        <x:is>
          <x:t xml:space="preserve">OPEN</x:t>
        </x:is>
      </x:c>
      <x:c r="D158" s="57" t="inlineStr">
        <x:is>
          <x:t xml:space="preserve">ARG-016</x:t>
        </x:is>
      </x:c>
      <x:c r="E158" s="75" t="str">
        <x:f>INDEX('Company Universe'!$B$6:$B$105,MATCH(D158,'Company Universe'!$A$6:$A$105,0))</x:f>
        <x:v>Hubbell</x:v>
      </x:c>
      <x:c r="F158" s="75" t="str">
        <x:f>INDEX('Company Universe'!$C$6:$C$105,MATCH(D158,'Company Universe'!$A$6:$A$105,0))</x:f>
        <x:v>HUBB</x:v>
      </x:c>
      <x:c r="G158" s="75" t="str">
        <x:f>INDEX('Company Universe'!$F$6:$F$105,MATCH(D158,'Company Universe'!$A$6:$A$105,0))</x:f>
        <x:v>Power &amp; Grid</x:v>
      </x:c>
      <x:c r="H158" s="57" t="n">
        <x:v>3</x:v>
      </x:c>
      <x:c r="I158" s="206" t="n"/>
      <x:c r="J158" s="71" t="n"/>
      <x:c r="K158" s="71" t="n"/>
      <x:c r="L158" s="71" t="inlineStr">
        <x:is>
          <x:t xml:space="preserve">NO</x:t>
        </x:is>
      </x:c>
      <x:c r="M158" s="71" t="n"/>
      <x:c r="N158" s="71" t="n"/>
      <x:c r="O158" s="71" t="n"/>
      <x:c r="P158" s="71" t="n"/>
      <x:c r="Q158" s="71" t="n"/>
      <x:c r="R158" s="71" t="n"/>
      <x:c r="S158" s="206" t="n"/>
      <x:c r="T158" s="71" t="n"/>
      <x:c r="U158" s="71" t="n"/>
      <x:c r="V158" s="71" t="n"/>
      <x:c r="W158" s="71" t="n"/>
      <x:c r="X158" s="71" t="n"/>
      <x:c r="Y158" s="71" t="n"/>
      <x:c r="Z158" s="71" t="n"/>
      <x:c r="AA158" s="71" t="n"/>
      <x:c r="AB158" s="71" t="inlineStr">
        <x:is>
          <x:t xml:space="preserve">NO</x:t>
        </x:is>
      </x:c>
      <x:c r="AC158" s="57" t="inlineStr">
        <x:is>
          <x:t xml:space="preserve">V10</x:t>
        </x:is>
      </x:c>
      <x:c r="AD158" s="57" t="n"/>
      <x:c r="AE158" s="79" t="str">
        <x:f>IF(AND(I158&lt;&gt;"",J158&lt;&gt;"",K158&lt;&gt;"",L158="YES",M158&lt;&gt;"",S158&lt;&gt;"",T158&lt;&gt;"",U158&lt;&gt;"",V158&lt;&gt;"",W158&lt;&gt;"",X158&lt;&gt;"",Y158&lt;&gt;""),"COMPLETE","PENDING")</x:f>
        <x:v>PENDING</x:v>
      </x:c>
      <x:c r="AF158" s="79" t="str">
        <x:f>IF(AE158="COMPLETE","YES","NO")</x:f>
        <x:v>NO</x:v>
      </x:c>
      <x:c r="AG158" s="214" t="str">
        <x:f>IF(AF158&lt;&gt;"YES","",(IF(V158="YES",1,0)+IF(W158="YES",1,0))/2)</x:f>
      </x:c>
    </x:row>
    <x:row r="159">
      <x:c r="A159" s="57" t="inlineStr">
        <x:is>
          <x:t xml:space="preserve">C0154</x:t>
        </x:is>
      </x:c>
      <x:c r="B159" s="57" t="inlineStr">
        <x:is>
          <x:t xml:space="preserve">Development</x:t>
        </x:is>
      </x:c>
      <x:c r="C159" s="57" t="inlineStr">
        <x:is>
          <x:t xml:space="preserve">OPEN</x:t>
        </x:is>
      </x:c>
      <x:c r="D159" s="57" t="inlineStr">
        <x:is>
          <x:t xml:space="preserve">ARG-016</x:t>
        </x:is>
      </x:c>
      <x:c r="E159" s="75" t="str">
        <x:f>INDEX('Company Universe'!$B$6:$B$105,MATCH(D159,'Company Universe'!$A$6:$A$105,0))</x:f>
        <x:v>Hubbell</x:v>
      </x:c>
      <x:c r="F159" s="75" t="str">
        <x:f>INDEX('Company Universe'!$C$6:$C$105,MATCH(D159,'Company Universe'!$A$6:$A$105,0))</x:f>
        <x:v>HUBB</x:v>
      </x:c>
      <x:c r="G159" s="75" t="str">
        <x:f>INDEX('Company Universe'!$F$6:$F$105,MATCH(D159,'Company Universe'!$A$6:$A$105,0))</x:f>
        <x:v>Power &amp; Grid</x:v>
      </x:c>
      <x:c r="H159" s="57" t="n">
        <x:v>4</x:v>
      </x:c>
      <x:c r="I159" s="206" t="n"/>
      <x:c r="J159" s="71" t="n"/>
      <x:c r="K159" s="71" t="n"/>
      <x:c r="L159" s="71" t="inlineStr">
        <x:is>
          <x:t xml:space="preserve">NO</x:t>
        </x:is>
      </x:c>
      <x:c r="M159" s="71" t="n"/>
      <x:c r="N159" s="71" t="n"/>
      <x:c r="O159" s="71" t="n"/>
      <x:c r="P159" s="71" t="n"/>
      <x:c r="Q159" s="71" t="n"/>
      <x:c r="R159" s="71" t="n"/>
      <x:c r="S159" s="206" t="n"/>
      <x:c r="T159" s="71" t="n"/>
      <x:c r="U159" s="71" t="n"/>
      <x:c r="V159" s="71" t="n"/>
      <x:c r="W159" s="71" t="n"/>
      <x:c r="X159" s="71" t="n"/>
      <x:c r="Y159" s="71" t="n"/>
      <x:c r="Z159" s="71" t="n"/>
      <x:c r="AA159" s="71" t="n"/>
      <x:c r="AB159" s="71" t="inlineStr">
        <x:is>
          <x:t xml:space="preserve">NO</x:t>
        </x:is>
      </x:c>
      <x:c r="AC159" s="57" t="inlineStr">
        <x:is>
          <x:t xml:space="preserve">V10</x:t>
        </x:is>
      </x:c>
      <x:c r="AD159" s="57" t="n"/>
      <x:c r="AE159" s="79" t="str">
        <x:f>IF(AND(I159&lt;&gt;"",J159&lt;&gt;"",K159&lt;&gt;"",L159="YES",M159&lt;&gt;"",S159&lt;&gt;"",T159&lt;&gt;"",U159&lt;&gt;"",V159&lt;&gt;"",W159&lt;&gt;"",X159&lt;&gt;"",Y159&lt;&gt;""),"COMPLETE","PENDING")</x:f>
        <x:v>PENDING</x:v>
      </x:c>
      <x:c r="AF159" s="79" t="str">
        <x:f>IF(AE159="COMPLETE","YES","NO")</x:f>
        <x:v>NO</x:v>
      </x:c>
      <x:c r="AG159" s="214" t="str">
        <x:f>IF(AF159&lt;&gt;"YES","",(IF(V159="YES",1,0)+IF(W159="YES",1,0))/2)</x:f>
      </x:c>
    </x:row>
    <x:row r="160">
      <x:c r="A160" s="57" t="inlineStr">
        <x:is>
          <x:t xml:space="preserve">C0155</x:t>
        </x:is>
      </x:c>
      <x:c r="B160" s="57" t="inlineStr">
        <x:is>
          <x:t xml:space="preserve">Development</x:t>
        </x:is>
      </x:c>
      <x:c r="C160" s="57" t="inlineStr">
        <x:is>
          <x:t xml:space="preserve">OPEN</x:t>
        </x:is>
      </x:c>
      <x:c r="D160" s="57" t="inlineStr">
        <x:is>
          <x:t xml:space="preserve">ARG-016</x:t>
        </x:is>
      </x:c>
      <x:c r="E160" s="75" t="str">
        <x:f>INDEX('Company Universe'!$B$6:$B$105,MATCH(D160,'Company Universe'!$A$6:$A$105,0))</x:f>
        <x:v>Hubbell</x:v>
      </x:c>
      <x:c r="F160" s="75" t="str">
        <x:f>INDEX('Company Universe'!$C$6:$C$105,MATCH(D160,'Company Universe'!$A$6:$A$105,0))</x:f>
        <x:v>HUBB</x:v>
      </x:c>
      <x:c r="G160" s="75" t="str">
        <x:f>INDEX('Company Universe'!$F$6:$F$105,MATCH(D160,'Company Universe'!$A$6:$A$105,0))</x:f>
        <x:v>Power &amp; Grid</x:v>
      </x:c>
      <x:c r="H160" s="57" t="n">
        <x:v>5</x:v>
      </x:c>
      <x:c r="I160" s="206" t="n"/>
      <x:c r="J160" s="71" t="n"/>
      <x:c r="K160" s="71" t="n"/>
      <x:c r="L160" s="71" t="inlineStr">
        <x:is>
          <x:t xml:space="preserve">NO</x:t>
        </x:is>
      </x:c>
      <x:c r="M160" s="71" t="n"/>
      <x:c r="N160" s="71" t="n"/>
      <x:c r="O160" s="71" t="n"/>
      <x:c r="P160" s="71" t="n"/>
      <x:c r="Q160" s="71" t="n"/>
      <x:c r="R160" s="71" t="n"/>
      <x:c r="S160" s="206" t="n"/>
      <x:c r="T160" s="71" t="n"/>
      <x:c r="U160" s="71" t="n"/>
      <x:c r="V160" s="71" t="n"/>
      <x:c r="W160" s="71" t="n"/>
      <x:c r="X160" s="71" t="n"/>
      <x:c r="Y160" s="71" t="n"/>
      <x:c r="Z160" s="71" t="n"/>
      <x:c r="AA160" s="71" t="n"/>
      <x:c r="AB160" s="71" t="inlineStr">
        <x:is>
          <x:t xml:space="preserve">NO</x:t>
        </x:is>
      </x:c>
      <x:c r="AC160" s="57" t="inlineStr">
        <x:is>
          <x:t xml:space="preserve">V10</x:t>
        </x:is>
      </x:c>
      <x:c r="AD160" s="57" t="n"/>
      <x:c r="AE160" s="79" t="str">
        <x:f>IF(AND(I160&lt;&gt;"",J160&lt;&gt;"",K160&lt;&gt;"",L160="YES",M160&lt;&gt;"",S160&lt;&gt;"",T160&lt;&gt;"",U160&lt;&gt;"",V160&lt;&gt;"",W160&lt;&gt;"",X160&lt;&gt;"",Y160&lt;&gt;""),"COMPLETE","PENDING")</x:f>
        <x:v>PENDING</x:v>
      </x:c>
      <x:c r="AF160" s="79" t="str">
        <x:f>IF(AE160="COMPLETE","YES","NO")</x:f>
        <x:v>NO</x:v>
      </x:c>
      <x:c r="AG160" s="214" t="str">
        <x:f>IF(AF160&lt;&gt;"YES","",(IF(V160="YES",1,0)+IF(W160="YES",1,0))/2)</x:f>
      </x:c>
    </x:row>
    <x:row r="161">
      <x:c r="A161" s="57" t="inlineStr">
        <x:is>
          <x:t xml:space="preserve">C0156</x:t>
        </x:is>
      </x:c>
      <x:c r="B161" s="57" t="inlineStr">
        <x:is>
          <x:t xml:space="preserve">Development</x:t>
        </x:is>
      </x:c>
      <x:c r="C161" s="57" t="inlineStr">
        <x:is>
          <x:t xml:space="preserve">OPEN</x:t>
        </x:is>
      </x:c>
      <x:c r="D161" s="57" t="inlineStr">
        <x:is>
          <x:t xml:space="preserve">ARG-016</x:t>
        </x:is>
      </x:c>
      <x:c r="E161" s="75" t="str">
        <x:f>INDEX('Company Universe'!$B$6:$B$105,MATCH(D161,'Company Universe'!$A$6:$A$105,0))</x:f>
        <x:v>Hubbell</x:v>
      </x:c>
      <x:c r="F161" s="75" t="str">
        <x:f>INDEX('Company Universe'!$C$6:$C$105,MATCH(D161,'Company Universe'!$A$6:$A$105,0))</x:f>
        <x:v>HUBB</x:v>
      </x:c>
      <x:c r="G161" s="75" t="str">
        <x:f>INDEX('Company Universe'!$F$6:$F$105,MATCH(D161,'Company Universe'!$A$6:$A$105,0))</x:f>
        <x:v>Power &amp; Grid</x:v>
      </x:c>
      <x:c r="H161" s="57" t="n">
        <x:v>6</x:v>
      </x:c>
      <x:c r="I161" s="206" t="n"/>
      <x:c r="J161" s="71" t="n"/>
      <x:c r="K161" s="71" t="n"/>
      <x:c r="L161" s="71" t="inlineStr">
        <x:is>
          <x:t xml:space="preserve">NO</x:t>
        </x:is>
      </x:c>
      <x:c r="M161" s="71" t="n"/>
      <x:c r="N161" s="71" t="n"/>
      <x:c r="O161" s="71" t="n"/>
      <x:c r="P161" s="71" t="n"/>
      <x:c r="Q161" s="71" t="n"/>
      <x:c r="R161" s="71" t="n"/>
      <x:c r="S161" s="206" t="n"/>
      <x:c r="T161" s="71" t="n"/>
      <x:c r="U161" s="71" t="n"/>
      <x:c r="V161" s="71" t="n"/>
      <x:c r="W161" s="71" t="n"/>
      <x:c r="X161" s="71" t="n"/>
      <x:c r="Y161" s="71" t="n"/>
      <x:c r="Z161" s="71" t="n"/>
      <x:c r="AA161" s="71" t="n"/>
      <x:c r="AB161" s="71" t="inlineStr">
        <x:is>
          <x:t xml:space="preserve">NO</x:t>
        </x:is>
      </x:c>
      <x:c r="AC161" s="57" t="inlineStr">
        <x:is>
          <x:t xml:space="preserve">V10</x:t>
        </x:is>
      </x:c>
      <x:c r="AD161" s="57" t="n"/>
      <x:c r="AE161" s="79" t="str">
        <x:f>IF(AND(I161&lt;&gt;"",J161&lt;&gt;"",K161&lt;&gt;"",L161="YES",M161&lt;&gt;"",S161&lt;&gt;"",T161&lt;&gt;"",U161&lt;&gt;"",V161&lt;&gt;"",W161&lt;&gt;"",X161&lt;&gt;"",Y161&lt;&gt;""),"COMPLETE","PENDING")</x:f>
        <x:v>PENDING</x:v>
      </x:c>
      <x:c r="AF161" s="79" t="str">
        <x:f>IF(AE161="COMPLETE","YES","NO")</x:f>
        <x:v>NO</x:v>
      </x:c>
      <x:c r="AG161" s="214" t="str">
        <x:f>IF(AF161&lt;&gt;"YES","",(IF(V161="YES",1,0)+IF(W161="YES",1,0))/2)</x:f>
      </x:c>
    </x:row>
    <x:row r="162">
      <x:c r="A162" s="57" t="inlineStr">
        <x:is>
          <x:t xml:space="preserve">C0157</x:t>
        </x:is>
      </x:c>
      <x:c r="B162" s="57" t="inlineStr">
        <x:is>
          <x:t xml:space="preserve">Development</x:t>
        </x:is>
      </x:c>
      <x:c r="C162" s="57" t="inlineStr">
        <x:is>
          <x:t xml:space="preserve">OPEN</x:t>
        </x:is>
      </x:c>
      <x:c r="D162" s="57" t="inlineStr">
        <x:is>
          <x:t xml:space="preserve">ARG-016</x:t>
        </x:is>
      </x:c>
      <x:c r="E162" s="75" t="str">
        <x:f>INDEX('Company Universe'!$B$6:$B$105,MATCH(D162,'Company Universe'!$A$6:$A$105,0))</x:f>
        <x:v>Hubbell</x:v>
      </x:c>
      <x:c r="F162" s="75" t="str">
        <x:f>INDEX('Company Universe'!$C$6:$C$105,MATCH(D162,'Company Universe'!$A$6:$A$105,0))</x:f>
        <x:v>HUBB</x:v>
      </x:c>
      <x:c r="G162" s="75" t="str">
        <x:f>INDEX('Company Universe'!$F$6:$F$105,MATCH(D162,'Company Universe'!$A$6:$A$105,0))</x:f>
        <x:v>Power &amp; Grid</x:v>
      </x:c>
      <x:c r="H162" s="57" t="n">
        <x:v>7</x:v>
      </x:c>
      <x:c r="I162" s="206" t="n"/>
      <x:c r="J162" s="71" t="n"/>
      <x:c r="K162" s="71" t="n"/>
      <x:c r="L162" s="71" t="inlineStr">
        <x:is>
          <x:t xml:space="preserve">NO</x:t>
        </x:is>
      </x:c>
      <x:c r="M162" s="71" t="n"/>
      <x:c r="N162" s="71" t="n"/>
      <x:c r="O162" s="71" t="n"/>
      <x:c r="P162" s="71" t="n"/>
      <x:c r="Q162" s="71" t="n"/>
      <x:c r="R162" s="71" t="n"/>
      <x:c r="S162" s="206" t="n"/>
      <x:c r="T162" s="71" t="n"/>
      <x:c r="U162" s="71" t="n"/>
      <x:c r="V162" s="71" t="n"/>
      <x:c r="W162" s="71" t="n"/>
      <x:c r="X162" s="71" t="n"/>
      <x:c r="Y162" s="71" t="n"/>
      <x:c r="Z162" s="71" t="n"/>
      <x:c r="AA162" s="71" t="n"/>
      <x:c r="AB162" s="71" t="inlineStr">
        <x:is>
          <x:t xml:space="preserve">NO</x:t>
        </x:is>
      </x:c>
      <x:c r="AC162" s="57" t="inlineStr">
        <x:is>
          <x:t xml:space="preserve">V10</x:t>
        </x:is>
      </x:c>
      <x:c r="AD162" s="57" t="n"/>
      <x:c r="AE162" s="79" t="str">
        <x:f>IF(AND(I162&lt;&gt;"",J162&lt;&gt;"",K162&lt;&gt;"",L162="YES",M162&lt;&gt;"",S162&lt;&gt;"",T162&lt;&gt;"",U162&lt;&gt;"",V162&lt;&gt;"",W162&lt;&gt;"",X162&lt;&gt;"",Y162&lt;&gt;""),"COMPLETE","PENDING")</x:f>
        <x:v>PENDING</x:v>
      </x:c>
      <x:c r="AF162" s="79" t="str">
        <x:f>IF(AE162="COMPLETE","YES","NO")</x:f>
        <x:v>NO</x:v>
      </x:c>
      <x:c r="AG162" s="214" t="str">
        <x:f>IF(AF162&lt;&gt;"YES","",(IF(V162="YES",1,0)+IF(W162="YES",1,0))/2)</x:f>
      </x:c>
    </x:row>
    <x:row r="163">
      <x:c r="A163" s="57" t="inlineStr">
        <x:is>
          <x:t xml:space="preserve">C0158</x:t>
        </x:is>
      </x:c>
      <x:c r="B163" s="57" t="inlineStr">
        <x:is>
          <x:t xml:space="preserve">Development</x:t>
        </x:is>
      </x:c>
      <x:c r="C163" s="57" t="inlineStr">
        <x:is>
          <x:t xml:space="preserve">OPEN</x:t>
        </x:is>
      </x:c>
      <x:c r="D163" s="57" t="inlineStr">
        <x:is>
          <x:t xml:space="preserve">ARG-016</x:t>
        </x:is>
      </x:c>
      <x:c r="E163" s="75" t="str">
        <x:f>INDEX('Company Universe'!$B$6:$B$105,MATCH(D163,'Company Universe'!$A$6:$A$105,0))</x:f>
        <x:v>Hubbell</x:v>
      </x:c>
      <x:c r="F163" s="75" t="str">
        <x:f>INDEX('Company Universe'!$C$6:$C$105,MATCH(D163,'Company Universe'!$A$6:$A$105,0))</x:f>
        <x:v>HUBB</x:v>
      </x:c>
      <x:c r="G163" s="75" t="str">
        <x:f>INDEX('Company Universe'!$F$6:$F$105,MATCH(D163,'Company Universe'!$A$6:$A$105,0))</x:f>
        <x:v>Power &amp; Grid</x:v>
      </x:c>
      <x:c r="H163" s="57" t="n">
        <x:v>8</x:v>
      </x:c>
      <x:c r="I163" s="206" t="n"/>
      <x:c r="J163" s="71" t="n"/>
      <x:c r="K163" s="71" t="n"/>
      <x:c r="L163" s="71" t="inlineStr">
        <x:is>
          <x:t xml:space="preserve">NO</x:t>
        </x:is>
      </x:c>
      <x:c r="M163" s="71" t="n"/>
      <x:c r="N163" s="71" t="n"/>
      <x:c r="O163" s="71" t="n"/>
      <x:c r="P163" s="71" t="n"/>
      <x:c r="Q163" s="71" t="n"/>
      <x:c r="R163" s="71" t="n"/>
      <x:c r="S163" s="206" t="n"/>
      <x:c r="T163" s="71" t="n"/>
      <x:c r="U163" s="71" t="n"/>
      <x:c r="V163" s="71" t="n"/>
      <x:c r="W163" s="71" t="n"/>
      <x:c r="X163" s="71" t="n"/>
      <x:c r="Y163" s="71" t="n"/>
      <x:c r="Z163" s="71" t="n"/>
      <x:c r="AA163" s="71" t="n"/>
      <x:c r="AB163" s="71" t="inlineStr">
        <x:is>
          <x:t xml:space="preserve">NO</x:t>
        </x:is>
      </x:c>
      <x:c r="AC163" s="57" t="inlineStr">
        <x:is>
          <x:t xml:space="preserve">V10</x:t>
        </x:is>
      </x:c>
      <x:c r="AD163" s="57" t="n"/>
      <x:c r="AE163" s="79" t="str">
        <x:f>IF(AND(I163&lt;&gt;"",J163&lt;&gt;"",K163&lt;&gt;"",L163="YES",M163&lt;&gt;"",S163&lt;&gt;"",T163&lt;&gt;"",U163&lt;&gt;"",V163&lt;&gt;"",W163&lt;&gt;"",X163&lt;&gt;"",Y163&lt;&gt;""),"COMPLETE","PENDING")</x:f>
        <x:v>PENDING</x:v>
      </x:c>
      <x:c r="AF163" s="79" t="str">
        <x:f>IF(AE163="COMPLETE","YES","NO")</x:f>
        <x:v>NO</x:v>
      </x:c>
      <x:c r="AG163" s="214" t="str">
        <x:f>IF(AF163&lt;&gt;"YES","",(IF(V163="YES",1,0)+IF(W163="YES",1,0))/2)</x:f>
      </x:c>
    </x:row>
    <x:row r="164">
      <x:c r="A164" s="57" t="inlineStr">
        <x:is>
          <x:t xml:space="preserve">C0159</x:t>
        </x:is>
      </x:c>
      <x:c r="B164" s="57" t="inlineStr">
        <x:is>
          <x:t xml:space="preserve">Development</x:t>
        </x:is>
      </x:c>
      <x:c r="C164" s="57" t="inlineStr">
        <x:is>
          <x:t xml:space="preserve">OPEN</x:t>
        </x:is>
      </x:c>
      <x:c r="D164" s="57" t="inlineStr">
        <x:is>
          <x:t xml:space="preserve">ARG-016</x:t>
        </x:is>
      </x:c>
      <x:c r="E164" s="75" t="str">
        <x:f>INDEX('Company Universe'!$B$6:$B$105,MATCH(D164,'Company Universe'!$A$6:$A$105,0))</x:f>
        <x:v>Hubbell</x:v>
      </x:c>
      <x:c r="F164" s="75" t="str">
        <x:f>INDEX('Company Universe'!$C$6:$C$105,MATCH(D164,'Company Universe'!$A$6:$A$105,0))</x:f>
        <x:v>HUBB</x:v>
      </x:c>
      <x:c r="G164" s="75" t="str">
        <x:f>INDEX('Company Universe'!$F$6:$F$105,MATCH(D164,'Company Universe'!$A$6:$A$105,0))</x:f>
        <x:v>Power &amp; Grid</x:v>
      </x:c>
      <x:c r="H164" s="57" t="n">
        <x:v>9</x:v>
      </x:c>
      <x:c r="I164" s="206" t="n"/>
      <x:c r="J164" s="71" t="n"/>
      <x:c r="K164" s="71" t="n"/>
      <x:c r="L164" s="71" t="inlineStr">
        <x:is>
          <x:t xml:space="preserve">NO</x:t>
        </x:is>
      </x:c>
      <x:c r="M164" s="71" t="n"/>
      <x:c r="N164" s="71" t="n"/>
      <x:c r="O164" s="71" t="n"/>
      <x:c r="P164" s="71" t="n"/>
      <x:c r="Q164" s="71" t="n"/>
      <x:c r="R164" s="71" t="n"/>
      <x:c r="S164" s="206" t="n"/>
      <x:c r="T164" s="71" t="n"/>
      <x:c r="U164" s="71" t="n"/>
      <x:c r="V164" s="71" t="n"/>
      <x:c r="W164" s="71" t="n"/>
      <x:c r="X164" s="71" t="n"/>
      <x:c r="Y164" s="71" t="n"/>
      <x:c r="Z164" s="71" t="n"/>
      <x:c r="AA164" s="71" t="n"/>
      <x:c r="AB164" s="71" t="inlineStr">
        <x:is>
          <x:t xml:space="preserve">NO</x:t>
        </x:is>
      </x:c>
      <x:c r="AC164" s="57" t="inlineStr">
        <x:is>
          <x:t xml:space="preserve">V10</x:t>
        </x:is>
      </x:c>
      <x:c r="AD164" s="57" t="n"/>
      <x:c r="AE164" s="79" t="str">
        <x:f>IF(AND(I164&lt;&gt;"",J164&lt;&gt;"",K164&lt;&gt;"",L164="YES",M164&lt;&gt;"",S164&lt;&gt;"",T164&lt;&gt;"",U164&lt;&gt;"",V164&lt;&gt;"",W164&lt;&gt;"",X164&lt;&gt;"",Y164&lt;&gt;""),"COMPLETE","PENDING")</x:f>
        <x:v>PENDING</x:v>
      </x:c>
      <x:c r="AF164" s="79" t="str">
        <x:f>IF(AE164="COMPLETE","YES","NO")</x:f>
        <x:v>NO</x:v>
      </x:c>
      <x:c r="AG164" s="214" t="str">
        <x:f>IF(AF164&lt;&gt;"YES","",(IF(V164="YES",1,0)+IF(W164="YES",1,0))/2)</x:f>
      </x:c>
    </x:row>
    <x:row r="165">
      <x:c r="A165" s="57" t="inlineStr">
        <x:is>
          <x:t xml:space="preserve">C0160</x:t>
        </x:is>
      </x:c>
      <x:c r="B165" s="57" t="inlineStr">
        <x:is>
          <x:t xml:space="preserve">Development</x:t>
        </x:is>
      </x:c>
      <x:c r="C165" s="57" t="inlineStr">
        <x:is>
          <x:t xml:space="preserve">OPEN</x:t>
        </x:is>
      </x:c>
      <x:c r="D165" s="57" t="inlineStr">
        <x:is>
          <x:t xml:space="preserve">ARG-016</x:t>
        </x:is>
      </x:c>
      <x:c r="E165" s="75" t="str">
        <x:f>INDEX('Company Universe'!$B$6:$B$105,MATCH(D165,'Company Universe'!$A$6:$A$105,0))</x:f>
        <x:v>Hubbell</x:v>
      </x:c>
      <x:c r="F165" s="75" t="str">
        <x:f>INDEX('Company Universe'!$C$6:$C$105,MATCH(D165,'Company Universe'!$A$6:$A$105,0))</x:f>
        <x:v>HUBB</x:v>
      </x:c>
      <x:c r="G165" s="75" t="str">
        <x:f>INDEX('Company Universe'!$F$6:$F$105,MATCH(D165,'Company Universe'!$A$6:$A$105,0))</x:f>
        <x:v>Power &amp; Grid</x:v>
      </x:c>
      <x:c r="H165" s="57" t="n">
        <x:v>10</x:v>
      </x:c>
      <x:c r="I165" s="206" t="n"/>
      <x:c r="J165" s="71" t="n"/>
      <x:c r="K165" s="71" t="n"/>
      <x:c r="L165" s="71" t="inlineStr">
        <x:is>
          <x:t xml:space="preserve">NO</x:t>
        </x:is>
      </x:c>
      <x:c r="M165" s="71" t="n"/>
      <x:c r="N165" s="71" t="n"/>
      <x:c r="O165" s="71" t="n"/>
      <x:c r="P165" s="71" t="n"/>
      <x:c r="Q165" s="71" t="n"/>
      <x:c r="R165" s="71" t="n"/>
      <x:c r="S165" s="206" t="n"/>
      <x:c r="T165" s="71" t="n"/>
      <x:c r="U165" s="71" t="n"/>
      <x:c r="V165" s="71" t="n"/>
      <x:c r="W165" s="71" t="n"/>
      <x:c r="X165" s="71" t="n"/>
      <x:c r="Y165" s="71" t="n"/>
      <x:c r="Z165" s="71" t="n"/>
      <x:c r="AA165" s="71" t="n"/>
      <x:c r="AB165" s="71" t="inlineStr">
        <x:is>
          <x:t xml:space="preserve">NO</x:t>
        </x:is>
      </x:c>
      <x:c r="AC165" s="57" t="inlineStr">
        <x:is>
          <x:t xml:space="preserve">V10</x:t>
        </x:is>
      </x:c>
      <x:c r="AD165" s="57" t="n"/>
      <x:c r="AE165" s="79" t="str">
        <x:f>IF(AND(I165&lt;&gt;"",J165&lt;&gt;"",K165&lt;&gt;"",L165="YES",M165&lt;&gt;"",S165&lt;&gt;"",T165&lt;&gt;"",U165&lt;&gt;"",V165&lt;&gt;"",W165&lt;&gt;"",X165&lt;&gt;"",Y165&lt;&gt;""),"COMPLETE","PENDING")</x:f>
        <x:v>PENDING</x:v>
      </x:c>
      <x:c r="AF165" s="79" t="str">
        <x:f>IF(AE165="COMPLETE","YES","NO")</x:f>
        <x:v>NO</x:v>
      </x:c>
      <x:c r="AG165" s="214" t="str">
        <x:f>IF(AF165&lt;&gt;"YES","",(IF(V165="YES",1,0)+IF(W165="YES",1,0))/2)</x:f>
      </x:c>
    </x:row>
    <x:row r="166">
      <x:c r="A166" s="57" t="inlineStr">
        <x:is>
          <x:t xml:space="preserve">C0161</x:t>
        </x:is>
      </x:c>
      <x:c r="B166" s="57" t="inlineStr">
        <x:is>
          <x:t xml:space="preserve">Development</x:t>
        </x:is>
      </x:c>
      <x:c r="C166" s="57" t="inlineStr">
        <x:is>
          <x:t xml:space="preserve">OPEN</x:t>
        </x:is>
      </x:c>
      <x:c r="D166" s="57" t="inlineStr">
        <x:is>
          <x:t xml:space="preserve">ARG-017</x:t>
        </x:is>
      </x:c>
      <x:c r="E166" s="75" t="str">
        <x:f>INDEX('Company Universe'!$B$6:$B$105,MATCH(D166,'Company Universe'!$A$6:$A$105,0))</x:f>
        <x:v>Vertiv</x:v>
      </x:c>
      <x:c r="F166" s="75" t="str">
        <x:f>INDEX('Company Universe'!$C$6:$C$105,MATCH(D166,'Company Universe'!$A$6:$A$105,0))</x:f>
        <x:v>VRT</x:v>
      </x:c>
      <x:c r="G166" s="75" t="str">
        <x:f>INDEX('Company Universe'!$F$6:$F$105,MATCH(D166,'Company Universe'!$A$6:$A$105,0))</x:f>
        <x:v>Power &amp; Grid</x:v>
      </x:c>
      <x:c r="H166" s="57" t="n">
        <x:v>1</x:v>
      </x:c>
      <x:c r="I166" s="206" t="n"/>
      <x:c r="J166" s="71" t="n"/>
      <x:c r="K166" s="71" t="n"/>
      <x:c r="L166" s="71" t="inlineStr">
        <x:is>
          <x:t xml:space="preserve">NO</x:t>
        </x:is>
      </x:c>
      <x:c r="M166" s="71" t="n"/>
      <x:c r="N166" s="71" t="n"/>
      <x:c r="O166" s="71" t="n"/>
      <x:c r="P166" s="71" t="n"/>
      <x:c r="Q166" s="71" t="n"/>
      <x:c r="R166" s="71" t="n"/>
      <x:c r="S166" s="206" t="n"/>
      <x:c r="T166" s="71" t="n"/>
      <x:c r="U166" s="71" t="n"/>
      <x:c r="V166" s="71" t="n"/>
      <x:c r="W166" s="71" t="n"/>
      <x:c r="X166" s="71" t="n"/>
      <x:c r="Y166" s="71" t="n"/>
      <x:c r="Z166" s="71" t="n"/>
      <x:c r="AA166" s="71" t="n"/>
      <x:c r="AB166" s="71" t="inlineStr">
        <x:is>
          <x:t xml:space="preserve">NO</x:t>
        </x:is>
      </x:c>
      <x:c r="AC166" s="57" t="inlineStr">
        <x:is>
          <x:t xml:space="preserve">V10</x:t>
        </x:is>
      </x:c>
      <x:c r="AD166" s="57" t="n"/>
      <x:c r="AE166" s="79" t="str">
        <x:f>IF(AND(I166&lt;&gt;"",J166&lt;&gt;"",K166&lt;&gt;"",L166="YES",M166&lt;&gt;"",S166&lt;&gt;"",T166&lt;&gt;"",U166&lt;&gt;"",V166&lt;&gt;"",W166&lt;&gt;"",X166&lt;&gt;"",Y166&lt;&gt;""),"COMPLETE","PENDING")</x:f>
        <x:v>PENDING</x:v>
      </x:c>
      <x:c r="AF166" s="79" t="str">
        <x:f>IF(AE166="COMPLETE","YES","NO")</x:f>
        <x:v>NO</x:v>
      </x:c>
      <x:c r="AG166" s="214" t="str">
        <x:f>IF(AF166&lt;&gt;"YES","",(IF(V166="YES",1,0)+IF(W166="YES",1,0))/2)</x:f>
      </x:c>
    </x:row>
    <x:row r="167">
      <x:c r="A167" s="57" t="inlineStr">
        <x:is>
          <x:t xml:space="preserve">C0162</x:t>
        </x:is>
      </x:c>
      <x:c r="B167" s="57" t="inlineStr">
        <x:is>
          <x:t xml:space="preserve">Development</x:t>
        </x:is>
      </x:c>
      <x:c r="C167" s="57" t="inlineStr">
        <x:is>
          <x:t xml:space="preserve">OPEN</x:t>
        </x:is>
      </x:c>
      <x:c r="D167" s="57" t="inlineStr">
        <x:is>
          <x:t xml:space="preserve">ARG-017</x:t>
        </x:is>
      </x:c>
      <x:c r="E167" s="75" t="str">
        <x:f>INDEX('Company Universe'!$B$6:$B$105,MATCH(D167,'Company Universe'!$A$6:$A$105,0))</x:f>
        <x:v>Vertiv</x:v>
      </x:c>
      <x:c r="F167" s="75" t="str">
        <x:f>INDEX('Company Universe'!$C$6:$C$105,MATCH(D167,'Company Universe'!$A$6:$A$105,0))</x:f>
        <x:v>VRT</x:v>
      </x:c>
      <x:c r="G167" s="75" t="str">
        <x:f>INDEX('Company Universe'!$F$6:$F$105,MATCH(D167,'Company Universe'!$A$6:$A$105,0))</x:f>
        <x:v>Power &amp; Grid</x:v>
      </x:c>
      <x:c r="H167" s="57" t="n">
        <x:v>2</x:v>
      </x:c>
      <x:c r="I167" s="206" t="n"/>
      <x:c r="J167" s="71" t="n"/>
      <x:c r="K167" s="71" t="n"/>
      <x:c r="L167" s="71" t="inlineStr">
        <x:is>
          <x:t xml:space="preserve">NO</x:t>
        </x:is>
      </x:c>
      <x:c r="M167" s="71" t="n"/>
      <x:c r="N167" s="71" t="n"/>
      <x:c r="O167" s="71" t="n"/>
      <x:c r="P167" s="71" t="n"/>
      <x:c r="Q167" s="71" t="n"/>
      <x:c r="R167" s="71" t="n"/>
      <x:c r="S167" s="206" t="n"/>
      <x:c r="T167" s="71" t="n"/>
      <x:c r="U167" s="71" t="n"/>
      <x:c r="V167" s="71" t="n"/>
      <x:c r="W167" s="71" t="n"/>
      <x:c r="X167" s="71" t="n"/>
      <x:c r="Y167" s="71" t="n"/>
      <x:c r="Z167" s="71" t="n"/>
      <x:c r="AA167" s="71" t="n"/>
      <x:c r="AB167" s="71" t="inlineStr">
        <x:is>
          <x:t xml:space="preserve">NO</x:t>
        </x:is>
      </x:c>
      <x:c r="AC167" s="57" t="inlineStr">
        <x:is>
          <x:t xml:space="preserve">V10</x:t>
        </x:is>
      </x:c>
      <x:c r="AD167" s="57" t="n"/>
      <x:c r="AE167" s="79" t="str">
        <x:f>IF(AND(I167&lt;&gt;"",J167&lt;&gt;"",K167&lt;&gt;"",L167="YES",M167&lt;&gt;"",S167&lt;&gt;"",T167&lt;&gt;"",U167&lt;&gt;"",V167&lt;&gt;"",W167&lt;&gt;"",X167&lt;&gt;"",Y167&lt;&gt;""),"COMPLETE","PENDING")</x:f>
        <x:v>PENDING</x:v>
      </x:c>
      <x:c r="AF167" s="79" t="str">
        <x:f>IF(AE167="COMPLETE","YES","NO")</x:f>
        <x:v>NO</x:v>
      </x:c>
      <x:c r="AG167" s="214" t="str">
        <x:f>IF(AF167&lt;&gt;"YES","",(IF(V167="YES",1,0)+IF(W167="YES",1,0))/2)</x:f>
      </x:c>
    </x:row>
    <x:row r="168">
      <x:c r="A168" s="57" t="inlineStr">
        <x:is>
          <x:t xml:space="preserve">C0163</x:t>
        </x:is>
      </x:c>
      <x:c r="B168" s="57" t="inlineStr">
        <x:is>
          <x:t xml:space="preserve">Development</x:t>
        </x:is>
      </x:c>
      <x:c r="C168" s="57" t="inlineStr">
        <x:is>
          <x:t xml:space="preserve">OPEN</x:t>
        </x:is>
      </x:c>
      <x:c r="D168" s="57" t="inlineStr">
        <x:is>
          <x:t xml:space="preserve">ARG-017</x:t>
        </x:is>
      </x:c>
      <x:c r="E168" s="75" t="str">
        <x:f>INDEX('Company Universe'!$B$6:$B$105,MATCH(D168,'Company Universe'!$A$6:$A$105,0))</x:f>
        <x:v>Vertiv</x:v>
      </x:c>
      <x:c r="F168" s="75" t="str">
        <x:f>INDEX('Company Universe'!$C$6:$C$105,MATCH(D168,'Company Universe'!$A$6:$A$105,0))</x:f>
        <x:v>VRT</x:v>
      </x:c>
      <x:c r="G168" s="75" t="str">
        <x:f>INDEX('Company Universe'!$F$6:$F$105,MATCH(D168,'Company Universe'!$A$6:$A$105,0))</x:f>
        <x:v>Power &amp; Grid</x:v>
      </x:c>
      <x:c r="H168" s="57" t="n">
        <x:v>3</x:v>
      </x:c>
      <x:c r="I168" s="206" t="n"/>
      <x:c r="J168" s="71" t="n"/>
      <x:c r="K168" s="71" t="n"/>
      <x:c r="L168" s="71" t="inlineStr">
        <x:is>
          <x:t xml:space="preserve">NO</x:t>
        </x:is>
      </x:c>
      <x:c r="M168" s="71" t="n"/>
      <x:c r="N168" s="71" t="n"/>
      <x:c r="O168" s="71" t="n"/>
      <x:c r="P168" s="71" t="n"/>
      <x:c r="Q168" s="71" t="n"/>
      <x:c r="R168" s="71" t="n"/>
      <x:c r="S168" s="206" t="n"/>
      <x:c r="T168" s="71" t="n"/>
      <x:c r="U168" s="71" t="n"/>
      <x:c r="V168" s="71" t="n"/>
      <x:c r="W168" s="71" t="n"/>
      <x:c r="X168" s="71" t="n"/>
      <x:c r="Y168" s="71" t="n"/>
      <x:c r="Z168" s="71" t="n"/>
      <x:c r="AA168" s="71" t="n"/>
      <x:c r="AB168" s="71" t="inlineStr">
        <x:is>
          <x:t xml:space="preserve">NO</x:t>
        </x:is>
      </x:c>
      <x:c r="AC168" s="57" t="inlineStr">
        <x:is>
          <x:t xml:space="preserve">V10</x:t>
        </x:is>
      </x:c>
      <x:c r="AD168" s="57" t="n"/>
      <x:c r="AE168" s="79" t="str">
        <x:f>IF(AND(I168&lt;&gt;"",J168&lt;&gt;"",K168&lt;&gt;"",L168="YES",M168&lt;&gt;"",S168&lt;&gt;"",T168&lt;&gt;"",U168&lt;&gt;"",V168&lt;&gt;"",W168&lt;&gt;"",X168&lt;&gt;"",Y168&lt;&gt;""),"COMPLETE","PENDING")</x:f>
        <x:v>PENDING</x:v>
      </x:c>
      <x:c r="AF168" s="79" t="str">
        <x:f>IF(AE168="COMPLETE","YES","NO")</x:f>
        <x:v>NO</x:v>
      </x:c>
      <x:c r="AG168" s="214" t="str">
        <x:f>IF(AF168&lt;&gt;"YES","",(IF(V168="YES",1,0)+IF(W168="YES",1,0))/2)</x:f>
      </x:c>
    </x:row>
    <x:row r="169">
      <x:c r="A169" s="57" t="inlineStr">
        <x:is>
          <x:t xml:space="preserve">C0164</x:t>
        </x:is>
      </x:c>
      <x:c r="B169" s="57" t="inlineStr">
        <x:is>
          <x:t xml:space="preserve">Development</x:t>
        </x:is>
      </x:c>
      <x:c r="C169" s="57" t="inlineStr">
        <x:is>
          <x:t xml:space="preserve">OPEN</x:t>
        </x:is>
      </x:c>
      <x:c r="D169" s="57" t="inlineStr">
        <x:is>
          <x:t xml:space="preserve">ARG-017</x:t>
        </x:is>
      </x:c>
      <x:c r="E169" s="75" t="str">
        <x:f>INDEX('Company Universe'!$B$6:$B$105,MATCH(D169,'Company Universe'!$A$6:$A$105,0))</x:f>
        <x:v>Vertiv</x:v>
      </x:c>
      <x:c r="F169" s="75" t="str">
        <x:f>INDEX('Company Universe'!$C$6:$C$105,MATCH(D169,'Company Universe'!$A$6:$A$105,0))</x:f>
        <x:v>VRT</x:v>
      </x:c>
      <x:c r="G169" s="75" t="str">
        <x:f>INDEX('Company Universe'!$F$6:$F$105,MATCH(D169,'Company Universe'!$A$6:$A$105,0))</x:f>
        <x:v>Power &amp; Grid</x:v>
      </x:c>
      <x:c r="H169" s="57" t="n">
        <x:v>4</x:v>
      </x:c>
      <x:c r="I169" s="206" t="n"/>
      <x:c r="J169" s="71" t="n"/>
      <x:c r="K169" s="71" t="n"/>
      <x:c r="L169" s="71" t="inlineStr">
        <x:is>
          <x:t xml:space="preserve">NO</x:t>
        </x:is>
      </x:c>
      <x:c r="M169" s="71" t="n"/>
      <x:c r="N169" s="71" t="n"/>
      <x:c r="O169" s="71" t="n"/>
      <x:c r="P169" s="71" t="n"/>
      <x:c r="Q169" s="71" t="n"/>
      <x:c r="R169" s="71" t="n"/>
      <x:c r="S169" s="206" t="n"/>
      <x:c r="T169" s="71" t="n"/>
      <x:c r="U169" s="71" t="n"/>
      <x:c r="V169" s="71" t="n"/>
      <x:c r="W169" s="71" t="n"/>
      <x:c r="X169" s="71" t="n"/>
      <x:c r="Y169" s="71" t="n"/>
      <x:c r="Z169" s="71" t="n"/>
      <x:c r="AA169" s="71" t="n"/>
      <x:c r="AB169" s="71" t="inlineStr">
        <x:is>
          <x:t xml:space="preserve">NO</x:t>
        </x:is>
      </x:c>
      <x:c r="AC169" s="57" t="inlineStr">
        <x:is>
          <x:t xml:space="preserve">V10</x:t>
        </x:is>
      </x:c>
      <x:c r="AD169" s="57" t="n"/>
      <x:c r="AE169" s="79" t="str">
        <x:f>IF(AND(I169&lt;&gt;"",J169&lt;&gt;"",K169&lt;&gt;"",L169="YES",M169&lt;&gt;"",S169&lt;&gt;"",T169&lt;&gt;"",U169&lt;&gt;"",V169&lt;&gt;"",W169&lt;&gt;"",X169&lt;&gt;"",Y169&lt;&gt;""),"COMPLETE","PENDING")</x:f>
        <x:v>PENDING</x:v>
      </x:c>
      <x:c r="AF169" s="79" t="str">
        <x:f>IF(AE169="COMPLETE","YES","NO")</x:f>
        <x:v>NO</x:v>
      </x:c>
      <x:c r="AG169" s="214" t="str">
        <x:f>IF(AF169&lt;&gt;"YES","",(IF(V169="YES",1,0)+IF(W169="YES",1,0))/2)</x:f>
      </x:c>
    </x:row>
    <x:row r="170">
      <x:c r="A170" s="57" t="inlineStr">
        <x:is>
          <x:t xml:space="preserve">C0165</x:t>
        </x:is>
      </x:c>
      <x:c r="B170" s="57" t="inlineStr">
        <x:is>
          <x:t xml:space="preserve">Development</x:t>
        </x:is>
      </x:c>
      <x:c r="C170" s="57" t="inlineStr">
        <x:is>
          <x:t xml:space="preserve">OPEN</x:t>
        </x:is>
      </x:c>
      <x:c r="D170" s="57" t="inlineStr">
        <x:is>
          <x:t xml:space="preserve">ARG-017</x:t>
        </x:is>
      </x:c>
      <x:c r="E170" s="75" t="str">
        <x:f>INDEX('Company Universe'!$B$6:$B$105,MATCH(D170,'Company Universe'!$A$6:$A$105,0))</x:f>
        <x:v>Vertiv</x:v>
      </x:c>
      <x:c r="F170" s="75" t="str">
        <x:f>INDEX('Company Universe'!$C$6:$C$105,MATCH(D170,'Company Universe'!$A$6:$A$105,0))</x:f>
        <x:v>VRT</x:v>
      </x:c>
      <x:c r="G170" s="75" t="str">
        <x:f>INDEX('Company Universe'!$F$6:$F$105,MATCH(D170,'Company Universe'!$A$6:$A$105,0))</x:f>
        <x:v>Power &amp; Grid</x:v>
      </x:c>
      <x:c r="H170" s="57" t="n">
        <x:v>5</x:v>
      </x:c>
      <x:c r="I170" s="206" t="n"/>
      <x:c r="J170" s="71" t="n"/>
      <x:c r="K170" s="71" t="n"/>
      <x:c r="L170" s="71" t="inlineStr">
        <x:is>
          <x:t xml:space="preserve">NO</x:t>
        </x:is>
      </x:c>
      <x:c r="M170" s="71" t="n"/>
      <x:c r="N170" s="71" t="n"/>
      <x:c r="O170" s="71" t="n"/>
      <x:c r="P170" s="71" t="n"/>
      <x:c r="Q170" s="71" t="n"/>
      <x:c r="R170" s="71" t="n"/>
      <x:c r="S170" s="206" t="n"/>
      <x:c r="T170" s="71" t="n"/>
      <x:c r="U170" s="71" t="n"/>
      <x:c r="V170" s="71" t="n"/>
      <x:c r="W170" s="71" t="n"/>
      <x:c r="X170" s="71" t="n"/>
      <x:c r="Y170" s="71" t="n"/>
      <x:c r="Z170" s="71" t="n"/>
      <x:c r="AA170" s="71" t="n"/>
      <x:c r="AB170" s="71" t="inlineStr">
        <x:is>
          <x:t xml:space="preserve">NO</x:t>
        </x:is>
      </x:c>
      <x:c r="AC170" s="57" t="inlineStr">
        <x:is>
          <x:t xml:space="preserve">V10</x:t>
        </x:is>
      </x:c>
      <x:c r="AD170" s="57" t="n"/>
      <x:c r="AE170" s="79" t="str">
        <x:f>IF(AND(I170&lt;&gt;"",J170&lt;&gt;"",K170&lt;&gt;"",L170="YES",M170&lt;&gt;"",S170&lt;&gt;"",T170&lt;&gt;"",U170&lt;&gt;"",V170&lt;&gt;"",W170&lt;&gt;"",X170&lt;&gt;"",Y170&lt;&gt;""),"COMPLETE","PENDING")</x:f>
        <x:v>PENDING</x:v>
      </x:c>
      <x:c r="AF170" s="79" t="str">
        <x:f>IF(AE170="COMPLETE","YES","NO")</x:f>
        <x:v>NO</x:v>
      </x:c>
      <x:c r="AG170" s="214" t="str">
        <x:f>IF(AF170&lt;&gt;"YES","",(IF(V170="YES",1,0)+IF(W170="YES",1,0))/2)</x:f>
      </x:c>
    </x:row>
    <x:row r="171">
      <x:c r="A171" s="57" t="inlineStr">
        <x:is>
          <x:t xml:space="preserve">C0166</x:t>
        </x:is>
      </x:c>
      <x:c r="B171" s="57" t="inlineStr">
        <x:is>
          <x:t xml:space="preserve">Development</x:t>
        </x:is>
      </x:c>
      <x:c r="C171" s="57" t="inlineStr">
        <x:is>
          <x:t xml:space="preserve">OPEN</x:t>
        </x:is>
      </x:c>
      <x:c r="D171" s="57" t="inlineStr">
        <x:is>
          <x:t xml:space="preserve">ARG-017</x:t>
        </x:is>
      </x:c>
      <x:c r="E171" s="75" t="str">
        <x:f>INDEX('Company Universe'!$B$6:$B$105,MATCH(D171,'Company Universe'!$A$6:$A$105,0))</x:f>
        <x:v>Vertiv</x:v>
      </x:c>
      <x:c r="F171" s="75" t="str">
        <x:f>INDEX('Company Universe'!$C$6:$C$105,MATCH(D171,'Company Universe'!$A$6:$A$105,0))</x:f>
        <x:v>VRT</x:v>
      </x:c>
      <x:c r="G171" s="75" t="str">
        <x:f>INDEX('Company Universe'!$F$6:$F$105,MATCH(D171,'Company Universe'!$A$6:$A$105,0))</x:f>
        <x:v>Power &amp; Grid</x:v>
      </x:c>
      <x:c r="H171" s="57" t="n">
        <x:v>6</x:v>
      </x:c>
      <x:c r="I171" s="206" t="n"/>
      <x:c r="J171" s="71" t="n"/>
      <x:c r="K171" s="71" t="n"/>
      <x:c r="L171" s="71" t="inlineStr">
        <x:is>
          <x:t xml:space="preserve">NO</x:t>
        </x:is>
      </x:c>
      <x:c r="M171" s="71" t="n"/>
      <x:c r="N171" s="71" t="n"/>
      <x:c r="O171" s="71" t="n"/>
      <x:c r="P171" s="71" t="n"/>
      <x:c r="Q171" s="71" t="n"/>
      <x:c r="R171" s="71" t="n"/>
      <x:c r="S171" s="206" t="n"/>
      <x:c r="T171" s="71" t="n"/>
      <x:c r="U171" s="71" t="n"/>
      <x:c r="V171" s="71" t="n"/>
      <x:c r="W171" s="71" t="n"/>
      <x:c r="X171" s="71" t="n"/>
      <x:c r="Y171" s="71" t="n"/>
      <x:c r="Z171" s="71" t="n"/>
      <x:c r="AA171" s="71" t="n"/>
      <x:c r="AB171" s="71" t="inlineStr">
        <x:is>
          <x:t xml:space="preserve">NO</x:t>
        </x:is>
      </x:c>
      <x:c r="AC171" s="57" t="inlineStr">
        <x:is>
          <x:t xml:space="preserve">V10</x:t>
        </x:is>
      </x:c>
      <x:c r="AD171" s="57" t="n"/>
      <x:c r="AE171" s="79" t="str">
        <x:f>IF(AND(I171&lt;&gt;"",J171&lt;&gt;"",K171&lt;&gt;"",L171="YES",M171&lt;&gt;"",S171&lt;&gt;"",T171&lt;&gt;"",U171&lt;&gt;"",V171&lt;&gt;"",W171&lt;&gt;"",X171&lt;&gt;"",Y171&lt;&gt;""),"COMPLETE","PENDING")</x:f>
        <x:v>PENDING</x:v>
      </x:c>
      <x:c r="AF171" s="79" t="str">
        <x:f>IF(AE171="COMPLETE","YES","NO")</x:f>
        <x:v>NO</x:v>
      </x:c>
      <x:c r="AG171" s="214" t="str">
        <x:f>IF(AF171&lt;&gt;"YES","",(IF(V171="YES",1,0)+IF(W171="YES",1,0))/2)</x:f>
      </x:c>
    </x:row>
    <x:row r="172">
      <x:c r="A172" s="57" t="inlineStr">
        <x:is>
          <x:t xml:space="preserve">C0167</x:t>
        </x:is>
      </x:c>
      <x:c r="B172" s="57" t="inlineStr">
        <x:is>
          <x:t xml:space="preserve">Development</x:t>
        </x:is>
      </x:c>
      <x:c r="C172" s="57" t="inlineStr">
        <x:is>
          <x:t xml:space="preserve">OPEN</x:t>
        </x:is>
      </x:c>
      <x:c r="D172" s="57" t="inlineStr">
        <x:is>
          <x:t xml:space="preserve">ARG-017</x:t>
        </x:is>
      </x:c>
      <x:c r="E172" s="75" t="str">
        <x:f>INDEX('Company Universe'!$B$6:$B$105,MATCH(D172,'Company Universe'!$A$6:$A$105,0))</x:f>
        <x:v>Vertiv</x:v>
      </x:c>
      <x:c r="F172" s="75" t="str">
        <x:f>INDEX('Company Universe'!$C$6:$C$105,MATCH(D172,'Company Universe'!$A$6:$A$105,0))</x:f>
        <x:v>VRT</x:v>
      </x:c>
      <x:c r="G172" s="75" t="str">
        <x:f>INDEX('Company Universe'!$F$6:$F$105,MATCH(D172,'Company Universe'!$A$6:$A$105,0))</x:f>
        <x:v>Power &amp; Grid</x:v>
      </x:c>
      <x:c r="H172" s="57" t="n">
        <x:v>7</x:v>
      </x:c>
      <x:c r="I172" s="206" t="n"/>
      <x:c r="J172" s="71" t="n"/>
      <x:c r="K172" s="71" t="n"/>
      <x:c r="L172" s="71" t="inlineStr">
        <x:is>
          <x:t xml:space="preserve">NO</x:t>
        </x:is>
      </x:c>
      <x:c r="M172" s="71" t="n"/>
      <x:c r="N172" s="71" t="n"/>
      <x:c r="O172" s="71" t="n"/>
      <x:c r="P172" s="71" t="n"/>
      <x:c r="Q172" s="71" t="n"/>
      <x:c r="R172" s="71" t="n"/>
      <x:c r="S172" s="206" t="n"/>
      <x:c r="T172" s="71" t="n"/>
      <x:c r="U172" s="71" t="n"/>
      <x:c r="V172" s="71" t="n"/>
      <x:c r="W172" s="71" t="n"/>
      <x:c r="X172" s="71" t="n"/>
      <x:c r="Y172" s="71" t="n"/>
      <x:c r="Z172" s="71" t="n"/>
      <x:c r="AA172" s="71" t="n"/>
      <x:c r="AB172" s="71" t="inlineStr">
        <x:is>
          <x:t xml:space="preserve">NO</x:t>
        </x:is>
      </x:c>
      <x:c r="AC172" s="57" t="inlineStr">
        <x:is>
          <x:t xml:space="preserve">V10</x:t>
        </x:is>
      </x:c>
      <x:c r="AD172" s="57" t="n"/>
      <x:c r="AE172" s="79" t="str">
        <x:f>IF(AND(I172&lt;&gt;"",J172&lt;&gt;"",K172&lt;&gt;"",L172="YES",M172&lt;&gt;"",S172&lt;&gt;"",T172&lt;&gt;"",U172&lt;&gt;"",V172&lt;&gt;"",W172&lt;&gt;"",X172&lt;&gt;"",Y172&lt;&gt;""),"COMPLETE","PENDING")</x:f>
        <x:v>PENDING</x:v>
      </x:c>
      <x:c r="AF172" s="79" t="str">
        <x:f>IF(AE172="COMPLETE","YES","NO")</x:f>
        <x:v>NO</x:v>
      </x:c>
      <x:c r="AG172" s="214" t="str">
        <x:f>IF(AF172&lt;&gt;"YES","",(IF(V172="YES",1,0)+IF(W172="YES",1,0))/2)</x:f>
      </x:c>
    </x:row>
    <x:row r="173">
      <x:c r="A173" s="57" t="inlineStr">
        <x:is>
          <x:t xml:space="preserve">C0168</x:t>
        </x:is>
      </x:c>
      <x:c r="B173" s="57" t="inlineStr">
        <x:is>
          <x:t xml:space="preserve">Development</x:t>
        </x:is>
      </x:c>
      <x:c r="C173" s="57" t="inlineStr">
        <x:is>
          <x:t xml:space="preserve">OPEN</x:t>
        </x:is>
      </x:c>
      <x:c r="D173" s="57" t="inlineStr">
        <x:is>
          <x:t xml:space="preserve">ARG-017</x:t>
        </x:is>
      </x:c>
      <x:c r="E173" s="75" t="str">
        <x:f>INDEX('Company Universe'!$B$6:$B$105,MATCH(D173,'Company Universe'!$A$6:$A$105,0))</x:f>
        <x:v>Vertiv</x:v>
      </x:c>
      <x:c r="F173" s="75" t="str">
        <x:f>INDEX('Company Universe'!$C$6:$C$105,MATCH(D173,'Company Universe'!$A$6:$A$105,0))</x:f>
        <x:v>VRT</x:v>
      </x:c>
      <x:c r="G173" s="75" t="str">
        <x:f>INDEX('Company Universe'!$F$6:$F$105,MATCH(D173,'Company Universe'!$A$6:$A$105,0))</x:f>
        <x:v>Power &amp; Grid</x:v>
      </x:c>
      <x:c r="H173" s="57" t="n">
        <x:v>8</x:v>
      </x:c>
      <x:c r="I173" s="206" t="n"/>
      <x:c r="J173" s="71" t="n"/>
      <x:c r="K173" s="71" t="n"/>
      <x:c r="L173" s="71" t="inlineStr">
        <x:is>
          <x:t xml:space="preserve">NO</x:t>
        </x:is>
      </x:c>
      <x:c r="M173" s="71" t="n"/>
      <x:c r="N173" s="71" t="n"/>
      <x:c r="O173" s="71" t="n"/>
      <x:c r="P173" s="71" t="n"/>
      <x:c r="Q173" s="71" t="n"/>
      <x:c r="R173" s="71" t="n"/>
      <x:c r="S173" s="206" t="n"/>
      <x:c r="T173" s="71" t="n"/>
      <x:c r="U173" s="71" t="n"/>
      <x:c r="V173" s="71" t="n"/>
      <x:c r="W173" s="71" t="n"/>
      <x:c r="X173" s="71" t="n"/>
      <x:c r="Y173" s="71" t="n"/>
      <x:c r="Z173" s="71" t="n"/>
      <x:c r="AA173" s="71" t="n"/>
      <x:c r="AB173" s="71" t="inlineStr">
        <x:is>
          <x:t xml:space="preserve">NO</x:t>
        </x:is>
      </x:c>
      <x:c r="AC173" s="57" t="inlineStr">
        <x:is>
          <x:t xml:space="preserve">V10</x:t>
        </x:is>
      </x:c>
      <x:c r="AD173" s="57" t="n"/>
      <x:c r="AE173" s="79" t="str">
        <x:f>IF(AND(I173&lt;&gt;"",J173&lt;&gt;"",K173&lt;&gt;"",L173="YES",M173&lt;&gt;"",S173&lt;&gt;"",T173&lt;&gt;"",U173&lt;&gt;"",V173&lt;&gt;"",W173&lt;&gt;"",X173&lt;&gt;"",Y173&lt;&gt;""),"COMPLETE","PENDING")</x:f>
        <x:v>PENDING</x:v>
      </x:c>
      <x:c r="AF173" s="79" t="str">
        <x:f>IF(AE173="COMPLETE","YES","NO")</x:f>
        <x:v>NO</x:v>
      </x:c>
      <x:c r="AG173" s="214" t="str">
        <x:f>IF(AF173&lt;&gt;"YES","",(IF(V173="YES",1,0)+IF(W173="YES",1,0))/2)</x:f>
      </x:c>
    </x:row>
    <x:row r="174">
      <x:c r="A174" s="57" t="inlineStr">
        <x:is>
          <x:t xml:space="preserve">C0169</x:t>
        </x:is>
      </x:c>
      <x:c r="B174" s="57" t="inlineStr">
        <x:is>
          <x:t xml:space="preserve">Development</x:t>
        </x:is>
      </x:c>
      <x:c r="C174" s="57" t="inlineStr">
        <x:is>
          <x:t xml:space="preserve">OPEN</x:t>
        </x:is>
      </x:c>
      <x:c r="D174" s="57" t="inlineStr">
        <x:is>
          <x:t xml:space="preserve">ARG-017</x:t>
        </x:is>
      </x:c>
      <x:c r="E174" s="75" t="str">
        <x:f>INDEX('Company Universe'!$B$6:$B$105,MATCH(D174,'Company Universe'!$A$6:$A$105,0))</x:f>
        <x:v>Vertiv</x:v>
      </x:c>
      <x:c r="F174" s="75" t="str">
        <x:f>INDEX('Company Universe'!$C$6:$C$105,MATCH(D174,'Company Universe'!$A$6:$A$105,0))</x:f>
        <x:v>VRT</x:v>
      </x:c>
      <x:c r="G174" s="75" t="str">
        <x:f>INDEX('Company Universe'!$F$6:$F$105,MATCH(D174,'Company Universe'!$A$6:$A$105,0))</x:f>
        <x:v>Power &amp; Grid</x:v>
      </x:c>
      <x:c r="H174" s="57" t="n">
        <x:v>9</x:v>
      </x:c>
      <x:c r="I174" s="206" t="n"/>
      <x:c r="J174" s="71" t="n"/>
      <x:c r="K174" s="71" t="n"/>
      <x:c r="L174" s="71" t="inlineStr">
        <x:is>
          <x:t xml:space="preserve">NO</x:t>
        </x:is>
      </x:c>
      <x:c r="M174" s="71" t="n"/>
      <x:c r="N174" s="71" t="n"/>
      <x:c r="O174" s="71" t="n"/>
      <x:c r="P174" s="71" t="n"/>
      <x:c r="Q174" s="71" t="n"/>
      <x:c r="R174" s="71" t="n"/>
      <x:c r="S174" s="206" t="n"/>
      <x:c r="T174" s="71" t="n"/>
      <x:c r="U174" s="71" t="n"/>
      <x:c r="V174" s="71" t="n"/>
      <x:c r="W174" s="71" t="n"/>
      <x:c r="X174" s="71" t="n"/>
      <x:c r="Y174" s="71" t="n"/>
      <x:c r="Z174" s="71" t="n"/>
      <x:c r="AA174" s="71" t="n"/>
      <x:c r="AB174" s="71" t="inlineStr">
        <x:is>
          <x:t xml:space="preserve">NO</x:t>
        </x:is>
      </x:c>
      <x:c r="AC174" s="57" t="inlineStr">
        <x:is>
          <x:t xml:space="preserve">V10</x:t>
        </x:is>
      </x:c>
      <x:c r="AD174" s="57" t="n"/>
      <x:c r="AE174" s="79" t="str">
        <x:f>IF(AND(I174&lt;&gt;"",J174&lt;&gt;"",K174&lt;&gt;"",L174="YES",M174&lt;&gt;"",S174&lt;&gt;"",T174&lt;&gt;"",U174&lt;&gt;"",V174&lt;&gt;"",W174&lt;&gt;"",X174&lt;&gt;"",Y174&lt;&gt;""),"COMPLETE","PENDING")</x:f>
        <x:v>PENDING</x:v>
      </x:c>
      <x:c r="AF174" s="79" t="str">
        <x:f>IF(AE174="COMPLETE","YES","NO")</x:f>
        <x:v>NO</x:v>
      </x:c>
      <x:c r="AG174" s="214" t="str">
        <x:f>IF(AF174&lt;&gt;"YES","",(IF(V174="YES",1,0)+IF(W174="YES",1,0))/2)</x:f>
      </x:c>
    </x:row>
    <x:row r="175">
      <x:c r="A175" s="57" t="inlineStr">
        <x:is>
          <x:t xml:space="preserve">C0170</x:t>
        </x:is>
      </x:c>
      <x:c r="B175" s="57" t="inlineStr">
        <x:is>
          <x:t xml:space="preserve">Development</x:t>
        </x:is>
      </x:c>
      <x:c r="C175" s="57" t="inlineStr">
        <x:is>
          <x:t xml:space="preserve">OPEN</x:t>
        </x:is>
      </x:c>
      <x:c r="D175" s="57" t="inlineStr">
        <x:is>
          <x:t xml:space="preserve">ARG-017</x:t>
        </x:is>
      </x:c>
      <x:c r="E175" s="75" t="str">
        <x:f>INDEX('Company Universe'!$B$6:$B$105,MATCH(D175,'Company Universe'!$A$6:$A$105,0))</x:f>
        <x:v>Vertiv</x:v>
      </x:c>
      <x:c r="F175" s="75" t="str">
        <x:f>INDEX('Company Universe'!$C$6:$C$105,MATCH(D175,'Company Universe'!$A$6:$A$105,0))</x:f>
        <x:v>VRT</x:v>
      </x:c>
      <x:c r="G175" s="75" t="str">
        <x:f>INDEX('Company Universe'!$F$6:$F$105,MATCH(D175,'Company Universe'!$A$6:$A$105,0))</x:f>
        <x:v>Power &amp; Grid</x:v>
      </x:c>
      <x:c r="H175" s="57" t="n">
        <x:v>10</x:v>
      </x:c>
      <x:c r="I175" s="206" t="n"/>
      <x:c r="J175" s="71" t="n"/>
      <x:c r="K175" s="71" t="n"/>
      <x:c r="L175" s="71" t="inlineStr">
        <x:is>
          <x:t xml:space="preserve">NO</x:t>
        </x:is>
      </x:c>
      <x:c r="M175" s="71" t="n"/>
      <x:c r="N175" s="71" t="n"/>
      <x:c r="O175" s="71" t="n"/>
      <x:c r="P175" s="71" t="n"/>
      <x:c r="Q175" s="71" t="n"/>
      <x:c r="R175" s="71" t="n"/>
      <x:c r="S175" s="206" t="n"/>
      <x:c r="T175" s="71" t="n"/>
      <x:c r="U175" s="71" t="n"/>
      <x:c r="V175" s="71" t="n"/>
      <x:c r="W175" s="71" t="n"/>
      <x:c r="X175" s="71" t="n"/>
      <x:c r="Y175" s="71" t="n"/>
      <x:c r="Z175" s="71" t="n"/>
      <x:c r="AA175" s="71" t="n"/>
      <x:c r="AB175" s="71" t="inlineStr">
        <x:is>
          <x:t xml:space="preserve">NO</x:t>
        </x:is>
      </x:c>
      <x:c r="AC175" s="57" t="inlineStr">
        <x:is>
          <x:t xml:space="preserve">V10</x:t>
        </x:is>
      </x:c>
      <x:c r="AD175" s="57" t="n"/>
      <x:c r="AE175" s="79" t="str">
        <x:f>IF(AND(I175&lt;&gt;"",J175&lt;&gt;"",K175&lt;&gt;"",L175="YES",M175&lt;&gt;"",S175&lt;&gt;"",T175&lt;&gt;"",U175&lt;&gt;"",V175&lt;&gt;"",W175&lt;&gt;"",X175&lt;&gt;"",Y175&lt;&gt;""),"COMPLETE","PENDING")</x:f>
        <x:v>PENDING</x:v>
      </x:c>
      <x:c r="AF175" s="79" t="str">
        <x:f>IF(AE175="COMPLETE","YES","NO")</x:f>
        <x:v>NO</x:v>
      </x:c>
      <x:c r="AG175" s="214" t="str">
        <x:f>IF(AF175&lt;&gt;"YES","",(IF(V175="YES",1,0)+IF(W175="YES",1,0))/2)</x:f>
      </x:c>
    </x:row>
    <x:row r="176">
      <x:c r="A176" s="57" t="inlineStr">
        <x:is>
          <x:t xml:space="preserve">C0171</x:t>
        </x:is>
      </x:c>
      <x:c r="B176" s="57" t="inlineStr">
        <x:is>
          <x:t xml:space="preserve">Development</x:t>
        </x:is>
      </x:c>
      <x:c r="C176" s="57" t="inlineStr">
        <x:is>
          <x:t xml:space="preserve">OPEN</x:t>
        </x:is>
      </x:c>
      <x:c r="D176" s="57" t="inlineStr">
        <x:is>
          <x:t xml:space="preserve">ARG-018</x:t>
        </x:is>
      </x:c>
      <x:c r="E176" s="75" t="str">
        <x:f>INDEX('Company Universe'!$B$6:$B$105,MATCH(D176,'Company Universe'!$A$6:$A$105,0))</x:f>
        <x:v>nVent Electric</x:v>
      </x:c>
      <x:c r="F176" s="75" t="str">
        <x:f>INDEX('Company Universe'!$C$6:$C$105,MATCH(D176,'Company Universe'!$A$6:$A$105,0))</x:f>
        <x:v>NVT</x:v>
      </x:c>
      <x:c r="G176" s="75" t="str">
        <x:f>INDEX('Company Universe'!$F$6:$F$105,MATCH(D176,'Company Universe'!$A$6:$A$105,0))</x:f>
        <x:v>Power &amp; Grid</x:v>
      </x:c>
      <x:c r="H176" s="57" t="n">
        <x:v>1</x:v>
      </x:c>
      <x:c r="I176" s="206" t="n"/>
      <x:c r="J176" s="71" t="n"/>
      <x:c r="K176" s="71" t="n"/>
      <x:c r="L176" s="71" t="inlineStr">
        <x:is>
          <x:t xml:space="preserve">NO</x:t>
        </x:is>
      </x:c>
      <x:c r="M176" s="71" t="n"/>
      <x:c r="N176" s="71" t="n"/>
      <x:c r="O176" s="71" t="n"/>
      <x:c r="P176" s="71" t="n"/>
      <x:c r="Q176" s="71" t="n"/>
      <x:c r="R176" s="71" t="n"/>
      <x:c r="S176" s="206" t="n"/>
      <x:c r="T176" s="71" t="n"/>
      <x:c r="U176" s="71" t="n"/>
      <x:c r="V176" s="71" t="n"/>
      <x:c r="W176" s="71" t="n"/>
      <x:c r="X176" s="71" t="n"/>
      <x:c r="Y176" s="71" t="n"/>
      <x:c r="Z176" s="71" t="n"/>
      <x:c r="AA176" s="71" t="n"/>
      <x:c r="AB176" s="71" t="inlineStr">
        <x:is>
          <x:t xml:space="preserve">NO</x:t>
        </x:is>
      </x:c>
      <x:c r="AC176" s="57" t="inlineStr">
        <x:is>
          <x:t xml:space="preserve">V10</x:t>
        </x:is>
      </x:c>
      <x:c r="AD176" s="57" t="n"/>
      <x:c r="AE176" s="79" t="str">
        <x:f>IF(AND(I176&lt;&gt;"",J176&lt;&gt;"",K176&lt;&gt;"",L176="YES",M176&lt;&gt;"",S176&lt;&gt;"",T176&lt;&gt;"",U176&lt;&gt;"",V176&lt;&gt;"",W176&lt;&gt;"",X176&lt;&gt;"",Y176&lt;&gt;""),"COMPLETE","PENDING")</x:f>
        <x:v>PENDING</x:v>
      </x:c>
      <x:c r="AF176" s="79" t="str">
        <x:f>IF(AE176="COMPLETE","YES","NO")</x:f>
        <x:v>NO</x:v>
      </x:c>
      <x:c r="AG176" s="214" t="str">
        <x:f>IF(AF176&lt;&gt;"YES","",(IF(V176="YES",1,0)+IF(W176="YES",1,0))/2)</x:f>
      </x:c>
    </x:row>
    <x:row r="177">
      <x:c r="A177" s="57" t="inlineStr">
        <x:is>
          <x:t xml:space="preserve">C0172</x:t>
        </x:is>
      </x:c>
      <x:c r="B177" s="57" t="inlineStr">
        <x:is>
          <x:t xml:space="preserve">Development</x:t>
        </x:is>
      </x:c>
      <x:c r="C177" s="57" t="inlineStr">
        <x:is>
          <x:t xml:space="preserve">OPEN</x:t>
        </x:is>
      </x:c>
      <x:c r="D177" s="57" t="inlineStr">
        <x:is>
          <x:t xml:space="preserve">ARG-018</x:t>
        </x:is>
      </x:c>
      <x:c r="E177" s="75" t="str">
        <x:f>INDEX('Company Universe'!$B$6:$B$105,MATCH(D177,'Company Universe'!$A$6:$A$105,0))</x:f>
        <x:v>nVent Electric</x:v>
      </x:c>
      <x:c r="F177" s="75" t="str">
        <x:f>INDEX('Company Universe'!$C$6:$C$105,MATCH(D177,'Company Universe'!$A$6:$A$105,0))</x:f>
        <x:v>NVT</x:v>
      </x:c>
      <x:c r="G177" s="75" t="str">
        <x:f>INDEX('Company Universe'!$F$6:$F$105,MATCH(D177,'Company Universe'!$A$6:$A$105,0))</x:f>
        <x:v>Power &amp; Grid</x:v>
      </x:c>
      <x:c r="H177" s="57" t="n">
        <x:v>2</x:v>
      </x:c>
      <x:c r="I177" s="206" t="n"/>
      <x:c r="J177" s="71" t="n"/>
      <x:c r="K177" s="71" t="n"/>
      <x:c r="L177" s="71" t="inlineStr">
        <x:is>
          <x:t xml:space="preserve">NO</x:t>
        </x:is>
      </x:c>
      <x:c r="M177" s="71" t="n"/>
      <x:c r="N177" s="71" t="n"/>
      <x:c r="O177" s="71" t="n"/>
      <x:c r="P177" s="71" t="n"/>
      <x:c r="Q177" s="71" t="n"/>
      <x:c r="R177" s="71" t="n"/>
      <x:c r="S177" s="206" t="n"/>
      <x:c r="T177" s="71" t="n"/>
      <x:c r="U177" s="71" t="n"/>
      <x:c r="V177" s="71" t="n"/>
      <x:c r="W177" s="71" t="n"/>
      <x:c r="X177" s="71" t="n"/>
      <x:c r="Y177" s="71" t="n"/>
      <x:c r="Z177" s="71" t="n"/>
      <x:c r="AA177" s="71" t="n"/>
      <x:c r="AB177" s="71" t="inlineStr">
        <x:is>
          <x:t xml:space="preserve">NO</x:t>
        </x:is>
      </x:c>
      <x:c r="AC177" s="57" t="inlineStr">
        <x:is>
          <x:t xml:space="preserve">V10</x:t>
        </x:is>
      </x:c>
      <x:c r="AD177" s="57" t="n"/>
      <x:c r="AE177" s="79" t="str">
        <x:f>IF(AND(I177&lt;&gt;"",J177&lt;&gt;"",K177&lt;&gt;"",L177="YES",M177&lt;&gt;"",S177&lt;&gt;"",T177&lt;&gt;"",U177&lt;&gt;"",V177&lt;&gt;"",W177&lt;&gt;"",X177&lt;&gt;"",Y177&lt;&gt;""),"COMPLETE","PENDING")</x:f>
        <x:v>PENDING</x:v>
      </x:c>
      <x:c r="AF177" s="79" t="str">
        <x:f>IF(AE177="COMPLETE","YES","NO")</x:f>
        <x:v>NO</x:v>
      </x:c>
      <x:c r="AG177" s="214" t="str">
        <x:f>IF(AF177&lt;&gt;"YES","",(IF(V177="YES",1,0)+IF(W177="YES",1,0))/2)</x:f>
      </x:c>
    </x:row>
    <x:row r="178">
      <x:c r="A178" s="57" t="inlineStr">
        <x:is>
          <x:t xml:space="preserve">C0173</x:t>
        </x:is>
      </x:c>
      <x:c r="B178" s="57" t="inlineStr">
        <x:is>
          <x:t xml:space="preserve">Development</x:t>
        </x:is>
      </x:c>
      <x:c r="C178" s="57" t="inlineStr">
        <x:is>
          <x:t xml:space="preserve">OPEN</x:t>
        </x:is>
      </x:c>
      <x:c r="D178" s="57" t="inlineStr">
        <x:is>
          <x:t xml:space="preserve">ARG-018</x:t>
        </x:is>
      </x:c>
      <x:c r="E178" s="75" t="str">
        <x:f>INDEX('Company Universe'!$B$6:$B$105,MATCH(D178,'Company Universe'!$A$6:$A$105,0))</x:f>
        <x:v>nVent Electric</x:v>
      </x:c>
      <x:c r="F178" s="75" t="str">
        <x:f>INDEX('Company Universe'!$C$6:$C$105,MATCH(D178,'Company Universe'!$A$6:$A$105,0))</x:f>
        <x:v>NVT</x:v>
      </x:c>
      <x:c r="G178" s="75" t="str">
        <x:f>INDEX('Company Universe'!$F$6:$F$105,MATCH(D178,'Company Universe'!$A$6:$A$105,0))</x:f>
        <x:v>Power &amp; Grid</x:v>
      </x:c>
      <x:c r="H178" s="57" t="n">
        <x:v>3</x:v>
      </x:c>
      <x:c r="I178" s="206" t="n"/>
      <x:c r="J178" s="71" t="n"/>
      <x:c r="K178" s="71" t="n"/>
      <x:c r="L178" s="71" t="inlineStr">
        <x:is>
          <x:t xml:space="preserve">NO</x:t>
        </x:is>
      </x:c>
      <x:c r="M178" s="71" t="n"/>
      <x:c r="N178" s="71" t="n"/>
      <x:c r="O178" s="71" t="n"/>
      <x:c r="P178" s="71" t="n"/>
      <x:c r="Q178" s="71" t="n"/>
      <x:c r="R178" s="71" t="n"/>
      <x:c r="S178" s="206" t="n"/>
      <x:c r="T178" s="71" t="n"/>
      <x:c r="U178" s="71" t="n"/>
      <x:c r="V178" s="71" t="n"/>
      <x:c r="W178" s="71" t="n"/>
      <x:c r="X178" s="71" t="n"/>
      <x:c r="Y178" s="71" t="n"/>
      <x:c r="Z178" s="71" t="n"/>
      <x:c r="AA178" s="71" t="n"/>
      <x:c r="AB178" s="71" t="inlineStr">
        <x:is>
          <x:t xml:space="preserve">NO</x:t>
        </x:is>
      </x:c>
      <x:c r="AC178" s="57" t="inlineStr">
        <x:is>
          <x:t xml:space="preserve">V10</x:t>
        </x:is>
      </x:c>
      <x:c r="AD178" s="57" t="n"/>
      <x:c r="AE178" s="79" t="str">
        <x:f>IF(AND(I178&lt;&gt;"",J178&lt;&gt;"",K178&lt;&gt;"",L178="YES",M178&lt;&gt;"",S178&lt;&gt;"",T178&lt;&gt;"",U178&lt;&gt;"",V178&lt;&gt;"",W178&lt;&gt;"",X178&lt;&gt;"",Y178&lt;&gt;""),"COMPLETE","PENDING")</x:f>
        <x:v>PENDING</x:v>
      </x:c>
      <x:c r="AF178" s="79" t="str">
        <x:f>IF(AE178="COMPLETE","YES","NO")</x:f>
        <x:v>NO</x:v>
      </x:c>
      <x:c r="AG178" s="214" t="str">
        <x:f>IF(AF178&lt;&gt;"YES","",(IF(V178="YES",1,0)+IF(W178="YES",1,0))/2)</x:f>
      </x:c>
    </x:row>
    <x:row r="179">
      <x:c r="A179" s="57" t="inlineStr">
        <x:is>
          <x:t xml:space="preserve">C0174</x:t>
        </x:is>
      </x:c>
      <x:c r="B179" s="57" t="inlineStr">
        <x:is>
          <x:t xml:space="preserve">Development</x:t>
        </x:is>
      </x:c>
      <x:c r="C179" s="57" t="inlineStr">
        <x:is>
          <x:t xml:space="preserve">OPEN</x:t>
        </x:is>
      </x:c>
      <x:c r="D179" s="57" t="inlineStr">
        <x:is>
          <x:t xml:space="preserve">ARG-018</x:t>
        </x:is>
      </x:c>
      <x:c r="E179" s="75" t="str">
        <x:f>INDEX('Company Universe'!$B$6:$B$105,MATCH(D179,'Company Universe'!$A$6:$A$105,0))</x:f>
        <x:v>nVent Electric</x:v>
      </x:c>
      <x:c r="F179" s="75" t="str">
        <x:f>INDEX('Company Universe'!$C$6:$C$105,MATCH(D179,'Company Universe'!$A$6:$A$105,0))</x:f>
        <x:v>NVT</x:v>
      </x:c>
      <x:c r="G179" s="75" t="str">
        <x:f>INDEX('Company Universe'!$F$6:$F$105,MATCH(D179,'Company Universe'!$A$6:$A$105,0))</x:f>
        <x:v>Power &amp; Grid</x:v>
      </x:c>
      <x:c r="H179" s="57" t="n">
        <x:v>4</x:v>
      </x:c>
      <x:c r="I179" s="206" t="n"/>
      <x:c r="J179" s="71" t="n"/>
      <x:c r="K179" s="71" t="n"/>
      <x:c r="L179" s="71" t="inlineStr">
        <x:is>
          <x:t xml:space="preserve">NO</x:t>
        </x:is>
      </x:c>
      <x:c r="M179" s="71" t="n"/>
      <x:c r="N179" s="71" t="n"/>
      <x:c r="O179" s="71" t="n"/>
      <x:c r="P179" s="71" t="n"/>
      <x:c r="Q179" s="71" t="n"/>
      <x:c r="R179" s="71" t="n"/>
      <x:c r="S179" s="206" t="n"/>
      <x:c r="T179" s="71" t="n"/>
      <x:c r="U179" s="71" t="n"/>
      <x:c r="V179" s="71" t="n"/>
      <x:c r="W179" s="71" t="n"/>
      <x:c r="X179" s="71" t="n"/>
      <x:c r="Y179" s="71" t="n"/>
      <x:c r="Z179" s="71" t="n"/>
      <x:c r="AA179" s="71" t="n"/>
      <x:c r="AB179" s="71" t="inlineStr">
        <x:is>
          <x:t xml:space="preserve">NO</x:t>
        </x:is>
      </x:c>
      <x:c r="AC179" s="57" t="inlineStr">
        <x:is>
          <x:t xml:space="preserve">V10</x:t>
        </x:is>
      </x:c>
      <x:c r="AD179" s="57" t="n"/>
      <x:c r="AE179" s="79" t="str">
        <x:f>IF(AND(I179&lt;&gt;"",J179&lt;&gt;"",K179&lt;&gt;"",L179="YES",M179&lt;&gt;"",S179&lt;&gt;"",T179&lt;&gt;"",U179&lt;&gt;"",V179&lt;&gt;"",W179&lt;&gt;"",X179&lt;&gt;"",Y179&lt;&gt;""),"COMPLETE","PENDING")</x:f>
        <x:v>PENDING</x:v>
      </x:c>
      <x:c r="AF179" s="79" t="str">
        <x:f>IF(AE179="COMPLETE","YES","NO")</x:f>
        <x:v>NO</x:v>
      </x:c>
      <x:c r="AG179" s="214" t="str">
        <x:f>IF(AF179&lt;&gt;"YES","",(IF(V179="YES",1,0)+IF(W179="YES",1,0))/2)</x:f>
      </x:c>
    </x:row>
    <x:row r="180">
      <x:c r="A180" s="57" t="inlineStr">
        <x:is>
          <x:t xml:space="preserve">C0175</x:t>
        </x:is>
      </x:c>
      <x:c r="B180" s="57" t="inlineStr">
        <x:is>
          <x:t xml:space="preserve">Development</x:t>
        </x:is>
      </x:c>
      <x:c r="C180" s="57" t="inlineStr">
        <x:is>
          <x:t xml:space="preserve">OPEN</x:t>
        </x:is>
      </x:c>
      <x:c r="D180" s="57" t="inlineStr">
        <x:is>
          <x:t xml:space="preserve">ARG-018</x:t>
        </x:is>
      </x:c>
      <x:c r="E180" s="75" t="str">
        <x:f>INDEX('Company Universe'!$B$6:$B$105,MATCH(D180,'Company Universe'!$A$6:$A$105,0))</x:f>
        <x:v>nVent Electric</x:v>
      </x:c>
      <x:c r="F180" s="75" t="str">
        <x:f>INDEX('Company Universe'!$C$6:$C$105,MATCH(D180,'Company Universe'!$A$6:$A$105,0))</x:f>
        <x:v>NVT</x:v>
      </x:c>
      <x:c r="G180" s="75" t="str">
        <x:f>INDEX('Company Universe'!$F$6:$F$105,MATCH(D180,'Company Universe'!$A$6:$A$105,0))</x:f>
        <x:v>Power &amp; Grid</x:v>
      </x:c>
      <x:c r="H180" s="57" t="n">
        <x:v>5</x:v>
      </x:c>
      <x:c r="I180" s="206" t="n"/>
      <x:c r="J180" s="71" t="n"/>
      <x:c r="K180" s="71" t="n"/>
      <x:c r="L180" s="71" t="inlineStr">
        <x:is>
          <x:t xml:space="preserve">NO</x:t>
        </x:is>
      </x:c>
      <x:c r="M180" s="71" t="n"/>
      <x:c r="N180" s="71" t="n"/>
      <x:c r="O180" s="71" t="n"/>
      <x:c r="P180" s="71" t="n"/>
      <x:c r="Q180" s="71" t="n"/>
      <x:c r="R180" s="71" t="n"/>
      <x:c r="S180" s="206" t="n"/>
      <x:c r="T180" s="71" t="n"/>
      <x:c r="U180" s="71" t="n"/>
      <x:c r="V180" s="71" t="n"/>
      <x:c r="W180" s="71" t="n"/>
      <x:c r="X180" s="71" t="n"/>
      <x:c r="Y180" s="71" t="n"/>
      <x:c r="Z180" s="71" t="n"/>
      <x:c r="AA180" s="71" t="n"/>
      <x:c r="AB180" s="71" t="inlineStr">
        <x:is>
          <x:t xml:space="preserve">NO</x:t>
        </x:is>
      </x:c>
      <x:c r="AC180" s="57" t="inlineStr">
        <x:is>
          <x:t xml:space="preserve">V10</x:t>
        </x:is>
      </x:c>
      <x:c r="AD180" s="57" t="n"/>
      <x:c r="AE180" s="79" t="str">
        <x:f>IF(AND(I180&lt;&gt;"",J180&lt;&gt;"",K180&lt;&gt;"",L180="YES",M180&lt;&gt;"",S180&lt;&gt;"",T180&lt;&gt;"",U180&lt;&gt;"",V180&lt;&gt;"",W180&lt;&gt;"",X180&lt;&gt;"",Y180&lt;&gt;""),"COMPLETE","PENDING")</x:f>
        <x:v>PENDING</x:v>
      </x:c>
      <x:c r="AF180" s="79" t="str">
        <x:f>IF(AE180="COMPLETE","YES","NO")</x:f>
        <x:v>NO</x:v>
      </x:c>
      <x:c r="AG180" s="214" t="str">
        <x:f>IF(AF180&lt;&gt;"YES","",(IF(V180="YES",1,0)+IF(W180="YES",1,0))/2)</x:f>
      </x:c>
    </x:row>
    <x:row r="181">
      <x:c r="A181" s="57" t="inlineStr">
        <x:is>
          <x:t xml:space="preserve">C0176</x:t>
        </x:is>
      </x:c>
      <x:c r="B181" s="57" t="inlineStr">
        <x:is>
          <x:t xml:space="preserve">Development</x:t>
        </x:is>
      </x:c>
      <x:c r="C181" s="57" t="inlineStr">
        <x:is>
          <x:t xml:space="preserve">OPEN</x:t>
        </x:is>
      </x:c>
      <x:c r="D181" s="57" t="inlineStr">
        <x:is>
          <x:t xml:space="preserve">ARG-018</x:t>
        </x:is>
      </x:c>
      <x:c r="E181" s="75" t="str">
        <x:f>INDEX('Company Universe'!$B$6:$B$105,MATCH(D181,'Company Universe'!$A$6:$A$105,0))</x:f>
        <x:v>nVent Electric</x:v>
      </x:c>
      <x:c r="F181" s="75" t="str">
        <x:f>INDEX('Company Universe'!$C$6:$C$105,MATCH(D181,'Company Universe'!$A$6:$A$105,0))</x:f>
        <x:v>NVT</x:v>
      </x:c>
      <x:c r="G181" s="75" t="str">
        <x:f>INDEX('Company Universe'!$F$6:$F$105,MATCH(D181,'Company Universe'!$A$6:$A$105,0))</x:f>
        <x:v>Power &amp; Grid</x:v>
      </x:c>
      <x:c r="H181" s="57" t="n">
        <x:v>6</x:v>
      </x:c>
      <x:c r="I181" s="206" t="n"/>
      <x:c r="J181" s="71" t="n"/>
      <x:c r="K181" s="71" t="n"/>
      <x:c r="L181" s="71" t="inlineStr">
        <x:is>
          <x:t xml:space="preserve">NO</x:t>
        </x:is>
      </x:c>
      <x:c r="M181" s="71" t="n"/>
      <x:c r="N181" s="71" t="n"/>
      <x:c r="O181" s="71" t="n"/>
      <x:c r="P181" s="71" t="n"/>
      <x:c r="Q181" s="71" t="n"/>
      <x:c r="R181" s="71" t="n"/>
      <x:c r="S181" s="206" t="n"/>
      <x:c r="T181" s="71" t="n"/>
      <x:c r="U181" s="71" t="n"/>
      <x:c r="V181" s="71" t="n"/>
      <x:c r="W181" s="71" t="n"/>
      <x:c r="X181" s="71" t="n"/>
      <x:c r="Y181" s="71" t="n"/>
      <x:c r="Z181" s="71" t="n"/>
      <x:c r="AA181" s="71" t="n"/>
      <x:c r="AB181" s="71" t="inlineStr">
        <x:is>
          <x:t xml:space="preserve">NO</x:t>
        </x:is>
      </x:c>
      <x:c r="AC181" s="57" t="inlineStr">
        <x:is>
          <x:t xml:space="preserve">V10</x:t>
        </x:is>
      </x:c>
      <x:c r="AD181" s="57" t="n"/>
      <x:c r="AE181" s="79" t="str">
        <x:f>IF(AND(I181&lt;&gt;"",J181&lt;&gt;"",K181&lt;&gt;"",L181="YES",M181&lt;&gt;"",S181&lt;&gt;"",T181&lt;&gt;"",U181&lt;&gt;"",V181&lt;&gt;"",W181&lt;&gt;"",X181&lt;&gt;"",Y181&lt;&gt;""),"COMPLETE","PENDING")</x:f>
        <x:v>PENDING</x:v>
      </x:c>
      <x:c r="AF181" s="79" t="str">
        <x:f>IF(AE181="COMPLETE","YES","NO")</x:f>
        <x:v>NO</x:v>
      </x:c>
      <x:c r="AG181" s="214" t="str">
        <x:f>IF(AF181&lt;&gt;"YES","",(IF(V181="YES",1,0)+IF(W181="YES",1,0))/2)</x:f>
      </x:c>
    </x:row>
    <x:row r="182">
      <x:c r="A182" s="57" t="inlineStr">
        <x:is>
          <x:t xml:space="preserve">C0177</x:t>
        </x:is>
      </x:c>
      <x:c r="B182" s="57" t="inlineStr">
        <x:is>
          <x:t xml:space="preserve">Development</x:t>
        </x:is>
      </x:c>
      <x:c r="C182" s="57" t="inlineStr">
        <x:is>
          <x:t xml:space="preserve">OPEN</x:t>
        </x:is>
      </x:c>
      <x:c r="D182" s="57" t="inlineStr">
        <x:is>
          <x:t xml:space="preserve">ARG-018</x:t>
        </x:is>
      </x:c>
      <x:c r="E182" s="75" t="str">
        <x:f>INDEX('Company Universe'!$B$6:$B$105,MATCH(D182,'Company Universe'!$A$6:$A$105,0))</x:f>
        <x:v>nVent Electric</x:v>
      </x:c>
      <x:c r="F182" s="75" t="str">
        <x:f>INDEX('Company Universe'!$C$6:$C$105,MATCH(D182,'Company Universe'!$A$6:$A$105,0))</x:f>
        <x:v>NVT</x:v>
      </x:c>
      <x:c r="G182" s="75" t="str">
        <x:f>INDEX('Company Universe'!$F$6:$F$105,MATCH(D182,'Company Universe'!$A$6:$A$105,0))</x:f>
        <x:v>Power &amp; Grid</x:v>
      </x:c>
      <x:c r="H182" s="57" t="n">
        <x:v>7</x:v>
      </x:c>
      <x:c r="I182" s="206" t="n"/>
      <x:c r="J182" s="71" t="n"/>
      <x:c r="K182" s="71" t="n"/>
      <x:c r="L182" s="71" t="inlineStr">
        <x:is>
          <x:t xml:space="preserve">NO</x:t>
        </x:is>
      </x:c>
      <x:c r="M182" s="71" t="n"/>
      <x:c r="N182" s="71" t="n"/>
      <x:c r="O182" s="71" t="n"/>
      <x:c r="P182" s="71" t="n"/>
      <x:c r="Q182" s="71" t="n"/>
      <x:c r="R182" s="71" t="n"/>
      <x:c r="S182" s="206" t="n"/>
      <x:c r="T182" s="71" t="n"/>
      <x:c r="U182" s="71" t="n"/>
      <x:c r="V182" s="71" t="n"/>
      <x:c r="W182" s="71" t="n"/>
      <x:c r="X182" s="71" t="n"/>
      <x:c r="Y182" s="71" t="n"/>
      <x:c r="Z182" s="71" t="n"/>
      <x:c r="AA182" s="71" t="n"/>
      <x:c r="AB182" s="71" t="inlineStr">
        <x:is>
          <x:t xml:space="preserve">NO</x:t>
        </x:is>
      </x:c>
      <x:c r="AC182" s="57" t="inlineStr">
        <x:is>
          <x:t xml:space="preserve">V10</x:t>
        </x:is>
      </x:c>
      <x:c r="AD182" s="57" t="n"/>
      <x:c r="AE182" s="79" t="str">
        <x:f>IF(AND(I182&lt;&gt;"",J182&lt;&gt;"",K182&lt;&gt;"",L182="YES",M182&lt;&gt;"",S182&lt;&gt;"",T182&lt;&gt;"",U182&lt;&gt;"",V182&lt;&gt;"",W182&lt;&gt;"",X182&lt;&gt;"",Y182&lt;&gt;""),"COMPLETE","PENDING")</x:f>
        <x:v>PENDING</x:v>
      </x:c>
      <x:c r="AF182" s="79" t="str">
        <x:f>IF(AE182="COMPLETE","YES","NO")</x:f>
        <x:v>NO</x:v>
      </x:c>
      <x:c r="AG182" s="214" t="str">
        <x:f>IF(AF182&lt;&gt;"YES","",(IF(V182="YES",1,0)+IF(W182="YES",1,0))/2)</x:f>
      </x:c>
    </x:row>
    <x:row r="183">
      <x:c r="A183" s="57" t="inlineStr">
        <x:is>
          <x:t xml:space="preserve">C0178</x:t>
        </x:is>
      </x:c>
      <x:c r="B183" s="57" t="inlineStr">
        <x:is>
          <x:t xml:space="preserve">Development</x:t>
        </x:is>
      </x:c>
      <x:c r="C183" s="57" t="inlineStr">
        <x:is>
          <x:t xml:space="preserve">OPEN</x:t>
        </x:is>
      </x:c>
      <x:c r="D183" s="57" t="inlineStr">
        <x:is>
          <x:t xml:space="preserve">ARG-018</x:t>
        </x:is>
      </x:c>
      <x:c r="E183" s="75" t="str">
        <x:f>INDEX('Company Universe'!$B$6:$B$105,MATCH(D183,'Company Universe'!$A$6:$A$105,0))</x:f>
        <x:v>nVent Electric</x:v>
      </x:c>
      <x:c r="F183" s="75" t="str">
        <x:f>INDEX('Company Universe'!$C$6:$C$105,MATCH(D183,'Company Universe'!$A$6:$A$105,0))</x:f>
        <x:v>NVT</x:v>
      </x:c>
      <x:c r="G183" s="75" t="str">
        <x:f>INDEX('Company Universe'!$F$6:$F$105,MATCH(D183,'Company Universe'!$A$6:$A$105,0))</x:f>
        <x:v>Power &amp; Grid</x:v>
      </x:c>
      <x:c r="H183" s="57" t="n">
        <x:v>8</x:v>
      </x:c>
      <x:c r="I183" s="206" t="n"/>
      <x:c r="J183" s="71" t="n"/>
      <x:c r="K183" s="71" t="n"/>
      <x:c r="L183" s="71" t="inlineStr">
        <x:is>
          <x:t xml:space="preserve">NO</x:t>
        </x:is>
      </x:c>
      <x:c r="M183" s="71" t="n"/>
      <x:c r="N183" s="71" t="n"/>
      <x:c r="O183" s="71" t="n"/>
      <x:c r="P183" s="71" t="n"/>
      <x:c r="Q183" s="71" t="n"/>
      <x:c r="R183" s="71" t="n"/>
      <x:c r="S183" s="206" t="n"/>
      <x:c r="T183" s="71" t="n"/>
      <x:c r="U183" s="71" t="n"/>
      <x:c r="V183" s="71" t="n"/>
      <x:c r="W183" s="71" t="n"/>
      <x:c r="X183" s="71" t="n"/>
      <x:c r="Y183" s="71" t="n"/>
      <x:c r="Z183" s="71" t="n"/>
      <x:c r="AA183" s="71" t="n"/>
      <x:c r="AB183" s="71" t="inlineStr">
        <x:is>
          <x:t xml:space="preserve">NO</x:t>
        </x:is>
      </x:c>
      <x:c r="AC183" s="57" t="inlineStr">
        <x:is>
          <x:t xml:space="preserve">V10</x:t>
        </x:is>
      </x:c>
      <x:c r="AD183" s="57" t="n"/>
      <x:c r="AE183" s="79" t="str">
        <x:f>IF(AND(I183&lt;&gt;"",J183&lt;&gt;"",K183&lt;&gt;"",L183="YES",M183&lt;&gt;"",S183&lt;&gt;"",T183&lt;&gt;"",U183&lt;&gt;"",V183&lt;&gt;"",W183&lt;&gt;"",X183&lt;&gt;"",Y183&lt;&gt;""),"COMPLETE","PENDING")</x:f>
        <x:v>PENDING</x:v>
      </x:c>
      <x:c r="AF183" s="79" t="str">
        <x:f>IF(AE183="COMPLETE","YES","NO")</x:f>
        <x:v>NO</x:v>
      </x:c>
      <x:c r="AG183" s="214" t="str">
        <x:f>IF(AF183&lt;&gt;"YES","",(IF(V183="YES",1,0)+IF(W183="YES",1,0))/2)</x:f>
      </x:c>
    </x:row>
    <x:row r="184">
      <x:c r="A184" s="57" t="inlineStr">
        <x:is>
          <x:t xml:space="preserve">C0179</x:t>
        </x:is>
      </x:c>
      <x:c r="B184" s="57" t="inlineStr">
        <x:is>
          <x:t xml:space="preserve">Development</x:t>
        </x:is>
      </x:c>
      <x:c r="C184" s="57" t="inlineStr">
        <x:is>
          <x:t xml:space="preserve">OPEN</x:t>
        </x:is>
      </x:c>
      <x:c r="D184" s="57" t="inlineStr">
        <x:is>
          <x:t xml:space="preserve">ARG-018</x:t>
        </x:is>
      </x:c>
      <x:c r="E184" s="75" t="str">
        <x:f>INDEX('Company Universe'!$B$6:$B$105,MATCH(D184,'Company Universe'!$A$6:$A$105,0))</x:f>
        <x:v>nVent Electric</x:v>
      </x:c>
      <x:c r="F184" s="75" t="str">
        <x:f>INDEX('Company Universe'!$C$6:$C$105,MATCH(D184,'Company Universe'!$A$6:$A$105,0))</x:f>
        <x:v>NVT</x:v>
      </x:c>
      <x:c r="G184" s="75" t="str">
        <x:f>INDEX('Company Universe'!$F$6:$F$105,MATCH(D184,'Company Universe'!$A$6:$A$105,0))</x:f>
        <x:v>Power &amp; Grid</x:v>
      </x:c>
      <x:c r="H184" s="57" t="n">
        <x:v>9</x:v>
      </x:c>
      <x:c r="I184" s="206" t="n"/>
      <x:c r="J184" s="71" t="n"/>
      <x:c r="K184" s="71" t="n"/>
      <x:c r="L184" s="71" t="inlineStr">
        <x:is>
          <x:t xml:space="preserve">NO</x:t>
        </x:is>
      </x:c>
      <x:c r="M184" s="71" t="n"/>
      <x:c r="N184" s="71" t="n"/>
      <x:c r="O184" s="71" t="n"/>
      <x:c r="P184" s="71" t="n"/>
      <x:c r="Q184" s="71" t="n"/>
      <x:c r="R184" s="71" t="n"/>
      <x:c r="S184" s="206" t="n"/>
      <x:c r="T184" s="71" t="n"/>
      <x:c r="U184" s="71" t="n"/>
      <x:c r="V184" s="71" t="n"/>
      <x:c r="W184" s="71" t="n"/>
      <x:c r="X184" s="71" t="n"/>
      <x:c r="Y184" s="71" t="n"/>
      <x:c r="Z184" s="71" t="n"/>
      <x:c r="AA184" s="71" t="n"/>
      <x:c r="AB184" s="71" t="inlineStr">
        <x:is>
          <x:t xml:space="preserve">NO</x:t>
        </x:is>
      </x:c>
      <x:c r="AC184" s="57" t="inlineStr">
        <x:is>
          <x:t xml:space="preserve">V10</x:t>
        </x:is>
      </x:c>
      <x:c r="AD184" s="57" t="n"/>
      <x:c r="AE184" s="79" t="str">
        <x:f>IF(AND(I184&lt;&gt;"",J184&lt;&gt;"",K184&lt;&gt;"",L184="YES",M184&lt;&gt;"",S184&lt;&gt;"",T184&lt;&gt;"",U184&lt;&gt;"",V184&lt;&gt;"",W184&lt;&gt;"",X184&lt;&gt;"",Y184&lt;&gt;""),"COMPLETE","PENDING")</x:f>
        <x:v>PENDING</x:v>
      </x:c>
      <x:c r="AF184" s="79" t="str">
        <x:f>IF(AE184="COMPLETE","YES","NO")</x:f>
        <x:v>NO</x:v>
      </x:c>
      <x:c r="AG184" s="214" t="str">
        <x:f>IF(AF184&lt;&gt;"YES","",(IF(V184="YES",1,0)+IF(W184="YES",1,0))/2)</x:f>
      </x:c>
    </x:row>
    <x:row r="185">
      <x:c r="A185" s="57" t="inlineStr">
        <x:is>
          <x:t xml:space="preserve">C0180</x:t>
        </x:is>
      </x:c>
      <x:c r="B185" s="57" t="inlineStr">
        <x:is>
          <x:t xml:space="preserve">Development</x:t>
        </x:is>
      </x:c>
      <x:c r="C185" s="57" t="inlineStr">
        <x:is>
          <x:t xml:space="preserve">OPEN</x:t>
        </x:is>
      </x:c>
      <x:c r="D185" s="57" t="inlineStr">
        <x:is>
          <x:t xml:space="preserve">ARG-018</x:t>
        </x:is>
      </x:c>
      <x:c r="E185" s="75" t="str">
        <x:f>INDEX('Company Universe'!$B$6:$B$105,MATCH(D185,'Company Universe'!$A$6:$A$105,0))</x:f>
        <x:v>nVent Electric</x:v>
      </x:c>
      <x:c r="F185" s="75" t="str">
        <x:f>INDEX('Company Universe'!$C$6:$C$105,MATCH(D185,'Company Universe'!$A$6:$A$105,0))</x:f>
        <x:v>NVT</x:v>
      </x:c>
      <x:c r="G185" s="75" t="str">
        <x:f>INDEX('Company Universe'!$F$6:$F$105,MATCH(D185,'Company Universe'!$A$6:$A$105,0))</x:f>
        <x:v>Power &amp; Grid</x:v>
      </x:c>
      <x:c r="H185" s="57" t="n">
        <x:v>10</x:v>
      </x:c>
      <x:c r="I185" s="206" t="n"/>
      <x:c r="J185" s="71" t="n"/>
      <x:c r="K185" s="71" t="n"/>
      <x:c r="L185" s="71" t="inlineStr">
        <x:is>
          <x:t xml:space="preserve">NO</x:t>
        </x:is>
      </x:c>
      <x:c r="M185" s="71" t="n"/>
      <x:c r="N185" s="71" t="n"/>
      <x:c r="O185" s="71" t="n"/>
      <x:c r="P185" s="71" t="n"/>
      <x:c r="Q185" s="71" t="n"/>
      <x:c r="R185" s="71" t="n"/>
      <x:c r="S185" s="206" t="n"/>
      <x:c r="T185" s="71" t="n"/>
      <x:c r="U185" s="71" t="n"/>
      <x:c r="V185" s="71" t="n"/>
      <x:c r="W185" s="71" t="n"/>
      <x:c r="X185" s="71" t="n"/>
      <x:c r="Y185" s="71" t="n"/>
      <x:c r="Z185" s="71" t="n"/>
      <x:c r="AA185" s="71" t="n"/>
      <x:c r="AB185" s="71" t="inlineStr">
        <x:is>
          <x:t xml:space="preserve">NO</x:t>
        </x:is>
      </x:c>
      <x:c r="AC185" s="57" t="inlineStr">
        <x:is>
          <x:t xml:space="preserve">V10</x:t>
        </x:is>
      </x:c>
      <x:c r="AD185" s="57" t="n"/>
      <x:c r="AE185" s="79" t="str">
        <x:f>IF(AND(I185&lt;&gt;"",J185&lt;&gt;"",K185&lt;&gt;"",L185="YES",M185&lt;&gt;"",S185&lt;&gt;"",T185&lt;&gt;"",U185&lt;&gt;"",V185&lt;&gt;"",W185&lt;&gt;"",X185&lt;&gt;"",Y185&lt;&gt;""),"COMPLETE","PENDING")</x:f>
        <x:v>PENDING</x:v>
      </x:c>
      <x:c r="AF185" s="79" t="str">
        <x:f>IF(AE185="COMPLETE","YES","NO")</x:f>
        <x:v>NO</x:v>
      </x:c>
      <x:c r="AG185" s="214" t="str">
        <x:f>IF(AF185&lt;&gt;"YES","",(IF(V185="YES",1,0)+IF(W185="YES",1,0))/2)</x:f>
      </x:c>
    </x:row>
    <x:row r="186">
      <x:c r="A186" s="57" t="inlineStr">
        <x:is>
          <x:t xml:space="preserve">C0181</x:t>
        </x:is>
      </x:c>
      <x:c r="B186" s="57" t="inlineStr">
        <x:is>
          <x:t xml:space="preserve">Development</x:t>
        </x:is>
      </x:c>
      <x:c r="C186" s="57" t="inlineStr">
        <x:is>
          <x:t xml:space="preserve">OPEN</x:t>
        </x:is>
      </x:c>
      <x:c r="D186" s="57" t="inlineStr">
        <x:is>
          <x:t xml:space="preserve">ARG-019</x:t>
        </x:is>
      </x:c>
      <x:c r="E186" s="75" t="str">
        <x:f>INDEX('Company Universe'!$B$6:$B$105,MATCH(D186,'Company Universe'!$A$6:$A$105,0))</x:f>
        <x:v>GE Vernova</x:v>
      </x:c>
      <x:c r="F186" s="75" t="str">
        <x:f>INDEX('Company Universe'!$C$6:$C$105,MATCH(D186,'Company Universe'!$A$6:$A$105,0))</x:f>
        <x:v>GEV</x:v>
      </x:c>
      <x:c r="G186" s="75" t="str">
        <x:f>INDEX('Company Universe'!$F$6:$F$105,MATCH(D186,'Company Universe'!$A$6:$A$105,0))</x:f>
        <x:v>Power &amp; Grid</x:v>
      </x:c>
      <x:c r="H186" s="57" t="n">
        <x:v>1</x:v>
      </x:c>
      <x:c r="I186" s="206" t="n"/>
      <x:c r="J186" s="71" t="n"/>
      <x:c r="K186" s="71" t="n"/>
      <x:c r="L186" s="71" t="inlineStr">
        <x:is>
          <x:t xml:space="preserve">NO</x:t>
        </x:is>
      </x:c>
      <x:c r="M186" s="71" t="n"/>
      <x:c r="N186" s="71" t="n"/>
      <x:c r="O186" s="71" t="n"/>
      <x:c r="P186" s="71" t="n"/>
      <x:c r="Q186" s="71" t="n"/>
      <x:c r="R186" s="71" t="n"/>
      <x:c r="S186" s="206" t="n"/>
      <x:c r="T186" s="71" t="n"/>
      <x:c r="U186" s="71" t="n"/>
      <x:c r="V186" s="71" t="n"/>
      <x:c r="W186" s="71" t="n"/>
      <x:c r="X186" s="71" t="n"/>
      <x:c r="Y186" s="71" t="n"/>
      <x:c r="Z186" s="71" t="n"/>
      <x:c r="AA186" s="71" t="n"/>
      <x:c r="AB186" s="71" t="inlineStr">
        <x:is>
          <x:t xml:space="preserve">NO</x:t>
        </x:is>
      </x:c>
      <x:c r="AC186" s="57" t="inlineStr">
        <x:is>
          <x:t xml:space="preserve">V10</x:t>
        </x:is>
      </x:c>
      <x:c r="AD186" s="57" t="n"/>
      <x:c r="AE186" s="79" t="str">
        <x:f>IF(AND(I186&lt;&gt;"",J186&lt;&gt;"",K186&lt;&gt;"",L186="YES",M186&lt;&gt;"",S186&lt;&gt;"",T186&lt;&gt;"",U186&lt;&gt;"",V186&lt;&gt;"",W186&lt;&gt;"",X186&lt;&gt;"",Y186&lt;&gt;""),"COMPLETE","PENDING")</x:f>
        <x:v>PENDING</x:v>
      </x:c>
      <x:c r="AF186" s="79" t="str">
        <x:f>IF(AE186="COMPLETE","YES","NO")</x:f>
        <x:v>NO</x:v>
      </x:c>
      <x:c r="AG186" s="214" t="str">
        <x:f>IF(AF186&lt;&gt;"YES","",(IF(V186="YES",1,0)+IF(W186="YES",1,0))/2)</x:f>
      </x:c>
    </x:row>
    <x:row r="187">
      <x:c r="A187" s="57" t="inlineStr">
        <x:is>
          <x:t xml:space="preserve">C0182</x:t>
        </x:is>
      </x:c>
      <x:c r="B187" s="57" t="inlineStr">
        <x:is>
          <x:t xml:space="preserve">Development</x:t>
        </x:is>
      </x:c>
      <x:c r="C187" s="57" t="inlineStr">
        <x:is>
          <x:t xml:space="preserve">OPEN</x:t>
        </x:is>
      </x:c>
      <x:c r="D187" s="57" t="inlineStr">
        <x:is>
          <x:t xml:space="preserve">ARG-019</x:t>
        </x:is>
      </x:c>
      <x:c r="E187" s="75" t="str">
        <x:f>INDEX('Company Universe'!$B$6:$B$105,MATCH(D187,'Company Universe'!$A$6:$A$105,0))</x:f>
        <x:v>GE Vernova</x:v>
      </x:c>
      <x:c r="F187" s="75" t="str">
        <x:f>INDEX('Company Universe'!$C$6:$C$105,MATCH(D187,'Company Universe'!$A$6:$A$105,0))</x:f>
        <x:v>GEV</x:v>
      </x:c>
      <x:c r="G187" s="75" t="str">
        <x:f>INDEX('Company Universe'!$F$6:$F$105,MATCH(D187,'Company Universe'!$A$6:$A$105,0))</x:f>
        <x:v>Power &amp; Grid</x:v>
      </x:c>
      <x:c r="H187" s="57" t="n">
        <x:v>2</x:v>
      </x:c>
      <x:c r="I187" s="206" t="n"/>
      <x:c r="J187" s="71" t="n"/>
      <x:c r="K187" s="71" t="n"/>
      <x:c r="L187" s="71" t="inlineStr">
        <x:is>
          <x:t xml:space="preserve">NO</x:t>
        </x:is>
      </x:c>
      <x:c r="M187" s="71" t="n"/>
      <x:c r="N187" s="71" t="n"/>
      <x:c r="O187" s="71" t="n"/>
      <x:c r="P187" s="71" t="n"/>
      <x:c r="Q187" s="71" t="n"/>
      <x:c r="R187" s="71" t="n"/>
      <x:c r="S187" s="206" t="n"/>
      <x:c r="T187" s="71" t="n"/>
      <x:c r="U187" s="71" t="n"/>
      <x:c r="V187" s="71" t="n"/>
      <x:c r="W187" s="71" t="n"/>
      <x:c r="X187" s="71" t="n"/>
      <x:c r="Y187" s="71" t="n"/>
      <x:c r="Z187" s="71" t="n"/>
      <x:c r="AA187" s="71" t="n"/>
      <x:c r="AB187" s="71" t="inlineStr">
        <x:is>
          <x:t xml:space="preserve">NO</x:t>
        </x:is>
      </x:c>
      <x:c r="AC187" s="57" t="inlineStr">
        <x:is>
          <x:t xml:space="preserve">V10</x:t>
        </x:is>
      </x:c>
      <x:c r="AD187" s="57" t="n"/>
      <x:c r="AE187" s="79" t="str">
        <x:f>IF(AND(I187&lt;&gt;"",J187&lt;&gt;"",K187&lt;&gt;"",L187="YES",M187&lt;&gt;"",S187&lt;&gt;"",T187&lt;&gt;"",U187&lt;&gt;"",V187&lt;&gt;"",W187&lt;&gt;"",X187&lt;&gt;"",Y187&lt;&gt;""),"COMPLETE","PENDING")</x:f>
        <x:v>PENDING</x:v>
      </x:c>
      <x:c r="AF187" s="79" t="str">
        <x:f>IF(AE187="COMPLETE","YES","NO")</x:f>
        <x:v>NO</x:v>
      </x:c>
      <x:c r="AG187" s="214" t="str">
        <x:f>IF(AF187&lt;&gt;"YES","",(IF(V187="YES",1,0)+IF(W187="YES",1,0))/2)</x:f>
      </x:c>
    </x:row>
    <x:row r="188">
      <x:c r="A188" s="57" t="inlineStr">
        <x:is>
          <x:t xml:space="preserve">C0183</x:t>
        </x:is>
      </x:c>
      <x:c r="B188" s="57" t="inlineStr">
        <x:is>
          <x:t xml:space="preserve">Development</x:t>
        </x:is>
      </x:c>
      <x:c r="C188" s="57" t="inlineStr">
        <x:is>
          <x:t xml:space="preserve">OPEN</x:t>
        </x:is>
      </x:c>
      <x:c r="D188" s="57" t="inlineStr">
        <x:is>
          <x:t xml:space="preserve">ARG-019</x:t>
        </x:is>
      </x:c>
      <x:c r="E188" s="75" t="str">
        <x:f>INDEX('Company Universe'!$B$6:$B$105,MATCH(D188,'Company Universe'!$A$6:$A$105,0))</x:f>
        <x:v>GE Vernova</x:v>
      </x:c>
      <x:c r="F188" s="75" t="str">
        <x:f>INDEX('Company Universe'!$C$6:$C$105,MATCH(D188,'Company Universe'!$A$6:$A$105,0))</x:f>
        <x:v>GEV</x:v>
      </x:c>
      <x:c r="G188" s="75" t="str">
        <x:f>INDEX('Company Universe'!$F$6:$F$105,MATCH(D188,'Company Universe'!$A$6:$A$105,0))</x:f>
        <x:v>Power &amp; Grid</x:v>
      </x:c>
      <x:c r="H188" s="57" t="n">
        <x:v>3</x:v>
      </x:c>
      <x:c r="I188" s="206" t="n"/>
      <x:c r="J188" s="71" t="n"/>
      <x:c r="K188" s="71" t="n"/>
      <x:c r="L188" s="71" t="inlineStr">
        <x:is>
          <x:t xml:space="preserve">NO</x:t>
        </x:is>
      </x:c>
      <x:c r="M188" s="71" t="n"/>
      <x:c r="N188" s="71" t="n"/>
      <x:c r="O188" s="71" t="n"/>
      <x:c r="P188" s="71" t="n"/>
      <x:c r="Q188" s="71" t="n"/>
      <x:c r="R188" s="71" t="n"/>
      <x:c r="S188" s="206" t="n"/>
      <x:c r="T188" s="71" t="n"/>
      <x:c r="U188" s="71" t="n"/>
      <x:c r="V188" s="71" t="n"/>
      <x:c r="W188" s="71" t="n"/>
      <x:c r="X188" s="71" t="n"/>
      <x:c r="Y188" s="71" t="n"/>
      <x:c r="Z188" s="71" t="n"/>
      <x:c r="AA188" s="71" t="n"/>
      <x:c r="AB188" s="71" t="inlineStr">
        <x:is>
          <x:t xml:space="preserve">NO</x:t>
        </x:is>
      </x:c>
      <x:c r="AC188" s="57" t="inlineStr">
        <x:is>
          <x:t xml:space="preserve">V10</x:t>
        </x:is>
      </x:c>
      <x:c r="AD188" s="57" t="n"/>
      <x:c r="AE188" s="79" t="str">
        <x:f>IF(AND(I188&lt;&gt;"",J188&lt;&gt;"",K188&lt;&gt;"",L188="YES",M188&lt;&gt;"",S188&lt;&gt;"",T188&lt;&gt;"",U188&lt;&gt;"",V188&lt;&gt;"",W188&lt;&gt;"",X188&lt;&gt;"",Y188&lt;&gt;""),"COMPLETE","PENDING")</x:f>
        <x:v>PENDING</x:v>
      </x:c>
      <x:c r="AF188" s="79" t="str">
        <x:f>IF(AE188="COMPLETE","YES","NO")</x:f>
        <x:v>NO</x:v>
      </x:c>
      <x:c r="AG188" s="214" t="str">
        <x:f>IF(AF188&lt;&gt;"YES","",(IF(V188="YES",1,0)+IF(W188="YES",1,0))/2)</x:f>
      </x:c>
    </x:row>
    <x:row r="189">
      <x:c r="A189" s="57" t="inlineStr">
        <x:is>
          <x:t xml:space="preserve">C0184</x:t>
        </x:is>
      </x:c>
      <x:c r="B189" s="57" t="inlineStr">
        <x:is>
          <x:t xml:space="preserve">Development</x:t>
        </x:is>
      </x:c>
      <x:c r="C189" s="57" t="inlineStr">
        <x:is>
          <x:t xml:space="preserve">OPEN</x:t>
        </x:is>
      </x:c>
      <x:c r="D189" s="57" t="inlineStr">
        <x:is>
          <x:t xml:space="preserve">ARG-019</x:t>
        </x:is>
      </x:c>
      <x:c r="E189" s="75" t="str">
        <x:f>INDEX('Company Universe'!$B$6:$B$105,MATCH(D189,'Company Universe'!$A$6:$A$105,0))</x:f>
        <x:v>GE Vernova</x:v>
      </x:c>
      <x:c r="F189" s="75" t="str">
        <x:f>INDEX('Company Universe'!$C$6:$C$105,MATCH(D189,'Company Universe'!$A$6:$A$105,0))</x:f>
        <x:v>GEV</x:v>
      </x:c>
      <x:c r="G189" s="75" t="str">
        <x:f>INDEX('Company Universe'!$F$6:$F$105,MATCH(D189,'Company Universe'!$A$6:$A$105,0))</x:f>
        <x:v>Power &amp; Grid</x:v>
      </x:c>
      <x:c r="H189" s="57" t="n">
        <x:v>4</x:v>
      </x:c>
      <x:c r="I189" s="206" t="n"/>
      <x:c r="J189" s="71" t="n"/>
      <x:c r="K189" s="71" t="n"/>
      <x:c r="L189" s="71" t="inlineStr">
        <x:is>
          <x:t xml:space="preserve">NO</x:t>
        </x:is>
      </x:c>
      <x:c r="M189" s="71" t="n"/>
      <x:c r="N189" s="71" t="n"/>
      <x:c r="O189" s="71" t="n"/>
      <x:c r="P189" s="71" t="n"/>
      <x:c r="Q189" s="71" t="n"/>
      <x:c r="R189" s="71" t="n"/>
      <x:c r="S189" s="206" t="n"/>
      <x:c r="T189" s="71" t="n"/>
      <x:c r="U189" s="71" t="n"/>
      <x:c r="V189" s="71" t="n"/>
      <x:c r="W189" s="71" t="n"/>
      <x:c r="X189" s="71" t="n"/>
      <x:c r="Y189" s="71" t="n"/>
      <x:c r="Z189" s="71" t="n"/>
      <x:c r="AA189" s="71" t="n"/>
      <x:c r="AB189" s="71" t="inlineStr">
        <x:is>
          <x:t xml:space="preserve">NO</x:t>
        </x:is>
      </x:c>
      <x:c r="AC189" s="57" t="inlineStr">
        <x:is>
          <x:t xml:space="preserve">V10</x:t>
        </x:is>
      </x:c>
      <x:c r="AD189" s="57" t="n"/>
      <x:c r="AE189" s="79" t="str">
        <x:f>IF(AND(I189&lt;&gt;"",J189&lt;&gt;"",K189&lt;&gt;"",L189="YES",M189&lt;&gt;"",S189&lt;&gt;"",T189&lt;&gt;"",U189&lt;&gt;"",V189&lt;&gt;"",W189&lt;&gt;"",X189&lt;&gt;"",Y189&lt;&gt;""),"COMPLETE","PENDING")</x:f>
        <x:v>PENDING</x:v>
      </x:c>
      <x:c r="AF189" s="79" t="str">
        <x:f>IF(AE189="COMPLETE","YES","NO")</x:f>
        <x:v>NO</x:v>
      </x:c>
      <x:c r="AG189" s="214" t="str">
        <x:f>IF(AF189&lt;&gt;"YES","",(IF(V189="YES",1,0)+IF(W189="YES",1,0))/2)</x:f>
      </x:c>
    </x:row>
    <x:row r="190">
      <x:c r="A190" s="57" t="inlineStr">
        <x:is>
          <x:t xml:space="preserve">C0185</x:t>
        </x:is>
      </x:c>
      <x:c r="B190" s="57" t="inlineStr">
        <x:is>
          <x:t xml:space="preserve">Development</x:t>
        </x:is>
      </x:c>
      <x:c r="C190" s="57" t="inlineStr">
        <x:is>
          <x:t xml:space="preserve">OPEN</x:t>
        </x:is>
      </x:c>
      <x:c r="D190" s="57" t="inlineStr">
        <x:is>
          <x:t xml:space="preserve">ARG-019</x:t>
        </x:is>
      </x:c>
      <x:c r="E190" s="75" t="str">
        <x:f>INDEX('Company Universe'!$B$6:$B$105,MATCH(D190,'Company Universe'!$A$6:$A$105,0))</x:f>
        <x:v>GE Vernova</x:v>
      </x:c>
      <x:c r="F190" s="75" t="str">
        <x:f>INDEX('Company Universe'!$C$6:$C$105,MATCH(D190,'Company Universe'!$A$6:$A$105,0))</x:f>
        <x:v>GEV</x:v>
      </x:c>
      <x:c r="G190" s="75" t="str">
        <x:f>INDEX('Company Universe'!$F$6:$F$105,MATCH(D190,'Company Universe'!$A$6:$A$105,0))</x:f>
        <x:v>Power &amp; Grid</x:v>
      </x:c>
      <x:c r="H190" s="57" t="n">
        <x:v>5</x:v>
      </x:c>
      <x:c r="I190" s="206" t="n"/>
      <x:c r="J190" s="71" t="n"/>
      <x:c r="K190" s="71" t="n"/>
      <x:c r="L190" s="71" t="inlineStr">
        <x:is>
          <x:t xml:space="preserve">NO</x:t>
        </x:is>
      </x:c>
      <x:c r="M190" s="71" t="n"/>
      <x:c r="N190" s="71" t="n"/>
      <x:c r="O190" s="71" t="n"/>
      <x:c r="P190" s="71" t="n"/>
      <x:c r="Q190" s="71" t="n"/>
      <x:c r="R190" s="71" t="n"/>
      <x:c r="S190" s="206" t="n"/>
      <x:c r="T190" s="71" t="n"/>
      <x:c r="U190" s="71" t="n"/>
      <x:c r="V190" s="71" t="n"/>
      <x:c r="W190" s="71" t="n"/>
      <x:c r="X190" s="71" t="n"/>
      <x:c r="Y190" s="71" t="n"/>
      <x:c r="Z190" s="71" t="n"/>
      <x:c r="AA190" s="71" t="n"/>
      <x:c r="AB190" s="71" t="inlineStr">
        <x:is>
          <x:t xml:space="preserve">NO</x:t>
        </x:is>
      </x:c>
      <x:c r="AC190" s="57" t="inlineStr">
        <x:is>
          <x:t xml:space="preserve">V10</x:t>
        </x:is>
      </x:c>
      <x:c r="AD190" s="57" t="n"/>
      <x:c r="AE190" s="79" t="str">
        <x:f>IF(AND(I190&lt;&gt;"",J190&lt;&gt;"",K190&lt;&gt;"",L190="YES",M190&lt;&gt;"",S190&lt;&gt;"",T190&lt;&gt;"",U190&lt;&gt;"",V190&lt;&gt;"",W190&lt;&gt;"",X190&lt;&gt;"",Y190&lt;&gt;""),"COMPLETE","PENDING")</x:f>
        <x:v>PENDING</x:v>
      </x:c>
      <x:c r="AF190" s="79" t="str">
        <x:f>IF(AE190="COMPLETE","YES","NO")</x:f>
        <x:v>NO</x:v>
      </x:c>
      <x:c r="AG190" s="214" t="str">
        <x:f>IF(AF190&lt;&gt;"YES","",(IF(V190="YES",1,0)+IF(W190="YES",1,0))/2)</x:f>
      </x:c>
    </x:row>
    <x:row r="191">
      <x:c r="A191" s="57" t="inlineStr">
        <x:is>
          <x:t xml:space="preserve">C0186</x:t>
        </x:is>
      </x:c>
      <x:c r="B191" s="57" t="inlineStr">
        <x:is>
          <x:t xml:space="preserve">Development</x:t>
        </x:is>
      </x:c>
      <x:c r="C191" s="57" t="inlineStr">
        <x:is>
          <x:t xml:space="preserve">OPEN</x:t>
        </x:is>
      </x:c>
      <x:c r="D191" s="57" t="inlineStr">
        <x:is>
          <x:t xml:space="preserve">ARG-019</x:t>
        </x:is>
      </x:c>
      <x:c r="E191" s="75" t="str">
        <x:f>INDEX('Company Universe'!$B$6:$B$105,MATCH(D191,'Company Universe'!$A$6:$A$105,0))</x:f>
        <x:v>GE Vernova</x:v>
      </x:c>
      <x:c r="F191" s="75" t="str">
        <x:f>INDEX('Company Universe'!$C$6:$C$105,MATCH(D191,'Company Universe'!$A$6:$A$105,0))</x:f>
        <x:v>GEV</x:v>
      </x:c>
      <x:c r="G191" s="75" t="str">
        <x:f>INDEX('Company Universe'!$F$6:$F$105,MATCH(D191,'Company Universe'!$A$6:$A$105,0))</x:f>
        <x:v>Power &amp; Grid</x:v>
      </x:c>
      <x:c r="H191" s="57" t="n">
        <x:v>6</x:v>
      </x:c>
      <x:c r="I191" s="206" t="n"/>
      <x:c r="J191" s="71" t="n"/>
      <x:c r="K191" s="71" t="n"/>
      <x:c r="L191" s="71" t="inlineStr">
        <x:is>
          <x:t xml:space="preserve">NO</x:t>
        </x:is>
      </x:c>
      <x:c r="M191" s="71" t="n"/>
      <x:c r="N191" s="71" t="n"/>
      <x:c r="O191" s="71" t="n"/>
      <x:c r="P191" s="71" t="n"/>
      <x:c r="Q191" s="71" t="n"/>
      <x:c r="R191" s="71" t="n"/>
      <x:c r="S191" s="206" t="n"/>
      <x:c r="T191" s="71" t="n"/>
      <x:c r="U191" s="71" t="n"/>
      <x:c r="V191" s="71" t="n"/>
      <x:c r="W191" s="71" t="n"/>
      <x:c r="X191" s="71" t="n"/>
      <x:c r="Y191" s="71" t="n"/>
      <x:c r="Z191" s="71" t="n"/>
      <x:c r="AA191" s="71" t="n"/>
      <x:c r="AB191" s="71" t="inlineStr">
        <x:is>
          <x:t xml:space="preserve">NO</x:t>
        </x:is>
      </x:c>
      <x:c r="AC191" s="57" t="inlineStr">
        <x:is>
          <x:t xml:space="preserve">V10</x:t>
        </x:is>
      </x:c>
      <x:c r="AD191" s="57" t="n"/>
      <x:c r="AE191" s="79" t="str">
        <x:f>IF(AND(I191&lt;&gt;"",J191&lt;&gt;"",K191&lt;&gt;"",L191="YES",M191&lt;&gt;"",S191&lt;&gt;"",T191&lt;&gt;"",U191&lt;&gt;"",V191&lt;&gt;"",W191&lt;&gt;"",X191&lt;&gt;"",Y191&lt;&gt;""),"COMPLETE","PENDING")</x:f>
        <x:v>PENDING</x:v>
      </x:c>
      <x:c r="AF191" s="79" t="str">
        <x:f>IF(AE191="COMPLETE","YES","NO")</x:f>
        <x:v>NO</x:v>
      </x:c>
      <x:c r="AG191" s="214" t="str">
        <x:f>IF(AF191&lt;&gt;"YES","",(IF(V191="YES",1,0)+IF(W191="YES",1,0))/2)</x:f>
      </x:c>
    </x:row>
    <x:row r="192">
      <x:c r="A192" s="57" t="inlineStr">
        <x:is>
          <x:t xml:space="preserve">C0187</x:t>
        </x:is>
      </x:c>
      <x:c r="B192" s="57" t="inlineStr">
        <x:is>
          <x:t xml:space="preserve">Development</x:t>
        </x:is>
      </x:c>
      <x:c r="C192" s="57" t="inlineStr">
        <x:is>
          <x:t xml:space="preserve">OPEN</x:t>
        </x:is>
      </x:c>
      <x:c r="D192" s="57" t="inlineStr">
        <x:is>
          <x:t xml:space="preserve">ARG-019</x:t>
        </x:is>
      </x:c>
      <x:c r="E192" s="75" t="str">
        <x:f>INDEX('Company Universe'!$B$6:$B$105,MATCH(D192,'Company Universe'!$A$6:$A$105,0))</x:f>
        <x:v>GE Vernova</x:v>
      </x:c>
      <x:c r="F192" s="75" t="str">
        <x:f>INDEX('Company Universe'!$C$6:$C$105,MATCH(D192,'Company Universe'!$A$6:$A$105,0))</x:f>
        <x:v>GEV</x:v>
      </x:c>
      <x:c r="G192" s="75" t="str">
        <x:f>INDEX('Company Universe'!$F$6:$F$105,MATCH(D192,'Company Universe'!$A$6:$A$105,0))</x:f>
        <x:v>Power &amp; Grid</x:v>
      </x:c>
      <x:c r="H192" s="57" t="n">
        <x:v>7</x:v>
      </x:c>
      <x:c r="I192" s="206" t="n"/>
      <x:c r="J192" s="71" t="n"/>
      <x:c r="K192" s="71" t="n"/>
      <x:c r="L192" s="71" t="inlineStr">
        <x:is>
          <x:t xml:space="preserve">NO</x:t>
        </x:is>
      </x:c>
      <x:c r="M192" s="71" t="n"/>
      <x:c r="N192" s="71" t="n"/>
      <x:c r="O192" s="71" t="n"/>
      <x:c r="P192" s="71" t="n"/>
      <x:c r="Q192" s="71" t="n"/>
      <x:c r="R192" s="71" t="n"/>
      <x:c r="S192" s="206" t="n"/>
      <x:c r="T192" s="71" t="n"/>
      <x:c r="U192" s="71" t="n"/>
      <x:c r="V192" s="71" t="n"/>
      <x:c r="W192" s="71" t="n"/>
      <x:c r="X192" s="71" t="n"/>
      <x:c r="Y192" s="71" t="n"/>
      <x:c r="Z192" s="71" t="n"/>
      <x:c r="AA192" s="71" t="n"/>
      <x:c r="AB192" s="71" t="inlineStr">
        <x:is>
          <x:t xml:space="preserve">NO</x:t>
        </x:is>
      </x:c>
      <x:c r="AC192" s="57" t="inlineStr">
        <x:is>
          <x:t xml:space="preserve">V10</x:t>
        </x:is>
      </x:c>
      <x:c r="AD192" s="57" t="n"/>
      <x:c r="AE192" s="79" t="str">
        <x:f>IF(AND(I192&lt;&gt;"",J192&lt;&gt;"",K192&lt;&gt;"",L192="YES",M192&lt;&gt;"",S192&lt;&gt;"",T192&lt;&gt;"",U192&lt;&gt;"",V192&lt;&gt;"",W192&lt;&gt;"",X192&lt;&gt;"",Y192&lt;&gt;""),"COMPLETE","PENDING")</x:f>
        <x:v>PENDING</x:v>
      </x:c>
      <x:c r="AF192" s="79" t="str">
        <x:f>IF(AE192="COMPLETE","YES","NO")</x:f>
        <x:v>NO</x:v>
      </x:c>
      <x:c r="AG192" s="214" t="str">
        <x:f>IF(AF192&lt;&gt;"YES","",(IF(V192="YES",1,0)+IF(W192="YES",1,0))/2)</x:f>
      </x:c>
    </x:row>
    <x:row r="193">
      <x:c r="A193" s="57" t="inlineStr">
        <x:is>
          <x:t xml:space="preserve">C0188</x:t>
        </x:is>
      </x:c>
      <x:c r="B193" s="57" t="inlineStr">
        <x:is>
          <x:t xml:space="preserve">Development</x:t>
        </x:is>
      </x:c>
      <x:c r="C193" s="57" t="inlineStr">
        <x:is>
          <x:t xml:space="preserve">OPEN</x:t>
        </x:is>
      </x:c>
      <x:c r="D193" s="57" t="inlineStr">
        <x:is>
          <x:t xml:space="preserve">ARG-019</x:t>
        </x:is>
      </x:c>
      <x:c r="E193" s="75" t="str">
        <x:f>INDEX('Company Universe'!$B$6:$B$105,MATCH(D193,'Company Universe'!$A$6:$A$105,0))</x:f>
        <x:v>GE Vernova</x:v>
      </x:c>
      <x:c r="F193" s="75" t="str">
        <x:f>INDEX('Company Universe'!$C$6:$C$105,MATCH(D193,'Company Universe'!$A$6:$A$105,0))</x:f>
        <x:v>GEV</x:v>
      </x:c>
      <x:c r="G193" s="75" t="str">
        <x:f>INDEX('Company Universe'!$F$6:$F$105,MATCH(D193,'Company Universe'!$A$6:$A$105,0))</x:f>
        <x:v>Power &amp; Grid</x:v>
      </x:c>
      <x:c r="H193" s="57" t="n">
        <x:v>8</x:v>
      </x:c>
      <x:c r="I193" s="206" t="n"/>
      <x:c r="J193" s="71" t="n"/>
      <x:c r="K193" s="71" t="n"/>
      <x:c r="L193" s="71" t="inlineStr">
        <x:is>
          <x:t xml:space="preserve">NO</x:t>
        </x:is>
      </x:c>
      <x:c r="M193" s="71" t="n"/>
      <x:c r="N193" s="71" t="n"/>
      <x:c r="O193" s="71" t="n"/>
      <x:c r="P193" s="71" t="n"/>
      <x:c r="Q193" s="71" t="n"/>
      <x:c r="R193" s="71" t="n"/>
      <x:c r="S193" s="206" t="n"/>
      <x:c r="T193" s="71" t="n"/>
      <x:c r="U193" s="71" t="n"/>
      <x:c r="V193" s="71" t="n"/>
      <x:c r="W193" s="71" t="n"/>
      <x:c r="X193" s="71" t="n"/>
      <x:c r="Y193" s="71" t="n"/>
      <x:c r="Z193" s="71" t="n"/>
      <x:c r="AA193" s="71" t="n"/>
      <x:c r="AB193" s="71" t="inlineStr">
        <x:is>
          <x:t xml:space="preserve">NO</x:t>
        </x:is>
      </x:c>
      <x:c r="AC193" s="57" t="inlineStr">
        <x:is>
          <x:t xml:space="preserve">V10</x:t>
        </x:is>
      </x:c>
      <x:c r="AD193" s="57" t="n"/>
      <x:c r="AE193" s="79" t="str">
        <x:f>IF(AND(I193&lt;&gt;"",J193&lt;&gt;"",K193&lt;&gt;"",L193="YES",M193&lt;&gt;"",S193&lt;&gt;"",T193&lt;&gt;"",U193&lt;&gt;"",V193&lt;&gt;"",W193&lt;&gt;"",X193&lt;&gt;"",Y193&lt;&gt;""),"COMPLETE","PENDING")</x:f>
        <x:v>PENDING</x:v>
      </x:c>
      <x:c r="AF193" s="79" t="str">
        <x:f>IF(AE193="COMPLETE","YES","NO")</x:f>
        <x:v>NO</x:v>
      </x:c>
      <x:c r="AG193" s="214" t="str">
        <x:f>IF(AF193&lt;&gt;"YES","",(IF(V193="YES",1,0)+IF(W193="YES",1,0))/2)</x:f>
      </x:c>
    </x:row>
    <x:row r="194">
      <x:c r="A194" s="57" t="inlineStr">
        <x:is>
          <x:t xml:space="preserve">C0189</x:t>
        </x:is>
      </x:c>
      <x:c r="B194" s="57" t="inlineStr">
        <x:is>
          <x:t xml:space="preserve">Development</x:t>
        </x:is>
      </x:c>
      <x:c r="C194" s="57" t="inlineStr">
        <x:is>
          <x:t xml:space="preserve">OPEN</x:t>
        </x:is>
      </x:c>
      <x:c r="D194" s="57" t="inlineStr">
        <x:is>
          <x:t xml:space="preserve">ARG-019</x:t>
        </x:is>
      </x:c>
      <x:c r="E194" s="75" t="str">
        <x:f>INDEX('Company Universe'!$B$6:$B$105,MATCH(D194,'Company Universe'!$A$6:$A$105,0))</x:f>
        <x:v>GE Vernova</x:v>
      </x:c>
      <x:c r="F194" s="75" t="str">
        <x:f>INDEX('Company Universe'!$C$6:$C$105,MATCH(D194,'Company Universe'!$A$6:$A$105,0))</x:f>
        <x:v>GEV</x:v>
      </x:c>
      <x:c r="G194" s="75" t="str">
        <x:f>INDEX('Company Universe'!$F$6:$F$105,MATCH(D194,'Company Universe'!$A$6:$A$105,0))</x:f>
        <x:v>Power &amp; Grid</x:v>
      </x:c>
      <x:c r="H194" s="57" t="n">
        <x:v>9</x:v>
      </x:c>
      <x:c r="I194" s="206" t="n"/>
      <x:c r="J194" s="71" t="n"/>
      <x:c r="K194" s="71" t="n"/>
      <x:c r="L194" s="71" t="inlineStr">
        <x:is>
          <x:t xml:space="preserve">NO</x:t>
        </x:is>
      </x:c>
      <x:c r="M194" s="71" t="n"/>
      <x:c r="N194" s="71" t="n"/>
      <x:c r="O194" s="71" t="n"/>
      <x:c r="P194" s="71" t="n"/>
      <x:c r="Q194" s="71" t="n"/>
      <x:c r="R194" s="71" t="n"/>
      <x:c r="S194" s="206" t="n"/>
      <x:c r="T194" s="71" t="n"/>
      <x:c r="U194" s="71" t="n"/>
      <x:c r="V194" s="71" t="n"/>
      <x:c r="W194" s="71" t="n"/>
      <x:c r="X194" s="71" t="n"/>
      <x:c r="Y194" s="71" t="n"/>
      <x:c r="Z194" s="71" t="n"/>
      <x:c r="AA194" s="71" t="n"/>
      <x:c r="AB194" s="71" t="inlineStr">
        <x:is>
          <x:t xml:space="preserve">NO</x:t>
        </x:is>
      </x:c>
      <x:c r="AC194" s="57" t="inlineStr">
        <x:is>
          <x:t xml:space="preserve">V10</x:t>
        </x:is>
      </x:c>
      <x:c r="AD194" s="57" t="n"/>
      <x:c r="AE194" s="79" t="str">
        <x:f>IF(AND(I194&lt;&gt;"",J194&lt;&gt;"",K194&lt;&gt;"",L194="YES",M194&lt;&gt;"",S194&lt;&gt;"",T194&lt;&gt;"",U194&lt;&gt;"",V194&lt;&gt;"",W194&lt;&gt;"",X194&lt;&gt;"",Y194&lt;&gt;""),"COMPLETE","PENDING")</x:f>
        <x:v>PENDING</x:v>
      </x:c>
      <x:c r="AF194" s="79" t="str">
        <x:f>IF(AE194="COMPLETE","YES","NO")</x:f>
        <x:v>NO</x:v>
      </x:c>
      <x:c r="AG194" s="214" t="str">
        <x:f>IF(AF194&lt;&gt;"YES","",(IF(V194="YES",1,0)+IF(W194="YES",1,0))/2)</x:f>
      </x:c>
    </x:row>
    <x:row r="195">
      <x:c r="A195" s="57" t="inlineStr">
        <x:is>
          <x:t xml:space="preserve">C0190</x:t>
        </x:is>
      </x:c>
      <x:c r="B195" s="57" t="inlineStr">
        <x:is>
          <x:t xml:space="preserve">Development</x:t>
        </x:is>
      </x:c>
      <x:c r="C195" s="57" t="inlineStr">
        <x:is>
          <x:t xml:space="preserve">OPEN</x:t>
        </x:is>
      </x:c>
      <x:c r="D195" s="57" t="inlineStr">
        <x:is>
          <x:t xml:space="preserve">ARG-019</x:t>
        </x:is>
      </x:c>
      <x:c r="E195" s="75" t="str">
        <x:f>INDEX('Company Universe'!$B$6:$B$105,MATCH(D195,'Company Universe'!$A$6:$A$105,0))</x:f>
        <x:v>GE Vernova</x:v>
      </x:c>
      <x:c r="F195" s="75" t="str">
        <x:f>INDEX('Company Universe'!$C$6:$C$105,MATCH(D195,'Company Universe'!$A$6:$A$105,0))</x:f>
        <x:v>GEV</x:v>
      </x:c>
      <x:c r="G195" s="75" t="str">
        <x:f>INDEX('Company Universe'!$F$6:$F$105,MATCH(D195,'Company Universe'!$A$6:$A$105,0))</x:f>
        <x:v>Power &amp; Grid</x:v>
      </x:c>
      <x:c r="H195" s="57" t="n">
        <x:v>10</x:v>
      </x:c>
      <x:c r="I195" s="206" t="n"/>
      <x:c r="J195" s="71" t="n"/>
      <x:c r="K195" s="71" t="n"/>
      <x:c r="L195" s="71" t="inlineStr">
        <x:is>
          <x:t xml:space="preserve">NO</x:t>
        </x:is>
      </x:c>
      <x:c r="M195" s="71" t="n"/>
      <x:c r="N195" s="71" t="n"/>
      <x:c r="O195" s="71" t="n"/>
      <x:c r="P195" s="71" t="n"/>
      <x:c r="Q195" s="71" t="n"/>
      <x:c r="R195" s="71" t="n"/>
      <x:c r="S195" s="206" t="n"/>
      <x:c r="T195" s="71" t="n"/>
      <x:c r="U195" s="71" t="n"/>
      <x:c r="V195" s="71" t="n"/>
      <x:c r="W195" s="71" t="n"/>
      <x:c r="X195" s="71" t="n"/>
      <x:c r="Y195" s="71" t="n"/>
      <x:c r="Z195" s="71" t="n"/>
      <x:c r="AA195" s="71" t="n"/>
      <x:c r="AB195" s="71" t="inlineStr">
        <x:is>
          <x:t xml:space="preserve">NO</x:t>
        </x:is>
      </x:c>
      <x:c r="AC195" s="57" t="inlineStr">
        <x:is>
          <x:t xml:space="preserve">V10</x:t>
        </x:is>
      </x:c>
      <x:c r="AD195" s="57" t="n"/>
      <x:c r="AE195" s="79" t="str">
        <x:f>IF(AND(I195&lt;&gt;"",J195&lt;&gt;"",K195&lt;&gt;"",L195="YES",M195&lt;&gt;"",S195&lt;&gt;"",T195&lt;&gt;"",U195&lt;&gt;"",V195&lt;&gt;"",W195&lt;&gt;"",X195&lt;&gt;"",Y195&lt;&gt;""),"COMPLETE","PENDING")</x:f>
        <x:v>PENDING</x:v>
      </x:c>
      <x:c r="AF195" s="79" t="str">
        <x:f>IF(AE195="COMPLETE","YES","NO")</x:f>
        <x:v>NO</x:v>
      </x:c>
      <x:c r="AG195" s="214" t="str">
        <x:f>IF(AF195&lt;&gt;"YES","",(IF(V195="YES",1,0)+IF(W195="YES",1,0))/2)</x:f>
      </x:c>
    </x:row>
    <x:row r="196">
      <x:c r="A196" s="57" t="inlineStr">
        <x:is>
          <x:t xml:space="preserve">C0191</x:t>
        </x:is>
      </x:c>
      <x:c r="B196" s="57" t="inlineStr">
        <x:is>
          <x:t xml:space="preserve">Development</x:t>
        </x:is>
      </x:c>
      <x:c r="C196" s="57" t="inlineStr">
        <x:is>
          <x:t xml:space="preserve">OPEN</x:t>
        </x:is>
      </x:c>
      <x:c r="D196" s="57" t="inlineStr">
        <x:is>
          <x:t xml:space="preserve">ARG-020</x:t>
        </x:is>
      </x:c>
      <x:c r="E196" s="75" t="str">
        <x:f>INDEX('Company Universe'!$B$6:$B$105,MATCH(D196,'Company Universe'!$A$6:$A$105,0))</x:f>
        <x:v>Schneider Electric</x:v>
      </x:c>
      <x:c r="F196" s="75" t="str">
        <x:f>INDEX('Company Universe'!$C$6:$C$105,MATCH(D196,'Company Universe'!$A$6:$A$105,0))</x:f>
        <x:v>SU.PA</x:v>
      </x:c>
      <x:c r="G196" s="75" t="str">
        <x:f>INDEX('Company Universe'!$F$6:$F$105,MATCH(D196,'Company Universe'!$A$6:$A$105,0))</x:f>
        <x:v>Power &amp; Grid</x:v>
      </x:c>
      <x:c r="H196" s="57" t="n">
        <x:v>1</x:v>
      </x:c>
      <x:c r="I196" s="206" t="n"/>
      <x:c r="J196" s="71" t="n"/>
      <x:c r="K196" s="71" t="n"/>
      <x:c r="L196" s="71" t="inlineStr">
        <x:is>
          <x:t xml:space="preserve">NO</x:t>
        </x:is>
      </x:c>
      <x:c r="M196" s="71" t="n"/>
      <x:c r="N196" s="71" t="n"/>
      <x:c r="O196" s="71" t="n"/>
      <x:c r="P196" s="71" t="n"/>
      <x:c r="Q196" s="71" t="n"/>
      <x:c r="R196" s="71" t="n"/>
      <x:c r="S196" s="206" t="n"/>
      <x:c r="T196" s="71" t="n"/>
      <x:c r="U196" s="71" t="n"/>
      <x:c r="V196" s="71" t="n"/>
      <x:c r="W196" s="71" t="n"/>
      <x:c r="X196" s="71" t="n"/>
      <x:c r="Y196" s="71" t="n"/>
      <x:c r="Z196" s="71" t="n"/>
      <x:c r="AA196" s="71" t="n"/>
      <x:c r="AB196" s="71" t="inlineStr">
        <x:is>
          <x:t xml:space="preserve">NO</x:t>
        </x:is>
      </x:c>
      <x:c r="AC196" s="57" t="inlineStr">
        <x:is>
          <x:t xml:space="preserve">V10</x:t>
        </x:is>
      </x:c>
      <x:c r="AD196" s="57" t="n"/>
      <x:c r="AE196" s="79" t="str">
        <x:f>IF(AND(I196&lt;&gt;"",J196&lt;&gt;"",K196&lt;&gt;"",L196="YES",M196&lt;&gt;"",S196&lt;&gt;"",T196&lt;&gt;"",U196&lt;&gt;"",V196&lt;&gt;"",W196&lt;&gt;"",X196&lt;&gt;"",Y196&lt;&gt;""),"COMPLETE","PENDING")</x:f>
        <x:v>PENDING</x:v>
      </x:c>
      <x:c r="AF196" s="79" t="str">
        <x:f>IF(AE196="COMPLETE","YES","NO")</x:f>
        <x:v>NO</x:v>
      </x:c>
      <x:c r="AG196" s="214" t="str">
        <x:f>IF(AF196&lt;&gt;"YES","",(IF(V196="YES",1,0)+IF(W196="YES",1,0))/2)</x:f>
      </x:c>
    </x:row>
    <x:row r="197">
      <x:c r="A197" s="57" t="inlineStr">
        <x:is>
          <x:t xml:space="preserve">C0192</x:t>
        </x:is>
      </x:c>
      <x:c r="B197" s="57" t="inlineStr">
        <x:is>
          <x:t xml:space="preserve">Development</x:t>
        </x:is>
      </x:c>
      <x:c r="C197" s="57" t="inlineStr">
        <x:is>
          <x:t xml:space="preserve">OPEN</x:t>
        </x:is>
      </x:c>
      <x:c r="D197" s="57" t="inlineStr">
        <x:is>
          <x:t xml:space="preserve">ARG-020</x:t>
        </x:is>
      </x:c>
      <x:c r="E197" s="75" t="str">
        <x:f>INDEX('Company Universe'!$B$6:$B$105,MATCH(D197,'Company Universe'!$A$6:$A$105,0))</x:f>
        <x:v>Schneider Electric</x:v>
      </x:c>
      <x:c r="F197" s="75" t="str">
        <x:f>INDEX('Company Universe'!$C$6:$C$105,MATCH(D197,'Company Universe'!$A$6:$A$105,0))</x:f>
        <x:v>SU.PA</x:v>
      </x:c>
      <x:c r="G197" s="75" t="str">
        <x:f>INDEX('Company Universe'!$F$6:$F$105,MATCH(D197,'Company Universe'!$A$6:$A$105,0))</x:f>
        <x:v>Power &amp; Grid</x:v>
      </x:c>
      <x:c r="H197" s="57" t="n">
        <x:v>2</x:v>
      </x:c>
      <x:c r="I197" s="206" t="n"/>
      <x:c r="J197" s="71" t="n"/>
      <x:c r="K197" s="71" t="n"/>
      <x:c r="L197" s="71" t="inlineStr">
        <x:is>
          <x:t xml:space="preserve">NO</x:t>
        </x:is>
      </x:c>
      <x:c r="M197" s="71" t="n"/>
      <x:c r="N197" s="71" t="n"/>
      <x:c r="O197" s="71" t="n"/>
      <x:c r="P197" s="71" t="n"/>
      <x:c r="Q197" s="71" t="n"/>
      <x:c r="R197" s="71" t="n"/>
      <x:c r="S197" s="206" t="n"/>
      <x:c r="T197" s="71" t="n"/>
      <x:c r="U197" s="71" t="n"/>
      <x:c r="V197" s="71" t="n"/>
      <x:c r="W197" s="71" t="n"/>
      <x:c r="X197" s="71" t="n"/>
      <x:c r="Y197" s="71" t="n"/>
      <x:c r="Z197" s="71" t="n"/>
      <x:c r="AA197" s="71" t="n"/>
      <x:c r="AB197" s="71" t="inlineStr">
        <x:is>
          <x:t xml:space="preserve">NO</x:t>
        </x:is>
      </x:c>
      <x:c r="AC197" s="57" t="inlineStr">
        <x:is>
          <x:t xml:space="preserve">V10</x:t>
        </x:is>
      </x:c>
      <x:c r="AD197" s="57" t="n"/>
      <x:c r="AE197" s="79" t="str">
        <x:f>IF(AND(I197&lt;&gt;"",J197&lt;&gt;"",K197&lt;&gt;"",L197="YES",M197&lt;&gt;"",S197&lt;&gt;"",T197&lt;&gt;"",U197&lt;&gt;"",V197&lt;&gt;"",W197&lt;&gt;"",X197&lt;&gt;"",Y197&lt;&gt;""),"COMPLETE","PENDING")</x:f>
        <x:v>PENDING</x:v>
      </x:c>
      <x:c r="AF197" s="79" t="str">
        <x:f>IF(AE197="COMPLETE","YES","NO")</x:f>
        <x:v>NO</x:v>
      </x:c>
      <x:c r="AG197" s="214" t="str">
        <x:f>IF(AF197&lt;&gt;"YES","",(IF(V197="YES",1,0)+IF(W197="YES",1,0))/2)</x:f>
      </x:c>
    </x:row>
    <x:row r="198">
      <x:c r="A198" s="57" t="inlineStr">
        <x:is>
          <x:t xml:space="preserve">C0193</x:t>
        </x:is>
      </x:c>
      <x:c r="B198" s="57" t="inlineStr">
        <x:is>
          <x:t xml:space="preserve">Development</x:t>
        </x:is>
      </x:c>
      <x:c r="C198" s="57" t="inlineStr">
        <x:is>
          <x:t xml:space="preserve">OPEN</x:t>
        </x:is>
      </x:c>
      <x:c r="D198" s="57" t="inlineStr">
        <x:is>
          <x:t xml:space="preserve">ARG-020</x:t>
        </x:is>
      </x:c>
      <x:c r="E198" s="75" t="str">
        <x:f>INDEX('Company Universe'!$B$6:$B$105,MATCH(D198,'Company Universe'!$A$6:$A$105,0))</x:f>
        <x:v>Schneider Electric</x:v>
      </x:c>
      <x:c r="F198" s="75" t="str">
        <x:f>INDEX('Company Universe'!$C$6:$C$105,MATCH(D198,'Company Universe'!$A$6:$A$105,0))</x:f>
        <x:v>SU.PA</x:v>
      </x:c>
      <x:c r="G198" s="75" t="str">
        <x:f>INDEX('Company Universe'!$F$6:$F$105,MATCH(D198,'Company Universe'!$A$6:$A$105,0))</x:f>
        <x:v>Power &amp; Grid</x:v>
      </x:c>
      <x:c r="H198" s="57" t="n">
        <x:v>3</x:v>
      </x:c>
      <x:c r="I198" s="206" t="n"/>
      <x:c r="J198" s="71" t="n"/>
      <x:c r="K198" s="71" t="n"/>
      <x:c r="L198" s="71" t="inlineStr">
        <x:is>
          <x:t xml:space="preserve">NO</x:t>
        </x:is>
      </x:c>
      <x:c r="M198" s="71" t="n"/>
      <x:c r="N198" s="71" t="n"/>
      <x:c r="O198" s="71" t="n"/>
      <x:c r="P198" s="71" t="n"/>
      <x:c r="Q198" s="71" t="n"/>
      <x:c r="R198" s="71" t="n"/>
      <x:c r="S198" s="206" t="n"/>
      <x:c r="T198" s="71" t="n"/>
      <x:c r="U198" s="71" t="n"/>
      <x:c r="V198" s="71" t="n"/>
      <x:c r="W198" s="71" t="n"/>
      <x:c r="X198" s="71" t="n"/>
      <x:c r="Y198" s="71" t="n"/>
      <x:c r="Z198" s="71" t="n"/>
      <x:c r="AA198" s="71" t="n"/>
      <x:c r="AB198" s="71" t="inlineStr">
        <x:is>
          <x:t xml:space="preserve">NO</x:t>
        </x:is>
      </x:c>
      <x:c r="AC198" s="57" t="inlineStr">
        <x:is>
          <x:t xml:space="preserve">V10</x:t>
        </x:is>
      </x:c>
      <x:c r="AD198" s="57" t="n"/>
      <x:c r="AE198" s="79" t="str">
        <x:f>IF(AND(I198&lt;&gt;"",J198&lt;&gt;"",K198&lt;&gt;"",L198="YES",M198&lt;&gt;"",S198&lt;&gt;"",T198&lt;&gt;"",U198&lt;&gt;"",V198&lt;&gt;"",W198&lt;&gt;"",X198&lt;&gt;"",Y198&lt;&gt;""),"COMPLETE","PENDING")</x:f>
        <x:v>PENDING</x:v>
      </x:c>
      <x:c r="AF198" s="79" t="str">
        <x:f>IF(AE198="COMPLETE","YES","NO")</x:f>
        <x:v>NO</x:v>
      </x:c>
      <x:c r="AG198" s="214" t="str">
        <x:f>IF(AF198&lt;&gt;"YES","",(IF(V198="YES",1,0)+IF(W198="YES",1,0))/2)</x:f>
      </x:c>
    </x:row>
    <x:row r="199">
      <x:c r="A199" s="57" t="inlineStr">
        <x:is>
          <x:t xml:space="preserve">C0194</x:t>
        </x:is>
      </x:c>
      <x:c r="B199" s="57" t="inlineStr">
        <x:is>
          <x:t xml:space="preserve">Development</x:t>
        </x:is>
      </x:c>
      <x:c r="C199" s="57" t="inlineStr">
        <x:is>
          <x:t xml:space="preserve">OPEN</x:t>
        </x:is>
      </x:c>
      <x:c r="D199" s="57" t="inlineStr">
        <x:is>
          <x:t xml:space="preserve">ARG-020</x:t>
        </x:is>
      </x:c>
      <x:c r="E199" s="75" t="str">
        <x:f>INDEX('Company Universe'!$B$6:$B$105,MATCH(D199,'Company Universe'!$A$6:$A$105,0))</x:f>
        <x:v>Schneider Electric</x:v>
      </x:c>
      <x:c r="F199" s="75" t="str">
        <x:f>INDEX('Company Universe'!$C$6:$C$105,MATCH(D199,'Company Universe'!$A$6:$A$105,0))</x:f>
        <x:v>SU.PA</x:v>
      </x:c>
      <x:c r="G199" s="75" t="str">
        <x:f>INDEX('Company Universe'!$F$6:$F$105,MATCH(D199,'Company Universe'!$A$6:$A$105,0))</x:f>
        <x:v>Power &amp; Grid</x:v>
      </x:c>
      <x:c r="H199" s="57" t="n">
        <x:v>4</x:v>
      </x:c>
      <x:c r="I199" s="206" t="n"/>
      <x:c r="J199" s="71" t="n"/>
      <x:c r="K199" s="71" t="n"/>
      <x:c r="L199" s="71" t="inlineStr">
        <x:is>
          <x:t xml:space="preserve">NO</x:t>
        </x:is>
      </x:c>
      <x:c r="M199" s="71" t="n"/>
      <x:c r="N199" s="71" t="n"/>
      <x:c r="O199" s="71" t="n"/>
      <x:c r="P199" s="71" t="n"/>
      <x:c r="Q199" s="71" t="n"/>
      <x:c r="R199" s="71" t="n"/>
      <x:c r="S199" s="206" t="n"/>
      <x:c r="T199" s="71" t="n"/>
      <x:c r="U199" s="71" t="n"/>
      <x:c r="V199" s="71" t="n"/>
      <x:c r="W199" s="71" t="n"/>
      <x:c r="X199" s="71" t="n"/>
      <x:c r="Y199" s="71" t="n"/>
      <x:c r="Z199" s="71" t="n"/>
      <x:c r="AA199" s="71" t="n"/>
      <x:c r="AB199" s="71" t="inlineStr">
        <x:is>
          <x:t xml:space="preserve">NO</x:t>
        </x:is>
      </x:c>
      <x:c r="AC199" s="57" t="inlineStr">
        <x:is>
          <x:t xml:space="preserve">V10</x:t>
        </x:is>
      </x:c>
      <x:c r="AD199" s="57" t="n"/>
      <x:c r="AE199" s="79" t="str">
        <x:f>IF(AND(I199&lt;&gt;"",J199&lt;&gt;"",K199&lt;&gt;"",L199="YES",M199&lt;&gt;"",S199&lt;&gt;"",T199&lt;&gt;"",U199&lt;&gt;"",V199&lt;&gt;"",W199&lt;&gt;"",X199&lt;&gt;"",Y199&lt;&gt;""),"COMPLETE","PENDING")</x:f>
        <x:v>PENDING</x:v>
      </x:c>
      <x:c r="AF199" s="79" t="str">
        <x:f>IF(AE199="COMPLETE","YES","NO")</x:f>
        <x:v>NO</x:v>
      </x:c>
      <x:c r="AG199" s="214" t="str">
        <x:f>IF(AF199&lt;&gt;"YES","",(IF(V199="YES",1,0)+IF(W199="YES",1,0))/2)</x:f>
      </x:c>
    </x:row>
    <x:row r="200">
      <x:c r="A200" s="57" t="inlineStr">
        <x:is>
          <x:t xml:space="preserve">C0195</x:t>
        </x:is>
      </x:c>
      <x:c r="B200" s="57" t="inlineStr">
        <x:is>
          <x:t xml:space="preserve">Development</x:t>
        </x:is>
      </x:c>
      <x:c r="C200" s="57" t="inlineStr">
        <x:is>
          <x:t xml:space="preserve">OPEN</x:t>
        </x:is>
      </x:c>
      <x:c r="D200" s="57" t="inlineStr">
        <x:is>
          <x:t xml:space="preserve">ARG-020</x:t>
        </x:is>
      </x:c>
      <x:c r="E200" s="75" t="str">
        <x:f>INDEX('Company Universe'!$B$6:$B$105,MATCH(D200,'Company Universe'!$A$6:$A$105,0))</x:f>
        <x:v>Schneider Electric</x:v>
      </x:c>
      <x:c r="F200" s="75" t="str">
        <x:f>INDEX('Company Universe'!$C$6:$C$105,MATCH(D200,'Company Universe'!$A$6:$A$105,0))</x:f>
        <x:v>SU.PA</x:v>
      </x:c>
      <x:c r="G200" s="75" t="str">
        <x:f>INDEX('Company Universe'!$F$6:$F$105,MATCH(D200,'Company Universe'!$A$6:$A$105,0))</x:f>
        <x:v>Power &amp; Grid</x:v>
      </x:c>
      <x:c r="H200" s="57" t="n">
        <x:v>5</x:v>
      </x:c>
      <x:c r="I200" s="206" t="n"/>
      <x:c r="J200" s="71" t="n"/>
      <x:c r="K200" s="71" t="n"/>
      <x:c r="L200" s="71" t="inlineStr">
        <x:is>
          <x:t xml:space="preserve">NO</x:t>
        </x:is>
      </x:c>
      <x:c r="M200" s="71" t="n"/>
      <x:c r="N200" s="71" t="n"/>
      <x:c r="O200" s="71" t="n"/>
      <x:c r="P200" s="71" t="n"/>
      <x:c r="Q200" s="71" t="n"/>
      <x:c r="R200" s="71" t="n"/>
      <x:c r="S200" s="206" t="n"/>
      <x:c r="T200" s="71" t="n"/>
      <x:c r="U200" s="71" t="n"/>
      <x:c r="V200" s="71" t="n"/>
      <x:c r="W200" s="71" t="n"/>
      <x:c r="X200" s="71" t="n"/>
      <x:c r="Y200" s="71" t="n"/>
      <x:c r="Z200" s="71" t="n"/>
      <x:c r="AA200" s="71" t="n"/>
      <x:c r="AB200" s="71" t="inlineStr">
        <x:is>
          <x:t xml:space="preserve">NO</x:t>
        </x:is>
      </x:c>
      <x:c r="AC200" s="57" t="inlineStr">
        <x:is>
          <x:t xml:space="preserve">V10</x:t>
        </x:is>
      </x:c>
      <x:c r="AD200" s="57" t="n"/>
      <x:c r="AE200" s="79" t="str">
        <x:f>IF(AND(I200&lt;&gt;"",J200&lt;&gt;"",K200&lt;&gt;"",L200="YES",M200&lt;&gt;"",S200&lt;&gt;"",T200&lt;&gt;"",U200&lt;&gt;"",V200&lt;&gt;"",W200&lt;&gt;"",X200&lt;&gt;"",Y200&lt;&gt;""),"COMPLETE","PENDING")</x:f>
        <x:v>PENDING</x:v>
      </x:c>
      <x:c r="AF200" s="79" t="str">
        <x:f>IF(AE200="COMPLETE","YES","NO")</x:f>
        <x:v>NO</x:v>
      </x:c>
      <x:c r="AG200" s="214" t="str">
        <x:f>IF(AF200&lt;&gt;"YES","",(IF(V200="YES",1,0)+IF(W200="YES",1,0))/2)</x:f>
      </x:c>
    </x:row>
    <x:row r="201">
      <x:c r="A201" s="57" t="inlineStr">
        <x:is>
          <x:t xml:space="preserve">C0196</x:t>
        </x:is>
      </x:c>
      <x:c r="B201" s="57" t="inlineStr">
        <x:is>
          <x:t xml:space="preserve">Development</x:t>
        </x:is>
      </x:c>
      <x:c r="C201" s="57" t="inlineStr">
        <x:is>
          <x:t xml:space="preserve">OPEN</x:t>
        </x:is>
      </x:c>
      <x:c r="D201" s="57" t="inlineStr">
        <x:is>
          <x:t xml:space="preserve">ARG-020</x:t>
        </x:is>
      </x:c>
      <x:c r="E201" s="75" t="str">
        <x:f>INDEX('Company Universe'!$B$6:$B$105,MATCH(D201,'Company Universe'!$A$6:$A$105,0))</x:f>
        <x:v>Schneider Electric</x:v>
      </x:c>
      <x:c r="F201" s="75" t="str">
        <x:f>INDEX('Company Universe'!$C$6:$C$105,MATCH(D201,'Company Universe'!$A$6:$A$105,0))</x:f>
        <x:v>SU.PA</x:v>
      </x:c>
      <x:c r="G201" s="75" t="str">
        <x:f>INDEX('Company Universe'!$F$6:$F$105,MATCH(D201,'Company Universe'!$A$6:$A$105,0))</x:f>
        <x:v>Power &amp; Grid</x:v>
      </x:c>
      <x:c r="H201" s="57" t="n">
        <x:v>6</x:v>
      </x:c>
      <x:c r="I201" s="206" t="n"/>
      <x:c r="J201" s="71" t="n"/>
      <x:c r="K201" s="71" t="n"/>
      <x:c r="L201" s="71" t="inlineStr">
        <x:is>
          <x:t xml:space="preserve">NO</x:t>
        </x:is>
      </x:c>
      <x:c r="M201" s="71" t="n"/>
      <x:c r="N201" s="71" t="n"/>
      <x:c r="O201" s="71" t="n"/>
      <x:c r="P201" s="71" t="n"/>
      <x:c r="Q201" s="71" t="n"/>
      <x:c r="R201" s="71" t="n"/>
      <x:c r="S201" s="206" t="n"/>
      <x:c r="T201" s="71" t="n"/>
      <x:c r="U201" s="71" t="n"/>
      <x:c r="V201" s="71" t="n"/>
      <x:c r="W201" s="71" t="n"/>
      <x:c r="X201" s="71" t="n"/>
      <x:c r="Y201" s="71" t="n"/>
      <x:c r="Z201" s="71" t="n"/>
      <x:c r="AA201" s="71" t="n"/>
      <x:c r="AB201" s="71" t="inlineStr">
        <x:is>
          <x:t xml:space="preserve">NO</x:t>
        </x:is>
      </x:c>
      <x:c r="AC201" s="57" t="inlineStr">
        <x:is>
          <x:t xml:space="preserve">V10</x:t>
        </x:is>
      </x:c>
      <x:c r="AD201" s="57" t="n"/>
      <x:c r="AE201" s="79" t="str">
        <x:f>IF(AND(I201&lt;&gt;"",J201&lt;&gt;"",K201&lt;&gt;"",L201="YES",M201&lt;&gt;"",S201&lt;&gt;"",T201&lt;&gt;"",U201&lt;&gt;"",V201&lt;&gt;"",W201&lt;&gt;"",X201&lt;&gt;"",Y201&lt;&gt;""),"COMPLETE","PENDING")</x:f>
        <x:v>PENDING</x:v>
      </x:c>
      <x:c r="AF201" s="79" t="str">
        <x:f>IF(AE201="COMPLETE","YES","NO")</x:f>
        <x:v>NO</x:v>
      </x:c>
      <x:c r="AG201" s="214" t="str">
        <x:f>IF(AF201&lt;&gt;"YES","",(IF(V201="YES",1,0)+IF(W201="YES",1,0))/2)</x:f>
      </x:c>
    </x:row>
    <x:row r="202">
      <x:c r="A202" s="57" t="inlineStr">
        <x:is>
          <x:t xml:space="preserve">C0197</x:t>
        </x:is>
      </x:c>
      <x:c r="B202" s="57" t="inlineStr">
        <x:is>
          <x:t xml:space="preserve">Development</x:t>
        </x:is>
      </x:c>
      <x:c r="C202" s="57" t="inlineStr">
        <x:is>
          <x:t xml:space="preserve">OPEN</x:t>
        </x:is>
      </x:c>
      <x:c r="D202" s="57" t="inlineStr">
        <x:is>
          <x:t xml:space="preserve">ARG-020</x:t>
        </x:is>
      </x:c>
      <x:c r="E202" s="75" t="str">
        <x:f>INDEX('Company Universe'!$B$6:$B$105,MATCH(D202,'Company Universe'!$A$6:$A$105,0))</x:f>
        <x:v>Schneider Electric</x:v>
      </x:c>
      <x:c r="F202" s="75" t="str">
        <x:f>INDEX('Company Universe'!$C$6:$C$105,MATCH(D202,'Company Universe'!$A$6:$A$105,0))</x:f>
        <x:v>SU.PA</x:v>
      </x:c>
      <x:c r="G202" s="75" t="str">
        <x:f>INDEX('Company Universe'!$F$6:$F$105,MATCH(D202,'Company Universe'!$A$6:$A$105,0))</x:f>
        <x:v>Power &amp; Grid</x:v>
      </x:c>
      <x:c r="H202" s="57" t="n">
        <x:v>7</x:v>
      </x:c>
      <x:c r="I202" s="206" t="n"/>
      <x:c r="J202" s="71" t="n"/>
      <x:c r="K202" s="71" t="n"/>
      <x:c r="L202" s="71" t="inlineStr">
        <x:is>
          <x:t xml:space="preserve">NO</x:t>
        </x:is>
      </x:c>
      <x:c r="M202" s="71" t="n"/>
      <x:c r="N202" s="71" t="n"/>
      <x:c r="O202" s="71" t="n"/>
      <x:c r="P202" s="71" t="n"/>
      <x:c r="Q202" s="71" t="n"/>
      <x:c r="R202" s="71" t="n"/>
      <x:c r="S202" s="206" t="n"/>
      <x:c r="T202" s="71" t="n"/>
      <x:c r="U202" s="71" t="n"/>
      <x:c r="V202" s="71" t="n"/>
      <x:c r="W202" s="71" t="n"/>
      <x:c r="X202" s="71" t="n"/>
      <x:c r="Y202" s="71" t="n"/>
      <x:c r="Z202" s="71" t="n"/>
      <x:c r="AA202" s="71" t="n"/>
      <x:c r="AB202" s="71" t="inlineStr">
        <x:is>
          <x:t xml:space="preserve">NO</x:t>
        </x:is>
      </x:c>
      <x:c r="AC202" s="57" t="inlineStr">
        <x:is>
          <x:t xml:space="preserve">V10</x:t>
        </x:is>
      </x:c>
      <x:c r="AD202" s="57" t="n"/>
      <x:c r="AE202" s="79" t="str">
        <x:f>IF(AND(I202&lt;&gt;"",J202&lt;&gt;"",K202&lt;&gt;"",L202="YES",M202&lt;&gt;"",S202&lt;&gt;"",T202&lt;&gt;"",U202&lt;&gt;"",V202&lt;&gt;"",W202&lt;&gt;"",X202&lt;&gt;"",Y202&lt;&gt;""),"COMPLETE","PENDING")</x:f>
        <x:v>PENDING</x:v>
      </x:c>
      <x:c r="AF202" s="79" t="str">
        <x:f>IF(AE202="COMPLETE","YES","NO")</x:f>
        <x:v>NO</x:v>
      </x:c>
      <x:c r="AG202" s="214" t="str">
        <x:f>IF(AF202&lt;&gt;"YES","",(IF(V202="YES",1,0)+IF(W202="YES",1,0))/2)</x:f>
      </x:c>
    </x:row>
    <x:row r="203">
      <x:c r="A203" s="57" t="inlineStr">
        <x:is>
          <x:t xml:space="preserve">C0198</x:t>
        </x:is>
      </x:c>
      <x:c r="B203" s="57" t="inlineStr">
        <x:is>
          <x:t xml:space="preserve">Development</x:t>
        </x:is>
      </x:c>
      <x:c r="C203" s="57" t="inlineStr">
        <x:is>
          <x:t xml:space="preserve">OPEN</x:t>
        </x:is>
      </x:c>
      <x:c r="D203" s="57" t="inlineStr">
        <x:is>
          <x:t xml:space="preserve">ARG-020</x:t>
        </x:is>
      </x:c>
      <x:c r="E203" s="75" t="str">
        <x:f>INDEX('Company Universe'!$B$6:$B$105,MATCH(D203,'Company Universe'!$A$6:$A$105,0))</x:f>
        <x:v>Schneider Electric</x:v>
      </x:c>
      <x:c r="F203" s="75" t="str">
        <x:f>INDEX('Company Universe'!$C$6:$C$105,MATCH(D203,'Company Universe'!$A$6:$A$105,0))</x:f>
        <x:v>SU.PA</x:v>
      </x:c>
      <x:c r="G203" s="75" t="str">
        <x:f>INDEX('Company Universe'!$F$6:$F$105,MATCH(D203,'Company Universe'!$A$6:$A$105,0))</x:f>
        <x:v>Power &amp; Grid</x:v>
      </x:c>
      <x:c r="H203" s="57" t="n">
        <x:v>8</x:v>
      </x:c>
      <x:c r="I203" s="206" t="n"/>
      <x:c r="J203" s="71" t="n"/>
      <x:c r="K203" s="71" t="n"/>
      <x:c r="L203" s="71" t="inlineStr">
        <x:is>
          <x:t xml:space="preserve">NO</x:t>
        </x:is>
      </x:c>
      <x:c r="M203" s="71" t="n"/>
      <x:c r="N203" s="71" t="n"/>
      <x:c r="O203" s="71" t="n"/>
      <x:c r="P203" s="71" t="n"/>
      <x:c r="Q203" s="71" t="n"/>
      <x:c r="R203" s="71" t="n"/>
      <x:c r="S203" s="206" t="n"/>
      <x:c r="T203" s="71" t="n"/>
      <x:c r="U203" s="71" t="n"/>
      <x:c r="V203" s="71" t="n"/>
      <x:c r="W203" s="71" t="n"/>
      <x:c r="X203" s="71" t="n"/>
      <x:c r="Y203" s="71" t="n"/>
      <x:c r="Z203" s="71" t="n"/>
      <x:c r="AA203" s="71" t="n"/>
      <x:c r="AB203" s="71" t="inlineStr">
        <x:is>
          <x:t xml:space="preserve">NO</x:t>
        </x:is>
      </x:c>
      <x:c r="AC203" s="57" t="inlineStr">
        <x:is>
          <x:t xml:space="preserve">V10</x:t>
        </x:is>
      </x:c>
      <x:c r="AD203" s="57" t="n"/>
      <x:c r="AE203" s="79" t="str">
        <x:f>IF(AND(I203&lt;&gt;"",J203&lt;&gt;"",K203&lt;&gt;"",L203="YES",M203&lt;&gt;"",S203&lt;&gt;"",T203&lt;&gt;"",U203&lt;&gt;"",V203&lt;&gt;"",W203&lt;&gt;"",X203&lt;&gt;"",Y203&lt;&gt;""),"COMPLETE","PENDING")</x:f>
        <x:v>PENDING</x:v>
      </x:c>
      <x:c r="AF203" s="79" t="str">
        <x:f>IF(AE203="COMPLETE","YES","NO")</x:f>
        <x:v>NO</x:v>
      </x:c>
      <x:c r="AG203" s="214" t="str">
        <x:f>IF(AF203&lt;&gt;"YES","",(IF(V203="YES",1,0)+IF(W203="YES",1,0))/2)</x:f>
      </x:c>
    </x:row>
    <x:row r="204">
      <x:c r="A204" s="57" t="inlineStr">
        <x:is>
          <x:t xml:space="preserve">C0199</x:t>
        </x:is>
      </x:c>
      <x:c r="B204" s="57" t="inlineStr">
        <x:is>
          <x:t xml:space="preserve">Development</x:t>
        </x:is>
      </x:c>
      <x:c r="C204" s="57" t="inlineStr">
        <x:is>
          <x:t xml:space="preserve">OPEN</x:t>
        </x:is>
      </x:c>
      <x:c r="D204" s="57" t="inlineStr">
        <x:is>
          <x:t xml:space="preserve">ARG-020</x:t>
        </x:is>
      </x:c>
      <x:c r="E204" s="75" t="str">
        <x:f>INDEX('Company Universe'!$B$6:$B$105,MATCH(D204,'Company Universe'!$A$6:$A$105,0))</x:f>
        <x:v>Schneider Electric</x:v>
      </x:c>
      <x:c r="F204" s="75" t="str">
        <x:f>INDEX('Company Universe'!$C$6:$C$105,MATCH(D204,'Company Universe'!$A$6:$A$105,0))</x:f>
        <x:v>SU.PA</x:v>
      </x:c>
      <x:c r="G204" s="75" t="str">
        <x:f>INDEX('Company Universe'!$F$6:$F$105,MATCH(D204,'Company Universe'!$A$6:$A$105,0))</x:f>
        <x:v>Power &amp; Grid</x:v>
      </x:c>
      <x:c r="H204" s="57" t="n">
        <x:v>9</x:v>
      </x:c>
      <x:c r="I204" s="206" t="n"/>
      <x:c r="J204" s="71" t="n"/>
      <x:c r="K204" s="71" t="n"/>
      <x:c r="L204" s="71" t="inlineStr">
        <x:is>
          <x:t xml:space="preserve">NO</x:t>
        </x:is>
      </x:c>
      <x:c r="M204" s="71" t="n"/>
      <x:c r="N204" s="71" t="n"/>
      <x:c r="O204" s="71" t="n"/>
      <x:c r="P204" s="71" t="n"/>
      <x:c r="Q204" s="71" t="n"/>
      <x:c r="R204" s="71" t="n"/>
      <x:c r="S204" s="206" t="n"/>
      <x:c r="T204" s="71" t="n"/>
      <x:c r="U204" s="71" t="n"/>
      <x:c r="V204" s="71" t="n"/>
      <x:c r="W204" s="71" t="n"/>
      <x:c r="X204" s="71" t="n"/>
      <x:c r="Y204" s="71" t="n"/>
      <x:c r="Z204" s="71" t="n"/>
      <x:c r="AA204" s="71" t="n"/>
      <x:c r="AB204" s="71" t="inlineStr">
        <x:is>
          <x:t xml:space="preserve">NO</x:t>
        </x:is>
      </x:c>
      <x:c r="AC204" s="57" t="inlineStr">
        <x:is>
          <x:t xml:space="preserve">V10</x:t>
        </x:is>
      </x:c>
      <x:c r="AD204" s="57" t="n"/>
      <x:c r="AE204" s="79" t="str">
        <x:f>IF(AND(I204&lt;&gt;"",J204&lt;&gt;"",K204&lt;&gt;"",L204="YES",M204&lt;&gt;"",S204&lt;&gt;"",T204&lt;&gt;"",U204&lt;&gt;"",V204&lt;&gt;"",W204&lt;&gt;"",X204&lt;&gt;"",Y204&lt;&gt;""),"COMPLETE","PENDING")</x:f>
        <x:v>PENDING</x:v>
      </x:c>
      <x:c r="AF204" s="79" t="str">
        <x:f>IF(AE204="COMPLETE","YES","NO")</x:f>
        <x:v>NO</x:v>
      </x:c>
      <x:c r="AG204" s="214" t="str">
        <x:f>IF(AF204&lt;&gt;"YES","",(IF(V204="YES",1,0)+IF(W204="YES",1,0))/2)</x:f>
      </x:c>
    </x:row>
    <x:row r="205">
      <x:c r="A205" s="57" t="inlineStr">
        <x:is>
          <x:t xml:space="preserve">C0200</x:t>
        </x:is>
      </x:c>
      <x:c r="B205" s="57" t="inlineStr">
        <x:is>
          <x:t xml:space="preserve">Development</x:t>
        </x:is>
      </x:c>
      <x:c r="C205" s="57" t="inlineStr">
        <x:is>
          <x:t xml:space="preserve">OPEN</x:t>
        </x:is>
      </x:c>
      <x:c r="D205" s="57" t="inlineStr">
        <x:is>
          <x:t xml:space="preserve">ARG-020</x:t>
        </x:is>
      </x:c>
      <x:c r="E205" s="75" t="str">
        <x:f>INDEX('Company Universe'!$B$6:$B$105,MATCH(D205,'Company Universe'!$A$6:$A$105,0))</x:f>
        <x:v>Schneider Electric</x:v>
      </x:c>
      <x:c r="F205" s="75" t="str">
        <x:f>INDEX('Company Universe'!$C$6:$C$105,MATCH(D205,'Company Universe'!$A$6:$A$105,0))</x:f>
        <x:v>SU.PA</x:v>
      </x:c>
      <x:c r="G205" s="75" t="str">
        <x:f>INDEX('Company Universe'!$F$6:$F$105,MATCH(D205,'Company Universe'!$A$6:$A$105,0))</x:f>
        <x:v>Power &amp; Grid</x:v>
      </x:c>
      <x:c r="H205" s="57" t="n">
        <x:v>10</x:v>
      </x:c>
      <x:c r="I205" s="206" t="n"/>
      <x:c r="J205" s="71" t="n"/>
      <x:c r="K205" s="71" t="n"/>
      <x:c r="L205" s="71" t="inlineStr">
        <x:is>
          <x:t xml:space="preserve">NO</x:t>
        </x:is>
      </x:c>
      <x:c r="M205" s="71" t="n"/>
      <x:c r="N205" s="71" t="n"/>
      <x:c r="O205" s="71" t="n"/>
      <x:c r="P205" s="71" t="n"/>
      <x:c r="Q205" s="71" t="n"/>
      <x:c r="R205" s="71" t="n"/>
      <x:c r="S205" s="206" t="n"/>
      <x:c r="T205" s="71" t="n"/>
      <x:c r="U205" s="71" t="n"/>
      <x:c r="V205" s="71" t="n"/>
      <x:c r="W205" s="71" t="n"/>
      <x:c r="X205" s="71" t="n"/>
      <x:c r="Y205" s="71" t="n"/>
      <x:c r="Z205" s="71" t="n"/>
      <x:c r="AA205" s="71" t="n"/>
      <x:c r="AB205" s="71" t="inlineStr">
        <x:is>
          <x:t xml:space="preserve">NO</x:t>
        </x:is>
      </x:c>
      <x:c r="AC205" s="57" t="inlineStr">
        <x:is>
          <x:t xml:space="preserve">V10</x:t>
        </x:is>
      </x:c>
      <x:c r="AD205" s="57" t="n"/>
      <x:c r="AE205" s="79" t="str">
        <x:f>IF(AND(I205&lt;&gt;"",J205&lt;&gt;"",K205&lt;&gt;"",L205="YES",M205&lt;&gt;"",S205&lt;&gt;"",T205&lt;&gt;"",U205&lt;&gt;"",V205&lt;&gt;"",W205&lt;&gt;"",X205&lt;&gt;"",Y205&lt;&gt;""),"COMPLETE","PENDING")</x:f>
        <x:v>PENDING</x:v>
      </x:c>
      <x:c r="AF205" s="79" t="str">
        <x:f>IF(AE205="COMPLETE","YES","NO")</x:f>
        <x:v>NO</x:v>
      </x:c>
      <x:c r="AG205" s="214" t="str">
        <x:f>IF(AF205&lt;&gt;"YES","",(IF(V205="YES",1,0)+IF(W205="YES",1,0))/2)</x:f>
      </x:c>
    </x:row>
    <x:row r="206">
      <x:c r="A206" s="57" t="inlineStr">
        <x:is>
          <x:t xml:space="preserve">C0201</x:t>
        </x:is>
      </x:c>
      <x:c r="B206" s="57" t="inlineStr">
        <x:is>
          <x:t xml:space="preserve">Development</x:t>
        </x:is>
      </x:c>
      <x:c r="C206" s="57" t="inlineStr">
        <x:is>
          <x:t xml:space="preserve">OPEN</x:t>
        </x:is>
      </x:c>
      <x:c r="D206" s="57" t="inlineStr">
        <x:is>
          <x:t xml:space="preserve">ARG-021</x:t>
        </x:is>
      </x:c>
      <x:c r="E206" s="75" t="str">
        <x:f>INDEX('Company Universe'!$B$6:$B$105,MATCH(D206,'Company Universe'!$A$6:$A$105,0))</x:f>
        <x:v>Trane Technologies</x:v>
      </x:c>
      <x:c r="F206" s="75" t="str">
        <x:f>INDEX('Company Universe'!$C$6:$C$105,MATCH(D206,'Company Universe'!$A$6:$A$105,0))</x:f>
        <x:v>TT</x:v>
      </x:c>
      <x:c r="G206" s="75" t="str">
        <x:f>INDEX('Company Universe'!$F$6:$F$105,MATCH(D206,'Company Universe'!$A$6:$A$105,0))</x:f>
        <x:v>Power &amp; Grid</x:v>
      </x:c>
      <x:c r="H206" s="57" t="n">
        <x:v>1</x:v>
      </x:c>
      <x:c r="I206" s="206" t="n"/>
      <x:c r="J206" s="71" t="n"/>
      <x:c r="K206" s="71" t="n"/>
      <x:c r="L206" s="71" t="inlineStr">
        <x:is>
          <x:t xml:space="preserve">NO</x:t>
        </x:is>
      </x:c>
      <x:c r="M206" s="71" t="n"/>
      <x:c r="N206" s="71" t="n"/>
      <x:c r="O206" s="71" t="n"/>
      <x:c r="P206" s="71" t="n"/>
      <x:c r="Q206" s="71" t="n"/>
      <x:c r="R206" s="71" t="n"/>
      <x:c r="S206" s="206" t="n"/>
      <x:c r="T206" s="71" t="n"/>
      <x:c r="U206" s="71" t="n"/>
      <x:c r="V206" s="71" t="n"/>
      <x:c r="W206" s="71" t="n"/>
      <x:c r="X206" s="71" t="n"/>
      <x:c r="Y206" s="71" t="n"/>
      <x:c r="Z206" s="71" t="n"/>
      <x:c r="AA206" s="71" t="n"/>
      <x:c r="AB206" s="71" t="inlineStr">
        <x:is>
          <x:t xml:space="preserve">NO</x:t>
        </x:is>
      </x:c>
      <x:c r="AC206" s="57" t="inlineStr">
        <x:is>
          <x:t xml:space="preserve">V10</x:t>
        </x:is>
      </x:c>
      <x:c r="AD206" s="57" t="n"/>
      <x:c r="AE206" s="79" t="str">
        <x:f>IF(AND(I206&lt;&gt;"",J206&lt;&gt;"",K206&lt;&gt;"",L206="YES",M206&lt;&gt;"",S206&lt;&gt;"",T206&lt;&gt;"",U206&lt;&gt;"",V206&lt;&gt;"",W206&lt;&gt;"",X206&lt;&gt;"",Y206&lt;&gt;""),"COMPLETE","PENDING")</x:f>
        <x:v>PENDING</x:v>
      </x:c>
      <x:c r="AF206" s="79" t="str">
        <x:f>IF(AE206="COMPLETE","YES","NO")</x:f>
        <x:v>NO</x:v>
      </x:c>
      <x:c r="AG206" s="214" t="str">
        <x:f>IF(AF206&lt;&gt;"YES","",(IF(V206="YES",1,0)+IF(W206="YES",1,0))/2)</x:f>
      </x:c>
    </x:row>
    <x:row r="207">
      <x:c r="A207" s="57" t="inlineStr">
        <x:is>
          <x:t xml:space="preserve">C0202</x:t>
        </x:is>
      </x:c>
      <x:c r="B207" s="57" t="inlineStr">
        <x:is>
          <x:t xml:space="preserve">Development</x:t>
        </x:is>
      </x:c>
      <x:c r="C207" s="57" t="inlineStr">
        <x:is>
          <x:t xml:space="preserve">OPEN</x:t>
        </x:is>
      </x:c>
      <x:c r="D207" s="57" t="inlineStr">
        <x:is>
          <x:t xml:space="preserve">ARG-021</x:t>
        </x:is>
      </x:c>
      <x:c r="E207" s="75" t="str">
        <x:f>INDEX('Company Universe'!$B$6:$B$105,MATCH(D207,'Company Universe'!$A$6:$A$105,0))</x:f>
        <x:v>Trane Technologies</x:v>
      </x:c>
      <x:c r="F207" s="75" t="str">
        <x:f>INDEX('Company Universe'!$C$6:$C$105,MATCH(D207,'Company Universe'!$A$6:$A$105,0))</x:f>
        <x:v>TT</x:v>
      </x:c>
      <x:c r="G207" s="75" t="str">
        <x:f>INDEX('Company Universe'!$F$6:$F$105,MATCH(D207,'Company Universe'!$A$6:$A$105,0))</x:f>
        <x:v>Power &amp; Grid</x:v>
      </x:c>
      <x:c r="H207" s="57" t="n">
        <x:v>2</x:v>
      </x:c>
      <x:c r="I207" s="206" t="n"/>
      <x:c r="J207" s="71" t="n"/>
      <x:c r="K207" s="71" t="n"/>
      <x:c r="L207" s="71" t="inlineStr">
        <x:is>
          <x:t xml:space="preserve">NO</x:t>
        </x:is>
      </x:c>
      <x:c r="M207" s="71" t="n"/>
      <x:c r="N207" s="71" t="n"/>
      <x:c r="O207" s="71" t="n"/>
      <x:c r="P207" s="71" t="n"/>
      <x:c r="Q207" s="71" t="n"/>
      <x:c r="R207" s="71" t="n"/>
      <x:c r="S207" s="206" t="n"/>
      <x:c r="T207" s="71" t="n"/>
      <x:c r="U207" s="71" t="n"/>
      <x:c r="V207" s="71" t="n"/>
      <x:c r="W207" s="71" t="n"/>
      <x:c r="X207" s="71" t="n"/>
      <x:c r="Y207" s="71" t="n"/>
      <x:c r="Z207" s="71" t="n"/>
      <x:c r="AA207" s="71" t="n"/>
      <x:c r="AB207" s="71" t="inlineStr">
        <x:is>
          <x:t xml:space="preserve">NO</x:t>
        </x:is>
      </x:c>
      <x:c r="AC207" s="57" t="inlineStr">
        <x:is>
          <x:t xml:space="preserve">V10</x:t>
        </x:is>
      </x:c>
      <x:c r="AD207" s="57" t="n"/>
      <x:c r="AE207" s="79" t="str">
        <x:f>IF(AND(I207&lt;&gt;"",J207&lt;&gt;"",K207&lt;&gt;"",L207="YES",M207&lt;&gt;"",S207&lt;&gt;"",T207&lt;&gt;"",U207&lt;&gt;"",V207&lt;&gt;"",W207&lt;&gt;"",X207&lt;&gt;"",Y207&lt;&gt;""),"COMPLETE","PENDING")</x:f>
        <x:v>PENDING</x:v>
      </x:c>
      <x:c r="AF207" s="79" t="str">
        <x:f>IF(AE207="COMPLETE","YES","NO")</x:f>
        <x:v>NO</x:v>
      </x:c>
      <x:c r="AG207" s="214" t="str">
        <x:f>IF(AF207&lt;&gt;"YES","",(IF(V207="YES",1,0)+IF(W207="YES",1,0))/2)</x:f>
      </x:c>
    </x:row>
    <x:row r="208">
      <x:c r="A208" s="57" t="inlineStr">
        <x:is>
          <x:t xml:space="preserve">C0203</x:t>
        </x:is>
      </x:c>
      <x:c r="B208" s="57" t="inlineStr">
        <x:is>
          <x:t xml:space="preserve">Development</x:t>
        </x:is>
      </x:c>
      <x:c r="C208" s="57" t="inlineStr">
        <x:is>
          <x:t xml:space="preserve">OPEN</x:t>
        </x:is>
      </x:c>
      <x:c r="D208" s="57" t="inlineStr">
        <x:is>
          <x:t xml:space="preserve">ARG-021</x:t>
        </x:is>
      </x:c>
      <x:c r="E208" s="75" t="str">
        <x:f>INDEX('Company Universe'!$B$6:$B$105,MATCH(D208,'Company Universe'!$A$6:$A$105,0))</x:f>
        <x:v>Trane Technologies</x:v>
      </x:c>
      <x:c r="F208" s="75" t="str">
        <x:f>INDEX('Company Universe'!$C$6:$C$105,MATCH(D208,'Company Universe'!$A$6:$A$105,0))</x:f>
        <x:v>TT</x:v>
      </x:c>
      <x:c r="G208" s="75" t="str">
        <x:f>INDEX('Company Universe'!$F$6:$F$105,MATCH(D208,'Company Universe'!$A$6:$A$105,0))</x:f>
        <x:v>Power &amp; Grid</x:v>
      </x:c>
      <x:c r="H208" s="57" t="n">
        <x:v>3</x:v>
      </x:c>
      <x:c r="I208" s="206" t="n"/>
      <x:c r="J208" s="71" t="n"/>
      <x:c r="K208" s="71" t="n"/>
      <x:c r="L208" s="71" t="inlineStr">
        <x:is>
          <x:t xml:space="preserve">NO</x:t>
        </x:is>
      </x:c>
      <x:c r="M208" s="71" t="n"/>
      <x:c r="N208" s="71" t="n"/>
      <x:c r="O208" s="71" t="n"/>
      <x:c r="P208" s="71" t="n"/>
      <x:c r="Q208" s="71" t="n"/>
      <x:c r="R208" s="71" t="n"/>
      <x:c r="S208" s="206" t="n"/>
      <x:c r="T208" s="71" t="n"/>
      <x:c r="U208" s="71" t="n"/>
      <x:c r="V208" s="71" t="n"/>
      <x:c r="W208" s="71" t="n"/>
      <x:c r="X208" s="71" t="n"/>
      <x:c r="Y208" s="71" t="n"/>
      <x:c r="Z208" s="71" t="n"/>
      <x:c r="AA208" s="71" t="n"/>
      <x:c r="AB208" s="71" t="inlineStr">
        <x:is>
          <x:t xml:space="preserve">NO</x:t>
        </x:is>
      </x:c>
      <x:c r="AC208" s="57" t="inlineStr">
        <x:is>
          <x:t xml:space="preserve">V10</x:t>
        </x:is>
      </x:c>
      <x:c r="AD208" s="57" t="n"/>
      <x:c r="AE208" s="79" t="str">
        <x:f>IF(AND(I208&lt;&gt;"",J208&lt;&gt;"",K208&lt;&gt;"",L208="YES",M208&lt;&gt;"",S208&lt;&gt;"",T208&lt;&gt;"",U208&lt;&gt;"",V208&lt;&gt;"",W208&lt;&gt;"",X208&lt;&gt;"",Y208&lt;&gt;""),"COMPLETE","PENDING")</x:f>
        <x:v>PENDING</x:v>
      </x:c>
      <x:c r="AF208" s="79" t="str">
        <x:f>IF(AE208="COMPLETE","YES","NO")</x:f>
        <x:v>NO</x:v>
      </x:c>
      <x:c r="AG208" s="214" t="str">
        <x:f>IF(AF208&lt;&gt;"YES","",(IF(V208="YES",1,0)+IF(W208="YES",1,0))/2)</x:f>
      </x:c>
    </x:row>
    <x:row r="209">
      <x:c r="A209" s="57" t="inlineStr">
        <x:is>
          <x:t xml:space="preserve">C0204</x:t>
        </x:is>
      </x:c>
      <x:c r="B209" s="57" t="inlineStr">
        <x:is>
          <x:t xml:space="preserve">Development</x:t>
        </x:is>
      </x:c>
      <x:c r="C209" s="57" t="inlineStr">
        <x:is>
          <x:t xml:space="preserve">OPEN</x:t>
        </x:is>
      </x:c>
      <x:c r="D209" s="57" t="inlineStr">
        <x:is>
          <x:t xml:space="preserve">ARG-021</x:t>
        </x:is>
      </x:c>
      <x:c r="E209" s="75" t="str">
        <x:f>INDEX('Company Universe'!$B$6:$B$105,MATCH(D209,'Company Universe'!$A$6:$A$105,0))</x:f>
        <x:v>Trane Technologies</x:v>
      </x:c>
      <x:c r="F209" s="75" t="str">
        <x:f>INDEX('Company Universe'!$C$6:$C$105,MATCH(D209,'Company Universe'!$A$6:$A$105,0))</x:f>
        <x:v>TT</x:v>
      </x:c>
      <x:c r="G209" s="75" t="str">
        <x:f>INDEX('Company Universe'!$F$6:$F$105,MATCH(D209,'Company Universe'!$A$6:$A$105,0))</x:f>
        <x:v>Power &amp; Grid</x:v>
      </x:c>
      <x:c r="H209" s="57" t="n">
        <x:v>4</x:v>
      </x:c>
      <x:c r="I209" s="206" t="n"/>
      <x:c r="J209" s="71" t="n"/>
      <x:c r="K209" s="71" t="n"/>
      <x:c r="L209" s="71" t="inlineStr">
        <x:is>
          <x:t xml:space="preserve">NO</x:t>
        </x:is>
      </x:c>
      <x:c r="M209" s="71" t="n"/>
      <x:c r="N209" s="71" t="n"/>
      <x:c r="O209" s="71" t="n"/>
      <x:c r="P209" s="71" t="n"/>
      <x:c r="Q209" s="71" t="n"/>
      <x:c r="R209" s="71" t="n"/>
      <x:c r="S209" s="206" t="n"/>
      <x:c r="T209" s="71" t="n"/>
      <x:c r="U209" s="71" t="n"/>
      <x:c r="V209" s="71" t="n"/>
      <x:c r="W209" s="71" t="n"/>
      <x:c r="X209" s="71" t="n"/>
      <x:c r="Y209" s="71" t="n"/>
      <x:c r="Z209" s="71" t="n"/>
      <x:c r="AA209" s="71" t="n"/>
      <x:c r="AB209" s="71" t="inlineStr">
        <x:is>
          <x:t xml:space="preserve">NO</x:t>
        </x:is>
      </x:c>
      <x:c r="AC209" s="57" t="inlineStr">
        <x:is>
          <x:t xml:space="preserve">V10</x:t>
        </x:is>
      </x:c>
      <x:c r="AD209" s="57" t="n"/>
      <x:c r="AE209" s="79" t="str">
        <x:f>IF(AND(I209&lt;&gt;"",J209&lt;&gt;"",K209&lt;&gt;"",L209="YES",M209&lt;&gt;"",S209&lt;&gt;"",T209&lt;&gt;"",U209&lt;&gt;"",V209&lt;&gt;"",W209&lt;&gt;"",X209&lt;&gt;"",Y209&lt;&gt;""),"COMPLETE","PENDING")</x:f>
        <x:v>PENDING</x:v>
      </x:c>
      <x:c r="AF209" s="79" t="str">
        <x:f>IF(AE209="COMPLETE","YES","NO")</x:f>
        <x:v>NO</x:v>
      </x:c>
      <x:c r="AG209" s="214" t="str">
        <x:f>IF(AF209&lt;&gt;"YES","",(IF(V209="YES",1,0)+IF(W209="YES",1,0))/2)</x:f>
      </x:c>
    </x:row>
    <x:row r="210">
      <x:c r="A210" s="57" t="inlineStr">
        <x:is>
          <x:t xml:space="preserve">C0205</x:t>
        </x:is>
      </x:c>
      <x:c r="B210" s="57" t="inlineStr">
        <x:is>
          <x:t xml:space="preserve">Development</x:t>
        </x:is>
      </x:c>
      <x:c r="C210" s="57" t="inlineStr">
        <x:is>
          <x:t xml:space="preserve">OPEN</x:t>
        </x:is>
      </x:c>
      <x:c r="D210" s="57" t="inlineStr">
        <x:is>
          <x:t xml:space="preserve">ARG-021</x:t>
        </x:is>
      </x:c>
      <x:c r="E210" s="75" t="str">
        <x:f>INDEX('Company Universe'!$B$6:$B$105,MATCH(D210,'Company Universe'!$A$6:$A$105,0))</x:f>
        <x:v>Trane Technologies</x:v>
      </x:c>
      <x:c r="F210" s="75" t="str">
        <x:f>INDEX('Company Universe'!$C$6:$C$105,MATCH(D210,'Company Universe'!$A$6:$A$105,0))</x:f>
        <x:v>TT</x:v>
      </x:c>
      <x:c r="G210" s="75" t="str">
        <x:f>INDEX('Company Universe'!$F$6:$F$105,MATCH(D210,'Company Universe'!$A$6:$A$105,0))</x:f>
        <x:v>Power &amp; Grid</x:v>
      </x:c>
      <x:c r="H210" s="57" t="n">
        <x:v>5</x:v>
      </x:c>
      <x:c r="I210" s="206" t="n"/>
      <x:c r="J210" s="71" t="n"/>
      <x:c r="K210" s="71" t="n"/>
      <x:c r="L210" s="71" t="inlineStr">
        <x:is>
          <x:t xml:space="preserve">NO</x:t>
        </x:is>
      </x:c>
      <x:c r="M210" s="71" t="n"/>
      <x:c r="N210" s="71" t="n"/>
      <x:c r="O210" s="71" t="n"/>
      <x:c r="P210" s="71" t="n"/>
      <x:c r="Q210" s="71" t="n"/>
      <x:c r="R210" s="71" t="n"/>
      <x:c r="S210" s="206" t="n"/>
      <x:c r="T210" s="71" t="n"/>
      <x:c r="U210" s="71" t="n"/>
      <x:c r="V210" s="71" t="n"/>
      <x:c r="W210" s="71" t="n"/>
      <x:c r="X210" s="71" t="n"/>
      <x:c r="Y210" s="71" t="n"/>
      <x:c r="Z210" s="71" t="n"/>
      <x:c r="AA210" s="71" t="n"/>
      <x:c r="AB210" s="71" t="inlineStr">
        <x:is>
          <x:t xml:space="preserve">NO</x:t>
        </x:is>
      </x:c>
      <x:c r="AC210" s="57" t="inlineStr">
        <x:is>
          <x:t xml:space="preserve">V10</x:t>
        </x:is>
      </x:c>
      <x:c r="AD210" s="57" t="n"/>
      <x:c r="AE210" s="79" t="str">
        <x:f>IF(AND(I210&lt;&gt;"",J210&lt;&gt;"",K210&lt;&gt;"",L210="YES",M210&lt;&gt;"",S210&lt;&gt;"",T210&lt;&gt;"",U210&lt;&gt;"",V210&lt;&gt;"",W210&lt;&gt;"",X210&lt;&gt;"",Y210&lt;&gt;""),"COMPLETE","PENDING")</x:f>
        <x:v>PENDING</x:v>
      </x:c>
      <x:c r="AF210" s="79" t="str">
        <x:f>IF(AE210="COMPLETE","YES","NO")</x:f>
        <x:v>NO</x:v>
      </x:c>
      <x:c r="AG210" s="214" t="str">
        <x:f>IF(AF210&lt;&gt;"YES","",(IF(V210="YES",1,0)+IF(W210="YES",1,0))/2)</x:f>
      </x:c>
    </x:row>
    <x:row r="211">
      <x:c r="A211" s="57" t="inlineStr">
        <x:is>
          <x:t xml:space="preserve">C0206</x:t>
        </x:is>
      </x:c>
      <x:c r="B211" s="57" t="inlineStr">
        <x:is>
          <x:t xml:space="preserve">Development</x:t>
        </x:is>
      </x:c>
      <x:c r="C211" s="57" t="inlineStr">
        <x:is>
          <x:t xml:space="preserve">OPEN</x:t>
        </x:is>
      </x:c>
      <x:c r="D211" s="57" t="inlineStr">
        <x:is>
          <x:t xml:space="preserve">ARG-021</x:t>
        </x:is>
      </x:c>
      <x:c r="E211" s="75" t="str">
        <x:f>INDEX('Company Universe'!$B$6:$B$105,MATCH(D211,'Company Universe'!$A$6:$A$105,0))</x:f>
        <x:v>Trane Technologies</x:v>
      </x:c>
      <x:c r="F211" s="75" t="str">
        <x:f>INDEX('Company Universe'!$C$6:$C$105,MATCH(D211,'Company Universe'!$A$6:$A$105,0))</x:f>
        <x:v>TT</x:v>
      </x:c>
      <x:c r="G211" s="75" t="str">
        <x:f>INDEX('Company Universe'!$F$6:$F$105,MATCH(D211,'Company Universe'!$A$6:$A$105,0))</x:f>
        <x:v>Power &amp; Grid</x:v>
      </x:c>
      <x:c r="H211" s="57" t="n">
        <x:v>6</x:v>
      </x:c>
      <x:c r="I211" s="206" t="n"/>
      <x:c r="J211" s="71" t="n"/>
      <x:c r="K211" s="71" t="n"/>
      <x:c r="L211" s="71" t="inlineStr">
        <x:is>
          <x:t xml:space="preserve">NO</x:t>
        </x:is>
      </x:c>
      <x:c r="M211" s="71" t="n"/>
      <x:c r="N211" s="71" t="n"/>
      <x:c r="O211" s="71" t="n"/>
      <x:c r="P211" s="71" t="n"/>
      <x:c r="Q211" s="71" t="n"/>
      <x:c r="R211" s="71" t="n"/>
      <x:c r="S211" s="206" t="n"/>
      <x:c r="T211" s="71" t="n"/>
      <x:c r="U211" s="71" t="n"/>
      <x:c r="V211" s="71" t="n"/>
      <x:c r="W211" s="71" t="n"/>
      <x:c r="X211" s="71" t="n"/>
      <x:c r="Y211" s="71" t="n"/>
      <x:c r="Z211" s="71" t="n"/>
      <x:c r="AA211" s="71" t="n"/>
      <x:c r="AB211" s="71" t="inlineStr">
        <x:is>
          <x:t xml:space="preserve">NO</x:t>
        </x:is>
      </x:c>
      <x:c r="AC211" s="57" t="inlineStr">
        <x:is>
          <x:t xml:space="preserve">V10</x:t>
        </x:is>
      </x:c>
      <x:c r="AD211" s="57" t="n"/>
      <x:c r="AE211" s="79" t="str">
        <x:f>IF(AND(I211&lt;&gt;"",J211&lt;&gt;"",K211&lt;&gt;"",L211="YES",M211&lt;&gt;"",S211&lt;&gt;"",T211&lt;&gt;"",U211&lt;&gt;"",V211&lt;&gt;"",W211&lt;&gt;"",X211&lt;&gt;"",Y211&lt;&gt;""),"COMPLETE","PENDING")</x:f>
        <x:v>PENDING</x:v>
      </x:c>
      <x:c r="AF211" s="79" t="str">
        <x:f>IF(AE211="COMPLETE","YES","NO")</x:f>
        <x:v>NO</x:v>
      </x:c>
      <x:c r="AG211" s="214" t="str">
        <x:f>IF(AF211&lt;&gt;"YES","",(IF(V211="YES",1,0)+IF(W211="YES",1,0))/2)</x:f>
      </x:c>
    </x:row>
    <x:row r="212">
      <x:c r="A212" s="57" t="inlineStr">
        <x:is>
          <x:t xml:space="preserve">C0207</x:t>
        </x:is>
      </x:c>
      <x:c r="B212" s="57" t="inlineStr">
        <x:is>
          <x:t xml:space="preserve">Development</x:t>
        </x:is>
      </x:c>
      <x:c r="C212" s="57" t="inlineStr">
        <x:is>
          <x:t xml:space="preserve">OPEN</x:t>
        </x:is>
      </x:c>
      <x:c r="D212" s="57" t="inlineStr">
        <x:is>
          <x:t xml:space="preserve">ARG-021</x:t>
        </x:is>
      </x:c>
      <x:c r="E212" s="75" t="str">
        <x:f>INDEX('Company Universe'!$B$6:$B$105,MATCH(D212,'Company Universe'!$A$6:$A$105,0))</x:f>
        <x:v>Trane Technologies</x:v>
      </x:c>
      <x:c r="F212" s="75" t="str">
        <x:f>INDEX('Company Universe'!$C$6:$C$105,MATCH(D212,'Company Universe'!$A$6:$A$105,0))</x:f>
        <x:v>TT</x:v>
      </x:c>
      <x:c r="G212" s="75" t="str">
        <x:f>INDEX('Company Universe'!$F$6:$F$105,MATCH(D212,'Company Universe'!$A$6:$A$105,0))</x:f>
        <x:v>Power &amp; Grid</x:v>
      </x:c>
      <x:c r="H212" s="57" t="n">
        <x:v>7</x:v>
      </x:c>
      <x:c r="I212" s="206" t="n"/>
      <x:c r="J212" s="71" t="n"/>
      <x:c r="K212" s="71" t="n"/>
      <x:c r="L212" s="71" t="inlineStr">
        <x:is>
          <x:t xml:space="preserve">NO</x:t>
        </x:is>
      </x:c>
      <x:c r="M212" s="71" t="n"/>
      <x:c r="N212" s="71" t="n"/>
      <x:c r="O212" s="71" t="n"/>
      <x:c r="P212" s="71" t="n"/>
      <x:c r="Q212" s="71" t="n"/>
      <x:c r="R212" s="71" t="n"/>
      <x:c r="S212" s="206" t="n"/>
      <x:c r="T212" s="71" t="n"/>
      <x:c r="U212" s="71" t="n"/>
      <x:c r="V212" s="71" t="n"/>
      <x:c r="W212" s="71" t="n"/>
      <x:c r="X212" s="71" t="n"/>
      <x:c r="Y212" s="71" t="n"/>
      <x:c r="Z212" s="71" t="n"/>
      <x:c r="AA212" s="71" t="n"/>
      <x:c r="AB212" s="71" t="inlineStr">
        <x:is>
          <x:t xml:space="preserve">NO</x:t>
        </x:is>
      </x:c>
      <x:c r="AC212" s="57" t="inlineStr">
        <x:is>
          <x:t xml:space="preserve">V10</x:t>
        </x:is>
      </x:c>
      <x:c r="AD212" s="57" t="n"/>
      <x:c r="AE212" s="79" t="str">
        <x:f>IF(AND(I212&lt;&gt;"",J212&lt;&gt;"",K212&lt;&gt;"",L212="YES",M212&lt;&gt;"",S212&lt;&gt;"",T212&lt;&gt;"",U212&lt;&gt;"",V212&lt;&gt;"",W212&lt;&gt;"",X212&lt;&gt;"",Y212&lt;&gt;""),"COMPLETE","PENDING")</x:f>
        <x:v>PENDING</x:v>
      </x:c>
      <x:c r="AF212" s="79" t="str">
        <x:f>IF(AE212="COMPLETE","YES","NO")</x:f>
        <x:v>NO</x:v>
      </x:c>
      <x:c r="AG212" s="214" t="str">
        <x:f>IF(AF212&lt;&gt;"YES","",(IF(V212="YES",1,0)+IF(W212="YES",1,0))/2)</x:f>
      </x:c>
    </x:row>
    <x:row r="213">
      <x:c r="A213" s="57" t="inlineStr">
        <x:is>
          <x:t xml:space="preserve">C0208</x:t>
        </x:is>
      </x:c>
      <x:c r="B213" s="57" t="inlineStr">
        <x:is>
          <x:t xml:space="preserve">Development</x:t>
        </x:is>
      </x:c>
      <x:c r="C213" s="57" t="inlineStr">
        <x:is>
          <x:t xml:space="preserve">OPEN</x:t>
        </x:is>
      </x:c>
      <x:c r="D213" s="57" t="inlineStr">
        <x:is>
          <x:t xml:space="preserve">ARG-021</x:t>
        </x:is>
      </x:c>
      <x:c r="E213" s="75" t="str">
        <x:f>INDEX('Company Universe'!$B$6:$B$105,MATCH(D213,'Company Universe'!$A$6:$A$105,0))</x:f>
        <x:v>Trane Technologies</x:v>
      </x:c>
      <x:c r="F213" s="75" t="str">
        <x:f>INDEX('Company Universe'!$C$6:$C$105,MATCH(D213,'Company Universe'!$A$6:$A$105,0))</x:f>
        <x:v>TT</x:v>
      </x:c>
      <x:c r="G213" s="75" t="str">
        <x:f>INDEX('Company Universe'!$F$6:$F$105,MATCH(D213,'Company Universe'!$A$6:$A$105,0))</x:f>
        <x:v>Power &amp; Grid</x:v>
      </x:c>
      <x:c r="H213" s="57" t="n">
        <x:v>8</x:v>
      </x:c>
      <x:c r="I213" s="206" t="n"/>
      <x:c r="J213" s="71" t="n"/>
      <x:c r="K213" s="71" t="n"/>
      <x:c r="L213" s="71" t="inlineStr">
        <x:is>
          <x:t xml:space="preserve">NO</x:t>
        </x:is>
      </x:c>
      <x:c r="M213" s="71" t="n"/>
      <x:c r="N213" s="71" t="n"/>
      <x:c r="O213" s="71" t="n"/>
      <x:c r="P213" s="71" t="n"/>
      <x:c r="Q213" s="71" t="n"/>
      <x:c r="R213" s="71" t="n"/>
      <x:c r="S213" s="206" t="n"/>
      <x:c r="T213" s="71" t="n"/>
      <x:c r="U213" s="71" t="n"/>
      <x:c r="V213" s="71" t="n"/>
      <x:c r="W213" s="71" t="n"/>
      <x:c r="X213" s="71" t="n"/>
      <x:c r="Y213" s="71" t="n"/>
      <x:c r="Z213" s="71" t="n"/>
      <x:c r="AA213" s="71" t="n"/>
      <x:c r="AB213" s="71" t="inlineStr">
        <x:is>
          <x:t xml:space="preserve">NO</x:t>
        </x:is>
      </x:c>
      <x:c r="AC213" s="57" t="inlineStr">
        <x:is>
          <x:t xml:space="preserve">V10</x:t>
        </x:is>
      </x:c>
      <x:c r="AD213" s="57" t="n"/>
      <x:c r="AE213" s="79" t="str">
        <x:f>IF(AND(I213&lt;&gt;"",J213&lt;&gt;"",K213&lt;&gt;"",L213="YES",M213&lt;&gt;"",S213&lt;&gt;"",T213&lt;&gt;"",U213&lt;&gt;"",V213&lt;&gt;"",W213&lt;&gt;"",X213&lt;&gt;"",Y213&lt;&gt;""),"COMPLETE","PENDING")</x:f>
        <x:v>PENDING</x:v>
      </x:c>
      <x:c r="AF213" s="79" t="str">
        <x:f>IF(AE213="COMPLETE","YES","NO")</x:f>
        <x:v>NO</x:v>
      </x:c>
      <x:c r="AG213" s="214" t="str">
        <x:f>IF(AF213&lt;&gt;"YES","",(IF(V213="YES",1,0)+IF(W213="YES",1,0))/2)</x:f>
      </x:c>
    </x:row>
    <x:row r="214">
      <x:c r="A214" s="57" t="inlineStr">
        <x:is>
          <x:t xml:space="preserve">C0209</x:t>
        </x:is>
      </x:c>
      <x:c r="B214" s="57" t="inlineStr">
        <x:is>
          <x:t xml:space="preserve">Development</x:t>
        </x:is>
      </x:c>
      <x:c r="C214" s="57" t="inlineStr">
        <x:is>
          <x:t xml:space="preserve">OPEN</x:t>
        </x:is>
      </x:c>
      <x:c r="D214" s="57" t="inlineStr">
        <x:is>
          <x:t xml:space="preserve">ARG-021</x:t>
        </x:is>
      </x:c>
      <x:c r="E214" s="75" t="str">
        <x:f>INDEX('Company Universe'!$B$6:$B$105,MATCH(D214,'Company Universe'!$A$6:$A$105,0))</x:f>
        <x:v>Trane Technologies</x:v>
      </x:c>
      <x:c r="F214" s="75" t="str">
        <x:f>INDEX('Company Universe'!$C$6:$C$105,MATCH(D214,'Company Universe'!$A$6:$A$105,0))</x:f>
        <x:v>TT</x:v>
      </x:c>
      <x:c r="G214" s="75" t="str">
        <x:f>INDEX('Company Universe'!$F$6:$F$105,MATCH(D214,'Company Universe'!$A$6:$A$105,0))</x:f>
        <x:v>Power &amp; Grid</x:v>
      </x:c>
      <x:c r="H214" s="57" t="n">
        <x:v>9</x:v>
      </x:c>
      <x:c r="I214" s="206" t="n"/>
      <x:c r="J214" s="71" t="n"/>
      <x:c r="K214" s="71" t="n"/>
      <x:c r="L214" s="71" t="inlineStr">
        <x:is>
          <x:t xml:space="preserve">NO</x:t>
        </x:is>
      </x:c>
      <x:c r="M214" s="71" t="n"/>
      <x:c r="N214" s="71" t="n"/>
      <x:c r="O214" s="71" t="n"/>
      <x:c r="P214" s="71" t="n"/>
      <x:c r="Q214" s="71" t="n"/>
      <x:c r="R214" s="71" t="n"/>
      <x:c r="S214" s="206" t="n"/>
      <x:c r="T214" s="71" t="n"/>
      <x:c r="U214" s="71" t="n"/>
      <x:c r="V214" s="71" t="n"/>
      <x:c r="W214" s="71" t="n"/>
      <x:c r="X214" s="71" t="n"/>
      <x:c r="Y214" s="71" t="n"/>
      <x:c r="Z214" s="71" t="n"/>
      <x:c r="AA214" s="71" t="n"/>
      <x:c r="AB214" s="71" t="inlineStr">
        <x:is>
          <x:t xml:space="preserve">NO</x:t>
        </x:is>
      </x:c>
      <x:c r="AC214" s="57" t="inlineStr">
        <x:is>
          <x:t xml:space="preserve">V10</x:t>
        </x:is>
      </x:c>
      <x:c r="AD214" s="57" t="n"/>
      <x:c r="AE214" s="79" t="str">
        <x:f>IF(AND(I214&lt;&gt;"",J214&lt;&gt;"",K214&lt;&gt;"",L214="YES",M214&lt;&gt;"",S214&lt;&gt;"",T214&lt;&gt;"",U214&lt;&gt;"",V214&lt;&gt;"",W214&lt;&gt;"",X214&lt;&gt;"",Y214&lt;&gt;""),"COMPLETE","PENDING")</x:f>
        <x:v>PENDING</x:v>
      </x:c>
      <x:c r="AF214" s="79" t="str">
        <x:f>IF(AE214="COMPLETE","YES","NO")</x:f>
        <x:v>NO</x:v>
      </x:c>
      <x:c r="AG214" s="214" t="str">
        <x:f>IF(AF214&lt;&gt;"YES","",(IF(V214="YES",1,0)+IF(W214="YES",1,0))/2)</x:f>
      </x:c>
    </x:row>
    <x:row r="215">
      <x:c r="A215" s="57" t="inlineStr">
        <x:is>
          <x:t xml:space="preserve">C0210</x:t>
        </x:is>
      </x:c>
      <x:c r="B215" s="57" t="inlineStr">
        <x:is>
          <x:t xml:space="preserve">Development</x:t>
        </x:is>
      </x:c>
      <x:c r="C215" s="57" t="inlineStr">
        <x:is>
          <x:t xml:space="preserve">OPEN</x:t>
        </x:is>
      </x:c>
      <x:c r="D215" s="57" t="inlineStr">
        <x:is>
          <x:t xml:space="preserve">ARG-021</x:t>
        </x:is>
      </x:c>
      <x:c r="E215" s="75" t="str">
        <x:f>INDEX('Company Universe'!$B$6:$B$105,MATCH(D215,'Company Universe'!$A$6:$A$105,0))</x:f>
        <x:v>Trane Technologies</x:v>
      </x:c>
      <x:c r="F215" s="75" t="str">
        <x:f>INDEX('Company Universe'!$C$6:$C$105,MATCH(D215,'Company Universe'!$A$6:$A$105,0))</x:f>
        <x:v>TT</x:v>
      </x:c>
      <x:c r="G215" s="75" t="str">
        <x:f>INDEX('Company Universe'!$F$6:$F$105,MATCH(D215,'Company Universe'!$A$6:$A$105,0))</x:f>
        <x:v>Power &amp; Grid</x:v>
      </x:c>
      <x:c r="H215" s="57" t="n">
        <x:v>10</x:v>
      </x:c>
      <x:c r="I215" s="206" t="n"/>
      <x:c r="J215" s="71" t="n"/>
      <x:c r="K215" s="71" t="n"/>
      <x:c r="L215" s="71" t="inlineStr">
        <x:is>
          <x:t xml:space="preserve">NO</x:t>
        </x:is>
      </x:c>
      <x:c r="M215" s="71" t="n"/>
      <x:c r="N215" s="71" t="n"/>
      <x:c r="O215" s="71" t="n"/>
      <x:c r="P215" s="71" t="n"/>
      <x:c r="Q215" s="71" t="n"/>
      <x:c r="R215" s="71" t="n"/>
      <x:c r="S215" s="206" t="n"/>
      <x:c r="T215" s="71" t="n"/>
      <x:c r="U215" s="71" t="n"/>
      <x:c r="V215" s="71" t="n"/>
      <x:c r="W215" s="71" t="n"/>
      <x:c r="X215" s="71" t="n"/>
      <x:c r="Y215" s="71" t="n"/>
      <x:c r="Z215" s="71" t="n"/>
      <x:c r="AA215" s="71" t="n"/>
      <x:c r="AB215" s="71" t="inlineStr">
        <x:is>
          <x:t xml:space="preserve">NO</x:t>
        </x:is>
      </x:c>
      <x:c r="AC215" s="57" t="inlineStr">
        <x:is>
          <x:t xml:space="preserve">V10</x:t>
        </x:is>
      </x:c>
      <x:c r="AD215" s="57" t="n"/>
      <x:c r="AE215" s="79" t="str">
        <x:f>IF(AND(I215&lt;&gt;"",J215&lt;&gt;"",K215&lt;&gt;"",L215="YES",M215&lt;&gt;"",S215&lt;&gt;"",T215&lt;&gt;"",U215&lt;&gt;"",V215&lt;&gt;"",W215&lt;&gt;"",X215&lt;&gt;"",Y215&lt;&gt;""),"COMPLETE","PENDING")</x:f>
        <x:v>PENDING</x:v>
      </x:c>
      <x:c r="AF215" s="79" t="str">
        <x:f>IF(AE215="COMPLETE","YES","NO")</x:f>
        <x:v>NO</x:v>
      </x:c>
      <x:c r="AG215" s="214" t="str">
        <x:f>IF(AF215&lt;&gt;"YES","",(IF(V215="YES",1,0)+IF(W215="YES",1,0))/2)</x:f>
      </x:c>
    </x:row>
    <x:row r="216">
      <x:c r="A216" s="57" t="inlineStr">
        <x:is>
          <x:t xml:space="preserve">C0211</x:t>
        </x:is>
      </x:c>
      <x:c r="B216" s="57" t="inlineStr">
        <x:is>
          <x:t xml:space="preserve">Development</x:t>
        </x:is>
      </x:c>
      <x:c r="C216" s="57" t="inlineStr">
        <x:is>
          <x:t xml:space="preserve">OPEN</x:t>
        </x:is>
      </x:c>
      <x:c r="D216" s="57" t="inlineStr">
        <x:is>
          <x:t xml:space="preserve">ARG-022</x:t>
        </x:is>
      </x:c>
      <x:c r="E216" s="75" t="str">
        <x:f>INDEX('Company Universe'!$B$6:$B$105,MATCH(D216,'Company Universe'!$A$6:$A$105,0))</x:f>
        <x:v>International Flavors &amp; Fragrances</x:v>
      </x:c>
      <x:c r="F216" s="75" t="str">
        <x:f>INDEX('Company Universe'!$C$6:$C$105,MATCH(D216,'Company Universe'!$A$6:$A$105,0))</x:f>
        <x:v>IFF</x:v>
      </x:c>
      <x:c r="G216" s="75" t="str">
        <x:f>INDEX('Company Universe'!$F$6:$F$105,MATCH(D216,'Company Universe'!$A$6:$A$105,0))</x:f>
        <x:v>Specialty Ingredients</x:v>
      </x:c>
      <x:c r="H216" s="57" t="n">
        <x:v>1</x:v>
      </x:c>
      <x:c r="I216" s="206" t="n"/>
      <x:c r="J216" s="71" t="n"/>
      <x:c r="K216" s="71" t="n"/>
      <x:c r="L216" s="71" t="inlineStr">
        <x:is>
          <x:t xml:space="preserve">NO</x:t>
        </x:is>
      </x:c>
      <x:c r="M216" s="71" t="n"/>
      <x:c r="N216" s="71" t="n"/>
      <x:c r="O216" s="71" t="n"/>
      <x:c r="P216" s="71" t="n"/>
      <x:c r="Q216" s="71" t="n"/>
      <x:c r="R216" s="71" t="n"/>
      <x:c r="S216" s="206" t="n"/>
      <x:c r="T216" s="71" t="n"/>
      <x:c r="U216" s="71" t="n"/>
      <x:c r="V216" s="71" t="n"/>
      <x:c r="W216" s="71" t="n"/>
      <x:c r="X216" s="71" t="n"/>
      <x:c r="Y216" s="71" t="n"/>
      <x:c r="Z216" s="71" t="n"/>
      <x:c r="AA216" s="71" t="n"/>
      <x:c r="AB216" s="71" t="inlineStr">
        <x:is>
          <x:t xml:space="preserve">NO</x:t>
        </x:is>
      </x:c>
      <x:c r="AC216" s="57" t="inlineStr">
        <x:is>
          <x:t xml:space="preserve">V10</x:t>
        </x:is>
      </x:c>
      <x:c r="AD216" s="57" t="n"/>
      <x:c r="AE216" s="79" t="str">
        <x:f>IF(AND(I216&lt;&gt;"",J216&lt;&gt;"",K216&lt;&gt;"",L216="YES",M216&lt;&gt;"",S216&lt;&gt;"",T216&lt;&gt;"",U216&lt;&gt;"",V216&lt;&gt;"",W216&lt;&gt;"",X216&lt;&gt;"",Y216&lt;&gt;""),"COMPLETE","PENDING")</x:f>
        <x:v>PENDING</x:v>
      </x:c>
      <x:c r="AF216" s="79" t="str">
        <x:f>IF(AE216="COMPLETE","YES","NO")</x:f>
        <x:v>NO</x:v>
      </x:c>
      <x:c r="AG216" s="214" t="str">
        <x:f>IF(AF216&lt;&gt;"YES","",(IF(V216="YES",1,0)+IF(W216="YES",1,0))/2)</x:f>
      </x:c>
    </x:row>
    <x:row r="217">
      <x:c r="A217" s="57" t="inlineStr">
        <x:is>
          <x:t xml:space="preserve">C0212</x:t>
        </x:is>
      </x:c>
      <x:c r="B217" s="57" t="inlineStr">
        <x:is>
          <x:t xml:space="preserve">Development</x:t>
        </x:is>
      </x:c>
      <x:c r="C217" s="57" t="inlineStr">
        <x:is>
          <x:t xml:space="preserve">OPEN</x:t>
        </x:is>
      </x:c>
      <x:c r="D217" s="57" t="inlineStr">
        <x:is>
          <x:t xml:space="preserve">ARG-022</x:t>
        </x:is>
      </x:c>
      <x:c r="E217" s="75" t="str">
        <x:f>INDEX('Company Universe'!$B$6:$B$105,MATCH(D217,'Company Universe'!$A$6:$A$105,0))</x:f>
        <x:v>International Flavors &amp; Fragrances</x:v>
      </x:c>
      <x:c r="F217" s="75" t="str">
        <x:f>INDEX('Company Universe'!$C$6:$C$105,MATCH(D217,'Company Universe'!$A$6:$A$105,0))</x:f>
        <x:v>IFF</x:v>
      </x:c>
      <x:c r="G217" s="75" t="str">
        <x:f>INDEX('Company Universe'!$F$6:$F$105,MATCH(D217,'Company Universe'!$A$6:$A$105,0))</x:f>
        <x:v>Specialty Ingredients</x:v>
      </x:c>
      <x:c r="H217" s="57" t="n">
        <x:v>2</x:v>
      </x:c>
      <x:c r="I217" s="206" t="n"/>
      <x:c r="J217" s="71" t="n"/>
      <x:c r="K217" s="71" t="n"/>
      <x:c r="L217" s="71" t="inlineStr">
        <x:is>
          <x:t xml:space="preserve">NO</x:t>
        </x:is>
      </x:c>
      <x:c r="M217" s="71" t="n"/>
      <x:c r="N217" s="71" t="n"/>
      <x:c r="O217" s="71" t="n"/>
      <x:c r="P217" s="71" t="n"/>
      <x:c r="Q217" s="71" t="n"/>
      <x:c r="R217" s="71" t="n"/>
      <x:c r="S217" s="206" t="n"/>
      <x:c r="T217" s="71" t="n"/>
      <x:c r="U217" s="71" t="n"/>
      <x:c r="V217" s="71" t="n"/>
      <x:c r="W217" s="71" t="n"/>
      <x:c r="X217" s="71" t="n"/>
      <x:c r="Y217" s="71" t="n"/>
      <x:c r="Z217" s="71" t="n"/>
      <x:c r="AA217" s="71" t="n"/>
      <x:c r="AB217" s="71" t="inlineStr">
        <x:is>
          <x:t xml:space="preserve">NO</x:t>
        </x:is>
      </x:c>
      <x:c r="AC217" s="57" t="inlineStr">
        <x:is>
          <x:t xml:space="preserve">V10</x:t>
        </x:is>
      </x:c>
      <x:c r="AD217" s="57" t="n"/>
      <x:c r="AE217" s="79" t="str">
        <x:f>IF(AND(I217&lt;&gt;"",J217&lt;&gt;"",K217&lt;&gt;"",L217="YES",M217&lt;&gt;"",S217&lt;&gt;"",T217&lt;&gt;"",U217&lt;&gt;"",V217&lt;&gt;"",W217&lt;&gt;"",X217&lt;&gt;"",Y217&lt;&gt;""),"COMPLETE","PENDING")</x:f>
        <x:v>PENDING</x:v>
      </x:c>
      <x:c r="AF217" s="79" t="str">
        <x:f>IF(AE217="COMPLETE","YES","NO")</x:f>
        <x:v>NO</x:v>
      </x:c>
      <x:c r="AG217" s="214" t="str">
        <x:f>IF(AF217&lt;&gt;"YES","",(IF(V217="YES",1,0)+IF(W217="YES",1,0))/2)</x:f>
      </x:c>
    </x:row>
    <x:row r="218">
      <x:c r="A218" s="57" t="inlineStr">
        <x:is>
          <x:t xml:space="preserve">C0213</x:t>
        </x:is>
      </x:c>
      <x:c r="B218" s="57" t="inlineStr">
        <x:is>
          <x:t xml:space="preserve">Development</x:t>
        </x:is>
      </x:c>
      <x:c r="C218" s="57" t="inlineStr">
        <x:is>
          <x:t xml:space="preserve">OPEN</x:t>
        </x:is>
      </x:c>
      <x:c r="D218" s="57" t="inlineStr">
        <x:is>
          <x:t xml:space="preserve">ARG-022</x:t>
        </x:is>
      </x:c>
      <x:c r="E218" s="75" t="str">
        <x:f>INDEX('Company Universe'!$B$6:$B$105,MATCH(D218,'Company Universe'!$A$6:$A$105,0))</x:f>
        <x:v>International Flavors &amp; Fragrances</x:v>
      </x:c>
      <x:c r="F218" s="75" t="str">
        <x:f>INDEX('Company Universe'!$C$6:$C$105,MATCH(D218,'Company Universe'!$A$6:$A$105,0))</x:f>
        <x:v>IFF</x:v>
      </x:c>
      <x:c r="G218" s="75" t="str">
        <x:f>INDEX('Company Universe'!$F$6:$F$105,MATCH(D218,'Company Universe'!$A$6:$A$105,0))</x:f>
        <x:v>Specialty Ingredients</x:v>
      </x:c>
      <x:c r="H218" s="57" t="n">
        <x:v>3</x:v>
      </x:c>
      <x:c r="I218" s="206" t="n"/>
      <x:c r="J218" s="71" t="n"/>
      <x:c r="K218" s="71" t="n"/>
      <x:c r="L218" s="71" t="inlineStr">
        <x:is>
          <x:t xml:space="preserve">NO</x:t>
        </x:is>
      </x:c>
      <x:c r="M218" s="71" t="n"/>
      <x:c r="N218" s="71" t="n"/>
      <x:c r="O218" s="71" t="n"/>
      <x:c r="P218" s="71" t="n"/>
      <x:c r="Q218" s="71" t="n"/>
      <x:c r="R218" s="71" t="n"/>
      <x:c r="S218" s="206" t="n"/>
      <x:c r="T218" s="71" t="n"/>
      <x:c r="U218" s="71" t="n"/>
      <x:c r="V218" s="71" t="n"/>
      <x:c r="W218" s="71" t="n"/>
      <x:c r="X218" s="71" t="n"/>
      <x:c r="Y218" s="71" t="n"/>
      <x:c r="Z218" s="71" t="n"/>
      <x:c r="AA218" s="71" t="n"/>
      <x:c r="AB218" s="71" t="inlineStr">
        <x:is>
          <x:t xml:space="preserve">NO</x:t>
        </x:is>
      </x:c>
      <x:c r="AC218" s="57" t="inlineStr">
        <x:is>
          <x:t xml:space="preserve">V10</x:t>
        </x:is>
      </x:c>
      <x:c r="AD218" s="57" t="n"/>
      <x:c r="AE218" s="79" t="str">
        <x:f>IF(AND(I218&lt;&gt;"",J218&lt;&gt;"",K218&lt;&gt;"",L218="YES",M218&lt;&gt;"",S218&lt;&gt;"",T218&lt;&gt;"",U218&lt;&gt;"",V218&lt;&gt;"",W218&lt;&gt;"",X218&lt;&gt;"",Y218&lt;&gt;""),"COMPLETE","PENDING")</x:f>
        <x:v>PENDING</x:v>
      </x:c>
      <x:c r="AF218" s="79" t="str">
        <x:f>IF(AE218="COMPLETE","YES","NO")</x:f>
        <x:v>NO</x:v>
      </x:c>
      <x:c r="AG218" s="214" t="str">
        <x:f>IF(AF218&lt;&gt;"YES","",(IF(V218="YES",1,0)+IF(W218="YES",1,0))/2)</x:f>
      </x:c>
    </x:row>
    <x:row r="219">
      <x:c r="A219" s="57" t="inlineStr">
        <x:is>
          <x:t xml:space="preserve">C0214</x:t>
        </x:is>
      </x:c>
      <x:c r="B219" s="57" t="inlineStr">
        <x:is>
          <x:t xml:space="preserve">Development</x:t>
        </x:is>
      </x:c>
      <x:c r="C219" s="57" t="inlineStr">
        <x:is>
          <x:t xml:space="preserve">OPEN</x:t>
        </x:is>
      </x:c>
      <x:c r="D219" s="57" t="inlineStr">
        <x:is>
          <x:t xml:space="preserve">ARG-022</x:t>
        </x:is>
      </x:c>
      <x:c r="E219" s="75" t="str">
        <x:f>INDEX('Company Universe'!$B$6:$B$105,MATCH(D219,'Company Universe'!$A$6:$A$105,0))</x:f>
        <x:v>International Flavors &amp; Fragrances</x:v>
      </x:c>
      <x:c r="F219" s="75" t="str">
        <x:f>INDEX('Company Universe'!$C$6:$C$105,MATCH(D219,'Company Universe'!$A$6:$A$105,0))</x:f>
        <x:v>IFF</x:v>
      </x:c>
      <x:c r="G219" s="75" t="str">
        <x:f>INDEX('Company Universe'!$F$6:$F$105,MATCH(D219,'Company Universe'!$A$6:$A$105,0))</x:f>
        <x:v>Specialty Ingredients</x:v>
      </x:c>
      <x:c r="H219" s="57" t="n">
        <x:v>4</x:v>
      </x:c>
      <x:c r="I219" s="206" t="n"/>
      <x:c r="J219" s="71" t="n"/>
      <x:c r="K219" s="71" t="n"/>
      <x:c r="L219" s="71" t="inlineStr">
        <x:is>
          <x:t xml:space="preserve">NO</x:t>
        </x:is>
      </x:c>
      <x:c r="M219" s="71" t="n"/>
      <x:c r="N219" s="71" t="n"/>
      <x:c r="O219" s="71" t="n"/>
      <x:c r="P219" s="71" t="n"/>
      <x:c r="Q219" s="71" t="n"/>
      <x:c r="R219" s="71" t="n"/>
      <x:c r="S219" s="206" t="n"/>
      <x:c r="T219" s="71" t="n"/>
      <x:c r="U219" s="71" t="n"/>
      <x:c r="V219" s="71" t="n"/>
      <x:c r="W219" s="71" t="n"/>
      <x:c r="X219" s="71" t="n"/>
      <x:c r="Y219" s="71" t="n"/>
      <x:c r="Z219" s="71" t="n"/>
      <x:c r="AA219" s="71" t="n"/>
      <x:c r="AB219" s="71" t="inlineStr">
        <x:is>
          <x:t xml:space="preserve">NO</x:t>
        </x:is>
      </x:c>
      <x:c r="AC219" s="57" t="inlineStr">
        <x:is>
          <x:t xml:space="preserve">V10</x:t>
        </x:is>
      </x:c>
      <x:c r="AD219" s="57" t="n"/>
      <x:c r="AE219" s="79" t="str">
        <x:f>IF(AND(I219&lt;&gt;"",J219&lt;&gt;"",K219&lt;&gt;"",L219="YES",M219&lt;&gt;"",S219&lt;&gt;"",T219&lt;&gt;"",U219&lt;&gt;"",V219&lt;&gt;"",W219&lt;&gt;"",X219&lt;&gt;"",Y219&lt;&gt;""),"COMPLETE","PENDING")</x:f>
        <x:v>PENDING</x:v>
      </x:c>
      <x:c r="AF219" s="79" t="str">
        <x:f>IF(AE219="COMPLETE","YES","NO")</x:f>
        <x:v>NO</x:v>
      </x:c>
      <x:c r="AG219" s="214" t="str">
        <x:f>IF(AF219&lt;&gt;"YES","",(IF(V219="YES",1,0)+IF(W219="YES",1,0))/2)</x:f>
      </x:c>
    </x:row>
    <x:row r="220">
      <x:c r="A220" s="57" t="inlineStr">
        <x:is>
          <x:t xml:space="preserve">C0215</x:t>
        </x:is>
      </x:c>
      <x:c r="B220" s="57" t="inlineStr">
        <x:is>
          <x:t xml:space="preserve">Development</x:t>
        </x:is>
      </x:c>
      <x:c r="C220" s="57" t="inlineStr">
        <x:is>
          <x:t xml:space="preserve">OPEN</x:t>
        </x:is>
      </x:c>
      <x:c r="D220" s="57" t="inlineStr">
        <x:is>
          <x:t xml:space="preserve">ARG-022</x:t>
        </x:is>
      </x:c>
      <x:c r="E220" s="75" t="str">
        <x:f>INDEX('Company Universe'!$B$6:$B$105,MATCH(D220,'Company Universe'!$A$6:$A$105,0))</x:f>
        <x:v>International Flavors &amp; Fragrances</x:v>
      </x:c>
      <x:c r="F220" s="75" t="str">
        <x:f>INDEX('Company Universe'!$C$6:$C$105,MATCH(D220,'Company Universe'!$A$6:$A$105,0))</x:f>
        <x:v>IFF</x:v>
      </x:c>
      <x:c r="G220" s="75" t="str">
        <x:f>INDEX('Company Universe'!$F$6:$F$105,MATCH(D220,'Company Universe'!$A$6:$A$105,0))</x:f>
        <x:v>Specialty Ingredients</x:v>
      </x:c>
      <x:c r="H220" s="57" t="n">
        <x:v>5</x:v>
      </x:c>
      <x:c r="I220" s="206" t="n"/>
      <x:c r="J220" s="71" t="n"/>
      <x:c r="K220" s="71" t="n"/>
      <x:c r="L220" s="71" t="inlineStr">
        <x:is>
          <x:t xml:space="preserve">NO</x:t>
        </x:is>
      </x:c>
      <x:c r="M220" s="71" t="n"/>
      <x:c r="N220" s="71" t="n"/>
      <x:c r="O220" s="71" t="n"/>
      <x:c r="P220" s="71" t="n"/>
      <x:c r="Q220" s="71" t="n"/>
      <x:c r="R220" s="71" t="n"/>
      <x:c r="S220" s="206" t="n"/>
      <x:c r="T220" s="71" t="n"/>
      <x:c r="U220" s="71" t="n"/>
      <x:c r="V220" s="71" t="n"/>
      <x:c r="W220" s="71" t="n"/>
      <x:c r="X220" s="71" t="n"/>
      <x:c r="Y220" s="71" t="n"/>
      <x:c r="Z220" s="71" t="n"/>
      <x:c r="AA220" s="71" t="n"/>
      <x:c r="AB220" s="71" t="inlineStr">
        <x:is>
          <x:t xml:space="preserve">NO</x:t>
        </x:is>
      </x:c>
      <x:c r="AC220" s="57" t="inlineStr">
        <x:is>
          <x:t xml:space="preserve">V10</x:t>
        </x:is>
      </x:c>
      <x:c r="AD220" s="57" t="n"/>
      <x:c r="AE220" s="79" t="str">
        <x:f>IF(AND(I220&lt;&gt;"",J220&lt;&gt;"",K220&lt;&gt;"",L220="YES",M220&lt;&gt;"",S220&lt;&gt;"",T220&lt;&gt;"",U220&lt;&gt;"",V220&lt;&gt;"",W220&lt;&gt;"",X220&lt;&gt;"",Y220&lt;&gt;""),"COMPLETE","PENDING")</x:f>
        <x:v>PENDING</x:v>
      </x:c>
      <x:c r="AF220" s="79" t="str">
        <x:f>IF(AE220="COMPLETE","YES","NO")</x:f>
        <x:v>NO</x:v>
      </x:c>
      <x:c r="AG220" s="214" t="str">
        <x:f>IF(AF220&lt;&gt;"YES","",(IF(V220="YES",1,0)+IF(W220="YES",1,0))/2)</x:f>
      </x:c>
    </x:row>
    <x:row r="221">
      <x:c r="A221" s="57" t="inlineStr">
        <x:is>
          <x:t xml:space="preserve">C0216</x:t>
        </x:is>
      </x:c>
      <x:c r="B221" s="57" t="inlineStr">
        <x:is>
          <x:t xml:space="preserve">Development</x:t>
        </x:is>
      </x:c>
      <x:c r="C221" s="57" t="inlineStr">
        <x:is>
          <x:t xml:space="preserve">OPEN</x:t>
        </x:is>
      </x:c>
      <x:c r="D221" s="57" t="inlineStr">
        <x:is>
          <x:t xml:space="preserve">ARG-022</x:t>
        </x:is>
      </x:c>
      <x:c r="E221" s="75" t="str">
        <x:f>INDEX('Company Universe'!$B$6:$B$105,MATCH(D221,'Company Universe'!$A$6:$A$105,0))</x:f>
        <x:v>International Flavors &amp; Fragrances</x:v>
      </x:c>
      <x:c r="F221" s="75" t="str">
        <x:f>INDEX('Company Universe'!$C$6:$C$105,MATCH(D221,'Company Universe'!$A$6:$A$105,0))</x:f>
        <x:v>IFF</x:v>
      </x:c>
      <x:c r="G221" s="75" t="str">
        <x:f>INDEX('Company Universe'!$F$6:$F$105,MATCH(D221,'Company Universe'!$A$6:$A$105,0))</x:f>
        <x:v>Specialty Ingredients</x:v>
      </x:c>
      <x:c r="H221" s="57" t="n">
        <x:v>6</x:v>
      </x:c>
      <x:c r="I221" s="206" t="n"/>
      <x:c r="J221" s="71" t="n"/>
      <x:c r="K221" s="71" t="n"/>
      <x:c r="L221" s="71" t="inlineStr">
        <x:is>
          <x:t xml:space="preserve">NO</x:t>
        </x:is>
      </x:c>
      <x:c r="M221" s="71" t="n"/>
      <x:c r="N221" s="71" t="n"/>
      <x:c r="O221" s="71" t="n"/>
      <x:c r="P221" s="71" t="n"/>
      <x:c r="Q221" s="71" t="n"/>
      <x:c r="R221" s="71" t="n"/>
      <x:c r="S221" s="206" t="n"/>
      <x:c r="T221" s="71" t="n"/>
      <x:c r="U221" s="71" t="n"/>
      <x:c r="V221" s="71" t="n"/>
      <x:c r="W221" s="71" t="n"/>
      <x:c r="X221" s="71" t="n"/>
      <x:c r="Y221" s="71" t="n"/>
      <x:c r="Z221" s="71" t="n"/>
      <x:c r="AA221" s="71" t="n"/>
      <x:c r="AB221" s="71" t="inlineStr">
        <x:is>
          <x:t xml:space="preserve">NO</x:t>
        </x:is>
      </x:c>
      <x:c r="AC221" s="57" t="inlineStr">
        <x:is>
          <x:t xml:space="preserve">V10</x:t>
        </x:is>
      </x:c>
      <x:c r="AD221" s="57" t="n"/>
      <x:c r="AE221" s="79" t="str">
        <x:f>IF(AND(I221&lt;&gt;"",J221&lt;&gt;"",K221&lt;&gt;"",L221="YES",M221&lt;&gt;"",S221&lt;&gt;"",T221&lt;&gt;"",U221&lt;&gt;"",V221&lt;&gt;"",W221&lt;&gt;"",X221&lt;&gt;"",Y221&lt;&gt;""),"COMPLETE","PENDING")</x:f>
        <x:v>PENDING</x:v>
      </x:c>
      <x:c r="AF221" s="79" t="str">
        <x:f>IF(AE221="COMPLETE","YES","NO")</x:f>
        <x:v>NO</x:v>
      </x:c>
      <x:c r="AG221" s="214" t="str">
        <x:f>IF(AF221&lt;&gt;"YES","",(IF(V221="YES",1,0)+IF(W221="YES",1,0))/2)</x:f>
      </x:c>
    </x:row>
    <x:row r="222">
      <x:c r="A222" s="57" t="inlineStr">
        <x:is>
          <x:t xml:space="preserve">C0217</x:t>
        </x:is>
      </x:c>
      <x:c r="B222" s="57" t="inlineStr">
        <x:is>
          <x:t xml:space="preserve">Development</x:t>
        </x:is>
      </x:c>
      <x:c r="C222" s="57" t="inlineStr">
        <x:is>
          <x:t xml:space="preserve">OPEN</x:t>
        </x:is>
      </x:c>
      <x:c r="D222" s="57" t="inlineStr">
        <x:is>
          <x:t xml:space="preserve">ARG-022</x:t>
        </x:is>
      </x:c>
      <x:c r="E222" s="75" t="str">
        <x:f>INDEX('Company Universe'!$B$6:$B$105,MATCH(D222,'Company Universe'!$A$6:$A$105,0))</x:f>
        <x:v>International Flavors &amp; Fragrances</x:v>
      </x:c>
      <x:c r="F222" s="75" t="str">
        <x:f>INDEX('Company Universe'!$C$6:$C$105,MATCH(D222,'Company Universe'!$A$6:$A$105,0))</x:f>
        <x:v>IFF</x:v>
      </x:c>
      <x:c r="G222" s="75" t="str">
        <x:f>INDEX('Company Universe'!$F$6:$F$105,MATCH(D222,'Company Universe'!$A$6:$A$105,0))</x:f>
        <x:v>Specialty Ingredients</x:v>
      </x:c>
      <x:c r="H222" s="57" t="n">
        <x:v>7</x:v>
      </x:c>
      <x:c r="I222" s="206" t="n"/>
      <x:c r="J222" s="71" t="n"/>
      <x:c r="K222" s="71" t="n"/>
      <x:c r="L222" s="71" t="inlineStr">
        <x:is>
          <x:t xml:space="preserve">NO</x:t>
        </x:is>
      </x:c>
      <x:c r="M222" s="71" t="n"/>
      <x:c r="N222" s="71" t="n"/>
      <x:c r="O222" s="71" t="n"/>
      <x:c r="P222" s="71" t="n"/>
      <x:c r="Q222" s="71" t="n"/>
      <x:c r="R222" s="71" t="n"/>
      <x:c r="S222" s="206" t="n"/>
      <x:c r="T222" s="71" t="n"/>
      <x:c r="U222" s="71" t="n"/>
      <x:c r="V222" s="71" t="n"/>
      <x:c r="W222" s="71" t="n"/>
      <x:c r="X222" s="71" t="n"/>
      <x:c r="Y222" s="71" t="n"/>
      <x:c r="Z222" s="71" t="n"/>
      <x:c r="AA222" s="71" t="n"/>
      <x:c r="AB222" s="71" t="inlineStr">
        <x:is>
          <x:t xml:space="preserve">NO</x:t>
        </x:is>
      </x:c>
      <x:c r="AC222" s="57" t="inlineStr">
        <x:is>
          <x:t xml:space="preserve">V10</x:t>
        </x:is>
      </x:c>
      <x:c r="AD222" s="57" t="n"/>
      <x:c r="AE222" s="79" t="str">
        <x:f>IF(AND(I222&lt;&gt;"",J222&lt;&gt;"",K222&lt;&gt;"",L222="YES",M222&lt;&gt;"",S222&lt;&gt;"",T222&lt;&gt;"",U222&lt;&gt;"",V222&lt;&gt;"",W222&lt;&gt;"",X222&lt;&gt;"",Y222&lt;&gt;""),"COMPLETE","PENDING")</x:f>
        <x:v>PENDING</x:v>
      </x:c>
      <x:c r="AF222" s="79" t="str">
        <x:f>IF(AE222="COMPLETE","YES","NO")</x:f>
        <x:v>NO</x:v>
      </x:c>
      <x:c r="AG222" s="214" t="str">
        <x:f>IF(AF222&lt;&gt;"YES","",(IF(V222="YES",1,0)+IF(W222="YES",1,0))/2)</x:f>
      </x:c>
    </x:row>
    <x:row r="223">
      <x:c r="A223" s="57" t="inlineStr">
        <x:is>
          <x:t xml:space="preserve">C0218</x:t>
        </x:is>
      </x:c>
      <x:c r="B223" s="57" t="inlineStr">
        <x:is>
          <x:t xml:space="preserve">Development</x:t>
        </x:is>
      </x:c>
      <x:c r="C223" s="57" t="inlineStr">
        <x:is>
          <x:t xml:space="preserve">OPEN</x:t>
        </x:is>
      </x:c>
      <x:c r="D223" s="57" t="inlineStr">
        <x:is>
          <x:t xml:space="preserve">ARG-022</x:t>
        </x:is>
      </x:c>
      <x:c r="E223" s="75" t="str">
        <x:f>INDEX('Company Universe'!$B$6:$B$105,MATCH(D223,'Company Universe'!$A$6:$A$105,0))</x:f>
        <x:v>International Flavors &amp; Fragrances</x:v>
      </x:c>
      <x:c r="F223" s="75" t="str">
        <x:f>INDEX('Company Universe'!$C$6:$C$105,MATCH(D223,'Company Universe'!$A$6:$A$105,0))</x:f>
        <x:v>IFF</x:v>
      </x:c>
      <x:c r="G223" s="75" t="str">
        <x:f>INDEX('Company Universe'!$F$6:$F$105,MATCH(D223,'Company Universe'!$A$6:$A$105,0))</x:f>
        <x:v>Specialty Ingredients</x:v>
      </x:c>
      <x:c r="H223" s="57" t="n">
        <x:v>8</x:v>
      </x:c>
      <x:c r="I223" s="206" t="n"/>
      <x:c r="J223" s="71" t="n"/>
      <x:c r="K223" s="71" t="n"/>
      <x:c r="L223" s="71" t="inlineStr">
        <x:is>
          <x:t xml:space="preserve">NO</x:t>
        </x:is>
      </x:c>
      <x:c r="M223" s="71" t="n"/>
      <x:c r="N223" s="71" t="n"/>
      <x:c r="O223" s="71" t="n"/>
      <x:c r="P223" s="71" t="n"/>
      <x:c r="Q223" s="71" t="n"/>
      <x:c r="R223" s="71" t="n"/>
      <x:c r="S223" s="206" t="n"/>
      <x:c r="T223" s="71" t="n"/>
      <x:c r="U223" s="71" t="n"/>
      <x:c r="V223" s="71" t="n"/>
      <x:c r="W223" s="71" t="n"/>
      <x:c r="X223" s="71" t="n"/>
      <x:c r="Y223" s="71" t="n"/>
      <x:c r="Z223" s="71" t="n"/>
      <x:c r="AA223" s="71" t="n"/>
      <x:c r="AB223" s="71" t="inlineStr">
        <x:is>
          <x:t xml:space="preserve">NO</x:t>
        </x:is>
      </x:c>
      <x:c r="AC223" s="57" t="inlineStr">
        <x:is>
          <x:t xml:space="preserve">V10</x:t>
        </x:is>
      </x:c>
      <x:c r="AD223" s="57" t="n"/>
      <x:c r="AE223" s="79" t="str">
        <x:f>IF(AND(I223&lt;&gt;"",J223&lt;&gt;"",K223&lt;&gt;"",L223="YES",M223&lt;&gt;"",S223&lt;&gt;"",T223&lt;&gt;"",U223&lt;&gt;"",V223&lt;&gt;"",W223&lt;&gt;"",X223&lt;&gt;"",Y223&lt;&gt;""),"COMPLETE","PENDING")</x:f>
        <x:v>PENDING</x:v>
      </x:c>
      <x:c r="AF223" s="79" t="str">
        <x:f>IF(AE223="COMPLETE","YES","NO")</x:f>
        <x:v>NO</x:v>
      </x:c>
      <x:c r="AG223" s="214" t="str">
        <x:f>IF(AF223&lt;&gt;"YES","",(IF(V223="YES",1,0)+IF(W223="YES",1,0))/2)</x:f>
      </x:c>
    </x:row>
    <x:row r="224">
      <x:c r="A224" s="57" t="inlineStr">
        <x:is>
          <x:t xml:space="preserve">C0219</x:t>
        </x:is>
      </x:c>
      <x:c r="B224" s="57" t="inlineStr">
        <x:is>
          <x:t xml:space="preserve">Development</x:t>
        </x:is>
      </x:c>
      <x:c r="C224" s="57" t="inlineStr">
        <x:is>
          <x:t xml:space="preserve">OPEN</x:t>
        </x:is>
      </x:c>
      <x:c r="D224" s="57" t="inlineStr">
        <x:is>
          <x:t xml:space="preserve">ARG-022</x:t>
        </x:is>
      </x:c>
      <x:c r="E224" s="75" t="str">
        <x:f>INDEX('Company Universe'!$B$6:$B$105,MATCH(D224,'Company Universe'!$A$6:$A$105,0))</x:f>
        <x:v>International Flavors &amp; Fragrances</x:v>
      </x:c>
      <x:c r="F224" s="75" t="str">
        <x:f>INDEX('Company Universe'!$C$6:$C$105,MATCH(D224,'Company Universe'!$A$6:$A$105,0))</x:f>
        <x:v>IFF</x:v>
      </x:c>
      <x:c r="G224" s="75" t="str">
        <x:f>INDEX('Company Universe'!$F$6:$F$105,MATCH(D224,'Company Universe'!$A$6:$A$105,0))</x:f>
        <x:v>Specialty Ingredients</x:v>
      </x:c>
      <x:c r="H224" s="57" t="n">
        <x:v>9</x:v>
      </x:c>
      <x:c r="I224" s="206" t="n"/>
      <x:c r="J224" s="71" t="n"/>
      <x:c r="K224" s="71" t="n"/>
      <x:c r="L224" s="71" t="inlineStr">
        <x:is>
          <x:t xml:space="preserve">NO</x:t>
        </x:is>
      </x:c>
      <x:c r="M224" s="71" t="n"/>
      <x:c r="N224" s="71" t="n"/>
      <x:c r="O224" s="71" t="n"/>
      <x:c r="P224" s="71" t="n"/>
      <x:c r="Q224" s="71" t="n"/>
      <x:c r="R224" s="71" t="n"/>
      <x:c r="S224" s="206" t="n"/>
      <x:c r="T224" s="71" t="n"/>
      <x:c r="U224" s="71" t="n"/>
      <x:c r="V224" s="71" t="n"/>
      <x:c r="W224" s="71" t="n"/>
      <x:c r="X224" s="71" t="n"/>
      <x:c r="Y224" s="71" t="n"/>
      <x:c r="Z224" s="71" t="n"/>
      <x:c r="AA224" s="71" t="n"/>
      <x:c r="AB224" s="71" t="inlineStr">
        <x:is>
          <x:t xml:space="preserve">NO</x:t>
        </x:is>
      </x:c>
      <x:c r="AC224" s="57" t="inlineStr">
        <x:is>
          <x:t xml:space="preserve">V10</x:t>
        </x:is>
      </x:c>
      <x:c r="AD224" s="57" t="n"/>
      <x:c r="AE224" s="79" t="str">
        <x:f>IF(AND(I224&lt;&gt;"",J224&lt;&gt;"",K224&lt;&gt;"",L224="YES",M224&lt;&gt;"",S224&lt;&gt;"",T224&lt;&gt;"",U224&lt;&gt;"",V224&lt;&gt;"",W224&lt;&gt;"",X224&lt;&gt;"",Y224&lt;&gt;""),"COMPLETE","PENDING")</x:f>
        <x:v>PENDING</x:v>
      </x:c>
      <x:c r="AF224" s="79" t="str">
        <x:f>IF(AE224="COMPLETE","YES","NO")</x:f>
        <x:v>NO</x:v>
      </x:c>
      <x:c r="AG224" s="214" t="str">
        <x:f>IF(AF224&lt;&gt;"YES","",(IF(V224="YES",1,0)+IF(W224="YES",1,0))/2)</x:f>
      </x:c>
    </x:row>
    <x:row r="225">
      <x:c r="A225" s="57" t="inlineStr">
        <x:is>
          <x:t xml:space="preserve">C0220</x:t>
        </x:is>
      </x:c>
      <x:c r="B225" s="57" t="inlineStr">
        <x:is>
          <x:t xml:space="preserve">Development</x:t>
        </x:is>
      </x:c>
      <x:c r="C225" s="57" t="inlineStr">
        <x:is>
          <x:t xml:space="preserve">OPEN</x:t>
        </x:is>
      </x:c>
      <x:c r="D225" s="57" t="inlineStr">
        <x:is>
          <x:t xml:space="preserve">ARG-022</x:t>
        </x:is>
      </x:c>
      <x:c r="E225" s="75" t="str">
        <x:f>INDEX('Company Universe'!$B$6:$B$105,MATCH(D225,'Company Universe'!$A$6:$A$105,0))</x:f>
        <x:v>International Flavors &amp; Fragrances</x:v>
      </x:c>
      <x:c r="F225" s="75" t="str">
        <x:f>INDEX('Company Universe'!$C$6:$C$105,MATCH(D225,'Company Universe'!$A$6:$A$105,0))</x:f>
        <x:v>IFF</x:v>
      </x:c>
      <x:c r="G225" s="75" t="str">
        <x:f>INDEX('Company Universe'!$F$6:$F$105,MATCH(D225,'Company Universe'!$A$6:$A$105,0))</x:f>
        <x:v>Specialty Ingredients</x:v>
      </x:c>
      <x:c r="H225" s="57" t="n">
        <x:v>10</x:v>
      </x:c>
      <x:c r="I225" s="206" t="n"/>
      <x:c r="J225" s="71" t="n"/>
      <x:c r="K225" s="71" t="n"/>
      <x:c r="L225" s="71" t="inlineStr">
        <x:is>
          <x:t xml:space="preserve">NO</x:t>
        </x:is>
      </x:c>
      <x:c r="M225" s="71" t="n"/>
      <x:c r="N225" s="71" t="n"/>
      <x:c r="O225" s="71" t="n"/>
      <x:c r="P225" s="71" t="n"/>
      <x:c r="Q225" s="71" t="n"/>
      <x:c r="R225" s="71" t="n"/>
      <x:c r="S225" s="206" t="n"/>
      <x:c r="T225" s="71" t="n"/>
      <x:c r="U225" s="71" t="n"/>
      <x:c r="V225" s="71" t="n"/>
      <x:c r="W225" s="71" t="n"/>
      <x:c r="X225" s="71" t="n"/>
      <x:c r="Y225" s="71" t="n"/>
      <x:c r="Z225" s="71" t="n"/>
      <x:c r="AA225" s="71" t="n"/>
      <x:c r="AB225" s="71" t="inlineStr">
        <x:is>
          <x:t xml:space="preserve">NO</x:t>
        </x:is>
      </x:c>
      <x:c r="AC225" s="57" t="inlineStr">
        <x:is>
          <x:t xml:space="preserve">V10</x:t>
        </x:is>
      </x:c>
      <x:c r="AD225" s="57" t="n"/>
      <x:c r="AE225" s="79" t="str">
        <x:f>IF(AND(I225&lt;&gt;"",J225&lt;&gt;"",K225&lt;&gt;"",L225="YES",M225&lt;&gt;"",S225&lt;&gt;"",T225&lt;&gt;"",U225&lt;&gt;"",V225&lt;&gt;"",W225&lt;&gt;"",X225&lt;&gt;"",Y225&lt;&gt;""),"COMPLETE","PENDING")</x:f>
        <x:v>PENDING</x:v>
      </x:c>
      <x:c r="AF225" s="79" t="str">
        <x:f>IF(AE225="COMPLETE","YES","NO")</x:f>
        <x:v>NO</x:v>
      </x:c>
      <x:c r="AG225" s="214" t="str">
        <x:f>IF(AF225&lt;&gt;"YES","",(IF(V225="YES",1,0)+IF(W225="YES",1,0))/2)</x:f>
      </x:c>
    </x:row>
    <x:row r="226">
      <x:c r="A226" s="57" t="inlineStr">
        <x:is>
          <x:t xml:space="preserve">C0221</x:t>
        </x:is>
      </x:c>
      <x:c r="B226" s="57" t="inlineStr">
        <x:is>
          <x:t xml:space="preserve">Development</x:t>
        </x:is>
      </x:c>
      <x:c r="C226" s="57" t="inlineStr">
        <x:is>
          <x:t xml:space="preserve">OPEN</x:t>
        </x:is>
      </x:c>
      <x:c r="D226" s="57" t="inlineStr">
        <x:is>
          <x:t xml:space="preserve">ARG-023</x:t>
        </x:is>
      </x:c>
      <x:c r="E226" s="75" t="str">
        <x:f>INDEX('Company Universe'!$B$6:$B$105,MATCH(D226,'Company Universe'!$A$6:$A$105,0))</x:f>
        <x:v>Givaudan</x:v>
      </x:c>
      <x:c r="F226" s="75" t="str">
        <x:f>INDEX('Company Universe'!$C$6:$C$105,MATCH(D226,'Company Universe'!$A$6:$A$105,0))</x:f>
        <x:v>GIVN.SW</x:v>
      </x:c>
      <x:c r="G226" s="75" t="str">
        <x:f>INDEX('Company Universe'!$F$6:$F$105,MATCH(D226,'Company Universe'!$A$6:$A$105,0))</x:f>
        <x:v>Specialty Ingredients</x:v>
      </x:c>
      <x:c r="H226" s="57" t="n">
        <x:v>1</x:v>
      </x:c>
      <x:c r="I226" s="206" t="n"/>
      <x:c r="J226" s="71" t="n"/>
      <x:c r="K226" s="71" t="n"/>
      <x:c r="L226" s="71" t="inlineStr">
        <x:is>
          <x:t xml:space="preserve">NO</x:t>
        </x:is>
      </x:c>
      <x:c r="M226" s="71" t="n"/>
      <x:c r="N226" s="71" t="n"/>
      <x:c r="O226" s="71" t="n"/>
      <x:c r="P226" s="71" t="n"/>
      <x:c r="Q226" s="71" t="n"/>
      <x:c r="R226" s="71" t="n"/>
      <x:c r="S226" s="206" t="n"/>
      <x:c r="T226" s="71" t="n"/>
      <x:c r="U226" s="71" t="n"/>
      <x:c r="V226" s="71" t="n"/>
      <x:c r="W226" s="71" t="n"/>
      <x:c r="X226" s="71" t="n"/>
      <x:c r="Y226" s="71" t="n"/>
      <x:c r="Z226" s="71" t="n"/>
      <x:c r="AA226" s="71" t="n"/>
      <x:c r="AB226" s="71" t="inlineStr">
        <x:is>
          <x:t xml:space="preserve">NO</x:t>
        </x:is>
      </x:c>
      <x:c r="AC226" s="57" t="inlineStr">
        <x:is>
          <x:t xml:space="preserve">V10</x:t>
        </x:is>
      </x:c>
      <x:c r="AD226" s="57" t="n"/>
      <x:c r="AE226" s="79" t="str">
        <x:f>IF(AND(I226&lt;&gt;"",J226&lt;&gt;"",K226&lt;&gt;"",L226="YES",M226&lt;&gt;"",S226&lt;&gt;"",T226&lt;&gt;"",U226&lt;&gt;"",V226&lt;&gt;"",W226&lt;&gt;"",X226&lt;&gt;"",Y226&lt;&gt;""),"COMPLETE","PENDING")</x:f>
        <x:v>PENDING</x:v>
      </x:c>
      <x:c r="AF226" s="79" t="str">
        <x:f>IF(AE226="COMPLETE","YES","NO")</x:f>
        <x:v>NO</x:v>
      </x:c>
      <x:c r="AG226" s="214" t="str">
        <x:f>IF(AF226&lt;&gt;"YES","",(IF(V226="YES",1,0)+IF(W226="YES",1,0))/2)</x:f>
      </x:c>
    </x:row>
    <x:row r="227">
      <x:c r="A227" s="57" t="inlineStr">
        <x:is>
          <x:t xml:space="preserve">C0222</x:t>
        </x:is>
      </x:c>
      <x:c r="B227" s="57" t="inlineStr">
        <x:is>
          <x:t xml:space="preserve">Development</x:t>
        </x:is>
      </x:c>
      <x:c r="C227" s="57" t="inlineStr">
        <x:is>
          <x:t xml:space="preserve">OPEN</x:t>
        </x:is>
      </x:c>
      <x:c r="D227" s="57" t="inlineStr">
        <x:is>
          <x:t xml:space="preserve">ARG-023</x:t>
        </x:is>
      </x:c>
      <x:c r="E227" s="75" t="str">
        <x:f>INDEX('Company Universe'!$B$6:$B$105,MATCH(D227,'Company Universe'!$A$6:$A$105,0))</x:f>
        <x:v>Givaudan</x:v>
      </x:c>
      <x:c r="F227" s="75" t="str">
        <x:f>INDEX('Company Universe'!$C$6:$C$105,MATCH(D227,'Company Universe'!$A$6:$A$105,0))</x:f>
        <x:v>GIVN.SW</x:v>
      </x:c>
      <x:c r="G227" s="75" t="str">
        <x:f>INDEX('Company Universe'!$F$6:$F$105,MATCH(D227,'Company Universe'!$A$6:$A$105,0))</x:f>
        <x:v>Specialty Ingredients</x:v>
      </x:c>
      <x:c r="H227" s="57" t="n">
        <x:v>2</x:v>
      </x:c>
      <x:c r="I227" s="206" t="n"/>
      <x:c r="J227" s="71" t="n"/>
      <x:c r="K227" s="71" t="n"/>
      <x:c r="L227" s="71" t="inlineStr">
        <x:is>
          <x:t xml:space="preserve">NO</x:t>
        </x:is>
      </x:c>
      <x:c r="M227" s="71" t="n"/>
      <x:c r="N227" s="71" t="n"/>
      <x:c r="O227" s="71" t="n"/>
      <x:c r="P227" s="71" t="n"/>
      <x:c r="Q227" s="71" t="n"/>
      <x:c r="R227" s="71" t="n"/>
      <x:c r="S227" s="206" t="n"/>
      <x:c r="T227" s="71" t="n"/>
      <x:c r="U227" s="71" t="n"/>
      <x:c r="V227" s="71" t="n"/>
      <x:c r="W227" s="71" t="n"/>
      <x:c r="X227" s="71" t="n"/>
      <x:c r="Y227" s="71" t="n"/>
      <x:c r="Z227" s="71" t="n"/>
      <x:c r="AA227" s="71" t="n"/>
      <x:c r="AB227" s="71" t="inlineStr">
        <x:is>
          <x:t xml:space="preserve">NO</x:t>
        </x:is>
      </x:c>
      <x:c r="AC227" s="57" t="inlineStr">
        <x:is>
          <x:t xml:space="preserve">V10</x:t>
        </x:is>
      </x:c>
      <x:c r="AD227" s="57" t="n"/>
      <x:c r="AE227" s="79" t="str">
        <x:f>IF(AND(I227&lt;&gt;"",J227&lt;&gt;"",K227&lt;&gt;"",L227="YES",M227&lt;&gt;"",S227&lt;&gt;"",T227&lt;&gt;"",U227&lt;&gt;"",V227&lt;&gt;"",W227&lt;&gt;"",X227&lt;&gt;"",Y227&lt;&gt;""),"COMPLETE","PENDING")</x:f>
        <x:v>PENDING</x:v>
      </x:c>
      <x:c r="AF227" s="79" t="str">
        <x:f>IF(AE227="COMPLETE","YES","NO")</x:f>
        <x:v>NO</x:v>
      </x:c>
      <x:c r="AG227" s="214" t="str">
        <x:f>IF(AF227&lt;&gt;"YES","",(IF(V227="YES",1,0)+IF(W227="YES",1,0))/2)</x:f>
      </x:c>
    </x:row>
    <x:row r="228">
      <x:c r="A228" s="57" t="inlineStr">
        <x:is>
          <x:t xml:space="preserve">C0223</x:t>
        </x:is>
      </x:c>
      <x:c r="B228" s="57" t="inlineStr">
        <x:is>
          <x:t xml:space="preserve">Development</x:t>
        </x:is>
      </x:c>
      <x:c r="C228" s="57" t="inlineStr">
        <x:is>
          <x:t xml:space="preserve">OPEN</x:t>
        </x:is>
      </x:c>
      <x:c r="D228" s="57" t="inlineStr">
        <x:is>
          <x:t xml:space="preserve">ARG-023</x:t>
        </x:is>
      </x:c>
      <x:c r="E228" s="75" t="str">
        <x:f>INDEX('Company Universe'!$B$6:$B$105,MATCH(D228,'Company Universe'!$A$6:$A$105,0))</x:f>
        <x:v>Givaudan</x:v>
      </x:c>
      <x:c r="F228" s="75" t="str">
        <x:f>INDEX('Company Universe'!$C$6:$C$105,MATCH(D228,'Company Universe'!$A$6:$A$105,0))</x:f>
        <x:v>GIVN.SW</x:v>
      </x:c>
      <x:c r="G228" s="75" t="str">
        <x:f>INDEX('Company Universe'!$F$6:$F$105,MATCH(D228,'Company Universe'!$A$6:$A$105,0))</x:f>
        <x:v>Specialty Ingredients</x:v>
      </x:c>
      <x:c r="H228" s="57" t="n">
        <x:v>3</x:v>
      </x:c>
      <x:c r="I228" s="206" t="n"/>
      <x:c r="J228" s="71" t="n"/>
      <x:c r="K228" s="71" t="n"/>
      <x:c r="L228" s="71" t="inlineStr">
        <x:is>
          <x:t xml:space="preserve">NO</x:t>
        </x:is>
      </x:c>
      <x:c r="M228" s="71" t="n"/>
      <x:c r="N228" s="71" t="n"/>
      <x:c r="O228" s="71" t="n"/>
      <x:c r="P228" s="71" t="n"/>
      <x:c r="Q228" s="71" t="n"/>
      <x:c r="R228" s="71" t="n"/>
      <x:c r="S228" s="206" t="n"/>
      <x:c r="T228" s="71" t="n"/>
      <x:c r="U228" s="71" t="n"/>
      <x:c r="V228" s="71" t="n"/>
      <x:c r="W228" s="71" t="n"/>
      <x:c r="X228" s="71" t="n"/>
      <x:c r="Y228" s="71" t="n"/>
      <x:c r="Z228" s="71" t="n"/>
      <x:c r="AA228" s="71" t="n"/>
      <x:c r="AB228" s="71" t="inlineStr">
        <x:is>
          <x:t xml:space="preserve">NO</x:t>
        </x:is>
      </x:c>
      <x:c r="AC228" s="57" t="inlineStr">
        <x:is>
          <x:t xml:space="preserve">V10</x:t>
        </x:is>
      </x:c>
      <x:c r="AD228" s="57" t="n"/>
      <x:c r="AE228" s="79" t="str">
        <x:f>IF(AND(I228&lt;&gt;"",J228&lt;&gt;"",K228&lt;&gt;"",L228="YES",M228&lt;&gt;"",S228&lt;&gt;"",T228&lt;&gt;"",U228&lt;&gt;"",V228&lt;&gt;"",W228&lt;&gt;"",X228&lt;&gt;"",Y228&lt;&gt;""),"COMPLETE","PENDING")</x:f>
        <x:v>PENDING</x:v>
      </x:c>
      <x:c r="AF228" s="79" t="str">
        <x:f>IF(AE228="COMPLETE","YES","NO")</x:f>
        <x:v>NO</x:v>
      </x:c>
      <x:c r="AG228" s="214" t="str">
        <x:f>IF(AF228&lt;&gt;"YES","",(IF(V228="YES",1,0)+IF(W228="YES",1,0))/2)</x:f>
      </x:c>
    </x:row>
    <x:row r="229">
      <x:c r="A229" s="57" t="inlineStr">
        <x:is>
          <x:t xml:space="preserve">C0224</x:t>
        </x:is>
      </x:c>
      <x:c r="B229" s="57" t="inlineStr">
        <x:is>
          <x:t xml:space="preserve">Development</x:t>
        </x:is>
      </x:c>
      <x:c r="C229" s="57" t="inlineStr">
        <x:is>
          <x:t xml:space="preserve">OPEN</x:t>
        </x:is>
      </x:c>
      <x:c r="D229" s="57" t="inlineStr">
        <x:is>
          <x:t xml:space="preserve">ARG-023</x:t>
        </x:is>
      </x:c>
      <x:c r="E229" s="75" t="str">
        <x:f>INDEX('Company Universe'!$B$6:$B$105,MATCH(D229,'Company Universe'!$A$6:$A$105,0))</x:f>
        <x:v>Givaudan</x:v>
      </x:c>
      <x:c r="F229" s="75" t="str">
        <x:f>INDEX('Company Universe'!$C$6:$C$105,MATCH(D229,'Company Universe'!$A$6:$A$105,0))</x:f>
        <x:v>GIVN.SW</x:v>
      </x:c>
      <x:c r="G229" s="75" t="str">
        <x:f>INDEX('Company Universe'!$F$6:$F$105,MATCH(D229,'Company Universe'!$A$6:$A$105,0))</x:f>
        <x:v>Specialty Ingredients</x:v>
      </x:c>
      <x:c r="H229" s="57" t="n">
        <x:v>4</x:v>
      </x:c>
      <x:c r="I229" s="206" t="n"/>
      <x:c r="J229" s="71" t="n"/>
      <x:c r="K229" s="71" t="n"/>
      <x:c r="L229" s="71" t="inlineStr">
        <x:is>
          <x:t xml:space="preserve">NO</x:t>
        </x:is>
      </x:c>
      <x:c r="M229" s="71" t="n"/>
      <x:c r="N229" s="71" t="n"/>
      <x:c r="O229" s="71" t="n"/>
      <x:c r="P229" s="71" t="n"/>
      <x:c r="Q229" s="71" t="n"/>
      <x:c r="R229" s="71" t="n"/>
      <x:c r="S229" s="206" t="n"/>
      <x:c r="T229" s="71" t="n"/>
      <x:c r="U229" s="71" t="n"/>
      <x:c r="V229" s="71" t="n"/>
      <x:c r="W229" s="71" t="n"/>
      <x:c r="X229" s="71" t="n"/>
      <x:c r="Y229" s="71" t="n"/>
      <x:c r="Z229" s="71" t="n"/>
      <x:c r="AA229" s="71" t="n"/>
      <x:c r="AB229" s="71" t="inlineStr">
        <x:is>
          <x:t xml:space="preserve">NO</x:t>
        </x:is>
      </x:c>
      <x:c r="AC229" s="57" t="inlineStr">
        <x:is>
          <x:t xml:space="preserve">V10</x:t>
        </x:is>
      </x:c>
      <x:c r="AD229" s="57" t="n"/>
      <x:c r="AE229" s="79" t="str">
        <x:f>IF(AND(I229&lt;&gt;"",J229&lt;&gt;"",K229&lt;&gt;"",L229="YES",M229&lt;&gt;"",S229&lt;&gt;"",T229&lt;&gt;"",U229&lt;&gt;"",V229&lt;&gt;"",W229&lt;&gt;"",X229&lt;&gt;"",Y229&lt;&gt;""),"COMPLETE","PENDING")</x:f>
        <x:v>PENDING</x:v>
      </x:c>
      <x:c r="AF229" s="79" t="str">
        <x:f>IF(AE229="COMPLETE","YES","NO")</x:f>
        <x:v>NO</x:v>
      </x:c>
      <x:c r="AG229" s="214" t="str">
        <x:f>IF(AF229&lt;&gt;"YES","",(IF(V229="YES",1,0)+IF(W229="YES",1,0))/2)</x:f>
      </x:c>
    </x:row>
    <x:row r="230">
      <x:c r="A230" s="57" t="inlineStr">
        <x:is>
          <x:t xml:space="preserve">C0225</x:t>
        </x:is>
      </x:c>
      <x:c r="B230" s="57" t="inlineStr">
        <x:is>
          <x:t xml:space="preserve">Development</x:t>
        </x:is>
      </x:c>
      <x:c r="C230" s="57" t="inlineStr">
        <x:is>
          <x:t xml:space="preserve">OPEN</x:t>
        </x:is>
      </x:c>
      <x:c r="D230" s="57" t="inlineStr">
        <x:is>
          <x:t xml:space="preserve">ARG-023</x:t>
        </x:is>
      </x:c>
      <x:c r="E230" s="75" t="str">
        <x:f>INDEX('Company Universe'!$B$6:$B$105,MATCH(D230,'Company Universe'!$A$6:$A$105,0))</x:f>
        <x:v>Givaudan</x:v>
      </x:c>
      <x:c r="F230" s="75" t="str">
        <x:f>INDEX('Company Universe'!$C$6:$C$105,MATCH(D230,'Company Universe'!$A$6:$A$105,0))</x:f>
        <x:v>GIVN.SW</x:v>
      </x:c>
      <x:c r="G230" s="75" t="str">
        <x:f>INDEX('Company Universe'!$F$6:$F$105,MATCH(D230,'Company Universe'!$A$6:$A$105,0))</x:f>
        <x:v>Specialty Ingredients</x:v>
      </x:c>
      <x:c r="H230" s="57" t="n">
        <x:v>5</x:v>
      </x:c>
      <x:c r="I230" s="206" t="n"/>
      <x:c r="J230" s="71" t="n"/>
      <x:c r="K230" s="71" t="n"/>
      <x:c r="L230" s="71" t="inlineStr">
        <x:is>
          <x:t xml:space="preserve">NO</x:t>
        </x:is>
      </x:c>
      <x:c r="M230" s="71" t="n"/>
      <x:c r="N230" s="71" t="n"/>
      <x:c r="O230" s="71" t="n"/>
      <x:c r="P230" s="71" t="n"/>
      <x:c r="Q230" s="71" t="n"/>
      <x:c r="R230" s="71" t="n"/>
      <x:c r="S230" s="206" t="n"/>
      <x:c r="T230" s="71" t="n"/>
      <x:c r="U230" s="71" t="n"/>
      <x:c r="V230" s="71" t="n"/>
      <x:c r="W230" s="71" t="n"/>
      <x:c r="X230" s="71" t="n"/>
      <x:c r="Y230" s="71" t="n"/>
      <x:c r="Z230" s="71" t="n"/>
      <x:c r="AA230" s="71" t="n"/>
      <x:c r="AB230" s="71" t="inlineStr">
        <x:is>
          <x:t xml:space="preserve">NO</x:t>
        </x:is>
      </x:c>
      <x:c r="AC230" s="57" t="inlineStr">
        <x:is>
          <x:t xml:space="preserve">V10</x:t>
        </x:is>
      </x:c>
      <x:c r="AD230" s="57" t="n"/>
      <x:c r="AE230" s="79" t="str">
        <x:f>IF(AND(I230&lt;&gt;"",J230&lt;&gt;"",K230&lt;&gt;"",L230="YES",M230&lt;&gt;"",S230&lt;&gt;"",T230&lt;&gt;"",U230&lt;&gt;"",V230&lt;&gt;"",W230&lt;&gt;"",X230&lt;&gt;"",Y230&lt;&gt;""),"COMPLETE","PENDING")</x:f>
        <x:v>PENDING</x:v>
      </x:c>
      <x:c r="AF230" s="79" t="str">
        <x:f>IF(AE230="COMPLETE","YES","NO")</x:f>
        <x:v>NO</x:v>
      </x:c>
      <x:c r="AG230" s="214" t="str">
        <x:f>IF(AF230&lt;&gt;"YES","",(IF(V230="YES",1,0)+IF(W230="YES",1,0))/2)</x:f>
      </x:c>
    </x:row>
    <x:row r="231">
      <x:c r="A231" s="57" t="inlineStr">
        <x:is>
          <x:t xml:space="preserve">C0226</x:t>
        </x:is>
      </x:c>
      <x:c r="B231" s="57" t="inlineStr">
        <x:is>
          <x:t xml:space="preserve">Development</x:t>
        </x:is>
      </x:c>
      <x:c r="C231" s="57" t="inlineStr">
        <x:is>
          <x:t xml:space="preserve">OPEN</x:t>
        </x:is>
      </x:c>
      <x:c r="D231" s="57" t="inlineStr">
        <x:is>
          <x:t xml:space="preserve">ARG-023</x:t>
        </x:is>
      </x:c>
      <x:c r="E231" s="75" t="str">
        <x:f>INDEX('Company Universe'!$B$6:$B$105,MATCH(D231,'Company Universe'!$A$6:$A$105,0))</x:f>
        <x:v>Givaudan</x:v>
      </x:c>
      <x:c r="F231" s="75" t="str">
        <x:f>INDEX('Company Universe'!$C$6:$C$105,MATCH(D231,'Company Universe'!$A$6:$A$105,0))</x:f>
        <x:v>GIVN.SW</x:v>
      </x:c>
      <x:c r="G231" s="75" t="str">
        <x:f>INDEX('Company Universe'!$F$6:$F$105,MATCH(D231,'Company Universe'!$A$6:$A$105,0))</x:f>
        <x:v>Specialty Ingredients</x:v>
      </x:c>
      <x:c r="H231" s="57" t="n">
        <x:v>6</x:v>
      </x:c>
      <x:c r="I231" s="206" t="n"/>
      <x:c r="J231" s="71" t="n"/>
      <x:c r="K231" s="71" t="n"/>
      <x:c r="L231" s="71" t="inlineStr">
        <x:is>
          <x:t xml:space="preserve">NO</x:t>
        </x:is>
      </x:c>
      <x:c r="M231" s="71" t="n"/>
      <x:c r="N231" s="71" t="n"/>
      <x:c r="O231" s="71" t="n"/>
      <x:c r="P231" s="71" t="n"/>
      <x:c r="Q231" s="71" t="n"/>
      <x:c r="R231" s="71" t="n"/>
      <x:c r="S231" s="206" t="n"/>
      <x:c r="T231" s="71" t="n"/>
      <x:c r="U231" s="71" t="n"/>
      <x:c r="V231" s="71" t="n"/>
      <x:c r="W231" s="71" t="n"/>
      <x:c r="X231" s="71" t="n"/>
      <x:c r="Y231" s="71" t="n"/>
      <x:c r="Z231" s="71" t="n"/>
      <x:c r="AA231" s="71" t="n"/>
      <x:c r="AB231" s="71" t="inlineStr">
        <x:is>
          <x:t xml:space="preserve">NO</x:t>
        </x:is>
      </x:c>
      <x:c r="AC231" s="57" t="inlineStr">
        <x:is>
          <x:t xml:space="preserve">V10</x:t>
        </x:is>
      </x:c>
      <x:c r="AD231" s="57" t="n"/>
      <x:c r="AE231" s="79" t="str">
        <x:f>IF(AND(I231&lt;&gt;"",J231&lt;&gt;"",K231&lt;&gt;"",L231="YES",M231&lt;&gt;"",S231&lt;&gt;"",T231&lt;&gt;"",U231&lt;&gt;"",V231&lt;&gt;"",W231&lt;&gt;"",X231&lt;&gt;"",Y231&lt;&gt;""),"COMPLETE","PENDING")</x:f>
        <x:v>PENDING</x:v>
      </x:c>
      <x:c r="AF231" s="79" t="str">
        <x:f>IF(AE231="COMPLETE","YES","NO")</x:f>
        <x:v>NO</x:v>
      </x:c>
      <x:c r="AG231" s="214" t="str">
        <x:f>IF(AF231&lt;&gt;"YES","",(IF(V231="YES",1,0)+IF(W231="YES",1,0))/2)</x:f>
      </x:c>
    </x:row>
    <x:row r="232">
      <x:c r="A232" s="57" t="inlineStr">
        <x:is>
          <x:t xml:space="preserve">C0227</x:t>
        </x:is>
      </x:c>
      <x:c r="B232" s="57" t="inlineStr">
        <x:is>
          <x:t xml:space="preserve">Development</x:t>
        </x:is>
      </x:c>
      <x:c r="C232" s="57" t="inlineStr">
        <x:is>
          <x:t xml:space="preserve">OPEN</x:t>
        </x:is>
      </x:c>
      <x:c r="D232" s="57" t="inlineStr">
        <x:is>
          <x:t xml:space="preserve">ARG-023</x:t>
        </x:is>
      </x:c>
      <x:c r="E232" s="75" t="str">
        <x:f>INDEX('Company Universe'!$B$6:$B$105,MATCH(D232,'Company Universe'!$A$6:$A$105,0))</x:f>
        <x:v>Givaudan</x:v>
      </x:c>
      <x:c r="F232" s="75" t="str">
        <x:f>INDEX('Company Universe'!$C$6:$C$105,MATCH(D232,'Company Universe'!$A$6:$A$105,0))</x:f>
        <x:v>GIVN.SW</x:v>
      </x:c>
      <x:c r="G232" s="75" t="str">
        <x:f>INDEX('Company Universe'!$F$6:$F$105,MATCH(D232,'Company Universe'!$A$6:$A$105,0))</x:f>
        <x:v>Specialty Ingredients</x:v>
      </x:c>
      <x:c r="H232" s="57" t="n">
        <x:v>7</x:v>
      </x:c>
      <x:c r="I232" s="206" t="n"/>
      <x:c r="J232" s="71" t="n"/>
      <x:c r="K232" s="71" t="n"/>
      <x:c r="L232" s="71" t="inlineStr">
        <x:is>
          <x:t xml:space="preserve">NO</x:t>
        </x:is>
      </x:c>
      <x:c r="M232" s="71" t="n"/>
      <x:c r="N232" s="71" t="n"/>
      <x:c r="O232" s="71" t="n"/>
      <x:c r="P232" s="71" t="n"/>
      <x:c r="Q232" s="71" t="n"/>
      <x:c r="R232" s="71" t="n"/>
      <x:c r="S232" s="206" t="n"/>
      <x:c r="T232" s="71" t="n"/>
      <x:c r="U232" s="71" t="n"/>
      <x:c r="V232" s="71" t="n"/>
      <x:c r="W232" s="71" t="n"/>
      <x:c r="X232" s="71" t="n"/>
      <x:c r="Y232" s="71" t="n"/>
      <x:c r="Z232" s="71" t="n"/>
      <x:c r="AA232" s="71" t="n"/>
      <x:c r="AB232" s="71" t="inlineStr">
        <x:is>
          <x:t xml:space="preserve">NO</x:t>
        </x:is>
      </x:c>
      <x:c r="AC232" s="57" t="inlineStr">
        <x:is>
          <x:t xml:space="preserve">V10</x:t>
        </x:is>
      </x:c>
      <x:c r="AD232" s="57" t="n"/>
      <x:c r="AE232" s="79" t="str">
        <x:f>IF(AND(I232&lt;&gt;"",J232&lt;&gt;"",K232&lt;&gt;"",L232="YES",M232&lt;&gt;"",S232&lt;&gt;"",T232&lt;&gt;"",U232&lt;&gt;"",V232&lt;&gt;"",W232&lt;&gt;"",X232&lt;&gt;"",Y232&lt;&gt;""),"COMPLETE","PENDING")</x:f>
        <x:v>PENDING</x:v>
      </x:c>
      <x:c r="AF232" s="79" t="str">
        <x:f>IF(AE232="COMPLETE","YES","NO")</x:f>
        <x:v>NO</x:v>
      </x:c>
      <x:c r="AG232" s="214" t="str">
        <x:f>IF(AF232&lt;&gt;"YES","",(IF(V232="YES",1,0)+IF(W232="YES",1,0))/2)</x:f>
      </x:c>
    </x:row>
    <x:row r="233">
      <x:c r="A233" s="57" t="inlineStr">
        <x:is>
          <x:t xml:space="preserve">C0228</x:t>
        </x:is>
      </x:c>
      <x:c r="B233" s="57" t="inlineStr">
        <x:is>
          <x:t xml:space="preserve">Development</x:t>
        </x:is>
      </x:c>
      <x:c r="C233" s="57" t="inlineStr">
        <x:is>
          <x:t xml:space="preserve">OPEN</x:t>
        </x:is>
      </x:c>
      <x:c r="D233" s="57" t="inlineStr">
        <x:is>
          <x:t xml:space="preserve">ARG-023</x:t>
        </x:is>
      </x:c>
      <x:c r="E233" s="75" t="str">
        <x:f>INDEX('Company Universe'!$B$6:$B$105,MATCH(D233,'Company Universe'!$A$6:$A$105,0))</x:f>
        <x:v>Givaudan</x:v>
      </x:c>
      <x:c r="F233" s="75" t="str">
        <x:f>INDEX('Company Universe'!$C$6:$C$105,MATCH(D233,'Company Universe'!$A$6:$A$105,0))</x:f>
        <x:v>GIVN.SW</x:v>
      </x:c>
      <x:c r="G233" s="75" t="str">
        <x:f>INDEX('Company Universe'!$F$6:$F$105,MATCH(D233,'Company Universe'!$A$6:$A$105,0))</x:f>
        <x:v>Specialty Ingredients</x:v>
      </x:c>
      <x:c r="H233" s="57" t="n">
        <x:v>8</x:v>
      </x:c>
      <x:c r="I233" s="206" t="n"/>
      <x:c r="J233" s="71" t="n"/>
      <x:c r="K233" s="71" t="n"/>
      <x:c r="L233" s="71" t="inlineStr">
        <x:is>
          <x:t xml:space="preserve">NO</x:t>
        </x:is>
      </x:c>
      <x:c r="M233" s="71" t="n"/>
      <x:c r="N233" s="71" t="n"/>
      <x:c r="O233" s="71" t="n"/>
      <x:c r="P233" s="71" t="n"/>
      <x:c r="Q233" s="71" t="n"/>
      <x:c r="R233" s="71" t="n"/>
      <x:c r="S233" s="206" t="n"/>
      <x:c r="T233" s="71" t="n"/>
      <x:c r="U233" s="71" t="n"/>
      <x:c r="V233" s="71" t="n"/>
      <x:c r="W233" s="71" t="n"/>
      <x:c r="X233" s="71" t="n"/>
      <x:c r="Y233" s="71" t="n"/>
      <x:c r="Z233" s="71" t="n"/>
      <x:c r="AA233" s="71" t="n"/>
      <x:c r="AB233" s="71" t="inlineStr">
        <x:is>
          <x:t xml:space="preserve">NO</x:t>
        </x:is>
      </x:c>
      <x:c r="AC233" s="57" t="inlineStr">
        <x:is>
          <x:t xml:space="preserve">V10</x:t>
        </x:is>
      </x:c>
      <x:c r="AD233" s="57" t="n"/>
      <x:c r="AE233" s="79" t="str">
        <x:f>IF(AND(I233&lt;&gt;"",J233&lt;&gt;"",K233&lt;&gt;"",L233="YES",M233&lt;&gt;"",S233&lt;&gt;"",T233&lt;&gt;"",U233&lt;&gt;"",V233&lt;&gt;"",W233&lt;&gt;"",X233&lt;&gt;"",Y233&lt;&gt;""),"COMPLETE","PENDING")</x:f>
        <x:v>PENDING</x:v>
      </x:c>
      <x:c r="AF233" s="79" t="str">
        <x:f>IF(AE233="COMPLETE","YES","NO")</x:f>
        <x:v>NO</x:v>
      </x:c>
      <x:c r="AG233" s="214" t="str">
        <x:f>IF(AF233&lt;&gt;"YES","",(IF(V233="YES",1,0)+IF(W233="YES",1,0))/2)</x:f>
      </x:c>
    </x:row>
    <x:row r="234">
      <x:c r="A234" s="57" t="inlineStr">
        <x:is>
          <x:t xml:space="preserve">C0229</x:t>
        </x:is>
      </x:c>
      <x:c r="B234" s="57" t="inlineStr">
        <x:is>
          <x:t xml:space="preserve">Development</x:t>
        </x:is>
      </x:c>
      <x:c r="C234" s="57" t="inlineStr">
        <x:is>
          <x:t xml:space="preserve">OPEN</x:t>
        </x:is>
      </x:c>
      <x:c r="D234" s="57" t="inlineStr">
        <x:is>
          <x:t xml:space="preserve">ARG-023</x:t>
        </x:is>
      </x:c>
      <x:c r="E234" s="75" t="str">
        <x:f>INDEX('Company Universe'!$B$6:$B$105,MATCH(D234,'Company Universe'!$A$6:$A$105,0))</x:f>
        <x:v>Givaudan</x:v>
      </x:c>
      <x:c r="F234" s="75" t="str">
        <x:f>INDEX('Company Universe'!$C$6:$C$105,MATCH(D234,'Company Universe'!$A$6:$A$105,0))</x:f>
        <x:v>GIVN.SW</x:v>
      </x:c>
      <x:c r="G234" s="75" t="str">
        <x:f>INDEX('Company Universe'!$F$6:$F$105,MATCH(D234,'Company Universe'!$A$6:$A$105,0))</x:f>
        <x:v>Specialty Ingredients</x:v>
      </x:c>
      <x:c r="H234" s="57" t="n">
        <x:v>9</x:v>
      </x:c>
      <x:c r="I234" s="206" t="n"/>
      <x:c r="J234" s="71" t="n"/>
      <x:c r="K234" s="71" t="n"/>
      <x:c r="L234" s="71" t="inlineStr">
        <x:is>
          <x:t xml:space="preserve">NO</x:t>
        </x:is>
      </x:c>
      <x:c r="M234" s="71" t="n"/>
      <x:c r="N234" s="71" t="n"/>
      <x:c r="O234" s="71" t="n"/>
      <x:c r="P234" s="71" t="n"/>
      <x:c r="Q234" s="71" t="n"/>
      <x:c r="R234" s="71" t="n"/>
      <x:c r="S234" s="206" t="n"/>
      <x:c r="T234" s="71" t="n"/>
      <x:c r="U234" s="71" t="n"/>
      <x:c r="V234" s="71" t="n"/>
      <x:c r="W234" s="71" t="n"/>
      <x:c r="X234" s="71" t="n"/>
      <x:c r="Y234" s="71" t="n"/>
      <x:c r="Z234" s="71" t="n"/>
      <x:c r="AA234" s="71" t="n"/>
      <x:c r="AB234" s="71" t="inlineStr">
        <x:is>
          <x:t xml:space="preserve">NO</x:t>
        </x:is>
      </x:c>
      <x:c r="AC234" s="57" t="inlineStr">
        <x:is>
          <x:t xml:space="preserve">V10</x:t>
        </x:is>
      </x:c>
      <x:c r="AD234" s="57" t="n"/>
      <x:c r="AE234" s="79" t="str">
        <x:f>IF(AND(I234&lt;&gt;"",J234&lt;&gt;"",K234&lt;&gt;"",L234="YES",M234&lt;&gt;"",S234&lt;&gt;"",T234&lt;&gt;"",U234&lt;&gt;"",V234&lt;&gt;"",W234&lt;&gt;"",X234&lt;&gt;"",Y234&lt;&gt;""),"COMPLETE","PENDING")</x:f>
        <x:v>PENDING</x:v>
      </x:c>
      <x:c r="AF234" s="79" t="str">
        <x:f>IF(AE234="COMPLETE","YES","NO")</x:f>
        <x:v>NO</x:v>
      </x:c>
      <x:c r="AG234" s="214" t="str">
        <x:f>IF(AF234&lt;&gt;"YES","",(IF(V234="YES",1,0)+IF(W234="YES",1,0))/2)</x:f>
      </x:c>
    </x:row>
    <x:row r="235">
      <x:c r="A235" s="57" t="inlineStr">
        <x:is>
          <x:t xml:space="preserve">C0230</x:t>
        </x:is>
      </x:c>
      <x:c r="B235" s="57" t="inlineStr">
        <x:is>
          <x:t xml:space="preserve">Development</x:t>
        </x:is>
      </x:c>
      <x:c r="C235" s="57" t="inlineStr">
        <x:is>
          <x:t xml:space="preserve">OPEN</x:t>
        </x:is>
      </x:c>
      <x:c r="D235" s="57" t="inlineStr">
        <x:is>
          <x:t xml:space="preserve">ARG-023</x:t>
        </x:is>
      </x:c>
      <x:c r="E235" s="75" t="str">
        <x:f>INDEX('Company Universe'!$B$6:$B$105,MATCH(D235,'Company Universe'!$A$6:$A$105,0))</x:f>
        <x:v>Givaudan</x:v>
      </x:c>
      <x:c r="F235" s="75" t="str">
        <x:f>INDEX('Company Universe'!$C$6:$C$105,MATCH(D235,'Company Universe'!$A$6:$A$105,0))</x:f>
        <x:v>GIVN.SW</x:v>
      </x:c>
      <x:c r="G235" s="75" t="str">
        <x:f>INDEX('Company Universe'!$F$6:$F$105,MATCH(D235,'Company Universe'!$A$6:$A$105,0))</x:f>
        <x:v>Specialty Ingredients</x:v>
      </x:c>
      <x:c r="H235" s="57" t="n">
        <x:v>10</x:v>
      </x:c>
      <x:c r="I235" s="206" t="n"/>
      <x:c r="J235" s="71" t="n"/>
      <x:c r="K235" s="71" t="n"/>
      <x:c r="L235" s="71" t="inlineStr">
        <x:is>
          <x:t xml:space="preserve">NO</x:t>
        </x:is>
      </x:c>
      <x:c r="M235" s="71" t="n"/>
      <x:c r="N235" s="71" t="n"/>
      <x:c r="O235" s="71" t="n"/>
      <x:c r="P235" s="71" t="n"/>
      <x:c r="Q235" s="71" t="n"/>
      <x:c r="R235" s="71" t="n"/>
      <x:c r="S235" s="206" t="n"/>
      <x:c r="T235" s="71" t="n"/>
      <x:c r="U235" s="71" t="n"/>
      <x:c r="V235" s="71" t="n"/>
      <x:c r="W235" s="71" t="n"/>
      <x:c r="X235" s="71" t="n"/>
      <x:c r="Y235" s="71" t="n"/>
      <x:c r="Z235" s="71" t="n"/>
      <x:c r="AA235" s="71" t="n"/>
      <x:c r="AB235" s="71" t="inlineStr">
        <x:is>
          <x:t xml:space="preserve">NO</x:t>
        </x:is>
      </x:c>
      <x:c r="AC235" s="57" t="inlineStr">
        <x:is>
          <x:t xml:space="preserve">V10</x:t>
        </x:is>
      </x:c>
      <x:c r="AD235" s="57" t="n"/>
      <x:c r="AE235" s="79" t="str">
        <x:f>IF(AND(I235&lt;&gt;"",J235&lt;&gt;"",K235&lt;&gt;"",L235="YES",M235&lt;&gt;"",S235&lt;&gt;"",T235&lt;&gt;"",U235&lt;&gt;"",V235&lt;&gt;"",W235&lt;&gt;"",X235&lt;&gt;"",Y235&lt;&gt;""),"COMPLETE","PENDING")</x:f>
        <x:v>PENDING</x:v>
      </x:c>
      <x:c r="AF235" s="79" t="str">
        <x:f>IF(AE235="COMPLETE","YES","NO")</x:f>
        <x:v>NO</x:v>
      </x:c>
      <x:c r="AG235" s="214" t="str">
        <x:f>IF(AF235&lt;&gt;"YES","",(IF(V235="YES",1,0)+IF(W235="YES",1,0))/2)</x:f>
      </x:c>
    </x:row>
    <x:row r="236">
      <x:c r="A236" s="57" t="inlineStr">
        <x:is>
          <x:t xml:space="preserve">C0231</x:t>
        </x:is>
      </x:c>
      <x:c r="B236" s="57" t="inlineStr">
        <x:is>
          <x:t xml:space="preserve">Development</x:t>
        </x:is>
      </x:c>
      <x:c r="C236" s="57" t="inlineStr">
        <x:is>
          <x:t xml:space="preserve">OPEN</x:t>
        </x:is>
      </x:c>
      <x:c r="D236" s="57" t="inlineStr">
        <x:is>
          <x:t xml:space="preserve">ARG-024</x:t>
        </x:is>
      </x:c>
      <x:c r="E236" s="75" t="str">
        <x:f>INDEX('Company Universe'!$B$6:$B$105,MATCH(D236,'Company Universe'!$A$6:$A$105,0))</x:f>
        <x:v>Symrise</x:v>
      </x:c>
      <x:c r="F236" s="75" t="str">
        <x:f>INDEX('Company Universe'!$C$6:$C$105,MATCH(D236,'Company Universe'!$A$6:$A$105,0))</x:f>
        <x:v>SY1.DE</x:v>
      </x:c>
      <x:c r="G236" s="75" t="str">
        <x:f>INDEX('Company Universe'!$F$6:$F$105,MATCH(D236,'Company Universe'!$A$6:$A$105,0))</x:f>
        <x:v>Specialty Ingredients</x:v>
      </x:c>
      <x:c r="H236" s="57" t="n">
        <x:v>1</x:v>
      </x:c>
      <x:c r="I236" s="206" t="n"/>
      <x:c r="J236" s="71" t="n"/>
      <x:c r="K236" s="71" t="n"/>
      <x:c r="L236" s="71" t="inlineStr">
        <x:is>
          <x:t xml:space="preserve">NO</x:t>
        </x:is>
      </x:c>
      <x:c r="M236" s="71" t="n"/>
      <x:c r="N236" s="71" t="n"/>
      <x:c r="O236" s="71" t="n"/>
      <x:c r="P236" s="71" t="n"/>
      <x:c r="Q236" s="71" t="n"/>
      <x:c r="R236" s="71" t="n"/>
      <x:c r="S236" s="206" t="n"/>
      <x:c r="T236" s="71" t="n"/>
      <x:c r="U236" s="71" t="n"/>
      <x:c r="V236" s="71" t="n"/>
      <x:c r="W236" s="71" t="n"/>
      <x:c r="X236" s="71" t="n"/>
      <x:c r="Y236" s="71" t="n"/>
      <x:c r="Z236" s="71" t="n"/>
      <x:c r="AA236" s="71" t="n"/>
      <x:c r="AB236" s="71" t="inlineStr">
        <x:is>
          <x:t xml:space="preserve">NO</x:t>
        </x:is>
      </x:c>
      <x:c r="AC236" s="57" t="inlineStr">
        <x:is>
          <x:t xml:space="preserve">V10</x:t>
        </x:is>
      </x:c>
      <x:c r="AD236" s="57" t="n"/>
      <x:c r="AE236" s="79" t="str">
        <x:f>IF(AND(I236&lt;&gt;"",J236&lt;&gt;"",K236&lt;&gt;"",L236="YES",M236&lt;&gt;"",S236&lt;&gt;"",T236&lt;&gt;"",U236&lt;&gt;"",V236&lt;&gt;"",W236&lt;&gt;"",X236&lt;&gt;"",Y236&lt;&gt;""),"COMPLETE","PENDING")</x:f>
        <x:v>PENDING</x:v>
      </x:c>
      <x:c r="AF236" s="79" t="str">
        <x:f>IF(AE236="COMPLETE","YES","NO")</x:f>
        <x:v>NO</x:v>
      </x:c>
      <x:c r="AG236" s="214" t="str">
        <x:f>IF(AF236&lt;&gt;"YES","",(IF(V236="YES",1,0)+IF(W236="YES",1,0))/2)</x:f>
      </x:c>
    </x:row>
    <x:row r="237">
      <x:c r="A237" s="57" t="inlineStr">
        <x:is>
          <x:t xml:space="preserve">C0232</x:t>
        </x:is>
      </x:c>
      <x:c r="B237" s="57" t="inlineStr">
        <x:is>
          <x:t xml:space="preserve">Development</x:t>
        </x:is>
      </x:c>
      <x:c r="C237" s="57" t="inlineStr">
        <x:is>
          <x:t xml:space="preserve">OPEN</x:t>
        </x:is>
      </x:c>
      <x:c r="D237" s="57" t="inlineStr">
        <x:is>
          <x:t xml:space="preserve">ARG-024</x:t>
        </x:is>
      </x:c>
      <x:c r="E237" s="75" t="str">
        <x:f>INDEX('Company Universe'!$B$6:$B$105,MATCH(D237,'Company Universe'!$A$6:$A$105,0))</x:f>
        <x:v>Symrise</x:v>
      </x:c>
      <x:c r="F237" s="75" t="str">
        <x:f>INDEX('Company Universe'!$C$6:$C$105,MATCH(D237,'Company Universe'!$A$6:$A$105,0))</x:f>
        <x:v>SY1.DE</x:v>
      </x:c>
      <x:c r="G237" s="75" t="str">
        <x:f>INDEX('Company Universe'!$F$6:$F$105,MATCH(D237,'Company Universe'!$A$6:$A$105,0))</x:f>
        <x:v>Specialty Ingredients</x:v>
      </x:c>
      <x:c r="H237" s="57" t="n">
        <x:v>2</x:v>
      </x:c>
      <x:c r="I237" s="206" t="n"/>
      <x:c r="J237" s="71" t="n"/>
      <x:c r="K237" s="71" t="n"/>
      <x:c r="L237" s="71" t="inlineStr">
        <x:is>
          <x:t xml:space="preserve">NO</x:t>
        </x:is>
      </x:c>
      <x:c r="M237" s="71" t="n"/>
      <x:c r="N237" s="71" t="n"/>
      <x:c r="O237" s="71" t="n"/>
      <x:c r="P237" s="71" t="n"/>
      <x:c r="Q237" s="71" t="n"/>
      <x:c r="R237" s="71" t="n"/>
      <x:c r="S237" s="206" t="n"/>
      <x:c r="T237" s="71" t="n"/>
      <x:c r="U237" s="71" t="n"/>
      <x:c r="V237" s="71" t="n"/>
      <x:c r="W237" s="71" t="n"/>
      <x:c r="X237" s="71" t="n"/>
      <x:c r="Y237" s="71" t="n"/>
      <x:c r="Z237" s="71" t="n"/>
      <x:c r="AA237" s="71" t="n"/>
      <x:c r="AB237" s="71" t="inlineStr">
        <x:is>
          <x:t xml:space="preserve">NO</x:t>
        </x:is>
      </x:c>
      <x:c r="AC237" s="57" t="inlineStr">
        <x:is>
          <x:t xml:space="preserve">V10</x:t>
        </x:is>
      </x:c>
      <x:c r="AD237" s="57" t="n"/>
      <x:c r="AE237" s="79" t="str">
        <x:f>IF(AND(I237&lt;&gt;"",J237&lt;&gt;"",K237&lt;&gt;"",L237="YES",M237&lt;&gt;"",S237&lt;&gt;"",T237&lt;&gt;"",U237&lt;&gt;"",V237&lt;&gt;"",W237&lt;&gt;"",X237&lt;&gt;"",Y237&lt;&gt;""),"COMPLETE","PENDING")</x:f>
        <x:v>PENDING</x:v>
      </x:c>
      <x:c r="AF237" s="79" t="str">
        <x:f>IF(AE237="COMPLETE","YES","NO")</x:f>
        <x:v>NO</x:v>
      </x:c>
      <x:c r="AG237" s="214" t="str">
        <x:f>IF(AF237&lt;&gt;"YES","",(IF(V237="YES",1,0)+IF(W237="YES",1,0))/2)</x:f>
      </x:c>
    </x:row>
    <x:row r="238">
      <x:c r="A238" s="57" t="inlineStr">
        <x:is>
          <x:t xml:space="preserve">C0233</x:t>
        </x:is>
      </x:c>
      <x:c r="B238" s="57" t="inlineStr">
        <x:is>
          <x:t xml:space="preserve">Development</x:t>
        </x:is>
      </x:c>
      <x:c r="C238" s="57" t="inlineStr">
        <x:is>
          <x:t xml:space="preserve">OPEN</x:t>
        </x:is>
      </x:c>
      <x:c r="D238" s="57" t="inlineStr">
        <x:is>
          <x:t xml:space="preserve">ARG-024</x:t>
        </x:is>
      </x:c>
      <x:c r="E238" s="75" t="str">
        <x:f>INDEX('Company Universe'!$B$6:$B$105,MATCH(D238,'Company Universe'!$A$6:$A$105,0))</x:f>
        <x:v>Symrise</x:v>
      </x:c>
      <x:c r="F238" s="75" t="str">
        <x:f>INDEX('Company Universe'!$C$6:$C$105,MATCH(D238,'Company Universe'!$A$6:$A$105,0))</x:f>
        <x:v>SY1.DE</x:v>
      </x:c>
      <x:c r="G238" s="75" t="str">
        <x:f>INDEX('Company Universe'!$F$6:$F$105,MATCH(D238,'Company Universe'!$A$6:$A$105,0))</x:f>
        <x:v>Specialty Ingredients</x:v>
      </x:c>
      <x:c r="H238" s="57" t="n">
        <x:v>3</x:v>
      </x:c>
      <x:c r="I238" s="206" t="n"/>
      <x:c r="J238" s="71" t="n"/>
      <x:c r="K238" s="71" t="n"/>
      <x:c r="L238" s="71" t="inlineStr">
        <x:is>
          <x:t xml:space="preserve">NO</x:t>
        </x:is>
      </x:c>
      <x:c r="M238" s="71" t="n"/>
      <x:c r="N238" s="71" t="n"/>
      <x:c r="O238" s="71" t="n"/>
      <x:c r="P238" s="71" t="n"/>
      <x:c r="Q238" s="71" t="n"/>
      <x:c r="R238" s="71" t="n"/>
      <x:c r="S238" s="206" t="n"/>
      <x:c r="T238" s="71" t="n"/>
      <x:c r="U238" s="71" t="n"/>
      <x:c r="V238" s="71" t="n"/>
      <x:c r="W238" s="71" t="n"/>
      <x:c r="X238" s="71" t="n"/>
      <x:c r="Y238" s="71" t="n"/>
      <x:c r="Z238" s="71" t="n"/>
      <x:c r="AA238" s="71" t="n"/>
      <x:c r="AB238" s="71" t="inlineStr">
        <x:is>
          <x:t xml:space="preserve">NO</x:t>
        </x:is>
      </x:c>
      <x:c r="AC238" s="57" t="inlineStr">
        <x:is>
          <x:t xml:space="preserve">V10</x:t>
        </x:is>
      </x:c>
      <x:c r="AD238" s="57" t="n"/>
      <x:c r="AE238" s="79" t="str">
        <x:f>IF(AND(I238&lt;&gt;"",J238&lt;&gt;"",K238&lt;&gt;"",L238="YES",M238&lt;&gt;"",S238&lt;&gt;"",T238&lt;&gt;"",U238&lt;&gt;"",V238&lt;&gt;"",W238&lt;&gt;"",X238&lt;&gt;"",Y238&lt;&gt;""),"COMPLETE","PENDING")</x:f>
        <x:v>PENDING</x:v>
      </x:c>
      <x:c r="AF238" s="79" t="str">
        <x:f>IF(AE238="COMPLETE","YES","NO")</x:f>
        <x:v>NO</x:v>
      </x:c>
      <x:c r="AG238" s="214" t="str">
        <x:f>IF(AF238&lt;&gt;"YES","",(IF(V238="YES",1,0)+IF(W238="YES",1,0))/2)</x:f>
      </x:c>
    </x:row>
    <x:row r="239">
      <x:c r="A239" s="57" t="inlineStr">
        <x:is>
          <x:t xml:space="preserve">C0234</x:t>
        </x:is>
      </x:c>
      <x:c r="B239" s="57" t="inlineStr">
        <x:is>
          <x:t xml:space="preserve">Development</x:t>
        </x:is>
      </x:c>
      <x:c r="C239" s="57" t="inlineStr">
        <x:is>
          <x:t xml:space="preserve">OPEN</x:t>
        </x:is>
      </x:c>
      <x:c r="D239" s="57" t="inlineStr">
        <x:is>
          <x:t xml:space="preserve">ARG-024</x:t>
        </x:is>
      </x:c>
      <x:c r="E239" s="75" t="str">
        <x:f>INDEX('Company Universe'!$B$6:$B$105,MATCH(D239,'Company Universe'!$A$6:$A$105,0))</x:f>
        <x:v>Symrise</x:v>
      </x:c>
      <x:c r="F239" s="75" t="str">
        <x:f>INDEX('Company Universe'!$C$6:$C$105,MATCH(D239,'Company Universe'!$A$6:$A$105,0))</x:f>
        <x:v>SY1.DE</x:v>
      </x:c>
      <x:c r="G239" s="75" t="str">
        <x:f>INDEX('Company Universe'!$F$6:$F$105,MATCH(D239,'Company Universe'!$A$6:$A$105,0))</x:f>
        <x:v>Specialty Ingredients</x:v>
      </x:c>
      <x:c r="H239" s="57" t="n">
        <x:v>4</x:v>
      </x:c>
      <x:c r="I239" s="206" t="n"/>
      <x:c r="J239" s="71" t="n"/>
      <x:c r="K239" s="71" t="n"/>
      <x:c r="L239" s="71" t="inlineStr">
        <x:is>
          <x:t xml:space="preserve">NO</x:t>
        </x:is>
      </x:c>
      <x:c r="M239" s="71" t="n"/>
      <x:c r="N239" s="71" t="n"/>
      <x:c r="O239" s="71" t="n"/>
      <x:c r="P239" s="71" t="n"/>
      <x:c r="Q239" s="71" t="n"/>
      <x:c r="R239" s="71" t="n"/>
      <x:c r="S239" s="206" t="n"/>
      <x:c r="T239" s="71" t="n"/>
      <x:c r="U239" s="71" t="n"/>
      <x:c r="V239" s="71" t="n"/>
      <x:c r="W239" s="71" t="n"/>
      <x:c r="X239" s="71" t="n"/>
      <x:c r="Y239" s="71" t="n"/>
      <x:c r="Z239" s="71" t="n"/>
      <x:c r="AA239" s="71" t="n"/>
      <x:c r="AB239" s="71" t="inlineStr">
        <x:is>
          <x:t xml:space="preserve">NO</x:t>
        </x:is>
      </x:c>
      <x:c r="AC239" s="57" t="inlineStr">
        <x:is>
          <x:t xml:space="preserve">V10</x:t>
        </x:is>
      </x:c>
      <x:c r="AD239" s="57" t="n"/>
      <x:c r="AE239" s="79" t="str">
        <x:f>IF(AND(I239&lt;&gt;"",J239&lt;&gt;"",K239&lt;&gt;"",L239="YES",M239&lt;&gt;"",S239&lt;&gt;"",T239&lt;&gt;"",U239&lt;&gt;"",V239&lt;&gt;"",W239&lt;&gt;"",X239&lt;&gt;"",Y239&lt;&gt;""),"COMPLETE","PENDING")</x:f>
        <x:v>PENDING</x:v>
      </x:c>
      <x:c r="AF239" s="79" t="str">
        <x:f>IF(AE239="COMPLETE","YES","NO")</x:f>
        <x:v>NO</x:v>
      </x:c>
      <x:c r="AG239" s="214" t="str">
        <x:f>IF(AF239&lt;&gt;"YES","",(IF(V239="YES",1,0)+IF(W239="YES",1,0))/2)</x:f>
      </x:c>
    </x:row>
    <x:row r="240">
      <x:c r="A240" s="57" t="inlineStr">
        <x:is>
          <x:t xml:space="preserve">C0235</x:t>
        </x:is>
      </x:c>
      <x:c r="B240" s="57" t="inlineStr">
        <x:is>
          <x:t xml:space="preserve">Development</x:t>
        </x:is>
      </x:c>
      <x:c r="C240" s="57" t="inlineStr">
        <x:is>
          <x:t xml:space="preserve">OPEN</x:t>
        </x:is>
      </x:c>
      <x:c r="D240" s="57" t="inlineStr">
        <x:is>
          <x:t xml:space="preserve">ARG-024</x:t>
        </x:is>
      </x:c>
      <x:c r="E240" s="75" t="str">
        <x:f>INDEX('Company Universe'!$B$6:$B$105,MATCH(D240,'Company Universe'!$A$6:$A$105,0))</x:f>
        <x:v>Symrise</x:v>
      </x:c>
      <x:c r="F240" s="75" t="str">
        <x:f>INDEX('Company Universe'!$C$6:$C$105,MATCH(D240,'Company Universe'!$A$6:$A$105,0))</x:f>
        <x:v>SY1.DE</x:v>
      </x:c>
      <x:c r="G240" s="75" t="str">
        <x:f>INDEX('Company Universe'!$F$6:$F$105,MATCH(D240,'Company Universe'!$A$6:$A$105,0))</x:f>
        <x:v>Specialty Ingredients</x:v>
      </x:c>
      <x:c r="H240" s="57" t="n">
        <x:v>5</x:v>
      </x:c>
      <x:c r="I240" s="206" t="n"/>
      <x:c r="J240" s="71" t="n"/>
      <x:c r="K240" s="71" t="n"/>
      <x:c r="L240" s="71" t="inlineStr">
        <x:is>
          <x:t xml:space="preserve">NO</x:t>
        </x:is>
      </x:c>
      <x:c r="M240" s="71" t="n"/>
      <x:c r="N240" s="71" t="n"/>
      <x:c r="O240" s="71" t="n"/>
      <x:c r="P240" s="71" t="n"/>
      <x:c r="Q240" s="71" t="n"/>
      <x:c r="R240" s="71" t="n"/>
      <x:c r="S240" s="206" t="n"/>
      <x:c r="T240" s="71" t="n"/>
      <x:c r="U240" s="71" t="n"/>
      <x:c r="V240" s="71" t="n"/>
      <x:c r="W240" s="71" t="n"/>
      <x:c r="X240" s="71" t="n"/>
      <x:c r="Y240" s="71" t="n"/>
      <x:c r="Z240" s="71" t="n"/>
      <x:c r="AA240" s="71" t="n"/>
      <x:c r="AB240" s="71" t="inlineStr">
        <x:is>
          <x:t xml:space="preserve">NO</x:t>
        </x:is>
      </x:c>
      <x:c r="AC240" s="57" t="inlineStr">
        <x:is>
          <x:t xml:space="preserve">V10</x:t>
        </x:is>
      </x:c>
      <x:c r="AD240" s="57" t="n"/>
      <x:c r="AE240" s="79" t="str">
        <x:f>IF(AND(I240&lt;&gt;"",J240&lt;&gt;"",K240&lt;&gt;"",L240="YES",M240&lt;&gt;"",S240&lt;&gt;"",T240&lt;&gt;"",U240&lt;&gt;"",V240&lt;&gt;"",W240&lt;&gt;"",X240&lt;&gt;"",Y240&lt;&gt;""),"COMPLETE","PENDING")</x:f>
        <x:v>PENDING</x:v>
      </x:c>
      <x:c r="AF240" s="79" t="str">
        <x:f>IF(AE240="COMPLETE","YES","NO")</x:f>
        <x:v>NO</x:v>
      </x:c>
      <x:c r="AG240" s="214" t="str">
        <x:f>IF(AF240&lt;&gt;"YES","",(IF(V240="YES",1,0)+IF(W240="YES",1,0))/2)</x:f>
      </x:c>
    </x:row>
    <x:row r="241">
      <x:c r="A241" s="57" t="inlineStr">
        <x:is>
          <x:t xml:space="preserve">C0236</x:t>
        </x:is>
      </x:c>
      <x:c r="B241" s="57" t="inlineStr">
        <x:is>
          <x:t xml:space="preserve">Development</x:t>
        </x:is>
      </x:c>
      <x:c r="C241" s="57" t="inlineStr">
        <x:is>
          <x:t xml:space="preserve">OPEN</x:t>
        </x:is>
      </x:c>
      <x:c r="D241" s="57" t="inlineStr">
        <x:is>
          <x:t xml:space="preserve">ARG-024</x:t>
        </x:is>
      </x:c>
      <x:c r="E241" s="75" t="str">
        <x:f>INDEX('Company Universe'!$B$6:$B$105,MATCH(D241,'Company Universe'!$A$6:$A$105,0))</x:f>
        <x:v>Symrise</x:v>
      </x:c>
      <x:c r="F241" s="75" t="str">
        <x:f>INDEX('Company Universe'!$C$6:$C$105,MATCH(D241,'Company Universe'!$A$6:$A$105,0))</x:f>
        <x:v>SY1.DE</x:v>
      </x:c>
      <x:c r="G241" s="75" t="str">
        <x:f>INDEX('Company Universe'!$F$6:$F$105,MATCH(D241,'Company Universe'!$A$6:$A$105,0))</x:f>
        <x:v>Specialty Ingredients</x:v>
      </x:c>
      <x:c r="H241" s="57" t="n">
        <x:v>6</x:v>
      </x:c>
      <x:c r="I241" s="206" t="n"/>
      <x:c r="J241" s="71" t="n"/>
      <x:c r="K241" s="71" t="n"/>
      <x:c r="L241" s="71" t="inlineStr">
        <x:is>
          <x:t xml:space="preserve">NO</x:t>
        </x:is>
      </x:c>
      <x:c r="M241" s="71" t="n"/>
      <x:c r="N241" s="71" t="n"/>
      <x:c r="O241" s="71" t="n"/>
      <x:c r="P241" s="71" t="n"/>
      <x:c r="Q241" s="71" t="n"/>
      <x:c r="R241" s="71" t="n"/>
      <x:c r="S241" s="206" t="n"/>
      <x:c r="T241" s="71" t="n"/>
      <x:c r="U241" s="71" t="n"/>
      <x:c r="V241" s="71" t="n"/>
      <x:c r="W241" s="71" t="n"/>
      <x:c r="X241" s="71" t="n"/>
      <x:c r="Y241" s="71" t="n"/>
      <x:c r="Z241" s="71" t="n"/>
      <x:c r="AA241" s="71" t="n"/>
      <x:c r="AB241" s="71" t="inlineStr">
        <x:is>
          <x:t xml:space="preserve">NO</x:t>
        </x:is>
      </x:c>
      <x:c r="AC241" s="57" t="inlineStr">
        <x:is>
          <x:t xml:space="preserve">V10</x:t>
        </x:is>
      </x:c>
      <x:c r="AD241" s="57" t="n"/>
      <x:c r="AE241" s="79" t="str">
        <x:f>IF(AND(I241&lt;&gt;"",J241&lt;&gt;"",K241&lt;&gt;"",L241="YES",M241&lt;&gt;"",S241&lt;&gt;"",T241&lt;&gt;"",U241&lt;&gt;"",V241&lt;&gt;"",W241&lt;&gt;"",X241&lt;&gt;"",Y241&lt;&gt;""),"COMPLETE","PENDING")</x:f>
        <x:v>PENDING</x:v>
      </x:c>
      <x:c r="AF241" s="79" t="str">
        <x:f>IF(AE241="COMPLETE","YES","NO")</x:f>
        <x:v>NO</x:v>
      </x:c>
      <x:c r="AG241" s="214" t="str">
        <x:f>IF(AF241&lt;&gt;"YES","",(IF(V241="YES",1,0)+IF(W241="YES",1,0))/2)</x:f>
      </x:c>
    </x:row>
    <x:row r="242">
      <x:c r="A242" s="57" t="inlineStr">
        <x:is>
          <x:t xml:space="preserve">C0237</x:t>
        </x:is>
      </x:c>
      <x:c r="B242" s="57" t="inlineStr">
        <x:is>
          <x:t xml:space="preserve">Development</x:t>
        </x:is>
      </x:c>
      <x:c r="C242" s="57" t="inlineStr">
        <x:is>
          <x:t xml:space="preserve">OPEN</x:t>
        </x:is>
      </x:c>
      <x:c r="D242" s="57" t="inlineStr">
        <x:is>
          <x:t xml:space="preserve">ARG-024</x:t>
        </x:is>
      </x:c>
      <x:c r="E242" s="75" t="str">
        <x:f>INDEX('Company Universe'!$B$6:$B$105,MATCH(D242,'Company Universe'!$A$6:$A$105,0))</x:f>
        <x:v>Symrise</x:v>
      </x:c>
      <x:c r="F242" s="75" t="str">
        <x:f>INDEX('Company Universe'!$C$6:$C$105,MATCH(D242,'Company Universe'!$A$6:$A$105,0))</x:f>
        <x:v>SY1.DE</x:v>
      </x:c>
      <x:c r="G242" s="75" t="str">
        <x:f>INDEX('Company Universe'!$F$6:$F$105,MATCH(D242,'Company Universe'!$A$6:$A$105,0))</x:f>
        <x:v>Specialty Ingredients</x:v>
      </x:c>
      <x:c r="H242" s="57" t="n">
        <x:v>7</x:v>
      </x:c>
      <x:c r="I242" s="206" t="n"/>
      <x:c r="J242" s="71" t="n"/>
      <x:c r="K242" s="71" t="n"/>
      <x:c r="L242" s="71" t="inlineStr">
        <x:is>
          <x:t xml:space="preserve">NO</x:t>
        </x:is>
      </x:c>
      <x:c r="M242" s="71" t="n"/>
      <x:c r="N242" s="71" t="n"/>
      <x:c r="O242" s="71" t="n"/>
      <x:c r="P242" s="71" t="n"/>
      <x:c r="Q242" s="71" t="n"/>
      <x:c r="R242" s="71" t="n"/>
      <x:c r="S242" s="206" t="n"/>
      <x:c r="T242" s="71" t="n"/>
      <x:c r="U242" s="71" t="n"/>
      <x:c r="V242" s="71" t="n"/>
      <x:c r="W242" s="71" t="n"/>
      <x:c r="X242" s="71" t="n"/>
      <x:c r="Y242" s="71" t="n"/>
      <x:c r="Z242" s="71" t="n"/>
      <x:c r="AA242" s="71" t="n"/>
      <x:c r="AB242" s="71" t="inlineStr">
        <x:is>
          <x:t xml:space="preserve">NO</x:t>
        </x:is>
      </x:c>
      <x:c r="AC242" s="57" t="inlineStr">
        <x:is>
          <x:t xml:space="preserve">V10</x:t>
        </x:is>
      </x:c>
      <x:c r="AD242" s="57" t="n"/>
      <x:c r="AE242" s="79" t="str">
        <x:f>IF(AND(I242&lt;&gt;"",J242&lt;&gt;"",K242&lt;&gt;"",L242="YES",M242&lt;&gt;"",S242&lt;&gt;"",T242&lt;&gt;"",U242&lt;&gt;"",V242&lt;&gt;"",W242&lt;&gt;"",X242&lt;&gt;"",Y242&lt;&gt;""),"COMPLETE","PENDING")</x:f>
        <x:v>PENDING</x:v>
      </x:c>
      <x:c r="AF242" s="79" t="str">
        <x:f>IF(AE242="COMPLETE","YES","NO")</x:f>
        <x:v>NO</x:v>
      </x:c>
      <x:c r="AG242" s="214" t="str">
        <x:f>IF(AF242&lt;&gt;"YES","",(IF(V242="YES",1,0)+IF(W242="YES",1,0))/2)</x:f>
      </x:c>
    </x:row>
    <x:row r="243">
      <x:c r="A243" s="57" t="inlineStr">
        <x:is>
          <x:t xml:space="preserve">C0238</x:t>
        </x:is>
      </x:c>
      <x:c r="B243" s="57" t="inlineStr">
        <x:is>
          <x:t xml:space="preserve">Development</x:t>
        </x:is>
      </x:c>
      <x:c r="C243" s="57" t="inlineStr">
        <x:is>
          <x:t xml:space="preserve">OPEN</x:t>
        </x:is>
      </x:c>
      <x:c r="D243" s="57" t="inlineStr">
        <x:is>
          <x:t xml:space="preserve">ARG-024</x:t>
        </x:is>
      </x:c>
      <x:c r="E243" s="75" t="str">
        <x:f>INDEX('Company Universe'!$B$6:$B$105,MATCH(D243,'Company Universe'!$A$6:$A$105,0))</x:f>
        <x:v>Symrise</x:v>
      </x:c>
      <x:c r="F243" s="75" t="str">
        <x:f>INDEX('Company Universe'!$C$6:$C$105,MATCH(D243,'Company Universe'!$A$6:$A$105,0))</x:f>
        <x:v>SY1.DE</x:v>
      </x:c>
      <x:c r="G243" s="75" t="str">
        <x:f>INDEX('Company Universe'!$F$6:$F$105,MATCH(D243,'Company Universe'!$A$6:$A$105,0))</x:f>
        <x:v>Specialty Ingredients</x:v>
      </x:c>
      <x:c r="H243" s="57" t="n">
        <x:v>8</x:v>
      </x:c>
      <x:c r="I243" s="206" t="n"/>
      <x:c r="J243" s="71" t="n"/>
      <x:c r="K243" s="71" t="n"/>
      <x:c r="L243" s="71" t="inlineStr">
        <x:is>
          <x:t xml:space="preserve">NO</x:t>
        </x:is>
      </x:c>
      <x:c r="M243" s="71" t="n"/>
      <x:c r="N243" s="71" t="n"/>
      <x:c r="O243" s="71" t="n"/>
      <x:c r="P243" s="71" t="n"/>
      <x:c r="Q243" s="71" t="n"/>
      <x:c r="R243" s="71" t="n"/>
      <x:c r="S243" s="206" t="n"/>
      <x:c r="T243" s="71" t="n"/>
      <x:c r="U243" s="71" t="n"/>
      <x:c r="V243" s="71" t="n"/>
      <x:c r="W243" s="71" t="n"/>
      <x:c r="X243" s="71" t="n"/>
      <x:c r="Y243" s="71" t="n"/>
      <x:c r="Z243" s="71" t="n"/>
      <x:c r="AA243" s="71" t="n"/>
      <x:c r="AB243" s="71" t="inlineStr">
        <x:is>
          <x:t xml:space="preserve">NO</x:t>
        </x:is>
      </x:c>
      <x:c r="AC243" s="57" t="inlineStr">
        <x:is>
          <x:t xml:space="preserve">V10</x:t>
        </x:is>
      </x:c>
      <x:c r="AD243" s="57" t="n"/>
      <x:c r="AE243" s="79" t="str">
        <x:f>IF(AND(I243&lt;&gt;"",J243&lt;&gt;"",K243&lt;&gt;"",L243="YES",M243&lt;&gt;"",S243&lt;&gt;"",T243&lt;&gt;"",U243&lt;&gt;"",V243&lt;&gt;"",W243&lt;&gt;"",X243&lt;&gt;"",Y243&lt;&gt;""),"COMPLETE","PENDING")</x:f>
        <x:v>PENDING</x:v>
      </x:c>
      <x:c r="AF243" s="79" t="str">
        <x:f>IF(AE243="COMPLETE","YES","NO")</x:f>
        <x:v>NO</x:v>
      </x:c>
      <x:c r="AG243" s="214" t="str">
        <x:f>IF(AF243&lt;&gt;"YES","",(IF(V243="YES",1,0)+IF(W243="YES",1,0))/2)</x:f>
      </x:c>
    </x:row>
    <x:row r="244">
      <x:c r="A244" s="57" t="inlineStr">
        <x:is>
          <x:t xml:space="preserve">C0239</x:t>
        </x:is>
      </x:c>
      <x:c r="B244" s="57" t="inlineStr">
        <x:is>
          <x:t xml:space="preserve">Development</x:t>
        </x:is>
      </x:c>
      <x:c r="C244" s="57" t="inlineStr">
        <x:is>
          <x:t xml:space="preserve">OPEN</x:t>
        </x:is>
      </x:c>
      <x:c r="D244" s="57" t="inlineStr">
        <x:is>
          <x:t xml:space="preserve">ARG-024</x:t>
        </x:is>
      </x:c>
      <x:c r="E244" s="75" t="str">
        <x:f>INDEX('Company Universe'!$B$6:$B$105,MATCH(D244,'Company Universe'!$A$6:$A$105,0))</x:f>
        <x:v>Symrise</x:v>
      </x:c>
      <x:c r="F244" s="75" t="str">
        <x:f>INDEX('Company Universe'!$C$6:$C$105,MATCH(D244,'Company Universe'!$A$6:$A$105,0))</x:f>
        <x:v>SY1.DE</x:v>
      </x:c>
      <x:c r="G244" s="75" t="str">
        <x:f>INDEX('Company Universe'!$F$6:$F$105,MATCH(D244,'Company Universe'!$A$6:$A$105,0))</x:f>
        <x:v>Specialty Ingredients</x:v>
      </x:c>
      <x:c r="H244" s="57" t="n">
        <x:v>9</x:v>
      </x:c>
      <x:c r="I244" s="206" t="n"/>
      <x:c r="J244" s="71" t="n"/>
      <x:c r="K244" s="71" t="n"/>
      <x:c r="L244" s="71" t="inlineStr">
        <x:is>
          <x:t xml:space="preserve">NO</x:t>
        </x:is>
      </x:c>
      <x:c r="M244" s="71" t="n"/>
      <x:c r="N244" s="71" t="n"/>
      <x:c r="O244" s="71" t="n"/>
      <x:c r="P244" s="71" t="n"/>
      <x:c r="Q244" s="71" t="n"/>
      <x:c r="R244" s="71" t="n"/>
      <x:c r="S244" s="206" t="n"/>
      <x:c r="T244" s="71" t="n"/>
      <x:c r="U244" s="71" t="n"/>
      <x:c r="V244" s="71" t="n"/>
      <x:c r="W244" s="71" t="n"/>
      <x:c r="X244" s="71" t="n"/>
      <x:c r="Y244" s="71" t="n"/>
      <x:c r="Z244" s="71" t="n"/>
      <x:c r="AA244" s="71" t="n"/>
      <x:c r="AB244" s="71" t="inlineStr">
        <x:is>
          <x:t xml:space="preserve">NO</x:t>
        </x:is>
      </x:c>
      <x:c r="AC244" s="57" t="inlineStr">
        <x:is>
          <x:t xml:space="preserve">V10</x:t>
        </x:is>
      </x:c>
      <x:c r="AD244" s="57" t="n"/>
      <x:c r="AE244" s="79" t="str">
        <x:f>IF(AND(I244&lt;&gt;"",J244&lt;&gt;"",K244&lt;&gt;"",L244="YES",M244&lt;&gt;"",S244&lt;&gt;"",T244&lt;&gt;"",U244&lt;&gt;"",V244&lt;&gt;"",W244&lt;&gt;"",X244&lt;&gt;"",Y244&lt;&gt;""),"COMPLETE","PENDING")</x:f>
        <x:v>PENDING</x:v>
      </x:c>
      <x:c r="AF244" s="79" t="str">
        <x:f>IF(AE244="COMPLETE","YES","NO")</x:f>
        <x:v>NO</x:v>
      </x:c>
      <x:c r="AG244" s="214" t="str">
        <x:f>IF(AF244&lt;&gt;"YES","",(IF(V244="YES",1,0)+IF(W244="YES",1,0))/2)</x:f>
      </x:c>
    </x:row>
    <x:row r="245">
      <x:c r="A245" s="57" t="inlineStr">
        <x:is>
          <x:t xml:space="preserve">C0240</x:t>
        </x:is>
      </x:c>
      <x:c r="B245" s="57" t="inlineStr">
        <x:is>
          <x:t xml:space="preserve">Development</x:t>
        </x:is>
      </x:c>
      <x:c r="C245" s="57" t="inlineStr">
        <x:is>
          <x:t xml:space="preserve">OPEN</x:t>
        </x:is>
      </x:c>
      <x:c r="D245" s="57" t="inlineStr">
        <x:is>
          <x:t xml:space="preserve">ARG-024</x:t>
        </x:is>
      </x:c>
      <x:c r="E245" s="75" t="str">
        <x:f>INDEX('Company Universe'!$B$6:$B$105,MATCH(D245,'Company Universe'!$A$6:$A$105,0))</x:f>
        <x:v>Symrise</x:v>
      </x:c>
      <x:c r="F245" s="75" t="str">
        <x:f>INDEX('Company Universe'!$C$6:$C$105,MATCH(D245,'Company Universe'!$A$6:$A$105,0))</x:f>
        <x:v>SY1.DE</x:v>
      </x:c>
      <x:c r="G245" s="75" t="str">
        <x:f>INDEX('Company Universe'!$F$6:$F$105,MATCH(D245,'Company Universe'!$A$6:$A$105,0))</x:f>
        <x:v>Specialty Ingredients</x:v>
      </x:c>
      <x:c r="H245" s="57" t="n">
        <x:v>10</x:v>
      </x:c>
      <x:c r="I245" s="206" t="n"/>
      <x:c r="J245" s="71" t="n"/>
      <x:c r="K245" s="71" t="n"/>
      <x:c r="L245" s="71" t="inlineStr">
        <x:is>
          <x:t xml:space="preserve">NO</x:t>
        </x:is>
      </x:c>
      <x:c r="M245" s="71" t="n"/>
      <x:c r="N245" s="71" t="n"/>
      <x:c r="O245" s="71" t="n"/>
      <x:c r="P245" s="71" t="n"/>
      <x:c r="Q245" s="71" t="n"/>
      <x:c r="R245" s="71" t="n"/>
      <x:c r="S245" s="206" t="n"/>
      <x:c r="T245" s="71" t="n"/>
      <x:c r="U245" s="71" t="n"/>
      <x:c r="V245" s="71" t="n"/>
      <x:c r="W245" s="71" t="n"/>
      <x:c r="X245" s="71" t="n"/>
      <x:c r="Y245" s="71" t="n"/>
      <x:c r="Z245" s="71" t="n"/>
      <x:c r="AA245" s="71" t="n"/>
      <x:c r="AB245" s="71" t="inlineStr">
        <x:is>
          <x:t xml:space="preserve">NO</x:t>
        </x:is>
      </x:c>
      <x:c r="AC245" s="57" t="inlineStr">
        <x:is>
          <x:t xml:space="preserve">V10</x:t>
        </x:is>
      </x:c>
      <x:c r="AD245" s="57" t="n"/>
      <x:c r="AE245" s="79" t="str">
        <x:f>IF(AND(I245&lt;&gt;"",J245&lt;&gt;"",K245&lt;&gt;"",L245="YES",M245&lt;&gt;"",S245&lt;&gt;"",T245&lt;&gt;"",U245&lt;&gt;"",V245&lt;&gt;"",W245&lt;&gt;"",X245&lt;&gt;"",Y245&lt;&gt;""),"COMPLETE","PENDING")</x:f>
        <x:v>PENDING</x:v>
      </x:c>
      <x:c r="AF245" s="79" t="str">
        <x:f>IF(AE245="COMPLETE","YES","NO")</x:f>
        <x:v>NO</x:v>
      </x:c>
      <x:c r="AG245" s="214" t="str">
        <x:f>IF(AF245&lt;&gt;"YES","",(IF(V245="YES",1,0)+IF(W245="YES",1,0))/2)</x:f>
      </x:c>
    </x:row>
    <x:row r="246">
      <x:c r="A246" s="57" t="inlineStr">
        <x:is>
          <x:t xml:space="preserve">C0241</x:t>
        </x:is>
      </x:c>
      <x:c r="B246" s="57" t="inlineStr">
        <x:is>
          <x:t xml:space="preserve">Development</x:t>
        </x:is>
      </x:c>
      <x:c r="C246" s="57" t="inlineStr">
        <x:is>
          <x:t xml:space="preserve">OPEN</x:t>
        </x:is>
      </x:c>
      <x:c r="D246" s="57" t="inlineStr">
        <x:is>
          <x:t xml:space="preserve">ARG-025</x:t>
        </x:is>
      </x:c>
      <x:c r="E246" s="75" t="str">
        <x:f>INDEX('Company Universe'!$B$6:$B$105,MATCH(D246,'Company Universe'!$A$6:$A$105,0))</x:f>
        <x:v>Croda International</x:v>
      </x:c>
      <x:c r="F246" s="75" t="str">
        <x:f>INDEX('Company Universe'!$C$6:$C$105,MATCH(D246,'Company Universe'!$A$6:$A$105,0))</x:f>
        <x:v>CRDA.L</x:v>
      </x:c>
      <x:c r="G246" s="75" t="str">
        <x:f>INDEX('Company Universe'!$F$6:$F$105,MATCH(D246,'Company Universe'!$A$6:$A$105,0))</x:f>
        <x:v>Specialty Ingredients</x:v>
      </x:c>
      <x:c r="H246" s="57" t="n">
        <x:v>1</x:v>
      </x:c>
      <x:c r="I246" s="206" t="n"/>
      <x:c r="J246" s="71" t="n"/>
      <x:c r="K246" s="71" t="n"/>
      <x:c r="L246" s="71" t="inlineStr">
        <x:is>
          <x:t xml:space="preserve">NO</x:t>
        </x:is>
      </x:c>
      <x:c r="M246" s="71" t="n"/>
      <x:c r="N246" s="71" t="n"/>
      <x:c r="O246" s="71" t="n"/>
      <x:c r="P246" s="71" t="n"/>
      <x:c r="Q246" s="71" t="n"/>
      <x:c r="R246" s="71" t="n"/>
      <x:c r="S246" s="206" t="n"/>
      <x:c r="T246" s="71" t="n"/>
      <x:c r="U246" s="71" t="n"/>
      <x:c r="V246" s="71" t="n"/>
      <x:c r="W246" s="71" t="n"/>
      <x:c r="X246" s="71" t="n"/>
      <x:c r="Y246" s="71" t="n"/>
      <x:c r="Z246" s="71" t="n"/>
      <x:c r="AA246" s="71" t="n"/>
      <x:c r="AB246" s="71" t="inlineStr">
        <x:is>
          <x:t xml:space="preserve">NO</x:t>
        </x:is>
      </x:c>
      <x:c r="AC246" s="57" t="inlineStr">
        <x:is>
          <x:t xml:space="preserve">V10</x:t>
        </x:is>
      </x:c>
      <x:c r="AD246" s="57" t="n"/>
      <x:c r="AE246" s="79" t="str">
        <x:f>IF(AND(I246&lt;&gt;"",J246&lt;&gt;"",K246&lt;&gt;"",L246="YES",M246&lt;&gt;"",S246&lt;&gt;"",T246&lt;&gt;"",U246&lt;&gt;"",V246&lt;&gt;"",W246&lt;&gt;"",X246&lt;&gt;"",Y246&lt;&gt;""),"COMPLETE","PENDING")</x:f>
        <x:v>PENDING</x:v>
      </x:c>
      <x:c r="AF246" s="79" t="str">
        <x:f>IF(AE246="COMPLETE","YES","NO")</x:f>
        <x:v>NO</x:v>
      </x:c>
      <x:c r="AG246" s="214" t="str">
        <x:f>IF(AF246&lt;&gt;"YES","",(IF(V246="YES",1,0)+IF(W246="YES",1,0))/2)</x:f>
      </x:c>
    </x:row>
    <x:row r="247">
      <x:c r="A247" s="57" t="inlineStr">
        <x:is>
          <x:t xml:space="preserve">C0242</x:t>
        </x:is>
      </x:c>
      <x:c r="B247" s="57" t="inlineStr">
        <x:is>
          <x:t xml:space="preserve">Development</x:t>
        </x:is>
      </x:c>
      <x:c r="C247" s="57" t="inlineStr">
        <x:is>
          <x:t xml:space="preserve">OPEN</x:t>
        </x:is>
      </x:c>
      <x:c r="D247" s="57" t="inlineStr">
        <x:is>
          <x:t xml:space="preserve">ARG-025</x:t>
        </x:is>
      </x:c>
      <x:c r="E247" s="75" t="str">
        <x:f>INDEX('Company Universe'!$B$6:$B$105,MATCH(D247,'Company Universe'!$A$6:$A$105,0))</x:f>
        <x:v>Croda International</x:v>
      </x:c>
      <x:c r="F247" s="75" t="str">
        <x:f>INDEX('Company Universe'!$C$6:$C$105,MATCH(D247,'Company Universe'!$A$6:$A$105,0))</x:f>
        <x:v>CRDA.L</x:v>
      </x:c>
      <x:c r="G247" s="75" t="str">
        <x:f>INDEX('Company Universe'!$F$6:$F$105,MATCH(D247,'Company Universe'!$A$6:$A$105,0))</x:f>
        <x:v>Specialty Ingredients</x:v>
      </x:c>
      <x:c r="H247" s="57" t="n">
        <x:v>2</x:v>
      </x:c>
      <x:c r="I247" s="206" t="n"/>
      <x:c r="J247" s="71" t="n"/>
      <x:c r="K247" s="71" t="n"/>
      <x:c r="L247" s="71" t="inlineStr">
        <x:is>
          <x:t xml:space="preserve">NO</x:t>
        </x:is>
      </x:c>
      <x:c r="M247" s="71" t="n"/>
      <x:c r="N247" s="71" t="n"/>
      <x:c r="O247" s="71" t="n"/>
      <x:c r="P247" s="71" t="n"/>
      <x:c r="Q247" s="71" t="n"/>
      <x:c r="R247" s="71" t="n"/>
      <x:c r="S247" s="206" t="n"/>
      <x:c r="T247" s="71" t="n"/>
      <x:c r="U247" s="71" t="n"/>
      <x:c r="V247" s="71" t="n"/>
      <x:c r="W247" s="71" t="n"/>
      <x:c r="X247" s="71" t="n"/>
      <x:c r="Y247" s="71" t="n"/>
      <x:c r="Z247" s="71" t="n"/>
      <x:c r="AA247" s="71" t="n"/>
      <x:c r="AB247" s="71" t="inlineStr">
        <x:is>
          <x:t xml:space="preserve">NO</x:t>
        </x:is>
      </x:c>
      <x:c r="AC247" s="57" t="inlineStr">
        <x:is>
          <x:t xml:space="preserve">V10</x:t>
        </x:is>
      </x:c>
      <x:c r="AD247" s="57" t="n"/>
      <x:c r="AE247" s="79" t="str">
        <x:f>IF(AND(I247&lt;&gt;"",J247&lt;&gt;"",K247&lt;&gt;"",L247="YES",M247&lt;&gt;"",S247&lt;&gt;"",T247&lt;&gt;"",U247&lt;&gt;"",V247&lt;&gt;"",W247&lt;&gt;"",X247&lt;&gt;"",Y247&lt;&gt;""),"COMPLETE","PENDING")</x:f>
        <x:v>PENDING</x:v>
      </x:c>
      <x:c r="AF247" s="79" t="str">
        <x:f>IF(AE247="COMPLETE","YES","NO")</x:f>
        <x:v>NO</x:v>
      </x:c>
      <x:c r="AG247" s="214" t="str">
        <x:f>IF(AF247&lt;&gt;"YES","",(IF(V247="YES",1,0)+IF(W247="YES",1,0))/2)</x:f>
      </x:c>
    </x:row>
    <x:row r="248">
      <x:c r="A248" s="57" t="inlineStr">
        <x:is>
          <x:t xml:space="preserve">C0243</x:t>
        </x:is>
      </x:c>
      <x:c r="B248" s="57" t="inlineStr">
        <x:is>
          <x:t xml:space="preserve">Development</x:t>
        </x:is>
      </x:c>
      <x:c r="C248" s="57" t="inlineStr">
        <x:is>
          <x:t xml:space="preserve">OPEN</x:t>
        </x:is>
      </x:c>
      <x:c r="D248" s="57" t="inlineStr">
        <x:is>
          <x:t xml:space="preserve">ARG-025</x:t>
        </x:is>
      </x:c>
      <x:c r="E248" s="75" t="str">
        <x:f>INDEX('Company Universe'!$B$6:$B$105,MATCH(D248,'Company Universe'!$A$6:$A$105,0))</x:f>
        <x:v>Croda International</x:v>
      </x:c>
      <x:c r="F248" s="75" t="str">
        <x:f>INDEX('Company Universe'!$C$6:$C$105,MATCH(D248,'Company Universe'!$A$6:$A$105,0))</x:f>
        <x:v>CRDA.L</x:v>
      </x:c>
      <x:c r="G248" s="75" t="str">
        <x:f>INDEX('Company Universe'!$F$6:$F$105,MATCH(D248,'Company Universe'!$A$6:$A$105,0))</x:f>
        <x:v>Specialty Ingredients</x:v>
      </x:c>
      <x:c r="H248" s="57" t="n">
        <x:v>3</x:v>
      </x:c>
      <x:c r="I248" s="206" t="n"/>
      <x:c r="J248" s="71" t="n"/>
      <x:c r="K248" s="71" t="n"/>
      <x:c r="L248" s="71" t="inlineStr">
        <x:is>
          <x:t xml:space="preserve">NO</x:t>
        </x:is>
      </x:c>
      <x:c r="M248" s="71" t="n"/>
      <x:c r="N248" s="71" t="n"/>
      <x:c r="O248" s="71" t="n"/>
      <x:c r="P248" s="71" t="n"/>
      <x:c r="Q248" s="71" t="n"/>
      <x:c r="R248" s="71" t="n"/>
      <x:c r="S248" s="206" t="n"/>
      <x:c r="T248" s="71" t="n"/>
      <x:c r="U248" s="71" t="n"/>
      <x:c r="V248" s="71" t="n"/>
      <x:c r="W248" s="71" t="n"/>
      <x:c r="X248" s="71" t="n"/>
      <x:c r="Y248" s="71" t="n"/>
      <x:c r="Z248" s="71" t="n"/>
      <x:c r="AA248" s="71" t="n"/>
      <x:c r="AB248" s="71" t="inlineStr">
        <x:is>
          <x:t xml:space="preserve">NO</x:t>
        </x:is>
      </x:c>
      <x:c r="AC248" s="57" t="inlineStr">
        <x:is>
          <x:t xml:space="preserve">V10</x:t>
        </x:is>
      </x:c>
      <x:c r="AD248" s="57" t="n"/>
      <x:c r="AE248" s="79" t="str">
        <x:f>IF(AND(I248&lt;&gt;"",J248&lt;&gt;"",K248&lt;&gt;"",L248="YES",M248&lt;&gt;"",S248&lt;&gt;"",T248&lt;&gt;"",U248&lt;&gt;"",V248&lt;&gt;"",W248&lt;&gt;"",X248&lt;&gt;"",Y248&lt;&gt;""),"COMPLETE","PENDING")</x:f>
        <x:v>PENDING</x:v>
      </x:c>
      <x:c r="AF248" s="79" t="str">
        <x:f>IF(AE248="COMPLETE","YES","NO")</x:f>
        <x:v>NO</x:v>
      </x:c>
      <x:c r="AG248" s="214" t="str">
        <x:f>IF(AF248&lt;&gt;"YES","",(IF(V248="YES",1,0)+IF(W248="YES",1,0))/2)</x:f>
      </x:c>
    </x:row>
    <x:row r="249">
      <x:c r="A249" s="57" t="inlineStr">
        <x:is>
          <x:t xml:space="preserve">C0244</x:t>
        </x:is>
      </x:c>
      <x:c r="B249" s="57" t="inlineStr">
        <x:is>
          <x:t xml:space="preserve">Development</x:t>
        </x:is>
      </x:c>
      <x:c r="C249" s="57" t="inlineStr">
        <x:is>
          <x:t xml:space="preserve">OPEN</x:t>
        </x:is>
      </x:c>
      <x:c r="D249" s="57" t="inlineStr">
        <x:is>
          <x:t xml:space="preserve">ARG-025</x:t>
        </x:is>
      </x:c>
      <x:c r="E249" s="75" t="str">
        <x:f>INDEX('Company Universe'!$B$6:$B$105,MATCH(D249,'Company Universe'!$A$6:$A$105,0))</x:f>
        <x:v>Croda International</x:v>
      </x:c>
      <x:c r="F249" s="75" t="str">
        <x:f>INDEX('Company Universe'!$C$6:$C$105,MATCH(D249,'Company Universe'!$A$6:$A$105,0))</x:f>
        <x:v>CRDA.L</x:v>
      </x:c>
      <x:c r="G249" s="75" t="str">
        <x:f>INDEX('Company Universe'!$F$6:$F$105,MATCH(D249,'Company Universe'!$A$6:$A$105,0))</x:f>
        <x:v>Specialty Ingredients</x:v>
      </x:c>
      <x:c r="H249" s="57" t="n">
        <x:v>4</x:v>
      </x:c>
      <x:c r="I249" s="206" t="n"/>
      <x:c r="J249" s="71" t="n"/>
      <x:c r="K249" s="71" t="n"/>
      <x:c r="L249" s="71" t="inlineStr">
        <x:is>
          <x:t xml:space="preserve">NO</x:t>
        </x:is>
      </x:c>
      <x:c r="M249" s="71" t="n"/>
      <x:c r="N249" s="71" t="n"/>
      <x:c r="O249" s="71" t="n"/>
      <x:c r="P249" s="71" t="n"/>
      <x:c r="Q249" s="71" t="n"/>
      <x:c r="R249" s="71" t="n"/>
      <x:c r="S249" s="206" t="n"/>
      <x:c r="T249" s="71" t="n"/>
      <x:c r="U249" s="71" t="n"/>
      <x:c r="V249" s="71" t="n"/>
      <x:c r="W249" s="71" t="n"/>
      <x:c r="X249" s="71" t="n"/>
      <x:c r="Y249" s="71" t="n"/>
      <x:c r="Z249" s="71" t="n"/>
      <x:c r="AA249" s="71" t="n"/>
      <x:c r="AB249" s="71" t="inlineStr">
        <x:is>
          <x:t xml:space="preserve">NO</x:t>
        </x:is>
      </x:c>
      <x:c r="AC249" s="57" t="inlineStr">
        <x:is>
          <x:t xml:space="preserve">V10</x:t>
        </x:is>
      </x:c>
      <x:c r="AD249" s="57" t="n"/>
      <x:c r="AE249" s="79" t="str">
        <x:f>IF(AND(I249&lt;&gt;"",J249&lt;&gt;"",K249&lt;&gt;"",L249="YES",M249&lt;&gt;"",S249&lt;&gt;"",T249&lt;&gt;"",U249&lt;&gt;"",V249&lt;&gt;"",W249&lt;&gt;"",X249&lt;&gt;"",Y249&lt;&gt;""),"COMPLETE","PENDING")</x:f>
        <x:v>PENDING</x:v>
      </x:c>
      <x:c r="AF249" s="79" t="str">
        <x:f>IF(AE249="COMPLETE","YES","NO")</x:f>
        <x:v>NO</x:v>
      </x:c>
      <x:c r="AG249" s="214" t="str">
        <x:f>IF(AF249&lt;&gt;"YES","",(IF(V249="YES",1,0)+IF(W249="YES",1,0))/2)</x:f>
      </x:c>
    </x:row>
    <x:row r="250">
      <x:c r="A250" s="57" t="inlineStr">
        <x:is>
          <x:t xml:space="preserve">C0245</x:t>
        </x:is>
      </x:c>
      <x:c r="B250" s="57" t="inlineStr">
        <x:is>
          <x:t xml:space="preserve">Development</x:t>
        </x:is>
      </x:c>
      <x:c r="C250" s="57" t="inlineStr">
        <x:is>
          <x:t xml:space="preserve">OPEN</x:t>
        </x:is>
      </x:c>
      <x:c r="D250" s="57" t="inlineStr">
        <x:is>
          <x:t xml:space="preserve">ARG-025</x:t>
        </x:is>
      </x:c>
      <x:c r="E250" s="75" t="str">
        <x:f>INDEX('Company Universe'!$B$6:$B$105,MATCH(D250,'Company Universe'!$A$6:$A$105,0))</x:f>
        <x:v>Croda International</x:v>
      </x:c>
      <x:c r="F250" s="75" t="str">
        <x:f>INDEX('Company Universe'!$C$6:$C$105,MATCH(D250,'Company Universe'!$A$6:$A$105,0))</x:f>
        <x:v>CRDA.L</x:v>
      </x:c>
      <x:c r="G250" s="75" t="str">
        <x:f>INDEX('Company Universe'!$F$6:$F$105,MATCH(D250,'Company Universe'!$A$6:$A$105,0))</x:f>
        <x:v>Specialty Ingredients</x:v>
      </x:c>
      <x:c r="H250" s="57" t="n">
        <x:v>5</x:v>
      </x:c>
      <x:c r="I250" s="206" t="n"/>
      <x:c r="J250" s="71" t="n"/>
      <x:c r="K250" s="71" t="n"/>
      <x:c r="L250" s="71" t="inlineStr">
        <x:is>
          <x:t xml:space="preserve">NO</x:t>
        </x:is>
      </x:c>
      <x:c r="M250" s="71" t="n"/>
      <x:c r="N250" s="71" t="n"/>
      <x:c r="O250" s="71" t="n"/>
      <x:c r="P250" s="71" t="n"/>
      <x:c r="Q250" s="71" t="n"/>
      <x:c r="R250" s="71" t="n"/>
      <x:c r="S250" s="206" t="n"/>
      <x:c r="T250" s="71" t="n"/>
      <x:c r="U250" s="71" t="n"/>
      <x:c r="V250" s="71" t="n"/>
      <x:c r="W250" s="71" t="n"/>
      <x:c r="X250" s="71" t="n"/>
      <x:c r="Y250" s="71" t="n"/>
      <x:c r="Z250" s="71" t="n"/>
      <x:c r="AA250" s="71" t="n"/>
      <x:c r="AB250" s="71" t="inlineStr">
        <x:is>
          <x:t xml:space="preserve">NO</x:t>
        </x:is>
      </x:c>
      <x:c r="AC250" s="57" t="inlineStr">
        <x:is>
          <x:t xml:space="preserve">V10</x:t>
        </x:is>
      </x:c>
      <x:c r="AD250" s="57" t="n"/>
      <x:c r="AE250" s="79" t="str">
        <x:f>IF(AND(I250&lt;&gt;"",J250&lt;&gt;"",K250&lt;&gt;"",L250="YES",M250&lt;&gt;"",S250&lt;&gt;"",T250&lt;&gt;"",U250&lt;&gt;"",V250&lt;&gt;"",W250&lt;&gt;"",X250&lt;&gt;"",Y250&lt;&gt;""),"COMPLETE","PENDING")</x:f>
        <x:v>PENDING</x:v>
      </x:c>
      <x:c r="AF250" s="79" t="str">
        <x:f>IF(AE250="COMPLETE","YES","NO")</x:f>
        <x:v>NO</x:v>
      </x:c>
      <x:c r="AG250" s="214" t="str">
        <x:f>IF(AF250&lt;&gt;"YES","",(IF(V250="YES",1,0)+IF(W250="YES",1,0))/2)</x:f>
      </x:c>
    </x:row>
    <x:row r="251">
      <x:c r="A251" s="57" t="inlineStr">
        <x:is>
          <x:t xml:space="preserve">C0246</x:t>
        </x:is>
      </x:c>
      <x:c r="B251" s="57" t="inlineStr">
        <x:is>
          <x:t xml:space="preserve">Development</x:t>
        </x:is>
      </x:c>
      <x:c r="C251" s="57" t="inlineStr">
        <x:is>
          <x:t xml:space="preserve">OPEN</x:t>
        </x:is>
      </x:c>
      <x:c r="D251" s="57" t="inlineStr">
        <x:is>
          <x:t xml:space="preserve">ARG-025</x:t>
        </x:is>
      </x:c>
      <x:c r="E251" s="75" t="str">
        <x:f>INDEX('Company Universe'!$B$6:$B$105,MATCH(D251,'Company Universe'!$A$6:$A$105,0))</x:f>
        <x:v>Croda International</x:v>
      </x:c>
      <x:c r="F251" s="75" t="str">
        <x:f>INDEX('Company Universe'!$C$6:$C$105,MATCH(D251,'Company Universe'!$A$6:$A$105,0))</x:f>
        <x:v>CRDA.L</x:v>
      </x:c>
      <x:c r="G251" s="75" t="str">
        <x:f>INDEX('Company Universe'!$F$6:$F$105,MATCH(D251,'Company Universe'!$A$6:$A$105,0))</x:f>
        <x:v>Specialty Ingredients</x:v>
      </x:c>
      <x:c r="H251" s="57" t="n">
        <x:v>6</x:v>
      </x:c>
      <x:c r="I251" s="206" t="n"/>
      <x:c r="J251" s="71" t="n"/>
      <x:c r="K251" s="71" t="n"/>
      <x:c r="L251" s="71" t="inlineStr">
        <x:is>
          <x:t xml:space="preserve">NO</x:t>
        </x:is>
      </x:c>
      <x:c r="M251" s="71" t="n"/>
      <x:c r="N251" s="71" t="n"/>
      <x:c r="O251" s="71" t="n"/>
      <x:c r="P251" s="71" t="n"/>
      <x:c r="Q251" s="71" t="n"/>
      <x:c r="R251" s="71" t="n"/>
      <x:c r="S251" s="206" t="n"/>
      <x:c r="T251" s="71" t="n"/>
      <x:c r="U251" s="71" t="n"/>
      <x:c r="V251" s="71" t="n"/>
      <x:c r="W251" s="71" t="n"/>
      <x:c r="X251" s="71" t="n"/>
      <x:c r="Y251" s="71" t="n"/>
      <x:c r="Z251" s="71" t="n"/>
      <x:c r="AA251" s="71" t="n"/>
      <x:c r="AB251" s="71" t="inlineStr">
        <x:is>
          <x:t xml:space="preserve">NO</x:t>
        </x:is>
      </x:c>
      <x:c r="AC251" s="57" t="inlineStr">
        <x:is>
          <x:t xml:space="preserve">V10</x:t>
        </x:is>
      </x:c>
      <x:c r="AD251" s="57" t="n"/>
      <x:c r="AE251" s="79" t="str">
        <x:f>IF(AND(I251&lt;&gt;"",J251&lt;&gt;"",K251&lt;&gt;"",L251="YES",M251&lt;&gt;"",S251&lt;&gt;"",T251&lt;&gt;"",U251&lt;&gt;"",V251&lt;&gt;"",W251&lt;&gt;"",X251&lt;&gt;"",Y251&lt;&gt;""),"COMPLETE","PENDING")</x:f>
        <x:v>PENDING</x:v>
      </x:c>
      <x:c r="AF251" s="79" t="str">
        <x:f>IF(AE251="COMPLETE","YES","NO")</x:f>
        <x:v>NO</x:v>
      </x:c>
      <x:c r="AG251" s="214" t="str">
        <x:f>IF(AF251&lt;&gt;"YES","",(IF(V251="YES",1,0)+IF(W251="YES",1,0))/2)</x:f>
      </x:c>
    </x:row>
    <x:row r="252">
      <x:c r="A252" s="57" t="inlineStr">
        <x:is>
          <x:t xml:space="preserve">C0247</x:t>
        </x:is>
      </x:c>
      <x:c r="B252" s="57" t="inlineStr">
        <x:is>
          <x:t xml:space="preserve">Development</x:t>
        </x:is>
      </x:c>
      <x:c r="C252" s="57" t="inlineStr">
        <x:is>
          <x:t xml:space="preserve">OPEN</x:t>
        </x:is>
      </x:c>
      <x:c r="D252" s="57" t="inlineStr">
        <x:is>
          <x:t xml:space="preserve">ARG-025</x:t>
        </x:is>
      </x:c>
      <x:c r="E252" s="75" t="str">
        <x:f>INDEX('Company Universe'!$B$6:$B$105,MATCH(D252,'Company Universe'!$A$6:$A$105,0))</x:f>
        <x:v>Croda International</x:v>
      </x:c>
      <x:c r="F252" s="75" t="str">
        <x:f>INDEX('Company Universe'!$C$6:$C$105,MATCH(D252,'Company Universe'!$A$6:$A$105,0))</x:f>
        <x:v>CRDA.L</x:v>
      </x:c>
      <x:c r="G252" s="75" t="str">
        <x:f>INDEX('Company Universe'!$F$6:$F$105,MATCH(D252,'Company Universe'!$A$6:$A$105,0))</x:f>
        <x:v>Specialty Ingredients</x:v>
      </x:c>
      <x:c r="H252" s="57" t="n">
        <x:v>7</x:v>
      </x:c>
      <x:c r="I252" s="206" t="n"/>
      <x:c r="J252" s="71" t="n"/>
      <x:c r="K252" s="71" t="n"/>
      <x:c r="L252" s="71" t="inlineStr">
        <x:is>
          <x:t xml:space="preserve">NO</x:t>
        </x:is>
      </x:c>
      <x:c r="M252" s="71" t="n"/>
      <x:c r="N252" s="71" t="n"/>
      <x:c r="O252" s="71" t="n"/>
      <x:c r="P252" s="71" t="n"/>
      <x:c r="Q252" s="71" t="n"/>
      <x:c r="R252" s="71" t="n"/>
      <x:c r="S252" s="206" t="n"/>
      <x:c r="T252" s="71" t="n"/>
      <x:c r="U252" s="71" t="n"/>
      <x:c r="V252" s="71" t="n"/>
      <x:c r="W252" s="71" t="n"/>
      <x:c r="X252" s="71" t="n"/>
      <x:c r="Y252" s="71" t="n"/>
      <x:c r="Z252" s="71" t="n"/>
      <x:c r="AA252" s="71" t="n"/>
      <x:c r="AB252" s="71" t="inlineStr">
        <x:is>
          <x:t xml:space="preserve">NO</x:t>
        </x:is>
      </x:c>
      <x:c r="AC252" s="57" t="inlineStr">
        <x:is>
          <x:t xml:space="preserve">V10</x:t>
        </x:is>
      </x:c>
      <x:c r="AD252" s="57" t="n"/>
      <x:c r="AE252" s="79" t="str">
        <x:f>IF(AND(I252&lt;&gt;"",J252&lt;&gt;"",K252&lt;&gt;"",L252="YES",M252&lt;&gt;"",S252&lt;&gt;"",T252&lt;&gt;"",U252&lt;&gt;"",V252&lt;&gt;"",W252&lt;&gt;"",X252&lt;&gt;"",Y252&lt;&gt;""),"COMPLETE","PENDING")</x:f>
        <x:v>PENDING</x:v>
      </x:c>
      <x:c r="AF252" s="79" t="str">
        <x:f>IF(AE252="COMPLETE","YES","NO")</x:f>
        <x:v>NO</x:v>
      </x:c>
      <x:c r="AG252" s="214" t="str">
        <x:f>IF(AF252&lt;&gt;"YES","",(IF(V252="YES",1,0)+IF(W252="YES",1,0))/2)</x:f>
      </x:c>
    </x:row>
    <x:row r="253">
      <x:c r="A253" s="57" t="inlineStr">
        <x:is>
          <x:t xml:space="preserve">C0248</x:t>
        </x:is>
      </x:c>
      <x:c r="B253" s="57" t="inlineStr">
        <x:is>
          <x:t xml:space="preserve">Development</x:t>
        </x:is>
      </x:c>
      <x:c r="C253" s="57" t="inlineStr">
        <x:is>
          <x:t xml:space="preserve">OPEN</x:t>
        </x:is>
      </x:c>
      <x:c r="D253" s="57" t="inlineStr">
        <x:is>
          <x:t xml:space="preserve">ARG-025</x:t>
        </x:is>
      </x:c>
      <x:c r="E253" s="75" t="str">
        <x:f>INDEX('Company Universe'!$B$6:$B$105,MATCH(D253,'Company Universe'!$A$6:$A$105,0))</x:f>
        <x:v>Croda International</x:v>
      </x:c>
      <x:c r="F253" s="75" t="str">
        <x:f>INDEX('Company Universe'!$C$6:$C$105,MATCH(D253,'Company Universe'!$A$6:$A$105,0))</x:f>
        <x:v>CRDA.L</x:v>
      </x:c>
      <x:c r="G253" s="75" t="str">
        <x:f>INDEX('Company Universe'!$F$6:$F$105,MATCH(D253,'Company Universe'!$A$6:$A$105,0))</x:f>
        <x:v>Specialty Ingredients</x:v>
      </x:c>
      <x:c r="H253" s="57" t="n">
        <x:v>8</x:v>
      </x:c>
      <x:c r="I253" s="206" t="n"/>
      <x:c r="J253" s="71" t="n"/>
      <x:c r="K253" s="71" t="n"/>
      <x:c r="L253" s="71" t="inlineStr">
        <x:is>
          <x:t xml:space="preserve">NO</x:t>
        </x:is>
      </x:c>
      <x:c r="M253" s="71" t="n"/>
      <x:c r="N253" s="71" t="n"/>
      <x:c r="O253" s="71" t="n"/>
      <x:c r="P253" s="71" t="n"/>
      <x:c r="Q253" s="71" t="n"/>
      <x:c r="R253" s="71" t="n"/>
      <x:c r="S253" s="206" t="n"/>
      <x:c r="T253" s="71" t="n"/>
      <x:c r="U253" s="71" t="n"/>
      <x:c r="V253" s="71" t="n"/>
      <x:c r="W253" s="71" t="n"/>
      <x:c r="X253" s="71" t="n"/>
      <x:c r="Y253" s="71" t="n"/>
      <x:c r="Z253" s="71" t="n"/>
      <x:c r="AA253" s="71" t="n"/>
      <x:c r="AB253" s="71" t="inlineStr">
        <x:is>
          <x:t xml:space="preserve">NO</x:t>
        </x:is>
      </x:c>
      <x:c r="AC253" s="57" t="inlineStr">
        <x:is>
          <x:t xml:space="preserve">V10</x:t>
        </x:is>
      </x:c>
      <x:c r="AD253" s="57" t="n"/>
      <x:c r="AE253" s="79" t="str">
        <x:f>IF(AND(I253&lt;&gt;"",J253&lt;&gt;"",K253&lt;&gt;"",L253="YES",M253&lt;&gt;"",S253&lt;&gt;"",T253&lt;&gt;"",U253&lt;&gt;"",V253&lt;&gt;"",W253&lt;&gt;"",X253&lt;&gt;"",Y253&lt;&gt;""),"COMPLETE","PENDING")</x:f>
        <x:v>PENDING</x:v>
      </x:c>
      <x:c r="AF253" s="79" t="str">
        <x:f>IF(AE253="COMPLETE","YES","NO")</x:f>
        <x:v>NO</x:v>
      </x:c>
      <x:c r="AG253" s="214" t="str">
        <x:f>IF(AF253&lt;&gt;"YES","",(IF(V253="YES",1,0)+IF(W253="YES",1,0))/2)</x:f>
      </x:c>
    </x:row>
    <x:row r="254">
      <x:c r="A254" s="57" t="inlineStr">
        <x:is>
          <x:t xml:space="preserve">C0249</x:t>
        </x:is>
      </x:c>
      <x:c r="B254" s="57" t="inlineStr">
        <x:is>
          <x:t xml:space="preserve">Development</x:t>
        </x:is>
      </x:c>
      <x:c r="C254" s="57" t="inlineStr">
        <x:is>
          <x:t xml:space="preserve">OPEN</x:t>
        </x:is>
      </x:c>
      <x:c r="D254" s="57" t="inlineStr">
        <x:is>
          <x:t xml:space="preserve">ARG-025</x:t>
        </x:is>
      </x:c>
      <x:c r="E254" s="75" t="str">
        <x:f>INDEX('Company Universe'!$B$6:$B$105,MATCH(D254,'Company Universe'!$A$6:$A$105,0))</x:f>
        <x:v>Croda International</x:v>
      </x:c>
      <x:c r="F254" s="75" t="str">
        <x:f>INDEX('Company Universe'!$C$6:$C$105,MATCH(D254,'Company Universe'!$A$6:$A$105,0))</x:f>
        <x:v>CRDA.L</x:v>
      </x:c>
      <x:c r="G254" s="75" t="str">
        <x:f>INDEX('Company Universe'!$F$6:$F$105,MATCH(D254,'Company Universe'!$A$6:$A$105,0))</x:f>
        <x:v>Specialty Ingredients</x:v>
      </x:c>
      <x:c r="H254" s="57" t="n">
        <x:v>9</x:v>
      </x:c>
      <x:c r="I254" s="206" t="n"/>
      <x:c r="J254" s="71" t="n"/>
      <x:c r="K254" s="71" t="n"/>
      <x:c r="L254" s="71" t="inlineStr">
        <x:is>
          <x:t xml:space="preserve">NO</x:t>
        </x:is>
      </x:c>
      <x:c r="M254" s="71" t="n"/>
      <x:c r="N254" s="71" t="n"/>
      <x:c r="O254" s="71" t="n"/>
      <x:c r="P254" s="71" t="n"/>
      <x:c r="Q254" s="71" t="n"/>
      <x:c r="R254" s="71" t="n"/>
      <x:c r="S254" s="206" t="n"/>
      <x:c r="T254" s="71" t="n"/>
      <x:c r="U254" s="71" t="n"/>
      <x:c r="V254" s="71" t="n"/>
      <x:c r="W254" s="71" t="n"/>
      <x:c r="X254" s="71" t="n"/>
      <x:c r="Y254" s="71" t="n"/>
      <x:c r="Z254" s="71" t="n"/>
      <x:c r="AA254" s="71" t="n"/>
      <x:c r="AB254" s="71" t="inlineStr">
        <x:is>
          <x:t xml:space="preserve">NO</x:t>
        </x:is>
      </x:c>
      <x:c r="AC254" s="57" t="inlineStr">
        <x:is>
          <x:t xml:space="preserve">V10</x:t>
        </x:is>
      </x:c>
      <x:c r="AD254" s="57" t="n"/>
      <x:c r="AE254" s="79" t="str">
        <x:f>IF(AND(I254&lt;&gt;"",J254&lt;&gt;"",K254&lt;&gt;"",L254="YES",M254&lt;&gt;"",S254&lt;&gt;"",T254&lt;&gt;"",U254&lt;&gt;"",V254&lt;&gt;"",W254&lt;&gt;"",X254&lt;&gt;"",Y254&lt;&gt;""),"COMPLETE","PENDING")</x:f>
        <x:v>PENDING</x:v>
      </x:c>
      <x:c r="AF254" s="79" t="str">
        <x:f>IF(AE254="COMPLETE","YES","NO")</x:f>
        <x:v>NO</x:v>
      </x:c>
      <x:c r="AG254" s="214" t="str">
        <x:f>IF(AF254&lt;&gt;"YES","",(IF(V254="YES",1,0)+IF(W254="YES",1,0))/2)</x:f>
      </x:c>
    </x:row>
    <x:row r="255">
      <x:c r="A255" s="57" t="inlineStr">
        <x:is>
          <x:t xml:space="preserve">C0250</x:t>
        </x:is>
      </x:c>
      <x:c r="B255" s="57" t="inlineStr">
        <x:is>
          <x:t xml:space="preserve">Development</x:t>
        </x:is>
      </x:c>
      <x:c r="C255" s="57" t="inlineStr">
        <x:is>
          <x:t xml:space="preserve">OPEN</x:t>
        </x:is>
      </x:c>
      <x:c r="D255" s="57" t="inlineStr">
        <x:is>
          <x:t xml:space="preserve">ARG-025</x:t>
        </x:is>
      </x:c>
      <x:c r="E255" s="75" t="str">
        <x:f>INDEX('Company Universe'!$B$6:$B$105,MATCH(D255,'Company Universe'!$A$6:$A$105,0))</x:f>
        <x:v>Croda International</x:v>
      </x:c>
      <x:c r="F255" s="75" t="str">
        <x:f>INDEX('Company Universe'!$C$6:$C$105,MATCH(D255,'Company Universe'!$A$6:$A$105,0))</x:f>
        <x:v>CRDA.L</x:v>
      </x:c>
      <x:c r="G255" s="75" t="str">
        <x:f>INDEX('Company Universe'!$F$6:$F$105,MATCH(D255,'Company Universe'!$A$6:$A$105,0))</x:f>
        <x:v>Specialty Ingredients</x:v>
      </x:c>
      <x:c r="H255" s="57" t="n">
        <x:v>10</x:v>
      </x:c>
      <x:c r="I255" s="206" t="n"/>
      <x:c r="J255" s="71" t="n"/>
      <x:c r="K255" s="71" t="n"/>
      <x:c r="L255" s="71" t="inlineStr">
        <x:is>
          <x:t xml:space="preserve">NO</x:t>
        </x:is>
      </x:c>
      <x:c r="M255" s="71" t="n"/>
      <x:c r="N255" s="71" t="n"/>
      <x:c r="O255" s="71" t="n"/>
      <x:c r="P255" s="71" t="n"/>
      <x:c r="Q255" s="71" t="n"/>
      <x:c r="R255" s="71" t="n"/>
      <x:c r="S255" s="206" t="n"/>
      <x:c r="T255" s="71" t="n"/>
      <x:c r="U255" s="71" t="n"/>
      <x:c r="V255" s="71" t="n"/>
      <x:c r="W255" s="71" t="n"/>
      <x:c r="X255" s="71" t="n"/>
      <x:c r="Y255" s="71" t="n"/>
      <x:c r="Z255" s="71" t="n"/>
      <x:c r="AA255" s="71" t="n"/>
      <x:c r="AB255" s="71" t="inlineStr">
        <x:is>
          <x:t xml:space="preserve">NO</x:t>
        </x:is>
      </x:c>
      <x:c r="AC255" s="57" t="inlineStr">
        <x:is>
          <x:t xml:space="preserve">V10</x:t>
        </x:is>
      </x:c>
      <x:c r="AD255" s="57" t="n"/>
      <x:c r="AE255" s="79" t="str">
        <x:f>IF(AND(I255&lt;&gt;"",J255&lt;&gt;"",K255&lt;&gt;"",L255="YES",M255&lt;&gt;"",S255&lt;&gt;"",T255&lt;&gt;"",U255&lt;&gt;"",V255&lt;&gt;"",W255&lt;&gt;"",X255&lt;&gt;"",Y255&lt;&gt;""),"COMPLETE","PENDING")</x:f>
        <x:v>PENDING</x:v>
      </x:c>
      <x:c r="AF255" s="79" t="str">
        <x:f>IF(AE255="COMPLETE","YES","NO")</x:f>
        <x:v>NO</x:v>
      </x:c>
      <x:c r="AG255" s="214" t="str">
        <x:f>IF(AF255&lt;&gt;"YES","",(IF(V255="YES",1,0)+IF(W255="YES",1,0))/2)</x:f>
      </x:c>
    </x:row>
    <x:row r="256">
      <x:c r="A256" s="57" t="inlineStr">
        <x:is>
          <x:t xml:space="preserve">C0251</x:t>
        </x:is>
      </x:c>
      <x:c r="B256" s="57" t="inlineStr">
        <x:is>
          <x:t xml:space="preserve">Development</x:t>
        </x:is>
      </x:c>
      <x:c r="C256" s="57" t="inlineStr">
        <x:is>
          <x:t xml:space="preserve">OPEN</x:t>
        </x:is>
      </x:c>
      <x:c r="D256" s="57" t="inlineStr">
        <x:is>
          <x:t xml:space="preserve">ARG-026</x:t>
        </x:is>
      </x:c>
      <x:c r="E256" s="75" t="str">
        <x:f>INDEX('Company Universe'!$B$6:$B$105,MATCH(D256,'Company Universe'!$A$6:$A$105,0))</x:f>
        <x:v>Sensient Technologies</x:v>
      </x:c>
      <x:c r="F256" s="75" t="str">
        <x:f>INDEX('Company Universe'!$C$6:$C$105,MATCH(D256,'Company Universe'!$A$6:$A$105,0))</x:f>
        <x:v>SXT</x:v>
      </x:c>
      <x:c r="G256" s="75" t="str">
        <x:f>INDEX('Company Universe'!$F$6:$F$105,MATCH(D256,'Company Universe'!$A$6:$A$105,0))</x:f>
        <x:v>Specialty Ingredients</x:v>
      </x:c>
      <x:c r="H256" s="57" t="n">
        <x:v>1</x:v>
      </x:c>
      <x:c r="I256" s="206" t="n"/>
      <x:c r="J256" s="71" t="n"/>
      <x:c r="K256" s="71" t="n"/>
      <x:c r="L256" s="71" t="inlineStr">
        <x:is>
          <x:t xml:space="preserve">NO</x:t>
        </x:is>
      </x:c>
      <x:c r="M256" s="71" t="n"/>
      <x:c r="N256" s="71" t="n"/>
      <x:c r="O256" s="71" t="n"/>
      <x:c r="P256" s="71" t="n"/>
      <x:c r="Q256" s="71" t="n"/>
      <x:c r="R256" s="71" t="n"/>
      <x:c r="S256" s="206" t="n"/>
      <x:c r="T256" s="71" t="n"/>
      <x:c r="U256" s="71" t="n"/>
      <x:c r="V256" s="71" t="n"/>
      <x:c r="W256" s="71" t="n"/>
      <x:c r="X256" s="71" t="n"/>
      <x:c r="Y256" s="71" t="n"/>
      <x:c r="Z256" s="71" t="n"/>
      <x:c r="AA256" s="71" t="n"/>
      <x:c r="AB256" s="71" t="inlineStr">
        <x:is>
          <x:t xml:space="preserve">NO</x:t>
        </x:is>
      </x:c>
      <x:c r="AC256" s="57" t="inlineStr">
        <x:is>
          <x:t xml:space="preserve">V10</x:t>
        </x:is>
      </x:c>
      <x:c r="AD256" s="57" t="n"/>
      <x:c r="AE256" s="79" t="str">
        <x:f>IF(AND(I256&lt;&gt;"",J256&lt;&gt;"",K256&lt;&gt;"",L256="YES",M256&lt;&gt;"",S256&lt;&gt;"",T256&lt;&gt;"",U256&lt;&gt;"",V256&lt;&gt;"",W256&lt;&gt;"",X256&lt;&gt;"",Y256&lt;&gt;""),"COMPLETE","PENDING")</x:f>
        <x:v>PENDING</x:v>
      </x:c>
      <x:c r="AF256" s="79" t="str">
        <x:f>IF(AE256="COMPLETE","YES","NO")</x:f>
        <x:v>NO</x:v>
      </x:c>
      <x:c r="AG256" s="214" t="str">
        <x:f>IF(AF256&lt;&gt;"YES","",(IF(V256="YES",1,0)+IF(W256="YES",1,0))/2)</x:f>
      </x:c>
    </x:row>
    <x:row r="257">
      <x:c r="A257" s="57" t="inlineStr">
        <x:is>
          <x:t xml:space="preserve">C0252</x:t>
        </x:is>
      </x:c>
      <x:c r="B257" s="57" t="inlineStr">
        <x:is>
          <x:t xml:space="preserve">Development</x:t>
        </x:is>
      </x:c>
      <x:c r="C257" s="57" t="inlineStr">
        <x:is>
          <x:t xml:space="preserve">OPEN</x:t>
        </x:is>
      </x:c>
      <x:c r="D257" s="57" t="inlineStr">
        <x:is>
          <x:t xml:space="preserve">ARG-026</x:t>
        </x:is>
      </x:c>
      <x:c r="E257" s="75" t="str">
        <x:f>INDEX('Company Universe'!$B$6:$B$105,MATCH(D257,'Company Universe'!$A$6:$A$105,0))</x:f>
        <x:v>Sensient Technologies</x:v>
      </x:c>
      <x:c r="F257" s="75" t="str">
        <x:f>INDEX('Company Universe'!$C$6:$C$105,MATCH(D257,'Company Universe'!$A$6:$A$105,0))</x:f>
        <x:v>SXT</x:v>
      </x:c>
      <x:c r="G257" s="75" t="str">
        <x:f>INDEX('Company Universe'!$F$6:$F$105,MATCH(D257,'Company Universe'!$A$6:$A$105,0))</x:f>
        <x:v>Specialty Ingredients</x:v>
      </x:c>
      <x:c r="H257" s="57" t="n">
        <x:v>2</x:v>
      </x:c>
      <x:c r="I257" s="206" t="n"/>
      <x:c r="J257" s="71" t="n"/>
      <x:c r="K257" s="71" t="n"/>
      <x:c r="L257" s="71" t="inlineStr">
        <x:is>
          <x:t xml:space="preserve">NO</x:t>
        </x:is>
      </x:c>
      <x:c r="M257" s="71" t="n"/>
      <x:c r="N257" s="71" t="n"/>
      <x:c r="O257" s="71" t="n"/>
      <x:c r="P257" s="71" t="n"/>
      <x:c r="Q257" s="71" t="n"/>
      <x:c r="R257" s="71" t="n"/>
      <x:c r="S257" s="206" t="n"/>
      <x:c r="T257" s="71" t="n"/>
      <x:c r="U257" s="71" t="n"/>
      <x:c r="V257" s="71" t="n"/>
      <x:c r="W257" s="71" t="n"/>
      <x:c r="X257" s="71" t="n"/>
      <x:c r="Y257" s="71" t="n"/>
      <x:c r="Z257" s="71" t="n"/>
      <x:c r="AA257" s="71" t="n"/>
      <x:c r="AB257" s="71" t="inlineStr">
        <x:is>
          <x:t xml:space="preserve">NO</x:t>
        </x:is>
      </x:c>
      <x:c r="AC257" s="57" t="inlineStr">
        <x:is>
          <x:t xml:space="preserve">V10</x:t>
        </x:is>
      </x:c>
      <x:c r="AD257" s="57" t="n"/>
      <x:c r="AE257" s="79" t="str">
        <x:f>IF(AND(I257&lt;&gt;"",J257&lt;&gt;"",K257&lt;&gt;"",L257="YES",M257&lt;&gt;"",S257&lt;&gt;"",T257&lt;&gt;"",U257&lt;&gt;"",V257&lt;&gt;"",W257&lt;&gt;"",X257&lt;&gt;"",Y257&lt;&gt;""),"COMPLETE","PENDING")</x:f>
        <x:v>PENDING</x:v>
      </x:c>
      <x:c r="AF257" s="79" t="str">
        <x:f>IF(AE257="COMPLETE","YES","NO")</x:f>
        <x:v>NO</x:v>
      </x:c>
      <x:c r="AG257" s="214" t="str">
        <x:f>IF(AF257&lt;&gt;"YES","",(IF(V257="YES",1,0)+IF(W257="YES",1,0))/2)</x:f>
      </x:c>
    </x:row>
    <x:row r="258">
      <x:c r="A258" s="57" t="inlineStr">
        <x:is>
          <x:t xml:space="preserve">C0253</x:t>
        </x:is>
      </x:c>
      <x:c r="B258" s="57" t="inlineStr">
        <x:is>
          <x:t xml:space="preserve">Development</x:t>
        </x:is>
      </x:c>
      <x:c r="C258" s="57" t="inlineStr">
        <x:is>
          <x:t xml:space="preserve">OPEN</x:t>
        </x:is>
      </x:c>
      <x:c r="D258" s="57" t="inlineStr">
        <x:is>
          <x:t xml:space="preserve">ARG-026</x:t>
        </x:is>
      </x:c>
      <x:c r="E258" s="75" t="str">
        <x:f>INDEX('Company Universe'!$B$6:$B$105,MATCH(D258,'Company Universe'!$A$6:$A$105,0))</x:f>
        <x:v>Sensient Technologies</x:v>
      </x:c>
      <x:c r="F258" s="75" t="str">
        <x:f>INDEX('Company Universe'!$C$6:$C$105,MATCH(D258,'Company Universe'!$A$6:$A$105,0))</x:f>
        <x:v>SXT</x:v>
      </x:c>
      <x:c r="G258" s="75" t="str">
        <x:f>INDEX('Company Universe'!$F$6:$F$105,MATCH(D258,'Company Universe'!$A$6:$A$105,0))</x:f>
        <x:v>Specialty Ingredients</x:v>
      </x:c>
      <x:c r="H258" s="57" t="n">
        <x:v>3</x:v>
      </x:c>
      <x:c r="I258" s="206" t="n"/>
      <x:c r="J258" s="71" t="n"/>
      <x:c r="K258" s="71" t="n"/>
      <x:c r="L258" s="71" t="inlineStr">
        <x:is>
          <x:t xml:space="preserve">NO</x:t>
        </x:is>
      </x:c>
      <x:c r="M258" s="71" t="n"/>
      <x:c r="N258" s="71" t="n"/>
      <x:c r="O258" s="71" t="n"/>
      <x:c r="P258" s="71" t="n"/>
      <x:c r="Q258" s="71" t="n"/>
      <x:c r="R258" s="71" t="n"/>
      <x:c r="S258" s="206" t="n"/>
      <x:c r="T258" s="71" t="n"/>
      <x:c r="U258" s="71" t="n"/>
      <x:c r="V258" s="71" t="n"/>
      <x:c r="W258" s="71" t="n"/>
      <x:c r="X258" s="71" t="n"/>
      <x:c r="Y258" s="71" t="n"/>
      <x:c r="Z258" s="71" t="n"/>
      <x:c r="AA258" s="71" t="n"/>
      <x:c r="AB258" s="71" t="inlineStr">
        <x:is>
          <x:t xml:space="preserve">NO</x:t>
        </x:is>
      </x:c>
      <x:c r="AC258" s="57" t="inlineStr">
        <x:is>
          <x:t xml:space="preserve">V10</x:t>
        </x:is>
      </x:c>
      <x:c r="AD258" s="57" t="n"/>
      <x:c r="AE258" s="79" t="str">
        <x:f>IF(AND(I258&lt;&gt;"",J258&lt;&gt;"",K258&lt;&gt;"",L258="YES",M258&lt;&gt;"",S258&lt;&gt;"",T258&lt;&gt;"",U258&lt;&gt;"",V258&lt;&gt;"",W258&lt;&gt;"",X258&lt;&gt;"",Y258&lt;&gt;""),"COMPLETE","PENDING")</x:f>
        <x:v>PENDING</x:v>
      </x:c>
      <x:c r="AF258" s="79" t="str">
        <x:f>IF(AE258="COMPLETE","YES","NO")</x:f>
        <x:v>NO</x:v>
      </x:c>
      <x:c r="AG258" s="214" t="str">
        <x:f>IF(AF258&lt;&gt;"YES","",(IF(V258="YES",1,0)+IF(W258="YES",1,0))/2)</x:f>
      </x:c>
    </x:row>
    <x:row r="259">
      <x:c r="A259" s="57" t="inlineStr">
        <x:is>
          <x:t xml:space="preserve">C0254</x:t>
        </x:is>
      </x:c>
      <x:c r="B259" s="57" t="inlineStr">
        <x:is>
          <x:t xml:space="preserve">Development</x:t>
        </x:is>
      </x:c>
      <x:c r="C259" s="57" t="inlineStr">
        <x:is>
          <x:t xml:space="preserve">OPEN</x:t>
        </x:is>
      </x:c>
      <x:c r="D259" s="57" t="inlineStr">
        <x:is>
          <x:t xml:space="preserve">ARG-026</x:t>
        </x:is>
      </x:c>
      <x:c r="E259" s="75" t="str">
        <x:f>INDEX('Company Universe'!$B$6:$B$105,MATCH(D259,'Company Universe'!$A$6:$A$105,0))</x:f>
        <x:v>Sensient Technologies</x:v>
      </x:c>
      <x:c r="F259" s="75" t="str">
        <x:f>INDEX('Company Universe'!$C$6:$C$105,MATCH(D259,'Company Universe'!$A$6:$A$105,0))</x:f>
        <x:v>SXT</x:v>
      </x:c>
      <x:c r="G259" s="75" t="str">
        <x:f>INDEX('Company Universe'!$F$6:$F$105,MATCH(D259,'Company Universe'!$A$6:$A$105,0))</x:f>
        <x:v>Specialty Ingredients</x:v>
      </x:c>
      <x:c r="H259" s="57" t="n">
        <x:v>4</x:v>
      </x:c>
      <x:c r="I259" s="206" t="n"/>
      <x:c r="J259" s="71" t="n"/>
      <x:c r="K259" s="71" t="n"/>
      <x:c r="L259" s="71" t="inlineStr">
        <x:is>
          <x:t xml:space="preserve">NO</x:t>
        </x:is>
      </x:c>
      <x:c r="M259" s="71" t="n"/>
      <x:c r="N259" s="71" t="n"/>
      <x:c r="O259" s="71" t="n"/>
      <x:c r="P259" s="71" t="n"/>
      <x:c r="Q259" s="71" t="n"/>
      <x:c r="R259" s="71" t="n"/>
      <x:c r="S259" s="206" t="n"/>
      <x:c r="T259" s="71" t="n"/>
      <x:c r="U259" s="71" t="n"/>
      <x:c r="V259" s="71" t="n"/>
      <x:c r="W259" s="71" t="n"/>
      <x:c r="X259" s="71" t="n"/>
      <x:c r="Y259" s="71" t="n"/>
      <x:c r="Z259" s="71" t="n"/>
      <x:c r="AA259" s="71" t="n"/>
      <x:c r="AB259" s="71" t="inlineStr">
        <x:is>
          <x:t xml:space="preserve">NO</x:t>
        </x:is>
      </x:c>
      <x:c r="AC259" s="57" t="inlineStr">
        <x:is>
          <x:t xml:space="preserve">V10</x:t>
        </x:is>
      </x:c>
      <x:c r="AD259" s="57" t="n"/>
      <x:c r="AE259" s="79" t="str">
        <x:f>IF(AND(I259&lt;&gt;"",J259&lt;&gt;"",K259&lt;&gt;"",L259="YES",M259&lt;&gt;"",S259&lt;&gt;"",T259&lt;&gt;"",U259&lt;&gt;"",V259&lt;&gt;"",W259&lt;&gt;"",X259&lt;&gt;"",Y259&lt;&gt;""),"COMPLETE","PENDING")</x:f>
        <x:v>PENDING</x:v>
      </x:c>
      <x:c r="AF259" s="79" t="str">
        <x:f>IF(AE259="COMPLETE","YES","NO")</x:f>
        <x:v>NO</x:v>
      </x:c>
      <x:c r="AG259" s="214" t="str">
        <x:f>IF(AF259&lt;&gt;"YES","",(IF(V259="YES",1,0)+IF(W259="YES",1,0))/2)</x:f>
      </x:c>
    </x:row>
    <x:row r="260">
      <x:c r="A260" s="57" t="inlineStr">
        <x:is>
          <x:t xml:space="preserve">C0255</x:t>
        </x:is>
      </x:c>
      <x:c r="B260" s="57" t="inlineStr">
        <x:is>
          <x:t xml:space="preserve">Development</x:t>
        </x:is>
      </x:c>
      <x:c r="C260" s="57" t="inlineStr">
        <x:is>
          <x:t xml:space="preserve">OPEN</x:t>
        </x:is>
      </x:c>
      <x:c r="D260" s="57" t="inlineStr">
        <x:is>
          <x:t xml:space="preserve">ARG-026</x:t>
        </x:is>
      </x:c>
      <x:c r="E260" s="75" t="str">
        <x:f>INDEX('Company Universe'!$B$6:$B$105,MATCH(D260,'Company Universe'!$A$6:$A$105,0))</x:f>
        <x:v>Sensient Technologies</x:v>
      </x:c>
      <x:c r="F260" s="75" t="str">
        <x:f>INDEX('Company Universe'!$C$6:$C$105,MATCH(D260,'Company Universe'!$A$6:$A$105,0))</x:f>
        <x:v>SXT</x:v>
      </x:c>
      <x:c r="G260" s="75" t="str">
        <x:f>INDEX('Company Universe'!$F$6:$F$105,MATCH(D260,'Company Universe'!$A$6:$A$105,0))</x:f>
        <x:v>Specialty Ingredients</x:v>
      </x:c>
      <x:c r="H260" s="57" t="n">
        <x:v>5</x:v>
      </x:c>
      <x:c r="I260" s="206" t="n"/>
      <x:c r="J260" s="71" t="n"/>
      <x:c r="K260" s="71" t="n"/>
      <x:c r="L260" s="71" t="inlineStr">
        <x:is>
          <x:t xml:space="preserve">NO</x:t>
        </x:is>
      </x:c>
      <x:c r="M260" s="71" t="n"/>
      <x:c r="N260" s="71" t="n"/>
      <x:c r="O260" s="71" t="n"/>
      <x:c r="P260" s="71" t="n"/>
      <x:c r="Q260" s="71" t="n"/>
      <x:c r="R260" s="71" t="n"/>
      <x:c r="S260" s="206" t="n"/>
      <x:c r="T260" s="71" t="n"/>
      <x:c r="U260" s="71" t="n"/>
      <x:c r="V260" s="71" t="n"/>
      <x:c r="W260" s="71" t="n"/>
      <x:c r="X260" s="71" t="n"/>
      <x:c r="Y260" s="71" t="n"/>
      <x:c r="Z260" s="71" t="n"/>
      <x:c r="AA260" s="71" t="n"/>
      <x:c r="AB260" s="71" t="inlineStr">
        <x:is>
          <x:t xml:space="preserve">NO</x:t>
        </x:is>
      </x:c>
      <x:c r="AC260" s="57" t="inlineStr">
        <x:is>
          <x:t xml:space="preserve">V10</x:t>
        </x:is>
      </x:c>
      <x:c r="AD260" s="57" t="n"/>
      <x:c r="AE260" s="79" t="str">
        <x:f>IF(AND(I260&lt;&gt;"",J260&lt;&gt;"",K260&lt;&gt;"",L260="YES",M260&lt;&gt;"",S260&lt;&gt;"",T260&lt;&gt;"",U260&lt;&gt;"",V260&lt;&gt;"",W260&lt;&gt;"",X260&lt;&gt;"",Y260&lt;&gt;""),"COMPLETE","PENDING")</x:f>
        <x:v>PENDING</x:v>
      </x:c>
      <x:c r="AF260" s="79" t="str">
        <x:f>IF(AE260="COMPLETE","YES","NO")</x:f>
        <x:v>NO</x:v>
      </x:c>
      <x:c r="AG260" s="214" t="str">
        <x:f>IF(AF260&lt;&gt;"YES","",(IF(V260="YES",1,0)+IF(W260="YES",1,0))/2)</x:f>
      </x:c>
    </x:row>
    <x:row r="261">
      <x:c r="A261" s="57" t="inlineStr">
        <x:is>
          <x:t xml:space="preserve">C0256</x:t>
        </x:is>
      </x:c>
      <x:c r="B261" s="57" t="inlineStr">
        <x:is>
          <x:t xml:space="preserve">Development</x:t>
        </x:is>
      </x:c>
      <x:c r="C261" s="57" t="inlineStr">
        <x:is>
          <x:t xml:space="preserve">OPEN</x:t>
        </x:is>
      </x:c>
      <x:c r="D261" s="57" t="inlineStr">
        <x:is>
          <x:t xml:space="preserve">ARG-026</x:t>
        </x:is>
      </x:c>
      <x:c r="E261" s="75" t="str">
        <x:f>INDEX('Company Universe'!$B$6:$B$105,MATCH(D261,'Company Universe'!$A$6:$A$105,0))</x:f>
        <x:v>Sensient Technologies</x:v>
      </x:c>
      <x:c r="F261" s="75" t="str">
        <x:f>INDEX('Company Universe'!$C$6:$C$105,MATCH(D261,'Company Universe'!$A$6:$A$105,0))</x:f>
        <x:v>SXT</x:v>
      </x:c>
      <x:c r="G261" s="75" t="str">
        <x:f>INDEX('Company Universe'!$F$6:$F$105,MATCH(D261,'Company Universe'!$A$6:$A$105,0))</x:f>
        <x:v>Specialty Ingredients</x:v>
      </x:c>
      <x:c r="H261" s="57" t="n">
        <x:v>6</x:v>
      </x:c>
      <x:c r="I261" s="206" t="n"/>
      <x:c r="J261" s="71" t="n"/>
      <x:c r="K261" s="71" t="n"/>
      <x:c r="L261" s="71" t="inlineStr">
        <x:is>
          <x:t xml:space="preserve">NO</x:t>
        </x:is>
      </x:c>
      <x:c r="M261" s="71" t="n"/>
      <x:c r="N261" s="71" t="n"/>
      <x:c r="O261" s="71" t="n"/>
      <x:c r="P261" s="71" t="n"/>
      <x:c r="Q261" s="71" t="n"/>
      <x:c r="R261" s="71" t="n"/>
      <x:c r="S261" s="206" t="n"/>
      <x:c r="T261" s="71" t="n"/>
      <x:c r="U261" s="71" t="n"/>
      <x:c r="V261" s="71" t="n"/>
      <x:c r="W261" s="71" t="n"/>
      <x:c r="X261" s="71" t="n"/>
      <x:c r="Y261" s="71" t="n"/>
      <x:c r="Z261" s="71" t="n"/>
      <x:c r="AA261" s="71" t="n"/>
      <x:c r="AB261" s="71" t="inlineStr">
        <x:is>
          <x:t xml:space="preserve">NO</x:t>
        </x:is>
      </x:c>
      <x:c r="AC261" s="57" t="inlineStr">
        <x:is>
          <x:t xml:space="preserve">V10</x:t>
        </x:is>
      </x:c>
      <x:c r="AD261" s="57" t="n"/>
      <x:c r="AE261" s="79" t="str">
        <x:f>IF(AND(I261&lt;&gt;"",J261&lt;&gt;"",K261&lt;&gt;"",L261="YES",M261&lt;&gt;"",S261&lt;&gt;"",T261&lt;&gt;"",U261&lt;&gt;"",V261&lt;&gt;"",W261&lt;&gt;"",X261&lt;&gt;"",Y261&lt;&gt;""),"COMPLETE","PENDING")</x:f>
        <x:v>PENDING</x:v>
      </x:c>
      <x:c r="AF261" s="79" t="str">
        <x:f>IF(AE261="COMPLETE","YES","NO")</x:f>
        <x:v>NO</x:v>
      </x:c>
      <x:c r="AG261" s="214" t="str">
        <x:f>IF(AF261&lt;&gt;"YES","",(IF(V261="YES",1,0)+IF(W261="YES",1,0))/2)</x:f>
      </x:c>
    </x:row>
    <x:row r="262">
      <x:c r="A262" s="57" t="inlineStr">
        <x:is>
          <x:t xml:space="preserve">C0257</x:t>
        </x:is>
      </x:c>
      <x:c r="B262" s="57" t="inlineStr">
        <x:is>
          <x:t xml:space="preserve">Development</x:t>
        </x:is>
      </x:c>
      <x:c r="C262" s="57" t="inlineStr">
        <x:is>
          <x:t xml:space="preserve">OPEN</x:t>
        </x:is>
      </x:c>
      <x:c r="D262" s="57" t="inlineStr">
        <x:is>
          <x:t xml:space="preserve">ARG-026</x:t>
        </x:is>
      </x:c>
      <x:c r="E262" s="75" t="str">
        <x:f>INDEX('Company Universe'!$B$6:$B$105,MATCH(D262,'Company Universe'!$A$6:$A$105,0))</x:f>
        <x:v>Sensient Technologies</x:v>
      </x:c>
      <x:c r="F262" s="75" t="str">
        <x:f>INDEX('Company Universe'!$C$6:$C$105,MATCH(D262,'Company Universe'!$A$6:$A$105,0))</x:f>
        <x:v>SXT</x:v>
      </x:c>
      <x:c r="G262" s="75" t="str">
        <x:f>INDEX('Company Universe'!$F$6:$F$105,MATCH(D262,'Company Universe'!$A$6:$A$105,0))</x:f>
        <x:v>Specialty Ingredients</x:v>
      </x:c>
      <x:c r="H262" s="57" t="n">
        <x:v>7</x:v>
      </x:c>
      <x:c r="I262" s="206" t="n"/>
      <x:c r="J262" s="71" t="n"/>
      <x:c r="K262" s="71" t="n"/>
      <x:c r="L262" s="71" t="inlineStr">
        <x:is>
          <x:t xml:space="preserve">NO</x:t>
        </x:is>
      </x:c>
      <x:c r="M262" s="71" t="n"/>
      <x:c r="N262" s="71" t="n"/>
      <x:c r="O262" s="71" t="n"/>
      <x:c r="P262" s="71" t="n"/>
      <x:c r="Q262" s="71" t="n"/>
      <x:c r="R262" s="71" t="n"/>
      <x:c r="S262" s="206" t="n"/>
      <x:c r="T262" s="71" t="n"/>
      <x:c r="U262" s="71" t="n"/>
      <x:c r="V262" s="71" t="n"/>
      <x:c r="W262" s="71" t="n"/>
      <x:c r="X262" s="71" t="n"/>
      <x:c r="Y262" s="71" t="n"/>
      <x:c r="Z262" s="71" t="n"/>
      <x:c r="AA262" s="71" t="n"/>
      <x:c r="AB262" s="71" t="inlineStr">
        <x:is>
          <x:t xml:space="preserve">NO</x:t>
        </x:is>
      </x:c>
      <x:c r="AC262" s="57" t="inlineStr">
        <x:is>
          <x:t xml:space="preserve">V10</x:t>
        </x:is>
      </x:c>
      <x:c r="AD262" s="57" t="n"/>
      <x:c r="AE262" s="79" t="str">
        <x:f>IF(AND(I262&lt;&gt;"",J262&lt;&gt;"",K262&lt;&gt;"",L262="YES",M262&lt;&gt;"",S262&lt;&gt;"",T262&lt;&gt;"",U262&lt;&gt;"",V262&lt;&gt;"",W262&lt;&gt;"",X262&lt;&gt;"",Y262&lt;&gt;""),"COMPLETE","PENDING")</x:f>
        <x:v>PENDING</x:v>
      </x:c>
      <x:c r="AF262" s="79" t="str">
        <x:f>IF(AE262="COMPLETE","YES","NO")</x:f>
        <x:v>NO</x:v>
      </x:c>
      <x:c r="AG262" s="214" t="str">
        <x:f>IF(AF262&lt;&gt;"YES","",(IF(V262="YES",1,0)+IF(W262="YES",1,0))/2)</x:f>
      </x:c>
    </x:row>
    <x:row r="263">
      <x:c r="A263" s="57" t="inlineStr">
        <x:is>
          <x:t xml:space="preserve">C0258</x:t>
        </x:is>
      </x:c>
      <x:c r="B263" s="57" t="inlineStr">
        <x:is>
          <x:t xml:space="preserve">Development</x:t>
        </x:is>
      </x:c>
      <x:c r="C263" s="57" t="inlineStr">
        <x:is>
          <x:t xml:space="preserve">OPEN</x:t>
        </x:is>
      </x:c>
      <x:c r="D263" s="57" t="inlineStr">
        <x:is>
          <x:t xml:space="preserve">ARG-026</x:t>
        </x:is>
      </x:c>
      <x:c r="E263" s="75" t="str">
        <x:f>INDEX('Company Universe'!$B$6:$B$105,MATCH(D263,'Company Universe'!$A$6:$A$105,0))</x:f>
        <x:v>Sensient Technologies</x:v>
      </x:c>
      <x:c r="F263" s="75" t="str">
        <x:f>INDEX('Company Universe'!$C$6:$C$105,MATCH(D263,'Company Universe'!$A$6:$A$105,0))</x:f>
        <x:v>SXT</x:v>
      </x:c>
      <x:c r="G263" s="75" t="str">
        <x:f>INDEX('Company Universe'!$F$6:$F$105,MATCH(D263,'Company Universe'!$A$6:$A$105,0))</x:f>
        <x:v>Specialty Ingredients</x:v>
      </x:c>
      <x:c r="H263" s="57" t="n">
        <x:v>8</x:v>
      </x:c>
      <x:c r="I263" s="206" t="n"/>
      <x:c r="J263" s="71" t="n"/>
      <x:c r="K263" s="71" t="n"/>
      <x:c r="L263" s="71" t="inlineStr">
        <x:is>
          <x:t xml:space="preserve">NO</x:t>
        </x:is>
      </x:c>
      <x:c r="M263" s="71" t="n"/>
      <x:c r="N263" s="71" t="n"/>
      <x:c r="O263" s="71" t="n"/>
      <x:c r="P263" s="71" t="n"/>
      <x:c r="Q263" s="71" t="n"/>
      <x:c r="R263" s="71" t="n"/>
      <x:c r="S263" s="206" t="n"/>
      <x:c r="T263" s="71" t="n"/>
      <x:c r="U263" s="71" t="n"/>
      <x:c r="V263" s="71" t="n"/>
      <x:c r="W263" s="71" t="n"/>
      <x:c r="X263" s="71" t="n"/>
      <x:c r="Y263" s="71" t="n"/>
      <x:c r="Z263" s="71" t="n"/>
      <x:c r="AA263" s="71" t="n"/>
      <x:c r="AB263" s="71" t="inlineStr">
        <x:is>
          <x:t xml:space="preserve">NO</x:t>
        </x:is>
      </x:c>
      <x:c r="AC263" s="57" t="inlineStr">
        <x:is>
          <x:t xml:space="preserve">V10</x:t>
        </x:is>
      </x:c>
      <x:c r="AD263" s="57" t="n"/>
      <x:c r="AE263" s="79" t="str">
        <x:f>IF(AND(I263&lt;&gt;"",J263&lt;&gt;"",K263&lt;&gt;"",L263="YES",M263&lt;&gt;"",S263&lt;&gt;"",T263&lt;&gt;"",U263&lt;&gt;"",V263&lt;&gt;"",W263&lt;&gt;"",X263&lt;&gt;"",Y263&lt;&gt;""),"COMPLETE","PENDING")</x:f>
        <x:v>PENDING</x:v>
      </x:c>
      <x:c r="AF263" s="79" t="str">
        <x:f>IF(AE263="COMPLETE","YES","NO")</x:f>
        <x:v>NO</x:v>
      </x:c>
      <x:c r="AG263" s="214" t="str">
        <x:f>IF(AF263&lt;&gt;"YES","",(IF(V263="YES",1,0)+IF(W263="YES",1,0))/2)</x:f>
      </x:c>
    </x:row>
    <x:row r="264">
      <x:c r="A264" s="57" t="inlineStr">
        <x:is>
          <x:t xml:space="preserve">C0259</x:t>
        </x:is>
      </x:c>
      <x:c r="B264" s="57" t="inlineStr">
        <x:is>
          <x:t xml:space="preserve">Development</x:t>
        </x:is>
      </x:c>
      <x:c r="C264" s="57" t="inlineStr">
        <x:is>
          <x:t xml:space="preserve">OPEN</x:t>
        </x:is>
      </x:c>
      <x:c r="D264" s="57" t="inlineStr">
        <x:is>
          <x:t xml:space="preserve">ARG-026</x:t>
        </x:is>
      </x:c>
      <x:c r="E264" s="75" t="str">
        <x:f>INDEX('Company Universe'!$B$6:$B$105,MATCH(D264,'Company Universe'!$A$6:$A$105,0))</x:f>
        <x:v>Sensient Technologies</x:v>
      </x:c>
      <x:c r="F264" s="75" t="str">
        <x:f>INDEX('Company Universe'!$C$6:$C$105,MATCH(D264,'Company Universe'!$A$6:$A$105,0))</x:f>
        <x:v>SXT</x:v>
      </x:c>
      <x:c r="G264" s="75" t="str">
        <x:f>INDEX('Company Universe'!$F$6:$F$105,MATCH(D264,'Company Universe'!$A$6:$A$105,0))</x:f>
        <x:v>Specialty Ingredients</x:v>
      </x:c>
      <x:c r="H264" s="57" t="n">
        <x:v>9</x:v>
      </x:c>
      <x:c r="I264" s="206" t="n"/>
      <x:c r="J264" s="71" t="n"/>
      <x:c r="K264" s="71" t="n"/>
      <x:c r="L264" s="71" t="inlineStr">
        <x:is>
          <x:t xml:space="preserve">NO</x:t>
        </x:is>
      </x:c>
      <x:c r="M264" s="71" t="n"/>
      <x:c r="N264" s="71" t="n"/>
      <x:c r="O264" s="71" t="n"/>
      <x:c r="P264" s="71" t="n"/>
      <x:c r="Q264" s="71" t="n"/>
      <x:c r="R264" s="71" t="n"/>
      <x:c r="S264" s="206" t="n"/>
      <x:c r="T264" s="71" t="n"/>
      <x:c r="U264" s="71" t="n"/>
      <x:c r="V264" s="71" t="n"/>
      <x:c r="W264" s="71" t="n"/>
      <x:c r="X264" s="71" t="n"/>
      <x:c r="Y264" s="71" t="n"/>
      <x:c r="Z264" s="71" t="n"/>
      <x:c r="AA264" s="71" t="n"/>
      <x:c r="AB264" s="71" t="inlineStr">
        <x:is>
          <x:t xml:space="preserve">NO</x:t>
        </x:is>
      </x:c>
      <x:c r="AC264" s="57" t="inlineStr">
        <x:is>
          <x:t xml:space="preserve">V10</x:t>
        </x:is>
      </x:c>
      <x:c r="AD264" s="57" t="n"/>
      <x:c r="AE264" s="79" t="str">
        <x:f>IF(AND(I264&lt;&gt;"",J264&lt;&gt;"",K264&lt;&gt;"",L264="YES",M264&lt;&gt;"",S264&lt;&gt;"",T264&lt;&gt;"",U264&lt;&gt;"",V264&lt;&gt;"",W264&lt;&gt;"",X264&lt;&gt;"",Y264&lt;&gt;""),"COMPLETE","PENDING")</x:f>
        <x:v>PENDING</x:v>
      </x:c>
      <x:c r="AF264" s="79" t="str">
        <x:f>IF(AE264="COMPLETE","YES","NO")</x:f>
        <x:v>NO</x:v>
      </x:c>
      <x:c r="AG264" s="214" t="str">
        <x:f>IF(AF264&lt;&gt;"YES","",(IF(V264="YES",1,0)+IF(W264="YES",1,0))/2)</x:f>
      </x:c>
    </x:row>
    <x:row r="265">
      <x:c r="A265" s="57" t="inlineStr">
        <x:is>
          <x:t xml:space="preserve">C0260</x:t>
        </x:is>
      </x:c>
      <x:c r="B265" s="57" t="inlineStr">
        <x:is>
          <x:t xml:space="preserve">Development</x:t>
        </x:is>
      </x:c>
      <x:c r="C265" s="57" t="inlineStr">
        <x:is>
          <x:t xml:space="preserve">OPEN</x:t>
        </x:is>
      </x:c>
      <x:c r="D265" s="57" t="inlineStr">
        <x:is>
          <x:t xml:space="preserve">ARG-026</x:t>
        </x:is>
      </x:c>
      <x:c r="E265" s="75" t="str">
        <x:f>INDEX('Company Universe'!$B$6:$B$105,MATCH(D265,'Company Universe'!$A$6:$A$105,0))</x:f>
        <x:v>Sensient Technologies</x:v>
      </x:c>
      <x:c r="F265" s="75" t="str">
        <x:f>INDEX('Company Universe'!$C$6:$C$105,MATCH(D265,'Company Universe'!$A$6:$A$105,0))</x:f>
        <x:v>SXT</x:v>
      </x:c>
      <x:c r="G265" s="75" t="str">
        <x:f>INDEX('Company Universe'!$F$6:$F$105,MATCH(D265,'Company Universe'!$A$6:$A$105,0))</x:f>
        <x:v>Specialty Ingredients</x:v>
      </x:c>
      <x:c r="H265" s="57" t="n">
        <x:v>10</x:v>
      </x:c>
      <x:c r="I265" s="206" t="n"/>
      <x:c r="J265" s="71" t="n"/>
      <x:c r="K265" s="71" t="n"/>
      <x:c r="L265" s="71" t="inlineStr">
        <x:is>
          <x:t xml:space="preserve">NO</x:t>
        </x:is>
      </x:c>
      <x:c r="M265" s="71" t="n"/>
      <x:c r="N265" s="71" t="n"/>
      <x:c r="O265" s="71" t="n"/>
      <x:c r="P265" s="71" t="n"/>
      <x:c r="Q265" s="71" t="n"/>
      <x:c r="R265" s="71" t="n"/>
      <x:c r="S265" s="206" t="n"/>
      <x:c r="T265" s="71" t="n"/>
      <x:c r="U265" s="71" t="n"/>
      <x:c r="V265" s="71" t="n"/>
      <x:c r="W265" s="71" t="n"/>
      <x:c r="X265" s="71" t="n"/>
      <x:c r="Y265" s="71" t="n"/>
      <x:c r="Z265" s="71" t="n"/>
      <x:c r="AA265" s="71" t="n"/>
      <x:c r="AB265" s="71" t="inlineStr">
        <x:is>
          <x:t xml:space="preserve">NO</x:t>
        </x:is>
      </x:c>
      <x:c r="AC265" s="57" t="inlineStr">
        <x:is>
          <x:t xml:space="preserve">V10</x:t>
        </x:is>
      </x:c>
      <x:c r="AD265" s="57" t="n"/>
      <x:c r="AE265" s="79" t="str">
        <x:f>IF(AND(I265&lt;&gt;"",J265&lt;&gt;"",K265&lt;&gt;"",L265="YES",M265&lt;&gt;"",S265&lt;&gt;"",T265&lt;&gt;"",U265&lt;&gt;"",V265&lt;&gt;"",W265&lt;&gt;"",X265&lt;&gt;"",Y265&lt;&gt;""),"COMPLETE","PENDING")</x:f>
        <x:v>PENDING</x:v>
      </x:c>
      <x:c r="AF265" s="79" t="str">
        <x:f>IF(AE265="COMPLETE","YES","NO")</x:f>
        <x:v>NO</x:v>
      </x:c>
      <x:c r="AG265" s="214" t="str">
        <x:f>IF(AF265&lt;&gt;"YES","",(IF(V265="YES",1,0)+IF(W265="YES",1,0))/2)</x:f>
      </x:c>
    </x:row>
    <x:row r="266">
      <x:c r="A266" s="57" t="inlineStr">
        <x:is>
          <x:t xml:space="preserve">C0261</x:t>
        </x:is>
      </x:c>
      <x:c r="B266" s="57" t="inlineStr">
        <x:is>
          <x:t xml:space="preserve">Development</x:t>
        </x:is>
      </x:c>
      <x:c r="C266" s="57" t="inlineStr">
        <x:is>
          <x:t xml:space="preserve">OPEN</x:t>
        </x:is>
      </x:c>
      <x:c r="D266" s="57" t="inlineStr">
        <x:is>
          <x:t xml:space="preserve">ARG-027</x:t>
        </x:is>
      </x:c>
      <x:c r="E266" s="75" t="str">
        <x:f>INDEX('Company Universe'!$B$6:$B$105,MATCH(D266,'Company Universe'!$A$6:$A$105,0))</x:f>
        <x:v>Torpaz Industries</x:v>
      </x:c>
      <x:c r="F266" s="75" t="str">
        <x:f>INDEX('Company Universe'!$C$6:$C$105,MATCH(D266,'Company Universe'!$A$6:$A$105,0))</x:f>
        <x:v>TRPZ.TA</x:v>
      </x:c>
      <x:c r="G266" s="75" t="str">
        <x:f>INDEX('Company Universe'!$F$6:$F$105,MATCH(D266,'Company Universe'!$A$6:$A$105,0))</x:f>
        <x:v>Specialty Ingredients</x:v>
      </x:c>
      <x:c r="H266" s="57" t="n">
        <x:v>1</x:v>
      </x:c>
      <x:c r="I266" s="206" t="n"/>
      <x:c r="J266" s="71" t="n"/>
      <x:c r="K266" s="71" t="n"/>
      <x:c r="L266" s="71" t="inlineStr">
        <x:is>
          <x:t xml:space="preserve">NO</x:t>
        </x:is>
      </x:c>
      <x:c r="M266" s="71" t="n"/>
      <x:c r="N266" s="71" t="n"/>
      <x:c r="O266" s="71" t="n"/>
      <x:c r="P266" s="71" t="n"/>
      <x:c r="Q266" s="71" t="n"/>
      <x:c r="R266" s="71" t="n"/>
      <x:c r="S266" s="206" t="n"/>
      <x:c r="T266" s="71" t="n"/>
      <x:c r="U266" s="71" t="n"/>
      <x:c r="V266" s="71" t="n"/>
      <x:c r="W266" s="71" t="n"/>
      <x:c r="X266" s="71" t="n"/>
      <x:c r="Y266" s="71" t="n"/>
      <x:c r="Z266" s="71" t="n"/>
      <x:c r="AA266" s="71" t="n"/>
      <x:c r="AB266" s="71" t="inlineStr">
        <x:is>
          <x:t xml:space="preserve">NO</x:t>
        </x:is>
      </x:c>
      <x:c r="AC266" s="57" t="inlineStr">
        <x:is>
          <x:t xml:space="preserve">V10</x:t>
        </x:is>
      </x:c>
      <x:c r="AD266" s="57" t="n"/>
      <x:c r="AE266" s="79" t="str">
        <x:f>IF(AND(I266&lt;&gt;"",J266&lt;&gt;"",K266&lt;&gt;"",L266="YES",M266&lt;&gt;"",S266&lt;&gt;"",T266&lt;&gt;"",U266&lt;&gt;"",V266&lt;&gt;"",W266&lt;&gt;"",X266&lt;&gt;"",Y266&lt;&gt;""),"COMPLETE","PENDING")</x:f>
        <x:v>PENDING</x:v>
      </x:c>
      <x:c r="AF266" s="79" t="str">
        <x:f>IF(AE266="COMPLETE","YES","NO")</x:f>
        <x:v>NO</x:v>
      </x:c>
      <x:c r="AG266" s="214" t="str">
        <x:f>IF(AF266&lt;&gt;"YES","",(IF(V266="YES",1,0)+IF(W266="YES",1,0))/2)</x:f>
      </x:c>
    </x:row>
    <x:row r="267">
      <x:c r="A267" s="57" t="inlineStr">
        <x:is>
          <x:t xml:space="preserve">C0262</x:t>
        </x:is>
      </x:c>
      <x:c r="B267" s="57" t="inlineStr">
        <x:is>
          <x:t xml:space="preserve">Development</x:t>
        </x:is>
      </x:c>
      <x:c r="C267" s="57" t="inlineStr">
        <x:is>
          <x:t xml:space="preserve">OPEN</x:t>
        </x:is>
      </x:c>
      <x:c r="D267" s="57" t="inlineStr">
        <x:is>
          <x:t xml:space="preserve">ARG-027</x:t>
        </x:is>
      </x:c>
      <x:c r="E267" s="75" t="str">
        <x:f>INDEX('Company Universe'!$B$6:$B$105,MATCH(D267,'Company Universe'!$A$6:$A$105,0))</x:f>
        <x:v>Torpaz Industries</x:v>
      </x:c>
      <x:c r="F267" s="75" t="str">
        <x:f>INDEX('Company Universe'!$C$6:$C$105,MATCH(D267,'Company Universe'!$A$6:$A$105,0))</x:f>
        <x:v>TRPZ.TA</x:v>
      </x:c>
      <x:c r="G267" s="75" t="str">
        <x:f>INDEX('Company Universe'!$F$6:$F$105,MATCH(D267,'Company Universe'!$A$6:$A$105,0))</x:f>
        <x:v>Specialty Ingredients</x:v>
      </x:c>
      <x:c r="H267" s="57" t="n">
        <x:v>2</x:v>
      </x:c>
      <x:c r="I267" s="206" t="n"/>
      <x:c r="J267" s="71" t="n"/>
      <x:c r="K267" s="71" t="n"/>
      <x:c r="L267" s="71" t="inlineStr">
        <x:is>
          <x:t xml:space="preserve">NO</x:t>
        </x:is>
      </x:c>
      <x:c r="M267" s="71" t="n"/>
      <x:c r="N267" s="71" t="n"/>
      <x:c r="O267" s="71" t="n"/>
      <x:c r="P267" s="71" t="n"/>
      <x:c r="Q267" s="71" t="n"/>
      <x:c r="R267" s="71" t="n"/>
      <x:c r="S267" s="206" t="n"/>
      <x:c r="T267" s="71" t="n"/>
      <x:c r="U267" s="71" t="n"/>
      <x:c r="V267" s="71" t="n"/>
      <x:c r="W267" s="71" t="n"/>
      <x:c r="X267" s="71" t="n"/>
      <x:c r="Y267" s="71" t="n"/>
      <x:c r="Z267" s="71" t="n"/>
      <x:c r="AA267" s="71" t="n"/>
      <x:c r="AB267" s="71" t="inlineStr">
        <x:is>
          <x:t xml:space="preserve">NO</x:t>
        </x:is>
      </x:c>
      <x:c r="AC267" s="57" t="inlineStr">
        <x:is>
          <x:t xml:space="preserve">V10</x:t>
        </x:is>
      </x:c>
      <x:c r="AD267" s="57" t="n"/>
      <x:c r="AE267" s="79" t="str">
        <x:f>IF(AND(I267&lt;&gt;"",J267&lt;&gt;"",K267&lt;&gt;"",L267="YES",M267&lt;&gt;"",S267&lt;&gt;"",T267&lt;&gt;"",U267&lt;&gt;"",V267&lt;&gt;"",W267&lt;&gt;"",X267&lt;&gt;"",Y267&lt;&gt;""),"COMPLETE","PENDING")</x:f>
        <x:v>PENDING</x:v>
      </x:c>
      <x:c r="AF267" s="79" t="str">
        <x:f>IF(AE267="COMPLETE","YES","NO")</x:f>
        <x:v>NO</x:v>
      </x:c>
      <x:c r="AG267" s="214" t="str">
        <x:f>IF(AF267&lt;&gt;"YES","",(IF(V267="YES",1,0)+IF(W267="YES",1,0))/2)</x:f>
      </x:c>
    </x:row>
    <x:row r="268">
      <x:c r="A268" s="57" t="inlineStr">
        <x:is>
          <x:t xml:space="preserve">C0263</x:t>
        </x:is>
      </x:c>
      <x:c r="B268" s="57" t="inlineStr">
        <x:is>
          <x:t xml:space="preserve">Development</x:t>
        </x:is>
      </x:c>
      <x:c r="C268" s="57" t="inlineStr">
        <x:is>
          <x:t xml:space="preserve">OPEN</x:t>
        </x:is>
      </x:c>
      <x:c r="D268" s="57" t="inlineStr">
        <x:is>
          <x:t xml:space="preserve">ARG-027</x:t>
        </x:is>
      </x:c>
      <x:c r="E268" s="75" t="str">
        <x:f>INDEX('Company Universe'!$B$6:$B$105,MATCH(D268,'Company Universe'!$A$6:$A$105,0))</x:f>
        <x:v>Torpaz Industries</x:v>
      </x:c>
      <x:c r="F268" s="75" t="str">
        <x:f>INDEX('Company Universe'!$C$6:$C$105,MATCH(D268,'Company Universe'!$A$6:$A$105,0))</x:f>
        <x:v>TRPZ.TA</x:v>
      </x:c>
      <x:c r="G268" s="75" t="str">
        <x:f>INDEX('Company Universe'!$F$6:$F$105,MATCH(D268,'Company Universe'!$A$6:$A$105,0))</x:f>
        <x:v>Specialty Ingredients</x:v>
      </x:c>
      <x:c r="H268" s="57" t="n">
        <x:v>3</x:v>
      </x:c>
      <x:c r="I268" s="206" t="n"/>
      <x:c r="J268" s="71" t="n"/>
      <x:c r="K268" s="71" t="n"/>
      <x:c r="L268" s="71" t="inlineStr">
        <x:is>
          <x:t xml:space="preserve">NO</x:t>
        </x:is>
      </x:c>
      <x:c r="M268" s="71" t="n"/>
      <x:c r="N268" s="71" t="n"/>
      <x:c r="O268" s="71" t="n"/>
      <x:c r="P268" s="71" t="n"/>
      <x:c r="Q268" s="71" t="n"/>
      <x:c r="R268" s="71" t="n"/>
      <x:c r="S268" s="206" t="n"/>
      <x:c r="T268" s="71" t="n"/>
      <x:c r="U268" s="71" t="n"/>
      <x:c r="V268" s="71" t="n"/>
      <x:c r="W268" s="71" t="n"/>
      <x:c r="X268" s="71" t="n"/>
      <x:c r="Y268" s="71" t="n"/>
      <x:c r="Z268" s="71" t="n"/>
      <x:c r="AA268" s="71" t="n"/>
      <x:c r="AB268" s="71" t="inlineStr">
        <x:is>
          <x:t xml:space="preserve">NO</x:t>
        </x:is>
      </x:c>
      <x:c r="AC268" s="57" t="inlineStr">
        <x:is>
          <x:t xml:space="preserve">V10</x:t>
        </x:is>
      </x:c>
      <x:c r="AD268" s="57" t="n"/>
      <x:c r="AE268" s="79" t="str">
        <x:f>IF(AND(I268&lt;&gt;"",J268&lt;&gt;"",K268&lt;&gt;"",L268="YES",M268&lt;&gt;"",S268&lt;&gt;"",T268&lt;&gt;"",U268&lt;&gt;"",V268&lt;&gt;"",W268&lt;&gt;"",X268&lt;&gt;"",Y268&lt;&gt;""),"COMPLETE","PENDING")</x:f>
        <x:v>PENDING</x:v>
      </x:c>
      <x:c r="AF268" s="79" t="str">
        <x:f>IF(AE268="COMPLETE","YES","NO")</x:f>
        <x:v>NO</x:v>
      </x:c>
      <x:c r="AG268" s="214" t="str">
        <x:f>IF(AF268&lt;&gt;"YES","",(IF(V268="YES",1,0)+IF(W268="YES",1,0))/2)</x:f>
      </x:c>
    </x:row>
    <x:row r="269">
      <x:c r="A269" s="57" t="inlineStr">
        <x:is>
          <x:t xml:space="preserve">C0264</x:t>
        </x:is>
      </x:c>
      <x:c r="B269" s="57" t="inlineStr">
        <x:is>
          <x:t xml:space="preserve">Development</x:t>
        </x:is>
      </x:c>
      <x:c r="C269" s="57" t="inlineStr">
        <x:is>
          <x:t xml:space="preserve">OPEN</x:t>
        </x:is>
      </x:c>
      <x:c r="D269" s="57" t="inlineStr">
        <x:is>
          <x:t xml:space="preserve">ARG-027</x:t>
        </x:is>
      </x:c>
      <x:c r="E269" s="75" t="str">
        <x:f>INDEX('Company Universe'!$B$6:$B$105,MATCH(D269,'Company Universe'!$A$6:$A$105,0))</x:f>
        <x:v>Torpaz Industries</x:v>
      </x:c>
      <x:c r="F269" s="75" t="str">
        <x:f>INDEX('Company Universe'!$C$6:$C$105,MATCH(D269,'Company Universe'!$A$6:$A$105,0))</x:f>
        <x:v>TRPZ.TA</x:v>
      </x:c>
      <x:c r="G269" s="75" t="str">
        <x:f>INDEX('Company Universe'!$F$6:$F$105,MATCH(D269,'Company Universe'!$A$6:$A$105,0))</x:f>
        <x:v>Specialty Ingredients</x:v>
      </x:c>
      <x:c r="H269" s="57" t="n">
        <x:v>4</x:v>
      </x:c>
      <x:c r="I269" s="206" t="n"/>
      <x:c r="J269" s="71" t="n"/>
      <x:c r="K269" s="71" t="n"/>
      <x:c r="L269" s="71" t="inlineStr">
        <x:is>
          <x:t xml:space="preserve">NO</x:t>
        </x:is>
      </x:c>
      <x:c r="M269" s="71" t="n"/>
      <x:c r="N269" s="71" t="n"/>
      <x:c r="O269" s="71" t="n"/>
      <x:c r="P269" s="71" t="n"/>
      <x:c r="Q269" s="71" t="n"/>
      <x:c r="R269" s="71" t="n"/>
      <x:c r="S269" s="206" t="n"/>
      <x:c r="T269" s="71" t="n"/>
      <x:c r="U269" s="71" t="n"/>
      <x:c r="V269" s="71" t="n"/>
      <x:c r="W269" s="71" t="n"/>
      <x:c r="X269" s="71" t="n"/>
      <x:c r="Y269" s="71" t="n"/>
      <x:c r="Z269" s="71" t="n"/>
      <x:c r="AA269" s="71" t="n"/>
      <x:c r="AB269" s="71" t="inlineStr">
        <x:is>
          <x:t xml:space="preserve">NO</x:t>
        </x:is>
      </x:c>
      <x:c r="AC269" s="57" t="inlineStr">
        <x:is>
          <x:t xml:space="preserve">V10</x:t>
        </x:is>
      </x:c>
      <x:c r="AD269" s="57" t="n"/>
      <x:c r="AE269" s="79" t="str">
        <x:f>IF(AND(I269&lt;&gt;"",J269&lt;&gt;"",K269&lt;&gt;"",L269="YES",M269&lt;&gt;"",S269&lt;&gt;"",T269&lt;&gt;"",U269&lt;&gt;"",V269&lt;&gt;"",W269&lt;&gt;"",X269&lt;&gt;"",Y269&lt;&gt;""),"COMPLETE","PENDING")</x:f>
        <x:v>PENDING</x:v>
      </x:c>
      <x:c r="AF269" s="79" t="str">
        <x:f>IF(AE269="COMPLETE","YES","NO")</x:f>
        <x:v>NO</x:v>
      </x:c>
      <x:c r="AG269" s="214" t="str">
        <x:f>IF(AF269&lt;&gt;"YES","",(IF(V269="YES",1,0)+IF(W269="YES",1,0))/2)</x:f>
      </x:c>
    </x:row>
    <x:row r="270">
      <x:c r="A270" s="57" t="inlineStr">
        <x:is>
          <x:t xml:space="preserve">C0265</x:t>
        </x:is>
      </x:c>
      <x:c r="B270" s="57" t="inlineStr">
        <x:is>
          <x:t xml:space="preserve">Development</x:t>
        </x:is>
      </x:c>
      <x:c r="C270" s="57" t="inlineStr">
        <x:is>
          <x:t xml:space="preserve">OPEN</x:t>
        </x:is>
      </x:c>
      <x:c r="D270" s="57" t="inlineStr">
        <x:is>
          <x:t xml:space="preserve">ARG-027</x:t>
        </x:is>
      </x:c>
      <x:c r="E270" s="75" t="str">
        <x:f>INDEX('Company Universe'!$B$6:$B$105,MATCH(D270,'Company Universe'!$A$6:$A$105,0))</x:f>
        <x:v>Torpaz Industries</x:v>
      </x:c>
      <x:c r="F270" s="75" t="str">
        <x:f>INDEX('Company Universe'!$C$6:$C$105,MATCH(D270,'Company Universe'!$A$6:$A$105,0))</x:f>
        <x:v>TRPZ.TA</x:v>
      </x:c>
      <x:c r="G270" s="75" t="str">
        <x:f>INDEX('Company Universe'!$F$6:$F$105,MATCH(D270,'Company Universe'!$A$6:$A$105,0))</x:f>
        <x:v>Specialty Ingredients</x:v>
      </x:c>
      <x:c r="H270" s="57" t="n">
        <x:v>5</x:v>
      </x:c>
      <x:c r="I270" s="206" t="n"/>
      <x:c r="J270" s="71" t="n"/>
      <x:c r="K270" s="71" t="n"/>
      <x:c r="L270" s="71" t="inlineStr">
        <x:is>
          <x:t xml:space="preserve">NO</x:t>
        </x:is>
      </x:c>
      <x:c r="M270" s="71" t="n"/>
      <x:c r="N270" s="71" t="n"/>
      <x:c r="O270" s="71" t="n"/>
      <x:c r="P270" s="71" t="n"/>
      <x:c r="Q270" s="71" t="n"/>
      <x:c r="R270" s="71" t="n"/>
      <x:c r="S270" s="206" t="n"/>
      <x:c r="T270" s="71" t="n"/>
      <x:c r="U270" s="71" t="n"/>
      <x:c r="V270" s="71" t="n"/>
      <x:c r="W270" s="71" t="n"/>
      <x:c r="X270" s="71" t="n"/>
      <x:c r="Y270" s="71" t="n"/>
      <x:c r="Z270" s="71" t="n"/>
      <x:c r="AA270" s="71" t="n"/>
      <x:c r="AB270" s="71" t="inlineStr">
        <x:is>
          <x:t xml:space="preserve">NO</x:t>
        </x:is>
      </x:c>
      <x:c r="AC270" s="57" t="inlineStr">
        <x:is>
          <x:t xml:space="preserve">V10</x:t>
        </x:is>
      </x:c>
      <x:c r="AD270" s="57" t="n"/>
      <x:c r="AE270" s="79" t="str">
        <x:f>IF(AND(I270&lt;&gt;"",J270&lt;&gt;"",K270&lt;&gt;"",L270="YES",M270&lt;&gt;"",S270&lt;&gt;"",T270&lt;&gt;"",U270&lt;&gt;"",V270&lt;&gt;"",W270&lt;&gt;"",X270&lt;&gt;"",Y270&lt;&gt;""),"COMPLETE","PENDING")</x:f>
        <x:v>PENDING</x:v>
      </x:c>
      <x:c r="AF270" s="79" t="str">
        <x:f>IF(AE270="COMPLETE","YES","NO")</x:f>
        <x:v>NO</x:v>
      </x:c>
      <x:c r="AG270" s="214" t="str">
        <x:f>IF(AF270&lt;&gt;"YES","",(IF(V270="YES",1,0)+IF(W270="YES",1,0))/2)</x:f>
      </x:c>
    </x:row>
    <x:row r="271">
      <x:c r="A271" s="57" t="inlineStr">
        <x:is>
          <x:t xml:space="preserve">C0266</x:t>
        </x:is>
      </x:c>
      <x:c r="B271" s="57" t="inlineStr">
        <x:is>
          <x:t xml:space="preserve">Development</x:t>
        </x:is>
      </x:c>
      <x:c r="C271" s="57" t="inlineStr">
        <x:is>
          <x:t xml:space="preserve">OPEN</x:t>
        </x:is>
      </x:c>
      <x:c r="D271" s="57" t="inlineStr">
        <x:is>
          <x:t xml:space="preserve">ARG-027</x:t>
        </x:is>
      </x:c>
      <x:c r="E271" s="75" t="str">
        <x:f>INDEX('Company Universe'!$B$6:$B$105,MATCH(D271,'Company Universe'!$A$6:$A$105,0))</x:f>
        <x:v>Torpaz Industries</x:v>
      </x:c>
      <x:c r="F271" s="75" t="str">
        <x:f>INDEX('Company Universe'!$C$6:$C$105,MATCH(D271,'Company Universe'!$A$6:$A$105,0))</x:f>
        <x:v>TRPZ.TA</x:v>
      </x:c>
      <x:c r="G271" s="75" t="str">
        <x:f>INDEX('Company Universe'!$F$6:$F$105,MATCH(D271,'Company Universe'!$A$6:$A$105,0))</x:f>
        <x:v>Specialty Ingredients</x:v>
      </x:c>
      <x:c r="H271" s="57" t="n">
        <x:v>6</x:v>
      </x:c>
      <x:c r="I271" s="206" t="n"/>
      <x:c r="J271" s="71" t="n"/>
      <x:c r="K271" s="71" t="n"/>
      <x:c r="L271" s="71" t="inlineStr">
        <x:is>
          <x:t xml:space="preserve">NO</x:t>
        </x:is>
      </x:c>
      <x:c r="M271" s="71" t="n"/>
      <x:c r="N271" s="71" t="n"/>
      <x:c r="O271" s="71" t="n"/>
      <x:c r="P271" s="71" t="n"/>
      <x:c r="Q271" s="71" t="n"/>
      <x:c r="R271" s="71" t="n"/>
      <x:c r="S271" s="206" t="n"/>
      <x:c r="T271" s="71" t="n"/>
      <x:c r="U271" s="71" t="n"/>
      <x:c r="V271" s="71" t="n"/>
      <x:c r="W271" s="71" t="n"/>
      <x:c r="X271" s="71" t="n"/>
      <x:c r="Y271" s="71" t="n"/>
      <x:c r="Z271" s="71" t="n"/>
      <x:c r="AA271" s="71" t="n"/>
      <x:c r="AB271" s="71" t="inlineStr">
        <x:is>
          <x:t xml:space="preserve">NO</x:t>
        </x:is>
      </x:c>
      <x:c r="AC271" s="57" t="inlineStr">
        <x:is>
          <x:t xml:space="preserve">V10</x:t>
        </x:is>
      </x:c>
      <x:c r="AD271" s="57" t="n"/>
      <x:c r="AE271" s="79" t="str">
        <x:f>IF(AND(I271&lt;&gt;"",J271&lt;&gt;"",K271&lt;&gt;"",L271="YES",M271&lt;&gt;"",S271&lt;&gt;"",T271&lt;&gt;"",U271&lt;&gt;"",V271&lt;&gt;"",W271&lt;&gt;"",X271&lt;&gt;"",Y271&lt;&gt;""),"COMPLETE","PENDING")</x:f>
        <x:v>PENDING</x:v>
      </x:c>
      <x:c r="AF271" s="79" t="str">
        <x:f>IF(AE271="COMPLETE","YES","NO")</x:f>
        <x:v>NO</x:v>
      </x:c>
      <x:c r="AG271" s="214" t="str">
        <x:f>IF(AF271&lt;&gt;"YES","",(IF(V271="YES",1,0)+IF(W271="YES",1,0))/2)</x:f>
      </x:c>
    </x:row>
    <x:row r="272">
      <x:c r="A272" s="57" t="inlineStr">
        <x:is>
          <x:t xml:space="preserve">C0267</x:t>
        </x:is>
      </x:c>
      <x:c r="B272" s="57" t="inlineStr">
        <x:is>
          <x:t xml:space="preserve">Development</x:t>
        </x:is>
      </x:c>
      <x:c r="C272" s="57" t="inlineStr">
        <x:is>
          <x:t xml:space="preserve">OPEN</x:t>
        </x:is>
      </x:c>
      <x:c r="D272" s="57" t="inlineStr">
        <x:is>
          <x:t xml:space="preserve">ARG-027</x:t>
        </x:is>
      </x:c>
      <x:c r="E272" s="75" t="str">
        <x:f>INDEX('Company Universe'!$B$6:$B$105,MATCH(D272,'Company Universe'!$A$6:$A$105,0))</x:f>
        <x:v>Torpaz Industries</x:v>
      </x:c>
      <x:c r="F272" s="75" t="str">
        <x:f>INDEX('Company Universe'!$C$6:$C$105,MATCH(D272,'Company Universe'!$A$6:$A$105,0))</x:f>
        <x:v>TRPZ.TA</x:v>
      </x:c>
      <x:c r="G272" s="75" t="str">
        <x:f>INDEX('Company Universe'!$F$6:$F$105,MATCH(D272,'Company Universe'!$A$6:$A$105,0))</x:f>
        <x:v>Specialty Ingredients</x:v>
      </x:c>
      <x:c r="H272" s="57" t="n">
        <x:v>7</x:v>
      </x:c>
      <x:c r="I272" s="206" t="n"/>
      <x:c r="J272" s="71" t="n"/>
      <x:c r="K272" s="71" t="n"/>
      <x:c r="L272" s="71" t="inlineStr">
        <x:is>
          <x:t xml:space="preserve">NO</x:t>
        </x:is>
      </x:c>
      <x:c r="M272" s="71" t="n"/>
      <x:c r="N272" s="71" t="n"/>
      <x:c r="O272" s="71" t="n"/>
      <x:c r="P272" s="71" t="n"/>
      <x:c r="Q272" s="71" t="n"/>
      <x:c r="R272" s="71" t="n"/>
      <x:c r="S272" s="206" t="n"/>
      <x:c r="T272" s="71" t="n"/>
      <x:c r="U272" s="71" t="n"/>
      <x:c r="V272" s="71" t="n"/>
      <x:c r="W272" s="71" t="n"/>
      <x:c r="X272" s="71" t="n"/>
      <x:c r="Y272" s="71" t="n"/>
      <x:c r="Z272" s="71" t="n"/>
      <x:c r="AA272" s="71" t="n"/>
      <x:c r="AB272" s="71" t="inlineStr">
        <x:is>
          <x:t xml:space="preserve">NO</x:t>
        </x:is>
      </x:c>
      <x:c r="AC272" s="57" t="inlineStr">
        <x:is>
          <x:t xml:space="preserve">V10</x:t>
        </x:is>
      </x:c>
      <x:c r="AD272" s="57" t="n"/>
      <x:c r="AE272" s="79" t="str">
        <x:f>IF(AND(I272&lt;&gt;"",J272&lt;&gt;"",K272&lt;&gt;"",L272="YES",M272&lt;&gt;"",S272&lt;&gt;"",T272&lt;&gt;"",U272&lt;&gt;"",V272&lt;&gt;"",W272&lt;&gt;"",X272&lt;&gt;"",Y272&lt;&gt;""),"COMPLETE","PENDING")</x:f>
        <x:v>PENDING</x:v>
      </x:c>
      <x:c r="AF272" s="79" t="str">
        <x:f>IF(AE272="COMPLETE","YES","NO")</x:f>
        <x:v>NO</x:v>
      </x:c>
      <x:c r="AG272" s="214" t="str">
        <x:f>IF(AF272&lt;&gt;"YES","",(IF(V272="YES",1,0)+IF(W272="YES",1,0))/2)</x:f>
      </x:c>
    </x:row>
    <x:row r="273">
      <x:c r="A273" s="57" t="inlineStr">
        <x:is>
          <x:t xml:space="preserve">C0268</x:t>
        </x:is>
      </x:c>
      <x:c r="B273" s="57" t="inlineStr">
        <x:is>
          <x:t xml:space="preserve">Development</x:t>
        </x:is>
      </x:c>
      <x:c r="C273" s="57" t="inlineStr">
        <x:is>
          <x:t xml:space="preserve">OPEN</x:t>
        </x:is>
      </x:c>
      <x:c r="D273" s="57" t="inlineStr">
        <x:is>
          <x:t xml:space="preserve">ARG-027</x:t>
        </x:is>
      </x:c>
      <x:c r="E273" s="75" t="str">
        <x:f>INDEX('Company Universe'!$B$6:$B$105,MATCH(D273,'Company Universe'!$A$6:$A$105,0))</x:f>
        <x:v>Torpaz Industries</x:v>
      </x:c>
      <x:c r="F273" s="75" t="str">
        <x:f>INDEX('Company Universe'!$C$6:$C$105,MATCH(D273,'Company Universe'!$A$6:$A$105,0))</x:f>
        <x:v>TRPZ.TA</x:v>
      </x:c>
      <x:c r="G273" s="75" t="str">
        <x:f>INDEX('Company Universe'!$F$6:$F$105,MATCH(D273,'Company Universe'!$A$6:$A$105,0))</x:f>
        <x:v>Specialty Ingredients</x:v>
      </x:c>
      <x:c r="H273" s="57" t="n">
        <x:v>8</x:v>
      </x:c>
      <x:c r="I273" s="206" t="n"/>
      <x:c r="J273" s="71" t="n"/>
      <x:c r="K273" s="71" t="n"/>
      <x:c r="L273" s="71" t="inlineStr">
        <x:is>
          <x:t xml:space="preserve">NO</x:t>
        </x:is>
      </x:c>
      <x:c r="M273" s="71" t="n"/>
      <x:c r="N273" s="71" t="n"/>
      <x:c r="O273" s="71" t="n"/>
      <x:c r="P273" s="71" t="n"/>
      <x:c r="Q273" s="71" t="n"/>
      <x:c r="R273" s="71" t="n"/>
      <x:c r="S273" s="206" t="n"/>
      <x:c r="T273" s="71" t="n"/>
      <x:c r="U273" s="71" t="n"/>
      <x:c r="V273" s="71" t="n"/>
      <x:c r="W273" s="71" t="n"/>
      <x:c r="X273" s="71" t="n"/>
      <x:c r="Y273" s="71" t="n"/>
      <x:c r="Z273" s="71" t="n"/>
      <x:c r="AA273" s="71" t="n"/>
      <x:c r="AB273" s="71" t="inlineStr">
        <x:is>
          <x:t xml:space="preserve">NO</x:t>
        </x:is>
      </x:c>
      <x:c r="AC273" s="57" t="inlineStr">
        <x:is>
          <x:t xml:space="preserve">V10</x:t>
        </x:is>
      </x:c>
      <x:c r="AD273" s="57" t="n"/>
      <x:c r="AE273" s="79" t="str">
        <x:f>IF(AND(I273&lt;&gt;"",J273&lt;&gt;"",K273&lt;&gt;"",L273="YES",M273&lt;&gt;"",S273&lt;&gt;"",T273&lt;&gt;"",U273&lt;&gt;"",V273&lt;&gt;"",W273&lt;&gt;"",X273&lt;&gt;"",Y273&lt;&gt;""),"COMPLETE","PENDING")</x:f>
        <x:v>PENDING</x:v>
      </x:c>
      <x:c r="AF273" s="79" t="str">
        <x:f>IF(AE273="COMPLETE","YES","NO")</x:f>
        <x:v>NO</x:v>
      </x:c>
      <x:c r="AG273" s="214" t="str">
        <x:f>IF(AF273&lt;&gt;"YES","",(IF(V273="YES",1,0)+IF(W273="YES",1,0))/2)</x:f>
      </x:c>
    </x:row>
    <x:row r="274">
      <x:c r="A274" s="57" t="inlineStr">
        <x:is>
          <x:t xml:space="preserve">C0269</x:t>
        </x:is>
      </x:c>
      <x:c r="B274" s="57" t="inlineStr">
        <x:is>
          <x:t xml:space="preserve">Development</x:t>
        </x:is>
      </x:c>
      <x:c r="C274" s="57" t="inlineStr">
        <x:is>
          <x:t xml:space="preserve">OPEN</x:t>
        </x:is>
      </x:c>
      <x:c r="D274" s="57" t="inlineStr">
        <x:is>
          <x:t xml:space="preserve">ARG-027</x:t>
        </x:is>
      </x:c>
      <x:c r="E274" s="75" t="str">
        <x:f>INDEX('Company Universe'!$B$6:$B$105,MATCH(D274,'Company Universe'!$A$6:$A$105,0))</x:f>
        <x:v>Torpaz Industries</x:v>
      </x:c>
      <x:c r="F274" s="75" t="str">
        <x:f>INDEX('Company Universe'!$C$6:$C$105,MATCH(D274,'Company Universe'!$A$6:$A$105,0))</x:f>
        <x:v>TRPZ.TA</x:v>
      </x:c>
      <x:c r="G274" s="75" t="str">
        <x:f>INDEX('Company Universe'!$F$6:$F$105,MATCH(D274,'Company Universe'!$A$6:$A$105,0))</x:f>
        <x:v>Specialty Ingredients</x:v>
      </x:c>
      <x:c r="H274" s="57" t="n">
        <x:v>9</x:v>
      </x:c>
      <x:c r="I274" s="206" t="n"/>
      <x:c r="J274" s="71" t="n"/>
      <x:c r="K274" s="71" t="n"/>
      <x:c r="L274" s="71" t="inlineStr">
        <x:is>
          <x:t xml:space="preserve">NO</x:t>
        </x:is>
      </x:c>
      <x:c r="M274" s="71" t="n"/>
      <x:c r="N274" s="71" t="n"/>
      <x:c r="O274" s="71" t="n"/>
      <x:c r="P274" s="71" t="n"/>
      <x:c r="Q274" s="71" t="n"/>
      <x:c r="R274" s="71" t="n"/>
      <x:c r="S274" s="206" t="n"/>
      <x:c r="T274" s="71" t="n"/>
      <x:c r="U274" s="71" t="n"/>
      <x:c r="V274" s="71" t="n"/>
      <x:c r="W274" s="71" t="n"/>
      <x:c r="X274" s="71" t="n"/>
      <x:c r="Y274" s="71" t="n"/>
      <x:c r="Z274" s="71" t="n"/>
      <x:c r="AA274" s="71" t="n"/>
      <x:c r="AB274" s="71" t="inlineStr">
        <x:is>
          <x:t xml:space="preserve">NO</x:t>
        </x:is>
      </x:c>
      <x:c r="AC274" s="57" t="inlineStr">
        <x:is>
          <x:t xml:space="preserve">V10</x:t>
        </x:is>
      </x:c>
      <x:c r="AD274" s="57" t="n"/>
      <x:c r="AE274" s="79" t="str">
        <x:f>IF(AND(I274&lt;&gt;"",J274&lt;&gt;"",K274&lt;&gt;"",L274="YES",M274&lt;&gt;"",S274&lt;&gt;"",T274&lt;&gt;"",U274&lt;&gt;"",V274&lt;&gt;"",W274&lt;&gt;"",X274&lt;&gt;"",Y274&lt;&gt;""),"COMPLETE","PENDING")</x:f>
        <x:v>PENDING</x:v>
      </x:c>
      <x:c r="AF274" s="79" t="str">
        <x:f>IF(AE274="COMPLETE","YES","NO")</x:f>
        <x:v>NO</x:v>
      </x:c>
      <x:c r="AG274" s="214" t="str">
        <x:f>IF(AF274&lt;&gt;"YES","",(IF(V274="YES",1,0)+IF(W274="YES",1,0))/2)</x:f>
      </x:c>
    </x:row>
    <x:row r="275">
      <x:c r="A275" s="57" t="inlineStr">
        <x:is>
          <x:t xml:space="preserve">C0270</x:t>
        </x:is>
      </x:c>
      <x:c r="B275" s="57" t="inlineStr">
        <x:is>
          <x:t xml:space="preserve">Development</x:t>
        </x:is>
      </x:c>
      <x:c r="C275" s="57" t="inlineStr">
        <x:is>
          <x:t xml:space="preserve">OPEN</x:t>
        </x:is>
      </x:c>
      <x:c r="D275" s="57" t="inlineStr">
        <x:is>
          <x:t xml:space="preserve">ARG-027</x:t>
        </x:is>
      </x:c>
      <x:c r="E275" s="75" t="str">
        <x:f>INDEX('Company Universe'!$B$6:$B$105,MATCH(D275,'Company Universe'!$A$6:$A$105,0))</x:f>
        <x:v>Torpaz Industries</x:v>
      </x:c>
      <x:c r="F275" s="75" t="str">
        <x:f>INDEX('Company Universe'!$C$6:$C$105,MATCH(D275,'Company Universe'!$A$6:$A$105,0))</x:f>
        <x:v>TRPZ.TA</x:v>
      </x:c>
      <x:c r="G275" s="75" t="str">
        <x:f>INDEX('Company Universe'!$F$6:$F$105,MATCH(D275,'Company Universe'!$A$6:$A$105,0))</x:f>
        <x:v>Specialty Ingredients</x:v>
      </x:c>
      <x:c r="H275" s="57" t="n">
        <x:v>10</x:v>
      </x:c>
      <x:c r="I275" s="206" t="n"/>
      <x:c r="J275" s="71" t="n"/>
      <x:c r="K275" s="71" t="n"/>
      <x:c r="L275" s="71" t="inlineStr">
        <x:is>
          <x:t xml:space="preserve">NO</x:t>
        </x:is>
      </x:c>
      <x:c r="M275" s="71" t="n"/>
      <x:c r="N275" s="71" t="n"/>
      <x:c r="O275" s="71" t="n"/>
      <x:c r="P275" s="71" t="n"/>
      <x:c r="Q275" s="71" t="n"/>
      <x:c r="R275" s="71" t="n"/>
      <x:c r="S275" s="206" t="n"/>
      <x:c r="T275" s="71" t="n"/>
      <x:c r="U275" s="71" t="n"/>
      <x:c r="V275" s="71" t="n"/>
      <x:c r="W275" s="71" t="n"/>
      <x:c r="X275" s="71" t="n"/>
      <x:c r="Y275" s="71" t="n"/>
      <x:c r="Z275" s="71" t="n"/>
      <x:c r="AA275" s="71" t="n"/>
      <x:c r="AB275" s="71" t="inlineStr">
        <x:is>
          <x:t xml:space="preserve">NO</x:t>
        </x:is>
      </x:c>
      <x:c r="AC275" s="57" t="inlineStr">
        <x:is>
          <x:t xml:space="preserve">V10</x:t>
        </x:is>
      </x:c>
      <x:c r="AD275" s="57" t="n"/>
      <x:c r="AE275" s="79" t="str">
        <x:f>IF(AND(I275&lt;&gt;"",J275&lt;&gt;"",K275&lt;&gt;"",L275="YES",M275&lt;&gt;"",S275&lt;&gt;"",T275&lt;&gt;"",U275&lt;&gt;"",V275&lt;&gt;"",W275&lt;&gt;"",X275&lt;&gt;"",Y275&lt;&gt;""),"COMPLETE","PENDING")</x:f>
        <x:v>PENDING</x:v>
      </x:c>
      <x:c r="AF275" s="79" t="str">
        <x:f>IF(AE275="COMPLETE","YES","NO")</x:f>
        <x:v>NO</x:v>
      </x:c>
      <x:c r="AG275" s="214" t="str">
        <x:f>IF(AF275&lt;&gt;"YES","",(IF(V275="YES",1,0)+IF(W275="YES",1,0))/2)</x:f>
      </x:c>
    </x:row>
    <x:row r="276">
      <x:c r="A276" s="57" t="inlineStr">
        <x:is>
          <x:t xml:space="preserve">C0271</x:t>
        </x:is>
      </x:c>
      <x:c r="B276" s="57" t="inlineStr">
        <x:is>
          <x:t xml:space="preserve">Development</x:t>
        </x:is>
      </x:c>
      <x:c r="C276" s="57" t="inlineStr">
        <x:is>
          <x:t xml:space="preserve">OPEN</x:t>
        </x:is>
      </x:c>
      <x:c r="D276" s="57" t="inlineStr">
        <x:is>
          <x:t xml:space="preserve">ARG-028</x:t>
        </x:is>
      </x:c>
      <x:c r="E276" s="75" t="str">
        <x:f>INDEX('Company Universe'!$B$6:$B$105,MATCH(D276,'Company Universe'!$A$6:$A$105,0))</x:f>
        <x:v>Exxon Mobil</x:v>
      </x:c>
      <x:c r="F276" s="75" t="str">
        <x:f>INDEX('Company Universe'!$C$6:$C$105,MATCH(D276,'Company Universe'!$A$6:$A$105,0))</x:f>
        <x:v>XOM</x:v>
      </x:c>
      <x:c r="G276" s="75" t="str">
        <x:f>INDEX('Company Universe'!$F$6:$F$105,MATCH(D276,'Company Universe'!$A$6:$A$105,0))</x:f>
        <x:v>Energy</x:v>
      </x:c>
      <x:c r="H276" s="57" t="n">
        <x:v>1</x:v>
      </x:c>
      <x:c r="I276" s="206" t="n"/>
      <x:c r="J276" s="71" t="n"/>
      <x:c r="K276" s="71" t="n"/>
      <x:c r="L276" s="71" t="inlineStr">
        <x:is>
          <x:t xml:space="preserve">NO</x:t>
        </x:is>
      </x:c>
      <x:c r="M276" s="71" t="n"/>
      <x:c r="N276" s="71" t="n"/>
      <x:c r="O276" s="71" t="n"/>
      <x:c r="P276" s="71" t="n"/>
      <x:c r="Q276" s="71" t="n"/>
      <x:c r="R276" s="71" t="n"/>
      <x:c r="S276" s="206" t="n"/>
      <x:c r="T276" s="71" t="n"/>
      <x:c r="U276" s="71" t="n"/>
      <x:c r="V276" s="71" t="n"/>
      <x:c r="W276" s="71" t="n"/>
      <x:c r="X276" s="71" t="n"/>
      <x:c r="Y276" s="71" t="n"/>
      <x:c r="Z276" s="71" t="n"/>
      <x:c r="AA276" s="71" t="n"/>
      <x:c r="AB276" s="71" t="inlineStr">
        <x:is>
          <x:t xml:space="preserve">NO</x:t>
        </x:is>
      </x:c>
      <x:c r="AC276" s="57" t="inlineStr">
        <x:is>
          <x:t xml:space="preserve">V10</x:t>
        </x:is>
      </x:c>
      <x:c r="AD276" s="57" t="n"/>
      <x:c r="AE276" s="79" t="str">
        <x:f>IF(AND(I276&lt;&gt;"",J276&lt;&gt;"",K276&lt;&gt;"",L276="YES",M276&lt;&gt;"",S276&lt;&gt;"",T276&lt;&gt;"",U276&lt;&gt;"",V276&lt;&gt;"",W276&lt;&gt;"",X276&lt;&gt;"",Y276&lt;&gt;""),"COMPLETE","PENDING")</x:f>
        <x:v>PENDING</x:v>
      </x:c>
      <x:c r="AF276" s="79" t="str">
        <x:f>IF(AE276="COMPLETE","YES","NO")</x:f>
        <x:v>NO</x:v>
      </x:c>
      <x:c r="AG276" s="214" t="str">
        <x:f>IF(AF276&lt;&gt;"YES","",(IF(V276="YES",1,0)+IF(W276="YES",1,0))/2)</x:f>
      </x:c>
    </x:row>
    <x:row r="277">
      <x:c r="A277" s="57" t="inlineStr">
        <x:is>
          <x:t xml:space="preserve">C0272</x:t>
        </x:is>
      </x:c>
      <x:c r="B277" s="57" t="inlineStr">
        <x:is>
          <x:t xml:space="preserve">Development</x:t>
        </x:is>
      </x:c>
      <x:c r="C277" s="57" t="inlineStr">
        <x:is>
          <x:t xml:space="preserve">OPEN</x:t>
        </x:is>
      </x:c>
      <x:c r="D277" s="57" t="inlineStr">
        <x:is>
          <x:t xml:space="preserve">ARG-028</x:t>
        </x:is>
      </x:c>
      <x:c r="E277" s="75" t="str">
        <x:f>INDEX('Company Universe'!$B$6:$B$105,MATCH(D277,'Company Universe'!$A$6:$A$105,0))</x:f>
        <x:v>Exxon Mobil</x:v>
      </x:c>
      <x:c r="F277" s="75" t="str">
        <x:f>INDEX('Company Universe'!$C$6:$C$105,MATCH(D277,'Company Universe'!$A$6:$A$105,0))</x:f>
        <x:v>XOM</x:v>
      </x:c>
      <x:c r="G277" s="75" t="str">
        <x:f>INDEX('Company Universe'!$F$6:$F$105,MATCH(D277,'Company Universe'!$A$6:$A$105,0))</x:f>
        <x:v>Energy</x:v>
      </x:c>
      <x:c r="H277" s="57" t="n">
        <x:v>2</x:v>
      </x:c>
      <x:c r="I277" s="206" t="n"/>
      <x:c r="J277" s="71" t="n"/>
      <x:c r="K277" s="71" t="n"/>
      <x:c r="L277" s="71" t="inlineStr">
        <x:is>
          <x:t xml:space="preserve">NO</x:t>
        </x:is>
      </x:c>
      <x:c r="M277" s="71" t="n"/>
      <x:c r="N277" s="71" t="n"/>
      <x:c r="O277" s="71" t="n"/>
      <x:c r="P277" s="71" t="n"/>
      <x:c r="Q277" s="71" t="n"/>
      <x:c r="R277" s="71" t="n"/>
      <x:c r="S277" s="206" t="n"/>
      <x:c r="T277" s="71" t="n"/>
      <x:c r="U277" s="71" t="n"/>
      <x:c r="V277" s="71" t="n"/>
      <x:c r="W277" s="71" t="n"/>
      <x:c r="X277" s="71" t="n"/>
      <x:c r="Y277" s="71" t="n"/>
      <x:c r="Z277" s="71" t="n"/>
      <x:c r="AA277" s="71" t="n"/>
      <x:c r="AB277" s="71" t="inlineStr">
        <x:is>
          <x:t xml:space="preserve">NO</x:t>
        </x:is>
      </x:c>
      <x:c r="AC277" s="57" t="inlineStr">
        <x:is>
          <x:t xml:space="preserve">V10</x:t>
        </x:is>
      </x:c>
      <x:c r="AD277" s="57" t="n"/>
      <x:c r="AE277" s="79" t="str">
        <x:f>IF(AND(I277&lt;&gt;"",J277&lt;&gt;"",K277&lt;&gt;"",L277="YES",M277&lt;&gt;"",S277&lt;&gt;"",T277&lt;&gt;"",U277&lt;&gt;"",V277&lt;&gt;"",W277&lt;&gt;"",X277&lt;&gt;"",Y277&lt;&gt;""),"COMPLETE","PENDING")</x:f>
        <x:v>PENDING</x:v>
      </x:c>
      <x:c r="AF277" s="79" t="str">
        <x:f>IF(AE277="COMPLETE","YES","NO")</x:f>
        <x:v>NO</x:v>
      </x:c>
      <x:c r="AG277" s="214" t="str">
        <x:f>IF(AF277&lt;&gt;"YES","",(IF(V277="YES",1,0)+IF(W277="YES",1,0))/2)</x:f>
      </x:c>
    </x:row>
    <x:row r="278">
      <x:c r="A278" s="57" t="inlineStr">
        <x:is>
          <x:t xml:space="preserve">C0273</x:t>
        </x:is>
      </x:c>
      <x:c r="B278" s="57" t="inlineStr">
        <x:is>
          <x:t xml:space="preserve">Development</x:t>
        </x:is>
      </x:c>
      <x:c r="C278" s="57" t="inlineStr">
        <x:is>
          <x:t xml:space="preserve">OPEN</x:t>
        </x:is>
      </x:c>
      <x:c r="D278" s="57" t="inlineStr">
        <x:is>
          <x:t xml:space="preserve">ARG-028</x:t>
        </x:is>
      </x:c>
      <x:c r="E278" s="75" t="str">
        <x:f>INDEX('Company Universe'!$B$6:$B$105,MATCH(D278,'Company Universe'!$A$6:$A$105,0))</x:f>
        <x:v>Exxon Mobil</x:v>
      </x:c>
      <x:c r="F278" s="75" t="str">
        <x:f>INDEX('Company Universe'!$C$6:$C$105,MATCH(D278,'Company Universe'!$A$6:$A$105,0))</x:f>
        <x:v>XOM</x:v>
      </x:c>
      <x:c r="G278" s="75" t="str">
        <x:f>INDEX('Company Universe'!$F$6:$F$105,MATCH(D278,'Company Universe'!$A$6:$A$105,0))</x:f>
        <x:v>Energy</x:v>
      </x:c>
      <x:c r="H278" s="57" t="n">
        <x:v>3</x:v>
      </x:c>
      <x:c r="I278" s="206" t="n"/>
      <x:c r="J278" s="71" t="n"/>
      <x:c r="K278" s="71" t="n"/>
      <x:c r="L278" s="71" t="inlineStr">
        <x:is>
          <x:t xml:space="preserve">NO</x:t>
        </x:is>
      </x:c>
      <x:c r="M278" s="71" t="n"/>
      <x:c r="N278" s="71" t="n"/>
      <x:c r="O278" s="71" t="n"/>
      <x:c r="P278" s="71" t="n"/>
      <x:c r="Q278" s="71" t="n"/>
      <x:c r="R278" s="71" t="n"/>
      <x:c r="S278" s="206" t="n"/>
      <x:c r="T278" s="71" t="n"/>
      <x:c r="U278" s="71" t="n"/>
      <x:c r="V278" s="71" t="n"/>
      <x:c r="W278" s="71" t="n"/>
      <x:c r="X278" s="71" t="n"/>
      <x:c r="Y278" s="71" t="n"/>
      <x:c r="Z278" s="71" t="n"/>
      <x:c r="AA278" s="71" t="n"/>
      <x:c r="AB278" s="71" t="inlineStr">
        <x:is>
          <x:t xml:space="preserve">NO</x:t>
        </x:is>
      </x:c>
      <x:c r="AC278" s="57" t="inlineStr">
        <x:is>
          <x:t xml:space="preserve">V10</x:t>
        </x:is>
      </x:c>
      <x:c r="AD278" s="57" t="n"/>
      <x:c r="AE278" s="79" t="str">
        <x:f>IF(AND(I278&lt;&gt;"",J278&lt;&gt;"",K278&lt;&gt;"",L278="YES",M278&lt;&gt;"",S278&lt;&gt;"",T278&lt;&gt;"",U278&lt;&gt;"",V278&lt;&gt;"",W278&lt;&gt;"",X278&lt;&gt;"",Y278&lt;&gt;""),"COMPLETE","PENDING")</x:f>
        <x:v>PENDING</x:v>
      </x:c>
      <x:c r="AF278" s="79" t="str">
        <x:f>IF(AE278="COMPLETE","YES","NO")</x:f>
        <x:v>NO</x:v>
      </x:c>
      <x:c r="AG278" s="214" t="str">
        <x:f>IF(AF278&lt;&gt;"YES","",(IF(V278="YES",1,0)+IF(W278="YES",1,0))/2)</x:f>
      </x:c>
    </x:row>
    <x:row r="279">
      <x:c r="A279" s="57" t="inlineStr">
        <x:is>
          <x:t xml:space="preserve">C0274</x:t>
        </x:is>
      </x:c>
      <x:c r="B279" s="57" t="inlineStr">
        <x:is>
          <x:t xml:space="preserve">Development</x:t>
        </x:is>
      </x:c>
      <x:c r="C279" s="57" t="inlineStr">
        <x:is>
          <x:t xml:space="preserve">OPEN</x:t>
        </x:is>
      </x:c>
      <x:c r="D279" s="57" t="inlineStr">
        <x:is>
          <x:t xml:space="preserve">ARG-028</x:t>
        </x:is>
      </x:c>
      <x:c r="E279" s="75" t="str">
        <x:f>INDEX('Company Universe'!$B$6:$B$105,MATCH(D279,'Company Universe'!$A$6:$A$105,0))</x:f>
        <x:v>Exxon Mobil</x:v>
      </x:c>
      <x:c r="F279" s="75" t="str">
        <x:f>INDEX('Company Universe'!$C$6:$C$105,MATCH(D279,'Company Universe'!$A$6:$A$105,0))</x:f>
        <x:v>XOM</x:v>
      </x:c>
      <x:c r="G279" s="75" t="str">
        <x:f>INDEX('Company Universe'!$F$6:$F$105,MATCH(D279,'Company Universe'!$A$6:$A$105,0))</x:f>
        <x:v>Energy</x:v>
      </x:c>
      <x:c r="H279" s="57" t="n">
        <x:v>4</x:v>
      </x:c>
      <x:c r="I279" s="206" t="n"/>
      <x:c r="J279" s="71" t="n"/>
      <x:c r="K279" s="71" t="n"/>
      <x:c r="L279" s="71" t="inlineStr">
        <x:is>
          <x:t xml:space="preserve">NO</x:t>
        </x:is>
      </x:c>
      <x:c r="M279" s="71" t="n"/>
      <x:c r="N279" s="71" t="n"/>
      <x:c r="O279" s="71" t="n"/>
      <x:c r="P279" s="71" t="n"/>
      <x:c r="Q279" s="71" t="n"/>
      <x:c r="R279" s="71" t="n"/>
      <x:c r="S279" s="206" t="n"/>
      <x:c r="T279" s="71" t="n"/>
      <x:c r="U279" s="71" t="n"/>
      <x:c r="V279" s="71" t="n"/>
      <x:c r="W279" s="71" t="n"/>
      <x:c r="X279" s="71" t="n"/>
      <x:c r="Y279" s="71" t="n"/>
      <x:c r="Z279" s="71" t="n"/>
      <x:c r="AA279" s="71" t="n"/>
      <x:c r="AB279" s="71" t="inlineStr">
        <x:is>
          <x:t xml:space="preserve">NO</x:t>
        </x:is>
      </x:c>
      <x:c r="AC279" s="57" t="inlineStr">
        <x:is>
          <x:t xml:space="preserve">V10</x:t>
        </x:is>
      </x:c>
      <x:c r="AD279" s="57" t="n"/>
      <x:c r="AE279" s="79" t="str">
        <x:f>IF(AND(I279&lt;&gt;"",J279&lt;&gt;"",K279&lt;&gt;"",L279="YES",M279&lt;&gt;"",S279&lt;&gt;"",T279&lt;&gt;"",U279&lt;&gt;"",V279&lt;&gt;"",W279&lt;&gt;"",X279&lt;&gt;"",Y279&lt;&gt;""),"COMPLETE","PENDING")</x:f>
        <x:v>PENDING</x:v>
      </x:c>
      <x:c r="AF279" s="79" t="str">
        <x:f>IF(AE279="COMPLETE","YES","NO")</x:f>
        <x:v>NO</x:v>
      </x:c>
      <x:c r="AG279" s="214" t="str">
        <x:f>IF(AF279&lt;&gt;"YES","",(IF(V279="YES",1,0)+IF(W279="YES",1,0))/2)</x:f>
      </x:c>
    </x:row>
    <x:row r="280">
      <x:c r="A280" s="57" t="inlineStr">
        <x:is>
          <x:t xml:space="preserve">C0275</x:t>
        </x:is>
      </x:c>
      <x:c r="B280" s="57" t="inlineStr">
        <x:is>
          <x:t xml:space="preserve">Development</x:t>
        </x:is>
      </x:c>
      <x:c r="C280" s="57" t="inlineStr">
        <x:is>
          <x:t xml:space="preserve">OPEN</x:t>
        </x:is>
      </x:c>
      <x:c r="D280" s="57" t="inlineStr">
        <x:is>
          <x:t xml:space="preserve">ARG-028</x:t>
        </x:is>
      </x:c>
      <x:c r="E280" s="75" t="str">
        <x:f>INDEX('Company Universe'!$B$6:$B$105,MATCH(D280,'Company Universe'!$A$6:$A$105,0))</x:f>
        <x:v>Exxon Mobil</x:v>
      </x:c>
      <x:c r="F280" s="75" t="str">
        <x:f>INDEX('Company Universe'!$C$6:$C$105,MATCH(D280,'Company Universe'!$A$6:$A$105,0))</x:f>
        <x:v>XOM</x:v>
      </x:c>
      <x:c r="G280" s="75" t="str">
        <x:f>INDEX('Company Universe'!$F$6:$F$105,MATCH(D280,'Company Universe'!$A$6:$A$105,0))</x:f>
        <x:v>Energy</x:v>
      </x:c>
      <x:c r="H280" s="57" t="n">
        <x:v>5</x:v>
      </x:c>
      <x:c r="I280" s="206" t="n"/>
      <x:c r="J280" s="71" t="n"/>
      <x:c r="K280" s="71" t="n"/>
      <x:c r="L280" s="71" t="inlineStr">
        <x:is>
          <x:t xml:space="preserve">NO</x:t>
        </x:is>
      </x:c>
      <x:c r="M280" s="71" t="n"/>
      <x:c r="N280" s="71" t="n"/>
      <x:c r="O280" s="71" t="n"/>
      <x:c r="P280" s="71" t="n"/>
      <x:c r="Q280" s="71" t="n"/>
      <x:c r="R280" s="71" t="n"/>
      <x:c r="S280" s="206" t="n"/>
      <x:c r="T280" s="71" t="n"/>
      <x:c r="U280" s="71" t="n"/>
      <x:c r="V280" s="71" t="n"/>
      <x:c r="W280" s="71" t="n"/>
      <x:c r="X280" s="71" t="n"/>
      <x:c r="Y280" s="71" t="n"/>
      <x:c r="Z280" s="71" t="n"/>
      <x:c r="AA280" s="71" t="n"/>
      <x:c r="AB280" s="71" t="inlineStr">
        <x:is>
          <x:t xml:space="preserve">NO</x:t>
        </x:is>
      </x:c>
      <x:c r="AC280" s="57" t="inlineStr">
        <x:is>
          <x:t xml:space="preserve">V10</x:t>
        </x:is>
      </x:c>
      <x:c r="AD280" s="57" t="n"/>
      <x:c r="AE280" s="79" t="str">
        <x:f>IF(AND(I280&lt;&gt;"",J280&lt;&gt;"",K280&lt;&gt;"",L280="YES",M280&lt;&gt;"",S280&lt;&gt;"",T280&lt;&gt;"",U280&lt;&gt;"",V280&lt;&gt;"",W280&lt;&gt;"",X280&lt;&gt;"",Y280&lt;&gt;""),"COMPLETE","PENDING")</x:f>
        <x:v>PENDING</x:v>
      </x:c>
      <x:c r="AF280" s="79" t="str">
        <x:f>IF(AE280="COMPLETE","YES","NO")</x:f>
        <x:v>NO</x:v>
      </x:c>
      <x:c r="AG280" s="214" t="str">
        <x:f>IF(AF280&lt;&gt;"YES","",(IF(V280="YES",1,0)+IF(W280="YES",1,0))/2)</x:f>
      </x:c>
    </x:row>
    <x:row r="281">
      <x:c r="A281" s="57" t="inlineStr">
        <x:is>
          <x:t xml:space="preserve">C0276</x:t>
        </x:is>
      </x:c>
      <x:c r="B281" s="57" t="inlineStr">
        <x:is>
          <x:t xml:space="preserve">Development</x:t>
        </x:is>
      </x:c>
      <x:c r="C281" s="57" t="inlineStr">
        <x:is>
          <x:t xml:space="preserve">OPEN</x:t>
        </x:is>
      </x:c>
      <x:c r="D281" s="57" t="inlineStr">
        <x:is>
          <x:t xml:space="preserve">ARG-028</x:t>
        </x:is>
      </x:c>
      <x:c r="E281" s="75" t="str">
        <x:f>INDEX('Company Universe'!$B$6:$B$105,MATCH(D281,'Company Universe'!$A$6:$A$105,0))</x:f>
        <x:v>Exxon Mobil</x:v>
      </x:c>
      <x:c r="F281" s="75" t="str">
        <x:f>INDEX('Company Universe'!$C$6:$C$105,MATCH(D281,'Company Universe'!$A$6:$A$105,0))</x:f>
        <x:v>XOM</x:v>
      </x:c>
      <x:c r="G281" s="75" t="str">
        <x:f>INDEX('Company Universe'!$F$6:$F$105,MATCH(D281,'Company Universe'!$A$6:$A$105,0))</x:f>
        <x:v>Energy</x:v>
      </x:c>
      <x:c r="H281" s="57" t="n">
        <x:v>6</x:v>
      </x:c>
      <x:c r="I281" s="206" t="n"/>
      <x:c r="J281" s="71" t="n"/>
      <x:c r="K281" s="71" t="n"/>
      <x:c r="L281" s="71" t="inlineStr">
        <x:is>
          <x:t xml:space="preserve">NO</x:t>
        </x:is>
      </x:c>
      <x:c r="M281" s="71" t="n"/>
      <x:c r="N281" s="71" t="n"/>
      <x:c r="O281" s="71" t="n"/>
      <x:c r="P281" s="71" t="n"/>
      <x:c r="Q281" s="71" t="n"/>
      <x:c r="R281" s="71" t="n"/>
      <x:c r="S281" s="206" t="n"/>
      <x:c r="T281" s="71" t="n"/>
      <x:c r="U281" s="71" t="n"/>
      <x:c r="V281" s="71" t="n"/>
      <x:c r="W281" s="71" t="n"/>
      <x:c r="X281" s="71" t="n"/>
      <x:c r="Y281" s="71" t="n"/>
      <x:c r="Z281" s="71" t="n"/>
      <x:c r="AA281" s="71" t="n"/>
      <x:c r="AB281" s="71" t="inlineStr">
        <x:is>
          <x:t xml:space="preserve">NO</x:t>
        </x:is>
      </x:c>
      <x:c r="AC281" s="57" t="inlineStr">
        <x:is>
          <x:t xml:space="preserve">V10</x:t>
        </x:is>
      </x:c>
      <x:c r="AD281" s="57" t="n"/>
      <x:c r="AE281" s="79" t="str">
        <x:f>IF(AND(I281&lt;&gt;"",J281&lt;&gt;"",K281&lt;&gt;"",L281="YES",M281&lt;&gt;"",S281&lt;&gt;"",T281&lt;&gt;"",U281&lt;&gt;"",V281&lt;&gt;"",W281&lt;&gt;"",X281&lt;&gt;"",Y281&lt;&gt;""),"COMPLETE","PENDING")</x:f>
        <x:v>PENDING</x:v>
      </x:c>
      <x:c r="AF281" s="79" t="str">
        <x:f>IF(AE281="COMPLETE","YES","NO")</x:f>
        <x:v>NO</x:v>
      </x:c>
      <x:c r="AG281" s="214" t="str">
        <x:f>IF(AF281&lt;&gt;"YES","",(IF(V281="YES",1,0)+IF(W281="YES",1,0))/2)</x:f>
      </x:c>
    </x:row>
    <x:row r="282">
      <x:c r="A282" s="57" t="inlineStr">
        <x:is>
          <x:t xml:space="preserve">C0277</x:t>
        </x:is>
      </x:c>
      <x:c r="B282" s="57" t="inlineStr">
        <x:is>
          <x:t xml:space="preserve">Development</x:t>
        </x:is>
      </x:c>
      <x:c r="C282" s="57" t="inlineStr">
        <x:is>
          <x:t xml:space="preserve">OPEN</x:t>
        </x:is>
      </x:c>
      <x:c r="D282" s="57" t="inlineStr">
        <x:is>
          <x:t xml:space="preserve">ARG-028</x:t>
        </x:is>
      </x:c>
      <x:c r="E282" s="75" t="str">
        <x:f>INDEX('Company Universe'!$B$6:$B$105,MATCH(D282,'Company Universe'!$A$6:$A$105,0))</x:f>
        <x:v>Exxon Mobil</x:v>
      </x:c>
      <x:c r="F282" s="75" t="str">
        <x:f>INDEX('Company Universe'!$C$6:$C$105,MATCH(D282,'Company Universe'!$A$6:$A$105,0))</x:f>
        <x:v>XOM</x:v>
      </x:c>
      <x:c r="G282" s="75" t="str">
        <x:f>INDEX('Company Universe'!$F$6:$F$105,MATCH(D282,'Company Universe'!$A$6:$A$105,0))</x:f>
        <x:v>Energy</x:v>
      </x:c>
      <x:c r="H282" s="57" t="n">
        <x:v>7</x:v>
      </x:c>
      <x:c r="I282" s="206" t="n"/>
      <x:c r="J282" s="71" t="n"/>
      <x:c r="K282" s="71" t="n"/>
      <x:c r="L282" s="71" t="inlineStr">
        <x:is>
          <x:t xml:space="preserve">NO</x:t>
        </x:is>
      </x:c>
      <x:c r="M282" s="71" t="n"/>
      <x:c r="N282" s="71" t="n"/>
      <x:c r="O282" s="71" t="n"/>
      <x:c r="P282" s="71" t="n"/>
      <x:c r="Q282" s="71" t="n"/>
      <x:c r="R282" s="71" t="n"/>
      <x:c r="S282" s="206" t="n"/>
      <x:c r="T282" s="71" t="n"/>
      <x:c r="U282" s="71" t="n"/>
      <x:c r="V282" s="71" t="n"/>
      <x:c r="W282" s="71" t="n"/>
      <x:c r="X282" s="71" t="n"/>
      <x:c r="Y282" s="71" t="n"/>
      <x:c r="Z282" s="71" t="n"/>
      <x:c r="AA282" s="71" t="n"/>
      <x:c r="AB282" s="71" t="inlineStr">
        <x:is>
          <x:t xml:space="preserve">NO</x:t>
        </x:is>
      </x:c>
      <x:c r="AC282" s="57" t="inlineStr">
        <x:is>
          <x:t xml:space="preserve">V10</x:t>
        </x:is>
      </x:c>
      <x:c r="AD282" s="57" t="n"/>
      <x:c r="AE282" s="79" t="str">
        <x:f>IF(AND(I282&lt;&gt;"",J282&lt;&gt;"",K282&lt;&gt;"",L282="YES",M282&lt;&gt;"",S282&lt;&gt;"",T282&lt;&gt;"",U282&lt;&gt;"",V282&lt;&gt;"",W282&lt;&gt;"",X282&lt;&gt;"",Y282&lt;&gt;""),"COMPLETE","PENDING")</x:f>
        <x:v>PENDING</x:v>
      </x:c>
      <x:c r="AF282" s="79" t="str">
        <x:f>IF(AE282="COMPLETE","YES","NO")</x:f>
        <x:v>NO</x:v>
      </x:c>
      <x:c r="AG282" s="214" t="str">
        <x:f>IF(AF282&lt;&gt;"YES","",(IF(V282="YES",1,0)+IF(W282="YES",1,0))/2)</x:f>
      </x:c>
    </x:row>
    <x:row r="283">
      <x:c r="A283" s="57" t="inlineStr">
        <x:is>
          <x:t xml:space="preserve">C0278</x:t>
        </x:is>
      </x:c>
      <x:c r="B283" s="57" t="inlineStr">
        <x:is>
          <x:t xml:space="preserve">Development</x:t>
        </x:is>
      </x:c>
      <x:c r="C283" s="57" t="inlineStr">
        <x:is>
          <x:t xml:space="preserve">OPEN</x:t>
        </x:is>
      </x:c>
      <x:c r="D283" s="57" t="inlineStr">
        <x:is>
          <x:t xml:space="preserve">ARG-028</x:t>
        </x:is>
      </x:c>
      <x:c r="E283" s="75" t="str">
        <x:f>INDEX('Company Universe'!$B$6:$B$105,MATCH(D283,'Company Universe'!$A$6:$A$105,0))</x:f>
        <x:v>Exxon Mobil</x:v>
      </x:c>
      <x:c r="F283" s="75" t="str">
        <x:f>INDEX('Company Universe'!$C$6:$C$105,MATCH(D283,'Company Universe'!$A$6:$A$105,0))</x:f>
        <x:v>XOM</x:v>
      </x:c>
      <x:c r="G283" s="75" t="str">
        <x:f>INDEX('Company Universe'!$F$6:$F$105,MATCH(D283,'Company Universe'!$A$6:$A$105,0))</x:f>
        <x:v>Energy</x:v>
      </x:c>
      <x:c r="H283" s="57" t="n">
        <x:v>8</x:v>
      </x:c>
      <x:c r="I283" s="206" t="n"/>
      <x:c r="J283" s="71" t="n"/>
      <x:c r="K283" s="71" t="n"/>
      <x:c r="L283" s="71" t="inlineStr">
        <x:is>
          <x:t xml:space="preserve">NO</x:t>
        </x:is>
      </x:c>
      <x:c r="M283" s="71" t="n"/>
      <x:c r="N283" s="71" t="n"/>
      <x:c r="O283" s="71" t="n"/>
      <x:c r="P283" s="71" t="n"/>
      <x:c r="Q283" s="71" t="n"/>
      <x:c r="R283" s="71" t="n"/>
      <x:c r="S283" s="206" t="n"/>
      <x:c r="T283" s="71" t="n"/>
      <x:c r="U283" s="71" t="n"/>
      <x:c r="V283" s="71" t="n"/>
      <x:c r="W283" s="71" t="n"/>
      <x:c r="X283" s="71" t="n"/>
      <x:c r="Y283" s="71" t="n"/>
      <x:c r="Z283" s="71" t="n"/>
      <x:c r="AA283" s="71" t="n"/>
      <x:c r="AB283" s="71" t="inlineStr">
        <x:is>
          <x:t xml:space="preserve">NO</x:t>
        </x:is>
      </x:c>
      <x:c r="AC283" s="57" t="inlineStr">
        <x:is>
          <x:t xml:space="preserve">V10</x:t>
        </x:is>
      </x:c>
      <x:c r="AD283" s="57" t="n"/>
      <x:c r="AE283" s="79" t="str">
        <x:f>IF(AND(I283&lt;&gt;"",J283&lt;&gt;"",K283&lt;&gt;"",L283="YES",M283&lt;&gt;"",S283&lt;&gt;"",T283&lt;&gt;"",U283&lt;&gt;"",V283&lt;&gt;"",W283&lt;&gt;"",X283&lt;&gt;"",Y283&lt;&gt;""),"COMPLETE","PENDING")</x:f>
        <x:v>PENDING</x:v>
      </x:c>
      <x:c r="AF283" s="79" t="str">
        <x:f>IF(AE283="COMPLETE","YES","NO")</x:f>
        <x:v>NO</x:v>
      </x:c>
      <x:c r="AG283" s="214" t="str">
        <x:f>IF(AF283&lt;&gt;"YES","",(IF(V283="YES",1,0)+IF(W283="YES",1,0))/2)</x:f>
      </x:c>
    </x:row>
    <x:row r="284">
      <x:c r="A284" s="57" t="inlineStr">
        <x:is>
          <x:t xml:space="preserve">C0279</x:t>
        </x:is>
      </x:c>
      <x:c r="B284" s="57" t="inlineStr">
        <x:is>
          <x:t xml:space="preserve">Development</x:t>
        </x:is>
      </x:c>
      <x:c r="C284" s="57" t="inlineStr">
        <x:is>
          <x:t xml:space="preserve">OPEN</x:t>
        </x:is>
      </x:c>
      <x:c r="D284" s="57" t="inlineStr">
        <x:is>
          <x:t xml:space="preserve">ARG-028</x:t>
        </x:is>
      </x:c>
      <x:c r="E284" s="75" t="str">
        <x:f>INDEX('Company Universe'!$B$6:$B$105,MATCH(D284,'Company Universe'!$A$6:$A$105,0))</x:f>
        <x:v>Exxon Mobil</x:v>
      </x:c>
      <x:c r="F284" s="75" t="str">
        <x:f>INDEX('Company Universe'!$C$6:$C$105,MATCH(D284,'Company Universe'!$A$6:$A$105,0))</x:f>
        <x:v>XOM</x:v>
      </x:c>
      <x:c r="G284" s="75" t="str">
        <x:f>INDEX('Company Universe'!$F$6:$F$105,MATCH(D284,'Company Universe'!$A$6:$A$105,0))</x:f>
        <x:v>Energy</x:v>
      </x:c>
      <x:c r="H284" s="57" t="n">
        <x:v>9</x:v>
      </x:c>
      <x:c r="I284" s="206" t="n"/>
      <x:c r="J284" s="71" t="n"/>
      <x:c r="K284" s="71" t="n"/>
      <x:c r="L284" s="71" t="inlineStr">
        <x:is>
          <x:t xml:space="preserve">NO</x:t>
        </x:is>
      </x:c>
      <x:c r="M284" s="71" t="n"/>
      <x:c r="N284" s="71" t="n"/>
      <x:c r="O284" s="71" t="n"/>
      <x:c r="P284" s="71" t="n"/>
      <x:c r="Q284" s="71" t="n"/>
      <x:c r="R284" s="71" t="n"/>
      <x:c r="S284" s="206" t="n"/>
      <x:c r="T284" s="71" t="n"/>
      <x:c r="U284" s="71" t="n"/>
      <x:c r="V284" s="71" t="n"/>
      <x:c r="W284" s="71" t="n"/>
      <x:c r="X284" s="71" t="n"/>
      <x:c r="Y284" s="71" t="n"/>
      <x:c r="Z284" s="71" t="n"/>
      <x:c r="AA284" s="71" t="n"/>
      <x:c r="AB284" s="71" t="inlineStr">
        <x:is>
          <x:t xml:space="preserve">NO</x:t>
        </x:is>
      </x:c>
      <x:c r="AC284" s="57" t="inlineStr">
        <x:is>
          <x:t xml:space="preserve">V10</x:t>
        </x:is>
      </x:c>
      <x:c r="AD284" s="57" t="n"/>
      <x:c r="AE284" s="79" t="str">
        <x:f>IF(AND(I284&lt;&gt;"",J284&lt;&gt;"",K284&lt;&gt;"",L284="YES",M284&lt;&gt;"",S284&lt;&gt;"",T284&lt;&gt;"",U284&lt;&gt;"",V284&lt;&gt;"",W284&lt;&gt;"",X284&lt;&gt;"",Y284&lt;&gt;""),"COMPLETE","PENDING")</x:f>
        <x:v>PENDING</x:v>
      </x:c>
      <x:c r="AF284" s="79" t="str">
        <x:f>IF(AE284="COMPLETE","YES","NO")</x:f>
        <x:v>NO</x:v>
      </x:c>
      <x:c r="AG284" s="214" t="str">
        <x:f>IF(AF284&lt;&gt;"YES","",(IF(V284="YES",1,0)+IF(W284="YES",1,0))/2)</x:f>
      </x:c>
    </x:row>
    <x:row r="285">
      <x:c r="A285" s="57" t="inlineStr">
        <x:is>
          <x:t xml:space="preserve">C0280</x:t>
        </x:is>
      </x:c>
      <x:c r="B285" s="57" t="inlineStr">
        <x:is>
          <x:t xml:space="preserve">Development</x:t>
        </x:is>
      </x:c>
      <x:c r="C285" s="57" t="inlineStr">
        <x:is>
          <x:t xml:space="preserve">OPEN</x:t>
        </x:is>
      </x:c>
      <x:c r="D285" s="57" t="inlineStr">
        <x:is>
          <x:t xml:space="preserve">ARG-028</x:t>
        </x:is>
      </x:c>
      <x:c r="E285" s="75" t="str">
        <x:f>INDEX('Company Universe'!$B$6:$B$105,MATCH(D285,'Company Universe'!$A$6:$A$105,0))</x:f>
        <x:v>Exxon Mobil</x:v>
      </x:c>
      <x:c r="F285" s="75" t="str">
        <x:f>INDEX('Company Universe'!$C$6:$C$105,MATCH(D285,'Company Universe'!$A$6:$A$105,0))</x:f>
        <x:v>XOM</x:v>
      </x:c>
      <x:c r="G285" s="75" t="str">
        <x:f>INDEX('Company Universe'!$F$6:$F$105,MATCH(D285,'Company Universe'!$A$6:$A$105,0))</x:f>
        <x:v>Energy</x:v>
      </x:c>
      <x:c r="H285" s="57" t="n">
        <x:v>10</x:v>
      </x:c>
      <x:c r="I285" s="206" t="n"/>
      <x:c r="J285" s="71" t="n"/>
      <x:c r="K285" s="71" t="n"/>
      <x:c r="L285" s="71" t="inlineStr">
        <x:is>
          <x:t xml:space="preserve">NO</x:t>
        </x:is>
      </x:c>
      <x:c r="M285" s="71" t="n"/>
      <x:c r="N285" s="71" t="n"/>
      <x:c r="O285" s="71" t="n"/>
      <x:c r="P285" s="71" t="n"/>
      <x:c r="Q285" s="71" t="n"/>
      <x:c r="R285" s="71" t="n"/>
      <x:c r="S285" s="206" t="n"/>
      <x:c r="T285" s="71" t="n"/>
      <x:c r="U285" s="71" t="n"/>
      <x:c r="V285" s="71" t="n"/>
      <x:c r="W285" s="71" t="n"/>
      <x:c r="X285" s="71" t="n"/>
      <x:c r="Y285" s="71" t="n"/>
      <x:c r="Z285" s="71" t="n"/>
      <x:c r="AA285" s="71" t="n"/>
      <x:c r="AB285" s="71" t="inlineStr">
        <x:is>
          <x:t xml:space="preserve">NO</x:t>
        </x:is>
      </x:c>
      <x:c r="AC285" s="57" t="inlineStr">
        <x:is>
          <x:t xml:space="preserve">V10</x:t>
        </x:is>
      </x:c>
      <x:c r="AD285" s="57" t="n"/>
      <x:c r="AE285" s="79" t="str">
        <x:f>IF(AND(I285&lt;&gt;"",J285&lt;&gt;"",K285&lt;&gt;"",L285="YES",M285&lt;&gt;"",S285&lt;&gt;"",T285&lt;&gt;"",U285&lt;&gt;"",V285&lt;&gt;"",W285&lt;&gt;"",X285&lt;&gt;"",Y285&lt;&gt;""),"COMPLETE","PENDING")</x:f>
        <x:v>PENDING</x:v>
      </x:c>
      <x:c r="AF285" s="79" t="str">
        <x:f>IF(AE285="COMPLETE","YES","NO")</x:f>
        <x:v>NO</x:v>
      </x:c>
      <x:c r="AG285" s="214" t="str">
        <x:f>IF(AF285&lt;&gt;"YES","",(IF(V285="YES",1,0)+IF(W285="YES",1,0))/2)</x:f>
      </x:c>
    </x:row>
    <x:row r="286">
      <x:c r="A286" s="57" t="inlineStr">
        <x:is>
          <x:t xml:space="preserve">C0281</x:t>
        </x:is>
      </x:c>
      <x:c r="B286" s="57" t="inlineStr">
        <x:is>
          <x:t xml:space="preserve">Development</x:t>
        </x:is>
      </x:c>
      <x:c r="C286" s="57" t="inlineStr">
        <x:is>
          <x:t xml:space="preserve">OPEN</x:t>
        </x:is>
      </x:c>
      <x:c r="D286" s="57" t="inlineStr">
        <x:is>
          <x:t xml:space="preserve">ARG-029</x:t>
        </x:is>
      </x:c>
      <x:c r="E286" s="75" t="str">
        <x:f>INDEX('Company Universe'!$B$6:$B$105,MATCH(D286,'Company Universe'!$A$6:$A$105,0))</x:f>
        <x:v>Chevron</x:v>
      </x:c>
      <x:c r="F286" s="75" t="str">
        <x:f>INDEX('Company Universe'!$C$6:$C$105,MATCH(D286,'Company Universe'!$A$6:$A$105,0))</x:f>
        <x:v>CVX</x:v>
      </x:c>
      <x:c r="G286" s="75" t="str">
        <x:f>INDEX('Company Universe'!$F$6:$F$105,MATCH(D286,'Company Universe'!$A$6:$A$105,0))</x:f>
        <x:v>Energy</x:v>
      </x:c>
      <x:c r="H286" s="57" t="n">
        <x:v>1</x:v>
      </x:c>
      <x:c r="I286" s="206" t="n"/>
      <x:c r="J286" s="71" t="n"/>
      <x:c r="K286" s="71" t="n"/>
      <x:c r="L286" s="71" t="inlineStr">
        <x:is>
          <x:t xml:space="preserve">NO</x:t>
        </x:is>
      </x:c>
      <x:c r="M286" s="71" t="n"/>
      <x:c r="N286" s="71" t="n"/>
      <x:c r="O286" s="71" t="n"/>
      <x:c r="P286" s="71" t="n"/>
      <x:c r="Q286" s="71" t="n"/>
      <x:c r="R286" s="71" t="n"/>
      <x:c r="S286" s="206" t="n"/>
      <x:c r="T286" s="71" t="n"/>
      <x:c r="U286" s="71" t="n"/>
      <x:c r="V286" s="71" t="n"/>
      <x:c r="W286" s="71" t="n"/>
      <x:c r="X286" s="71" t="n"/>
      <x:c r="Y286" s="71" t="n"/>
      <x:c r="Z286" s="71" t="n"/>
      <x:c r="AA286" s="71" t="n"/>
      <x:c r="AB286" s="71" t="inlineStr">
        <x:is>
          <x:t xml:space="preserve">NO</x:t>
        </x:is>
      </x:c>
      <x:c r="AC286" s="57" t="inlineStr">
        <x:is>
          <x:t xml:space="preserve">V10</x:t>
        </x:is>
      </x:c>
      <x:c r="AD286" s="57" t="n"/>
      <x:c r="AE286" s="79" t="str">
        <x:f>IF(AND(I286&lt;&gt;"",J286&lt;&gt;"",K286&lt;&gt;"",L286="YES",M286&lt;&gt;"",S286&lt;&gt;"",T286&lt;&gt;"",U286&lt;&gt;"",V286&lt;&gt;"",W286&lt;&gt;"",X286&lt;&gt;"",Y286&lt;&gt;""),"COMPLETE","PENDING")</x:f>
        <x:v>PENDING</x:v>
      </x:c>
      <x:c r="AF286" s="79" t="str">
        <x:f>IF(AE286="COMPLETE","YES","NO")</x:f>
        <x:v>NO</x:v>
      </x:c>
      <x:c r="AG286" s="214" t="str">
        <x:f>IF(AF286&lt;&gt;"YES","",(IF(V286="YES",1,0)+IF(W286="YES",1,0))/2)</x:f>
      </x:c>
    </x:row>
    <x:row r="287">
      <x:c r="A287" s="57" t="inlineStr">
        <x:is>
          <x:t xml:space="preserve">C0282</x:t>
        </x:is>
      </x:c>
      <x:c r="B287" s="57" t="inlineStr">
        <x:is>
          <x:t xml:space="preserve">Development</x:t>
        </x:is>
      </x:c>
      <x:c r="C287" s="57" t="inlineStr">
        <x:is>
          <x:t xml:space="preserve">OPEN</x:t>
        </x:is>
      </x:c>
      <x:c r="D287" s="57" t="inlineStr">
        <x:is>
          <x:t xml:space="preserve">ARG-029</x:t>
        </x:is>
      </x:c>
      <x:c r="E287" s="75" t="str">
        <x:f>INDEX('Company Universe'!$B$6:$B$105,MATCH(D287,'Company Universe'!$A$6:$A$105,0))</x:f>
        <x:v>Chevron</x:v>
      </x:c>
      <x:c r="F287" s="75" t="str">
        <x:f>INDEX('Company Universe'!$C$6:$C$105,MATCH(D287,'Company Universe'!$A$6:$A$105,0))</x:f>
        <x:v>CVX</x:v>
      </x:c>
      <x:c r="G287" s="75" t="str">
        <x:f>INDEX('Company Universe'!$F$6:$F$105,MATCH(D287,'Company Universe'!$A$6:$A$105,0))</x:f>
        <x:v>Energy</x:v>
      </x:c>
      <x:c r="H287" s="57" t="n">
        <x:v>2</x:v>
      </x:c>
      <x:c r="I287" s="206" t="n"/>
      <x:c r="J287" s="71" t="n"/>
      <x:c r="K287" s="71" t="n"/>
      <x:c r="L287" s="71" t="inlineStr">
        <x:is>
          <x:t xml:space="preserve">NO</x:t>
        </x:is>
      </x:c>
      <x:c r="M287" s="71" t="n"/>
      <x:c r="N287" s="71" t="n"/>
      <x:c r="O287" s="71" t="n"/>
      <x:c r="P287" s="71" t="n"/>
      <x:c r="Q287" s="71" t="n"/>
      <x:c r="R287" s="71" t="n"/>
      <x:c r="S287" s="206" t="n"/>
      <x:c r="T287" s="71" t="n"/>
      <x:c r="U287" s="71" t="n"/>
      <x:c r="V287" s="71" t="n"/>
      <x:c r="W287" s="71" t="n"/>
      <x:c r="X287" s="71" t="n"/>
      <x:c r="Y287" s="71" t="n"/>
      <x:c r="Z287" s="71" t="n"/>
      <x:c r="AA287" s="71" t="n"/>
      <x:c r="AB287" s="71" t="inlineStr">
        <x:is>
          <x:t xml:space="preserve">NO</x:t>
        </x:is>
      </x:c>
      <x:c r="AC287" s="57" t="inlineStr">
        <x:is>
          <x:t xml:space="preserve">V10</x:t>
        </x:is>
      </x:c>
      <x:c r="AD287" s="57" t="n"/>
      <x:c r="AE287" s="79" t="str">
        <x:f>IF(AND(I287&lt;&gt;"",J287&lt;&gt;"",K287&lt;&gt;"",L287="YES",M287&lt;&gt;"",S287&lt;&gt;"",T287&lt;&gt;"",U287&lt;&gt;"",V287&lt;&gt;"",W287&lt;&gt;"",X287&lt;&gt;"",Y287&lt;&gt;""),"COMPLETE","PENDING")</x:f>
        <x:v>PENDING</x:v>
      </x:c>
      <x:c r="AF287" s="79" t="str">
        <x:f>IF(AE287="COMPLETE","YES","NO")</x:f>
        <x:v>NO</x:v>
      </x:c>
      <x:c r="AG287" s="214" t="str">
        <x:f>IF(AF287&lt;&gt;"YES","",(IF(V287="YES",1,0)+IF(W287="YES",1,0))/2)</x:f>
      </x:c>
    </x:row>
    <x:row r="288">
      <x:c r="A288" s="57" t="inlineStr">
        <x:is>
          <x:t xml:space="preserve">C0283</x:t>
        </x:is>
      </x:c>
      <x:c r="B288" s="57" t="inlineStr">
        <x:is>
          <x:t xml:space="preserve">Development</x:t>
        </x:is>
      </x:c>
      <x:c r="C288" s="57" t="inlineStr">
        <x:is>
          <x:t xml:space="preserve">OPEN</x:t>
        </x:is>
      </x:c>
      <x:c r="D288" s="57" t="inlineStr">
        <x:is>
          <x:t xml:space="preserve">ARG-029</x:t>
        </x:is>
      </x:c>
      <x:c r="E288" s="75" t="str">
        <x:f>INDEX('Company Universe'!$B$6:$B$105,MATCH(D288,'Company Universe'!$A$6:$A$105,0))</x:f>
        <x:v>Chevron</x:v>
      </x:c>
      <x:c r="F288" s="75" t="str">
        <x:f>INDEX('Company Universe'!$C$6:$C$105,MATCH(D288,'Company Universe'!$A$6:$A$105,0))</x:f>
        <x:v>CVX</x:v>
      </x:c>
      <x:c r="G288" s="75" t="str">
        <x:f>INDEX('Company Universe'!$F$6:$F$105,MATCH(D288,'Company Universe'!$A$6:$A$105,0))</x:f>
        <x:v>Energy</x:v>
      </x:c>
      <x:c r="H288" s="57" t="n">
        <x:v>3</x:v>
      </x:c>
      <x:c r="I288" s="206" t="n"/>
      <x:c r="J288" s="71" t="n"/>
      <x:c r="K288" s="71" t="n"/>
      <x:c r="L288" s="71" t="inlineStr">
        <x:is>
          <x:t xml:space="preserve">NO</x:t>
        </x:is>
      </x:c>
      <x:c r="M288" s="71" t="n"/>
      <x:c r="N288" s="71" t="n"/>
      <x:c r="O288" s="71" t="n"/>
      <x:c r="P288" s="71" t="n"/>
      <x:c r="Q288" s="71" t="n"/>
      <x:c r="R288" s="71" t="n"/>
      <x:c r="S288" s="206" t="n"/>
      <x:c r="T288" s="71" t="n"/>
      <x:c r="U288" s="71" t="n"/>
      <x:c r="V288" s="71" t="n"/>
      <x:c r="W288" s="71" t="n"/>
      <x:c r="X288" s="71" t="n"/>
      <x:c r="Y288" s="71" t="n"/>
      <x:c r="Z288" s="71" t="n"/>
      <x:c r="AA288" s="71" t="n"/>
      <x:c r="AB288" s="71" t="inlineStr">
        <x:is>
          <x:t xml:space="preserve">NO</x:t>
        </x:is>
      </x:c>
      <x:c r="AC288" s="57" t="inlineStr">
        <x:is>
          <x:t xml:space="preserve">V10</x:t>
        </x:is>
      </x:c>
      <x:c r="AD288" s="57" t="n"/>
      <x:c r="AE288" s="79" t="str">
        <x:f>IF(AND(I288&lt;&gt;"",J288&lt;&gt;"",K288&lt;&gt;"",L288="YES",M288&lt;&gt;"",S288&lt;&gt;"",T288&lt;&gt;"",U288&lt;&gt;"",V288&lt;&gt;"",W288&lt;&gt;"",X288&lt;&gt;"",Y288&lt;&gt;""),"COMPLETE","PENDING")</x:f>
        <x:v>PENDING</x:v>
      </x:c>
      <x:c r="AF288" s="79" t="str">
        <x:f>IF(AE288="COMPLETE","YES","NO")</x:f>
        <x:v>NO</x:v>
      </x:c>
      <x:c r="AG288" s="214" t="str">
        <x:f>IF(AF288&lt;&gt;"YES","",(IF(V288="YES",1,0)+IF(W288="YES",1,0))/2)</x:f>
      </x:c>
    </x:row>
    <x:row r="289">
      <x:c r="A289" s="57" t="inlineStr">
        <x:is>
          <x:t xml:space="preserve">C0284</x:t>
        </x:is>
      </x:c>
      <x:c r="B289" s="57" t="inlineStr">
        <x:is>
          <x:t xml:space="preserve">Development</x:t>
        </x:is>
      </x:c>
      <x:c r="C289" s="57" t="inlineStr">
        <x:is>
          <x:t xml:space="preserve">OPEN</x:t>
        </x:is>
      </x:c>
      <x:c r="D289" s="57" t="inlineStr">
        <x:is>
          <x:t xml:space="preserve">ARG-029</x:t>
        </x:is>
      </x:c>
      <x:c r="E289" s="75" t="str">
        <x:f>INDEX('Company Universe'!$B$6:$B$105,MATCH(D289,'Company Universe'!$A$6:$A$105,0))</x:f>
        <x:v>Chevron</x:v>
      </x:c>
      <x:c r="F289" s="75" t="str">
        <x:f>INDEX('Company Universe'!$C$6:$C$105,MATCH(D289,'Company Universe'!$A$6:$A$105,0))</x:f>
        <x:v>CVX</x:v>
      </x:c>
      <x:c r="G289" s="75" t="str">
        <x:f>INDEX('Company Universe'!$F$6:$F$105,MATCH(D289,'Company Universe'!$A$6:$A$105,0))</x:f>
        <x:v>Energy</x:v>
      </x:c>
      <x:c r="H289" s="57" t="n">
        <x:v>4</x:v>
      </x:c>
      <x:c r="I289" s="206" t="n"/>
      <x:c r="J289" s="71" t="n"/>
      <x:c r="K289" s="71" t="n"/>
      <x:c r="L289" s="71" t="inlineStr">
        <x:is>
          <x:t xml:space="preserve">NO</x:t>
        </x:is>
      </x:c>
      <x:c r="M289" s="71" t="n"/>
      <x:c r="N289" s="71" t="n"/>
      <x:c r="O289" s="71" t="n"/>
      <x:c r="P289" s="71" t="n"/>
      <x:c r="Q289" s="71" t="n"/>
      <x:c r="R289" s="71" t="n"/>
      <x:c r="S289" s="206" t="n"/>
      <x:c r="T289" s="71" t="n"/>
      <x:c r="U289" s="71" t="n"/>
      <x:c r="V289" s="71" t="n"/>
      <x:c r="W289" s="71" t="n"/>
      <x:c r="X289" s="71" t="n"/>
      <x:c r="Y289" s="71" t="n"/>
      <x:c r="Z289" s="71" t="n"/>
      <x:c r="AA289" s="71" t="n"/>
      <x:c r="AB289" s="71" t="inlineStr">
        <x:is>
          <x:t xml:space="preserve">NO</x:t>
        </x:is>
      </x:c>
      <x:c r="AC289" s="57" t="inlineStr">
        <x:is>
          <x:t xml:space="preserve">V10</x:t>
        </x:is>
      </x:c>
      <x:c r="AD289" s="57" t="n"/>
      <x:c r="AE289" s="79" t="str">
        <x:f>IF(AND(I289&lt;&gt;"",J289&lt;&gt;"",K289&lt;&gt;"",L289="YES",M289&lt;&gt;"",S289&lt;&gt;"",T289&lt;&gt;"",U289&lt;&gt;"",V289&lt;&gt;"",W289&lt;&gt;"",X289&lt;&gt;"",Y289&lt;&gt;""),"COMPLETE","PENDING")</x:f>
        <x:v>PENDING</x:v>
      </x:c>
      <x:c r="AF289" s="79" t="str">
        <x:f>IF(AE289="COMPLETE","YES","NO")</x:f>
        <x:v>NO</x:v>
      </x:c>
      <x:c r="AG289" s="214" t="str">
        <x:f>IF(AF289&lt;&gt;"YES","",(IF(V289="YES",1,0)+IF(W289="YES",1,0))/2)</x:f>
      </x:c>
    </x:row>
    <x:row r="290">
      <x:c r="A290" s="57" t="inlineStr">
        <x:is>
          <x:t xml:space="preserve">C0285</x:t>
        </x:is>
      </x:c>
      <x:c r="B290" s="57" t="inlineStr">
        <x:is>
          <x:t xml:space="preserve">Development</x:t>
        </x:is>
      </x:c>
      <x:c r="C290" s="57" t="inlineStr">
        <x:is>
          <x:t xml:space="preserve">OPEN</x:t>
        </x:is>
      </x:c>
      <x:c r="D290" s="57" t="inlineStr">
        <x:is>
          <x:t xml:space="preserve">ARG-029</x:t>
        </x:is>
      </x:c>
      <x:c r="E290" s="75" t="str">
        <x:f>INDEX('Company Universe'!$B$6:$B$105,MATCH(D290,'Company Universe'!$A$6:$A$105,0))</x:f>
        <x:v>Chevron</x:v>
      </x:c>
      <x:c r="F290" s="75" t="str">
        <x:f>INDEX('Company Universe'!$C$6:$C$105,MATCH(D290,'Company Universe'!$A$6:$A$105,0))</x:f>
        <x:v>CVX</x:v>
      </x:c>
      <x:c r="G290" s="75" t="str">
        <x:f>INDEX('Company Universe'!$F$6:$F$105,MATCH(D290,'Company Universe'!$A$6:$A$105,0))</x:f>
        <x:v>Energy</x:v>
      </x:c>
      <x:c r="H290" s="57" t="n">
        <x:v>5</x:v>
      </x:c>
      <x:c r="I290" s="206" t="n"/>
      <x:c r="J290" s="71" t="n"/>
      <x:c r="K290" s="71" t="n"/>
      <x:c r="L290" s="71" t="inlineStr">
        <x:is>
          <x:t xml:space="preserve">NO</x:t>
        </x:is>
      </x:c>
      <x:c r="M290" s="71" t="n"/>
      <x:c r="N290" s="71" t="n"/>
      <x:c r="O290" s="71" t="n"/>
      <x:c r="P290" s="71" t="n"/>
      <x:c r="Q290" s="71" t="n"/>
      <x:c r="R290" s="71" t="n"/>
      <x:c r="S290" s="206" t="n"/>
      <x:c r="T290" s="71" t="n"/>
      <x:c r="U290" s="71" t="n"/>
      <x:c r="V290" s="71" t="n"/>
      <x:c r="W290" s="71" t="n"/>
      <x:c r="X290" s="71" t="n"/>
      <x:c r="Y290" s="71" t="n"/>
      <x:c r="Z290" s="71" t="n"/>
      <x:c r="AA290" s="71" t="n"/>
      <x:c r="AB290" s="71" t="inlineStr">
        <x:is>
          <x:t xml:space="preserve">NO</x:t>
        </x:is>
      </x:c>
      <x:c r="AC290" s="57" t="inlineStr">
        <x:is>
          <x:t xml:space="preserve">V10</x:t>
        </x:is>
      </x:c>
      <x:c r="AD290" s="57" t="n"/>
      <x:c r="AE290" s="79" t="str">
        <x:f>IF(AND(I290&lt;&gt;"",J290&lt;&gt;"",K290&lt;&gt;"",L290="YES",M290&lt;&gt;"",S290&lt;&gt;"",T290&lt;&gt;"",U290&lt;&gt;"",V290&lt;&gt;"",W290&lt;&gt;"",X290&lt;&gt;"",Y290&lt;&gt;""),"COMPLETE","PENDING")</x:f>
        <x:v>PENDING</x:v>
      </x:c>
      <x:c r="AF290" s="79" t="str">
        <x:f>IF(AE290="COMPLETE","YES","NO")</x:f>
        <x:v>NO</x:v>
      </x:c>
      <x:c r="AG290" s="214" t="str">
        <x:f>IF(AF290&lt;&gt;"YES","",(IF(V290="YES",1,0)+IF(W290="YES",1,0))/2)</x:f>
      </x:c>
    </x:row>
    <x:row r="291">
      <x:c r="A291" s="57" t="inlineStr">
        <x:is>
          <x:t xml:space="preserve">C0286</x:t>
        </x:is>
      </x:c>
      <x:c r="B291" s="57" t="inlineStr">
        <x:is>
          <x:t xml:space="preserve">Development</x:t>
        </x:is>
      </x:c>
      <x:c r="C291" s="57" t="inlineStr">
        <x:is>
          <x:t xml:space="preserve">OPEN</x:t>
        </x:is>
      </x:c>
      <x:c r="D291" s="57" t="inlineStr">
        <x:is>
          <x:t xml:space="preserve">ARG-029</x:t>
        </x:is>
      </x:c>
      <x:c r="E291" s="75" t="str">
        <x:f>INDEX('Company Universe'!$B$6:$B$105,MATCH(D291,'Company Universe'!$A$6:$A$105,0))</x:f>
        <x:v>Chevron</x:v>
      </x:c>
      <x:c r="F291" s="75" t="str">
        <x:f>INDEX('Company Universe'!$C$6:$C$105,MATCH(D291,'Company Universe'!$A$6:$A$105,0))</x:f>
        <x:v>CVX</x:v>
      </x:c>
      <x:c r="G291" s="75" t="str">
        <x:f>INDEX('Company Universe'!$F$6:$F$105,MATCH(D291,'Company Universe'!$A$6:$A$105,0))</x:f>
        <x:v>Energy</x:v>
      </x:c>
      <x:c r="H291" s="57" t="n">
        <x:v>6</x:v>
      </x:c>
      <x:c r="I291" s="206" t="n"/>
      <x:c r="J291" s="71" t="n"/>
      <x:c r="K291" s="71" t="n"/>
      <x:c r="L291" s="71" t="inlineStr">
        <x:is>
          <x:t xml:space="preserve">NO</x:t>
        </x:is>
      </x:c>
      <x:c r="M291" s="71" t="n"/>
      <x:c r="N291" s="71" t="n"/>
      <x:c r="O291" s="71" t="n"/>
      <x:c r="P291" s="71" t="n"/>
      <x:c r="Q291" s="71" t="n"/>
      <x:c r="R291" s="71" t="n"/>
      <x:c r="S291" s="206" t="n"/>
      <x:c r="T291" s="71" t="n"/>
      <x:c r="U291" s="71" t="n"/>
      <x:c r="V291" s="71" t="n"/>
      <x:c r="W291" s="71" t="n"/>
      <x:c r="X291" s="71" t="n"/>
      <x:c r="Y291" s="71" t="n"/>
      <x:c r="Z291" s="71" t="n"/>
      <x:c r="AA291" s="71" t="n"/>
      <x:c r="AB291" s="71" t="inlineStr">
        <x:is>
          <x:t xml:space="preserve">NO</x:t>
        </x:is>
      </x:c>
      <x:c r="AC291" s="57" t="inlineStr">
        <x:is>
          <x:t xml:space="preserve">V10</x:t>
        </x:is>
      </x:c>
      <x:c r="AD291" s="57" t="n"/>
      <x:c r="AE291" s="79" t="str">
        <x:f>IF(AND(I291&lt;&gt;"",J291&lt;&gt;"",K291&lt;&gt;"",L291="YES",M291&lt;&gt;"",S291&lt;&gt;"",T291&lt;&gt;"",U291&lt;&gt;"",V291&lt;&gt;"",W291&lt;&gt;"",X291&lt;&gt;"",Y291&lt;&gt;""),"COMPLETE","PENDING")</x:f>
        <x:v>PENDING</x:v>
      </x:c>
      <x:c r="AF291" s="79" t="str">
        <x:f>IF(AE291="COMPLETE","YES","NO")</x:f>
        <x:v>NO</x:v>
      </x:c>
      <x:c r="AG291" s="214" t="str">
        <x:f>IF(AF291&lt;&gt;"YES","",(IF(V291="YES",1,0)+IF(W291="YES",1,0))/2)</x:f>
      </x:c>
    </x:row>
    <x:row r="292">
      <x:c r="A292" s="57" t="inlineStr">
        <x:is>
          <x:t xml:space="preserve">C0287</x:t>
        </x:is>
      </x:c>
      <x:c r="B292" s="57" t="inlineStr">
        <x:is>
          <x:t xml:space="preserve">Development</x:t>
        </x:is>
      </x:c>
      <x:c r="C292" s="57" t="inlineStr">
        <x:is>
          <x:t xml:space="preserve">OPEN</x:t>
        </x:is>
      </x:c>
      <x:c r="D292" s="57" t="inlineStr">
        <x:is>
          <x:t xml:space="preserve">ARG-029</x:t>
        </x:is>
      </x:c>
      <x:c r="E292" s="75" t="str">
        <x:f>INDEX('Company Universe'!$B$6:$B$105,MATCH(D292,'Company Universe'!$A$6:$A$105,0))</x:f>
        <x:v>Chevron</x:v>
      </x:c>
      <x:c r="F292" s="75" t="str">
        <x:f>INDEX('Company Universe'!$C$6:$C$105,MATCH(D292,'Company Universe'!$A$6:$A$105,0))</x:f>
        <x:v>CVX</x:v>
      </x:c>
      <x:c r="G292" s="75" t="str">
        <x:f>INDEX('Company Universe'!$F$6:$F$105,MATCH(D292,'Company Universe'!$A$6:$A$105,0))</x:f>
        <x:v>Energy</x:v>
      </x:c>
      <x:c r="H292" s="57" t="n">
        <x:v>7</x:v>
      </x:c>
      <x:c r="I292" s="206" t="n"/>
      <x:c r="J292" s="71" t="n"/>
      <x:c r="K292" s="71" t="n"/>
      <x:c r="L292" s="71" t="inlineStr">
        <x:is>
          <x:t xml:space="preserve">NO</x:t>
        </x:is>
      </x:c>
      <x:c r="M292" s="71" t="n"/>
      <x:c r="N292" s="71" t="n"/>
      <x:c r="O292" s="71" t="n"/>
      <x:c r="P292" s="71" t="n"/>
      <x:c r="Q292" s="71" t="n"/>
      <x:c r="R292" s="71" t="n"/>
      <x:c r="S292" s="206" t="n"/>
      <x:c r="T292" s="71" t="n"/>
      <x:c r="U292" s="71" t="n"/>
      <x:c r="V292" s="71" t="n"/>
      <x:c r="W292" s="71" t="n"/>
      <x:c r="X292" s="71" t="n"/>
      <x:c r="Y292" s="71" t="n"/>
      <x:c r="Z292" s="71" t="n"/>
      <x:c r="AA292" s="71" t="n"/>
      <x:c r="AB292" s="71" t="inlineStr">
        <x:is>
          <x:t xml:space="preserve">NO</x:t>
        </x:is>
      </x:c>
      <x:c r="AC292" s="57" t="inlineStr">
        <x:is>
          <x:t xml:space="preserve">V10</x:t>
        </x:is>
      </x:c>
      <x:c r="AD292" s="57" t="n"/>
      <x:c r="AE292" s="79" t="str">
        <x:f>IF(AND(I292&lt;&gt;"",J292&lt;&gt;"",K292&lt;&gt;"",L292="YES",M292&lt;&gt;"",S292&lt;&gt;"",T292&lt;&gt;"",U292&lt;&gt;"",V292&lt;&gt;"",W292&lt;&gt;"",X292&lt;&gt;"",Y292&lt;&gt;""),"COMPLETE","PENDING")</x:f>
        <x:v>PENDING</x:v>
      </x:c>
      <x:c r="AF292" s="79" t="str">
        <x:f>IF(AE292="COMPLETE","YES","NO")</x:f>
        <x:v>NO</x:v>
      </x:c>
      <x:c r="AG292" s="214" t="str">
        <x:f>IF(AF292&lt;&gt;"YES","",(IF(V292="YES",1,0)+IF(W292="YES",1,0))/2)</x:f>
      </x:c>
    </x:row>
    <x:row r="293">
      <x:c r="A293" s="57" t="inlineStr">
        <x:is>
          <x:t xml:space="preserve">C0288</x:t>
        </x:is>
      </x:c>
      <x:c r="B293" s="57" t="inlineStr">
        <x:is>
          <x:t xml:space="preserve">Development</x:t>
        </x:is>
      </x:c>
      <x:c r="C293" s="57" t="inlineStr">
        <x:is>
          <x:t xml:space="preserve">OPEN</x:t>
        </x:is>
      </x:c>
      <x:c r="D293" s="57" t="inlineStr">
        <x:is>
          <x:t xml:space="preserve">ARG-029</x:t>
        </x:is>
      </x:c>
      <x:c r="E293" s="75" t="str">
        <x:f>INDEX('Company Universe'!$B$6:$B$105,MATCH(D293,'Company Universe'!$A$6:$A$105,0))</x:f>
        <x:v>Chevron</x:v>
      </x:c>
      <x:c r="F293" s="75" t="str">
        <x:f>INDEX('Company Universe'!$C$6:$C$105,MATCH(D293,'Company Universe'!$A$6:$A$105,0))</x:f>
        <x:v>CVX</x:v>
      </x:c>
      <x:c r="G293" s="75" t="str">
        <x:f>INDEX('Company Universe'!$F$6:$F$105,MATCH(D293,'Company Universe'!$A$6:$A$105,0))</x:f>
        <x:v>Energy</x:v>
      </x:c>
      <x:c r="H293" s="57" t="n">
        <x:v>8</x:v>
      </x:c>
      <x:c r="I293" s="206" t="n"/>
      <x:c r="J293" s="71" t="n"/>
      <x:c r="K293" s="71" t="n"/>
      <x:c r="L293" s="71" t="inlineStr">
        <x:is>
          <x:t xml:space="preserve">NO</x:t>
        </x:is>
      </x:c>
      <x:c r="M293" s="71" t="n"/>
      <x:c r="N293" s="71" t="n"/>
      <x:c r="O293" s="71" t="n"/>
      <x:c r="P293" s="71" t="n"/>
      <x:c r="Q293" s="71" t="n"/>
      <x:c r="R293" s="71" t="n"/>
      <x:c r="S293" s="206" t="n"/>
      <x:c r="T293" s="71" t="n"/>
      <x:c r="U293" s="71" t="n"/>
      <x:c r="V293" s="71" t="n"/>
      <x:c r="W293" s="71" t="n"/>
      <x:c r="X293" s="71" t="n"/>
      <x:c r="Y293" s="71" t="n"/>
      <x:c r="Z293" s="71" t="n"/>
      <x:c r="AA293" s="71" t="n"/>
      <x:c r="AB293" s="71" t="inlineStr">
        <x:is>
          <x:t xml:space="preserve">NO</x:t>
        </x:is>
      </x:c>
      <x:c r="AC293" s="57" t="inlineStr">
        <x:is>
          <x:t xml:space="preserve">V10</x:t>
        </x:is>
      </x:c>
      <x:c r="AD293" s="57" t="n"/>
      <x:c r="AE293" s="79" t="str">
        <x:f>IF(AND(I293&lt;&gt;"",J293&lt;&gt;"",K293&lt;&gt;"",L293="YES",M293&lt;&gt;"",S293&lt;&gt;"",T293&lt;&gt;"",U293&lt;&gt;"",V293&lt;&gt;"",W293&lt;&gt;"",X293&lt;&gt;"",Y293&lt;&gt;""),"COMPLETE","PENDING")</x:f>
        <x:v>PENDING</x:v>
      </x:c>
      <x:c r="AF293" s="79" t="str">
        <x:f>IF(AE293="COMPLETE","YES","NO")</x:f>
        <x:v>NO</x:v>
      </x:c>
      <x:c r="AG293" s="214" t="str">
        <x:f>IF(AF293&lt;&gt;"YES","",(IF(V293="YES",1,0)+IF(W293="YES",1,0))/2)</x:f>
      </x:c>
    </x:row>
    <x:row r="294">
      <x:c r="A294" s="57" t="inlineStr">
        <x:is>
          <x:t xml:space="preserve">C0289</x:t>
        </x:is>
      </x:c>
      <x:c r="B294" s="57" t="inlineStr">
        <x:is>
          <x:t xml:space="preserve">Development</x:t>
        </x:is>
      </x:c>
      <x:c r="C294" s="57" t="inlineStr">
        <x:is>
          <x:t xml:space="preserve">OPEN</x:t>
        </x:is>
      </x:c>
      <x:c r="D294" s="57" t="inlineStr">
        <x:is>
          <x:t xml:space="preserve">ARG-029</x:t>
        </x:is>
      </x:c>
      <x:c r="E294" s="75" t="str">
        <x:f>INDEX('Company Universe'!$B$6:$B$105,MATCH(D294,'Company Universe'!$A$6:$A$105,0))</x:f>
        <x:v>Chevron</x:v>
      </x:c>
      <x:c r="F294" s="75" t="str">
        <x:f>INDEX('Company Universe'!$C$6:$C$105,MATCH(D294,'Company Universe'!$A$6:$A$105,0))</x:f>
        <x:v>CVX</x:v>
      </x:c>
      <x:c r="G294" s="75" t="str">
        <x:f>INDEX('Company Universe'!$F$6:$F$105,MATCH(D294,'Company Universe'!$A$6:$A$105,0))</x:f>
        <x:v>Energy</x:v>
      </x:c>
      <x:c r="H294" s="57" t="n">
        <x:v>9</x:v>
      </x:c>
      <x:c r="I294" s="206" t="n"/>
      <x:c r="J294" s="71" t="n"/>
      <x:c r="K294" s="71" t="n"/>
      <x:c r="L294" s="71" t="inlineStr">
        <x:is>
          <x:t xml:space="preserve">NO</x:t>
        </x:is>
      </x:c>
      <x:c r="M294" s="71" t="n"/>
      <x:c r="N294" s="71" t="n"/>
      <x:c r="O294" s="71" t="n"/>
      <x:c r="P294" s="71" t="n"/>
      <x:c r="Q294" s="71" t="n"/>
      <x:c r="R294" s="71" t="n"/>
      <x:c r="S294" s="206" t="n"/>
      <x:c r="T294" s="71" t="n"/>
      <x:c r="U294" s="71" t="n"/>
      <x:c r="V294" s="71" t="n"/>
      <x:c r="W294" s="71" t="n"/>
      <x:c r="X294" s="71" t="n"/>
      <x:c r="Y294" s="71" t="n"/>
      <x:c r="Z294" s="71" t="n"/>
      <x:c r="AA294" s="71" t="n"/>
      <x:c r="AB294" s="71" t="inlineStr">
        <x:is>
          <x:t xml:space="preserve">NO</x:t>
        </x:is>
      </x:c>
      <x:c r="AC294" s="57" t="inlineStr">
        <x:is>
          <x:t xml:space="preserve">V10</x:t>
        </x:is>
      </x:c>
      <x:c r="AD294" s="57" t="n"/>
      <x:c r="AE294" s="79" t="str">
        <x:f>IF(AND(I294&lt;&gt;"",J294&lt;&gt;"",K294&lt;&gt;"",L294="YES",M294&lt;&gt;"",S294&lt;&gt;"",T294&lt;&gt;"",U294&lt;&gt;"",V294&lt;&gt;"",W294&lt;&gt;"",X294&lt;&gt;"",Y294&lt;&gt;""),"COMPLETE","PENDING")</x:f>
        <x:v>PENDING</x:v>
      </x:c>
      <x:c r="AF294" s="79" t="str">
        <x:f>IF(AE294="COMPLETE","YES","NO")</x:f>
        <x:v>NO</x:v>
      </x:c>
      <x:c r="AG294" s="214" t="str">
        <x:f>IF(AF294&lt;&gt;"YES","",(IF(V294="YES",1,0)+IF(W294="YES",1,0))/2)</x:f>
      </x:c>
    </x:row>
    <x:row r="295">
      <x:c r="A295" s="57" t="inlineStr">
        <x:is>
          <x:t xml:space="preserve">C0290</x:t>
        </x:is>
      </x:c>
      <x:c r="B295" s="57" t="inlineStr">
        <x:is>
          <x:t xml:space="preserve">Development</x:t>
        </x:is>
      </x:c>
      <x:c r="C295" s="57" t="inlineStr">
        <x:is>
          <x:t xml:space="preserve">OPEN</x:t>
        </x:is>
      </x:c>
      <x:c r="D295" s="57" t="inlineStr">
        <x:is>
          <x:t xml:space="preserve">ARG-029</x:t>
        </x:is>
      </x:c>
      <x:c r="E295" s="75" t="str">
        <x:f>INDEX('Company Universe'!$B$6:$B$105,MATCH(D295,'Company Universe'!$A$6:$A$105,0))</x:f>
        <x:v>Chevron</x:v>
      </x:c>
      <x:c r="F295" s="75" t="str">
        <x:f>INDEX('Company Universe'!$C$6:$C$105,MATCH(D295,'Company Universe'!$A$6:$A$105,0))</x:f>
        <x:v>CVX</x:v>
      </x:c>
      <x:c r="G295" s="75" t="str">
        <x:f>INDEX('Company Universe'!$F$6:$F$105,MATCH(D295,'Company Universe'!$A$6:$A$105,0))</x:f>
        <x:v>Energy</x:v>
      </x:c>
      <x:c r="H295" s="57" t="n">
        <x:v>10</x:v>
      </x:c>
      <x:c r="I295" s="206" t="n"/>
      <x:c r="J295" s="71" t="n"/>
      <x:c r="K295" s="71" t="n"/>
      <x:c r="L295" s="71" t="inlineStr">
        <x:is>
          <x:t xml:space="preserve">NO</x:t>
        </x:is>
      </x:c>
      <x:c r="M295" s="71" t="n"/>
      <x:c r="N295" s="71" t="n"/>
      <x:c r="O295" s="71" t="n"/>
      <x:c r="P295" s="71" t="n"/>
      <x:c r="Q295" s="71" t="n"/>
      <x:c r="R295" s="71" t="n"/>
      <x:c r="S295" s="206" t="n"/>
      <x:c r="T295" s="71" t="n"/>
      <x:c r="U295" s="71" t="n"/>
      <x:c r="V295" s="71" t="n"/>
      <x:c r="W295" s="71" t="n"/>
      <x:c r="X295" s="71" t="n"/>
      <x:c r="Y295" s="71" t="n"/>
      <x:c r="Z295" s="71" t="n"/>
      <x:c r="AA295" s="71" t="n"/>
      <x:c r="AB295" s="71" t="inlineStr">
        <x:is>
          <x:t xml:space="preserve">NO</x:t>
        </x:is>
      </x:c>
      <x:c r="AC295" s="57" t="inlineStr">
        <x:is>
          <x:t xml:space="preserve">V10</x:t>
        </x:is>
      </x:c>
      <x:c r="AD295" s="57" t="n"/>
      <x:c r="AE295" s="79" t="str">
        <x:f>IF(AND(I295&lt;&gt;"",J295&lt;&gt;"",K295&lt;&gt;"",L295="YES",M295&lt;&gt;"",S295&lt;&gt;"",T295&lt;&gt;"",U295&lt;&gt;"",V295&lt;&gt;"",W295&lt;&gt;"",X295&lt;&gt;"",Y295&lt;&gt;""),"COMPLETE","PENDING")</x:f>
        <x:v>PENDING</x:v>
      </x:c>
      <x:c r="AF295" s="79" t="str">
        <x:f>IF(AE295="COMPLETE","YES","NO")</x:f>
        <x:v>NO</x:v>
      </x:c>
      <x:c r="AG295" s="214" t="str">
        <x:f>IF(AF295&lt;&gt;"YES","",(IF(V295="YES",1,0)+IF(W295="YES",1,0))/2)</x:f>
      </x:c>
    </x:row>
    <x:row r="296">
      <x:c r="A296" s="57" t="inlineStr">
        <x:is>
          <x:t xml:space="preserve">C0291</x:t>
        </x:is>
      </x:c>
      <x:c r="B296" s="57" t="inlineStr">
        <x:is>
          <x:t xml:space="preserve">Development</x:t>
        </x:is>
      </x:c>
      <x:c r="C296" s="57" t="inlineStr">
        <x:is>
          <x:t xml:space="preserve">OPEN</x:t>
        </x:is>
      </x:c>
      <x:c r="D296" s="57" t="inlineStr">
        <x:is>
          <x:t xml:space="preserve">ARG-030</x:t>
        </x:is>
      </x:c>
      <x:c r="E296" s="75" t="str">
        <x:f>INDEX('Company Universe'!$B$6:$B$105,MATCH(D296,'Company Universe'!$A$6:$A$105,0))</x:f>
        <x:v>ConocoPhillips</x:v>
      </x:c>
      <x:c r="F296" s="75" t="str">
        <x:f>INDEX('Company Universe'!$C$6:$C$105,MATCH(D296,'Company Universe'!$A$6:$A$105,0))</x:f>
        <x:v>COP</x:v>
      </x:c>
      <x:c r="G296" s="75" t="str">
        <x:f>INDEX('Company Universe'!$F$6:$F$105,MATCH(D296,'Company Universe'!$A$6:$A$105,0))</x:f>
        <x:v>Energy</x:v>
      </x:c>
      <x:c r="H296" s="57" t="n">
        <x:v>1</x:v>
      </x:c>
      <x:c r="I296" s="206" t="n"/>
      <x:c r="J296" s="71" t="n"/>
      <x:c r="K296" s="71" t="n"/>
      <x:c r="L296" s="71" t="inlineStr">
        <x:is>
          <x:t xml:space="preserve">NO</x:t>
        </x:is>
      </x:c>
      <x:c r="M296" s="71" t="n"/>
      <x:c r="N296" s="71" t="n"/>
      <x:c r="O296" s="71" t="n"/>
      <x:c r="P296" s="71" t="n"/>
      <x:c r="Q296" s="71" t="n"/>
      <x:c r="R296" s="71" t="n"/>
      <x:c r="S296" s="206" t="n"/>
      <x:c r="T296" s="71" t="n"/>
      <x:c r="U296" s="71" t="n"/>
      <x:c r="V296" s="71" t="n"/>
      <x:c r="W296" s="71" t="n"/>
      <x:c r="X296" s="71" t="n"/>
      <x:c r="Y296" s="71" t="n"/>
      <x:c r="Z296" s="71" t="n"/>
      <x:c r="AA296" s="71" t="n"/>
      <x:c r="AB296" s="71" t="inlineStr">
        <x:is>
          <x:t xml:space="preserve">NO</x:t>
        </x:is>
      </x:c>
      <x:c r="AC296" s="57" t="inlineStr">
        <x:is>
          <x:t xml:space="preserve">V10</x:t>
        </x:is>
      </x:c>
      <x:c r="AD296" s="57" t="n"/>
      <x:c r="AE296" s="79" t="str">
        <x:f>IF(AND(I296&lt;&gt;"",J296&lt;&gt;"",K296&lt;&gt;"",L296="YES",M296&lt;&gt;"",S296&lt;&gt;"",T296&lt;&gt;"",U296&lt;&gt;"",V296&lt;&gt;"",W296&lt;&gt;"",X296&lt;&gt;"",Y296&lt;&gt;""),"COMPLETE","PENDING")</x:f>
        <x:v>PENDING</x:v>
      </x:c>
      <x:c r="AF296" s="79" t="str">
        <x:f>IF(AE296="COMPLETE","YES","NO")</x:f>
        <x:v>NO</x:v>
      </x:c>
      <x:c r="AG296" s="214" t="str">
        <x:f>IF(AF296&lt;&gt;"YES","",(IF(V296="YES",1,0)+IF(W296="YES",1,0))/2)</x:f>
      </x:c>
    </x:row>
    <x:row r="297">
      <x:c r="A297" s="57" t="inlineStr">
        <x:is>
          <x:t xml:space="preserve">C0292</x:t>
        </x:is>
      </x:c>
      <x:c r="B297" s="57" t="inlineStr">
        <x:is>
          <x:t xml:space="preserve">Development</x:t>
        </x:is>
      </x:c>
      <x:c r="C297" s="57" t="inlineStr">
        <x:is>
          <x:t xml:space="preserve">OPEN</x:t>
        </x:is>
      </x:c>
      <x:c r="D297" s="57" t="inlineStr">
        <x:is>
          <x:t xml:space="preserve">ARG-030</x:t>
        </x:is>
      </x:c>
      <x:c r="E297" s="75" t="str">
        <x:f>INDEX('Company Universe'!$B$6:$B$105,MATCH(D297,'Company Universe'!$A$6:$A$105,0))</x:f>
        <x:v>ConocoPhillips</x:v>
      </x:c>
      <x:c r="F297" s="75" t="str">
        <x:f>INDEX('Company Universe'!$C$6:$C$105,MATCH(D297,'Company Universe'!$A$6:$A$105,0))</x:f>
        <x:v>COP</x:v>
      </x:c>
      <x:c r="G297" s="75" t="str">
        <x:f>INDEX('Company Universe'!$F$6:$F$105,MATCH(D297,'Company Universe'!$A$6:$A$105,0))</x:f>
        <x:v>Energy</x:v>
      </x:c>
      <x:c r="H297" s="57" t="n">
        <x:v>2</x:v>
      </x:c>
      <x:c r="I297" s="206" t="n"/>
      <x:c r="J297" s="71" t="n"/>
      <x:c r="K297" s="71" t="n"/>
      <x:c r="L297" s="71" t="inlineStr">
        <x:is>
          <x:t xml:space="preserve">NO</x:t>
        </x:is>
      </x:c>
      <x:c r="M297" s="71" t="n"/>
      <x:c r="N297" s="71" t="n"/>
      <x:c r="O297" s="71" t="n"/>
      <x:c r="P297" s="71" t="n"/>
      <x:c r="Q297" s="71" t="n"/>
      <x:c r="R297" s="71" t="n"/>
      <x:c r="S297" s="206" t="n"/>
      <x:c r="T297" s="71" t="n"/>
      <x:c r="U297" s="71" t="n"/>
      <x:c r="V297" s="71" t="n"/>
      <x:c r="W297" s="71" t="n"/>
      <x:c r="X297" s="71" t="n"/>
      <x:c r="Y297" s="71" t="n"/>
      <x:c r="Z297" s="71" t="n"/>
      <x:c r="AA297" s="71" t="n"/>
      <x:c r="AB297" s="71" t="inlineStr">
        <x:is>
          <x:t xml:space="preserve">NO</x:t>
        </x:is>
      </x:c>
      <x:c r="AC297" s="57" t="inlineStr">
        <x:is>
          <x:t xml:space="preserve">V10</x:t>
        </x:is>
      </x:c>
      <x:c r="AD297" s="57" t="n"/>
      <x:c r="AE297" s="79" t="str">
        <x:f>IF(AND(I297&lt;&gt;"",J297&lt;&gt;"",K297&lt;&gt;"",L297="YES",M297&lt;&gt;"",S297&lt;&gt;"",T297&lt;&gt;"",U297&lt;&gt;"",V297&lt;&gt;"",W297&lt;&gt;"",X297&lt;&gt;"",Y297&lt;&gt;""),"COMPLETE","PENDING")</x:f>
        <x:v>PENDING</x:v>
      </x:c>
      <x:c r="AF297" s="79" t="str">
        <x:f>IF(AE297="COMPLETE","YES","NO")</x:f>
        <x:v>NO</x:v>
      </x:c>
      <x:c r="AG297" s="214" t="str">
        <x:f>IF(AF297&lt;&gt;"YES","",(IF(V297="YES",1,0)+IF(W297="YES",1,0))/2)</x:f>
      </x:c>
    </x:row>
    <x:row r="298">
      <x:c r="A298" s="57" t="inlineStr">
        <x:is>
          <x:t xml:space="preserve">C0293</x:t>
        </x:is>
      </x:c>
      <x:c r="B298" s="57" t="inlineStr">
        <x:is>
          <x:t xml:space="preserve">Development</x:t>
        </x:is>
      </x:c>
      <x:c r="C298" s="57" t="inlineStr">
        <x:is>
          <x:t xml:space="preserve">OPEN</x:t>
        </x:is>
      </x:c>
      <x:c r="D298" s="57" t="inlineStr">
        <x:is>
          <x:t xml:space="preserve">ARG-030</x:t>
        </x:is>
      </x:c>
      <x:c r="E298" s="75" t="str">
        <x:f>INDEX('Company Universe'!$B$6:$B$105,MATCH(D298,'Company Universe'!$A$6:$A$105,0))</x:f>
        <x:v>ConocoPhillips</x:v>
      </x:c>
      <x:c r="F298" s="75" t="str">
        <x:f>INDEX('Company Universe'!$C$6:$C$105,MATCH(D298,'Company Universe'!$A$6:$A$105,0))</x:f>
        <x:v>COP</x:v>
      </x:c>
      <x:c r="G298" s="75" t="str">
        <x:f>INDEX('Company Universe'!$F$6:$F$105,MATCH(D298,'Company Universe'!$A$6:$A$105,0))</x:f>
        <x:v>Energy</x:v>
      </x:c>
      <x:c r="H298" s="57" t="n">
        <x:v>3</x:v>
      </x:c>
      <x:c r="I298" s="206" t="n"/>
      <x:c r="J298" s="71" t="n"/>
      <x:c r="K298" s="71" t="n"/>
      <x:c r="L298" s="71" t="inlineStr">
        <x:is>
          <x:t xml:space="preserve">NO</x:t>
        </x:is>
      </x:c>
      <x:c r="M298" s="71" t="n"/>
      <x:c r="N298" s="71" t="n"/>
      <x:c r="O298" s="71" t="n"/>
      <x:c r="P298" s="71" t="n"/>
      <x:c r="Q298" s="71" t="n"/>
      <x:c r="R298" s="71" t="n"/>
      <x:c r="S298" s="206" t="n"/>
      <x:c r="T298" s="71" t="n"/>
      <x:c r="U298" s="71" t="n"/>
      <x:c r="V298" s="71" t="n"/>
      <x:c r="W298" s="71" t="n"/>
      <x:c r="X298" s="71" t="n"/>
      <x:c r="Y298" s="71" t="n"/>
      <x:c r="Z298" s="71" t="n"/>
      <x:c r="AA298" s="71" t="n"/>
      <x:c r="AB298" s="71" t="inlineStr">
        <x:is>
          <x:t xml:space="preserve">NO</x:t>
        </x:is>
      </x:c>
      <x:c r="AC298" s="57" t="inlineStr">
        <x:is>
          <x:t xml:space="preserve">V10</x:t>
        </x:is>
      </x:c>
      <x:c r="AD298" s="57" t="n"/>
      <x:c r="AE298" s="79" t="str">
        <x:f>IF(AND(I298&lt;&gt;"",J298&lt;&gt;"",K298&lt;&gt;"",L298="YES",M298&lt;&gt;"",S298&lt;&gt;"",T298&lt;&gt;"",U298&lt;&gt;"",V298&lt;&gt;"",W298&lt;&gt;"",X298&lt;&gt;"",Y298&lt;&gt;""),"COMPLETE","PENDING")</x:f>
        <x:v>PENDING</x:v>
      </x:c>
      <x:c r="AF298" s="79" t="str">
        <x:f>IF(AE298="COMPLETE","YES","NO")</x:f>
        <x:v>NO</x:v>
      </x:c>
      <x:c r="AG298" s="214" t="str">
        <x:f>IF(AF298&lt;&gt;"YES","",(IF(V298="YES",1,0)+IF(W298="YES",1,0))/2)</x:f>
      </x:c>
    </x:row>
    <x:row r="299">
      <x:c r="A299" s="57" t="inlineStr">
        <x:is>
          <x:t xml:space="preserve">C0294</x:t>
        </x:is>
      </x:c>
      <x:c r="B299" s="57" t="inlineStr">
        <x:is>
          <x:t xml:space="preserve">Development</x:t>
        </x:is>
      </x:c>
      <x:c r="C299" s="57" t="inlineStr">
        <x:is>
          <x:t xml:space="preserve">OPEN</x:t>
        </x:is>
      </x:c>
      <x:c r="D299" s="57" t="inlineStr">
        <x:is>
          <x:t xml:space="preserve">ARG-030</x:t>
        </x:is>
      </x:c>
      <x:c r="E299" s="75" t="str">
        <x:f>INDEX('Company Universe'!$B$6:$B$105,MATCH(D299,'Company Universe'!$A$6:$A$105,0))</x:f>
        <x:v>ConocoPhillips</x:v>
      </x:c>
      <x:c r="F299" s="75" t="str">
        <x:f>INDEX('Company Universe'!$C$6:$C$105,MATCH(D299,'Company Universe'!$A$6:$A$105,0))</x:f>
        <x:v>COP</x:v>
      </x:c>
      <x:c r="G299" s="75" t="str">
        <x:f>INDEX('Company Universe'!$F$6:$F$105,MATCH(D299,'Company Universe'!$A$6:$A$105,0))</x:f>
        <x:v>Energy</x:v>
      </x:c>
      <x:c r="H299" s="57" t="n">
        <x:v>4</x:v>
      </x:c>
      <x:c r="I299" s="206" t="n"/>
      <x:c r="J299" s="71" t="n"/>
      <x:c r="K299" s="71" t="n"/>
      <x:c r="L299" s="71" t="inlineStr">
        <x:is>
          <x:t xml:space="preserve">NO</x:t>
        </x:is>
      </x:c>
      <x:c r="M299" s="71" t="n"/>
      <x:c r="N299" s="71" t="n"/>
      <x:c r="O299" s="71" t="n"/>
      <x:c r="P299" s="71" t="n"/>
      <x:c r="Q299" s="71" t="n"/>
      <x:c r="R299" s="71" t="n"/>
      <x:c r="S299" s="206" t="n"/>
      <x:c r="T299" s="71" t="n"/>
      <x:c r="U299" s="71" t="n"/>
      <x:c r="V299" s="71" t="n"/>
      <x:c r="W299" s="71" t="n"/>
      <x:c r="X299" s="71" t="n"/>
      <x:c r="Y299" s="71" t="n"/>
      <x:c r="Z299" s="71" t="n"/>
      <x:c r="AA299" s="71" t="n"/>
      <x:c r="AB299" s="71" t="inlineStr">
        <x:is>
          <x:t xml:space="preserve">NO</x:t>
        </x:is>
      </x:c>
      <x:c r="AC299" s="57" t="inlineStr">
        <x:is>
          <x:t xml:space="preserve">V10</x:t>
        </x:is>
      </x:c>
      <x:c r="AD299" s="57" t="n"/>
      <x:c r="AE299" s="79" t="str">
        <x:f>IF(AND(I299&lt;&gt;"",J299&lt;&gt;"",K299&lt;&gt;"",L299="YES",M299&lt;&gt;"",S299&lt;&gt;"",T299&lt;&gt;"",U299&lt;&gt;"",V299&lt;&gt;"",W299&lt;&gt;"",X299&lt;&gt;"",Y299&lt;&gt;""),"COMPLETE","PENDING")</x:f>
        <x:v>PENDING</x:v>
      </x:c>
      <x:c r="AF299" s="79" t="str">
        <x:f>IF(AE299="COMPLETE","YES","NO")</x:f>
        <x:v>NO</x:v>
      </x:c>
      <x:c r="AG299" s="214" t="str">
        <x:f>IF(AF299&lt;&gt;"YES","",(IF(V299="YES",1,0)+IF(W299="YES",1,0))/2)</x:f>
      </x:c>
    </x:row>
    <x:row r="300">
      <x:c r="A300" s="57" t="inlineStr">
        <x:is>
          <x:t xml:space="preserve">C0295</x:t>
        </x:is>
      </x:c>
      <x:c r="B300" s="57" t="inlineStr">
        <x:is>
          <x:t xml:space="preserve">Development</x:t>
        </x:is>
      </x:c>
      <x:c r="C300" s="57" t="inlineStr">
        <x:is>
          <x:t xml:space="preserve">OPEN</x:t>
        </x:is>
      </x:c>
      <x:c r="D300" s="57" t="inlineStr">
        <x:is>
          <x:t xml:space="preserve">ARG-030</x:t>
        </x:is>
      </x:c>
      <x:c r="E300" s="75" t="str">
        <x:f>INDEX('Company Universe'!$B$6:$B$105,MATCH(D300,'Company Universe'!$A$6:$A$105,0))</x:f>
        <x:v>ConocoPhillips</x:v>
      </x:c>
      <x:c r="F300" s="75" t="str">
        <x:f>INDEX('Company Universe'!$C$6:$C$105,MATCH(D300,'Company Universe'!$A$6:$A$105,0))</x:f>
        <x:v>COP</x:v>
      </x:c>
      <x:c r="G300" s="75" t="str">
        <x:f>INDEX('Company Universe'!$F$6:$F$105,MATCH(D300,'Company Universe'!$A$6:$A$105,0))</x:f>
        <x:v>Energy</x:v>
      </x:c>
      <x:c r="H300" s="57" t="n">
        <x:v>5</x:v>
      </x:c>
      <x:c r="I300" s="206" t="n"/>
      <x:c r="J300" s="71" t="n"/>
      <x:c r="K300" s="71" t="n"/>
      <x:c r="L300" s="71" t="inlineStr">
        <x:is>
          <x:t xml:space="preserve">NO</x:t>
        </x:is>
      </x:c>
      <x:c r="M300" s="71" t="n"/>
      <x:c r="N300" s="71" t="n"/>
      <x:c r="O300" s="71" t="n"/>
      <x:c r="P300" s="71" t="n"/>
      <x:c r="Q300" s="71" t="n"/>
      <x:c r="R300" s="71" t="n"/>
      <x:c r="S300" s="206" t="n"/>
      <x:c r="T300" s="71" t="n"/>
      <x:c r="U300" s="71" t="n"/>
      <x:c r="V300" s="71" t="n"/>
      <x:c r="W300" s="71" t="n"/>
      <x:c r="X300" s="71" t="n"/>
      <x:c r="Y300" s="71" t="n"/>
      <x:c r="Z300" s="71" t="n"/>
      <x:c r="AA300" s="71" t="n"/>
      <x:c r="AB300" s="71" t="inlineStr">
        <x:is>
          <x:t xml:space="preserve">NO</x:t>
        </x:is>
      </x:c>
      <x:c r="AC300" s="57" t="inlineStr">
        <x:is>
          <x:t xml:space="preserve">V10</x:t>
        </x:is>
      </x:c>
      <x:c r="AD300" s="57" t="n"/>
      <x:c r="AE300" s="79" t="str">
        <x:f>IF(AND(I300&lt;&gt;"",J300&lt;&gt;"",K300&lt;&gt;"",L300="YES",M300&lt;&gt;"",S300&lt;&gt;"",T300&lt;&gt;"",U300&lt;&gt;"",V300&lt;&gt;"",W300&lt;&gt;"",X300&lt;&gt;"",Y300&lt;&gt;""),"COMPLETE","PENDING")</x:f>
        <x:v>PENDING</x:v>
      </x:c>
      <x:c r="AF300" s="79" t="str">
        <x:f>IF(AE300="COMPLETE","YES","NO")</x:f>
        <x:v>NO</x:v>
      </x:c>
      <x:c r="AG300" s="214" t="str">
        <x:f>IF(AF300&lt;&gt;"YES","",(IF(V300="YES",1,0)+IF(W300="YES",1,0))/2)</x:f>
      </x:c>
    </x:row>
    <x:row r="301">
      <x:c r="A301" s="57" t="inlineStr">
        <x:is>
          <x:t xml:space="preserve">C0296</x:t>
        </x:is>
      </x:c>
      <x:c r="B301" s="57" t="inlineStr">
        <x:is>
          <x:t xml:space="preserve">Development</x:t>
        </x:is>
      </x:c>
      <x:c r="C301" s="57" t="inlineStr">
        <x:is>
          <x:t xml:space="preserve">OPEN</x:t>
        </x:is>
      </x:c>
      <x:c r="D301" s="57" t="inlineStr">
        <x:is>
          <x:t xml:space="preserve">ARG-030</x:t>
        </x:is>
      </x:c>
      <x:c r="E301" s="75" t="str">
        <x:f>INDEX('Company Universe'!$B$6:$B$105,MATCH(D301,'Company Universe'!$A$6:$A$105,0))</x:f>
        <x:v>ConocoPhillips</x:v>
      </x:c>
      <x:c r="F301" s="75" t="str">
        <x:f>INDEX('Company Universe'!$C$6:$C$105,MATCH(D301,'Company Universe'!$A$6:$A$105,0))</x:f>
        <x:v>COP</x:v>
      </x:c>
      <x:c r="G301" s="75" t="str">
        <x:f>INDEX('Company Universe'!$F$6:$F$105,MATCH(D301,'Company Universe'!$A$6:$A$105,0))</x:f>
        <x:v>Energy</x:v>
      </x:c>
      <x:c r="H301" s="57" t="n">
        <x:v>6</x:v>
      </x:c>
      <x:c r="I301" s="206" t="n"/>
      <x:c r="J301" s="71" t="n"/>
      <x:c r="K301" s="71" t="n"/>
      <x:c r="L301" s="71" t="inlineStr">
        <x:is>
          <x:t xml:space="preserve">NO</x:t>
        </x:is>
      </x:c>
      <x:c r="M301" s="71" t="n"/>
      <x:c r="N301" s="71" t="n"/>
      <x:c r="O301" s="71" t="n"/>
      <x:c r="P301" s="71" t="n"/>
      <x:c r="Q301" s="71" t="n"/>
      <x:c r="R301" s="71" t="n"/>
      <x:c r="S301" s="206" t="n"/>
      <x:c r="T301" s="71" t="n"/>
      <x:c r="U301" s="71" t="n"/>
      <x:c r="V301" s="71" t="n"/>
      <x:c r="W301" s="71" t="n"/>
      <x:c r="X301" s="71" t="n"/>
      <x:c r="Y301" s="71" t="n"/>
      <x:c r="Z301" s="71" t="n"/>
      <x:c r="AA301" s="71" t="n"/>
      <x:c r="AB301" s="71" t="inlineStr">
        <x:is>
          <x:t xml:space="preserve">NO</x:t>
        </x:is>
      </x:c>
      <x:c r="AC301" s="57" t="inlineStr">
        <x:is>
          <x:t xml:space="preserve">V10</x:t>
        </x:is>
      </x:c>
      <x:c r="AD301" s="57" t="n"/>
      <x:c r="AE301" s="79" t="str">
        <x:f>IF(AND(I301&lt;&gt;"",J301&lt;&gt;"",K301&lt;&gt;"",L301="YES",M301&lt;&gt;"",S301&lt;&gt;"",T301&lt;&gt;"",U301&lt;&gt;"",V301&lt;&gt;"",W301&lt;&gt;"",X301&lt;&gt;"",Y301&lt;&gt;""),"COMPLETE","PENDING")</x:f>
        <x:v>PENDING</x:v>
      </x:c>
      <x:c r="AF301" s="79" t="str">
        <x:f>IF(AE301="COMPLETE","YES","NO")</x:f>
        <x:v>NO</x:v>
      </x:c>
      <x:c r="AG301" s="214" t="str">
        <x:f>IF(AF301&lt;&gt;"YES","",(IF(V301="YES",1,0)+IF(W301="YES",1,0))/2)</x:f>
      </x:c>
    </x:row>
    <x:row r="302">
      <x:c r="A302" s="57" t="inlineStr">
        <x:is>
          <x:t xml:space="preserve">C0297</x:t>
        </x:is>
      </x:c>
      <x:c r="B302" s="57" t="inlineStr">
        <x:is>
          <x:t xml:space="preserve">Development</x:t>
        </x:is>
      </x:c>
      <x:c r="C302" s="57" t="inlineStr">
        <x:is>
          <x:t xml:space="preserve">OPEN</x:t>
        </x:is>
      </x:c>
      <x:c r="D302" s="57" t="inlineStr">
        <x:is>
          <x:t xml:space="preserve">ARG-030</x:t>
        </x:is>
      </x:c>
      <x:c r="E302" s="75" t="str">
        <x:f>INDEX('Company Universe'!$B$6:$B$105,MATCH(D302,'Company Universe'!$A$6:$A$105,0))</x:f>
        <x:v>ConocoPhillips</x:v>
      </x:c>
      <x:c r="F302" s="75" t="str">
        <x:f>INDEX('Company Universe'!$C$6:$C$105,MATCH(D302,'Company Universe'!$A$6:$A$105,0))</x:f>
        <x:v>COP</x:v>
      </x:c>
      <x:c r="G302" s="75" t="str">
        <x:f>INDEX('Company Universe'!$F$6:$F$105,MATCH(D302,'Company Universe'!$A$6:$A$105,0))</x:f>
        <x:v>Energy</x:v>
      </x:c>
      <x:c r="H302" s="57" t="n">
        <x:v>7</x:v>
      </x:c>
      <x:c r="I302" s="206" t="n"/>
      <x:c r="J302" s="71" t="n"/>
      <x:c r="K302" s="71" t="n"/>
      <x:c r="L302" s="71" t="inlineStr">
        <x:is>
          <x:t xml:space="preserve">NO</x:t>
        </x:is>
      </x:c>
      <x:c r="M302" s="71" t="n"/>
      <x:c r="N302" s="71" t="n"/>
      <x:c r="O302" s="71" t="n"/>
      <x:c r="P302" s="71" t="n"/>
      <x:c r="Q302" s="71" t="n"/>
      <x:c r="R302" s="71" t="n"/>
      <x:c r="S302" s="206" t="n"/>
      <x:c r="T302" s="71" t="n"/>
      <x:c r="U302" s="71" t="n"/>
      <x:c r="V302" s="71" t="n"/>
      <x:c r="W302" s="71" t="n"/>
      <x:c r="X302" s="71" t="n"/>
      <x:c r="Y302" s="71" t="n"/>
      <x:c r="Z302" s="71" t="n"/>
      <x:c r="AA302" s="71" t="n"/>
      <x:c r="AB302" s="71" t="inlineStr">
        <x:is>
          <x:t xml:space="preserve">NO</x:t>
        </x:is>
      </x:c>
      <x:c r="AC302" s="57" t="inlineStr">
        <x:is>
          <x:t xml:space="preserve">V10</x:t>
        </x:is>
      </x:c>
      <x:c r="AD302" s="57" t="n"/>
      <x:c r="AE302" s="79" t="str">
        <x:f>IF(AND(I302&lt;&gt;"",J302&lt;&gt;"",K302&lt;&gt;"",L302="YES",M302&lt;&gt;"",S302&lt;&gt;"",T302&lt;&gt;"",U302&lt;&gt;"",V302&lt;&gt;"",W302&lt;&gt;"",X302&lt;&gt;"",Y302&lt;&gt;""),"COMPLETE","PENDING")</x:f>
        <x:v>PENDING</x:v>
      </x:c>
      <x:c r="AF302" s="79" t="str">
        <x:f>IF(AE302="COMPLETE","YES","NO")</x:f>
        <x:v>NO</x:v>
      </x:c>
      <x:c r="AG302" s="214" t="str">
        <x:f>IF(AF302&lt;&gt;"YES","",(IF(V302="YES",1,0)+IF(W302="YES",1,0))/2)</x:f>
      </x:c>
    </x:row>
    <x:row r="303">
      <x:c r="A303" s="57" t="inlineStr">
        <x:is>
          <x:t xml:space="preserve">C0298</x:t>
        </x:is>
      </x:c>
      <x:c r="B303" s="57" t="inlineStr">
        <x:is>
          <x:t xml:space="preserve">Development</x:t>
        </x:is>
      </x:c>
      <x:c r="C303" s="57" t="inlineStr">
        <x:is>
          <x:t xml:space="preserve">OPEN</x:t>
        </x:is>
      </x:c>
      <x:c r="D303" s="57" t="inlineStr">
        <x:is>
          <x:t xml:space="preserve">ARG-030</x:t>
        </x:is>
      </x:c>
      <x:c r="E303" s="75" t="str">
        <x:f>INDEX('Company Universe'!$B$6:$B$105,MATCH(D303,'Company Universe'!$A$6:$A$105,0))</x:f>
        <x:v>ConocoPhillips</x:v>
      </x:c>
      <x:c r="F303" s="75" t="str">
        <x:f>INDEX('Company Universe'!$C$6:$C$105,MATCH(D303,'Company Universe'!$A$6:$A$105,0))</x:f>
        <x:v>COP</x:v>
      </x:c>
      <x:c r="G303" s="75" t="str">
        <x:f>INDEX('Company Universe'!$F$6:$F$105,MATCH(D303,'Company Universe'!$A$6:$A$105,0))</x:f>
        <x:v>Energy</x:v>
      </x:c>
      <x:c r="H303" s="57" t="n">
        <x:v>8</x:v>
      </x:c>
      <x:c r="I303" s="206" t="n"/>
      <x:c r="J303" s="71" t="n"/>
      <x:c r="K303" s="71" t="n"/>
      <x:c r="L303" s="71" t="inlineStr">
        <x:is>
          <x:t xml:space="preserve">NO</x:t>
        </x:is>
      </x:c>
      <x:c r="M303" s="71" t="n"/>
      <x:c r="N303" s="71" t="n"/>
      <x:c r="O303" s="71" t="n"/>
      <x:c r="P303" s="71" t="n"/>
      <x:c r="Q303" s="71" t="n"/>
      <x:c r="R303" s="71" t="n"/>
      <x:c r="S303" s="206" t="n"/>
      <x:c r="T303" s="71" t="n"/>
      <x:c r="U303" s="71" t="n"/>
      <x:c r="V303" s="71" t="n"/>
      <x:c r="W303" s="71" t="n"/>
      <x:c r="X303" s="71" t="n"/>
      <x:c r="Y303" s="71" t="n"/>
      <x:c r="Z303" s="71" t="n"/>
      <x:c r="AA303" s="71" t="n"/>
      <x:c r="AB303" s="71" t="inlineStr">
        <x:is>
          <x:t xml:space="preserve">NO</x:t>
        </x:is>
      </x:c>
      <x:c r="AC303" s="57" t="inlineStr">
        <x:is>
          <x:t xml:space="preserve">V10</x:t>
        </x:is>
      </x:c>
      <x:c r="AD303" s="57" t="n"/>
      <x:c r="AE303" s="79" t="str">
        <x:f>IF(AND(I303&lt;&gt;"",J303&lt;&gt;"",K303&lt;&gt;"",L303="YES",M303&lt;&gt;"",S303&lt;&gt;"",T303&lt;&gt;"",U303&lt;&gt;"",V303&lt;&gt;"",W303&lt;&gt;"",X303&lt;&gt;"",Y303&lt;&gt;""),"COMPLETE","PENDING")</x:f>
        <x:v>PENDING</x:v>
      </x:c>
      <x:c r="AF303" s="79" t="str">
        <x:f>IF(AE303="COMPLETE","YES","NO")</x:f>
        <x:v>NO</x:v>
      </x:c>
      <x:c r="AG303" s="214" t="str">
        <x:f>IF(AF303&lt;&gt;"YES","",(IF(V303="YES",1,0)+IF(W303="YES",1,0))/2)</x:f>
      </x:c>
    </x:row>
    <x:row r="304">
      <x:c r="A304" s="57" t="inlineStr">
        <x:is>
          <x:t xml:space="preserve">C0299</x:t>
        </x:is>
      </x:c>
      <x:c r="B304" s="57" t="inlineStr">
        <x:is>
          <x:t xml:space="preserve">Development</x:t>
        </x:is>
      </x:c>
      <x:c r="C304" s="57" t="inlineStr">
        <x:is>
          <x:t xml:space="preserve">OPEN</x:t>
        </x:is>
      </x:c>
      <x:c r="D304" s="57" t="inlineStr">
        <x:is>
          <x:t xml:space="preserve">ARG-030</x:t>
        </x:is>
      </x:c>
      <x:c r="E304" s="75" t="str">
        <x:f>INDEX('Company Universe'!$B$6:$B$105,MATCH(D304,'Company Universe'!$A$6:$A$105,0))</x:f>
        <x:v>ConocoPhillips</x:v>
      </x:c>
      <x:c r="F304" s="75" t="str">
        <x:f>INDEX('Company Universe'!$C$6:$C$105,MATCH(D304,'Company Universe'!$A$6:$A$105,0))</x:f>
        <x:v>COP</x:v>
      </x:c>
      <x:c r="G304" s="75" t="str">
        <x:f>INDEX('Company Universe'!$F$6:$F$105,MATCH(D304,'Company Universe'!$A$6:$A$105,0))</x:f>
        <x:v>Energy</x:v>
      </x:c>
      <x:c r="H304" s="57" t="n">
        <x:v>9</x:v>
      </x:c>
      <x:c r="I304" s="206" t="n"/>
      <x:c r="J304" s="71" t="n"/>
      <x:c r="K304" s="71" t="n"/>
      <x:c r="L304" s="71" t="inlineStr">
        <x:is>
          <x:t xml:space="preserve">NO</x:t>
        </x:is>
      </x:c>
      <x:c r="M304" s="71" t="n"/>
      <x:c r="N304" s="71" t="n"/>
      <x:c r="O304" s="71" t="n"/>
      <x:c r="P304" s="71" t="n"/>
      <x:c r="Q304" s="71" t="n"/>
      <x:c r="R304" s="71" t="n"/>
      <x:c r="S304" s="206" t="n"/>
      <x:c r="T304" s="71" t="n"/>
      <x:c r="U304" s="71" t="n"/>
      <x:c r="V304" s="71" t="n"/>
      <x:c r="W304" s="71" t="n"/>
      <x:c r="X304" s="71" t="n"/>
      <x:c r="Y304" s="71" t="n"/>
      <x:c r="Z304" s="71" t="n"/>
      <x:c r="AA304" s="71" t="n"/>
      <x:c r="AB304" s="71" t="inlineStr">
        <x:is>
          <x:t xml:space="preserve">NO</x:t>
        </x:is>
      </x:c>
      <x:c r="AC304" s="57" t="inlineStr">
        <x:is>
          <x:t xml:space="preserve">V10</x:t>
        </x:is>
      </x:c>
      <x:c r="AD304" s="57" t="n"/>
      <x:c r="AE304" s="79" t="str">
        <x:f>IF(AND(I304&lt;&gt;"",J304&lt;&gt;"",K304&lt;&gt;"",L304="YES",M304&lt;&gt;"",S304&lt;&gt;"",T304&lt;&gt;"",U304&lt;&gt;"",V304&lt;&gt;"",W304&lt;&gt;"",X304&lt;&gt;"",Y304&lt;&gt;""),"COMPLETE","PENDING")</x:f>
        <x:v>PENDING</x:v>
      </x:c>
      <x:c r="AF304" s="79" t="str">
        <x:f>IF(AE304="COMPLETE","YES","NO")</x:f>
        <x:v>NO</x:v>
      </x:c>
      <x:c r="AG304" s="214" t="str">
        <x:f>IF(AF304&lt;&gt;"YES","",(IF(V304="YES",1,0)+IF(W304="YES",1,0))/2)</x:f>
      </x:c>
    </x:row>
    <x:row r="305">
      <x:c r="A305" s="57" t="inlineStr">
        <x:is>
          <x:t xml:space="preserve">C0300</x:t>
        </x:is>
      </x:c>
      <x:c r="B305" s="57" t="inlineStr">
        <x:is>
          <x:t xml:space="preserve">Development</x:t>
        </x:is>
      </x:c>
      <x:c r="C305" s="57" t="inlineStr">
        <x:is>
          <x:t xml:space="preserve">OPEN</x:t>
        </x:is>
      </x:c>
      <x:c r="D305" s="57" t="inlineStr">
        <x:is>
          <x:t xml:space="preserve">ARG-030</x:t>
        </x:is>
      </x:c>
      <x:c r="E305" s="75" t="str">
        <x:f>INDEX('Company Universe'!$B$6:$B$105,MATCH(D305,'Company Universe'!$A$6:$A$105,0))</x:f>
        <x:v>ConocoPhillips</x:v>
      </x:c>
      <x:c r="F305" s="75" t="str">
        <x:f>INDEX('Company Universe'!$C$6:$C$105,MATCH(D305,'Company Universe'!$A$6:$A$105,0))</x:f>
        <x:v>COP</x:v>
      </x:c>
      <x:c r="G305" s="75" t="str">
        <x:f>INDEX('Company Universe'!$F$6:$F$105,MATCH(D305,'Company Universe'!$A$6:$A$105,0))</x:f>
        <x:v>Energy</x:v>
      </x:c>
      <x:c r="H305" s="57" t="n">
        <x:v>10</x:v>
      </x:c>
      <x:c r="I305" s="206" t="n"/>
      <x:c r="J305" s="71" t="n"/>
      <x:c r="K305" s="71" t="n"/>
      <x:c r="L305" s="71" t="inlineStr">
        <x:is>
          <x:t xml:space="preserve">NO</x:t>
        </x:is>
      </x:c>
      <x:c r="M305" s="71" t="n"/>
      <x:c r="N305" s="71" t="n"/>
      <x:c r="O305" s="71" t="n"/>
      <x:c r="P305" s="71" t="n"/>
      <x:c r="Q305" s="71" t="n"/>
      <x:c r="R305" s="71" t="n"/>
      <x:c r="S305" s="206" t="n"/>
      <x:c r="T305" s="71" t="n"/>
      <x:c r="U305" s="71" t="n"/>
      <x:c r="V305" s="71" t="n"/>
      <x:c r="W305" s="71" t="n"/>
      <x:c r="X305" s="71" t="n"/>
      <x:c r="Y305" s="71" t="n"/>
      <x:c r="Z305" s="71" t="n"/>
      <x:c r="AA305" s="71" t="n"/>
      <x:c r="AB305" s="71" t="inlineStr">
        <x:is>
          <x:t xml:space="preserve">NO</x:t>
        </x:is>
      </x:c>
      <x:c r="AC305" s="57" t="inlineStr">
        <x:is>
          <x:t xml:space="preserve">V10</x:t>
        </x:is>
      </x:c>
      <x:c r="AD305" s="57" t="n"/>
      <x:c r="AE305" s="79" t="str">
        <x:f>IF(AND(I305&lt;&gt;"",J305&lt;&gt;"",K305&lt;&gt;"",L305="YES",M305&lt;&gt;"",S305&lt;&gt;"",T305&lt;&gt;"",U305&lt;&gt;"",V305&lt;&gt;"",W305&lt;&gt;"",X305&lt;&gt;"",Y305&lt;&gt;""),"COMPLETE","PENDING")</x:f>
        <x:v>PENDING</x:v>
      </x:c>
      <x:c r="AF305" s="79" t="str">
        <x:f>IF(AE305="COMPLETE","YES","NO")</x:f>
        <x:v>NO</x:v>
      </x:c>
      <x:c r="AG305" s="214" t="str">
        <x:f>IF(AF305&lt;&gt;"YES","",(IF(V305="YES",1,0)+IF(W305="YES",1,0))/2)</x:f>
      </x:c>
    </x:row>
    <x:row r="306">
      <x:c r="A306" s="57" t="inlineStr">
        <x:is>
          <x:t xml:space="preserve">C0301</x:t>
        </x:is>
      </x:c>
      <x:c r="B306" s="57" t="inlineStr">
        <x:is>
          <x:t xml:space="preserve">Development</x:t>
        </x:is>
      </x:c>
      <x:c r="C306" s="57" t="inlineStr">
        <x:is>
          <x:t xml:space="preserve">OPEN</x:t>
        </x:is>
      </x:c>
      <x:c r="D306" s="57" t="inlineStr">
        <x:is>
          <x:t xml:space="preserve">ARG-031</x:t>
        </x:is>
      </x:c>
      <x:c r="E306" s="75" t="str">
        <x:f>INDEX('Company Universe'!$B$6:$B$105,MATCH(D306,'Company Universe'!$A$6:$A$105,0))</x:f>
        <x:v>Occidental Petroleum</x:v>
      </x:c>
      <x:c r="F306" s="75" t="str">
        <x:f>INDEX('Company Universe'!$C$6:$C$105,MATCH(D306,'Company Universe'!$A$6:$A$105,0))</x:f>
        <x:v>OXY</x:v>
      </x:c>
      <x:c r="G306" s="75" t="str">
        <x:f>INDEX('Company Universe'!$F$6:$F$105,MATCH(D306,'Company Universe'!$A$6:$A$105,0))</x:f>
        <x:v>Energy</x:v>
      </x:c>
      <x:c r="H306" s="57" t="n">
        <x:v>1</x:v>
      </x:c>
      <x:c r="I306" s="206" t="n"/>
      <x:c r="J306" s="71" t="n"/>
      <x:c r="K306" s="71" t="n"/>
      <x:c r="L306" s="71" t="inlineStr">
        <x:is>
          <x:t xml:space="preserve">NO</x:t>
        </x:is>
      </x:c>
      <x:c r="M306" s="71" t="n"/>
      <x:c r="N306" s="71" t="n"/>
      <x:c r="O306" s="71" t="n"/>
      <x:c r="P306" s="71" t="n"/>
      <x:c r="Q306" s="71" t="n"/>
      <x:c r="R306" s="71" t="n"/>
      <x:c r="S306" s="206" t="n"/>
      <x:c r="T306" s="71" t="n"/>
      <x:c r="U306" s="71" t="n"/>
      <x:c r="V306" s="71" t="n"/>
      <x:c r="W306" s="71" t="n"/>
      <x:c r="X306" s="71" t="n"/>
      <x:c r="Y306" s="71" t="n"/>
      <x:c r="Z306" s="71" t="n"/>
      <x:c r="AA306" s="71" t="n"/>
      <x:c r="AB306" s="71" t="inlineStr">
        <x:is>
          <x:t xml:space="preserve">NO</x:t>
        </x:is>
      </x:c>
      <x:c r="AC306" s="57" t="inlineStr">
        <x:is>
          <x:t xml:space="preserve">V10</x:t>
        </x:is>
      </x:c>
      <x:c r="AD306" s="57" t="n"/>
      <x:c r="AE306" s="79" t="str">
        <x:f>IF(AND(I306&lt;&gt;"",J306&lt;&gt;"",K306&lt;&gt;"",L306="YES",M306&lt;&gt;"",S306&lt;&gt;"",T306&lt;&gt;"",U306&lt;&gt;"",V306&lt;&gt;"",W306&lt;&gt;"",X306&lt;&gt;"",Y306&lt;&gt;""),"COMPLETE","PENDING")</x:f>
        <x:v>PENDING</x:v>
      </x:c>
      <x:c r="AF306" s="79" t="str">
        <x:f>IF(AE306="COMPLETE","YES","NO")</x:f>
        <x:v>NO</x:v>
      </x:c>
      <x:c r="AG306" s="214" t="str">
        <x:f>IF(AF306&lt;&gt;"YES","",(IF(V306="YES",1,0)+IF(W306="YES",1,0))/2)</x:f>
      </x:c>
    </x:row>
    <x:row r="307">
      <x:c r="A307" s="57" t="inlineStr">
        <x:is>
          <x:t xml:space="preserve">C0302</x:t>
        </x:is>
      </x:c>
      <x:c r="B307" s="57" t="inlineStr">
        <x:is>
          <x:t xml:space="preserve">Development</x:t>
        </x:is>
      </x:c>
      <x:c r="C307" s="57" t="inlineStr">
        <x:is>
          <x:t xml:space="preserve">OPEN</x:t>
        </x:is>
      </x:c>
      <x:c r="D307" s="57" t="inlineStr">
        <x:is>
          <x:t xml:space="preserve">ARG-031</x:t>
        </x:is>
      </x:c>
      <x:c r="E307" s="75" t="str">
        <x:f>INDEX('Company Universe'!$B$6:$B$105,MATCH(D307,'Company Universe'!$A$6:$A$105,0))</x:f>
        <x:v>Occidental Petroleum</x:v>
      </x:c>
      <x:c r="F307" s="75" t="str">
        <x:f>INDEX('Company Universe'!$C$6:$C$105,MATCH(D307,'Company Universe'!$A$6:$A$105,0))</x:f>
        <x:v>OXY</x:v>
      </x:c>
      <x:c r="G307" s="75" t="str">
        <x:f>INDEX('Company Universe'!$F$6:$F$105,MATCH(D307,'Company Universe'!$A$6:$A$105,0))</x:f>
        <x:v>Energy</x:v>
      </x:c>
      <x:c r="H307" s="57" t="n">
        <x:v>2</x:v>
      </x:c>
      <x:c r="I307" s="206" t="n"/>
      <x:c r="J307" s="71" t="n"/>
      <x:c r="K307" s="71" t="n"/>
      <x:c r="L307" s="71" t="inlineStr">
        <x:is>
          <x:t xml:space="preserve">NO</x:t>
        </x:is>
      </x:c>
      <x:c r="M307" s="71" t="n"/>
      <x:c r="N307" s="71" t="n"/>
      <x:c r="O307" s="71" t="n"/>
      <x:c r="P307" s="71" t="n"/>
      <x:c r="Q307" s="71" t="n"/>
      <x:c r="R307" s="71" t="n"/>
      <x:c r="S307" s="206" t="n"/>
      <x:c r="T307" s="71" t="n"/>
      <x:c r="U307" s="71" t="n"/>
      <x:c r="V307" s="71" t="n"/>
      <x:c r="W307" s="71" t="n"/>
      <x:c r="X307" s="71" t="n"/>
      <x:c r="Y307" s="71" t="n"/>
      <x:c r="Z307" s="71" t="n"/>
      <x:c r="AA307" s="71" t="n"/>
      <x:c r="AB307" s="71" t="inlineStr">
        <x:is>
          <x:t xml:space="preserve">NO</x:t>
        </x:is>
      </x:c>
      <x:c r="AC307" s="57" t="inlineStr">
        <x:is>
          <x:t xml:space="preserve">V10</x:t>
        </x:is>
      </x:c>
      <x:c r="AD307" s="57" t="n"/>
      <x:c r="AE307" s="79" t="str">
        <x:f>IF(AND(I307&lt;&gt;"",J307&lt;&gt;"",K307&lt;&gt;"",L307="YES",M307&lt;&gt;"",S307&lt;&gt;"",T307&lt;&gt;"",U307&lt;&gt;"",V307&lt;&gt;"",W307&lt;&gt;"",X307&lt;&gt;"",Y307&lt;&gt;""),"COMPLETE","PENDING")</x:f>
        <x:v>PENDING</x:v>
      </x:c>
      <x:c r="AF307" s="79" t="str">
        <x:f>IF(AE307="COMPLETE","YES","NO")</x:f>
        <x:v>NO</x:v>
      </x:c>
      <x:c r="AG307" s="214" t="str">
        <x:f>IF(AF307&lt;&gt;"YES","",(IF(V307="YES",1,0)+IF(W307="YES",1,0))/2)</x:f>
      </x:c>
    </x:row>
    <x:row r="308">
      <x:c r="A308" s="57" t="inlineStr">
        <x:is>
          <x:t xml:space="preserve">C0303</x:t>
        </x:is>
      </x:c>
      <x:c r="B308" s="57" t="inlineStr">
        <x:is>
          <x:t xml:space="preserve">Development</x:t>
        </x:is>
      </x:c>
      <x:c r="C308" s="57" t="inlineStr">
        <x:is>
          <x:t xml:space="preserve">OPEN</x:t>
        </x:is>
      </x:c>
      <x:c r="D308" s="57" t="inlineStr">
        <x:is>
          <x:t xml:space="preserve">ARG-031</x:t>
        </x:is>
      </x:c>
      <x:c r="E308" s="75" t="str">
        <x:f>INDEX('Company Universe'!$B$6:$B$105,MATCH(D308,'Company Universe'!$A$6:$A$105,0))</x:f>
        <x:v>Occidental Petroleum</x:v>
      </x:c>
      <x:c r="F308" s="75" t="str">
        <x:f>INDEX('Company Universe'!$C$6:$C$105,MATCH(D308,'Company Universe'!$A$6:$A$105,0))</x:f>
        <x:v>OXY</x:v>
      </x:c>
      <x:c r="G308" s="75" t="str">
        <x:f>INDEX('Company Universe'!$F$6:$F$105,MATCH(D308,'Company Universe'!$A$6:$A$105,0))</x:f>
        <x:v>Energy</x:v>
      </x:c>
      <x:c r="H308" s="57" t="n">
        <x:v>3</x:v>
      </x:c>
      <x:c r="I308" s="206" t="n"/>
      <x:c r="J308" s="71" t="n"/>
      <x:c r="K308" s="71" t="n"/>
      <x:c r="L308" s="71" t="inlineStr">
        <x:is>
          <x:t xml:space="preserve">NO</x:t>
        </x:is>
      </x:c>
      <x:c r="M308" s="71" t="n"/>
      <x:c r="N308" s="71" t="n"/>
      <x:c r="O308" s="71" t="n"/>
      <x:c r="P308" s="71" t="n"/>
      <x:c r="Q308" s="71" t="n"/>
      <x:c r="R308" s="71" t="n"/>
      <x:c r="S308" s="206" t="n"/>
      <x:c r="T308" s="71" t="n"/>
      <x:c r="U308" s="71" t="n"/>
      <x:c r="V308" s="71" t="n"/>
      <x:c r="W308" s="71" t="n"/>
      <x:c r="X308" s="71" t="n"/>
      <x:c r="Y308" s="71" t="n"/>
      <x:c r="Z308" s="71" t="n"/>
      <x:c r="AA308" s="71" t="n"/>
      <x:c r="AB308" s="71" t="inlineStr">
        <x:is>
          <x:t xml:space="preserve">NO</x:t>
        </x:is>
      </x:c>
      <x:c r="AC308" s="57" t="inlineStr">
        <x:is>
          <x:t xml:space="preserve">V10</x:t>
        </x:is>
      </x:c>
      <x:c r="AD308" s="57" t="n"/>
      <x:c r="AE308" s="79" t="str">
        <x:f>IF(AND(I308&lt;&gt;"",J308&lt;&gt;"",K308&lt;&gt;"",L308="YES",M308&lt;&gt;"",S308&lt;&gt;"",T308&lt;&gt;"",U308&lt;&gt;"",V308&lt;&gt;"",W308&lt;&gt;"",X308&lt;&gt;"",Y308&lt;&gt;""),"COMPLETE","PENDING")</x:f>
        <x:v>PENDING</x:v>
      </x:c>
      <x:c r="AF308" s="79" t="str">
        <x:f>IF(AE308="COMPLETE","YES","NO")</x:f>
        <x:v>NO</x:v>
      </x:c>
      <x:c r="AG308" s="214" t="str">
        <x:f>IF(AF308&lt;&gt;"YES","",(IF(V308="YES",1,0)+IF(W308="YES",1,0))/2)</x:f>
      </x:c>
    </x:row>
    <x:row r="309">
      <x:c r="A309" s="57" t="inlineStr">
        <x:is>
          <x:t xml:space="preserve">C0304</x:t>
        </x:is>
      </x:c>
      <x:c r="B309" s="57" t="inlineStr">
        <x:is>
          <x:t xml:space="preserve">Development</x:t>
        </x:is>
      </x:c>
      <x:c r="C309" s="57" t="inlineStr">
        <x:is>
          <x:t xml:space="preserve">OPEN</x:t>
        </x:is>
      </x:c>
      <x:c r="D309" s="57" t="inlineStr">
        <x:is>
          <x:t xml:space="preserve">ARG-031</x:t>
        </x:is>
      </x:c>
      <x:c r="E309" s="75" t="str">
        <x:f>INDEX('Company Universe'!$B$6:$B$105,MATCH(D309,'Company Universe'!$A$6:$A$105,0))</x:f>
        <x:v>Occidental Petroleum</x:v>
      </x:c>
      <x:c r="F309" s="75" t="str">
        <x:f>INDEX('Company Universe'!$C$6:$C$105,MATCH(D309,'Company Universe'!$A$6:$A$105,0))</x:f>
        <x:v>OXY</x:v>
      </x:c>
      <x:c r="G309" s="75" t="str">
        <x:f>INDEX('Company Universe'!$F$6:$F$105,MATCH(D309,'Company Universe'!$A$6:$A$105,0))</x:f>
        <x:v>Energy</x:v>
      </x:c>
      <x:c r="H309" s="57" t="n">
        <x:v>4</x:v>
      </x:c>
      <x:c r="I309" s="206" t="n"/>
      <x:c r="J309" s="71" t="n"/>
      <x:c r="K309" s="71" t="n"/>
      <x:c r="L309" s="71" t="inlineStr">
        <x:is>
          <x:t xml:space="preserve">NO</x:t>
        </x:is>
      </x:c>
      <x:c r="M309" s="71" t="n"/>
      <x:c r="N309" s="71" t="n"/>
      <x:c r="O309" s="71" t="n"/>
      <x:c r="P309" s="71" t="n"/>
      <x:c r="Q309" s="71" t="n"/>
      <x:c r="R309" s="71" t="n"/>
      <x:c r="S309" s="206" t="n"/>
      <x:c r="T309" s="71" t="n"/>
      <x:c r="U309" s="71" t="n"/>
      <x:c r="V309" s="71" t="n"/>
      <x:c r="W309" s="71" t="n"/>
      <x:c r="X309" s="71" t="n"/>
      <x:c r="Y309" s="71" t="n"/>
      <x:c r="Z309" s="71" t="n"/>
      <x:c r="AA309" s="71" t="n"/>
      <x:c r="AB309" s="71" t="inlineStr">
        <x:is>
          <x:t xml:space="preserve">NO</x:t>
        </x:is>
      </x:c>
      <x:c r="AC309" s="57" t="inlineStr">
        <x:is>
          <x:t xml:space="preserve">V10</x:t>
        </x:is>
      </x:c>
      <x:c r="AD309" s="57" t="n"/>
      <x:c r="AE309" s="79" t="str">
        <x:f>IF(AND(I309&lt;&gt;"",J309&lt;&gt;"",K309&lt;&gt;"",L309="YES",M309&lt;&gt;"",S309&lt;&gt;"",T309&lt;&gt;"",U309&lt;&gt;"",V309&lt;&gt;"",W309&lt;&gt;"",X309&lt;&gt;"",Y309&lt;&gt;""),"COMPLETE","PENDING")</x:f>
        <x:v>PENDING</x:v>
      </x:c>
      <x:c r="AF309" s="79" t="str">
        <x:f>IF(AE309="COMPLETE","YES","NO")</x:f>
        <x:v>NO</x:v>
      </x:c>
      <x:c r="AG309" s="214" t="str">
        <x:f>IF(AF309&lt;&gt;"YES","",(IF(V309="YES",1,0)+IF(W309="YES",1,0))/2)</x:f>
      </x:c>
    </x:row>
    <x:row r="310">
      <x:c r="A310" s="57" t="inlineStr">
        <x:is>
          <x:t xml:space="preserve">C0305</x:t>
        </x:is>
      </x:c>
      <x:c r="B310" s="57" t="inlineStr">
        <x:is>
          <x:t xml:space="preserve">Development</x:t>
        </x:is>
      </x:c>
      <x:c r="C310" s="57" t="inlineStr">
        <x:is>
          <x:t xml:space="preserve">OPEN</x:t>
        </x:is>
      </x:c>
      <x:c r="D310" s="57" t="inlineStr">
        <x:is>
          <x:t xml:space="preserve">ARG-031</x:t>
        </x:is>
      </x:c>
      <x:c r="E310" s="75" t="str">
        <x:f>INDEX('Company Universe'!$B$6:$B$105,MATCH(D310,'Company Universe'!$A$6:$A$105,0))</x:f>
        <x:v>Occidental Petroleum</x:v>
      </x:c>
      <x:c r="F310" s="75" t="str">
        <x:f>INDEX('Company Universe'!$C$6:$C$105,MATCH(D310,'Company Universe'!$A$6:$A$105,0))</x:f>
        <x:v>OXY</x:v>
      </x:c>
      <x:c r="G310" s="75" t="str">
        <x:f>INDEX('Company Universe'!$F$6:$F$105,MATCH(D310,'Company Universe'!$A$6:$A$105,0))</x:f>
        <x:v>Energy</x:v>
      </x:c>
      <x:c r="H310" s="57" t="n">
        <x:v>5</x:v>
      </x:c>
      <x:c r="I310" s="206" t="n"/>
      <x:c r="J310" s="71" t="n"/>
      <x:c r="K310" s="71" t="n"/>
      <x:c r="L310" s="71" t="inlineStr">
        <x:is>
          <x:t xml:space="preserve">NO</x:t>
        </x:is>
      </x:c>
      <x:c r="M310" s="71" t="n"/>
      <x:c r="N310" s="71" t="n"/>
      <x:c r="O310" s="71" t="n"/>
      <x:c r="P310" s="71" t="n"/>
      <x:c r="Q310" s="71" t="n"/>
      <x:c r="R310" s="71" t="n"/>
      <x:c r="S310" s="206" t="n"/>
      <x:c r="T310" s="71" t="n"/>
      <x:c r="U310" s="71" t="n"/>
      <x:c r="V310" s="71" t="n"/>
      <x:c r="W310" s="71" t="n"/>
      <x:c r="X310" s="71" t="n"/>
      <x:c r="Y310" s="71" t="n"/>
      <x:c r="Z310" s="71" t="n"/>
      <x:c r="AA310" s="71" t="n"/>
      <x:c r="AB310" s="71" t="inlineStr">
        <x:is>
          <x:t xml:space="preserve">NO</x:t>
        </x:is>
      </x:c>
      <x:c r="AC310" s="57" t="inlineStr">
        <x:is>
          <x:t xml:space="preserve">V10</x:t>
        </x:is>
      </x:c>
      <x:c r="AD310" s="57" t="n"/>
      <x:c r="AE310" s="79" t="str">
        <x:f>IF(AND(I310&lt;&gt;"",J310&lt;&gt;"",K310&lt;&gt;"",L310="YES",M310&lt;&gt;"",S310&lt;&gt;"",T310&lt;&gt;"",U310&lt;&gt;"",V310&lt;&gt;"",W310&lt;&gt;"",X310&lt;&gt;"",Y310&lt;&gt;""),"COMPLETE","PENDING")</x:f>
        <x:v>PENDING</x:v>
      </x:c>
      <x:c r="AF310" s="79" t="str">
        <x:f>IF(AE310="COMPLETE","YES","NO")</x:f>
        <x:v>NO</x:v>
      </x:c>
      <x:c r="AG310" s="214" t="str">
        <x:f>IF(AF310&lt;&gt;"YES","",(IF(V310="YES",1,0)+IF(W310="YES",1,0))/2)</x:f>
      </x:c>
    </x:row>
    <x:row r="311">
      <x:c r="A311" s="57" t="inlineStr">
        <x:is>
          <x:t xml:space="preserve">C0306</x:t>
        </x:is>
      </x:c>
      <x:c r="B311" s="57" t="inlineStr">
        <x:is>
          <x:t xml:space="preserve">Development</x:t>
        </x:is>
      </x:c>
      <x:c r="C311" s="57" t="inlineStr">
        <x:is>
          <x:t xml:space="preserve">OPEN</x:t>
        </x:is>
      </x:c>
      <x:c r="D311" s="57" t="inlineStr">
        <x:is>
          <x:t xml:space="preserve">ARG-031</x:t>
        </x:is>
      </x:c>
      <x:c r="E311" s="75" t="str">
        <x:f>INDEX('Company Universe'!$B$6:$B$105,MATCH(D311,'Company Universe'!$A$6:$A$105,0))</x:f>
        <x:v>Occidental Petroleum</x:v>
      </x:c>
      <x:c r="F311" s="75" t="str">
        <x:f>INDEX('Company Universe'!$C$6:$C$105,MATCH(D311,'Company Universe'!$A$6:$A$105,0))</x:f>
        <x:v>OXY</x:v>
      </x:c>
      <x:c r="G311" s="75" t="str">
        <x:f>INDEX('Company Universe'!$F$6:$F$105,MATCH(D311,'Company Universe'!$A$6:$A$105,0))</x:f>
        <x:v>Energy</x:v>
      </x:c>
      <x:c r="H311" s="57" t="n">
        <x:v>6</x:v>
      </x:c>
      <x:c r="I311" s="206" t="n"/>
      <x:c r="J311" s="71" t="n"/>
      <x:c r="K311" s="71" t="n"/>
      <x:c r="L311" s="71" t="inlineStr">
        <x:is>
          <x:t xml:space="preserve">NO</x:t>
        </x:is>
      </x:c>
      <x:c r="M311" s="71" t="n"/>
      <x:c r="N311" s="71" t="n"/>
      <x:c r="O311" s="71" t="n"/>
      <x:c r="P311" s="71" t="n"/>
      <x:c r="Q311" s="71" t="n"/>
      <x:c r="R311" s="71" t="n"/>
      <x:c r="S311" s="206" t="n"/>
      <x:c r="T311" s="71" t="n"/>
      <x:c r="U311" s="71" t="n"/>
      <x:c r="V311" s="71" t="n"/>
      <x:c r="W311" s="71" t="n"/>
      <x:c r="X311" s="71" t="n"/>
      <x:c r="Y311" s="71" t="n"/>
      <x:c r="Z311" s="71" t="n"/>
      <x:c r="AA311" s="71" t="n"/>
      <x:c r="AB311" s="71" t="inlineStr">
        <x:is>
          <x:t xml:space="preserve">NO</x:t>
        </x:is>
      </x:c>
      <x:c r="AC311" s="57" t="inlineStr">
        <x:is>
          <x:t xml:space="preserve">V10</x:t>
        </x:is>
      </x:c>
      <x:c r="AD311" s="57" t="n"/>
      <x:c r="AE311" s="79" t="str">
        <x:f>IF(AND(I311&lt;&gt;"",J311&lt;&gt;"",K311&lt;&gt;"",L311="YES",M311&lt;&gt;"",S311&lt;&gt;"",T311&lt;&gt;"",U311&lt;&gt;"",V311&lt;&gt;"",W311&lt;&gt;"",X311&lt;&gt;"",Y311&lt;&gt;""),"COMPLETE","PENDING")</x:f>
        <x:v>PENDING</x:v>
      </x:c>
      <x:c r="AF311" s="79" t="str">
        <x:f>IF(AE311="COMPLETE","YES","NO")</x:f>
        <x:v>NO</x:v>
      </x:c>
      <x:c r="AG311" s="214" t="str">
        <x:f>IF(AF311&lt;&gt;"YES","",(IF(V311="YES",1,0)+IF(W311="YES",1,0))/2)</x:f>
      </x:c>
    </x:row>
    <x:row r="312">
      <x:c r="A312" s="57" t="inlineStr">
        <x:is>
          <x:t xml:space="preserve">C0307</x:t>
        </x:is>
      </x:c>
      <x:c r="B312" s="57" t="inlineStr">
        <x:is>
          <x:t xml:space="preserve">Development</x:t>
        </x:is>
      </x:c>
      <x:c r="C312" s="57" t="inlineStr">
        <x:is>
          <x:t xml:space="preserve">OPEN</x:t>
        </x:is>
      </x:c>
      <x:c r="D312" s="57" t="inlineStr">
        <x:is>
          <x:t xml:space="preserve">ARG-031</x:t>
        </x:is>
      </x:c>
      <x:c r="E312" s="75" t="str">
        <x:f>INDEX('Company Universe'!$B$6:$B$105,MATCH(D312,'Company Universe'!$A$6:$A$105,0))</x:f>
        <x:v>Occidental Petroleum</x:v>
      </x:c>
      <x:c r="F312" s="75" t="str">
        <x:f>INDEX('Company Universe'!$C$6:$C$105,MATCH(D312,'Company Universe'!$A$6:$A$105,0))</x:f>
        <x:v>OXY</x:v>
      </x:c>
      <x:c r="G312" s="75" t="str">
        <x:f>INDEX('Company Universe'!$F$6:$F$105,MATCH(D312,'Company Universe'!$A$6:$A$105,0))</x:f>
        <x:v>Energy</x:v>
      </x:c>
      <x:c r="H312" s="57" t="n">
        <x:v>7</x:v>
      </x:c>
      <x:c r="I312" s="206" t="n"/>
      <x:c r="J312" s="71" t="n"/>
      <x:c r="K312" s="71" t="n"/>
      <x:c r="L312" s="71" t="inlineStr">
        <x:is>
          <x:t xml:space="preserve">NO</x:t>
        </x:is>
      </x:c>
      <x:c r="M312" s="71" t="n"/>
      <x:c r="N312" s="71" t="n"/>
      <x:c r="O312" s="71" t="n"/>
      <x:c r="P312" s="71" t="n"/>
      <x:c r="Q312" s="71" t="n"/>
      <x:c r="R312" s="71" t="n"/>
      <x:c r="S312" s="206" t="n"/>
      <x:c r="T312" s="71" t="n"/>
      <x:c r="U312" s="71" t="n"/>
      <x:c r="V312" s="71" t="n"/>
      <x:c r="W312" s="71" t="n"/>
      <x:c r="X312" s="71" t="n"/>
      <x:c r="Y312" s="71" t="n"/>
      <x:c r="Z312" s="71" t="n"/>
      <x:c r="AA312" s="71" t="n"/>
      <x:c r="AB312" s="71" t="inlineStr">
        <x:is>
          <x:t xml:space="preserve">NO</x:t>
        </x:is>
      </x:c>
      <x:c r="AC312" s="57" t="inlineStr">
        <x:is>
          <x:t xml:space="preserve">V10</x:t>
        </x:is>
      </x:c>
      <x:c r="AD312" s="57" t="n"/>
      <x:c r="AE312" s="79" t="str">
        <x:f>IF(AND(I312&lt;&gt;"",J312&lt;&gt;"",K312&lt;&gt;"",L312="YES",M312&lt;&gt;"",S312&lt;&gt;"",T312&lt;&gt;"",U312&lt;&gt;"",V312&lt;&gt;"",W312&lt;&gt;"",X312&lt;&gt;"",Y312&lt;&gt;""),"COMPLETE","PENDING")</x:f>
        <x:v>PENDING</x:v>
      </x:c>
      <x:c r="AF312" s="79" t="str">
        <x:f>IF(AE312="COMPLETE","YES","NO")</x:f>
        <x:v>NO</x:v>
      </x:c>
      <x:c r="AG312" s="214" t="str">
        <x:f>IF(AF312&lt;&gt;"YES","",(IF(V312="YES",1,0)+IF(W312="YES",1,0))/2)</x:f>
      </x:c>
    </x:row>
    <x:row r="313">
      <x:c r="A313" s="57" t="inlineStr">
        <x:is>
          <x:t xml:space="preserve">C0308</x:t>
        </x:is>
      </x:c>
      <x:c r="B313" s="57" t="inlineStr">
        <x:is>
          <x:t xml:space="preserve">Development</x:t>
        </x:is>
      </x:c>
      <x:c r="C313" s="57" t="inlineStr">
        <x:is>
          <x:t xml:space="preserve">OPEN</x:t>
        </x:is>
      </x:c>
      <x:c r="D313" s="57" t="inlineStr">
        <x:is>
          <x:t xml:space="preserve">ARG-031</x:t>
        </x:is>
      </x:c>
      <x:c r="E313" s="75" t="str">
        <x:f>INDEX('Company Universe'!$B$6:$B$105,MATCH(D313,'Company Universe'!$A$6:$A$105,0))</x:f>
        <x:v>Occidental Petroleum</x:v>
      </x:c>
      <x:c r="F313" s="75" t="str">
        <x:f>INDEX('Company Universe'!$C$6:$C$105,MATCH(D313,'Company Universe'!$A$6:$A$105,0))</x:f>
        <x:v>OXY</x:v>
      </x:c>
      <x:c r="G313" s="75" t="str">
        <x:f>INDEX('Company Universe'!$F$6:$F$105,MATCH(D313,'Company Universe'!$A$6:$A$105,0))</x:f>
        <x:v>Energy</x:v>
      </x:c>
      <x:c r="H313" s="57" t="n">
        <x:v>8</x:v>
      </x:c>
      <x:c r="I313" s="206" t="n"/>
      <x:c r="J313" s="71" t="n"/>
      <x:c r="K313" s="71" t="n"/>
      <x:c r="L313" s="71" t="inlineStr">
        <x:is>
          <x:t xml:space="preserve">NO</x:t>
        </x:is>
      </x:c>
      <x:c r="M313" s="71" t="n"/>
      <x:c r="N313" s="71" t="n"/>
      <x:c r="O313" s="71" t="n"/>
      <x:c r="P313" s="71" t="n"/>
      <x:c r="Q313" s="71" t="n"/>
      <x:c r="R313" s="71" t="n"/>
      <x:c r="S313" s="206" t="n"/>
      <x:c r="T313" s="71" t="n"/>
      <x:c r="U313" s="71" t="n"/>
      <x:c r="V313" s="71" t="n"/>
      <x:c r="W313" s="71" t="n"/>
      <x:c r="X313" s="71" t="n"/>
      <x:c r="Y313" s="71" t="n"/>
      <x:c r="Z313" s="71" t="n"/>
      <x:c r="AA313" s="71" t="n"/>
      <x:c r="AB313" s="71" t="inlineStr">
        <x:is>
          <x:t xml:space="preserve">NO</x:t>
        </x:is>
      </x:c>
      <x:c r="AC313" s="57" t="inlineStr">
        <x:is>
          <x:t xml:space="preserve">V10</x:t>
        </x:is>
      </x:c>
      <x:c r="AD313" s="57" t="n"/>
      <x:c r="AE313" s="79" t="str">
        <x:f>IF(AND(I313&lt;&gt;"",J313&lt;&gt;"",K313&lt;&gt;"",L313="YES",M313&lt;&gt;"",S313&lt;&gt;"",T313&lt;&gt;"",U313&lt;&gt;"",V313&lt;&gt;"",W313&lt;&gt;"",X313&lt;&gt;"",Y313&lt;&gt;""),"COMPLETE","PENDING")</x:f>
        <x:v>PENDING</x:v>
      </x:c>
      <x:c r="AF313" s="79" t="str">
        <x:f>IF(AE313="COMPLETE","YES","NO")</x:f>
        <x:v>NO</x:v>
      </x:c>
      <x:c r="AG313" s="214" t="str">
        <x:f>IF(AF313&lt;&gt;"YES","",(IF(V313="YES",1,0)+IF(W313="YES",1,0))/2)</x:f>
      </x:c>
    </x:row>
    <x:row r="314">
      <x:c r="A314" s="57" t="inlineStr">
        <x:is>
          <x:t xml:space="preserve">C0309</x:t>
        </x:is>
      </x:c>
      <x:c r="B314" s="57" t="inlineStr">
        <x:is>
          <x:t xml:space="preserve">Development</x:t>
        </x:is>
      </x:c>
      <x:c r="C314" s="57" t="inlineStr">
        <x:is>
          <x:t xml:space="preserve">OPEN</x:t>
        </x:is>
      </x:c>
      <x:c r="D314" s="57" t="inlineStr">
        <x:is>
          <x:t xml:space="preserve">ARG-031</x:t>
        </x:is>
      </x:c>
      <x:c r="E314" s="75" t="str">
        <x:f>INDEX('Company Universe'!$B$6:$B$105,MATCH(D314,'Company Universe'!$A$6:$A$105,0))</x:f>
        <x:v>Occidental Petroleum</x:v>
      </x:c>
      <x:c r="F314" s="75" t="str">
        <x:f>INDEX('Company Universe'!$C$6:$C$105,MATCH(D314,'Company Universe'!$A$6:$A$105,0))</x:f>
        <x:v>OXY</x:v>
      </x:c>
      <x:c r="G314" s="75" t="str">
        <x:f>INDEX('Company Universe'!$F$6:$F$105,MATCH(D314,'Company Universe'!$A$6:$A$105,0))</x:f>
        <x:v>Energy</x:v>
      </x:c>
      <x:c r="H314" s="57" t="n">
        <x:v>9</x:v>
      </x:c>
      <x:c r="I314" s="206" t="n"/>
      <x:c r="J314" s="71" t="n"/>
      <x:c r="K314" s="71" t="n"/>
      <x:c r="L314" s="71" t="inlineStr">
        <x:is>
          <x:t xml:space="preserve">NO</x:t>
        </x:is>
      </x:c>
      <x:c r="M314" s="71" t="n"/>
      <x:c r="N314" s="71" t="n"/>
      <x:c r="O314" s="71" t="n"/>
      <x:c r="P314" s="71" t="n"/>
      <x:c r="Q314" s="71" t="n"/>
      <x:c r="R314" s="71" t="n"/>
      <x:c r="S314" s="206" t="n"/>
      <x:c r="T314" s="71" t="n"/>
      <x:c r="U314" s="71" t="n"/>
      <x:c r="V314" s="71" t="n"/>
      <x:c r="W314" s="71" t="n"/>
      <x:c r="X314" s="71" t="n"/>
      <x:c r="Y314" s="71" t="n"/>
      <x:c r="Z314" s="71" t="n"/>
      <x:c r="AA314" s="71" t="n"/>
      <x:c r="AB314" s="71" t="inlineStr">
        <x:is>
          <x:t xml:space="preserve">NO</x:t>
        </x:is>
      </x:c>
      <x:c r="AC314" s="57" t="inlineStr">
        <x:is>
          <x:t xml:space="preserve">V10</x:t>
        </x:is>
      </x:c>
      <x:c r="AD314" s="57" t="n"/>
      <x:c r="AE314" s="79" t="str">
        <x:f>IF(AND(I314&lt;&gt;"",J314&lt;&gt;"",K314&lt;&gt;"",L314="YES",M314&lt;&gt;"",S314&lt;&gt;"",T314&lt;&gt;"",U314&lt;&gt;"",V314&lt;&gt;"",W314&lt;&gt;"",X314&lt;&gt;"",Y314&lt;&gt;""),"COMPLETE","PENDING")</x:f>
        <x:v>PENDING</x:v>
      </x:c>
      <x:c r="AF314" s="79" t="str">
        <x:f>IF(AE314="COMPLETE","YES","NO")</x:f>
        <x:v>NO</x:v>
      </x:c>
      <x:c r="AG314" s="214" t="str">
        <x:f>IF(AF314&lt;&gt;"YES","",(IF(V314="YES",1,0)+IF(W314="YES",1,0))/2)</x:f>
      </x:c>
    </x:row>
    <x:row r="315">
      <x:c r="A315" s="57" t="inlineStr">
        <x:is>
          <x:t xml:space="preserve">C0310</x:t>
        </x:is>
      </x:c>
      <x:c r="B315" s="57" t="inlineStr">
        <x:is>
          <x:t xml:space="preserve">Development</x:t>
        </x:is>
      </x:c>
      <x:c r="C315" s="57" t="inlineStr">
        <x:is>
          <x:t xml:space="preserve">OPEN</x:t>
        </x:is>
      </x:c>
      <x:c r="D315" s="57" t="inlineStr">
        <x:is>
          <x:t xml:space="preserve">ARG-031</x:t>
        </x:is>
      </x:c>
      <x:c r="E315" s="75" t="str">
        <x:f>INDEX('Company Universe'!$B$6:$B$105,MATCH(D315,'Company Universe'!$A$6:$A$105,0))</x:f>
        <x:v>Occidental Petroleum</x:v>
      </x:c>
      <x:c r="F315" s="75" t="str">
        <x:f>INDEX('Company Universe'!$C$6:$C$105,MATCH(D315,'Company Universe'!$A$6:$A$105,0))</x:f>
        <x:v>OXY</x:v>
      </x:c>
      <x:c r="G315" s="75" t="str">
        <x:f>INDEX('Company Universe'!$F$6:$F$105,MATCH(D315,'Company Universe'!$A$6:$A$105,0))</x:f>
        <x:v>Energy</x:v>
      </x:c>
      <x:c r="H315" s="57" t="n">
        <x:v>10</x:v>
      </x:c>
      <x:c r="I315" s="206" t="n"/>
      <x:c r="J315" s="71" t="n"/>
      <x:c r="K315" s="71" t="n"/>
      <x:c r="L315" s="71" t="inlineStr">
        <x:is>
          <x:t xml:space="preserve">NO</x:t>
        </x:is>
      </x:c>
      <x:c r="M315" s="71" t="n"/>
      <x:c r="N315" s="71" t="n"/>
      <x:c r="O315" s="71" t="n"/>
      <x:c r="P315" s="71" t="n"/>
      <x:c r="Q315" s="71" t="n"/>
      <x:c r="R315" s="71" t="n"/>
      <x:c r="S315" s="206" t="n"/>
      <x:c r="T315" s="71" t="n"/>
      <x:c r="U315" s="71" t="n"/>
      <x:c r="V315" s="71" t="n"/>
      <x:c r="W315" s="71" t="n"/>
      <x:c r="X315" s="71" t="n"/>
      <x:c r="Y315" s="71" t="n"/>
      <x:c r="Z315" s="71" t="n"/>
      <x:c r="AA315" s="71" t="n"/>
      <x:c r="AB315" s="71" t="inlineStr">
        <x:is>
          <x:t xml:space="preserve">NO</x:t>
        </x:is>
      </x:c>
      <x:c r="AC315" s="57" t="inlineStr">
        <x:is>
          <x:t xml:space="preserve">V10</x:t>
        </x:is>
      </x:c>
      <x:c r="AD315" s="57" t="n"/>
      <x:c r="AE315" s="79" t="str">
        <x:f>IF(AND(I315&lt;&gt;"",J315&lt;&gt;"",K315&lt;&gt;"",L315="YES",M315&lt;&gt;"",S315&lt;&gt;"",T315&lt;&gt;"",U315&lt;&gt;"",V315&lt;&gt;"",W315&lt;&gt;"",X315&lt;&gt;"",Y315&lt;&gt;""),"COMPLETE","PENDING")</x:f>
        <x:v>PENDING</x:v>
      </x:c>
      <x:c r="AF315" s="79" t="str">
        <x:f>IF(AE315="COMPLETE","YES","NO")</x:f>
        <x:v>NO</x:v>
      </x:c>
      <x:c r="AG315" s="214" t="str">
        <x:f>IF(AF315&lt;&gt;"YES","",(IF(V315="YES",1,0)+IF(W315="YES",1,0))/2)</x:f>
      </x:c>
    </x:row>
    <x:row r="316">
      <x:c r="A316" s="57" t="inlineStr">
        <x:is>
          <x:t xml:space="preserve">C0311</x:t>
        </x:is>
      </x:c>
      <x:c r="B316" s="57" t="inlineStr">
        <x:is>
          <x:t xml:space="preserve">Development</x:t>
        </x:is>
      </x:c>
      <x:c r="C316" s="57" t="inlineStr">
        <x:is>
          <x:t xml:space="preserve">OPEN</x:t>
        </x:is>
      </x:c>
      <x:c r="D316" s="57" t="inlineStr">
        <x:is>
          <x:t xml:space="preserve">ARG-032</x:t>
        </x:is>
      </x:c>
      <x:c r="E316" s="75" t="str">
        <x:f>INDEX('Company Universe'!$B$6:$B$105,MATCH(D316,'Company Universe'!$A$6:$A$105,0))</x:f>
        <x:v>SLB</x:v>
      </x:c>
      <x:c r="F316" s="75" t="str">
        <x:f>INDEX('Company Universe'!$C$6:$C$105,MATCH(D316,'Company Universe'!$A$6:$A$105,0))</x:f>
        <x:v>SLB</x:v>
      </x:c>
      <x:c r="G316" s="75" t="str">
        <x:f>INDEX('Company Universe'!$F$6:$F$105,MATCH(D316,'Company Universe'!$A$6:$A$105,0))</x:f>
        <x:v>Energy</x:v>
      </x:c>
      <x:c r="H316" s="57" t="n">
        <x:v>1</x:v>
      </x:c>
      <x:c r="I316" s="206" t="n"/>
      <x:c r="J316" s="71" t="n"/>
      <x:c r="K316" s="71" t="n"/>
      <x:c r="L316" s="71" t="inlineStr">
        <x:is>
          <x:t xml:space="preserve">NO</x:t>
        </x:is>
      </x:c>
      <x:c r="M316" s="71" t="n"/>
      <x:c r="N316" s="71" t="n"/>
      <x:c r="O316" s="71" t="n"/>
      <x:c r="P316" s="71" t="n"/>
      <x:c r="Q316" s="71" t="n"/>
      <x:c r="R316" s="71" t="n"/>
      <x:c r="S316" s="206" t="n"/>
      <x:c r="T316" s="71" t="n"/>
      <x:c r="U316" s="71" t="n"/>
      <x:c r="V316" s="71" t="n"/>
      <x:c r="W316" s="71" t="n"/>
      <x:c r="X316" s="71" t="n"/>
      <x:c r="Y316" s="71" t="n"/>
      <x:c r="Z316" s="71" t="n"/>
      <x:c r="AA316" s="71" t="n"/>
      <x:c r="AB316" s="71" t="inlineStr">
        <x:is>
          <x:t xml:space="preserve">NO</x:t>
        </x:is>
      </x:c>
      <x:c r="AC316" s="57" t="inlineStr">
        <x:is>
          <x:t xml:space="preserve">V10</x:t>
        </x:is>
      </x:c>
      <x:c r="AD316" s="57" t="n"/>
      <x:c r="AE316" s="79" t="str">
        <x:f>IF(AND(I316&lt;&gt;"",J316&lt;&gt;"",K316&lt;&gt;"",L316="YES",M316&lt;&gt;"",S316&lt;&gt;"",T316&lt;&gt;"",U316&lt;&gt;"",V316&lt;&gt;"",W316&lt;&gt;"",X316&lt;&gt;"",Y316&lt;&gt;""),"COMPLETE","PENDING")</x:f>
        <x:v>PENDING</x:v>
      </x:c>
      <x:c r="AF316" s="79" t="str">
        <x:f>IF(AE316="COMPLETE","YES","NO")</x:f>
        <x:v>NO</x:v>
      </x:c>
      <x:c r="AG316" s="214" t="str">
        <x:f>IF(AF316&lt;&gt;"YES","",(IF(V316="YES",1,0)+IF(W316="YES",1,0))/2)</x:f>
      </x:c>
    </x:row>
    <x:row r="317">
      <x:c r="A317" s="57" t="inlineStr">
        <x:is>
          <x:t xml:space="preserve">C0312</x:t>
        </x:is>
      </x:c>
      <x:c r="B317" s="57" t="inlineStr">
        <x:is>
          <x:t xml:space="preserve">Development</x:t>
        </x:is>
      </x:c>
      <x:c r="C317" s="57" t="inlineStr">
        <x:is>
          <x:t xml:space="preserve">OPEN</x:t>
        </x:is>
      </x:c>
      <x:c r="D317" s="57" t="inlineStr">
        <x:is>
          <x:t xml:space="preserve">ARG-032</x:t>
        </x:is>
      </x:c>
      <x:c r="E317" s="75" t="str">
        <x:f>INDEX('Company Universe'!$B$6:$B$105,MATCH(D317,'Company Universe'!$A$6:$A$105,0))</x:f>
        <x:v>SLB</x:v>
      </x:c>
      <x:c r="F317" s="75" t="str">
        <x:f>INDEX('Company Universe'!$C$6:$C$105,MATCH(D317,'Company Universe'!$A$6:$A$105,0))</x:f>
        <x:v>SLB</x:v>
      </x:c>
      <x:c r="G317" s="75" t="str">
        <x:f>INDEX('Company Universe'!$F$6:$F$105,MATCH(D317,'Company Universe'!$A$6:$A$105,0))</x:f>
        <x:v>Energy</x:v>
      </x:c>
      <x:c r="H317" s="57" t="n">
        <x:v>2</x:v>
      </x:c>
      <x:c r="I317" s="206" t="n"/>
      <x:c r="J317" s="71" t="n"/>
      <x:c r="K317" s="71" t="n"/>
      <x:c r="L317" s="71" t="inlineStr">
        <x:is>
          <x:t xml:space="preserve">NO</x:t>
        </x:is>
      </x:c>
      <x:c r="M317" s="71" t="n"/>
      <x:c r="N317" s="71" t="n"/>
      <x:c r="O317" s="71" t="n"/>
      <x:c r="P317" s="71" t="n"/>
      <x:c r="Q317" s="71" t="n"/>
      <x:c r="R317" s="71" t="n"/>
      <x:c r="S317" s="206" t="n"/>
      <x:c r="T317" s="71" t="n"/>
      <x:c r="U317" s="71" t="n"/>
      <x:c r="V317" s="71" t="n"/>
      <x:c r="W317" s="71" t="n"/>
      <x:c r="X317" s="71" t="n"/>
      <x:c r="Y317" s="71" t="n"/>
      <x:c r="Z317" s="71" t="n"/>
      <x:c r="AA317" s="71" t="n"/>
      <x:c r="AB317" s="71" t="inlineStr">
        <x:is>
          <x:t xml:space="preserve">NO</x:t>
        </x:is>
      </x:c>
      <x:c r="AC317" s="57" t="inlineStr">
        <x:is>
          <x:t xml:space="preserve">V10</x:t>
        </x:is>
      </x:c>
      <x:c r="AD317" s="57" t="n"/>
      <x:c r="AE317" s="79" t="str">
        <x:f>IF(AND(I317&lt;&gt;"",J317&lt;&gt;"",K317&lt;&gt;"",L317="YES",M317&lt;&gt;"",S317&lt;&gt;"",T317&lt;&gt;"",U317&lt;&gt;"",V317&lt;&gt;"",W317&lt;&gt;"",X317&lt;&gt;"",Y317&lt;&gt;""),"COMPLETE","PENDING")</x:f>
        <x:v>PENDING</x:v>
      </x:c>
      <x:c r="AF317" s="79" t="str">
        <x:f>IF(AE317="COMPLETE","YES","NO")</x:f>
        <x:v>NO</x:v>
      </x:c>
      <x:c r="AG317" s="214" t="str">
        <x:f>IF(AF317&lt;&gt;"YES","",(IF(V317="YES",1,0)+IF(W317="YES",1,0))/2)</x:f>
      </x:c>
    </x:row>
    <x:row r="318">
      <x:c r="A318" s="57" t="inlineStr">
        <x:is>
          <x:t xml:space="preserve">C0313</x:t>
        </x:is>
      </x:c>
      <x:c r="B318" s="57" t="inlineStr">
        <x:is>
          <x:t xml:space="preserve">Development</x:t>
        </x:is>
      </x:c>
      <x:c r="C318" s="57" t="inlineStr">
        <x:is>
          <x:t xml:space="preserve">OPEN</x:t>
        </x:is>
      </x:c>
      <x:c r="D318" s="57" t="inlineStr">
        <x:is>
          <x:t xml:space="preserve">ARG-032</x:t>
        </x:is>
      </x:c>
      <x:c r="E318" s="75" t="str">
        <x:f>INDEX('Company Universe'!$B$6:$B$105,MATCH(D318,'Company Universe'!$A$6:$A$105,0))</x:f>
        <x:v>SLB</x:v>
      </x:c>
      <x:c r="F318" s="75" t="str">
        <x:f>INDEX('Company Universe'!$C$6:$C$105,MATCH(D318,'Company Universe'!$A$6:$A$105,0))</x:f>
        <x:v>SLB</x:v>
      </x:c>
      <x:c r="G318" s="75" t="str">
        <x:f>INDEX('Company Universe'!$F$6:$F$105,MATCH(D318,'Company Universe'!$A$6:$A$105,0))</x:f>
        <x:v>Energy</x:v>
      </x:c>
      <x:c r="H318" s="57" t="n">
        <x:v>3</x:v>
      </x:c>
      <x:c r="I318" s="206" t="n"/>
      <x:c r="J318" s="71" t="n"/>
      <x:c r="K318" s="71" t="n"/>
      <x:c r="L318" s="71" t="inlineStr">
        <x:is>
          <x:t xml:space="preserve">NO</x:t>
        </x:is>
      </x:c>
      <x:c r="M318" s="71" t="n"/>
      <x:c r="N318" s="71" t="n"/>
      <x:c r="O318" s="71" t="n"/>
      <x:c r="P318" s="71" t="n"/>
      <x:c r="Q318" s="71" t="n"/>
      <x:c r="R318" s="71" t="n"/>
      <x:c r="S318" s="206" t="n"/>
      <x:c r="T318" s="71" t="n"/>
      <x:c r="U318" s="71" t="n"/>
      <x:c r="V318" s="71" t="n"/>
      <x:c r="W318" s="71" t="n"/>
      <x:c r="X318" s="71" t="n"/>
      <x:c r="Y318" s="71" t="n"/>
      <x:c r="Z318" s="71" t="n"/>
      <x:c r="AA318" s="71" t="n"/>
      <x:c r="AB318" s="71" t="inlineStr">
        <x:is>
          <x:t xml:space="preserve">NO</x:t>
        </x:is>
      </x:c>
      <x:c r="AC318" s="57" t="inlineStr">
        <x:is>
          <x:t xml:space="preserve">V10</x:t>
        </x:is>
      </x:c>
      <x:c r="AD318" s="57" t="n"/>
      <x:c r="AE318" s="79" t="str">
        <x:f>IF(AND(I318&lt;&gt;"",J318&lt;&gt;"",K318&lt;&gt;"",L318="YES",M318&lt;&gt;"",S318&lt;&gt;"",T318&lt;&gt;"",U318&lt;&gt;"",V318&lt;&gt;"",W318&lt;&gt;"",X318&lt;&gt;"",Y318&lt;&gt;""),"COMPLETE","PENDING")</x:f>
        <x:v>PENDING</x:v>
      </x:c>
      <x:c r="AF318" s="79" t="str">
        <x:f>IF(AE318="COMPLETE","YES","NO")</x:f>
        <x:v>NO</x:v>
      </x:c>
      <x:c r="AG318" s="214" t="str">
        <x:f>IF(AF318&lt;&gt;"YES","",(IF(V318="YES",1,0)+IF(W318="YES",1,0))/2)</x:f>
      </x:c>
    </x:row>
    <x:row r="319">
      <x:c r="A319" s="57" t="inlineStr">
        <x:is>
          <x:t xml:space="preserve">C0314</x:t>
        </x:is>
      </x:c>
      <x:c r="B319" s="57" t="inlineStr">
        <x:is>
          <x:t xml:space="preserve">Development</x:t>
        </x:is>
      </x:c>
      <x:c r="C319" s="57" t="inlineStr">
        <x:is>
          <x:t xml:space="preserve">OPEN</x:t>
        </x:is>
      </x:c>
      <x:c r="D319" s="57" t="inlineStr">
        <x:is>
          <x:t xml:space="preserve">ARG-032</x:t>
        </x:is>
      </x:c>
      <x:c r="E319" s="75" t="str">
        <x:f>INDEX('Company Universe'!$B$6:$B$105,MATCH(D319,'Company Universe'!$A$6:$A$105,0))</x:f>
        <x:v>SLB</x:v>
      </x:c>
      <x:c r="F319" s="75" t="str">
        <x:f>INDEX('Company Universe'!$C$6:$C$105,MATCH(D319,'Company Universe'!$A$6:$A$105,0))</x:f>
        <x:v>SLB</x:v>
      </x:c>
      <x:c r="G319" s="75" t="str">
        <x:f>INDEX('Company Universe'!$F$6:$F$105,MATCH(D319,'Company Universe'!$A$6:$A$105,0))</x:f>
        <x:v>Energy</x:v>
      </x:c>
      <x:c r="H319" s="57" t="n">
        <x:v>4</x:v>
      </x:c>
      <x:c r="I319" s="206" t="n"/>
      <x:c r="J319" s="71" t="n"/>
      <x:c r="K319" s="71" t="n"/>
      <x:c r="L319" s="71" t="inlineStr">
        <x:is>
          <x:t xml:space="preserve">NO</x:t>
        </x:is>
      </x:c>
      <x:c r="M319" s="71" t="n"/>
      <x:c r="N319" s="71" t="n"/>
      <x:c r="O319" s="71" t="n"/>
      <x:c r="P319" s="71" t="n"/>
      <x:c r="Q319" s="71" t="n"/>
      <x:c r="R319" s="71" t="n"/>
      <x:c r="S319" s="206" t="n"/>
      <x:c r="T319" s="71" t="n"/>
      <x:c r="U319" s="71" t="n"/>
      <x:c r="V319" s="71" t="n"/>
      <x:c r="W319" s="71" t="n"/>
      <x:c r="X319" s="71" t="n"/>
      <x:c r="Y319" s="71" t="n"/>
      <x:c r="Z319" s="71" t="n"/>
      <x:c r="AA319" s="71" t="n"/>
      <x:c r="AB319" s="71" t="inlineStr">
        <x:is>
          <x:t xml:space="preserve">NO</x:t>
        </x:is>
      </x:c>
      <x:c r="AC319" s="57" t="inlineStr">
        <x:is>
          <x:t xml:space="preserve">V10</x:t>
        </x:is>
      </x:c>
      <x:c r="AD319" s="57" t="n"/>
      <x:c r="AE319" s="79" t="str">
        <x:f>IF(AND(I319&lt;&gt;"",J319&lt;&gt;"",K319&lt;&gt;"",L319="YES",M319&lt;&gt;"",S319&lt;&gt;"",T319&lt;&gt;"",U319&lt;&gt;"",V319&lt;&gt;"",W319&lt;&gt;"",X319&lt;&gt;"",Y319&lt;&gt;""),"COMPLETE","PENDING")</x:f>
        <x:v>PENDING</x:v>
      </x:c>
      <x:c r="AF319" s="79" t="str">
        <x:f>IF(AE319="COMPLETE","YES","NO")</x:f>
        <x:v>NO</x:v>
      </x:c>
      <x:c r="AG319" s="214" t="str">
        <x:f>IF(AF319&lt;&gt;"YES","",(IF(V319="YES",1,0)+IF(W319="YES",1,0))/2)</x:f>
      </x:c>
    </x:row>
    <x:row r="320">
      <x:c r="A320" s="57" t="inlineStr">
        <x:is>
          <x:t xml:space="preserve">C0315</x:t>
        </x:is>
      </x:c>
      <x:c r="B320" s="57" t="inlineStr">
        <x:is>
          <x:t xml:space="preserve">Development</x:t>
        </x:is>
      </x:c>
      <x:c r="C320" s="57" t="inlineStr">
        <x:is>
          <x:t xml:space="preserve">OPEN</x:t>
        </x:is>
      </x:c>
      <x:c r="D320" s="57" t="inlineStr">
        <x:is>
          <x:t xml:space="preserve">ARG-032</x:t>
        </x:is>
      </x:c>
      <x:c r="E320" s="75" t="str">
        <x:f>INDEX('Company Universe'!$B$6:$B$105,MATCH(D320,'Company Universe'!$A$6:$A$105,0))</x:f>
        <x:v>SLB</x:v>
      </x:c>
      <x:c r="F320" s="75" t="str">
        <x:f>INDEX('Company Universe'!$C$6:$C$105,MATCH(D320,'Company Universe'!$A$6:$A$105,0))</x:f>
        <x:v>SLB</x:v>
      </x:c>
      <x:c r="G320" s="75" t="str">
        <x:f>INDEX('Company Universe'!$F$6:$F$105,MATCH(D320,'Company Universe'!$A$6:$A$105,0))</x:f>
        <x:v>Energy</x:v>
      </x:c>
      <x:c r="H320" s="57" t="n">
        <x:v>5</x:v>
      </x:c>
      <x:c r="I320" s="206" t="n"/>
      <x:c r="J320" s="71" t="n"/>
      <x:c r="K320" s="71" t="n"/>
      <x:c r="L320" s="71" t="inlineStr">
        <x:is>
          <x:t xml:space="preserve">NO</x:t>
        </x:is>
      </x:c>
      <x:c r="M320" s="71" t="n"/>
      <x:c r="N320" s="71" t="n"/>
      <x:c r="O320" s="71" t="n"/>
      <x:c r="P320" s="71" t="n"/>
      <x:c r="Q320" s="71" t="n"/>
      <x:c r="R320" s="71" t="n"/>
      <x:c r="S320" s="206" t="n"/>
      <x:c r="T320" s="71" t="n"/>
      <x:c r="U320" s="71" t="n"/>
      <x:c r="V320" s="71" t="n"/>
      <x:c r="W320" s="71" t="n"/>
      <x:c r="X320" s="71" t="n"/>
      <x:c r="Y320" s="71" t="n"/>
      <x:c r="Z320" s="71" t="n"/>
      <x:c r="AA320" s="71" t="n"/>
      <x:c r="AB320" s="71" t="inlineStr">
        <x:is>
          <x:t xml:space="preserve">NO</x:t>
        </x:is>
      </x:c>
      <x:c r="AC320" s="57" t="inlineStr">
        <x:is>
          <x:t xml:space="preserve">V10</x:t>
        </x:is>
      </x:c>
      <x:c r="AD320" s="57" t="n"/>
      <x:c r="AE320" s="79" t="str">
        <x:f>IF(AND(I320&lt;&gt;"",J320&lt;&gt;"",K320&lt;&gt;"",L320="YES",M320&lt;&gt;"",S320&lt;&gt;"",T320&lt;&gt;"",U320&lt;&gt;"",V320&lt;&gt;"",W320&lt;&gt;"",X320&lt;&gt;"",Y320&lt;&gt;""),"COMPLETE","PENDING")</x:f>
        <x:v>PENDING</x:v>
      </x:c>
      <x:c r="AF320" s="79" t="str">
        <x:f>IF(AE320="COMPLETE","YES","NO")</x:f>
        <x:v>NO</x:v>
      </x:c>
      <x:c r="AG320" s="214" t="str">
        <x:f>IF(AF320&lt;&gt;"YES","",(IF(V320="YES",1,0)+IF(W320="YES",1,0))/2)</x:f>
      </x:c>
    </x:row>
    <x:row r="321">
      <x:c r="A321" s="57" t="inlineStr">
        <x:is>
          <x:t xml:space="preserve">C0316</x:t>
        </x:is>
      </x:c>
      <x:c r="B321" s="57" t="inlineStr">
        <x:is>
          <x:t xml:space="preserve">Development</x:t>
        </x:is>
      </x:c>
      <x:c r="C321" s="57" t="inlineStr">
        <x:is>
          <x:t xml:space="preserve">OPEN</x:t>
        </x:is>
      </x:c>
      <x:c r="D321" s="57" t="inlineStr">
        <x:is>
          <x:t xml:space="preserve">ARG-032</x:t>
        </x:is>
      </x:c>
      <x:c r="E321" s="75" t="str">
        <x:f>INDEX('Company Universe'!$B$6:$B$105,MATCH(D321,'Company Universe'!$A$6:$A$105,0))</x:f>
        <x:v>SLB</x:v>
      </x:c>
      <x:c r="F321" s="75" t="str">
        <x:f>INDEX('Company Universe'!$C$6:$C$105,MATCH(D321,'Company Universe'!$A$6:$A$105,0))</x:f>
        <x:v>SLB</x:v>
      </x:c>
      <x:c r="G321" s="75" t="str">
        <x:f>INDEX('Company Universe'!$F$6:$F$105,MATCH(D321,'Company Universe'!$A$6:$A$105,0))</x:f>
        <x:v>Energy</x:v>
      </x:c>
      <x:c r="H321" s="57" t="n">
        <x:v>6</x:v>
      </x:c>
      <x:c r="I321" s="206" t="n"/>
      <x:c r="J321" s="71" t="n"/>
      <x:c r="K321" s="71" t="n"/>
      <x:c r="L321" s="71" t="inlineStr">
        <x:is>
          <x:t xml:space="preserve">NO</x:t>
        </x:is>
      </x:c>
      <x:c r="M321" s="71" t="n"/>
      <x:c r="N321" s="71" t="n"/>
      <x:c r="O321" s="71" t="n"/>
      <x:c r="P321" s="71" t="n"/>
      <x:c r="Q321" s="71" t="n"/>
      <x:c r="R321" s="71" t="n"/>
      <x:c r="S321" s="206" t="n"/>
      <x:c r="T321" s="71" t="n"/>
      <x:c r="U321" s="71" t="n"/>
      <x:c r="V321" s="71" t="n"/>
      <x:c r="W321" s="71" t="n"/>
      <x:c r="X321" s="71" t="n"/>
      <x:c r="Y321" s="71" t="n"/>
      <x:c r="Z321" s="71" t="n"/>
      <x:c r="AA321" s="71" t="n"/>
      <x:c r="AB321" s="71" t="inlineStr">
        <x:is>
          <x:t xml:space="preserve">NO</x:t>
        </x:is>
      </x:c>
      <x:c r="AC321" s="57" t="inlineStr">
        <x:is>
          <x:t xml:space="preserve">V10</x:t>
        </x:is>
      </x:c>
      <x:c r="AD321" s="57" t="n"/>
      <x:c r="AE321" s="79" t="str">
        <x:f>IF(AND(I321&lt;&gt;"",J321&lt;&gt;"",K321&lt;&gt;"",L321="YES",M321&lt;&gt;"",S321&lt;&gt;"",T321&lt;&gt;"",U321&lt;&gt;"",V321&lt;&gt;"",W321&lt;&gt;"",X321&lt;&gt;"",Y321&lt;&gt;""),"COMPLETE","PENDING")</x:f>
        <x:v>PENDING</x:v>
      </x:c>
      <x:c r="AF321" s="79" t="str">
        <x:f>IF(AE321="COMPLETE","YES","NO")</x:f>
        <x:v>NO</x:v>
      </x:c>
      <x:c r="AG321" s="214" t="str">
        <x:f>IF(AF321&lt;&gt;"YES","",(IF(V321="YES",1,0)+IF(W321="YES",1,0))/2)</x:f>
      </x:c>
    </x:row>
    <x:row r="322">
      <x:c r="A322" s="57" t="inlineStr">
        <x:is>
          <x:t xml:space="preserve">C0317</x:t>
        </x:is>
      </x:c>
      <x:c r="B322" s="57" t="inlineStr">
        <x:is>
          <x:t xml:space="preserve">Development</x:t>
        </x:is>
      </x:c>
      <x:c r="C322" s="57" t="inlineStr">
        <x:is>
          <x:t xml:space="preserve">OPEN</x:t>
        </x:is>
      </x:c>
      <x:c r="D322" s="57" t="inlineStr">
        <x:is>
          <x:t xml:space="preserve">ARG-032</x:t>
        </x:is>
      </x:c>
      <x:c r="E322" s="75" t="str">
        <x:f>INDEX('Company Universe'!$B$6:$B$105,MATCH(D322,'Company Universe'!$A$6:$A$105,0))</x:f>
        <x:v>SLB</x:v>
      </x:c>
      <x:c r="F322" s="75" t="str">
        <x:f>INDEX('Company Universe'!$C$6:$C$105,MATCH(D322,'Company Universe'!$A$6:$A$105,0))</x:f>
        <x:v>SLB</x:v>
      </x:c>
      <x:c r="G322" s="75" t="str">
        <x:f>INDEX('Company Universe'!$F$6:$F$105,MATCH(D322,'Company Universe'!$A$6:$A$105,0))</x:f>
        <x:v>Energy</x:v>
      </x:c>
      <x:c r="H322" s="57" t="n">
        <x:v>7</x:v>
      </x:c>
      <x:c r="I322" s="206" t="n"/>
      <x:c r="J322" s="71" t="n"/>
      <x:c r="K322" s="71" t="n"/>
      <x:c r="L322" s="71" t="inlineStr">
        <x:is>
          <x:t xml:space="preserve">NO</x:t>
        </x:is>
      </x:c>
      <x:c r="M322" s="71" t="n"/>
      <x:c r="N322" s="71" t="n"/>
      <x:c r="O322" s="71" t="n"/>
      <x:c r="P322" s="71" t="n"/>
      <x:c r="Q322" s="71" t="n"/>
      <x:c r="R322" s="71" t="n"/>
      <x:c r="S322" s="206" t="n"/>
      <x:c r="T322" s="71" t="n"/>
      <x:c r="U322" s="71" t="n"/>
      <x:c r="V322" s="71" t="n"/>
      <x:c r="W322" s="71" t="n"/>
      <x:c r="X322" s="71" t="n"/>
      <x:c r="Y322" s="71" t="n"/>
      <x:c r="Z322" s="71" t="n"/>
      <x:c r="AA322" s="71" t="n"/>
      <x:c r="AB322" s="71" t="inlineStr">
        <x:is>
          <x:t xml:space="preserve">NO</x:t>
        </x:is>
      </x:c>
      <x:c r="AC322" s="57" t="inlineStr">
        <x:is>
          <x:t xml:space="preserve">V10</x:t>
        </x:is>
      </x:c>
      <x:c r="AD322" s="57" t="n"/>
      <x:c r="AE322" s="79" t="str">
        <x:f>IF(AND(I322&lt;&gt;"",J322&lt;&gt;"",K322&lt;&gt;"",L322="YES",M322&lt;&gt;"",S322&lt;&gt;"",T322&lt;&gt;"",U322&lt;&gt;"",V322&lt;&gt;"",W322&lt;&gt;"",X322&lt;&gt;"",Y322&lt;&gt;""),"COMPLETE","PENDING")</x:f>
        <x:v>PENDING</x:v>
      </x:c>
      <x:c r="AF322" s="79" t="str">
        <x:f>IF(AE322="COMPLETE","YES","NO")</x:f>
        <x:v>NO</x:v>
      </x:c>
      <x:c r="AG322" s="214" t="str">
        <x:f>IF(AF322&lt;&gt;"YES","",(IF(V322="YES",1,0)+IF(W322="YES",1,0))/2)</x:f>
      </x:c>
    </x:row>
    <x:row r="323">
      <x:c r="A323" s="57" t="inlineStr">
        <x:is>
          <x:t xml:space="preserve">C0318</x:t>
        </x:is>
      </x:c>
      <x:c r="B323" s="57" t="inlineStr">
        <x:is>
          <x:t xml:space="preserve">Development</x:t>
        </x:is>
      </x:c>
      <x:c r="C323" s="57" t="inlineStr">
        <x:is>
          <x:t xml:space="preserve">OPEN</x:t>
        </x:is>
      </x:c>
      <x:c r="D323" s="57" t="inlineStr">
        <x:is>
          <x:t xml:space="preserve">ARG-032</x:t>
        </x:is>
      </x:c>
      <x:c r="E323" s="75" t="str">
        <x:f>INDEX('Company Universe'!$B$6:$B$105,MATCH(D323,'Company Universe'!$A$6:$A$105,0))</x:f>
        <x:v>SLB</x:v>
      </x:c>
      <x:c r="F323" s="75" t="str">
        <x:f>INDEX('Company Universe'!$C$6:$C$105,MATCH(D323,'Company Universe'!$A$6:$A$105,0))</x:f>
        <x:v>SLB</x:v>
      </x:c>
      <x:c r="G323" s="75" t="str">
        <x:f>INDEX('Company Universe'!$F$6:$F$105,MATCH(D323,'Company Universe'!$A$6:$A$105,0))</x:f>
        <x:v>Energy</x:v>
      </x:c>
      <x:c r="H323" s="57" t="n">
        <x:v>8</x:v>
      </x:c>
      <x:c r="I323" s="206" t="n"/>
      <x:c r="J323" s="71" t="n"/>
      <x:c r="K323" s="71" t="n"/>
      <x:c r="L323" s="71" t="inlineStr">
        <x:is>
          <x:t xml:space="preserve">NO</x:t>
        </x:is>
      </x:c>
      <x:c r="M323" s="71" t="n"/>
      <x:c r="N323" s="71" t="n"/>
      <x:c r="O323" s="71" t="n"/>
      <x:c r="P323" s="71" t="n"/>
      <x:c r="Q323" s="71" t="n"/>
      <x:c r="R323" s="71" t="n"/>
      <x:c r="S323" s="206" t="n"/>
      <x:c r="T323" s="71" t="n"/>
      <x:c r="U323" s="71" t="n"/>
      <x:c r="V323" s="71" t="n"/>
      <x:c r="W323" s="71" t="n"/>
      <x:c r="X323" s="71" t="n"/>
      <x:c r="Y323" s="71" t="n"/>
      <x:c r="Z323" s="71" t="n"/>
      <x:c r="AA323" s="71" t="n"/>
      <x:c r="AB323" s="71" t="inlineStr">
        <x:is>
          <x:t xml:space="preserve">NO</x:t>
        </x:is>
      </x:c>
      <x:c r="AC323" s="57" t="inlineStr">
        <x:is>
          <x:t xml:space="preserve">V10</x:t>
        </x:is>
      </x:c>
      <x:c r="AD323" s="57" t="n"/>
      <x:c r="AE323" s="79" t="str">
        <x:f>IF(AND(I323&lt;&gt;"",J323&lt;&gt;"",K323&lt;&gt;"",L323="YES",M323&lt;&gt;"",S323&lt;&gt;"",T323&lt;&gt;"",U323&lt;&gt;"",V323&lt;&gt;"",W323&lt;&gt;"",X323&lt;&gt;"",Y323&lt;&gt;""),"COMPLETE","PENDING")</x:f>
        <x:v>PENDING</x:v>
      </x:c>
      <x:c r="AF323" s="79" t="str">
        <x:f>IF(AE323="COMPLETE","YES","NO")</x:f>
        <x:v>NO</x:v>
      </x:c>
      <x:c r="AG323" s="214" t="str">
        <x:f>IF(AF323&lt;&gt;"YES","",(IF(V323="YES",1,0)+IF(W323="YES",1,0))/2)</x:f>
      </x:c>
    </x:row>
    <x:row r="324">
      <x:c r="A324" s="57" t="inlineStr">
        <x:is>
          <x:t xml:space="preserve">C0319</x:t>
        </x:is>
      </x:c>
      <x:c r="B324" s="57" t="inlineStr">
        <x:is>
          <x:t xml:space="preserve">Development</x:t>
        </x:is>
      </x:c>
      <x:c r="C324" s="57" t="inlineStr">
        <x:is>
          <x:t xml:space="preserve">OPEN</x:t>
        </x:is>
      </x:c>
      <x:c r="D324" s="57" t="inlineStr">
        <x:is>
          <x:t xml:space="preserve">ARG-032</x:t>
        </x:is>
      </x:c>
      <x:c r="E324" s="75" t="str">
        <x:f>INDEX('Company Universe'!$B$6:$B$105,MATCH(D324,'Company Universe'!$A$6:$A$105,0))</x:f>
        <x:v>SLB</x:v>
      </x:c>
      <x:c r="F324" s="75" t="str">
        <x:f>INDEX('Company Universe'!$C$6:$C$105,MATCH(D324,'Company Universe'!$A$6:$A$105,0))</x:f>
        <x:v>SLB</x:v>
      </x:c>
      <x:c r="G324" s="75" t="str">
        <x:f>INDEX('Company Universe'!$F$6:$F$105,MATCH(D324,'Company Universe'!$A$6:$A$105,0))</x:f>
        <x:v>Energy</x:v>
      </x:c>
      <x:c r="H324" s="57" t="n">
        <x:v>9</x:v>
      </x:c>
      <x:c r="I324" s="206" t="n"/>
      <x:c r="J324" s="71" t="n"/>
      <x:c r="K324" s="71" t="n"/>
      <x:c r="L324" s="71" t="inlineStr">
        <x:is>
          <x:t xml:space="preserve">NO</x:t>
        </x:is>
      </x:c>
      <x:c r="M324" s="71" t="n"/>
      <x:c r="N324" s="71" t="n"/>
      <x:c r="O324" s="71" t="n"/>
      <x:c r="P324" s="71" t="n"/>
      <x:c r="Q324" s="71" t="n"/>
      <x:c r="R324" s="71" t="n"/>
      <x:c r="S324" s="206" t="n"/>
      <x:c r="T324" s="71" t="n"/>
      <x:c r="U324" s="71" t="n"/>
      <x:c r="V324" s="71" t="n"/>
      <x:c r="W324" s="71" t="n"/>
      <x:c r="X324" s="71" t="n"/>
      <x:c r="Y324" s="71" t="n"/>
      <x:c r="Z324" s="71" t="n"/>
      <x:c r="AA324" s="71" t="n"/>
      <x:c r="AB324" s="71" t="inlineStr">
        <x:is>
          <x:t xml:space="preserve">NO</x:t>
        </x:is>
      </x:c>
      <x:c r="AC324" s="57" t="inlineStr">
        <x:is>
          <x:t xml:space="preserve">V10</x:t>
        </x:is>
      </x:c>
      <x:c r="AD324" s="57" t="n"/>
      <x:c r="AE324" s="79" t="str">
        <x:f>IF(AND(I324&lt;&gt;"",J324&lt;&gt;"",K324&lt;&gt;"",L324="YES",M324&lt;&gt;"",S324&lt;&gt;"",T324&lt;&gt;"",U324&lt;&gt;"",V324&lt;&gt;"",W324&lt;&gt;"",X324&lt;&gt;"",Y324&lt;&gt;""),"COMPLETE","PENDING")</x:f>
        <x:v>PENDING</x:v>
      </x:c>
      <x:c r="AF324" s="79" t="str">
        <x:f>IF(AE324="COMPLETE","YES","NO")</x:f>
        <x:v>NO</x:v>
      </x:c>
      <x:c r="AG324" s="214" t="str">
        <x:f>IF(AF324&lt;&gt;"YES","",(IF(V324="YES",1,0)+IF(W324="YES",1,0))/2)</x:f>
      </x:c>
    </x:row>
    <x:row r="325">
      <x:c r="A325" s="57" t="inlineStr">
        <x:is>
          <x:t xml:space="preserve">C0320</x:t>
        </x:is>
      </x:c>
      <x:c r="B325" s="57" t="inlineStr">
        <x:is>
          <x:t xml:space="preserve">Development</x:t>
        </x:is>
      </x:c>
      <x:c r="C325" s="57" t="inlineStr">
        <x:is>
          <x:t xml:space="preserve">OPEN</x:t>
        </x:is>
      </x:c>
      <x:c r="D325" s="57" t="inlineStr">
        <x:is>
          <x:t xml:space="preserve">ARG-032</x:t>
        </x:is>
      </x:c>
      <x:c r="E325" s="75" t="str">
        <x:f>INDEX('Company Universe'!$B$6:$B$105,MATCH(D325,'Company Universe'!$A$6:$A$105,0))</x:f>
        <x:v>SLB</x:v>
      </x:c>
      <x:c r="F325" s="75" t="str">
        <x:f>INDEX('Company Universe'!$C$6:$C$105,MATCH(D325,'Company Universe'!$A$6:$A$105,0))</x:f>
        <x:v>SLB</x:v>
      </x:c>
      <x:c r="G325" s="75" t="str">
        <x:f>INDEX('Company Universe'!$F$6:$F$105,MATCH(D325,'Company Universe'!$A$6:$A$105,0))</x:f>
        <x:v>Energy</x:v>
      </x:c>
      <x:c r="H325" s="57" t="n">
        <x:v>10</x:v>
      </x:c>
      <x:c r="I325" s="206" t="n"/>
      <x:c r="J325" s="71" t="n"/>
      <x:c r="K325" s="71" t="n"/>
      <x:c r="L325" s="71" t="inlineStr">
        <x:is>
          <x:t xml:space="preserve">NO</x:t>
        </x:is>
      </x:c>
      <x:c r="M325" s="71" t="n"/>
      <x:c r="N325" s="71" t="n"/>
      <x:c r="O325" s="71" t="n"/>
      <x:c r="P325" s="71" t="n"/>
      <x:c r="Q325" s="71" t="n"/>
      <x:c r="R325" s="71" t="n"/>
      <x:c r="S325" s="206" t="n"/>
      <x:c r="T325" s="71" t="n"/>
      <x:c r="U325" s="71" t="n"/>
      <x:c r="V325" s="71" t="n"/>
      <x:c r="W325" s="71" t="n"/>
      <x:c r="X325" s="71" t="n"/>
      <x:c r="Y325" s="71" t="n"/>
      <x:c r="Z325" s="71" t="n"/>
      <x:c r="AA325" s="71" t="n"/>
      <x:c r="AB325" s="71" t="inlineStr">
        <x:is>
          <x:t xml:space="preserve">NO</x:t>
        </x:is>
      </x:c>
      <x:c r="AC325" s="57" t="inlineStr">
        <x:is>
          <x:t xml:space="preserve">V10</x:t>
        </x:is>
      </x:c>
      <x:c r="AD325" s="57" t="n"/>
      <x:c r="AE325" s="79" t="str">
        <x:f>IF(AND(I325&lt;&gt;"",J325&lt;&gt;"",K325&lt;&gt;"",L325="YES",M325&lt;&gt;"",S325&lt;&gt;"",T325&lt;&gt;"",U325&lt;&gt;"",V325&lt;&gt;"",W325&lt;&gt;"",X325&lt;&gt;"",Y325&lt;&gt;""),"COMPLETE","PENDING")</x:f>
        <x:v>PENDING</x:v>
      </x:c>
      <x:c r="AF325" s="79" t="str">
        <x:f>IF(AE325="COMPLETE","YES","NO")</x:f>
        <x:v>NO</x:v>
      </x:c>
      <x:c r="AG325" s="214" t="str">
        <x:f>IF(AF325&lt;&gt;"YES","",(IF(V325="YES",1,0)+IF(W325="YES",1,0))/2)</x:f>
      </x:c>
    </x:row>
    <x:row r="326">
      <x:c r="A326" s="57" t="inlineStr">
        <x:is>
          <x:t xml:space="preserve">C0321</x:t>
        </x:is>
      </x:c>
      <x:c r="B326" s="57" t="inlineStr">
        <x:is>
          <x:t xml:space="preserve">Development</x:t>
        </x:is>
      </x:c>
      <x:c r="C326" s="57" t="inlineStr">
        <x:is>
          <x:t xml:space="preserve">OPEN</x:t>
        </x:is>
      </x:c>
      <x:c r="D326" s="57" t="inlineStr">
        <x:is>
          <x:t xml:space="preserve">ARG-033</x:t>
        </x:is>
      </x:c>
      <x:c r="E326" s="75" t="str">
        <x:f>INDEX('Company Universe'!$B$6:$B$105,MATCH(D326,'Company Universe'!$A$6:$A$105,0))</x:f>
        <x:v>Fidelity National Information Services</x:v>
      </x:c>
      <x:c r="F326" s="75" t="str">
        <x:f>INDEX('Company Universe'!$C$6:$C$105,MATCH(D326,'Company Universe'!$A$6:$A$105,0))</x:f>
        <x:v>FIS</x:v>
      </x:c>
      <x:c r="G326" s="75" t="str">
        <x:f>INDEX('Company Universe'!$F$6:$F$105,MATCH(D326,'Company Universe'!$A$6:$A$105,0))</x:f>
        <x:v>Software &amp; Payments</x:v>
      </x:c>
      <x:c r="H326" s="57" t="n">
        <x:v>1</x:v>
      </x:c>
      <x:c r="I326" s="206" t="n"/>
      <x:c r="J326" s="71" t="n"/>
      <x:c r="K326" s="71" t="n"/>
      <x:c r="L326" s="71" t="inlineStr">
        <x:is>
          <x:t xml:space="preserve">NO</x:t>
        </x:is>
      </x:c>
      <x:c r="M326" s="71" t="n"/>
      <x:c r="N326" s="71" t="n"/>
      <x:c r="O326" s="71" t="n"/>
      <x:c r="P326" s="71" t="n"/>
      <x:c r="Q326" s="71" t="n"/>
      <x:c r="R326" s="71" t="n"/>
      <x:c r="S326" s="206" t="n"/>
      <x:c r="T326" s="71" t="n"/>
      <x:c r="U326" s="71" t="n"/>
      <x:c r="V326" s="71" t="n"/>
      <x:c r="W326" s="71" t="n"/>
      <x:c r="X326" s="71" t="n"/>
      <x:c r="Y326" s="71" t="n"/>
      <x:c r="Z326" s="71" t="n"/>
      <x:c r="AA326" s="71" t="n"/>
      <x:c r="AB326" s="71" t="inlineStr">
        <x:is>
          <x:t xml:space="preserve">NO</x:t>
        </x:is>
      </x:c>
      <x:c r="AC326" s="57" t="inlineStr">
        <x:is>
          <x:t xml:space="preserve">V10</x:t>
        </x:is>
      </x:c>
      <x:c r="AD326" s="57" t="n"/>
      <x:c r="AE326" s="79" t="str">
        <x:f>IF(AND(I326&lt;&gt;"",J326&lt;&gt;"",K326&lt;&gt;"",L326="YES",M326&lt;&gt;"",S326&lt;&gt;"",T326&lt;&gt;"",U326&lt;&gt;"",V326&lt;&gt;"",W326&lt;&gt;"",X326&lt;&gt;"",Y326&lt;&gt;""),"COMPLETE","PENDING")</x:f>
        <x:v>PENDING</x:v>
      </x:c>
      <x:c r="AF326" s="79" t="str">
        <x:f>IF(AE326="COMPLETE","YES","NO")</x:f>
        <x:v>NO</x:v>
      </x:c>
      <x:c r="AG326" s="214" t="str">
        <x:f>IF(AF326&lt;&gt;"YES","",(IF(V326="YES",1,0)+IF(W326="YES",1,0))/2)</x:f>
      </x:c>
    </x:row>
    <x:row r="327">
      <x:c r="A327" s="57" t="inlineStr">
        <x:is>
          <x:t xml:space="preserve">C0322</x:t>
        </x:is>
      </x:c>
      <x:c r="B327" s="57" t="inlineStr">
        <x:is>
          <x:t xml:space="preserve">Development</x:t>
        </x:is>
      </x:c>
      <x:c r="C327" s="57" t="inlineStr">
        <x:is>
          <x:t xml:space="preserve">OPEN</x:t>
        </x:is>
      </x:c>
      <x:c r="D327" s="57" t="inlineStr">
        <x:is>
          <x:t xml:space="preserve">ARG-033</x:t>
        </x:is>
      </x:c>
      <x:c r="E327" s="75" t="str">
        <x:f>INDEX('Company Universe'!$B$6:$B$105,MATCH(D327,'Company Universe'!$A$6:$A$105,0))</x:f>
        <x:v>Fidelity National Information Services</x:v>
      </x:c>
      <x:c r="F327" s="75" t="str">
        <x:f>INDEX('Company Universe'!$C$6:$C$105,MATCH(D327,'Company Universe'!$A$6:$A$105,0))</x:f>
        <x:v>FIS</x:v>
      </x:c>
      <x:c r="G327" s="75" t="str">
        <x:f>INDEX('Company Universe'!$F$6:$F$105,MATCH(D327,'Company Universe'!$A$6:$A$105,0))</x:f>
        <x:v>Software &amp; Payments</x:v>
      </x:c>
      <x:c r="H327" s="57" t="n">
        <x:v>2</x:v>
      </x:c>
      <x:c r="I327" s="206" t="n"/>
      <x:c r="J327" s="71" t="n"/>
      <x:c r="K327" s="71" t="n"/>
      <x:c r="L327" s="71" t="inlineStr">
        <x:is>
          <x:t xml:space="preserve">NO</x:t>
        </x:is>
      </x:c>
      <x:c r="M327" s="71" t="n"/>
      <x:c r="N327" s="71" t="n"/>
      <x:c r="O327" s="71" t="n"/>
      <x:c r="P327" s="71" t="n"/>
      <x:c r="Q327" s="71" t="n"/>
      <x:c r="R327" s="71" t="n"/>
      <x:c r="S327" s="206" t="n"/>
      <x:c r="T327" s="71" t="n"/>
      <x:c r="U327" s="71" t="n"/>
      <x:c r="V327" s="71" t="n"/>
      <x:c r="W327" s="71" t="n"/>
      <x:c r="X327" s="71" t="n"/>
      <x:c r="Y327" s="71" t="n"/>
      <x:c r="Z327" s="71" t="n"/>
      <x:c r="AA327" s="71" t="n"/>
      <x:c r="AB327" s="71" t="inlineStr">
        <x:is>
          <x:t xml:space="preserve">NO</x:t>
        </x:is>
      </x:c>
      <x:c r="AC327" s="57" t="inlineStr">
        <x:is>
          <x:t xml:space="preserve">V10</x:t>
        </x:is>
      </x:c>
      <x:c r="AD327" s="57" t="n"/>
      <x:c r="AE327" s="79" t="str">
        <x:f>IF(AND(I327&lt;&gt;"",J327&lt;&gt;"",K327&lt;&gt;"",L327="YES",M327&lt;&gt;"",S327&lt;&gt;"",T327&lt;&gt;"",U327&lt;&gt;"",V327&lt;&gt;"",W327&lt;&gt;"",X327&lt;&gt;"",Y327&lt;&gt;""),"COMPLETE","PENDING")</x:f>
        <x:v>PENDING</x:v>
      </x:c>
      <x:c r="AF327" s="79" t="str">
        <x:f>IF(AE327="COMPLETE","YES","NO")</x:f>
        <x:v>NO</x:v>
      </x:c>
      <x:c r="AG327" s="214" t="str">
        <x:f>IF(AF327&lt;&gt;"YES","",(IF(V327="YES",1,0)+IF(W327="YES",1,0))/2)</x:f>
      </x:c>
    </x:row>
    <x:row r="328">
      <x:c r="A328" s="57" t="inlineStr">
        <x:is>
          <x:t xml:space="preserve">C0323</x:t>
        </x:is>
      </x:c>
      <x:c r="B328" s="57" t="inlineStr">
        <x:is>
          <x:t xml:space="preserve">Development</x:t>
        </x:is>
      </x:c>
      <x:c r="C328" s="57" t="inlineStr">
        <x:is>
          <x:t xml:space="preserve">OPEN</x:t>
        </x:is>
      </x:c>
      <x:c r="D328" s="57" t="inlineStr">
        <x:is>
          <x:t xml:space="preserve">ARG-033</x:t>
        </x:is>
      </x:c>
      <x:c r="E328" s="75" t="str">
        <x:f>INDEX('Company Universe'!$B$6:$B$105,MATCH(D328,'Company Universe'!$A$6:$A$105,0))</x:f>
        <x:v>Fidelity National Information Services</x:v>
      </x:c>
      <x:c r="F328" s="75" t="str">
        <x:f>INDEX('Company Universe'!$C$6:$C$105,MATCH(D328,'Company Universe'!$A$6:$A$105,0))</x:f>
        <x:v>FIS</x:v>
      </x:c>
      <x:c r="G328" s="75" t="str">
        <x:f>INDEX('Company Universe'!$F$6:$F$105,MATCH(D328,'Company Universe'!$A$6:$A$105,0))</x:f>
        <x:v>Software &amp; Payments</x:v>
      </x:c>
      <x:c r="H328" s="57" t="n">
        <x:v>3</x:v>
      </x:c>
      <x:c r="I328" s="206" t="n"/>
      <x:c r="J328" s="71" t="n"/>
      <x:c r="K328" s="71" t="n"/>
      <x:c r="L328" s="71" t="inlineStr">
        <x:is>
          <x:t xml:space="preserve">NO</x:t>
        </x:is>
      </x:c>
      <x:c r="M328" s="71" t="n"/>
      <x:c r="N328" s="71" t="n"/>
      <x:c r="O328" s="71" t="n"/>
      <x:c r="P328" s="71" t="n"/>
      <x:c r="Q328" s="71" t="n"/>
      <x:c r="R328" s="71" t="n"/>
      <x:c r="S328" s="206" t="n"/>
      <x:c r="T328" s="71" t="n"/>
      <x:c r="U328" s="71" t="n"/>
      <x:c r="V328" s="71" t="n"/>
      <x:c r="W328" s="71" t="n"/>
      <x:c r="X328" s="71" t="n"/>
      <x:c r="Y328" s="71" t="n"/>
      <x:c r="Z328" s="71" t="n"/>
      <x:c r="AA328" s="71" t="n"/>
      <x:c r="AB328" s="71" t="inlineStr">
        <x:is>
          <x:t xml:space="preserve">NO</x:t>
        </x:is>
      </x:c>
      <x:c r="AC328" s="57" t="inlineStr">
        <x:is>
          <x:t xml:space="preserve">V10</x:t>
        </x:is>
      </x:c>
      <x:c r="AD328" s="57" t="n"/>
      <x:c r="AE328" s="79" t="str">
        <x:f>IF(AND(I328&lt;&gt;"",J328&lt;&gt;"",K328&lt;&gt;"",L328="YES",M328&lt;&gt;"",S328&lt;&gt;"",T328&lt;&gt;"",U328&lt;&gt;"",V328&lt;&gt;"",W328&lt;&gt;"",X328&lt;&gt;"",Y328&lt;&gt;""),"COMPLETE","PENDING")</x:f>
        <x:v>PENDING</x:v>
      </x:c>
      <x:c r="AF328" s="79" t="str">
        <x:f>IF(AE328="COMPLETE","YES","NO")</x:f>
        <x:v>NO</x:v>
      </x:c>
      <x:c r="AG328" s="214" t="str">
        <x:f>IF(AF328&lt;&gt;"YES","",(IF(V328="YES",1,0)+IF(W328="YES",1,0))/2)</x:f>
      </x:c>
    </x:row>
    <x:row r="329">
      <x:c r="A329" s="57" t="inlineStr">
        <x:is>
          <x:t xml:space="preserve">C0324</x:t>
        </x:is>
      </x:c>
      <x:c r="B329" s="57" t="inlineStr">
        <x:is>
          <x:t xml:space="preserve">Development</x:t>
        </x:is>
      </x:c>
      <x:c r="C329" s="57" t="inlineStr">
        <x:is>
          <x:t xml:space="preserve">OPEN</x:t>
        </x:is>
      </x:c>
      <x:c r="D329" s="57" t="inlineStr">
        <x:is>
          <x:t xml:space="preserve">ARG-033</x:t>
        </x:is>
      </x:c>
      <x:c r="E329" s="75" t="str">
        <x:f>INDEX('Company Universe'!$B$6:$B$105,MATCH(D329,'Company Universe'!$A$6:$A$105,0))</x:f>
        <x:v>Fidelity National Information Services</x:v>
      </x:c>
      <x:c r="F329" s="75" t="str">
        <x:f>INDEX('Company Universe'!$C$6:$C$105,MATCH(D329,'Company Universe'!$A$6:$A$105,0))</x:f>
        <x:v>FIS</x:v>
      </x:c>
      <x:c r="G329" s="75" t="str">
        <x:f>INDEX('Company Universe'!$F$6:$F$105,MATCH(D329,'Company Universe'!$A$6:$A$105,0))</x:f>
        <x:v>Software &amp; Payments</x:v>
      </x:c>
      <x:c r="H329" s="57" t="n">
        <x:v>4</x:v>
      </x:c>
      <x:c r="I329" s="206" t="n"/>
      <x:c r="J329" s="71" t="n"/>
      <x:c r="K329" s="71" t="n"/>
      <x:c r="L329" s="71" t="inlineStr">
        <x:is>
          <x:t xml:space="preserve">NO</x:t>
        </x:is>
      </x:c>
      <x:c r="M329" s="71" t="n"/>
      <x:c r="N329" s="71" t="n"/>
      <x:c r="O329" s="71" t="n"/>
      <x:c r="P329" s="71" t="n"/>
      <x:c r="Q329" s="71" t="n"/>
      <x:c r="R329" s="71" t="n"/>
      <x:c r="S329" s="206" t="n"/>
      <x:c r="T329" s="71" t="n"/>
      <x:c r="U329" s="71" t="n"/>
      <x:c r="V329" s="71" t="n"/>
      <x:c r="W329" s="71" t="n"/>
      <x:c r="X329" s="71" t="n"/>
      <x:c r="Y329" s="71" t="n"/>
      <x:c r="Z329" s="71" t="n"/>
      <x:c r="AA329" s="71" t="n"/>
      <x:c r="AB329" s="71" t="inlineStr">
        <x:is>
          <x:t xml:space="preserve">NO</x:t>
        </x:is>
      </x:c>
      <x:c r="AC329" s="57" t="inlineStr">
        <x:is>
          <x:t xml:space="preserve">V10</x:t>
        </x:is>
      </x:c>
      <x:c r="AD329" s="57" t="n"/>
      <x:c r="AE329" s="79" t="str">
        <x:f>IF(AND(I329&lt;&gt;"",J329&lt;&gt;"",K329&lt;&gt;"",L329="YES",M329&lt;&gt;"",S329&lt;&gt;"",T329&lt;&gt;"",U329&lt;&gt;"",V329&lt;&gt;"",W329&lt;&gt;"",X329&lt;&gt;"",Y329&lt;&gt;""),"COMPLETE","PENDING")</x:f>
        <x:v>PENDING</x:v>
      </x:c>
      <x:c r="AF329" s="79" t="str">
        <x:f>IF(AE329="COMPLETE","YES","NO")</x:f>
        <x:v>NO</x:v>
      </x:c>
      <x:c r="AG329" s="214" t="str">
        <x:f>IF(AF329&lt;&gt;"YES","",(IF(V329="YES",1,0)+IF(W329="YES",1,0))/2)</x:f>
      </x:c>
    </x:row>
    <x:row r="330">
      <x:c r="A330" s="57" t="inlineStr">
        <x:is>
          <x:t xml:space="preserve">C0325</x:t>
        </x:is>
      </x:c>
      <x:c r="B330" s="57" t="inlineStr">
        <x:is>
          <x:t xml:space="preserve">Development</x:t>
        </x:is>
      </x:c>
      <x:c r="C330" s="57" t="inlineStr">
        <x:is>
          <x:t xml:space="preserve">OPEN</x:t>
        </x:is>
      </x:c>
      <x:c r="D330" s="57" t="inlineStr">
        <x:is>
          <x:t xml:space="preserve">ARG-033</x:t>
        </x:is>
      </x:c>
      <x:c r="E330" s="75" t="str">
        <x:f>INDEX('Company Universe'!$B$6:$B$105,MATCH(D330,'Company Universe'!$A$6:$A$105,0))</x:f>
        <x:v>Fidelity National Information Services</x:v>
      </x:c>
      <x:c r="F330" s="75" t="str">
        <x:f>INDEX('Company Universe'!$C$6:$C$105,MATCH(D330,'Company Universe'!$A$6:$A$105,0))</x:f>
        <x:v>FIS</x:v>
      </x:c>
      <x:c r="G330" s="75" t="str">
        <x:f>INDEX('Company Universe'!$F$6:$F$105,MATCH(D330,'Company Universe'!$A$6:$A$105,0))</x:f>
        <x:v>Software &amp; Payments</x:v>
      </x:c>
      <x:c r="H330" s="57" t="n">
        <x:v>5</x:v>
      </x:c>
      <x:c r="I330" s="206" t="n"/>
      <x:c r="J330" s="71" t="n"/>
      <x:c r="K330" s="71" t="n"/>
      <x:c r="L330" s="71" t="inlineStr">
        <x:is>
          <x:t xml:space="preserve">NO</x:t>
        </x:is>
      </x:c>
      <x:c r="M330" s="71" t="n"/>
      <x:c r="N330" s="71" t="n"/>
      <x:c r="O330" s="71" t="n"/>
      <x:c r="P330" s="71" t="n"/>
      <x:c r="Q330" s="71" t="n"/>
      <x:c r="R330" s="71" t="n"/>
      <x:c r="S330" s="206" t="n"/>
      <x:c r="T330" s="71" t="n"/>
      <x:c r="U330" s="71" t="n"/>
      <x:c r="V330" s="71" t="n"/>
      <x:c r="W330" s="71" t="n"/>
      <x:c r="X330" s="71" t="n"/>
      <x:c r="Y330" s="71" t="n"/>
      <x:c r="Z330" s="71" t="n"/>
      <x:c r="AA330" s="71" t="n"/>
      <x:c r="AB330" s="71" t="inlineStr">
        <x:is>
          <x:t xml:space="preserve">NO</x:t>
        </x:is>
      </x:c>
      <x:c r="AC330" s="57" t="inlineStr">
        <x:is>
          <x:t xml:space="preserve">V10</x:t>
        </x:is>
      </x:c>
      <x:c r="AD330" s="57" t="n"/>
      <x:c r="AE330" s="79" t="str">
        <x:f>IF(AND(I330&lt;&gt;"",J330&lt;&gt;"",K330&lt;&gt;"",L330="YES",M330&lt;&gt;"",S330&lt;&gt;"",T330&lt;&gt;"",U330&lt;&gt;"",V330&lt;&gt;"",W330&lt;&gt;"",X330&lt;&gt;"",Y330&lt;&gt;""),"COMPLETE","PENDING")</x:f>
        <x:v>PENDING</x:v>
      </x:c>
      <x:c r="AF330" s="79" t="str">
        <x:f>IF(AE330="COMPLETE","YES","NO")</x:f>
        <x:v>NO</x:v>
      </x:c>
      <x:c r="AG330" s="214" t="str">
        <x:f>IF(AF330&lt;&gt;"YES","",(IF(V330="YES",1,0)+IF(W330="YES",1,0))/2)</x:f>
      </x:c>
    </x:row>
    <x:row r="331">
      <x:c r="A331" s="57" t="inlineStr">
        <x:is>
          <x:t xml:space="preserve">C0326</x:t>
        </x:is>
      </x:c>
      <x:c r="B331" s="57" t="inlineStr">
        <x:is>
          <x:t xml:space="preserve">Development</x:t>
        </x:is>
      </x:c>
      <x:c r="C331" s="57" t="inlineStr">
        <x:is>
          <x:t xml:space="preserve">OPEN</x:t>
        </x:is>
      </x:c>
      <x:c r="D331" s="57" t="inlineStr">
        <x:is>
          <x:t xml:space="preserve">ARG-033</x:t>
        </x:is>
      </x:c>
      <x:c r="E331" s="75" t="str">
        <x:f>INDEX('Company Universe'!$B$6:$B$105,MATCH(D331,'Company Universe'!$A$6:$A$105,0))</x:f>
        <x:v>Fidelity National Information Services</x:v>
      </x:c>
      <x:c r="F331" s="75" t="str">
        <x:f>INDEX('Company Universe'!$C$6:$C$105,MATCH(D331,'Company Universe'!$A$6:$A$105,0))</x:f>
        <x:v>FIS</x:v>
      </x:c>
      <x:c r="G331" s="75" t="str">
        <x:f>INDEX('Company Universe'!$F$6:$F$105,MATCH(D331,'Company Universe'!$A$6:$A$105,0))</x:f>
        <x:v>Software &amp; Payments</x:v>
      </x:c>
      <x:c r="H331" s="57" t="n">
        <x:v>6</x:v>
      </x:c>
      <x:c r="I331" s="206" t="n"/>
      <x:c r="J331" s="71" t="n"/>
      <x:c r="K331" s="71" t="n"/>
      <x:c r="L331" s="71" t="inlineStr">
        <x:is>
          <x:t xml:space="preserve">NO</x:t>
        </x:is>
      </x:c>
      <x:c r="M331" s="71" t="n"/>
      <x:c r="N331" s="71" t="n"/>
      <x:c r="O331" s="71" t="n"/>
      <x:c r="P331" s="71" t="n"/>
      <x:c r="Q331" s="71" t="n"/>
      <x:c r="R331" s="71" t="n"/>
      <x:c r="S331" s="206" t="n"/>
      <x:c r="T331" s="71" t="n"/>
      <x:c r="U331" s="71" t="n"/>
      <x:c r="V331" s="71" t="n"/>
      <x:c r="W331" s="71" t="n"/>
      <x:c r="X331" s="71" t="n"/>
      <x:c r="Y331" s="71" t="n"/>
      <x:c r="Z331" s="71" t="n"/>
      <x:c r="AA331" s="71" t="n"/>
      <x:c r="AB331" s="71" t="inlineStr">
        <x:is>
          <x:t xml:space="preserve">NO</x:t>
        </x:is>
      </x:c>
      <x:c r="AC331" s="57" t="inlineStr">
        <x:is>
          <x:t xml:space="preserve">V10</x:t>
        </x:is>
      </x:c>
      <x:c r="AD331" s="57" t="n"/>
      <x:c r="AE331" s="79" t="str">
        <x:f>IF(AND(I331&lt;&gt;"",J331&lt;&gt;"",K331&lt;&gt;"",L331="YES",M331&lt;&gt;"",S331&lt;&gt;"",T331&lt;&gt;"",U331&lt;&gt;"",V331&lt;&gt;"",W331&lt;&gt;"",X331&lt;&gt;"",Y331&lt;&gt;""),"COMPLETE","PENDING")</x:f>
        <x:v>PENDING</x:v>
      </x:c>
      <x:c r="AF331" s="79" t="str">
        <x:f>IF(AE331="COMPLETE","YES","NO")</x:f>
        <x:v>NO</x:v>
      </x:c>
      <x:c r="AG331" s="214" t="str">
        <x:f>IF(AF331&lt;&gt;"YES","",(IF(V331="YES",1,0)+IF(W331="YES",1,0))/2)</x:f>
      </x:c>
    </x:row>
    <x:row r="332">
      <x:c r="A332" s="57" t="inlineStr">
        <x:is>
          <x:t xml:space="preserve">C0327</x:t>
        </x:is>
      </x:c>
      <x:c r="B332" s="57" t="inlineStr">
        <x:is>
          <x:t xml:space="preserve">Development</x:t>
        </x:is>
      </x:c>
      <x:c r="C332" s="57" t="inlineStr">
        <x:is>
          <x:t xml:space="preserve">OPEN</x:t>
        </x:is>
      </x:c>
      <x:c r="D332" s="57" t="inlineStr">
        <x:is>
          <x:t xml:space="preserve">ARG-033</x:t>
        </x:is>
      </x:c>
      <x:c r="E332" s="75" t="str">
        <x:f>INDEX('Company Universe'!$B$6:$B$105,MATCH(D332,'Company Universe'!$A$6:$A$105,0))</x:f>
        <x:v>Fidelity National Information Services</x:v>
      </x:c>
      <x:c r="F332" s="75" t="str">
        <x:f>INDEX('Company Universe'!$C$6:$C$105,MATCH(D332,'Company Universe'!$A$6:$A$105,0))</x:f>
        <x:v>FIS</x:v>
      </x:c>
      <x:c r="G332" s="75" t="str">
        <x:f>INDEX('Company Universe'!$F$6:$F$105,MATCH(D332,'Company Universe'!$A$6:$A$105,0))</x:f>
        <x:v>Software &amp; Payments</x:v>
      </x:c>
      <x:c r="H332" s="57" t="n">
        <x:v>7</x:v>
      </x:c>
      <x:c r="I332" s="206" t="n"/>
      <x:c r="J332" s="71" t="n"/>
      <x:c r="K332" s="71" t="n"/>
      <x:c r="L332" s="71" t="inlineStr">
        <x:is>
          <x:t xml:space="preserve">NO</x:t>
        </x:is>
      </x:c>
      <x:c r="M332" s="71" t="n"/>
      <x:c r="N332" s="71" t="n"/>
      <x:c r="O332" s="71" t="n"/>
      <x:c r="P332" s="71" t="n"/>
      <x:c r="Q332" s="71" t="n"/>
      <x:c r="R332" s="71" t="n"/>
      <x:c r="S332" s="206" t="n"/>
      <x:c r="T332" s="71" t="n"/>
      <x:c r="U332" s="71" t="n"/>
      <x:c r="V332" s="71" t="n"/>
      <x:c r="W332" s="71" t="n"/>
      <x:c r="X332" s="71" t="n"/>
      <x:c r="Y332" s="71" t="n"/>
      <x:c r="Z332" s="71" t="n"/>
      <x:c r="AA332" s="71" t="n"/>
      <x:c r="AB332" s="71" t="inlineStr">
        <x:is>
          <x:t xml:space="preserve">NO</x:t>
        </x:is>
      </x:c>
      <x:c r="AC332" s="57" t="inlineStr">
        <x:is>
          <x:t xml:space="preserve">V10</x:t>
        </x:is>
      </x:c>
      <x:c r="AD332" s="57" t="n"/>
      <x:c r="AE332" s="79" t="str">
        <x:f>IF(AND(I332&lt;&gt;"",J332&lt;&gt;"",K332&lt;&gt;"",L332="YES",M332&lt;&gt;"",S332&lt;&gt;"",T332&lt;&gt;"",U332&lt;&gt;"",V332&lt;&gt;"",W332&lt;&gt;"",X332&lt;&gt;"",Y332&lt;&gt;""),"COMPLETE","PENDING")</x:f>
        <x:v>PENDING</x:v>
      </x:c>
      <x:c r="AF332" s="79" t="str">
        <x:f>IF(AE332="COMPLETE","YES","NO")</x:f>
        <x:v>NO</x:v>
      </x:c>
      <x:c r="AG332" s="214" t="str">
        <x:f>IF(AF332&lt;&gt;"YES","",(IF(V332="YES",1,0)+IF(W332="YES",1,0))/2)</x:f>
      </x:c>
    </x:row>
    <x:row r="333">
      <x:c r="A333" s="57" t="inlineStr">
        <x:is>
          <x:t xml:space="preserve">C0328</x:t>
        </x:is>
      </x:c>
      <x:c r="B333" s="57" t="inlineStr">
        <x:is>
          <x:t xml:space="preserve">Development</x:t>
        </x:is>
      </x:c>
      <x:c r="C333" s="57" t="inlineStr">
        <x:is>
          <x:t xml:space="preserve">OPEN</x:t>
        </x:is>
      </x:c>
      <x:c r="D333" s="57" t="inlineStr">
        <x:is>
          <x:t xml:space="preserve">ARG-033</x:t>
        </x:is>
      </x:c>
      <x:c r="E333" s="75" t="str">
        <x:f>INDEX('Company Universe'!$B$6:$B$105,MATCH(D333,'Company Universe'!$A$6:$A$105,0))</x:f>
        <x:v>Fidelity National Information Services</x:v>
      </x:c>
      <x:c r="F333" s="75" t="str">
        <x:f>INDEX('Company Universe'!$C$6:$C$105,MATCH(D333,'Company Universe'!$A$6:$A$105,0))</x:f>
        <x:v>FIS</x:v>
      </x:c>
      <x:c r="G333" s="75" t="str">
        <x:f>INDEX('Company Universe'!$F$6:$F$105,MATCH(D333,'Company Universe'!$A$6:$A$105,0))</x:f>
        <x:v>Software &amp; Payments</x:v>
      </x:c>
      <x:c r="H333" s="57" t="n">
        <x:v>8</x:v>
      </x:c>
      <x:c r="I333" s="206" t="n"/>
      <x:c r="J333" s="71" t="n"/>
      <x:c r="K333" s="71" t="n"/>
      <x:c r="L333" s="71" t="inlineStr">
        <x:is>
          <x:t xml:space="preserve">NO</x:t>
        </x:is>
      </x:c>
      <x:c r="M333" s="71" t="n"/>
      <x:c r="N333" s="71" t="n"/>
      <x:c r="O333" s="71" t="n"/>
      <x:c r="P333" s="71" t="n"/>
      <x:c r="Q333" s="71" t="n"/>
      <x:c r="R333" s="71" t="n"/>
      <x:c r="S333" s="206" t="n"/>
      <x:c r="T333" s="71" t="n"/>
      <x:c r="U333" s="71" t="n"/>
      <x:c r="V333" s="71" t="n"/>
      <x:c r="W333" s="71" t="n"/>
      <x:c r="X333" s="71" t="n"/>
      <x:c r="Y333" s="71" t="n"/>
      <x:c r="Z333" s="71" t="n"/>
      <x:c r="AA333" s="71" t="n"/>
      <x:c r="AB333" s="71" t="inlineStr">
        <x:is>
          <x:t xml:space="preserve">NO</x:t>
        </x:is>
      </x:c>
      <x:c r="AC333" s="57" t="inlineStr">
        <x:is>
          <x:t xml:space="preserve">V10</x:t>
        </x:is>
      </x:c>
      <x:c r="AD333" s="57" t="n"/>
      <x:c r="AE333" s="79" t="str">
        <x:f>IF(AND(I333&lt;&gt;"",J333&lt;&gt;"",K333&lt;&gt;"",L333="YES",M333&lt;&gt;"",S333&lt;&gt;"",T333&lt;&gt;"",U333&lt;&gt;"",V333&lt;&gt;"",W333&lt;&gt;"",X333&lt;&gt;"",Y333&lt;&gt;""),"COMPLETE","PENDING")</x:f>
        <x:v>PENDING</x:v>
      </x:c>
      <x:c r="AF333" s="79" t="str">
        <x:f>IF(AE333="COMPLETE","YES","NO")</x:f>
        <x:v>NO</x:v>
      </x:c>
      <x:c r="AG333" s="214" t="str">
        <x:f>IF(AF333&lt;&gt;"YES","",(IF(V333="YES",1,0)+IF(W333="YES",1,0))/2)</x:f>
      </x:c>
    </x:row>
    <x:row r="334">
      <x:c r="A334" s="57" t="inlineStr">
        <x:is>
          <x:t xml:space="preserve">C0329</x:t>
        </x:is>
      </x:c>
      <x:c r="B334" s="57" t="inlineStr">
        <x:is>
          <x:t xml:space="preserve">Development</x:t>
        </x:is>
      </x:c>
      <x:c r="C334" s="57" t="inlineStr">
        <x:is>
          <x:t xml:space="preserve">OPEN</x:t>
        </x:is>
      </x:c>
      <x:c r="D334" s="57" t="inlineStr">
        <x:is>
          <x:t xml:space="preserve">ARG-033</x:t>
        </x:is>
      </x:c>
      <x:c r="E334" s="75" t="str">
        <x:f>INDEX('Company Universe'!$B$6:$B$105,MATCH(D334,'Company Universe'!$A$6:$A$105,0))</x:f>
        <x:v>Fidelity National Information Services</x:v>
      </x:c>
      <x:c r="F334" s="75" t="str">
        <x:f>INDEX('Company Universe'!$C$6:$C$105,MATCH(D334,'Company Universe'!$A$6:$A$105,0))</x:f>
        <x:v>FIS</x:v>
      </x:c>
      <x:c r="G334" s="75" t="str">
        <x:f>INDEX('Company Universe'!$F$6:$F$105,MATCH(D334,'Company Universe'!$A$6:$A$105,0))</x:f>
        <x:v>Software &amp; Payments</x:v>
      </x:c>
      <x:c r="H334" s="57" t="n">
        <x:v>9</x:v>
      </x:c>
      <x:c r="I334" s="206" t="n"/>
      <x:c r="J334" s="71" t="n"/>
      <x:c r="K334" s="71" t="n"/>
      <x:c r="L334" s="71" t="inlineStr">
        <x:is>
          <x:t xml:space="preserve">NO</x:t>
        </x:is>
      </x:c>
      <x:c r="M334" s="71" t="n"/>
      <x:c r="N334" s="71" t="n"/>
      <x:c r="O334" s="71" t="n"/>
      <x:c r="P334" s="71" t="n"/>
      <x:c r="Q334" s="71" t="n"/>
      <x:c r="R334" s="71" t="n"/>
      <x:c r="S334" s="206" t="n"/>
      <x:c r="T334" s="71" t="n"/>
      <x:c r="U334" s="71" t="n"/>
      <x:c r="V334" s="71" t="n"/>
      <x:c r="W334" s="71" t="n"/>
      <x:c r="X334" s="71" t="n"/>
      <x:c r="Y334" s="71" t="n"/>
      <x:c r="Z334" s="71" t="n"/>
      <x:c r="AA334" s="71" t="n"/>
      <x:c r="AB334" s="71" t="inlineStr">
        <x:is>
          <x:t xml:space="preserve">NO</x:t>
        </x:is>
      </x:c>
      <x:c r="AC334" s="57" t="inlineStr">
        <x:is>
          <x:t xml:space="preserve">V10</x:t>
        </x:is>
      </x:c>
      <x:c r="AD334" s="57" t="n"/>
      <x:c r="AE334" s="79" t="str">
        <x:f>IF(AND(I334&lt;&gt;"",J334&lt;&gt;"",K334&lt;&gt;"",L334="YES",M334&lt;&gt;"",S334&lt;&gt;"",T334&lt;&gt;"",U334&lt;&gt;"",V334&lt;&gt;"",W334&lt;&gt;"",X334&lt;&gt;"",Y334&lt;&gt;""),"COMPLETE","PENDING")</x:f>
        <x:v>PENDING</x:v>
      </x:c>
      <x:c r="AF334" s="79" t="str">
        <x:f>IF(AE334="COMPLETE","YES","NO")</x:f>
        <x:v>NO</x:v>
      </x:c>
      <x:c r="AG334" s="214" t="str">
        <x:f>IF(AF334&lt;&gt;"YES","",(IF(V334="YES",1,0)+IF(W334="YES",1,0))/2)</x:f>
      </x:c>
    </x:row>
    <x:row r="335">
      <x:c r="A335" s="57" t="inlineStr">
        <x:is>
          <x:t xml:space="preserve">C0330</x:t>
        </x:is>
      </x:c>
      <x:c r="B335" s="57" t="inlineStr">
        <x:is>
          <x:t xml:space="preserve">Development</x:t>
        </x:is>
      </x:c>
      <x:c r="C335" s="57" t="inlineStr">
        <x:is>
          <x:t xml:space="preserve">OPEN</x:t>
        </x:is>
      </x:c>
      <x:c r="D335" s="57" t="inlineStr">
        <x:is>
          <x:t xml:space="preserve">ARG-033</x:t>
        </x:is>
      </x:c>
      <x:c r="E335" s="75" t="str">
        <x:f>INDEX('Company Universe'!$B$6:$B$105,MATCH(D335,'Company Universe'!$A$6:$A$105,0))</x:f>
        <x:v>Fidelity National Information Services</x:v>
      </x:c>
      <x:c r="F335" s="75" t="str">
        <x:f>INDEX('Company Universe'!$C$6:$C$105,MATCH(D335,'Company Universe'!$A$6:$A$105,0))</x:f>
        <x:v>FIS</x:v>
      </x:c>
      <x:c r="G335" s="75" t="str">
        <x:f>INDEX('Company Universe'!$F$6:$F$105,MATCH(D335,'Company Universe'!$A$6:$A$105,0))</x:f>
        <x:v>Software &amp; Payments</x:v>
      </x:c>
      <x:c r="H335" s="57" t="n">
        <x:v>10</x:v>
      </x:c>
      <x:c r="I335" s="206" t="n"/>
      <x:c r="J335" s="71" t="n"/>
      <x:c r="K335" s="71" t="n"/>
      <x:c r="L335" s="71" t="inlineStr">
        <x:is>
          <x:t xml:space="preserve">NO</x:t>
        </x:is>
      </x:c>
      <x:c r="M335" s="71" t="n"/>
      <x:c r="N335" s="71" t="n"/>
      <x:c r="O335" s="71" t="n"/>
      <x:c r="P335" s="71" t="n"/>
      <x:c r="Q335" s="71" t="n"/>
      <x:c r="R335" s="71" t="n"/>
      <x:c r="S335" s="206" t="n"/>
      <x:c r="T335" s="71" t="n"/>
      <x:c r="U335" s="71" t="n"/>
      <x:c r="V335" s="71" t="n"/>
      <x:c r="W335" s="71" t="n"/>
      <x:c r="X335" s="71" t="n"/>
      <x:c r="Y335" s="71" t="n"/>
      <x:c r="Z335" s="71" t="n"/>
      <x:c r="AA335" s="71" t="n"/>
      <x:c r="AB335" s="71" t="inlineStr">
        <x:is>
          <x:t xml:space="preserve">NO</x:t>
        </x:is>
      </x:c>
      <x:c r="AC335" s="57" t="inlineStr">
        <x:is>
          <x:t xml:space="preserve">V10</x:t>
        </x:is>
      </x:c>
      <x:c r="AD335" s="57" t="n"/>
      <x:c r="AE335" s="79" t="str">
        <x:f>IF(AND(I335&lt;&gt;"",J335&lt;&gt;"",K335&lt;&gt;"",L335="YES",M335&lt;&gt;"",S335&lt;&gt;"",T335&lt;&gt;"",U335&lt;&gt;"",V335&lt;&gt;"",W335&lt;&gt;"",X335&lt;&gt;"",Y335&lt;&gt;""),"COMPLETE","PENDING")</x:f>
        <x:v>PENDING</x:v>
      </x:c>
      <x:c r="AF335" s="79" t="str">
        <x:f>IF(AE335="COMPLETE","YES","NO")</x:f>
        <x:v>NO</x:v>
      </x:c>
      <x:c r="AG335" s="214" t="str">
        <x:f>IF(AF335&lt;&gt;"YES","",(IF(V335="YES",1,0)+IF(W335="YES",1,0))/2)</x:f>
      </x:c>
    </x:row>
    <x:row r="336">
      <x:c r="A336" s="57" t="inlineStr">
        <x:is>
          <x:t xml:space="preserve">C0331</x:t>
        </x:is>
      </x:c>
      <x:c r="B336" s="57" t="inlineStr">
        <x:is>
          <x:t xml:space="preserve">Development</x:t>
        </x:is>
      </x:c>
      <x:c r="C336" s="57" t="inlineStr">
        <x:is>
          <x:t xml:space="preserve">OPEN</x:t>
        </x:is>
      </x:c>
      <x:c r="D336" s="57" t="inlineStr">
        <x:is>
          <x:t xml:space="preserve">ARG-034</x:t>
        </x:is>
      </x:c>
      <x:c r="E336" s="75" t="str">
        <x:f>INDEX('Company Universe'!$B$6:$B$105,MATCH(D336,'Company Universe'!$A$6:$A$105,0))</x:f>
        <x:v>Fiserv</x:v>
      </x:c>
      <x:c r="F336" s="75" t="str">
        <x:f>INDEX('Company Universe'!$C$6:$C$105,MATCH(D336,'Company Universe'!$A$6:$A$105,0))</x:f>
        <x:v>FISV</x:v>
      </x:c>
      <x:c r="G336" s="75" t="str">
        <x:f>INDEX('Company Universe'!$F$6:$F$105,MATCH(D336,'Company Universe'!$A$6:$A$105,0))</x:f>
        <x:v>Software &amp; Payments</x:v>
      </x:c>
      <x:c r="H336" s="57" t="n">
        <x:v>1</x:v>
      </x:c>
      <x:c r="I336" s="206" t="n"/>
      <x:c r="J336" s="71" t="n"/>
      <x:c r="K336" s="71" t="n"/>
      <x:c r="L336" s="71" t="inlineStr">
        <x:is>
          <x:t xml:space="preserve">NO</x:t>
        </x:is>
      </x:c>
      <x:c r="M336" s="71" t="n"/>
      <x:c r="N336" s="71" t="n"/>
      <x:c r="O336" s="71" t="n"/>
      <x:c r="P336" s="71" t="n"/>
      <x:c r="Q336" s="71" t="n"/>
      <x:c r="R336" s="71" t="n"/>
      <x:c r="S336" s="206" t="n"/>
      <x:c r="T336" s="71" t="n"/>
      <x:c r="U336" s="71" t="n"/>
      <x:c r="V336" s="71" t="n"/>
      <x:c r="W336" s="71" t="n"/>
      <x:c r="X336" s="71" t="n"/>
      <x:c r="Y336" s="71" t="n"/>
      <x:c r="Z336" s="71" t="n"/>
      <x:c r="AA336" s="71" t="n"/>
      <x:c r="AB336" s="71" t="inlineStr">
        <x:is>
          <x:t xml:space="preserve">NO</x:t>
        </x:is>
      </x:c>
      <x:c r="AC336" s="57" t="inlineStr">
        <x:is>
          <x:t xml:space="preserve">V10</x:t>
        </x:is>
      </x:c>
      <x:c r="AD336" s="57" t="n"/>
      <x:c r="AE336" s="79" t="str">
        <x:f>IF(AND(I336&lt;&gt;"",J336&lt;&gt;"",K336&lt;&gt;"",L336="YES",M336&lt;&gt;"",S336&lt;&gt;"",T336&lt;&gt;"",U336&lt;&gt;"",V336&lt;&gt;"",W336&lt;&gt;"",X336&lt;&gt;"",Y336&lt;&gt;""),"COMPLETE","PENDING")</x:f>
        <x:v>PENDING</x:v>
      </x:c>
      <x:c r="AF336" s="79" t="str">
        <x:f>IF(AE336="COMPLETE","YES","NO")</x:f>
        <x:v>NO</x:v>
      </x:c>
      <x:c r="AG336" s="214" t="str">
        <x:f>IF(AF336&lt;&gt;"YES","",(IF(V336="YES",1,0)+IF(W336="YES",1,0))/2)</x:f>
      </x:c>
    </x:row>
    <x:row r="337">
      <x:c r="A337" s="57" t="inlineStr">
        <x:is>
          <x:t xml:space="preserve">C0332</x:t>
        </x:is>
      </x:c>
      <x:c r="B337" s="57" t="inlineStr">
        <x:is>
          <x:t xml:space="preserve">Development</x:t>
        </x:is>
      </x:c>
      <x:c r="C337" s="57" t="inlineStr">
        <x:is>
          <x:t xml:space="preserve">OPEN</x:t>
        </x:is>
      </x:c>
      <x:c r="D337" s="57" t="inlineStr">
        <x:is>
          <x:t xml:space="preserve">ARG-034</x:t>
        </x:is>
      </x:c>
      <x:c r="E337" s="75" t="str">
        <x:f>INDEX('Company Universe'!$B$6:$B$105,MATCH(D337,'Company Universe'!$A$6:$A$105,0))</x:f>
        <x:v>Fiserv</x:v>
      </x:c>
      <x:c r="F337" s="75" t="str">
        <x:f>INDEX('Company Universe'!$C$6:$C$105,MATCH(D337,'Company Universe'!$A$6:$A$105,0))</x:f>
        <x:v>FISV</x:v>
      </x:c>
      <x:c r="G337" s="75" t="str">
        <x:f>INDEX('Company Universe'!$F$6:$F$105,MATCH(D337,'Company Universe'!$A$6:$A$105,0))</x:f>
        <x:v>Software &amp; Payments</x:v>
      </x:c>
      <x:c r="H337" s="57" t="n">
        <x:v>2</x:v>
      </x:c>
      <x:c r="I337" s="206" t="n"/>
      <x:c r="J337" s="71" t="n"/>
      <x:c r="K337" s="71" t="n"/>
      <x:c r="L337" s="71" t="inlineStr">
        <x:is>
          <x:t xml:space="preserve">NO</x:t>
        </x:is>
      </x:c>
      <x:c r="M337" s="71" t="n"/>
      <x:c r="N337" s="71" t="n"/>
      <x:c r="O337" s="71" t="n"/>
      <x:c r="P337" s="71" t="n"/>
      <x:c r="Q337" s="71" t="n"/>
      <x:c r="R337" s="71" t="n"/>
      <x:c r="S337" s="206" t="n"/>
      <x:c r="T337" s="71" t="n"/>
      <x:c r="U337" s="71" t="n"/>
      <x:c r="V337" s="71" t="n"/>
      <x:c r="W337" s="71" t="n"/>
      <x:c r="X337" s="71" t="n"/>
      <x:c r="Y337" s="71" t="n"/>
      <x:c r="Z337" s="71" t="n"/>
      <x:c r="AA337" s="71" t="n"/>
      <x:c r="AB337" s="71" t="inlineStr">
        <x:is>
          <x:t xml:space="preserve">NO</x:t>
        </x:is>
      </x:c>
      <x:c r="AC337" s="57" t="inlineStr">
        <x:is>
          <x:t xml:space="preserve">V10</x:t>
        </x:is>
      </x:c>
      <x:c r="AD337" s="57" t="n"/>
      <x:c r="AE337" s="79" t="str">
        <x:f>IF(AND(I337&lt;&gt;"",J337&lt;&gt;"",K337&lt;&gt;"",L337="YES",M337&lt;&gt;"",S337&lt;&gt;"",T337&lt;&gt;"",U337&lt;&gt;"",V337&lt;&gt;"",W337&lt;&gt;"",X337&lt;&gt;"",Y337&lt;&gt;""),"COMPLETE","PENDING")</x:f>
        <x:v>PENDING</x:v>
      </x:c>
      <x:c r="AF337" s="79" t="str">
        <x:f>IF(AE337="COMPLETE","YES","NO")</x:f>
        <x:v>NO</x:v>
      </x:c>
      <x:c r="AG337" s="214" t="str">
        <x:f>IF(AF337&lt;&gt;"YES","",(IF(V337="YES",1,0)+IF(W337="YES",1,0))/2)</x:f>
      </x:c>
    </x:row>
    <x:row r="338">
      <x:c r="A338" s="57" t="inlineStr">
        <x:is>
          <x:t xml:space="preserve">C0333</x:t>
        </x:is>
      </x:c>
      <x:c r="B338" s="57" t="inlineStr">
        <x:is>
          <x:t xml:space="preserve">Development</x:t>
        </x:is>
      </x:c>
      <x:c r="C338" s="57" t="inlineStr">
        <x:is>
          <x:t xml:space="preserve">OPEN</x:t>
        </x:is>
      </x:c>
      <x:c r="D338" s="57" t="inlineStr">
        <x:is>
          <x:t xml:space="preserve">ARG-034</x:t>
        </x:is>
      </x:c>
      <x:c r="E338" s="75" t="str">
        <x:f>INDEX('Company Universe'!$B$6:$B$105,MATCH(D338,'Company Universe'!$A$6:$A$105,0))</x:f>
        <x:v>Fiserv</x:v>
      </x:c>
      <x:c r="F338" s="75" t="str">
        <x:f>INDEX('Company Universe'!$C$6:$C$105,MATCH(D338,'Company Universe'!$A$6:$A$105,0))</x:f>
        <x:v>FISV</x:v>
      </x:c>
      <x:c r="G338" s="75" t="str">
        <x:f>INDEX('Company Universe'!$F$6:$F$105,MATCH(D338,'Company Universe'!$A$6:$A$105,0))</x:f>
        <x:v>Software &amp; Payments</x:v>
      </x:c>
      <x:c r="H338" s="57" t="n">
        <x:v>3</x:v>
      </x:c>
      <x:c r="I338" s="206" t="n"/>
      <x:c r="J338" s="71" t="n"/>
      <x:c r="K338" s="71" t="n"/>
      <x:c r="L338" s="71" t="inlineStr">
        <x:is>
          <x:t xml:space="preserve">NO</x:t>
        </x:is>
      </x:c>
      <x:c r="M338" s="71" t="n"/>
      <x:c r="N338" s="71" t="n"/>
      <x:c r="O338" s="71" t="n"/>
      <x:c r="P338" s="71" t="n"/>
      <x:c r="Q338" s="71" t="n"/>
      <x:c r="R338" s="71" t="n"/>
      <x:c r="S338" s="206" t="n"/>
      <x:c r="T338" s="71" t="n"/>
      <x:c r="U338" s="71" t="n"/>
      <x:c r="V338" s="71" t="n"/>
      <x:c r="W338" s="71" t="n"/>
      <x:c r="X338" s="71" t="n"/>
      <x:c r="Y338" s="71" t="n"/>
      <x:c r="Z338" s="71" t="n"/>
      <x:c r="AA338" s="71" t="n"/>
      <x:c r="AB338" s="71" t="inlineStr">
        <x:is>
          <x:t xml:space="preserve">NO</x:t>
        </x:is>
      </x:c>
      <x:c r="AC338" s="57" t="inlineStr">
        <x:is>
          <x:t xml:space="preserve">V10</x:t>
        </x:is>
      </x:c>
      <x:c r="AD338" s="57" t="n"/>
      <x:c r="AE338" s="79" t="str">
        <x:f>IF(AND(I338&lt;&gt;"",J338&lt;&gt;"",K338&lt;&gt;"",L338="YES",M338&lt;&gt;"",S338&lt;&gt;"",T338&lt;&gt;"",U338&lt;&gt;"",V338&lt;&gt;"",W338&lt;&gt;"",X338&lt;&gt;"",Y338&lt;&gt;""),"COMPLETE","PENDING")</x:f>
        <x:v>PENDING</x:v>
      </x:c>
      <x:c r="AF338" s="79" t="str">
        <x:f>IF(AE338="COMPLETE","YES","NO")</x:f>
        <x:v>NO</x:v>
      </x:c>
      <x:c r="AG338" s="214" t="str">
        <x:f>IF(AF338&lt;&gt;"YES","",(IF(V338="YES",1,0)+IF(W338="YES",1,0))/2)</x:f>
      </x:c>
    </x:row>
    <x:row r="339">
      <x:c r="A339" s="57" t="inlineStr">
        <x:is>
          <x:t xml:space="preserve">C0334</x:t>
        </x:is>
      </x:c>
      <x:c r="B339" s="57" t="inlineStr">
        <x:is>
          <x:t xml:space="preserve">Development</x:t>
        </x:is>
      </x:c>
      <x:c r="C339" s="57" t="inlineStr">
        <x:is>
          <x:t xml:space="preserve">OPEN</x:t>
        </x:is>
      </x:c>
      <x:c r="D339" s="57" t="inlineStr">
        <x:is>
          <x:t xml:space="preserve">ARG-034</x:t>
        </x:is>
      </x:c>
      <x:c r="E339" s="75" t="str">
        <x:f>INDEX('Company Universe'!$B$6:$B$105,MATCH(D339,'Company Universe'!$A$6:$A$105,0))</x:f>
        <x:v>Fiserv</x:v>
      </x:c>
      <x:c r="F339" s="75" t="str">
        <x:f>INDEX('Company Universe'!$C$6:$C$105,MATCH(D339,'Company Universe'!$A$6:$A$105,0))</x:f>
        <x:v>FISV</x:v>
      </x:c>
      <x:c r="G339" s="75" t="str">
        <x:f>INDEX('Company Universe'!$F$6:$F$105,MATCH(D339,'Company Universe'!$A$6:$A$105,0))</x:f>
        <x:v>Software &amp; Payments</x:v>
      </x:c>
      <x:c r="H339" s="57" t="n">
        <x:v>4</x:v>
      </x:c>
      <x:c r="I339" s="206" t="n"/>
      <x:c r="J339" s="71" t="n"/>
      <x:c r="K339" s="71" t="n"/>
      <x:c r="L339" s="71" t="inlineStr">
        <x:is>
          <x:t xml:space="preserve">NO</x:t>
        </x:is>
      </x:c>
      <x:c r="M339" s="71" t="n"/>
      <x:c r="N339" s="71" t="n"/>
      <x:c r="O339" s="71" t="n"/>
      <x:c r="P339" s="71" t="n"/>
      <x:c r="Q339" s="71" t="n"/>
      <x:c r="R339" s="71" t="n"/>
      <x:c r="S339" s="206" t="n"/>
      <x:c r="T339" s="71" t="n"/>
      <x:c r="U339" s="71" t="n"/>
      <x:c r="V339" s="71" t="n"/>
      <x:c r="W339" s="71" t="n"/>
      <x:c r="X339" s="71" t="n"/>
      <x:c r="Y339" s="71" t="n"/>
      <x:c r="Z339" s="71" t="n"/>
      <x:c r="AA339" s="71" t="n"/>
      <x:c r="AB339" s="71" t="inlineStr">
        <x:is>
          <x:t xml:space="preserve">NO</x:t>
        </x:is>
      </x:c>
      <x:c r="AC339" s="57" t="inlineStr">
        <x:is>
          <x:t xml:space="preserve">V10</x:t>
        </x:is>
      </x:c>
      <x:c r="AD339" s="57" t="n"/>
      <x:c r="AE339" s="79" t="str">
        <x:f>IF(AND(I339&lt;&gt;"",J339&lt;&gt;"",K339&lt;&gt;"",L339="YES",M339&lt;&gt;"",S339&lt;&gt;"",T339&lt;&gt;"",U339&lt;&gt;"",V339&lt;&gt;"",W339&lt;&gt;"",X339&lt;&gt;"",Y339&lt;&gt;""),"COMPLETE","PENDING")</x:f>
        <x:v>PENDING</x:v>
      </x:c>
      <x:c r="AF339" s="79" t="str">
        <x:f>IF(AE339="COMPLETE","YES","NO")</x:f>
        <x:v>NO</x:v>
      </x:c>
      <x:c r="AG339" s="214" t="str">
        <x:f>IF(AF339&lt;&gt;"YES","",(IF(V339="YES",1,0)+IF(W339="YES",1,0))/2)</x:f>
      </x:c>
    </x:row>
    <x:row r="340">
      <x:c r="A340" s="57" t="inlineStr">
        <x:is>
          <x:t xml:space="preserve">C0335</x:t>
        </x:is>
      </x:c>
      <x:c r="B340" s="57" t="inlineStr">
        <x:is>
          <x:t xml:space="preserve">Development</x:t>
        </x:is>
      </x:c>
      <x:c r="C340" s="57" t="inlineStr">
        <x:is>
          <x:t xml:space="preserve">OPEN</x:t>
        </x:is>
      </x:c>
      <x:c r="D340" s="57" t="inlineStr">
        <x:is>
          <x:t xml:space="preserve">ARG-034</x:t>
        </x:is>
      </x:c>
      <x:c r="E340" s="75" t="str">
        <x:f>INDEX('Company Universe'!$B$6:$B$105,MATCH(D340,'Company Universe'!$A$6:$A$105,0))</x:f>
        <x:v>Fiserv</x:v>
      </x:c>
      <x:c r="F340" s="75" t="str">
        <x:f>INDEX('Company Universe'!$C$6:$C$105,MATCH(D340,'Company Universe'!$A$6:$A$105,0))</x:f>
        <x:v>FISV</x:v>
      </x:c>
      <x:c r="G340" s="75" t="str">
        <x:f>INDEX('Company Universe'!$F$6:$F$105,MATCH(D340,'Company Universe'!$A$6:$A$105,0))</x:f>
        <x:v>Software &amp; Payments</x:v>
      </x:c>
      <x:c r="H340" s="57" t="n">
        <x:v>5</x:v>
      </x:c>
      <x:c r="I340" s="206" t="n"/>
      <x:c r="J340" s="71" t="n"/>
      <x:c r="K340" s="71" t="n"/>
      <x:c r="L340" s="71" t="inlineStr">
        <x:is>
          <x:t xml:space="preserve">NO</x:t>
        </x:is>
      </x:c>
      <x:c r="M340" s="71" t="n"/>
      <x:c r="N340" s="71" t="n"/>
      <x:c r="O340" s="71" t="n"/>
      <x:c r="P340" s="71" t="n"/>
      <x:c r="Q340" s="71" t="n"/>
      <x:c r="R340" s="71" t="n"/>
      <x:c r="S340" s="206" t="n"/>
      <x:c r="T340" s="71" t="n"/>
      <x:c r="U340" s="71" t="n"/>
      <x:c r="V340" s="71" t="n"/>
      <x:c r="W340" s="71" t="n"/>
      <x:c r="X340" s="71" t="n"/>
      <x:c r="Y340" s="71" t="n"/>
      <x:c r="Z340" s="71" t="n"/>
      <x:c r="AA340" s="71" t="n"/>
      <x:c r="AB340" s="71" t="inlineStr">
        <x:is>
          <x:t xml:space="preserve">NO</x:t>
        </x:is>
      </x:c>
      <x:c r="AC340" s="57" t="inlineStr">
        <x:is>
          <x:t xml:space="preserve">V10</x:t>
        </x:is>
      </x:c>
      <x:c r="AD340" s="57" t="n"/>
      <x:c r="AE340" s="79" t="str">
        <x:f>IF(AND(I340&lt;&gt;"",J340&lt;&gt;"",K340&lt;&gt;"",L340="YES",M340&lt;&gt;"",S340&lt;&gt;"",T340&lt;&gt;"",U340&lt;&gt;"",V340&lt;&gt;"",W340&lt;&gt;"",X340&lt;&gt;"",Y340&lt;&gt;""),"COMPLETE","PENDING")</x:f>
        <x:v>PENDING</x:v>
      </x:c>
      <x:c r="AF340" s="79" t="str">
        <x:f>IF(AE340="COMPLETE","YES","NO")</x:f>
        <x:v>NO</x:v>
      </x:c>
      <x:c r="AG340" s="214" t="str">
        <x:f>IF(AF340&lt;&gt;"YES","",(IF(V340="YES",1,0)+IF(W340="YES",1,0))/2)</x:f>
      </x:c>
    </x:row>
    <x:row r="341">
      <x:c r="A341" s="57" t="inlineStr">
        <x:is>
          <x:t xml:space="preserve">C0336</x:t>
        </x:is>
      </x:c>
      <x:c r="B341" s="57" t="inlineStr">
        <x:is>
          <x:t xml:space="preserve">Development</x:t>
        </x:is>
      </x:c>
      <x:c r="C341" s="57" t="inlineStr">
        <x:is>
          <x:t xml:space="preserve">OPEN</x:t>
        </x:is>
      </x:c>
      <x:c r="D341" s="57" t="inlineStr">
        <x:is>
          <x:t xml:space="preserve">ARG-034</x:t>
        </x:is>
      </x:c>
      <x:c r="E341" s="75" t="str">
        <x:f>INDEX('Company Universe'!$B$6:$B$105,MATCH(D341,'Company Universe'!$A$6:$A$105,0))</x:f>
        <x:v>Fiserv</x:v>
      </x:c>
      <x:c r="F341" s="75" t="str">
        <x:f>INDEX('Company Universe'!$C$6:$C$105,MATCH(D341,'Company Universe'!$A$6:$A$105,0))</x:f>
        <x:v>FISV</x:v>
      </x:c>
      <x:c r="G341" s="75" t="str">
        <x:f>INDEX('Company Universe'!$F$6:$F$105,MATCH(D341,'Company Universe'!$A$6:$A$105,0))</x:f>
        <x:v>Software &amp; Payments</x:v>
      </x:c>
      <x:c r="H341" s="57" t="n">
        <x:v>6</x:v>
      </x:c>
      <x:c r="I341" s="206" t="n"/>
      <x:c r="J341" s="71" t="n"/>
      <x:c r="K341" s="71" t="n"/>
      <x:c r="L341" s="71" t="inlineStr">
        <x:is>
          <x:t xml:space="preserve">NO</x:t>
        </x:is>
      </x:c>
      <x:c r="M341" s="71" t="n"/>
      <x:c r="N341" s="71" t="n"/>
      <x:c r="O341" s="71" t="n"/>
      <x:c r="P341" s="71" t="n"/>
      <x:c r="Q341" s="71" t="n"/>
      <x:c r="R341" s="71" t="n"/>
      <x:c r="S341" s="206" t="n"/>
      <x:c r="T341" s="71" t="n"/>
      <x:c r="U341" s="71" t="n"/>
      <x:c r="V341" s="71" t="n"/>
      <x:c r="W341" s="71" t="n"/>
      <x:c r="X341" s="71" t="n"/>
      <x:c r="Y341" s="71" t="n"/>
      <x:c r="Z341" s="71" t="n"/>
      <x:c r="AA341" s="71" t="n"/>
      <x:c r="AB341" s="71" t="inlineStr">
        <x:is>
          <x:t xml:space="preserve">NO</x:t>
        </x:is>
      </x:c>
      <x:c r="AC341" s="57" t="inlineStr">
        <x:is>
          <x:t xml:space="preserve">V10</x:t>
        </x:is>
      </x:c>
      <x:c r="AD341" s="57" t="n"/>
      <x:c r="AE341" s="79" t="str">
        <x:f>IF(AND(I341&lt;&gt;"",J341&lt;&gt;"",K341&lt;&gt;"",L341="YES",M341&lt;&gt;"",S341&lt;&gt;"",T341&lt;&gt;"",U341&lt;&gt;"",V341&lt;&gt;"",W341&lt;&gt;"",X341&lt;&gt;"",Y341&lt;&gt;""),"COMPLETE","PENDING")</x:f>
        <x:v>PENDING</x:v>
      </x:c>
      <x:c r="AF341" s="79" t="str">
        <x:f>IF(AE341="COMPLETE","YES","NO")</x:f>
        <x:v>NO</x:v>
      </x:c>
      <x:c r="AG341" s="214" t="str">
        <x:f>IF(AF341&lt;&gt;"YES","",(IF(V341="YES",1,0)+IF(W341="YES",1,0))/2)</x:f>
      </x:c>
    </x:row>
    <x:row r="342">
      <x:c r="A342" s="57" t="inlineStr">
        <x:is>
          <x:t xml:space="preserve">C0337</x:t>
        </x:is>
      </x:c>
      <x:c r="B342" s="57" t="inlineStr">
        <x:is>
          <x:t xml:space="preserve">Development</x:t>
        </x:is>
      </x:c>
      <x:c r="C342" s="57" t="inlineStr">
        <x:is>
          <x:t xml:space="preserve">OPEN</x:t>
        </x:is>
      </x:c>
      <x:c r="D342" s="57" t="inlineStr">
        <x:is>
          <x:t xml:space="preserve">ARG-034</x:t>
        </x:is>
      </x:c>
      <x:c r="E342" s="75" t="str">
        <x:f>INDEX('Company Universe'!$B$6:$B$105,MATCH(D342,'Company Universe'!$A$6:$A$105,0))</x:f>
        <x:v>Fiserv</x:v>
      </x:c>
      <x:c r="F342" s="75" t="str">
        <x:f>INDEX('Company Universe'!$C$6:$C$105,MATCH(D342,'Company Universe'!$A$6:$A$105,0))</x:f>
        <x:v>FISV</x:v>
      </x:c>
      <x:c r="G342" s="75" t="str">
        <x:f>INDEX('Company Universe'!$F$6:$F$105,MATCH(D342,'Company Universe'!$A$6:$A$105,0))</x:f>
        <x:v>Software &amp; Payments</x:v>
      </x:c>
      <x:c r="H342" s="57" t="n">
        <x:v>7</x:v>
      </x:c>
      <x:c r="I342" s="206" t="n"/>
      <x:c r="J342" s="71" t="n"/>
      <x:c r="K342" s="71" t="n"/>
      <x:c r="L342" s="71" t="inlineStr">
        <x:is>
          <x:t xml:space="preserve">NO</x:t>
        </x:is>
      </x:c>
      <x:c r="M342" s="71" t="n"/>
      <x:c r="N342" s="71" t="n"/>
      <x:c r="O342" s="71" t="n"/>
      <x:c r="P342" s="71" t="n"/>
      <x:c r="Q342" s="71" t="n"/>
      <x:c r="R342" s="71" t="n"/>
      <x:c r="S342" s="206" t="n"/>
      <x:c r="T342" s="71" t="n"/>
      <x:c r="U342" s="71" t="n"/>
      <x:c r="V342" s="71" t="n"/>
      <x:c r="W342" s="71" t="n"/>
      <x:c r="X342" s="71" t="n"/>
      <x:c r="Y342" s="71" t="n"/>
      <x:c r="Z342" s="71" t="n"/>
      <x:c r="AA342" s="71" t="n"/>
      <x:c r="AB342" s="71" t="inlineStr">
        <x:is>
          <x:t xml:space="preserve">NO</x:t>
        </x:is>
      </x:c>
      <x:c r="AC342" s="57" t="inlineStr">
        <x:is>
          <x:t xml:space="preserve">V10</x:t>
        </x:is>
      </x:c>
      <x:c r="AD342" s="57" t="n"/>
      <x:c r="AE342" s="79" t="str">
        <x:f>IF(AND(I342&lt;&gt;"",J342&lt;&gt;"",K342&lt;&gt;"",L342="YES",M342&lt;&gt;"",S342&lt;&gt;"",T342&lt;&gt;"",U342&lt;&gt;"",V342&lt;&gt;"",W342&lt;&gt;"",X342&lt;&gt;"",Y342&lt;&gt;""),"COMPLETE","PENDING")</x:f>
        <x:v>PENDING</x:v>
      </x:c>
      <x:c r="AF342" s="79" t="str">
        <x:f>IF(AE342="COMPLETE","YES","NO")</x:f>
        <x:v>NO</x:v>
      </x:c>
      <x:c r="AG342" s="214" t="str">
        <x:f>IF(AF342&lt;&gt;"YES","",(IF(V342="YES",1,0)+IF(W342="YES",1,0))/2)</x:f>
      </x:c>
    </x:row>
    <x:row r="343">
      <x:c r="A343" s="57" t="inlineStr">
        <x:is>
          <x:t xml:space="preserve">C0338</x:t>
        </x:is>
      </x:c>
      <x:c r="B343" s="57" t="inlineStr">
        <x:is>
          <x:t xml:space="preserve">Development</x:t>
        </x:is>
      </x:c>
      <x:c r="C343" s="57" t="inlineStr">
        <x:is>
          <x:t xml:space="preserve">OPEN</x:t>
        </x:is>
      </x:c>
      <x:c r="D343" s="57" t="inlineStr">
        <x:is>
          <x:t xml:space="preserve">ARG-034</x:t>
        </x:is>
      </x:c>
      <x:c r="E343" s="75" t="str">
        <x:f>INDEX('Company Universe'!$B$6:$B$105,MATCH(D343,'Company Universe'!$A$6:$A$105,0))</x:f>
        <x:v>Fiserv</x:v>
      </x:c>
      <x:c r="F343" s="75" t="str">
        <x:f>INDEX('Company Universe'!$C$6:$C$105,MATCH(D343,'Company Universe'!$A$6:$A$105,0))</x:f>
        <x:v>FISV</x:v>
      </x:c>
      <x:c r="G343" s="75" t="str">
        <x:f>INDEX('Company Universe'!$F$6:$F$105,MATCH(D343,'Company Universe'!$A$6:$A$105,0))</x:f>
        <x:v>Software &amp; Payments</x:v>
      </x:c>
      <x:c r="H343" s="57" t="n">
        <x:v>8</x:v>
      </x:c>
      <x:c r="I343" s="206" t="n"/>
      <x:c r="J343" s="71" t="n"/>
      <x:c r="K343" s="71" t="n"/>
      <x:c r="L343" s="71" t="inlineStr">
        <x:is>
          <x:t xml:space="preserve">NO</x:t>
        </x:is>
      </x:c>
      <x:c r="M343" s="71" t="n"/>
      <x:c r="N343" s="71" t="n"/>
      <x:c r="O343" s="71" t="n"/>
      <x:c r="P343" s="71" t="n"/>
      <x:c r="Q343" s="71" t="n"/>
      <x:c r="R343" s="71" t="n"/>
      <x:c r="S343" s="206" t="n"/>
      <x:c r="T343" s="71" t="n"/>
      <x:c r="U343" s="71" t="n"/>
      <x:c r="V343" s="71" t="n"/>
      <x:c r="W343" s="71" t="n"/>
      <x:c r="X343" s="71" t="n"/>
      <x:c r="Y343" s="71" t="n"/>
      <x:c r="Z343" s="71" t="n"/>
      <x:c r="AA343" s="71" t="n"/>
      <x:c r="AB343" s="71" t="inlineStr">
        <x:is>
          <x:t xml:space="preserve">NO</x:t>
        </x:is>
      </x:c>
      <x:c r="AC343" s="57" t="inlineStr">
        <x:is>
          <x:t xml:space="preserve">V10</x:t>
        </x:is>
      </x:c>
      <x:c r="AD343" s="57" t="n"/>
      <x:c r="AE343" s="79" t="str">
        <x:f>IF(AND(I343&lt;&gt;"",J343&lt;&gt;"",K343&lt;&gt;"",L343="YES",M343&lt;&gt;"",S343&lt;&gt;"",T343&lt;&gt;"",U343&lt;&gt;"",V343&lt;&gt;"",W343&lt;&gt;"",X343&lt;&gt;"",Y343&lt;&gt;""),"COMPLETE","PENDING")</x:f>
        <x:v>PENDING</x:v>
      </x:c>
      <x:c r="AF343" s="79" t="str">
        <x:f>IF(AE343="COMPLETE","YES","NO")</x:f>
        <x:v>NO</x:v>
      </x:c>
      <x:c r="AG343" s="214" t="str">
        <x:f>IF(AF343&lt;&gt;"YES","",(IF(V343="YES",1,0)+IF(W343="YES",1,0))/2)</x:f>
      </x:c>
    </x:row>
    <x:row r="344">
      <x:c r="A344" s="57" t="inlineStr">
        <x:is>
          <x:t xml:space="preserve">C0339</x:t>
        </x:is>
      </x:c>
      <x:c r="B344" s="57" t="inlineStr">
        <x:is>
          <x:t xml:space="preserve">Development</x:t>
        </x:is>
      </x:c>
      <x:c r="C344" s="57" t="inlineStr">
        <x:is>
          <x:t xml:space="preserve">OPEN</x:t>
        </x:is>
      </x:c>
      <x:c r="D344" s="57" t="inlineStr">
        <x:is>
          <x:t xml:space="preserve">ARG-034</x:t>
        </x:is>
      </x:c>
      <x:c r="E344" s="75" t="str">
        <x:f>INDEX('Company Universe'!$B$6:$B$105,MATCH(D344,'Company Universe'!$A$6:$A$105,0))</x:f>
        <x:v>Fiserv</x:v>
      </x:c>
      <x:c r="F344" s="75" t="str">
        <x:f>INDEX('Company Universe'!$C$6:$C$105,MATCH(D344,'Company Universe'!$A$6:$A$105,0))</x:f>
        <x:v>FISV</x:v>
      </x:c>
      <x:c r="G344" s="75" t="str">
        <x:f>INDEX('Company Universe'!$F$6:$F$105,MATCH(D344,'Company Universe'!$A$6:$A$105,0))</x:f>
        <x:v>Software &amp; Payments</x:v>
      </x:c>
      <x:c r="H344" s="57" t="n">
        <x:v>9</x:v>
      </x:c>
      <x:c r="I344" s="206" t="n"/>
      <x:c r="J344" s="71" t="n"/>
      <x:c r="K344" s="71" t="n"/>
      <x:c r="L344" s="71" t="inlineStr">
        <x:is>
          <x:t xml:space="preserve">NO</x:t>
        </x:is>
      </x:c>
      <x:c r="M344" s="71" t="n"/>
      <x:c r="N344" s="71" t="n"/>
      <x:c r="O344" s="71" t="n"/>
      <x:c r="P344" s="71" t="n"/>
      <x:c r="Q344" s="71" t="n"/>
      <x:c r="R344" s="71" t="n"/>
      <x:c r="S344" s="206" t="n"/>
      <x:c r="T344" s="71" t="n"/>
      <x:c r="U344" s="71" t="n"/>
      <x:c r="V344" s="71" t="n"/>
      <x:c r="W344" s="71" t="n"/>
      <x:c r="X344" s="71" t="n"/>
      <x:c r="Y344" s="71" t="n"/>
      <x:c r="Z344" s="71" t="n"/>
      <x:c r="AA344" s="71" t="n"/>
      <x:c r="AB344" s="71" t="inlineStr">
        <x:is>
          <x:t xml:space="preserve">NO</x:t>
        </x:is>
      </x:c>
      <x:c r="AC344" s="57" t="inlineStr">
        <x:is>
          <x:t xml:space="preserve">V10</x:t>
        </x:is>
      </x:c>
      <x:c r="AD344" s="57" t="n"/>
      <x:c r="AE344" s="79" t="str">
        <x:f>IF(AND(I344&lt;&gt;"",J344&lt;&gt;"",K344&lt;&gt;"",L344="YES",M344&lt;&gt;"",S344&lt;&gt;"",T344&lt;&gt;"",U344&lt;&gt;"",V344&lt;&gt;"",W344&lt;&gt;"",X344&lt;&gt;"",Y344&lt;&gt;""),"COMPLETE","PENDING")</x:f>
        <x:v>PENDING</x:v>
      </x:c>
      <x:c r="AF344" s="79" t="str">
        <x:f>IF(AE344="COMPLETE","YES","NO")</x:f>
        <x:v>NO</x:v>
      </x:c>
      <x:c r="AG344" s="214" t="str">
        <x:f>IF(AF344&lt;&gt;"YES","",(IF(V344="YES",1,0)+IF(W344="YES",1,0))/2)</x:f>
      </x:c>
    </x:row>
    <x:row r="345">
      <x:c r="A345" s="57" t="inlineStr">
        <x:is>
          <x:t xml:space="preserve">C0340</x:t>
        </x:is>
      </x:c>
      <x:c r="B345" s="57" t="inlineStr">
        <x:is>
          <x:t xml:space="preserve">Development</x:t>
        </x:is>
      </x:c>
      <x:c r="C345" s="57" t="inlineStr">
        <x:is>
          <x:t xml:space="preserve">OPEN</x:t>
        </x:is>
      </x:c>
      <x:c r="D345" s="57" t="inlineStr">
        <x:is>
          <x:t xml:space="preserve">ARG-034</x:t>
        </x:is>
      </x:c>
      <x:c r="E345" s="75" t="str">
        <x:f>INDEX('Company Universe'!$B$6:$B$105,MATCH(D345,'Company Universe'!$A$6:$A$105,0))</x:f>
        <x:v>Fiserv</x:v>
      </x:c>
      <x:c r="F345" s="75" t="str">
        <x:f>INDEX('Company Universe'!$C$6:$C$105,MATCH(D345,'Company Universe'!$A$6:$A$105,0))</x:f>
        <x:v>FISV</x:v>
      </x:c>
      <x:c r="G345" s="75" t="str">
        <x:f>INDEX('Company Universe'!$F$6:$F$105,MATCH(D345,'Company Universe'!$A$6:$A$105,0))</x:f>
        <x:v>Software &amp; Payments</x:v>
      </x:c>
      <x:c r="H345" s="57" t="n">
        <x:v>10</x:v>
      </x:c>
      <x:c r="I345" s="206" t="n"/>
      <x:c r="J345" s="71" t="n"/>
      <x:c r="K345" s="71" t="n"/>
      <x:c r="L345" s="71" t="inlineStr">
        <x:is>
          <x:t xml:space="preserve">NO</x:t>
        </x:is>
      </x:c>
      <x:c r="M345" s="71" t="n"/>
      <x:c r="N345" s="71" t="n"/>
      <x:c r="O345" s="71" t="n"/>
      <x:c r="P345" s="71" t="n"/>
      <x:c r="Q345" s="71" t="n"/>
      <x:c r="R345" s="71" t="n"/>
      <x:c r="S345" s="206" t="n"/>
      <x:c r="T345" s="71" t="n"/>
      <x:c r="U345" s="71" t="n"/>
      <x:c r="V345" s="71" t="n"/>
      <x:c r="W345" s="71" t="n"/>
      <x:c r="X345" s="71" t="n"/>
      <x:c r="Y345" s="71" t="n"/>
      <x:c r="Z345" s="71" t="n"/>
      <x:c r="AA345" s="71" t="n"/>
      <x:c r="AB345" s="71" t="inlineStr">
        <x:is>
          <x:t xml:space="preserve">NO</x:t>
        </x:is>
      </x:c>
      <x:c r="AC345" s="57" t="inlineStr">
        <x:is>
          <x:t xml:space="preserve">V10</x:t>
        </x:is>
      </x:c>
      <x:c r="AD345" s="57" t="n"/>
      <x:c r="AE345" s="79" t="str">
        <x:f>IF(AND(I345&lt;&gt;"",J345&lt;&gt;"",K345&lt;&gt;"",L345="YES",M345&lt;&gt;"",S345&lt;&gt;"",T345&lt;&gt;"",U345&lt;&gt;"",V345&lt;&gt;"",W345&lt;&gt;"",X345&lt;&gt;"",Y345&lt;&gt;""),"COMPLETE","PENDING")</x:f>
        <x:v>PENDING</x:v>
      </x:c>
      <x:c r="AF345" s="79" t="str">
        <x:f>IF(AE345="COMPLETE","YES","NO")</x:f>
        <x:v>NO</x:v>
      </x:c>
      <x:c r="AG345" s="214" t="str">
        <x:f>IF(AF345&lt;&gt;"YES","",(IF(V345="YES",1,0)+IF(W345="YES",1,0))/2)</x:f>
      </x:c>
    </x:row>
    <x:row r="346">
      <x:c r="A346" s="57" t="inlineStr">
        <x:is>
          <x:t xml:space="preserve">C0341</x:t>
        </x:is>
      </x:c>
      <x:c r="B346" s="57" t="inlineStr">
        <x:is>
          <x:t xml:space="preserve">Development</x:t>
        </x:is>
      </x:c>
      <x:c r="C346" s="57" t="inlineStr">
        <x:is>
          <x:t xml:space="preserve">OPEN</x:t>
        </x:is>
      </x:c>
      <x:c r="D346" s="57" t="inlineStr">
        <x:is>
          <x:t xml:space="preserve">ARG-035</x:t>
        </x:is>
      </x:c>
      <x:c r="E346" s="75" t="str">
        <x:f>INDEX('Company Universe'!$B$6:$B$105,MATCH(D346,'Company Universe'!$A$6:$A$105,0))</x:f>
        <x:v>PayPal</x:v>
      </x:c>
      <x:c r="F346" s="75" t="str">
        <x:f>INDEX('Company Universe'!$C$6:$C$105,MATCH(D346,'Company Universe'!$A$6:$A$105,0))</x:f>
        <x:v>PYPL</x:v>
      </x:c>
      <x:c r="G346" s="75" t="str">
        <x:f>INDEX('Company Universe'!$F$6:$F$105,MATCH(D346,'Company Universe'!$A$6:$A$105,0))</x:f>
        <x:v>Software &amp; Payments</x:v>
      </x:c>
      <x:c r="H346" s="57" t="n">
        <x:v>1</x:v>
      </x:c>
      <x:c r="I346" s="206" t="n"/>
      <x:c r="J346" s="71" t="n"/>
      <x:c r="K346" s="71" t="n"/>
      <x:c r="L346" s="71" t="inlineStr">
        <x:is>
          <x:t xml:space="preserve">NO</x:t>
        </x:is>
      </x:c>
      <x:c r="M346" s="71" t="n"/>
      <x:c r="N346" s="71" t="n"/>
      <x:c r="O346" s="71" t="n"/>
      <x:c r="P346" s="71" t="n"/>
      <x:c r="Q346" s="71" t="n"/>
      <x:c r="R346" s="71" t="n"/>
      <x:c r="S346" s="206" t="n"/>
      <x:c r="T346" s="71" t="n"/>
      <x:c r="U346" s="71" t="n"/>
      <x:c r="V346" s="71" t="n"/>
      <x:c r="W346" s="71" t="n"/>
      <x:c r="X346" s="71" t="n"/>
      <x:c r="Y346" s="71" t="n"/>
      <x:c r="Z346" s="71" t="n"/>
      <x:c r="AA346" s="71" t="n"/>
      <x:c r="AB346" s="71" t="inlineStr">
        <x:is>
          <x:t xml:space="preserve">NO</x:t>
        </x:is>
      </x:c>
      <x:c r="AC346" s="57" t="inlineStr">
        <x:is>
          <x:t xml:space="preserve">V10</x:t>
        </x:is>
      </x:c>
      <x:c r="AD346" s="57" t="n"/>
      <x:c r="AE346" s="79" t="str">
        <x:f>IF(AND(I346&lt;&gt;"",J346&lt;&gt;"",K346&lt;&gt;"",L346="YES",M346&lt;&gt;"",S346&lt;&gt;"",T346&lt;&gt;"",U346&lt;&gt;"",V346&lt;&gt;"",W346&lt;&gt;"",X346&lt;&gt;"",Y346&lt;&gt;""),"COMPLETE","PENDING")</x:f>
        <x:v>PENDING</x:v>
      </x:c>
      <x:c r="AF346" s="79" t="str">
        <x:f>IF(AE346="COMPLETE","YES","NO")</x:f>
        <x:v>NO</x:v>
      </x:c>
      <x:c r="AG346" s="214" t="str">
        <x:f>IF(AF346&lt;&gt;"YES","",(IF(V346="YES",1,0)+IF(W346="YES",1,0))/2)</x:f>
      </x:c>
    </x:row>
    <x:row r="347">
      <x:c r="A347" s="57" t="inlineStr">
        <x:is>
          <x:t xml:space="preserve">C0342</x:t>
        </x:is>
      </x:c>
      <x:c r="B347" s="57" t="inlineStr">
        <x:is>
          <x:t xml:space="preserve">Development</x:t>
        </x:is>
      </x:c>
      <x:c r="C347" s="57" t="inlineStr">
        <x:is>
          <x:t xml:space="preserve">OPEN</x:t>
        </x:is>
      </x:c>
      <x:c r="D347" s="57" t="inlineStr">
        <x:is>
          <x:t xml:space="preserve">ARG-035</x:t>
        </x:is>
      </x:c>
      <x:c r="E347" s="75" t="str">
        <x:f>INDEX('Company Universe'!$B$6:$B$105,MATCH(D347,'Company Universe'!$A$6:$A$105,0))</x:f>
        <x:v>PayPal</x:v>
      </x:c>
      <x:c r="F347" s="75" t="str">
        <x:f>INDEX('Company Universe'!$C$6:$C$105,MATCH(D347,'Company Universe'!$A$6:$A$105,0))</x:f>
        <x:v>PYPL</x:v>
      </x:c>
      <x:c r="G347" s="75" t="str">
        <x:f>INDEX('Company Universe'!$F$6:$F$105,MATCH(D347,'Company Universe'!$A$6:$A$105,0))</x:f>
        <x:v>Software &amp; Payments</x:v>
      </x:c>
      <x:c r="H347" s="57" t="n">
        <x:v>2</x:v>
      </x:c>
      <x:c r="I347" s="206" t="n"/>
      <x:c r="J347" s="71" t="n"/>
      <x:c r="K347" s="71" t="n"/>
      <x:c r="L347" s="71" t="inlineStr">
        <x:is>
          <x:t xml:space="preserve">NO</x:t>
        </x:is>
      </x:c>
      <x:c r="M347" s="71" t="n"/>
      <x:c r="N347" s="71" t="n"/>
      <x:c r="O347" s="71" t="n"/>
      <x:c r="P347" s="71" t="n"/>
      <x:c r="Q347" s="71" t="n"/>
      <x:c r="R347" s="71" t="n"/>
      <x:c r="S347" s="206" t="n"/>
      <x:c r="T347" s="71" t="n"/>
      <x:c r="U347" s="71" t="n"/>
      <x:c r="V347" s="71" t="n"/>
      <x:c r="W347" s="71" t="n"/>
      <x:c r="X347" s="71" t="n"/>
      <x:c r="Y347" s="71" t="n"/>
      <x:c r="Z347" s="71" t="n"/>
      <x:c r="AA347" s="71" t="n"/>
      <x:c r="AB347" s="71" t="inlineStr">
        <x:is>
          <x:t xml:space="preserve">NO</x:t>
        </x:is>
      </x:c>
      <x:c r="AC347" s="57" t="inlineStr">
        <x:is>
          <x:t xml:space="preserve">V10</x:t>
        </x:is>
      </x:c>
      <x:c r="AD347" s="57" t="n"/>
      <x:c r="AE347" s="79" t="str">
        <x:f>IF(AND(I347&lt;&gt;"",J347&lt;&gt;"",K347&lt;&gt;"",L347="YES",M347&lt;&gt;"",S347&lt;&gt;"",T347&lt;&gt;"",U347&lt;&gt;"",V347&lt;&gt;"",W347&lt;&gt;"",X347&lt;&gt;"",Y347&lt;&gt;""),"COMPLETE","PENDING")</x:f>
        <x:v>PENDING</x:v>
      </x:c>
      <x:c r="AF347" s="79" t="str">
        <x:f>IF(AE347="COMPLETE","YES","NO")</x:f>
        <x:v>NO</x:v>
      </x:c>
      <x:c r="AG347" s="214" t="str">
        <x:f>IF(AF347&lt;&gt;"YES","",(IF(V347="YES",1,0)+IF(W347="YES",1,0))/2)</x:f>
      </x:c>
    </x:row>
    <x:row r="348">
      <x:c r="A348" s="57" t="inlineStr">
        <x:is>
          <x:t xml:space="preserve">C0343</x:t>
        </x:is>
      </x:c>
      <x:c r="B348" s="57" t="inlineStr">
        <x:is>
          <x:t xml:space="preserve">Development</x:t>
        </x:is>
      </x:c>
      <x:c r="C348" s="57" t="inlineStr">
        <x:is>
          <x:t xml:space="preserve">OPEN</x:t>
        </x:is>
      </x:c>
      <x:c r="D348" s="57" t="inlineStr">
        <x:is>
          <x:t xml:space="preserve">ARG-035</x:t>
        </x:is>
      </x:c>
      <x:c r="E348" s="75" t="str">
        <x:f>INDEX('Company Universe'!$B$6:$B$105,MATCH(D348,'Company Universe'!$A$6:$A$105,0))</x:f>
        <x:v>PayPal</x:v>
      </x:c>
      <x:c r="F348" s="75" t="str">
        <x:f>INDEX('Company Universe'!$C$6:$C$105,MATCH(D348,'Company Universe'!$A$6:$A$105,0))</x:f>
        <x:v>PYPL</x:v>
      </x:c>
      <x:c r="G348" s="75" t="str">
        <x:f>INDEX('Company Universe'!$F$6:$F$105,MATCH(D348,'Company Universe'!$A$6:$A$105,0))</x:f>
        <x:v>Software &amp; Payments</x:v>
      </x:c>
      <x:c r="H348" s="57" t="n">
        <x:v>3</x:v>
      </x:c>
      <x:c r="I348" s="206" t="n"/>
      <x:c r="J348" s="71" t="n"/>
      <x:c r="K348" s="71" t="n"/>
      <x:c r="L348" s="71" t="inlineStr">
        <x:is>
          <x:t xml:space="preserve">NO</x:t>
        </x:is>
      </x:c>
      <x:c r="M348" s="71" t="n"/>
      <x:c r="N348" s="71" t="n"/>
      <x:c r="O348" s="71" t="n"/>
      <x:c r="P348" s="71" t="n"/>
      <x:c r="Q348" s="71" t="n"/>
      <x:c r="R348" s="71" t="n"/>
      <x:c r="S348" s="206" t="n"/>
      <x:c r="T348" s="71" t="n"/>
      <x:c r="U348" s="71" t="n"/>
      <x:c r="V348" s="71" t="n"/>
      <x:c r="W348" s="71" t="n"/>
      <x:c r="X348" s="71" t="n"/>
      <x:c r="Y348" s="71" t="n"/>
      <x:c r="Z348" s="71" t="n"/>
      <x:c r="AA348" s="71" t="n"/>
      <x:c r="AB348" s="71" t="inlineStr">
        <x:is>
          <x:t xml:space="preserve">NO</x:t>
        </x:is>
      </x:c>
      <x:c r="AC348" s="57" t="inlineStr">
        <x:is>
          <x:t xml:space="preserve">V10</x:t>
        </x:is>
      </x:c>
      <x:c r="AD348" s="57" t="n"/>
      <x:c r="AE348" s="79" t="str">
        <x:f>IF(AND(I348&lt;&gt;"",J348&lt;&gt;"",K348&lt;&gt;"",L348="YES",M348&lt;&gt;"",S348&lt;&gt;"",T348&lt;&gt;"",U348&lt;&gt;"",V348&lt;&gt;"",W348&lt;&gt;"",X348&lt;&gt;"",Y348&lt;&gt;""),"COMPLETE","PENDING")</x:f>
        <x:v>PENDING</x:v>
      </x:c>
      <x:c r="AF348" s="79" t="str">
        <x:f>IF(AE348="COMPLETE","YES","NO")</x:f>
        <x:v>NO</x:v>
      </x:c>
      <x:c r="AG348" s="214" t="str">
        <x:f>IF(AF348&lt;&gt;"YES","",(IF(V348="YES",1,0)+IF(W348="YES",1,0))/2)</x:f>
      </x:c>
    </x:row>
    <x:row r="349">
      <x:c r="A349" s="57" t="inlineStr">
        <x:is>
          <x:t xml:space="preserve">C0344</x:t>
        </x:is>
      </x:c>
      <x:c r="B349" s="57" t="inlineStr">
        <x:is>
          <x:t xml:space="preserve">Development</x:t>
        </x:is>
      </x:c>
      <x:c r="C349" s="57" t="inlineStr">
        <x:is>
          <x:t xml:space="preserve">OPEN</x:t>
        </x:is>
      </x:c>
      <x:c r="D349" s="57" t="inlineStr">
        <x:is>
          <x:t xml:space="preserve">ARG-035</x:t>
        </x:is>
      </x:c>
      <x:c r="E349" s="75" t="str">
        <x:f>INDEX('Company Universe'!$B$6:$B$105,MATCH(D349,'Company Universe'!$A$6:$A$105,0))</x:f>
        <x:v>PayPal</x:v>
      </x:c>
      <x:c r="F349" s="75" t="str">
        <x:f>INDEX('Company Universe'!$C$6:$C$105,MATCH(D349,'Company Universe'!$A$6:$A$105,0))</x:f>
        <x:v>PYPL</x:v>
      </x:c>
      <x:c r="G349" s="75" t="str">
        <x:f>INDEX('Company Universe'!$F$6:$F$105,MATCH(D349,'Company Universe'!$A$6:$A$105,0))</x:f>
        <x:v>Software &amp; Payments</x:v>
      </x:c>
      <x:c r="H349" s="57" t="n">
        <x:v>4</x:v>
      </x:c>
      <x:c r="I349" s="206" t="n"/>
      <x:c r="J349" s="71" t="n"/>
      <x:c r="K349" s="71" t="n"/>
      <x:c r="L349" s="71" t="inlineStr">
        <x:is>
          <x:t xml:space="preserve">NO</x:t>
        </x:is>
      </x:c>
      <x:c r="M349" s="71" t="n"/>
      <x:c r="N349" s="71" t="n"/>
      <x:c r="O349" s="71" t="n"/>
      <x:c r="P349" s="71" t="n"/>
      <x:c r="Q349" s="71" t="n"/>
      <x:c r="R349" s="71" t="n"/>
      <x:c r="S349" s="206" t="n"/>
      <x:c r="T349" s="71" t="n"/>
      <x:c r="U349" s="71" t="n"/>
      <x:c r="V349" s="71" t="n"/>
      <x:c r="W349" s="71" t="n"/>
      <x:c r="X349" s="71" t="n"/>
      <x:c r="Y349" s="71" t="n"/>
      <x:c r="Z349" s="71" t="n"/>
      <x:c r="AA349" s="71" t="n"/>
      <x:c r="AB349" s="71" t="inlineStr">
        <x:is>
          <x:t xml:space="preserve">NO</x:t>
        </x:is>
      </x:c>
      <x:c r="AC349" s="57" t="inlineStr">
        <x:is>
          <x:t xml:space="preserve">V10</x:t>
        </x:is>
      </x:c>
      <x:c r="AD349" s="57" t="n"/>
      <x:c r="AE349" s="79" t="str">
        <x:f>IF(AND(I349&lt;&gt;"",J349&lt;&gt;"",K349&lt;&gt;"",L349="YES",M349&lt;&gt;"",S349&lt;&gt;"",T349&lt;&gt;"",U349&lt;&gt;"",V349&lt;&gt;"",W349&lt;&gt;"",X349&lt;&gt;"",Y349&lt;&gt;""),"COMPLETE","PENDING")</x:f>
        <x:v>PENDING</x:v>
      </x:c>
      <x:c r="AF349" s="79" t="str">
        <x:f>IF(AE349="COMPLETE","YES","NO")</x:f>
        <x:v>NO</x:v>
      </x:c>
      <x:c r="AG349" s="214" t="str">
        <x:f>IF(AF349&lt;&gt;"YES","",(IF(V349="YES",1,0)+IF(W349="YES",1,0))/2)</x:f>
      </x:c>
    </x:row>
    <x:row r="350">
      <x:c r="A350" s="57" t="inlineStr">
        <x:is>
          <x:t xml:space="preserve">C0345</x:t>
        </x:is>
      </x:c>
      <x:c r="B350" s="57" t="inlineStr">
        <x:is>
          <x:t xml:space="preserve">Development</x:t>
        </x:is>
      </x:c>
      <x:c r="C350" s="57" t="inlineStr">
        <x:is>
          <x:t xml:space="preserve">OPEN</x:t>
        </x:is>
      </x:c>
      <x:c r="D350" s="57" t="inlineStr">
        <x:is>
          <x:t xml:space="preserve">ARG-035</x:t>
        </x:is>
      </x:c>
      <x:c r="E350" s="75" t="str">
        <x:f>INDEX('Company Universe'!$B$6:$B$105,MATCH(D350,'Company Universe'!$A$6:$A$105,0))</x:f>
        <x:v>PayPal</x:v>
      </x:c>
      <x:c r="F350" s="75" t="str">
        <x:f>INDEX('Company Universe'!$C$6:$C$105,MATCH(D350,'Company Universe'!$A$6:$A$105,0))</x:f>
        <x:v>PYPL</x:v>
      </x:c>
      <x:c r="G350" s="75" t="str">
        <x:f>INDEX('Company Universe'!$F$6:$F$105,MATCH(D350,'Company Universe'!$A$6:$A$105,0))</x:f>
        <x:v>Software &amp; Payments</x:v>
      </x:c>
      <x:c r="H350" s="57" t="n">
        <x:v>5</x:v>
      </x:c>
      <x:c r="I350" s="206" t="n"/>
      <x:c r="J350" s="71" t="n"/>
      <x:c r="K350" s="71" t="n"/>
      <x:c r="L350" s="71" t="inlineStr">
        <x:is>
          <x:t xml:space="preserve">NO</x:t>
        </x:is>
      </x:c>
      <x:c r="M350" s="71" t="n"/>
      <x:c r="N350" s="71" t="n"/>
      <x:c r="O350" s="71" t="n"/>
      <x:c r="P350" s="71" t="n"/>
      <x:c r="Q350" s="71" t="n"/>
      <x:c r="R350" s="71" t="n"/>
      <x:c r="S350" s="206" t="n"/>
      <x:c r="T350" s="71" t="n"/>
      <x:c r="U350" s="71" t="n"/>
      <x:c r="V350" s="71" t="n"/>
      <x:c r="W350" s="71" t="n"/>
      <x:c r="X350" s="71" t="n"/>
      <x:c r="Y350" s="71" t="n"/>
      <x:c r="Z350" s="71" t="n"/>
      <x:c r="AA350" s="71" t="n"/>
      <x:c r="AB350" s="71" t="inlineStr">
        <x:is>
          <x:t xml:space="preserve">NO</x:t>
        </x:is>
      </x:c>
      <x:c r="AC350" s="57" t="inlineStr">
        <x:is>
          <x:t xml:space="preserve">V10</x:t>
        </x:is>
      </x:c>
      <x:c r="AD350" s="57" t="n"/>
      <x:c r="AE350" s="79" t="str">
        <x:f>IF(AND(I350&lt;&gt;"",J350&lt;&gt;"",K350&lt;&gt;"",L350="YES",M350&lt;&gt;"",S350&lt;&gt;"",T350&lt;&gt;"",U350&lt;&gt;"",V350&lt;&gt;"",W350&lt;&gt;"",X350&lt;&gt;"",Y350&lt;&gt;""),"COMPLETE","PENDING")</x:f>
        <x:v>PENDING</x:v>
      </x:c>
      <x:c r="AF350" s="79" t="str">
        <x:f>IF(AE350="COMPLETE","YES","NO")</x:f>
        <x:v>NO</x:v>
      </x:c>
      <x:c r="AG350" s="214" t="str">
        <x:f>IF(AF350&lt;&gt;"YES","",(IF(V350="YES",1,0)+IF(W350="YES",1,0))/2)</x:f>
      </x:c>
    </x:row>
    <x:row r="351">
      <x:c r="A351" s="57" t="inlineStr">
        <x:is>
          <x:t xml:space="preserve">C0346</x:t>
        </x:is>
      </x:c>
      <x:c r="B351" s="57" t="inlineStr">
        <x:is>
          <x:t xml:space="preserve">Development</x:t>
        </x:is>
      </x:c>
      <x:c r="C351" s="57" t="inlineStr">
        <x:is>
          <x:t xml:space="preserve">OPEN</x:t>
        </x:is>
      </x:c>
      <x:c r="D351" s="57" t="inlineStr">
        <x:is>
          <x:t xml:space="preserve">ARG-035</x:t>
        </x:is>
      </x:c>
      <x:c r="E351" s="75" t="str">
        <x:f>INDEX('Company Universe'!$B$6:$B$105,MATCH(D351,'Company Universe'!$A$6:$A$105,0))</x:f>
        <x:v>PayPal</x:v>
      </x:c>
      <x:c r="F351" s="75" t="str">
        <x:f>INDEX('Company Universe'!$C$6:$C$105,MATCH(D351,'Company Universe'!$A$6:$A$105,0))</x:f>
        <x:v>PYPL</x:v>
      </x:c>
      <x:c r="G351" s="75" t="str">
        <x:f>INDEX('Company Universe'!$F$6:$F$105,MATCH(D351,'Company Universe'!$A$6:$A$105,0))</x:f>
        <x:v>Software &amp; Payments</x:v>
      </x:c>
      <x:c r="H351" s="57" t="n">
        <x:v>6</x:v>
      </x:c>
      <x:c r="I351" s="206" t="n"/>
      <x:c r="J351" s="71" t="n"/>
      <x:c r="K351" s="71" t="n"/>
      <x:c r="L351" s="71" t="inlineStr">
        <x:is>
          <x:t xml:space="preserve">NO</x:t>
        </x:is>
      </x:c>
      <x:c r="M351" s="71" t="n"/>
      <x:c r="N351" s="71" t="n"/>
      <x:c r="O351" s="71" t="n"/>
      <x:c r="P351" s="71" t="n"/>
      <x:c r="Q351" s="71" t="n"/>
      <x:c r="R351" s="71" t="n"/>
      <x:c r="S351" s="206" t="n"/>
      <x:c r="T351" s="71" t="n"/>
      <x:c r="U351" s="71" t="n"/>
      <x:c r="V351" s="71" t="n"/>
      <x:c r="W351" s="71" t="n"/>
      <x:c r="X351" s="71" t="n"/>
      <x:c r="Y351" s="71" t="n"/>
      <x:c r="Z351" s="71" t="n"/>
      <x:c r="AA351" s="71" t="n"/>
      <x:c r="AB351" s="71" t="inlineStr">
        <x:is>
          <x:t xml:space="preserve">NO</x:t>
        </x:is>
      </x:c>
      <x:c r="AC351" s="57" t="inlineStr">
        <x:is>
          <x:t xml:space="preserve">V10</x:t>
        </x:is>
      </x:c>
      <x:c r="AD351" s="57" t="n"/>
      <x:c r="AE351" s="79" t="str">
        <x:f>IF(AND(I351&lt;&gt;"",J351&lt;&gt;"",K351&lt;&gt;"",L351="YES",M351&lt;&gt;"",S351&lt;&gt;"",T351&lt;&gt;"",U351&lt;&gt;"",V351&lt;&gt;"",W351&lt;&gt;"",X351&lt;&gt;"",Y351&lt;&gt;""),"COMPLETE","PENDING")</x:f>
        <x:v>PENDING</x:v>
      </x:c>
      <x:c r="AF351" s="79" t="str">
        <x:f>IF(AE351="COMPLETE","YES","NO")</x:f>
        <x:v>NO</x:v>
      </x:c>
      <x:c r="AG351" s="214" t="str">
        <x:f>IF(AF351&lt;&gt;"YES","",(IF(V351="YES",1,0)+IF(W351="YES",1,0))/2)</x:f>
      </x:c>
    </x:row>
    <x:row r="352">
      <x:c r="A352" s="57" t="inlineStr">
        <x:is>
          <x:t xml:space="preserve">C0347</x:t>
        </x:is>
      </x:c>
      <x:c r="B352" s="57" t="inlineStr">
        <x:is>
          <x:t xml:space="preserve">Development</x:t>
        </x:is>
      </x:c>
      <x:c r="C352" s="57" t="inlineStr">
        <x:is>
          <x:t xml:space="preserve">OPEN</x:t>
        </x:is>
      </x:c>
      <x:c r="D352" s="57" t="inlineStr">
        <x:is>
          <x:t xml:space="preserve">ARG-035</x:t>
        </x:is>
      </x:c>
      <x:c r="E352" s="75" t="str">
        <x:f>INDEX('Company Universe'!$B$6:$B$105,MATCH(D352,'Company Universe'!$A$6:$A$105,0))</x:f>
        <x:v>PayPal</x:v>
      </x:c>
      <x:c r="F352" s="75" t="str">
        <x:f>INDEX('Company Universe'!$C$6:$C$105,MATCH(D352,'Company Universe'!$A$6:$A$105,0))</x:f>
        <x:v>PYPL</x:v>
      </x:c>
      <x:c r="G352" s="75" t="str">
        <x:f>INDEX('Company Universe'!$F$6:$F$105,MATCH(D352,'Company Universe'!$A$6:$A$105,0))</x:f>
        <x:v>Software &amp; Payments</x:v>
      </x:c>
      <x:c r="H352" s="57" t="n">
        <x:v>7</x:v>
      </x:c>
      <x:c r="I352" s="206" t="n"/>
      <x:c r="J352" s="71" t="n"/>
      <x:c r="K352" s="71" t="n"/>
      <x:c r="L352" s="71" t="inlineStr">
        <x:is>
          <x:t xml:space="preserve">NO</x:t>
        </x:is>
      </x:c>
      <x:c r="M352" s="71" t="n"/>
      <x:c r="N352" s="71" t="n"/>
      <x:c r="O352" s="71" t="n"/>
      <x:c r="P352" s="71" t="n"/>
      <x:c r="Q352" s="71" t="n"/>
      <x:c r="R352" s="71" t="n"/>
      <x:c r="S352" s="206" t="n"/>
      <x:c r="T352" s="71" t="n"/>
      <x:c r="U352" s="71" t="n"/>
      <x:c r="V352" s="71" t="n"/>
      <x:c r="W352" s="71" t="n"/>
      <x:c r="X352" s="71" t="n"/>
      <x:c r="Y352" s="71" t="n"/>
      <x:c r="Z352" s="71" t="n"/>
      <x:c r="AA352" s="71" t="n"/>
      <x:c r="AB352" s="71" t="inlineStr">
        <x:is>
          <x:t xml:space="preserve">NO</x:t>
        </x:is>
      </x:c>
      <x:c r="AC352" s="57" t="inlineStr">
        <x:is>
          <x:t xml:space="preserve">V10</x:t>
        </x:is>
      </x:c>
      <x:c r="AD352" s="57" t="n"/>
      <x:c r="AE352" s="79" t="str">
        <x:f>IF(AND(I352&lt;&gt;"",J352&lt;&gt;"",K352&lt;&gt;"",L352="YES",M352&lt;&gt;"",S352&lt;&gt;"",T352&lt;&gt;"",U352&lt;&gt;"",V352&lt;&gt;"",W352&lt;&gt;"",X352&lt;&gt;"",Y352&lt;&gt;""),"COMPLETE","PENDING")</x:f>
        <x:v>PENDING</x:v>
      </x:c>
      <x:c r="AF352" s="79" t="str">
        <x:f>IF(AE352="COMPLETE","YES","NO")</x:f>
        <x:v>NO</x:v>
      </x:c>
      <x:c r="AG352" s="214" t="str">
        <x:f>IF(AF352&lt;&gt;"YES","",(IF(V352="YES",1,0)+IF(W352="YES",1,0))/2)</x:f>
      </x:c>
    </x:row>
    <x:row r="353">
      <x:c r="A353" s="57" t="inlineStr">
        <x:is>
          <x:t xml:space="preserve">C0348</x:t>
        </x:is>
      </x:c>
      <x:c r="B353" s="57" t="inlineStr">
        <x:is>
          <x:t xml:space="preserve">Development</x:t>
        </x:is>
      </x:c>
      <x:c r="C353" s="57" t="inlineStr">
        <x:is>
          <x:t xml:space="preserve">OPEN</x:t>
        </x:is>
      </x:c>
      <x:c r="D353" s="57" t="inlineStr">
        <x:is>
          <x:t xml:space="preserve">ARG-035</x:t>
        </x:is>
      </x:c>
      <x:c r="E353" s="75" t="str">
        <x:f>INDEX('Company Universe'!$B$6:$B$105,MATCH(D353,'Company Universe'!$A$6:$A$105,0))</x:f>
        <x:v>PayPal</x:v>
      </x:c>
      <x:c r="F353" s="75" t="str">
        <x:f>INDEX('Company Universe'!$C$6:$C$105,MATCH(D353,'Company Universe'!$A$6:$A$105,0))</x:f>
        <x:v>PYPL</x:v>
      </x:c>
      <x:c r="G353" s="75" t="str">
        <x:f>INDEX('Company Universe'!$F$6:$F$105,MATCH(D353,'Company Universe'!$A$6:$A$105,0))</x:f>
        <x:v>Software &amp; Payments</x:v>
      </x:c>
      <x:c r="H353" s="57" t="n">
        <x:v>8</x:v>
      </x:c>
      <x:c r="I353" s="206" t="n"/>
      <x:c r="J353" s="71" t="n"/>
      <x:c r="K353" s="71" t="n"/>
      <x:c r="L353" s="71" t="inlineStr">
        <x:is>
          <x:t xml:space="preserve">NO</x:t>
        </x:is>
      </x:c>
      <x:c r="M353" s="71" t="n"/>
      <x:c r="N353" s="71" t="n"/>
      <x:c r="O353" s="71" t="n"/>
      <x:c r="P353" s="71" t="n"/>
      <x:c r="Q353" s="71" t="n"/>
      <x:c r="R353" s="71" t="n"/>
      <x:c r="S353" s="206" t="n"/>
      <x:c r="T353" s="71" t="n"/>
      <x:c r="U353" s="71" t="n"/>
      <x:c r="V353" s="71" t="n"/>
      <x:c r="W353" s="71" t="n"/>
      <x:c r="X353" s="71" t="n"/>
      <x:c r="Y353" s="71" t="n"/>
      <x:c r="Z353" s="71" t="n"/>
      <x:c r="AA353" s="71" t="n"/>
      <x:c r="AB353" s="71" t="inlineStr">
        <x:is>
          <x:t xml:space="preserve">NO</x:t>
        </x:is>
      </x:c>
      <x:c r="AC353" s="57" t="inlineStr">
        <x:is>
          <x:t xml:space="preserve">V10</x:t>
        </x:is>
      </x:c>
      <x:c r="AD353" s="57" t="n"/>
      <x:c r="AE353" s="79" t="str">
        <x:f>IF(AND(I353&lt;&gt;"",J353&lt;&gt;"",K353&lt;&gt;"",L353="YES",M353&lt;&gt;"",S353&lt;&gt;"",T353&lt;&gt;"",U353&lt;&gt;"",V353&lt;&gt;"",W353&lt;&gt;"",X353&lt;&gt;"",Y353&lt;&gt;""),"COMPLETE","PENDING")</x:f>
        <x:v>PENDING</x:v>
      </x:c>
      <x:c r="AF353" s="79" t="str">
        <x:f>IF(AE353="COMPLETE","YES","NO")</x:f>
        <x:v>NO</x:v>
      </x:c>
      <x:c r="AG353" s="214" t="str">
        <x:f>IF(AF353&lt;&gt;"YES","",(IF(V353="YES",1,0)+IF(W353="YES",1,0))/2)</x:f>
      </x:c>
    </x:row>
    <x:row r="354">
      <x:c r="A354" s="57" t="inlineStr">
        <x:is>
          <x:t xml:space="preserve">C0349</x:t>
        </x:is>
      </x:c>
      <x:c r="B354" s="57" t="inlineStr">
        <x:is>
          <x:t xml:space="preserve">Development</x:t>
        </x:is>
      </x:c>
      <x:c r="C354" s="57" t="inlineStr">
        <x:is>
          <x:t xml:space="preserve">OPEN</x:t>
        </x:is>
      </x:c>
      <x:c r="D354" s="57" t="inlineStr">
        <x:is>
          <x:t xml:space="preserve">ARG-035</x:t>
        </x:is>
      </x:c>
      <x:c r="E354" s="75" t="str">
        <x:f>INDEX('Company Universe'!$B$6:$B$105,MATCH(D354,'Company Universe'!$A$6:$A$105,0))</x:f>
        <x:v>PayPal</x:v>
      </x:c>
      <x:c r="F354" s="75" t="str">
        <x:f>INDEX('Company Universe'!$C$6:$C$105,MATCH(D354,'Company Universe'!$A$6:$A$105,0))</x:f>
        <x:v>PYPL</x:v>
      </x:c>
      <x:c r="G354" s="75" t="str">
        <x:f>INDEX('Company Universe'!$F$6:$F$105,MATCH(D354,'Company Universe'!$A$6:$A$105,0))</x:f>
        <x:v>Software &amp; Payments</x:v>
      </x:c>
      <x:c r="H354" s="57" t="n">
        <x:v>9</x:v>
      </x:c>
      <x:c r="I354" s="206" t="n"/>
      <x:c r="J354" s="71" t="n"/>
      <x:c r="K354" s="71" t="n"/>
      <x:c r="L354" s="71" t="inlineStr">
        <x:is>
          <x:t xml:space="preserve">NO</x:t>
        </x:is>
      </x:c>
      <x:c r="M354" s="71" t="n"/>
      <x:c r="N354" s="71" t="n"/>
      <x:c r="O354" s="71" t="n"/>
      <x:c r="P354" s="71" t="n"/>
      <x:c r="Q354" s="71" t="n"/>
      <x:c r="R354" s="71" t="n"/>
      <x:c r="S354" s="206" t="n"/>
      <x:c r="T354" s="71" t="n"/>
      <x:c r="U354" s="71" t="n"/>
      <x:c r="V354" s="71" t="n"/>
      <x:c r="W354" s="71" t="n"/>
      <x:c r="X354" s="71" t="n"/>
      <x:c r="Y354" s="71" t="n"/>
      <x:c r="Z354" s="71" t="n"/>
      <x:c r="AA354" s="71" t="n"/>
      <x:c r="AB354" s="71" t="inlineStr">
        <x:is>
          <x:t xml:space="preserve">NO</x:t>
        </x:is>
      </x:c>
      <x:c r="AC354" s="57" t="inlineStr">
        <x:is>
          <x:t xml:space="preserve">V10</x:t>
        </x:is>
      </x:c>
      <x:c r="AD354" s="57" t="n"/>
      <x:c r="AE354" s="79" t="str">
        <x:f>IF(AND(I354&lt;&gt;"",J354&lt;&gt;"",K354&lt;&gt;"",L354="YES",M354&lt;&gt;"",S354&lt;&gt;"",T354&lt;&gt;"",U354&lt;&gt;"",V354&lt;&gt;"",W354&lt;&gt;"",X354&lt;&gt;"",Y354&lt;&gt;""),"COMPLETE","PENDING")</x:f>
        <x:v>PENDING</x:v>
      </x:c>
      <x:c r="AF354" s="79" t="str">
        <x:f>IF(AE354="COMPLETE","YES","NO")</x:f>
        <x:v>NO</x:v>
      </x:c>
      <x:c r="AG354" s="214" t="str">
        <x:f>IF(AF354&lt;&gt;"YES","",(IF(V354="YES",1,0)+IF(W354="YES",1,0))/2)</x:f>
      </x:c>
    </x:row>
    <x:row r="355">
      <x:c r="A355" s="57" t="inlineStr">
        <x:is>
          <x:t xml:space="preserve">C0350</x:t>
        </x:is>
      </x:c>
      <x:c r="B355" s="57" t="inlineStr">
        <x:is>
          <x:t xml:space="preserve">Development</x:t>
        </x:is>
      </x:c>
      <x:c r="C355" s="57" t="inlineStr">
        <x:is>
          <x:t xml:space="preserve">OPEN</x:t>
        </x:is>
      </x:c>
      <x:c r="D355" s="57" t="inlineStr">
        <x:is>
          <x:t xml:space="preserve">ARG-035</x:t>
        </x:is>
      </x:c>
      <x:c r="E355" s="75" t="str">
        <x:f>INDEX('Company Universe'!$B$6:$B$105,MATCH(D355,'Company Universe'!$A$6:$A$105,0))</x:f>
        <x:v>PayPal</x:v>
      </x:c>
      <x:c r="F355" s="75" t="str">
        <x:f>INDEX('Company Universe'!$C$6:$C$105,MATCH(D355,'Company Universe'!$A$6:$A$105,0))</x:f>
        <x:v>PYPL</x:v>
      </x:c>
      <x:c r="G355" s="75" t="str">
        <x:f>INDEX('Company Universe'!$F$6:$F$105,MATCH(D355,'Company Universe'!$A$6:$A$105,0))</x:f>
        <x:v>Software &amp; Payments</x:v>
      </x:c>
      <x:c r="H355" s="57" t="n">
        <x:v>10</x:v>
      </x:c>
      <x:c r="I355" s="206" t="n"/>
      <x:c r="J355" s="71" t="n"/>
      <x:c r="K355" s="71" t="n"/>
      <x:c r="L355" s="71" t="inlineStr">
        <x:is>
          <x:t xml:space="preserve">NO</x:t>
        </x:is>
      </x:c>
      <x:c r="M355" s="71" t="n"/>
      <x:c r="N355" s="71" t="n"/>
      <x:c r="O355" s="71" t="n"/>
      <x:c r="P355" s="71" t="n"/>
      <x:c r="Q355" s="71" t="n"/>
      <x:c r="R355" s="71" t="n"/>
      <x:c r="S355" s="206" t="n"/>
      <x:c r="T355" s="71" t="n"/>
      <x:c r="U355" s="71" t="n"/>
      <x:c r="V355" s="71" t="n"/>
      <x:c r="W355" s="71" t="n"/>
      <x:c r="X355" s="71" t="n"/>
      <x:c r="Y355" s="71" t="n"/>
      <x:c r="Z355" s="71" t="n"/>
      <x:c r="AA355" s="71" t="n"/>
      <x:c r="AB355" s="71" t="inlineStr">
        <x:is>
          <x:t xml:space="preserve">NO</x:t>
        </x:is>
      </x:c>
      <x:c r="AC355" s="57" t="inlineStr">
        <x:is>
          <x:t xml:space="preserve">V10</x:t>
        </x:is>
      </x:c>
      <x:c r="AD355" s="57" t="n"/>
      <x:c r="AE355" s="79" t="str">
        <x:f>IF(AND(I355&lt;&gt;"",J355&lt;&gt;"",K355&lt;&gt;"",L355="YES",M355&lt;&gt;"",S355&lt;&gt;"",T355&lt;&gt;"",U355&lt;&gt;"",V355&lt;&gt;"",W355&lt;&gt;"",X355&lt;&gt;"",Y355&lt;&gt;""),"COMPLETE","PENDING")</x:f>
        <x:v>PENDING</x:v>
      </x:c>
      <x:c r="AF355" s="79" t="str">
        <x:f>IF(AE355="COMPLETE","YES","NO")</x:f>
        <x:v>NO</x:v>
      </x:c>
      <x:c r="AG355" s="214" t="str">
        <x:f>IF(AF355&lt;&gt;"YES","",(IF(V355="YES",1,0)+IF(W355="YES",1,0))/2)</x:f>
      </x:c>
    </x:row>
    <x:row r="356">
      <x:c r="A356" s="57" t="inlineStr">
        <x:is>
          <x:t xml:space="preserve">C0351</x:t>
        </x:is>
      </x:c>
      <x:c r="B356" s="57" t="inlineStr">
        <x:is>
          <x:t xml:space="preserve">Development</x:t>
        </x:is>
      </x:c>
      <x:c r="C356" s="57" t="inlineStr">
        <x:is>
          <x:t xml:space="preserve">OPEN</x:t>
        </x:is>
      </x:c>
      <x:c r="D356" s="57" t="inlineStr">
        <x:is>
          <x:t xml:space="preserve">ARG-036</x:t>
        </x:is>
      </x:c>
      <x:c r="E356" s="75" t="str">
        <x:f>INDEX('Company Universe'!$B$6:$B$105,MATCH(D356,'Company Universe'!$A$6:$A$105,0))</x:f>
        <x:v>JPMorgan Chase</x:v>
      </x:c>
      <x:c r="F356" s="75" t="str">
        <x:f>INDEX('Company Universe'!$C$6:$C$105,MATCH(D356,'Company Universe'!$A$6:$A$105,0))</x:f>
        <x:v>JPM</x:v>
      </x:c>
      <x:c r="G356" s="75" t="str">
        <x:f>INDEX('Company Universe'!$F$6:$F$105,MATCH(D356,'Company Universe'!$A$6:$A$105,0))</x:f>
        <x:v>Banks</x:v>
      </x:c>
      <x:c r="H356" s="57" t="n">
        <x:v>1</x:v>
      </x:c>
      <x:c r="I356" s="206" t="n"/>
      <x:c r="J356" s="71" t="n"/>
      <x:c r="K356" s="71" t="n"/>
      <x:c r="L356" s="71" t="inlineStr">
        <x:is>
          <x:t xml:space="preserve">NO</x:t>
        </x:is>
      </x:c>
      <x:c r="M356" s="71" t="n"/>
      <x:c r="N356" s="71" t="n"/>
      <x:c r="O356" s="71" t="n"/>
      <x:c r="P356" s="71" t="n"/>
      <x:c r="Q356" s="71" t="n"/>
      <x:c r="R356" s="71" t="n"/>
      <x:c r="S356" s="206" t="n"/>
      <x:c r="T356" s="71" t="n"/>
      <x:c r="U356" s="71" t="n"/>
      <x:c r="V356" s="71" t="n"/>
      <x:c r="W356" s="71" t="n"/>
      <x:c r="X356" s="71" t="n"/>
      <x:c r="Y356" s="71" t="n"/>
      <x:c r="Z356" s="71" t="n"/>
      <x:c r="AA356" s="71" t="n"/>
      <x:c r="AB356" s="71" t="inlineStr">
        <x:is>
          <x:t xml:space="preserve">NO</x:t>
        </x:is>
      </x:c>
      <x:c r="AC356" s="57" t="inlineStr">
        <x:is>
          <x:t xml:space="preserve">V10</x:t>
        </x:is>
      </x:c>
      <x:c r="AD356" s="57" t="n"/>
      <x:c r="AE356" s="79" t="str">
        <x:f>IF(AND(I356&lt;&gt;"",J356&lt;&gt;"",K356&lt;&gt;"",L356="YES",M356&lt;&gt;"",S356&lt;&gt;"",T356&lt;&gt;"",U356&lt;&gt;"",V356&lt;&gt;"",W356&lt;&gt;"",X356&lt;&gt;"",Y356&lt;&gt;""),"COMPLETE","PENDING")</x:f>
        <x:v>PENDING</x:v>
      </x:c>
      <x:c r="AF356" s="79" t="str">
        <x:f>IF(AE356="COMPLETE","YES","NO")</x:f>
        <x:v>NO</x:v>
      </x:c>
      <x:c r="AG356" s="214" t="str">
        <x:f>IF(AF356&lt;&gt;"YES","",(IF(V356="YES",1,0)+IF(W356="YES",1,0))/2)</x:f>
      </x:c>
    </x:row>
    <x:row r="357">
      <x:c r="A357" s="57" t="inlineStr">
        <x:is>
          <x:t xml:space="preserve">C0352</x:t>
        </x:is>
      </x:c>
      <x:c r="B357" s="57" t="inlineStr">
        <x:is>
          <x:t xml:space="preserve">Development</x:t>
        </x:is>
      </x:c>
      <x:c r="C357" s="57" t="inlineStr">
        <x:is>
          <x:t xml:space="preserve">OPEN</x:t>
        </x:is>
      </x:c>
      <x:c r="D357" s="57" t="inlineStr">
        <x:is>
          <x:t xml:space="preserve">ARG-036</x:t>
        </x:is>
      </x:c>
      <x:c r="E357" s="75" t="str">
        <x:f>INDEX('Company Universe'!$B$6:$B$105,MATCH(D357,'Company Universe'!$A$6:$A$105,0))</x:f>
        <x:v>JPMorgan Chase</x:v>
      </x:c>
      <x:c r="F357" s="75" t="str">
        <x:f>INDEX('Company Universe'!$C$6:$C$105,MATCH(D357,'Company Universe'!$A$6:$A$105,0))</x:f>
        <x:v>JPM</x:v>
      </x:c>
      <x:c r="G357" s="75" t="str">
        <x:f>INDEX('Company Universe'!$F$6:$F$105,MATCH(D357,'Company Universe'!$A$6:$A$105,0))</x:f>
        <x:v>Banks</x:v>
      </x:c>
      <x:c r="H357" s="57" t="n">
        <x:v>2</x:v>
      </x:c>
      <x:c r="I357" s="206" t="n"/>
      <x:c r="J357" s="71" t="n"/>
      <x:c r="K357" s="71" t="n"/>
      <x:c r="L357" s="71" t="inlineStr">
        <x:is>
          <x:t xml:space="preserve">NO</x:t>
        </x:is>
      </x:c>
      <x:c r="M357" s="71" t="n"/>
      <x:c r="N357" s="71" t="n"/>
      <x:c r="O357" s="71" t="n"/>
      <x:c r="P357" s="71" t="n"/>
      <x:c r="Q357" s="71" t="n"/>
      <x:c r="R357" s="71" t="n"/>
      <x:c r="S357" s="206" t="n"/>
      <x:c r="T357" s="71" t="n"/>
      <x:c r="U357" s="71" t="n"/>
      <x:c r="V357" s="71" t="n"/>
      <x:c r="W357" s="71" t="n"/>
      <x:c r="X357" s="71" t="n"/>
      <x:c r="Y357" s="71" t="n"/>
      <x:c r="Z357" s="71" t="n"/>
      <x:c r="AA357" s="71" t="n"/>
      <x:c r="AB357" s="71" t="inlineStr">
        <x:is>
          <x:t xml:space="preserve">NO</x:t>
        </x:is>
      </x:c>
      <x:c r="AC357" s="57" t="inlineStr">
        <x:is>
          <x:t xml:space="preserve">V10</x:t>
        </x:is>
      </x:c>
      <x:c r="AD357" s="57" t="n"/>
      <x:c r="AE357" s="79" t="str">
        <x:f>IF(AND(I357&lt;&gt;"",J357&lt;&gt;"",K357&lt;&gt;"",L357="YES",M357&lt;&gt;"",S357&lt;&gt;"",T357&lt;&gt;"",U357&lt;&gt;"",V357&lt;&gt;"",W357&lt;&gt;"",X357&lt;&gt;"",Y357&lt;&gt;""),"COMPLETE","PENDING")</x:f>
        <x:v>PENDING</x:v>
      </x:c>
      <x:c r="AF357" s="79" t="str">
        <x:f>IF(AE357="COMPLETE","YES","NO")</x:f>
        <x:v>NO</x:v>
      </x:c>
      <x:c r="AG357" s="214" t="str">
        <x:f>IF(AF357&lt;&gt;"YES","",(IF(V357="YES",1,0)+IF(W357="YES",1,0))/2)</x:f>
      </x:c>
    </x:row>
    <x:row r="358">
      <x:c r="A358" s="57" t="inlineStr">
        <x:is>
          <x:t xml:space="preserve">C0353</x:t>
        </x:is>
      </x:c>
      <x:c r="B358" s="57" t="inlineStr">
        <x:is>
          <x:t xml:space="preserve">Development</x:t>
        </x:is>
      </x:c>
      <x:c r="C358" s="57" t="inlineStr">
        <x:is>
          <x:t xml:space="preserve">OPEN</x:t>
        </x:is>
      </x:c>
      <x:c r="D358" s="57" t="inlineStr">
        <x:is>
          <x:t xml:space="preserve">ARG-036</x:t>
        </x:is>
      </x:c>
      <x:c r="E358" s="75" t="str">
        <x:f>INDEX('Company Universe'!$B$6:$B$105,MATCH(D358,'Company Universe'!$A$6:$A$105,0))</x:f>
        <x:v>JPMorgan Chase</x:v>
      </x:c>
      <x:c r="F358" s="75" t="str">
        <x:f>INDEX('Company Universe'!$C$6:$C$105,MATCH(D358,'Company Universe'!$A$6:$A$105,0))</x:f>
        <x:v>JPM</x:v>
      </x:c>
      <x:c r="G358" s="75" t="str">
        <x:f>INDEX('Company Universe'!$F$6:$F$105,MATCH(D358,'Company Universe'!$A$6:$A$105,0))</x:f>
        <x:v>Banks</x:v>
      </x:c>
      <x:c r="H358" s="57" t="n">
        <x:v>3</x:v>
      </x:c>
      <x:c r="I358" s="206" t="n"/>
      <x:c r="J358" s="71" t="n"/>
      <x:c r="K358" s="71" t="n"/>
      <x:c r="L358" s="71" t="inlineStr">
        <x:is>
          <x:t xml:space="preserve">NO</x:t>
        </x:is>
      </x:c>
      <x:c r="M358" s="71" t="n"/>
      <x:c r="N358" s="71" t="n"/>
      <x:c r="O358" s="71" t="n"/>
      <x:c r="P358" s="71" t="n"/>
      <x:c r="Q358" s="71" t="n"/>
      <x:c r="R358" s="71" t="n"/>
      <x:c r="S358" s="206" t="n"/>
      <x:c r="T358" s="71" t="n"/>
      <x:c r="U358" s="71" t="n"/>
      <x:c r="V358" s="71" t="n"/>
      <x:c r="W358" s="71" t="n"/>
      <x:c r="X358" s="71" t="n"/>
      <x:c r="Y358" s="71" t="n"/>
      <x:c r="Z358" s="71" t="n"/>
      <x:c r="AA358" s="71" t="n"/>
      <x:c r="AB358" s="71" t="inlineStr">
        <x:is>
          <x:t xml:space="preserve">NO</x:t>
        </x:is>
      </x:c>
      <x:c r="AC358" s="57" t="inlineStr">
        <x:is>
          <x:t xml:space="preserve">V10</x:t>
        </x:is>
      </x:c>
      <x:c r="AD358" s="57" t="n"/>
      <x:c r="AE358" s="79" t="str">
        <x:f>IF(AND(I358&lt;&gt;"",J358&lt;&gt;"",K358&lt;&gt;"",L358="YES",M358&lt;&gt;"",S358&lt;&gt;"",T358&lt;&gt;"",U358&lt;&gt;"",V358&lt;&gt;"",W358&lt;&gt;"",X358&lt;&gt;"",Y358&lt;&gt;""),"COMPLETE","PENDING")</x:f>
        <x:v>PENDING</x:v>
      </x:c>
      <x:c r="AF358" s="79" t="str">
        <x:f>IF(AE358="COMPLETE","YES","NO")</x:f>
        <x:v>NO</x:v>
      </x:c>
      <x:c r="AG358" s="214" t="str">
        <x:f>IF(AF358&lt;&gt;"YES","",(IF(V358="YES",1,0)+IF(W358="YES",1,0))/2)</x:f>
      </x:c>
    </x:row>
    <x:row r="359">
      <x:c r="A359" s="57" t="inlineStr">
        <x:is>
          <x:t xml:space="preserve">C0354</x:t>
        </x:is>
      </x:c>
      <x:c r="B359" s="57" t="inlineStr">
        <x:is>
          <x:t xml:space="preserve">Development</x:t>
        </x:is>
      </x:c>
      <x:c r="C359" s="57" t="inlineStr">
        <x:is>
          <x:t xml:space="preserve">OPEN</x:t>
        </x:is>
      </x:c>
      <x:c r="D359" s="57" t="inlineStr">
        <x:is>
          <x:t xml:space="preserve">ARG-036</x:t>
        </x:is>
      </x:c>
      <x:c r="E359" s="75" t="str">
        <x:f>INDEX('Company Universe'!$B$6:$B$105,MATCH(D359,'Company Universe'!$A$6:$A$105,0))</x:f>
        <x:v>JPMorgan Chase</x:v>
      </x:c>
      <x:c r="F359" s="75" t="str">
        <x:f>INDEX('Company Universe'!$C$6:$C$105,MATCH(D359,'Company Universe'!$A$6:$A$105,0))</x:f>
        <x:v>JPM</x:v>
      </x:c>
      <x:c r="G359" s="75" t="str">
        <x:f>INDEX('Company Universe'!$F$6:$F$105,MATCH(D359,'Company Universe'!$A$6:$A$105,0))</x:f>
        <x:v>Banks</x:v>
      </x:c>
      <x:c r="H359" s="57" t="n">
        <x:v>4</x:v>
      </x:c>
      <x:c r="I359" s="206" t="n"/>
      <x:c r="J359" s="71" t="n"/>
      <x:c r="K359" s="71" t="n"/>
      <x:c r="L359" s="71" t="inlineStr">
        <x:is>
          <x:t xml:space="preserve">NO</x:t>
        </x:is>
      </x:c>
      <x:c r="M359" s="71" t="n"/>
      <x:c r="N359" s="71" t="n"/>
      <x:c r="O359" s="71" t="n"/>
      <x:c r="P359" s="71" t="n"/>
      <x:c r="Q359" s="71" t="n"/>
      <x:c r="R359" s="71" t="n"/>
      <x:c r="S359" s="206" t="n"/>
      <x:c r="T359" s="71" t="n"/>
      <x:c r="U359" s="71" t="n"/>
      <x:c r="V359" s="71" t="n"/>
      <x:c r="W359" s="71" t="n"/>
      <x:c r="X359" s="71" t="n"/>
      <x:c r="Y359" s="71" t="n"/>
      <x:c r="Z359" s="71" t="n"/>
      <x:c r="AA359" s="71" t="n"/>
      <x:c r="AB359" s="71" t="inlineStr">
        <x:is>
          <x:t xml:space="preserve">NO</x:t>
        </x:is>
      </x:c>
      <x:c r="AC359" s="57" t="inlineStr">
        <x:is>
          <x:t xml:space="preserve">V10</x:t>
        </x:is>
      </x:c>
      <x:c r="AD359" s="57" t="n"/>
      <x:c r="AE359" s="79" t="str">
        <x:f>IF(AND(I359&lt;&gt;"",J359&lt;&gt;"",K359&lt;&gt;"",L359="YES",M359&lt;&gt;"",S359&lt;&gt;"",T359&lt;&gt;"",U359&lt;&gt;"",V359&lt;&gt;"",W359&lt;&gt;"",X359&lt;&gt;"",Y359&lt;&gt;""),"COMPLETE","PENDING")</x:f>
        <x:v>PENDING</x:v>
      </x:c>
      <x:c r="AF359" s="79" t="str">
        <x:f>IF(AE359="COMPLETE","YES","NO")</x:f>
        <x:v>NO</x:v>
      </x:c>
      <x:c r="AG359" s="214" t="str">
        <x:f>IF(AF359&lt;&gt;"YES","",(IF(V359="YES",1,0)+IF(W359="YES",1,0))/2)</x:f>
      </x:c>
    </x:row>
    <x:row r="360">
      <x:c r="A360" s="57" t="inlineStr">
        <x:is>
          <x:t xml:space="preserve">C0355</x:t>
        </x:is>
      </x:c>
      <x:c r="B360" s="57" t="inlineStr">
        <x:is>
          <x:t xml:space="preserve">Development</x:t>
        </x:is>
      </x:c>
      <x:c r="C360" s="57" t="inlineStr">
        <x:is>
          <x:t xml:space="preserve">OPEN</x:t>
        </x:is>
      </x:c>
      <x:c r="D360" s="57" t="inlineStr">
        <x:is>
          <x:t xml:space="preserve">ARG-036</x:t>
        </x:is>
      </x:c>
      <x:c r="E360" s="75" t="str">
        <x:f>INDEX('Company Universe'!$B$6:$B$105,MATCH(D360,'Company Universe'!$A$6:$A$105,0))</x:f>
        <x:v>JPMorgan Chase</x:v>
      </x:c>
      <x:c r="F360" s="75" t="str">
        <x:f>INDEX('Company Universe'!$C$6:$C$105,MATCH(D360,'Company Universe'!$A$6:$A$105,0))</x:f>
        <x:v>JPM</x:v>
      </x:c>
      <x:c r="G360" s="75" t="str">
        <x:f>INDEX('Company Universe'!$F$6:$F$105,MATCH(D360,'Company Universe'!$A$6:$A$105,0))</x:f>
        <x:v>Banks</x:v>
      </x:c>
      <x:c r="H360" s="57" t="n">
        <x:v>5</x:v>
      </x:c>
      <x:c r="I360" s="206" t="n"/>
      <x:c r="J360" s="71" t="n"/>
      <x:c r="K360" s="71" t="n"/>
      <x:c r="L360" s="71" t="inlineStr">
        <x:is>
          <x:t xml:space="preserve">NO</x:t>
        </x:is>
      </x:c>
      <x:c r="M360" s="71" t="n"/>
      <x:c r="N360" s="71" t="n"/>
      <x:c r="O360" s="71" t="n"/>
      <x:c r="P360" s="71" t="n"/>
      <x:c r="Q360" s="71" t="n"/>
      <x:c r="R360" s="71" t="n"/>
      <x:c r="S360" s="206" t="n"/>
      <x:c r="T360" s="71" t="n"/>
      <x:c r="U360" s="71" t="n"/>
      <x:c r="V360" s="71" t="n"/>
      <x:c r="W360" s="71" t="n"/>
      <x:c r="X360" s="71" t="n"/>
      <x:c r="Y360" s="71" t="n"/>
      <x:c r="Z360" s="71" t="n"/>
      <x:c r="AA360" s="71" t="n"/>
      <x:c r="AB360" s="71" t="inlineStr">
        <x:is>
          <x:t xml:space="preserve">NO</x:t>
        </x:is>
      </x:c>
      <x:c r="AC360" s="57" t="inlineStr">
        <x:is>
          <x:t xml:space="preserve">V10</x:t>
        </x:is>
      </x:c>
      <x:c r="AD360" s="57" t="n"/>
      <x:c r="AE360" s="79" t="str">
        <x:f>IF(AND(I360&lt;&gt;"",J360&lt;&gt;"",K360&lt;&gt;"",L360="YES",M360&lt;&gt;"",S360&lt;&gt;"",T360&lt;&gt;"",U360&lt;&gt;"",V360&lt;&gt;"",W360&lt;&gt;"",X360&lt;&gt;"",Y360&lt;&gt;""),"COMPLETE","PENDING")</x:f>
        <x:v>PENDING</x:v>
      </x:c>
      <x:c r="AF360" s="79" t="str">
        <x:f>IF(AE360="COMPLETE","YES","NO")</x:f>
        <x:v>NO</x:v>
      </x:c>
      <x:c r="AG360" s="214" t="str">
        <x:f>IF(AF360&lt;&gt;"YES","",(IF(V360="YES",1,0)+IF(W360="YES",1,0))/2)</x:f>
      </x:c>
    </x:row>
    <x:row r="361">
      <x:c r="A361" s="57" t="inlineStr">
        <x:is>
          <x:t xml:space="preserve">C0356</x:t>
        </x:is>
      </x:c>
      <x:c r="B361" s="57" t="inlineStr">
        <x:is>
          <x:t xml:space="preserve">Development</x:t>
        </x:is>
      </x:c>
      <x:c r="C361" s="57" t="inlineStr">
        <x:is>
          <x:t xml:space="preserve">OPEN</x:t>
        </x:is>
      </x:c>
      <x:c r="D361" s="57" t="inlineStr">
        <x:is>
          <x:t xml:space="preserve">ARG-036</x:t>
        </x:is>
      </x:c>
      <x:c r="E361" s="75" t="str">
        <x:f>INDEX('Company Universe'!$B$6:$B$105,MATCH(D361,'Company Universe'!$A$6:$A$105,0))</x:f>
        <x:v>JPMorgan Chase</x:v>
      </x:c>
      <x:c r="F361" s="75" t="str">
        <x:f>INDEX('Company Universe'!$C$6:$C$105,MATCH(D361,'Company Universe'!$A$6:$A$105,0))</x:f>
        <x:v>JPM</x:v>
      </x:c>
      <x:c r="G361" s="75" t="str">
        <x:f>INDEX('Company Universe'!$F$6:$F$105,MATCH(D361,'Company Universe'!$A$6:$A$105,0))</x:f>
        <x:v>Banks</x:v>
      </x:c>
      <x:c r="H361" s="57" t="n">
        <x:v>6</x:v>
      </x:c>
      <x:c r="I361" s="206" t="n"/>
      <x:c r="J361" s="71" t="n"/>
      <x:c r="K361" s="71" t="n"/>
      <x:c r="L361" s="71" t="inlineStr">
        <x:is>
          <x:t xml:space="preserve">NO</x:t>
        </x:is>
      </x:c>
      <x:c r="M361" s="71" t="n"/>
      <x:c r="N361" s="71" t="n"/>
      <x:c r="O361" s="71" t="n"/>
      <x:c r="P361" s="71" t="n"/>
      <x:c r="Q361" s="71" t="n"/>
      <x:c r="R361" s="71" t="n"/>
      <x:c r="S361" s="206" t="n"/>
      <x:c r="T361" s="71" t="n"/>
      <x:c r="U361" s="71" t="n"/>
      <x:c r="V361" s="71" t="n"/>
      <x:c r="W361" s="71" t="n"/>
      <x:c r="X361" s="71" t="n"/>
      <x:c r="Y361" s="71" t="n"/>
      <x:c r="Z361" s="71" t="n"/>
      <x:c r="AA361" s="71" t="n"/>
      <x:c r="AB361" s="71" t="inlineStr">
        <x:is>
          <x:t xml:space="preserve">NO</x:t>
        </x:is>
      </x:c>
      <x:c r="AC361" s="57" t="inlineStr">
        <x:is>
          <x:t xml:space="preserve">V10</x:t>
        </x:is>
      </x:c>
      <x:c r="AD361" s="57" t="n"/>
      <x:c r="AE361" s="79" t="str">
        <x:f>IF(AND(I361&lt;&gt;"",J361&lt;&gt;"",K361&lt;&gt;"",L361="YES",M361&lt;&gt;"",S361&lt;&gt;"",T361&lt;&gt;"",U361&lt;&gt;"",V361&lt;&gt;"",W361&lt;&gt;"",X361&lt;&gt;"",Y361&lt;&gt;""),"COMPLETE","PENDING")</x:f>
        <x:v>PENDING</x:v>
      </x:c>
      <x:c r="AF361" s="79" t="str">
        <x:f>IF(AE361="COMPLETE","YES","NO")</x:f>
        <x:v>NO</x:v>
      </x:c>
      <x:c r="AG361" s="214" t="str">
        <x:f>IF(AF361&lt;&gt;"YES","",(IF(V361="YES",1,0)+IF(W361="YES",1,0))/2)</x:f>
      </x:c>
    </x:row>
    <x:row r="362">
      <x:c r="A362" s="57" t="inlineStr">
        <x:is>
          <x:t xml:space="preserve">C0357</x:t>
        </x:is>
      </x:c>
      <x:c r="B362" s="57" t="inlineStr">
        <x:is>
          <x:t xml:space="preserve">Development</x:t>
        </x:is>
      </x:c>
      <x:c r="C362" s="57" t="inlineStr">
        <x:is>
          <x:t xml:space="preserve">OPEN</x:t>
        </x:is>
      </x:c>
      <x:c r="D362" s="57" t="inlineStr">
        <x:is>
          <x:t xml:space="preserve">ARG-036</x:t>
        </x:is>
      </x:c>
      <x:c r="E362" s="75" t="str">
        <x:f>INDEX('Company Universe'!$B$6:$B$105,MATCH(D362,'Company Universe'!$A$6:$A$105,0))</x:f>
        <x:v>JPMorgan Chase</x:v>
      </x:c>
      <x:c r="F362" s="75" t="str">
        <x:f>INDEX('Company Universe'!$C$6:$C$105,MATCH(D362,'Company Universe'!$A$6:$A$105,0))</x:f>
        <x:v>JPM</x:v>
      </x:c>
      <x:c r="G362" s="75" t="str">
        <x:f>INDEX('Company Universe'!$F$6:$F$105,MATCH(D362,'Company Universe'!$A$6:$A$105,0))</x:f>
        <x:v>Banks</x:v>
      </x:c>
      <x:c r="H362" s="57" t="n">
        <x:v>7</x:v>
      </x:c>
      <x:c r="I362" s="206" t="n"/>
      <x:c r="J362" s="71" t="n"/>
      <x:c r="K362" s="71" t="n"/>
      <x:c r="L362" s="71" t="inlineStr">
        <x:is>
          <x:t xml:space="preserve">NO</x:t>
        </x:is>
      </x:c>
      <x:c r="M362" s="71" t="n"/>
      <x:c r="N362" s="71" t="n"/>
      <x:c r="O362" s="71" t="n"/>
      <x:c r="P362" s="71" t="n"/>
      <x:c r="Q362" s="71" t="n"/>
      <x:c r="R362" s="71" t="n"/>
      <x:c r="S362" s="206" t="n"/>
      <x:c r="T362" s="71" t="n"/>
      <x:c r="U362" s="71" t="n"/>
      <x:c r="V362" s="71" t="n"/>
      <x:c r="W362" s="71" t="n"/>
      <x:c r="X362" s="71" t="n"/>
      <x:c r="Y362" s="71" t="n"/>
      <x:c r="Z362" s="71" t="n"/>
      <x:c r="AA362" s="71" t="n"/>
      <x:c r="AB362" s="71" t="inlineStr">
        <x:is>
          <x:t xml:space="preserve">NO</x:t>
        </x:is>
      </x:c>
      <x:c r="AC362" s="57" t="inlineStr">
        <x:is>
          <x:t xml:space="preserve">V10</x:t>
        </x:is>
      </x:c>
      <x:c r="AD362" s="57" t="n"/>
      <x:c r="AE362" s="79" t="str">
        <x:f>IF(AND(I362&lt;&gt;"",J362&lt;&gt;"",K362&lt;&gt;"",L362="YES",M362&lt;&gt;"",S362&lt;&gt;"",T362&lt;&gt;"",U362&lt;&gt;"",V362&lt;&gt;"",W362&lt;&gt;"",X362&lt;&gt;"",Y362&lt;&gt;""),"COMPLETE","PENDING")</x:f>
        <x:v>PENDING</x:v>
      </x:c>
      <x:c r="AF362" s="79" t="str">
        <x:f>IF(AE362="COMPLETE","YES","NO")</x:f>
        <x:v>NO</x:v>
      </x:c>
      <x:c r="AG362" s="214" t="str">
        <x:f>IF(AF362&lt;&gt;"YES","",(IF(V362="YES",1,0)+IF(W362="YES",1,0))/2)</x:f>
      </x:c>
    </x:row>
    <x:row r="363">
      <x:c r="A363" s="57" t="inlineStr">
        <x:is>
          <x:t xml:space="preserve">C0358</x:t>
        </x:is>
      </x:c>
      <x:c r="B363" s="57" t="inlineStr">
        <x:is>
          <x:t xml:space="preserve">Development</x:t>
        </x:is>
      </x:c>
      <x:c r="C363" s="57" t="inlineStr">
        <x:is>
          <x:t xml:space="preserve">OPEN</x:t>
        </x:is>
      </x:c>
      <x:c r="D363" s="57" t="inlineStr">
        <x:is>
          <x:t xml:space="preserve">ARG-036</x:t>
        </x:is>
      </x:c>
      <x:c r="E363" s="75" t="str">
        <x:f>INDEX('Company Universe'!$B$6:$B$105,MATCH(D363,'Company Universe'!$A$6:$A$105,0))</x:f>
        <x:v>JPMorgan Chase</x:v>
      </x:c>
      <x:c r="F363" s="75" t="str">
        <x:f>INDEX('Company Universe'!$C$6:$C$105,MATCH(D363,'Company Universe'!$A$6:$A$105,0))</x:f>
        <x:v>JPM</x:v>
      </x:c>
      <x:c r="G363" s="75" t="str">
        <x:f>INDEX('Company Universe'!$F$6:$F$105,MATCH(D363,'Company Universe'!$A$6:$A$105,0))</x:f>
        <x:v>Banks</x:v>
      </x:c>
      <x:c r="H363" s="57" t="n">
        <x:v>8</x:v>
      </x:c>
      <x:c r="I363" s="206" t="n"/>
      <x:c r="J363" s="71" t="n"/>
      <x:c r="K363" s="71" t="n"/>
      <x:c r="L363" s="71" t="inlineStr">
        <x:is>
          <x:t xml:space="preserve">NO</x:t>
        </x:is>
      </x:c>
      <x:c r="M363" s="71" t="n"/>
      <x:c r="N363" s="71" t="n"/>
      <x:c r="O363" s="71" t="n"/>
      <x:c r="P363" s="71" t="n"/>
      <x:c r="Q363" s="71" t="n"/>
      <x:c r="R363" s="71" t="n"/>
      <x:c r="S363" s="206" t="n"/>
      <x:c r="T363" s="71" t="n"/>
      <x:c r="U363" s="71" t="n"/>
      <x:c r="V363" s="71" t="n"/>
      <x:c r="W363" s="71" t="n"/>
      <x:c r="X363" s="71" t="n"/>
      <x:c r="Y363" s="71" t="n"/>
      <x:c r="Z363" s="71" t="n"/>
      <x:c r="AA363" s="71" t="n"/>
      <x:c r="AB363" s="71" t="inlineStr">
        <x:is>
          <x:t xml:space="preserve">NO</x:t>
        </x:is>
      </x:c>
      <x:c r="AC363" s="57" t="inlineStr">
        <x:is>
          <x:t xml:space="preserve">V10</x:t>
        </x:is>
      </x:c>
      <x:c r="AD363" s="57" t="n"/>
      <x:c r="AE363" s="79" t="str">
        <x:f>IF(AND(I363&lt;&gt;"",J363&lt;&gt;"",K363&lt;&gt;"",L363="YES",M363&lt;&gt;"",S363&lt;&gt;"",T363&lt;&gt;"",U363&lt;&gt;"",V363&lt;&gt;"",W363&lt;&gt;"",X363&lt;&gt;"",Y363&lt;&gt;""),"COMPLETE","PENDING")</x:f>
        <x:v>PENDING</x:v>
      </x:c>
      <x:c r="AF363" s="79" t="str">
        <x:f>IF(AE363="COMPLETE","YES","NO")</x:f>
        <x:v>NO</x:v>
      </x:c>
      <x:c r="AG363" s="214" t="str">
        <x:f>IF(AF363&lt;&gt;"YES","",(IF(V363="YES",1,0)+IF(W363="YES",1,0))/2)</x:f>
      </x:c>
    </x:row>
    <x:row r="364">
      <x:c r="A364" s="57" t="inlineStr">
        <x:is>
          <x:t xml:space="preserve">C0359</x:t>
        </x:is>
      </x:c>
      <x:c r="B364" s="57" t="inlineStr">
        <x:is>
          <x:t xml:space="preserve">Development</x:t>
        </x:is>
      </x:c>
      <x:c r="C364" s="57" t="inlineStr">
        <x:is>
          <x:t xml:space="preserve">OPEN</x:t>
        </x:is>
      </x:c>
      <x:c r="D364" s="57" t="inlineStr">
        <x:is>
          <x:t xml:space="preserve">ARG-036</x:t>
        </x:is>
      </x:c>
      <x:c r="E364" s="75" t="str">
        <x:f>INDEX('Company Universe'!$B$6:$B$105,MATCH(D364,'Company Universe'!$A$6:$A$105,0))</x:f>
        <x:v>JPMorgan Chase</x:v>
      </x:c>
      <x:c r="F364" s="75" t="str">
        <x:f>INDEX('Company Universe'!$C$6:$C$105,MATCH(D364,'Company Universe'!$A$6:$A$105,0))</x:f>
        <x:v>JPM</x:v>
      </x:c>
      <x:c r="G364" s="75" t="str">
        <x:f>INDEX('Company Universe'!$F$6:$F$105,MATCH(D364,'Company Universe'!$A$6:$A$105,0))</x:f>
        <x:v>Banks</x:v>
      </x:c>
      <x:c r="H364" s="57" t="n">
        <x:v>9</x:v>
      </x:c>
      <x:c r="I364" s="206" t="n"/>
      <x:c r="J364" s="71" t="n"/>
      <x:c r="K364" s="71" t="n"/>
      <x:c r="L364" s="71" t="inlineStr">
        <x:is>
          <x:t xml:space="preserve">NO</x:t>
        </x:is>
      </x:c>
      <x:c r="M364" s="71" t="n"/>
      <x:c r="N364" s="71" t="n"/>
      <x:c r="O364" s="71" t="n"/>
      <x:c r="P364" s="71" t="n"/>
      <x:c r="Q364" s="71" t="n"/>
      <x:c r="R364" s="71" t="n"/>
      <x:c r="S364" s="206" t="n"/>
      <x:c r="T364" s="71" t="n"/>
      <x:c r="U364" s="71" t="n"/>
      <x:c r="V364" s="71" t="n"/>
      <x:c r="W364" s="71" t="n"/>
      <x:c r="X364" s="71" t="n"/>
      <x:c r="Y364" s="71" t="n"/>
      <x:c r="Z364" s="71" t="n"/>
      <x:c r="AA364" s="71" t="n"/>
      <x:c r="AB364" s="71" t="inlineStr">
        <x:is>
          <x:t xml:space="preserve">NO</x:t>
        </x:is>
      </x:c>
      <x:c r="AC364" s="57" t="inlineStr">
        <x:is>
          <x:t xml:space="preserve">V10</x:t>
        </x:is>
      </x:c>
      <x:c r="AD364" s="57" t="n"/>
      <x:c r="AE364" s="79" t="str">
        <x:f>IF(AND(I364&lt;&gt;"",J364&lt;&gt;"",K364&lt;&gt;"",L364="YES",M364&lt;&gt;"",S364&lt;&gt;"",T364&lt;&gt;"",U364&lt;&gt;"",V364&lt;&gt;"",W364&lt;&gt;"",X364&lt;&gt;"",Y364&lt;&gt;""),"COMPLETE","PENDING")</x:f>
        <x:v>PENDING</x:v>
      </x:c>
      <x:c r="AF364" s="79" t="str">
        <x:f>IF(AE364="COMPLETE","YES","NO")</x:f>
        <x:v>NO</x:v>
      </x:c>
      <x:c r="AG364" s="214" t="str">
        <x:f>IF(AF364&lt;&gt;"YES","",(IF(V364="YES",1,0)+IF(W364="YES",1,0))/2)</x:f>
      </x:c>
    </x:row>
    <x:row r="365">
      <x:c r="A365" s="57" t="inlineStr">
        <x:is>
          <x:t xml:space="preserve">C0360</x:t>
        </x:is>
      </x:c>
      <x:c r="B365" s="57" t="inlineStr">
        <x:is>
          <x:t xml:space="preserve">Development</x:t>
        </x:is>
      </x:c>
      <x:c r="C365" s="57" t="inlineStr">
        <x:is>
          <x:t xml:space="preserve">OPEN</x:t>
        </x:is>
      </x:c>
      <x:c r="D365" s="57" t="inlineStr">
        <x:is>
          <x:t xml:space="preserve">ARG-036</x:t>
        </x:is>
      </x:c>
      <x:c r="E365" s="75" t="str">
        <x:f>INDEX('Company Universe'!$B$6:$B$105,MATCH(D365,'Company Universe'!$A$6:$A$105,0))</x:f>
        <x:v>JPMorgan Chase</x:v>
      </x:c>
      <x:c r="F365" s="75" t="str">
        <x:f>INDEX('Company Universe'!$C$6:$C$105,MATCH(D365,'Company Universe'!$A$6:$A$105,0))</x:f>
        <x:v>JPM</x:v>
      </x:c>
      <x:c r="G365" s="75" t="str">
        <x:f>INDEX('Company Universe'!$F$6:$F$105,MATCH(D365,'Company Universe'!$A$6:$A$105,0))</x:f>
        <x:v>Banks</x:v>
      </x:c>
      <x:c r="H365" s="57" t="n">
        <x:v>10</x:v>
      </x:c>
      <x:c r="I365" s="206" t="n"/>
      <x:c r="J365" s="71" t="n"/>
      <x:c r="K365" s="71" t="n"/>
      <x:c r="L365" s="71" t="inlineStr">
        <x:is>
          <x:t xml:space="preserve">NO</x:t>
        </x:is>
      </x:c>
      <x:c r="M365" s="71" t="n"/>
      <x:c r="N365" s="71" t="n"/>
      <x:c r="O365" s="71" t="n"/>
      <x:c r="P365" s="71" t="n"/>
      <x:c r="Q365" s="71" t="n"/>
      <x:c r="R365" s="71" t="n"/>
      <x:c r="S365" s="206" t="n"/>
      <x:c r="T365" s="71" t="n"/>
      <x:c r="U365" s="71" t="n"/>
      <x:c r="V365" s="71" t="n"/>
      <x:c r="W365" s="71" t="n"/>
      <x:c r="X365" s="71" t="n"/>
      <x:c r="Y365" s="71" t="n"/>
      <x:c r="Z365" s="71" t="n"/>
      <x:c r="AA365" s="71" t="n"/>
      <x:c r="AB365" s="71" t="inlineStr">
        <x:is>
          <x:t xml:space="preserve">NO</x:t>
        </x:is>
      </x:c>
      <x:c r="AC365" s="57" t="inlineStr">
        <x:is>
          <x:t xml:space="preserve">V10</x:t>
        </x:is>
      </x:c>
      <x:c r="AD365" s="57" t="n"/>
      <x:c r="AE365" s="79" t="str">
        <x:f>IF(AND(I365&lt;&gt;"",J365&lt;&gt;"",K365&lt;&gt;"",L365="YES",M365&lt;&gt;"",S365&lt;&gt;"",T365&lt;&gt;"",U365&lt;&gt;"",V365&lt;&gt;"",W365&lt;&gt;"",X365&lt;&gt;"",Y365&lt;&gt;""),"COMPLETE","PENDING")</x:f>
        <x:v>PENDING</x:v>
      </x:c>
      <x:c r="AF365" s="79" t="str">
        <x:f>IF(AE365="COMPLETE","YES","NO")</x:f>
        <x:v>NO</x:v>
      </x:c>
      <x:c r="AG365" s="214" t="str">
        <x:f>IF(AF365&lt;&gt;"YES","",(IF(V365="YES",1,0)+IF(W365="YES",1,0))/2)</x:f>
      </x:c>
    </x:row>
    <x:row r="366">
      <x:c r="A366" s="57" t="inlineStr">
        <x:is>
          <x:t xml:space="preserve">C0361</x:t>
        </x:is>
      </x:c>
      <x:c r="B366" s="57" t="inlineStr">
        <x:is>
          <x:t xml:space="preserve">Development</x:t>
        </x:is>
      </x:c>
      <x:c r="C366" s="57" t="inlineStr">
        <x:is>
          <x:t xml:space="preserve">OPEN</x:t>
        </x:is>
      </x:c>
      <x:c r="D366" s="57" t="inlineStr">
        <x:is>
          <x:t xml:space="preserve">ARG-037</x:t>
        </x:is>
      </x:c>
      <x:c r="E366" s="75" t="str">
        <x:f>INDEX('Company Universe'!$B$6:$B$105,MATCH(D366,'Company Universe'!$A$6:$A$105,0))</x:f>
        <x:v>Bank of America</x:v>
      </x:c>
      <x:c r="F366" s="75" t="str">
        <x:f>INDEX('Company Universe'!$C$6:$C$105,MATCH(D366,'Company Universe'!$A$6:$A$105,0))</x:f>
        <x:v>BAC</x:v>
      </x:c>
      <x:c r="G366" s="75" t="str">
        <x:f>INDEX('Company Universe'!$F$6:$F$105,MATCH(D366,'Company Universe'!$A$6:$A$105,0))</x:f>
        <x:v>Banks</x:v>
      </x:c>
      <x:c r="H366" s="57" t="n">
        <x:v>1</x:v>
      </x:c>
      <x:c r="I366" s="206" t="n"/>
      <x:c r="J366" s="71" t="n"/>
      <x:c r="K366" s="71" t="n"/>
      <x:c r="L366" s="71" t="inlineStr">
        <x:is>
          <x:t xml:space="preserve">NO</x:t>
        </x:is>
      </x:c>
      <x:c r="M366" s="71" t="n"/>
      <x:c r="N366" s="71" t="n"/>
      <x:c r="O366" s="71" t="n"/>
      <x:c r="P366" s="71" t="n"/>
      <x:c r="Q366" s="71" t="n"/>
      <x:c r="R366" s="71" t="n"/>
      <x:c r="S366" s="206" t="n"/>
      <x:c r="T366" s="71" t="n"/>
      <x:c r="U366" s="71" t="n"/>
      <x:c r="V366" s="71" t="n"/>
      <x:c r="W366" s="71" t="n"/>
      <x:c r="X366" s="71" t="n"/>
      <x:c r="Y366" s="71" t="n"/>
      <x:c r="Z366" s="71" t="n"/>
      <x:c r="AA366" s="71" t="n"/>
      <x:c r="AB366" s="71" t="inlineStr">
        <x:is>
          <x:t xml:space="preserve">NO</x:t>
        </x:is>
      </x:c>
      <x:c r="AC366" s="57" t="inlineStr">
        <x:is>
          <x:t xml:space="preserve">V10</x:t>
        </x:is>
      </x:c>
      <x:c r="AD366" s="57" t="n"/>
      <x:c r="AE366" s="79" t="str">
        <x:f>IF(AND(I366&lt;&gt;"",J366&lt;&gt;"",K366&lt;&gt;"",L366="YES",M366&lt;&gt;"",S366&lt;&gt;"",T366&lt;&gt;"",U366&lt;&gt;"",V366&lt;&gt;"",W366&lt;&gt;"",X366&lt;&gt;"",Y366&lt;&gt;""),"COMPLETE","PENDING")</x:f>
        <x:v>PENDING</x:v>
      </x:c>
      <x:c r="AF366" s="79" t="str">
        <x:f>IF(AE366="COMPLETE","YES","NO")</x:f>
        <x:v>NO</x:v>
      </x:c>
      <x:c r="AG366" s="214" t="str">
        <x:f>IF(AF366&lt;&gt;"YES","",(IF(V366="YES",1,0)+IF(W366="YES",1,0))/2)</x:f>
      </x:c>
    </x:row>
    <x:row r="367">
      <x:c r="A367" s="57" t="inlineStr">
        <x:is>
          <x:t xml:space="preserve">C0362</x:t>
        </x:is>
      </x:c>
      <x:c r="B367" s="57" t="inlineStr">
        <x:is>
          <x:t xml:space="preserve">Development</x:t>
        </x:is>
      </x:c>
      <x:c r="C367" s="57" t="inlineStr">
        <x:is>
          <x:t xml:space="preserve">OPEN</x:t>
        </x:is>
      </x:c>
      <x:c r="D367" s="57" t="inlineStr">
        <x:is>
          <x:t xml:space="preserve">ARG-037</x:t>
        </x:is>
      </x:c>
      <x:c r="E367" s="75" t="str">
        <x:f>INDEX('Company Universe'!$B$6:$B$105,MATCH(D367,'Company Universe'!$A$6:$A$105,0))</x:f>
        <x:v>Bank of America</x:v>
      </x:c>
      <x:c r="F367" s="75" t="str">
        <x:f>INDEX('Company Universe'!$C$6:$C$105,MATCH(D367,'Company Universe'!$A$6:$A$105,0))</x:f>
        <x:v>BAC</x:v>
      </x:c>
      <x:c r="G367" s="75" t="str">
        <x:f>INDEX('Company Universe'!$F$6:$F$105,MATCH(D367,'Company Universe'!$A$6:$A$105,0))</x:f>
        <x:v>Banks</x:v>
      </x:c>
      <x:c r="H367" s="57" t="n">
        <x:v>2</x:v>
      </x:c>
      <x:c r="I367" s="206" t="n"/>
      <x:c r="J367" s="71" t="n"/>
      <x:c r="K367" s="71" t="n"/>
      <x:c r="L367" s="71" t="inlineStr">
        <x:is>
          <x:t xml:space="preserve">NO</x:t>
        </x:is>
      </x:c>
      <x:c r="M367" s="71" t="n"/>
      <x:c r="N367" s="71" t="n"/>
      <x:c r="O367" s="71" t="n"/>
      <x:c r="P367" s="71" t="n"/>
      <x:c r="Q367" s="71" t="n"/>
      <x:c r="R367" s="71" t="n"/>
      <x:c r="S367" s="206" t="n"/>
      <x:c r="T367" s="71" t="n"/>
      <x:c r="U367" s="71" t="n"/>
      <x:c r="V367" s="71" t="n"/>
      <x:c r="W367" s="71" t="n"/>
      <x:c r="X367" s="71" t="n"/>
      <x:c r="Y367" s="71" t="n"/>
      <x:c r="Z367" s="71" t="n"/>
      <x:c r="AA367" s="71" t="n"/>
      <x:c r="AB367" s="71" t="inlineStr">
        <x:is>
          <x:t xml:space="preserve">NO</x:t>
        </x:is>
      </x:c>
      <x:c r="AC367" s="57" t="inlineStr">
        <x:is>
          <x:t xml:space="preserve">V10</x:t>
        </x:is>
      </x:c>
      <x:c r="AD367" s="57" t="n"/>
      <x:c r="AE367" s="79" t="str">
        <x:f>IF(AND(I367&lt;&gt;"",J367&lt;&gt;"",K367&lt;&gt;"",L367="YES",M367&lt;&gt;"",S367&lt;&gt;"",T367&lt;&gt;"",U367&lt;&gt;"",V367&lt;&gt;"",W367&lt;&gt;"",X367&lt;&gt;"",Y367&lt;&gt;""),"COMPLETE","PENDING")</x:f>
        <x:v>PENDING</x:v>
      </x:c>
      <x:c r="AF367" s="79" t="str">
        <x:f>IF(AE367="COMPLETE","YES","NO")</x:f>
        <x:v>NO</x:v>
      </x:c>
      <x:c r="AG367" s="214" t="str">
        <x:f>IF(AF367&lt;&gt;"YES","",(IF(V367="YES",1,0)+IF(W367="YES",1,0))/2)</x:f>
      </x:c>
    </x:row>
    <x:row r="368">
      <x:c r="A368" s="57" t="inlineStr">
        <x:is>
          <x:t xml:space="preserve">C0363</x:t>
        </x:is>
      </x:c>
      <x:c r="B368" s="57" t="inlineStr">
        <x:is>
          <x:t xml:space="preserve">Development</x:t>
        </x:is>
      </x:c>
      <x:c r="C368" s="57" t="inlineStr">
        <x:is>
          <x:t xml:space="preserve">OPEN</x:t>
        </x:is>
      </x:c>
      <x:c r="D368" s="57" t="inlineStr">
        <x:is>
          <x:t xml:space="preserve">ARG-037</x:t>
        </x:is>
      </x:c>
      <x:c r="E368" s="75" t="str">
        <x:f>INDEX('Company Universe'!$B$6:$B$105,MATCH(D368,'Company Universe'!$A$6:$A$105,0))</x:f>
        <x:v>Bank of America</x:v>
      </x:c>
      <x:c r="F368" s="75" t="str">
        <x:f>INDEX('Company Universe'!$C$6:$C$105,MATCH(D368,'Company Universe'!$A$6:$A$105,0))</x:f>
        <x:v>BAC</x:v>
      </x:c>
      <x:c r="G368" s="75" t="str">
        <x:f>INDEX('Company Universe'!$F$6:$F$105,MATCH(D368,'Company Universe'!$A$6:$A$105,0))</x:f>
        <x:v>Banks</x:v>
      </x:c>
      <x:c r="H368" s="57" t="n">
        <x:v>3</x:v>
      </x:c>
      <x:c r="I368" s="206" t="n"/>
      <x:c r="J368" s="71" t="n"/>
      <x:c r="K368" s="71" t="n"/>
      <x:c r="L368" s="71" t="inlineStr">
        <x:is>
          <x:t xml:space="preserve">NO</x:t>
        </x:is>
      </x:c>
      <x:c r="M368" s="71" t="n"/>
      <x:c r="N368" s="71" t="n"/>
      <x:c r="O368" s="71" t="n"/>
      <x:c r="P368" s="71" t="n"/>
      <x:c r="Q368" s="71" t="n"/>
      <x:c r="R368" s="71" t="n"/>
      <x:c r="S368" s="206" t="n"/>
      <x:c r="T368" s="71" t="n"/>
      <x:c r="U368" s="71" t="n"/>
      <x:c r="V368" s="71" t="n"/>
      <x:c r="W368" s="71" t="n"/>
      <x:c r="X368" s="71" t="n"/>
      <x:c r="Y368" s="71" t="n"/>
      <x:c r="Z368" s="71" t="n"/>
      <x:c r="AA368" s="71" t="n"/>
      <x:c r="AB368" s="71" t="inlineStr">
        <x:is>
          <x:t xml:space="preserve">NO</x:t>
        </x:is>
      </x:c>
      <x:c r="AC368" s="57" t="inlineStr">
        <x:is>
          <x:t xml:space="preserve">V10</x:t>
        </x:is>
      </x:c>
      <x:c r="AD368" s="57" t="n"/>
      <x:c r="AE368" s="79" t="str">
        <x:f>IF(AND(I368&lt;&gt;"",J368&lt;&gt;"",K368&lt;&gt;"",L368="YES",M368&lt;&gt;"",S368&lt;&gt;"",T368&lt;&gt;"",U368&lt;&gt;"",V368&lt;&gt;"",W368&lt;&gt;"",X368&lt;&gt;"",Y368&lt;&gt;""),"COMPLETE","PENDING")</x:f>
        <x:v>PENDING</x:v>
      </x:c>
      <x:c r="AF368" s="79" t="str">
        <x:f>IF(AE368="COMPLETE","YES","NO")</x:f>
        <x:v>NO</x:v>
      </x:c>
      <x:c r="AG368" s="214" t="str">
        <x:f>IF(AF368&lt;&gt;"YES","",(IF(V368="YES",1,0)+IF(W368="YES",1,0))/2)</x:f>
      </x:c>
    </x:row>
    <x:row r="369">
      <x:c r="A369" s="57" t="inlineStr">
        <x:is>
          <x:t xml:space="preserve">C0364</x:t>
        </x:is>
      </x:c>
      <x:c r="B369" s="57" t="inlineStr">
        <x:is>
          <x:t xml:space="preserve">Development</x:t>
        </x:is>
      </x:c>
      <x:c r="C369" s="57" t="inlineStr">
        <x:is>
          <x:t xml:space="preserve">OPEN</x:t>
        </x:is>
      </x:c>
      <x:c r="D369" s="57" t="inlineStr">
        <x:is>
          <x:t xml:space="preserve">ARG-037</x:t>
        </x:is>
      </x:c>
      <x:c r="E369" s="75" t="str">
        <x:f>INDEX('Company Universe'!$B$6:$B$105,MATCH(D369,'Company Universe'!$A$6:$A$105,0))</x:f>
        <x:v>Bank of America</x:v>
      </x:c>
      <x:c r="F369" s="75" t="str">
        <x:f>INDEX('Company Universe'!$C$6:$C$105,MATCH(D369,'Company Universe'!$A$6:$A$105,0))</x:f>
        <x:v>BAC</x:v>
      </x:c>
      <x:c r="G369" s="75" t="str">
        <x:f>INDEX('Company Universe'!$F$6:$F$105,MATCH(D369,'Company Universe'!$A$6:$A$105,0))</x:f>
        <x:v>Banks</x:v>
      </x:c>
      <x:c r="H369" s="57" t="n">
        <x:v>4</x:v>
      </x:c>
      <x:c r="I369" s="206" t="n"/>
      <x:c r="J369" s="71" t="n"/>
      <x:c r="K369" s="71" t="n"/>
      <x:c r="L369" s="71" t="inlineStr">
        <x:is>
          <x:t xml:space="preserve">NO</x:t>
        </x:is>
      </x:c>
      <x:c r="M369" s="71" t="n"/>
      <x:c r="N369" s="71" t="n"/>
      <x:c r="O369" s="71" t="n"/>
      <x:c r="P369" s="71" t="n"/>
      <x:c r="Q369" s="71" t="n"/>
      <x:c r="R369" s="71" t="n"/>
      <x:c r="S369" s="206" t="n"/>
      <x:c r="T369" s="71" t="n"/>
      <x:c r="U369" s="71" t="n"/>
      <x:c r="V369" s="71" t="n"/>
      <x:c r="W369" s="71" t="n"/>
      <x:c r="X369" s="71" t="n"/>
      <x:c r="Y369" s="71" t="n"/>
      <x:c r="Z369" s="71" t="n"/>
      <x:c r="AA369" s="71" t="n"/>
      <x:c r="AB369" s="71" t="inlineStr">
        <x:is>
          <x:t xml:space="preserve">NO</x:t>
        </x:is>
      </x:c>
      <x:c r="AC369" s="57" t="inlineStr">
        <x:is>
          <x:t xml:space="preserve">V10</x:t>
        </x:is>
      </x:c>
      <x:c r="AD369" s="57" t="n"/>
      <x:c r="AE369" s="79" t="str">
        <x:f>IF(AND(I369&lt;&gt;"",J369&lt;&gt;"",K369&lt;&gt;"",L369="YES",M369&lt;&gt;"",S369&lt;&gt;"",T369&lt;&gt;"",U369&lt;&gt;"",V369&lt;&gt;"",W369&lt;&gt;"",X369&lt;&gt;"",Y369&lt;&gt;""),"COMPLETE","PENDING")</x:f>
        <x:v>PENDING</x:v>
      </x:c>
      <x:c r="AF369" s="79" t="str">
        <x:f>IF(AE369="COMPLETE","YES","NO")</x:f>
        <x:v>NO</x:v>
      </x:c>
      <x:c r="AG369" s="214" t="str">
        <x:f>IF(AF369&lt;&gt;"YES","",(IF(V369="YES",1,0)+IF(W369="YES",1,0))/2)</x:f>
      </x:c>
    </x:row>
    <x:row r="370">
      <x:c r="A370" s="57" t="inlineStr">
        <x:is>
          <x:t xml:space="preserve">C0365</x:t>
        </x:is>
      </x:c>
      <x:c r="B370" s="57" t="inlineStr">
        <x:is>
          <x:t xml:space="preserve">Development</x:t>
        </x:is>
      </x:c>
      <x:c r="C370" s="57" t="inlineStr">
        <x:is>
          <x:t xml:space="preserve">OPEN</x:t>
        </x:is>
      </x:c>
      <x:c r="D370" s="57" t="inlineStr">
        <x:is>
          <x:t xml:space="preserve">ARG-037</x:t>
        </x:is>
      </x:c>
      <x:c r="E370" s="75" t="str">
        <x:f>INDEX('Company Universe'!$B$6:$B$105,MATCH(D370,'Company Universe'!$A$6:$A$105,0))</x:f>
        <x:v>Bank of America</x:v>
      </x:c>
      <x:c r="F370" s="75" t="str">
        <x:f>INDEX('Company Universe'!$C$6:$C$105,MATCH(D370,'Company Universe'!$A$6:$A$105,0))</x:f>
        <x:v>BAC</x:v>
      </x:c>
      <x:c r="G370" s="75" t="str">
        <x:f>INDEX('Company Universe'!$F$6:$F$105,MATCH(D370,'Company Universe'!$A$6:$A$105,0))</x:f>
        <x:v>Banks</x:v>
      </x:c>
      <x:c r="H370" s="57" t="n">
        <x:v>5</x:v>
      </x:c>
      <x:c r="I370" s="206" t="n"/>
      <x:c r="J370" s="71" t="n"/>
      <x:c r="K370" s="71" t="n"/>
      <x:c r="L370" s="71" t="inlineStr">
        <x:is>
          <x:t xml:space="preserve">NO</x:t>
        </x:is>
      </x:c>
      <x:c r="M370" s="71" t="n"/>
      <x:c r="N370" s="71" t="n"/>
      <x:c r="O370" s="71" t="n"/>
      <x:c r="P370" s="71" t="n"/>
      <x:c r="Q370" s="71" t="n"/>
      <x:c r="R370" s="71" t="n"/>
      <x:c r="S370" s="206" t="n"/>
      <x:c r="T370" s="71" t="n"/>
      <x:c r="U370" s="71" t="n"/>
      <x:c r="V370" s="71" t="n"/>
      <x:c r="W370" s="71" t="n"/>
      <x:c r="X370" s="71" t="n"/>
      <x:c r="Y370" s="71" t="n"/>
      <x:c r="Z370" s="71" t="n"/>
      <x:c r="AA370" s="71" t="n"/>
      <x:c r="AB370" s="71" t="inlineStr">
        <x:is>
          <x:t xml:space="preserve">NO</x:t>
        </x:is>
      </x:c>
      <x:c r="AC370" s="57" t="inlineStr">
        <x:is>
          <x:t xml:space="preserve">V10</x:t>
        </x:is>
      </x:c>
      <x:c r="AD370" s="57" t="n"/>
      <x:c r="AE370" s="79" t="str">
        <x:f>IF(AND(I370&lt;&gt;"",J370&lt;&gt;"",K370&lt;&gt;"",L370="YES",M370&lt;&gt;"",S370&lt;&gt;"",T370&lt;&gt;"",U370&lt;&gt;"",V370&lt;&gt;"",W370&lt;&gt;"",X370&lt;&gt;"",Y370&lt;&gt;""),"COMPLETE","PENDING")</x:f>
        <x:v>PENDING</x:v>
      </x:c>
      <x:c r="AF370" s="79" t="str">
        <x:f>IF(AE370="COMPLETE","YES","NO")</x:f>
        <x:v>NO</x:v>
      </x:c>
      <x:c r="AG370" s="214" t="str">
        <x:f>IF(AF370&lt;&gt;"YES","",(IF(V370="YES",1,0)+IF(W370="YES",1,0))/2)</x:f>
      </x:c>
    </x:row>
    <x:row r="371">
      <x:c r="A371" s="57" t="inlineStr">
        <x:is>
          <x:t xml:space="preserve">C0366</x:t>
        </x:is>
      </x:c>
      <x:c r="B371" s="57" t="inlineStr">
        <x:is>
          <x:t xml:space="preserve">Development</x:t>
        </x:is>
      </x:c>
      <x:c r="C371" s="57" t="inlineStr">
        <x:is>
          <x:t xml:space="preserve">OPEN</x:t>
        </x:is>
      </x:c>
      <x:c r="D371" s="57" t="inlineStr">
        <x:is>
          <x:t xml:space="preserve">ARG-037</x:t>
        </x:is>
      </x:c>
      <x:c r="E371" s="75" t="str">
        <x:f>INDEX('Company Universe'!$B$6:$B$105,MATCH(D371,'Company Universe'!$A$6:$A$105,0))</x:f>
        <x:v>Bank of America</x:v>
      </x:c>
      <x:c r="F371" s="75" t="str">
        <x:f>INDEX('Company Universe'!$C$6:$C$105,MATCH(D371,'Company Universe'!$A$6:$A$105,0))</x:f>
        <x:v>BAC</x:v>
      </x:c>
      <x:c r="G371" s="75" t="str">
        <x:f>INDEX('Company Universe'!$F$6:$F$105,MATCH(D371,'Company Universe'!$A$6:$A$105,0))</x:f>
        <x:v>Banks</x:v>
      </x:c>
      <x:c r="H371" s="57" t="n">
        <x:v>6</x:v>
      </x:c>
      <x:c r="I371" s="206" t="n"/>
      <x:c r="J371" s="71" t="n"/>
      <x:c r="K371" s="71" t="n"/>
      <x:c r="L371" s="71" t="inlineStr">
        <x:is>
          <x:t xml:space="preserve">NO</x:t>
        </x:is>
      </x:c>
      <x:c r="M371" s="71" t="n"/>
      <x:c r="N371" s="71" t="n"/>
      <x:c r="O371" s="71" t="n"/>
      <x:c r="P371" s="71" t="n"/>
      <x:c r="Q371" s="71" t="n"/>
      <x:c r="R371" s="71" t="n"/>
      <x:c r="S371" s="206" t="n"/>
      <x:c r="T371" s="71" t="n"/>
      <x:c r="U371" s="71" t="n"/>
      <x:c r="V371" s="71" t="n"/>
      <x:c r="W371" s="71" t="n"/>
      <x:c r="X371" s="71" t="n"/>
      <x:c r="Y371" s="71" t="n"/>
      <x:c r="Z371" s="71" t="n"/>
      <x:c r="AA371" s="71" t="n"/>
      <x:c r="AB371" s="71" t="inlineStr">
        <x:is>
          <x:t xml:space="preserve">NO</x:t>
        </x:is>
      </x:c>
      <x:c r="AC371" s="57" t="inlineStr">
        <x:is>
          <x:t xml:space="preserve">V10</x:t>
        </x:is>
      </x:c>
      <x:c r="AD371" s="57" t="n"/>
      <x:c r="AE371" s="79" t="str">
        <x:f>IF(AND(I371&lt;&gt;"",J371&lt;&gt;"",K371&lt;&gt;"",L371="YES",M371&lt;&gt;"",S371&lt;&gt;"",T371&lt;&gt;"",U371&lt;&gt;"",V371&lt;&gt;"",W371&lt;&gt;"",X371&lt;&gt;"",Y371&lt;&gt;""),"COMPLETE","PENDING")</x:f>
        <x:v>PENDING</x:v>
      </x:c>
      <x:c r="AF371" s="79" t="str">
        <x:f>IF(AE371="COMPLETE","YES","NO")</x:f>
        <x:v>NO</x:v>
      </x:c>
      <x:c r="AG371" s="214" t="str">
        <x:f>IF(AF371&lt;&gt;"YES","",(IF(V371="YES",1,0)+IF(W371="YES",1,0))/2)</x:f>
      </x:c>
    </x:row>
    <x:row r="372">
      <x:c r="A372" s="57" t="inlineStr">
        <x:is>
          <x:t xml:space="preserve">C0367</x:t>
        </x:is>
      </x:c>
      <x:c r="B372" s="57" t="inlineStr">
        <x:is>
          <x:t xml:space="preserve">Development</x:t>
        </x:is>
      </x:c>
      <x:c r="C372" s="57" t="inlineStr">
        <x:is>
          <x:t xml:space="preserve">OPEN</x:t>
        </x:is>
      </x:c>
      <x:c r="D372" s="57" t="inlineStr">
        <x:is>
          <x:t xml:space="preserve">ARG-037</x:t>
        </x:is>
      </x:c>
      <x:c r="E372" s="75" t="str">
        <x:f>INDEX('Company Universe'!$B$6:$B$105,MATCH(D372,'Company Universe'!$A$6:$A$105,0))</x:f>
        <x:v>Bank of America</x:v>
      </x:c>
      <x:c r="F372" s="75" t="str">
        <x:f>INDEX('Company Universe'!$C$6:$C$105,MATCH(D372,'Company Universe'!$A$6:$A$105,0))</x:f>
        <x:v>BAC</x:v>
      </x:c>
      <x:c r="G372" s="75" t="str">
        <x:f>INDEX('Company Universe'!$F$6:$F$105,MATCH(D372,'Company Universe'!$A$6:$A$105,0))</x:f>
        <x:v>Banks</x:v>
      </x:c>
      <x:c r="H372" s="57" t="n">
        <x:v>7</x:v>
      </x:c>
      <x:c r="I372" s="206" t="n"/>
      <x:c r="J372" s="71" t="n"/>
      <x:c r="K372" s="71" t="n"/>
      <x:c r="L372" s="71" t="inlineStr">
        <x:is>
          <x:t xml:space="preserve">NO</x:t>
        </x:is>
      </x:c>
      <x:c r="M372" s="71" t="n"/>
      <x:c r="N372" s="71" t="n"/>
      <x:c r="O372" s="71" t="n"/>
      <x:c r="P372" s="71" t="n"/>
      <x:c r="Q372" s="71" t="n"/>
      <x:c r="R372" s="71" t="n"/>
      <x:c r="S372" s="206" t="n"/>
      <x:c r="T372" s="71" t="n"/>
      <x:c r="U372" s="71" t="n"/>
      <x:c r="V372" s="71" t="n"/>
      <x:c r="W372" s="71" t="n"/>
      <x:c r="X372" s="71" t="n"/>
      <x:c r="Y372" s="71" t="n"/>
      <x:c r="Z372" s="71" t="n"/>
      <x:c r="AA372" s="71" t="n"/>
      <x:c r="AB372" s="71" t="inlineStr">
        <x:is>
          <x:t xml:space="preserve">NO</x:t>
        </x:is>
      </x:c>
      <x:c r="AC372" s="57" t="inlineStr">
        <x:is>
          <x:t xml:space="preserve">V10</x:t>
        </x:is>
      </x:c>
      <x:c r="AD372" s="57" t="n"/>
      <x:c r="AE372" s="79" t="str">
        <x:f>IF(AND(I372&lt;&gt;"",J372&lt;&gt;"",K372&lt;&gt;"",L372="YES",M372&lt;&gt;"",S372&lt;&gt;"",T372&lt;&gt;"",U372&lt;&gt;"",V372&lt;&gt;"",W372&lt;&gt;"",X372&lt;&gt;"",Y372&lt;&gt;""),"COMPLETE","PENDING")</x:f>
        <x:v>PENDING</x:v>
      </x:c>
      <x:c r="AF372" s="79" t="str">
        <x:f>IF(AE372="COMPLETE","YES","NO")</x:f>
        <x:v>NO</x:v>
      </x:c>
      <x:c r="AG372" s="214" t="str">
        <x:f>IF(AF372&lt;&gt;"YES","",(IF(V372="YES",1,0)+IF(W372="YES",1,0))/2)</x:f>
      </x:c>
    </x:row>
    <x:row r="373">
      <x:c r="A373" s="57" t="inlineStr">
        <x:is>
          <x:t xml:space="preserve">C0368</x:t>
        </x:is>
      </x:c>
      <x:c r="B373" s="57" t="inlineStr">
        <x:is>
          <x:t xml:space="preserve">Development</x:t>
        </x:is>
      </x:c>
      <x:c r="C373" s="57" t="inlineStr">
        <x:is>
          <x:t xml:space="preserve">OPEN</x:t>
        </x:is>
      </x:c>
      <x:c r="D373" s="57" t="inlineStr">
        <x:is>
          <x:t xml:space="preserve">ARG-037</x:t>
        </x:is>
      </x:c>
      <x:c r="E373" s="75" t="str">
        <x:f>INDEX('Company Universe'!$B$6:$B$105,MATCH(D373,'Company Universe'!$A$6:$A$105,0))</x:f>
        <x:v>Bank of America</x:v>
      </x:c>
      <x:c r="F373" s="75" t="str">
        <x:f>INDEX('Company Universe'!$C$6:$C$105,MATCH(D373,'Company Universe'!$A$6:$A$105,0))</x:f>
        <x:v>BAC</x:v>
      </x:c>
      <x:c r="G373" s="75" t="str">
        <x:f>INDEX('Company Universe'!$F$6:$F$105,MATCH(D373,'Company Universe'!$A$6:$A$105,0))</x:f>
        <x:v>Banks</x:v>
      </x:c>
      <x:c r="H373" s="57" t="n">
        <x:v>8</x:v>
      </x:c>
      <x:c r="I373" s="206" t="n"/>
      <x:c r="J373" s="71" t="n"/>
      <x:c r="K373" s="71" t="n"/>
      <x:c r="L373" s="71" t="inlineStr">
        <x:is>
          <x:t xml:space="preserve">NO</x:t>
        </x:is>
      </x:c>
      <x:c r="M373" s="71" t="n"/>
      <x:c r="N373" s="71" t="n"/>
      <x:c r="O373" s="71" t="n"/>
      <x:c r="P373" s="71" t="n"/>
      <x:c r="Q373" s="71" t="n"/>
      <x:c r="R373" s="71" t="n"/>
      <x:c r="S373" s="206" t="n"/>
      <x:c r="T373" s="71" t="n"/>
      <x:c r="U373" s="71" t="n"/>
      <x:c r="V373" s="71" t="n"/>
      <x:c r="W373" s="71" t="n"/>
      <x:c r="X373" s="71" t="n"/>
      <x:c r="Y373" s="71" t="n"/>
      <x:c r="Z373" s="71" t="n"/>
      <x:c r="AA373" s="71" t="n"/>
      <x:c r="AB373" s="71" t="inlineStr">
        <x:is>
          <x:t xml:space="preserve">NO</x:t>
        </x:is>
      </x:c>
      <x:c r="AC373" s="57" t="inlineStr">
        <x:is>
          <x:t xml:space="preserve">V10</x:t>
        </x:is>
      </x:c>
      <x:c r="AD373" s="57" t="n"/>
      <x:c r="AE373" s="79" t="str">
        <x:f>IF(AND(I373&lt;&gt;"",J373&lt;&gt;"",K373&lt;&gt;"",L373="YES",M373&lt;&gt;"",S373&lt;&gt;"",T373&lt;&gt;"",U373&lt;&gt;"",V373&lt;&gt;"",W373&lt;&gt;"",X373&lt;&gt;"",Y373&lt;&gt;""),"COMPLETE","PENDING")</x:f>
        <x:v>PENDING</x:v>
      </x:c>
      <x:c r="AF373" s="79" t="str">
        <x:f>IF(AE373="COMPLETE","YES","NO")</x:f>
        <x:v>NO</x:v>
      </x:c>
      <x:c r="AG373" s="214" t="str">
        <x:f>IF(AF373&lt;&gt;"YES","",(IF(V373="YES",1,0)+IF(W373="YES",1,0))/2)</x:f>
      </x:c>
    </x:row>
    <x:row r="374">
      <x:c r="A374" s="57" t="inlineStr">
        <x:is>
          <x:t xml:space="preserve">C0369</x:t>
        </x:is>
      </x:c>
      <x:c r="B374" s="57" t="inlineStr">
        <x:is>
          <x:t xml:space="preserve">Development</x:t>
        </x:is>
      </x:c>
      <x:c r="C374" s="57" t="inlineStr">
        <x:is>
          <x:t xml:space="preserve">OPEN</x:t>
        </x:is>
      </x:c>
      <x:c r="D374" s="57" t="inlineStr">
        <x:is>
          <x:t xml:space="preserve">ARG-037</x:t>
        </x:is>
      </x:c>
      <x:c r="E374" s="75" t="str">
        <x:f>INDEX('Company Universe'!$B$6:$B$105,MATCH(D374,'Company Universe'!$A$6:$A$105,0))</x:f>
        <x:v>Bank of America</x:v>
      </x:c>
      <x:c r="F374" s="75" t="str">
        <x:f>INDEX('Company Universe'!$C$6:$C$105,MATCH(D374,'Company Universe'!$A$6:$A$105,0))</x:f>
        <x:v>BAC</x:v>
      </x:c>
      <x:c r="G374" s="75" t="str">
        <x:f>INDEX('Company Universe'!$F$6:$F$105,MATCH(D374,'Company Universe'!$A$6:$A$105,0))</x:f>
        <x:v>Banks</x:v>
      </x:c>
      <x:c r="H374" s="57" t="n">
        <x:v>9</x:v>
      </x:c>
      <x:c r="I374" s="206" t="n"/>
      <x:c r="J374" s="71" t="n"/>
      <x:c r="K374" s="71" t="n"/>
      <x:c r="L374" s="71" t="inlineStr">
        <x:is>
          <x:t xml:space="preserve">NO</x:t>
        </x:is>
      </x:c>
      <x:c r="M374" s="71" t="n"/>
      <x:c r="N374" s="71" t="n"/>
      <x:c r="O374" s="71" t="n"/>
      <x:c r="P374" s="71" t="n"/>
      <x:c r="Q374" s="71" t="n"/>
      <x:c r="R374" s="71" t="n"/>
      <x:c r="S374" s="206" t="n"/>
      <x:c r="T374" s="71" t="n"/>
      <x:c r="U374" s="71" t="n"/>
      <x:c r="V374" s="71" t="n"/>
      <x:c r="W374" s="71" t="n"/>
      <x:c r="X374" s="71" t="n"/>
      <x:c r="Y374" s="71" t="n"/>
      <x:c r="Z374" s="71" t="n"/>
      <x:c r="AA374" s="71" t="n"/>
      <x:c r="AB374" s="71" t="inlineStr">
        <x:is>
          <x:t xml:space="preserve">NO</x:t>
        </x:is>
      </x:c>
      <x:c r="AC374" s="57" t="inlineStr">
        <x:is>
          <x:t xml:space="preserve">V10</x:t>
        </x:is>
      </x:c>
      <x:c r="AD374" s="57" t="n"/>
      <x:c r="AE374" s="79" t="str">
        <x:f>IF(AND(I374&lt;&gt;"",J374&lt;&gt;"",K374&lt;&gt;"",L374="YES",M374&lt;&gt;"",S374&lt;&gt;"",T374&lt;&gt;"",U374&lt;&gt;"",V374&lt;&gt;"",W374&lt;&gt;"",X374&lt;&gt;"",Y374&lt;&gt;""),"COMPLETE","PENDING")</x:f>
        <x:v>PENDING</x:v>
      </x:c>
      <x:c r="AF374" s="79" t="str">
        <x:f>IF(AE374="COMPLETE","YES","NO")</x:f>
        <x:v>NO</x:v>
      </x:c>
      <x:c r="AG374" s="214" t="str">
        <x:f>IF(AF374&lt;&gt;"YES","",(IF(V374="YES",1,0)+IF(W374="YES",1,0))/2)</x:f>
      </x:c>
    </x:row>
    <x:row r="375">
      <x:c r="A375" s="57" t="inlineStr">
        <x:is>
          <x:t xml:space="preserve">C0370</x:t>
        </x:is>
      </x:c>
      <x:c r="B375" s="57" t="inlineStr">
        <x:is>
          <x:t xml:space="preserve">Development</x:t>
        </x:is>
      </x:c>
      <x:c r="C375" s="57" t="inlineStr">
        <x:is>
          <x:t xml:space="preserve">OPEN</x:t>
        </x:is>
      </x:c>
      <x:c r="D375" s="57" t="inlineStr">
        <x:is>
          <x:t xml:space="preserve">ARG-037</x:t>
        </x:is>
      </x:c>
      <x:c r="E375" s="75" t="str">
        <x:f>INDEX('Company Universe'!$B$6:$B$105,MATCH(D375,'Company Universe'!$A$6:$A$105,0))</x:f>
        <x:v>Bank of America</x:v>
      </x:c>
      <x:c r="F375" s="75" t="str">
        <x:f>INDEX('Company Universe'!$C$6:$C$105,MATCH(D375,'Company Universe'!$A$6:$A$105,0))</x:f>
        <x:v>BAC</x:v>
      </x:c>
      <x:c r="G375" s="75" t="str">
        <x:f>INDEX('Company Universe'!$F$6:$F$105,MATCH(D375,'Company Universe'!$A$6:$A$105,0))</x:f>
        <x:v>Banks</x:v>
      </x:c>
      <x:c r="H375" s="57" t="n">
        <x:v>10</x:v>
      </x:c>
      <x:c r="I375" s="206" t="n"/>
      <x:c r="J375" s="71" t="n"/>
      <x:c r="K375" s="71" t="n"/>
      <x:c r="L375" s="71" t="inlineStr">
        <x:is>
          <x:t xml:space="preserve">NO</x:t>
        </x:is>
      </x:c>
      <x:c r="M375" s="71" t="n"/>
      <x:c r="N375" s="71" t="n"/>
      <x:c r="O375" s="71" t="n"/>
      <x:c r="P375" s="71" t="n"/>
      <x:c r="Q375" s="71" t="n"/>
      <x:c r="R375" s="71" t="n"/>
      <x:c r="S375" s="206" t="n"/>
      <x:c r="T375" s="71" t="n"/>
      <x:c r="U375" s="71" t="n"/>
      <x:c r="V375" s="71" t="n"/>
      <x:c r="W375" s="71" t="n"/>
      <x:c r="X375" s="71" t="n"/>
      <x:c r="Y375" s="71" t="n"/>
      <x:c r="Z375" s="71" t="n"/>
      <x:c r="AA375" s="71" t="n"/>
      <x:c r="AB375" s="71" t="inlineStr">
        <x:is>
          <x:t xml:space="preserve">NO</x:t>
        </x:is>
      </x:c>
      <x:c r="AC375" s="57" t="inlineStr">
        <x:is>
          <x:t xml:space="preserve">V10</x:t>
        </x:is>
      </x:c>
      <x:c r="AD375" s="57" t="n"/>
      <x:c r="AE375" s="79" t="str">
        <x:f>IF(AND(I375&lt;&gt;"",J375&lt;&gt;"",K375&lt;&gt;"",L375="YES",M375&lt;&gt;"",S375&lt;&gt;"",T375&lt;&gt;"",U375&lt;&gt;"",V375&lt;&gt;"",W375&lt;&gt;"",X375&lt;&gt;"",Y375&lt;&gt;""),"COMPLETE","PENDING")</x:f>
        <x:v>PENDING</x:v>
      </x:c>
      <x:c r="AF375" s="79" t="str">
        <x:f>IF(AE375="COMPLETE","YES","NO")</x:f>
        <x:v>NO</x:v>
      </x:c>
      <x:c r="AG375" s="214" t="str">
        <x:f>IF(AF375&lt;&gt;"YES","",(IF(V375="YES",1,0)+IF(W375="YES",1,0))/2)</x:f>
      </x:c>
    </x:row>
    <x:row r="376">
      <x:c r="A376" s="57" t="inlineStr">
        <x:is>
          <x:t xml:space="preserve">C0371</x:t>
        </x:is>
      </x:c>
      <x:c r="B376" s="57" t="inlineStr">
        <x:is>
          <x:t xml:space="preserve">Development</x:t>
        </x:is>
      </x:c>
      <x:c r="C376" s="57" t="inlineStr">
        <x:is>
          <x:t xml:space="preserve">OPEN</x:t>
        </x:is>
      </x:c>
      <x:c r="D376" s="57" t="inlineStr">
        <x:is>
          <x:t xml:space="preserve">ARG-038</x:t>
        </x:is>
      </x:c>
      <x:c r="E376" s="75" t="str">
        <x:f>INDEX('Company Universe'!$B$6:$B$105,MATCH(D376,'Company Universe'!$A$6:$A$105,0))</x:f>
        <x:v>Citigroup</x:v>
      </x:c>
      <x:c r="F376" s="75" t="str">
        <x:f>INDEX('Company Universe'!$C$6:$C$105,MATCH(D376,'Company Universe'!$A$6:$A$105,0))</x:f>
        <x:v>C</x:v>
      </x:c>
      <x:c r="G376" s="75" t="str">
        <x:f>INDEX('Company Universe'!$F$6:$F$105,MATCH(D376,'Company Universe'!$A$6:$A$105,0))</x:f>
        <x:v>Banks</x:v>
      </x:c>
      <x:c r="H376" s="57" t="n">
        <x:v>1</x:v>
      </x:c>
      <x:c r="I376" s="206" t="n"/>
      <x:c r="J376" s="71" t="n"/>
      <x:c r="K376" s="71" t="n"/>
      <x:c r="L376" s="71" t="inlineStr">
        <x:is>
          <x:t xml:space="preserve">NO</x:t>
        </x:is>
      </x:c>
      <x:c r="M376" s="71" t="n"/>
      <x:c r="N376" s="71" t="n"/>
      <x:c r="O376" s="71" t="n"/>
      <x:c r="P376" s="71" t="n"/>
      <x:c r="Q376" s="71" t="n"/>
      <x:c r="R376" s="71" t="n"/>
      <x:c r="S376" s="206" t="n"/>
      <x:c r="T376" s="71" t="n"/>
      <x:c r="U376" s="71" t="n"/>
      <x:c r="V376" s="71" t="n"/>
      <x:c r="W376" s="71" t="n"/>
      <x:c r="X376" s="71" t="n"/>
      <x:c r="Y376" s="71" t="n"/>
      <x:c r="Z376" s="71" t="n"/>
      <x:c r="AA376" s="71" t="n"/>
      <x:c r="AB376" s="71" t="inlineStr">
        <x:is>
          <x:t xml:space="preserve">NO</x:t>
        </x:is>
      </x:c>
      <x:c r="AC376" s="57" t="inlineStr">
        <x:is>
          <x:t xml:space="preserve">V10</x:t>
        </x:is>
      </x:c>
      <x:c r="AD376" s="57" t="n"/>
      <x:c r="AE376" s="79" t="str">
        <x:f>IF(AND(I376&lt;&gt;"",J376&lt;&gt;"",K376&lt;&gt;"",L376="YES",M376&lt;&gt;"",S376&lt;&gt;"",T376&lt;&gt;"",U376&lt;&gt;"",V376&lt;&gt;"",W376&lt;&gt;"",X376&lt;&gt;"",Y376&lt;&gt;""),"COMPLETE","PENDING")</x:f>
        <x:v>PENDING</x:v>
      </x:c>
      <x:c r="AF376" s="79" t="str">
        <x:f>IF(AE376="COMPLETE","YES","NO")</x:f>
        <x:v>NO</x:v>
      </x:c>
      <x:c r="AG376" s="214" t="str">
        <x:f>IF(AF376&lt;&gt;"YES","",(IF(V376="YES",1,0)+IF(W376="YES",1,0))/2)</x:f>
      </x:c>
    </x:row>
    <x:row r="377">
      <x:c r="A377" s="57" t="inlineStr">
        <x:is>
          <x:t xml:space="preserve">C0372</x:t>
        </x:is>
      </x:c>
      <x:c r="B377" s="57" t="inlineStr">
        <x:is>
          <x:t xml:space="preserve">Development</x:t>
        </x:is>
      </x:c>
      <x:c r="C377" s="57" t="inlineStr">
        <x:is>
          <x:t xml:space="preserve">OPEN</x:t>
        </x:is>
      </x:c>
      <x:c r="D377" s="57" t="inlineStr">
        <x:is>
          <x:t xml:space="preserve">ARG-038</x:t>
        </x:is>
      </x:c>
      <x:c r="E377" s="75" t="str">
        <x:f>INDEX('Company Universe'!$B$6:$B$105,MATCH(D377,'Company Universe'!$A$6:$A$105,0))</x:f>
        <x:v>Citigroup</x:v>
      </x:c>
      <x:c r="F377" s="75" t="str">
        <x:f>INDEX('Company Universe'!$C$6:$C$105,MATCH(D377,'Company Universe'!$A$6:$A$105,0))</x:f>
        <x:v>C</x:v>
      </x:c>
      <x:c r="G377" s="75" t="str">
        <x:f>INDEX('Company Universe'!$F$6:$F$105,MATCH(D377,'Company Universe'!$A$6:$A$105,0))</x:f>
        <x:v>Banks</x:v>
      </x:c>
      <x:c r="H377" s="57" t="n">
        <x:v>2</x:v>
      </x:c>
      <x:c r="I377" s="206" t="n"/>
      <x:c r="J377" s="71" t="n"/>
      <x:c r="K377" s="71" t="n"/>
      <x:c r="L377" s="71" t="inlineStr">
        <x:is>
          <x:t xml:space="preserve">NO</x:t>
        </x:is>
      </x:c>
      <x:c r="M377" s="71" t="n"/>
      <x:c r="N377" s="71" t="n"/>
      <x:c r="O377" s="71" t="n"/>
      <x:c r="P377" s="71" t="n"/>
      <x:c r="Q377" s="71" t="n"/>
      <x:c r="R377" s="71" t="n"/>
      <x:c r="S377" s="206" t="n"/>
      <x:c r="T377" s="71" t="n"/>
      <x:c r="U377" s="71" t="n"/>
      <x:c r="V377" s="71" t="n"/>
      <x:c r="W377" s="71" t="n"/>
      <x:c r="X377" s="71" t="n"/>
      <x:c r="Y377" s="71" t="n"/>
      <x:c r="Z377" s="71" t="n"/>
      <x:c r="AA377" s="71" t="n"/>
      <x:c r="AB377" s="71" t="inlineStr">
        <x:is>
          <x:t xml:space="preserve">NO</x:t>
        </x:is>
      </x:c>
      <x:c r="AC377" s="57" t="inlineStr">
        <x:is>
          <x:t xml:space="preserve">V10</x:t>
        </x:is>
      </x:c>
      <x:c r="AD377" s="57" t="n"/>
      <x:c r="AE377" s="79" t="str">
        <x:f>IF(AND(I377&lt;&gt;"",J377&lt;&gt;"",K377&lt;&gt;"",L377="YES",M377&lt;&gt;"",S377&lt;&gt;"",T377&lt;&gt;"",U377&lt;&gt;"",V377&lt;&gt;"",W377&lt;&gt;"",X377&lt;&gt;"",Y377&lt;&gt;""),"COMPLETE","PENDING")</x:f>
        <x:v>PENDING</x:v>
      </x:c>
      <x:c r="AF377" s="79" t="str">
        <x:f>IF(AE377="COMPLETE","YES","NO")</x:f>
        <x:v>NO</x:v>
      </x:c>
      <x:c r="AG377" s="214" t="str">
        <x:f>IF(AF377&lt;&gt;"YES","",(IF(V377="YES",1,0)+IF(W377="YES",1,0))/2)</x:f>
      </x:c>
    </x:row>
    <x:row r="378">
      <x:c r="A378" s="57" t="inlineStr">
        <x:is>
          <x:t xml:space="preserve">C0373</x:t>
        </x:is>
      </x:c>
      <x:c r="B378" s="57" t="inlineStr">
        <x:is>
          <x:t xml:space="preserve">Development</x:t>
        </x:is>
      </x:c>
      <x:c r="C378" s="57" t="inlineStr">
        <x:is>
          <x:t xml:space="preserve">OPEN</x:t>
        </x:is>
      </x:c>
      <x:c r="D378" s="57" t="inlineStr">
        <x:is>
          <x:t xml:space="preserve">ARG-038</x:t>
        </x:is>
      </x:c>
      <x:c r="E378" s="75" t="str">
        <x:f>INDEX('Company Universe'!$B$6:$B$105,MATCH(D378,'Company Universe'!$A$6:$A$105,0))</x:f>
        <x:v>Citigroup</x:v>
      </x:c>
      <x:c r="F378" s="75" t="str">
        <x:f>INDEX('Company Universe'!$C$6:$C$105,MATCH(D378,'Company Universe'!$A$6:$A$105,0))</x:f>
        <x:v>C</x:v>
      </x:c>
      <x:c r="G378" s="75" t="str">
        <x:f>INDEX('Company Universe'!$F$6:$F$105,MATCH(D378,'Company Universe'!$A$6:$A$105,0))</x:f>
        <x:v>Banks</x:v>
      </x:c>
      <x:c r="H378" s="57" t="n">
        <x:v>3</x:v>
      </x:c>
      <x:c r="I378" s="206" t="n"/>
      <x:c r="J378" s="71" t="n"/>
      <x:c r="K378" s="71" t="n"/>
      <x:c r="L378" s="71" t="inlineStr">
        <x:is>
          <x:t xml:space="preserve">NO</x:t>
        </x:is>
      </x:c>
      <x:c r="M378" s="71" t="n"/>
      <x:c r="N378" s="71" t="n"/>
      <x:c r="O378" s="71" t="n"/>
      <x:c r="P378" s="71" t="n"/>
      <x:c r="Q378" s="71" t="n"/>
      <x:c r="R378" s="71" t="n"/>
      <x:c r="S378" s="206" t="n"/>
      <x:c r="T378" s="71" t="n"/>
      <x:c r="U378" s="71" t="n"/>
      <x:c r="V378" s="71" t="n"/>
      <x:c r="W378" s="71" t="n"/>
      <x:c r="X378" s="71" t="n"/>
      <x:c r="Y378" s="71" t="n"/>
      <x:c r="Z378" s="71" t="n"/>
      <x:c r="AA378" s="71" t="n"/>
      <x:c r="AB378" s="71" t="inlineStr">
        <x:is>
          <x:t xml:space="preserve">NO</x:t>
        </x:is>
      </x:c>
      <x:c r="AC378" s="57" t="inlineStr">
        <x:is>
          <x:t xml:space="preserve">V10</x:t>
        </x:is>
      </x:c>
      <x:c r="AD378" s="57" t="n"/>
      <x:c r="AE378" s="79" t="str">
        <x:f>IF(AND(I378&lt;&gt;"",J378&lt;&gt;"",K378&lt;&gt;"",L378="YES",M378&lt;&gt;"",S378&lt;&gt;"",T378&lt;&gt;"",U378&lt;&gt;"",V378&lt;&gt;"",W378&lt;&gt;"",X378&lt;&gt;"",Y378&lt;&gt;""),"COMPLETE","PENDING")</x:f>
        <x:v>PENDING</x:v>
      </x:c>
      <x:c r="AF378" s="79" t="str">
        <x:f>IF(AE378="COMPLETE","YES","NO")</x:f>
        <x:v>NO</x:v>
      </x:c>
      <x:c r="AG378" s="214" t="str">
        <x:f>IF(AF378&lt;&gt;"YES","",(IF(V378="YES",1,0)+IF(W378="YES",1,0))/2)</x:f>
      </x:c>
    </x:row>
    <x:row r="379">
      <x:c r="A379" s="57" t="inlineStr">
        <x:is>
          <x:t xml:space="preserve">C0374</x:t>
        </x:is>
      </x:c>
      <x:c r="B379" s="57" t="inlineStr">
        <x:is>
          <x:t xml:space="preserve">Development</x:t>
        </x:is>
      </x:c>
      <x:c r="C379" s="57" t="inlineStr">
        <x:is>
          <x:t xml:space="preserve">OPEN</x:t>
        </x:is>
      </x:c>
      <x:c r="D379" s="57" t="inlineStr">
        <x:is>
          <x:t xml:space="preserve">ARG-038</x:t>
        </x:is>
      </x:c>
      <x:c r="E379" s="75" t="str">
        <x:f>INDEX('Company Universe'!$B$6:$B$105,MATCH(D379,'Company Universe'!$A$6:$A$105,0))</x:f>
        <x:v>Citigroup</x:v>
      </x:c>
      <x:c r="F379" s="75" t="str">
        <x:f>INDEX('Company Universe'!$C$6:$C$105,MATCH(D379,'Company Universe'!$A$6:$A$105,0))</x:f>
        <x:v>C</x:v>
      </x:c>
      <x:c r="G379" s="75" t="str">
        <x:f>INDEX('Company Universe'!$F$6:$F$105,MATCH(D379,'Company Universe'!$A$6:$A$105,0))</x:f>
        <x:v>Banks</x:v>
      </x:c>
      <x:c r="H379" s="57" t="n">
        <x:v>4</x:v>
      </x:c>
      <x:c r="I379" s="206" t="n"/>
      <x:c r="J379" s="71" t="n"/>
      <x:c r="K379" s="71" t="n"/>
      <x:c r="L379" s="71" t="inlineStr">
        <x:is>
          <x:t xml:space="preserve">NO</x:t>
        </x:is>
      </x:c>
      <x:c r="M379" s="71" t="n"/>
      <x:c r="N379" s="71" t="n"/>
      <x:c r="O379" s="71" t="n"/>
      <x:c r="P379" s="71" t="n"/>
      <x:c r="Q379" s="71" t="n"/>
      <x:c r="R379" s="71" t="n"/>
      <x:c r="S379" s="206" t="n"/>
      <x:c r="T379" s="71" t="n"/>
      <x:c r="U379" s="71" t="n"/>
      <x:c r="V379" s="71" t="n"/>
      <x:c r="W379" s="71" t="n"/>
      <x:c r="X379" s="71" t="n"/>
      <x:c r="Y379" s="71" t="n"/>
      <x:c r="Z379" s="71" t="n"/>
      <x:c r="AA379" s="71" t="n"/>
      <x:c r="AB379" s="71" t="inlineStr">
        <x:is>
          <x:t xml:space="preserve">NO</x:t>
        </x:is>
      </x:c>
      <x:c r="AC379" s="57" t="inlineStr">
        <x:is>
          <x:t xml:space="preserve">V10</x:t>
        </x:is>
      </x:c>
      <x:c r="AD379" s="57" t="n"/>
      <x:c r="AE379" s="79" t="str">
        <x:f>IF(AND(I379&lt;&gt;"",J379&lt;&gt;"",K379&lt;&gt;"",L379="YES",M379&lt;&gt;"",S379&lt;&gt;"",T379&lt;&gt;"",U379&lt;&gt;"",V379&lt;&gt;"",W379&lt;&gt;"",X379&lt;&gt;"",Y379&lt;&gt;""),"COMPLETE","PENDING")</x:f>
        <x:v>PENDING</x:v>
      </x:c>
      <x:c r="AF379" s="79" t="str">
        <x:f>IF(AE379="COMPLETE","YES","NO")</x:f>
        <x:v>NO</x:v>
      </x:c>
      <x:c r="AG379" s="214" t="str">
        <x:f>IF(AF379&lt;&gt;"YES","",(IF(V379="YES",1,0)+IF(W379="YES",1,0))/2)</x:f>
      </x:c>
    </x:row>
    <x:row r="380">
      <x:c r="A380" s="57" t="inlineStr">
        <x:is>
          <x:t xml:space="preserve">C0375</x:t>
        </x:is>
      </x:c>
      <x:c r="B380" s="57" t="inlineStr">
        <x:is>
          <x:t xml:space="preserve">Development</x:t>
        </x:is>
      </x:c>
      <x:c r="C380" s="57" t="inlineStr">
        <x:is>
          <x:t xml:space="preserve">OPEN</x:t>
        </x:is>
      </x:c>
      <x:c r="D380" s="57" t="inlineStr">
        <x:is>
          <x:t xml:space="preserve">ARG-038</x:t>
        </x:is>
      </x:c>
      <x:c r="E380" s="75" t="str">
        <x:f>INDEX('Company Universe'!$B$6:$B$105,MATCH(D380,'Company Universe'!$A$6:$A$105,0))</x:f>
        <x:v>Citigroup</x:v>
      </x:c>
      <x:c r="F380" s="75" t="str">
        <x:f>INDEX('Company Universe'!$C$6:$C$105,MATCH(D380,'Company Universe'!$A$6:$A$105,0))</x:f>
        <x:v>C</x:v>
      </x:c>
      <x:c r="G380" s="75" t="str">
        <x:f>INDEX('Company Universe'!$F$6:$F$105,MATCH(D380,'Company Universe'!$A$6:$A$105,0))</x:f>
        <x:v>Banks</x:v>
      </x:c>
      <x:c r="H380" s="57" t="n">
        <x:v>5</x:v>
      </x:c>
      <x:c r="I380" s="206" t="n"/>
      <x:c r="J380" s="71" t="n"/>
      <x:c r="K380" s="71" t="n"/>
      <x:c r="L380" s="71" t="inlineStr">
        <x:is>
          <x:t xml:space="preserve">NO</x:t>
        </x:is>
      </x:c>
      <x:c r="M380" s="71" t="n"/>
      <x:c r="N380" s="71" t="n"/>
      <x:c r="O380" s="71" t="n"/>
      <x:c r="P380" s="71" t="n"/>
      <x:c r="Q380" s="71" t="n"/>
      <x:c r="R380" s="71" t="n"/>
      <x:c r="S380" s="206" t="n"/>
      <x:c r="T380" s="71" t="n"/>
      <x:c r="U380" s="71" t="n"/>
      <x:c r="V380" s="71" t="n"/>
      <x:c r="W380" s="71" t="n"/>
      <x:c r="X380" s="71" t="n"/>
      <x:c r="Y380" s="71" t="n"/>
      <x:c r="Z380" s="71" t="n"/>
      <x:c r="AA380" s="71" t="n"/>
      <x:c r="AB380" s="71" t="inlineStr">
        <x:is>
          <x:t xml:space="preserve">NO</x:t>
        </x:is>
      </x:c>
      <x:c r="AC380" s="57" t="inlineStr">
        <x:is>
          <x:t xml:space="preserve">V10</x:t>
        </x:is>
      </x:c>
      <x:c r="AD380" s="57" t="n"/>
      <x:c r="AE380" s="79" t="str">
        <x:f>IF(AND(I380&lt;&gt;"",J380&lt;&gt;"",K380&lt;&gt;"",L380="YES",M380&lt;&gt;"",S380&lt;&gt;"",T380&lt;&gt;"",U380&lt;&gt;"",V380&lt;&gt;"",W380&lt;&gt;"",X380&lt;&gt;"",Y380&lt;&gt;""),"COMPLETE","PENDING")</x:f>
        <x:v>PENDING</x:v>
      </x:c>
      <x:c r="AF380" s="79" t="str">
        <x:f>IF(AE380="COMPLETE","YES","NO")</x:f>
        <x:v>NO</x:v>
      </x:c>
      <x:c r="AG380" s="214" t="str">
        <x:f>IF(AF380&lt;&gt;"YES","",(IF(V380="YES",1,0)+IF(W380="YES",1,0))/2)</x:f>
      </x:c>
    </x:row>
    <x:row r="381">
      <x:c r="A381" s="57" t="inlineStr">
        <x:is>
          <x:t xml:space="preserve">C0376</x:t>
        </x:is>
      </x:c>
      <x:c r="B381" s="57" t="inlineStr">
        <x:is>
          <x:t xml:space="preserve">Development</x:t>
        </x:is>
      </x:c>
      <x:c r="C381" s="57" t="inlineStr">
        <x:is>
          <x:t xml:space="preserve">OPEN</x:t>
        </x:is>
      </x:c>
      <x:c r="D381" s="57" t="inlineStr">
        <x:is>
          <x:t xml:space="preserve">ARG-038</x:t>
        </x:is>
      </x:c>
      <x:c r="E381" s="75" t="str">
        <x:f>INDEX('Company Universe'!$B$6:$B$105,MATCH(D381,'Company Universe'!$A$6:$A$105,0))</x:f>
        <x:v>Citigroup</x:v>
      </x:c>
      <x:c r="F381" s="75" t="str">
        <x:f>INDEX('Company Universe'!$C$6:$C$105,MATCH(D381,'Company Universe'!$A$6:$A$105,0))</x:f>
        <x:v>C</x:v>
      </x:c>
      <x:c r="G381" s="75" t="str">
        <x:f>INDEX('Company Universe'!$F$6:$F$105,MATCH(D381,'Company Universe'!$A$6:$A$105,0))</x:f>
        <x:v>Banks</x:v>
      </x:c>
      <x:c r="H381" s="57" t="n">
        <x:v>6</x:v>
      </x:c>
      <x:c r="I381" s="206" t="n"/>
      <x:c r="J381" s="71" t="n"/>
      <x:c r="K381" s="71" t="n"/>
      <x:c r="L381" s="71" t="inlineStr">
        <x:is>
          <x:t xml:space="preserve">NO</x:t>
        </x:is>
      </x:c>
      <x:c r="M381" s="71" t="n"/>
      <x:c r="N381" s="71" t="n"/>
      <x:c r="O381" s="71" t="n"/>
      <x:c r="P381" s="71" t="n"/>
      <x:c r="Q381" s="71" t="n"/>
      <x:c r="R381" s="71" t="n"/>
      <x:c r="S381" s="206" t="n"/>
      <x:c r="T381" s="71" t="n"/>
      <x:c r="U381" s="71" t="n"/>
      <x:c r="V381" s="71" t="n"/>
      <x:c r="W381" s="71" t="n"/>
      <x:c r="X381" s="71" t="n"/>
      <x:c r="Y381" s="71" t="n"/>
      <x:c r="Z381" s="71" t="n"/>
      <x:c r="AA381" s="71" t="n"/>
      <x:c r="AB381" s="71" t="inlineStr">
        <x:is>
          <x:t xml:space="preserve">NO</x:t>
        </x:is>
      </x:c>
      <x:c r="AC381" s="57" t="inlineStr">
        <x:is>
          <x:t xml:space="preserve">V10</x:t>
        </x:is>
      </x:c>
      <x:c r="AD381" s="57" t="n"/>
      <x:c r="AE381" s="79" t="str">
        <x:f>IF(AND(I381&lt;&gt;"",J381&lt;&gt;"",K381&lt;&gt;"",L381="YES",M381&lt;&gt;"",S381&lt;&gt;"",T381&lt;&gt;"",U381&lt;&gt;"",V381&lt;&gt;"",W381&lt;&gt;"",X381&lt;&gt;"",Y381&lt;&gt;""),"COMPLETE","PENDING")</x:f>
        <x:v>PENDING</x:v>
      </x:c>
      <x:c r="AF381" s="79" t="str">
        <x:f>IF(AE381="COMPLETE","YES","NO")</x:f>
        <x:v>NO</x:v>
      </x:c>
      <x:c r="AG381" s="214" t="str">
        <x:f>IF(AF381&lt;&gt;"YES","",(IF(V381="YES",1,0)+IF(W381="YES",1,0))/2)</x:f>
      </x:c>
    </x:row>
    <x:row r="382">
      <x:c r="A382" s="57" t="inlineStr">
        <x:is>
          <x:t xml:space="preserve">C0377</x:t>
        </x:is>
      </x:c>
      <x:c r="B382" s="57" t="inlineStr">
        <x:is>
          <x:t xml:space="preserve">Development</x:t>
        </x:is>
      </x:c>
      <x:c r="C382" s="57" t="inlineStr">
        <x:is>
          <x:t xml:space="preserve">OPEN</x:t>
        </x:is>
      </x:c>
      <x:c r="D382" s="57" t="inlineStr">
        <x:is>
          <x:t xml:space="preserve">ARG-038</x:t>
        </x:is>
      </x:c>
      <x:c r="E382" s="75" t="str">
        <x:f>INDEX('Company Universe'!$B$6:$B$105,MATCH(D382,'Company Universe'!$A$6:$A$105,0))</x:f>
        <x:v>Citigroup</x:v>
      </x:c>
      <x:c r="F382" s="75" t="str">
        <x:f>INDEX('Company Universe'!$C$6:$C$105,MATCH(D382,'Company Universe'!$A$6:$A$105,0))</x:f>
        <x:v>C</x:v>
      </x:c>
      <x:c r="G382" s="75" t="str">
        <x:f>INDEX('Company Universe'!$F$6:$F$105,MATCH(D382,'Company Universe'!$A$6:$A$105,0))</x:f>
        <x:v>Banks</x:v>
      </x:c>
      <x:c r="H382" s="57" t="n">
        <x:v>7</x:v>
      </x:c>
      <x:c r="I382" s="206" t="n"/>
      <x:c r="J382" s="71" t="n"/>
      <x:c r="K382" s="71" t="n"/>
      <x:c r="L382" s="71" t="inlineStr">
        <x:is>
          <x:t xml:space="preserve">NO</x:t>
        </x:is>
      </x:c>
      <x:c r="M382" s="71" t="n"/>
      <x:c r="N382" s="71" t="n"/>
      <x:c r="O382" s="71" t="n"/>
      <x:c r="P382" s="71" t="n"/>
      <x:c r="Q382" s="71" t="n"/>
      <x:c r="R382" s="71" t="n"/>
      <x:c r="S382" s="206" t="n"/>
      <x:c r="T382" s="71" t="n"/>
      <x:c r="U382" s="71" t="n"/>
      <x:c r="V382" s="71" t="n"/>
      <x:c r="W382" s="71" t="n"/>
      <x:c r="X382" s="71" t="n"/>
      <x:c r="Y382" s="71" t="n"/>
      <x:c r="Z382" s="71" t="n"/>
      <x:c r="AA382" s="71" t="n"/>
      <x:c r="AB382" s="71" t="inlineStr">
        <x:is>
          <x:t xml:space="preserve">NO</x:t>
        </x:is>
      </x:c>
      <x:c r="AC382" s="57" t="inlineStr">
        <x:is>
          <x:t xml:space="preserve">V10</x:t>
        </x:is>
      </x:c>
      <x:c r="AD382" s="57" t="n"/>
      <x:c r="AE382" s="79" t="str">
        <x:f>IF(AND(I382&lt;&gt;"",J382&lt;&gt;"",K382&lt;&gt;"",L382="YES",M382&lt;&gt;"",S382&lt;&gt;"",T382&lt;&gt;"",U382&lt;&gt;"",V382&lt;&gt;"",W382&lt;&gt;"",X382&lt;&gt;"",Y382&lt;&gt;""),"COMPLETE","PENDING")</x:f>
        <x:v>PENDING</x:v>
      </x:c>
      <x:c r="AF382" s="79" t="str">
        <x:f>IF(AE382="COMPLETE","YES","NO")</x:f>
        <x:v>NO</x:v>
      </x:c>
      <x:c r="AG382" s="214" t="str">
        <x:f>IF(AF382&lt;&gt;"YES","",(IF(V382="YES",1,0)+IF(W382="YES",1,0))/2)</x:f>
      </x:c>
    </x:row>
    <x:row r="383">
      <x:c r="A383" s="57" t="inlineStr">
        <x:is>
          <x:t xml:space="preserve">C0378</x:t>
        </x:is>
      </x:c>
      <x:c r="B383" s="57" t="inlineStr">
        <x:is>
          <x:t xml:space="preserve">Development</x:t>
        </x:is>
      </x:c>
      <x:c r="C383" s="57" t="inlineStr">
        <x:is>
          <x:t xml:space="preserve">OPEN</x:t>
        </x:is>
      </x:c>
      <x:c r="D383" s="57" t="inlineStr">
        <x:is>
          <x:t xml:space="preserve">ARG-038</x:t>
        </x:is>
      </x:c>
      <x:c r="E383" s="75" t="str">
        <x:f>INDEX('Company Universe'!$B$6:$B$105,MATCH(D383,'Company Universe'!$A$6:$A$105,0))</x:f>
        <x:v>Citigroup</x:v>
      </x:c>
      <x:c r="F383" s="75" t="str">
        <x:f>INDEX('Company Universe'!$C$6:$C$105,MATCH(D383,'Company Universe'!$A$6:$A$105,0))</x:f>
        <x:v>C</x:v>
      </x:c>
      <x:c r="G383" s="75" t="str">
        <x:f>INDEX('Company Universe'!$F$6:$F$105,MATCH(D383,'Company Universe'!$A$6:$A$105,0))</x:f>
        <x:v>Banks</x:v>
      </x:c>
      <x:c r="H383" s="57" t="n">
        <x:v>8</x:v>
      </x:c>
      <x:c r="I383" s="206" t="n"/>
      <x:c r="J383" s="71" t="n"/>
      <x:c r="K383" s="71" t="n"/>
      <x:c r="L383" s="71" t="inlineStr">
        <x:is>
          <x:t xml:space="preserve">NO</x:t>
        </x:is>
      </x:c>
      <x:c r="M383" s="71" t="n"/>
      <x:c r="N383" s="71" t="n"/>
      <x:c r="O383" s="71" t="n"/>
      <x:c r="P383" s="71" t="n"/>
      <x:c r="Q383" s="71" t="n"/>
      <x:c r="R383" s="71" t="n"/>
      <x:c r="S383" s="206" t="n"/>
      <x:c r="T383" s="71" t="n"/>
      <x:c r="U383" s="71" t="n"/>
      <x:c r="V383" s="71" t="n"/>
      <x:c r="W383" s="71" t="n"/>
      <x:c r="X383" s="71" t="n"/>
      <x:c r="Y383" s="71" t="n"/>
      <x:c r="Z383" s="71" t="n"/>
      <x:c r="AA383" s="71" t="n"/>
      <x:c r="AB383" s="71" t="inlineStr">
        <x:is>
          <x:t xml:space="preserve">NO</x:t>
        </x:is>
      </x:c>
      <x:c r="AC383" s="57" t="inlineStr">
        <x:is>
          <x:t xml:space="preserve">V10</x:t>
        </x:is>
      </x:c>
      <x:c r="AD383" s="57" t="n"/>
      <x:c r="AE383" s="79" t="str">
        <x:f>IF(AND(I383&lt;&gt;"",J383&lt;&gt;"",K383&lt;&gt;"",L383="YES",M383&lt;&gt;"",S383&lt;&gt;"",T383&lt;&gt;"",U383&lt;&gt;"",V383&lt;&gt;"",W383&lt;&gt;"",X383&lt;&gt;"",Y383&lt;&gt;""),"COMPLETE","PENDING")</x:f>
        <x:v>PENDING</x:v>
      </x:c>
      <x:c r="AF383" s="79" t="str">
        <x:f>IF(AE383="COMPLETE","YES","NO")</x:f>
        <x:v>NO</x:v>
      </x:c>
      <x:c r="AG383" s="214" t="str">
        <x:f>IF(AF383&lt;&gt;"YES","",(IF(V383="YES",1,0)+IF(W383="YES",1,0))/2)</x:f>
      </x:c>
    </x:row>
    <x:row r="384">
      <x:c r="A384" s="57" t="inlineStr">
        <x:is>
          <x:t xml:space="preserve">C0379</x:t>
        </x:is>
      </x:c>
      <x:c r="B384" s="57" t="inlineStr">
        <x:is>
          <x:t xml:space="preserve">Development</x:t>
        </x:is>
      </x:c>
      <x:c r="C384" s="57" t="inlineStr">
        <x:is>
          <x:t xml:space="preserve">OPEN</x:t>
        </x:is>
      </x:c>
      <x:c r="D384" s="57" t="inlineStr">
        <x:is>
          <x:t xml:space="preserve">ARG-038</x:t>
        </x:is>
      </x:c>
      <x:c r="E384" s="75" t="str">
        <x:f>INDEX('Company Universe'!$B$6:$B$105,MATCH(D384,'Company Universe'!$A$6:$A$105,0))</x:f>
        <x:v>Citigroup</x:v>
      </x:c>
      <x:c r="F384" s="75" t="str">
        <x:f>INDEX('Company Universe'!$C$6:$C$105,MATCH(D384,'Company Universe'!$A$6:$A$105,0))</x:f>
        <x:v>C</x:v>
      </x:c>
      <x:c r="G384" s="75" t="str">
        <x:f>INDEX('Company Universe'!$F$6:$F$105,MATCH(D384,'Company Universe'!$A$6:$A$105,0))</x:f>
        <x:v>Banks</x:v>
      </x:c>
      <x:c r="H384" s="57" t="n">
        <x:v>9</x:v>
      </x:c>
      <x:c r="I384" s="206" t="n"/>
      <x:c r="J384" s="71" t="n"/>
      <x:c r="K384" s="71" t="n"/>
      <x:c r="L384" s="71" t="inlineStr">
        <x:is>
          <x:t xml:space="preserve">NO</x:t>
        </x:is>
      </x:c>
      <x:c r="M384" s="71" t="n"/>
      <x:c r="N384" s="71" t="n"/>
      <x:c r="O384" s="71" t="n"/>
      <x:c r="P384" s="71" t="n"/>
      <x:c r="Q384" s="71" t="n"/>
      <x:c r="R384" s="71" t="n"/>
      <x:c r="S384" s="206" t="n"/>
      <x:c r="T384" s="71" t="n"/>
      <x:c r="U384" s="71" t="n"/>
      <x:c r="V384" s="71" t="n"/>
      <x:c r="W384" s="71" t="n"/>
      <x:c r="X384" s="71" t="n"/>
      <x:c r="Y384" s="71" t="n"/>
      <x:c r="Z384" s="71" t="n"/>
      <x:c r="AA384" s="71" t="n"/>
      <x:c r="AB384" s="71" t="inlineStr">
        <x:is>
          <x:t xml:space="preserve">NO</x:t>
        </x:is>
      </x:c>
      <x:c r="AC384" s="57" t="inlineStr">
        <x:is>
          <x:t xml:space="preserve">V10</x:t>
        </x:is>
      </x:c>
      <x:c r="AD384" s="57" t="n"/>
      <x:c r="AE384" s="79" t="str">
        <x:f>IF(AND(I384&lt;&gt;"",J384&lt;&gt;"",K384&lt;&gt;"",L384="YES",M384&lt;&gt;"",S384&lt;&gt;"",T384&lt;&gt;"",U384&lt;&gt;"",V384&lt;&gt;"",W384&lt;&gt;"",X384&lt;&gt;"",Y384&lt;&gt;""),"COMPLETE","PENDING")</x:f>
        <x:v>PENDING</x:v>
      </x:c>
      <x:c r="AF384" s="79" t="str">
        <x:f>IF(AE384="COMPLETE","YES","NO")</x:f>
        <x:v>NO</x:v>
      </x:c>
      <x:c r="AG384" s="214" t="str">
        <x:f>IF(AF384&lt;&gt;"YES","",(IF(V384="YES",1,0)+IF(W384="YES",1,0))/2)</x:f>
      </x:c>
    </x:row>
    <x:row r="385">
      <x:c r="A385" s="57" t="inlineStr">
        <x:is>
          <x:t xml:space="preserve">C0380</x:t>
        </x:is>
      </x:c>
      <x:c r="B385" s="57" t="inlineStr">
        <x:is>
          <x:t xml:space="preserve">Development</x:t>
        </x:is>
      </x:c>
      <x:c r="C385" s="57" t="inlineStr">
        <x:is>
          <x:t xml:space="preserve">OPEN</x:t>
        </x:is>
      </x:c>
      <x:c r="D385" s="57" t="inlineStr">
        <x:is>
          <x:t xml:space="preserve">ARG-038</x:t>
        </x:is>
      </x:c>
      <x:c r="E385" s="75" t="str">
        <x:f>INDEX('Company Universe'!$B$6:$B$105,MATCH(D385,'Company Universe'!$A$6:$A$105,0))</x:f>
        <x:v>Citigroup</x:v>
      </x:c>
      <x:c r="F385" s="75" t="str">
        <x:f>INDEX('Company Universe'!$C$6:$C$105,MATCH(D385,'Company Universe'!$A$6:$A$105,0))</x:f>
        <x:v>C</x:v>
      </x:c>
      <x:c r="G385" s="75" t="str">
        <x:f>INDEX('Company Universe'!$F$6:$F$105,MATCH(D385,'Company Universe'!$A$6:$A$105,0))</x:f>
        <x:v>Banks</x:v>
      </x:c>
      <x:c r="H385" s="57" t="n">
        <x:v>10</x:v>
      </x:c>
      <x:c r="I385" s="206" t="n"/>
      <x:c r="J385" s="71" t="n"/>
      <x:c r="K385" s="71" t="n"/>
      <x:c r="L385" s="71" t="inlineStr">
        <x:is>
          <x:t xml:space="preserve">NO</x:t>
        </x:is>
      </x:c>
      <x:c r="M385" s="71" t="n"/>
      <x:c r="N385" s="71" t="n"/>
      <x:c r="O385" s="71" t="n"/>
      <x:c r="P385" s="71" t="n"/>
      <x:c r="Q385" s="71" t="n"/>
      <x:c r="R385" s="71" t="n"/>
      <x:c r="S385" s="206" t="n"/>
      <x:c r="T385" s="71" t="n"/>
      <x:c r="U385" s="71" t="n"/>
      <x:c r="V385" s="71" t="n"/>
      <x:c r="W385" s="71" t="n"/>
      <x:c r="X385" s="71" t="n"/>
      <x:c r="Y385" s="71" t="n"/>
      <x:c r="Z385" s="71" t="n"/>
      <x:c r="AA385" s="71" t="n"/>
      <x:c r="AB385" s="71" t="inlineStr">
        <x:is>
          <x:t xml:space="preserve">NO</x:t>
        </x:is>
      </x:c>
      <x:c r="AC385" s="57" t="inlineStr">
        <x:is>
          <x:t xml:space="preserve">V10</x:t>
        </x:is>
      </x:c>
      <x:c r="AD385" s="57" t="n"/>
      <x:c r="AE385" s="79" t="str">
        <x:f>IF(AND(I385&lt;&gt;"",J385&lt;&gt;"",K385&lt;&gt;"",L385="YES",M385&lt;&gt;"",S385&lt;&gt;"",T385&lt;&gt;"",U385&lt;&gt;"",V385&lt;&gt;"",W385&lt;&gt;"",X385&lt;&gt;"",Y385&lt;&gt;""),"COMPLETE","PENDING")</x:f>
        <x:v>PENDING</x:v>
      </x:c>
      <x:c r="AF385" s="79" t="str">
        <x:f>IF(AE385="COMPLETE","YES","NO")</x:f>
        <x:v>NO</x:v>
      </x:c>
      <x:c r="AG385" s="214" t="str">
        <x:f>IF(AF385&lt;&gt;"YES","",(IF(V385="YES",1,0)+IF(W385="YES",1,0))/2)</x:f>
      </x:c>
    </x:row>
    <x:row r="386">
      <x:c r="A386" s="57" t="inlineStr">
        <x:is>
          <x:t xml:space="preserve">C0381</x:t>
        </x:is>
      </x:c>
      <x:c r="B386" s="57" t="inlineStr">
        <x:is>
          <x:t xml:space="preserve">Development</x:t>
        </x:is>
      </x:c>
      <x:c r="C386" s="57" t="inlineStr">
        <x:is>
          <x:t xml:space="preserve">OPEN</x:t>
        </x:is>
      </x:c>
      <x:c r="D386" s="57" t="inlineStr">
        <x:is>
          <x:t xml:space="preserve">ARG-039</x:t>
        </x:is>
      </x:c>
      <x:c r="E386" s="75" t="str">
        <x:f>INDEX('Company Universe'!$B$6:$B$105,MATCH(D386,'Company Universe'!$A$6:$A$105,0))</x:f>
        <x:v>Goldman Sachs</x:v>
      </x:c>
      <x:c r="F386" s="75" t="str">
        <x:f>INDEX('Company Universe'!$C$6:$C$105,MATCH(D386,'Company Universe'!$A$6:$A$105,0))</x:f>
        <x:v>GS</x:v>
      </x:c>
      <x:c r="G386" s="75" t="str">
        <x:f>INDEX('Company Universe'!$F$6:$F$105,MATCH(D386,'Company Universe'!$A$6:$A$105,0))</x:f>
        <x:v>Capital Markets</x:v>
      </x:c>
      <x:c r="H386" s="57" t="n">
        <x:v>1</x:v>
      </x:c>
      <x:c r="I386" s="206" t="n"/>
      <x:c r="J386" s="71" t="n"/>
      <x:c r="K386" s="71" t="n"/>
      <x:c r="L386" s="71" t="inlineStr">
        <x:is>
          <x:t xml:space="preserve">NO</x:t>
        </x:is>
      </x:c>
      <x:c r="M386" s="71" t="n"/>
      <x:c r="N386" s="71" t="n"/>
      <x:c r="O386" s="71" t="n"/>
      <x:c r="P386" s="71" t="n"/>
      <x:c r="Q386" s="71" t="n"/>
      <x:c r="R386" s="71" t="n"/>
      <x:c r="S386" s="206" t="n"/>
      <x:c r="T386" s="71" t="n"/>
      <x:c r="U386" s="71" t="n"/>
      <x:c r="V386" s="71" t="n"/>
      <x:c r="W386" s="71" t="n"/>
      <x:c r="X386" s="71" t="n"/>
      <x:c r="Y386" s="71" t="n"/>
      <x:c r="Z386" s="71" t="n"/>
      <x:c r="AA386" s="71" t="n"/>
      <x:c r="AB386" s="71" t="inlineStr">
        <x:is>
          <x:t xml:space="preserve">NO</x:t>
        </x:is>
      </x:c>
      <x:c r="AC386" s="57" t="inlineStr">
        <x:is>
          <x:t xml:space="preserve">V10</x:t>
        </x:is>
      </x:c>
      <x:c r="AD386" s="57" t="n"/>
      <x:c r="AE386" s="79" t="str">
        <x:f>IF(AND(I386&lt;&gt;"",J386&lt;&gt;"",K386&lt;&gt;"",L386="YES",M386&lt;&gt;"",S386&lt;&gt;"",T386&lt;&gt;"",U386&lt;&gt;"",V386&lt;&gt;"",W386&lt;&gt;"",X386&lt;&gt;"",Y386&lt;&gt;""),"COMPLETE","PENDING")</x:f>
        <x:v>PENDING</x:v>
      </x:c>
      <x:c r="AF386" s="79" t="str">
        <x:f>IF(AE386="COMPLETE","YES","NO")</x:f>
        <x:v>NO</x:v>
      </x:c>
      <x:c r="AG386" s="214" t="str">
        <x:f>IF(AF386&lt;&gt;"YES","",(IF(V386="YES",1,0)+IF(W386="YES",1,0))/2)</x:f>
      </x:c>
    </x:row>
    <x:row r="387">
      <x:c r="A387" s="57" t="inlineStr">
        <x:is>
          <x:t xml:space="preserve">C0382</x:t>
        </x:is>
      </x:c>
      <x:c r="B387" s="57" t="inlineStr">
        <x:is>
          <x:t xml:space="preserve">Development</x:t>
        </x:is>
      </x:c>
      <x:c r="C387" s="57" t="inlineStr">
        <x:is>
          <x:t xml:space="preserve">OPEN</x:t>
        </x:is>
      </x:c>
      <x:c r="D387" s="57" t="inlineStr">
        <x:is>
          <x:t xml:space="preserve">ARG-039</x:t>
        </x:is>
      </x:c>
      <x:c r="E387" s="75" t="str">
        <x:f>INDEX('Company Universe'!$B$6:$B$105,MATCH(D387,'Company Universe'!$A$6:$A$105,0))</x:f>
        <x:v>Goldman Sachs</x:v>
      </x:c>
      <x:c r="F387" s="75" t="str">
        <x:f>INDEX('Company Universe'!$C$6:$C$105,MATCH(D387,'Company Universe'!$A$6:$A$105,0))</x:f>
        <x:v>GS</x:v>
      </x:c>
      <x:c r="G387" s="75" t="str">
        <x:f>INDEX('Company Universe'!$F$6:$F$105,MATCH(D387,'Company Universe'!$A$6:$A$105,0))</x:f>
        <x:v>Capital Markets</x:v>
      </x:c>
      <x:c r="H387" s="57" t="n">
        <x:v>2</x:v>
      </x:c>
      <x:c r="I387" s="206" t="n"/>
      <x:c r="J387" s="71" t="n"/>
      <x:c r="K387" s="71" t="n"/>
      <x:c r="L387" s="71" t="inlineStr">
        <x:is>
          <x:t xml:space="preserve">NO</x:t>
        </x:is>
      </x:c>
      <x:c r="M387" s="71" t="n"/>
      <x:c r="N387" s="71" t="n"/>
      <x:c r="O387" s="71" t="n"/>
      <x:c r="P387" s="71" t="n"/>
      <x:c r="Q387" s="71" t="n"/>
      <x:c r="R387" s="71" t="n"/>
      <x:c r="S387" s="206" t="n"/>
      <x:c r="T387" s="71" t="n"/>
      <x:c r="U387" s="71" t="n"/>
      <x:c r="V387" s="71" t="n"/>
      <x:c r="W387" s="71" t="n"/>
      <x:c r="X387" s="71" t="n"/>
      <x:c r="Y387" s="71" t="n"/>
      <x:c r="Z387" s="71" t="n"/>
      <x:c r="AA387" s="71" t="n"/>
      <x:c r="AB387" s="71" t="inlineStr">
        <x:is>
          <x:t xml:space="preserve">NO</x:t>
        </x:is>
      </x:c>
      <x:c r="AC387" s="57" t="inlineStr">
        <x:is>
          <x:t xml:space="preserve">V10</x:t>
        </x:is>
      </x:c>
      <x:c r="AD387" s="57" t="n"/>
      <x:c r="AE387" s="79" t="str">
        <x:f>IF(AND(I387&lt;&gt;"",J387&lt;&gt;"",K387&lt;&gt;"",L387="YES",M387&lt;&gt;"",S387&lt;&gt;"",T387&lt;&gt;"",U387&lt;&gt;"",V387&lt;&gt;"",W387&lt;&gt;"",X387&lt;&gt;"",Y387&lt;&gt;""),"COMPLETE","PENDING")</x:f>
        <x:v>PENDING</x:v>
      </x:c>
      <x:c r="AF387" s="79" t="str">
        <x:f>IF(AE387="COMPLETE","YES","NO")</x:f>
        <x:v>NO</x:v>
      </x:c>
      <x:c r="AG387" s="214" t="str">
        <x:f>IF(AF387&lt;&gt;"YES","",(IF(V387="YES",1,0)+IF(W387="YES",1,0))/2)</x:f>
      </x:c>
    </x:row>
    <x:row r="388">
      <x:c r="A388" s="57" t="inlineStr">
        <x:is>
          <x:t xml:space="preserve">C0383</x:t>
        </x:is>
      </x:c>
      <x:c r="B388" s="57" t="inlineStr">
        <x:is>
          <x:t xml:space="preserve">Development</x:t>
        </x:is>
      </x:c>
      <x:c r="C388" s="57" t="inlineStr">
        <x:is>
          <x:t xml:space="preserve">OPEN</x:t>
        </x:is>
      </x:c>
      <x:c r="D388" s="57" t="inlineStr">
        <x:is>
          <x:t xml:space="preserve">ARG-039</x:t>
        </x:is>
      </x:c>
      <x:c r="E388" s="75" t="str">
        <x:f>INDEX('Company Universe'!$B$6:$B$105,MATCH(D388,'Company Universe'!$A$6:$A$105,0))</x:f>
        <x:v>Goldman Sachs</x:v>
      </x:c>
      <x:c r="F388" s="75" t="str">
        <x:f>INDEX('Company Universe'!$C$6:$C$105,MATCH(D388,'Company Universe'!$A$6:$A$105,0))</x:f>
        <x:v>GS</x:v>
      </x:c>
      <x:c r="G388" s="75" t="str">
        <x:f>INDEX('Company Universe'!$F$6:$F$105,MATCH(D388,'Company Universe'!$A$6:$A$105,0))</x:f>
        <x:v>Capital Markets</x:v>
      </x:c>
      <x:c r="H388" s="57" t="n">
        <x:v>3</x:v>
      </x:c>
      <x:c r="I388" s="206" t="n"/>
      <x:c r="J388" s="71" t="n"/>
      <x:c r="K388" s="71" t="n"/>
      <x:c r="L388" s="71" t="inlineStr">
        <x:is>
          <x:t xml:space="preserve">NO</x:t>
        </x:is>
      </x:c>
      <x:c r="M388" s="71" t="n"/>
      <x:c r="N388" s="71" t="n"/>
      <x:c r="O388" s="71" t="n"/>
      <x:c r="P388" s="71" t="n"/>
      <x:c r="Q388" s="71" t="n"/>
      <x:c r="R388" s="71" t="n"/>
      <x:c r="S388" s="206" t="n"/>
      <x:c r="T388" s="71" t="n"/>
      <x:c r="U388" s="71" t="n"/>
      <x:c r="V388" s="71" t="n"/>
      <x:c r="W388" s="71" t="n"/>
      <x:c r="X388" s="71" t="n"/>
      <x:c r="Y388" s="71" t="n"/>
      <x:c r="Z388" s="71" t="n"/>
      <x:c r="AA388" s="71" t="n"/>
      <x:c r="AB388" s="71" t="inlineStr">
        <x:is>
          <x:t xml:space="preserve">NO</x:t>
        </x:is>
      </x:c>
      <x:c r="AC388" s="57" t="inlineStr">
        <x:is>
          <x:t xml:space="preserve">V10</x:t>
        </x:is>
      </x:c>
      <x:c r="AD388" s="57" t="n"/>
      <x:c r="AE388" s="79" t="str">
        <x:f>IF(AND(I388&lt;&gt;"",J388&lt;&gt;"",K388&lt;&gt;"",L388="YES",M388&lt;&gt;"",S388&lt;&gt;"",T388&lt;&gt;"",U388&lt;&gt;"",V388&lt;&gt;"",W388&lt;&gt;"",X388&lt;&gt;"",Y388&lt;&gt;""),"COMPLETE","PENDING")</x:f>
        <x:v>PENDING</x:v>
      </x:c>
      <x:c r="AF388" s="79" t="str">
        <x:f>IF(AE388="COMPLETE","YES","NO")</x:f>
        <x:v>NO</x:v>
      </x:c>
      <x:c r="AG388" s="214" t="str">
        <x:f>IF(AF388&lt;&gt;"YES","",(IF(V388="YES",1,0)+IF(W388="YES",1,0))/2)</x:f>
      </x:c>
    </x:row>
    <x:row r="389">
      <x:c r="A389" s="57" t="inlineStr">
        <x:is>
          <x:t xml:space="preserve">C0384</x:t>
        </x:is>
      </x:c>
      <x:c r="B389" s="57" t="inlineStr">
        <x:is>
          <x:t xml:space="preserve">Development</x:t>
        </x:is>
      </x:c>
      <x:c r="C389" s="57" t="inlineStr">
        <x:is>
          <x:t xml:space="preserve">OPEN</x:t>
        </x:is>
      </x:c>
      <x:c r="D389" s="57" t="inlineStr">
        <x:is>
          <x:t xml:space="preserve">ARG-039</x:t>
        </x:is>
      </x:c>
      <x:c r="E389" s="75" t="str">
        <x:f>INDEX('Company Universe'!$B$6:$B$105,MATCH(D389,'Company Universe'!$A$6:$A$105,0))</x:f>
        <x:v>Goldman Sachs</x:v>
      </x:c>
      <x:c r="F389" s="75" t="str">
        <x:f>INDEX('Company Universe'!$C$6:$C$105,MATCH(D389,'Company Universe'!$A$6:$A$105,0))</x:f>
        <x:v>GS</x:v>
      </x:c>
      <x:c r="G389" s="75" t="str">
        <x:f>INDEX('Company Universe'!$F$6:$F$105,MATCH(D389,'Company Universe'!$A$6:$A$105,0))</x:f>
        <x:v>Capital Markets</x:v>
      </x:c>
      <x:c r="H389" s="57" t="n">
        <x:v>4</x:v>
      </x:c>
      <x:c r="I389" s="206" t="n"/>
      <x:c r="J389" s="71" t="n"/>
      <x:c r="K389" s="71" t="n"/>
      <x:c r="L389" s="71" t="inlineStr">
        <x:is>
          <x:t xml:space="preserve">NO</x:t>
        </x:is>
      </x:c>
      <x:c r="M389" s="71" t="n"/>
      <x:c r="N389" s="71" t="n"/>
      <x:c r="O389" s="71" t="n"/>
      <x:c r="P389" s="71" t="n"/>
      <x:c r="Q389" s="71" t="n"/>
      <x:c r="R389" s="71" t="n"/>
      <x:c r="S389" s="206" t="n"/>
      <x:c r="T389" s="71" t="n"/>
      <x:c r="U389" s="71" t="n"/>
      <x:c r="V389" s="71" t="n"/>
      <x:c r="W389" s="71" t="n"/>
      <x:c r="X389" s="71" t="n"/>
      <x:c r="Y389" s="71" t="n"/>
      <x:c r="Z389" s="71" t="n"/>
      <x:c r="AA389" s="71" t="n"/>
      <x:c r="AB389" s="71" t="inlineStr">
        <x:is>
          <x:t xml:space="preserve">NO</x:t>
        </x:is>
      </x:c>
      <x:c r="AC389" s="57" t="inlineStr">
        <x:is>
          <x:t xml:space="preserve">V10</x:t>
        </x:is>
      </x:c>
      <x:c r="AD389" s="57" t="n"/>
      <x:c r="AE389" s="79" t="str">
        <x:f>IF(AND(I389&lt;&gt;"",J389&lt;&gt;"",K389&lt;&gt;"",L389="YES",M389&lt;&gt;"",S389&lt;&gt;"",T389&lt;&gt;"",U389&lt;&gt;"",V389&lt;&gt;"",W389&lt;&gt;"",X389&lt;&gt;"",Y389&lt;&gt;""),"COMPLETE","PENDING")</x:f>
        <x:v>PENDING</x:v>
      </x:c>
      <x:c r="AF389" s="79" t="str">
        <x:f>IF(AE389="COMPLETE","YES","NO")</x:f>
        <x:v>NO</x:v>
      </x:c>
      <x:c r="AG389" s="214" t="str">
        <x:f>IF(AF389&lt;&gt;"YES","",(IF(V389="YES",1,0)+IF(W389="YES",1,0))/2)</x:f>
      </x:c>
    </x:row>
    <x:row r="390">
      <x:c r="A390" s="57" t="inlineStr">
        <x:is>
          <x:t xml:space="preserve">C0385</x:t>
        </x:is>
      </x:c>
      <x:c r="B390" s="57" t="inlineStr">
        <x:is>
          <x:t xml:space="preserve">Development</x:t>
        </x:is>
      </x:c>
      <x:c r="C390" s="57" t="inlineStr">
        <x:is>
          <x:t xml:space="preserve">OPEN</x:t>
        </x:is>
      </x:c>
      <x:c r="D390" s="57" t="inlineStr">
        <x:is>
          <x:t xml:space="preserve">ARG-039</x:t>
        </x:is>
      </x:c>
      <x:c r="E390" s="75" t="str">
        <x:f>INDEX('Company Universe'!$B$6:$B$105,MATCH(D390,'Company Universe'!$A$6:$A$105,0))</x:f>
        <x:v>Goldman Sachs</x:v>
      </x:c>
      <x:c r="F390" s="75" t="str">
        <x:f>INDEX('Company Universe'!$C$6:$C$105,MATCH(D390,'Company Universe'!$A$6:$A$105,0))</x:f>
        <x:v>GS</x:v>
      </x:c>
      <x:c r="G390" s="75" t="str">
        <x:f>INDEX('Company Universe'!$F$6:$F$105,MATCH(D390,'Company Universe'!$A$6:$A$105,0))</x:f>
        <x:v>Capital Markets</x:v>
      </x:c>
      <x:c r="H390" s="57" t="n">
        <x:v>5</x:v>
      </x:c>
      <x:c r="I390" s="206" t="n"/>
      <x:c r="J390" s="71" t="n"/>
      <x:c r="K390" s="71" t="n"/>
      <x:c r="L390" s="71" t="inlineStr">
        <x:is>
          <x:t xml:space="preserve">NO</x:t>
        </x:is>
      </x:c>
      <x:c r="M390" s="71" t="n"/>
      <x:c r="N390" s="71" t="n"/>
      <x:c r="O390" s="71" t="n"/>
      <x:c r="P390" s="71" t="n"/>
      <x:c r="Q390" s="71" t="n"/>
      <x:c r="R390" s="71" t="n"/>
      <x:c r="S390" s="206" t="n"/>
      <x:c r="T390" s="71" t="n"/>
      <x:c r="U390" s="71" t="n"/>
      <x:c r="V390" s="71" t="n"/>
      <x:c r="W390" s="71" t="n"/>
      <x:c r="X390" s="71" t="n"/>
      <x:c r="Y390" s="71" t="n"/>
      <x:c r="Z390" s="71" t="n"/>
      <x:c r="AA390" s="71" t="n"/>
      <x:c r="AB390" s="71" t="inlineStr">
        <x:is>
          <x:t xml:space="preserve">NO</x:t>
        </x:is>
      </x:c>
      <x:c r="AC390" s="57" t="inlineStr">
        <x:is>
          <x:t xml:space="preserve">V10</x:t>
        </x:is>
      </x:c>
      <x:c r="AD390" s="57" t="n"/>
      <x:c r="AE390" s="79" t="str">
        <x:f>IF(AND(I390&lt;&gt;"",J390&lt;&gt;"",K390&lt;&gt;"",L390="YES",M390&lt;&gt;"",S390&lt;&gt;"",T390&lt;&gt;"",U390&lt;&gt;"",V390&lt;&gt;"",W390&lt;&gt;"",X390&lt;&gt;"",Y390&lt;&gt;""),"COMPLETE","PENDING")</x:f>
        <x:v>PENDING</x:v>
      </x:c>
      <x:c r="AF390" s="79" t="str">
        <x:f>IF(AE390="COMPLETE","YES","NO")</x:f>
        <x:v>NO</x:v>
      </x:c>
      <x:c r="AG390" s="214" t="str">
        <x:f>IF(AF390&lt;&gt;"YES","",(IF(V390="YES",1,0)+IF(W390="YES",1,0))/2)</x:f>
      </x:c>
    </x:row>
    <x:row r="391">
      <x:c r="A391" s="57" t="inlineStr">
        <x:is>
          <x:t xml:space="preserve">C0386</x:t>
        </x:is>
      </x:c>
      <x:c r="B391" s="57" t="inlineStr">
        <x:is>
          <x:t xml:space="preserve">Development</x:t>
        </x:is>
      </x:c>
      <x:c r="C391" s="57" t="inlineStr">
        <x:is>
          <x:t xml:space="preserve">OPEN</x:t>
        </x:is>
      </x:c>
      <x:c r="D391" s="57" t="inlineStr">
        <x:is>
          <x:t xml:space="preserve">ARG-039</x:t>
        </x:is>
      </x:c>
      <x:c r="E391" s="75" t="str">
        <x:f>INDEX('Company Universe'!$B$6:$B$105,MATCH(D391,'Company Universe'!$A$6:$A$105,0))</x:f>
        <x:v>Goldman Sachs</x:v>
      </x:c>
      <x:c r="F391" s="75" t="str">
        <x:f>INDEX('Company Universe'!$C$6:$C$105,MATCH(D391,'Company Universe'!$A$6:$A$105,0))</x:f>
        <x:v>GS</x:v>
      </x:c>
      <x:c r="G391" s="75" t="str">
        <x:f>INDEX('Company Universe'!$F$6:$F$105,MATCH(D391,'Company Universe'!$A$6:$A$105,0))</x:f>
        <x:v>Capital Markets</x:v>
      </x:c>
      <x:c r="H391" s="57" t="n">
        <x:v>6</x:v>
      </x:c>
      <x:c r="I391" s="206" t="n"/>
      <x:c r="J391" s="71" t="n"/>
      <x:c r="K391" s="71" t="n"/>
      <x:c r="L391" s="71" t="inlineStr">
        <x:is>
          <x:t xml:space="preserve">NO</x:t>
        </x:is>
      </x:c>
      <x:c r="M391" s="71" t="n"/>
      <x:c r="N391" s="71" t="n"/>
      <x:c r="O391" s="71" t="n"/>
      <x:c r="P391" s="71" t="n"/>
      <x:c r="Q391" s="71" t="n"/>
      <x:c r="R391" s="71" t="n"/>
      <x:c r="S391" s="206" t="n"/>
      <x:c r="T391" s="71" t="n"/>
      <x:c r="U391" s="71" t="n"/>
      <x:c r="V391" s="71" t="n"/>
      <x:c r="W391" s="71" t="n"/>
      <x:c r="X391" s="71" t="n"/>
      <x:c r="Y391" s="71" t="n"/>
      <x:c r="Z391" s="71" t="n"/>
      <x:c r="AA391" s="71" t="n"/>
      <x:c r="AB391" s="71" t="inlineStr">
        <x:is>
          <x:t xml:space="preserve">NO</x:t>
        </x:is>
      </x:c>
      <x:c r="AC391" s="57" t="inlineStr">
        <x:is>
          <x:t xml:space="preserve">V10</x:t>
        </x:is>
      </x:c>
      <x:c r="AD391" s="57" t="n"/>
      <x:c r="AE391" s="79" t="str">
        <x:f>IF(AND(I391&lt;&gt;"",J391&lt;&gt;"",K391&lt;&gt;"",L391="YES",M391&lt;&gt;"",S391&lt;&gt;"",T391&lt;&gt;"",U391&lt;&gt;"",V391&lt;&gt;"",W391&lt;&gt;"",X391&lt;&gt;"",Y391&lt;&gt;""),"COMPLETE","PENDING")</x:f>
        <x:v>PENDING</x:v>
      </x:c>
      <x:c r="AF391" s="79" t="str">
        <x:f>IF(AE391="COMPLETE","YES","NO")</x:f>
        <x:v>NO</x:v>
      </x:c>
      <x:c r="AG391" s="214" t="str">
        <x:f>IF(AF391&lt;&gt;"YES","",(IF(V391="YES",1,0)+IF(W391="YES",1,0))/2)</x:f>
      </x:c>
    </x:row>
    <x:row r="392">
      <x:c r="A392" s="57" t="inlineStr">
        <x:is>
          <x:t xml:space="preserve">C0387</x:t>
        </x:is>
      </x:c>
      <x:c r="B392" s="57" t="inlineStr">
        <x:is>
          <x:t xml:space="preserve">Development</x:t>
        </x:is>
      </x:c>
      <x:c r="C392" s="57" t="inlineStr">
        <x:is>
          <x:t xml:space="preserve">OPEN</x:t>
        </x:is>
      </x:c>
      <x:c r="D392" s="57" t="inlineStr">
        <x:is>
          <x:t xml:space="preserve">ARG-039</x:t>
        </x:is>
      </x:c>
      <x:c r="E392" s="75" t="str">
        <x:f>INDEX('Company Universe'!$B$6:$B$105,MATCH(D392,'Company Universe'!$A$6:$A$105,0))</x:f>
        <x:v>Goldman Sachs</x:v>
      </x:c>
      <x:c r="F392" s="75" t="str">
        <x:f>INDEX('Company Universe'!$C$6:$C$105,MATCH(D392,'Company Universe'!$A$6:$A$105,0))</x:f>
        <x:v>GS</x:v>
      </x:c>
      <x:c r="G392" s="75" t="str">
        <x:f>INDEX('Company Universe'!$F$6:$F$105,MATCH(D392,'Company Universe'!$A$6:$A$105,0))</x:f>
        <x:v>Capital Markets</x:v>
      </x:c>
      <x:c r="H392" s="57" t="n">
        <x:v>7</x:v>
      </x:c>
      <x:c r="I392" s="206" t="n"/>
      <x:c r="J392" s="71" t="n"/>
      <x:c r="K392" s="71" t="n"/>
      <x:c r="L392" s="71" t="inlineStr">
        <x:is>
          <x:t xml:space="preserve">NO</x:t>
        </x:is>
      </x:c>
      <x:c r="M392" s="71" t="n"/>
      <x:c r="N392" s="71" t="n"/>
      <x:c r="O392" s="71" t="n"/>
      <x:c r="P392" s="71" t="n"/>
      <x:c r="Q392" s="71" t="n"/>
      <x:c r="R392" s="71" t="n"/>
      <x:c r="S392" s="206" t="n"/>
      <x:c r="T392" s="71" t="n"/>
      <x:c r="U392" s="71" t="n"/>
      <x:c r="V392" s="71" t="n"/>
      <x:c r="W392" s="71" t="n"/>
      <x:c r="X392" s="71" t="n"/>
      <x:c r="Y392" s="71" t="n"/>
      <x:c r="Z392" s="71" t="n"/>
      <x:c r="AA392" s="71" t="n"/>
      <x:c r="AB392" s="71" t="inlineStr">
        <x:is>
          <x:t xml:space="preserve">NO</x:t>
        </x:is>
      </x:c>
      <x:c r="AC392" s="57" t="inlineStr">
        <x:is>
          <x:t xml:space="preserve">V10</x:t>
        </x:is>
      </x:c>
      <x:c r="AD392" s="57" t="n"/>
      <x:c r="AE392" s="79" t="str">
        <x:f>IF(AND(I392&lt;&gt;"",J392&lt;&gt;"",K392&lt;&gt;"",L392="YES",M392&lt;&gt;"",S392&lt;&gt;"",T392&lt;&gt;"",U392&lt;&gt;"",V392&lt;&gt;"",W392&lt;&gt;"",X392&lt;&gt;"",Y392&lt;&gt;""),"COMPLETE","PENDING")</x:f>
        <x:v>PENDING</x:v>
      </x:c>
      <x:c r="AF392" s="79" t="str">
        <x:f>IF(AE392="COMPLETE","YES","NO")</x:f>
        <x:v>NO</x:v>
      </x:c>
      <x:c r="AG392" s="214" t="str">
        <x:f>IF(AF392&lt;&gt;"YES","",(IF(V392="YES",1,0)+IF(W392="YES",1,0))/2)</x:f>
      </x:c>
    </x:row>
    <x:row r="393">
      <x:c r="A393" s="57" t="inlineStr">
        <x:is>
          <x:t xml:space="preserve">C0388</x:t>
        </x:is>
      </x:c>
      <x:c r="B393" s="57" t="inlineStr">
        <x:is>
          <x:t xml:space="preserve">Development</x:t>
        </x:is>
      </x:c>
      <x:c r="C393" s="57" t="inlineStr">
        <x:is>
          <x:t xml:space="preserve">OPEN</x:t>
        </x:is>
      </x:c>
      <x:c r="D393" s="57" t="inlineStr">
        <x:is>
          <x:t xml:space="preserve">ARG-039</x:t>
        </x:is>
      </x:c>
      <x:c r="E393" s="75" t="str">
        <x:f>INDEX('Company Universe'!$B$6:$B$105,MATCH(D393,'Company Universe'!$A$6:$A$105,0))</x:f>
        <x:v>Goldman Sachs</x:v>
      </x:c>
      <x:c r="F393" s="75" t="str">
        <x:f>INDEX('Company Universe'!$C$6:$C$105,MATCH(D393,'Company Universe'!$A$6:$A$105,0))</x:f>
        <x:v>GS</x:v>
      </x:c>
      <x:c r="G393" s="75" t="str">
        <x:f>INDEX('Company Universe'!$F$6:$F$105,MATCH(D393,'Company Universe'!$A$6:$A$105,0))</x:f>
        <x:v>Capital Markets</x:v>
      </x:c>
      <x:c r="H393" s="57" t="n">
        <x:v>8</x:v>
      </x:c>
      <x:c r="I393" s="206" t="n"/>
      <x:c r="J393" s="71" t="n"/>
      <x:c r="K393" s="71" t="n"/>
      <x:c r="L393" s="71" t="inlineStr">
        <x:is>
          <x:t xml:space="preserve">NO</x:t>
        </x:is>
      </x:c>
      <x:c r="M393" s="71" t="n"/>
      <x:c r="N393" s="71" t="n"/>
      <x:c r="O393" s="71" t="n"/>
      <x:c r="P393" s="71" t="n"/>
      <x:c r="Q393" s="71" t="n"/>
      <x:c r="R393" s="71" t="n"/>
      <x:c r="S393" s="206" t="n"/>
      <x:c r="T393" s="71" t="n"/>
      <x:c r="U393" s="71" t="n"/>
      <x:c r="V393" s="71" t="n"/>
      <x:c r="W393" s="71" t="n"/>
      <x:c r="X393" s="71" t="n"/>
      <x:c r="Y393" s="71" t="n"/>
      <x:c r="Z393" s="71" t="n"/>
      <x:c r="AA393" s="71" t="n"/>
      <x:c r="AB393" s="71" t="inlineStr">
        <x:is>
          <x:t xml:space="preserve">NO</x:t>
        </x:is>
      </x:c>
      <x:c r="AC393" s="57" t="inlineStr">
        <x:is>
          <x:t xml:space="preserve">V10</x:t>
        </x:is>
      </x:c>
      <x:c r="AD393" s="57" t="n"/>
      <x:c r="AE393" s="79" t="str">
        <x:f>IF(AND(I393&lt;&gt;"",J393&lt;&gt;"",K393&lt;&gt;"",L393="YES",M393&lt;&gt;"",S393&lt;&gt;"",T393&lt;&gt;"",U393&lt;&gt;"",V393&lt;&gt;"",W393&lt;&gt;"",X393&lt;&gt;"",Y393&lt;&gt;""),"COMPLETE","PENDING")</x:f>
        <x:v>PENDING</x:v>
      </x:c>
      <x:c r="AF393" s="79" t="str">
        <x:f>IF(AE393="COMPLETE","YES","NO")</x:f>
        <x:v>NO</x:v>
      </x:c>
      <x:c r="AG393" s="214" t="str">
        <x:f>IF(AF393&lt;&gt;"YES","",(IF(V393="YES",1,0)+IF(W393="YES",1,0))/2)</x:f>
      </x:c>
    </x:row>
    <x:row r="394">
      <x:c r="A394" s="57" t="inlineStr">
        <x:is>
          <x:t xml:space="preserve">C0389</x:t>
        </x:is>
      </x:c>
      <x:c r="B394" s="57" t="inlineStr">
        <x:is>
          <x:t xml:space="preserve">Development</x:t>
        </x:is>
      </x:c>
      <x:c r="C394" s="57" t="inlineStr">
        <x:is>
          <x:t xml:space="preserve">OPEN</x:t>
        </x:is>
      </x:c>
      <x:c r="D394" s="57" t="inlineStr">
        <x:is>
          <x:t xml:space="preserve">ARG-039</x:t>
        </x:is>
      </x:c>
      <x:c r="E394" s="75" t="str">
        <x:f>INDEX('Company Universe'!$B$6:$B$105,MATCH(D394,'Company Universe'!$A$6:$A$105,0))</x:f>
        <x:v>Goldman Sachs</x:v>
      </x:c>
      <x:c r="F394" s="75" t="str">
        <x:f>INDEX('Company Universe'!$C$6:$C$105,MATCH(D394,'Company Universe'!$A$6:$A$105,0))</x:f>
        <x:v>GS</x:v>
      </x:c>
      <x:c r="G394" s="75" t="str">
        <x:f>INDEX('Company Universe'!$F$6:$F$105,MATCH(D394,'Company Universe'!$A$6:$A$105,0))</x:f>
        <x:v>Capital Markets</x:v>
      </x:c>
      <x:c r="H394" s="57" t="n">
        <x:v>9</x:v>
      </x:c>
      <x:c r="I394" s="206" t="n"/>
      <x:c r="J394" s="71" t="n"/>
      <x:c r="K394" s="71" t="n"/>
      <x:c r="L394" s="71" t="inlineStr">
        <x:is>
          <x:t xml:space="preserve">NO</x:t>
        </x:is>
      </x:c>
      <x:c r="M394" s="71" t="n"/>
      <x:c r="N394" s="71" t="n"/>
      <x:c r="O394" s="71" t="n"/>
      <x:c r="P394" s="71" t="n"/>
      <x:c r="Q394" s="71" t="n"/>
      <x:c r="R394" s="71" t="n"/>
      <x:c r="S394" s="206" t="n"/>
      <x:c r="T394" s="71" t="n"/>
      <x:c r="U394" s="71" t="n"/>
      <x:c r="V394" s="71" t="n"/>
      <x:c r="W394" s="71" t="n"/>
      <x:c r="X394" s="71" t="n"/>
      <x:c r="Y394" s="71" t="n"/>
      <x:c r="Z394" s="71" t="n"/>
      <x:c r="AA394" s="71" t="n"/>
      <x:c r="AB394" s="71" t="inlineStr">
        <x:is>
          <x:t xml:space="preserve">NO</x:t>
        </x:is>
      </x:c>
      <x:c r="AC394" s="57" t="inlineStr">
        <x:is>
          <x:t xml:space="preserve">V10</x:t>
        </x:is>
      </x:c>
      <x:c r="AD394" s="57" t="n"/>
      <x:c r="AE394" s="79" t="str">
        <x:f>IF(AND(I394&lt;&gt;"",J394&lt;&gt;"",K394&lt;&gt;"",L394="YES",M394&lt;&gt;"",S394&lt;&gt;"",T394&lt;&gt;"",U394&lt;&gt;"",V394&lt;&gt;"",W394&lt;&gt;"",X394&lt;&gt;"",Y394&lt;&gt;""),"COMPLETE","PENDING")</x:f>
        <x:v>PENDING</x:v>
      </x:c>
      <x:c r="AF394" s="79" t="str">
        <x:f>IF(AE394="COMPLETE","YES","NO")</x:f>
        <x:v>NO</x:v>
      </x:c>
      <x:c r="AG394" s="214" t="str">
        <x:f>IF(AF394&lt;&gt;"YES","",(IF(V394="YES",1,0)+IF(W394="YES",1,0))/2)</x:f>
      </x:c>
    </x:row>
    <x:row r="395">
      <x:c r="A395" s="57" t="inlineStr">
        <x:is>
          <x:t xml:space="preserve">C0390</x:t>
        </x:is>
      </x:c>
      <x:c r="B395" s="57" t="inlineStr">
        <x:is>
          <x:t xml:space="preserve">Development</x:t>
        </x:is>
      </x:c>
      <x:c r="C395" s="57" t="inlineStr">
        <x:is>
          <x:t xml:space="preserve">OPEN</x:t>
        </x:is>
      </x:c>
      <x:c r="D395" s="57" t="inlineStr">
        <x:is>
          <x:t xml:space="preserve">ARG-039</x:t>
        </x:is>
      </x:c>
      <x:c r="E395" s="75" t="str">
        <x:f>INDEX('Company Universe'!$B$6:$B$105,MATCH(D395,'Company Universe'!$A$6:$A$105,0))</x:f>
        <x:v>Goldman Sachs</x:v>
      </x:c>
      <x:c r="F395" s="75" t="str">
        <x:f>INDEX('Company Universe'!$C$6:$C$105,MATCH(D395,'Company Universe'!$A$6:$A$105,0))</x:f>
        <x:v>GS</x:v>
      </x:c>
      <x:c r="G395" s="75" t="str">
        <x:f>INDEX('Company Universe'!$F$6:$F$105,MATCH(D395,'Company Universe'!$A$6:$A$105,0))</x:f>
        <x:v>Capital Markets</x:v>
      </x:c>
      <x:c r="H395" s="57" t="n">
        <x:v>10</x:v>
      </x:c>
      <x:c r="I395" s="206" t="n"/>
      <x:c r="J395" s="71" t="n"/>
      <x:c r="K395" s="71" t="n"/>
      <x:c r="L395" s="71" t="inlineStr">
        <x:is>
          <x:t xml:space="preserve">NO</x:t>
        </x:is>
      </x:c>
      <x:c r="M395" s="71" t="n"/>
      <x:c r="N395" s="71" t="n"/>
      <x:c r="O395" s="71" t="n"/>
      <x:c r="P395" s="71" t="n"/>
      <x:c r="Q395" s="71" t="n"/>
      <x:c r="R395" s="71" t="n"/>
      <x:c r="S395" s="206" t="n"/>
      <x:c r="T395" s="71" t="n"/>
      <x:c r="U395" s="71" t="n"/>
      <x:c r="V395" s="71" t="n"/>
      <x:c r="W395" s="71" t="n"/>
      <x:c r="X395" s="71" t="n"/>
      <x:c r="Y395" s="71" t="n"/>
      <x:c r="Z395" s="71" t="n"/>
      <x:c r="AA395" s="71" t="n"/>
      <x:c r="AB395" s="71" t="inlineStr">
        <x:is>
          <x:t xml:space="preserve">NO</x:t>
        </x:is>
      </x:c>
      <x:c r="AC395" s="57" t="inlineStr">
        <x:is>
          <x:t xml:space="preserve">V10</x:t>
        </x:is>
      </x:c>
      <x:c r="AD395" s="57" t="n"/>
      <x:c r="AE395" s="79" t="str">
        <x:f>IF(AND(I395&lt;&gt;"",J395&lt;&gt;"",K395&lt;&gt;"",L395="YES",M395&lt;&gt;"",S395&lt;&gt;"",T395&lt;&gt;"",U395&lt;&gt;"",V395&lt;&gt;"",W395&lt;&gt;"",X395&lt;&gt;"",Y395&lt;&gt;""),"COMPLETE","PENDING")</x:f>
        <x:v>PENDING</x:v>
      </x:c>
      <x:c r="AF395" s="79" t="str">
        <x:f>IF(AE395="COMPLETE","YES","NO")</x:f>
        <x:v>NO</x:v>
      </x:c>
      <x:c r="AG395" s="214" t="str">
        <x:f>IF(AF395&lt;&gt;"YES","",(IF(V395="YES",1,0)+IF(W395="YES",1,0))/2)</x:f>
      </x:c>
    </x:row>
    <x:row r="396">
      <x:c r="A396" s="57" t="inlineStr">
        <x:is>
          <x:t xml:space="preserve">C0391</x:t>
        </x:is>
      </x:c>
      <x:c r="B396" s="57" t="inlineStr">
        <x:is>
          <x:t xml:space="preserve">Development</x:t>
        </x:is>
      </x:c>
      <x:c r="C396" s="57" t="inlineStr">
        <x:is>
          <x:t xml:space="preserve">OPEN</x:t>
        </x:is>
      </x:c>
      <x:c r="D396" s="57" t="inlineStr">
        <x:is>
          <x:t xml:space="preserve">ARG-040</x:t>
        </x:is>
      </x:c>
      <x:c r="E396" s="75" t="str">
        <x:f>INDEX('Company Universe'!$B$6:$B$105,MATCH(D396,'Company Universe'!$A$6:$A$105,0))</x:f>
        <x:v>Berkshire Hathaway</x:v>
      </x:c>
      <x:c r="F396" s="75" t="str">
        <x:f>INDEX('Company Universe'!$C$6:$C$105,MATCH(D396,'Company Universe'!$A$6:$A$105,0))</x:f>
        <x:v>BRK.B</x:v>
      </x:c>
      <x:c r="G396" s="75" t="str">
        <x:f>INDEX('Company Universe'!$F$6:$F$105,MATCH(D396,'Company Universe'!$A$6:$A$105,0))</x:f>
        <x:v>Insurance</x:v>
      </x:c>
      <x:c r="H396" s="57" t="n">
        <x:v>1</x:v>
      </x:c>
      <x:c r="I396" s="206" t="n"/>
      <x:c r="J396" s="71" t="n"/>
      <x:c r="K396" s="71" t="n"/>
      <x:c r="L396" s="71" t="inlineStr">
        <x:is>
          <x:t xml:space="preserve">NO</x:t>
        </x:is>
      </x:c>
      <x:c r="M396" s="71" t="n"/>
      <x:c r="N396" s="71" t="n"/>
      <x:c r="O396" s="71" t="n"/>
      <x:c r="P396" s="71" t="n"/>
      <x:c r="Q396" s="71" t="n"/>
      <x:c r="R396" s="71" t="n"/>
      <x:c r="S396" s="206" t="n"/>
      <x:c r="T396" s="71" t="n"/>
      <x:c r="U396" s="71" t="n"/>
      <x:c r="V396" s="71" t="n"/>
      <x:c r="W396" s="71" t="n"/>
      <x:c r="X396" s="71" t="n"/>
      <x:c r="Y396" s="71" t="n"/>
      <x:c r="Z396" s="71" t="n"/>
      <x:c r="AA396" s="71" t="n"/>
      <x:c r="AB396" s="71" t="inlineStr">
        <x:is>
          <x:t xml:space="preserve">NO</x:t>
        </x:is>
      </x:c>
      <x:c r="AC396" s="57" t="inlineStr">
        <x:is>
          <x:t xml:space="preserve">V10</x:t>
        </x:is>
      </x:c>
      <x:c r="AD396" s="57" t="n"/>
      <x:c r="AE396" s="79" t="str">
        <x:f>IF(AND(I396&lt;&gt;"",J396&lt;&gt;"",K396&lt;&gt;"",L396="YES",M396&lt;&gt;"",S396&lt;&gt;"",T396&lt;&gt;"",U396&lt;&gt;"",V396&lt;&gt;"",W396&lt;&gt;"",X396&lt;&gt;"",Y396&lt;&gt;""),"COMPLETE","PENDING")</x:f>
        <x:v>PENDING</x:v>
      </x:c>
      <x:c r="AF396" s="79" t="str">
        <x:f>IF(AE396="COMPLETE","YES","NO")</x:f>
        <x:v>NO</x:v>
      </x:c>
      <x:c r="AG396" s="214" t="str">
        <x:f>IF(AF396&lt;&gt;"YES","",(IF(V396="YES",1,0)+IF(W396="YES",1,0))/2)</x:f>
      </x:c>
    </x:row>
    <x:row r="397">
      <x:c r="A397" s="57" t="inlineStr">
        <x:is>
          <x:t xml:space="preserve">C0392</x:t>
        </x:is>
      </x:c>
      <x:c r="B397" s="57" t="inlineStr">
        <x:is>
          <x:t xml:space="preserve">Development</x:t>
        </x:is>
      </x:c>
      <x:c r="C397" s="57" t="inlineStr">
        <x:is>
          <x:t xml:space="preserve">OPEN</x:t>
        </x:is>
      </x:c>
      <x:c r="D397" s="57" t="inlineStr">
        <x:is>
          <x:t xml:space="preserve">ARG-040</x:t>
        </x:is>
      </x:c>
      <x:c r="E397" s="75" t="str">
        <x:f>INDEX('Company Universe'!$B$6:$B$105,MATCH(D397,'Company Universe'!$A$6:$A$105,0))</x:f>
        <x:v>Berkshire Hathaway</x:v>
      </x:c>
      <x:c r="F397" s="75" t="str">
        <x:f>INDEX('Company Universe'!$C$6:$C$105,MATCH(D397,'Company Universe'!$A$6:$A$105,0))</x:f>
        <x:v>BRK.B</x:v>
      </x:c>
      <x:c r="G397" s="75" t="str">
        <x:f>INDEX('Company Universe'!$F$6:$F$105,MATCH(D397,'Company Universe'!$A$6:$A$105,0))</x:f>
        <x:v>Insurance</x:v>
      </x:c>
      <x:c r="H397" s="57" t="n">
        <x:v>2</x:v>
      </x:c>
      <x:c r="I397" s="206" t="n"/>
      <x:c r="J397" s="71" t="n"/>
      <x:c r="K397" s="71" t="n"/>
      <x:c r="L397" s="71" t="inlineStr">
        <x:is>
          <x:t xml:space="preserve">NO</x:t>
        </x:is>
      </x:c>
      <x:c r="M397" s="71" t="n"/>
      <x:c r="N397" s="71" t="n"/>
      <x:c r="O397" s="71" t="n"/>
      <x:c r="P397" s="71" t="n"/>
      <x:c r="Q397" s="71" t="n"/>
      <x:c r="R397" s="71" t="n"/>
      <x:c r="S397" s="206" t="n"/>
      <x:c r="T397" s="71" t="n"/>
      <x:c r="U397" s="71" t="n"/>
      <x:c r="V397" s="71" t="n"/>
      <x:c r="W397" s="71" t="n"/>
      <x:c r="X397" s="71" t="n"/>
      <x:c r="Y397" s="71" t="n"/>
      <x:c r="Z397" s="71" t="n"/>
      <x:c r="AA397" s="71" t="n"/>
      <x:c r="AB397" s="71" t="inlineStr">
        <x:is>
          <x:t xml:space="preserve">NO</x:t>
        </x:is>
      </x:c>
      <x:c r="AC397" s="57" t="inlineStr">
        <x:is>
          <x:t xml:space="preserve">V10</x:t>
        </x:is>
      </x:c>
      <x:c r="AD397" s="57" t="n"/>
      <x:c r="AE397" s="79" t="str">
        <x:f>IF(AND(I397&lt;&gt;"",J397&lt;&gt;"",K397&lt;&gt;"",L397="YES",M397&lt;&gt;"",S397&lt;&gt;"",T397&lt;&gt;"",U397&lt;&gt;"",V397&lt;&gt;"",W397&lt;&gt;"",X397&lt;&gt;"",Y397&lt;&gt;""),"COMPLETE","PENDING")</x:f>
        <x:v>PENDING</x:v>
      </x:c>
      <x:c r="AF397" s="79" t="str">
        <x:f>IF(AE397="COMPLETE","YES","NO")</x:f>
        <x:v>NO</x:v>
      </x:c>
      <x:c r="AG397" s="214" t="str">
        <x:f>IF(AF397&lt;&gt;"YES","",(IF(V397="YES",1,0)+IF(W397="YES",1,0))/2)</x:f>
      </x:c>
    </x:row>
    <x:row r="398">
      <x:c r="A398" s="57" t="inlineStr">
        <x:is>
          <x:t xml:space="preserve">C0393</x:t>
        </x:is>
      </x:c>
      <x:c r="B398" s="57" t="inlineStr">
        <x:is>
          <x:t xml:space="preserve">Development</x:t>
        </x:is>
      </x:c>
      <x:c r="C398" s="57" t="inlineStr">
        <x:is>
          <x:t xml:space="preserve">OPEN</x:t>
        </x:is>
      </x:c>
      <x:c r="D398" s="57" t="inlineStr">
        <x:is>
          <x:t xml:space="preserve">ARG-040</x:t>
        </x:is>
      </x:c>
      <x:c r="E398" s="75" t="str">
        <x:f>INDEX('Company Universe'!$B$6:$B$105,MATCH(D398,'Company Universe'!$A$6:$A$105,0))</x:f>
        <x:v>Berkshire Hathaway</x:v>
      </x:c>
      <x:c r="F398" s="75" t="str">
        <x:f>INDEX('Company Universe'!$C$6:$C$105,MATCH(D398,'Company Universe'!$A$6:$A$105,0))</x:f>
        <x:v>BRK.B</x:v>
      </x:c>
      <x:c r="G398" s="75" t="str">
        <x:f>INDEX('Company Universe'!$F$6:$F$105,MATCH(D398,'Company Universe'!$A$6:$A$105,0))</x:f>
        <x:v>Insurance</x:v>
      </x:c>
      <x:c r="H398" s="57" t="n">
        <x:v>3</x:v>
      </x:c>
      <x:c r="I398" s="206" t="n"/>
      <x:c r="J398" s="71" t="n"/>
      <x:c r="K398" s="71" t="n"/>
      <x:c r="L398" s="71" t="inlineStr">
        <x:is>
          <x:t xml:space="preserve">NO</x:t>
        </x:is>
      </x:c>
      <x:c r="M398" s="71" t="n"/>
      <x:c r="N398" s="71" t="n"/>
      <x:c r="O398" s="71" t="n"/>
      <x:c r="P398" s="71" t="n"/>
      <x:c r="Q398" s="71" t="n"/>
      <x:c r="R398" s="71" t="n"/>
      <x:c r="S398" s="206" t="n"/>
      <x:c r="T398" s="71" t="n"/>
      <x:c r="U398" s="71" t="n"/>
      <x:c r="V398" s="71" t="n"/>
      <x:c r="W398" s="71" t="n"/>
      <x:c r="X398" s="71" t="n"/>
      <x:c r="Y398" s="71" t="n"/>
      <x:c r="Z398" s="71" t="n"/>
      <x:c r="AA398" s="71" t="n"/>
      <x:c r="AB398" s="71" t="inlineStr">
        <x:is>
          <x:t xml:space="preserve">NO</x:t>
        </x:is>
      </x:c>
      <x:c r="AC398" s="57" t="inlineStr">
        <x:is>
          <x:t xml:space="preserve">V10</x:t>
        </x:is>
      </x:c>
      <x:c r="AD398" s="57" t="n"/>
      <x:c r="AE398" s="79" t="str">
        <x:f>IF(AND(I398&lt;&gt;"",J398&lt;&gt;"",K398&lt;&gt;"",L398="YES",M398&lt;&gt;"",S398&lt;&gt;"",T398&lt;&gt;"",U398&lt;&gt;"",V398&lt;&gt;"",W398&lt;&gt;"",X398&lt;&gt;"",Y398&lt;&gt;""),"COMPLETE","PENDING")</x:f>
        <x:v>PENDING</x:v>
      </x:c>
      <x:c r="AF398" s="79" t="str">
        <x:f>IF(AE398="COMPLETE","YES","NO")</x:f>
        <x:v>NO</x:v>
      </x:c>
      <x:c r="AG398" s="214" t="str">
        <x:f>IF(AF398&lt;&gt;"YES","",(IF(V398="YES",1,0)+IF(W398="YES",1,0))/2)</x:f>
      </x:c>
    </x:row>
    <x:row r="399">
      <x:c r="A399" s="57" t="inlineStr">
        <x:is>
          <x:t xml:space="preserve">C0394</x:t>
        </x:is>
      </x:c>
      <x:c r="B399" s="57" t="inlineStr">
        <x:is>
          <x:t xml:space="preserve">Development</x:t>
        </x:is>
      </x:c>
      <x:c r="C399" s="57" t="inlineStr">
        <x:is>
          <x:t xml:space="preserve">OPEN</x:t>
        </x:is>
      </x:c>
      <x:c r="D399" s="57" t="inlineStr">
        <x:is>
          <x:t xml:space="preserve">ARG-040</x:t>
        </x:is>
      </x:c>
      <x:c r="E399" s="75" t="str">
        <x:f>INDEX('Company Universe'!$B$6:$B$105,MATCH(D399,'Company Universe'!$A$6:$A$105,0))</x:f>
        <x:v>Berkshire Hathaway</x:v>
      </x:c>
      <x:c r="F399" s="75" t="str">
        <x:f>INDEX('Company Universe'!$C$6:$C$105,MATCH(D399,'Company Universe'!$A$6:$A$105,0))</x:f>
        <x:v>BRK.B</x:v>
      </x:c>
      <x:c r="G399" s="75" t="str">
        <x:f>INDEX('Company Universe'!$F$6:$F$105,MATCH(D399,'Company Universe'!$A$6:$A$105,0))</x:f>
        <x:v>Insurance</x:v>
      </x:c>
      <x:c r="H399" s="57" t="n">
        <x:v>4</x:v>
      </x:c>
      <x:c r="I399" s="206" t="n"/>
      <x:c r="J399" s="71" t="n"/>
      <x:c r="K399" s="71" t="n"/>
      <x:c r="L399" s="71" t="inlineStr">
        <x:is>
          <x:t xml:space="preserve">NO</x:t>
        </x:is>
      </x:c>
      <x:c r="M399" s="71" t="n"/>
      <x:c r="N399" s="71" t="n"/>
      <x:c r="O399" s="71" t="n"/>
      <x:c r="P399" s="71" t="n"/>
      <x:c r="Q399" s="71" t="n"/>
      <x:c r="R399" s="71" t="n"/>
      <x:c r="S399" s="206" t="n"/>
      <x:c r="T399" s="71" t="n"/>
      <x:c r="U399" s="71" t="n"/>
      <x:c r="V399" s="71" t="n"/>
      <x:c r="W399" s="71" t="n"/>
      <x:c r="X399" s="71" t="n"/>
      <x:c r="Y399" s="71" t="n"/>
      <x:c r="Z399" s="71" t="n"/>
      <x:c r="AA399" s="71" t="n"/>
      <x:c r="AB399" s="71" t="inlineStr">
        <x:is>
          <x:t xml:space="preserve">NO</x:t>
        </x:is>
      </x:c>
      <x:c r="AC399" s="57" t="inlineStr">
        <x:is>
          <x:t xml:space="preserve">V10</x:t>
        </x:is>
      </x:c>
      <x:c r="AD399" s="57" t="n"/>
      <x:c r="AE399" s="79" t="str">
        <x:f>IF(AND(I399&lt;&gt;"",J399&lt;&gt;"",K399&lt;&gt;"",L399="YES",M399&lt;&gt;"",S399&lt;&gt;"",T399&lt;&gt;"",U399&lt;&gt;"",V399&lt;&gt;"",W399&lt;&gt;"",X399&lt;&gt;"",Y399&lt;&gt;""),"COMPLETE","PENDING")</x:f>
        <x:v>PENDING</x:v>
      </x:c>
      <x:c r="AF399" s="79" t="str">
        <x:f>IF(AE399="COMPLETE","YES","NO")</x:f>
        <x:v>NO</x:v>
      </x:c>
      <x:c r="AG399" s="214" t="str">
        <x:f>IF(AF399&lt;&gt;"YES","",(IF(V399="YES",1,0)+IF(W399="YES",1,0))/2)</x:f>
      </x:c>
    </x:row>
    <x:row r="400">
      <x:c r="A400" s="57" t="inlineStr">
        <x:is>
          <x:t xml:space="preserve">C0395</x:t>
        </x:is>
      </x:c>
      <x:c r="B400" s="57" t="inlineStr">
        <x:is>
          <x:t xml:space="preserve">Development</x:t>
        </x:is>
      </x:c>
      <x:c r="C400" s="57" t="inlineStr">
        <x:is>
          <x:t xml:space="preserve">OPEN</x:t>
        </x:is>
      </x:c>
      <x:c r="D400" s="57" t="inlineStr">
        <x:is>
          <x:t xml:space="preserve">ARG-040</x:t>
        </x:is>
      </x:c>
      <x:c r="E400" s="75" t="str">
        <x:f>INDEX('Company Universe'!$B$6:$B$105,MATCH(D400,'Company Universe'!$A$6:$A$105,0))</x:f>
        <x:v>Berkshire Hathaway</x:v>
      </x:c>
      <x:c r="F400" s="75" t="str">
        <x:f>INDEX('Company Universe'!$C$6:$C$105,MATCH(D400,'Company Universe'!$A$6:$A$105,0))</x:f>
        <x:v>BRK.B</x:v>
      </x:c>
      <x:c r="G400" s="75" t="str">
        <x:f>INDEX('Company Universe'!$F$6:$F$105,MATCH(D400,'Company Universe'!$A$6:$A$105,0))</x:f>
        <x:v>Insurance</x:v>
      </x:c>
      <x:c r="H400" s="57" t="n">
        <x:v>5</x:v>
      </x:c>
      <x:c r="I400" s="206" t="n"/>
      <x:c r="J400" s="71" t="n"/>
      <x:c r="K400" s="71" t="n"/>
      <x:c r="L400" s="71" t="inlineStr">
        <x:is>
          <x:t xml:space="preserve">NO</x:t>
        </x:is>
      </x:c>
      <x:c r="M400" s="71" t="n"/>
      <x:c r="N400" s="71" t="n"/>
      <x:c r="O400" s="71" t="n"/>
      <x:c r="P400" s="71" t="n"/>
      <x:c r="Q400" s="71" t="n"/>
      <x:c r="R400" s="71" t="n"/>
      <x:c r="S400" s="206" t="n"/>
      <x:c r="T400" s="71" t="n"/>
      <x:c r="U400" s="71" t="n"/>
      <x:c r="V400" s="71" t="n"/>
      <x:c r="W400" s="71" t="n"/>
      <x:c r="X400" s="71" t="n"/>
      <x:c r="Y400" s="71" t="n"/>
      <x:c r="Z400" s="71" t="n"/>
      <x:c r="AA400" s="71" t="n"/>
      <x:c r="AB400" s="71" t="inlineStr">
        <x:is>
          <x:t xml:space="preserve">NO</x:t>
        </x:is>
      </x:c>
      <x:c r="AC400" s="57" t="inlineStr">
        <x:is>
          <x:t xml:space="preserve">V10</x:t>
        </x:is>
      </x:c>
      <x:c r="AD400" s="57" t="n"/>
      <x:c r="AE400" s="79" t="str">
        <x:f>IF(AND(I400&lt;&gt;"",J400&lt;&gt;"",K400&lt;&gt;"",L400="YES",M400&lt;&gt;"",S400&lt;&gt;"",T400&lt;&gt;"",U400&lt;&gt;"",V400&lt;&gt;"",W400&lt;&gt;"",X400&lt;&gt;"",Y400&lt;&gt;""),"COMPLETE","PENDING")</x:f>
        <x:v>PENDING</x:v>
      </x:c>
      <x:c r="AF400" s="79" t="str">
        <x:f>IF(AE400="COMPLETE","YES","NO")</x:f>
        <x:v>NO</x:v>
      </x:c>
      <x:c r="AG400" s="214" t="str">
        <x:f>IF(AF400&lt;&gt;"YES","",(IF(V400="YES",1,0)+IF(W400="YES",1,0))/2)</x:f>
      </x:c>
    </x:row>
    <x:row r="401">
      <x:c r="A401" s="57" t="inlineStr">
        <x:is>
          <x:t xml:space="preserve">C0396</x:t>
        </x:is>
      </x:c>
      <x:c r="B401" s="57" t="inlineStr">
        <x:is>
          <x:t xml:space="preserve">Development</x:t>
        </x:is>
      </x:c>
      <x:c r="C401" s="57" t="inlineStr">
        <x:is>
          <x:t xml:space="preserve">OPEN</x:t>
        </x:is>
      </x:c>
      <x:c r="D401" s="57" t="inlineStr">
        <x:is>
          <x:t xml:space="preserve">ARG-040</x:t>
        </x:is>
      </x:c>
      <x:c r="E401" s="75" t="str">
        <x:f>INDEX('Company Universe'!$B$6:$B$105,MATCH(D401,'Company Universe'!$A$6:$A$105,0))</x:f>
        <x:v>Berkshire Hathaway</x:v>
      </x:c>
      <x:c r="F401" s="75" t="str">
        <x:f>INDEX('Company Universe'!$C$6:$C$105,MATCH(D401,'Company Universe'!$A$6:$A$105,0))</x:f>
        <x:v>BRK.B</x:v>
      </x:c>
      <x:c r="G401" s="75" t="str">
        <x:f>INDEX('Company Universe'!$F$6:$F$105,MATCH(D401,'Company Universe'!$A$6:$A$105,0))</x:f>
        <x:v>Insurance</x:v>
      </x:c>
      <x:c r="H401" s="57" t="n">
        <x:v>6</x:v>
      </x:c>
      <x:c r="I401" s="206" t="n"/>
      <x:c r="J401" s="71" t="n"/>
      <x:c r="K401" s="71" t="n"/>
      <x:c r="L401" s="71" t="inlineStr">
        <x:is>
          <x:t xml:space="preserve">NO</x:t>
        </x:is>
      </x:c>
      <x:c r="M401" s="71" t="n"/>
      <x:c r="N401" s="71" t="n"/>
      <x:c r="O401" s="71" t="n"/>
      <x:c r="P401" s="71" t="n"/>
      <x:c r="Q401" s="71" t="n"/>
      <x:c r="R401" s="71" t="n"/>
      <x:c r="S401" s="206" t="n"/>
      <x:c r="T401" s="71" t="n"/>
      <x:c r="U401" s="71" t="n"/>
      <x:c r="V401" s="71" t="n"/>
      <x:c r="W401" s="71" t="n"/>
      <x:c r="X401" s="71" t="n"/>
      <x:c r="Y401" s="71" t="n"/>
      <x:c r="Z401" s="71" t="n"/>
      <x:c r="AA401" s="71" t="n"/>
      <x:c r="AB401" s="71" t="inlineStr">
        <x:is>
          <x:t xml:space="preserve">NO</x:t>
        </x:is>
      </x:c>
      <x:c r="AC401" s="57" t="inlineStr">
        <x:is>
          <x:t xml:space="preserve">V10</x:t>
        </x:is>
      </x:c>
      <x:c r="AD401" s="57" t="n"/>
      <x:c r="AE401" s="79" t="str">
        <x:f>IF(AND(I401&lt;&gt;"",J401&lt;&gt;"",K401&lt;&gt;"",L401="YES",M401&lt;&gt;"",S401&lt;&gt;"",T401&lt;&gt;"",U401&lt;&gt;"",V401&lt;&gt;"",W401&lt;&gt;"",X401&lt;&gt;"",Y401&lt;&gt;""),"COMPLETE","PENDING")</x:f>
        <x:v>PENDING</x:v>
      </x:c>
      <x:c r="AF401" s="79" t="str">
        <x:f>IF(AE401="COMPLETE","YES","NO")</x:f>
        <x:v>NO</x:v>
      </x:c>
      <x:c r="AG401" s="214" t="str">
        <x:f>IF(AF401&lt;&gt;"YES","",(IF(V401="YES",1,0)+IF(W401="YES",1,0))/2)</x:f>
      </x:c>
    </x:row>
    <x:row r="402">
      <x:c r="A402" s="57" t="inlineStr">
        <x:is>
          <x:t xml:space="preserve">C0397</x:t>
        </x:is>
      </x:c>
      <x:c r="B402" s="57" t="inlineStr">
        <x:is>
          <x:t xml:space="preserve">Development</x:t>
        </x:is>
      </x:c>
      <x:c r="C402" s="57" t="inlineStr">
        <x:is>
          <x:t xml:space="preserve">OPEN</x:t>
        </x:is>
      </x:c>
      <x:c r="D402" s="57" t="inlineStr">
        <x:is>
          <x:t xml:space="preserve">ARG-040</x:t>
        </x:is>
      </x:c>
      <x:c r="E402" s="75" t="str">
        <x:f>INDEX('Company Universe'!$B$6:$B$105,MATCH(D402,'Company Universe'!$A$6:$A$105,0))</x:f>
        <x:v>Berkshire Hathaway</x:v>
      </x:c>
      <x:c r="F402" s="75" t="str">
        <x:f>INDEX('Company Universe'!$C$6:$C$105,MATCH(D402,'Company Universe'!$A$6:$A$105,0))</x:f>
        <x:v>BRK.B</x:v>
      </x:c>
      <x:c r="G402" s="75" t="str">
        <x:f>INDEX('Company Universe'!$F$6:$F$105,MATCH(D402,'Company Universe'!$A$6:$A$105,0))</x:f>
        <x:v>Insurance</x:v>
      </x:c>
      <x:c r="H402" s="57" t="n">
        <x:v>7</x:v>
      </x:c>
      <x:c r="I402" s="206" t="n"/>
      <x:c r="J402" s="71" t="n"/>
      <x:c r="K402" s="71" t="n"/>
      <x:c r="L402" s="71" t="inlineStr">
        <x:is>
          <x:t xml:space="preserve">NO</x:t>
        </x:is>
      </x:c>
      <x:c r="M402" s="71" t="n"/>
      <x:c r="N402" s="71" t="n"/>
      <x:c r="O402" s="71" t="n"/>
      <x:c r="P402" s="71" t="n"/>
      <x:c r="Q402" s="71" t="n"/>
      <x:c r="R402" s="71" t="n"/>
      <x:c r="S402" s="206" t="n"/>
      <x:c r="T402" s="71" t="n"/>
      <x:c r="U402" s="71" t="n"/>
      <x:c r="V402" s="71" t="n"/>
      <x:c r="W402" s="71" t="n"/>
      <x:c r="X402" s="71" t="n"/>
      <x:c r="Y402" s="71" t="n"/>
      <x:c r="Z402" s="71" t="n"/>
      <x:c r="AA402" s="71" t="n"/>
      <x:c r="AB402" s="71" t="inlineStr">
        <x:is>
          <x:t xml:space="preserve">NO</x:t>
        </x:is>
      </x:c>
      <x:c r="AC402" s="57" t="inlineStr">
        <x:is>
          <x:t xml:space="preserve">V10</x:t>
        </x:is>
      </x:c>
      <x:c r="AD402" s="57" t="n"/>
      <x:c r="AE402" s="79" t="str">
        <x:f>IF(AND(I402&lt;&gt;"",J402&lt;&gt;"",K402&lt;&gt;"",L402="YES",M402&lt;&gt;"",S402&lt;&gt;"",T402&lt;&gt;"",U402&lt;&gt;"",V402&lt;&gt;"",W402&lt;&gt;"",X402&lt;&gt;"",Y402&lt;&gt;""),"COMPLETE","PENDING")</x:f>
        <x:v>PENDING</x:v>
      </x:c>
      <x:c r="AF402" s="79" t="str">
        <x:f>IF(AE402="COMPLETE","YES","NO")</x:f>
        <x:v>NO</x:v>
      </x:c>
      <x:c r="AG402" s="214" t="str">
        <x:f>IF(AF402&lt;&gt;"YES","",(IF(V402="YES",1,0)+IF(W402="YES",1,0))/2)</x:f>
      </x:c>
    </x:row>
    <x:row r="403">
      <x:c r="A403" s="57" t="inlineStr">
        <x:is>
          <x:t xml:space="preserve">C0398</x:t>
        </x:is>
      </x:c>
      <x:c r="B403" s="57" t="inlineStr">
        <x:is>
          <x:t xml:space="preserve">Development</x:t>
        </x:is>
      </x:c>
      <x:c r="C403" s="57" t="inlineStr">
        <x:is>
          <x:t xml:space="preserve">OPEN</x:t>
        </x:is>
      </x:c>
      <x:c r="D403" s="57" t="inlineStr">
        <x:is>
          <x:t xml:space="preserve">ARG-040</x:t>
        </x:is>
      </x:c>
      <x:c r="E403" s="75" t="str">
        <x:f>INDEX('Company Universe'!$B$6:$B$105,MATCH(D403,'Company Universe'!$A$6:$A$105,0))</x:f>
        <x:v>Berkshire Hathaway</x:v>
      </x:c>
      <x:c r="F403" s="75" t="str">
        <x:f>INDEX('Company Universe'!$C$6:$C$105,MATCH(D403,'Company Universe'!$A$6:$A$105,0))</x:f>
        <x:v>BRK.B</x:v>
      </x:c>
      <x:c r="G403" s="75" t="str">
        <x:f>INDEX('Company Universe'!$F$6:$F$105,MATCH(D403,'Company Universe'!$A$6:$A$105,0))</x:f>
        <x:v>Insurance</x:v>
      </x:c>
      <x:c r="H403" s="57" t="n">
        <x:v>8</x:v>
      </x:c>
      <x:c r="I403" s="206" t="n"/>
      <x:c r="J403" s="71" t="n"/>
      <x:c r="K403" s="71" t="n"/>
      <x:c r="L403" s="71" t="inlineStr">
        <x:is>
          <x:t xml:space="preserve">NO</x:t>
        </x:is>
      </x:c>
      <x:c r="M403" s="71" t="n"/>
      <x:c r="N403" s="71" t="n"/>
      <x:c r="O403" s="71" t="n"/>
      <x:c r="P403" s="71" t="n"/>
      <x:c r="Q403" s="71" t="n"/>
      <x:c r="R403" s="71" t="n"/>
      <x:c r="S403" s="206" t="n"/>
      <x:c r="T403" s="71" t="n"/>
      <x:c r="U403" s="71" t="n"/>
      <x:c r="V403" s="71" t="n"/>
      <x:c r="W403" s="71" t="n"/>
      <x:c r="X403" s="71" t="n"/>
      <x:c r="Y403" s="71" t="n"/>
      <x:c r="Z403" s="71" t="n"/>
      <x:c r="AA403" s="71" t="n"/>
      <x:c r="AB403" s="71" t="inlineStr">
        <x:is>
          <x:t xml:space="preserve">NO</x:t>
        </x:is>
      </x:c>
      <x:c r="AC403" s="57" t="inlineStr">
        <x:is>
          <x:t xml:space="preserve">V10</x:t>
        </x:is>
      </x:c>
      <x:c r="AD403" s="57" t="n"/>
      <x:c r="AE403" s="79" t="str">
        <x:f>IF(AND(I403&lt;&gt;"",J403&lt;&gt;"",K403&lt;&gt;"",L403="YES",M403&lt;&gt;"",S403&lt;&gt;"",T403&lt;&gt;"",U403&lt;&gt;"",V403&lt;&gt;"",W403&lt;&gt;"",X403&lt;&gt;"",Y403&lt;&gt;""),"COMPLETE","PENDING")</x:f>
        <x:v>PENDING</x:v>
      </x:c>
      <x:c r="AF403" s="79" t="str">
        <x:f>IF(AE403="COMPLETE","YES","NO")</x:f>
        <x:v>NO</x:v>
      </x:c>
      <x:c r="AG403" s="214" t="str">
        <x:f>IF(AF403&lt;&gt;"YES","",(IF(V403="YES",1,0)+IF(W403="YES",1,0))/2)</x:f>
      </x:c>
    </x:row>
    <x:row r="404">
      <x:c r="A404" s="57" t="inlineStr">
        <x:is>
          <x:t xml:space="preserve">C0399</x:t>
        </x:is>
      </x:c>
      <x:c r="B404" s="57" t="inlineStr">
        <x:is>
          <x:t xml:space="preserve">Development</x:t>
        </x:is>
      </x:c>
      <x:c r="C404" s="57" t="inlineStr">
        <x:is>
          <x:t xml:space="preserve">OPEN</x:t>
        </x:is>
      </x:c>
      <x:c r="D404" s="57" t="inlineStr">
        <x:is>
          <x:t xml:space="preserve">ARG-040</x:t>
        </x:is>
      </x:c>
      <x:c r="E404" s="75" t="str">
        <x:f>INDEX('Company Universe'!$B$6:$B$105,MATCH(D404,'Company Universe'!$A$6:$A$105,0))</x:f>
        <x:v>Berkshire Hathaway</x:v>
      </x:c>
      <x:c r="F404" s="75" t="str">
        <x:f>INDEX('Company Universe'!$C$6:$C$105,MATCH(D404,'Company Universe'!$A$6:$A$105,0))</x:f>
        <x:v>BRK.B</x:v>
      </x:c>
      <x:c r="G404" s="75" t="str">
        <x:f>INDEX('Company Universe'!$F$6:$F$105,MATCH(D404,'Company Universe'!$A$6:$A$105,0))</x:f>
        <x:v>Insurance</x:v>
      </x:c>
      <x:c r="H404" s="57" t="n">
        <x:v>9</x:v>
      </x:c>
      <x:c r="I404" s="206" t="n"/>
      <x:c r="J404" s="71" t="n"/>
      <x:c r="K404" s="71" t="n"/>
      <x:c r="L404" s="71" t="inlineStr">
        <x:is>
          <x:t xml:space="preserve">NO</x:t>
        </x:is>
      </x:c>
      <x:c r="M404" s="71" t="n"/>
      <x:c r="N404" s="71" t="n"/>
      <x:c r="O404" s="71" t="n"/>
      <x:c r="P404" s="71" t="n"/>
      <x:c r="Q404" s="71" t="n"/>
      <x:c r="R404" s="71" t="n"/>
      <x:c r="S404" s="206" t="n"/>
      <x:c r="T404" s="71" t="n"/>
      <x:c r="U404" s="71" t="n"/>
      <x:c r="V404" s="71" t="n"/>
      <x:c r="W404" s="71" t="n"/>
      <x:c r="X404" s="71" t="n"/>
      <x:c r="Y404" s="71" t="n"/>
      <x:c r="Z404" s="71" t="n"/>
      <x:c r="AA404" s="71" t="n"/>
      <x:c r="AB404" s="71" t="inlineStr">
        <x:is>
          <x:t xml:space="preserve">NO</x:t>
        </x:is>
      </x:c>
      <x:c r="AC404" s="57" t="inlineStr">
        <x:is>
          <x:t xml:space="preserve">V10</x:t>
        </x:is>
      </x:c>
      <x:c r="AD404" s="57" t="n"/>
      <x:c r="AE404" s="79" t="str">
        <x:f>IF(AND(I404&lt;&gt;"",J404&lt;&gt;"",K404&lt;&gt;"",L404="YES",M404&lt;&gt;"",S404&lt;&gt;"",T404&lt;&gt;"",U404&lt;&gt;"",V404&lt;&gt;"",W404&lt;&gt;"",X404&lt;&gt;"",Y404&lt;&gt;""),"COMPLETE","PENDING")</x:f>
        <x:v>PENDING</x:v>
      </x:c>
      <x:c r="AF404" s="79" t="str">
        <x:f>IF(AE404="COMPLETE","YES","NO")</x:f>
        <x:v>NO</x:v>
      </x:c>
      <x:c r="AG404" s="214" t="str">
        <x:f>IF(AF404&lt;&gt;"YES","",(IF(V404="YES",1,0)+IF(W404="YES",1,0))/2)</x:f>
      </x:c>
    </x:row>
    <x:row r="405">
      <x:c r="A405" s="57" t="inlineStr">
        <x:is>
          <x:t xml:space="preserve">C0400</x:t>
        </x:is>
      </x:c>
      <x:c r="B405" s="57" t="inlineStr">
        <x:is>
          <x:t xml:space="preserve">Development</x:t>
        </x:is>
      </x:c>
      <x:c r="C405" s="57" t="inlineStr">
        <x:is>
          <x:t xml:space="preserve">OPEN</x:t>
        </x:is>
      </x:c>
      <x:c r="D405" s="57" t="inlineStr">
        <x:is>
          <x:t xml:space="preserve">ARG-040</x:t>
        </x:is>
      </x:c>
      <x:c r="E405" s="75" t="str">
        <x:f>INDEX('Company Universe'!$B$6:$B$105,MATCH(D405,'Company Universe'!$A$6:$A$105,0))</x:f>
        <x:v>Berkshire Hathaway</x:v>
      </x:c>
      <x:c r="F405" s="75" t="str">
        <x:f>INDEX('Company Universe'!$C$6:$C$105,MATCH(D405,'Company Universe'!$A$6:$A$105,0))</x:f>
        <x:v>BRK.B</x:v>
      </x:c>
      <x:c r="G405" s="75" t="str">
        <x:f>INDEX('Company Universe'!$F$6:$F$105,MATCH(D405,'Company Universe'!$A$6:$A$105,0))</x:f>
        <x:v>Insurance</x:v>
      </x:c>
      <x:c r="H405" s="57" t="n">
        <x:v>10</x:v>
      </x:c>
      <x:c r="I405" s="206" t="n"/>
      <x:c r="J405" s="71" t="n"/>
      <x:c r="K405" s="71" t="n"/>
      <x:c r="L405" s="71" t="inlineStr">
        <x:is>
          <x:t xml:space="preserve">NO</x:t>
        </x:is>
      </x:c>
      <x:c r="M405" s="71" t="n"/>
      <x:c r="N405" s="71" t="n"/>
      <x:c r="O405" s="71" t="n"/>
      <x:c r="P405" s="71" t="n"/>
      <x:c r="Q405" s="71" t="n"/>
      <x:c r="R405" s="71" t="n"/>
      <x:c r="S405" s="206" t="n"/>
      <x:c r="T405" s="71" t="n"/>
      <x:c r="U405" s="71" t="n"/>
      <x:c r="V405" s="71" t="n"/>
      <x:c r="W405" s="71" t="n"/>
      <x:c r="X405" s="71" t="n"/>
      <x:c r="Y405" s="71" t="n"/>
      <x:c r="Z405" s="71" t="n"/>
      <x:c r="AA405" s="71" t="n"/>
      <x:c r="AB405" s="71" t="inlineStr">
        <x:is>
          <x:t xml:space="preserve">NO</x:t>
        </x:is>
      </x:c>
      <x:c r="AC405" s="57" t="inlineStr">
        <x:is>
          <x:t xml:space="preserve">V10</x:t>
        </x:is>
      </x:c>
      <x:c r="AD405" s="57" t="n"/>
      <x:c r="AE405" s="79" t="str">
        <x:f>IF(AND(I405&lt;&gt;"",J405&lt;&gt;"",K405&lt;&gt;"",L405="YES",M405&lt;&gt;"",S405&lt;&gt;"",T405&lt;&gt;"",U405&lt;&gt;"",V405&lt;&gt;"",W405&lt;&gt;"",X405&lt;&gt;"",Y405&lt;&gt;""),"COMPLETE","PENDING")</x:f>
        <x:v>PENDING</x:v>
      </x:c>
      <x:c r="AF405" s="79" t="str">
        <x:f>IF(AE405="COMPLETE","YES","NO")</x:f>
        <x:v>NO</x:v>
      </x:c>
      <x:c r="AG405" s="214" t="str">
        <x:f>IF(AF405&lt;&gt;"YES","",(IF(V405="YES",1,0)+IF(W405="YES",1,0))/2)</x:f>
      </x:c>
    </x:row>
    <x:row r="406">
      <x:c r="A406" s="57" t="inlineStr">
        <x:is>
          <x:t xml:space="preserve">C0401</x:t>
        </x:is>
      </x:c>
      <x:c r="B406" s="57" t="inlineStr">
        <x:is>
          <x:t xml:space="preserve">Development</x:t>
        </x:is>
      </x:c>
      <x:c r="C406" s="57" t="inlineStr">
        <x:is>
          <x:t xml:space="preserve">OPEN</x:t>
        </x:is>
      </x:c>
      <x:c r="D406" s="57" t="inlineStr">
        <x:is>
          <x:t xml:space="preserve">ARG-041</x:t>
        </x:is>
      </x:c>
      <x:c r="E406" s="75" t="str">
        <x:f>INDEX('Company Universe'!$B$6:$B$105,MATCH(D406,'Company Universe'!$A$6:$A$105,0))</x:f>
        <x:v>Chubb</x:v>
      </x:c>
      <x:c r="F406" s="75" t="str">
        <x:f>INDEX('Company Universe'!$C$6:$C$105,MATCH(D406,'Company Universe'!$A$6:$A$105,0))</x:f>
        <x:v>CB</x:v>
      </x:c>
      <x:c r="G406" s="75" t="str">
        <x:f>INDEX('Company Universe'!$F$6:$F$105,MATCH(D406,'Company Universe'!$A$6:$A$105,0))</x:f>
        <x:v>Insurance</x:v>
      </x:c>
      <x:c r="H406" s="57" t="n">
        <x:v>1</x:v>
      </x:c>
      <x:c r="I406" s="206" t="n"/>
      <x:c r="J406" s="71" t="n"/>
      <x:c r="K406" s="71" t="n"/>
      <x:c r="L406" s="71" t="inlineStr">
        <x:is>
          <x:t xml:space="preserve">NO</x:t>
        </x:is>
      </x:c>
      <x:c r="M406" s="71" t="n"/>
      <x:c r="N406" s="71" t="n"/>
      <x:c r="O406" s="71" t="n"/>
      <x:c r="P406" s="71" t="n"/>
      <x:c r="Q406" s="71" t="n"/>
      <x:c r="R406" s="71" t="n"/>
      <x:c r="S406" s="206" t="n"/>
      <x:c r="T406" s="71" t="n"/>
      <x:c r="U406" s="71" t="n"/>
      <x:c r="V406" s="71" t="n"/>
      <x:c r="W406" s="71" t="n"/>
      <x:c r="X406" s="71" t="n"/>
      <x:c r="Y406" s="71" t="n"/>
      <x:c r="Z406" s="71" t="n"/>
      <x:c r="AA406" s="71" t="n"/>
      <x:c r="AB406" s="71" t="inlineStr">
        <x:is>
          <x:t xml:space="preserve">NO</x:t>
        </x:is>
      </x:c>
      <x:c r="AC406" s="57" t="inlineStr">
        <x:is>
          <x:t xml:space="preserve">V10</x:t>
        </x:is>
      </x:c>
      <x:c r="AD406" s="57" t="n"/>
      <x:c r="AE406" s="79" t="str">
        <x:f>IF(AND(I406&lt;&gt;"",J406&lt;&gt;"",K406&lt;&gt;"",L406="YES",M406&lt;&gt;"",S406&lt;&gt;"",T406&lt;&gt;"",U406&lt;&gt;"",V406&lt;&gt;"",W406&lt;&gt;"",X406&lt;&gt;"",Y406&lt;&gt;""),"COMPLETE","PENDING")</x:f>
        <x:v>PENDING</x:v>
      </x:c>
      <x:c r="AF406" s="79" t="str">
        <x:f>IF(AE406="COMPLETE","YES","NO")</x:f>
        <x:v>NO</x:v>
      </x:c>
      <x:c r="AG406" s="214" t="str">
        <x:f>IF(AF406&lt;&gt;"YES","",(IF(V406="YES",1,0)+IF(W406="YES",1,0))/2)</x:f>
      </x:c>
    </x:row>
    <x:row r="407">
      <x:c r="A407" s="57" t="inlineStr">
        <x:is>
          <x:t xml:space="preserve">C0402</x:t>
        </x:is>
      </x:c>
      <x:c r="B407" s="57" t="inlineStr">
        <x:is>
          <x:t xml:space="preserve">Development</x:t>
        </x:is>
      </x:c>
      <x:c r="C407" s="57" t="inlineStr">
        <x:is>
          <x:t xml:space="preserve">OPEN</x:t>
        </x:is>
      </x:c>
      <x:c r="D407" s="57" t="inlineStr">
        <x:is>
          <x:t xml:space="preserve">ARG-041</x:t>
        </x:is>
      </x:c>
      <x:c r="E407" s="75" t="str">
        <x:f>INDEX('Company Universe'!$B$6:$B$105,MATCH(D407,'Company Universe'!$A$6:$A$105,0))</x:f>
        <x:v>Chubb</x:v>
      </x:c>
      <x:c r="F407" s="75" t="str">
        <x:f>INDEX('Company Universe'!$C$6:$C$105,MATCH(D407,'Company Universe'!$A$6:$A$105,0))</x:f>
        <x:v>CB</x:v>
      </x:c>
      <x:c r="G407" s="75" t="str">
        <x:f>INDEX('Company Universe'!$F$6:$F$105,MATCH(D407,'Company Universe'!$A$6:$A$105,0))</x:f>
        <x:v>Insurance</x:v>
      </x:c>
      <x:c r="H407" s="57" t="n">
        <x:v>2</x:v>
      </x:c>
      <x:c r="I407" s="206" t="n"/>
      <x:c r="J407" s="71" t="n"/>
      <x:c r="K407" s="71" t="n"/>
      <x:c r="L407" s="71" t="inlineStr">
        <x:is>
          <x:t xml:space="preserve">NO</x:t>
        </x:is>
      </x:c>
      <x:c r="M407" s="71" t="n"/>
      <x:c r="N407" s="71" t="n"/>
      <x:c r="O407" s="71" t="n"/>
      <x:c r="P407" s="71" t="n"/>
      <x:c r="Q407" s="71" t="n"/>
      <x:c r="R407" s="71" t="n"/>
      <x:c r="S407" s="206" t="n"/>
      <x:c r="T407" s="71" t="n"/>
      <x:c r="U407" s="71" t="n"/>
      <x:c r="V407" s="71" t="n"/>
      <x:c r="W407" s="71" t="n"/>
      <x:c r="X407" s="71" t="n"/>
      <x:c r="Y407" s="71" t="n"/>
      <x:c r="Z407" s="71" t="n"/>
      <x:c r="AA407" s="71" t="n"/>
      <x:c r="AB407" s="71" t="inlineStr">
        <x:is>
          <x:t xml:space="preserve">NO</x:t>
        </x:is>
      </x:c>
      <x:c r="AC407" s="57" t="inlineStr">
        <x:is>
          <x:t xml:space="preserve">V10</x:t>
        </x:is>
      </x:c>
      <x:c r="AD407" s="57" t="n"/>
      <x:c r="AE407" s="79" t="str">
        <x:f>IF(AND(I407&lt;&gt;"",J407&lt;&gt;"",K407&lt;&gt;"",L407="YES",M407&lt;&gt;"",S407&lt;&gt;"",T407&lt;&gt;"",U407&lt;&gt;"",V407&lt;&gt;"",W407&lt;&gt;"",X407&lt;&gt;"",Y407&lt;&gt;""),"COMPLETE","PENDING")</x:f>
        <x:v>PENDING</x:v>
      </x:c>
      <x:c r="AF407" s="79" t="str">
        <x:f>IF(AE407="COMPLETE","YES","NO")</x:f>
        <x:v>NO</x:v>
      </x:c>
      <x:c r="AG407" s="214" t="str">
        <x:f>IF(AF407&lt;&gt;"YES","",(IF(V407="YES",1,0)+IF(W407="YES",1,0))/2)</x:f>
      </x:c>
    </x:row>
    <x:row r="408">
      <x:c r="A408" s="57" t="inlineStr">
        <x:is>
          <x:t xml:space="preserve">C0403</x:t>
        </x:is>
      </x:c>
      <x:c r="B408" s="57" t="inlineStr">
        <x:is>
          <x:t xml:space="preserve">Development</x:t>
        </x:is>
      </x:c>
      <x:c r="C408" s="57" t="inlineStr">
        <x:is>
          <x:t xml:space="preserve">OPEN</x:t>
        </x:is>
      </x:c>
      <x:c r="D408" s="57" t="inlineStr">
        <x:is>
          <x:t xml:space="preserve">ARG-041</x:t>
        </x:is>
      </x:c>
      <x:c r="E408" s="75" t="str">
        <x:f>INDEX('Company Universe'!$B$6:$B$105,MATCH(D408,'Company Universe'!$A$6:$A$105,0))</x:f>
        <x:v>Chubb</x:v>
      </x:c>
      <x:c r="F408" s="75" t="str">
        <x:f>INDEX('Company Universe'!$C$6:$C$105,MATCH(D408,'Company Universe'!$A$6:$A$105,0))</x:f>
        <x:v>CB</x:v>
      </x:c>
      <x:c r="G408" s="75" t="str">
        <x:f>INDEX('Company Universe'!$F$6:$F$105,MATCH(D408,'Company Universe'!$A$6:$A$105,0))</x:f>
        <x:v>Insurance</x:v>
      </x:c>
      <x:c r="H408" s="57" t="n">
        <x:v>3</x:v>
      </x:c>
      <x:c r="I408" s="206" t="n"/>
      <x:c r="J408" s="71" t="n"/>
      <x:c r="K408" s="71" t="n"/>
      <x:c r="L408" s="71" t="inlineStr">
        <x:is>
          <x:t xml:space="preserve">NO</x:t>
        </x:is>
      </x:c>
      <x:c r="M408" s="71" t="n"/>
      <x:c r="N408" s="71" t="n"/>
      <x:c r="O408" s="71" t="n"/>
      <x:c r="P408" s="71" t="n"/>
      <x:c r="Q408" s="71" t="n"/>
      <x:c r="R408" s="71" t="n"/>
      <x:c r="S408" s="206" t="n"/>
      <x:c r="T408" s="71" t="n"/>
      <x:c r="U408" s="71" t="n"/>
      <x:c r="V408" s="71" t="n"/>
      <x:c r="W408" s="71" t="n"/>
      <x:c r="X408" s="71" t="n"/>
      <x:c r="Y408" s="71" t="n"/>
      <x:c r="Z408" s="71" t="n"/>
      <x:c r="AA408" s="71" t="n"/>
      <x:c r="AB408" s="71" t="inlineStr">
        <x:is>
          <x:t xml:space="preserve">NO</x:t>
        </x:is>
      </x:c>
      <x:c r="AC408" s="57" t="inlineStr">
        <x:is>
          <x:t xml:space="preserve">V10</x:t>
        </x:is>
      </x:c>
      <x:c r="AD408" s="57" t="n"/>
      <x:c r="AE408" s="79" t="str">
        <x:f>IF(AND(I408&lt;&gt;"",J408&lt;&gt;"",K408&lt;&gt;"",L408="YES",M408&lt;&gt;"",S408&lt;&gt;"",T408&lt;&gt;"",U408&lt;&gt;"",V408&lt;&gt;"",W408&lt;&gt;"",X408&lt;&gt;"",Y408&lt;&gt;""),"COMPLETE","PENDING")</x:f>
        <x:v>PENDING</x:v>
      </x:c>
      <x:c r="AF408" s="79" t="str">
        <x:f>IF(AE408="COMPLETE","YES","NO")</x:f>
        <x:v>NO</x:v>
      </x:c>
      <x:c r="AG408" s="214" t="str">
        <x:f>IF(AF408&lt;&gt;"YES","",(IF(V408="YES",1,0)+IF(W408="YES",1,0))/2)</x:f>
      </x:c>
    </x:row>
    <x:row r="409">
      <x:c r="A409" s="57" t="inlineStr">
        <x:is>
          <x:t xml:space="preserve">C0404</x:t>
        </x:is>
      </x:c>
      <x:c r="B409" s="57" t="inlineStr">
        <x:is>
          <x:t xml:space="preserve">Development</x:t>
        </x:is>
      </x:c>
      <x:c r="C409" s="57" t="inlineStr">
        <x:is>
          <x:t xml:space="preserve">OPEN</x:t>
        </x:is>
      </x:c>
      <x:c r="D409" s="57" t="inlineStr">
        <x:is>
          <x:t xml:space="preserve">ARG-041</x:t>
        </x:is>
      </x:c>
      <x:c r="E409" s="75" t="str">
        <x:f>INDEX('Company Universe'!$B$6:$B$105,MATCH(D409,'Company Universe'!$A$6:$A$105,0))</x:f>
        <x:v>Chubb</x:v>
      </x:c>
      <x:c r="F409" s="75" t="str">
        <x:f>INDEX('Company Universe'!$C$6:$C$105,MATCH(D409,'Company Universe'!$A$6:$A$105,0))</x:f>
        <x:v>CB</x:v>
      </x:c>
      <x:c r="G409" s="75" t="str">
        <x:f>INDEX('Company Universe'!$F$6:$F$105,MATCH(D409,'Company Universe'!$A$6:$A$105,0))</x:f>
        <x:v>Insurance</x:v>
      </x:c>
      <x:c r="H409" s="57" t="n">
        <x:v>4</x:v>
      </x:c>
      <x:c r="I409" s="206" t="n"/>
      <x:c r="J409" s="71" t="n"/>
      <x:c r="K409" s="71" t="n"/>
      <x:c r="L409" s="71" t="inlineStr">
        <x:is>
          <x:t xml:space="preserve">NO</x:t>
        </x:is>
      </x:c>
      <x:c r="M409" s="71" t="n"/>
      <x:c r="N409" s="71" t="n"/>
      <x:c r="O409" s="71" t="n"/>
      <x:c r="P409" s="71" t="n"/>
      <x:c r="Q409" s="71" t="n"/>
      <x:c r="R409" s="71" t="n"/>
      <x:c r="S409" s="206" t="n"/>
      <x:c r="T409" s="71" t="n"/>
      <x:c r="U409" s="71" t="n"/>
      <x:c r="V409" s="71" t="n"/>
      <x:c r="W409" s="71" t="n"/>
      <x:c r="X409" s="71" t="n"/>
      <x:c r="Y409" s="71" t="n"/>
      <x:c r="Z409" s="71" t="n"/>
      <x:c r="AA409" s="71" t="n"/>
      <x:c r="AB409" s="71" t="inlineStr">
        <x:is>
          <x:t xml:space="preserve">NO</x:t>
        </x:is>
      </x:c>
      <x:c r="AC409" s="57" t="inlineStr">
        <x:is>
          <x:t xml:space="preserve">V10</x:t>
        </x:is>
      </x:c>
      <x:c r="AD409" s="57" t="n"/>
      <x:c r="AE409" s="79" t="str">
        <x:f>IF(AND(I409&lt;&gt;"",J409&lt;&gt;"",K409&lt;&gt;"",L409="YES",M409&lt;&gt;"",S409&lt;&gt;"",T409&lt;&gt;"",U409&lt;&gt;"",V409&lt;&gt;"",W409&lt;&gt;"",X409&lt;&gt;"",Y409&lt;&gt;""),"COMPLETE","PENDING")</x:f>
        <x:v>PENDING</x:v>
      </x:c>
      <x:c r="AF409" s="79" t="str">
        <x:f>IF(AE409="COMPLETE","YES","NO")</x:f>
        <x:v>NO</x:v>
      </x:c>
      <x:c r="AG409" s="214" t="str">
        <x:f>IF(AF409&lt;&gt;"YES","",(IF(V409="YES",1,0)+IF(W409="YES",1,0))/2)</x:f>
      </x:c>
    </x:row>
    <x:row r="410">
      <x:c r="A410" s="57" t="inlineStr">
        <x:is>
          <x:t xml:space="preserve">C0405</x:t>
        </x:is>
      </x:c>
      <x:c r="B410" s="57" t="inlineStr">
        <x:is>
          <x:t xml:space="preserve">Development</x:t>
        </x:is>
      </x:c>
      <x:c r="C410" s="57" t="inlineStr">
        <x:is>
          <x:t xml:space="preserve">OPEN</x:t>
        </x:is>
      </x:c>
      <x:c r="D410" s="57" t="inlineStr">
        <x:is>
          <x:t xml:space="preserve">ARG-041</x:t>
        </x:is>
      </x:c>
      <x:c r="E410" s="75" t="str">
        <x:f>INDEX('Company Universe'!$B$6:$B$105,MATCH(D410,'Company Universe'!$A$6:$A$105,0))</x:f>
        <x:v>Chubb</x:v>
      </x:c>
      <x:c r="F410" s="75" t="str">
        <x:f>INDEX('Company Universe'!$C$6:$C$105,MATCH(D410,'Company Universe'!$A$6:$A$105,0))</x:f>
        <x:v>CB</x:v>
      </x:c>
      <x:c r="G410" s="75" t="str">
        <x:f>INDEX('Company Universe'!$F$6:$F$105,MATCH(D410,'Company Universe'!$A$6:$A$105,0))</x:f>
        <x:v>Insurance</x:v>
      </x:c>
      <x:c r="H410" s="57" t="n">
        <x:v>5</x:v>
      </x:c>
      <x:c r="I410" s="206" t="n"/>
      <x:c r="J410" s="71" t="n"/>
      <x:c r="K410" s="71" t="n"/>
      <x:c r="L410" s="71" t="inlineStr">
        <x:is>
          <x:t xml:space="preserve">NO</x:t>
        </x:is>
      </x:c>
      <x:c r="M410" s="71" t="n"/>
      <x:c r="N410" s="71" t="n"/>
      <x:c r="O410" s="71" t="n"/>
      <x:c r="P410" s="71" t="n"/>
      <x:c r="Q410" s="71" t="n"/>
      <x:c r="R410" s="71" t="n"/>
      <x:c r="S410" s="206" t="n"/>
      <x:c r="T410" s="71" t="n"/>
      <x:c r="U410" s="71" t="n"/>
      <x:c r="V410" s="71" t="n"/>
      <x:c r="W410" s="71" t="n"/>
      <x:c r="X410" s="71" t="n"/>
      <x:c r="Y410" s="71" t="n"/>
      <x:c r="Z410" s="71" t="n"/>
      <x:c r="AA410" s="71" t="n"/>
      <x:c r="AB410" s="71" t="inlineStr">
        <x:is>
          <x:t xml:space="preserve">NO</x:t>
        </x:is>
      </x:c>
      <x:c r="AC410" s="57" t="inlineStr">
        <x:is>
          <x:t xml:space="preserve">V10</x:t>
        </x:is>
      </x:c>
      <x:c r="AD410" s="57" t="n"/>
      <x:c r="AE410" s="79" t="str">
        <x:f>IF(AND(I410&lt;&gt;"",J410&lt;&gt;"",K410&lt;&gt;"",L410="YES",M410&lt;&gt;"",S410&lt;&gt;"",T410&lt;&gt;"",U410&lt;&gt;"",V410&lt;&gt;"",W410&lt;&gt;"",X410&lt;&gt;"",Y410&lt;&gt;""),"COMPLETE","PENDING")</x:f>
        <x:v>PENDING</x:v>
      </x:c>
      <x:c r="AF410" s="79" t="str">
        <x:f>IF(AE410="COMPLETE","YES","NO")</x:f>
        <x:v>NO</x:v>
      </x:c>
      <x:c r="AG410" s="214" t="str">
        <x:f>IF(AF410&lt;&gt;"YES","",(IF(V410="YES",1,0)+IF(W410="YES",1,0))/2)</x:f>
      </x:c>
    </x:row>
    <x:row r="411">
      <x:c r="A411" s="57" t="inlineStr">
        <x:is>
          <x:t xml:space="preserve">C0406</x:t>
        </x:is>
      </x:c>
      <x:c r="B411" s="57" t="inlineStr">
        <x:is>
          <x:t xml:space="preserve">Development</x:t>
        </x:is>
      </x:c>
      <x:c r="C411" s="57" t="inlineStr">
        <x:is>
          <x:t xml:space="preserve">OPEN</x:t>
        </x:is>
      </x:c>
      <x:c r="D411" s="57" t="inlineStr">
        <x:is>
          <x:t xml:space="preserve">ARG-041</x:t>
        </x:is>
      </x:c>
      <x:c r="E411" s="75" t="str">
        <x:f>INDEX('Company Universe'!$B$6:$B$105,MATCH(D411,'Company Universe'!$A$6:$A$105,0))</x:f>
        <x:v>Chubb</x:v>
      </x:c>
      <x:c r="F411" s="75" t="str">
        <x:f>INDEX('Company Universe'!$C$6:$C$105,MATCH(D411,'Company Universe'!$A$6:$A$105,0))</x:f>
        <x:v>CB</x:v>
      </x:c>
      <x:c r="G411" s="75" t="str">
        <x:f>INDEX('Company Universe'!$F$6:$F$105,MATCH(D411,'Company Universe'!$A$6:$A$105,0))</x:f>
        <x:v>Insurance</x:v>
      </x:c>
      <x:c r="H411" s="57" t="n">
        <x:v>6</x:v>
      </x:c>
      <x:c r="I411" s="206" t="n"/>
      <x:c r="J411" s="71" t="n"/>
      <x:c r="K411" s="71" t="n"/>
      <x:c r="L411" s="71" t="inlineStr">
        <x:is>
          <x:t xml:space="preserve">NO</x:t>
        </x:is>
      </x:c>
      <x:c r="M411" s="71" t="n"/>
      <x:c r="N411" s="71" t="n"/>
      <x:c r="O411" s="71" t="n"/>
      <x:c r="P411" s="71" t="n"/>
      <x:c r="Q411" s="71" t="n"/>
      <x:c r="R411" s="71" t="n"/>
      <x:c r="S411" s="206" t="n"/>
      <x:c r="T411" s="71" t="n"/>
      <x:c r="U411" s="71" t="n"/>
      <x:c r="V411" s="71" t="n"/>
      <x:c r="W411" s="71" t="n"/>
      <x:c r="X411" s="71" t="n"/>
      <x:c r="Y411" s="71" t="n"/>
      <x:c r="Z411" s="71" t="n"/>
      <x:c r="AA411" s="71" t="n"/>
      <x:c r="AB411" s="71" t="inlineStr">
        <x:is>
          <x:t xml:space="preserve">NO</x:t>
        </x:is>
      </x:c>
      <x:c r="AC411" s="57" t="inlineStr">
        <x:is>
          <x:t xml:space="preserve">V10</x:t>
        </x:is>
      </x:c>
      <x:c r="AD411" s="57" t="n"/>
      <x:c r="AE411" s="79" t="str">
        <x:f>IF(AND(I411&lt;&gt;"",J411&lt;&gt;"",K411&lt;&gt;"",L411="YES",M411&lt;&gt;"",S411&lt;&gt;"",T411&lt;&gt;"",U411&lt;&gt;"",V411&lt;&gt;"",W411&lt;&gt;"",X411&lt;&gt;"",Y411&lt;&gt;""),"COMPLETE","PENDING")</x:f>
        <x:v>PENDING</x:v>
      </x:c>
      <x:c r="AF411" s="79" t="str">
        <x:f>IF(AE411="COMPLETE","YES","NO")</x:f>
        <x:v>NO</x:v>
      </x:c>
      <x:c r="AG411" s="214" t="str">
        <x:f>IF(AF411&lt;&gt;"YES","",(IF(V411="YES",1,0)+IF(W411="YES",1,0))/2)</x:f>
      </x:c>
    </x:row>
    <x:row r="412">
      <x:c r="A412" s="57" t="inlineStr">
        <x:is>
          <x:t xml:space="preserve">C0407</x:t>
        </x:is>
      </x:c>
      <x:c r="B412" s="57" t="inlineStr">
        <x:is>
          <x:t xml:space="preserve">Development</x:t>
        </x:is>
      </x:c>
      <x:c r="C412" s="57" t="inlineStr">
        <x:is>
          <x:t xml:space="preserve">OPEN</x:t>
        </x:is>
      </x:c>
      <x:c r="D412" s="57" t="inlineStr">
        <x:is>
          <x:t xml:space="preserve">ARG-041</x:t>
        </x:is>
      </x:c>
      <x:c r="E412" s="75" t="str">
        <x:f>INDEX('Company Universe'!$B$6:$B$105,MATCH(D412,'Company Universe'!$A$6:$A$105,0))</x:f>
        <x:v>Chubb</x:v>
      </x:c>
      <x:c r="F412" s="75" t="str">
        <x:f>INDEX('Company Universe'!$C$6:$C$105,MATCH(D412,'Company Universe'!$A$6:$A$105,0))</x:f>
        <x:v>CB</x:v>
      </x:c>
      <x:c r="G412" s="75" t="str">
        <x:f>INDEX('Company Universe'!$F$6:$F$105,MATCH(D412,'Company Universe'!$A$6:$A$105,0))</x:f>
        <x:v>Insurance</x:v>
      </x:c>
      <x:c r="H412" s="57" t="n">
        <x:v>7</x:v>
      </x:c>
      <x:c r="I412" s="206" t="n"/>
      <x:c r="J412" s="71" t="n"/>
      <x:c r="K412" s="71" t="n"/>
      <x:c r="L412" s="71" t="inlineStr">
        <x:is>
          <x:t xml:space="preserve">NO</x:t>
        </x:is>
      </x:c>
      <x:c r="M412" s="71" t="n"/>
      <x:c r="N412" s="71" t="n"/>
      <x:c r="O412" s="71" t="n"/>
      <x:c r="P412" s="71" t="n"/>
      <x:c r="Q412" s="71" t="n"/>
      <x:c r="R412" s="71" t="n"/>
      <x:c r="S412" s="206" t="n"/>
      <x:c r="T412" s="71" t="n"/>
      <x:c r="U412" s="71" t="n"/>
      <x:c r="V412" s="71" t="n"/>
      <x:c r="W412" s="71" t="n"/>
      <x:c r="X412" s="71" t="n"/>
      <x:c r="Y412" s="71" t="n"/>
      <x:c r="Z412" s="71" t="n"/>
      <x:c r="AA412" s="71" t="n"/>
      <x:c r="AB412" s="71" t="inlineStr">
        <x:is>
          <x:t xml:space="preserve">NO</x:t>
        </x:is>
      </x:c>
      <x:c r="AC412" s="57" t="inlineStr">
        <x:is>
          <x:t xml:space="preserve">V10</x:t>
        </x:is>
      </x:c>
      <x:c r="AD412" s="57" t="n"/>
      <x:c r="AE412" s="79" t="str">
        <x:f>IF(AND(I412&lt;&gt;"",J412&lt;&gt;"",K412&lt;&gt;"",L412="YES",M412&lt;&gt;"",S412&lt;&gt;"",T412&lt;&gt;"",U412&lt;&gt;"",V412&lt;&gt;"",W412&lt;&gt;"",X412&lt;&gt;"",Y412&lt;&gt;""),"COMPLETE","PENDING")</x:f>
        <x:v>PENDING</x:v>
      </x:c>
      <x:c r="AF412" s="79" t="str">
        <x:f>IF(AE412="COMPLETE","YES","NO")</x:f>
        <x:v>NO</x:v>
      </x:c>
      <x:c r="AG412" s="214" t="str">
        <x:f>IF(AF412&lt;&gt;"YES","",(IF(V412="YES",1,0)+IF(W412="YES",1,0))/2)</x:f>
      </x:c>
    </x:row>
    <x:row r="413">
      <x:c r="A413" s="57" t="inlineStr">
        <x:is>
          <x:t xml:space="preserve">C0408</x:t>
        </x:is>
      </x:c>
      <x:c r="B413" s="57" t="inlineStr">
        <x:is>
          <x:t xml:space="preserve">Development</x:t>
        </x:is>
      </x:c>
      <x:c r="C413" s="57" t="inlineStr">
        <x:is>
          <x:t xml:space="preserve">OPEN</x:t>
        </x:is>
      </x:c>
      <x:c r="D413" s="57" t="inlineStr">
        <x:is>
          <x:t xml:space="preserve">ARG-041</x:t>
        </x:is>
      </x:c>
      <x:c r="E413" s="75" t="str">
        <x:f>INDEX('Company Universe'!$B$6:$B$105,MATCH(D413,'Company Universe'!$A$6:$A$105,0))</x:f>
        <x:v>Chubb</x:v>
      </x:c>
      <x:c r="F413" s="75" t="str">
        <x:f>INDEX('Company Universe'!$C$6:$C$105,MATCH(D413,'Company Universe'!$A$6:$A$105,0))</x:f>
        <x:v>CB</x:v>
      </x:c>
      <x:c r="G413" s="75" t="str">
        <x:f>INDEX('Company Universe'!$F$6:$F$105,MATCH(D413,'Company Universe'!$A$6:$A$105,0))</x:f>
        <x:v>Insurance</x:v>
      </x:c>
      <x:c r="H413" s="57" t="n">
        <x:v>8</x:v>
      </x:c>
      <x:c r="I413" s="206" t="n"/>
      <x:c r="J413" s="71" t="n"/>
      <x:c r="K413" s="71" t="n"/>
      <x:c r="L413" s="71" t="inlineStr">
        <x:is>
          <x:t xml:space="preserve">NO</x:t>
        </x:is>
      </x:c>
      <x:c r="M413" s="71" t="n"/>
      <x:c r="N413" s="71" t="n"/>
      <x:c r="O413" s="71" t="n"/>
      <x:c r="P413" s="71" t="n"/>
      <x:c r="Q413" s="71" t="n"/>
      <x:c r="R413" s="71" t="n"/>
      <x:c r="S413" s="206" t="n"/>
      <x:c r="T413" s="71" t="n"/>
      <x:c r="U413" s="71" t="n"/>
      <x:c r="V413" s="71" t="n"/>
      <x:c r="W413" s="71" t="n"/>
      <x:c r="X413" s="71" t="n"/>
      <x:c r="Y413" s="71" t="n"/>
      <x:c r="Z413" s="71" t="n"/>
      <x:c r="AA413" s="71" t="n"/>
      <x:c r="AB413" s="71" t="inlineStr">
        <x:is>
          <x:t xml:space="preserve">NO</x:t>
        </x:is>
      </x:c>
      <x:c r="AC413" s="57" t="inlineStr">
        <x:is>
          <x:t xml:space="preserve">V10</x:t>
        </x:is>
      </x:c>
      <x:c r="AD413" s="57" t="n"/>
      <x:c r="AE413" s="79" t="str">
        <x:f>IF(AND(I413&lt;&gt;"",J413&lt;&gt;"",K413&lt;&gt;"",L413="YES",M413&lt;&gt;"",S413&lt;&gt;"",T413&lt;&gt;"",U413&lt;&gt;"",V413&lt;&gt;"",W413&lt;&gt;"",X413&lt;&gt;"",Y413&lt;&gt;""),"COMPLETE","PENDING")</x:f>
        <x:v>PENDING</x:v>
      </x:c>
      <x:c r="AF413" s="79" t="str">
        <x:f>IF(AE413="COMPLETE","YES","NO")</x:f>
        <x:v>NO</x:v>
      </x:c>
      <x:c r="AG413" s="214" t="str">
        <x:f>IF(AF413&lt;&gt;"YES","",(IF(V413="YES",1,0)+IF(W413="YES",1,0))/2)</x:f>
      </x:c>
    </x:row>
    <x:row r="414">
      <x:c r="A414" s="57" t="inlineStr">
        <x:is>
          <x:t xml:space="preserve">C0409</x:t>
        </x:is>
      </x:c>
      <x:c r="B414" s="57" t="inlineStr">
        <x:is>
          <x:t xml:space="preserve">Development</x:t>
        </x:is>
      </x:c>
      <x:c r="C414" s="57" t="inlineStr">
        <x:is>
          <x:t xml:space="preserve">OPEN</x:t>
        </x:is>
      </x:c>
      <x:c r="D414" s="57" t="inlineStr">
        <x:is>
          <x:t xml:space="preserve">ARG-041</x:t>
        </x:is>
      </x:c>
      <x:c r="E414" s="75" t="str">
        <x:f>INDEX('Company Universe'!$B$6:$B$105,MATCH(D414,'Company Universe'!$A$6:$A$105,0))</x:f>
        <x:v>Chubb</x:v>
      </x:c>
      <x:c r="F414" s="75" t="str">
        <x:f>INDEX('Company Universe'!$C$6:$C$105,MATCH(D414,'Company Universe'!$A$6:$A$105,0))</x:f>
        <x:v>CB</x:v>
      </x:c>
      <x:c r="G414" s="75" t="str">
        <x:f>INDEX('Company Universe'!$F$6:$F$105,MATCH(D414,'Company Universe'!$A$6:$A$105,0))</x:f>
        <x:v>Insurance</x:v>
      </x:c>
      <x:c r="H414" s="57" t="n">
        <x:v>9</x:v>
      </x:c>
      <x:c r="I414" s="206" t="n"/>
      <x:c r="J414" s="71" t="n"/>
      <x:c r="K414" s="71" t="n"/>
      <x:c r="L414" s="71" t="inlineStr">
        <x:is>
          <x:t xml:space="preserve">NO</x:t>
        </x:is>
      </x:c>
      <x:c r="M414" s="71" t="n"/>
      <x:c r="N414" s="71" t="n"/>
      <x:c r="O414" s="71" t="n"/>
      <x:c r="P414" s="71" t="n"/>
      <x:c r="Q414" s="71" t="n"/>
      <x:c r="R414" s="71" t="n"/>
      <x:c r="S414" s="206" t="n"/>
      <x:c r="T414" s="71" t="n"/>
      <x:c r="U414" s="71" t="n"/>
      <x:c r="V414" s="71" t="n"/>
      <x:c r="W414" s="71" t="n"/>
      <x:c r="X414" s="71" t="n"/>
      <x:c r="Y414" s="71" t="n"/>
      <x:c r="Z414" s="71" t="n"/>
      <x:c r="AA414" s="71" t="n"/>
      <x:c r="AB414" s="71" t="inlineStr">
        <x:is>
          <x:t xml:space="preserve">NO</x:t>
        </x:is>
      </x:c>
      <x:c r="AC414" s="57" t="inlineStr">
        <x:is>
          <x:t xml:space="preserve">V10</x:t>
        </x:is>
      </x:c>
      <x:c r="AD414" s="57" t="n"/>
      <x:c r="AE414" s="79" t="str">
        <x:f>IF(AND(I414&lt;&gt;"",J414&lt;&gt;"",K414&lt;&gt;"",L414="YES",M414&lt;&gt;"",S414&lt;&gt;"",T414&lt;&gt;"",U414&lt;&gt;"",V414&lt;&gt;"",W414&lt;&gt;"",X414&lt;&gt;"",Y414&lt;&gt;""),"COMPLETE","PENDING")</x:f>
        <x:v>PENDING</x:v>
      </x:c>
      <x:c r="AF414" s="79" t="str">
        <x:f>IF(AE414="COMPLETE","YES","NO")</x:f>
        <x:v>NO</x:v>
      </x:c>
      <x:c r="AG414" s="214" t="str">
        <x:f>IF(AF414&lt;&gt;"YES","",(IF(V414="YES",1,0)+IF(W414="YES",1,0))/2)</x:f>
      </x:c>
    </x:row>
    <x:row r="415">
      <x:c r="A415" s="57" t="inlineStr">
        <x:is>
          <x:t xml:space="preserve">C0410</x:t>
        </x:is>
      </x:c>
      <x:c r="B415" s="57" t="inlineStr">
        <x:is>
          <x:t xml:space="preserve">Development</x:t>
        </x:is>
      </x:c>
      <x:c r="C415" s="57" t="inlineStr">
        <x:is>
          <x:t xml:space="preserve">OPEN</x:t>
        </x:is>
      </x:c>
      <x:c r="D415" s="57" t="inlineStr">
        <x:is>
          <x:t xml:space="preserve">ARG-041</x:t>
        </x:is>
      </x:c>
      <x:c r="E415" s="75" t="str">
        <x:f>INDEX('Company Universe'!$B$6:$B$105,MATCH(D415,'Company Universe'!$A$6:$A$105,0))</x:f>
        <x:v>Chubb</x:v>
      </x:c>
      <x:c r="F415" s="75" t="str">
        <x:f>INDEX('Company Universe'!$C$6:$C$105,MATCH(D415,'Company Universe'!$A$6:$A$105,0))</x:f>
        <x:v>CB</x:v>
      </x:c>
      <x:c r="G415" s="75" t="str">
        <x:f>INDEX('Company Universe'!$F$6:$F$105,MATCH(D415,'Company Universe'!$A$6:$A$105,0))</x:f>
        <x:v>Insurance</x:v>
      </x:c>
      <x:c r="H415" s="57" t="n">
        <x:v>10</x:v>
      </x:c>
      <x:c r="I415" s="206" t="n"/>
      <x:c r="J415" s="71" t="n"/>
      <x:c r="K415" s="71" t="n"/>
      <x:c r="L415" s="71" t="inlineStr">
        <x:is>
          <x:t xml:space="preserve">NO</x:t>
        </x:is>
      </x:c>
      <x:c r="M415" s="71" t="n"/>
      <x:c r="N415" s="71" t="n"/>
      <x:c r="O415" s="71" t="n"/>
      <x:c r="P415" s="71" t="n"/>
      <x:c r="Q415" s="71" t="n"/>
      <x:c r="R415" s="71" t="n"/>
      <x:c r="S415" s="206" t="n"/>
      <x:c r="T415" s="71" t="n"/>
      <x:c r="U415" s="71" t="n"/>
      <x:c r="V415" s="71" t="n"/>
      <x:c r="W415" s="71" t="n"/>
      <x:c r="X415" s="71" t="n"/>
      <x:c r="Y415" s="71" t="n"/>
      <x:c r="Z415" s="71" t="n"/>
      <x:c r="AA415" s="71" t="n"/>
      <x:c r="AB415" s="71" t="inlineStr">
        <x:is>
          <x:t xml:space="preserve">NO</x:t>
        </x:is>
      </x:c>
      <x:c r="AC415" s="57" t="inlineStr">
        <x:is>
          <x:t xml:space="preserve">V10</x:t>
        </x:is>
      </x:c>
      <x:c r="AD415" s="57" t="n"/>
      <x:c r="AE415" s="79" t="str">
        <x:f>IF(AND(I415&lt;&gt;"",J415&lt;&gt;"",K415&lt;&gt;"",L415="YES",M415&lt;&gt;"",S415&lt;&gt;"",T415&lt;&gt;"",U415&lt;&gt;"",V415&lt;&gt;"",W415&lt;&gt;"",X415&lt;&gt;"",Y415&lt;&gt;""),"COMPLETE","PENDING")</x:f>
        <x:v>PENDING</x:v>
      </x:c>
      <x:c r="AF415" s="79" t="str">
        <x:f>IF(AE415="COMPLETE","YES","NO")</x:f>
        <x:v>NO</x:v>
      </x:c>
      <x:c r="AG415" s="214" t="str">
        <x:f>IF(AF415&lt;&gt;"YES","",(IF(V415="YES",1,0)+IF(W415="YES",1,0))/2)</x:f>
      </x:c>
    </x:row>
    <x:row r="416">
      <x:c r="A416" s="57" t="inlineStr">
        <x:is>
          <x:t xml:space="preserve">C0411</x:t>
        </x:is>
      </x:c>
      <x:c r="B416" s="57" t="inlineStr">
        <x:is>
          <x:t xml:space="preserve">Development</x:t>
        </x:is>
      </x:c>
      <x:c r="C416" s="57" t="inlineStr">
        <x:is>
          <x:t xml:space="preserve">OPEN</x:t>
        </x:is>
      </x:c>
      <x:c r="D416" s="57" t="inlineStr">
        <x:is>
          <x:t xml:space="preserve">ARG-042</x:t>
        </x:is>
      </x:c>
      <x:c r="E416" s="75" t="str">
        <x:f>INDEX('Company Universe'!$B$6:$B$105,MATCH(D416,'Company Universe'!$A$6:$A$105,0))</x:f>
        <x:v>Progressive</x:v>
      </x:c>
      <x:c r="F416" s="75" t="str">
        <x:f>INDEX('Company Universe'!$C$6:$C$105,MATCH(D416,'Company Universe'!$A$6:$A$105,0))</x:f>
        <x:v>PGR</x:v>
      </x:c>
      <x:c r="G416" s="75" t="str">
        <x:f>INDEX('Company Universe'!$F$6:$F$105,MATCH(D416,'Company Universe'!$A$6:$A$105,0))</x:f>
        <x:v>Insurance</x:v>
      </x:c>
      <x:c r="H416" s="57" t="n">
        <x:v>1</x:v>
      </x:c>
      <x:c r="I416" s="206" t="n"/>
      <x:c r="J416" s="71" t="n"/>
      <x:c r="K416" s="71" t="n"/>
      <x:c r="L416" s="71" t="inlineStr">
        <x:is>
          <x:t xml:space="preserve">NO</x:t>
        </x:is>
      </x:c>
      <x:c r="M416" s="71" t="n"/>
      <x:c r="N416" s="71" t="n"/>
      <x:c r="O416" s="71" t="n"/>
      <x:c r="P416" s="71" t="n"/>
      <x:c r="Q416" s="71" t="n"/>
      <x:c r="R416" s="71" t="n"/>
      <x:c r="S416" s="206" t="n"/>
      <x:c r="T416" s="71" t="n"/>
      <x:c r="U416" s="71" t="n"/>
      <x:c r="V416" s="71" t="n"/>
      <x:c r="W416" s="71" t="n"/>
      <x:c r="X416" s="71" t="n"/>
      <x:c r="Y416" s="71" t="n"/>
      <x:c r="Z416" s="71" t="n"/>
      <x:c r="AA416" s="71" t="n"/>
      <x:c r="AB416" s="71" t="inlineStr">
        <x:is>
          <x:t xml:space="preserve">NO</x:t>
        </x:is>
      </x:c>
      <x:c r="AC416" s="57" t="inlineStr">
        <x:is>
          <x:t xml:space="preserve">V10</x:t>
        </x:is>
      </x:c>
      <x:c r="AD416" s="57" t="n"/>
      <x:c r="AE416" s="79" t="str">
        <x:f>IF(AND(I416&lt;&gt;"",J416&lt;&gt;"",K416&lt;&gt;"",L416="YES",M416&lt;&gt;"",S416&lt;&gt;"",T416&lt;&gt;"",U416&lt;&gt;"",V416&lt;&gt;"",W416&lt;&gt;"",X416&lt;&gt;"",Y416&lt;&gt;""),"COMPLETE","PENDING")</x:f>
        <x:v>PENDING</x:v>
      </x:c>
      <x:c r="AF416" s="79" t="str">
        <x:f>IF(AE416="COMPLETE","YES","NO")</x:f>
        <x:v>NO</x:v>
      </x:c>
      <x:c r="AG416" s="214" t="str">
        <x:f>IF(AF416&lt;&gt;"YES","",(IF(V416="YES",1,0)+IF(W416="YES",1,0))/2)</x:f>
      </x:c>
    </x:row>
    <x:row r="417">
      <x:c r="A417" s="57" t="inlineStr">
        <x:is>
          <x:t xml:space="preserve">C0412</x:t>
        </x:is>
      </x:c>
      <x:c r="B417" s="57" t="inlineStr">
        <x:is>
          <x:t xml:space="preserve">Development</x:t>
        </x:is>
      </x:c>
      <x:c r="C417" s="57" t="inlineStr">
        <x:is>
          <x:t xml:space="preserve">OPEN</x:t>
        </x:is>
      </x:c>
      <x:c r="D417" s="57" t="inlineStr">
        <x:is>
          <x:t xml:space="preserve">ARG-042</x:t>
        </x:is>
      </x:c>
      <x:c r="E417" s="75" t="str">
        <x:f>INDEX('Company Universe'!$B$6:$B$105,MATCH(D417,'Company Universe'!$A$6:$A$105,0))</x:f>
        <x:v>Progressive</x:v>
      </x:c>
      <x:c r="F417" s="75" t="str">
        <x:f>INDEX('Company Universe'!$C$6:$C$105,MATCH(D417,'Company Universe'!$A$6:$A$105,0))</x:f>
        <x:v>PGR</x:v>
      </x:c>
      <x:c r="G417" s="75" t="str">
        <x:f>INDEX('Company Universe'!$F$6:$F$105,MATCH(D417,'Company Universe'!$A$6:$A$105,0))</x:f>
        <x:v>Insurance</x:v>
      </x:c>
      <x:c r="H417" s="57" t="n">
        <x:v>2</x:v>
      </x:c>
      <x:c r="I417" s="206" t="n"/>
      <x:c r="J417" s="71" t="n"/>
      <x:c r="K417" s="71" t="n"/>
      <x:c r="L417" s="71" t="inlineStr">
        <x:is>
          <x:t xml:space="preserve">NO</x:t>
        </x:is>
      </x:c>
      <x:c r="M417" s="71" t="n"/>
      <x:c r="N417" s="71" t="n"/>
      <x:c r="O417" s="71" t="n"/>
      <x:c r="P417" s="71" t="n"/>
      <x:c r="Q417" s="71" t="n"/>
      <x:c r="R417" s="71" t="n"/>
      <x:c r="S417" s="206" t="n"/>
      <x:c r="T417" s="71" t="n"/>
      <x:c r="U417" s="71" t="n"/>
      <x:c r="V417" s="71" t="n"/>
      <x:c r="W417" s="71" t="n"/>
      <x:c r="X417" s="71" t="n"/>
      <x:c r="Y417" s="71" t="n"/>
      <x:c r="Z417" s="71" t="n"/>
      <x:c r="AA417" s="71" t="n"/>
      <x:c r="AB417" s="71" t="inlineStr">
        <x:is>
          <x:t xml:space="preserve">NO</x:t>
        </x:is>
      </x:c>
      <x:c r="AC417" s="57" t="inlineStr">
        <x:is>
          <x:t xml:space="preserve">V10</x:t>
        </x:is>
      </x:c>
      <x:c r="AD417" s="57" t="n"/>
      <x:c r="AE417" s="79" t="str">
        <x:f>IF(AND(I417&lt;&gt;"",J417&lt;&gt;"",K417&lt;&gt;"",L417="YES",M417&lt;&gt;"",S417&lt;&gt;"",T417&lt;&gt;"",U417&lt;&gt;"",V417&lt;&gt;"",W417&lt;&gt;"",X417&lt;&gt;"",Y417&lt;&gt;""),"COMPLETE","PENDING")</x:f>
        <x:v>PENDING</x:v>
      </x:c>
      <x:c r="AF417" s="79" t="str">
        <x:f>IF(AE417="COMPLETE","YES","NO")</x:f>
        <x:v>NO</x:v>
      </x:c>
      <x:c r="AG417" s="214" t="str">
        <x:f>IF(AF417&lt;&gt;"YES","",(IF(V417="YES",1,0)+IF(W417="YES",1,0))/2)</x:f>
      </x:c>
    </x:row>
    <x:row r="418">
      <x:c r="A418" s="57" t="inlineStr">
        <x:is>
          <x:t xml:space="preserve">C0413</x:t>
        </x:is>
      </x:c>
      <x:c r="B418" s="57" t="inlineStr">
        <x:is>
          <x:t xml:space="preserve">Development</x:t>
        </x:is>
      </x:c>
      <x:c r="C418" s="57" t="inlineStr">
        <x:is>
          <x:t xml:space="preserve">OPEN</x:t>
        </x:is>
      </x:c>
      <x:c r="D418" s="57" t="inlineStr">
        <x:is>
          <x:t xml:space="preserve">ARG-042</x:t>
        </x:is>
      </x:c>
      <x:c r="E418" s="75" t="str">
        <x:f>INDEX('Company Universe'!$B$6:$B$105,MATCH(D418,'Company Universe'!$A$6:$A$105,0))</x:f>
        <x:v>Progressive</x:v>
      </x:c>
      <x:c r="F418" s="75" t="str">
        <x:f>INDEX('Company Universe'!$C$6:$C$105,MATCH(D418,'Company Universe'!$A$6:$A$105,0))</x:f>
        <x:v>PGR</x:v>
      </x:c>
      <x:c r="G418" s="75" t="str">
        <x:f>INDEX('Company Universe'!$F$6:$F$105,MATCH(D418,'Company Universe'!$A$6:$A$105,0))</x:f>
        <x:v>Insurance</x:v>
      </x:c>
      <x:c r="H418" s="57" t="n">
        <x:v>3</x:v>
      </x:c>
      <x:c r="I418" s="206" t="n"/>
      <x:c r="J418" s="71" t="n"/>
      <x:c r="K418" s="71" t="n"/>
      <x:c r="L418" s="71" t="inlineStr">
        <x:is>
          <x:t xml:space="preserve">NO</x:t>
        </x:is>
      </x:c>
      <x:c r="M418" s="71" t="n"/>
      <x:c r="N418" s="71" t="n"/>
      <x:c r="O418" s="71" t="n"/>
      <x:c r="P418" s="71" t="n"/>
      <x:c r="Q418" s="71" t="n"/>
      <x:c r="R418" s="71" t="n"/>
      <x:c r="S418" s="206" t="n"/>
      <x:c r="T418" s="71" t="n"/>
      <x:c r="U418" s="71" t="n"/>
      <x:c r="V418" s="71" t="n"/>
      <x:c r="W418" s="71" t="n"/>
      <x:c r="X418" s="71" t="n"/>
      <x:c r="Y418" s="71" t="n"/>
      <x:c r="Z418" s="71" t="n"/>
      <x:c r="AA418" s="71" t="n"/>
      <x:c r="AB418" s="71" t="inlineStr">
        <x:is>
          <x:t xml:space="preserve">NO</x:t>
        </x:is>
      </x:c>
      <x:c r="AC418" s="57" t="inlineStr">
        <x:is>
          <x:t xml:space="preserve">V10</x:t>
        </x:is>
      </x:c>
      <x:c r="AD418" s="57" t="n"/>
      <x:c r="AE418" s="79" t="str">
        <x:f>IF(AND(I418&lt;&gt;"",J418&lt;&gt;"",K418&lt;&gt;"",L418="YES",M418&lt;&gt;"",S418&lt;&gt;"",T418&lt;&gt;"",U418&lt;&gt;"",V418&lt;&gt;"",W418&lt;&gt;"",X418&lt;&gt;"",Y418&lt;&gt;""),"COMPLETE","PENDING")</x:f>
        <x:v>PENDING</x:v>
      </x:c>
      <x:c r="AF418" s="79" t="str">
        <x:f>IF(AE418="COMPLETE","YES","NO")</x:f>
        <x:v>NO</x:v>
      </x:c>
      <x:c r="AG418" s="214" t="str">
        <x:f>IF(AF418&lt;&gt;"YES","",(IF(V418="YES",1,0)+IF(W418="YES",1,0))/2)</x:f>
      </x:c>
    </x:row>
    <x:row r="419">
      <x:c r="A419" s="57" t="inlineStr">
        <x:is>
          <x:t xml:space="preserve">C0414</x:t>
        </x:is>
      </x:c>
      <x:c r="B419" s="57" t="inlineStr">
        <x:is>
          <x:t xml:space="preserve">Development</x:t>
        </x:is>
      </x:c>
      <x:c r="C419" s="57" t="inlineStr">
        <x:is>
          <x:t xml:space="preserve">OPEN</x:t>
        </x:is>
      </x:c>
      <x:c r="D419" s="57" t="inlineStr">
        <x:is>
          <x:t xml:space="preserve">ARG-042</x:t>
        </x:is>
      </x:c>
      <x:c r="E419" s="75" t="str">
        <x:f>INDEX('Company Universe'!$B$6:$B$105,MATCH(D419,'Company Universe'!$A$6:$A$105,0))</x:f>
        <x:v>Progressive</x:v>
      </x:c>
      <x:c r="F419" s="75" t="str">
        <x:f>INDEX('Company Universe'!$C$6:$C$105,MATCH(D419,'Company Universe'!$A$6:$A$105,0))</x:f>
        <x:v>PGR</x:v>
      </x:c>
      <x:c r="G419" s="75" t="str">
        <x:f>INDEX('Company Universe'!$F$6:$F$105,MATCH(D419,'Company Universe'!$A$6:$A$105,0))</x:f>
        <x:v>Insurance</x:v>
      </x:c>
      <x:c r="H419" s="57" t="n">
        <x:v>4</x:v>
      </x:c>
      <x:c r="I419" s="206" t="n"/>
      <x:c r="J419" s="71" t="n"/>
      <x:c r="K419" s="71" t="n"/>
      <x:c r="L419" s="71" t="inlineStr">
        <x:is>
          <x:t xml:space="preserve">NO</x:t>
        </x:is>
      </x:c>
      <x:c r="M419" s="71" t="n"/>
      <x:c r="N419" s="71" t="n"/>
      <x:c r="O419" s="71" t="n"/>
      <x:c r="P419" s="71" t="n"/>
      <x:c r="Q419" s="71" t="n"/>
      <x:c r="R419" s="71" t="n"/>
      <x:c r="S419" s="206" t="n"/>
      <x:c r="T419" s="71" t="n"/>
      <x:c r="U419" s="71" t="n"/>
      <x:c r="V419" s="71" t="n"/>
      <x:c r="W419" s="71" t="n"/>
      <x:c r="X419" s="71" t="n"/>
      <x:c r="Y419" s="71" t="n"/>
      <x:c r="Z419" s="71" t="n"/>
      <x:c r="AA419" s="71" t="n"/>
      <x:c r="AB419" s="71" t="inlineStr">
        <x:is>
          <x:t xml:space="preserve">NO</x:t>
        </x:is>
      </x:c>
      <x:c r="AC419" s="57" t="inlineStr">
        <x:is>
          <x:t xml:space="preserve">V10</x:t>
        </x:is>
      </x:c>
      <x:c r="AD419" s="57" t="n"/>
      <x:c r="AE419" s="79" t="str">
        <x:f>IF(AND(I419&lt;&gt;"",J419&lt;&gt;"",K419&lt;&gt;"",L419="YES",M419&lt;&gt;"",S419&lt;&gt;"",T419&lt;&gt;"",U419&lt;&gt;"",V419&lt;&gt;"",W419&lt;&gt;"",X419&lt;&gt;"",Y419&lt;&gt;""),"COMPLETE","PENDING")</x:f>
        <x:v>PENDING</x:v>
      </x:c>
      <x:c r="AF419" s="79" t="str">
        <x:f>IF(AE419="COMPLETE","YES","NO")</x:f>
        <x:v>NO</x:v>
      </x:c>
      <x:c r="AG419" s="214" t="str">
        <x:f>IF(AF419&lt;&gt;"YES","",(IF(V419="YES",1,0)+IF(W419="YES",1,0))/2)</x:f>
      </x:c>
    </x:row>
    <x:row r="420">
      <x:c r="A420" s="57" t="inlineStr">
        <x:is>
          <x:t xml:space="preserve">C0415</x:t>
        </x:is>
      </x:c>
      <x:c r="B420" s="57" t="inlineStr">
        <x:is>
          <x:t xml:space="preserve">Development</x:t>
        </x:is>
      </x:c>
      <x:c r="C420" s="57" t="inlineStr">
        <x:is>
          <x:t xml:space="preserve">OPEN</x:t>
        </x:is>
      </x:c>
      <x:c r="D420" s="57" t="inlineStr">
        <x:is>
          <x:t xml:space="preserve">ARG-042</x:t>
        </x:is>
      </x:c>
      <x:c r="E420" s="75" t="str">
        <x:f>INDEX('Company Universe'!$B$6:$B$105,MATCH(D420,'Company Universe'!$A$6:$A$105,0))</x:f>
        <x:v>Progressive</x:v>
      </x:c>
      <x:c r="F420" s="75" t="str">
        <x:f>INDEX('Company Universe'!$C$6:$C$105,MATCH(D420,'Company Universe'!$A$6:$A$105,0))</x:f>
        <x:v>PGR</x:v>
      </x:c>
      <x:c r="G420" s="75" t="str">
        <x:f>INDEX('Company Universe'!$F$6:$F$105,MATCH(D420,'Company Universe'!$A$6:$A$105,0))</x:f>
        <x:v>Insurance</x:v>
      </x:c>
      <x:c r="H420" s="57" t="n">
        <x:v>5</x:v>
      </x:c>
      <x:c r="I420" s="206" t="n"/>
      <x:c r="J420" s="71" t="n"/>
      <x:c r="K420" s="71" t="n"/>
      <x:c r="L420" s="71" t="inlineStr">
        <x:is>
          <x:t xml:space="preserve">NO</x:t>
        </x:is>
      </x:c>
      <x:c r="M420" s="71" t="n"/>
      <x:c r="N420" s="71" t="n"/>
      <x:c r="O420" s="71" t="n"/>
      <x:c r="P420" s="71" t="n"/>
      <x:c r="Q420" s="71" t="n"/>
      <x:c r="R420" s="71" t="n"/>
      <x:c r="S420" s="206" t="n"/>
      <x:c r="T420" s="71" t="n"/>
      <x:c r="U420" s="71" t="n"/>
      <x:c r="V420" s="71" t="n"/>
      <x:c r="W420" s="71" t="n"/>
      <x:c r="X420" s="71" t="n"/>
      <x:c r="Y420" s="71" t="n"/>
      <x:c r="Z420" s="71" t="n"/>
      <x:c r="AA420" s="71" t="n"/>
      <x:c r="AB420" s="71" t="inlineStr">
        <x:is>
          <x:t xml:space="preserve">NO</x:t>
        </x:is>
      </x:c>
      <x:c r="AC420" s="57" t="inlineStr">
        <x:is>
          <x:t xml:space="preserve">V10</x:t>
        </x:is>
      </x:c>
      <x:c r="AD420" s="57" t="n"/>
      <x:c r="AE420" s="79" t="str">
        <x:f>IF(AND(I420&lt;&gt;"",J420&lt;&gt;"",K420&lt;&gt;"",L420="YES",M420&lt;&gt;"",S420&lt;&gt;"",T420&lt;&gt;"",U420&lt;&gt;"",V420&lt;&gt;"",W420&lt;&gt;"",X420&lt;&gt;"",Y420&lt;&gt;""),"COMPLETE","PENDING")</x:f>
        <x:v>PENDING</x:v>
      </x:c>
      <x:c r="AF420" s="79" t="str">
        <x:f>IF(AE420="COMPLETE","YES","NO")</x:f>
        <x:v>NO</x:v>
      </x:c>
      <x:c r="AG420" s="214" t="str">
        <x:f>IF(AF420&lt;&gt;"YES","",(IF(V420="YES",1,0)+IF(W420="YES",1,0))/2)</x:f>
      </x:c>
    </x:row>
    <x:row r="421">
      <x:c r="A421" s="57" t="inlineStr">
        <x:is>
          <x:t xml:space="preserve">C0416</x:t>
        </x:is>
      </x:c>
      <x:c r="B421" s="57" t="inlineStr">
        <x:is>
          <x:t xml:space="preserve">Development</x:t>
        </x:is>
      </x:c>
      <x:c r="C421" s="57" t="inlineStr">
        <x:is>
          <x:t xml:space="preserve">OPEN</x:t>
        </x:is>
      </x:c>
      <x:c r="D421" s="57" t="inlineStr">
        <x:is>
          <x:t xml:space="preserve">ARG-042</x:t>
        </x:is>
      </x:c>
      <x:c r="E421" s="75" t="str">
        <x:f>INDEX('Company Universe'!$B$6:$B$105,MATCH(D421,'Company Universe'!$A$6:$A$105,0))</x:f>
        <x:v>Progressive</x:v>
      </x:c>
      <x:c r="F421" s="75" t="str">
        <x:f>INDEX('Company Universe'!$C$6:$C$105,MATCH(D421,'Company Universe'!$A$6:$A$105,0))</x:f>
        <x:v>PGR</x:v>
      </x:c>
      <x:c r="G421" s="75" t="str">
        <x:f>INDEX('Company Universe'!$F$6:$F$105,MATCH(D421,'Company Universe'!$A$6:$A$105,0))</x:f>
        <x:v>Insurance</x:v>
      </x:c>
      <x:c r="H421" s="57" t="n">
        <x:v>6</x:v>
      </x:c>
      <x:c r="I421" s="206" t="n"/>
      <x:c r="J421" s="71" t="n"/>
      <x:c r="K421" s="71" t="n"/>
      <x:c r="L421" s="71" t="inlineStr">
        <x:is>
          <x:t xml:space="preserve">NO</x:t>
        </x:is>
      </x:c>
      <x:c r="M421" s="71" t="n"/>
      <x:c r="N421" s="71" t="n"/>
      <x:c r="O421" s="71" t="n"/>
      <x:c r="P421" s="71" t="n"/>
      <x:c r="Q421" s="71" t="n"/>
      <x:c r="R421" s="71" t="n"/>
      <x:c r="S421" s="206" t="n"/>
      <x:c r="T421" s="71" t="n"/>
      <x:c r="U421" s="71" t="n"/>
      <x:c r="V421" s="71" t="n"/>
      <x:c r="W421" s="71" t="n"/>
      <x:c r="X421" s="71" t="n"/>
      <x:c r="Y421" s="71" t="n"/>
      <x:c r="Z421" s="71" t="n"/>
      <x:c r="AA421" s="71" t="n"/>
      <x:c r="AB421" s="71" t="inlineStr">
        <x:is>
          <x:t xml:space="preserve">NO</x:t>
        </x:is>
      </x:c>
      <x:c r="AC421" s="57" t="inlineStr">
        <x:is>
          <x:t xml:space="preserve">V10</x:t>
        </x:is>
      </x:c>
      <x:c r="AD421" s="57" t="n"/>
      <x:c r="AE421" s="79" t="str">
        <x:f>IF(AND(I421&lt;&gt;"",J421&lt;&gt;"",K421&lt;&gt;"",L421="YES",M421&lt;&gt;"",S421&lt;&gt;"",T421&lt;&gt;"",U421&lt;&gt;"",V421&lt;&gt;"",W421&lt;&gt;"",X421&lt;&gt;"",Y421&lt;&gt;""),"COMPLETE","PENDING")</x:f>
        <x:v>PENDING</x:v>
      </x:c>
      <x:c r="AF421" s="79" t="str">
        <x:f>IF(AE421="COMPLETE","YES","NO")</x:f>
        <x:v>NO</x:v>
      </x:c>
      <x:c r="AG421" s="214" t="str">
        <x:f>IF(AF421&lt;&gt;"YES","",(IF(V421="YES",1,0)+IF(W421="YES",1,0))/2)</x:f>
      </x:c>
    </x:row>
    <x:row r="422">
      <x:c r="A422" s="57" t="inlineStr">
        <x:is>
          <x:t xml:space="preserve">C0417</x:t>
        </x:is>
      </x:c>
      <x:c r="B422" s="57" t="inlineStr">
        <x:is>
          <x:t xml:space="preserve">Development</x:t>
        </x:is>
      </x:c>
      <x:c r="C422" s="57" t="inlineStr">
        <x:is>
          <x:t xml:space="preserve">OPEN</x:t>
        </x:is>
      </x:c>
      <x:c r="D422" s="57" t="inlineStr">
        <x:is>
          <x:t xml:space="preserve">ARG-042</x:t>
        </x:is>
      </x:c>
      <x:c r="E422" s="75" t="str">
        <x:f>INDEX('Company Universe'!$B$6:$B$105,MATCH(D422,'Company Universe'!$A$6:$A$105,0))</x:f>
        <x:v>Progressive</x:v>
      </x:c>
      <x:c r="F422" s="75" t="str">
        <x:f>INDEX('Company Universe'!$C$6:$C$105,MATCH(D422,'Company Universe'!$A$6:$A$105,0))</x:f>
        <x:v>PGR</x:v>
      </x:c>
      <x:c r="G422" s="75" t="str">
        <x:f>INDEX('Company Universe'!$F$6:$F$105,MATCH(D422,'Company Universe'!$A$6:$A$105,0))</x:f>
        <x:v>Insurance</x:v>
      </x:c>
      <x:c r="H422" s="57" t="n">
        <x:v>7</x:v>
      </x:c>
      <x:c r="I422" s="206" t="n"/>
      <x:c r="J422" s="71" t="n"/>
      <x:c r="K422" s="71" t="n"/>
      <x:c r="L422" s="71" t="inlineStr">
        <x:is>
          <x:t xml:space="preserve">NO</x:t>
        </x:is>
      </x:c>
      <x:c r="M422" s="71" t="n"/>
      <x:c r="N422" s="71" t="n"/>
      <x:c r="O422" s="71" t="n"/>
      <x:c r="P422" s="71" t="n"/>
      <x:c r="Q422" s="71" t="n"/>
      <x:c r="R422" s="71" t="n"/>
      <x:c r="S422" s="206" t="n"/>
      <x:c r="T422" s="71" t="n"/>
      <x:c r="U422" s="71" t="n"/>
      <x:c r="V422" s="71" t="n"/>
      <x:c r="W422" s="71" t="n"/>
      <x:c r="X422" s="71" t="n"/>
      <x:c r="Y422" s="71" t="n"/>
      <x:c r="Z422" s="71" t="n"/>
      <x:c r="AA422" s="71" t="n"/>
      <x:c r="AB422" s="71" t="inlineStr">
        <x:is>
          <x:t xml:space="preserve">NO</x:t>
        </x:is>
      </x:c>
      <x:c r="AC422" s="57" t="inlineStr">
        <x:is>
          <x:t xml:space="preserve">V10</x:t>
        </x:is>
      </x:c>
      <x:c r="AD422" s="57" t="n"/>
      <x:c r="AE422" s="79" t="str">
        <x:f>IF(AND(I422&lt;&gt;"",J422&lt;&gt;"",K422&lt;&gt;"",L422="YES",M422&lt;&gt;"",S422&lt;&gt;"",T422&lt;&gt;"",U422&lt;&gt;"",V422&lt;&gt;"",W422&lt;&gt;"",X422&lt;&gt;"",Y422&lt;&gt;""),"COMPLETE","PENDING")</x:f>
        <x:v>PENDING</x:v>
      </x:c>
      <x:c r="AF422" s="79" t="str">
        <x:f>IF(AE422="COMPLETE","YES","NO")</x:f>
        <x:v>NO</x:v>
      </x:c>
      <x:c r="AG422" s="214" t="str">
        <x:f>IF(AF422&lt;&gt;"YES","",(IF(V422="YES",1,0)+IF(W422="YES",1,0))/2)</x:f>
      </x:c>
    </x:row>
    <x:row r="423">
      <x:c r="A423" s="57" t="inlineStr">
        <x:is>
          <x:t xml:space="preserve">C0418</x:t>
        </x:is>
      </x:c>
      <x:c r="B423" s="57" t="inlineStr">
        <x:is>
          <x:t xml:space="preserve">Development</x:t>
        </x:is>
      </x:c>
      <x:c r="C423" s="57" t="inlineStr">
        <x:is>
          <x:t xml:space="preserve">OPEN</x:t>
        </x:is>
      </x:c>
      <x:c r="D423" s="57" t="inlineStr">
        <x:is>
          <x:t xml:space="preserve">ARG-042</x:t>
        </x:is>
      </x:c>
      <x:c r="E423" s="75" t="str">
        <x:f>INDEX('Company Universe'!$B$6:$B$105,MATCH(D423,'Company Universe'!$A$6:$A$105,0))</x:f>
        <x:v>Progressive</x:v>
      </x:c>
      <x:c r="F423" s="75" t="str">
        <x:f>INDEX('Company Universe'!$C$6:$C$105,MATCH(D423,'Company Universe'!$A$6:$A$105,0))</x:f>
        <x:v>PGR</x:v>
      </x:c>
      <x:c r="G423" s="75" t="str">
        <x:f>INDEX('Company Universe'!$F$6:$F$105,MATCH(D423,'Company Universe'!$A$6:$A$105,0))</x:f>
        <x:v>Insurance</x:v>
      </x:c>
      <x:c r="H423" s="57" t="n">
        <x:v>8</x:v>
      </x:c>
      <x:c r="I423" s="206" t="n"/>
      <x:c r="J423" s="71" t="n"/>
      <x:c r="K423" s="71" t="n"/>
      <x:c r="L423" s="71" t="inlineStr">
        <x:is>
          <x:t xml:space="preserve">NO</x:t>
        </x:is>
      </x:c>
      <x:c r="M423" s="71" t="n"/>
      <x:c r="N423" s="71" t="n"/>
      <x:c r="O423" s="71" t="n"/>
      <x:c r="P423" s="71" t="n"/>
      <x:c r="Q423" s="71" t="n"/>
      <x:c r="R423" s="71" t="n"/>
      <x:c r="S423" s="206" t="n"/>
      <x:c r="T423" s="71" t="n"/>
      <x:c r="U423" s="71" t="n"/>
      <x:c r="V423" s="71" t="n"/>
      <x:c r="W423" s="71" t="n"/>
      <x:c r="X423" s="71" t="n"/>
      <x:c r="Y423" s="71" t="n"/>
      <x:c r="Z423" s="71" t="n"/>
      <x:c r="AA423" s="71" t="n"/>
      <x:c r="AB423" s="71" t="inlineStr">
        <x:is>
          <x:t xml:space="preserve">NO</x:t>
        </x:is>
      </x:c>
      <x:c r="AC423" s="57" t="inlineStr">
        <x:is>
          <x:t xml:space="preserve">V10</x:t>
        </x:is>
      </x:c>
      <x:c r="AD423" s="57" t="n"/>
      <x:c r="AE423" s="79" t="str">
        <x:f>IF(AND(I423&lt;&gt;"",J423&lt;&gt;"",K423&lt;&gt;"",L423="YES",M423&lt;&gt;"",S423&lt;&gt;"",T423&lt;&gt;"",U423&lt;&gt;"",V423&lt;&gt;"",W423&lt;&gt;"",X423&lt;&gt;"",Y423&lt;&gt;""),"COMPLETE","PENDING")</x:f>
        <x:v>PENDING</x:v>
      </x:c>
      <x:c r="AF423" s="79" t="str">
        <x:f>IF(AE423="COMPLETE","YES","NO")</x:f>
        <x:v>NO</x:v>
      </x:c>
      <x:c r="AG423" s="214" t="str">
        <x:f>IF(AF423&lt;&gt;"YES","",(IF(V423="YES",1,0)+IF(W423="YES",1,0))/2)</x:f>
      </x:c>
    </x:row>
    <x:row r="424">
      <x:c r="A424" s="57" t="inlineStr">
        <x:is>
          <x:t xml:space="preserve">C0419</x:t>
        </x:is>
      </x:c>
      <x:c r="B424" s="57" t="inlineStr">
        <x:is>
          <x:t xml:space="preserve">Development</x:t>
        </x:is>
      </x:c>
      <x:c r="C424" s="57" t="inlineStr">
        <x:is>
          <x:t xml:space="preserve">OPEN</x:t>
        </x:is>
      </x:c>
      <x:c r="D424" s="57" t="inlineStr">
        <x:is>
          <x:t xml:space="preserve">ARG-042</x:t>
        </x:is>
      </x:c>
      <x:c r="E424" s="75" t="str">
        <x:f>INDEX('Company Universe'!$B$6:$B$105,MATCH(D424,'Company Universe'!$A$6:$A$105,0))</x:f>
        <x:v>Progressive</x:v>
      </x:c>
      <x:c r="F424" s="75" t="str">
        <x:f>INDEX('Company Universe'!$C$6:$C$105,MATCH(D424,'Company Universe'!$A$6:$A$105,0))</x:f>
        <x:v>PGR</x:v>
      </x:c>
      <x:c r="G424" s="75" t="str">
        <x:f>INDEX('Company Universe'!$F$6:$F$105,MATCH(D424,'Company Universe'!$A$6:$A$105,0))</x:f>
        <x:v>Insurance</x:v>
      </x:c>
      <x:c r="H424" s="57" t="n">
        <x:v>9</x:v>
      </x:c>
      <x:c r="I424" s="206" t="n"/>
      <x:c r="J424" s="71" t="n"/>
      <x:c r="K424" s="71" t="n"/>
      <x:c r="L424" s="71" t="inlineStr">
        <x:is>
          <x:t xml:space="preserve">NO</x:t>
        </x:is>
      </x:c>
      <x:c r="M424" s="71" t="n"/>
      <x:c r="N424" s="71" t="n"/>
      <x:c r="O424" s="71" t="n"/>
      <x:c r="P424" s="71" t="n"/>
      <x:c r="Q424" s="71" t="n"/>
      <x:c r="R424" s="71" t="n"/>
      <x:c r="S424" s="206" t="n"/>
      <x:c r="T424" s="71" t="n"/>
      <x:c r="U424" s="71" t="n"/>
      <x:c r="V424" s="71" t="n"/>
      <x:c r="W424" s="71" t="n"/>
      <x:c r="X424" s="71" t="n"/>
      <x:c r="Y424" s="71" t="n"/>
      <x:c r="Z424" s="71" t="n"/>
      <x:c r="AA424" s="71" t="n"/>
      <x:c r="AB424" s="71" t="inlineStr">
        <x:is>
          <x:t xml:space="preserve">NO</x:t>
        </x:is>
      </x:c>
      <x:c r="AC424" s="57" t="inlineStr">
        <x:is>
          <x:t xml:space="preserve">V10</x:t>
        </x:is>
      </x:c>
      <x:c r="AD424" s="57" t="n"/>
      <x:c r="AE424" s="79" t="str">
        <x:f>IF(AND(I424&lt;&gt;"",J424&lt;&gt;"",K424&lt;&gt;"",L424="YES",M424&lt;&gt;"",S424&lt;&gt;"",T424&lt;&gt;"",U424&lt;&gt;"",V424&lt;&gt;"",W424&lt;&gt;"",X424&lt;&gt;"",Y424&lt;&gt;""),"COMPLETE","PENDING")</x:f>
        <x:v>PENDING</x:v>
      </x:c>
      <x:c r="AF424" s="79" t="str">
        <x:f>IF(AE424="COMPLETE","YES","NO")</x:f>
        <x:v>NO</x:v>
      </x:c>
      <x:c r="AG424" s="214" t="str">
        <x:f>IF(AF424&lt;&gt;"YES","",(IF(V424="YES",1,0)+IF(W424="YES",1,0))/2)</x:f>
      </x:c>
    </x:row>
    <x:row r="425">
      <x:c r="A425" s="57" t="inlineStr">
        <x:is>
          <x:t xml:space="preserve">C0420</x:t>
        </x:is>
      </x:c>
      <x:c r="B425" s="57" t="inlineStr">
        <x:is>
          <x:t xml:space="preserve">Development</x:t>
        </x:is>
      </x:c>
      <x:c r="C425" s="57" t="inlineStr">
        <x:is>
          <x:t xml:space="preserve">OPEN</x:t>
        </x:is>
      </x:c>
      <x:c r="D425" s="57" t="inlineStr">
        <x:is>
          <x:t xml:space="preserve">ARG-042</x:t>
        </x:is>
      </x:c>
      <x:c r="E425" s="75" t="str">
        <x:f>INDEX('Company Universe'!$B$6:$B$105,MATCH(D425,'Company Universe'!$A$6:$A$105,0))</x:f>
        <x:v>Progressive</x:v>
      </x:c>
      <x:c r="F425" s="75" t="str">
        <x:f>INDEX('Company Universe'!$C$6:$C$105,MATCH(D425,'Company Universe'!$A$6:$A$105,0))</x:f>
        <x:v>PGR</x:v>
      </x:c>
      <x:c r="G425" s="75" t="str">
        <x:f>INDEX('Company Universe'!$F$6:$F$105,MATCH(D425,'Company Universe'!$A$6:$A$105,0))</x:f>
        <x:v>Insurance</x:v>
      </x:c>
      <x:c r="H425" s="57" t="n">
        <x:v>10</x:v>
      </x:c>
      <x:c r="I425" s="206" t="n"/>
      <x:c r="J425" s="71" t="n"/>
      <x:c r="K425" s="71" t="n"/>
      <x:c r="L425" s="71" t="inlineStr">
        <x:is>
          <x:t xml:space="preserve">NO</x:t>
        </x:is>
      </x:c>
      <x:c r="M425" s="71" t="n"/>
      <x:c r="N425" s="71" t="n"/>
      <x:c r="O425" s="71" t="n"/>
      <x:c r="P425" s="71" t="n"/>
      <x:c r="Q425" s="71" t="n"/>
      <x:c r="R425" s="71" t="n"/>
      <x:c r="S425" s="206" t="n"/>
      <x:c r="T425" s="71" t="n"/>
      <x:c r="U425" s="71" t="n"/>
      <x:c r="V425" s="71" t="n"/>
      <x:c r="W425" s="71" t="n"/>
      <x:c r="X425" s="71" t="n"/>
      <x:c r="Y425" s="71" t="n"/>
      <x:c r="Z425" s="71" t="n"/>
      <x:c r="AA425" s="71" t="n"/>
      <x:c r="AB425" s="71" t="inlineStr">
        <x:is>
          <x:t xml:space="preserve">NO</x:t>
        </x:is>
      </x:c>
      <x:c r="AC425" s="57" t="inlineStr">
        <x:is>
          <x:t xml:space="preserve">V10</x:t>
        </x:is>
      </x:c>
      <x:c r="AD425" s="57" t="n"/>
      <x:c r="AE425" s="79" t="str">
        <x:f>IF(AND(I425&lt;&gt;"",J425&lt;&gt;"",K425&lt;&gt;"",L425="YES",M425&lt;&gt;"",S425&lt;&gt;"",T425&lt;&gt;"",U425&lt;&gt;"",V425&lt;&gt;"",W425&lt;&gt;"",X425&lt;&gt;"",Y425&lt;&gt;""),"COMPLETE","PENDING")</x:f>
        <x:v>PENDING</x:v>
      </x:c>
      <x:c r="AF425" s="79" t="str">
        <x:f>IF(AE425="COMPLETE","YES","NO")</x:f>
        <x:v>NO</x:v>
      </x:c>
      <x:c r="AG425" s="214" t="str">
        <x:f>IF(AF425&lt;&gt;"YES","",(IF(V425="YES",1,0)+IF(W425="YES",1,0))/2)</x:f>
      </x:c>
    </x:row>
    <x:row r="426">
      <x:c r="A426" s="57" t="inlineStr">
        <x:is>
          <x:t xml:space="preserve">C0421</x:t>
        </x:is>
      </x:c>
      <x:c r="B426" s="57" t="inlineStr">
        <x:is>
          <x:t xml:space="preserve">Development</x:t>
        </x:is>
      </x:c>
      <x:c r="C426" s="57" t="inlineStr">
        <x:is>
          <x:t xml:space="preserve">OPEN</x:t>
        </x:is>
      </x:c>
      <x:c r="D426" s="57" t="inlineStr">
        <x:is>
          <x:t xml:space="preserve">ARG-043</x:t>
        </x:is>
      </x:c>
      <x:c r="E426" s="75" t="str">
        <x:f>INDEX('Company Universe'!$B$6:$B$105,MATCH(D426,'Company Universe'!$A$6:$A$105,0))</x:f>
        <x:v>Microsoft</x:v>
      </x:c>
      <x:c r="F426" s="75" t="str">
        <x:f>INDEX('Company Universe'!$C$6:$C$105,MATCH(D426,'Company Universe'!$A$6:$A$105,0))</x:f>
        <x:v>MSFT</x:v>
      </x:c>
      <x:c r="G426" s="75" t="str">
        <x:f>INDEX('Company Universe'!$F$6:$F$105,MATCH(D426,'Company Universe'!$A$6:$A$105,0))</x:f>
        <x:v>Software &amp; Payments</x:v>
      </x:c>
      <x:c r="H426" s="57" t="n">
        <x:v>1</x:v>
      </x:c>
      <x:c r="I426" s="206" t="n"/>
      <x:c r="J426" s="71" t="n"/>
      <x:c r="K426" s="71" t="n"/>
      <x:c r="L426" s="71" t="inlineStr">
        <x:is>
          <x:t xml:space="preserve">NO</x:t>
        </x:is>
      </x:c>
      <x:c r="M426" s="71" t="n"/>
      <x:c r="N426" s="71" t="n"/>
      <x:c r="O426" s="71" t="n"/>
      <x:c r="P426" s="71" t="n"/>
      <x:c r="Q426" s="71" t="n"/>
      <x:c r="R426" s="71" t="n"/>
      <x:c r="S426" s="206" t="n"/>
      <x:c r="T426" s="71" t="n"/>
      <x:c r="U426" s="71" t="n"/>
      <x:c r="V426" s="71" t="n"/>
      <x:c r="W426" s="71" t="n"/>
      <x:c r="X426" s="71" t="n"/>
      <x:c r="Y426" s="71" t="n"/>
      <x:c r="Z426" s="71" t="n"/>
      <x:c r="AA426" s="71" t="n"/>
      <x:c r="AB426" s="71" t="inlineStr">
        <x:is>
          <x:t xml:space="preserve">NO</x:t>
        </x:is>
      </x:c>
      <x:c r="AC426" s="57" t="inlineStr">
        <x:is>
          <x:t xml:space="preserve">V10</x:t>
        </x:is>
      </x:c>
      <x:c r="AD426" s="57" t="n"/>
      <x:c r="AE426" s="79" t="str">
        <x:f>IF(AND(I426&lt;&gt;"",J426&lt;&gt;"",K426&lt;&gt;"",L426="YES",M426&lt;&gt;"",S426&lt;&gt;"",T426&lt;&gt;"",U426&lt;&gt;"",V426&lt;&gt;"",W426&lt;&gt;"",X426&lt;&gt;"",Y426&lt;&gt;""),"COMPLETE","PENDING")</x:f>
        <x:v>PENDING</x:v>
      </x:c>
      <x:c r="AF426" s="79" t="str">
        <x:f>IF(AE426="COMPLETE","YES","NO")</x:f>
        <x:v>NO</x:v>
      </x:c>
      <x:c r="AG426" s="214" t="str">
        <x:f>IF(AF426&lt;&gt;"YES","",(IF(V426="YES",1,0)+IF(W426="YES",1,0))/2)</x:f>
      </x:c>
    </x:row>
    <x:row r="427">
      <x:c r="A427" s="57" t="inlineStr">
        <x:is>
          <x:t xml:space="preserve">C0422</x:t>
        </x:is>
      </x:c>
      <x:c r="B427" s="57" t="inlineStr">
        <x:is>
          <x:t xml:space="preserve">Development</x:t>
        </x:is>
      </x:c>
      <x:c r="C427" s="57" t="inlineStr">
        <x:is>
          <x:t xml:space="preserve">OPEN</x:t>
        </x:is>
      </x:c>
      <x:c r="D427" s="57" t="inlineStr">
        <x:is>
          <x:t xml:space="preserve">ARG-043</x:t>
        </x:is>
      </x:c>
      <x:c r="E427" s="75" t="str">
        <x:f>INDEX('Company Universe'!$B$6:$B$105,MATCH(D427,'Company Universe'!$A$6:$A$105,0))</x:f>
        <x:v>Microsoft</x:v>
      </x:c>
      <x:c r="F427" s="75" t="str">
        <x:f>INDEX('Company Universe'!$C$6:$C$105,MATCH(D427,'Company Universe'!$A$6:$A$105,0))</x:f>
        <x:v>MSFT</x:v>
      </x:c>
      <x:c r="G427" s="75" t="str">
        <x:f>INDEX('Company Universe'!$F$6:$F$105,MATCH(D427,'Company Universe'!$A$6:$A$105,0))</x:f>
        <x:v>Software &amp; Payments</x:v>
      </x:c>
      <x:c r="H427" s="57" t="n">
        <x:v>2</x:v>
      </x:c>
      <x:c r="I427" s="206" t="n"/>
      <x:c r="J427" s="71" t="n"/>
      <x:c r="K427" s="71" t="n"/>
      <x:c r="L427" s="71" t="inlineStr">
        <x:is>
          <x:t xml:space="preserve">NO</x:t>
        </x:is>
      </x:c>
      <x:c r="M427" s="71" t="n"/>
      <x:c r="N427" s="71" t="n"/>
      <x:c r="O427" s="71" t="n"/>
      <x:c r="P427" s="71" t="n"/>
      <x:c r="Q427" s="71" t="n"/>
      <x:c r="R427" s="71" t="n"/>
      <x:c r="S427" s="206" t="n"/>
      <x:c r="T427" s="71" t="n"/>
      <x:c r="U427" s="71" t="n"/>
      <x:c r="V427" s="71" t="n"/>
      <x:c r="W427" s="71" t="n"/>
      <x:c r="X427" s="71" t="n"/>
      <x:c r="Y427" s="71" t="n"/>
      <x:c r="Z427" s="71" t="n"/>
      <x:c r="AA427" s="71" t="n"/>
      <x:c r="AB427" s="71" t="inlineStr">
        <x:is>
          <x:t xml:space="preserve">NO</x:t>
        </x:is>
      </x:c>
      <x:c r="AC427" s="57" t="inlineStr">
        <x:is>
          <x:t xml:space="preserve">V10</x:t>
        </x:is>
      </x:c>
      <x:c r="AD427" s="57" t="n"/>
      <x:c r="AE427" s="79" t="str">
        <x:f>IF(AND(I427&lt;&gt;"",J427&lt;&gt;"",K427&lt;&gt;"",L427="YES",M427&lt;&gt;"",S427&lt;&gt;"",T427&lt;&gt;"",U427&lt;&gt;"",V427&lt;&gt;"",W427&lt;&gt;"",X427&lt;&gt;"",Y427&lt;&gt;""),"COMPLETE","PENDING")</x:f>
        <x:v>PENDING</x:v>
      </x:c>
      <x:c r="AF427" s="79" t="str">
        <x:f>IF(AE427="COMPLETE","YES","NO")</x:f>
        <x:v>NO</x:v>
      </x:c>
      <x:c r="AG427" s="214" t="str">
        <x:f>IF(AF427&lt;&gt;"YES","",(IF(V427="YES",1,0)+IF(W427="YES",1,0))/2)</x:f>
      </x:c>
    </x:row>
    <x:row r="428">
      <x:c r="A428" s="57" t="inlineStr">
        <x:is>
          <x:t xml:space="preserve">C0423</x:t>
        </x:is>
      </x:c>
      <x:c r="B428" s="57" t="inlineStr">
        <x:is>
          <x:t xml:space="preserve">Development</x:t>
        </x:is>
      </x:c>
      <x:c r="C428" s="57" t="inlineStr">
        <x:is>
          <x:t xml:space="preserve">OPEN</x:t>
        </x:is>
      </x:c>
      <x:c r="D428" s="57" t="inlineStr">
        <x:is>
          <x:t xml:space="preserve">ARG-043</x:t>
        </x:is>
      </x:c>
      <x:c r="E428" s="75" t="str">
        <x:f>INDEX('Company Universe'!$B$6:$B$105,MATCH(D428,'Company Universe'!$A$6:$A$105,0))</x:f>
        <x:v>Microsoft</x:v>
      </x:c>
      <x:c r="F428" s="75" t="str">
        <x:f>INDEX('Company Universe'!$C$6:$C$105,MATCH(D428,'Company Universe'!$A$6:$A$105,0))</x:f>
        <x:v>MSFT</x:v>
      </x:c>
      <x:c r="G428" s="75" t="str">
        <x:f>INDEX('Company Universe'!$F$6:$F$105,MATCH(D428,'Company Universe'!$A$6:$A$105,0))</x:f>
        <x:v>Software &amp; Payments</x:v>
      </x:c>
      <x:c r="H428" s="57" t="n">
        <x:v>3</x:v>
      </x:c>
      <x:c r="I428" s="206" t="n"/>
      <x:c r="J428" s="71" t="n"/>
      <x:c r="K428" s="71" t="n"/>
      <x:c r="L428" s="71" t="inlineStr">
        <x:is>
          <x:t xml:space="preserve">NO</x:t>
        </x:is>
      </x:c>
      <x:c r="M428" s="71" t="n"/>
      <x:c r="N428" s="71" t="n"/>
      <x:c r="O428" s="71" t="n"/>
      <x:c r="P428" s="71" t="n"/>
      <x:c r="Q428" s="71" t="n"/>
      <x:c r="R428" s="71" t="n"/>
      <x:c r="S428" s="206" t="n"/>
      <x:c r="T428" s="71" t="n"/>
      <x:c r="U428" s="71" t="n"/>
      <x:c r="V428" s="71" t="n"/>
      <x:c r="W428" s="71" t="n"/>
      <x:c r="X428" s="71" t="n"/>
      <x:c r="Y428" s="71" t="n"/>
      <x:c r="Z428" s="71" t="n"/>
      <x:c r="AA428" s="71" t="n"/>
      <x:c r="AB428" s="71" t="inlineStr">
        <x:is>
          <x:t xml:space="preserve">NO</x:t>
        </x:is>
      </x:c>
      <x:c r="AC428" s="57" t="inlineStr">
        <x:is>
          <x:t xml:space="preserve">V10</x:t>
        </x:is>
      </x:c>
      <x:c r="AD428" s="57" t="n"/>
      <x:c r="AE428" s="79" t="str">
        <x:f>IF(AND(I428&lt;&gt;"",J428&lt;&gt;"",K428&lt;&gt;"",L428="YES",M428&lt;&gt;"",S428&lt;&gt;"",T428&lt;&gt;"",U428&lt;&gt;"",V428&lt;&gt;"",W428&lt;&gt;"",X428&lt;&gt;"",Y428&lt;&gt;""),"COMPLETE","PENDING")</x:f>
        <x:v>PENDING</x:v>
      </x:c>
      <x:c r="AF428" s="79" t="str">
        <x:f>IF(AE428="COMPLETE","YES","NO")</x:f>
        <x:v>NO</x:v>
      </x:c>
      <x:c r="AG428" s="214" t="str">
        <x:f>IF(AF428&lt;&gt;"YES","",(IF(V428="YES",1,0)+IF(W428="YES",1,0))/2)</x:f>
      </x:c>
    </x:row>
    <x:row r="429">
      <x:c r="A429" s="57" t="inlineStr">
        <x:is>
          <x:t xml:space="preserve">C0424</x:t>
        </x:is>
      </x:c>
      <x:c r="B429" s="57" t="inlineStr">
        <x:is>
          <x:t xml:space="preserve">Development</x:t>
        </x:is>
      </x:c>
      <x:c r="C429" s="57" t="inlineStr">
        <x:is>
          <x:t xml:space="preserve">OPEN</x:t>
        </x:is>
      </x:c>
      <x:c r="D429" s="57" t="inlineStr">
        <x:is>
          <x:t xml:space="preserve">ARG-043</x:t>
        </x:is>
      </x:c>
      <x:c r="E429" s="75" t="str">
        <x:f>INDEX('Company Universe'!$B$6:$B$105,MATCH(D429,'Company Universe'!$A$6:$A$105,0))</x:f>
        <x:v>Microsoft</x:v>
      </x:c>
      <x:c r="F429" s="75" t="str">
        <x:f>INDEX('Company Universe'!$C$6:$C$105,MATCH(D429,'Company Universe'!$A$6:$A$105,0))</x:f>
        <x:v>MSFT</x:v>
      </x:c>
      <x:c r="G429" s="75" t="str">
        <x:f>INDEX('Company Universe'!$F$6:$F$105,MATCH(D429,'Company Universe'!$A$6:$A$105,0))</x:f>
        <x:v>Software &amp; Payments</x:v>
      </x:c>
      <x:c r="H429" s="57" t="n">
        <x:v>4</x:v>
      </x:c>
      <x:c r="I429" s="206" t="n"/>
      <x:c r="J429" s="71" t="n"/>
      <x:c r="K429" s="71" t="n"/>
      <x:c r="L429" s="71" t="inlineStr">
        <x:is>
          <x:t xml:space="preserve">NO</x:t>
        </x:is>
      </x:c>
      <x:c r="M429" s="71" t="n"/>
      <x:c r="N429" s="71" t="n"/>
      <x:c r="O429" s="71" t="n"/>
      <x:c r="P429" s="71" t="n"/>
      <x:c r="Q429" s="71" t="n"/>
      <x:c r="R429" s="71" t="n"/>
      <x:c r="S429" s="206" t="n"/>
      <x:c r="T429" s="71" t="n"/>
      <x:c r="U429" s="71" t="n"/>
      <x:c r="V429" s="71" t="n"/>
      <x:c r="W429" s="71" t="n"/>
      <x:c r="X429" s="71" t="n"/>
      <x:c r="Y429" s="71" t="n"/>
      <x:c r="Z429" s="71" t="n"/>
      <x:c r="AA429" s="71" t="n"/>
      <x:c r="AB429" s="71" t="inlineStr">
        <x:is>
          <x:t xml:space="preserve">NO</x:t>
        </x:is>
      </x:c>
      <x:c r="AC429" s="57" t="inlineStr">
        <x:is>
          <x:t xml:space="preserve">V10</x:t>
        </x:is>
      </x:c>
      <x:c r="AD429" s="57" t="n"/>
      <x:c r="AE429" s="79" t="str">
        <x:f>IF(AND(I429&lt;&gt;"",J429&lt;&gt;"",K429&lt;&gt;"",L429="YES",M429&lt;&gt;"",S429&lt;&gt;"",T429&lt;&gt;"",U429&lt;&gt;"",V429&lt;&gt;"",W429&lt;&gt;"",X429&lt;&gt;"",Y429&lt;&gt;""),"COMPLETE","PENDING")</x:f>
        <x:v>PENDING</x:v>
      </x:c>
      <x:c r="AF429" s="79" t="str">
        <x:f>IF(AE429="COMPLETE","YES","NO")</x:f>
        <x:v>NO</x:v>
      </x:c>
      <x:c r="AG429" s="214" t="str">
        <x:f>IF(AF429&lt;&gt;"YES","",(IF(V429="YES",1,0)+IF(W429="YES",1,0))/2)</x:f>
      </x:c>
    </x:row>
    <x:row r="430">
      <x:c r="A430" s="57" t="inlineStr">
        <x:is>
          <x:t xml:space="preserve">C0425</x:t>
        </x:is>
      </x:c>
      <x:c r="B430" s="57" t="inlineStr">
        <x:is>
          <x:t xml:space="preserve">Development</x:t>
        </x:is>
      </x:c>
      <x:c r="C430" s="57" t="inlineStr">
        <x:is>
          <x:t xml:space="preserve">OPEN</x:t>
        </x:is>
      </x:c>
      <x:c r="D430" s="57" t="inlineStr">
        <x:is>
          <x:t xml:space="preserve">ARG-043</x:t>
        </x:is>
      </x:c>
      <x:c r="E430" s="75" t="str">
        <x:f>INDEX('Company Universe'!$B$6:$B$105,MATCH(D430,'Company Universe'!$A$6:$A$105,0))</x:f>
        <x:v>Microsoft</x:v>
      </x:c>
      <x:c r="F430" s="75" t="str">
        <x:f>INDEX('Company Universe'!$C$6:$C$105,MATCH(D430,'Company Universe'!$A$6:$A$105,0))</x:f>
        <x:v>MSFT</x:v>
      </x:c>
      <x:c r="G430" s="75" t="str">
        <x:f>INDEX('Company Universe'!$F$6:$F$105,MATCH(D430,'Company Universe'!$A$6:$A$105,0))</x:f>
        <x:v>Software &amp; Payments</x:v>
      </x:c>
      <x:c r="H430" s="57" t="n">
        <x:v>5</x:v>
      </x:c>
      <x:c r="I430" s="206" t="n"/>
      <x:c r="J430" s="71" t="n"/>
      <x:c r="K430" s="71" t="n"/>
      <x:c r="L430" s="71" t="inlineStr">
        <x:is>
          <x:t xml:space="preserve">NO</x:t>
        </x:is>
      </x:c>
      <x:c r="M430" s="71" t="n"/>
      <x:c r="N430" s="71" t="n"/>
      <x:c r="O430" s="71" t="n"/>
      <x:c r="P430" s="71" t="n"/>
      <x:c r="Q430" s="71" t="n"/>
      <x:c r="R430" s="71" t="n"/>
      <x:c r="S430" s="206" t="n"/>
      <x:c r="T430" s="71" t="n"/>
      <x:c r="U430" s="71" t="n"/>
      <x:c r="V430" s="71" t="n"/>
      <x:c r="W430" s="71" t="n"/>
      <x:c r="X430" s="71" t="n"/>
      <x:c r="Y430" s="71" t="n"/>
      <x:c r="Z430" s="71" t="n"/>
      <x:c r="AA430" s="71" t="n"/>
      <x:c r="AB430" s="71" t="inlineStr">
        <x:is>
          <x:t xml:space="preserve">NO</x:t>
        </x:is>
      </x:c>
      <x:c r="AC430" s="57" t="inlineStr">
        <x:is>
          <x:t xml:space="preserve">V10</x:t>
        </x:is>
      </x:c>
      <x:c r="AD430" s="57" t="n"/>
      <x:c r="AE430" s="79" t="str">
        <x:f>IF(AND(I430&lt;&gt;"",J430&lt;&gt;"",K430&lt;&gt;"",L430="YES",M430&lt;&gt;"",S430&lt;&gt;"",T430&lt;&gt;"",U430&lt;&gt;"",V430&lt;&gt;"",W430&lt;&gt;"",X430&lt;&gt;"",Y430&lt;&gt;""),"COMPLETE","PENDING")</x:f>
        <x:v>PENDING</x:v>
      </x:c>
      <x:c r="AF430" s="79" t="str">
        <x:f>IF(AE430="COMPLETE","YES","NO")</x:f>
        <x:v>NO</x:v>
      </x:c>
      <x:c r="AG430" s="214" t="str">
        <x:f>IF(AF430&lt;&gt;"YES","",(IF(V430="YES",1,0)+IF(W430="YES",1,0))/2)</x:f>
      </x:c>
    </x:row>
    <x:row r="431">
      <x:c r="A431" s="57" t="inlineStr">
        <x:is>
          <x:t xml:space="preserve">C0426</x:t>
        </x:is>
      </x:c>
      <x:c r="B431" s="57" t="inlineStr">
        <x:is>
          <x:t xml:space="preserve">Development</x:t>
        </x:is>
      </x:c>
      <x:c r="C431" s="57" t="inlineStr">
        <x:is>
          <x:t xml:space="preserve">OPEN</x:t>
        </x:is>
      </x:c>
      <x:c r="D431" s="57" t="inlineStr">
        <x:is>
          <x:t xml:space="preserve">ARG-043</x:t>
        </x:is>
      </x:c>
      <x:c r="E431" s="75" t="str">
        <x:f>INDEX('Company Universe'!$B$6:$B$105,MATCH(D431,'Company Universe'!$A$6:$A$105,0))</x:f>
        <x:v>Microsoft</x:v>
      </x:c>
      <x:c r="F431" s="75" t="str">
        <x:f>INDEX('Company Universe'!$C$6:$C$105,MATCH(D431,'Company Universe'!$A$6:$A$105,0))</x:f>
        <x:v>MSFT</x:v>
      </x:c>
      <x:c r="G431" s="75" t="str">
        <x:f>INDEX('Company Universe'!$F$6:$F$105,MATCH(D431,'Company Universe'!$A$6:$A$105,0))</x:f>
        <x:v>Software &amp; Payments</x:v>
      </x:c>
      <x:c r="H431" s="57" t="n">
        <x:v>6</x:v>
      </x:c>
      <x:c r="I431" s="206" t="n"/>
      <x:c r="J431" s="71" t="n"/>
      <x:c r="K431" s="71" t="n"/>
      <x:c r="L431" s="71" t="inlineStr">
        <x:is>
          <x:t xml:space="preserve">NO</x:t>
        </x:is>
      </x:c>
      <x:c r="M431" s="71" t="n"/>
      <x:c r="N431" s="71" t="n"/>
      <x:c r="O431" s="71" t="n"/>
      <x:c r="P431" s="71" t="n"/>
      <x:c r="Q431" s="71" t="n"/>
      <x:c r="R431" s="71" t="n"/>
      <x:c r="S431" s="206" t="n"/>
      <x:c r="T431" s="71" t="n"/>
      <x:c r="U431" s="71" t="n"/>
      <x:c r="V431" s="71" t="n"/>
      <x:c r="W431" s="71" t="n"/>
      <x:c r="X431" s="71" t="n"/>
      <x:c r="Y431" s="71" t="n"/>
      <x:c r="Z431" s="71" t="n"/>
      <x:c r="AA431" s="71" t="n"/>
      <x:c r="AB431" s="71" t="inlineStr">
        <x:is>
          <x:t xml:space="preserve">NO</x:t>
        </x:is>
      </x:c>
      <x:c r="AC431" s="57" t="inlineStr">
        <x:is>
          <x:t xml:space="preserve">V10</x:t>
        </x:is>
      </x:c>
      <x:c r="AD431" s="57" t="n"/>
      <x:c r="AE431" s="79" t="str">
        <x:f>IF(AND(I431&lt;&gt;"",J431&lt;&gt;"",K431&lt;&gt;"",L431="YES",M431&lt;&gt;"",S431&lt;&gt;"",T431&lt;&gt;"",U431&lt;&gt;"",V431&lt;&gt;"",W431&lt;&gt;"",X431&lt;&gt;"",Y431&lt;&gt;""),"COMPLETE","PENDING")</x:f>
        <x:v>PENDING</x:v>
      </x:c>
      <x:c r="AF431" s="79" t="str">
        <x:f>IF(AE431="COMPLETE","YES","NO")</x:f>
        <x:v>NO</x:v>
      </x:c>
      <x:c r="AG431" s="214" t="str">
        <x:f>IF(AF431&lt;&gt;"YES","",(IF(V431="YES",1,0)+IF(W431="YES",1,0))/2)</x:f>
      </x:c>
    </x:row>
    <x:row r="432">
      <x:c r="A432" s="57" t="inlineStr">
        <x:is>
          <x:t xml:space="preserve">C0427</x:t>
        </x:is>
      </x:c>
      <x:c r="B432" s="57" t="inlineStr">
        <x:is>
          <x:t xml:space="preserve">Development</x:t>
        </x:is>
      </x:c>
      <x:c r="C432" s="57" t="inlineStr">
        <x:is>
          <x:t xml:space="preserve">OPEN</x:t>
        </x:is>
      </x:c>
      <x:c r="D432" s="57" t="inlineStr">
        <x:is>
          <x:t xml:space="preserve">ARG-043</x:t>
        </x:is>
      </x:c>
      <x:c r="E432" s="75" t="str">
        <x:f>INDEX('Company Universe'!$B$6:$B$105,MATCH(D432,'Company Universe'!$A$6:$A$105,0))</x:f>
        <x:v>Microsoft</x:v>
      </x:c>
      <x:c r="F432" s="75" t="str">
        <x:f>INDEX('Company Universe'!$C$6:$C$105,MATCH(D432,'Company Universe'!$A$6:$A$105,0))</x:f>
        <x:v>MSFT</x:v>
      </x:c>
      <x:c r="G432" s="75" t="str">
        <x:f>INDEX('Company Universe'!$F$6:$F$105,MATCH(D432,'Company Universe'!$A$6:$A$105,0))</x:f>
        <x:v>Software &amp; Payments</x:v>
      </x:c>
      <x:c r="H432" s="57" t="n">
        <x:v>7</x:v>
      </x:c>
      <x:c r="I432" s="206" t="n"/>
      <x:c r="J432" s="71" t="n"/>
      <x:c r="K432" s="71" t="n"/>
      <x:c r="L432" s="71" t="inlineStr">
        <x:is>
          <x:t xml:space="preserve">NO</x:t>
        </x:is>
      </x:c>
      <x:c r="M432" s="71" t="n"/>
      <x:c r="N432" s="71" t="n"/>
      <x:c r="O432" s="71" t="n"/>
      <x:c r="P432" s="71" t="n"/>
      <x:c r="Q432" s="71" t="n"/>
      <x:c r="R432" s="71" t="n"/>
      <x:c r="S432" s="206" t="n"/>
      <x:c r="T432" s="71" t="n"/>
      <x:c r="U432" s="71" t="n"/>
      <x:c r="V432" s="71" t="n"/>
      <x:c r="W432" s="71" t="n"/>
      <x:c r="X432" s="71" t="n"/>
      <x:c r="Y432" s="71" t="n"/>
      <x:c r="Z432" s="71" t="n"/>
      <x:c r="AA432" s="71" t="n"/>
      <x:c r="AB432" s="71" t="inlineStr">
        <x:is>
          <x:t xml:space="preserve">NO</x:t>
        </x:is>
      </x:c>
      <x:c r="AC432" s="57" t="inlineStr">
        <x:is>
          <x:t xml:space="preserve">V10</x:t>
        </x:is>
      </x:c>
      <x:c r="AD432" s="57" t="n"/>
      <x:c r="AE432" s="79" t="str">
        <x:f>IF(AND(I432&lt;&gt;"",J432&lt;&gt;"",K432&lt;&gt;"",L432="YES",M432&lt;&gt;"",S432&lt;&gt;"",T432&lt;&gt;"",U432&lt;&gt;"",V432&lt;&gt;"",W432&lt;&gt;"",X432&lt;&gt;"",Y432&lt;&gt;""),"COMPLETE","PENDING")</x:f>
        <x:v>PENDING</x:v>
      </x:c>
      <x:c r="AF432" s="79" t="str">
        <x:f>IF(AE432="COMPLETE","YES","NO")</x:f>
        <x:v>NO</x:v>
      </x:c>
      <x:c r="AG432" s="214" t="str">
        <x:f>IF(AF432&lt;&gt;"YES","",(IF(V432="YES",1,0)+IF(W432="YES",1,0))/2)</x:f>
      </x:c>
    </x:row>
    <x:row r="433">
      <x:c r="A433" s="57" t="inlineStr">
        <x:is>
          <x:t xml:space="preserve">C0428</x:t>
        </x:is>
      </x:c>
      <x:c r="B433" s="57" t="inlineStr">
        <x:is>
          <x:t xml:space="preserve">Development</x:t>
        </x:is>
      </x:c>
      <x:c r="C433" s="57" t="inlineStr">
        <x:is>
          <x:t xml:space="preserve">OPEN</x:t>
        </x:is>
      </x:c>
      <x:c r="D433" s="57" t="inlineStr">
        <x:is>
          <x:t xml:space="preserve">ARG-043</x:t>
        </x:is>
      </x:c>
      <x:c r="E433" s="75" t="str">
        <x:f>INDEX('Company Universe'!$B$6:$B$105,MATCH(D433,'Company Universe'!$A$6:$A$105,0))</x:f>
        <x:v>Microsoft</x:v>
      </x:c>
      <x:c r="F433" s="75" t="str">
        <x:f>INDEX('Company Universe'!$C$6:$C$105,MATCH(D433,'Company Universe'!$A$6:$A$105,0))</x:f>
        <x:v>MSFT</x:v>
      </x:c>
      <x:c r="G433" s="75" t="str">
        <x:f>INDEX('Company Universe'!$F$6:$F$105,MATCH(D433,'Company Universe'!$A$6:$A$105,0))</x:f>
        <x:v>Software &amp; Payments</x:v>
      </x:c>
      <x:c r="H433" s="57" t="n">
        <x:v>8</x:v>
      </x:c>
      <x:c r="I433" s="206" t="n"/>
      <x:c r="J433" s="71" t="n"/>
      <x:c r="K433" s="71" t="n"/>
      <x:c r="L433" s="71" t="inlineStr">
        <x:is>
          <x:t xml:space="preserve">NO</x:t>
        </x:is>
      </x:c>
      <x:c r="M433" s="71" t="n"/>
      <x:c r="N433" s="71" t="n"/>
      <x:c r="O433" s="71" t="n"/>
      <x:c r="P433" s="71" t="n"/>
      <x:c r="Q433" s="71" t="n"/>
      <x:c r="R433" s="71" t="n"/>
      <x:c r="S433" s="206" t="n"/>
      <x:c r="T433" s="71" t="n"/>
      <x:c r="U433" s="71" t="n"/>
      <x:c r="V433" s="71" t="n"/>
      <x:c r="W433" s="71" t="n"/>
      <x:c r="X433" s="71" t="n"/>
      <x:c r="Y433" s="71" t="n"/>
      <x:c r="Z433" s="71" t="n"/>
      <x:c r="AA433" s="71" t="n"/>
      <x:c r="AB433" s="71" t="inlineStr">
        <x:is>
          <x:t xml:space="preserve">NO</x:t>
        </x:is>
      </x:c>
      <x:c r="AC433" s="57" t="inlineStr">
        <x:is>
          <x:t xml:space="preserve">V10</x:t>
        </x:is>
      </x:c>
      <x:c r="AD433" s="57" t="n"/>
      <x:c r="AE433" s="79" t="str">
        <x:f>IF(AND(I433&lt;&gt;"",J433&lt;&gt;"",K433&lt;&gt;"",L433="YES",M433&lt;&gt;"",S433&lt;&gt;"",T433&lt;&gt;"",U433&lt;&gt;"",V433&lt;&gt;"",W433&lt;&gt;"",X433&lt;&gt;"",Y433&lt;&gt;""),"COMPLETE","PENDING")</x:f>
        <x:v>PENDING</x:v>
      </x:c>
      <x:c r="AF433" s="79" t="str">
        <x:f>IF(AE433="COMPLETE","YES","NO")</x:f>
        <x:v>NO</x:v>
      </x:c>
      <x:c r="AG433" s="214" t="str">
        <x:f>IF(AF433&lt;&gt;"YES","",(IF(V433="YES",1,0)+IF(W433="YES",1,0))/2)</x:f>
      </x:c>
    </x:row>
    <x:row r="434">
      <x:c r="A434" s="57" t="inlineStr">
        <x:is>
          <x:t xml:space="preserve">C0429</x:t>
        </x:is>
      </x:c>
      <x:c r="B434" s="57" t="inlineStr">
        <x:is>
          <x:t xml:space="preserve">Development</x:t>
        </x:is>
      </x:c>
      <x:c r="C434" s="57" t="inlineStr">
        <x:is>
          <x:t xml:space="preserve">OPEN</x:t>
        </x:is>
      </x:c>
      <x:c r="D434" s="57" t="inlineStr">
        <x:is>
          <x:t xml:space="preserve">ARG-043</x:t>
        </x:is>
      </x:c>
      <x:c r="E434" s="75" t="str">
        <x:f>INDEX('Company Universe'!$B$6:$B$105,MATCH(D434,'Company Universe'!$A$6:$A$105,0))</x:f>
        <x:v>Microsoft</x:v>
      </x:c>
      <x:c r="F434" s="75" t="str">
        <x:f>INDEX('Company Universe'!$C$6:$C$105,MATCH(D434,'Company Universe'!$A$6:$A$105,0))</x:f>
        <x:v>MSFT</x:v>
      </x:c>
      <x:c r="G434" s="75" t="str">
        <x:f>INDEX('Company Universe'!$F$6:$F$105,MATCH(D434,'Company Universe'!$A$6:$A$105,0))</x:f>
        <x:v>Software &amp; Payments</x:v>
      </x:c>
      <x:c r="H434" s="57" t="n">
        <x:v>9</x:v>
      </x:c>
      <x:c r="I434" s="206" t="n"/>
      <x:c r="J434" s="71" t="n"/>
      <x:c r="K434" s="71" t="n"/>
      <x:c r="L434" s="71" t="inlineStr">
        <x:is>
          <x:t xml:space="preserve">NO</x:t>
        </x:is>
      </x:c>
      <x:c r="M434" s="71" t="n"/>
      <x:c r="N434" s="71" t="n"/>
      <x:c r="O434" s="71" t="n"/>
      <x:c r="P434" s="71" t="n"/>
      <x:c r="Q434" s="71" t="n"/>
      <x:c r="R434" s="71" t="n"/>
      <x:c r="S434" s="206" t="n"/>
      <x:c r="T434" s="71" t="n"/>
      <x:c r="U434" s="71" t="n"/>
      <x:c r="V434" s="71" t="n"/>
      <x:c r="W434" s="71" t="n"/>
      <x:c r="X434" s="71" t="n"/>
      <x:c r="Y434" s="71" t="n"/>
      <x:c r="Z434" s="71" t="n"/>
      <x:c r="AA434" s="71" t="n"/>
      <x:c r="AB434" s="71" t="inlineStr">
        <x:is>
          <x:t xml:space="preserve">NO</x:t>
        </x:is>
      </x:c>
      <x:c r="AC434" s="57" t="inlineStr">
        <x:is>
          <x:t xml:space="preserve">V10</x:t>
        </x:is>
      </x:c>
      <x:c r="AD434" s="57" t="n"/>
      <x:c r="AE434" s="79" t="str">
        <x:f>IF(AND(I434&lt;&gt;"",J434&lt;&gt;"",K434&lt;&gt;"",L434="YES",M434&lt;&gt;"",S434&lt;&gt;"",T434&lt;&gt;"",U434&lt;&gt;"",V434&lt;&gt;"",W434&lt;&gt;"",X434&lt;&gt;"",Y434&lt;&gt;""),"COMPLETE","PENDING")</x:f>
        <x:v>PENDING</x:v>
      </x:c>
      <x:c r="AF434" s="79" t="str">
        <x:f>IF(AE434="COMPLETE","YES","NO")</x:f>
        <x:v>NO</x:v>
      </x:c>
      <x:c r="AG434" s="214" t="str">
        <x:f>IF(AF434&lt;&gt;"YES","",(IF(V434="YES",1,0)+IF(W434="YES",1,0))/2)</x:f>
      </x:c>
    </x:row>
    <x:row r="435">
      <x:c r="A435" s="57" t="inlineStr">
        <x:is>
          <x:t xml:space="preserve">C0430</x:t>
        </x:is>
      </x:c>
      <x:c r="B435" s="57" t="inlineStr">
        <x:is>
          <x:t xml:space="preserve">Development</x:t>
        </x:is>
      </x:c>
      <x:c r="C435" s="57" t="inlineStr">
        <x:is>
          <x:t xml:space="preserve">OPEN</x:t>
        </x:is>
      </x:c>
      <x:c r="D435" s="57" t="inlineStr">
        <x:is>
          <x:t xml:space="preserve">ARG-043</x:t>
        </x:is>
      </x:c>
      <x:c r="E435" s="75" t="str">
        <x:f>INDEX('Company Universe'!$B$6:$B$105,MATCH(D435,'Company Universe'!$A$6:$A$105,0))</x:f>
        <x:v>Microsoft</x:v>
      </x:c>
      <x:c r="F435" s="75" t="str">
        <x:f>INDEX('Company Universe'!$C$6:$C$105,MATCH(D435,'Company Universe'!$A$6:$A$105,0))</x:f>
        <x:v>MSFT</x:v>
      </x:c>
      <x:c r="G435" s="75" t="str">
        <x:f>INDEX('Company Universe'!$F$6:$F$105,MATCH(D435,'Company Universe'!$A$6:$A$105,0))</x:f>
        <x:v>Software &amp; Payments</x:v>
      </x:c>
      <x:c r="H435" s="57" t="n">
        <x:v>10</x:v>
      </x:c>
      <x:c r="I435" s="206" t="n"/>
      <x:c r="J435" s="71" t="n"/>
      <x:c r="K435" s="71" t="n"/>
      <x:c r="L435" s="71" t="inlineStr">
        <x:is>
          <x:t xml:space="preserve">NO</x:t>
        </x:is>
      </x:c>
      <x:c r="M435" s="71" t="n"/>
      <x:c r="N435" s="71" t="n"/>
      <x:c r="O435" s="71" t="n"/>
      <x:c r="P435" s="71" t="n"/>
      <x:c r="Q435" s="71" t="n"/>
      <x:c r="R435" s="71" t="n"/>
      <x:c r="S435" s="206" t="n"/>
      <x:c r="T435" s="71" t="n"/>
      <x:c r="U435" s="71" t="n"/>
      <x:c r="V435" s="71" t="n"/>
      <x:c r="W435" s="71" t="n"/>
      <x:c r="X435" s="71" t="n"/>
      <x:c r="Y435" s="71" t="n"/>
      <x:c r="Z435" s="71" t="n"/>
      <x:c r="AA435" s="71" t="n"/>
      <x:c r="AB435" s="71" t="inlineStr">
        <x:is>
          <x:t xml:space="preserve">NO</x:t>
        </x:is>
      </x:c>
      <x:c r="AC435" s="57" t="inlineStr">
        <x:is>
          <x:t xml:space="preserve">V10</x:t>
        </x:is>
      </x:c>
      <x:c r="AD435" s="57" t="n"/>
      <x:c r="AE435" s="79" t="str">
        <x:f>IF(AND(I435&lt;&gt;"",J435&lt;&gt;"",K435&lt;&gt;"",L435="YES",M435&lt;&gt;"",S435&lt;&gt;"",T435&lt;&gt;"",U435&lt;&gt;"",V435&lt;&gt;"",W435&lt;&gt;"",X435&lt;&gt;"",Y435&lt;&gt;""),"COMPLETE","PENDING")</x:f>
        <x:v>PENDING</x:v>
      </x:c>
      <x:c r="AF435" s="79" t="str">
        <x:f>IF(AE435="COMPLETE","YES","NO")</x:f>
        <x:v>NO</x:v>
      </x:c>
      <x:c r="AG435" s="214" t="str">
        <x:f>IF(AF435&lt;&gt;"YES","",(IF(V435="YES",1,0)+IF(W435="YES",1,0))/2)</x:f>
      </x:c>
    </x:row>
    <x:row r="436">
      <x:c r="A436" s="57" t="inlineStr">
        <x:is>
          <x:t xml:space="preserve">C0431</x:t>
        </x:is>
      </x:c>
      <x:c r="B436" s="57" t="inlineStr">
        <x:is>
          <x:t xml:space="preserve">Development</x:t>
        </x:is>
      </x:c>
      <x:c r="C436" s="57" t="inlineStr">
        <x:is>
          <x:t xml:space="preserve">OPEN</x:t>
        </x:is>
      </x:c>
      <x:c r="D436" s="57" t="inlineStr">
        <x:is>
          <x:t xml:space="preserve">ARG-044</x:t>
        </x:is>
      </x:c>
      <x:c r="E436" s="75" t="str">
        <x:f>INDEX('Company Universe'!$B$6:$B$105,MATCH(D436,'Company Universe'!$A$6:$A$105,0))</x:f>
        <x:v>Alphabet</x:v>
      </x:c>
      <x:c r="F436" s="75" t="str">
        <x:f>INDEX('Company Universe'!$C$6:$C$105,MATCH(D436,'Company Universe'!$A$6:$A$105,0))</x:f>
        <x:v>GOOGL</x:v>
      </x:c>
      <x:c r="G436" s="75" t="str">
        <x:f>INDEX('Company Universe'!$F$6:$F$105,MATCH(D436,'Company Universe'!$A$6:$A$105,0))</x:f>
        <x:v>Media &amp; Internet</x:v>
      </x:c>
      <x:c r="H436" s="57" t="n">
        <x:v>1</x:v>
      </x:c>
      <x:c r="I436" s="206" t="n"/>
      <x:c r="J436" s="71" t="n"/>
      <x:c r="K436" s="71" t="n"/>
      <x:c r="L436" s="71" t="inlineStr">
        <x:is>
          <x:t xml:space="preserve">NO</x:t>
        </x:is>
      </x:c>
      <x:c r="M436" s="71" t="n"/>
      <x:c r="N436" s="71" t="n"/>
      <x:c r="O436" s="71" t="n"/>
      <x:c r="P436" s="71" t="n"/>
      <x:c r="Q436" s="71" t="n"/>
      <x:c r="R436" s="71" t="n"/>
      <x:c r="S436" s="206" t="n"/>
      <x:c r="T436" s="71" t="n"/>
      <x:c r="U436" s="71" t="n"/>
      <x:c r="V436" s="71" t="n"/>
      <x:c r="W436" s="71" t="n"/>
      <x:c r="X436" s="71" t="n"/>
      <x:c r="Y436" s="71" t="n"/>
      <x:c r="Z436" s="71" t="n"/>
      <x:c r="AA436" s="71" t="n"/>
      <x:c r="AB436" s="71" t="inlineStr">
        <x:is>
          <x:t xml:space="preserve">NO</x:t>
        </x:is>
      </x:c>
      <x:c r="AC436" s="57" t="inlineStr">
        <x:is>
          <x:t xml:space="preserve">V10</x:t>
        </x:is>
      </x:c>
      <x:c r="AD436" s="57" t="n"/>
      <x:c r="AE436" s="79" t="str">
        <x:f>IF(AND(I436&lt;&gt;"",J436&lt;&gt;"",K436&lt;&gt;"",L436="YES",M436&lt;&gt;"",S436&lt;&gt;"",T436&lt;&gt;"",U436&lt;&gt;"",V436&lt;&gt;"",W436&lt;&gt;"",X436&lt;&gt;"",Y436&lt;&gt;""),"COMPLETE","PENDING")</x:f>
        <x:v>PENDING</x:v>
      </x:c>
      <x:c r="AF436" s="79" t="str">
        <x:f>IF(AE436="COMPLETE","YES","NO")</x:f>
        <x:v>NO</x:v>
      </x:c>
      <x:c r="AG436" s="214" t="str">
        <x:f>IF(AF436&lt;&gt;"YES","",(IF(V436="YES",1,0)+IF(W436="YES",1,0))/2)</x:f>
      </x:c>
    </x:row>
    <x:row r="437">
      <x:c r="A437" s="57" t="inlineStr">
        <x:is>
          <x:t xml:space="preserve">C0432</x:t>
        </x:is>
      </x:c>
      <x:c r="B437" s="57" t="inlineStr">
        <x:is>
          <x:t xml:space="preserve">Development</x:t>
        </x:is>
      </x:c>
      <x:c r="C437" s="57" t="inlineStr">
        <x:is>
          <x:t xml:space="preserve">OPEN</x:t>
        </x:is>
      </x:c>
      <x:c r="D437" s="57" t="inlineStr">
        <x:is>
          <x:t xml:space="preserve">ARG-044</x:t>
        </x:is>
      </x:c>
      <x:c r="E437" s="75" t="str">
        <x:f>INDEX('Company Universe'!$B$6:$B$105,MATCH(D437,'Company Universe'!$A$6:$A$105,0))</x:f>
        <x:v>Alphabet</x:v>
      </x:c>
      <x:c r="F437" s="75" t="str">
        <x:f>INDEX('Company Universe'!$C$6:$C$105,MATCH(D437,'Company Universe'!$A$6:$A$105,0))</x:f>
        <x:v>GOOGL</x:v>
      </x:c>
      <x:c r="G437" s="75" t="str">
        <x:f>INDEX('Company Universe'!$F$6:$F$105,MATCH(D437,'Company Universe'!$A$6:$A$105,0))</x:f>
        <x:v>Media &amp; Internet</x:v>
      </x:c>
      <x:c r="H437" s="57" t="n">
        <x:v>2</x:v>
      </x:c>
      <x:c r="I437" s="206" t="n"/>
      <x:c r="J437" s="71" t="n"/>
      <x:c r="K437" s="71" t="n"/>
      <x:c r="L437" s="71" t="inlineStr">
        <x:is>
          <x:t xml:space="preserve">NO</x:t>
        </x:is>
      </x:c>
      <x:c r="M437" s="71" t="n"/>
      <x:c r="N437" s="71" t="n"/>
      <x:c r="O437" s="71" t="n"/>
      <x:c r="P437" s="71" t="n"/>
      <x:c r="Q437" s="71" t="n"/>
      <x:c r="R437" s="71" t="n"/>
      <x:c r="S437" s="206" t="n"/>
      <x:c r="T437" s="71" t="n"/>
      <x:c r="U437" s="71" t="n"/>
      <x:c r="V437" s="71" t="n"/>
      <x:c r="W437" s="71" t="n"/>
      <x:c r="X437" s="71" t="n"/>
      <x:c r="Y437" s="71" t="n"/>
      <x:c r="Z437" s="71" t="n"/>
      <x:c r="AA437" s="71" t="n"/>
      <x:c r="AB437" s="71" t="inlineStr">
        <x:is>
          <x:t xml:space="preserve">NO</x:t>
        </x:is>
      </x:c>
      <x:c r="AC437" s="57" t="inlineStr">
        <x:is>
          <x:t xml:space="preserve">V10</x:t>
        </x:is>
      </x:c>
      <x:c r="AD437" s="57" t="n"/>
      <x:c r="AE437" s="79" t="str">
        <x:f>IF(AND(I437&lt;&gt;"",J437&lt;&gt;"",K437&lt;&gt;"",L437="YES",M437&lt;&gt;"",S437&lt;&gt;"",T437&lt;&gt;"",U437&lt;&gt;"",V437&lt;&gt;"",W437&lt;&gt;"",X437&lt;&gt;"",Y437&lt;&gt;""),"COMPLETE","PENDING")</x:f>
        <x:v>PENDING</x:v>
      </x:c>
      <x:c r="AF437" s="79" t="str">
        <x:f>IF(AE437="COMPLETE","YES","NO")</x:f>
        <x:v>NO</x:v>
      </x:c>
      <x:c r="AG437" s="214" t="str">
        <x:f>IF(AF437&lt;&gt;"YES","",(IF(V437="YES",1,0)+IF(W437="YES",1,0))/2)</x:f>
      </x:c>
    </x:row>
    <x:row r="438">
      <x:c r="A438" s="57" t="inlineStr">
        <x:is>
          <x:t xml:space="preserve">C0433</x:t>
        </x:is>
      </x:c>
      <x:c r="B438" s="57" t="inlineStr">
        <x:is>
          <x:t xml:space="preserve">Development</x:t>
        </x:is>
      </x:c>
      <x:c r="C438" s="57" t="inlineStr">
        <x:is>
          <x:t xml:space="preserve">OPEN</x:t>
        </x:is>
      </x:c>
      <x:c r="D438" s="57" t="inlineStr">
        <x:is>
          <x:t xml:space="preserve">ARG-044</x:t>
        </x:is>
      </x:c>
      <x:c r="E438" s="75" t="str">
        <x:f>INDEX('Company Universe'!$B$6:$B$105,MATCH(D438,'Company Universe'!$A$6:$A$105,0))</x:f>
        <x:v>Alphabet</x:v>
      </x:c>
      <x:c r="F438" s="75" t="str">
        <x:f>INDEX('Company Universe'!$C$6:$C$105,MATCH(D438,'Company Universe'!$A$6:$A$105,0))</x:f>
        <x:v>GOOGL</x:v>
      </x:c>
      <x:c r="G438" s="75" t="str">
        <x:f>INDEX('Company Universe'!$F$6:$F$105,MATCH(D438,'Company Universe'!$A$6:$A$105,0))</x:f>
        <x:v>Media &amp; Internet</x:v>
      </x:c>
      <x:c r="H438" s="57" t="n">
        <x:v>3</x:v>
      </x:c>
      <x:c r="I438" s="206" t="n"/>
      <x:c r="J438" s="71" t="n"/>
      <x:c r="K438" s="71" t="n"/>
      <x:c r="L438" s="71" t="inlineStr">
        <x:is>
          <x:t xml:space="preserve">NO</x:t>
        </x:is>
      </x:c>
      <x:c r="M438" s="71" t="n"/>
      <x:c r="N438" s="71" t="n"/>
      <x:c r="O438" s="71" t="n"/>
      <x:c r="P438" s="71" t="n"/>
      <x:c r="Q438" s="71" t="n"/>
      <x:c r="R438" s="71" t="n"/>
      <x:c r="S438" s="206" t="n"/>
      <x:c r="T438" s="71" t="n"/>
      <x:c r="U438" s="71" t="n"/>
      <x:c r="V438" s="71" t="n"/>
      <x:c r="W438" s="71" t="n"/>
      <x:c r="X438" s="71" t="n"/>
      <x:c r="Y438" s="71" t="n"/>
      <x:c r="Z438" s="71" t="n"/>
      <x:c r="AA438" s="71" t="n"/>
      <x:c r="AB438" s="71" t="inlineStr">
        <x:is>
          <x:t xml:space="preserve">NO</x:t>
        </x:is>
      </x:c>
      <x:c r="AC438" s="57" t="inlineStr">
        <x:is>
          <x:t xml:space="preserve">V10</x:t>
        </x:is>
      </x:c>
      <x:c r="AD438" s="57" t="n"/>
      <x:c r="AE438" s="79" t="str">
        <x:f>IF(AND(I438&lt;&gt;"",J438&lt;&gt;"",K438&lt;&gt;"",L438="YES",M438&lt;&gt;"",S438&lt;&gt;"",T438&lt;&gt;"",U438&lt;&gt;"",V438&lt;&gt;"",W438&lt;&gt;"",X438&lt;&gt;"",Y438&lt;&gt;""),"COMPLETE","PENDING")</x:f>
        <x:v>PENDING</x:v>
      </x:c>
      <x:c r="AF438" s="79" t="str">
        <x:f>IF(AE438="COMPLETE","YES","NO")</x:f>
        <x:v>NO</x:v>
      </x:c>
      <x:c r="AG438" s="214" t="str">
        <x:f>IF(AF438&lt;&gt;"YES","",(IF(V438="YES",1,0)+IF(W438="YES",1,0))/2)</x:f>
      </x:c>
    </x:row>
    <x:row r="439">
      <x:c r="A439" s="57" t="inlineStr">
        <x:is>
          <x:t xml:space="preserve">C0434</x:t>
        </x:is>
      </x:c>
      <x:c r="B439" s="57" t="inlineStr">
        <x:is>
          <x:t xml:space="preserve">Development</x:t>
        </x:is>
      </x:c>
      <x:c r="C439" s="57" t="inlineStr">
        <x:is>
          <x:t xml:space="preserve">OPEN</x:t>
        </x:is>
      </x:c>
      <x:c r="D439" s="57" t="inlineStr">
        <x:is>
          <x:t xml:space="preserve">ARG-044</x:t>
        </x:is>
      </x:c>
      <x:c r="E439" s="75" t="str">
        <x:f>INDEX('Company Universe'!$B$6:$B$105,MATCH(D439,'Company Universe'!$A$6:$A$105,0))</x:f>
        <x:v>Alphabet</x:v>
      </x:c>
      <x:c r="F439" s="75" t="str">
        <x:f>INDEX('Company Universe'!$C$6:$C$105,MATCH(D439,'Company Universe'!$A$6:$A$105,0))</x:f>
        <x:v>GOOGL</x:v>
      </x:c>
      <x:c r="G439" s="75" t="str">
        <x:f>INDEX('Company Universe'!$F$6:$F$105,MATCH(D439,'Company Universe'!$A$6:$A$105,0))</x:f>
        <x:v>Media &amp; Internet</x:v>
      </x:c>
      <x:c r="H439" s="57" t="n">
        <x:v>4</x:v>
      </x:c>
      <x:c r="I439" s="206" t="n"/>
      <x:c r="J439" s="71" t="n"/>
      <x:c r="K439" s="71" t="n"/>
      <x:c r="L439" s="71" t="inlineStr">
        <x:is>
          <x:t xml:space="preserve">NO</x:t>
        </x:is>
      </x:c>
      <x:c r="M439" s="71" t="n"/>
      <x:c r="N439" s="71" t="n"/>
      <x:c r="O439" s="71" t="n"/>
      <x:c r="P439" s="71" t="n"/>
      <x:c r="Q439" s="71" t="n"/>
      <x:c r="R439" s="71" t="n"/>
      <x:c r="S439" s="206" t="n"/>
      <x:c r="T439" s="71" t="n"/>
      <x:c r="U439" s="71" t="n"/>
      <x:c r="V439" s="71" t="n"/>
      <x:c r="W439" s="71" t="n"/>
      <x:c r="X439" s="71" t="n"/>
      <x:c r="Y439" s="71" t="n"/>
      <x:c r="Z439" s="71" t="n"/>
      <x:c r="AA439" s="71" t="n"/>
      <x:c r="AB439" s="71" t="inlineStr">
        <x:is>
          <x:t xml:space="preserve">NO</x:t>
        </x:is>
      </x:c>
      <x:c r="AC439" s="57" t="inlineStr">
        <x:is>
          <x:t xml:space="preserve">V10</x:t>
        </x:is>
      </x:c>
      <x:c r="AD439" s="57" t="n"/>
      <x:c r="AE439" s="79" t="str">
        <x:f>IF(AND(I439&lt;&gt;"",J439&lt;&gt;"",K439&lt;&gt;"",L439="YES",M439&lt;&gt;"",S439&lt;&gt;"",T439&lt;&gt;"",U439&lt;&gt;"",V439&lt;&gt;"",W439&lt;&gt;"",X439&lt;&gt;"",Y439&lt;&gt;""),"COMPLETE","PENDING")</x:f>
        <x:v>PENDING</x:v>
      </x:c>
      <x:c r="AF439" s="79" t="str">
        <x:f>IF(AE439="COMPLETE","YES","NO")</x:f>
        <x:v>NO</x:v>
      </x:c>
      <x:c r="AG439" s="214" t="str">
        <x:f>IF(AF439&lt;&gt;"YES","",(IF(V439="YES",1,0)+IF(W439="YES",1,0))/2)</x:f>
      </x:c>
    </x:row>
    <x:row r="440">
      <x:c r="A440" s="57" t="inlineStr">
        <x:is>
          <x:t xml:space="preserve">C0435</x:t>
        </x:is>
      </x:c>
      <x:c r="B440" s="57" t="inlineStr">
        <x:is>
          <x:t xml:space="preserve">Development</x:t>
        </x:is>
      </x:c>
      <x:c r="C440" s="57" t="inlineStr">
        <x:is>
          <x:t xml:space="preserve">OPEN</x:t>
        </x:is>
      </x:c>
      <x:c r="D440" s="57" t="inlineStr">
        <x:is>
          <x:t xml:space="preserve">ARG-044</x:t>
        </x:is>
      </x:c>
      <x:c r="E440" s="75" t="str">
        <x:f>INDEX('Company Universe'!$B$6:$B$105,MATCH(D440,'Company Universe'!$A$6:$A$105,0))</x:f>
        <x:v>Alphabet</x:v>
      </x:c>
      <x:c r="F440" s="75" t="str">
        <x:f>INDEX('Company Universe'!$C$6:$C$105,MATCH(D440,'Company Universe'!$A$6:$A$105,0))</x:f>
        <x:v>GOOGL</x:v>
      </x:c>
      <x:c r="G440" s="75" t="str">
        <x:f>INDEX('Company Universe'!$F$6:$F$105,MATCH(D440,'Company Universe'!$A$6:$A$105,0))</x:f>
        <x:v>Media &amp; Internet</x:v>
      </x:c>
      <x:c r="H440" s="57" t="n">
        <x:v>5</x:v>
      </x:c>
      <x:c r="I440" s="206" t="n"/>
      <x:c r="J440" s="71" t="n"/>
      <x:c r="K440" s="71" t="n"/>
      <x:c r="L440" s="71" t="inlineStr">
        <x:is>
          <x:t xml:space="preserve">NO</x:t>
        </x:is>
      </x:c>
      <x:c r="M440" s="71" t="n"/>
      <x:c r="N440" s="71" t="n"/>
      <x:c r="O440" s="71" t="n"/>
      <x:c r="P440" s="71" t="n"/>
      <x:c r="Q440" s="71" t="n"/>
      <x:c r="R440" s="71" t="n"/>
      <x:c r="S440" s="206" t="n"/>
      <x:c r="T440" s="71" t="n"/>
      <x:c r="U440" s="71" t="n"/>
      <x:c r="V440" s="71" t="n"/>
      <x:c r="W440" s="71" t="n"/>
      <x:c r="X440" s="71" t="n"/>
      <x:c r="Y440" s="71" t="n"/>
      <x:c r="Z440" s="71" t="n"/>
      <x:c r="AA440" s="71" t="n"/>
      <x:c r="AB440" s="71" t="inlineStr">
        <x:is>
          <x:t xml:space="preserve">NO</x:t>
        </x:is>
      </x:c>
      <x:c r="AC440" s="57" t="inlineStr">
        <x:is>
          <x:t xml:space="preserve">V10</x:t>
        </x:is>
      </x:c>
      <x:c r="AD440" s="57" t="n"/>
      <x:c r="AE440" s="79" t="str">
        <x:f>IF(AND(I440&lt;&gt;"",J440&lt;&gt;"",K440&lt;&gt;"",L440="YES",M440&lt;&gt;"",S440&lt;&gt;"",T440&lt;&gt;"",U440&lt;&gt;"",V440&lt;&gt;"",W440&lt;&gt;"",X440&lt;&gt;"",Y440&lt;&gt;""),"COMPLETE","PENDING")</x:f>
        <x:v>PENDING</x:v>
      </x:c>
      <x:c r="AF440" s="79" t="str">
        <x:f>IF(AE440="COMPLETE","YES","NO")</x:f>
        <x:v>NO</x:v>
      </x:c>
      <x:c r="AG440" s="214" t="str">
        <x:f>IF(AF440&lt;&gt;"YES","",(IF(V440="YES",1,0)+IF(W440="YES",1,0))/2)</x:f>
      </x:c>
    </x:row>
    <x:row r="441">
      <x:c r="A441" s="57" t="inlineStr">
        <x:is>
          <x:t xml:space="preserve">C0436</x:t>
        </x:is>
      </x:c>
      <x:c r="B441" s="57" t="inlineStr">
        <x:is>
          <x:t xml:space="preserve">Development</x:t>
        </x:is>
      </x:c>
      <x:c r="C441" s="57" t="inlineStr">
        <x:is>
          <x:t xml:space="preserve">OPEN</x:t>
        </x:is>
      </x:c>
      <x:c r="D441" s="57" t="inlineStr">
        <x:is>
          <x:t xml:space="preserve">ARG-044</x:t>
        </x:is>
      </x:c>
      <x:c r="E441" s="75" t="str">
        <x:f>INDEX('Company Universe'!$B$6:$B$105,MATCH(D441,'Company Universe'!$A$6:$A$105,0))</x:f>
        <x:v>Alphabet</x:v>
      </x:c>
      <x:c r="F441" s="75" t="str">
        <x:f>INDEX('Company Universe'!$C$6:$C$105,MATCH(D441,'Company Universe'!$A$6:$A$105,0))</x:f>
        <x:v>GOOGL</x:v>
      </x:c>
      <x:c r="G441" s="75" t="str">
        <x:f>INDEX('Company Universe'!$F$6:$F$105,MATCH(D441,'Company Universe'!$A$6:$A$105,0))</x:f>
        <x:v>Media &amp; Internet</x:v>
      </x:c>
      <x:c r="H441" s="57" t="n">
        <x:v>6</x:v>
      </x:c>
      <x:c r="I441" s="206" t="n"/>
      <x:c r="J441" s="71" t="n"/>
      <x:c r="K441" s="71" t="n"/>
      <x:c r="L441" s="71" t="inlineStr">
        <x:is>
          <x:t xml:space="preserve">NO</x:t>
        </x:is>
      </x:c>
      <x:c r="M441" s="71" t="n"/>
      <x:c r="N441" s="71" t="n"/>
      <x:c r="O441" s="71" t="n"/>
      <x:c r="P441" s="71" t="n"/>
      <x:c r="Q441" s="71" t="n"/>
      <x:c r="R441" s="71" t="n"/>
      <x:c r="S441" s="206" t="n"/>
      <x:c r="T441" s="71" t="n"/>
      <x:c r="U441" s="71" t="n"/>
      <x:c r="V441" s="71" t="n"/>
      <x:c r="W441" s="71" t="n"/>
      <x:c r="X441" s="71" t="n"/>
      <x:c r="Y441" s="71" t="n"/>
      <x:c r="Z441" s="71" t="n"/>
      <x:c r="AA441" s="71" t="n"/>
      <x:c r="AB441" s="71" t="inlineStr">
        <x:is>
          <x:t xml:space="preserve">NO</x:t>
        </x:is>
      </x:c>
      <x:c r="AC441" s="57" t="inlineStr">
        <x:is>
          <x:t xml:space="preserve">V10</x:t>
        </x:is>
      </x:c>
      <x:c r="AD441" s="57" t="n"/>
      <x:c r="AE441" s="79" t="str">
        <x:f>IF(AND(I441&lt;&gt;"",J441&lt;&gt;"",K441&lt;&gt;"",L441="YES",M441&lt;&gt;"",S441&lt;&gt;"",T441&lt;&gt;"",U441&lt;&gt;"",V441&lt;&gt;"",W441&lt;&gt;"",X441&lt;&gt;"",Y441&lt;&gt;""),"COMPLETE","PENDING")</x:f>
        <x:v>PENDING</x:v>
      </x:c>
      <x:c r="AF441" s="79" t="str">
        <x:f>IF(AE441="COMPLETE","YES","NO")</x:f>
        <x:v>NO</x:v>
      </x:c>
      <x:c r="AG441" s="214" t="str">
        <x:f>IF(AF441&lt;&gt;"YES","",(IF(V441="YES",1,0)+IF(W441="YES",1,0))/2)</x:f>
      </x:c>
    </x:row>
    <x:row r="442">
      <x:c r="A442" s="57" t="inlineStr">
        <x:is>
          <x:t xml:space="preserve">C0437</x:t>
        </x:is>
      </x:c>
      <x:c r="B442" s="57" t="inlineStr">
        <x:is>
          <x:t xml:space="preserve">Development</x:t>
        </x:is>
      </x:c>
      <x:c r="C442" s="57" t="inlineStr">
        <x:is>
          <x:t xml:space="preserve">OPEN</x:t>
        </x:is>
      </x:c>
      <x:c r="D442" s="57" t="inlineStr">
        <x:is>
          <x:t xml:space="preserve">ARG-044</x:t>
        </x:is>
      </x:c>
      <x:c r="E442" s="75" t="str">
        <x:f>INDEX('Company Universe'!$B$6:$B$105,MATCH(D442,'Company Universe'!$A$6:$A$105,0))</x:f>
        <x:v>Alphabet</x:v>
      </x:c>
      <x:c r="F442" s="75" t="str">
        <x:f>INDEX('Company Universe'!$C$6:$C$105,MATCH(D442,'Company Universe'!$A$6:$A$105,0))</x:f>
        <x:v>GOOGL</x:v>
      </x:c>
      <x:c r="G442" s="75" t="str">
        <x:f>INDEX('Company Universe'!$F$6:$F$105,MATCH(D442,'Company Universe'!$A$6:$A$105,0))</x:f>
        <x:v>Media &amp; Internet</x:v>
      </x:c>
      <x:c r="H442" s="57" t="n">
        <x:v>7</x:v>
      </x:c>
      <x:c r="I442" s="206" t="n"/>
      <x:c r="J442" s="71" t="n"/>
      <x:c r="K442" s="71" t="n"/>
      <x:c r="L442" s="71" t="inlineStr">
        <x:is>
          <x:t xml:space="preserve">NO</x:t>
        </x:is>
      </x:c>
      <x:c r="M442" s="71" t="n"/>
      <x:c r="N442" s="71" t="n"/>
      <x:c r="O442" s="71" t="n"/>
      <x:c r="P442" s="71" t="n"/>
      <x:c r="Q442" s="71" t="n"/>
      <x:c r="R442" s="71" t="n"/>
      <x:c r="S442" s="206" t="n"/>
      <x:c r="T442" s="71" t="n"/>
      <x:c r="U442" s="71" t="n"/>
      <x:c r="V442" s="71" t="n"/>
      <x:c r="W442" s="71" t="n"/>
      <x:c r="X442" s="71" t="n"/>
      <x:c r="Y442" s="71" t="n"/>
      <x:c r="Z442" s="71" t="n"/>
      <x:c r="AA442" s="71" t="n"/>
      <x:c r="AB442" s="71" t="inlineStr">
        <x:is>
          <x:t xml:space="preserve">NO</x:t>
        </x:is>
      </x:c>
      <x:c r="AC442" s="57" t="inlineStr">
        <x:is>
          <x:t xml:space="preserve">V10</x:t>
        </x:is>
      </x:c>
      <x:c r="AD442" s="57" t="n"/>
      <x:c r="AE442" s="79" t="str">
        <x:f>IF(AND(I442&lt;&gt;"",J442&lt;&gt;"",K442&lt;&gt;"",L442="YES",M442&lt;&gt;"",S442&lt;&gt;"",T442&lt;&gt;"",U442&lt;&gt;"",V442&lt;&gt;"",W442&lt;&gt;"",X442&lt;&gt;"",Y442&lt;&gt;""),"COMPLETE","PENDING")</x:f>
        <x:v>PENDING</x:v>
      </x:c>
      <x:c r="AF442" s="79" t="str">
        <x:f>IF(AE442="COMPLETE","YES","NO")</x:f>
        <x:v>NO</x:v>
      </x:c>
      <x:c r="AG442" s="214" t="str">
        <x:f>IF(AF442&lt;&gt;"YES","",(IF(V442="YES",1,0)+IF(W442="YES",1,0))/2)</x:f>
      </x:c>
    </x:row>
    <x:row r="443">
      <x:c r="A443" s="57" t="inlineStr">
        <x:is>
          <x:t xml:space="preserve">C0438</x:t>
        </x:is>
      </x:c>
      <x:c r="B443" s="57" t="inlineStr">
        <x:is>
          <x:t xml:space="preserve">Development</x:t>
        </x:is>
      </x:c>
      <x:c r="C443" s="57" t="inlineStr">
        <x:is>
          <x:t xml:space="preserve">OPEN</x:t>
        </x:is>
      </x:c>
      <x:c r="D443" s="57" t="inlineStr">
        <x:is>
          <x:t xml:space="preserve">ARG-044</x:t>
        </x:is>
      </x:c>
      <x:c r="E443" s="75" t="str">
        <x:f>INDEX('Company Universe'!$B$6:$B$105,MATCH(D443,'Company Universe'!$A$6:$A$105,0))</x:f>
        <x:v>Alphabet</x:v>
      </x:c>
      <x:c r="F443" s="75" t="str">
        <x:f>INDEX('Company Universe'!$C$6:$C$105,MATCH(D443,'Company Universe'!$A$6:$A$105,0))</x:f>
        <x:v>GOOGL</x:v>
      </x:c>
      <x:c r="G443" s="75" t="str">
        <x:f>INDEX('Company Universe'!$F$6:$F$105,MATCH(D443,'Company Universe'!$A$6:$A$105,0))</x:f>
        <x:v>Media &amp; Internet</x:v>
      </x:c>
      <x:c r="H443" s="57" t="n">
        <x:v>8</x:v>
      </x:c>
      <x:c r="I443" s="206" t="n"/>
      <x:c r="J443" s="71" t="n"/>
      <x:c r="K443" s="71" t="n"/>
      <x:c r="L443" s="71" t="inlineStr">
        <x:is>
          <x:t xml:space="preserve">NO</x:t>
        </x:is>
      </x:c>
      <x:c r="M443" s="71" t="n"/>
      <x:c r="N443" s="71" t="n"/>
      <x:c r="O443" s="71" t="n"/>
      <x:c r="P443" s="71" t="n"/>
      <x:c r="Q443" s="71" t="n"/>
      <x:c r="R443" s="71" t="n"/>
      <x:c r="S443" s="206" t="n"/>
      <x:c r="T443" s="71" t="n"/>
      <x:c r="U443" s="71" t="n"/>
      <x:c r="V443" s="71" t="n"/>
      <x:c r="W443" s="71" t="n"/>
      <x:c r="X443" s="71" t="n"/>
      <x:c r="Y443" s="71" t="n"/>
      <x:c r="Z443" s="71" t="n"/>
      <x:c r="AA443" s="71" t="n"/>
      <x:c r="AB443" s="71" t="inlineStr">
        <x:is>
          <x:t xml:space="preserve">NO</x:t>
        </x:is>
      </x:c>
      <x:c r="AC443" s="57" t="inlineStr">
        <x:is>
          <x:t xml:space="preserve">V10</x:t>
        </x:is>
      </x:c>
      <x:c r="AD443" s="57" t="n"/>
      <x:c r="AE443" s="79" t="str">
        <x:f>IF(AND(I443&lt;&gt;"",J443&lt;&gt;"",K443&lt;&gt;"",L443="YES",M443&lt;&gt;"",S443&lt;&gt;"",T443&lt;&gt;"",U443&lt;&gt;"",V443&lt;&gt;"",W443&lt;&gt;"",X443&lt;&gt;"",Y443&lt;&gt;""),"COMPLETE","PENDING")</x:f>
        <x:v>PENDING</x:v>
      </x:c>
      <x:c r="AF443" s="79" t="str">
        <x:f>IF(AE443="COMPLETE","YES","NO")</x:f>
        <x:v>NO</x:v>
      </x:c>
      <x:c r="AG443" s="214" t="str">
        <x:f>IF(AF443&lt;&gt;"YES","",(IF(V443="YES",1,0)+IF(W443="YES",1,0))/2)</x:f>
      </x:c>
    </x:row>
    <x:row r="444">
      <x:c r="A444" s="57" t="inlineStr">
        <x:is>
          <x:t xml:space="preserve">C0439</x:t>
        </x:is>
      </x:c>
      <x:c r="B444" s="57" t="inlineStr">
        <x:is>
          <x:t xml:space="preserve">Development</x:t>
        </x:is>
      </x:c>
      <x:c r="C444" s="57" t="inlineStr">
        <x:is>
          <x:t xml:space="preserve">OPEN</x:t>
        </x:is>
      </x:c>
      <x:c r="D444" s="57" t="inlineStr">
        <x:is>
          <x:t xml:space="preserve">ARG-044</x:t>
        </x:is>
      </x:c>
      <x:c r="E444" s="75" t="str">
        <x:f>INDEX('Company Universe'!$B$6:$B$105,MATCH(D444,'Company Universe'!$A$6:$A$105,0))</x:f>
        <x:v>Alphabet</x:v>
      </x:c>
      <x:c r="F444" s="75" t="str">
        <x:f>INDEX('Company Universe'!$C$6:$C$105,MATCH(D444,'Company Universe'!$A$6:$A$105,0))</x:f>
        <x:v>GOOGL</x:v>
      </x:c>
      <x:c r="G444" s="75" t="str">
        <x:f>INDEX('Company Universe'!$F$6:$F$105,MATCH(D444,'Company Universe'!$A$6:$A$105,0))</x:f>
        <x:v>Media &amp; Internet</x:v>
      </x:c>
      <x:c r="H444" s="57" t="n">
        <x:v>9</x:v>
      </x:c>
      <x:c r="I444" s="206" t="n"/>
      <x:c r="J444" s="71" t="n"/>
      <x:c r="K444" s="71" t="n"/>
      <x:c r="L444" s="71" t="inlineStr">
        <x:is>
          <x:t xml:space="preserve">NO</x:t>
        </x:is>
      </x:c>
      <x:c r="M444" s="71" t="n"/>
      <x:c r="N444" s="71" t="n"/>
      <x:c r="O444" s="71" t="n"/>
      <x:c r="P444" s="71" t="n"/>
      <x:c r="Q444" s="71" t="n"/>
      <x:c r="R444" s="71" t="n"/>
      <x:c r="S444" s="206" t="n"/>
      <x:c r="T444" s="71" t="n"/>
      <x:c r="U444" s="71" t="n"/>
      <x:c r="V444" s="71" t="n"/>
      <x:c r="W444" s="71" t="n"/>
      <x:c r="X444" s="71" t="n"/>
      <x:c r="Y444" s="71" t="n"/>
      <x:c r="Z444" s="71" t="n"/>
      <x:c r="AA444" s="71" t="n"/>
      <x:c r="AB444" s="71" t="inlineStr">
        <x:is>
          <x:t xml:space="preserve">NO</x:t>
        </x:is>
      </x:c>
      <x:c r="AC444" s="57" t="inlineStr">
        <x:is>
          <x:t xml:space="preserve">V10</x:t>
        </x:is>
      </x:c>
      <x:c r="AD444" s="57" t="n"/>
      <x:c r="AE444" s="79" t="str">
        <x:f>IF(AND(I444&lt;&gt;"",J444&lt;&gt;"",K444&lt;&gt;"",L444="YES",M444&lt;&gt;"",S444&lt;&gt;"",T444&lt;&gt;"",U444&lt;&gt;"",V444&lt;&gt;"",W444&lt;&gt;"",X444&lt;&gt;"",Y444&lt;&gt;""),"COMPLETE","PENDING")</x:f>
        <x:v>PENDING</x:v>
      </x:c>
      <x:c r="AF444" s="79" t="str">
        <x:f>IF(AE444="COMPLETE","YES","NO")</x:f>
        <x:v>NO</x:v>
      </x:c>
      <x:c r="AG444" s="214" t="str">
        <x:f>IF(AF444&lt;&gt;"YES","",(IF(V444="YES",1,0)+IF(W444="YES",1,0))/2)</x:f>
      </x:c>
    </x:row>
    <x:row r="445">
      <x:c r="A445" s="57" t="inlineStr">
        <x:is>
          <x:t xml:space="preserve">C0440</x:t>
        </x:is>
      </x:c>
      <x:c r="B445" s="57" t="inlineStr">
        <x:is>
          <x:t xml:space="preserve">Development</x:t>
        </x:is>
      </x:c>
      <x:c r="C445" s="57" t="inlineStr">
        <x:is>
          <x:t xml:space="preserve">OPEN</x:t>
        </x:is>
      </x:c>
      <x:c r="D445" s="57" t="inlineStr">
        <x:is>
          <x:t xml:space="preserve">ARG-044</x:t>
        </x:is>
      </x:c>
      <x:c r="E445" s="75" t="str">
        <x:f>INDEX('Company Universe'!$B$6:$B$105,MATCH(D445,'Company Universe'!$A$6:$A$105,0))</x:f>
        <x:v>Alphabet</x:v>
      </x:c>
      <x:c r="F445" s="75" t="str">
        <x:f>INDEX('Company Universe'!$C$6:$C$105,MATCH(D445,'Company Universe'!$A$6:$A$105,0))</x:f>
        <x:v>GOOGL</x:v>
      </x:c>
      <x:c r="G445" s="75" t="str">
        <x:f>INDEX('Company Universe'!$F$6:$F$105,MATCH(D445,'Company Universe'!$A$6:$A$105,0))</x:f>
        <x:v>Media &amp; Internet</x:v>
      </x:c>
      <x:c r="H445" s="57" t="n">
        <x:v>10</x:v>
      </x:c>
      <x:c r="I445" s="206" t="n"/>
      <x:c r="J445" s="71" t="n"/>
      <x:c r="K445" s="71" t="n"/>
      <x:c r="L445" s="71" t="inlineStr">
        <x:is>
          <x:t xml:space="preserve">NO</x:t>
        </x:is>
      </x:c>
      <x:c r="M445" s="71" t="n"/>
      <x:c r="N445" s="71" t="n"/>
      <x:c r="O445" s="71" t="n"/>
      <x:c r="P445" s="71" t="n"/>
      <x:c r="Q445" s="71" t="n"/>
      <x:c r="R445" s="71" t="n"/>
      <x:c r="S445" s="206" t="n"/>
      <x:c r="T445" s="71" t="n"/>
      <x:c r="U445" s="71" t="n"/>
      <x:c r="V445" s="71" t="n"/>
      <x:c r="W445" s="71" t="n"/>
      <x:c r="X445" s="71" t="n"/>
      <x:c r="Y445" s="71" t="n"/>
      <x:c r="Z445" s="71" t="n"/>
      <x:c r="AA445" s="71" t="n"/>
      <x:c r="AB445" s="71" t="inlineStr">
        <x:is>
          <x:t xml:space="preserve">NO</x:t>
        </x:is>
      </x:c>
      <x:c r="AC445" s="57" t="inlineStr">
        <x:is>
          <x:t xml:space="preserve">V10</x:t>
        </x:is>
      </x:c>
      <x:c r="AD445" s="57" t="n"/>
      <x:c r="AE445" s="79" t="str">
        <x:f>IF(AND(I445&lt;&gt;"",J445&lt;&gt;"",K445&lt;&gt;"",L445="YES",M445&lt;&gt;"",S445&lt;&gt;"",T445&lt;&gt;"",U445&lt;&gt;"",V445&lt;&gt;"",W445&lt;&gt;"",X445&lt;&gt;"",Y445&lt;&gt;""),"COMPLETE","PENDING")</x:f>
        <x:v>PENDING</x:v>
      </x:c>
      <x:c r="AF445" s="79" t="str">
        <x:f>IF(AE445="COMPLETE","YES","NO")</x:f>
        <x:v>NO</x:v>
      </x:c>
      <x:c r="AG445" s="214" t="str">
        <x:f>IF(AF445&lt;&gt;"YES","",(IF(V445="YES",1,0)+IF(W445="YES",1,0))/2)</x:f>
      </x:c>
    </x:row>
    <x:row r="446">
      <x:c r="A446" s="57" t="inlineStr">
        <x:is>
          <x:t xml:space="preserve">C0441</x:t>
        </x:is>
      </x:c>
      <x:c r="B446" s="57" t="inlineStr">
        <x:is>
          <x:t xml:space="preserve">Development</x:t>
        </x:is>
      </x:c>
      <x:c r="C446" s="57" t="inlineStr">
        <x:is>
          <x:t xml:space="preserve">OPEN</x:t>
        </x:is>
      </x:c>
      <x:c r="D446" s="57" t="inlineStr">
        <x:is>
          <x:t xml:space="preserve">ARG-045</x:t>
        </x:is>
      </x:c>
      <x:c r="E446" s="75" t="str">
        <x:f>INDEX('Company Universe'!$B$6:$B$105,MATCH(D446,'Company Universe'!$A$6:$A$105,0))</x:f>
        <x:v>Meta Platforms</x:v>
      </x:c>
      <x:c r="F446" s="75" t="str">
        <x:f>INDEX('Company Universe'!$C$6:$C$105,MATCH(D446,'Company Universe'!$A$6:$A$105,0))</x:f>
        <x:v>META</x:v>
      </x:c>
      <x:c r="G446" s="75" t="str">
        <x:f>INDEX('Company Universe'!$F$6:$F$105,MATCH(D446,'Company Universe'!$A$6:$A$105,0))</x:f>
        <x:v>Media &amp; Internet</x:v>
      </x:c>
      <x:c r="H446" s="57" t="n">
        <x:v>1</x:v>
      </x:c>
      <x:c r="I446" s="206" t="n"/>
      <x:c r="J446" s="71" t="n"/>
      <x:c r="K446" s="71" t="n"/>
      <x:c r="L446" s="71" t="inlineStr">
        <x:is>
          <x:t xml:space="preserve">NO</x:t>
        </x:is>
      </x:c>
      <x:c r="M446" s="71" t="n"/>
      <x:c r="N446" s="71" t="n"/>
      <x:c r="O446" s="71" t="n"/>
      <x:c r="P446" s="71" t="n"/>
      <x:c r="Q446" s="71" t="n"/>
      <x:c r="R446" s="71" t="n"/>
      <x:c r="S446" s="206" t="n"/>
      <x:c r="T446" s="71" t="n"/>
      <x:c r="U446" s="71" t="n"/>
      <x:c r="V446" s="71" t="n"/>
      <x:c r="W446" s="71" t="n"/>
      <x:c r="X446" s="71" t="n"/>
      <x:c r="Y446" s="71" t="n"/>
      <x:c r="Z446" s="71" t="n"/>
      <x:c r="AA446" s="71" t="n"/>
      <x:c r="AB446" s="71" t="inlineStr">
        <x:is>
          <x:t xml:space="preserve">NO</x:t>
        </x:is>
      </x:c>
      <x:c r="AC446" s="57" t="inlineStr">
        <x:is>
          <x:t xml:space="preserve">V10</x:t>
        </x:is>
      </x:c>
      <x:c r="AD446" s="57" t="n"/>
      <x:c r="AE446" s="79" t="str">
        <x:f>IF(AND(I446&lt;&gt;"",J446&lt;&gt;"",K446&lt;&gt;"",L446="YES",M446&lt;&gt;"",S446&lt;&gt;"",T446&lt;&gt;"",U446&lt;&gt;"",V446&lt;&gt;"",W446&lt;&gt;"",X446&lt;&gt;"",Y446&lt;&gt;""),"COMPLETE","PENDING")</x:f>
        <x:v>PENDING</x:v>
      </x:c>
      <x:c r="AF446" s="79" t="str">
        <x:f>IF(AE446="COMPLETE","YES","NO")</x:f>
        <x:v>NO</x:v>
      </x:c>
      <x:c r="AG446" s="214" t="str">
        <x:f>IF(AF446&lt;&gt;"YES","",(IF(V446="YES",1,0)+IF(W446="YES",1,0))/2)</x:f>
      </x:c>
    </x:row>
    <x:row r="447">
      <x:c r="A447" s="57" t="inlineStr">
        <x:is>
          <x:t xml:space="preserve">C0442</x:t>
        </x:is>
      </x:c>
      <x:c r="B447" s="57" t="inlineStr">
        <x:is>
          <x:t xml:space="preserve">Development</x:t>
        </x:is>
      </x:c>
      <x:c r="C447" s="57" t="inlineStr">
        <x:is>
          <x:t xml:space="preserve">OPEN</x:t>
        </x:is>
      </x:c>
      <x:c r="D447" s="57" t="inlineStr">
        <x:is>
          <x:t xml:space="preserve">ARG-045</x:t>
        </x:is>
      </x:c>
      <x:c r="E447" s="75" t="str">
        <x:f>INDEX('Company Universe'!$B$6:$B$105,MATCH(D447,'Company Universe'!$A$6:$A$105,0))</x:f>
        <x:v>Meta Platforms</x:v>
      </x:c>
      <x:c r="F447" s="75" t="str">
        <x:f>INDEX('Company Universe'!$C$6:$C$105,MATCH(D447,'Company Universe'!$A$6:$A$105,0))</x:f>
        <x:v>META</x:v>
      </x:c>
      <x:c r="G447" s="75" t="str">
        <x:f>INDEX('Company Universe'!$F$6:$F$105,MATCH(D447,'Company Universe'!$A$6:$A$105,0))</x:f>
        <x:v>Media &amp; Internet</x:v>
      </x:c>
      <x:c r="H447" s="57" t="n">
        <x:v>2</x:v>
      </x:c>
      <x:c r="I447" s="206" t="n"/>
      <x:c r="J447" s="71" t="n"/>
      <x:c r="K447" s="71" t="n"/>
      <x:c r="L447" s="71" t="inlineStr">
        <x:is>
          <x:t xml:space="preserve">NO</x:t>
        </x:is>
      </x:c>
      <x:c r="M447" s="71" t="n"/>
      <x:c r="N447" s="71" t="n"/>
      <x:c r="O447" s="71" t="n"/>
      <x:c r="P447" s="71" t="n"/>
      <x:c r="Q447" s="71" t="n"/>
      <x:c r="R447" s="71" t="n"/>
      <x:c r="S447" s="206" t="n"/>
      <x:c r="T447" s="71" t="n"/>
      <x:c r="U447" s="71" t="n"/>
      <x:c r="V447" s="71" t="n"/>
      <x:c r="W447" s="71" t="n"/>
      <x:c r="X447" s="71" t="n"/>
      <x:c r="Y447" s="71" t="n"/>
      <x:c r="Z447" s="71" t="n"/>
      <x:c r="AA447" s="71" t="n"/>
      <x:c r="AB447" s="71" t="inlineStr">
        <x:is>
          <x:t xml:space="preserve">NO</x:t>
        </x:is>
      </x:c>
      <x:c r="AC447" s="57" t="inlineStr">
        <x:is>
          <x:t xml:space="preserve">V10</x:t>
        </x:is>
      </x:c>
      <x:c r="AD447" s="57" t="n"/>
      <x:c r="AE447" s="79" t="str">
        <x:f>IF(AND(I447&lt;&gt;"",J447&lt;&gt;"",K447&lt;&gt;"",L447="YES",M447&lt;&gt;"",S447&lt;&gt;"",T447&lt;&gt;"",U447&lt;&gt;"",V447&lt;&gt;"",W447&lt;&gt;"",X447&lt;&gt;"",Y447&lt;&gt;""),"COMPLETE","PENDING")</x:f>
        <x:v>PENDING</x:v>
      </x:c>
      <x:c r="AF447" s="79" t="str">
        <x:f>IF(AE447="COMPLETE","YES","NO")</x:f>
        <x:v>NO</x:v>
      </x:c>
      <x:c r="AG447" s="214" t="str">
        <x:f>IF(AF447&lt;&gt;"YES","",(IF(V447="YES",1,0)+IF(W447="YES",1,0))/2)</x:f>
      </x:c>
    </x:row>
    <x:row r="448">
      <x:c r="A448" s="57" t="inlineStr">
        <x:is>
          <x:t xml:space="preserve">C0443</x:t>
        </x:is>
      </x:c>
      <x:c r="B448" s="57" t="inlineStr">
        <x:is>
          <x:t xml:space="preserve">Development</x:t>
        </x:is>
      </x:c>
      <x:c r="C448" s="57" t="inlineStr">
        <x:is>
          <x:t xml:space="preserve">OPEN</x:t>
        </x:is>
      </x:c>
      <x:c r="D448" s="57" t="inlineStr">
        <x:is>
          <x:t xml:space="preserve">ARG-045</x:t>
        </x:is>
      </x:c>
      <x:c r="E448" s="75" t="str">
        <x:f>INDEX('Company Universe'!$B$6:$B$105,MATCH(D448,'Company Universe'!$A$6:$A$105,0))</x:f>
        <x:v>Meta Platforms</x:v>
      </x:c>
      <x:c r="F448" s="75" t="str">
        <x:f>INDEX('Company Universe'!$C$6:$C$105,MATCH(D448,'Company Universe'!$A$6:$A$105,0))</x:f>
        <x:v>META</x:v>
      </x:c>
      <x:c r="G448" s="75" t="str">
        <x:f>INDEX('Company Universe'!$F$6:$F$105,MATCH(D448,'Company Universe'!$A$6:$A$105,0))</x:f>
        <x:v>Media &amp; Internet</x:v>
      </x:c>
      <x:c r="H448" s="57" t="n">
        <x:v>3</x:v>
      </x:c>
      <x:c r="I448" s="206" t="n"/>
      <x:c r="J448" s="71" t="n"/>
      <x:c r="K448" s="71" t="n"/>
      <x:c r="L448" s="71" t="inlineStr">
        <x:is>
          <x:t xml:space="preserve">NO</x:t>
        </x:is>
      </x:c>
      <x:c r="M448" s="71" t="n"/>
      <x:c r="N448" s="71" t="n"/>
      <x:c r="O448" s="71" t="n"/>
      <x:c r="P448" s="71" t="n"/>
      <x:c r="Q448" s="71" t="n"/>
      <x:c r="R448" s="71" t="n"/>
      <x:c r="S448" s="206" t="n"/>
      <x:c r="T448" s="71" t="n"/>
      <x:c r="U448" s="71" t="n"/>
      <x:c r="V448" s="71" t="n"/>
      <x:c r="W448" s="71" t="n"/>
      <x:c r="X448" s="71" t="n"/>
      <x:c r="Y448" s="71" t="n"/>
      <x:c r="Z448" s="71" t="n"/>
      <x:c r="AA448" s="71" t="n"/>
      <x:c r="AB448" s="71" t="inlineStr">
        <x:is>
          <x:t xml:space="preserve">NO</x:t>
        </x:is>
      </x:c>
      <x:c r="AC448" s="57" t="inlineStr">
        <x:is>
          <x:t xml:space="preserve">V10</x:t>
        </x:is>
      </x:c>
      <x:c r="AD448" s="57" t="n"/>
      <x:c r="AE448" s="79" t="str">
        <x:f>IF(AND(I448&lt;&gt;"",J448&lt;&gt;"",K448&lt;&gt;"",L448="YES",M448&lt;&gt;"",S448&lt;&gt;"",T448&lt;&gt;"",U448&lt;&gt;"",V448&lt;&gt;"",W448&lt;&gt;"",X448&lt;&gt;"",Y448&lt;&gt;""),"COMPLETE","PENDING")</x:f>
        <x:v>PENDING</x:v>
      </x:c>
      <x:c r="AF448" s="79" t="str">
        <x:f>IF(AE448="COMPLETE","YES","NO")</x:f>
        <x:v>NO</x:v>
      </x:c>
      <x:c r="AG448" s="214" t="str">
        <x:f>IF(AF448&lt;&gt;"YES","",(IF(V448="YES",1,0)+IF(W448="YES",1,0))/2)</x:f>
      </x:c>
    </x:row>
    <x:row r="449">
      <x:c r="A449" s="57" t="inlineStr">
        <x:is>
          <x:t xml:space="preserve">C0444</x:t>
        </x:is>
      </x:c>
      <x:c r="B449" s="57" t="inlineStr">
        <x:is>
          <x:t xml:space="preserve">Development</x:t>
        </x:is>
      </x:c>
      <x:c r="C449" s="57" t="inlineStr">
        <x:is>
          <x:t xml:space="preserve">OPEN</x:t>
        </x:is>
      </x:c>
      <x:c r="D449" s="57" t="inlineStr">
        <x:is>
          <x:t xml:space="preserve">ARG-045</x:t>
        </x:is>
      </x:c>
      <x:c r="E449" s="75" t="str">
        <x:f>INDEX('Company Universe'!$B$6:$B$105,MATCH(D449,'Company Universe'!$A$6:$A$105,0))</x:f>
        <x:v>Meta Platforms</x:v>
      </x:c>
      <x:c r="F449" s="75" t="str">
        <x:f>INDEX('Company Universe'!$C$6:$C$105,MATCH(D449,'Company Universe'!$A$6:$A$105,0))</x:f>
        <x:v>META</x:v>
      </x:c>
      <x:c r="G449" s="75" t="str">
        <x:f>INDEX('Company Universe'!$F$6:$F$105,MATCH(D449,'Company Universe'!$A$6:$A$105,0))</x:f>
        <x:v>Media &amp; Internet</x:v>
      </x:c>
      <x:c r="H449" s="57" t="n">
        <x:v>4</x:v>
      </x:c>
      <x:c r="I449" s="206" t="n"/>
      <x:c r="J449" s="71" t="n"/>
      <x:c r="K449" s="71" t="n"/>
      <x:c r="L449" s="71" t="inlineStr">
        <x:is>
          <x:t xml:space="preserve">NO</x:t>
        </x:is>
      </x:c>
      <x:c r="M449" s="71" t="n"/>
      <x:c r="N449" s="71" t="n"/>
      <x:c r="O449" s="71" t="n"/>
      <x:c r="P449" s="71" t="n"/>
      <x:c r="Q449" s="71" t="n"/>
      <x:c r="R449" s="71" t="n"/>
      <x:c r="S449" s="206" t="n"/>
      <x:c r="T449" s="71" t="n"/>
      <x:c r="U449" s="71" t="n"/>
      <x:c r="V449" s="71" t="n"/>
      <x:c r="W449" s="71" t="n"/>
      <x:c r="X449" s="71" t="n"/>
      <x:c r="Y449" s="71" t="n"/>
      <x:c r="Z449" s="71" t="n"/>
      <x:c r="AA449" s="71" t="n"/>
      <x:c r="AB449" s="71" t="inlineStr">
        <x:is>
          <x:t xml:space="preserve">NO</x:t>
        </x:is>
      </x:c>
      <x:c r="AC449" s="57" t="inlineStr">
        <x:is>
          <x:t xml:space="preserve">V10</x:t>
        </x:is>
      </x:c>
      <x:c r="AD449" s="57" t="n"/>
      <x:c r="AE449" s="79" t="str">
        <x:f>IF(AND(I449&lt;&gt;"",J449&lt;&gt;"",K449&lt;&gt;"",L449="YES",M449&lt;&gt;"",S449&lt;&gt;"",T449&lt;&gt;"",U449&lt;&gt;"",V449&lt;&gt;"",W449&lt;&gt;"",X449&lt;&gt;"",Y449&lt;&gt;""),"COMPLETE","PENDING")</x:f>
        <x:v>PENDING</x:v>
      </x:c>
      <x:c r="AF449" s="79" t="str">
        <x:f>IF(AE449="COMPLETE","YES","NO")</x:f>
        <x:v>NO</x:v>
      </x:c>
      <x:c r="AG449" s="214" t="str">
        <x:f>IF(AF449&lt;&gt;"YES","",(IF(V449="YES",1,0)+IF(W449="YES",1,0))/2)</x:f>
      </x:c>
    </x:row>
    <x:row r="450">
      <x:c r="A450" s="57" t="inlineStr">
        <x:is>
          <x:t xml:space="preserve">C0445</x:t>
        </x:is>
      </x:c>
      <x:c r="B450" s="57" t="inlineStr">
        <x:is>
          <x:t xml:space="preserve">Development</x:t>
        </x:is>
      </x:c>
      <x:c r="C450" s="57" t="inlineStr">
        <x:is>
          <x:t xml:space="preserve">OPEN</x:t>
        </x:is>
      </x:c>
      <x:c r="D450" s="57" t="inlineStr">
        <x:is>
          <x:t xml:space="preserve">ARG-045</x:t>
        </x:is>
      </x:c>
      <x:c r="E450" s="75" t="str">
        <x:f>INDEX('Company Universe'!$B$6:$B$105,MATCH(D450,'Company Universe'!$A$6:$A$105,0))</x:f>
        <x:v>Meta Platforms</x:v>
      </x:c>
      <x:c r="F450" s="75" t="str">
        <x:f>INDEX('Company Universe'!$C$6:$C$105,MATCH(D450,'Company Universe'!$A$6:$A$105,0))</x:f>
        <x:v>META</x:v>
      </x:c>
      <x:c r="G450" s="75" t="str">
        <x:f>INDEX('Company Universe'!$F$6:$F$105,MATCH(D450,'Company Universe'!$A$6:$A$105,0))</x:f>
        <x:v>Media &amp; Internet</x:v>
      </x:c>
      <x:c r="H450" s="57" t="n">
        <x:v>5</x:v>
      </x:c>
      <x:c r="I450" s="206" t="n"/>
      <x:c r="J450" s="71" t="n"/>
      <x:c r="K450" s="71" t="n"/>
      <x:c r="L450" s="71" t="inlineStr">
        <x:is>
          <x:t xml:space="preserve">NO</x:t>
        </x:is>
      </x:c>
      <x:c r="M450" s="71" t="n"/>
      <x:c r="N450" s="71" t="n"/>
      <x:c r="O450" s="71" t="n"/>
      <x:c r="P450" s="71" t="n"/>
      <x:c r="Q450" s="71" t="n"/>
      <x:c r="R450" s="71" t="n"/>
      <x:c r="S450" s="206" t="n"/>
      <x:c r="T450" s="71" t="n"/>
      <x:c r="U450" s="71" t="n"/>
      <x:c r="V450" s="71" t="n"/>
      <x:c r="W450" s="71" t="n"/>
      <x:c r="X450" s="71" t="n"/>
      <x:c r="Y450" s="71" t="n"/>
      <x:c r="Z450" s="71" t="n"/>
      <x:c r="AA450" s="71" t="n"/>
      <x:c r="AB450" s="71" t="inlineStr">
        <x:is>
          <x:t xml:space="preserve">NO</x:t>
        </x:is>
      </x:c>
      <x:c r="AC450" s="57" t="inlineStr">
        <x:is>
          <x:t xml:space="preserve">V10</x:t>
        </x:is>
      </x:c>
      <x:c r="AD450" s="57" t="n"/>
      <x:c r="AE450" s="79" t="str">
        <x:f>IF(AND(I450&lt;&gt;"",J450&lt;&gt;"",K450&lt;&gt;"",L450="YES",M450&lt;&gt;"",S450&lt;&gt;"",T450&lt;&gt;"",U450&lt;&gt;"",V450&lt;&gt;"",W450&lt;&gt;"",X450&lt;&gt;"",Y450&lt;&gt;""),"COMPLETE","PENDING")</x:f>
        <x:v>PENDING</x:v>
      </x:c>
      <x:c r="AF450" s="79" t="str">
        <x:f>IF(AE450="COMPLETE","YES","NO")</x:f>
        <x:v>NO</x:v>
      </x:c>
      <x:c r="AG450" s="214" t="str">
        <x:f>IF(AF450&lt;&gt;"YES","",(IF(V450="YES",1,0)+IF(W450="YES",1,0))/2)</x:f>
      </x:c>
    </x:row>
    <x:row r="451">
      <x:c r="A451" s="57" t="inlineStr">
        <x:is>
          <x:t xml:space="preserve">C0446</x:t>
        </x:is>
      </x:c>
      <x:c r="B451" s="57" t="inlineStr">
        <x:is>
          <x:t xml:space="preserve">Development</x:t>
        </x:is>
      </x:c>
      <x:c r="C451" s="57" t="inlineStr">
        <x:is>
          <x:t xml:space="preserve">OPEN</x:t>
        </x:is>
      </x:c>
      <x:c r="D451" s="57" t="inlineStr">
        <x:is>
          <x:t xml:space="preserve">ARG-045</x:t>
        </x:is>
      </x:c>
      <x:c r="E451" s="75" t="str">
        <x:f>INDEX('Company Universe'!$B$6:$B$105,MATCH(D451,'Company Universe'!$A$6:$A$105,0))</x:f>
        <x:v>Meta Platforms</x:v>
      </x:c>
      <x:c r="F451" s="75" t="str">
        <x:f>INDEX('Company Universe'!$C$6:$C$105,MATCH(D451,'Company Universe'!$A$6:$A$105,0))</x:f>
        <x:v>META</x:v>
      </x:c>
      <x:c r="G451" s="75" t="str">
        <x:f>INDEX('Company Universe'!$F$6:$F$105,MATCH(D451,'Company Universe'!$A$6:$A$105,0))</x:f>
        <x:v>Media &amp; Internet</x:v>
      </x:c>
      <x:c r="H451" s="57" t="n">
        <x:v>6</x:v>
      </x:c>
      <x:c r="I451" s="206" t="n"/>
      <x:c r="J451" s="71" t="n"/>
      <x:c r="K451" s="71" t="n"/>
      <x:c r="L451" s="71" t="inlineStr">
        <x:is>
          <x:t xml:space="preserve">NO</x:t>
        </x:is>
      </x:c>
      <x:c r="M451" s="71" t="n"/>
      <x:c r="N451" s="71" t="n"/>
      <x:c r="O451" s="71" t="n"/>
      <x:c r="P451" s="71" t="n"/>
      <x:c r="Q451" s="71" t="n"/>
      <x:c r="R451" s="71" t="n"/>
      <x:c r="S451" s="206" t="n"/>
      <x:c r="T451" s="71" t="n"/>
      <x:c r="U451" s="71" t="n"/>
      <x:c r="V451" s="71" t="n"/>
      <x:c r="W451" s="71" t="n"/>
      <x:c r="X451" s="71" t="n"/>
      <x:c r="Y451" s="71" t="n"/>
      <x:c r="Z451" s="71" t="n"/>
      <x:c r="AA451" s="71" t="n"/>
      <x:c r="AB451" s="71" t="inlineStr">
        <x:is>
          <x:t xml:space="preserve">NO</x:t>
        </x:is>
      </x:c>
      <x:c r="AC451" s="57" t="inlineStr">
        <x:is>
          <x:t xml:space="preserve">V10</x:t>
        </x:is>
      </x:c>
      <x:c r="AD451" s="57" t="n"/>
      <x:c r="AE451" s="79" t="str">
        <x:f>IF(AND(I451&lt;&gt;"",J451&lt;&gt;"",K451&lt;&gt;"",L451="YES",M451&lt;&gt;"",S451&lt;&gt;"",T451&lt;&gt;"",U451&lt;&gt;"",V451&lt;&gt;"",W451&lt;&gt;"",X451&lt;&gt;"",Y451&lt;&gt;""),"COMPLETE","PENDING")</x:f>
        <x:v>PENDING</x:v>
      </x:c>
      <x:c r="AF451" s="79" t="str">
        <x:f>IF(AE451="COMPLETE","YES","NO")</x:f>
        <x:v>NO</x:v>
      </x:c>
      <x:c r="AG451" s="214" t="str">
        <x:f>IF(AF451&lt;&gt;"YES","",(IF(V451="YES",1,0)+IF(W451="YES",1,0))/2)</x:f>
      </x:c>
    </x:row>
    <x:row r="452">
      <x:c r="A452" s="57" t="inlineStr">
        <x:is>
          <x:t xml:space="preserve">C0447</x:t>
        </x:is>
      </x:c>
      <x:c r="B452" s="57" t="inlineStr">
        <x:is>
          <x:t xml:space="preserve">Development</x:t>
        </x:is>
      </x:c>
      <x:c r="C452" s="57" t="inlineStr">
        <x:is>
          <x:t xml:space="preserve">OPEN</x:t>
        </x:is>
      </x:c>
      <x:c r="D452" s="57" t="inlineStr">
        <x:is>
          <x:t xml:space="preserve">ARG-045</x:t>
        </x:is>
      </x:c>
      <x:c r="E452" s="75" t="str">
        <x:f>INDEX('Company Universe'!$B$6:$B$105,MATCH(D452,'Company Universe'!$A$6:$A$105,0))</x:f>
        <x:v>Meta Platforms</x:v>
      </x:c>
      <x:c r="F452" s="75" t="str">
        <x:f>INDEX('Company Universe'!$C$6:$C$105,MATCH(D452,'Company Universe'!$A$6:$A$105,0))</x:f>
        <x:v>META</x:v>
      </x:c>
      <x:c r="G452" s="75" t="str">
        <x:f>INDEX('Company Universe'!$F$6:$F$105,MATCH(D452,'Company Universe'!$A$6:$A$105,0))</x:f>
        <x:v>Media &amp; Internet</x:v>
      </x:c>
      <x:c r="H452" s="57" t="n">
        <x:v>7</x:v>
      </x:c>
      <x:c r="I452" s="206" t="n"/>
      <x:c r="J452" s="71" t="n"/>
      <x:c r="K452" s="71" t="n"/>
      <x:c r="L452" s="71" t="inlineStr">
        <x:is>
          <x:t xml:space="preserve">NO</x:t>
        </x:is>
      </x:c>
      <x:c r="M452" s="71" t="n"/>
      <x:c r="N452" s="71" t="n"/>
      <x:c r="O452" s="71" t="n"/>
      <x:c r="P452" s="71" t="n"/>
      <x:c r="Q452" s="71" t="n"/>
      <x:c r="R452" s="71" t="n"/>
      <x:c r="S452" s="206" t="n"/>
      <x:c r="T452" s="71" t="n"/>
      <x:c r="U452" s="71" t="n"/>
      <x:c r="V452" s="71" t="n"/>
      <x:c r="W452" s="71" t="n"/>
      <x:c r="X452" s="71" t="n"/>
      <x:c r="Y452" s="71" t="n"/>
      <x:c r="Z452" s="71" t="n"/>
      <x:c r="AA452" s="71" t="n"/>
      <x:c r="AB452" s="71" t="inlineStr">
        <x:is>
          <x:t xml:space="preserve">NO</x:t>
        </x:is>
      </x:c>
      <x:c r="AC452" s="57" t="inlineStr">
        <x:is>
          <x:t xml:space="preserve">V10</x:t>
        </x:is>
      </x:c>
      <x:c r="AD452" s="57" t="n"/>
      <x:c r="AE452" s="79" t="str">
        <x:f>IF(AND(I452&lt;&gt;"",J452&lt;&gt;"",K452&lt;&gt;"",L452="YES",M452&lt;&gt;"",S452&lt;&gt;"",T452&lt;&gt;"",U452&lt;&gt;"",V452&lt;&gt;"",W452&lt;&gt;"",X452&lt;&gt;"",Y452&lt;&gt;""),"COMPLETE","PENDING")</x:f>
        <x:v>PENDING</x:v>
      </x:c>
      <x:c r="AF452" s="79" t="str">
        <x:f>IF(AE452="COMPLETE","YES","NO")</x:f>
        <x:v>NO</x:v>
      </x:c>
      <x:c r="AG452" s="214" t="str">
        <x:f>IF(AF452&lt;&gt;"YES","",(IF(V452="YES",1,0)+IF(W452="YES",1,0))/2)</x:f>
      </x:c>
    </x:row>
    <x:row r="453">
      <x:c r="A453" s="57" t="inlineStr">
        <x:is>
          <x:t xml:space="preserve">C0448</x:t>
        </x:is>
      </x:c>
      <x:c r="B453" s="57" t="inlineStr">
        <x:is>
          <x:t xml:space="preserve">Development</x:t>
        </x:is>
      </x:c>
      <x:c r="C453" s="57" t="inlineStr">
        <x:is>
          <x:t xml:space="preserve">OPEN</x:t>
        </x:is>
      </x:c>
      <x:c r="D453" s="57" t="inlineStr">
        <x:is>
          <x:t xml:space="preserve">ARG-045</x:t>
        </x:is>
      </x:c>
      <x:c r="E453" s="75" t="str">
        <x:f>INDEX('Company Universe'!$B$6:$B$105,MATCH(D453,'Company Universe'!$A$6:$A$105,0))</x:f>
        <x:v>Meta Platforms</x:v>
      </x:c>
      <x:c r="F453" s="75" t="str">
        <x:f>INDEX('Company Universe'!$C$6:$C$105,MATCH(D453,'Company Universe'!$A$6:$A$105,0))</x:f>
        <x:v>META</x:v>
      </x:c>
      <x:c r="G453" s="75" t="str">
        <x:f>INDEX('Company Universe'!$F$6:$F$105,MATCH(D453,'Company Universe'!$A$6:$A$105,0))</x:f>
        <x:v>Media &amp; Internet</x:v>
      </x:c>
      <x:c r="H453" s="57" t="n">
        <x:v>8</x:v>
      </x:c>
      <x:c r="I453" s="206" t="n"/>
      <x:c r="J453" s="71" t="n"/>
      <x:c r="K453" s="71" t="n"/>
      <x:c r="L453" s="71" t="inlineStr">
        <x:is>
          <x:t xml:space="preserve">NO</x:t>
        </x:is>
      </x:c>
      <x:c r="M453" s="71" t="n"/>
      <x:c r="N453" s="71" t="n"/>
      <x:c r="O453" s="71" t="n"/>
      <x:c r="P453" s="71" t="n"/>
      <x:c r="Q453" s="71" t="n"/>
      <x:c r="R453" s="71" t="n"/>
      <x:c r="S453" s="206" t="n"/>
      <x:c r="T453" s="71" t="n"/>
      <x:c r="U453" s="71" t="n"/>
      <x:c r="V453" s="71" t="n"/>
      <x:c r="W453" s="71" t="n"/>
      <x:c r="X453" s="71" t="n"/>
      <x:c r="Y453" s="71" t="n"/>
      <x:c r="Z453" s="71" t="n"/>
      <x:c r="AA453" s="71" t="n"/>
      <x:c r="AB453" s="71" t="inlineStr">
        <x:is>
          <x:t xml:space="preserve">NO</x:t>
        </x:is>
      </x:c>
      <x:c r="AC453" s="57" t="inlineStr">
        <x:is>
          <x:t xml:space="preserve">V10</x:t>
        </x:is>
      </x:c>
      <x:c r="AD453" s="57" t="n"/>
      <x:c r="AE453" s="79" t="str">
        <x:f>IF(AND(I453&lt;&gt;"",J453&lt;&gt;"",K453&lt;&gt;"",L453="YES",M453&lt;&gt;"",S453&lt;&gt;"",T453&lt;&gt;"",U453&lt;&gt;"",V453&lt;&gt;"",W453&lt;&gt;"",X453&lt;&gt;"",Y453&lt;&gt;""),"COMPLETE","PENDING")</x:f>
        <x:v>PENDING</x:v>
      </x:c>
      <x:c r="AF453" s="79" t="str">
        <x:f>IF(AE453="COMPLETE","YES","NO")</x:f>
        <x:v>NO</x:v>
      </x:c>
      <x:c r="AG453" s="214" t="str">
        <x:f>IF(AF453&lt;&gt;"YES","",(IF(V453="YES",1,0)+IF(W453="YES",1,0))/2)</x:f>
      </x:c>
    </x:row>
    <x:row r="454">
      <x:c r="A454" s="57" t="inlineStr">
        <x:is>
          <x:t xml:space="preserve">C0449</x:t>
        </x:is>
      </x:c>
      <x:c r="B454" s="57" t="inlineStr">
        <x:is>
          <x:t xml:space="preserve">Development</x:t>
        </x:is>
      </x:c>
      <x:c r="C454" s="57" t="inlineStr">
        <x:is>
          <x:t xml:space="preserve">OPEN</x:t>
        </x:is>
      </x:c>
      <x:c r="D454" s="57" t="inlineStr">
        <x:is>
          <x:t xml:space="preserve">ARG-045</x:t>
        </x:is>
      </x:c>
      <x:c r="E454" s="75" t="str">
        <x:f>INDEX('Company Universe'!$B$6:$B$105,MATCH(D454,'Company Universe'!$A$6:$A$105,0))</x:f>
        <x:v>Meta Platforms</x:v>
      </x:c>
      <x:c r="F454" s="75" t="str">
        <x:f>INDEX('Company Universe'!$C$6:$C$105,MATCH(D454,'Company Universe'!$A$6:$A$105,0))</x:f>
        <x:v>META</x:v>
      </x:c>
      <x:c r="G454" s="75" t="str">
        <x:f>INDEX('Company Universe'!$F$6:$F$105,MATCH(D454,'Company Universe'!$A$6:$A$105,0))</x:f>
        <x:v>Media &amp; Internet</x:v>
      </x:c>
      <x:c r="H454" s="57" t="n">
        <x:v>9</x:v>
      </x:c>
      <x:c r="I454" s="206" t="n"/>
      <x:c r="J454" s="71" t="n"/>
      <x:c r="K454" s="71" t="n"/>
      <x:c r="L454" s="71" t="inlineStr">
        <x:is>
          <x:t xml:space="preserve">NO</x:t>
        </x:is>
      </x:c>
      <x:c r="M454" s="71" t="n"/>
      <x:c r="N454" s="71" t="n"/>
      <x:c r="O454" s="71" t="n"/>
      <x:c r="P454" s="71" t="n"/>
      <x:c r="Q454" s="71" t="n"/>
      <x:c r="R454" s="71" t="n"/>
      <x:c r="S454" s="206" t="n"/>
      <x:c r="T454" s="71" t="n"/>
      <x:c r="U454" s="71" t="n"/>
      <x:c r="V454" s="71" t="n"/>
      <x:c r="W454" s="71" t="n"/>
      <x:c r="X454" s="71" t="n"/>
      <x:c r="Y454" s="71" t="n"/>
      <x:c r="Z454" s="71" t="n"/>
      <x:c r="AA454" s="71" t="n"/>
      <x:c r="AB454" s="71" t="inlineStr">
        <x:is>
          <x:t xml:space="preserve">NO</x:t>
        </x:is>
      </x:c>
      <x:c r="AC454" s="57" t="inlineStr">
        <x:is>
          <x:t xml:space="preserve">V10</x:t>
        </x:is>
      </x:c>
      <x:c r="AD454" s="57" t="n"/>
      <x:c r="AE454" s="79" t="str">
        <x:f>IF(AND(I454&lt;&gt;"",J454&lt;&gt;"",K454&lt;&gt;"",L454="YES",M454&lt;&gt;"",S454&lt;&gt;"",T454&lt;&gt;"",U454&lt;&gt;"",V454&lt;&gt;"",W454&lt;&gt;"",X454&lt;&gt;"",Y454&lt;&gt;""),"COMPLETE","PENDING")</x:f>
        <x:v>PENDING</x:v>
      </x:c>
      <x:c r="AF454" s="79" t="str">
        <x:f>IF(AE454="COMPLETE","YES","NO")</x:f>
        <x:v>NO</x:v>
      </x:c>
      <x:c r="AG454" s="214" t="str">
        <x:f>IF(AF454&lt;&gt;"YES","",(IF(V454="YES",1,0)+IF(W454="YES",1,0))/2)</x:f>
      </x:c>
    </x:row>
    <x:row r="455">
      <x:c r="A455" s="57" t="inlineStr">
        <x:is>
          <x:t xml:space="preserve">C0450</x:t>
        </x:is>
      </x:c>
      <x:c r="B455" s="57" t="inlineStr">
        <x:is>
          <x:t xml:space="preserve">Development</x:t>
        </x:is>
      </x:c>
      <x:c r="C455" s="57" t="inlineStr">
        <x:is>
          <x:t xml:space="preserve">OPEN</x:t>
        </x:is>
      </x:c>
      <x:c r="D455" s="57" t="inlineStr">
        <x:is>
          <x:t xml:space="preserve">ARG-045</x:t>
        </x:is>
      </x:c>
      <x:c r="E455" s="75" t="str">
        <x:f>INDEX('Company Universe'!$B$6:$B$105,MATCH(D455,'Company Universe'!$A$6:$A$105,0))</x:f>
        <x:v>Meta Platforms</x:v>
      </x:c>
      <x:c r="F455" s="75" t="str">
        <x:f>INDEX('Company Universe'!$C$6:$C$105,MATCH(D455,'Company Universe'!$A$6:$A$105,0))</x:f>
        <x:v>META</x:v>
      </x:c>
      <x:c r="G455" s="75" t="str">
        <x:f>INDEX('Company Universe'!$F$6:$F$105,MATCH(D455,'Company Universe'!$A$6:$A$105,0))</x:f>
        <x:v>Media &amp; Internet</x:v>
      </x:c>
      <x:c r="H455" s="57" t="n">
        <x:v>10</x:v>
      </x:c>
      <x:c r="I455" s="206" t="n"/>
      <x:c r="J455" s="71" t="n"/>
      <x:c r="K455" s="71" t="n"/>
      <x:c r="L455" s="71" t="inlineStr">
        <x:is>
          <x:t xml:space="preserve">NO</x:t>
        </x:is>
      </x:c>
      <x:c r="M455" s="71" t="n"/>
      <x:c r="N455" s="71" t="n"/>
      <x:c r="O455" s="71" t="n"/>
      <x:c r="P455" s="71" t="n"/>
      <x:c r="Q455" s="71" t="n"/>
      <x:c r="R455" s="71" t="n"/>
      <x:c r="S455" s="206" t="n"/>
      <x:c r="T455" s="71" t="n"/>
      <x:c r="U455" s="71" t="n"/>
      <x:c r="V455" s="71" t="n"/>
      <x:c r="W455" s="71" t="n"/>
      <x:c r="X455" s="71" t="n"/>
      <x:c r="Y455" s="71" t="n"/>
      <x:c r="Z455" s="71" t="n"/>
      <x:c r="AA455" s="71" t="n"/>
      <x:c r="AB455" s="71" t="inlineStr">
        <x:is>
          <x:t xml:space="preserve">NO</x:t>
        </x:is>
      </x:c>
      <x:c r="AC455" s="57" t="inlineStr">
        <x:is>
          <x:t xml:space="preserve">V10</x:t>
        </x:is>
      </x:c>
      <x:c r="AD455" s="57" t="n"/>
      <x:c r="AE455" s="79" t="str">
        <x:f>IF(AND(I455&lt;&gt;"",J455&lt;&gt;"",K455&lt;&gt;"",L455="YES",M455&lt;&gt;"",S455&lt;&gt;"",T455&lt;&gt;"",U455&lt;&gt;"",V455&lt;&gt;"",W455&lt;&gt;"",X455&lt;&gt;"",Y455&lt;&gt;""),"COMPLETE","PENDING")</x:f>
        <x:v>PENDING</x:v>
      </x:c>
      <x:c r="AF455" s="79" t="str">
        <x:f>IF(AE455="COMPLETE","YES","NO")</x:f>
        <x:v>NO</x:v>
      </x:c>
      <x:c r="AG455" s="214" t="str">
        <x:f>IF(AF455&lt;&gt;"YES","",(IF(V455="YES",1,0)+IF(W455="YES",1,0))/2)</x:f>
      </x:c>
    </x:row>
    <x:row r="456">
      <x:c r="A456" s="57" t="inlineStr">
        <x:is>
          <x:t xml:space="preserve">C0451</x:t>
        </x:is>
      </x:c>
      <x:c r="B456" s="57" t="inlineStr">
        <x:is>
          <x:t xml:space="preserve">Development</x:t>
        </x:is>
      </x:c>
      <x:c r="C456" s="57" t="inlineStr">
        <x:is>
          <x:t xml:space="preserve">OPEN</x:t>
        </x:is>
      </x:c>
      <x:c r="D456" s="57" t="inlineStr">
        <x:is>
          <x:t xml:space="preserve">ARG-046</x:t>
        </x:is>
      </x:c>
      <x:c r="E456" s="75" t="str">
        <x:f>INDEX('Company Universe'!$B$6:$B$105,MATCH(D456,'Company Universe'!$A$6:$A$105,0))</x:f>
        <x:v>Amazon</x:v>
      </x:c>
      <x:c r="F456" s="75" t="str">
        <x:f>INDEX('Company Universe'!$C$6:$C$105,MATCH(D456,'Company Universe'!$A$6:$A$105,0))</x:f>
        <x:v>AMZN</x:v>
      </x:c>
      <x:c r="G456" s="75" t="str">
        <x:f>INDEX('Company Universe'!$F$6:$F$105,MATCH(D456,'Company Universe'!$A$6:$A$105,0))</x:f>
        <x:v>Software &amp; Payments</x:v>
      </x:c>
      <x:c r="H456" s="57" t="n">
        <x:v>1</x:v>
      </x:c>
      <x:c r="I456" s="206" t="n"/>
      <x:c r="J456" s="71" t="n"/>
      <x:c r="K456" s="71" t="n"/>
      <x:c r="L456" s="71" t="inlineStr">
        <x:is>
          <x:t xml:space="preserve">NO</x:t>
        </x:is>
      </x:c>
      <x:c r="M456" s="71" t="n"/>
      <x:c r="N456" s="71" t="n"/>
      <x:c r="O456" s="71" t="n"/>
      <x:c r="P456" s="71" t="n"/>
      <x:c r="Q456" s="71" t="n"/>
      <x:c r="R456" s="71" t="n"/>
      <x:c r="S456" s="206" t="n"/>
      <x:c r="T456" s="71" t="n"/>
      <x:c r="U456" s="71" t="n"/>
      <x:c r="V456" s="71" t="n"/>
      <x:c r="W456" s="71" t="n"/>
      <x:c r="X456" s="71" t="n"/>
      <x:c r="Y456" s="71" t="n"/>
      <x:c r="Z456" s="71" t="n"/>
      <x:c r="AA456" s="71" t="n"/>
      <x:c r="AB456" s="71" t="inlineStr">
        <x:is>
          <x:t xml:space="preserve">NO</x:t>
        </x:is>
      </x:c>
      <x:c r="AC456" s="57" t="inlineStr">
        <x:is>
          <x:t xml:space="preserve">V10</x:t>
        </x:is>
      </x:c>
      <x:c r="AD456" s="57" t="n"/>
      <x:c r="AE456" s="79" t="str">
        <x:f>IF(AND(I456&lt;&gt;"",J456&lt;&gt;"",K456&lt;&gt;"",L456="YES",M456&lt;&gt;"",S456&lt;&gt;"",T456&lt;&gt;"",U456&lt;&gt;"",V456&lt;&gt;"",W456&lt;&gt;"",X456&lt;&gt;"",Y456&lt;&gt;""),"COMPLETE","PENDING")</x:f>
        <x:v>PENDING</x:v>
      </x:c>
      <x:c r="AF456" s="79" t="str">
        <x:f>IF(AE456="COMPLETE","YES","NO")</x:f>
        <x:v>NO</x:v>
      </x:c>
      <x:c r="AG456" s="214" t="str">
        <x:f>IF(AF456&lt;&gt;"YES","",(IF(V456="YES",1,0)+IF(W456="YES",1,0))/2)</x:f>
      </x:c>
    </x:row>
    <x:row r="457">
      <x:c r="A457" s="57" t="inlineStr">
        <x:is>
          <x:t xml:space="preserve">C0452</x:t>
        </x:is>
      </x:c>
      <x:c r="B457" s="57" t="inlineStr">
        <x:is>
          <x:t xml:space="preserve">Development</x:t>
        </x:is>
      </x:c>
      <x:c r="C457" s="57" t="inlineStr">
        <x:is>
          <x:t xml:space="preserve">OPEN</x:t>
        </x:is>
      </x:c>
      <x:c r="D457" s="57" t="inlineStr">
        <x:is>
          <x:t xml:space="preserve">ARG-046</x:t>
        </x:is>
      </x:c>
      <x:c r="E457" s="75" t="str">
        <x:f>INDEX('Company Universe'!$B$6:$B$105,MATCH(D457,'Company Universe'!$A$6:$A$105,0))</x:f>
        <x:v>Amazon</x:v>
      </x:c>
      <x:c r="F457" s="75" t="str">
        <x:f>INDEX('Company Universe'!$C$6:$C$105,MATCH(D457,'Company Universe'!$A$6:$A$105,0))</x:f>
        <x:v>AMZN</x:v>
      </x:c>
      <x:c r="G457" s="75" t="str">
        <x:f>INDEX('Company Universe'!$F$6:$F$105,MATCH(D457,'Company Universe'!$A$6:$A$105,0))</x:f>
        <x:v>Software &amp; Payments</x:v>
      </x:c>
      <x:c r="H457" s="57" t="n">
        <x:v>2</x:v>
      </x:c>
      <x:c r="I457" s="206" t="n"/>
      <x:c r="J457" s="71" t="n"/>
      <x:c r="K457" s="71" t="n"/>
      <x:c r="L457" s="71" t="inlineStr">
        <x:is>
          <x:t xml:space="preserve">NO</x:t>
        </x:is>
      </x:c>
      <x:c r="M457" s="71" t="n"/>
      <x:c r="N457" s="71" t="n"/>
      <x:c r="O457" s="71" t="n"/>
      <x:c r="P457" s="71" t="n"/>
      <x:c r="Q457" s="71" t="n"/>
      <x:c r="R457" s="71" t="n"/>
      <x:c r="S457" s="206" t="n"/>
      <x:c r="T457" s="71" t="n"/>
      <x:c r="U457" s="71" t="n"/>
      <x:c r="V457" s="71" t="n"/>
      <x:c r="W457" s="71" t="n"/>
      <x:c r="X457" s="71" t="n"/>
      <x:c r="Y457" s="71" t="n"/>
      <x:c r="Z457" s="71" t="n"/>
      <x:c r="AA457" s="71" t="n"/>
      <x:c r="AB457" s="71" t="inlineStr">
        <x:is>
          <x:t xml:space="preserve">NO</x:t>
        </x:is>
      </x:c>
      <x:c r="AC457" s="57" t="inlineStr">
        <x:is>
          <x:t xml:space="preserve">V10</x:t>
        </x:is>
      </x:c>
      <x:c r="AD457" s="57" t="n"/>
      <x:c r="AE457" s="79" t="str">
        <x:f>IF(AND(I457&lt;&gt;"",J457&lt;&gt;"",K457&lt;&gt;"",L457="YES",M457&lt;&gt;"",S457&lt;&gt;"",T457&lt;&gt;"",U457&lt;&gt;"",V457&lt;&gt;"",W457&lt;&gt;"",X457&lt;&gt;"",Y457&lt;&gt;""),"COMPLETE","PENDING")</x:f>
        <x:v>PENDING</x:v>
      </x:c>
      <x:c r="AF457" s="79" t="str">
        <x:f>IF(AE457="COMPLETE","YES","NO")</x:f>
        <x:v>NO</x:v>
      </x:c>
      <x:c r="AG457" s="214" t="str">
        <x:f>IF(AF457&lt;&gt;"YES","",(IF(V457="YES",1,0)+IF(W457="YES",1,0))/2)</x:f>
      </x:c>
    </x:row>
    <x:row r="458">
      <x:c r="A458" s="57" t="inlineStr">
        <x:is>
          <x:t xml:space="preserve">C0453</x:t>
        </x:is>
      </x:c>
      <x:c r="B458" s="57" t="inlineStr">
        <x:is>
          <x:t xml:space="preserve">Development</x:t>
        </x:is>
      </x:c>
      <x:c r="C458" s="57" t="inlineStr">
        <x:is>
          <x:t xml:space="preserve">OPEN</x:t>
        </x:is>
      </x:c>
      <x:c r="D458" s="57" t="inlineStr">
        <x:is>
          <x:t xml:space="preserve">ARG-046</x:t>
        </x:is>
      </x:c>
      <x:c r="E458" s="75" t="str">
        <x:f>INDEX('Company Universe'!$B$6:$B$105,MATCH(D458,'Company Universe'!$A$6:$A$105,0))</x:f>
        <x:v>Amazon</x:v>
      </x:c>
      <x:c r="F458" s="75" t="str">
        <x:f>INDEX('Company Universe'!$C$6:$C$105,MATCH(D458,'Company Universe'!$A$6:$A$105,0))</x:f>
        <x:v>AMZN</x:v>
      </x:c>
      <x:c r="G458" s="75" t="str">
        <x:f>INDEX('Company Universe'!$F$6:$F$105,MATCH(D458,'Company Universe'!$A$6:$A$105,0))</x:f>
        <x:v>Software &amp; Payments</x:v>
      </x:c>
      <x:c r="H458" s="57" t="n">
        <x:v>3</x:v>
      </x:c>
      <x:c r="I458" s="206" t="n"/>
      <x:c r="J458" s="71" t="n"/>
      <x:c r="K458" s="71" t="n"/>
      <x:c r="L458" s="71" t="inlineStr">
        <x:is>
          <x:t xml:space="preserve">NO</x:t>
        </x:is>
      </x:c>
      <x:c r="M458" s="71" t="n"/>
      <x:c r="N458" s="71" t="n"/>
      <x:c r="O458" s="71" t="n"/>
      <x:c r="P458" s="71" t="n"/>
      <x:c r="Q458" s="71" t="n"/>
      <x:c r="R458" s="71" t="n"/>
      <x:c r="S458" s="206" t="n"/>
      <x:c r="T458" s="71" t="n"/>
      <x:c r="U458" s="71" t="n"/>
      <x:c r="V458" s="71" t="n"/>
      <x:c r="W458" s="71" t="n"/>
      <x:c r="X458" s="71" t="n"/>
      <x:c r="Y458" s="71" t="n"/>
      <x:c r="Z458" s="71" t="n"/>
      <x:c r="AA458" s="71" t="n"/>
      <x:c r="AB458" s="71" t="inlineStr">
        <x:is>
          <x:t xml:space="preserve">NO</x:t>
        </x:is>
      </x:c>
      <x:c r="AC458" s="57" t="inlineStr">
        <x:is>
          <x:t xml:space="preserve">V10</x:t>
        </x:is>
      </x:c>
      <x:c r="AD458" s="57" t="n"/>
      <x:c r="AE458" s="79" t="str">
        <x:f>IF(AND(I458&lt;&gt;"",J458&lt;&gt;"",K458&lt;&gt;"",L458="YES",M458&lt;&gt;"",S458&lt;&gt;"",T458&lt;&gt;"",U458&lt;&gt;"",V458&lt;&gt;"",W458&lt;&gt;"",X458&lt;&gt;"",Y458&lt;&gt;""),"COMPLETE","PENDING")</x:f>
        <x:v>PENDING</x:v>
      </x:c>
      <x:c r="AF458" s="79" t="str">
        <x:f>IF(AE458="COMPLETE","YES","NO")</x:f>
        <x:v>NO</x:v>
      </x:c>
      <x:c r="AG458" s="214" t="str">
        <x:f>IF(AF458&lt;&gt;"YES","",(IF(V458="YES",1,0)+IF(W458="YES",1,0))/2)</x:f>
      </x:c>
    </x:row>
    <x:row r="459">
      <x:c r="A459" s="57" t="inlineStr">
        <x:is>
          <x:t xml:space="preserve">C0454</x:t>
        </x:is>
      </x:c>
      <x:c r="B459" s="57" t="inlineStr">
        <x:is>
          <x:t xml:space="preserve">Development</x:t>
        </x:is>
      </x:c>
      <x:c r="C459" s="57" t="inlineStr">
        <x:is>
          <x:t xml:space="preserve">OPEN</x:t>
        </x:is>
      </x:c>
      <x:c r="D459" s="57" t="inlineStr">
        <x:is>
          <x:t xml:space="preserve">ARG-046</x:t>
        </x:is>
      </x:c>
      <x:c r="E459" s="75" t="str">
        <x:f>INDEX('Company Universe'!$B$6:$B$105,MATCH(D459,'Company Universe'!$A$6:$A$105,0))</x:f>
        <x:v>Amazon</x:v>
      </x:c>
      <x:c r="F459" s="75" t="str">
        <x:f>INDEX('Company Universe'!$C$6:$C$105,MATCH(D459,'Company Universe'!$A$6:$A$105,0))</x:f>
        <x:v>AMZN</x:v>
      </x:c>
      <x:c r="G459" s="75" t="str">
        <x:f>INDEX('Company Universe'!$F$6:$F$105,MATCH(D459,'Company Universe'!$A$6:$A$105,0))</x:f>
        <x:v>Software &amp; Payments</x:v>
      </x:c>
      <x:c r="H459" s="57" t="n">
        <x:v>4</x:v>
      </x:c>
      <x:c r="I459" s="206" t="n"/>
      <x:c r="J459" s="71" t="n"/>
      <x:c r="K459" s="71" t="n"/>
      <x:c r="L459" s="71" t="inlineStr">
        <x:is>
          <x:t xml:space="preserve">NO</x:t>
        </x:is>
      </x:c>
      <x:c r="M459" s="71" t="n"/>
      <x:c r="N459" s="71" t="n"/>
      <x:c r="O459" s="71" t="n"/>
      <x:c r="P459" s="71" t="n"/>
      <x:c r="Q459" s="71" t="n"/>
      <x:c r="R459" s="71" t="n"/>
      <x:c r="S459" s="206" t="n"/>
      <x:c r="T459" s="71" t="n"/>
      <x:c r="U459" s="71" t="n"/>
      <x:c r="V459" s="71" t="n"/>
      <x:c r="W459" s="71" t="n"/>
      <x:c r="X459" s="71" t="n"/>
      <x:c r="Y459" s="71" t="n"/>
      <x:c r="Z459" s="71" t="n"/>
      <x:c r="AA459" s="71" t="n"/>
      <x:c r="AB459" s="71" t="inlineStr">
        <x:is>
          <x:t xml:space="preserve">NO</x:t>
        </x:is>
      </x:c>
      <x:c r="AC459" s="57" t="inlineStr">
        <x:is>
          <x:t xml:space="preserve">V10</x:t>
        </x:is>
      </x:c>
      <x:c r="AD459" s="57" t="n"/>
      <x:c r="AE459" s="79" t="str">
        <x:f>IF(AND(I459&lt;&gt;"",J459&lt;&gt;"",K459&lt;&gt;"",L459="YES",M459&lt;&gt;"",S459&lt;&gt;"",T459&lt;&gt;"",U459&lt;&gt;"",V459&lt;&gt;"",W459&lt;&gt;"",X459&lt;&gt;"",Y459&lt;&gt;""),"COMPLETE","PENDING")</x:f>
        <x:v>PENDING</x:v>
      </x:c>
      <x:c r="AF459" s="79" t="str">
        <x:f>IF(AE459="COMPLETE","YES","NO")</x:f>
        <x:v>NO</x:v>
      </x:c>
      <x:c r="AG459" s="214" t="str">
        <x:f>IF(AF459&lt;&gt;"YES","",(IF(V459="YES",1,0)+IF(W459="YES",1,0))/2)</x:f>
      </x:c>
    </x:row>
    <x:row r="460">
      <x:c r="A460" s="57" t="inlineStr">
        <x:is>
          <x:t xml:space="preserve">C0455</x:t>
        </x:is>
      </x:c>
      <x:c r="B460" s="57" t="inlineStr">
        <x:is>
          <x:t xml:space="preserve">Development</x:t>
        </x:is>
      </x:c>
      <x:c r="C460" s="57" t="inlineStr">
        <x:is>
          <x:t xml:space="preserve">OPEN</x:t>
        </x:is>
      </x:c>
      <x:c r="D460" s="57" t="inlineStr">
        <x:is>
          <x:t xml:space="preserve">ARG-046</x:t>
        </x:is>
      </x:c>
      <x:c r="E460" s="75" t="str">
        <x:f>INDEX('Company Universe'!$B$6:$B$105,MATCH(D460,'Company Universe'!$A$6:$A$105,0))</x:f>
        <x:v>Amazon</x:v>
      </x:c>
      <x:c r="F460" s="75" t="str">
        <x:f>INDEX('Company Universe'!$C$6:$C$105,MATCH(D460,'Company Universe'!$A$6:$A$105,0))</x:f>
        <x:v>AMZN</x:v>
      </x:c>
      <x:c r="G460" s="75" t="str">
        <x:f>INDEX('Company Universe'!$F$6:$F$105,MATCH(D460,'Company Universe'!$A$6:$A$105,0))</x:f>
        <x:v>Software &amp; Payments</x:v>
      </x:c>
      <x:c r="H460" s="57" t="n">
        <x:v>5</x:v>
      </x:c>
      <x:c r="I460" s="206" t="n"/>
      <x:c r="J460" s="71" t="n"/>
      <x:c r="K460" s="71" t="n"/>
      <x:c r="L460" s="71" t="inlineStr">
        <x:is>
          <x:t xml:space="preserve">NO</x:t>
        </x:is>
      </x:c>
      <x:c r="M460" s="71" t="n"/>
      <x:c r="N460" s="71" t="n"/>
      <x:c r="O460" s="71" t="n"/>
      <x:c r="P460" s="71" t="n"/>
      <x:c r="Q460" s="71" t="n"/>
      <x:c r="R460" s="71" t="n"/>
      <x:c r="S460" s="206" t="n"/>
      <x:c r="T460" s="71" t="n"/>
      <x:c r="U460" s="71" t="n"/>
      <x:c r="V460" s="71" t="n"/>
      <x:c r="W460" s="71" t="n"/>
      <x:c r="X460" s="71" t="n"/>
      <x:c r="Y460" s="71" t="n"/>
      <x:c r="Z460" s="71" t="n"/>
      <x:c r="AA460" s="71" t="n"/>
      <x:c r="AB460" s="71" t="inlineStr">
        <x:is>
          <x:t xml:space="preserve">NO</x:t>
        </x:is>
      </x:c>
      <x:c r="AC460" s="57" t="inlineStr">
        <x:is>
          <x:t xml:space="preserve">V10</x:t>
        </x:is>
      </x:c>
      <x:c r="AD460" s="57" t="n"/>
      <x:c r="AE460" s="79" t="str">
        <x:f>IF(AND(I460&lt;&gt;"",J460&lt;&gt;"",K460&lt;&gt;"",L460="YES",M460&lt;&gt;"",S460&lt;&gt;"",T460&lt;&gt;"",U460&lt;&gt;"",V460&lt;&gt;"",W460&lt;&gt;"",X460&lt;&gt;"",Y460&lt;&gt;""),"COMPLETE","PENDING")</x:f>
        <x:v>PENDING</x:v>
      </x:c>
      <x:c r="AF460" s="79" t="str">
        <x:f>IF(AE460="COMPLETE","YES","NO")</x:f>
        <x:v>NO</x:v>
      </x:c>
      <x:c r="AG460" s="214" t="str">
        <x:f>IF(AF460&lt;&gt;"YES","",(IF(V460="YES",1,0)+IF(W460="YES",1,0))/2)</x:f>
      </x:c>
    </x:row>
    <x:row r="461">
      <x:c r="A461" s="57" t="inlineStr">
        <x:is>
          <x:t xml:space="preserve">C0456</x:t>
        </x:is>
      </x:c>
      <x:c r="B461" s="57" t="inlineStr">
        <x:is>
          <x:t xml:space="preserve">Development</x:t>
        </x:is>
      </x:c>
      <x:c r="C461" s="57" t="inlineStr">
        <x:is>
          <x:t xml:space="preserve">OPEN</x:t>
        </x:is>
      </x:c>
      <x:c r="D461" s="57" t="inlineStr">
        <x:is>
          <x:t xml:space="preserve">ARG-046</x:t>
        </x:is>
      </x:c>
      <x:c r="E461" s="75" t="str">
        <x:f>INDEX('Company Universe'!$B$6:$B$105,MATCH(D461,'Company Universe'!$A$6:$A$105,0))</x:f>
        <x:v>Amazon</x:v>
      </x:c>
      <x:c r="F461" s="75" t="str">
        <x:f>INDEX('Company Universe'!$C$6:$C$105,MATCH(D461,'Company Universe'!$A$6:$A$105,0))</x:f>
        <x:v>AMZN</x:v>
      </x:c>
      <x:c r="G461" s="75" t="str">
        <x:f>INDEX('Company Universe'!$F$6:$F$105,MATCH(D461,'Company Universe'!$A$6:$A$105,0))</x:f>
        <x:v>Software &amp; Payments</x:v>
      </x:c>
      <x:c r="H461" s="57" t="n">
        <x:v>6</x:v>
      </x:c>
      <x:c r="I461" s="206" t="n"/>
      <x:c r="J461" s="71" t="n"/>
      <x:c r="K461" s="71" t="n"/>
      <x:c r="L461" s="71" t="inlineStr">
        <x:is>
          <x:t xml:space="preserve">NO</x:t>
        </x:is>
      </x:c>
      <x:c r="M461" s="71" t="n"/>
      <x:c r="N461" s="71" t="n"/>
      <x:c r="O461" s="71" t="n"/>
      <x:c r="P461" s="71" t="n"/>
      <x:c r="Q461" s="71" t="n"/>
      <x:c r="R461" s="71" t="n"/>
      <x:c r="S461" s="206" t="n"/>
      <x:c r="T461" s="71" t="n"/>
      <x:c r="U461" s="71" t="n"/>
      <x:c r="V461" s="71" t="n"/>
      <x:c r="W461" s="71" t="n"/>
      <x:c r="X461" s="71" t="n"/>
      <x:c r="Y461" s="71" t="n"/>
      <x:c r="Z461" s="71" t="n"/>
      <x:c r="AA461" s="71" t="n"/>
      <x:c r="AB461" s="71" t="inlineStr">
        <x:is>
          <x:t xml:space="preserve">NO</x:t>
        </x:is>
      </x:c>
      <x:c r="AC461" s="57" t="inlineStr">
        <x:is>
          <x:t xml:space="preserve">V10</x:t>
        </x:is>
      </x:c>
      <x:c r="AD461" s="57" t="n"/>
      <x:c r="AE461" s="79" t="str">
        <x:f>IF(AND(I461&lt;&gt;"",J461&lt;&gt;"",K461&lt;&gt;"",L461="YES",M461&lt;&gt;"",S461&lt;&gt;"",T461&lt;&gt;"",U461&lt;&gt;"",V461&lt;&gt;"",W461&lt;&gt;"",X461&lt;&gt;"",Y461&lt;&gt;""),"COMPLETE","PENDING")</x:f>
        <x:v>PENDING</x:v>
      </x:c>
      <x:c r="AF461" s="79" t="str">
        <x:f>IF(AE461="COMPLETE","YES","NO")</x:f>
        <x:v>NO</x:v>
      </x:c>
      <x:c r="AG461" s="214" t="str">
        <x:f>IF(AF461&lt;&gt;"YES","",(IF(V461="YES",1,0)+IF(W461="YES",1,0))/2)</x:f>
      </x:c>
    </x:row>
    <x:row r="462">
      <x:c r="A462" s="57" t="inlineStr">
        <x:is>
          <x:t xml:space="preserve">C0457</x:t>
        </x:is>
      </x:c>
      <x:c r="B462" s="57" t="inlineStr">
        <x:is>
          <x:t xml:space="preserve">Development</x:t>
        </x:is>
      </x:c>
      <x:c r="C462" s="57" t="inlineStr">
        <x:is>
          <x:t xml:space="preserve">OPEN</x:t>
        </x:is>
      </x:c>
      <x:c r="D462" s="57" t="inlineStr">
        <x:is>
          <x:t xml:space="preserve">ARG-046</x:t>
        </x:is>
      </x:c>
      <x:c r="E462" s="75" t="str">
        <x:f>INDEX('Company Universe'!$B$6:$B$105,MATCH(D462,'Company Universe'!$A$6:$A$105,0))</x:f>
        <x:v>Amazon</x:v>
      </x:c>
      <x:c r="F462" s="75" t="str">
        <x:f>INDEX('Company Universe'!$C$6:$C$105,MATCH(D462,'Company Universe'!$A$6:$A$105,0))</x:f>
        <x:v>AMZN</x:v>
      </x:c>
      <x:c r="G462" s="75" t="str">
        <x:f>INDEX('Company Universe'!$F$6:$F$105,MATCH(D462,'Company Universe'!$A$6:$A$105,0))</x:f>
        <x:v>Software &amp; Payments</x:v>
      </x:c>
      <x:c r="H462" s="57" t="n">
        <x:v>7</x:v>
      </x:c>
      <x:c r="I462" s="206" t="n"/>
      <x:c r="J462" s="71" t="n"/>
      <x:c r="K462" s="71" t="n"/>
      <x:c r="L462" s="71" t="inlineStr">
        <x:is>
          <x:t xml:space="preserve">NO</x:t>
        </x:is>
      </x:c>
      <x:c r="M462" s="71" t="n"/>
      <x:c r="N462" s="71" t="n"/>
      <x:c r="O462" s="71" t="n"/>
      <x:c r="P462" s="71" t="n"/>
      <x:c r="Q462" s="71" t="n"/>
      <x:c r="R462" s="71" t="n"/>
      <x:c r="S462" s="206" t="n"/>
      <x:c r="T462" s="71" t="n"/>
      <x:c r="U462" s="71" t="n"/>
      <x:c r="V462" s="71" t="n"/>
      <x:c r="W462" s="71" t="n"/>
      <x:c r="X462" s="71" t="n"/>
      <x:c r="Y462" s="71" t="n"/>
      <x:c r="Z462" s="71" t="n"/>
      <x:c r="AA462" s="71" t="n"/>
      <x:c r="AB462" s="71" t="inlineStr">
        <x:is>
          <x:t xml:space="preserve">NO</x:t>
        </x:is>
      </x:c>
      <x:c r="AC462" s="57" t="inlineStr">
        <x:is>
          <x:t xml:space="preserve">V10</x:t>
        </x:is>
      </x:c>
      <x:c r="AD462" s="57" t="n"/>
      <x:c r="AE462" s="79" t="str">
        <x:f>IF(AND(I462&lt;&gt;"",J462&lt;&gt;"",K462&lt;&gt;"",L462="YES",M462&lt;&gt;"",S462&lt;&gt;"",T462&lt;&gt;"",U462&lt;&gt;"",V462&lt;&gt;"",W462&lt;&gt;"",X462&lt;&gt;"",Y462&lt;&gt;""),"COMPLETE","PENDING")</x:f>
        <x:v>PENDING</x:v>
      </x:c>
      <x:c r="AF462" s="79" t="str">
        <x:f>IF(AE462="COMPLETE","YES","NO")</x:f>
        <x:v>NO</x:v>
      </x:c>
      <x:c r="AG462" s="214" t="str">
        <x:f>IF(AF462&lt;&gt;"YES","",(IF(V462="YES",1,0)+IF(W462="YES",1,0))/2)</x:f>
      </x:c>
    </x:row>
    <x:row r="463">
      <x:c r="A463" s="57" t="inlineStr">
        <x:is>
          <x:t xml:space="preserve">C0458</x:t>
        </x:is>
      </x:c>
      <x:c r="B463" s="57" t="inlineStr">
        <x:is>
          <x:t xml:space="preserve">Development</x:t>
        </x:is>
      </x:c>
      <x:c r="C463" s="57" t="inlineStr">
        <x:is>
          <x:t xml:space="preserve">OPEN</x:t>
        </x:is>
      </x:c>
      <x:c r="D463" s="57" t="inlineStr">
        <x:is>
          <x:t xml:space="preserve">ARG-046</x:t>
        </x:is>
      </x:c>
      <x:c r="E463" s="75" t="str">
        <x:f>INDEX('Company Universe'!$B$6:$B$105,MATCH(D463,'Company Universe'!$A$6:$A$105,0))</x:f>
        <x:v>Amazon</x:v>
      </x:c>
      <x:c r="F463" s="75" t="str">
        <x:f>INDEX('Company Universe'!$C$6:$C$105,MATCH(D463,'Company Universe'!$A$6:$A$105,0))</x:f>
        <x:v>AMZN</x:v>
      </x:c>
      <x:c r="G463" s="75" t="str">
        <x:f>INDEX('Company Universe'!$F$6:$F$105,MATCH(D463,'Company Universe'!$A$6:$A$105,0))</x:f>
        <x:v>Software &amp; Payments</x:v>
      </x:c>
      <x:c r="H463" s="57" t="n">
        <x:v>8</x:v>
      </x:c>
      <x:c r="I463" s="206" t="n"/>
      <x:c r="J463" s="71" t="n"/>
      <x:c r="K463" s="71" t="n"/>
      <x:c r="L463" s="71" t="inlineStr">
        <x:is>
          <x:t xml:space="preserve">NO</x:t>
        </x:is>
      </x:c>
      <x:c r="M463" s="71" t="n"/>
      <x:c r="N463" s="71" t="n"/>
      <x:c r="O463" s="71" t="n"/>
      <x:c r="P463" s="71" t="n"/>
      <x:c r="Q463" s="71" t="n"/>
      <x:c r="R463" s="71" t="n"/>
      <x:c r="S463" s="206" t="n"/>
      <x:c r="T463" s="71" t="n"/>
      <x:c r="U463" s="71" t="n"/>
      <x:c r="V463" s="71" t="n"/>
      <x:c r="W463" s="71" t="n"/>
      <x:c r="X463" s="71" t="n"/>
      <x:c r="Y463" s="71" t="n"/>
      <x:c r="Z463" s="71" t="n"/>
      <x:c r="AA463" s="71" t="n"/>
      <x:c r="AB463" s="71" t="inlineStr">
        <x:is>
          <x:t xml:space="preserve">NO</x:t>
        </x:is>
      </x:c>
      <x:c r="AC463" s="57" t="inlineStr">
        <x:is>
          <x:t xml:space="preserve">V10</x:t>
        </x:is>
      </x:c>
      <x:c r="AD463" s="57" t="n"/>
      <x:c r="AE463" s="79" t="str">
        <x:f>IF(AND(I463&lt;&gt;"",J463&lt;&gt;"",K463&lt;&gt;"",L463="YES",M463&lt;&gt;"",S463&lt;&gt;"",T463&lt;&gt;"",U463&lt;&gt;"",V463&lt;&gt;"",W463&lt;&gt;"",X463&lt;&gt;"",Y463&lt;&gt;""),"COMPLETE","PENDING")</x:f>
        <x:v>PENDING</x:v>
      </x:c>
      <x:c r="AF463" s="79" t="str">
        <x:f>IF(AE463="COMPLETE","YES","NO")</x:f>
        <x:v>NO</x:v>
      </x:c>
      <x:c r="AG463" s="214" t="str">
        <x:f>IF(AF463&lt;&gt;"YES","",(IF(V463="YES",1,0)+IF(W463="YES",1,0))/2)</x:f>
      </x:c>
    </x:row>
    <x:row r="464">
      <x:c r="A464" s="57" t="inlineStr">
        <x:is>
          <x:t xml:space="preserve">C0459</x:t>
        </x:is>
      </x:c>
      <x:c r="B464" s="57" t="inlineStr">
        <x:is>
          <x:t xml:space="preserve">Development</x:t>
        </x:is>
      </x:c>
      <x:c r="C464" s="57" t="inlineStr">
        <x:is>
          <x:t xml:space="preserve">OPEN</x:t>
        </x:is>
      </x:c>
      <x:c r="D464" s="57" t="inlineStr">
        <x:is>
          <x:t xml:space="preserve">ARG-046</x:t>
        </x:is>
      </x:c>
      <x:c r="E464" s="75" t="str">
        <x:f>INDEX('Company Universe'!$B$6:$B$105,MATCH(D464,'Company Universe'!$A$6:$A$105,0))</x:f>
        <x:v>Amazon</x:v>
      </x:c>
      <x:c r="F464" s="75" t="str">
        <x:f>INDEX('Company Universe'!$C$6:$C$105,MATCH(D464,'Company Universe'!$A$6:$A$105,0))</x:f>
        <x:v>AMZN</x:v>
      </x:c>
      <x:c r="G464" s="75" t="str">
        <x:f>INDEX('Company Universe'!$F$6:$F$105,MATCH(D464,'Company Universe'!$A$6:$A$105,0))</x:f>
        <x:v>Software &amp; Payments</x:v>
      </x:c>
      <x:c r="H464" s="57" t="n">
        <x:v>9</x:v>
      </x:c>
      <x:c r="I464" s="206" t="n"/>
      <x:c r="J464" s="71" t="n"/>
      <x:c r="K464" s="71" t="n"/>
      <x:c r="L464" s="71" t="inlineStr">
        <x:is>
          <x:t xml:space="preserve">NO</x:t>
        </x:is>
      </x:c>
      <x:c r="M464" s="71" t="n"/>
      <x:c r="N464" s="71" t="n"/>
      <x:c r="O464" s="71" t="n"/>
      <x:c r="P464" s="71" t="n"/>
      <x:c r="Q464" s="71" t="n"/>
      <x:c r="R464" s="71" t="n"/>
      <x:c r="S464" s="206" t="n"/>
      <x:c r="T464" s="71" t="n"/>
      <x:c r="U464" s="71" t="n"/>
      <x:c r="V464" s="71" t="n"/>
      <x:c r="W464" s="71" t="n"/>
      <x:c r="X464" s="71" t="n"/>
      <x:c r="Y464" s="71" t="n"/>
      <x:c r="Z464" s="71" t="n"/>
      <x:c r="AA464" s="71" t="n"/>
      <x:c r="AB464" s="71" t="inlineStr">
        <x:is>
          <x:t xml:space="preserve">NO</x:t>
        </x:is>
      </x:c>
      <x:c r="AC464" s="57" t="inlineStr">
        <x:is>
          <x:t xml:space="preserve">V10</x:t>
        </x:is>
      </x:c>
      <x:c r="AD464" s="57" t="n"/>
      <x:c r="AE464" s="79" t="str">
        <x:f>IF(AND(I464&lt;&gt;"",J464&lt;&gt;"",K464&lt;&gt;"",L464="YES",M464&lt;&gt;"",S464&lt;&gt;"",T464&lt;&gt;"",U464&lt;&gt;"",V464&lt;&gt;"",W464&lt;&gt;"",X464&lt;&gt;"",Y464&lt;&gt;""),"COMPLETE","PENDING")</x:f>
        <x:v>PENDING</x:v>
      </x:c>
      <x:c r="AF464" s="79" t="str">
        <x:f>IF(AE464="COMPLETE","YES","NO")</x:f>
        <x:v>NO</x:v>
      </x:c>
      <x:c r="AG464" s="214" t="str">
        <x:f>IF(AF464&lt;&gt;"YES","",(IF(V464="YES",1,0)+IF(W464="YES",1,0))/2)</x:f>
      </x:c>
    </x:row>
    <x:row r="465">
      <x:c r="A465" s="57" t="inlineStr">
        <x:is>
          <x:t xml:space="preserve">C0460</x:t>
        </x:is>
      </x:c>
      <x:c r="B465" s="57" t="inlineStr">
        <x:is>
          <x:t xml:space="preserve">Development</x:t>
        </x:is>
      </x:c>
      <x:c r="C465" s="57" t="inlineStr">
        <x:is>
          <x:t xml:space="preserve">OPEN</x:t>
        </x:is>
      </x:c>
      <x:c r="D465" s="57" t="inlineStr">
        <x:is>
          <x:t xml:space="preserve">ARG-046</x:t>
        </x:is>
      </x:c>
      <x:c r="E465" s="75" t="str">
        <x:f>INDEX('Company Universe'!$B$6:$B$105,MATCH(D465,'Company Universe'!$A$6:$A$105,0))</x:f>
        <x:v>Amazon</x:v>
      </x:c>
      <x:c r="F465" s="75" t="str">
        <x:f>INDEX('Company Universe'!$C$6:$C$105,MATCH(D465,'Company Universe'!$A$6:$A$105,0))</x:f>
        <x:v>AMZN</x:v>
      </x:c>
      <x:c r="G465" s="75" t="str">
        <x:f>INDEX('Company Universe'!$F$6:$F$105,MATCH(D465,'Company Universe'!$A$6:$A$105,0))</x:f>
        <x:v>Software &amp; Payments</x:v>
      </x:c>
      <x:c r="H465" s="57" t="n">
        <x:v>10</x:v>
      </x:c>
      <x:c r="I465" s="206" t="n"/>
      <x:c r="J465" s="71" t="n"/>
      <x:c r="K465" s="71" t="n"/>
      <x:c r="L465" s="71" t="inlineStr">
        <x:is>
          <x:t xml:space="preserve">NO</x:t>
        </x:is>
      </x:c>
      <x:c r="M465" s="71" t="n"/>
      <x:c r="N465" s="71" t="n"/>
      <x:c r="O465" s="71" t="n"/>
      <x:c r="P465" s="71" t="n"/>
      <x:c r="Q465" s="71" t="n"/>
      <x:c r="R465" s="71" t="n"/>
      <x:c r="S465" s="206" t="n"/>
      <x:c r="T465" s="71" t="n"/>
      <x:c r="U465" s="71" t="n"/>
      <x:c r="V465" s="71" t="n"/>
      <x:c r="W465" s="71" t="n"/>
      <x:c r="X465" s="71" t="n"/>
      <x:c r="Y465" s="71" t="n"/>
      <x:c r="Z465" s="71" t="n"/>
      <x:c r="AA465" s="71" t="n"/>
      <x:c r="AB465" s="71" t="inlineStr">
        <x:is>
          <x:t xml:space="preserve">NO</x:t>
        </x:is>
      </x:c>
      <x:c r="AC465" s="57" t="inlineStr">
        <x:is>
          <x:t xml:space="preserve">V10</x:t>
        </x:is>
      </x:c>
      <x:c r="AD465" s="57" t="n"/>
      <x:c r="AE465" s="79" t="str">
        <x:f>IF(AND(I465&lt;&gt;"",J465&lt;&gt;"",K465&lt;&gt;"",L465="YES",M465&lt;&gt;"",S465&lt;&gt;"",T465&lt;&gt;"",U465&lt;&gt;"",V465&lt;&gt;"",W465&lt;&gt;"",X465&lt;&gt;"",Y465&lt;&gt;""),"COMPLETE","PENDING")</x:f>
        <x:v>PENDING</x:v>
      </x:c>
      <x:c r="AF465" s="79" t="str">
        <x:f>IF(AE465="COMPLETE","YES","NO")</x:f>
        <x:v>NO</x:v>
      </x:c>
      <x:c r="AG465" s="214" t="str">
        <x:f>IF(AF465&lt;&gt;"YES","",(IF(V465="YES",1,0)+IF(W465="YES",1,0))/2)</x:f>
      </x:c>
    </x:row>
    <x:row r="466">
      <x:c r="A466" s="57" t="inlineStr">
        <x:is>
          <x:t xml:space="preserve">C0461</x:t>
        </x:is>
      </x:c>
      <x:c r="B466" s="57" t="inlineStr">
        <x:is>
          <x:t xml:space="preserve">Development</x:t>
        </x:is>
      </x:c>
      <x:c r="C466" s="57" t="inlineStr">
        <x:is>
          <x:t xml:space="preserve">OPEN</x:t>
        </x:is>
      </x:c>
      <x:c r="D466" s="57" t="inlineStr">
        <x:is>
          <x:t xml:space="preserve">ARG-047</x:t>
        </x:is>
      </x:c>
      <x:c r="E466" s="75" t="str">
        <x:f>INDEX('Company Universe'!$B$6:$B$105,MATCH(D466,'Company Universe'!$A$6:$A$105,0))</x:f>
        <x:v>Intuit</x:v>
      </x:c>
      <x:c r="F466" s="75" t="str">
        <x:f>INDEX('Company Universe'!$C$6:$C$105,MATCH(D466,'Company Universe'!$A$6:$A$105,0))</x:f>
        <x:v>INTU</x:v>
      </x:c>
      <x:c r="G466" s="75" t="str">
        <x:f>INDEX('Company Universe'!$F$6:$F$105,MATCH(D466,'Company Universe'!$A$6:$A$105,0))</x:f>
        <x:v>Software &amp; Payments</x:v>
      </x:c>
      <x:c r="H466" s="57" t="n">
        <x:v>1</x:v>
      </x:c>
      <x:c r="I466" s="206" t="n"/>
      <x:c r="J466" s="71" t="n"/>
      <x:c r="K466" s="71" t="n"/>
      <x:c r="L466" s="71" t="inlineStr">
        <x:is>
          <x:t xml:space="preserve">NO</x:t>
        </x:is>
      </x:c>
      <x:c r="M466" s="71" t="n"/>
      <x:c r="N466" s="71" t="n"/>
      <x:c r="O466" s="71" t="n"/>
      <x:c r="P466" s="71" t="n"/>
      <x:c r="Q466" s="71" t="n"/>
      <x:c r="R466" s="71" t="n"/>
      <x:c r="S466" s="206" t="n"/>
      <x:c r="T466" s="71" t="n"/>
      <x:c r="U466" s="71" t="n"/>
      <x:c r="V466" s="71" t="n"/>
      <x:c r="W466" s="71" t="n"/>
      <x:c r="X466" s="71" t="n"/>
      <x:c r="Y466" s="71" t="n"/>
      <x:c r="Z466" s="71" t="n"/>
      <x:c r="AA466" s="71" t="n"/>
      <x:c r="AB466" s="71" t="inlineStr">
        <x:is>
          <x:t xml:space="preserve">NO</x:t>
        </x:is>
      </x:c>
      <x:c r="AC466" s="57" t="inlineStr">
        <x:is>
          <x:t xml:space="preserve">V10</x:t>
        </x:is>
      </x:c>
      <x:c r="AD466" s="57" t="n"/>
      <x:c r="AE466" s="79" t="str">
        <x:f>IF(AND(I466&lt;&gt;"",J466&lt;&gt;"",K466&lt;&gt;"",L466="YES",M466&lt;&gt;"",S466&lt;&gt;"",T466&lt;&gt;"",U466&lt;&gt;"",V466&lt;&gt;"",W466&lt;&gt;"",X466&lt;&gt;"",Y466&lt;&gt;""),"COMPLETE","PENDING")</x:f>
        <x:v>PENDING</x:v>
      </x:c>
      <x:c r="AF466" s="79" t="str">
        <x:f>IF(AE466="COMPLETE","YES","NO")</x:f>
        <x:v>NO</x:v>
      </x:c>
      <x:c r="AG466" s="214" t="str">
        <x:f>IF(AF466&lt;&gt;"YES","",(IF(V466="YES",1,0)+IF(W466="YES",1,0))/2)</x:f>
      </x:c>
    </x:row>
    <x:row r="467">
      <x:c r="A467" s="57" t="inlineStr">
        <x:is>
          <x:t xml:space="preserve">C0462</x:t>
        </x:is>
      </x:c>
      <x:c r="B467" s="57" t="inlineStr">
        <x:is>
          <x:t xml:space="preserve">Development</x:t>
        </x:is>
      </x:c>
      <x:c r="C467" s="57" t="inlineStr">
        <x:is>
          <x:t xml:space="preserve">OPEN</x:t>
        </x:is>
      </x:c>
      <x:c r="D467" s="57" t="inlineStr">
        <x:is>
          <x:t xml:space="preserve">ARG-047</x:t>
        </x:is>
      </x:c>
      <x:c r="E467" s="75" t="str">
        <x:f>INDEX('Company Universe'!$B$6:$B$105,MATCH(D467,'Company Universe'!$A$6:$A$105,0))</x:f>
        <x:v>Intuit</x:v>
      </x:c>
      <x:c r="F467" s="75" t="str">
        <x:f>INDEX('Company Universe'!$C$6:$C$105,MATCH(D467,'Company Universe'!$A$6:$A$105,0))</x:f>
        <x:v>INTU</x:v>
      </x:c>
      <x:c r="G467" s="75" t="str">
        <x:f>INDEX('Company Universe'!$F$6:$F$105,MATCH(D467,'Company Universe'!$A$6:$A$105,0))</x:f>
        <x:v>Software &amp; Payments</x:v>
      </x:c>
      <x:c r="H467" s="57" t="n">
        <x:v>2</x:v>
      </x:c>
      <x:c r="I467" s="206" t="n"/>
      <x:c r="J467" s="71" t="n"/>
      <x:c r="K467" s="71" t="n"/>
      <x:c r="L467" s="71" t="inlineStr">
        <x:is>
          <x:t xml:space="preserve">NO</x:t>
        </x:is>
      </x:c>
      <x:c r="M467" s="71" t="n"/>
      <x:c r="N467" s="71" t="n"/>
      <x:c r="O467" s="71" t="n"/>
      <x:c r="P467" s="71" t="n"/>
      <x:c r="Q467" s="71" t="n"/>
      <x:c r="R467" s="71" t="n"/>
      <x:c r="S467" s="206" t="n"/>
      <x:c r="T467" s="71" t="n"/>
      <x:c r="U467" s="71" t="n"/>
      <x:c r="V467" s="71" t="n"/>
      <x:c r="W467" s="71" t="n"/>
      <x:c r="X467" s="71" t="n"/>
      <x:c r="Y467" s="71" t="n"/>
      <x:c r="Z467" s="71" t="n"/>
      <x:c r="AA467" s="71" t="n"/>
      <x:c r="AB467" s="71" t="inlineStr">
        <x:is>
          <x:t xml:space="preserve">NO</x:t>
        </x:is>
      </x:c>
      <x:c r="AC467" s="57" t="inlineStr">
        <x:is>
          <x:t xml:space="preserve">V10</x:t>
        </x:is>
      </x:c>
      <x:c r="AD467" s="57" t="n"/>
      <x:c r="AE467" s="79" t="str">
        <x:f>IF(AND(I467&lt;&gt;"",J467&lt;&gt;"",K467&lt;&gt;"",L467="YES",M467&lt;&gt;"",S467&lt;&gt;"",T467&lt;&gt;"",U467&lt;&gt;"",V467&lt;&gt;"",W467&lt;&gt;"",X467&lt;&gt;"",Y467&lt;&gt;""),"COMPLETE","PENDING")</x:f>
        <x:v>PENDING</x:v>
      </x:c>
      <x:c r="AF467" s="79" t="str">
        <x:f>IF(AE467="COMPLETE","YES","NO")</x:f>
        <x:v>NO</x:v>
      </x:c>
      <x:c r="AG467" s="214" t="str">
        <x:f>IF(AF467&lt;&gt;"YES","",(IF(V467="YES",1,0)+IF(W467="YES",1,0))/2)</x:f>
      </x:c>
    </x:row>
    <x:row r="468">
      <x:c r="A468" s="57" t="inlineStr">
        <x:is>
          <x:t xml:space="preserve">C0463</x:t>
        </x:is>
      </x:c>
      <x:c r="B468" s="57" t="inlineStr">
        <x:is>
          <x:t xml:space="preserve">Development</x:t>
        </x:is>
      </x:c>
      <x:c r="C468" s="57" t="inlineStr">
        <x:is>
          <x:t xml:space="preserve">OPEN</x:t>
        </x:is>
      </x:c>
      <x:c r="D468" s="57" t="inlineStr">
        <x:is>
          <x:t xml:space="preserve">ARG-047</x:t>
        </x:is>
      </x:c>
      <x:c r="E468" s="75" t="str">
        <x:f>INDEX('Company Universe'!$B$6:$B$105,MATCH(D468,'Company Universe'!$A$6:$A$105,0))</x:f>
        <x:v>Intuit</x:v>
      </x:c>
      <x:c r="F468" s="75" t="str">
        <x:f>INDEX('Company Universe'!$C$6:$C$105,MATCH(D468,'Company Universe'!$A$6:$A$105,0))</x:f>
        <x:v>INTU</x:v>
      </x:c>
      <x:c r="G468" s="75" t="str">
        <x:f>INDEX('Company Universe'!$F$6:$F$105,MATCH(D468,'Company Universe'!$A$6:$A$105,0))</x:f>
        <x:v>Software &amp; Payments</x:v>
      </x:c>
      <x:c r="H468" s="57" t="n">
        <x:v>3</x:v>
      </x:c>
      <x:c r="I468" s="206" t="n"/>
      <x:c r="J468" s="71" t="n"/>
      <x:c r="K468" s="71" t="n"/>
      <x:c r="L468" s="71" t="inlineStr">
        <x:is>
          <x:t xml:space="preserve">NO</x:t>
        </x:is>
      </x:c>
      <x:c r="M468" s="71" t="n"/>
      <x:c r="N468" s="71" t="n"/>
      <x:c r="O468" s="71" t="n"/>
      <x:c r="P468" s="71" t="n"/>
      <x:c r="Q468" s="71" t="n"/>
      <x:c r="R468" s="71" t="n"/>
      <x:c r="S468" s="206" t="n"/>
      <x:c r="T468" s="71" t="n"/>
      <x:c r="U468" s="71" t="n"/>
      <x:c r="V468" s="71" t="n"/>
      <x:c r="W468" s="71" t="n"/>
      <x:c r="X468" s="71" t="n"/>
      <x:c r="Y468" s="71" t="n"/>
      <x:c r="Z468" s="71" t="n"/>
      <x:c r="AA468" s="71" t="n"/>
      <x:c r="AB468" s="71" t="inlineStr">
        <x:is>
          <x:t xml:space="preserve">NO</x:t>
        </x:is>
      </x:c>
      <x:c r="AC468" s="57" t="inlineStr">
        <x:is>
          <x:t xml:space="preserve">V10</x:t>
        </x:is>
      </x:c>
      <x:c r="AD468" s="57" t="n"/>
      <x:c r="AE468" s="79" t="str">
        <x:f>IF(AND(I468&lt;&gt;"",J468&lt;&gt;"",K468&lt;&gt;"",L468="YES",M468&lt;&gt;"",S468&lt;&gt;"",T468&lt;&gt;"",U468&lt;&gt;"",V468&lt;&gt;"",W468&lt;&gt;"",X468&lt;&gt;"",Y468&lt;&gt;""),"COMPLETE","PENDING")</x:f>
        <x:v>PENDING</x:v>
      </x:c>
      <x:c r="AF468" s="79" t="str">
        <x:f>IF(AE468="COMPLETE","YES","NO")</x:f>
        <x:v>NO</x:v>
      </x:c>
      <x:c r="AG468" s="214" t="str">
        <x:f>IF(AF468&lt;&gt;"YES","",(IF(V468="YES",1,0)+IF(W468="YES",1,0))/2)</x:f>
      </x:c>
    </x:row>
    <x:row r="469">
      <x:c r="A469" s="57" t="inlineStr">
        <x:is>
          <x:t xml:space="preserve">C0464</x:t>
        </x:is>
      </x:c>
      <x:c r="B469" s="57" t="inlineStr">
        <x:is>
          <x:t xml:space="preserve">Development</x:t>
        </x:is>
      </x:c>
      <x:c r="C469" s="57" t="inlineStr">
        <x:is>
          <x:t xml:space="preserve">OPEN</x:t>
        </x:is>
      </x:c>
      <x:c r="D469" s="57" t="inlineStr">
        <x:is>
          <x:t xml:space="preserve">ARG-047</x:t>
        </x:is>
      </x:c>
      <x:c r="E469" s="75" t="str">
        <x:f>INDEX('Company Universe'!$B$6:$B$105,MATCH(D469,'Company Universe'!$A$6:$A$105,0))</x:f>
        <x:v>Intuit</x:v>
      </x:c>
      <x:c r="F469" s="75" t="str">
        <x:f>INDEX('Company Universe'!$C$6:$C$105,MATCH(D469,'Company Universe'!$A$6:$A$105,0))</x:f>
        <x:v>INTU</x:v>
      </x:c>
      <x:c r="G469" s="75" t="str">
        <x:f>INDEX('Company Universe'!$F$6:$F$105,MATCH(D469,'Company Universe'!$A$6:$A$105,0))</x:f>
        <x:v>Software &amp; Payments</x:v>
      </x:c>
      <x:c r="H469" s="57" t="n">
        <x:v>4</x:v>
      </x:c>
      <x:c r="I469" s="206" t="n"/>
      <x:c r="J469" s="71" t="n"/>
      <x:c r="K469" s="71" t="n"/>
      <x:c r="L469" s="71" t="inlineStr">
        <x:is>
          <x:t xml:space="preserve">NO</x:t>
        </x:is>
      </x:c>
      <x:c r="M469" s="71" t="n"/>
      <x:c r="N469" s="71" t="n"/>
      <x:c r="O469" s="71" t="n"/>
      <x:c r="P469" s="71" t="n"/>
      <x:c r="Q469" s="71" t="n"/>
      <x:c r="R469" s="71" t="n"/>
      <x:c r="S469" s="206" t="n"/>
      <x:c r="T469" s="71" t="n"/>
      <x:c r="U469" s="71" t="n"/>
      <x:c r="V469" s="71" t="n"/>
      <x:c r="W469" s="71" t="n"/>
      <x:c r="X469" s="71" t="n"/>
      <x:c r="Y469" s="71" t="n"/>
      <x:c r="Z469" s="71" t="n"/>
      <x:c r="AA469" s="71" t="n"/>
      <x:c r="AB469" s="71" t="inlineStr">
        <x:is>
          <x:t xml:space="preserve">NO</x:t>
        </x:is>
      </x:c>
      <x:c r="AC469" s="57" t="inlineStr">
        <x:is>
          <x:t xml:space="preserve">V10</x:t>
        </x:is>
      </x:c>
      <x:c r="AD469" s="57" t="n"/>
      <x:c r="AE469" s="79" t="str">
        <x:f>IF(AND(I469&lt;&gt;"",J469&lt;&gt;"",K469&lt;&gt;"",L469="YES",M469&lt;&gt;"",S469&lt;&gt;"",T469&lt;&gt;"",U469&lt;&gt;"",V469&lt;&gt;"",W469&lt;&gt;"",X469&lt;&gt;"",Y469&lt;&gt;""),"COMPLETE","PENDING")</x:f>
        <x:v>PENDING</x:v>
      </x:c>
      <x:c r="AF469" s="79" t="str">
        <x:f>IF(AE469="COMPLETE","YES","NO")</x:f>
        <x:v>NO</x:v>
      </x:c>
      <x:c r="AG469" s="214" t="str">
        <x:f>IF(AF469&lt;&gt;"YES","",(IF(V469="YES",1,0)+IF(W469="YES",1,0))/2)</x:f>
      </x:c>
    </x:row>
    <x:row r="470">
      <x:c r="A470" s="57" t="inlineStr">
        <x:is>
          <x:t xml:space="preserve">C0465</x:t>
        </x:is>
      </x:c>
      <x:c r="B470" s="57" t="inlineStr">
        <x:is>
          <x:t xml:space="preserve">Development</x:t>
        </x:is>
      </x:c>
      <x:c r="C470" s="57" t="inlineStr">
        <x:is>
          <x:t xml:space="preserve">OPEN</x:t>
        </x:is>
      </x:c>
      <x:c r="D470" s="57" t="inlineStr">
        <x:is>
          <x:t xml:space="preserve">ARG-047</x:t>
        </x:is>
      </x:c>
      <x:c r="E470" s="75" t="str">
        <x:f>INDEX('Company Universe'!$B$6:$B$105,MATCH(D470,'Company Universe'!$A$6:$A$105,0))</x:f>
        <x:v>Intuit</x:v>
      </x:c>
      <x:c r="F470" s="75" t="str">
        <x:f>INDEX('Company Universe'!$C$6:$C$105,MATCH(D470,'Company Universe'!$A$6:$A$105,0))</x:f>
        <x:v>INTU</x:v>
      </x:c>
      <x:c r="G470" s="75" t="str">
        <x:f>INDEX('Company Universe'!$F$6:$F$105,MATCH(D470,'Company Universe'!$A$6:$A$105,0))</x:f>
        <x:v>Software &amp; Payments</x:v>
      </x:c>
      <x:c r="H470" s="57" t="n">
        <x:v>5</x:v>
      </x:c>
      <x:c r="I470" s="206" t="n"/>
      <x:c r="J470" s="71" t="n"/>
      <x:c r="K470" s="71" t="n"/>
      <x:c r="L470" s="71" t="inlineStr">
        <x:is>
          <x:t xml:space="preserve">NO</x:t>
        </x:is>
      </x:c>
      <x:c r="M470" s="71" t="n"/>
      <x:c r="N470" s="71" t="n"/>
      <x:c r="O470" s="71" t="n"/>
      <x:c r="P470" s="71" t="n"/>
      <x:c r="Q470" s="71" t="n"/>
      <x:c r="R470" s="71" t="n"/>
      <x:c r="S470" s="206" t="n"/>
      <x:c r="T470" s="71" t="n"/>
      <x:c r="U470" s="71" t="n"/>
      <x:c r="V470" s="71" t="n"/>
      <x:c r="W470" s="71" t="n"/>
      <x:c r="X470" s="71" t="n"/>
      <x:c r="Y470" s="71" t="n"/>
      <x:c r="Z470" s="71" t="n"/>
      <x:c r="AA470" s="71" t="n"/>
      <x:c r="AB470" s="71" t="inlineStr">
        <x:is>
          <x:t xml:space="preserve">NO</x:t>
        </x:is>
      </x:c>
      <x:c r="AC470" s="57" t="inlineStr">
        <x:is>
          <x:t xml:space="preserve">V10</x:t>
        </x:is>
      </x:c>
      <x:c r="AD470" s="57" t="n"/>
      <x:c r="AE470" s="79" t="str">
        <x:f>IF(AND(I470&lt;&gt;"",J470&lt;&gt;"",K470&lt;&gt;"",L470="YES",M470&lt;&gt;"",S470&lt;&gt;"",T470&lt;&gt;"",U470&lt;&gt;"",V470&lt;&gt;"",W470&lt;&gt;"",X470&lt;&gt;"",Y470&lt;&gt;""),"COMPLETE","PENDING")</x:f>
        <x:v>PENDING</x:v>
      </x:c>
      <x:c r="AF470" s="79" t="str">
        <x:f>IF(AE470="COMPLETE","YES","NO")</x:f>
        <x:v>NO</x:v>
      </x:c>
      <x:c r="AG470" s="214" t="str">
        <x:f>IF(AF470&lt;&gt;"YES","",(IF(V470="YES",1,0)+IF(W470="YES",1,0))/2)</x:f>
      </x:c>
    </x:row>
    <x:row r="471">
      <x:c r="A471" s="57" t="inlineStr">
        <x:is>
          <x:t xml:space="preserve">C0466</x:t>
        </x:is>
      </x:c>
      <x:c r="B471" s="57" t="inlineStr">
        <x:is>
          <x:t xml:space="preserve">Development</x:t>
        </x:is>
      </x:c>
      <x:c r="C471" s="57" t="inlineStr">
        <x:is>
          <x:t xml:space="preserve">OPEN</x:t>
        </x:is>
      </x:c>
      <x:c r="D471" s="57" t="inlineStr">
        <x:is>
          <x:t xml:space="preserve">ARG-047</x:t>
        </x:is>
      </x:c>
      <x:c r="E471" s="75" t="str">
        <x:f>INDEX('Company Universe'!$B$6:$B$105,MATCH(D471,'Company Universe'!$A$6:$A$105,0))</x:f>
        <x:v>Intuit</x:v>
      </x:c>
      <x:c r="F471" s="75" t="str">
        <x:f>INDEX('Company Universe'!$C$6:$C$105,MATCH(D471,'Company Universe'!$A$6:$A$105,0))</x:f>
        <x:v>INTU</x:v>
      </x:c>
      <x:c r="G471" s="75" t="str">
        <x:f>INDEX('Company Universe'!$F$6:$F$105,MATCH(D471,'Company Universe'!$A$6:$A$105,0))</x:f>
        <x:v>Software &amp; Payments</x:v>
      </x:c>
      <x:c r="H471" s="57" t="n">
        <x:v>6</x:v>
      </x:c>
      <x:c r="I471" s="206" t="n"/>
      <x:c r="J471" s="71" t="n"/>
      <x:c r="K471" s="71" t="n"/>
      <x:c r="L471" s="71" t="inlineStr">
        <x:is>
          <x:t xml:space="preserve">NO</x:t>
        </x:is>
      </x:c>
      <x:c r="M471" s="71" t="n"/>
      <x:c r="N471" s="71" t="n"/>
      <x:c r="O471" s="71" t="n"/>
      <x:c r="P471" s="71" t="n"/>
      <x:c r="Q471" s="71" t="n"/>
      <x:c r="R471" s="71" t="n"/>
      <x:c r="S471" s="206" t="n"/>
      <x:c r="T471" s="71" t="n"/>
      <x:c r="U471" s="71" t="n"/>
      <x:c r="V471" s="71" t="n"/>
      <x:c r="W471" s="71" t="n"/>
      <x:c r="X471" s="71" t="n"/>
      <x:c r="Y471" s="71" t="n"/>
      <x:c r="Z471" s="71" t="n"/>
      <x:c r="AA471" s="71" t="n"/>
      <x:c r="AB471" s="71" t="inlineStr">
        <x:is>
          <x:t xml:space="preserve">NO</x:t>
        </x:is>
      </x:c>
      <x:c r="AC471" s="57" t="inlineStr">
        <x:is>
          <x:t xml:space="preserve">V10</x:t>
        </x:is>
      </x:c>
      <x:c r="AD471" s="57" t="n"/>
      <x:c r="AE471" s="79" t="str">
        <x:f>IF(AND(I471&lt;&gt;"",J471&lt;&gt;"",K471&lt;&gt;"",L471="YES",M471&lt;&gt;"",S471&lt;&gt;"",T471&lt;&gt;"",U471&lt;&gt;"",V471&lt;&gt;"",W471&lt;&gt;"",X471&lt;&gt;"",Y471&lt;&gt;""),"COMPLETE","PENDING")</x:f>
        <x:v>PENDING</x:v>
      </x:c>
      <x:c r="AF471" s="79" t="str">
        <x:f>IF(AE471="COMPLETE","YES","NO")</x:f>
        <x:v>NO</x:v>
      </x:c>
      <x:c r="AG471" s="214" t="str">
        <x:f>IF(AF471&lt;&gt;"YES","",(IF(V471="YES",1,0)+IF(W471="YES",1,0))/2)</x:f>
      </x:c>
    </x:row>
    <x:row r="472">
      <x:c r="A472" s="57" t="inlineStr">
        <x:is>
          <x:t xml:space="preserve">C0467</x:t>
        </x:is>
      </x:c>
      <x:c r="B472" s="57" t="inlineStr">
        <x:is>
          <x:t xml:space="preserve">Development</x:t>
        </x:is>
      </x:c>
      <x:c r="C472" s="57" t="inlineStr">
        <x:is>
          <x:t xml:space="preserve">OPEN</x:t>
        </x:is>
      </x:c>
      <x:c r="D472" s="57" t="inlineStr">
        <x:is>
          <x:t xml:space="preserve">ARG-047</x:t>
        </x:is>
      </x:c>
      <x:c r="E472" s="75" t="str">
        <x:f>INDEX('Company Universe'!$B$6:$B$105,MATCH(D472,'Company Universe'!$A$6:$A$105,0))</x:f>
        <x:v>Intuit</x:v>
      </x:c>
      <x:c r="F472" s="75" t="str">
        <x:f>INDEX('Company Universe'!$C$6:$C$105,MATCH(D472,'Company Universe'!$A$6:$A$105,0))</x:f>
        <x:v>INTU</x:v>
      </x:c>
      <x:c r="G472" s="75" t="str">
        <x:f>INDEX('Company Universe'!$F$6:$F$105,MATCH(D472,'Company Universe'!$A$6:$A$105,0))</x:f>
        <x:v>Software &amp; Payments</x:v>
      </x:c>
      <x:c r="H472" s="57" t="n">
        <x:v>7</x:v>
      </x:c>
      <x:c r="I472" s="206" t="n"/>
      <x:c r="J472" s="71" t="n"/>
      <x:c r="K472" s="71" t="n"/>
      <x:c r="L472" s="71" t="inlineStr">
        <x:is>
          <x:t xml:space="preserve">NO</x:t>
        </x:is>
      </x:c>
      <x:c r="M472" s="71" t="n"/>
      <x:c r="N472" s="71" t="n"/>
      <x:c r="O472" s="71" t="n"/>
      <x:c r="P472" s="71" t="n"/>
      <x:c r="Q472" s="71" t="n"/>
      <x:c r="R472" s="71" t="n"/>
      <x:c r="S472" s="206" t="n"/>
      <x:c r="T472" s="71" t="n"/>
      <x:c r="U472" s="71" t="n"/>
      <x:c r="V472" s="71" t="n"/>
      <x:c r="W472" s="71" t="n"/>
      <x:c r="X472" s="71" t="n"/>
      <x:c r="Y472" s="71" t="n"/>
      <x:c r="Z472" s="71" t="n"/>
      <x:c r="AA472" s="71" t="n"/>
      <x:c r="AB472" s="71" t="inlineStr">
        <x:is>
          <x:t xml:space="preserve">NO</x:t>
        </x:is>
      </x:c>
      <x:c r="AC472" s="57" t="inlineStr">
        <x:is>
          <x:t xml:space="preserve">V10</x:t>
        </x:is>
      </x:c>
      <x:c r="AD472" s="57" t="n"/>
      <x:c r="AE472" s="79" t="str">
        <x:f>IF(AND(I472&lt;&gt;"",J472&lt;&gt;"",K472&lt;&gt;"",L472="YES",M472&lt;&gt;"",S472&lt;&gt;"",T472&lt;&gt;"",U472&lt;&gt;"",V472&lt;&gt;"",W472&lt;&gt;"",X472&lt;&gt;"",Y472&lt;&gt;""),"COMPLETE","PENDING")</x:f>
        <x:v>PENDING</x:v>
      </x:c>
      <x:c r="AF472" s="79" t="str">
        <x:f>IF(AE472="COMPLETE","YES","NO")</x:f>
        <x:v>NO</x:v>
      </x:c>
      <x:c r="AG472" s="214" t="str">
        <x:f>IF(AF472&lt;&gt;"YES","",(IF(V472="YES",1,0)+IF(W472="YES",1,0))/2)</x:f>
      </x:c>
    </x:row>
    <x:row r="473">
      <x:c r="A473" s="57" t="inlineStr">
        <x:is>
          <x:t xml:space="preserve">C0468</x:t>
        </x:is>
      </x:c>
      <x:c r="B473" s="57" t="inlineStr">
        <x:is>
          <x:t xml:space="preserve">Development</x:t>
        </x:is>
      </x:c>
      <x:c r="C473" s="57" t="inlineStr">
        <x:is>
          <x:t xml:space="preserve">OPEN</x:t>
        </x:is>
      </x:c>
      <x:c r="D473" s="57" t="inlineStr">
        <x:is>
          <x:t xml:space="preserve">ARG-047</x:t>
        </x:is>
      </x:c>
      <x:c r="E473" s="75" t="str">
        <x:f>INDEX('Company Universe'!$B$6:$B$105,MATCH(D473,'Company Universe'!$A$6:$A$105,0))</x:f>
        <x:v>Intuit</x:v>
      </x:c>
      <x:c r="F473" s="75" t="str">
        <x:f>INDEX('Company Universe'!$C$6:$C$105,MATCH(D473,'Company Universe'!$A$6:$A$105,0))</x:f>
        <x:v>INTU</x:v>
      </x:c>
      <x:c r="G473" s="75" t="str">
        <x:f>INDEX('Company Universe'!$F$6:$F$105,MATCH(D473,'Company Universe'!$A$6:$A$105,0))</x:f>
        <x:v>Software &amp; Payments</x:v>
      </x:c>
      <x:c r="H473" s="57" t="n">
        <x:v>8</x:v>
      </x:c>
      <x:c r="I473" s="206" t="n"/>
      <x:c r="J473" s="71" t="n"/>
      <x:c r="K473" s="71" t="n"/>
      <x:c r="L473" s="71" t="inlineStr">
        <x:is>
          <x:t xml:space="preserve">NO</x:t>
        </x:is>
      </x:c>
      <x:c r="M473" s="71" t="n"/>
      <x:c r="N473" s="71" t="n"/>
      <x:c r="O473" s="71" t="n"/>
      <x:c r="P473" s="71" t="n"/>
      <x:c r="Q473" s="71" t="n"/>
      <x:c r="R473" s="71" t="n"/>
      <x:c r="S473" s="206" t="n"/>
      <x:c r="T473" s="71" t="n"/>
      <x:c r="U473" s="71" t="n"/>
      <x:c r="V473" s="71" t="n"/>
      <x:c r="W473" s="71" t="n"/>
      <x:c r="X473" s="71" t="n"/>
      <x:c r="Y473" s="71" t="n"/>
      <x:c r="Z473" s="71" t="n"/>
      <x:c r="AA473" s="71" t="n"/>
      <x:c r="AB473" s="71" t="inlineStr">
        <x:is>
          <x:t xml:space="preserve">NO</x:t>
        </x:is>
      </x:c>
      <x:c r="AC473" s="57" t="inlineStr">
        <x:is>
          <x:t xml:space="preserve">V10</x:t>
        </x:is>
      </x:c>
      <x:c r="AD473" s="57" t="n"/>
      <x:c r="AE473" s="79" t="str">
        <x:f>IF(AND(I473&lt;&gt;"",J473&lt;&gt;"",K473&lt;&gt;"",L473="YES",M473&lt;&gt;"",S473&lt;&gt;"",T473&lt;&gt;"",U473&lt;&gt;"",V473&lt;&gt;"",W473&lt;&gt;"",X473&lt;&gt;"",Y473&lt;&gt;""),"COMPLETE","PENDING")</x:f>
        <x:v>PENDING</x:v>
      </x:c>
      <x:c r="AF473" s="79" t="str">
        <x:f>IF(AE473="COMPLETE","YES","NO")</x:f>
        <x:v>NO</x:v>
      </x:c>
      <x:c r="AG473" s="214" t="str">
        <x:f>IF(AF473&lt;&gt;"YES","",(IF(V473="YES",1,0)+IF(W473="YES",1,0))/2)</x:f>
      </x:c>
    </x:row>
    <x:row r="474">
      <x:c r="A474" s="57" t="inlineStr">
        <x:is>
          <x:t xml:space="preserve">C0469</x:t>
        </x:is>
      </x:c>
      <x:c r="B474" s="57" t="inlineStr">
        <x:is>
          <x:t xml:space="preserve">Development</x:t>
        </x:is>
      </x:c>
      <x:c r="C474" s="57" t="inlineStr">
        <x:is>
          <x:t xml:space="preserve">OPEN</x:t>
        </x:is>
      </x:c>
      <x:c r="D474" s="57" t="inlineStr">
        <x:is>
          <x:t xml:space="preserve">ARG-047</x:t>
        </x:is>
      </x:c>
      <x:c r="E474" s="75" t="str">
        <x:f>INDEX('Company Universe'!$B$6:$B$105,MATCH(D474,'Company Universe'!$A$6:$A$105,0))</x:f>
        <x:v>Intuit</x:v>
      </x:c>
      <x:c r="F474" s="75" t="str">
        <x:f>INDEX('Company Universe'!$C$6:$C$105,MATCH(D474,'Company Universe'!$A$6:$A$105,0))</x:f>
        <x:v>INTU</x:v>
      </x:c>
      <x:c r="G474" s="75" t="str">
        <x:f>INDEX('Company Universe'!$F$6:$F$105,MATCH(D474,'Company Universe'!$A$6:$A$105,0))</x:f>
        <x:v>Software &amp; Payments</x:v>
      </x:c>
      <x:c r="H474" s="57" t="n">
        <x:v>9</x:v>
      </x:c>
      <x:c r="I474" s="206" t="n"/>
      <x:c r="J474" s="71" t="n"/>
      <x:c r="K474" s="71" t="n"/>
      <x:c r="L474" s="71" t="inlineStr">
        <x:is>
          <x:t xml:space="preserve">NO</x:t>
        </x:is>
      </x:c>
      <x:c r="M474" s="71" t="n"/>
      <x:c r="N474" s="71" t="n"/>
      <x:c r="O474" s="71" t="n"/>
      <x:c r="P474" s="71" t="n"/>
      <x:c r="Q474" s="71" t="n"/>
      <x:c r="R474" s="71" t="n"/>
      <x:c r="S474" s="206" t="n"/>
      <x:c r="T474" s="71" t="n"/>
      <x:c r="U474" s="71" t="n"/>
      <x:c r="V474" s="71" t="n"/>
      <x:c r="W474" s="71" t="n"/>
      <x:c r="X474" s="71" t="n"/>
      <x:c r="Y474" s="71" t="n"/>
      <x:c r="Z474" s="71" t="n"/>
      <x:c r="AA474" s="71" t="n"/>
      <x:c r="AB474" s="71" t="inlineStr">
        <x:is>
          <x:t xml:space="preserve">NO</x:t>
        </x:is>
      </x:c>
      <x:c r="AC474" s="57" t="inlineStr">
        <x:is>
          <x:t xml:space="preserve">V10</x:t>
        </x:is>
      </x:c>
      <x:c r="AD474" s="57" t="n"/>
      <x:c r="AE474" s="79" t="str">
        <x:f>IF(AND(I474&lt;&gt;"",J474&lt;&gt;"",K474&lt;&gt;"",L474="YES",M474&lt;&gt;"",S474&lt;&gt;"",T474&lt;&gt;"",U474&lt;&gt;"",V474&lt;&gt;"",W474&lt;&gt;"",X474&lt;&gt;"",Y474&lt;&gt;""),"COMPLETE","PENDING")</x:f>
        <x:v>PENDING</x:v>
      </x:c>
      <x:c r="AF474" s="79" t="str">
        <x:f>IF(AE474="COMPLETE","YES","NO")</x:f>
        <x:v>NO</x:v>
      </x:c>
      <x:c r="AG474" s="214" t="str">
        <x:f>IF(AF474&lt;&gt;"YES","",(IF(V474="YES",1,0)+IF(W474="YES",1,0))/2)</x:f>
      </x:c>
    </x:row>
    <x:row r="475">
      <x:c r="A475" s="57" t="inlineStr">
        <x:is>
          <x:t xml:space="preserve">C0470</x:t>
        </x:is>
      </x:c>
      <x:c r="B475" s="57" t="inlineStr">
        <x:is>
          <x:t xml:space="preserve">Development</x:t>
        </x:is>
      </x:c>
      <x:c r="C475" s="57" t="inlineStr">
        <x:is>
          <x:t xml:space="preserve">OPEN</x:t>
        </x:is>
      </x:c>
      <x:c r="D475" s="57" t="inlineStr">
        <x:is>
          <x:t xml:space="preserve">ARG-047</x:t>
        </x:is>
      </x:c>
      <x:c r="E475" s="75" t="str">
        <x:f>INDEX('Company Universe'!$B$6:$B$105,MATCH(D475,'Company Universe'!$A$6:$A$105,0))</x:f>
        <x:v>Intuit</x:v>
      </x:c>
      <x:c r="F475" s="75" t="str">
        <x:f>INDEX('Company Universe'!$C$6:$C$105,MATCH(D475,'Company Universe'!$A$6:$A$105,0))</x:f>
        <x:v>INTU</x:v>
      </x:c>
      <x:c r="G475" s="75" t="str">
        <x:f>INDEX('Company Universe'!$F$6:$F$105,MATCH(D475,'Company Universe'!$A$6:$A$105,0))</x:f>
        <x:v>Software &amp; Payments</x:v>
      </x:c>
      <x:c r="H475" s="57" t="n">
        <x:v>10</x:v>
      </x:c>
      <x:c r="I475" s="206" t="n"/>
      <x:c r="J475" s="71" t="n"/>
      <x:c r="K475" s="71" t="n"/>
      <x:c r="L475" s="71" t="inlineStr">
        <x:is>
          <x:t xml:space="preserve">NO</x:t>
        </x:is>
      </x:c>
      <x:c r="M475" s="71" t="n"/>
      <x:c r="N475" s="71" t="n"/>
      <x:c r="O475" s="71" t="n"/>
      <x:c r="P475" s="71" t="n"/>
      <x:c r="Q475" s="71" t="n"/>
      <x:c r="R475" s="71" t="n"/>
      <x:c r="S475" s="206" t="n"/>
      <x:c r="T475" s="71" t="n"/>
      <x:c r="U475" s="71" t="n"/>
      <x:c r="V475" s="71" t="n"/>
      <x:c r="W475" s="71" t="n"/>
      <x:c r="X475" s="71" t="n"/>
      <x:c r="Y475" s="71" t="n"/>
      <x:c r="Z475" s="71" t="n"/>
      <x:c r="AA475" s="71" t="n"/>
      <x:c r="AB475" s="71" t="inlineStr">
        <x:is>
          <x:t xml:space="preserve">NO</x:t>
        </x:is>
      </x:c>
      <x:c r="AC475" s="57" t="inlineStr">
        <x:is>
          <x:t xml:space="preserve">V10</x:t>
        </x:is>
      </x:c>
      <x:c r="AD475" s="57" t="n"/>
      <x:c r="AE475" s="79" t="str">
        <x:f>IF(AND(I475&lt;&gt;"",J475&lt;&gt;"",K475&lt;&gt;"",L475="YES",M475&lt;&gt;"",S475&lt;&gt;"",T475&lt;&gt;"",U475&lt;&gt;"",V475&lt;&gt;"",W475&lt;&gt;"",X475&lt;&gt;"",Y475&lt;&gt;""),"COMPLETE","PENDING")</x:f>
        <x:v>PENDING</x:v>
      </x:c>
      <x:c r="AF475" s="79" t="str">
        <x:f>IF(AE475="COMPLETE","YES","NO")</x:f>
        <x:v>NO</x:v>
      </x:c>
      <x:c r="AG475" s="214" t="str">
        <x:f>IF(AF475&lt;&gt;"YES","",(IF(V475="YES",1,0)+IF(W475="YES",1,0))/2)</x:f>
      </x:c>
    </x:row>
    <x:row r="476">
      <x:c r="A476" s="57" t="inlineStr">
        <x:is>
          <x:t xml:space="preserve">C0471</x:t>
        </x:is>
      </x:c>
      <x:c r="B476" s="57" t="inlineStr">
        <x:is>
          <x:t xml:space="preserve">Development</x:t>
        </x:is>
      </x:c>
      <x:c r="C476" s="57" t="inlineStr">
        <x:is>
          <x:t xml:space="preserve">OPEN</x:t>
        </x:is>
      </x:c>
      <x:c r="D476" s="57" t="inlineStr">
        <x:is>
          <x:t xml:space="preserve">ARG-048</x:t>
        </x:is>
      </x:c>
      <x:c r="E476" s="75" t="str">
        <x:f>INDEX('Company Universe'!$B$6:$B$105,MATCH(D476,'Company Universe'!$A$6:$A$105,0))</x:f>
        <x:v>Oracle</x:v>
      </x:c>
      <x:c r="F476" s="75" t="str">
        <x:f>INDEX('Company Universe'!$C$6:$C$105,MATCH(D476,'Company Universe'!$A$6:$A$105,0))</x:f>
        <x:v>ORCL</x:v>
      </x:c>
      <x:c r="G476" s="75" t="str">
        <x:f>INDEX('Company Universe'!$F$6:$F$105,MATCH(D476,'Company Universe'!$A$6:$A$105,0))</x:f>
        <x:v>Software &amp; Payments</x:v>
      </x:c>
      <x:c r="H476" s="57" t="n">
        <x:v>1</x:v>
      </x:c>
      <x:c r="I476" s="206" t="n"/>
      <x:c r="J476" s="71" t="n"/>
      <x:c r="K476" s="71" t="n"/>
      <x:c r="L476" s="71" t="inlineStr">
        <x:is>
          <x:t xml:space="preserve">NO</x:t>
        </x:is>
      </x:c>
      <x:c r="M476" s="71" t="n"/>
      <x:c r="N476" s="71" t="n"/>
      <x:c r="O476" s="71" t="n"/>
      <x:c r="P476" s="71" t="n"/>
      <x:c r="Q476" s="71" t="n"/>
      <x:c r="R476" s="71" t="n"/>
      <x:c r="S476" s="206" t="n"/>
      <x:c r="T476" s="71" t="n"/>
      <x:c r="U476" s="71" t="n"/>
      <x:c r="V476" s="71" t="n"/>
      <x:c r="W476" s="71" t="n"/>
      <x:c r="X476" s="71" t="n"/>
      <x:c r="Y476" s="71" t="n"/>
      <x:c r="Z476" s="71" t="n"/>
      <x:c r="AA476" s="71" t="n"/>
      <x:c r="AB476" s="71" t="inlineStr">
        <x:is>
          <x:t xml:space="preserve">NO</x:t>
        </x:is>
      </x:c>
      <x:c r="AC476" s="57" t="inlineStr">
        <x:is>
          <x:t xml:space="preserve">V10</x:t>
        </x:is>
      </x:c>
      <x:c r="AD476" s="57" t="n"/>
      <x:c r="AE476" s="79" t="str">
        <x:f>IF(AND(I476&lt;&gt;"",J476&lt;&gt;"",K476&lt;&gt;"",L476="YES",M476&lt;&gt;"",S476&lt;&gt;"",T476&lt;&gt;"",U476&lt;&gt;"",V476&lt;&gt;"",W476&lt;&gt;"",X476&lt;&gt;"",Y476&lt;&gt;""),"COMPLETE","PENDING")</x:f>
        <x:v>PENDING</x:v>
      </x:c>
      <x:c r="AF476" s="79" t="str">
        <x:f>IF(AE476="COMPLETE","YES","NO")</x:f>
        <x:v>NO</x:v>
      </x:c>
      <x:c r="AG476" s="214" t="str">
        <x:f>IF(AF476&lt;&gt;"YES","",(IF(V476="YES",1,0)+IF(W476="YES",1,0))/2)</x:f>
      </x:c>
    </x:row>
    <x:row r="477">
      <x:c r="A477" s="57" t="inlineStr">
        <x:is>
          <x:t xml:space="preserve">C0472</x:t>
        </x:is>
      </x:c>
      <x:c r="B477" s="57" t="inlineStr">
        <x:is>
          <x:t xml:space="preserve">Development</x:t>
        </x:is>
      </x:c>
      <x:c r="C477" s="57" t="inlineStr">
        <x:is>
          <x:t xml:space="preserve">OPEN</x:t>
        </x:is>
      </x:c>
      <x:c r="D477" s="57" t="inlineStr">
        <x:is>
          <x:t xml:space="preserve">ARG-048</x:t>
        </x:is>
      </x:c>
      <x:c r="E477" s="75" t="str">
        <x:f>INDEX('Company Universe'!$B$6:$B$105,MATCH(D477,'Company Universe'!$A$6:$A$105,0))</x:f>
        <x:v>Oracle</x:v>
      </x:c>
      <x:c r="F477" s="75" t="str">
        <x:f>INDEX('Company Universe'!$C$6:$C$105,MATCH(D477,'Company Universe'!$A$6:$A$105,0))</x:f>
        <x:v>ORCL</x:v>
      </x:c>
      <x:c r="G477" s="75" t="str">
        <x:f>INDEX('Company Universe'!$F$6:$F$105,MATCH(D477,'Company Universe'!$A$6:$A$105,0))</x:f>
        <x:v>Software &amp; Payments</x:v>
      </x:c>
      <x:c r="H477" s="57" t="n">
        <x:v>2</x:v>
      </x:c>
      <x:c r="I477" s="206" t="n"/>
      <x:c r="J477" s="71" t="n"/>
      <x:c r="K477" s="71" t="n"/>
      <x:c r="L477" s="71" t="inlineStr">
        <x:is>
          <x:t xml:space="preserve">NO</x:t>
        </x:is>
      </x:c>
      <x:c r="M477" s="71" t="n"/>
      <x:c r="N477" s="71" t="n"/>
      <x:c r="O477" s="71" t="n"/>
      <x:c r="P477" s="71" t="n"/>
      <x:c r="Q477" s="71" t="n"/>
      <x:c r="R477" s="71" t="n"/>
      <x:c r="S477" s="206" t="n"/>
      <x:c r="T477" s="71" t="n"/>
      <x:c r="U477" s="71" t="n"/>
      <x:c r="V477" s="71" t="n"/>
      <x:c r="W477" s="71" t="n"/>
      <x:c r="X477" s="71" t="n"/>
      <x:c r="Y477" s="71" t="n"/>
      <x:c r="Z477" s="71" t="n"/>
      <x:c r="AA477" s="71" t="n"/>
      <x:c r="AB477" s="71" t="inlineStr">
        <x:is>
          <x:t xml:space="preserve">NO</x:t>
        </x:is>
      </x:c>
      <x:c r="AC477" s="57" t="inlineStr">
        <x:is>
          <x:t xml:space="preserve">V10</x:t>
        </x:is>
      </x:c>
      <x:c r="AD477" s="57" t="n"/>
      <x:c r="AE477" s="79" t="str">
        <x:f>IF(AND(I477&lt;&gt;"",J477&lt;&gt;"",K477&lt;&gt;"",L477="YES",M477&lt;&gt;"",S477&lt;&gt;"",T477&lt;&gt;"",U477&lt;&gt;"",V477&lt;&gt;"",W477&lt;&gt;"",X477&lt;&gt;"",Y477&lt;&gt;""),"COMPLETE","PENDING")</x:f>
        <x:v>PENDING</x:v>
      </x:c>
      <x:c r="AF477" s="79" t="str">
        <x:f>IF(AE477="COMPLETE","YES","NO")</x:f>
        <x:v>NO</x:v>
      </x:c>
      <x:c r="AG477" s="214" t="str">
        <x:f>IF(AF477&lt;&gt;"YES","",(IF(V477="YES",1,0)+IF(W477="YES",1,0))/2)</x:f>
      </x:c>
    </x:row>
    <x:row r="478">
      <x:c r="A478" s="57" t="inlineStr">
        <x:is>
          <x:t xml:space="preserve">C0473</x:t>
        </x:is>
      </x:c>
      <x:c r="B478" s="57" t="inlineStr">
        <x:is>
          <x:t xml:space="preserve">Development</x:t>
        </x:is>
      </x:c>
      <x:c r="C478" s="57" t="inlineStr">
        <x:is>
          <x:t xml:space="preserve">OPEN</x:t>
        </x:is>
      </x:c>
      <x:c r="D478" s="57" t="inlineStr">
        <x:is>
          <x:t xml:space="preserve">ARG-048</x:t>
        </x:is>
      </x:c>
      <x:c r="E478" s="75" t="str">
        <x:f>INDEX('Company Universe'!$B$6:$B$105,MATCH(D478,'Company Universe'!$A$6:$A$105,0))</x:f>
        <x:v>Oracle</x:v>
      </x:c>
      <x:c r="F478" s="75" t="str">
        <x:f>INDEX('Company Universe'!$C$6:$C$105,MATCH(D478,'Company Universe'!$A$6:$A$105,0))</x:f>
        <x:v>ORCL</x:v>
      </x:c>
      <x:c r="G478" s="75" t="str">
        <x:f>INDEX('Company Universe'!$F$6:$F$105,MATCH(D478,'Company Universe'!$A$6:$A$105,0))</x:f>
        <x:v>Software &amp; Payments</x:v>
      </x:c>
      <x:c r="H478" s="57" t="n">
        <x:v>3</x:v>
      </x:c>
      <x:c r="I478" s="206" t="n"/>
      <x:c r="J478" s="71" t="n"/>
      <x:c r="K478" s="71" t="n"/>
      <x:c r="L478" s="71" t="inlineStr">
        <x:is>
          <x:t xml:space="preserve">NO</x:t>
        </x:is>
      </x:c>
      <x:c r="M478" s="71" t="n"/>
      <x:c r="N478" s="71" t="n"/>
      <x:c r="O478" s="71" t="n"/>
      <x:c r="P478" s="71" t="n"/>
      <x:c r="Q478" s="71" t="n"/>
      <x:c r="R478" s="71" t="n"/>
      <x:c r="S478" s="206" t="n"/>
      <x:c r="T478" s="71" t="n"/>
      <x:c r="U478" s="71" t="n"/>
      <x:c r="V478" s="71" t="n"/>
      <x:c r="W478" s="71" t="n"/>
      <x:c r="X478" s="71" t="n"/>
      <x:c r="Y478" s="71" t="n"/>
      <x:c r="Z478" s="71" t="n"/>
      <x:c r="AA478" s="71" t="n"/>
      <x:c r="AB478" s="71" t="inlineStr">
        <x:is>
          <x:t xml:space="preserve">NO</x:t>
        </x:is>
      </x:c>
      <x:c r="AC478" s="57" t="inlineStr">
        <x:is>
          <x:t xml:space="preserve">V10</x:t>
        </x:is>
      </x:c>
      <x:c r="AD478" s="57" t="n"/>
      <x:c r="AE478" s="79" t="str">
        <x:f>IF(AND(I478&lt;&gt;"",J478&lt;&gt;"",K478&lt;&gt;"",L478="YES",M478&lt;&gt;"",S478&lt;&gt;"",T478&lt;&gt;"",U478&lt;&gt;"",V478&lt;&gt;"",W478&lt;&gt;"",X478&lt;&gt;"",Y478&lt;&gt;""),"COMPLETE","PENDING")</x:f>
        <x:v>PENDING</x:v>
      </x:c>
      <x:c r="AF478" s="79" t="str">
        <x:f>IF(AE478="COMPLETE","YES","NO")</x:f>
        <x:v>NO</x:v>
      </x:c>
      <x:c r="AG478" s="214" t="str">
        <x:f>IF(AF478&lt;&gt;"YES","",(IF(V478="YES",1,0)+IF(W478="YES",1,0))/2)</x:f>
      </x:c>
    </x:row>
    <x:row r="479">
      <x:c r="A479" s="57" t="inlineStr">
        <x:is>
          <x:t xml:space="preserve">C0474</x:t>
        </x:is>
      </x:c>
      <x:c r="B479" s="57" t="inlineStr">
        <x:is>
          <x:t xml:space="preserve">Development</x:t>
        </x:is>
      </x:c>
      <x:c r="C479" s="57" t="inlineStr">
        <x:is>
          <x:t xml:space="preserve">OPEN</x:t>
        </x:is>
      </x:c>
      <x:c r="D479" s="57" t="inlineStr">
        <x:is>
          <x:t xml:space="preserve">ARG-048</x:t>
        </x:is>
      </x:c>
      <x:c r="E479" s="75" t="str">
        <x:f>INDEX('Company Universe'!$B$6:$B$105,MATCH(D479,'Company Universe'!$A$6:$A$105,0))</x:f>
        <x:v>Oracle</x:v>
      </x:c>
      <x:c r="F479" s="75" t="str">
        <x:f>INDEX('Company Universe'!$C$6:$C$105,MATCH(D479,'Company Universe'!$A$6:$A$105,0))</x:f>
        <x:v>ORCL</x:v>
      </x:c>
      <x:c r="G479" s="75" t="str">
        <x:f>INDEX('Company Universe'!$F$6:$F$105,MATCH(D479,'Company Universe'!$A$6:$A$105,0))</x:f>
        <x:v>Software &amp; Payments</x:v>
      </x:c>
      <x:c r="H479" s="57" t="n">
        <x:v>4</x:v>
      </x:c>
      <x:c r="I479" s="206" t="n"/>
      <x:c r="J479" s="71" t="n"/>
      <x:c r="K479" s="71" t="n"/>
      <x:c r="L479" s="71" t="inlineStr">
        <x:is>
          <x:t xml:space="preserve">NO</x:t>
        </x:is>
      </x:c>
      <x:c r="M479" s="71" t="n"/>
      <x:c r="N479" s="71" t="n"/>
      <x:c r="O479" s="71" t="n"/>
      <x:c r="P479" s="71" t="n"/>
      <x:c r="Q479" s="71" t="n"/>
      <x:c r="R479" s="71" t="n"/>
      <x:c r="S479" s="206" t="n"/>
      <x:c r="T479" s="71" t="n"/>
      <x:c r="U479" s="71" t="n"/>
      <x:c r="V479" s="71" t="n"/>
      <x:c r="W479" s="71" t="n"/>
      <x:c r="X479" s="71" t="n"/>
      <x:c r="Y479" s="71" t="n"/>
      <x:c r="Z479" s="71" t="n"/>
      <x:c r="AA479" s="71" t="n"/>
      <x:c r="AB479" s="71" t="inlineStr">
        <x:is>
          <x:t xml:space="preserve">NO</x:t>
        </x:is>
      </x:c>
      <x:c r="AC479" s="57" t="inlineStr">
        <x:is>
          <x:t xml:space="preserve">V10</x:t>
        </x:is>
      </x:c>
      <x:c r="AD479" s="57" t="n"/>
      <x:c r="AE479" s="79" t="str">
        <x:f>IF(AND(I479&lt;&gt;"",J479&lt;&gt;"",K479&lt;&gt;"",L479="YES",M479&lt;&gt;"",S479&lt;&gt;"",T479&lt;&gt;"",U479&lt;&gt;"",V479&lt;&gt;"",W479&lt;&gt;"",X479&lt;&gt;"",Y479&lt;&gt;""),"COMPLETE","PENDING")</x:f>
        <x:v>PENDING</x:v>
      </x:c>
      <x:c r="AF479" s="79" t="str">
        <x:f>IF(AE479="COMPLETE","YES","NO")</x:f>
        <x:v>NO</x:v>
      </x:c>
      <x:c r="AG479" s="214" t="str">
        <x:f>IF(AF479&lt;&gt;"YES","",(IF(V479="YES",1,0)+IF(W479="YES",1,0))/2)</x:f>
      </x:c>
    </x:row>
    <x:row r="480">
      <x:c r="A480" s="57" t="inlineStr">
        <x:is>
          <x:t xml:space="preserve">C0475</x:t>
        </x:is>
      </x:c>
      <x:c r="B480" s="57" t="inlineStr">
        <x:is>
          <x:t xml:space="preserve">Development</x:t>
        </x:is>
      </x:c>
      <x:c r="C480" s="57" t="inlineStr">
        <x:is>
          <x:t xml:space="preserve">OPEN</x:t>
        </x:is>
      </x:c>
      <x:c r="D480" s="57" t="inlineStr">
        <x:is>
          <x:t xml:space="preserve">ARG-048</x:t>
        </x:is>
      </x:c>
      <x:c r="E480" s="75" t="str">
        <x:f>INDEX('Company Universe'!$B$6:$B$105,MATCH(D480,'Company Universe'!$A$6:$A$105,0))</x:f>
        <x:v>Oracle</x:v>
      </x:c>
      <x:c r="F480" s="75" t="str">
        <x:f>INDEX('Company Universe'!$C$6:$C$105,MATCH(D480,'Company Universe'!$A$6:$A$105,0))</x:f>
        <x:v>ORCL</x:v>
      </x:c>
      <x:c r="G480" s="75" t="str">
        <x:f>INDEX('Company Universe'!$F$6:$F$105,MATCH(D480,'Company Universe'!$A$6:$A$105,0))</x:f>
        <x:v>Software &amp; Payments</x:v>
      </x:c>
      <x:c r="H480" s="57" t="n">
        <x:v>5</x:v>
      </x:c>
      <x:c r="I480" s="206" t="n"/>
      <x:c r="J480" s="71" t="n"/>
      <x:c r="K480" s="71" t="n"/>
      <x:c r="L480" s="71" t="inlineStr">
        <x:is>
          <x:t xml:space="preserve">NO</x:t>
        </x:is>
      </x:c>
      <x:c r="M480" s="71" t="n"/>
      <x:c r="N480" s="71" t="n"/>
      <x:c r="O480" s="71" t="n"/>
      <x:c r="P480" s="71" t="n"/>
      <x:c r="Q480" s="71" t="n"/>
      <x:c r="R480" s="71" t="n"/>
      <x:c r="S480" s="206" t="n"/>
      <x:c r="T480" s="71" t="n"/>
      <x:c r="U480" s="71" t="n"/>
      <x:c r="V480" s="71" t="n"/>
      <x:c r="W480" s="71" t="n"/>
      <x:c r="X480" s="71" t="n"/>
      <x:c r="Y480" s="71" t="n"/>
      <x:c r="Z480" s="71" t="n"/>
      <x:c r="AA480" s="71" t="n"/>
      <x:c r="AB480" s="71" t="inlineStr">
        <x:is>
          <x:t xml:space="preserve">NO</x:t>
        </x:is>
      </x:c>
      <x:c r="AC480" s="57" t="inlineStr">
        <x:is>
          <x:t xml:space="preserve">V10</x:t>
        </x:is>
      </x:c>
      <x:c r="AD480" s="57" t="n"/>
      <x:c r="AE480" s="79" t="str">
        <x:f>IF(AND(I480&lt;&gt;"",J480&lt;&gt;"",K480&lt;&gt;"",L480="YES",M480&lt;&gt;"",S480&lt;&gt;"",T480&lt;&gt;"",U480&lt;&gt;"",V480&lt;&gt;"",W480&lt;&gt;"",X480&lt;&gt;"",Y480&lt;&gt;""),"COMPLETE","PENDING")</x:f>
        <x:v>PENDING</x:v>
      </x:c>
      <x:c r="AF480" s="79" t="str">
        <x:f>IF(AE480="COMPLETE","YES","NO")</x:f>
        <x:v>NO</x:v>
      </x:c>
      <x:c r="AG480" s="214" t="str">
        <x:f>IF(AF480&lt;&gt;"YES","",(IF(V480="YES",1,0)+IF(W480="YES",1,0))/2)</x:f>
      </x:c>
    </x:row>
    <x:row r="481">
      <x:c r="A481" s="57" t="inlineStr">
        <x:is>
          <x:t xml:space="preserve">C0476</x:t>
        </x:is>
      </x:c>
      <x:c r="B481" s="57" t="inlineStr">
        <x:is>
          <x:t xml:space="preserve">Development</x:t>
        </x:is>
      </x:c>
      <x:c r="C481" s="57" t="inlineStr">
        <x:is>
          <x:t xml:space="preserve">OPEN</x:t>
        </x:is>
      </x:c>
      <x:c r="D481" s="57" t="inlineStr">
        <x:is>
          <x:t xml:space="preserve">ARG-048</x:t>
        </x:is>
      </x:c>
      <x:c r="E481" s="75" t="str">
        <x:f>INDEX('Company Universe'!$B$6:$B$105,MATCH(D481,'Company Universe'!$A$6:$A$105,0))</x:f>
        <x:v>Oracle</x:v>
      </x:c>
      <x:c r="F481" s="75" t="str">
        <x:f>INDEX('Company Universe'!$C$6:$C$105,MATCH(D481,'Company Universe'!$A$6:$A$105,0))</x:f>
        <x:v>ORCL</x:v>
      </x:c>
      <x:c r="G481" s="75" t="str">
        <x:f>INDEX('Company Universe'!$F$6:$F$105,MATCH(D481,'Company Universe'!$A$6:$A$105,0))</x:f>
        <x:v>Software &amp; Payments</x:v>
      </x:c>
      <x:c r="H481" s="57" t="n">
        <x:v>6</x:v>
      </x:c>
      <x:c r="I481" s="206" t="n"/>
      <x:c r="J481" s="71" t="n"/>
      <x:c r="K481" s="71" t="n"/>
      <x:c r="L481" s="71" t="inlineStr">
        <x:is>
          <x:t xml:space="preserve">NO</x:t>
        </x:is>
      </x:c>
      <x:c r="M481" s="71" t="n"/>
      <x:c r="N481" s="71" t="n"/>
      <x:c r="O481" s="71" t="n"/>
      <x:c r="P481" s="71" t="n"/>
      <x:c r="Q481" s="71" t="n"/>
      <x:c r="R481" s="71" t="n"/>
      <x:c r="S481" s="206" t="n"/>
      <x:c r="T481" s="71" t="n"/>
      <x:c r="U481" s="71" t="n"/>
      <x:c r="V481" s="71" t="n"/>
      <x:c r="W481" s="71" t="n"/>
      <x:c r="X481" s="71" t="n"/>
      <x:c r="Y481" s="71" t="n"/>
      <x:c r="Z481" s="71" t="n"/>
      <x:c r="AA481" s="71" t="n"/>
      <x:c r="AB481" s="71" t="inlineStr">
        <x:is>
          <x:t xml:space="preserve">NO</x:t>
        </x:is>
      </x:c>
      <x:c r="AC481" s="57" t="inlineStr">
        <x:is>
          <x:t xml:space="preserve">V10</x:t>
        </x:is>
      </x:c>
      <x:c r="AD481" s="57" t="n"/>
      <x:c r="AE481" s="79" t="str">
        <x:f>IF(AND(I481&lt;&gt;"",J481&lt;&gt;"",K481&lt;&gt;"",L481="YES",M481&lt;&gt;"",S481&lt;&gt;"",T481&lt;&gt;"",U481&lt;&gt;"",V481&lt;&gt;"",W481&lt;&gt;"",X481&lt;&gt;"",Y481&lt;&gt;""),"COMPLETE","PENDING")</x:f>
        <x:v>PENDING</x:v>
      </x:c>
      <x:c r="AF481" s="79" t="str">
        <x:f>IF(AE481="COMPLETE","YES","NO")</x:f>
        <x:v>NO</x:v>
      </x:c>
      <x:c r="AG481" s="214" t="str">
        <x:f>IF(AF481&lt;&gt;"YES","",(IF(V481="YES",1,0)+IF(W481="YES",1,0))/2)</x:f>
      </x:c>
    </x:row>
    <x:row r="482">
      <x:c r="A482" s="57" t="inlineStr">
        <x:is>
          <x:t xml:space="preserve">C0477</x:t>
        </x:is>
      </x:c>
      <x:c r="B482" s="57" t="inlineStr">
        <x:is>
          <x:t xml:space="preserve">Development</x:t>
        </x:is>
      </x:c>
      <x:c r="C482" s="57" t="inlineStr">
        <x:is>
          <x:t xml:space="preserve">OPEN</x:t>
        </x:is>
      </x:c>
      <x:c r="D482" s="57" t="inlineStr">
        <x:is>
          <x:t xml:space="preserve">ARG-048</x:t>
        </x:is>
      </x:c>
      <x:c r="E482" s="75" t="str">
        <x:f>INDEX('Company Universe'!$B$6:$B$105,MATCH(D482,'Company Universe'!$A$6:$A$105,0))</x:f>
        <x:v>Oracle</x:v>
      </x:c>
      <x:c r="F482" s="75" t="str">
        <x:f>INDEX('Company Universe'!$C$6:$C$105,MATCH(D482,'Company Universe'!$A$6:$A$105,0))</x:f>
        <x:v>ORCL</x:v>
      </x:c>
      <x:c r="G482" s="75" t="str">
        <x:f>INDEX('Company Universe'!$F$6:$F$105,MATCH(D482,'Company Universe'!$A$6:$A$105,0))</x:f>
        <x:v>Software &amp; Payments</x:v>
      </x:c>
      <x:c r="H482" s="57" t="n">
        <x:v>7</x:v>
      </x:c>
      <x:c r="I482" s="206" t="n"/>
      <x:c r="J482" s="71" t="n"/>
      <x:c r="K482" s="71" t="n"/>
      <x:c r="L482" s="71" t="inlineStr">
        <x:is>
          <x:t xml:space="preserve">NO</x:t>
        </x:is>
      </x:c>
      <x:c r="M482" s="71" t="n"/>
      <x:c r="N482" s="71" t="n"/>
      <x:c r="O482" s="71" t="n"/>
      <x:c r="P482" s="71" t="n"/>
      <x:c r="Q482" s="71" t="n"/>
      <x:c r="R482" s="71" t="n"/>
      <x:c r="S482" s="206" t="n"/>
      <x:c r="T482" s="71" t="n"/>
      <x:c r="U482" s="71" t="n"/>
      <x:c r="V482" s="71" t="n"/>
      <x:c r="W482" s="71" t="n"/>
      <x:c r="X482" s="71" t="n"/>
      <x:c r="Y482" s="71" t="n"/>
      <x:c r="Z482" s="71" t="n"/>
      <x:c r="AA482" s="71" t="n"/>
      <x:c r="AB482" s="71" t="inlineStr">
        <x:is>
          <x:t xml:space="preserve">NO</x:t>
        </x:is>
      </x:c>
      <x:c r="AC482" s="57" t="inlineStr">
        <x:is>
          <x:t xml:space="preserve">V10</x:t>
        </x:is>
      </x:c>
      <x:c r="AD482" s="57" t="n"/>
      <x:c r="AE482" s="79" t="str">
        <x:f>IF(AND(I482&lt;&gt;"",J482&lt;&gt;"",K482&lt;&gt;"",L482="YES",M482&lt;&gt;"",S482&lt;&gt;"",T482&lt;&gt;"",U482&lt;&gt;"",V482&lt;&gt;"",W482&lt;&gt;"",X482&lt;&gt;"",Y482&lt;&gt;""),"COMPLETE","PENDING")</x:f>
        <x:v>PENDING</x:v>
      </x:c>
      <x:c r="AF482" s="79" t="str">
        <x:f>IF(AE482="COMPLETE","YES","NO")</x:f>
        <x:v>NO</x:v>
      </x:c>
      <x:c r="AG482" s="214" t="str">
        <x:f>IF(AF482&lt;&gt;"YES","",(IF(V482="YES",1,0)+IF(W482="YES",1,0))/2)</x:f>
      </x:c>
    </x:row>
    <x:row r="483">
      <x:c r="A483" s="57" t="inlineStr">
        <x:is>
          <x:t xml:space="preserve">C0478</x:t>
        </x:is>
      </x:c>
      <x:c r="B483" s="57" t="inlineStr">
        <x:is>
          <x:t xml:space="preserve">Development</x:t>
        </x:is>
      </x:c>
      <x:c r="C483" s="57" t="inlineStr">
        <x:is>
          <x:t xml:space="preserve">OPEN</x:t>
        </x:is>
      </x:c>
      <x:c r="D483" s="57" t="inlineStr">
        <x:is>
          <x:t xml:space="preserve">ARG-048</x:t>
        </x:is>
      </x:c>
      <x:c r="E483" s="75" t="str">
        <x:f>INDEX('Company Universe'!$B$6:$B$105,MATCH(D483,'Company Universe'!$A$6:$A$105,0))</x:f>
        <x:v>Oracle</x:v>
      </x:c>
      <x:c r="F483" s="75" t="str">
        <x:f>INDEX('Company Universe'!$C$6:$C$105,MATCH(D483,'Company Universe'!$A$6:$A$105,0))</x:f>
        <x:v>ORCL</x:v>
      </x:c>
      <x:c r="G483" s="75" t="str">
        <x:f>INDEX('Company Universe'!$F$6:$F$105,MATCH(D483,'Company Universe'!$A$6:$A$105,0))</x:f>
        <x:v>Software &amp; Payments</x:v>
      </x:c>
      <x:c r="H483" s="57" t="n">
        <x:v>8</x:v>
      </x:c>
      <x:c r="I483" s="206" t="n"/>
      <x:c r="J483" s="71" t="n"/>
      <x:c r="K483" s="71" t="n"/>
      <x:c r="L483" s="71" t="inlineStr">
        <x:is>
          <x:t xml:space="preserve">NO</x:t>
        </x:is>
      </x:c>
      <x:c r="M483" s="71" t="n"/>
      <x:c r="N483" s="71" t="n"/>
      <x:c r="O483" s="71" t="n"/>
      <x:c r="P483" s="71" t="n"/>
      <x:c r="Q483" s="71" t="n"/>
      <x:c r="R483" s="71" t="n"/>
      <x:c r="S483" s="206" t="n"/>
      <x:c r="T483" s="71" t="n"/>
      <x:c r="U483" s="71" t="n"/>
      <x:c r="V483" s="71" t="n"/>
      <x:c r="W483" s="71" t="n"/>
      <x:c r="X483" s="71" t="n"/>
      <x:c r="Y483" s="71" t="n"/>
      <x:c r="Z483" s="71" t="n"/>
      <x:c r="AA483" s="71" t="n"/>
      <x:c r="AB483" s="71" t="inlineStr">
        <x:is>
          <x:t xml:space="preserve">NO</x:t>
        </x:is>
      </x:c>
      <x:c r="AC483" s="57" t="inlineStr">
        <x:is>
          <x:t xml:space="preserve">V10</x:t>
        </x:is>
      </x:c>
      <x:c r="AD483" s="57" t="n"/>
      <x:c r="AE483" s="79" t="str">
        <x:f>IF(AND(I483&lt;&gt;"",J483&lt;&gt;"",K483&lt;&gt;"",L483="YES",M483&lt;&gt;"",S483&lt;&gt;"",T483&lt;&gt;"",U483&lt;&gt;"",V483&lt;&gt;"",W483&lt;&gt;"",X483&lt;&gt;"",Y483&lt;&gt;""),"COMPLETE","PENDING")</x:f>
        <x:v>PENDING</x:v>
      </x:c>
      <x:c r="AF483" s="79" t="str">
        <x:f>IF(AE483="COMPLETE","YES","NO")</x:f>
        <x:v>NO</x:v>
      </x:c>
      <x:c r="AG483" s="214" t="str">
        <x:f>IF(AF483&lt;&gt;"YES","",(IF(V483="YES",1,0)+IF(W483="YES",1,0))/2)</x:f>
      </x:c>
    </x:row>
    <x:row r="484">
      <x:c r="A484" s="57" t="inlineStr">
        <x:is>
          <x:t xml:space="preserve">C0479</x:t>
        </x:is>
      </x:c>
      <x:c r="B484" s="57" t="inlineStr">
        <x:is>
          <x:t xml:space="preserve">Development</x:t>
        </x:is>
      </x:c>
      <x:c r="C484" s="57" t="inlineStr">
        <x:is>
          <x:t xml:space="preserve">OPEN</x:t>
        </x:is>
      </x:c>
      <x:c r="D484" s="57" t="inlineStr">
        <x:is>
          <x:t xml:space="preserve">ARG-048</x:t>
        </x:is>
      </x:c>
      <x:c r="E484" s="75" t="str">
        <x:f>INDEX('Company Universe'!$B$6:$B$105,MATCH(D484,'Company Universe'!$A$6:$A$105,0))</x:f>
        <x:v>Oracle</x:v>
      </x:c>
      <x:c r="F484" s="75" t="str">
        <x:f>INDEX('Company Universe'!$C$6:$C$105,MATCH(D484,'Company Universe'!$A$6:$A$105,0))</x:f>
        <x:v>ORCL</x:v>
      </x:c>
      <x:c r="G484" s="75" t="str">
        <x:f>INDEX('Company Universe'!$F$6:$F$105,MATCH(D484,'Company Universe'!$A$6:$A$105,0))</x:f>
        <x:v>Software &amp; Payments</x:v>
      </x:c>
      <x:c r="H484" s="57" t="n">
        <x:v>9</x:v>
      </x:c>
      <x:c r="I484" s="206" t="n"/>
      <x:c r="J484" s="71" t="n"/>
      <x:c r="K484" s="71" t="n"/>
      <x:c r="L484" s="71" t="inlineStr">
        <x:is>
          <x:t xml:space="preserve">NO</x:t>
        </x:is>
      </x:c>
      <x:c r="M484" s="71" t="n"/>
      <x:c r="N484" s="71" t="n"/>
      <x:c r="O484" s="71" t="n"/>
      <x:c r="P484" s="71" t="n"/>
      <x:c r="Q484" s="71" t="n"/>
      <x:c r="R484" s="71" t="n"/>
      <x:c r="S484" s="206" t="n"/>
      <x:c r="T484" s="71" t="n"/>
      <x:c r="U484" s="71" t="n"/>
      <x:c r="V484" s="71" t="n"/>
      <x:c r="W484" s="71" t="n"/>
      <x:c r="X484" s="71" t="n"/>
      <x:c r="Y484" s="71" t="n"/>
      <x:c r="Z484" s="71" t="n"/>
      <x:c r="AA484" s="71" t="n"/>
      <x:c r="AB484" s="71" t="inlineStr">
        <x:is>
          <x:t xml:space="preserve">NO</x:t>
        </x:is>
      </x:c>
      <x:c r="AC484" s="57" t="inlineStr">
        <x:is>
          <x:t xml:space="preserve">V10</x:t>
        </x:is>
      </x:c>
      <x:c r="AD484" s="57" t="n"/>
      <x:c r="AE484" s="79" t="str">
        <x:f>IF(AND(I484&lt;&gt;"",J484&lt;&gt;"",K484&lt;&gt;"",L484="YES",M484&lt;&gt;"",S484&lt;&gt;"",T484&lt;&gt;"",U484&lt;&gt;"",V484&lt;&gt;"",W484&lt;&gt;"",X484&lt;&gt;"",Y484&lt;&gt;""),"COMPLETE","PENDING")</x:f>
        <x:v>PENDING</x:v>
      </x:c>
      <x:c r="AF484" s="79" t="str">
        <x:f>IF(AE484="COMPLETE","YES","NO")</x:f>
        <x:v>NO</x:v>
      </x:c>
      <x:c r="AG484" s="214" t="str">
        <x:f>IF(AF484&lt;&gt;"YES","",(IF(V484="YES",1,0)+IF(W484="YES",1,0))/2)</x:f>
      </x:c>
    </x:row>
    <x:row r="485">
      <x:c r="A485" s="57" t="inlineStr">
        <x:is>
          <x:t xml:space="preserve">C0480</x:t>
        </x:is>
      </x:c>
      <x:c r="B485" s="57" t="inlineStr">
        <x:is>
          <x:t xml:space="preserve">Development</x:t>
        </x:is>
      </x:c>
      <x:c r="C485" s="57" t="inlineStr">
        <x:is>
          <x:t xml:space="preserve">OPEN</x:t>
        </x:is>
      </x:c>
      <x:c r="D485" s="57" t="inlineStr">
        <x:is>
          <x:t xml:space="preserve">ARG-048</x:t>
        </x:is>
      </x:c>
      <x:c r="E485" s="75" t="str">
        <x:f>INDEX('Company Universe'!$B$6:$B$105,MATCH(D485,'Company Universe'!$A$6:$A$105,0))</x:f>
        <x:v>Oracle</x:v>
      </x:c>
      <x:c r="F485" s="75" t="str">
        <x:f>INDEX('Company Universe'!$C$6:$C$105,MATCH(D485,'Company Universe'!$A$6:$A$105,0))</x:f>
        <x:v>ORCL</x:v>
      </x:c>
      <x:c r="G485" s="75" t="str">
        <x:f>INDEX('Company Universe'!$F$6:$F$105,MATCH(D485,'Company Universe'!$A$6:$A$105,0))</x:f>
        <x:v>Software &amp; Payments</x:v>
      </x:c>
      <x:c r="H485" s="57" t="n">
        <x:v>10</x:v>
      </x:c>
      <x:c r="I485" s="206" t="n"/>
      <x:c r="J485" s="71" t="n"/>
      <x:c r="K485" s="71" t="n"/>
      <x:c r="L485" s="71" t="inlineStr">
        <x:is>
          <x:t xml:space="preserve">NO</x:t>
        </x:is>
      </x:c>
      <x:c r="M485" s="71" t="n"/>
      <x:c r="N485" s="71" t="n"/>
      <x:c r="O485" s="71" t="n"/>
      <x:c r="P485" s="71" t="n"/>
      <x:c r="Q485" s="71" t="n"/>
      <x:c r="R485" s="71" t="n"/>
      <x:c r="S485" s="206" t="n"/>
      <x:c r="T485" s="71" t="n"/>
      <x:c r="U485" s="71" t="n"/>
      <x:c r="V485" s="71" t="n"/>
      <x:c r="W485" s="71" t="n"/>
      <x:c r="X485" s="71" t="n"/>
      <x:c r="Y485" s="71" t="n"/>
      <x:c r="Z485" s="71" t="n"/>
      <x:c r="AA485" s="71" t="n"/>
      <x:c r="AB485" s="71" t="inlineStr">
        <x:is>
          <x:t xml:space="preserve">NO</x:t>
        </x:is>
      </x:c>
      <x:c r="AC485" s="57" t="inlineStr">
        <x:is>
          <x:t xml:space="preserve">V10</x:t>
        </x:is>
      </x:c>
      <x:c r="AD485" s="57" t="n"/>
      <x:c r="AE485" s="79" t="str">
        <x:f>IF(AND(I485&lt;&gt;"",J485&lt;&gt;"",K485&lt;&gt;"",L485="YES",M485&lt;&gt;"",S485&lt;&gt;"",T485&lt;&gt;"",U485&lt;&gt;"",V485&lt;&gt;"",W485&lt;&gt;"",X485&lt;&gt;"",Y485&lt;&gt;""),"COMPLETE","PENDING")</x:f>
        <x:v>PENDING</x:v>
      </x:c>
      <x:c r="AF485" s="79" t="str">
        <x:f>IF(AE485="COMPLETE","YES","NO")</x:f>
        <x:v>NO</x:v>
      </x:c>
      <x:c r="AG485" s="214" t="str">
        <x:f>IF(AF485&lt;&gt;"YES","",(IF(V485="YES",1,0)+IF(W485="YES",1,0))/2)</x:f>
      </x:c>
    </x:row>
    <x:row r="486">
      <x:c r="A486" s="57" t="inlineStr">
        <x:is>
          <x:t xml:space="preserve">C0481</x:t>
        </x:is>
      </x:c>
      <x:c r="B486" s="57" t="inlineStr">
        <x:is>
          <x:t xml:space="preserve">Development</x:t>
        </x:is>
      </x:c>
      <x:c r="C486" s="57" t="inlineStr">
        <x:is>
          <x:t xml:space="preserve">OPEN</x:t>
        </x:is>
      </x:c>
      <x:c r="D486" s="57" t="inlineStr">
        <x:is>
          <x:t xml:space="preserve">ARG-049</x:t>
        </x:is>
      </x:c>
      <x:c r="E486" s="75" t="str">
        <x:f>INDEX('Company Universe'!$B$6:$B$105,MATCH(D486,'Company Universe'!$A$6:$A$105,0))</x:f>
        <x:v>Salesforce</x:v>
      </x:c>
      <x:c r="F486" s="75" t="str">
        <x:f>INDEX('Company Universe'!$C$6:$C$105,MATCH(D486,'Company Universe'!$A$6:$A$105,0))</x:f>
        <x:v>CRM</x:v>
      </x:c>
      <x:c r="G486" s="75" t="str">
        <x:f>INDEX('Company Universe'!$F$6:$F$105,MATCH(D486,'Company Universe'!$A$6:$A$105,0))</x:f>
        <x:v>Software &amp; Payments</x:v>
      </x:c>
      <x:c r="H486" s="57" t="n">
        <x:v>1</x:v>
      </x:c>
      <x:c r="I486" s="206" t="n"/>
      <x:c r="J486" s="71" t="n"/>
      <x:c r="K486" s="71" t="n"/>
      <x:c r="L486" s="71" t="inlineStr">
        <x:is>
          <x:t xml:space="preserve">NO</x:t>
        </x:is>
      </x:c>
      <x:c r="M486" s="71" t="n"/>
      <x:c r="N486" s="71" t="n"/>
      <x:c r="O486" s="71" t="n"/>
      <x:c r="P486" s="71" t="n"/>
      <x:c r="Q486" s="71" t="n"/>
      <x:c r="R486" s="71" t="n"/>
      <x:c r="S486" s="206" t="n"/>
      <x:c r="T486" s="71" t="n"/>
      <x:c r="U486" s="71" t="n"/>
      <x:c r="V486" s="71" t="n"/>
      <x:c r="W486" s="71" t="n"/>
      <x:c r="X486" s="71" t="n"/>
      <x:c r="Y486" s="71" t="n"/>
      <x:c r="Z486" s="71" t="n"/>
      <x:c r="AA486" s="71" t="n"/>
      <x:c r="AB486" s="71" t="inlineStr">
        <x:is>
          <x:t xml:space="preserve">NO</x:t>
        </x:is>
      </x:c>
      <x:c r="AC486" s="57" t="inlineStr">
        <x:is>
          <x:t xml:space="preserve">V10</x:t>
        </x:is>
      </x:c>
      <x:c r="AD486" s="57" t="n"/>
      <x:c r="AE486" s="79" t="str">
        <x:f>IF(AND(I486&lt;&gt;"",J486&lt;&gt;"",K486&lt;&gt;"",L486="YES",M486&lt;&gt;"",S486&lt;&gt;"",T486&lt;&gt;"",U486&lt;&gt;"",V486&lt;&gt;"",W486&lt;&gt;"",X486&lt;&gt;"",Y486&lt;&gt;""),"COMPLETE","PENDING")</x:f>
        <x:v>PENDING</x:v>
      </x:c>
      <x:c r="AF486" s="79" t="str">
        <x:f>IF(AE486="COMPLETE","YES","NO")</x:f>
        <x:v>NO</x:v>
      </x:c>
      <x:c r="AG486" s="214" t="str">
        <x:f>IF(AF486&lt;&gt;"YES","",(IF(V486="YES",1,0)+IF(W486="YES",1,0))/2)</x:f>
      </x:c>
    </x:row>
    <x:row r="487">
      <x:c r="A487" s="57" t="inlineStr">
        <x:is>
          <x:t xml:space="preserve">C0482</x:t>
        </x:is>
      </x:c>
      <x:c r="B487" s="57" t="inlineStr">
        <x:is>
          <x:t xml:space="preserve">Development</x:t>
        </x:is>
      </x:c>
      <x:c r="C487" s="57" t="inlineStr">
        <x:is>
          <x:t xml:space="preserve">OPEN</x:t>
        </x:is>
      </x:c>
      <x:c r="D487" s="57" t="inlineStr">
        <x:is>
          <x:t xml:space="preserve">ARG-049</x:t>
        </x:is>
      </x:c>
      <x:c r="E487" s="75" t="str">
        <x:f>INDEX('Company Universe'!$B$6:$B$105,MATCH(D487,'Company Universe'!$A$6:$A$105,0))</x:f>
        <x:v>Salesforce</x:v>
      </x:c>
      <x:c r="F487" s="75" t="str">
        <x:f>INDEX('Company Universe'!$C$6:$C$105,MATCH(D487,'Company Universe'!$A$6:$A$105,0))</x:f>
        <x:v>CRM</x:v>
      </x:c>
      <x:c r="G487" s="75" t="str">
        <x:f>INDEX('Company Universe'!$F$6:$F$105,MATCH(D487,'Company Universe'!$A$6:$A$105,0))</x:f>
        <x:v>Software &amp; Payments</x:v>
      </x:c>
      <x:c r="H487" s="57" t="n">
        <x:v>2</x:v>
      </x:c>
      <x:c r="I487" s="206" t="n"/>
      <x:c r="J487" s="71" t="n"/>
      <x:c r="K487" s="71" t="n"/>
      <x:c r="L487" s="71" t="inlineStr">
        <x:is>
          <x:t xml:space="preserve">NO</x:t>
        </x:is>
      </x:c>
      <x:c r="M487" s="71" t="n"/>
      <x:c r="N487" s="71" t="n"/>
      <x:c r="O487" s="71" t="n"/>
      <x:c r="P487" s="71" t="n"/>
      <x:c r="Q487" s="71" t="n"/>
      <x:c r="R487" s="71" t="n"/>
      <x:c r="S487" s="206" t="n"/>
      <x:c r="T487" s="71" t="n"/>
      <x:c r="U487" s="71" t="n"/>
      <x:c r="V487" s="71" t="n"/>
      <x:c r="W487" s="71" t="n"/>
      <x:c r="X487" s="71" t="n"/>
      <x:c r="Y487" s="71" t="n"/>
      <x:c r="Z487" s="71" t="n"/>
      <x:c r="AA487" s="71" t="n"/>
      <x:c r="AB487" s="71" t="inlineStr">
        <x:is>
          <x:t xml:space="preserve">NO</x:t>
        </x:is>
      </x:c>
      <x:c r="AC487" s="57" t="inlineStr">
        <x:is>
          <x:t xml:space="preserve">V10</x:t>
        </x:is>
      </x:c>
      <x:c r="AD487" s="57" t="n"/>
      <x:c r="AE487" s="79" t="str">
        <x:f>IF(AND(I487&lt;&gt;"",J487&lt;&gt;"",K487&lt;&gt;"",L487="YES",M487&lt;&gt;"",S487&lt;&gt;"",T487&lt;&gt;"",U487&lt;&gt;"",V487&lt;&gt;"",W487&lt;&gt;"",X487&lt;&gt;"",Y487&lt;&gt;""),"COMPLETE","PENDING")</x:f>
        <x:v>PENDING</x:v>
      </x:c>
      <x:c r="AF487" s="79" t="str">
        <x:f>IF(AE487="COMPLETE","YES","NO")</x:f>
        <x:v>NO</x:v>
      </x:c>
      <x:c r="AG487" s="214" t="str">
        <x:f>IF(AF487&lt;&gt;"YES","",(IF(V487="YES",1,0)+IF(W487="YES",1,0))/2)</x:f>
      </x:c>
    </x:row>
    <x:row r="488">
      <x:c r="A488" s="57" t="inlineStr">
        <x:is>
          <x:t xml:space="preserve">C0483</x:t>
        </x:is>
      </x:c>
      <x:c r="B488" s="57" t="inlineStr">
        <x:is>
          <x:t xml:space="preserve">Development</x:t>
        </x:is>
      </x:c>
      <x:c r="C488" s="57" t="inlineStr">
        <x:is>
          <x:t xml:space="preserve">OPEN</x:t>
        </x:is>
      </x:c>
      <x:c r="D488" s="57" t="inlineStr">
        <x:is>
          <x:t xml:space="preserve">ARG-049</x:t>
        </x:is>
      </x:c>
      <x:c r="E488" s="75" t="str">
        <x:f>INDEX('Company Universe'!$B$6:$B$105,MATCH(D488,'Company Universe'!$A$6:$A$105,0))</x:f>
        <x:v>Salesforce</x:v>
      </x:c>
      <x:c r="F488" s="75" t="str">
        <x:f>INDEX('Company Universe'!$C$6:$C$105,MATCH(D488,'Company Universe'!$A$6:$A$105,0))</x:f>
        <x:v>CRM</x:v>
      </x:c>
      <x:c r="G488" s="75" t="str">
        <x:f>INDEX('Company Universe'!$F$6:$F$105,MATCH(D488,'Company Universe'!$A$6:$A$105,0))</x:f>
        <x:v>Software &amp; Payments</x:v>
      </x:c>
      <x:c r="H488" s="57" t="n">
        <x:v>3</x:v>
      </x:c>
      <x:c r="I488" s="206" t="n"/>
      <x:c r="J488" s="71" t="n"/>
      <x:c r="K488" s="71" t="n"/>
      <x:c r="L488" s="71" t="inlineStr">
        <x:is>
          <x:t xml:space="preserve">NO</x:t>
        </x:is>
      </x:c>
      <x:c r="M488" s="71" t="n"/>
      <x:c r="N488" s="71" t="n"/>
      <x:c r="O488" s="71" t="n"/>
      <x:c r="P488" s="71" t="n"/>
      <x:c r="Q488" s="71" t="n"/>
      <x:c r="R488" s="71" t="n"/>
      <x:c r="S488" s="206" t="n"/>
      <x:c r="T488" s="71" t="n"/>
      <x:c r="U488" s="71" t="n"/>
      <x:c r="V488" s="71" t="n"/>
      <x:c r="W488" s="71" t="n"/>
      <x:c r="X488" s="71" t="n"/>
      <x:c r="Y488" s="71" t="n"/>
      <x:c r="Z488" s="71" t="n"/>
      <x:c r="AA488" s="71" t="n"/>
      <x:c r="AB488" s="71" t="inlineStr">
        <x:is>
          <x:t xml:space="preserve">NO</x:t>
        </x:is>
      </x:c>
      <x:c r="AC488" s="57" t="inlineStr">
        <x:is>
          <x:t xml:space="preserve">V10</x:t>
        </x:is>
      </x:c>
      <x:c r="AD488" s="57" t="n"/>
      <x:c r="AE488" s="79" t="str">
        <x:f>IF(AND(I488&lt;&gt;"",J488&lt;&gt;"",K488&lt;&gt;"",L488="YES",M488&lt;&gt;"",S488&lt;&gt;"",T488&lt;&gt;"",U488&lt;&gt;"",V488&lt;&gt;"",W488&lt;&gt;"",X488&lt;&gt;"",Y488&lt;&gt;""),"COMPLETE","PENDING")</x:f>
        <x:v>PENDING</x:v>
      </x:c>
      <x:c r="AF488" s="79" t="str">
        <x:f>IF(AE488="COMPLETE","YES","NO")</x:f>
        <x:v>NO</x:v>
      </x:c>
      <x:c r="AG488" s="214" t="str">
        <x:f>IF(AF488&lt;&gt;"YES","",(IF(V488="YES",1,0)+IF(W488="YES",1,0))/2)</x:f>
      </x:c>
    </x:row>
    <x:row r="489">
      <x:c r="A489" s="57" t="inlineStr">
        <x:is>
          <x:t xml:space="preserve">C0484</x:t>
        </x:is>
      </x:c>
      <x:c r="B489" s="57" t="inlineStr">
        <x:is>
          <x:t xml:space="preserve">Development</x:t>
        </x:is>
      </x:c>
      <x:c r="C489" s="57" t="inlineStr">
        <x:is>
          <x:t xml:space="preserve">OPEN</x:t>
        </x:is>
      </x:c>
      <x:c r="D489" s="57" t="inlineStr">
        <x:is>
          <x:t xml:space="preserve">ARG-049</x:t>
        </x:is>
      </x:c>
      <x:c r="E489" s="75" t="str">
        <x:f>INDEX('Company Universe'!$B$6:$B$105,MATCH(D489,'Company Universe'!$A$6:$A$105,0))</x:f>
        <x:v>Salesforce</x:v>
      </x:c>
      <x:c r="F489" s="75" t="str">
        <x:f>INDEX('Company Universe'!$C$6:$C$105,MATCH(D489,'Company Universe'!$A$6:$A$105,0))</x:f>
        <x:v>CRM</x:v>
      </x:c>
      <x:c r="G489" s="75" t="str">
        <x:f>INDEX('Company Universe'!$F$6:$F$105,MATCH(D489,'Company Universe'!$A$6:$A$105,0))</x:f>
        <x:v>Software &amp; Payments</x:v>
      </x:c>
      <x:c r="H489" s="57" t="n">
        <x:v>4</x:v>
      </x:c>
      <x:c r="I489" s="206" t="n"/>
      <x:c r="J489" s="71" t="n"/>
      <x:c r="K489" s="71" t="n"/>
      <x:c r="L489" s="71" t="inlineStr">
        <x:is>
          <x:t xml:space="preserve">NO</x:t>
        </x:is>
      </x:c>
      <x:c r="M489" s="71" t="n"/>
      <x:c r="N489" s="71" t="n"/>
      <x:c r="O489" s="71" t="n"/>
      <x:c r="P489" s="71" t="n"/>
      <x:c r="Q489" s="71" t="n"/>
      <x:c r="R489" s="71" t="n"/>
      <x:c r="S489" s="206" t="n"/>
      <x:c r="T489" s="71" t="n"/>
      <x:c r="U489" s="71" t="n"/>
      <x:c r="V489" s="71" t="n"/>
      <x:c r="W489" s="71" t="n"/>
      <x:c r="X489" s="71" t="n"/>
      <x:c r="Y489" s="71" t="n"/>
      <x:c r="Z489" s="71" t="n"/>
      <x:c r="AA489" s="71" t="n"/>
      <x:c r="AB489" s="71" t="inlineStr">
        <x:is>
          <x:t xml:space="preserve">NO</x:t>
        </x:is>
      </x:c>
      <x:c r="AC489" s="57" t="inlineStr">
        <x:is>
          <x:t xml:space="preserve">V10</x:t>
        </x:is>
      </x:c>
      <x:c r="AD489" s="57" t="n"/>
      <x:c r="AE489" s="79" t="str">
        <x:f>IF(AND(I489&lt;&gt;"",J489&lt;&gt;"",K489&lt;&gt;"",L489="YES",M489&lt;&gt;"",S489&lt;&gt;"",T489&lt;&gt;"",U489&lt;&gt;"",V489&lt;&gt;"",W489&lt;&gt;"",X489&lt;&gt;"",Y489&lt;&gt;""),"COMPLETE","PENDING")</x:f>
        <x:v>PENDING</x:v>
      </x:c>
      <x:c r="AF489" s="79" t="str">
        <x:f>IF(AE489="COMPLETE","YES","NO")</x:f>
        <x:v>NO</x:v>
      </x:c>
      <x:c r="AG489" s="214" t="str">
        <x:f>IF(AF489&lt;&gt;"YES","",(IF(V489="YES",1,0)+IF(W489="YES",1,0))/2)</x:f>
      </x:c>
    </x:row>
    <x:row r="490">
      <x:c r="A490" s="57" t="inlineStr">
        <x:is>
          <x:t xml:space="preserve">C0485</x:t>
        </x:is>
      </x:c>
      <x:c r="B490" s="57" t="inlineStr">
        <x:is>
          <x:t xml:space="preserve">Development</x:t>
        </x:is>
      </x:c>
      <x:c r="C490" s="57" t="inlineStr">
        <x:is>
          <x:t xml:space="preserve">OPEN</x:t>
        </x:is>
      </x:c>
      <x:c r="D490" s="57" t="inlineStr">
        <x:is>
          <x:t xml:space="preserve">ARG-049</x:t>
        </x:is>
      </x:c>
      <x:c r="E490" s="75" t="str">
        <x:f>INDEX('Company Universe'!$B$6:$B$105,MATCH(D490,'Company Universe'!$A$6:$A$105,0))</x:f>
        <x:v>Salesforce</x:v>
      </x:c>
      <x:c r="F490" s="75" t="str">
        <x:f>INDEX('Company Universe'!$C$6:$C$105,MATCH(D490,'Company Universe'!$A$6:$A$105,0))</x:f>
        <x:v>CRM</x:v>
      </x:c>
      <x:c r="G490" s="75" t="str">
        <x:f>INDEX('Company Universe'!$F$6:$F$105,MATCH(D490,'Company Universe'!$A$6:$A$105,0))</x:f>
        <x:v>Software &amp; Payments</x:v>
      </x:c>
      <x:c r="H490" s="57" t="n">
        <x:v>5</x:v>
      </x:c>
      <x:c r="I490" s="206" t="n"/>
      <x:c r="J490" s="71" t="n"/>
      <x:c r="K490" s="71" t="n"/>
      <x:c r="L490" s="71" t="inlineStr">
        <x:is>
          <x:t xml:space="preserve">NO</x:t>
        </x:is>
      </x:c>
      <x:c r="M490" s="71" t="n"/>
      <x:c r="N490" s="71" t="n"/>
      <x:c r="O490" s="71" t="n"/>
      <x:c r="P490" s="71" t="n"/>
      <x:c r="Q490" s="71" t="n"/>
      <x:c r="R490" s="71" t="n"/>
      <x:c r="S490" s="206" t="n"/>
      <x:c r="T490" s="71" t="n"/>
      <x:c r="U490" s="71" t="n"/>
      <x:c r="V490" s="71" t="n"/>
      <x:c r="W490" s="71" t="n"/>
      <x:c r="X490" s="71" t="n"/>
      <x:c r="Y490" s="71" t="n"/>
      <x:c r="Z490" s="71" t="n"/>
      <x:c r="AA490" s="71" t="n"/>
      <x:c r="AB490" s="71" t="inlineStr">
        <x:is>
          <x:t xml:space="preserve">NO</x:t>
        </x:is>
      </x:c>
      <x:c r="AC490" s="57" t="inlineStr">
        <x:is>
          <x:t xml:space="preserve">V10</x:t>
        </x:is>
      </x:c>
      <x:c r="AD490" s="57" t="n"/>
      <x:c r="AE490" s="79" t="str">
        <x:f>IF(AND(I490&lt;&gt;"",J490&lt;&gt;"",K490&lt;&gt;"",L490="YES",M490&lt;&gt;"",S490&lt;&gt;"",T490&lt;&gt;"",U490&lt;&gt;"",V490&lt;&gt;"",W490&lt;&gt;"",X490&lt;&gt;"",Y490&lt;&gt;""),"COMPLETE","PENDING")</x:f>
        <x:v>PENDING</x:v>
      </x:c>
      <x:c r="AF490" s="79" t="str">
        <x:f>IF(AE490="COMPLETE","YES","NO")</x:f>
        <x:v>NO</x:v>
      </x:c>
      <x:c r="AG490" s="214" t="str">
        <x:f>IF(AF490&lt;&gt;"YES","",(IF(V490="YES",1,0)+IF(W490="YES",1,0))/2)</x:f>
      </x:c>
    </x:row>
    <x:row r="491">
      <x:c r="A491" s="57" t="inlineStr">
        <x:is>
          <x:t xml:space="preserve">C0486</x:t>
        </x:is>
      </x:c>
      <x:c r="B491" s="57" t="inlineStr">
        <x:is>
          <x:t xml:space="preserve">Development</x:t>
        </x:is>
      </x:c>
      <x:c r="C491" s="57" t="inlineStr">
        <x:is>
          <x:t xml:space="preserve">OPEN</x:t>
        </x:is>
      </x:c>
      <x:c r="D491" s="57" t="inlineStr">
        <x:is>
          <x:t xml:space="preserve">ARG-049</x:t>
        </x:is>
      </x:c>
      <x:c r="E491" s="75" t="str">
        <x:f>INDEX('Company Universe'!$B$6:$B$105,MATCH(D491,'Company Universe'!$A$6:$A$105,0))</x:f>
        <x:v>Salesforce</x:v>
      </x:c>
      <x:c r="F491" s="75" t="str">
        <x:f>INDEX('Company Universe'!$C$6:$C$105,MATCH(D491,'Company Universe'!$A$6:$A$105,0))</x:f>
        <x:v>CRM</x:v>
      </x:c>
      <x:c r="G491" s="75" t="str">
        <x:f>INDEX('Company Universe'!$F$6:$F$105,MATCH(D491,'Company Universe'!$A$6:$A$105,0))</x:f>
        <x:v>Software &amp; Payments</x:v>
      </x:c>
      <x:c r="H491" s="57" t="n">
        <x:v>6</x:v>
      </x:c>
      <x:c r="I491" s="206" t="n"/>
      <x:c r="J491" s="71" t="n"/>
      <x:c r="K491" s="71" t="n"/>
      <x:c r="L491" s="71" t="inlineStr">
        <x:is>
          <x:t xml:space="preserve">NO</x:t>
        </x:is>
      </x:c>
      <x:c r="M491" s="71" t="n"/>
      <x:c r="N491" s="71" t="n"/>
      <x:c r="O491" s="71" t="n"/>
      <x:c r="P491" s="71" t="n"/>
      <x:c r="Q491" s="71" t="n"/>
      <x:c r="R491" s="71" t="n"/>
      <x:c r="S491" s="206" t="n"/>
      <x:c r="T491" s="71" t="n"/>
      <x:c r="U491" s="71" t="n"/>
      <x:c r="V491" s="71" t="n"/>
      <x:c r="W491" s="71" t="n"/>
      <x:c r="X491" s="71" t="n"/>
      <x:c r="Y491" s="71" t="n"/>
      <x:c r="Z491" s="71" t="n"/>
      <x:c r="AA491" s="71" t="n"/>
      <x:c r="AB491" s="71" t="inlineStr">
        <x:is>
          <x:t xml:space="preserve">NO</x:t>
        </x:is>
      </x:c>
      <x:c r="AC491" s="57" t="inlineStr">
        <x:is>
          <x:t xml:space="preserve">V10</x:t>
        </x:is>
      </x:c>
      <x:c r="AD491" s="57" t="n"/>
      <x:c r="AE491" s="79" t="str">
        <x:f>IF(AND(I491&lt;&gt;"",J491&lt;&gt;"",K491&lt;&gt;"",L491="YES",M491&lt;&gt;"",S491&lt;&gt;"",T491&lt;&gt;"",U491&lt;&gt;"",V491&lt;&gt;"",W491&lt;&gt;"",X491&lt;&gt;"",Y491&lt;&gt;""),"COMPLETE","PENDING")</x:f>
        <x:v>PENDING</x:v>
      </x:c>
      <x:c r="AF491" s="79" t="str">
        <x:f>IF(AE491="COMPLETE","YES","NO")</x:f>
        <x:v>NO</x:v>
      </x:c>
      <x:c r="AG491" s="214" t="str">
        <x:f>IF(AF491&lt;&gt;"YES","",(IF(V491="YES",1,0)+IF(W491="YES",1,0))/2)</x:f>
      </x:c>
    </x:row>
    <x:row r="492">
      <x:c r="A492" s="57" t="inlineStr">
        <x:is>
          <x:t xml:space="preserve">C0487</x:t>
        </x:is>
      </x:c>
      <x:c r="B492" s="57" t="inlineStr">
        <x:is>
          <x:t xml:space="preserve">Development</x:t>
        </x:is>
      </x:c>
      <x:c r="C492" s="57" t="inlineStr">
        <x:is>
          <x:t xml:space="preserve">OPEN</x:t>
        </x:is>
      </x:c>
      <x:c r="D492" s="57" t="inlineStr">
        <x:is>
          <x:t xml:space="preserve">ARG-049</x:t>
        </x:is>
      </x:c>
      <x:c r="E492" s="75" t="str">
        <x:f>INDEX('Company Universe'!$B$6:$B$105,MATCH(D492,'Company Universe'!$A$6:$A$105,0))</x:f>
        <x:v>Salesforce</x:v>
      </x:c>
      <x:c r="F492" s="75" t="str">
        <x:f>INDEX('Company Universe'!$C$6:$C$105,MATCH(D492,'Company Universe'!$A$6:$A$105,0))</x:f>
        <x:v>CRM</x:v>
      </x:c>
      <x:c r="G492" s="75" t="str">
        <x:f>INDEX('Company Universe'!$F$6:$F$105,MATCH(D492,'Company Universe'!$A$6:$A$105,0))</x:f>
        <x:v>Software &amp; Payments</x:v>
      </x:c>
      <x:c r="H492" s="57" t="n">
        <x:v>7</x:v>
      </x:c>
      <x:c r="I492" s="206" t="n"/>
      <x:c r="J492" s="71" t="n"/>
      <x:c r="K492" s="71" t="n"/>
      <x:c r="L492" s="71" t="inlineStr">
        <x:is>
          <x:t xml:space="preserve">NO</x:t>
        </x:is>
      </x:c>
      <x:c r="M492" s="71" t="n"/>
      <x:c r="N492" s="71" t="n"/>
      <x:c r="O492" s="71" t="n"/>
      <x:c r="P492" s="71" t="n"/>
      <x:c r="Q492" s="71" t="n"/>
      <x:c r="R492" s="71" t="n"/>
      <x:c r="S492" s="206" t="n"/>
      <x:c r="T492" s="71" t="n"/>
      <x:c r="U492" s="71" t="n"/>
      <x:c r="V492" s="71" t="n"/>
      <x:c r="W492" s="71" t="n"/>
      <x:c r="X492" s="71" t="n"/>
      <x:c r="Y492" s="71" t="n"/>
      <x:c r="Z492" s="71" t="n"/>
      <x:c r="AA492" s="71" t="n"/>
      <x:c r="AB492" s="71" t="inlineStr">
        <x:is>
          <x:t xml:space="preserve">NO</x:t>
        </x:is>
      </x:c>
      <x:c r="AC492" s="57" t="inlineStr">
        <x:is>
          <x:t xml:space="preserve">V10</x:t>
        </x:is>
      </x:c>
      <x:c r="AD492" s="57" t="n"/>
      <x:c r="AE492" s="79" t="str">
        <x:f>IF(AND(I492&lt;&gt;"",J492&lt;&gt;"",K492&lt;&gt;"",L492="YES",M492&lt;&gt;"",S492&lt;&gt;"",T492&lt;&gt;"",U492&lt;&gt;"",V492&lt;&gt;"",W492&lt;&gt;"",X492&lt;&gt;"",Y492&lt;&gt;""),"COMPLETE","PENDING")</x:f>
        <x:v>PENDING</x:v>
      </x:c>
      <x:c r="AF492" s="79" t="str">
        <x:f>IF(AE492="COMPLETE","YES","NO")</x:f>
        <x:v>NO</x:v>
      </x:c>
      <x:c r="AG492" s="214" t="str">
        <x:f>IF(AF492&lt;&gt;"YES","",(IF(V492="YES",1,0)+IF(W492="YES",1,0))/2)</x:f>
      </x:c>
    </x:row>
    <x:row r="493">
      <x:c r="A493" s="57" t="inlineStr">
        <x:is>
          <x:t xml:space="preserve">C0488</x:t>
        </x:is>
      </x:c>
      <x:c r="B493" s="57" t="inlineStr">
        <x:is>
          <x:t xml:space="preserve">Development</x:t>
        </x:is>
      </x:c>
      <x:c r="C493" s="57" t="inlineStr">
        <x:is>
          <x:t xml:space="preserve">OPEN</x:t>
        </x:is>
      </x:c>
      <x:c r="D493" s="57" t="inlineStr">
        <x:is>
          <x:t xml:space="preserve">ARG-049</x:t>
        </x:is>
      </x:c>
      <x:c r="E493" s="75" t="str">
        <x:f>INDEX('Company Universe'!$B$6:$B$105,MATCH(D493,'Company Universe'!$A$6:$A$105,0))</x:f>
        <x:v>Salesforce</x:v>
      </x:c>
      <x:c r="F493" s="75" t="str">
        <x:f>INDEX('Company Universe'!$C$6:$C$105,MATCH(D493,'Company Universe'!$A$6:$A$105,0))</x:f>
        <x:v>CRM</x:v>
      </x:c>
      <x:c r="G493" s="75" t="str">
        <x:f>INDEX('Company Universe'!$F$6:$F$105,MATCH(D493,'Company Universe'!$A$6:$A$105,0))</x:f>
        <x:v>Software &amp; Payments</x:v>
      </x:c>
      <x:c r="H493" s="57" t="n">
        <x:v>8</x:v>
      </x:c>
      <x:c r="I493" s="206" t="n"/>
      <x:c r="J493" s="71" t="n"/>
      <x:c r="K493" s="71" t="n"/>
      <x:c r="L493" s="71" t="inlineStr">
        <x:is>
          <x:t xml:space="preserve">NO</x:t>
        </x:is>
      </x:c>
      <x:c r="M493" s="71" t="n"/>
      <x:c r="N493" s="71" t="n"/>
      <x:c r="O493" s="71" t="n"/>
      <x:c r="P493" s="71" t="n"/>
      <x:c r="Q493" s="71" t="n"/>
      <x:c r="R493" s="71" t="n"/>
      <x:c r="S493" s="206" t="n"/>
      <x:c r="T493" s="71" t="n"/>
      <x:c r="U493" s="71" t="n"/>
      <x:c r="V493" s="71" t="n"/>
      <x:c r="W493" s="71" t="n"/>
      <x:c r="X493" s="71" t="n"/>
      <x:c r="Y493" s="71" t="n"/>
      <x:c r="Z493" s="71" t="n"/>
      <x:c r="AA493" s="71" t="n"/>
      <x:c r="AB493" s="71" t="inlineStr">
        <x:is>
          <x:t xml:space="preserve">NO</x:t>
        </x:is>
      </x:c>
      <x:c r="AC493" s="57" t="inlineStr">
        <x:is>
          <x:t xml:space="preserve">V10</x:t>
        </x:is>
      </x:c>
      <x:c r="AD493" s="57" t="n"/>
      <x:c r="AE493" s="79" t="str">
        <x:f>IF(AND(I493&lt;&gt;"",J493&lt;&gt;"",K493&lt;&gt;"",L493="YES",M493&lt;&gt;"",S493&lt;&gt;"",T493&lt;&gt;"",U493&lt;&gt;"",V493&lt;&gt;"",W493&lt;&gt;"",X493&lt;&gt;"",Y493&lt;&gt;""),"COMPLETE","PENDING")</x:f>
        <x:v>PENDING</x:v>
      </x:c>
      <x:c r="AF493" s="79" t="str">
        <x:f>IF(AE493="COMPLETE","YES","NO")</x:f>
        <x:v>NO</x:v>
      </x:c>
      <x:c r="AG493" s="214" t="str">
        <x:f>IF(AF493&lt;&gt;"YES","",(IF(V493="YES",1,0)+IF(W493="YES",1,0))/2)</x:f>
      </x:c>
    </x:row>
    <x:row r="494">
      <x:c r="A494" s="57" t="inlineStr">
        <x:is>
          <x:t xml:space="preserve">C0489</x:t>
        </x:is>
      </x:c>
      <x:c r="B494" s="57" t="inlineStr">
        <x:is>
          <x:t xml:space="preserve">Development</x:t>
        </x:is>
      </x:c>
      <x:c r="C494" s="57" t="inlineStr">
        <x:is>
          <x:t xml:space="preserve">OPEN</x:t>
        </x:is>
      </x:c>
      <x:c r="D494" s="57" t="inlineStr">
        <x:is>
          <x:t xml:space="preserve">ARG-049</x:t>
        </x:is>
      </x:c>
      <x:c r="E494" s="75" t="str">
        <x:f>INDEX('Company Universe'!$B$6:$B$105,MATCH(D494,'Company Universe'!$A$6:$A$105,0))</x:f>
        <x:v>Salesforce</x:v>
      </x:c>
      <x:c r="F494" s="75" t="str">
        <x:f>INDEX('Company Universe'!$C$6:$C$105,MATCH(D494,'Company Universe'!$A$6:$A$105,0))</x:f>
        <x:v>CRM</x:v>
      </x:c>
      <x:c r="G494" s="75" t="str">
        <x:f>INDEX('Company Universe'!$F$6:$F$105,MATCH(D494,'Company Universe'!$A$6:$A$105,0))</x:f>
        <x:v>Software &amp; Payments</x:v>
      </x:c>
      <x:c r="H494" s="57" t="n">
        <x:v>9</x:v>
      </x:c>
      <x:c r="I494" s="206" t="n"/>
      <x:c r="J494" s="71" t="n"/>
      <x:c r="K494" s="71" t="n"/>
      <x:c r="L494" s="71" t="inlineStr">
        <x:is>
          <x:t xml:space="preserve">NO</x:t>
        </x:is>
      </x:c>
      <x:c r="M494" s="71" t="n"/>
      <x:c r="N494" s="71" t="n"/>
      <x:c r="O494" s="71" t="n"/>
      <x:c r="P494" s="71" t="n"/>
      <x:c r="Q494" s="71" t="n"/>
      <x:c r="R494" s="71" t="n"/>
      <x:c r="S494" s="206" t="n"/>
      <x:c r="T494" s="71" t="n"/>
      <x:c r="U494" s="71" t="n"/>
      <x:c r="V494" s="71" t="n"/>
      <x:c r="W494" s="71" t="n"/>
      <x:c r="X494" s="71" t="n"/>
      <x:c r="Y494" s="71" t="n"/>
      <x:c r="Z494" s="71" t="n"/>
      <x:c r="AA494" s="71" t="n"/>
      <x:c r="AB494" s="71" t="inlineStr">
        <x:is>
          <x:t xml:space="preserve">NO</x:t>
        </x:is>
      </x:c>
      <x:c r="AC494" s="57" t="inlineStr">
        <x:is>
          <x:t xml:space="preserve">V10</x:t>
        </x:is>
      </x:c>
      <x:c r="AD494" s="57" t="n"/>
      <x:c r="AE494" s="79" t="str">
        <x:f>IF(AND(I494&lt;&gt;"",J494&lt;&gt;"",K494&lt;&gt;"",L494="YES",M494&lt;&gt;"",S494&lt;&gt;"",T494&lt;&gt;"",U494&lt;&gt;"",V494&lt;&gt;"",W494&lt;&gt;"",X494&lt;&gt;"",Y494&lt;&gt;""),"COMPLETE","PENDING")</x:f>
        <x:v>PENDING</x:v>
      </x:c>
      <x:c r="AF494" s="79" t="str">
        <x:f>IF(AE494="COMPLETE","YES","NO")</x:f>
        <x:v>NO</x:v>
      </x:c>
      <x:c r="AG494" s="214" t="str">
        <x:f>IF(AF494&lt;&gt;"YES","",(IF(V494="YES",1,0)+IF(W494="YES",1,0))/2)</x:f>
      </x:c>
    </x:row>
    <x:row r="495">
      <x:c r="A495" s="57" t="inlineStr">
        <x:is>
          <x:t xml:space="preserve">C0490</x:t>
        </x:is>
      </x:c>
      <x:c r="B495" s="57" t="inlineStr">
        <x:is>
          <x:t xml:space="preserve">Development</x:t>
        </x:is>
      </x:c>
      <x:c r="C495" s="57" t="inlineStr">
        <x:is>
          <x:t xml:space="preserve">OPEN</x:t>
        </x:is>
      </x:c>
      <x:c r="D495" s="57" t="inlineStr">
        <x:is>
          <x:t xml:space="preserve">ARG-049</x:t>
        </x:is>
      </x:c>
      <x:c r="E495" s="75" t="str">
        <x:f>INDEX('Company Universe'!$B$6:$B$105,MATCH(D495,'Company Universe'!$A$6:$A$105,0))</x:f>
        <x:v>Salesforce</x:v>
      </x:c>
      <x:c r="F495" s="75" t="str">
        <x:f>INDEX('Company Universe'!$C$6:$C$105,MATCH(D495,'Company Universe'!$A$6:$A$105,0))</x:f>
        <x:v>CRM</x:v>
      </x:c>
      <x:c r="G495" s="75" t="str">
        <x:f>INDEX('Company Universe'!$F$6:$F$105,MATCH(D495,'Company Universe'!$A$6:$A$105,0))</x:f>
        <x:v>Software &amp; Payments</x:v>
      </x:c>
      <x:c r="H495" s="57" t="n">
        <x:v>10</x:v>
      </x:c>
      <x:c r="I495" s="206" t="n"/>
      <x:c r="J495" s="71" t="n"/>
      <x:c r="K495" s="71" t="n"/>
      <x:c r="L495" s="71" t="inlineStr">
        <x:is>
          <x:t xml:space="preserve">NO</x:t>
        </x:is>
      </x:c>
      <x:c r="M495" s="71" t="n"/>
      <x:c r="N495" s="71" t="n"/>
      <x:c r="O495" s="71" t="n"/>
      <x:c r="P495" s="71" t="n"/>
      <x:c r="Q495" s="71" t="n"/>
      <x:c r="R495" s="71" t="n"/>
      <x:c r="S495" s="206" t="n"/>
      <x:c r="T495" s="71" t="n"/>
      <x:c r="U495" s="71" t="n"/>
      <x:c r="V495" s="71" t="n"/>
      <x:c r="W495" s="71" t="n"/>
      <x:c r="X495" s="71" t="n"/>
      <x:c r="Y495" s="71" t="n"/>
      <x:c r="Z495" s="71" t="n"/>
      <x:c r="AA495" s="71" t="n"/>
      <x:c r="AB495" s="71" t="inlineStr">
        <x:is>
          <x:t xml:space="preserve">NO</x:t>
        </x:is>
      </x:c>
      <x:c r="AC495" s="57" t="inlineStr">
        <x:is>
          <x:t xml:space="preserve">V10</x:t>
        </x:is>
      </x:c>
      <x:c r="AD495" s="57" t="n"/>
      <x:c r="AE495" s="79" t="str">
        <x:f>IF(AND(I495&lt;&gt;"",J495&lt;&gt;"",K495&lt;&gt;"",L495="YES",M495&lt;&gt;"",S495&lt;&gt;"",T495&lt;&gt;"",U495&lt;&gt;"",V495&lt;&gt;"",W495&lt;&gt;"",X495&lt;&gt;"",Y495&lt;&gt;""),"COMPLETE","PENDING")</x:f>
        <x:v>PENDING</x:v>
      </x:c>
      <x:c r="AF495" s="79" t="str">
        <x:f>IF(AE495="COMPLETE","YES","NO")</x:f>
        <x:v>NO</x:v>
      </x:c>
      <x:c r="AG495" s="214" t="str">
        <x:f>IF(AF495&lt;&gt;"YES","",(IF(V495="YES",1,0)+IF(W495="YES",1,0))/2)</x:f>
      </x:c>
    </x:row>
    <x:row r="496">
      <x:c r="A496" s="57" t="inlineStr">
        <x:is>
          <x:t xml:space="preserve">C0491</x:t>
        </x:is>
      </x:c>
      <x:c r="B496" s="57" t="inlineStr">
        <x:is>
          <x:t xml:space="preserve">Development</x:t>
        </x:is>
      </x:c>
      <x:c r="C496" s="57" t="inlineStr">
        <x:is>
          <x:t xml:space="preserve">OPEN</x:t>
        </x:is>
      </x:c>
      <x:c r="D496" s="57" t="inlineStr">
        <x:is>
          <x:t xml:space="preserve">ARG-050</x:t>
        </x:is>
      </x:c>
      <x:c r="E496" s="75" t="str">
        <x:f>INDEX('Company Universe'!$B$6:$B$105,MATCH(D496,'Company Universe'!$A$6:$A$105,0))</x:f>
        <x:v>Apple</x:v>
      </x:c>
      <x:c r="F496" s="75" t="str">
        <x:f>INDEX('Company Universe'!$C$6:$C$105,MATCH(D496,'Company Universe'!$A$6:$A$105,0))</x:f>
        <x:v>AAPL</x:v>
      </x:c>
      <x:c r="G496" s="75" t="str">
        <x:f>INDEX('Company Universe'!$F$6:$F$105,MATCH(D496,'Company Universe'!$A$6:$A$105,0))</x:f>
        <x:v>Consumer</x:v>
      </x:c>
      <x:c r="H496" s="57" t="n">
        <x:v>1</x:v>
      </x:c>
      <x:c r="I496" s="206" t="n"/>
      <x:c r="J496" s="71" t="n"/>
      <x:c r="K496" s="71" t="n"/>
      <x:c r="L496" s="71" t="inlineStr">
        <x:is>
          <x:t xml:space="preserve">NO</x:t>
        </x:is>
      </x:c>
      <x:c r="M496" s="71" t="n"/>
      <x:c r="N496" s="71" t="n"/>
      <x:c r="O496" s="71" t="n"/>
      <x:c r="P496" s="71" t="n"/>
      <x:c r="Q496" s="71" t="n"/>
      <x:c r="R496" s="71" t="n"/>
      <x:c r="S496" s="206" t="n"/>
      <x:c r="T496" s="71" t="n"/>
      <x:c r="U496" s="71" t="n"/>
      <x:c r="V496" s="71" t="n"/>
      <x:c r="W496" s="71" t="n"/>
      <x:c r="X496" s="71" t="n"/>
      <x:c r="Y496" s="71" t="n"/>
      <x:c r="Z496" s="71" t="n"/>
      <x:c r="AA496" s="71" t="n"/>
      <x:c r="AB496" s="71" t="inlineStr">
        <x:is>
          <x:t xml:space="preserve">NO</x:t>
        </x:is>
      </x:c>
      <x:c r="AC496" s="57" t="inlineStr">
        <x:is>
          <x:t xml:space="preserve">V10</x:t>
        </x:is>
      </x:c>
      <x:c r="AD496" s="57" t="n"/>
      <x:c r="AE496" s="79" t="str">
        <x:f>IF(AND(I496&lt;&gt;"",J496&lt;&gt;"",K496&lt;&gt;"",L496="YES",M496&lt;&gt;"",S496&lt;&gt;"",T496&lt;&gt;"",U496&lt;&gt;"",V496&lt;&gt;"",W496&lt;&gt;"",X496&lt;&gt;"",Y496&lt;&gt;""),"COMPLETE","PENDING")</x:f>
        <x:v>PENDING</x:v>
      </x:c>
      <x:c r="AF496" s="79" t="str">
        <x:f>IF(AE496="COMPLETE","YES","NO")</x:f>
        <x:v>NO</x:v>
      </x:c>
      <x:c r="AG496" s="214" t="str">
        <x:f>IF(AF496&lt;&gt;"YES","",(IF(V496="YES",1,0)+IF(W496="YES",1,0))/2)</x:f>
      </x:c>
    </x:row>
    <x:row r="497">
      <x:c r="A497" s="57" t="inlineStr">
        <x:is>
          <x:t xml:space="preserve">C0492</x:t>
        </x:is>
      </x:c>
      <x:c r="B497" s="57" t="inlineStr">
        <x:is>
          <x:t xml:space="preserve">Development</x:t>
        </x:is>
      </x:c>
      <x:c r="C497" s="57" t="inlineStr">
        <x:is>
          <x:t xml:space="preserve">OPEN</x:t>
        </x:is>
      </x:c>
      <x:c r="D497" s="57" t="inlineStr">
        <x:is>
          <x:t xml:space="preserve">ARG-050</x:t>
        </x:is>
      </x:c>
      <x:c r="E497" s="75" t="str">
        <x:f>INDEX('Company Universe'!$B$6:$B$105,MATCH(D497,'Company Universe'!$A$6:$A$105,0))</x:f>
        <x:v>Apple</x:v>
      </x:c>
      <x:c r="F497" s="75" t="str">
        <x:f>INDEX('Company Universe'!$C$6:$C$105,MATCH(D497,'Company Universe'!$A$6:$A$105,0))</x:f>
        <x:v>AAPL</x:v>
      </x:c>
      <x:c r="G497" s="75" t="str">
        <x:f>INDEX('Company Universe'!$F$6:$F$105,MATCH(D497,'Company Universe'!$A$6:$A$105,0))</x:f>
        <x:v>Consumer</x:v>
      </x:c>
      <x:c r="H497" s="57" t="n">
        <x:v>2</x:v>
      </x:c>
      <x:c r="I497" s="206" t="n"/>
      <x:c r="J497" s="71" t="n"/>
      <x:c r="K497" s="71" t="n"/>
      <x:c r="L497" s="71" t="inlineStr">
        <x:is>
          <x:t xml:space="preserve">NO</x:t>
        </x:is>
      </x:c>
      <x:c r="M497" s="71" t="n"/>
      <x:c r="N497" s="71" t="n"/>
      <x:c r="O497" s="71" t="n"/>
      <x:c r="P497" s="71" t="n"/>
      <x:c r="Q497" s="71" t="n"/>
      <x:c r="R497" s="71" t="n"/>
      <x:c r="S497" s="206" t="n"/>
      <x:c r="T497" s="71" t="n"/>
      <x:c r="U497" s="71" t="n"/>
      <x:c r="V497" s="71" t="n"/>
      <x:c r="W497" s="71" t="n"/>
      <x:c r="X497" s="71" t="n"/>
      <x:c r="Y497" s="71" t="n"/>
      <x:c r="Z497" s="71" t="n"/>
      <x:c r="AA497" s="71" t="n"/>
      <x:c r="AB497" s="71" t="inlineStr">
        <x:is>
          <x:t xml:space="preserve">NO</x:t>
        </x:is>
      </x:c>
      <x:c r="AC497" s="57" t="inlineStr">
        <x:is>
          <x:t xml:space="preserve">V10</x:t>
        </x:is>
      </x:c>
      <x:c r="AD497" s="57" t="n"/>
      <x:c r="AE497" s="79" t="str">
        <x:f>IF(AND(I497&lt;&gt;"",J497&lt;&gt;"",K497&lt;&gt;"",L497="YES",M497&lt;&gt;"",S497&lt;&gt;"",T497&lt;&gt;"",U497&lt;&gt;"",V497&lt;&gt;"",W497&lt;&gt;"",X497&lt;&gt;"",Y497&lt;&gt;""),"COMPLETE","PENDING")</x:f>
        <x:v>PENDING</x:v>
      </x:c>
      <x:c r="AF497" s="79" t="str">
        <x:f>IF(AE497="COMPLETE","YES","NO")</x:f>
        <x:v>NO</x:v>
      </x:c>
      <x:c r="AG497" s="214" t="str">
        <x:f>IF(AF497&lt;&gt;"YES","",(IF(V497="YES",1,0)+IF(W497="YES",1,0))/2)</x:f>
      </x:c>
    </x:row>
    <x:row r="498">
      <x:c r="A498" s="57" t="inlineStr">
        <x:is>
          <x:t xml:space="preserve">C0493</x:t>
        </x:is>
      </x:c>
      <x:c r="B498" s="57" t="inlineStr">
        <x:is>
          <x:t xml:space="preserve">Development</x:t>
        </x:is>
      </x:c>
      <x:c r="C498" s="57" t="inlineStr">
        <x:is>
          <x:t xml:space="preserve">OPEN</x:t>
        </x:is>
      </x:c>
      <x:c r="D498" s="57" t="inlineStr">
        <x:is>
          <x:t xml:space="preserve">ARG-050</x:t>
        </x:is>
      </x:c>
      <x:c r="E498" s="75" t="str">
        <x:f>INDEX('Company Universe'!$B$6:$B$105,MATCH(D498,'Company Universe'!$A$6:$A$105,0))</x:f>
        <x:v>Apple</x:v>
      </x:c>
      <x:c r="F498" s="75" t="str">
        <x:f>INDEX('Company Universe'!$C$6:$C$105,MATCH(D498,'Company Universe'!$A$6:$A$105,0))</x:f>
        <x:v>AAPL</x:v>
      </x:c>
      <x:c r="G498" s="75" t="str">
        <x:f>INDEX('Company Universe'!$F$6:$F$105,MATCH(D498,'Company Universe'!$A$6:$A$105,0))</x:f>
        <x:v>Consumer</x:v>
      </x:c>
      <x:c r="H498" s="57" t="n">
        <x:v>3</x:v>
      </x:c>
      <x:c r="I498" s="206" t="n"/>
      <x:c r="J498" s="71" t="n"/>
      <x:c r="K498" s="71" t="n"/>
      <x:c r="L498" s="71" t="inlineStr">
        <x:is>
          <x:t xml:space="preserve">NO</x:t>
        </x:is>
      </x:c>
      <x:c r="M498" s="71" t="n"/>
      <x:c r="N498" s="71" t="n"/>
      <x:c r="O498" s="71" t="n"/>
      <x:c r="P498" s="71" t="n"/>
      <x:c r="Q498" s="71" t="n"/>
      <x:c r="R498" s="71" t="n"/>
      <x:c r="S498" s="206" t="n"/>
      <x:c r="T498" s="71" t="n"/>
      <x:c r="U498" s="71" t="n"/>
      <x:c r="V498" s="71" t="n"/>
      <x:c r="W498" s="71" t="n"/>
      <x:c r="X498" s="71" t="n"/>
      <x:c r="Y498" s="71" t="n"/>
      <x:c r="Z498" s="71" t="n"/>
      <x:c r="AA498" s="71" t="n"/>
      <x:c r="AB498" s="71" t="inlineStr">
        <x:is>
          <x:t xml:space="preserve">NO</x:t>
        </x:is>
      </x:c>
      <x:c r="AC498" s="57" t="inlineStr">
        <x:is>
          <x:t xml:space="preserve">V10</x:t>
        </x:is>
      </x:c>
      <x:c r="AD498" s="57" t="n"/>
      <x:c r="AE498" s="79" t="str">
        <x:f>IF(AND(I498&lt;&gt;"",J498&lt;&gt;"",K498&lt;&gt;"",L498="YES",M498&lt;&gt;"",S498&lt;&gt;"",T498&lt;&gt;"",U498&lt;&gt;"",V498&lt;&gt;"",W498&lt;&gt;"",X498&lt;&gt;"",Y498&lt;&gt;""),"COMPLETE","PENDING")</x:f>
        <x:v>PENDING</x:v>
      </x:c>
      <x:c r="AF498" s="79" t="str">
        <x:f>IF(AE498="COMPLETE","YES","NO")</x:f>
        <x:v>NO</x:v>
      </x:c>
      <x:c r="AG498" s="214" t="str">
        <x:f>IF(AF498&lt;&gt;"YES","",(IF(V498="YES",1,0)+IF(W498="YES",1,0))/2)</x:f>
      </x:c>
    </x:row>
    <x:row r="499">
      <x:c r="A499" s="57" t="inlineStr">
        <x:is>
          <x:t xml:space="preserve">C0494</x:t>
        </x:is>
      </x:c>
      <x:c r="B499" s="57" t="inlineStr">
        <x:is>
          <x:t xml:space="preserve">Development</x:t>
        </x:is>
      </x:c>
      <x:c r="C499" s="57" t="inlineStr">
        <x:is>
          <x:t xml:space="preserve">OPEN</x:t>
        </x:is>
      </x:c>
      <x:c r="D499" s="57" t="inlineStr">
        <x:is>
          <x:t xml:space="preserve">ARG-050</x:t>
        </x:is>
      </x:c>
      <x:c r="E499" s="75" t="str">
        <x:f>INDEX('Company Universe'!$B$6:$B$105,MATCH(D499,'Company Universe'!$A$6:$A$105,0))</x:f>
        <x:v>Apple</x:v>
      </x:c>
      <x:c r="F499" s="75" t="str">
        <x:f>INDEX('Company Universe'!$C$6:$C$105,MATCH(D499,'Company Universe'!$A$6:$A$105,0))</x:f>
        <x:v>AAPL</x:v>
      </x:c>
      <x:c r="G499" s="75" t="str">
        <x:f>INDEX('Company Universe'!$F$6:$F$105,MATCH(D499,'Company Universe'!$A$6:$A$105,0))</x:f>
        <x:v>Consumer</x:v>
      </x:c>
      <x:c r="H499" s="57" t="n">
        <x:v>4</x:v>
      </x:c>
      <x:c r="I499" s="206" t="n"/>
      <x:c r="J499" s="71" t="n"/>
      <x:c r="K499" s="71" t="n"/>
      <x:c r="L499" s="71" t="inlineStr">
        <x:is>
          <x:t xml:space="preserve">NO</x:t>
        </x:is>
      </x:c>
      <x:c r="M499" s="71" t="n"/>
      <x:c r="N499" s="71" t="n"/>
      <x:c r="O499" s="71" t="n"/>
      <x:c r="P499" s="71" t="n"/>
      <x:c r="Q499" s="71" t="n"/>
      <x:c r="R499" s="71" t="n"/>
      <x:c r="S499" s="206" t="n"/>
      <x:c r="T499" s="71" t="n"/>
      <x:c r="U499" s="71" t="n"/>
      <x:c r="V499" s="71" t="n"/>
      <x:c r="W499" s="71" t="n"/>
      <x:c r="X499" s="71" t="n"/>
      <x:c r="Y499" s="71" t="n"/>
      <x:c r="Z499" s="71" t="n"/>
      <x:c r="AA499" s="71" t="n"/>
      <x:c r="AB499" s="71" t="inlineStr">
        <x:is>
          <x:t xml:space="preserve">NO</x:t>
        </x:is>
      </x:c>
      <x:c r="AC499" s="57" t="inlineStr">
        <x:is>
          <x:t xml:space="preserve">V10</x:t>
        </x:is>
      </x:c>
      <x:c r="AD499" s="57" t="n"/>
      <x:c r="AE499" s="79" t="str">
        <x:f>IF(AND(I499&lt;&gt;"",J499&lt;&gt;"",K499&lt;&gt;"",L499="YES",M499&lt;&gt;"",S499&lt;&gt;"",T499&lt;&gt;"",U499&lt;&gt;"",V499&lt;&gt;"",W499&lt;&gt;"",X499&lt;&gt;"",Y499&lt;&gt;""),"COMPLETE","PENDING")</x:f>
        <x:v>PENDING</x:v>
      </x:c>
      <x:c r="AF499" s="79" t="str">
        <x:f>IF(AE499="COMPLETE","YES","NO")</x:f>
        <x:v>NO</x:v>
      </x:c>
      <x:c r="AG499" s="214" t="str">
        <x:f>IF(AF499&lt;&gt;"YES","",(IF(V499="YES",1,0)+IF(W499="YES",1,0))/2)</x:f>
      </x:c>
    </x:row>
    <x:row r="500">
      <x:c r="A500" s="57" t="inlineStr">
        <x:is>
          <x:t xml:space="preserve">C0495</x:t>
        </x:is>
      </x:c>
      <x:c r="B500" s="57" t="inlineStr">
        <x:is>
          <x:t xml:space="preserve">Development</x:t>
        </x:is>
      </x:c>
      <x:c r="C500" s="57" t="inlineStr">
        <x:is>
          <x:t xml:space="preserve">OPEN</x:t>
        </x:is>
      </x:c>
      <x:c r="D500" s="57" t="inlineStr">
        <x:is>
          <x:t xml:space="preserve">ARG-050</x:t>
        </x:is>
      </x:c>
      <x:c r="E500" s="75" t="str">
        <x:f>INDEX('Company Universe'!$B$6:$B$105,MATCH(D500,'Company Universe'!$A$6:$A$105,0))</x:f>
        <x:v>Apple</x:v>
      </x:c>
      <x:c r="F500" s="75" t="str">
        <x:f>INDEX('Company Universe'!$C$6:$C$105,MATCH(D500,'Company Universe'!$A$6:$A$105,0))</x:f>
        <x:v>AAPL</x:v>
      </x:c>
      <x:c r="G500" s="75" t="str">
        <x:f>INDEX('Company Universe'!$F$6:$F$105,MATCH(D500,'Company Universe'!$A$6:$A$105,0))</x:f>
        <x:v>Consumer</x:v>
      </x:c>
      <x:c r="H500" s="57" t="n">
        <x:v>5</x:v>
      </x:c>
      <x:c r="I500" s="206" t="n"/>
      <x:c r="J500" s="71" t="n"/>
      <x:c r="K500" s="71" t="n"/>
      <x:c r="L500" s="71" t="inlineStr">
        <x:is>
          <x:t xml:space="preserve">NO</x:t>
        </x:is>
      </x:c>
      <x:c r="M500" s="71" t="n"/>
      <x:c r="N500" s="71" t="n"/>
      <x:c r="O500" s="71" t="n"/>
      <x:c r="P500" s="71" t="n"/>
      <x:c r="Q500" s="71" t="n"/>
      <x:c r="R500" s="71" t="n"/>
      <x:c r="S500" s="206" t="n"/>
      <x:c r="T500" s="71" t="n"/>
      <x:c r="U500" s="71" t="n"/>
      <x:c r="V500" s="71" t="n"/>
      <x:c r="W500" s="71" t="n"/>
      <x:c r="X500" s="71" t="n"/>
      <x:c r="Y500" s="71" t="n"/>
      <x:c r="Z500" s="71" t="n"/>
      <x:c r="AA500" s="71" t="n"/>
      <x:c r="AB500" s="71" t="inlineStr">
        <x:is>
          <x:t xml:space="preserve">NO</x:t>
        </x:is>
      </x:c>
      <x:c r="AC500" s="57" t="inlineStr">
        <x:is>
          <x:t xml:space="preserve">V10</x:t>
        </x:is>
      </x:c>
      <x:c r="AD500" s="57" t="n"/>
      <x:c r="AE500" s="79" t="str">
        <x:f>IF(AND(I500&lt;&gt;"",J500&lt;&gt;"",K500&lt;&gt;"",L500="YES",M500&lt;&gt;"",S500&lt;&gt;"",T500&lt;&gt;"",U500&lt;&gt;"",V500&lt;&gt;"",W500&lt;&gt;"",X500&lt;&gt;"",Y500&lt;&gt;""),"COMPLETE","PENDING")</x:f>
        <x:v>PENDING</x:v>
      </x:c>
      <x:c r="AF500" s="79" t="str">
        <x:f>IF(AE500="COMPLETE","YES","NO")</x:f>
        <x:v>NO</x:v>
      </x:c>
      <x:c r="AG500" s="214" t="str">
        <x:f>IF(AF500&lt;&gt;"YES","",(IF(V500="YES",1,0)+IF(W500="YES",1,0))/2)</x:f>
      </x:c>
    </x:row>
    <x:row r="501">
      <x:c r="A501" s="57" t="inlineStr">
        <x:is>
          <x:t xml:space="preserve">C0496</x:t>
        </x:is>
      </x:c>
      <x:c r="B501" s="57" t="inlineStr">
        <x:is>
          <x:t xml:space="preserve">Development</x:t>
        </x:is>
      </x:c>
      <x:c r="C501" s="57" t="inlineStr">
        <x:is>
          <x:t xml:space="preserve">OPEN</x:t>
        </x:is>
      </x:c>
      <x:c r="D501" s="57" t="inlineStr">
        <x:is>
          <x:t xml:space="preserve">ARG-050</x:t>
        </x:is>
      </x:c>
      <x:c r="E501" s="75" t="str">
        <x:f>INDEX('Company Universe'!$B$6:$B$105,MATCH(D501,'Company Universe'!$A$6:$A$105,0))</x:f>
        <x:v>Apple</x:v>
      </x:c>
      <x:c r="F501" s="75" t="str">
        <x:f>INDEX('Company Universe'!$C$6:$C$105,MATCH(D501,'Company Universe'!$A$6:$A$105,0))</x:f>
        <x:v>AAPL</x:v>
      </x:c>
      <x:c r="G501" s="75" t="str">
        <x:f>INDEX('Company Universe'!$F$6:$F$105,MATCH(D501,'Company Universe'!$A$6:$A$105,0))</x:f>
        <x:v>Consumer</x:v>
      </x:c>
      <x:c r="H501" s="57" t="n">
        <x:v>6</x:v>
      </x:c>
      <x:c r="I501" s="206" t="n"/>
      <x:c r="J501" s="71" t="n"/>
      <x:c r="K501" s="71" t="n"/>
      <x:c r="L501" s="71" t="inlineStr">
        <x:is>
          <x:t xml:space="preserve">NO</x:t>
        </x:is>
      </x:c>
      <x:c r="M501" s="71" t="n"/>
      <x:c r="N501" s="71" t="n"/>
      <x:c r="O501" s="71" t="n"/>
      <x:c r="P501" s="71" t="n"/>
      <x:c r="Q501" s="71" t="n"/>
      <x:c r="R501" s="71" t="n"/>
      <x:c r="S501" s="206" t="n"/>
      <x:c r="T501" s="71" t="n"/>
      <x:c r="U501" s="71" t="n"/>
      <x:c r="V501" s="71" t="n"/>
      <x:c r="W501" s="71" t="n"/>
      <x:c r="X501" s="71" t="n"/>
      <x:c r="Y501" s="71" t="n"/>
      <x:c r="Z501" s="71" t="n"/>
      <x:c r="AA501" s="71" t="n"/>
      <x:c r="AB501" s="71" t="inlineStr">
        <x:is>
          <x:t xml:space="preserve">NO</x:t>
        </x:is>
      </x:c>
      <x:c r="AC501" s="57" t="inlineStr">
        <x:is>
          <x:t xml:space="preserve">V10</x:t>
        </x:is>
      </x:c>
      <x:c r="AD501" s="57" t="n"/>
      <x:c r="AE501" s="79" t="str">
        <x:f>IF(AND(I501&lt;&gt;"",J501&lt;&gt;"",K501&lt;&gt;"",L501="YES",M501&lt;&gt;"",S501&lt;&gt;"",T501&lt;&gt;"",U501&lt;&gt;"",V501&lt;&gt;"",W501&lt;&gt;"",X501&lt;&gt;"",Y501&lt;&gt;""),"COMPLETE","PENDING")</x:f>
        <x:v>PENDING</x:v>
      </x:c>
      <x:c r="AF501" s="79" t="str">
        <x:f>IF(AE501="COMPLETE","YES","NO")</x:f>
        <x:v>NO</x:v>
      </x:c>
      <x:c r="AG501" s="214" t="str">
        <x:f>IF(AF501&lt;&gt;"YES","",(IF(V501="YES",1,0)+IF(W501="YES",1,0))/2)</x:f>
      </x:c>
    </x:row>
    <x:row r="502">
      <x:c r="A502" s="57" t="inlineStr">
        <x:is>
          <x:t xml:space="preserve">C0497</x:t>
        </x:is>
      </x:c>
      <x:c r="B502" s="57" t="inlineStr">
        <x:is>
          <x:t xml:space="preserve">Development</x:t>
        </x:is>
      </x:c>
      <x:c r="C502" s="57" t="inlineStr">
        <x:is>
          <x:t xml:space="preserve">OPEN</x:t>
        </x:is>
      </x:c>
      <x:c r="D502" s="57" t="inlineStr">
        <x:is>
          <x:t xml:space="preserve">ARG-050</x:t>
        </x:is>
      </x:c>
      <x:c r="E502" s="75" t="str">
        <x:f>INDEX('Company Universe'!$B$6:$B$105,MATCH(D502,'Company Universe'!$A$6:$A$105,0))</x:f>
        <x:v>Apple</x:v>
      </x:c>
      <x:c r="F502" s="75" t="str">
        <x:f>INDEX('Company Universe'!$C$6:$C$105,MATCH(D502,'Company Universe'!$A$6:$A$105,0))</x:f>
        <x:v>AAPL</x:v>
      </x:c>
      <x:c r="G502" s="75" t="str">
        <x:f>INDEX('Company Universe'!$F$6:$F$105,MATCH(D502,'Company Universe'!$A$6:$A$105,0))</x:f>
        <x:v>Consumer</x:v>
      </x:c>
      <x:c r="H502" s="57" t="n">
        <x:v>7</x:v>
      </x:c>
      <x:c r="I502" s="206" t="n"/>
      <x:c r="J502" s="71" t="n"/>
      <x:c r="K502" s="71" t="n"/>
      <x:c r="L502" s="71" t="inlineStr">
        <x:is>
          <x:t xml:space="preserve">NO</x:t>
        </x:is>
      </x:c>
      <x:c r="M502" s="71" t="n"/>
      <x:c r="N502" s="71" t="n"/>
      <x:c r="O502" s="71" t="n"/>
      <x:c r="P502" s="71" t="n"/>
      <x:c r="Q502" s="71" t="n"/>
      <x:c r="R502" s="71" t="n"/>
      <x:c r="S502" s="206" t="n"/>
      <x:c r="T502" s="71" t="n"/>
      <x:c r="U502" s="71" t="n"/>
      <x:c r="V502" s="71" t="n"/>
      <x:c r="W502" s="71" t="n"/>
      <x:c r="X502" s="71" t="n"/>
      <x:c r="Y502" s="71" t="n"/>
      <x:c r="Z502" s="71" t="n"/>
      <x:c r="AA502" s="71" t="n"/>
      <x:c r="AB502" s="71" t="inlineStr">
        <x:is>
          <x:t xml:space="preserve">NO</x:t>
        </x:is>
      </x:c>
      <x:c r="AC502" s="57" t="inlineStr">
        <x:is>
          <x:t xml:space="preserve">V10</x:t>
        </x:is>
      </x:c>
      <x:c r="AD502" s="57" t="n"/>
      <x:c r="AE502" s="79" t="str">
        <x:f>IF(AND(I502&lt;&gt;"",J502&lt;&gt;"",K502&lt;&gt;"",L502="YES",M502&lt;&gt;"",S502&lt;&gt;"",T502&lt;&gt;"",U502&lt;&gt;"",V502&lt;&gt;"",W502&lt;&gt;"",X502&lt;&gt;"",Y502&lt;&gt;""),"COMPLETE","PENDING")</x:f>
        <x:v>PENDING</x:v>
      </x:c>
      <x:c r="AF502" s="79" t="str">
        <x:f>IF(AE502="COMPLETE","YES","NO")</x:f>
        <x:v>NO</x:v>
      </x:c>
      <x:c r="AG502" s="214" t="str">
        <x:f>IF(AF502&lt;&gt;"YES","",(IF(V502="YES",1,0)+IF(W502="YES",1,0))/2)</x:f>
      </x:c>
    </x:row>
    <x:row r="503">
      <x:c r="A503" s="57" t="inlineStr">
        <x:is>
          <x:t xml:space="preserve">C0498</x:t>
        </x:is>
      </x:c>
      <x:c r="B503" s="57" t="inlineStr">
        <x:is>
          <x:t xml:space="preserve">Development</x:t>
        </x:is>
      </x:c>
      <x:c r="C503" s="57" t="inlineStr">
        <x:is>
          <x:t xml:space="preserve">OPEN</x:t>
        </x:is>
      </x:c>
      <x:c r="D503" s="57" t="inlineStr">
        <x:is>
          <x:t xml:space="preserve">ARG-050</x:t>
        </x:is>
      </x:c>
      <x:c r="E503" s="75" t="str">
        <x:f>INDEX('Company Universe'!$B$6:$B$105,MATCH(D503,'Company Universe'!$A$6:$A$105,0))</x:f>
        <x:v>Apple</x:v>
      </x:c>
      <x:c r="F503" s="75" t="str">
        <x:f>INDEX('Company Universe'!$C$6:$C$105,MATCH(D503,'Company Universe'!$A$6:$A$105,0))</x:f>
        <x:v>AAPL</x:v>
      </x:c>
      <x:c r="G503" s="75" t="str">
        <x:f>INDEX('Company Universe'!$F$6:$F$105,MATCH(D503,'Company Universe'!$A$6:$A$105,0))</x:f>
        <x:v>Consumer</x:v>
      </x:c>
      <x:c r="H503" s="57" t="n">
        <x:v>8</x:v>
      </x:c>
      <x:c r="I503" s="206" t="n"/>
      <x:c r="J503" s="71" t="n"/>
      <x:c r="K503" s="71" t="n"/>
      <x:c r="L503" s="71" t="inlineStr">
        <x:is>
          <x:t xml:space="preserve">NO</x:t>
        </x:is>
      </x:c>
      <x:c r="M503" s="71" t="n"/>
      <x:c r="N503" s="71" t="n"/>
      <x:c r="O503" s="71" t="n"/>
      <x:c r="P503" s="71" t="n"/>
      <x:c r="Q503" s="71" t="n"/>
      <x:c r="R503" s="71" t="n"/>
      <x:c r="S503" s="206" t="n"/>
      <x:c r="T503" s="71" t="n"/>
      <x:c r="U503" s="71" t="n"/>
      <x:c r="V503" s="71" t="n"/>
      <x:c r="W503" s="71" t="n"/>
      <x:c r="X503" s="71" t="n"/>
      <x:c r="Y503" s="71" t="n"/>
      <x:c r="Z503" s="71" t="n"/>
      <x:c r="AA503" s="71" t="n"/>
      <x:c r="AB503" s="71" t="inlineStr">
        <x:is>
          <x:t xml:space="preserve">NO</x:t>
        </x:is>
      </x:c>
      <x:c r="AC503" s="57" t="inlineStr">
        <x:is>
          <x:t xml:space="preserve">V10</x:t>
        </x:is>
      </x:c>
      <x:c r="AD503" s="57" t="n"/>
      <x:c r="AE503" s="79" t="str">
        <x:f>IF(AND(I503&lt;&gt;"",J503&lt;&gt;"",K503&lt;&gt;"",L503="YES",M503&lt;&gt;"",S503&lt;&gt;"",T503&lt;&gt;"",U503&lt;&gt;"",V503&lt;&gt;"",W503&lt;&gt;"",X503&lt;&gt;"",Y503&lt;&gt;""),"COMPLETE","PENDING")</x:f>
        <x:v>PENDING</x:v>
      </x:c>
      <x:c r="AF503" s="79" t="str">
        <x:f>IF(AE503="COMPLETE","YES","NO")</x:f>
        <x:v>NO</x:v>
      </x:c>
      <x:c r="AG503" s="214" t="str">
        <x:f>IF(AF503&lt;&gt;"YES","",(IF(V503="YES",1,0)+IF(W503="YES",1,0))/2)</x:f>
      </x:c>
    </x:row>
    <x:row r="504">
      <x:c r="A504" s="57" t="inlineStr">
        <x:is>
          <x:t xml:space="preserve">C0499</x:t>
        </x:is>
      </x:c>
      <x:c r="B504" s="57" t="inlineStr">
        <x:is>
          <x:t xml:space="preserve">Development</x:t>
        </x:is>
      </x:c>
      <x:c r="C504" s="57" t="inlineStr">
        <x:is>
          <x:t xml:space="preserve">OPEN</x:t>
        </x:is>
      </x:c>
      <x:c r="D504" s="57" t="inlineStr">
        <x:is>
          <x:t xml:space="preserve">ARG-050</x:t>
        </x:is>
      </x:c>
      <x:c r="E504" s="75" t="str">
        <x:f>INDEX('Company Universe'!$B$6:$B$105,MATCH(D504,'Company Universe'!$A$6:$A$105,0))</x:f>
        <x:v>Apple</x:v>
      </x:c>
      <x:c r="F504" s="75" t="str">
        <x:f>INDEX('Company Universe'!$C$6:$C$105,MATCH(D504,'Company Universe'!$A$6:$A$105,0))</x:f>
        <x:v>AAPL</x:v>
      </x:c>
      <x:c r="G504" s="75" t="str">
        <x:f>INDEX('Company Universe'!$F$6:$F$105,MATCH(D504,'Company Universe'!$A$6:$A$105,0))</x:f>
        <x:v>Consumer</x:v>
      </x:c>
      <x:c r="H504" s="57" t="n">
        <x:v>9</x:v>
      </x:c>
      <x:c r="I504" s="206" t="n"/>
      <x:c r="J504" s="71" t="n"/>
      <x:c r="K504" s="71" t="n"/>
      <x:c r="L504" s="71" t="inlineStr">
        <x:is>
          <x:t xml:space="preserve">NO</x:t>
        </x:is>
      </x:c>
      <x:c r="M504" s="71" t="n"/>
      <x:c r="N504" s="71" t="n"/>
      <x:c r="O504" s="71" t="n"/>
      <x:c r="P504" s="71" t="n"/>
      <x:c r="Q504" s="71" t="n"/>
      <x:c r="R504" s="71" t="n"/>
      <x:c r="S504" s="206" t="n"/>
      <x:c r="T504" s="71" t="n"/>
      <x:c r="U504" s="71" t="n"/>
      <x:c r="V504" s="71" t="n"/>
      <x:c r="W504" s="71" t="n"/>
      <x:c r="X504" s="71" t="n"/>
      <x:c r="Y504" s="71" t="n"/>
      <x:c r="Z504" s="71" t="n"/>
      <x:c r="AA504" s="71" t="n"/>
      <x:c r="AB504" s="71" t="inlineStr">
        <x:is>
          <x:t xml:space="preserve">NO</x:t>
        </x:is>
      </x:c>
      <x:c r="AC504" s="57" t="inlineStr">
        <x:is>
          <x:t xml:space="preserve">V10</x:t>
        </x:is>
      </x:c>
      <x:c r="AD504" s="57" t="n"/>
      <x:c r="AE504" s="79" t="str">
        <x:f>IF(AND(I504&lt;&gt;"",J504&lt;&gt;"",K504&lt;&gt;"",L504="YES",M504&lt;&gt;"",S504&lt;&gt;"",T504&lt;&gt;"",U504&lt;&gt;"",V504&lt;&gt;"",W504&lt;&gt;"",X504&lt;&gt;"",Y504&lt;&gt;""),"COMPLETE","PENDING")</x:f>
        <x:v>PENDING</x:v>
      </x:c>
      <x:c r="AF504" s="79" t="str">
        <x:f>IF(AE504="COMPLETE","YES","NO")</x:f>
        <x:v>NO</x:v>
      </x:c>
      <x:c r="AG504" s="214" t="str">
        <x:f>IF(AF504&lt;&gt;"YES","",(IF(V504="YES",1,0)+IF(W504="YES",1,0))/2)</x:f>
      </x:c>
    </x:row>
    <x:row r="505">
      <x:c r="A505" s="57" t="inlineStr">
        <x:is>
          <x:t xml:space="preserve">C0500</x:t>
        </x:is>
      </x:c>
      <x:c r="B505" s="57" t="inlineStr">
        <x:is>
          <x:t xml:space="preserve">Development</x:t>
        </x:is>
      </x:c>
      <x:c r="C505" s="57" t="inlineStr">
        <x:is>
          <x:t xml:space="preserve">OPEN</x:t>
        </x:is>
      </x:c>
      <x:c r="D505" s="57" t="inlineStr">
        <x:is>
          <x:t xml:space="preserve">ARG-050</x:t>
        </x:is>
      </x:c>
      <x:c r="E505" s="75" t="str">
        <x:f>INDEX('Company Universe'!$B$6:$B$105,MATCH(D505,'Company Universe'!$A$6:$A$105,0))</x:f>
        <x:v>Apple</x:v>
      </x:c>
      <x:c r="F505" s="75" t="str">
        <x:f>INDEX('Company Universe'!$C$6:$C$105,MATCH(D505,'Company Universe'!$A$6:$A$105,0))</x:f>
        <x:v>AAPL</x:v>
      </x:c>
      <x:c r="G505" s="75" t="str">
        <x:f>INDEX('Company Universe'!$F$6:$F$105,MATCH(D505,'Company Universe'!$A$6:$A$105,0))</x:f>
        <x:v>Consumer</x:v>
      </x:c>
      <x:c r="H505" s="57" t="n">
        <x:v>10</x:v>
      </x:c>
      <x:c r="I505" s="206" t="n"/>
      <x:c r="J505" s="71" t="n"/>
      <x:c r="K505" s="71" t="n"/>
      <x:c r="L505" s="71" t="inlineStr">
        <x:is>
          <x:t xml:space="preserve">NO</x:t>
        </x:is>
      </x:c>
      <x:c r="M505" s="71" t="n"/>
      <x:c r="N505" s="71" t="n"/>
      <x:c r="O505" s="71" t="n"/>
      <x:c r="P505" s="71" t="n"/>
      <x:c r="Q505" s="71" t="n"/>
      <x:c r="R505" s="71" t="n"/>
      <x:c r="S505" s="206" t="n"/>
      <x:c r="T505" s="71" t="n"/>
      <x:c r="U505" s="71" t="n"/>
      <x:c r="V505" s="71" t="n"/>
      <x:c r="W505" s="71" t="n"/>
      <x:c r="X505" s="71" t="n"/>
      <x:c r="Y505" s="71" t="n"/>
      <x:c r="Z505" s="71" t="n"/>
      <x:c r="AA505" s="71" t="n"/>
      <x:c r="AB505" s="71" t="inlineStr">
        <x:is>
          <x:t xml:space="preserve">NO</x:t>
        </x:is>
      </x:c>
      <x:c r="AC505" s="57" t="inlineStr">
        <x:is>
          <x:t xml:space="preserve">V10</x:t>
        </x:is>
      </x:c>
      <x:c r="AD505" s="57" t="n"/>
      <x:c r="AE505" s="79" t="str">
        <x:f>IF(AND(I505&lt;&gt;"",J505&lt;&gt;"",K505&lt;&gt;"",L505="YES",M505&lt;&gt;"",S505&lt;&gt;"",T505&lt;&gt;"",U505&lt;&gt;"",V505&lt;&gt;"",W505&lt;&gt;"",X505&lt;&gt;"",Y505&lt;&gt;""),"COMPLETE","PENDING")</x:f>
        <x:v>PENDING</x:v>
      </x:c>
      <x:c r="AF505" s="79" t="str">
        <x:f>IF(AE505="COMPLETE","YES","NO")</x:f>
        <x:v>NO</x:v>
      </x:c>
      <x:c r="AG505" s="214" t="str">
        <x:f>IF(AF505&lt;&gt;"YES","",(IF(V505="YES",1,0)+IF(W505="YES",1,0))/2)</x:f>
      </x:c>
    </x:row>
    <x:row r="506">
      <x:c r="A506" s="57" t="inlineStr">
        <x:is>
          <x:t xml:space="preserve">C0501</x:t>
        </x:is>
      </x:c>
      <x:c r="B506" s="57" t="inlineStr">
        <x:is>
          <x:t xml:space="preserve">Development</x:t>
        </x:is>
      </x:c>
      <x:c r="C506" s="57" t="inlineStr">
        <x:is>
          <x:t xml:space="preserve">OPEN</x:t>
        </x:is>
      </x:c>
      <x:c r="D506" s="57" t="inlineStr">
        <x:is>
          <x:t xml:space="preserve">ARG-051</x:t>
        </x:is>
      </x:c>
      <x:c r="E506" s="75" t="str">
        <x:f>INDEX('Company Universe'!$B$6:$B$105,MATCH(D506,'Company Universe'!$A$6:$A$105,0))</x:f>
        <x:v>DHT Holdings</x:v>
      </x:c>
      <x:c r="F506" s="75" t="str">
        <x:f>INDEX('Company Universe'!$C$6:$C$105,MATCH(D506,'Company Universe'!$A$6:$A$105,0))</x:f>
        <x:v>DHT</x:v>
      </x:c>
      <x:c r="G506" s="75" t="str">
        <x:f>INDEX('Company Universe'!$F$6:$F$105,MATCH(D506,'Company Universe'!$A$6:$A$105,0))</x:f>
        <x:v>Shipping</x:v>
      </x:c>
      <x:c r="H506" s="57" t="n">
        <x:v>1</x:v>
      </x:c>
      <x:c r="I506" s="206" t="n"/>
      <x:c r="J506" s="71" t="n"/>
      <x:c r="K506" s="71" t="n"/>
      <x:c r="L506" s="71" t="inlineStr">
        <x:is>
          <x:t xml:space="preserve">NO</x:t>
        </x:is>
      </x:c>
      <x:c r="M506" s="71" t="n"/>
      <x:c r="N506" s="71" t="n"/>
      <x:c r="O506" s="71" t="n"/>
      <x:c r="P506" s="71" t="n"/>
      <x:c r="Q506" s="71" t="n"/>
      <x:c r="R506" s="71" t="n"/>
      <x:c r="S506" s="206" t="n"/>
      <x:c r="T506" s="71" t="n"/>
      <x:c r="U506" s="71" t="n"/>
      <x:c r="V506" s="71" t="n"/>
      <x:c r="W506" s="71" t="n"/>
      <x:c r="X506" s="71" t="n"/>
      <x:c r="Y506" s="71" t="n"/>
      <x:c r="Z506" s="71" t="n"/>
      <x:c r="AA506" s="71" t="n"/>
      <x:c r="AB506" s="71" t="inlineStr">
        <x:is>
          <x:t xml:space="preserve">NO</x:t>
        </x:is>
      </x:c>
      <x:c r="AC506" s="57" t="inlineStr">
        <x:is>
          <x:t xml:space="preserve">V10</x:t>
        </x:is>
      </x:c>
      <x:c r="AD506" s="57" t="n"/>
      <x:c r="AE506" s="79" t="str">
        <x:f>IF(AND(I506&lt;&gt;"",J506&lt;&gt;"",K506&lt;&gt;"",L506="YES",M506&lt;&gt;"",S506&lt;&gt;"",T506&lt;&gt;"",U506&lt;&gt;"",V506&lt;&gt;"",W506&lt;&gt;"",X506&lt;&gt;"",Y506&lt;&gt;""),"COMPLETE","PENDING")</x:f>
        <x:v>PENDING</x:v>
      </x:c>
      <x:c r="AF506" s="79" t="str">
        <x:f>IF(AE506="COMPLETE","YES","NO")</x:f>
        <x:v>NO</x:v>
      </x:c>
      <x:c r="AG506" s="214" t="str">
        <x:f>IF(AF506&lt;&gt;"YES","",(IF(V506="YES",1,0)+IF(W506="YES",1,0))/2)</x:f>
      </x:c>
    </x:row>
    <x:row r="507">
      <x:c r="A507" s="57" t="inlineStr">
        <x:is>
          <x:t xml:space="preserve">C0502</x:t>
        </x:is>
      </x:c>
      <x:c r="B507" s="57" t="inlineStr">
        <x:is>
          <x:t xml:space="preserve">Development</x:t>
        </x:is>
      </x:c>
      <x:c r="C507" s="57" t="inlineStr">
        <x:is>
          <x:t xml:space="preserve">OPEN</x:t>
        </x:is>
      </x:c>
      <x:c r="D507" s="57" t="inlineStr">
        <x:is>
          <x:t xml:space="preserve">ARG-051</x:t>
        </x:is>
      </x:c>
      <x:c r="E507" s="75" t="str">
        <x:f>INDEX('Company Universe'!$B$6:$B$105,MATCH(D507,'Company Universe'!$A$6:$A$105,0))</x:f>
        <x:v>DHT Holdings</x:v>
      </x:c>
      <x:c r="F507" s="75" t="str">
        <x:f>INDEX('Company Universe'!$C$6:$C$105,MATCH(D507,'Company Universe'!$A$6:$A$105,0))</x:f>
        <x:v>DHT</x:v>
      </x:c>
      <x:c r="G507" s="75" t="str">
        <x:f>INDEX('Company Universe'!$F$6:$F$105,MATCH(D507,'Company Universe'!$A$6:$A$105,0))</x:f>
        <x:v>Shipping</x:v>
      </x:c>
      <x:c r="H507" s="57" t="n">
        <x:v>2</x:v>
      </x:c>
      <x:c r="I507" s="206" t="n"/>
      <x:c r="J507" s="71" t="n"/>
      <x:c r="K507" s="71" t="n"/>
      <x:c r="L507" s="71" t="inlineStr">
        <x:is>
          <x:t xml:space="preserve">NO</x:t>
        </x:is>
      </x:c>
      <x:c r="M507" s="71" t="n"/>
      <x:c r="N507" s="71" t="n"/>
      <x:c r="O507" s="71" t="n"/>
      <x:c r="P507" s="71" t="n"/>
      <x:c r="Q507" s="71" t="n"/>
      <x:c r="R507" s="71" t="n"/>
      <x:c r="S507" s="206" t="n"/>
      <x:c r="T507" s="71" t="n"/>
      <x:c r="U507" s="71" t="n"/>
      <x:c r="V507" s="71" t="n"/>
      <x:c r="W507" s="71" t="n"/>
      <x:c r="X507" s="71" t="n"/>
      <x:c r="Y507" s="71" t="n"/>
      <x:c r="Z507" s="71" t="n"/>
      <x:c r="AA507" s="71" t="n"/>
      <x:c r="AB507" s="71" t="inlineStr">
        <x:is>
          <x:t xml:space="preserve">NO</x:t>
        </x:is>
      </x:c>
      <x:c r="AC507" s="57" t="inlineStr">
        <x:is>
          <x:t xml:space="preserve">V10</x:t>
        </x:is>
      </x:c>
      <x:c r="AD507" s="57" t="n"/>
      <x:c r="AE507" s="79" t="str">
        <x:f>IF(AND(I507&lt;&gt;"",J507&lt;&gt;"",K507&lt;&gt;"",L507="YES",M507&lt;&gt;"",S507&lt;&gt;"",T507&lt;&gt;"",U507&lt;&gt;"",V507&lt;&gt;"",W507&lt;&gt;"",X507&lt;&gt;"",Y507&lt;&gt;""),"COMPLETE","PENDING")</x:f>
        <x:v>PENDING</x:v>
      </x:c>
      <x:c r="AF507" s="79" t="str">
        <x:f>IF(AE507="COMPLETE","YES","NO")</x:f>
        <x:v>NO</x:v>
      </x:c>
      <x:c r="AG507" s="214" t="str">
        <x:f>IF(AF507&lt;&gt;"YES","",(IF(V507="YES",1,0)+IF(W507="YES",1,0))/2)</x:f>
      </x:c>
    </x:row>
    <x:row r="508">
      <x:c r="A508" s="57" t="inlineStr">
        <x:is>
          <x:t xml:space="preserve">C0503</x:t>
        </x:is>
      </x:c>
      <x:c r="B508" s="57" t="inlineStr">
        <x:is>
          <x:t xml:space="preserve">Development</x:t>
        </x:is>
      </x:c>
      <x:c r="C508" s="57" t="inlineStr">
        <x:is>
          <x:t xml:space="preserve">OPEN</x:t>
        </x:is>
      </x:c>
      <x:c r="D508" s="57" t="inlineStr">
        <x:is>
          <x:t xml:space="preserve">ARG-051</x:t>
        </x:is>
      </x:c>
      <x:c r="E508" s="75" t="str">
        <x:f>INDEX('Company Universe'!$B$6:$B$105,MATCH(D508,'Company Universe'!$A$6:$A$105,0))</x:f>
        <x:v>DHT Holdings</x:v>
      </x:c>
      <x:c r="F508" s="75" t="str">
        <x:f>INDEX('Company Universe'!$C$6:$C$105,MATCH(D508,'Company Universe'!$A$6:$A$105,0))</x:f>
        <x:v>DHT</x:v>
      </x:c>
      <x:c r="G508" s="75" t="str">
        <x:f>INDEX('Company Universe'!$F$6:$F$105,MATCH(D508,'Company Universe'!$A$6:$A$105,0))</x:f>
        <x:v>Shipping</x:v>
      </x:c>
      <x:c r="H508" s="57" t="n">
        <x:v>3</x:v>
      </x:c>
      <x:c r="I508" s="206" t="n"/>
      <x:c r="J508" s="71" t="n"/>
      <x:c r="K508" s="71" t="n"/>
      <x:c r="L508" s="71" t="inlineStr">
        <x:is>
          <x:t xml:space="preserve">NO</x:t>
        </x:is>
      </x:c>
      <x:c r="M508" s="71" t="n"/>
      <x:c r="N508" s="71" t="n"/>
      <x:c r="O508" s="71" t="n"/>
      <x:c r="P508" s="71" t="n"/>
      <x:c r="Q508" s="71" t="n"/>
      <x:c r="R508" s="71" t="n"/>
      <x:c r="S508" s="206" t="n"/>
      <x:c r="T508" s="71" t="n"/>
      <x:c r="U508" s="71" t="n"/>
      <x:c r="V508" s="71" t="n"/>
      <x:c r="W508" s="71" t="n"/>
      <x:c r="X508" s="71" t="n"/>
      <x:c r="Y508" s="71" t="n"/>
      <x:c r="Z508" s="71" t="n"/>
      <x:c r="AA508" s="71" t="n"/>
      <x:c r="AB508" s="71" t="inlineStr">
        <x:is>
          <x:t xml:space="preserve">NO</x:t>
        </x:is>
      </x:c>
      <x:c r="AC508" s="57" t="inlineStr">
        <x:is>
          <x:t xml:space="preserve">V10</x:t>
        </x:is>
      </x:c>
      <x:c r="AD508" s="57" t="n"/>
      <x:c r="AE508" s="79" t="str">
        <x:f>IF(AND(I508&lt;&gt;"",J508&lt;&gt;"",K508&lt;&gt;"",L508="YES",M508&lt;&gt;"",S508&lt;&gt;"",T508&lt;&gt;"",U508&lt;&gt;"",V508&lt;&gt;"",W508&lt;&gt;"",X508&lt;&gt;"",Y508&lt;&gt;""),"COMPLETE","PENDING")</x:f>
        <x:v>PENDING</x:v>
      </x:c>
      <x:c r="AF508" s="79" t="str">
        <x:f>IF(AE508="COMPLETE","YES","NO")</x:f>
        <x:v>NO</x:v>
      </x:c>
      <x:c r="AG508" s="214" t="str">
        <x:f>IF(AF508&lt;&gt;"YES","",(IF(V508="YES",1,0)+IF(W508="YES",1,0))/2)</x:f>
      </x:c>
    </x:row>
    <x:row r="509">
      <x:c r="A509" s="57" t="inlineStr">
        <x:is>
          <x:t xml:space="preserve">C0504</x:t>
        </x:is>
      </x:c>
      <x:c r="B509" s="57" t="inlineStr">
        <x:is>
          <x:t xml:space="preserve">Development</x:t>
        </x:is>
      </x:c>
      <x:c r="C509" s="57" t="inlineStr">
        <x:is>
          <x:t xml:space="preserve">OPEN</x:t>
        </x:is>
      </x:c>
      <x:c r="D509" s="57" t="inlineStr">
        <x:is>
          <x:t xml:space="preserve">ARG-051</x:t>
        </x:is>
      </x:c>
      <x:c r="E509" s="75" t="str">
        <x:f>INDEX('Company Universe'!$B$6:$B$105,MATCH(D509,'Company Universe'!$A$6:$A$105,0))</x:f>
        <x:v>DHT Holdings</x:v>
      </x:c>
      <x:c r="F509" s="75" t="str">
        <x:f>INDEX('Company Universe'!$C$6:$C$105,MATCH(D509,'Company Universe'!$A$6:$A$105,0))</x:f>
        <x:v>DHT</x:v>
      </x:c>
      <x:c r="G509" s="75" t="str">
        <x:f>INDEX('Company Universe'!$F$6:$F$105,MATCH(D509,'Company Universe'!$A$6:$A$105,0))</x:f>
        <x:v>Shipping</x:v>
      </x:c>
      <x:c r="H509" s="57" t="n">
        <x:v>4</x:v>
      </x:c>
      <x:c r="I509" s="206" t="n"/>
      <x:c r="J509" s="71" t="n"/>
      <x:c r="K509" s="71" t="n"/>
      <x:c r="L509" s="71" t="inlineStr">
        <x:is>
          <x:t xml:space="preserve">NO</x:t>
        </x:is>
      </x:c>
      <x:c r="M509" s="71" t="n"/>
      <x:c r="N509" s="71" t="n"/>
      <x:c r="O509" s="71" t="n"/>
      <x:c r="P509" s="71" t="n"/>
      <x:c r="Q509" s="71" t="n"/>
      <x:c r="R509" s="71" t="n"/>
      <x:c r="S509" s="206" t="n"/>
      <x:c r="T509" s="71" t="n"/>
      <x:c r="U509" s="71" t="n"/>
      <x:c r="V509" s="71" t="n"/>
      <x:c r="W509" s="71" t="n"/>
      <x:c r="X509" s="71" t="n"/>
      <x:c r="Y509" s="71" t="n"/>
      <x:c r="Z509" s="71" t="n"/>
      <x:c r="AA509" s="71" t="n"/>
      <x:c r="AB509" s="71" t="inlineStr">
        <x:is>
          <x:t xml:space="preserve">NO</x:t>
        </x:is>
      </x:c>
      <x:c r="AC509" s="57" t="inlineStr">
        <x:is>
          <x:t xml:space="preserve">V10</x:t>
        </x:is>
      </x:c>
      <x:c r="AD509" s="57" t="n"/>
      <x:c r="AE509" s="79" t="str">
        <x:f>IF(AND(I509&lt;&gt;"",J509&lt;&gt;"",K509&lt;&gt;"",L509="YES",M509&lt;&gt;"",S509&lt;&gt;"",T509&lt;&gt;"",U509&lt;&gt;"",V509&lt;&gt;"",W509&lt;&gt;"",X509&lt;&gt;"",Y509&lt;&gt;""),"COMPLETE","PENDING")</x:f>
        <x:v>PENDING</x:v>
      </x:c>
      <x:c r="AF509" s="79" t="str">
        <x:f>IF(AE509="COMPLETE","YES","NO")</x:f>
        <x:v>NO</x:v>
      </x:c>
      <x:c r="AG509" s="214" t="str">
        <x:f>IF(AF509&lt;&gt;"YES","",(IF(V509="YES",1,0)+IF(W509="YES",1,0))/2)</x:f>
      </x:c>
    </x:row>
    <x:row r="510">
      <x:c r="A510" s="57" t="inlineStr">
        <x:is>
          <x:t xml:space="preserve">C0505</x:t>
        </x:is>
      </x:c>
      <x:c r="B510" s="57" t="inlineStr">
        <x:is>
          <x:t xml:space="preserve">Development</x:t>
        </x:is>
      </x:c>
      <x:c r="C510" s="57" t="inlineStr">
        <x:is>
          <x:t xml:space="preserve">OPEN</x:t>
        </x:is>
      </x:c>
      <x:c r="D510" s="57" t="inlineStr">
        <x:is>
          <x:t xml:space="preserve">ARG-051</x:t>
        </x:is>
      </x:c>
      <x:c r="E510" s="75" t="str">
        <x:f>INDEX('Company Universe'!$B$6:$B$105,MATCH(D510,'Company Universe'!$A$6:$A$105,0))</x:f>
        <x:v>DHT Holdings</x:v>
      </x:c>
      <x:c r="F510" s="75" t="str">
        <x:f>INDEX('Company Universe'!$C$6:$C$105,MATCH(D510,'Company Universe'!$A$6:$A$105,0))</x:f>
        <x:v>DHT</x:v>
      </x:c>
      <x:c r="G510" s="75" t="str">
        <x:f>INDEX('Company Universe'!$F$6:$F$105,MATCH(D510,'Company Universe'!$A$6:$A$105,0))</x:f>
        <x:v>Shipping</x:v>
      </x:c>
      <x:c r="H510" s="57" t="n">
        <x:v>5</x:v>
      </x:c>
      <x:c r="I510" s="206" t="n"/>
      <x:c r="J510" s="71" t="n"/>
      <x:c r="K510" s="71" t="n"/>
      <x:c r="L510" s="71" t="inlineStr">
        <x:is>
          <x:t xml:space="preserve">NO</x:t>
        </x:is>
      </x:c>
      <x:c r="M510" s="71" t="n"/>
      <x:c r="N510" s="71" t="n"/>
      <x:c r="O510" s="71" t="n"/>
      <x:c r="P510" s="71" t="n"/>
      <x:c r="Q510" s="71" t="n"/>
      <x:c r="R510" s="71" t="n"/>
      <x:c r="S510" s="206" t="n"/>
      <x:c r="T510" s="71" t="n"/>
      <x:c r="U510" s="71" t="n"/>
      <x:c r="V510" s="71" t="n"/>
      <x:c r="W510" s="71" t="n"/>
      <x:c r="X510" s="71" t="n"/>
      <x:c r="Y510" s="71" t="n"/>
      <x:c r="Z510" s="71" t="n"/>
      <x:c r="AA510" s="71" t="n"/>
      <x:c r="AB510" s="71" t="inlineStr">
        <x:is>
          <x:t xml:space="preserve">NO</x:t>
        </x:is>
      </x:c>
      <x:c r="AC510" s="57" t="inlineStr">
        <x:is>
          <x:t xml:space="preserve">V10</x:t>
        </x:is>
      </x:c>
      <x:c r="AD510" s="57" t="n"/>
      <x:c r="AE510" s="79" t="str">
        <x:f>IF(AND(I510&lt;&gt;"",J510&lt;&gt;"",K510&lt;&gt;"",L510="YES",M510&lt;&gt;"",S510&lt;&gt;"",T510&lt;&gt;"",U510&lt;&gt;"",V510&lt;&gt;"",W510&lt;&gt;"",X510&lt;&gt;"",Y510&lt;&gt;""),"COMPLETE","PENDING")</x:f>
        <x:v>PENDING</x:v>
      </x:c>
      <x:c r="AF510" s="79" t="str">
        <x:f>IF(AE510="COMPLETE","YES","NO")</x:f>
        <x:v>NO</x:v>
      </x:c>
      <x:c r="AG510" s="214" t="str">
        <x:f>IF(AF510&lt;&gt;"YES","",(IF(V510="YES",1,0)+IF(W510="YES",1,0))/2)</x:f>
      </x:c>
    </x:row>
    <x:row r="511">
      <x:c r="A511" s="57" t="inlineStr">
        <x:is>
          <x:t xml:space="preserve">C0506</x:t>
        </x:is>
      </x:c>
      <x:c r="B511" s="57" t="inlineStr">
        <x:is>
          <x:t xml:space="preserve">Development</x:t>
        </x:is>
      </x:c>
      <x:c r="C511" s="57" t="inlineStr">
        <x:is>
          <x:t xml:space="preserve">OPEN</x:t>
        </x:is>
      </x:c>
      <x:c r="D511" s="57" t="inlineStr">
        <x:is>
          <x:t xml:space="preserve">ARG-051</x:t>
        </x:is>
      </x:c>
      <x:c r="E511" s="75" t="str">
        <x:f>INDEX('Company Universe'!$B$6:$B$105,MATCH(D511,'Company Universe'!$A$6:$A$105,0))</x:f>
        <x:v>DHT Holdings</x:v>
      </x:c>
      <x:c r="F511" s="75" t="str">
        <x:f>INDEX('Company Universe'!$C$6:$C$105,MATCH(D511,'Company Universe'!$A$6:$A$105,0))</x:f>
        <x:v>DHT</x:v>
      </x:c>
      <x:c r="G511" s="75" t="str">
        <x:f>INDEX('Company Universe'!$F$6:$F$105,MATCH(D511,'Company Universe'!$A$6:$A$105,0))</x:f>
        <x:v>Shipping</x:v>
      </x:c>
      <x:c r="H511" s="57" t="n">
        <x:v>6</x:v>
      </x:c>
      <x:c r="I511" s="206" t="n"/>
      <x:c r="J511" s="71" t="n"/>
      <x:c r="K511" s="71" t="n"/>
      <x:c r="L511" s="71" t="inlineStr">
        <x:is>
          <x:t xml:space="preserve">NO</x:t>
        </x:is>
      </x:c>
      <x:c r="M511" s="71" t="n"/>
      <x:c r="N511" s="71" t="n"/>
      <x:c r="O511" s="71" t="n"/>
      <x:c r="P511" s="71" t="n"/>
      <x:c r="Q511" s="71" t="n"/>
      <x:c r="R511" s="71" t="n"/>
      <x:c r="S511" s="206" t="n"/>
      <x:c r="T511" s="71" t="n"/>
      <x:c r="U511" s="71" t="n"/>
      <x:c r="V511" s="71" t="n"/>
      <x:c r="W511" s="71" t="n"/>
      <x:c r="X511" s="71" t="n"/>
      <x:c r="Y511" s="71" t="n"/>
      <x:c r="Z511" s="71" t="n"/>
      <x:c r="AA511" s="71" t="n"/>
      <x:c r="AB511" s="71" t="inlineStr">
        <x:is>
          <x:t xml:space="preserve">NO</x:t>
        </x:is>
      </x:c>
      <x:c r="AC511" s="57" t="inlineStr">
        <x:is>
          <x:t xml:space="preserve">V10</x:t>
        </x:is>
      </x:c>
      <x:c r="AD511" s="57" t="n"/>
      <x:c r="AE511" s="79" t="str">
        <x:f>IF(AND(I511&lt;&gt;"",J511&lt;&gt;"",K511&lt;&gt;"",L511="YES",M511&lt;&gt;"",S511&lt;&gt;"",T511&lt;&gt;"",U511&lt;&gt;"",V511&lt;&gt;"",W511&lt;&gt;"",X511&lt;&gt;"",Y511&lt;&gt;""),"COMPLETE","PENDING")</x:f>
        <x:v>PENDING</x:v>
      </x:c>
      <x:c r="AF511" s="79" t="str">
        <x:f>IF(AE511="COMPLETE","YES","NO")</x:f>
        <x:v>NO</x:v>
      </x:c>
      <x:c r="AG511" s="214" t="str">
        <x:f>IF(AF511&lt;&gt;"YES","",(IF(V511="YES",1,0)+IF(W511="YES",1,0))/2)</x:f>
      </x:c>
    </x:row>
    <x:row r="512">
      <x:c r="A512" s="57" t="inlineStr">
        <x:is>
          <x:t xml:space="preserve">C0507</x:t>
        </x:is>
      </x:c>
      <x:c r="B512" s="57" t="inlineStr">
        <x:is>
          <x:t xml:space="preserve">Development</x:t>
        </x:is>
      </x:c>
      <x:c r="C512" s="57" t="inlineStr">
        <x:is>
          <x:t xml:space="preserve">OPEN</x:t>
        </x:is>
      </x:c>
      <x:c r="D512" s="57" t="inlineStr">
        <x:is>
          <x:t xml:space="preserve">ARG-051</x:t>
        </x:is>
      </x:c>
      <x:c r="E512" s="75" t="str">
        <x:f>INDEX('Company Universe'!$B$6:$B$105,MATCH(D512,'Company Universe'!$A$6:$A$105,0))</x:f>
        <x:v>DHT Holdings</x:v>
      </x:c>
      <x:c r="F512" s="75" t="str">
        <x:f>INDEX('Company Universe'!$C$6:$C$105,MATCH(D512,'Company Universe'!$A$6:$A$105,0))</x:f>
        <x:v>DHT</x:v>
      </x:c>
      <x:c r="G512" s="75" t="str">
        <x:f>INDEX('Company Universe'!$F$6:$F$105,MATCH(D512,'Company Universe'!$A$6:$A$105,0))</x:f>
        <x:v>Shipping</x:v>
      </x:c>
      <x:c r="H512" s="57" t="n">
        <x:v>7</x:v>
      </x:c>
      <x:c r="I512" s="206" t="n"/>
      <x:c r="J512" s="71" t="n"/>
      <x:c r="K512" s="71" t="n"/>
      <x:c r="L512" s="71" t="inlineStr">
        <x:is>
          <x:t xml:space="preserve">NO</x:t>
        </x:is>
      </x:c>
      <x:c r="M512" s="71" t="n"/>
      <x:c r="N512" s="71" t="n"/>
      <x:c r="O512" s="71" t="n"/>
      <x:c r="P512" s="71" t="n"/>
      <x:c r="Q512" s="71" t="n"/>
      <x:c r="R512" s="71" t="n"/>
      <x:c r="S512" s="206" t="n"/>
      <x:c r="T512" s="71" t="n"/>
      <x:c r="U512" s="71" t="n"/>
      <x:c r="V512" s="71" t="n"/>
      <x:c r="W512" s="71" t="n"/>
      <x:c r="X512" s="71" t="n"/>
      <x:c r="Y512" s="71" t="n"/>
      <x:c r="Z512" s="71" t="n"/>
      <x:c r="AA512" s="71" t="n"/>
      <x:c r="AB512" s="71" t="inlineStr">
        <x:is>
          <x:t xml:space="preserve">NO</x:t>
        </x:is>
      </x:c>
      <x:c r="AC512" s="57" t="inlineStr">
        <x:is>
          <x:t xml:space="preserve">V10</x:t>
        </x:is>
      </x:c>
      <x:c r="AD512" s="57" t="n"/>
      <x:c r="AE512" s="79" t="str">
        <x:f>IF(AND(I512&lt;&gt;"",J512&lt;&gt;"",K512&lt;&gt;"",L512="YES",M512&lt;&gt;"",S512&lt;&gt;"",T512&lt;&gt;"",U512&lt;&gt;"",V512&lt;&gt;"",W512&lt;&gt;"",X512&lt;&gt;"",Y512&lt;&gt;""),"COMPLETE","PENDING")</x:f>
        <x:v>PENDING</x:v>
      </x:c>
      <x:c r="AF512" s="79" t="str">
        <x:f>IF(AE512="COMPLETE","YES","NO")</x:f>
        <x:v>NO</x:v>
      </x:c>
      <x:c r="AG512" s="214" t="str">
        <x:f>IF(AF512&lt;&gt;"YES","",(IF(V512="YES",1,0)+IF(W512="YES",1,0))/2)</x:f>
      </x:c>
    </x:row>
    <x:row r="513">
      <x:c r="A513" s="57" t="inlineStr">
        <x:is>
          <x:t xml:space="preserve">C0508</x:t>
        </x:is>
      </x:c>
      <x:c r="B513" s="57" t="inlineStr">
        <x:is>
          <x:t xml:space="preserve">Development</x:t>
        </x:is>
      </x:c>
      <x:c r="C513" s="57" t="inlineStr">
        <x:is>
          <x:t xml:space="preserve">OPEN</x:t>
        </x:is>
      </x:c>
      <x:c r="D513" s="57" t="inlineStr">
        <x:is>
          <x:t xml:space="preserve">ARG-051</x:t>
        </x:is>
      </x:c>
      <x:c r="E513" s="75" t="str">
        <x:f>INDEX('Company Universe'!$B$6:$B$105,MATCH(D513,'Company Universe'!$A$6:$A$105,0))</x:f>
        <x:v>DHT Holdings</x:v>
      </x:c>
      <x:c r="F513" s="75" t="str">
        <x:f>INDEX('Company Universe'!$C$6:$C$105,MATCH(D513,'Company Universe'!$A$6:$A$105,0))</x:f>
        <x:v>DHT</x:v>
      </x:c>
      <x:c r="G513" s="75" t="str">
        <x:f>INDEX('Company Universe'!$F$6:$F$105,MATCH(D513,'Company Universe'!$A$6:$A$105,0))</x:f>
        <x:v>Shipping</x:v>
      </x:c>
      <x:c r="H513" s="57" t="n">
        <x:v>8</x:v>
      </x:c>
      <x:c r="I513" s="206" t="n"/>
      <x:c r="J513" s="71" t="n"/>
      <x:c r="K513" s="71" t="n"/>
      <x:c r="L513" s="71" t="inlineStr">
        <x:is>
          <x:t xml:space="preserve">NO</x:t>
        </x:is>
      </x:c>
      <x:c r="M513" s="71" t="n"/>
      <x:c r="N513" s="71" t="n"/>
      <x:c r="O513" s="71" t="n"/>
      <x:c r="P513" s="71" t="n"/>
      <x:c r="Q513" s="71" t="n"/>
      <x:c r="R513" s="71" t="n"/>
      <x:c r="S513" s="206" t="n"/>
      <x:c r="T513" s="71" t="n"/>
      <x:c r="U513" s="71" t="n"/>
      <x:c r="V513" s="71" t="n"/>
      <x:c r="W513" s="71" t="n"/>
      <x:c r="X513" s="71" t="n"/>
      <x:c r="Y513" s="71" t="n"/>
      <x:c r="Z513" s="71" t="n"/>
      <x:c r="AA513" s="71" t="n"/>
      <x:c r="AB513" s="71" t="inlineStr">
        <x:is>
          <x:t xml:space="preserve">NO</x:t>
        </x:is>
      </x:c>
      <x:c r="AC513" s="57" t="inlineStr">
        <x:is>
          <x:t xml:space="preserve">V10</x:t>
        </x:is>
      </x:c>
      <x:c r="AD513" s="57" t="n"/>
      <x:c r="AE513" s="79" t="str">
        <x:f>IF(AND(I513&lt;&gt;"",J513&lt;&gt;"",K513&lt;&gt;"",L513="YES",M513&lt;&gt;"",S513&lt;&gt;"",T513&lt;&gt;"",U513&lt;&gt;"",V513&lt;&gt;"",W513&lt;&gt;"",X513&lt;&gt;"",Y513&lt;&gt;""),"COMPLETE","PENDING")</x:f>
        <x:v>PENDING</x:v>
      </x:c>
      <x:c r="AF513" s="79" t="str">
        <x:f>IF(AE513="COMPLETE","YES","NO")</x:f>
        <x:v>NO</x:v>
      </x:c>
      <x:c r="AG513" s="214" t="str">
        <x:f>IF(AF513&lt;&gt;"YES","",(IF(V513="YES",1,0)+IF(W513="YES",1,0))/2)</x:f>
      </x:c>
    </x:row>
    <x:row r="514">
      <x:c r="A514" s="57" t="inlineStr">
        <x:is>
          <x:t xml:space="preserve">C0509</x:t>
        </x:is>
      </x:c>
      <x:c r="B514" s="57" t="inlineStr">
        <x:is>
          <x:t xml:space="preserve">Development</x:t>
        </x:is>
      </x:c>
      <x:c r="C514" s="57" t="inlineStr">
        <x:is>
          <x:t xml:space="preserve">OPEN</x:t>
        </x:is>
      </x:c>
      <x:c r="D514" s="57" t="inlineStr">
        <x:is>
          <x:t xml:space="preserve">ARG-051</x:t>
        </x:is>
      </x:c>
      <x:c r="E514" s="75" t="str">
        <x:f>INDEX('Company Universe'!$B$6:$B$105,MATCH(D514,'Company Universe'!$A$6:$A$105,0))</x:f>
        <x:v>DHT Holdings</x:v>
      </x:c>
      <x:c r="F514" s="75" t="str">
        <x:f>INDEX('Company Universe'!$C$6:$C$105,MATCH(D514,'Company Universe'!$A$6:$A$105,0))</x:f>
        <x:v>DHT</x:v>
      </x:c>
      <x:c r="G514" s="75" t="str">
        <x:f>INDEX('Company Universe'!$F$6:$F$105,MATCH(D514,'Company Universe'!$A$6:$A$105,0))</x:f>
        <x:v>Shipping</x:v>
      </x:c>
      <x:c r="H514" s="57" t="n">
        <x:v>9</x:v>
      </x:c>
      <x:c r="I514" s="206" t="n"/>
      <x:c r="J514" s="71" t="n"/>
      <x:c r="K514" s="71" t="n"/>
      <x:c r="L514" s="71" t="inlineStr">
        <x:is>
          <x:t xml:space="preserve">NO</x:t>
        </x:is>
      </x:c>
      <x:c r="M514" s="71" t="n"/>
      <x:c r="N514" s="71" t="n"/>
      <x:c r="O514" s="71" t="n"/>
      <x:c r="P514" s="71" t="n"/>
      <x:c r="Q514" s="71" t="n"/>
      <x:c r="R514" s="71" t="n"/>
      <x:c r="S514" s="206" t="n"/>
      <x:c r="T514" s="71" t="n"/>
      <x:c r="U514" s="71" t="n"/>
      <x:c r="V514" s="71" t="n"/>
      <x:c r="W514" s="71" t="n"/>
      <x:c r="X514" s="71" t="n"/>
      <x:c r="Y514" s="71" t="n"/>
      <x:c r="Z514" s="71" t="n"/>
      <x:c r="AA514" s="71" t="n"/>
      <x:c r="AB514" s="71" t="inlineStr">
        <x:is>
          <x:t xml:space="preserve">NO</x:t>
        </x:is>
      </x:c>
      <x:c r="AC514" s="57" t="inlineStr">
        <x:is>
          <x:t xml:space="preserve">V10</x:t>
        </x:is>
      </x:c>
      <x:c r="AD514" s="57" t="n"/>
      <x:c r="AE514" s="79" t="str">
        <x:f>IF(AND(I514&lt;&gt;"",J514&lt;&gt;"",K514&lt;&gt;"",L514="YES",M514&lt;&gt;"",S514&lt;&gt;"",T514&lt;&gt;"",U514&lt;&gt;"",V514&lt;&gt;"",W514&lt;&gt;"",X514&lt;&gt;"",Y514&lt;&gt;""),"COMPLETE","PENDING")</x:f>
        <x:v>PENDING</x:v>
      </x:c>
      <x:c r="AF514" s="79" t="str">
        <x:f>IF(AE514="COMPLETE","YES","NO")</x:f>
        <x:v>NO</x:v>
      </x:c>
      <x:c r="AG514" s="214" t="str">
        <x:f>IF(AF514&lt;&gt;"YES","",(IF(V514="YES",1,0)+IF(W514="YES",1,0))/2)</x:f>
      </x:c>
    </x:row>
    <x:row r="515">
      <x:c r="A515" s="57" t="inlineStr">
        <x:is>
          <x:t xml:space="preserve">C0510</x:t>
        </x:is>
      </x:c>
      <x:c r="B515" s="57" t="inlineStr">
        <x:is>
          <x:t xml:space="preserve">Development</x:t>
        </x:is>
      </x:c>
      <x:c r="C515" s="57" t="inlineStr">
        <x:is>
          <x:t xml:space="preserve">OPEN</x:t>
        </x:is>
      </x:c>
      <x:c r="D515" s="57" t="inlineStr">
        <x:is>
          <x:t xml:space="preserve">ARG-051</x:t>
        </x:is>
      </x:c>
      <x:c r="E515" s="75" t="str">
        <x:f>INDEX('Company Universe'!$B$6:$B$105,MATCH(D515,'Company Universe'!$A$6:$A$105,0))</x:f>
        <x:v>DHT Holdings</x:v>
      </x:c>
      <x:c r="F515" s="75" t="str">
        <x:f>INDEX('Company Universe'!$C$6:$C$105,MATCH(D515,'Company Universe'!$A$6:$A$105,0))</x:f>
        <x:v>DHT</x:v>
      </x:c>
      <x:c r="G515" s="75" t="str">
        <x:f>INDEX('Company Universe'!$F$6:$F$105,MATCH(D515,'Company Universe'!$A$6:$A$105,0))</x:f>
        <x:v>Shipping</x:v>
      </x:c>
      <x:c r="H515" s="57" t="n">
        <x:v>10</x:v>
      </x:c>
      <x:c r="I515" s="206" t="n"/>
      <x:c r="J515" s="71" t="n"/>
      <x:c r="K515" s="71" t="n"/>
      <x:c r="L515" s="71" t="inlineStr">
        <x:is>
          <x:t xml:space="preserve">NO</x:t>
        </x:is>
      </x:c>
      <x:c r="M515" s="71" t="n"/>
      <x:c r="N515" s="71" t="n"/>
      <x:c r="O515" s="71" t="n"/>
      <x:c r="P515" s="71" t="n"/>
      <x:c r="Q515" s="71" t="n"/>
      <x:c r="R515" s="71" t="n"/>
      <x:c r="S515" s="206" t="n"/>
      <x:c r="T515" s="71" t="n"/>
      <x:c r="U515" s="71" t="n"/>
      <x:c r="V515" s="71" t="n"/>
      <x:c r="W515" s="71" t="n"/>
      <x:c r="X515" s="71" t="n"/>
      <x:c r="Y515" s="71" t="n"/>
      <x:c r="Z515" s="71" t="n"/>
      <x:c r="AA515" s="71" t="n"/>
      <x:c r="AB515" s="71" t="inlineStr">
        <x:is>
          <x:t xml:space="preserve">NO</x:t>
        </x:is>
      </x:c>
      <x:c r="AC515" s="57" t="inlineStr">
        <x:is>
          <x:t xml:space="preserve">V10</x:t>
        </x:is>
      </x:c>
      <x:c r="AD515" s="57" t="n"/>
      <x:c r="AE515" s="79" t="str">
        <x:f>IF(AND(I515&lt;&gt;"",J515&lt;&gt;"",K515&lt;&gt;"",L515="YES",M515&lt;&gt;"",S515&lt;&gt;"",T515&lt;&gt;"",U515&lt;&gt;"",V515&lt;&gt;"",W515&lt;&gt;"",X515&lt;&gt;"",Y515&lt;&gt;""),"COMPLETE","PENDING")</x:f>
        <x:v>PENDING</x:v>
      </x:c>
      <x:c r="AF515" s="79" t="str">
        <x:f>IF(AE515="COMPLETE","YES","NO")</x:f>
        <x:v>NO</x:v>
      </x:c>
      <x:c r="AG515" s="214" t="str">
        <x:f>IF(AF515&lt;&gt;"YES","",(IF(V515="YES",1,0)+IF(W515="YES",1,0))/2)</x:f>
      </x:c>
    </x:row>
    <x:row r="516">
      <x:c r="A516" s="57" t="inlineStr">
        <x:is>
          <x:t xml:space="preserve">C0511</x:t>
        </x:is>
      </x:c>
      <x:c r="B516" s="57" t="inlineStr">
        <x:is>
          <x:t xml:space="preserve">Development</x:t>
        </x:is>
      </x:c>
      <x:c r="C516" s="57" t="inlineStr">
        <x:is>
          <x:t xml:space="preserve">OPEN</x:t>
        </x:is>
      </x:c>
      <x:c r="D516" s="57" t="inlineStr">
        <x:is>
          <x:t xml:space="preserve">ARG-052</x:t>
        </x:is>
      </x:c>
      <x:c r="E516" s="75" t="str">
        <x:f>INDEX('Company Universe'!$B$6:$B$105,MATCH(D516,'Company Universe'!$A$6:$A$105,0))</x:f>
        <x:v>UBS Group</x:v>
      </x:c>
      <x:c r="F516" s="75" t="str">
        <x:f>INDEX('Company Universe'!$C$6:$C$105,MATCH(D516,'Company Universe'!$A$6:$A$105,0))</x:f>
        <x:v>UBS</x:v>
      </x:c>
      <x:c r="G516" s="75" t="str">
        <x:f>INDEX('Company Universe'!$F$6:$F$105,MATCH(D516,'Company Universe'!$A$6:$A$105,0))</x:f>
        <x:v>Banks</x:v>
      </x:c>
      <x:c r="H516" s="57" t="n">
        <x:v>1</x:v>
      </x:c>
      <x:c r="I516" s="206" t="n"/>
      <x:c r="J516" s="71" t="n"/>
      <x:c r="K516" s="71" t="n"/>
      <x:c r="L516" s="71" t="inlineStr">
        <x:is>
          <x:t xml:space="preserve">NO</x:t>
        </x:is>
      </x:c>
      <x:c r="M516" s="71" t="n"/>
      <x:c r="N516" s="71" t="n"/>
      <x:c r="O516" s="71" t="n"/>
      <x:c r="P516" s="71" t="n"/>
      <x:c r="Q516" s="71" t="n"/>
      <x:c r="R516" s="71" t="n"/>
      <x:c r="S516" s="206" t="n"/>
      <x:c r="T516" s="71" t="n"/>
      <x:c r="U516" s="71" t="n"/>
      <x:c r="V516" s="71" t="n"/>
      <x:c r="W516" s="71" t="n"/>
      <x:c r="X516" s="71" t="n"/>
      <x:c r="Y516" s="71" t="n"/>
      <x:c r="Z516" s="71" t="n"/>
      <x:c r="AA516" s="71" t="n"/>
      <x:c r="AB516" s="71" t="inlineStr">
        <x:is>
          <x:t xml:space="preserve">NO</x:t>
        </x:is>
      </x:c>
      <x:c r="AC516" s="57" t="inlineStr">
        <x:is>
          <x:t xml:space="preserve">V10</x:t>
        </x:is>
      </x:c>
      <x:c r="AD516" s="57" t="n"/>
      <x:c r="AE516" s="79" t="str">
        <x:f>IF(AND(I516&lt;&gt;"",J516&lt;&gt;"",K516&lt;&gt;"",L516="YES",M516&lt;&gt;"",S516&lt;&gt;"",T516&lt;&gt;"",U516&lt;&gt;"",V516&lt;&gt;"",W516&lt;&gt;"",X516&lt;&gt;"",Y516&lt;&gt;""),"COMPLETE","PENDING")</x:f>
        <x:v>PENDING</x:v>
      </x:c>
      <x:c r="AF516" s="79" t="str">
        <x:f>IF(AE516="COMPLETE","YES","NO")</x:f>
        <x:v>NO</x:v>
      </x:c>
      <x:c r="AG516" s="214" t="str">
        <x:f>IF(AF516&lt;&gt;"YES","",(IF(V516="YES",1,0)+IF(W516="YES",1,0))/2)</x:f>
      </x:c>
    </x:row>
    <x:row r="517">
      <x:c r="A517" s="57" t="inlineStr">
        <x:is>
          <x:t xml:space="preserve">C0512</x:t>
        </x:is>
      </x:c>
      <x:c r="B517" s="57" t="inlineStr">
        <x:is>
          <x:t xml:space="preserve">Development</x:t>
        </x:is>
      </x:c>
      <x:c r="C517" s="57" t="inlineStr">
        <x:is>
          <x:t xml:space="preserve">OPEN</x:t>
        </x:is>
      </x:c>
      <x:c r="D517" s="57" t="inlineStr">
        <x:is>
          <x:t xml:space="preserve">ARG-052</x:t>
        </x:is>
      </x:c>
      <x:c r="E517" s="75" t="str">
        <x:f>INDEX('Company Universe'!$B$6:$B$105,MATCH(D517,'Company Universe'!$A$6:$A$105,0))</x:f>
        <x:v>UBS Group</x:v>
      </x:c>
      <x:c r="F517" s="75" t="str">
        <x:f>INDEX('Company Universe'!$C$6:$C$105,MATCH(D517,'Company Universe'!$A$6:$A$105,0))</x:f>
        <x:v>UBS</x:v>
      </x:c>
      <x:c r="G517" s="75" t="str">
        <x:f>INDEX('Company Universe'!$F$6:$F$105,MATCH(D517,'Company Universe'!$A$6:$A$105,0))</x:f>
        <x:v>Banks</x:v>
      </x:c>
      <x:c r="H517" s="57" t="n">
        <x:v>2</x:v>
      </x:c>
      <x:c r="I517" s="206" t="n"/>
      <x:c r="J517" s="71" t="n"/>
      <x:c r="K517" s="71" t="n"/>
      <x:c r="L517" s="71" t="inlineStr">
        <x:is>
          <x:t xml:space="preserve">NO</x:t>
        </x:is>
      </x:c>
      <x:c r="M517" s="71" t="n"/>
      <x:c r="N517" s="71" t="n"/>
      <x:c r="O517" s="71" t="n"/>
      <x:c r="P517" s="71" t="n"/>
      <x:c r="Q517" s="71" t="n"/>
      <x:c r="R517" s="71" t="n"/>
      <x:c r="S517" s="206" t="n"/>
      <x:c r="T517" s="71" t="n"/>
      <x:c r="U517" s="71" t="n"/>
      <x:c r="V517" s="71" t="n"/>
      <x:c r="W517" s="71" t="n"/>
      <x:c r="X517" s="71" t="n"/>
      <x:c r="Y517" s="71" t="n"/>
      <x:c r="Z517" s="71" t="n"/>
      <x:c r="AA517" s="71" t="n"/>
      <x:c r="AB517" s="71" t="inlineStr">
        <x:is>
          <x:t xml:space="preserve">NO</x:t>
        </x:is>
      </x:c>
      <x:c r="AC517" s="57" t="inlineStr">
        <x:is>
          <x:t xml:space="preserve">V10</x:t>
        </x:is>
      </x:c>
      <x:c r="AD517" s="57" t="n"/>
      <x:c r="AE517" s="79" t="str">
        <x:f>IF(AND(I517&lt;&gt;"",J517&lt;&gt;"",K517&lt;&gt;"",L517="YES",M517&lt;&gt;"",S517&lt;&gt;"",T517&lt;&gt;"",U517&lt;&gt;"",V517&lt;&gt;"",W517&lt;&gt;"",X517&lt;&gt;"",Y517&lt;&gt;""),"COMPLETE","PENDING")</x:f>
        <x:v>PENDING</x:v>
      </x:c>
      <x:c r="AF517" s="79" t="str">
        <x:f>IF(AE517="COMPLETE","YES","NO")</x:f>
        <x:v>NO</x:v>
      </x:c>
      <x:c r="AG517" s="214" t="str">
        <x:f>IF(AF517&lt;&gt;"YES","",(IF(V517="YES",1,0)+IF(W517="YES",1,0))/2)</x:f>
      </x:c>
    </x:row>
    <x:row r="518">
      <x:c r="A518" s="57" t="inlineStr">
        <x:is>
          <x:t xml:space="preserve">C0513</x:t>
        </x:is>
      </x:c>
      <x:c r="B518" s="57" t="inlineStr">
        <x:is>
          <x:t xml:space="preserve">Development</x:t>
        </x:is>
      </x:c>
      <x:c r="C518" s="57" t="inlineStr">
        <x:is>
          <x:t xml:space="preserve">OPEN</x:t>
        </x:is>
      </x:c>
      <x:c r="D518" s="57" t="inlineStr">
        <x:is>
          <x:t xml:space="preserve">ARG-052</x:t>
        </x:is>
      </x:c>
      <x:c r="E518" s="75" t="str">
        <x:f>INDEX('Company Universe'!$B$6:$B$105,MATCH(D518,'Company Universe'!$A$6:$A$105,0))</x:f>
        <x:v>UBS Group</x:v>
      </x:c>
      <x:c r="F518" s="75" t="str">
        <x:f>INDEX('Company Universe'!$C$6:$C$105,MATCH(D518,'Company Universe'!$A$6:$A$105,0))</x:f>
        <x:v>UBS</x:v>
      </x:c>
      <x:c r="G518" s="75" t="str">
        <x:f>INDEX('Company Universe'!$F$6:$F$105,MATCH(D518,'Company Universe'!$A$6:$A$105,0))</x:f>
        <x:v>Banks</x:v>
      </x:c>
      <x:c r="H518" s="57" t="n">
        <x:v>3</x:v>
      </x:c>
      <x:c r="I518" s="206" t="n"/>
      <x:c r="J518" s="71" t="n"/>
      <x:c r="K518" s="71" t="n"/>
      <x:c r="L518" s="71" t="inlineStr">
        <x:is>
          <x:t xml:space="preserve">NO</x:t>
        </x:is>
      </x:c>
      <x:c r="M518" s="71" t="n"/>
      <x:c r="N518" s="71" t="n"/>
      <x:c r="O518" s="71" t="n"/>
      <x:c r="P518" s="71" t="n"/>
      <x:c r="Q518" s="71" t="n"/>
      <x:c r="R518" s="71" t="n"/>
      <x:c r="S518" s="206" t="n"/>
      <x:c r="T518" s="71" t="n"/>
      <x:c r="U518" s="71" t="n"/>
      <x:c r="V518" s="71" t="n"/>
      <x:c r="W518" s="71" t="n"/>
      <x:c r="X518" s="71" t="n"/>
      <x:c r="Y518" s="71" t="n"/>
      <x:c r="Z518" s="71" t="n"/>
      <x:c r="AA518" s="71" t="n"/>
      <x:c r="AB518" s="71" t="inlineStr">
        <x:is>
          <x:t xml:space="preserve">NO</x:t>
        </x:is>
      </x:c>
      <x:c r="AC518" s="57" t="inlineStr">
        <x:is>
          <x:t xml:space="preserve">V10</x:t>
        </x:is>
      </x:c>
      <x:c r="AD518" s="57" t="n"/>
      <x:c r="AE518" s="79" t="str">
        <x:f>IF(AND(I518&lt;&gt;"",J518&lt;&gt;"",K518&lt;&gt;"",L518="YES",M518&lt;&gt;"",S518&lt;&gt;"",T518&lt;&gt;"",U518&lt;&gt;"",V518&lt;&gt;"",W518&lt;&gt;"",X518&lt;&gt;"",Y518&lt;&gt;""),"COMPLETE","PENDING")</x:f>
        <x:v>PENDING</x:v>
      </x:c>
      <x:c r="AF518" s="79" t="str">
        <x:f>IF(AE518="COMPLETE","YES","NO")</x:f>
        <x:v>NO</x:v>
      </x:c>
      <x:c r="AG518" s="214" t="str">
        <x:f>IF(AF518&lt;&gt;"YES","",(IF(V518="YES",1,0)+IF(W518="YES",1,0))/2)</x:f>
      </x:c>
    </x:row>
    <x:row r="519">
      <x:c r="A519" s="57" t="inlineStr">
        <x:is>
          <x:t xml:space="preserve">C0514</x:t>
        </x:is>
      </x:c>
      <x:c r="B519" s="57" t="inlineStr">
        <x:is>
          <x:t xml:space="preserve">Development</x:t>
        </x:is>
      </x:c>
      <x:c r="C519" s="57" t="inlineStr">
        <x:is>
          <x:t xml:space="preserve">OPEN</x:t>
        </x:is>
      </x:c>
      <x:c r="D519" s="57" t="inlineStr">
        <x:is>
          <x:t xml:space="preserve">ARG-052</x:t>
        </x:is>
      </x:c>
      <x:c r="E519" s="75" t="str">
        <x:f>INDEX('Company Universe'!$B$6:$B$105,MATCH(D519,'Company Universe'!$A$6:$A$105,0))</x:f>
        <x:v>UBS Group</x:v>
      </x:c>
      <x:c r="F519" s="75" t="str">
        <x:f>INDEX('Company Universe'!$C$6:$C$105,MATCH(D519,'Company Universe'!$A$6:$A$105,0))</x:f>
        <x:v>UBS</x:v>
      </x:c>
      <x:c r="G519" s="75" t="str">
        <x:f>INDEX('Company Universe'!$F$6:$F$105,MATCH(D519,'Company Universe'!$A$6:$A$105,0))</x:f>
        <x:v>Banks</x:v>
      </x:c>
      <x:c r="H519" s="57" t="n">
        <x:v>4</x:v>
      </x:c>
      <x:c r="I519" s="206" t="n"/>
      <x:c r="J519" s="71" t="n"/>
      <x:c r="K519" s="71" t="n"/>
      <x:c r="L519" s="71" t="inlineStr">
        <x:is>
          <x:t xml:space="preserve">NO</x:t>
        </x:is>
      </x:c>
      <x:c r="M519" s="71" t="n"/>
      <x:c r="N519" s="71" t="n"/>
      <x:c r="O519" s="71" t="n"/>
      <x:c r="P519" s="71" t="n"/>
      <x:c r="Q519" s="71" t="n"/>
      <x:c r="R519" s="71" t="n"/>
      <x:c r="S519" s="206" t="n"/>
      <x:c r="T519" s="71" t="n"/>
      <x:c r="U519" s="71" t="n"/>
      <x:c r="V519" s="71" t="n"/>
      <x:c r="W519" s="71" t="n"/>
      <x:c r="X519" s="71" t="n"/>
      <x:c r="Y519" s="71" t="n"/>
      <x:c r="Z519" s="71" t="n"/>
      <x:c r="AA519" s="71" t="n"/>
      <x:c r="AB519" s="71" t="inlineStr">
        <x:is>
          <x:t xml:space="preserve">NO</x:t>
        </x:is>
      </x:c>
      <x:c r="AC519" s="57" t="inlineStr">
        <x:is>
          <x:t xml:space="preserve">V10</x:t>
        </x:is>
      </x:c>
      <x:c r="AD519" s="57" t="n"/>
      <x:c r="AE519" s="79" t="str">
        <x:f>IF(AND(I519&lt;&gt;"",J519&lt;&gt;"",K519&lt;&gt;"",L519="YES",M519&lt;&gt;"",S519&lt;&gt;"",T519&lt;&gt;"",U519&lt;&gt;"",V519&lt;&gt;"",W519&lt;&gt;"",X519&lt;&gt;"",Y519&lt;&gt;""),"COMPLETE","PENDING")</x:f>
        <x:v>PENDING</x:v>
      </x:c>
      <x:c r="AF519" s="79" t="str">
        <x:f>IF(AE519="COMPLETE","YES","NO")</x:f>
        <x:v>NO</x:v>
      </x:c>
      <x:c r="AG519" s="214" t="str">
        <x:f>IF(AF519&lt;&gt;"YES","",(IF(V519="YES",1,0)+IF(W519="YES",1,0))/2)</x:f>
      </x:c>
    </x:row>
    <x:row r="520">
      <x:c r="A520" s="57" t="inlineStr">
        <x:is>
          <x:t xml:space="preserve">C0515</x:t>
        </x:is>
      </x:c>
      <x:c r="B520" s="57" t="inlineStr">
        <x:is>
          <x:t xml:space="preserve">Development</x:t>
        </x:is>
      </x:c>
      <x:c r="C520" s="57" t="inlineStr">
        <x:is>
          <x:t xml:space="preserve">OPEN</x:t>
        </x:is>
      </x:c>
      <x:c r="D520" s="57" t="inlineStr">
        <x:is>
          <x:t xml:space="preserve">ARG-052</x:t>
        </x:is>
      </x:c>
      <x:c r="E520" s="75" t="str">
        <x:f>INDEX('Company Universe'!$B$6:$B$105,MATCH(D520,'Company Universe'!$A$6:$A$105,0))</x:f>
        <x:v>UBS Group</x:v>
      </x:c>
      <x:c r="F520" s="75" t="str">
        <x:f>INDEX('Company Universe'!$C$6:$C$105,MATCH(D520,'Company Universe'!$A$6:$A$105,0))</x:f>
        <x:v>UBS</x:v>
      </x:c>
      <x:c r="G520" s="75" t="str">
        <x:f>INDEX('Company Universe'!$F$6:$F$105,MATCH(D520,'Company Universe'!$A$6:$A$105,0))</x:f>
        <x:v>Banks</x:v>
      </x:c>
      <x:c r="H520" s="57" t="n">
        <x:v>5</x:v>
      </x:c>
      <x:c r="I520" s="206" t="n"/>
      <x:c r="J520" s="71" t="n"/>
      <x:c r="K520" s="71" t="n"/>
      <x:c r="L520" s="71" t="inlineStr">
        <x:is>
          <x:t xml:space="preserve">NO</x:t>
        </x:is>
      </x:c>
      <x:c r="M520" s="71" t="n"/>
      <x:c r="N520" s="71" t="n"/>
      <x:c r="O520" s="71" t="n"/>
      <x:c r="P520" s="71" t="n"/>
      <x:c r="Q520" s="71" t="n"/>
      <x:c r="R520" s="71" t="n"/>
      <x:c r="S520" s="206" t="n"/>
      <x:c r="T520" s="71" t="n"/>
      <x:c r="U520" s="71" t="n"/>
      <x:c r="V520" s="71" t="n"/>
      <x:c r="W520" s="71" t="n"/>
      <x:c r="X520" s="71" t="n"/>
      <x:c r="Y520" s="71" t="n"/>
      <x:c r="Z520" s="71" t="n"/>
      <x:c r="AA520" s="71" t="n"/>
      <x:c r="AB520" s="71" t="inlineStr">
        <x:is>
          <x:t xml:space="preserve">NO</x:t>
        </x:is>
      </x:c>
      <x:c r="AC520" s="57" t="inlineStr">
        <x:is>
          <x:t xml:space="preserve">V10</x:t>
        </x:is>
      </x:c>
      <x:c r="AD520" s="57" t="n"/>
      <x:c r="AE520" s="79" t="str">
        <x:f>IF(AND(I520&lt;&gt;"",J520&lt;&gt;"",K520&lt;&gt;"",L520="YES",M520&lt;&gt;"",S520&lt;&gt;"",T520&lt;&gt;"",U520&lt;&gt;"",V520&lt;&gt;"",W520&lt;&gt;"",X520&lt;&gt;"",Y520&lt;&gt;""),"COMPLETE","PENDING")</x:f>
        <x:v>PENDING</x:v>
      </x:c>
      <x:c r="AF520" s="79" t="str">
        <x:f>IF(AE520="COMPLETE","YES","NO")</x:f>
        <x:v>NO</x:v>
      </x:c>
      <x:c r="AG520" s="214" t="str">
        <x:f>IF(AF520&lt;&gt;"YES","",(IF(V520="YES",1,0)+IF(W520="YES",1,0))/2)</x:f>
      </x:c>
    </x:row>
    <x:row r="521">
      <x:c r="A521" s="57" t="inlineStr">
        <x:is>
          <x:t xml:space="preserve">C0516</x:t>
        </x:is>
      </x:c>
      <x:c r="B521" s="57" t="inlineStr">
        <x:is>
          <x:t xml:space="preserve">Development</x:t>
        </x:is>
      </x:c>
      <x:c r="C521" s="57" t="inlineStr">
        <x:is>
          <x:t xml:space="preserve">OPEN</x:t>
        </x:is>
      </x:c>
      <x:c r="D521" s="57" t="inlineStr">
        <x:is>
          <x:t xml:space="preserve">ARG-052</x:t>
        </x:is>
      </x:c>
      <x:c r="E521" s="75" t="str">
        <x:f>INDEX('Company Universe'!$B$6:$B$105,MATCH(D521,'Company Universe'!$A$6:$A$105,0))</x:f>
        <x:v>UBS Group</x:v>
      </x:c>
      <x:c r="F521" s="75" t="str">
        <x:f>INDEX('Company Universe'!$C$6:$C$105,MATCH(D521,'Company Universe'!$A$6:$A$105,0))</x:f>
        <x:v>UBS</x:v>
      </x:c>
      <x:c r="G521" s="75" t="str">
        <x:f>INDEX('Company Universe'!$F$6:$F$105,MATCH(D521,'Company Universe'!$A$6:$A$105,0))</x:f>
        <x:v>Banks</x:v>
      </x:c>
      <x:c r="H521" s="57" t="n">
        <x:v>6</x:v>
      </x:c>
      <x:c r="I521" s="206" t="n"/>
      <x:c r="J521" s="71" t="n"/>
      <x:c r="K521" s="71" t="n"/>
      <x:c r="L521" s="71" t="inlineStr">
        <x:is>
          <x:t xml:space="preserve">NO</x:t>
        </x:is>
      </x:c>
      <x:c r="M521" s="71" t="n"/>
      <x:c r="N521" s="71" t="n"/>
      <x:c r="O521" s="71" t="n"/>
      <x:c r="P521" s="71" t="n"/>
      <x:c r="Q521" s="71" t="n"/>
      <x:c r="R521" s="71" t="n"/>
      <x:c r="S521" s="206" t="n"/>
      <x:c r="T521" s="71" t="n"/>
      <x:c r="U521" s="71" t="n"/>
      <x:c r="V521" s="71" t="n"/>
      <x:c r="W521" s="71" t="n"/>
      <x:c r="X521" s="71" t="n"/>
      <x:c r="Y521" s="71" t="n"/>
      <x:c r="Z521" s="71" t="n"/>
      <x:c r="AA521" s="71" t="n"/>
      <x:c r="AB521" s="71" t="inlineStr">
        <x:is>
          <x:t xml:space="preserve">NO</x:t>
        </x:is>
      </x:c>
      <x:c r="AC521" s="57" t="inlineStr">
        <x:is>
          <x:t xml:space="preserve">V10</x:t>
        </x:is>
      </x:c>
      <x:c r="AD521" s="57" t="n"/>
      <x:c r="AE521" s="79" t="str">
        <x:f>IF(AND(I521&lt;&gt;"",J521&lt;&gt;"",K521&lt;&gt;"",L521="YES",M521&lt;&gt;"",S521&lt;&gt;"",T521&lt;&gt;"",U521&lt;&gt;"",V521&lt;&gt;"",W521&lt;&gt;"",X521&lt;&gt;"",Y521&lt;&gt;""),"COMPLETE","PENDING")</x:f>
        <x:v>PENDING</x:v>
      </x:c>
      <x:c r="AF521" s="79" t="str">
        <x:f>IF(AE521="COMPLETE","YES","NO")</x:f>
        <x:v>NO</x:v>
      </x:c>
      <x:c r="AG521" s="214" t="str">
        <x:f>IF(AF521&lt;&gt;"YES","",(IF(V521="YES",1,0)+IF(W521="YES",1,0))/2)</x:f>
      </x:c>
    </x:row>
    <x:row r="522">
      <x:c r="A522" s="57" t="inlineStr">
        <x:is>
          <x:t xml:space="preserve">C0517</x:t>
        </x:is>
      </x:c>
      <x:c r="B522" s="57" t="inlineStr">
        <x:is>
          <x:t xml:space="preserve">Development</x:t>
        </x:is>
      </x:c>
      <x:c r="C522" s="57" t="inlineStr">
        <x:is>
          <x:t xml:space="preserve">OPEN</x:t>
        </x:is>
      </x:c>
      <x:c r="D522" s="57" t="inlineStr">
        <x:is>
          <x:t xml:space="preserve">ARG-052</x:t>
        </x:is>
      </x:c>
      <x:c r="E522" s="75" t="str">
        <x:f>INDEX('Company Universe'!$B$6:$B$105,MATCH(D522,'Company Universe'!$A$6:$A$105,0))</x:f>
        <x:v>UBS Group</x:v>
      </x:c>
      <x:c r="F522" s="75" t="str">
        <x:f>INDEX('Company Universe'!$C$6:$C$105,MATCH(D522,'Company Universe'!$A$6:$A$105,0))</x:f>
        <x:v>UBS</x:v>
      </x:c>
      <x:c r="G522" s="75" t="str">
        <x:f>INDEX('Company Universe'!$F$6:$F$105,MATCH(D522,'Company Universe'!$A$6:$A$105,0))</x:f>
        <x:v>Banks</x:v>
      </x:c>
      <x:c r="H522" s="57" t="n">
        <x:v>7</x:v>
      </x:c>
      <x:c r="I522" s="206" t="n"/>
      <x:c r="J522" s="71" t="n"/>
      <x:c r="K522" s="71" t="n"/>
      <x:c r="L522" s="71" t="inlineStr">
        <x:is>
          <x:t xml:space="preserve">NO</x:t>
        </x:is>
      </x:c>
      <x:c r="M522" s="71" t="n"/>
      <x:c r="N522" s="71" t="n"/>
      <x:c r="O522" s="71" t="n"/>
      <x:c r="P522" s="71" t="n"/>
      <x:c r="Q522" s="71" t="n"/>
      <x:c r="R522" s="71" t="n"/>
      <x:c r="S522" s="206" t="n"/>
      <x:c r="T522" s="71" t="n"/>
      <x:c r="U522" s="71" t="n"/>
      <x:c r="V522" s="71" t="n"/>
      <x:c r="W522" s="71" t="n"/>
      <x:c r="X522" s="71" t="n"/>
      <x:c r="Y522" s="71" t="n"/>
      <x:c r="Z522" s="71" t="n"/>
      <x:c r="AA522" s="71" t="n"/>
      <x:c r="AB522" s="71" t="inlineStr">
        <x:is>
          <x:t xml:space="preserve">NO</x:t>
        </x:is>
      </x:c>
      <x:c r="AC522" s="57" t="inlineStr">
        <x:is>
          <x:t xml:space="preserve">V10</x:t>
        </x:is>
      </x:c>
      <x:c r="AD522" s="57" t="n"/>
      <x:c r="AE522" s="79" t="str">
        <x:f>IF(AND(I522&lt;&gt;"",J522&lt;&gt;"",K522&lt;&gt;"",L522="YES",M522&lt;&gt;"",S522&lt;&gt;"",T522&lt;&gt;"",U522&lt;&gt;"",V522&lt;&gt;"",W522&lt;&gt;"",X522&lt;&gt;"",Y522&lt;&gt;""),"COMPLETE","PENDING")</x:f>
        <x:v>PENDING</x:v>
      </x:c>
      <x:c r="AF522" s="79" t="str">
        <x:f>IF(AE522="COMPLETE","YES","NO")</x:f>
        <x:v>NO</x:v>
      </x:c>
      <x:c r="AG522" s="214" t="str">
        <x:f>IF(AF522&lt;&gt;"YES","",(IF(V522="YES",1,0)+IF(W522="YES",1,0))/2)</x:f>
      </x:c>
    </x:row>
    <x:row r="523">
      <x:c r="A523" s="57" t="inlineStr">
        <x:is>
          <x:t xml:space="preserve">C0518</x:t>
        </x:is>
      </x:c>
      <x:c r="B523" s="57" t="inlineStr">
        <x:is>
          <x:t xml:space="preserve">Development</x:t>
        </x:is>
      </x:c>
      <x:c r="C523" s="57" t="inlineStr">
        <x:is>
          <x:t xml:space="preserve">OPEN</x:t>
        </x:is>
      </x:c>
      <x:c r="D523" s="57" t="inlineStr">
        <x:is>
          <x:t xml:space="preserve">ARG-052</x:t>
        </x:is>
      </x:c>
      <x:c r="E523" s="75" t="str">
        <x:f>INDEX('Company Universe'!$B$6:$B$105,MATCH(D523,'Company Universe'!$A$6:$A$105,0))</x:f>
        <x:v>UBS Group</x:v>
      </x:c>
      <x:c r="F523" s="75" t="str">
        <x:f>INDEX('Company Universe'!$C$6:$C$105,MATCH(D523,'Company Universe'!$A$6:$A$105,0))</x:f>
        <x:v>UBS</x:v>
      </x:c>
      <x:c r="G523" s="75" t="str">
        <x:f>INDEX('Company Universe'!$F$6:$F$105,MATCH(D523,'Company Universe'!$A$6:$A$105,0))</x:f>
        <x:v>Banks</x:v>
      </x:c>
      <x:c r="H523" s="57" t="n">
        <x:v>8</x:v>
      </x:c>
      <x:c r="I523" s="206" t="n"/>
      <x:c r="J523" s="71" t="n"/>
      <x:c r="K523" s="71" t="n"/>
      <x:c r="L523" s="71" t="inlineStr">
        <x:is>
          <x:t xml:space="preserve">NO</x:t>
        </x:is>
      </x:c>
      <x:c r="M523" s="71" t="n"/>
      <x:c r="N523" s="71" t="n"/>
      <x:c r="O523" s="71" t="n"/>
      <x:c r="P523" s="71" t="n"/>
      <x:c r="Q523" s="71" t="n"/>
      <x:c r="R523" s="71" t="n"/>
      <x:c r="S523" s="206" t="n"/>
      <x:c r="T523" s="71" t="n"/>
      <x:c r="U523" s="71" t="n"/>
      <x:c r="V523" s="71" t="n"/>
      <x:c r="W523" s="71" t="n"/>
      <x:c r="X523" s="71" t="n"/>
      <x:c r="Y523" s="71" t="n"/>
      <x:c r="Z523" s="71" t="n"/>
      <x:c r="AA523" s="71" t="n"/>
      <x:c r="AB523" s="71" t="inlineStr">
        <x:is>
          <x:t xml:space="preserve">NO</x:t>
        </x:is>
      </x:c>
      <x:c r="AC523" s="57" t="inlineStr">
        <x:is>
          <x:t xml:space="preserve">V10</x:t>
        </x:is>
      </x:c>
      <x:c r="AD523" s="57" t="n"/>
      <x:c r="AE523" s="79" t="str">
        <x:f>IF(AND(I523&lt;&gt;"",J523&lt;&gt;"",K523&lt;&gt;"",L523="YES",M523&lt;&gt;"",S523&lt;&gt;"",T523&lt;&gt;"",U523&lt;&gt;"",V523&lt;&gt;"",W523&lt;&gt;"",X523&lt;&gt;"",Y523&lt;&gt;""),"COMPLETE","PENDING")</x:f>
        <x:v>PENDING</x:v>
      </x:c>
      <x:c r="AF523" s="79" t="str">
        <x:f>IF(AE523="COMPLETE","YES","NO")</x:f>
        <x:v>NO</x:v>
      </x:c>
      <x:c r="AG523" s="214" t="str">
        <x:f>IF(AF523&lt;&gt;"YES","",(IF(V523="YES",1,0)+IF(W523="YES",1,0))/2)</x:f>
      </x:c>
    </x:row>
    <x:row r="524">
      <x:c r="A524" s="57" t="inlineStr">
        <x:is>
          <x:t xml:space="preserve">C0519</x:t>
        </x:is>
      </x:c>
      <x:c r="B524" s="57" t="inlineStr">
        <x:is>
          <x:t xml:space="preserve">Development</x:t>
        </x:is>
      </x:c>
      <x:c r="C524" s="57" t="inlineStr">
        <x:is>
          <x:t xml:space="preserve">OPEN</x:t>
        </x:is>
      </x:c>
      <x:c r="D524" s="57" t="inlineStr">
        <x:is>
          <x:t xml:space="preserve">ARG-052</x:t>
        </x:is>
      </x:c>
      <x:c r="E524" s="75" t="str">
        <x:f>INDEX('Company Universe'!$B$6:$B$105,MATCH(D524,'Company Universe'!$A$6:$A$105,0))</x:f>
        <x:v>UBS Group</x:v>
      </x:c>
      <x:c r="F524" s="75" t="str">
        <x:f>INDEX('Company Universe'!$C$6:$C$105,MATCH(D524,'Company Universe'!$A$6:$A$105,0))</x:f>
        <x:v>UBS</x:v>
      </x:c>
      <x:c r="G524" s="75" t="str">
        <x:f>INDEX('Company Universe'!$F$6:$F$105,MATCH(D524,'Company Universe'!$A$6:$A$105,0))</x:f>
        <x:v>Banks</x:v>
      </x:c>
      <x:c r="H524" s="57" t="n">
        <x:v>9</x:v>
      </x:c>
      <x:c r="I524" s="206" t="n"/>
      <x:c r="J524" s="71" t="n"/>
      <x:c r="K524" s="71" t="n"/>
      <x:c r="L524" s="71" t="inlineStr">
        <x:is>
          <x:t xml:space="preserve">NO</x:t>
        </x:is>
      </x:c>
      <x:c r="M524" s="71" t="n"/>
      <x:c r="N524" s="71" t="n"/>
      <x:c r="O524" s="71" t="n"/>
      <x:c r="P524" s="71" t="n"/>
      <x:c r="Q524" s="71" t="n"/>
      <x:c r="R524" s="71" t="n"/>
      <x:c r="S524" s="206" t="n"/>
      <x:c r="T524" s="71" t="n"/>
      <x:c r="U524" s="71" t="n"/>
      <x:c r="V524" s="71" t="n"/>
      <x:c r="W524" s="71" t="n"/>
      <x:c r="X524" s="71" t="n"/>
      <x:c r="Y524" s="71" t="n"/>
      <x:c r="Z524" s="71" t="n"/>
      <x:c r="AA524" s="71" t="n"/>
      <x:c r="AB524" s="71" t="inlineStr">
        <x:is>
          <x:t xml:space="preserve">NO</x:t>
        </x:is>
      </x:c>
      <x:c r="AC524" s="57" t="inlineStr">
        <x:is>
          <x:t xml:space="preserve">V10</x:t>
        </x:is>
      </x:c>
      <x:c r="AD524" s="57" t="n"/>
      <x:c r="AE524" s="79" t="str">
        <x:f>IF(AND(I524&lt;&gt;"",J524&lt;&gt;"",K524&lt;&gt;"",L524="YES",M524&lt;&gt;"",S524&lt;&gt;"",T524&lt;&gt;"",U524&lt;&gt;"",V524&lt;&gt;"",W524&lt;&gt;"",X524&lt;&gt;"",Y524&lt;&gt;""),"COMPLETE","PENDING")</x:f>
        <x:v>PENDING</x:v>
      </x:c>
      <x:c r="AF524" s="79" t="str">
        <x:f>IF(AE524="COMPLETE","YES","NO")</x:f>
        <x:v>NO</x:v>
      </x:c>
      <x:c r="AG524" s="214" t="str">
        <x:f>IF(AF524&lt;&gt;"YES","",(IF(V524="YES",1,0)+IF(W524="YES",1,0))/2)</x:f>
      </x:c>
    </x:row>
    <x:row r="525">
      <x:c r="A525" s="57" t="inlineStr">
        <x:is>
          <x:t xml:space="preserve">C0520</x:t>
        </x:is>
      </x:c>
      <x:c r="B525" s="57" t="inlineStr">
        <x:is>
          <x:t xml:space="preserve">Development</x:t>
        </x:is>
      </x:c>
      <x:c r="C525" s="57" t="inlineStr">
        <x:is>
          <x:t xml:space="preserve">OPEN</x:t>
        </x:is>
      </x:c>
      <x:c r="D525" s="57" t="inlineStr">
        <x:is>
          <x:t xml:space="preserve">ARG-052</x:t>
        </x:is>
      </x:c>
      <x:c r="E525" s="75" t="str">
        <x:f>INDEX('Company Universe'!$B$6:$B$105,MATCH(D525,'Company Universe'!$A$6:$A$105,0))</x:f>
        <x:v>UBS Group</x:v>
      </x:c>
      <x:c r="F525" s="75" t="str">
        <x:f>INDEX('Company Universe'!$C$6:$C$105,MATCH(D525,'Company Universe'!$A$6:$A$105,0))</x:f>
        <x:v>UBS</x:v>
      </x:c>
      <x:c r="G525" s="75" t="str">
        <x:f>INDEX('Company Universe'!$F$6:$F$105,MATCH(D525,'Company Universe'!$A$6:$A$105,0))</x:f>
        <x:v>Banks</x:v>
      </x:c>
      <x:c r="H525" s="57" t="n">
        <x:v>10</x:v>
      </x:c>
      <x:c r="I525" s="206" t="n"/>
      <x:c r="J525" s="71" t="n"/>
      <x:c r="K525" s="71" t="n"/>
      <x:c r="L525" s="71" t="inlineStr">
        <x:is>
          <x:t xml:space="preserve">NO</x:t>
        </x:is>
      </x:c>
      <x:c r="M525" s="71" t="n"/>
      <x:c r="N525" s="71" t="n"/>
      <x:c r="O525" s="71" t="n"/>
      <x:c r="P525" s="71" t="n"/>
      <x:c r="Q525" s="71" t="n"/>
      <x:c r="R525" s="71" t="n"/>
      <x:c r="S525" s="206" t="n"/>
      <x:c r="T525" s="71" t="n"/>
      <x:c r="U525" s="71" t="n"/>
      <x:c r="V525" s="71" t="n"/>
      <x:c r="W525" s="71" t="n"/>
      <x:c r="X525" s="71" t="n"/>
      <x:c r="Y525" s="71" t="n"/>
      <x:c r="Z525" s="71" t="n"/>
      <x:c r="AA525" s="71" t="n"/>
      <x:c r="AB525" s="71" t="inlineStr">
        <x:is>
          <x:t xml:space="preserve">NO</x:t>
        </x:is>
      </x:c>
      <x:c r="AC525" s="57" t="inlineStr">
        <x:is>
          <x:t xml:space="preserve">V10</x:t>
        </x:is>
      </x:c>
      <x:c r="AD525" s="57" t="n"/>
      <x:c r="AE525" s="79" t="str">
        <x:f>IF(AND(I525&lt;&gt;"",J525&lt;&gt;"",K525&lt;&gt;"",L525="YES",M525&lt;&gt;"",S525&lt;&gt;"",T525&lt;&gt;"",U525&lt;&gt;"",V525&lt;&gt;"",W525&lt;&gt;"",X525&lt;&gt;"",Y525&lt;&gt;""),"COMPLETE","PENDING")</x:f>
        <x:v>PENDING</x:v>
      </x:c>
      <x:c r="AF525" s="79" t="str">
        <x:f>IF(AE525="COMPLETE","YES","NO")</x:f>
        <x:v>NO</x:v>
      </x:c>
      <x:c r="AG525" s="214" t="str">
        <x:f>IF(AF525&lt;&gt;"YES","",(IF(V525="YES",1,0)+IF(W525="YES",1,0))/2)</x:f>
      </x:c>
    </x:row>
    <x:row r="526">
      <x:c r="A526" s="57" t="inlineStr">
        <x:is>
          <x:t xml:space="preserve">C0521</x:t>
        </x:is>
      </x:c>
      <x:c r="B526" s="57" t="inlineStr">
        <x:is>
          <x:t xml:space="preserve">Development</x:t>
        </x:is>
      </x:c>
      <x:c r="C526" s="57" t="inlineStr">
        <x:is>
          <x:t xml:space="preserve">OPEN</x:t>
        </x:is>
      </x:c>
      <x:c r="D526" s="57" t="inlineStr">
        <x:is>
          <x:t xml:space="preserve">ARG-053</x:t>
        </x:is>
      </x:c>
      <x:c r="E526" s="75" t="str">
        <x:f>INDEX('Company Universe'!$B$6:$B$105,MATCH(D526,'Company Universe'!$A$6:$A$105,0))</x:f>
        <x:v>Munich Re</x:v>
      </x:c>
      <x:c r="F526" s="75" t="str">
        <x:f>INDEX('Company Universe'!$C$6:$C$105,MATCH(D526,'Company Universe'!$A$6:$A$105,0))</x:f>
        <x:v>MUV2</x:v>
      </x:c>
      <x:c r="G526" s="75" t="str">
        <x:f>INDEX('Company Universe'!$F$6:$F$105,MATCH(D526,'Company Universe'!$A$6:$A$105,0))</x:f>
        <x:v>Insurance</x:v>
      </x:c>
      <x:c r="H526" s="57" t="n">
        <x:v>1</x:v>
      </x:c>
      <x:c r="I526" s="206" t="n"/>
      <x:c r="J526" s="71" t="n"/>
      <x:c r="K526" s="71" t="n"/>
      <x:c r="L526" s="71" t="inlineStr">
        <x:is>
          <x:t xml:space="preserve">NO</x:t>
        </x:is>
      </x:c>
      <x:c r="M526" s="71" t="n"/>
      <x:c r="N526" s="71" t="n"/>
      <x:c r="O526" s="71" t="n"/>
      <x:c r="P526" s="71" t="n"/>
      <x:c r="Q526" s="71" t="n"/>
      <x:c r="R526" s="71" t="n"/>
      <x:c r="S526" s="206" t="n"/>
      <x:c r="T526" s="71" t="n"/>
      <x:c r="U526" s="71" t="n"/>
      <x:c r="V526" s="71" t="n"/>
      <x:c r="W526" s="71" t="n"/>
      <x:c r="X526" s="71" t="n"/>
      <x:c r="Y526" s="71" t="n"/>
      <x:c r="Z526" s="71" t="n"/>
      <x:c r="AA526" s="71" t="n"/>
      <x:c r="AB526" s="71" t="inlineStr">
        <x:is>
          <x:t xml:space="preserve">NO</x:t>
        </x:is>
      </x:c>
      <x:c r="AC526" s="57" t="inlineStr">
        <x:is>
          <x:t xml:space="preserve">V10</x:t>
        </x:is>
      </x:c>
      <x:c r="AD526" s="57" t="n"/>
      <x:c r="AE526" s="79" t="str">
        <x:f>IF(AND(I526&lt;&gt;"",J526&lt;&gt;"",K526&lt;&gt;"",L526="YES",M526&lt;&gt;"",S526&lt;&gt;"",T526&lt;&gt;"",U526&lt;&gt;"",V526&lt;&gt;"",W526&lt;&gt;"",X526&lt;&gt;"",Y526&lt;&gt;""),"COMPLETE","PENDING")</x:f>
        <x:v>PENDING</x:v>
      </x:c>
      <x:c r="AF526" s="79" t="str">
        <x:f>IF(AE526="COMPLETE","YES","NO")</x:f>
        <x:v>NO</x:v>
      </x:c>
      <x:c r="AG526" s="214" t="str">
        <x:f>IF(AF526&lt;&gt;"YES","",(IF(V526="YES",1,0)+IF(W526="YES",1,0))/2)</x:f>
      </x:c>
    </x:row>
    <x:row r="527">
      <x:c r="A527" s="57" t="inlineStr">
        <x:is>
          <x:t xml:space="preserve">C0522</x:t>
        </x:is>
      </x:c>
      <x:c r="B527" s="57" t="inlineStr">
        <x:is>
          <x:t xml:space="preserve">Development</x:t>
        </x:is>
      </x:c>
      <x:c r="C527" s="57" t="inlineStr">
        <x:is>
          <x:t xml:space="preserve">OPEN</x:t>
        </x:is>
      </x:c>
      <x:c r="D527" s="57" t="inlineStr">
        <x:is>
          <x:t xml:space="preserve">ARG-053</x:t>
        </x:is>
      </x:c>
      <x:c r="E527" s="75" t="str">
        <x:f>INDEX('Company Universe'!$B$6:$B$105,MATCH(D527,'Company Universe'!$A$6:$A$105,0))</x:f>
        <x:v>Munich Re</x:v>
      </x:c>
      <x:c r="F527" s="75" t="str">
        <x:f>INDEX('Company Universe'!$C$6:$C$105,MATCH(D527,'Company Universe'!$A$6:$A$105,0))</x:f>
        <x:v>MUV2</x:v>
      </x:c>
      <x:c r="G527" s="75" t="str">
        <x:f>INDEX('Company Universe'!$F$6:$F$105,MATCH(D527,'Company Universe'!$A$6:$A$105,0))</x:f>
        <x:v>Insurance</x:v>
      </x:c>
      <x:c r="H527" s="57" t="n">
        <x:v>2</x:v>
      </x:c>
      <x:c r="I527" s="206" t="n"/>
      <x:c r="J527" s="71" t="n"/>
      <x:c r="K527" s="71" t="n"/>
      <x:c r="L527" s="71" t="inlineStr">
        <x:is>
          <x:t xml:space="preserve">NO</x:t>
        </x:is>
      </x:c>
      <x:c r="M527" s="71" t="n"/>
      <x:c r="N527" s="71" t="n"/>
      <x:c r="O527" s="71" t="n"/>
      <x:c r="P527" s="71" t="n"/>
      <x:c r="Q527" s="71" t="n"/>
      <x:c r="R527" s="71" t="n"/>
      <x:c r="S527" s="206" t="n"/>
      <x:c r="T527" s="71" t="n"/>
      <x:c r="U527" s="71" t="n"/>
      <x:c r="V527" s="71" t="n"/>
      <x:c r="W527" s="71" t="n"/>
      <x:c r="X527" s="71" t="n"/>
      <x:c r="Y527" s="71" t="n"/>
      <x:c r="Z527" s="71" t="n"/>
      <x:c r="AA527" s="71" t="n"/>
      <x:c r="AB527" s="71" t="inlineStr">
        <x:is>
          <x:t xml:space="preserve">NO</x:t>
        </x:is>
      </x:c>
      <x:c r="AC527" s="57" t="inlineStr">
        <x:is>
          <x:t xml:space="preserve">V10</x:t>
        </x:is>
      </x:c>
      <x:c r="AD527" s="57" t="n"/>
      <x:c r="AE527" s="79" t="str">
        <x:f>IF(AND(I527&lt;&gt;"",J527&lt;&gt;"",K527&lt;&gt;"",L527="YES",M527&lt;&gt;"",S527&lt;&gt;"",T527&lt;&gt;"",U527&lt;&gt;"",V527&lt;&gt;"",W527&lt;&gt;"",X527&lt;&gt;"",Y527&lt;&gt;""),"COMPLETE","PENDING")</x:f>
        <x:v>PENDING</x:v>
      </x:c>
      <x:c r="AF527" s="79" t="str">
        <x:f>IF(AE527="COMPLETE","YES","NO")</x:f>
        <x:v>NO</x:v>
      </x:c>
      <x:c r="AG527" s="214" t="str">
        <x:f>IF(AF527&lt;&gt;"YES","",(IF(V527="YES",1,0)+IF(W527="YES",1,0))/2)</x:f>
      </x:c>
    </x:row>
    <x:row r="528">
      <x:c r="A528" s="57" t="inlineStr">
        <x:is>
          <x:t xml:space="preserve">C0523</x:t>
        </x:is>
      </x:c>
      <x:c r="B528" s="57" t="inlineStr">
        <x:is>
          <x:t xml:space="preserve">Development</x:t>
        </x:is>
      </x:c>
      <x:c r="C528" s="57" t="inlineStr">
        <x:is>
          <x:t xml:space="preserve">OPEN</x:t>
        </x:is>
      </x:c>
      <x:c r="D528" s="57" t="inlineStr">
        <x:is>
          <x:t xml:space="preserve">ARG-053</x:t>
        </x:is>
      </x:c>
      <x:c r="E528" s="75" t="str">
        <x:f>INDEX('Company Universe'!$B$6:$B$105,MATCH(D528,'Company Universe'!$A$6:$A$105,0))</x:f>
        <x:v>Munich Re</x:v>
      </x:c>
      <x:c r="F528" s="75" t="str">
        <x:f>INDEX('Company Universe'!$C$6:$C$105,MATCH(D528,'Company Universe'!$A$6:$A$105,0))</x:f>
        <x:v>MUV2</x:v>
      </x:c>
      <x:c r="G528" s="75" t="str">
        <x:f>INDEX('Company Universe'!$F$6:$F$105,MATCH(D528,'Company Universe'!$A$6:$A$105,0))</x:f>
        <x:v>Insurance</x:v>
      </x:c>
      <x:c r="H528" s="57" t="n">
        <x:v>3</x:v>
      </x:c>
      <x:c r="I528" s="206" t="n"/>
      <x:c r="J528" s="71" t="n"/>
      <x:c r="K528" s="71" t="n"/>
      <x:c r="L528" s="71" t="inlineStr">
        <x:is>
          <x:t xml:space="preserve">NO</x:t>
        </x:is>
      </x:c>
      <x:c r="M528" s="71" t="n"/>
      <x:c r="N528" s="71" t="n"/>
      <x:c r="O528" s="71" t="n"/>
      <x:c r="P528" s="71" t="n"/>
      <x:c r="Q528" s="71" t="n"/>
      <x:c r="R528" s="71" t="n"/>
      <x:c r="S528" s="206" t="n"/>
      <x:c r="T528" s="71" t="n"/>
      <x:c r="U528" s="71" t="n"/>
      <x:c r="V528" s="71" t="n"/>
      <x:c r="W528" s="71" t="n"/>
      <x:c r="X528" s="71" t="n"/>
      <x:c r="Y528" s="71" t="n"/>
      <x:c r="Z528" s="71" t="n"/>
      <x:c r="AA528" s="71" t="n"/>
      <x:c r="AB528" s="71" t="inlineStr">
        <x:is>
          <x:t xml:space="preserve">NO</x:t>
        </x:is>
      </x:c>
      <x:c r="AC528" s="57" t="inlineStr">
        <x:is>
          <x:t xml:space="preserve">V10</x:t>
        </x:is>
      </x:c>
      <x:c r="AD528" s="57" t="n"/>
      <x:c r="AE528" s="79" t="str">
        <x:f>IF(AND(I528&lt;&gt;"",J528&lt;&gt;"",K528&lt;&gt;"",L528="YES",M528&lt;&gt;"",S528&lt;&gt;"",T528&lt;&gt;"",U528&lt;&gt;"",V528&lt;&gt;"",W528&lt;&gt;"",X528&lt;&gt;"",Y528&lt;&gt;""),"COMPLETE","PENDING")</x:f>
        <x:v>PENDING</x:v>
      </x:c>
      <x:c r="AF528" s="79" t="str">
        <x:f>IF(AE528="COMPLETE","YES","NO")</x:f>
        <x:v>NO</x:v>
      </x:c>
      <x:c r="AG528" s="214" t="str">
        <x:f>IF(AF528&lt;&gt;"YES","",(IF(V528="YES",1,0)+IF(W528="YES",1,0))/2)</x:f>
      </x:c>
    </x:row>
    <x:row r="529">
      <x:c r="A529" s="57" t="inlineStr">
        <x:is>
          <x:t xml:space="preserve">C0524</x:t>
        </x:is>
      </x:c>
      <x:c r="B529" s="57" t="inlineStr">
        <x:is>
          <x:t xml:space="preserve">Development</x:t>
        </x:is>
      </x:c>
      <x:c r="C529" s="57" t="inlineStr">
        <x:is>
          <x:t xml:space="preserve">OPEN</x:t>
        </x:is>
      </x:c>
      <x:c r="D529" s="57" t="inlineStr">
        <x:is>
          <x:t xml:space="preserve">ARG-053</x:t>
        </x:is>
      </x:c>
      <x:c r="E529" s="75" t="str">
        <x:f>INDEX('Company Universe'!$B$6:$B$105,MATCH(D529,'Company Universe'!$A$6:$A$105,0))</x:f>
        <x:v>Munich Re</x:v>
      </x:c>
      <x:c r="F529" s="75" t="str">
        <x:f>INDEX('Company Universe'!$C$6:$C$105,MATCH(D529,'Company Universe'!$A$6:$A$105,0))</x:f>
        <x:v>MUV2</x:v>
      </x:c>
      <x:c r="G529" s="75" t="str">
        <x:f>INDEX('Company Universe'!$F$6:$F$105,MATCH(D529,'Company Universe'!$A$6:$A$105,0))</x:f>
        <x:v>Insurance</x:v>
      </x:c>
      <x:c r="H529" s="57" t="n">
        <x:v>4</x:v>
      </x:c>
      <x:c r="I529" s="206" t="n"/>
      <x:c r="J529" s="71" t="n"/>
      <x:c r="K529" s="71" t="n"/>
      <x:c r="L529" s="71" t="inlineStr">
        <x:is>
          <x:t xml:space="preserve">NO</x:t>
        </x:is>
      </x:c>
      <x:c r="M529" s="71" t="n"/>
      <x:c r="N529" s="71" t="n"/>
      <x:c r="O529" s="71" t="n"/>
      <x:c r="P529" s="71" t="n"/>
      <x:c r="Q529" s="71" t="n"/>
      <x:c r="R529" s="71" t="n"/>
      <x:c r="S529" s="206" t="n"/>
      <x:c r="T529" s="71" t="n"/>
      <x:c r="U529" s="71" t="n"/>
      <x:c r="V529" s="71" t="n"/>
      <x:c r="W529" s="71" t="n"/>
      <x:c r="X529" s="71" t="n"/>
      <x:c r="Y529" s="71" t="n"/>
      <x:c r="Z529" s="71" t="n"/>
      <x:c r="AA529" s="71" t="n"/>
      <x:c r="AB529" s="71" t="inlineStr">
        <x:is>
          <x:t xml:space="preserve">NO</x:t>
        </x:is>
      </x:c>
      <x:c r="AC529" s="57" t="inlineStr">
        <x:is>
          <x:t xml:space="preserve">V10</x:t>
        </x:is>
      </x:c>
      <x:c r="AD529" s="57" t="n"/>
      <x:c r="AE529" s="79" t="str">
        <x:f>IF(AND(I529&lt;&gt;"",J529&lt;&gt;"",K529&lt;&gt;"",L529="YES",M529&lt;&gt;"",S529&lt;&gt;"",T529&lt;&gt;"",U529&lt;&gt;"",V529&lt;&gt;"",W529&lt;&gt;"",X529&lt;&gt;"",Y529&lt;&gt;""),"COMPLETE","PENDING")</x:f>
        <x:v>PENDING</x:v>
      </x:c>
      <x:c r="AF529" s="79" t="str">
        <x:f>IF(AE529="COMPLETE","YES","NO")</x:f>
        <x:v>NO</x:v>
      </x:c>
      <x:c r="AG529" s="214" t="str">
        <x:f>IF(AF529&lt;&gt;"YES","",(IF(V529="YES",1,0)+IF(W529="YES",1,0))/2)</x:f>
      </x:c>
    </x:row>
    <x:row r="530">
      <x:c r="A530" s="57" t="inlineStr">
        <x:is>
          <x:t xml:space="preserve">C0525</x:t>
        </x:is>
      </x:c>
      <x:c r="B530" s="57" t="inlineStr">
        <x:is>
          <x:t xml:space="preserve">Development</x:t>
        </x:is>
      </x:c>
      <x:c r="C530" s="57" t="inlineStr">
        <x:is>
          <x:t xml:space="preserve">OPEN</x:t>
        </x:is>
      </x:c>
      <x:c r="D530" s="57" t="inlineStr">
        <x:is>
          <x:t xml:space="preserve">ARG-053</x:t>
        </x:is>
      </x:c>
      <x:c r="E530" s="75" t="str">
        <x:f>INDEX('Company Universe'!$B$6:$B$105,MATCH(D530,'Company Universe'!$A$6:$A$105,0))</x:f>
        <x:v>Munich Re</x:v>
      </x:c>
      <x:c r="F530" s="75" t="str">
        <x:f>INDEX('Company Universe'!$C$6:$C$105,MATCH(D530,'Company Universe'!$A$6:$A$105,0))</x:f>
        <x:v>MUV2</x:v>
      </x:c>
      <x:c r="G530" s="75" t="str">
        <x:f>INDEX('Company Universe'!$F$6:$F$105,MATCH(D530,'Company Universe'!$A$6:$A$105,0))</x:f>
        <x:v>Insurance</x:v>
      </x:c>
      <x:c r="H530" s="57" t="n">
        <x:v>5</x:v>
      </x:c>
      <x:c r="I530" s="206" t="n"/>
      <x:c r="J530" s="71" t="n"/>
      <x:c r="K530" s="71" t="n"/>
      <x:c r="L530" s="71" t="inlineStr">
        <x:is>
          <x:t xml:space="preserve">NO</x:t>
        </x:is>
      </x:c>
      <x:c r="M530" s="71" t="n"/>
      <x:c r="N530" s="71" t="n"/>
      <x:c r="O530" s="71" t="n"/>
      <x:c r="P530" s="71" t="n"/>
      <x:c r="Q530" s="71" t="n"/>
      <x:c r="R530" s="71" t="n"/>
      <x:c r="S530" s="206" t="n"/>
      <x:c r="T530" s="71" t="n"/>
      <x:c r="U530" s="71" t="n"/>
      <x:c r="V530" s="71" t="n"/>
      <x:c r="W530" s="71" t="n"/>
      <x:c r="X530" s="71" t="n"/>
      <x:c r="Y530" s="71" t="n"/>
      <x:c r="Z530" s="71" t="n"/>
      <x:c r="AA530" s="71" t="n"/>
      <x:c r="AB530" s="71" t="inlineStr">
        <x:is>
          <x:t xml:space="preserve">NO</x:t>
        </x:is>
      </x:c>
      <x:c r="AC530" s="57" t="inlineStr">
        <x:is>
          <x:t xml:space="preserve">V10</x:t>
        </x:is>
      </x:c>
      <x:c r="AD530" s="57" t="n"/>
      <x:c r="AE530" s="79" t="str">
        <x:f>IF(AND(I530&lt;&gt;"",J530&lt;&gt;"",K530&lt;&gt;"",L530="YES",M530&lt;&gt;"",S530&lt;&gt;"",T530&lt;&gt;"",U530&lt;&gt;"",V530&lt;&gt;"",W530&lt;&gt;"",X530&lt;&gt;"",Y530&lt;&gt;""),"COMPLETE","PENDING")</x:f>
        <x:v>PENDING</x:v>
      </x:c>
      <x:c r="AF530" s="79" t="str">
        <x:f>IF(AE530="COMPLETE","YES","NO")</x:f>
        <x:v>NO</x:v>
      </x:c>
      <x:c r="AG530" s="214" t="str">
        <x:f>IF(AF530&lt;&gt;"YES","",(IF(V530="YES",1,0)+IF(W530="YES",1,0))/2)</x:f>
      </x:c>
    </x:row>
    <x:row r="531">
      <x:c r="A531" s="57" t="inlineStr">
        <x:is>
          <x:t xml:space="preserve">C0526</x:t>
        </x:is>
      </x:c>
      <x:c r="B531" s="57" t="inlineStr">
        <x:is>
          <x:t xml:space="preserve">Development</x:t>
        </x:is>
      </x:c>
      <x:c r="C531" s="57" t="inlineStr">
        <x:is>
          <x:t xml:space="preserve">OPEN</x:t>
        </x:is>
      </x:c>
      <x:c r="D531" s="57" t="inlineStr">
        <x:is>
          <x:t xml:space="preserve">ARG-053</x:t>
        </x:is>
      </x:c>
      <x:c r="E531" s="75" t="str">
        <x:f>INDEX('Company Universe'!$B$6:$B$105,MATCH(D531,'Company Universe'!$A$6:$A$105,0))</x:f>
        <x:v>Munich Re</x:v>
      </x:c>
      <x:c r="F531" s="75" t="str">
        <x:f>INDEX('Company Universe'!$C$6:$C$105,MATCH(D531,'Company Universe'!$A$6:$A$105,0))</x:f>
        <x:v>MUV2</x:v>
      </x:c>
      <x:c r="G531" s="75" t="str">
        <x:f>INDEX('Company Universe'!$F$6:$F$105,MATCH(D531,'Company Universe'!$A$6:$A$105,0))</x:f>
        <x:v>Insurance</x:v>
      </x:c>
      <x:c r="H531" s="57" t="n">
        <x:v>6</x:v>
      </x:c>
      <x:c r="I531" s="206" t="n"/>
      <x:c r="J531" s="71" t="n"/>
      <x:c r="K531" s="71" t="n"/>
      <x:c r="L531" s="71" t="inlineStr">
        <x:is>
          <x:t xml:space="preserve">NO</x:t>
        </x:is>
      </x:c>
      <x:c r="M531" s="71" t="n"/>
      <x:c r="N531" s="71" t="n"/>
      <x:c r="O531" s="71" t="n"/>
      <x:c r="P531" s="71" t="n"/>
      <x:c r="Q531" s="71" t="n"/>
      <x:c r="R531" s="71" t="n"/>
      <x:c r="S531" s="206" t="n"/>
      <x:c r="T531" s="71" t="n"/>
      <x:c r="U531" s="71" t="n"/>
      <x:c r="V531" s="71" t="n"/>
      <x:c r="W531" s="71" t="n"/>
      <x:c r="X531" s="71" t="n"/>
      <x:c r="Y531" s="71" t="n"/>
      <x:c r="Z531" s="71" t="n"/>
      <x:c r="AA531" s="71" t="n"/>
      <x:c r="AB531" s="71" t="inlineStr">
        <x:is>
          <x:t xml:space="preserve">NO</x:t>
        </x:is>
      </x:c>
      <x:c r="AC531" s="57" t="inlineStr">
        <x:is>
          <x:t xml:space="preserve">V10</x:t>
        </x:is>
      </x:c>
      <x:c r="AD531" s="57" t="n"/>
      <x:c r="AE531" s="79" t="str">
        <x:f>IF(AND(I531&lt;&gt;"",J531&lt;&gt;"",K531&lt;&gt;"",L531="YES",M531&lt;&gt;"",S531&lt;&gt;"",T531&lt;&gt;"",U531&lt;&gt;"",V531&lt;&gt;"",W531&lt;&gt;"",X531&lt;&gt;"",Y531&lt;&gt;""),"COMPLETE","PENDING")</x:f>
        <x:v>PENDING</x:v>
      </x:c>
      <x:c r="AF531" s="79" t="str">
        <x:f>IF(AE531="COMPLETE","YES","NO")</x:f>
        <x:v>NO</x:v>
      </x:c>
      <x:c r="AG531" s="214" t="str">
        <x:f>IF(AF531&lt;&gt;"YES","",(IF(V531="YES",1,0)+IF(W531="YES",1,0))/2)</x:f>
      </x:c>
    </x:row>
    <x:row r="532">
      <x:c r="A532" s="57" t="inlineStr">
        <x:is>
          <x:t xml:space="preserve">C0527</x:t>
        </x:is>
      </x:c>
      <x:c r="B532" s="57" t="inlineStr">
        <x:is>
          <x:t xml:space="preserve">Development</x:t>
        </x:is>
      </x:c>
      <x:c r="C532" s="57" t="inlineStr">
        <x:is>
          <x:t xml:space="preserve">OPEN</x:t>
        </x:is>
      </x:c>
      <x:c r="D532" s="57" t="inlineStr">
        <x:is>
          <x:t xml:space="preserve">ARG-053</x:t>
        </x:is>
      </x:c>
      <x:c r="E532" s="75" t="str">
        <x:f>INDEX('Company Universe'!$B$6:$B$105,MATCH(D532,'Company Universe'!$A$6:$A$105,0))</x:f>
        <x:v>Munich Re</x:v>
      </x:c>
      <x:c r="F532" s="75" t="str">
        <x:f>INDEX('Company Universe'!$C$6:$C$105,MATCH(D532,'Company Universe'!$A$6:$A$105,0))</x:f>
        <x:v>MUV2</x:v>
      </x:c>
      <x:c r="G532" s="75" t="str">
        <x:f>INDEX('Company Universe'!$F$6:$F$105,MATCH(D532,'Company Universe'!$A$6:$A$105,0))</x:f>
        <x:v>Insurance</x:v>
      </x:c>
      <x:c r="H532" s="57" t="n">
        <x:v>7</x:v>
      </x:c>
      <x:c r="I532" s="206" t="n"/>
      <x:c r="J532" s="71" t="n"/>
      <x:c r="K532" s="71" t="n"/>
      <x:c r="L532" s="71" t="inlineStr">
        <x:is>
          <x:t xml:space="preserve">NO</x:t>
        </x:is>
      </x:c>
      <x:c r="M532" s="71" t="n"/>
      <x:c r="N532" s="71" t="n"/>
      <x:c r="O532" s="71" t="n"/>
      <x:c r="P532" s="71" t="n"/>
      <x:c r="Q532" s="71" t="n"/>
      <x:c r="R532" s="71" t="n"/>
      <x:c r="S532" s="206" t="n"/>
      <x:c r="T532" s="71" t="n"/>
      <x:c r="U532" s="71" t="n"/>
      <x:c r="V532" s="71" t="n"/>
      <x:c r="W532" s="71" t="n"/>
      <x:c r="X532" s="71" t="n"/>
      <x:c r="Y532" s="71" t="n"/>
      <x:c r="Z532" s="71" t="n"/>
      <x:c r="AA532" s="71" t="n"/>
      <x:c r="AB532" s="71" t="inlineStr">
        <x:is>
          <x:t xml:space="preserve">NO</x:t>
        </x:is>
      </x:c>
      <x:c r="AC532" s="57" t="inlineStr">
        <x:is>
          <x:t xml:space="preserve">V10</x:t>
        </x:is>
      </x:c>
      <x:c r="AD532" s="57" t="n"/>
      <x:c r="AE532" s="79" t="str">
        <x:f>IF(AND(I532&lt;&gt;"",J532&lt;&gt;"",K532&lt;&gt;"",L532="YES",M532&lt;&gt;"",S532&lt;&gt;"",T532&lt;&gt;"",U532&lt;&gt;"",V532&lt;&gt;"",W532&lt;&gt;"",X532&lt;&gt;"",Y532&lt;&gt;""),"COMPLETE","PENDING")</x:f>
        <x:v>PENDING</x:v>
      </x:c>
      <x:c r="AF532" s="79" t="str">
        <x:f>IF(AE532="COMPLETE","YES","NO")</x:f>
        <x:v>NO</x:v>
      </x:c>
      <x:c r="AG532" s="214" t="str">
        <x:f>IF(AF532&lt;&gt;"YES","",(IF(V532="YES",1,0)+IF(W532="YES",1,0))/2)</x:f>
      </x:c>
    </x:row>
    <x:row r="533">
      <x:c r="A533" s="57" t="inlineStr">
        <x:is>
          <x:t xml:space="preserve">C0528</x:t>
        </x:is>
      </x:c>
      <x:c r="B533" s="57" t="inlineStr">
        <x:is>
          <x:t xml:space="preserve">Development</x:t>
        </x:is>
      </x:c>
      <x:c r="C533" s="57" t="inlineStr">
        <x:is>
          <x:t xml:space="preserve">OPEN</x:t>
        </x:is>
      </x:c>
      <x:c r="D533" s="57" t="inlineStr">
        <x:is>
          <x:t xml:space="preserve">ARG-053</x:t>
        </x:is>
      </x:c>
      <x:c r="E533" s="75" t="str">
        <x:f>INDEX('Company Universe'!$B$6:$B$105,MATCH(D533,'Company Universe'!$A$6:$A$105,0))</x:f>
        <x:v>Munich Re</x:v>
      </x:c>
      <x:c r="F533" s="75" t="str">
        <x:f>INDEX('Company Universe'!$C$6:$C$105,MATCH(D533,'Company Universe'!$A$6:$A$105,0))</x:f>
        <x:v>MUV2</x:v>
      </x:c>
      <x:c r="G533" s="75" t="str">
        <x:f>INDEX('Company Universe'!$F$6:$F$105,MATCH(D533,'Company Universe'!$A$6:$A$105,0))</x:f>
        <x:v>Insurance</x:v>
      </x:c>
      <x:c r="H533" s="57" t="n">
        <x:v>8</x:v>
      </x:c>
      <x:c r="I533" s="206" t="n"/>
      <x:c r="J533" s="71" t="n"/>
      <x:c r="K533" s="71" t="n"/>
      <x:c r="L533" s="71" t="inlineStr">
        <x:is>
          <x:t xml:space="preserve">NO</x:t>
        </x:is>
      </x:c>
      <x:c r="M533" s="71" t="n"/>
      <x:c r="N533" s="71" t="n"/>
      <x:c r="O533" s="71" t="n"/>
      <x:c r="P533" s="71" t="n"/>
      <x:c r="Q533" s="71" t="n"/>
      <x:c r="R533" s="71" t="n"/>
      <x:c r="S533" s="206" t="n"/>
      <x:c r="T533" s="71" t="n"/>
      <x:c r="U533" s="71" t="n"/>
      <x:c r="V533" s="71" t="n"/>
      <x:c r="W533" s="71" t="n"/>
      <x:c r="X533" s="71" t="n"/>
      <x:c r="Y533" s="71" t="n"/>
      <x:c r="Z533" s="71" t="n"/>
      <x:c r="AA533" s="71" t="n"/>
      <x:c r="AB533" s="71" t="inlineStr">
        <x:is>
          <x:t xml:space="preserve">NO</x:t>
        </x:is>
      </x:c>
      <x:c r="AC533" s="57" t="inlineStr">
        <x:is>
          <x:t xml:space="preserve">V10</x:t>
        </x:is>
      </x:c>
      <x:c r="AD533" s="57" t="n"/>
      <x:c r="AE533" s="79" t="str">
        <x:f>IF(AND(I533&lt;&gt;"",J533&lt;&gt;"",K533&lt;&gt;"",L533="YES",M533&lt;&gt;"",S533&lt;&gt;"",T533&lt;&gt;"",U533&lt;&gt;"",V533&lt;&gt;"",W533&lt;&gt;"",X533&lt;&gt;"",Y533&lt;&gt;""),"COMPLETE","PENDING")</x:f>
        <x:v>PENDING</x:v>
      </x:c>
      <x:c r="AF533" s="79" t="str">
        <x:f>IF(AE533="COMPLETE","YES","NO")</x:f>
        <x:v>NO</x:v>
      </x:c>
      <x:c r="AG533" s="214" t="str">
        <x:f>IF(AF533&lt;&gt;"YES","",(IF(V533="YES",1,0)+IF(W533="YES",1,0))/2)</x:f>
      </x:c>
    </x:row>
    <x:row r="534">
      <x:c r="A534" s="57" t="inlineStr">
        <x:is>
          <x:t xml:space="preserve">C0529</x:t>
        </x:is>
      </x:c>
      <x:c r="B534" s="57" t="inlineStr">
        <x:is>
          <x:t xml:space="preserve">Development</x:t>
        </x:is>
      </x:c>
      <x:c r="C534" s="57" t="inlineStr">
        <x:is>
          <x:t xml:space="preserve">OPEN</x:t>
        </x:is>
      </x:c>
      <x:c r="D534" s="57" t="inlineStr">
        <x:is>
          <x:t xml:space="preserve">ARG-053</x:t>
        </x:is>
      </x:c>
      <x:c r="E534" s="75" t="str">
        <x:f>INDEX('Company Universe'!$B$6:$B$105,MATCH(D534,'Company Universe'!$A$6:$A$105,0))</x:f>
        <x:v>Munich Re</x:v>
      </x:c>
      <x:c r="F534" s="75" t="str">
        <x:f>INDEX('Company Universe'!$C$6:$C$105,MATCH(D534,'Company Universe'!$A$6:$A$105,0))</x:f>
        <x:v>MUV2</x:v>
      </x:c>
      <x:c r="G534" s="75" t="str">
        <x:f>INDEX('Company Universe'!$F$6:$F$105,MATCH(D534,'Company Universe'!$A$6:$A$105,0))</x:f>
        <x:v>Insurance</x:v>
      </x:c>
      <x:c r="H534" s="57" t="n">
        <x:v>9</x:v>
      </x:c>
      <x:c r="I534" s="206" t="n"/>
      <x:c r="J534" s="71" t="n"/>
      <x:c r="K534" s="71" t="n"/>
      <x:c r="L534" s="71" t="inlineStr">
        <x:is>
          <x:t xml:space="preserve">NO</x:t>
        </x:is>
      </x:c>
      <x:c r="M534" s="71" t="n"/>
      <x:c r="N534" s="71" t="n"/>
      <x:c r="O534" s="71" t="n"/>
      <x:c r="P534" s="71" t="n"/>
      <x:c r="Q534" s="71" t="n"/>
      <x:c r="R534" s="71" t="n"/>
      <x:c r="S534" s="206" t="n"/>
      <x:c r="T534" s="71" t="n"/>
      <x:c r="U534" s="71" t="n"/>
      <x:c r="V534" s="71" t="n"/>
      <x:c r="W534" s="71" t="n"/>
      <x:c r="X534" s="71" t="n"/>
      <x:c r="Y534" s="71" t="n"/>
      <x:c r="Z534" s="71" t="n"/>
      <x:c r="AA534" s="71" t="n"/>
      <x:c r="AB534" s="71" t="inlineStr">
        <x:is>
          <x:t xml:space="preserve">NO</x:t>
        </x:is>
      </x:c>
      <x:c r="AC534" s="57" t="inlineStr">
        <x:is>
          <x:t xml:space="preserve">V10</x:t>
        </x:is>
      </x:c>
      <x:c r="AD534" s="57" t="n"/>
      <x:c r="AE534" s="79" t="str">
        <x:f>IF(AND(I534&lt;&gt;"",J534&lt;&gt;"",K534&lt;&gt;"",L534="YES",M534&lt;&gt;"",S534&lt;&gt;"",T534&lt;&gt;"",U534&lt;&gt;"",V534&lt;&gt;"",W534&lt;&gt;"",X534&lt;&gt;"",Y534&lt;&gt;""),"COMPLETE","PENDING")</x:f>
        <x:v>PENDING</x:v>
      </x:c>
      <x:c r="AF534" s="79" t="str">
        <x:f>IF(AE534="COMPLETE","YES","NO")</x:f>
        <x:v>NO</x:v>
      </x:c>
      <x:c r="AG534" s="214" t="str">
        <x:f>IF(AF534&lt;&gt;"YES","",(IF(V534="YES",1,0)+IF(W534="YES",1,0))/2)</x:f>
      </x:c>
    </x:row>
    <x:row r="535">
      <x:c r="A535" s="57" t="inlineStr">
        <x:is>
          <x:t xml:space="preserve">C0530</x:t>
        </x:is>
      </x:c>
      <x:c r="B535" s="57" t="inlineStr">
        <x:is>
          <x:t xml:space="preserve">Development</x:t>
        </x:is>
      </x:c>
      <x:c r="C535" s="57" t="inlineStr">
        <x:is>
          <x:t xml:space="preserve">OPEN</x:t>
        </x:is>
      </x:c>
      <x:c r="D535" s="57" t="inlineStr">
        <x:is>
          <x:t xml:space="preserve">ARG-053</x:t>
        </x:is>
      </x:c>
      <x:c r="E535" s="75" t="str">
        <x:f>INDEX('Company Universe'!$B$6:$B$105,MATCH(D535,'Company Universe'!$A$6:$A$105,0))</x:f>
        <x:v>Munich Re</x:v>
      </x:c>
      <x:c r="F535" s="75" t="str">
        <x:f>INDEX('Company Universe'!$C$6:$C$105,MATCH(D535,'Company Universe'!$A$6:$A$105,0))</x:f>
        <x:v>MUV2</x:v>
      </x:c>
      <x:c r="G535" s="75" t="str">
        <x:f>INDEX('Company Universe'!$F$6:$F$105,MATCH(D535,'Company Universe'!$A$6:$A$105,0))</x:f>
        <x:v>Insurance</x:v>
      </x:c>
      <x:c r="H535" s="57" t="n">
        <x:v>10</x:v>
      </x:c>
      <x:c r="I535" s="206" t="n"/>
      <x:c r="J535" s="71" t="n"/>
      <x:c r="K535" s="71" t="n"/>
      <x:c r="L535" s="71" t="inlineStr">
        <x:is>
          <x:t xml:space="preserve">NO</x:t>
        </x:is>
      </x:c>
      <x:c r="M535" s="71" t="n"/>
      <x:c r="N535" s="71" t="n"/>
      <x:c r="O535" s="71" t="n"/>
      <x:c r="P535" s="71" t="n"/>
      <x:c r="Q535" s="71" t="n"/>
      <x:c r="R535" s="71" t="n"/>
      <x:c r="S535" s="206" t="n"/>
      <x:c r="T535" s="71" t="n"/>
      <x:c r="U535" s="71" t="n"/>
      <x:c r="V535" s="71" t="n"/>
      <x:c r="W535" s="71" t="n"/>
      <x:c r="X535" s="71" t="n"/>
      <x:c r="Y535" s="71" t="n"/>
      <x:c r="Z535" s="71" t="n"/>
      <x:c r="AA535" s="71" t="n"/>
      <x:c r="AB535" s="71" t="inlineStr">
        <x:is>
          <x:t xml:space="preserve">NO</x:t>
        </x:is>
      </x:c>
      <x:c r="AC535" s="57" t="inlineStr">
        <x:is>
          <x:t xml:space="preserve">V10</x:t>
        </x:is>
      </x:c>
      <x:c r="AD535" s="57" t="n"/>
      <x:c r="AE535" s="79" t="str">
        <x:f>IF(AND(I535&lt;&gt;"",J535&lt;&gt;"",K535&lt;&gt;"",L535="YES",M535&lt;&gt;"",S535&lt;&gt;"",T535&lt;&gt;"",U535&lt;&gt;"",V535&lt;&gt;"",W535&lt;&gt;"",X535&lt;&gt;"",Y535&lt;&gt;""),"COMPLETE","PENDING")</x:f>
        <x:v>PENDING</x:v>
      </x:c>
      <x:c r="AF535" s="79" t="str">
        <x:f>IF(AE535="COMPLETE","YES","NO")</x:f>
        <x:v>NO</x:v>
      </x:c>
      <x:c r="AG535" s="214" t="str">
        <x:f>IF(AF535&lt;&gt;"YES","",(IF(V535="YES",1,0)+IF(W535="YES",1,0))/2)</x:f>
      </x:c>
    </x:row>
    <x:row r="536">
      <x:c r="A536" s="57" t="inlineStr">
        <x:is>
          <x:t xml:space="preserve">C0531</x:t>
        </x:is>
      </x:c>
      <x:c r="B536" s="57" t="inlineStr">
        <x:is>
          <x:t xml:space="preserve">Development</x:t>
        </x:is>
      </x:c>
      <x:c r="C536" s="57" t="inlineStr">
        <x:is>
          <x:t xml:space="preserve">OPEN</x:t>
        </x:is>
      </x:c>
      <x:c r="D536" s="57" t="inlineStr">
        <x:is>
          <x:t xml:space="preserve">ARG-054</x:t>
        </x:is>
      </x:c>
      <x:c r="E536" s="75" t="str">
        <x:f>INDEX('Company Universe'!$B$6:$B$105,MATCH(D536,'Company Universe'!$A$6:$A$105,0))</x:f>
        <x:v>Eli Lilly</x:v>
      </x:c>
      <x:c r="F536" s="75" t="str">
        <x:f>INDEX('Company Universe'!$C$6:$C$105,MATCH(D536,'Company Universe'!$A$6:$A$105,0))</x:f>
        <x:v>LLY</x:v>
      </x:c>
      <x:c r="G536" s="75" t="str">
        <x:f>INDEX('Company Universe'!$F$6:$F$105,MATCH(D536,'Company Universe'!$A$6:$A$105,0))</x:f>
        <x:v>Healthcare &amp; Biopharma</x:v>
      </x:c>
      <x:c r="H536" s="57" t="n">
        <x:v>1</x:v>
      </x:c>
      <x:c r="I536" s="206" t="n"/>
      <x:c r="J536" s="71" t="n"/>
      <x:c r="K536" s="71" t="n"/>
      <x:c r="L536" s="71" t="inlineStr">
        <x:is>
          <x:t xml:space="preserve">NO</x:t>
        </x:is>
      </x:c>
      <x:c r="M536" s="71" t="n"/>
      <x:c r="N536" s="71" t="n"/>
      <x:c r="O536" s="71" t="n"/>
      <x:c r="P536" s="71" t="n"/>
      <x:c r="Q536" s="71" t="n"/>
      <x:c r="R536" s="71" t="n"/>
      <x:c r="S536" s="206" t="n"/>
      <x:c r="T536" s="71" t="n"/>
      <x:c r="U536" s="71" t="n"/>
      <x:c r="V536" s="71" t="n"/>
      <x:c r="W536" s="71" t="n"/>
      <x:c r="X536" s="71" t="n"/>
      <x:c r="Y536" s="71" t="n"/>
      <x:c r="Z536" s="71" t="n"/>
      <x:c r="AA536" s="71" t="n"/>
      <x:c r="AB536" s="71" t="inlineStr">
        <x:is>
          <x:t xml:space="preserve">NO</x:t>
        </x:is>
      </x:c>
      <x:c r="AC536" s="57" t="inlineStr">
        <x:is>
          <x:t xml:space="preserve">V10</x:t>
        </x:is>
      </x:c>
      <x:c r="AD536" s="57" t="n"/>
      <x:c r="AE536" s="79" t="str">
        <x:f>IF(AND(I536&lt;&gt;"",J536&lt;&gt;"",K536&lt;&gt;"",L536="YES",M536&lt;&gt;"",S536&lt;&gt;"",T536&lt;&gt;"",U536&lt;&gt;"",V536&lt;&gt;"",W536&lt;&gt;"",X536&lt;&gt;"",Y536&lt;&gt;""),"COMPLETE","PENDING")</x:f>
        <x:v>PENDING</x:v>
      </x:c>
      <x:c r="AF536" s="79" t="str">
        <x:f>IF(AE536="COMPLETE","YES","NO")</x:f>
        <x:v>NO</x:v>
      </x:c>
      <x:c r="AG536" s="214" t="str">
        <x:f>IF(AF536&lt;&gt;"YES","",(IF(V536="YES",1,0)+IF(W536="YES",1,0))/2)</x:f>
      </x:c>
    </x:row>
    <x:row r="537">
      <x:c r="A537" s="57" t="inlineStr">
        <x:is>
          <x:t xml:space="preserve">C0532</x:t>
        </x:is>
      </x:c>
      <x:c r="B537" s="57" t="inlineStr">
        <x:is>
          <x:t xml:space="preserve">Development</x:t>
        </x:is>
      </x:c>
      <x:c r="C537" s="57" t="inlineStr">
        <x:is>
          <x:t xml:space="preserve">OPEN</x:t>
        </x:is>
      </x:c>
      <x:c r="D537" s="57" t="inlineStr">
        <x:is>
          <x:t xml:space="preserve">ARG-054</x:t>
        </x:is>
      </x:c>
      <x:c r="E537" s="75" t="str">
        <x:f>INDEX('Company Universe'!$B$6:$B$105,MATCH(D537,'Company Universe'!$A$6:$A$105,0))</x:f>
        <x:v>Eli Lilly</x:v>
      </x:c>
      <x:c r="F537" s="75" t="str">
        <x:f>INDEX('Company Universe'!$C$6:$C$105,MATCH(D537,'Company Universe'!$A$6:$A$105,0))</x:f>
        <x:v>LLY</x:v>
      </x:c>
      <x:c r="G537" s="75" t="str">
        <x:f>INDEX('Company Universe'!$F$6:$F$105,MATCH(D537,'Company Universe'!$A$6:$A$105,0))</x:f>
        <x:v>Healthcare &amp; Biopharma</x:v>
      </x:c>
      <x:c r="H537" s="57" t="n">
        <x:v>2</x:v>
      </x:c>
      <x:c r="I537" s="206" t="n"/>
      <x:c r="J537" s="71" t="n"/>
      <x:c r="K537" s="71" t="n"/>
      <x:c r="L537" s="71" t="inlineStr">
        <x:is>
          <x:t xml:space="preserve">NO</x:t>
        </x:is>
      </x:c>
      <x:c r="M537" s="71" t="n"/>
      <x:c r="N537" s="71" t="n"/>
      <x:c r="O537" s="71" t="n"/>
      <x:c r="P537" s="71" t="n"/>
      <x:c r="Q537" s="71" t="n"/>
      <x:c r="R537" s="71" t="n"/>
      <x:c r="S537" s="206" t="n"/>
      <x:c r="T537" s="71" t="n"/>
      <x:c r="U537" s="71" t="n"/>
      <x:c r="V537" s="71" t="n"/>
      <x:c r="W537" s="71" t="n"/>
      <x:c r="X537" s="71" t="n"/>
      <x:c r="Y537" s="71" t="n"/>
      <x:c r="Z537" s="71" t="n"/>
      <x:c r="AA537" s="71" t="n"/>
      <x:c r="AB537" s="71" t="inlineStr">
        <x:is>
          <x:t xml:space="preserve">NO</x:t>
        </x:is>
      </x:c>
      <x:c r="AC537" s="57" t="inlineStr">
        <x:is>
          <x:t xml:space="preserve">V10</x:t>
        </x:is>
      </x:c>
      <x:c r="AD537" s="57" t="n"/>
      <x:c r="AE537" s="79" t="str">
        <x:f>IF(AND(I537&lt;&gt;"",J537&lt;&gt;"",K537&lt;&gt;"",L537="YES",M537&lt;&gt;"",S537&lt;&gt;"",T537&lt;&gt;"",U537&lt;&gt;"",V537&lt;&gt;"",W537&lt;&gt;"",X537&lt;&gt;"",Y537&lt;&gt;""),"COMPLETE","PENDING")</x:f>
        <x:v>PENDING</x:v>
      </x:c>
      <x:c r="AF537" s="79" t="str">
        <x:f>IF(AE537="COMPLETE","YES","NO")</x:f>
        <x:v>NO</x:v>
      </x:c>
      <x:c r="AG537" s="214" t="str">
        <x:f>IF(AF537&lt;&gt;"YES","",(IF(V537="YES",1,0)+IF(W537="YES",1,0))/2)</x:f>
      </x:c>
    </x:row>
    <x:row r="538">
      <x:c r="A538" s="57" t="inlineStr">
        <x:is>
          <x:t xml:space="preserve">C0533</x:t>
        </x:is>
      </x:c>
      <x:c r="B538" s="57" t="inlineStr">
        <x:is>
          <x:t xml:space="preserve">Development</x:t>
        </x:is>
      </x:c>
      <x:c r="C538" s="57" t="inlineStr">
        <x:is>
          <x:t xml:space="preserve">OPEN</x:t>
        </x:is>
      </x:c>
      <x:c r="D538" s="57" t="inlineStr">
        <x:is>
          <x:t xml:space="preserve">ARG-054</x:t>
        </x:is>
      </x:c>
      <x:c r="E538" s="75" t="str">
        <x:f>INDEX('Company Universe'!$B$6:$B$105,MATCH(D538,'Company Universe'!$A$6:$A$105,0))</x:f>
        <x:v>Eli Lilly</x:v>
      </x:c>
      <x:c r="F538" s="75" t="str">
        <x:f>INDEX('Company Universe'!$C$6:$C$105,MATCH(D538,'Company Universe'!$A$6:$A$105,0))</x:f>
        <x:v>LLY</x:v>
      </x:c>
      <x:c r="G538" s="75" t="str">
        <x:f>INDEX('Company Universe'!$F$6:$F$105,MATCH(D538,'Company Universe'!$A$6:$A$105,0))</x:f>
        <x:v>Healthcare &amp; Biopharma</x:v>
      </x:c>
      <x:c r="H538" s="57" t="n">
        <x:v>3</x:v>
      </x:c>
      <x:c r="I538" s="206" t="n"/>
      <x:c r="J538" s="71" t="n"/>
      <x:c r="K538" s="71" t="n"/>
      <x:c r="L538" s="71" t="inlineStr">
        <x:is>
          <x:t xml:space="preserve">NO</x:t>
        </x:is>
      </x:c>
      <x:c r="M538" s="71" t="n"/>
      <x:c r="N538" s="71" t="n"/>
      <x:c r="O538" s="71" t="n"/>
      <x:c r="P538" s="71" t="n"/>
      <x:c r="Q538" s="71" t="n"/>
      <x:c r="R538" s="71" t="n"/>
      <x:c r="S538" s="206" t="n"/>
      <x:c r="T538" s="71" t="n"/>
      <x:c r="U538" s="71" t="n"/>
      <x:c r="V538" s="71" t="n"/>
      <x:c r="W538" s="71" t="n"/>
      <x:c r="X538" s="71" t="n"/>
      <x:c r="Y538" s="71" t="n"/>
      <x:c r="Z538" s="71" t="n"/>
      <x:c r="AA538" s="71" t="n"/>
      <x:c r="AB538" s="71" t="inlineStr">
        <x:is>
          <x:t xml:space="preserve">NO</x:t>
        </x:is>
      </x:c>
      <x:c r="AC538" s="57" t="inlineStr">
        <x:is>
          <x:t xml:space="preserve">V10</x:t>
        </x:is>
      </x:c>
      <x:c r="AD538" s="57" t="n"/>
      <x:c r="AE538" s="79" t="str">
        <x:f>IF(AND(I538&lt;&gt;"",J538&lt;&gt;"",K538&lt;&gt;"",L538="YES",M538&lt;&gt;"",S538&lt;&gt;"",T538&lt;&gt;"",U538&lt;&gt;"",V538&lt;&gt;"",W538&lt;&gt;"",X538&lt;&gt;"",Y538&lt;&gt;""),"COMPLETE","PENDING")</x:f>
        <x:v>PENDING</x:v>
      </x:c>
      <x:c r="AF538" s="79" t="str">
        <x:f>IF(AE538="COMPLETE","YES","NO")</x:f>
        <x:v>NO</x:v>
      </x:c>
      <x:c r="AG538" s="214" t="str">
        <x:f>IF(AF538&lt;&gt;"YES","",(IF(V538="YES",1,0)+IF(W538="YES",1,0))/2)</x:f>
      </x:c>
    </x:row>
    <x:row r="539">
      <x:c r="A539" s="57" t="inlineStr">
        <x:is>
          <x:t xml:space="preserve">C0534</x:t>
        </x:is>
      </x:c>
      <x:c r="B539" s="57" t="inlineStr">
        <x:is>
          <x:t xml:space="preserve">Development</x:t>
        </x:is>
      </x:c>
      <x:c r="C539" s="57" t="inlineStr">
        <x:is>
          <x:t xml:space="preserve">OPEN</x:t>
        </x:is>
      </x:c>
      <x:c r="D539" s="57" t="inlineStr">
        <x:is>
          <x:t xml:space="preserve">ARG-054</x:t>
        </x:is>
      </x:c>
      <x:c r="E539" s="75" t="str">
        <x:f>INDEX('Company Universe'!$B$6:$B$105,MATCH(D539,'Company Universe'!$A$6:$A$105,0))</x:f>
        <x:v>Eli Lilly</x:v>
      </x:c>
      <x:c r="F539" s="75" t="str">
        <x:f>INDEX('Company Universe'!$C$6:$C$105,MATCH(D539,'Company Universe'!$A$6:$A$105,0))</x:f>
        <x:v>LLY</x:v>
      </x:c>
      <x:c r="G539" s="75" t="str">
        <x:f>INDEX('Company Universe'!$F$6:$F$105,MATCH(D539,'Company Universe'!$A$6:$A$105,0))</x:f>
        <x:v>Healthcare &amp; Biopharma</x:v>
      </x:c>
      <x:c r="H539" s="57" t="n">
        <x:v>4</x:v>
      </x:c>
      <x:c r="I539" s="206" t="n"/>
      <x:c r="J539" s="71" t="n"/>
      <x:c r="K539" s="71" t="n"/>
      <x:c r="L539" s="71" t="inlineStr">
        <x:is>
          <x:t xml:space="preserve">NO</x:t>
        </x:is>
      </x:c>
      <x:c r="M539" s="71" t="n"/>
      <x:c r="N539" s="71" t="n"/>
      <x:c r="O539" s="71" t="n"/>
      <x:c r="P539" s="71" t="n"/>
      <x:c r="Q539" s="71" t="n"/>
      <x:c r="R539" s="71" t="n"/>
      <x:c r="S539" s="206" t="n"/>
      <x:c r="T539" s="71" t="n"/>
      <x:c r="U539" s="71" t="n"/>
      <x:c r="V539" s="71" t="n"/>
      <x:c r="W539" s="71" t="n"/>
      <x:c r="X539" s="71" t="n"/>
      <x:c r="Y539" s="71" t="n"/>
      <x:c r="Z539" s="71" t="n"/>
      <x:c r="AA539" s="71" t="n"/>
      <x:c r="AB539" s="71" t="inlineStr">
        <x:is>
          <x:t xml:space="preserve">NO</x:t>
        </x:is>
      </x:c>
      <x:c r="AC539" s="57" t="inlineStr">
        <x:is>
          <x:t xml:space="preserve">V10</x:t>
        </x:is>
      </x:c>
      <x:c r="AD539" s="57" t="n"/>
      <x:c r="AE539" s="79" t="str">
        <x:f>IF(AND(I539&lt;&gt;"",J539&lt;&gt;"",K539&lt;&gt;"",L539="YES",M539&lt;&gt;"",S539&lt;&gt;"",T539&lt;&gt;"",U539&lt;&gt;"",V539&lt;&gt;"",W539&lt;&gt;"",X539&lt;&gt;"",Y539&lt;&gt;""),"COMPLETE","PENDING")</x:f>
        <x:v>PENDING</x:v>
      </x:c>
      <x:c r="AF539" s="79" t="str">
        <x:f>IF(AE539="COMPLETE","YES","NO")</x:f>
        <x:v>NO</x:v>
      </x:c>
      <x:c r="AG539" s="214" t="str">
        <x:f>IF(AF539&lt;&gt;"YES","",(IF(V539="YES",1,0)+IF(W539="YES",1,0))/2)</x:f>
      </x:c>
    </x:row>
    <x:row r="540">
      <x:c r="A540" s="57" t="inlineStr">
        <x:is>
          <x:t xml:space="preserve">C0535</x:t>
        </x:is>
      </x:c>
      <x:c r="B540" s="57" t="inlineStr">
        <x:is>
          <x:t xml:space="preserve">Development</x:t>
        </x:is>
      </x:c>
      <x:c r="C540" s="57" t="inlineStr">
        <x:is>
          <x:t xml:space="preserve">OPEN</x:t>
        </x:is>
      </x:c>
      <x:c r="D540" s="57" t="inlineStr">
        <x:is>
          <x:t xml:space="preserve">ARG-054</x:t>
        </x:is>
      </x:c>
      <x:c r="E540" s="75" t="str">
        <x:f>INDEX('Company Universe'!$B$6:$B$105,MATCH(D540,'Company Universe'!$A$6:$A$105,0))</x:f>
        <x:v>Eli Lilly</x:v>
      </x:c>
      <x:c r="F540" s="75" t="str">
        <x:f>INDEX('Company Universe'!$C$6:$C$105,MATCH(D540,'Company Universe'!$A$6:$A$105,0))</x:f>
        <x:v>LLY</x:v>
      </x:c>
      <x:c r="G540" s="75" t="str">
        <x:f>INDEX('Company Universe'!$F$6:$F$105,MATCH(D540,'Company Universe'!$A$6:$A$105,0))</x:f>
        <x:v>Healthcare &amp; Biopharma</x:v>
      </x:c>
      <x:c r="H540" s="57" t="n">
        <x:v>5</x:v>
      </x:c>
      <x:c r="I540" s="206" t="n"/>
      <x:c r="J540" s="71" t="n"/>
      <x:c r="K540" s="71" t="n"/>
      <x:c r="L540" s="71" t="inlineStr">
        <x:is>
          <x:t xml:space="preserve">NO</x:t>
        </x:is>
      </x:c>
      <x:c r="M540" s="71" t="n"/>
      <x:c r="N540" s="71" t="n"/>
      <x:c r="O540" s="71" t="n"/>
      <x:c r="P540" s="71" t="n"/>
      <x:c r="Q540" s="71" t="n"/>
      <x:c r="R540" s="71" t="n"/>
      <x:c r="S540" s="206" t="n"/>
      <x:c r="T540" s="71" t="n"/>
      <x:c r="U540" s="71" t="n"/>
      <x:c r="V540" s="71" t="n"/>
      <x:c r="W540" s="71" t="n"/>
      <x:c r="X540" s="71" t="n"/>
      <x:c r="Y540" s="71" t="n"/>
      <x:c r="Z540" s="71" t="n"/>
      <x:c r="AA540" s="71" t="n"/>
      <x:c r="AB540" s="71" t="inlineStr">
        <x:is>
          <x:t xml:space="preserve">NO</x:t>
        </x:is>
      </x:c>
      <x:c r="AC540" s="57" t="inlineStr">
        <x:is>
          <x:t xml:space="preserve">V10</x:t>
        </x:is>
      </x:c>
      <x:c r="AD540" s="57" t="n"/>
      <x:c r="AE540" s="79" t="str">
        <x:f>IF(AND(I540&lt;&gt;"",J540&lt;&gt;"",K540&lt;&gt;"",L540="YES",M540&lt;&gt;"",S540&lt;&gt;"",T540&lt;&gt;"",U540&lt;&gt;"",V540&lt;&gt;"",W540&lt;&gt;"",X540&lt;&gt;"",Y540&lt;&gt;""),"COMPLETE","PENDING")</x:f>
        <x:v>PENDING</x:v>
      </x:c>
      <x:c r="AF540" s="79" t="str">
        <x:f>IF(AE540="COMPLETE","YES","NO")</x:f>
        <x:v>NO</x:v>
      </x:c>
      <x:c r="AG540" s="214" t="str">
        <x:f>IF(AF540&lt;&gt;"YES","",(IF(V540="YES",1,0)+IF(W540="YES",1,0))/2)</x:f>
      </x:c>
    </x:row>
    <x:row r="541">
      <x:c r="A541" s="57" t="inlineStr">
        <x:is>
          <x:t xml:space="preserve">C0536</x:t>
        </x:is>
      </x:c>
      <x:c r="B541" s="57" t="inlineStr">
        <x:is>
          <x:t xml:space="preserve">Development</x:t>
        </x:is>
      </x:c>
      <x:c r="C541" s="57" t="inlineStr">
        <x:is>
          <x:t xml:space="preserve">OPEN</x:t>
        </x:is>
      </x:c>
      <x:c r="D541" s="57" t="inlineStr">
        <x:is>
          <x:t xml:space="preserve">ARG-054</x:t>
        </x:is>
      </x:c>
      <x:c r="E541" s="75" t="str">
        <x:f>INDEX('Company Universe'!$B$6:$B$105,MATCH(D541,'Company Universe'!$A$6:$A$105,0))</x:f>
        <x:v>Eli Lilly</x:v>
      </x:c>
      <x:c r="F541" s="75" t="str">
        <x:f>INDEX('Company Universe'!$C$6:$C$105,MATCH(D541,'Company Universe'!$A$6:$A$105,0))</x:f>
        <x:v>LLY</x:v>
      </x:c>
      <x:c r="G541" s="75" t="str">
        <x:f>INDEX('Company Universe'!$F$6:$F$105,MATCH(D541,'Company Universe'!$A$6:$A$105,0))</x:f>
        <x:v>Healthcare &amp; Biopharma</x:v>
      </x:c>
      <x:c r="H541" s="57" t="n">
        <x:v>6</x:v>
      </x:c>
      <x:c r="I541" s="206" t="n"/>
      <x:c r="J541" s="71" t="n"/>
      <x:c r="K541" s="71" t="n"/>
      <x:c r="L541" s="71" t="inlineStr">
        <x:is>
          <x:t xml:space="preserve">NO</x:t>
        </x:is>
      </x:c>
      <x:c r="M541" s="71" t="n"/>
      <x:c r="N541" s="71" t="n"/>
      <x:c r="O541" s="71" t="n"/>
      <x:c r="P541" s="71" t="n"/>
      <x:c r="Q541" s="71" t="n"/>
      <x:c r="R541" s="71" t="n"/>
      <x:c r="S541" s="206" t="n"/>
      <x:c r="T541" s="71" t="n"/>
      <x:c r="U541" s="71" t="n"/>
      <x:c r="V541" s="71" t="n"/>
      <x:c r="W541" s="71" t="n"/>
      <x:c r="X541" s="71" t="n"/>
      <x:c r="Y541" s="71" t="n"/>
      <x:c r="Z541" s="71" t="n"/>
      <x:c r="AA541" s="71" t="n"/>
      <x:c r="AB541" s="71" t="inlineStr">
        <x:is>
          <x:t xml:space="preserve">NO</x:t>
        </x:is>
      </x:c>
      <x:c r="AC541" s="57" t="inlineStr">
        <x:is>
          <x:t xml:space="preserve">V10</x:t>
        </x:is>
      </x:c>
      <x:c r="AD541" s="57" t="n"/>
      <x:c r="AE541" s="79" t="str">
        <x:f>IF(AND(I541&lt;&gt;"",J541&lt;&gt;"",K541&lt;&gt;"",L541="YES",M541&lt;&gt;"",S541&lt;&gt;"",T541&lt;&gt;"",U541&lt;&gt;"",V541&lt;&gt;"",W541&lt;&gt;"",X541&lt;&gt;"",Y541&lt;&gt;""),"COMPLETE","PENDING")</x:f>
        <x:v>PENDING</x:v>
      </x:c>
      <x:c r="AF541" s="79" t="str">
        <x:f>IF(AE541="COMPLETE","YES","NO")</x:f>
        <x:v>NO</x:v>
      </x:c>
      <x:c r="AG541" s="214" t="str">
        <x:f>IF(AF541&lt;&gt;"YES","",(IF(V541="YES",1,0)+IF(W541="YES",1,0))/2)</x:f>
      </x:c>
    </x:row>
    <x:row r="542">
      <x:c r="A542" s="57" t="inlineStr">
        <x:is>
          <x:t xml:space="preserve">C0537</x:t>
        </x:is>
      </x:c>
      <x:c r="B542" s="57" t="inlineStr">
        <x:is>
          <x:t xml:space="preserve">Development</x:t>
        </x:is>
      </x:c>
      <x:c r="C542" s="57" t="inlineStr">
        <x:is>
          <x:t xml:space="preserve">OPEN</x:t>
        </x:is>
      </x:c>
      <x:c r="D542" s="57" t="inlineStr">
        <x:is>
          <x:t xml:space="preserve">ARG-054</x:t>
        </x:is>
      </x:c>
      <x:c r="E542" s="75" t="str">
        <x:f>INDEX('Company Universe'!$B$6:$B$105,MATCH(D542,'Company Universe'!$A$6:$A$105,0))</x:f>
        <x:v>Eli Lilly</x:v>
      </x:c>
      <x:c r="F542" s="75" t="str">
        <x:f>INDEX('Company Universe'!$C$6:$C$105,MATCH(D542,'Company Universe'!$A$6:$A$105,0))</x:f>
        <x:v>LLY</x:v>
      </x:c>
      <x:c r="G542" s="75" t="str">
        <x:f>INDEX('Company Universe'!$F$6:$F$105,MATCH(D542,'Company Universe'!$A$6:$A$105,0))</x:f>
        <x:v>Healthcare &amp; Biopharma</x:v>
      </x:c>
      <x:c r="H542" s="57" t="n">
        <x:v>7</x:v>
      </x:c>
      <x:c r="I542" s="206" t="n"/>
      <x:c r="J542" s="71" t="n"/>
      <x:c r="K542" s="71" t="n"/>
      <x:c r="L542" s="71" t="inlineStr">
        <x:is>
          <x:t xml:space="preserve">NO</x:t>
        </x:is>
      </x:c>
      <x:c r="M542" s="71" t="n"/>
      <x:c r="N542" s="71" t="n"/>
      <x:c r="O542" s="71" t="n"/>
      <x:c r="P542" s="71" t="n"/>
      <x:c r="Q542" s="71" t="n"/>
      <x:c r="R542" s="71" t="n"/>
      <x:c r="S542" s="206" t="n"/>
      <x:c r="T542" s="71" t="n"/>
      <x:c r="U542" s="71" t="n"/>
      <x:c r="V542" s="71" t="n"/>
      <x:c r="W542" s="71" t="n"/>
      <x:c r="X542" s="71" t="n"/>
      <x:c r="Y542" s="71" t="n"/>
      <x:c r="Z542" s="71" t="n"/>
      <x:c r="AA542" s="71" t="n"/>
      <x:c r="AB542" s="71" t="inlineStr">
        <x:is>
          <x:t xml:space="preserve">NO</x:t>
        </x:is>
      </x:c>
      <x:c r="AC542" s="57" t="inlineStr">
        <x:is>
          <x:t xml:space="preserve">V10</x:t>
        </x:is>
      </x:c>
      <x:c r="AD542" s="57" t="n"/>
      <x:c r="AE542" s="79" t="str">
        <x:f>IF(AND(I542&lt;&gt;"",J542&lt;&gt;"",K542&lt;&gt;"",L542="YES",M542&lt;&gt;"",S542&lt;&gt;"",T542&lt;&gt;"",U542&lt;&gt;"",V542&lt;&gt;"",W542&lt;&gt;"",X542&lt;&gt;"",Y542&lt;&gt;""),"COMPLETE","PENDING")</x:f>
        <x:v>PENDING</x:v>
      </x:c>
      <x:c r="AF542" s="79" t="str">
        <x:f>IF(AE542="COMPLETE","YES","NO")</x:f>
        <x:v>NO</x:v>
      </x:c>
      <x:c r="AG542" s="214" t="str">
        <x:f>IF(AF542&lt;&gt;"YES","",(IF(V542="YES",1,0)+IF(W542="YES",1,0))/2)</x:f>
      </x:c>
    </x:row>
    <x:row r="543">
      <x:c r="A543" s="57" t="inlineStr">
        <x:is>
          <x:t xml:space="preserve">C0538</x:t>
        </x:is>
      </x:c>
      <x:c r="B543" s="57" t="inlineStr">
        <x:is>
          <x:t xml:space="preserve">Development</x:t>
        </x:is>
      </x:c>
      <x:c r="C543" s="57" t="inlineStr">
        <x:is>
          <x:t xml:space="preserve">OPEN</x:t>
        </x:is>
      </x:c>
      <x:c r="D543" s="57" t="inlineStr">
        <x:is>
          <x:t xml:space="preserve">ARG-054</x:t>
        </x:is>
      </x:c>
      <x:c r="E543" s="75" t="str">
        <x:f>INDEX('Company Universe'!$B$6:$B$105,MATCH(D543,'Company Universe'!$A$6:$A$105,0))</x:f>
        <x:v>Eli Lilly</x:v>
      </x:c>
      <x:c r="F543" s="75" t="str">
        <x:f>INDEX('Company Universe'!$C$6:$C$105,MATCH(D543,'Company Universe'!$A$6:$A$105,0))</x:f>
        <x:v>LLY</x:v>
      </x:c>
      <x:c r="G543" s="75" t="str">
        <x:f>INDEX('Company Universe'!$F$6:$F$105,MATCH(D543,'Company Universe'!$A$6:$A$105,0))</x:f>
        <x:v>Healthcare &amp; Biopharma</x:v>
      </x:c>
      <x:c r="H543" s="57" t="n">
        <x:v>8</x:v>
      </x:c>
      <x:c r="I543" s="206" t="n"/>
      <x:c r="J543" s="71" t="n"/>
      <x:c r="K543" s="71" t="n"/>
      <x:c r="L543" s="71" t="inlineStr">
        <x:is>
          <x:t xml:space="preserve">NO</x:t>
        </x:is>
      </x:c>
      <x:c r="M543" s="71" t="n"/>
      <x:c r="N543" s="71" t="n"/>
      <x:c r="O543" s="71" t="n"/>
      <x:c r="P543" s="71" t="n"/>
      <x:c r="Q543" s="71" t="n"/>
      <x:c r="R543" s="71" t="n"/>
      <x:c r="S543" s="206" t="n"/>
      <x:c r="T543" s="71" t="n"/>
      <x:c r="U543" s="71" t="n"/>
      <x:c r="V543" s="71" t="n"/>
      <x:c r="W543" s="71" t="n"/>
      <x:c r="X543" s="71" t="n"/>
      <x:c r="Y543" s="71" t="n"/>
      <x:c r="Z543" s="71" t="n"/>
      <x:c r="AA543" s="71" t="n"/>
      <x:c r="AB543" s="71" t="inlineStr">
        <x:is>
          <x:t xml:space="preserve">NO</x:t>
        </x:is>
      </x:c>
      <x:c r="AC543" s="57" t="inlineStr">
        <x:is>
          <x:t xml:space="preserve">V10</x:t>
        </x:is>
      </x:c>
      <x:c r="AD543" s="57" t="n"/>
      <x:c r="AE543" s="79" t="str">
        <x:f>IF(AND(I543&lt;&gt;"",J543&lt;&gt;"",K543&lt;&gt;"",L543="YES",M543&lt;&gt;"",S543&lt;&gt;"",T543&lt;&gt;"",U543&lt;&gt;"",V543&lt;&gt;"",W543&lt;&gt;"",X543&lt;&gt;"",Y543&lt;&gt;""),"COMPLETE","PENDING")</x:f>
        <x:v>PENDING</x:v>
      </x:c>
      <x:c r="AF543" s="79" t="str">
        <x:f>IF(AE543="COMPLETE","YES","NO")</x:f>
        <x:v>NO</x:v>
      </x:c>
      <x:c r="AG543" s="214" t="str">
        <x:f>IF(AF543&lt;&gt;"YES","",(IF(V543="YES",1,0)+IF(W543="YES",1,0))/2)</x:f>
      </x:c>
    </x:row>
    <x:row r="544">
      <x:c r="A544" s="57" t="inlineStr">
        <x:is>
          <x:t xml:space="preserve">C0539</x:t>
        </x:is>
      </x:c>
      <x:c r="B544" s="57" t="inlineStr">
        <x:is>
          <x:t xml:space="preserve">Development</x:t>
        </x:is>
      </x:c>
      <x:c r="C544" s="57" t="inlineStr">
        <x:is>
          <x:t xml:space="preserve">OPEN</x:t>
        </x:is>
      </x:c>
      <x:c r="D544" s="57" t="inlineStr">
        <x:is>
          <x:t xml:space="preserve">ARG-054</x:t>
        </x:is>
      </x:c>
      <x:c r="E544" s="75" t="str">
        <x:f>INDEX('Company Universe'!$B$6:$B$105,MATCH(D544,'Company Universe'!$A$6:$A$105,0))</x:f>
        <x:v>Eli Lilly</x:v>
      </x:c>
      <x:c r="F544" s="75" t="str">
        <x:f>INDEX('Company Universe'!$C$6:$C$105,MATCH(D544,'Company Universe'!$A$6:$A$105,0))</x:f>
        <x:v>LLY</x:v>
      </x:c>
      <x:c r="G544" s="75" t="str">
        <x:f>INDEX('Company Universe'!$F$6:$F$105,MATCH(D544,'Company Universe'!$A$6:$A$105,0))</x:f>
        <x:v>Healthcare &amp; Biopharma</x:v>
      </x:c>
      <x:c r="H544" s="57" t="n">
        <x:v>9</x:v>
      </x:c>
      <x:c r="I544" s="206" t="n"/>
      <x:c r="J544" s="71" t="n"/>
      <x:c r="K544" s="71" t="n"/>
      <x:c r="L544" s="71" t="inlineStr">
        <x:is>
          <x:t xml:space="preserve">NO</x:t>
        </x:is>
      </x:c>
      <x:c r="M544" s="71" t="n"/>
      <x:c r="N544" s="71" t="n"/>
      <x:c r="O544" s="71" t="n"/>
      <x:c r="P544" s="71" t="n"/>
      <x:c r="Q544" s="71" t="n"/>
      <x:c r="R544" s="71" t="n"/>
      <x:c r="S544" s="206" t="n"/>
      <x:c r="T544" s="71" t="n"/>
      <x:c r="U544" s="71" t="n"/>
      <x:c r="V544" s="71" t="n"/>
      <x:c r="W544" s="71" t="n"/>
      <x:c r="X544" s="71" t="n"/>
      <x:c r="Y544" s="71" t="n"/>
      <x:c r="Z544" s="71" t="n"/>
      <x:c r="AA544" s="71" t="n"/>
      <x:c r="AB544" s="71" t="inlineStr">
        <x:is>
          <x:t xml:space="preserve">NO</x:t>
        </x:is>
      </x:c>
      <x:c r="AC544" s="57" t="inlineStr">
        <x:is>
          <x:t xml:space="preserve">V10</x:t>
        </x:is>
      </x:c>
      <x:c r="AD544" s="57" t="n"/>
      <x:c r="AE544" s="79" t="str">
        <x:f>IF(AND(I544&lt;&gt;"",J544&lt;&gt;"",K544&lt;&gt;"",L544="YES",M544&lt;&gt;"",S544&lt;&gt;"",T544&lt;&gt;"",U544&lt;&gt;"",V544&lt;&gt;"",W544&lt;&gt;"",X544&lt;&gt;"",Y544&lt;&gt;""),"COMPLETE","PENDING")</x:f>
        <x:v>PENDING</x:v>
      </x:c>
      <x:c r="AF544" s="79" t="str">
        <x:f>IF(AE544="COMPLETE","YES","NO")</x:f>
        <x:v>NO</x:v>
      </x:c>
      <x:c r="AG544" s="214" t="str">
        <x:f>IF(AF544&lt;&gt;"YES","",(IF(V544="YES",1,0)+IF(W544="YES",1,0))/2)</x:f>
      </x:c>
    </x:row>
    <x:row r="545">
      <x:c r="A545" s="57" t="inlineStr">
        <x:is>
          <x:t xml:space="preserve">C0540</x:t>
        </x:is>
      </x:c>
      <x:c r="B545" s="57" t="inlineStr">
        <x:is>
          <x:t xml:space="preserve">Development</x:t>
        </x:is>
      </x:c>
      <x:c r="C545" s="57" t="inlineStr">
        <x:is>
          <x:t xml:space="preserve">OPEN</x:t>
        </x:is>
      </x:c>
      <x:c r="D545" s="57" t="inlineStr">
        <x:is>
          <x:t xml:space="preserve">ARG-054</x:t>
        </x:is>
      </x:c>
      <x:c r="E545" s="75" t="str">
        <x:f>INDEX('Company Universe'!$B$6:$B$105,MATCH(D545,'Company Universe'!$A$6:$A$105,0))</x:f>
        <x:v>Eli Lilly</x:v>
      </x:c>
      <x:c r="F545" s="75" t="str">
        <x:f>INDEX('Company Universe'!$C$6:$C$105,MATCH(D545,'Company Universe'!$A$6:$A$105,0))</x:f>
        <x:v>LLY</x:v>
      </x:c>
      <x:c r="G545" s="75" t="str">
        <x:f>INDEX('Company Universe'!$F$6:$F$105,MATCH(D545,'Company Universe'!$A$6:$A$105,0))</x:f>
        <x:v>Healthcare &amp; Biopharma</x:v>
      </x:c>
      <x:c r="H545" s="57" t="n">
        <x:v>10</x:v>
      </x:c>
      <x:c r="I545" s="206" t="n"/>
      <x:c r="J545" s="71" t="n"/>
      <x:c r="K545" s="71" t="n"/>
      <x:c r="L545" s="71" t="inlineStr">
        <x:is>
          <x:t xml:space="preserve">NO</x:t>
        </x:is>
      </x:c>
      <x:c r="M545" s="71" t="n"/>
      <x:c r="N545" s="71" t="n"/>
      <x:c r="O545" s="71" t="n"/>
      <x:c r="P545" s="71" t="n"/>
      <x:c r="Q545" s="71" t="n"/>
      <x:c r="R545" s="71" t="n"/>
      <x:c r="S545" s="206" t="n"/>
      <x:c r="T545" s="71" t="n"/>
      <x:c r="U545" s="71" t="n"/>
      <x:c r="V545" s="71" t="n"/>
      <x:c r="W545" s="71" t="n"/>
      <x:c r="X545" s="71" t="n"/>
      <x:c r="Y545" s="71" t="n"/>
      <x:c r="Z545" s="71" t="n"/>
      <x:c r="AA545" s="71" t="n"/>
      <x:c r="AB545" s="71" t="inlineStr">
        <x:is>
          <x:t xml:space="preserve">NO</x:t>
        </x:is>
      </x:c>
      <x:c r="AC545" s="57" t="inlineStr">
        <x:is>
          <x:t xml:space="preserve">V10</x:t>
        </x:is>
      </x:c>
      <x:c r="AD545" s="57" t="n"/>
      <x:c r="AE545" s="79" t="str">
        <x:f>IF(AND(I545&lt;&gt;"",J545&lt;&gt;"",K545&lt;&gt;"",L545="YES",M545&lt;&gt;"",S545&lt;&gt;"",T545&lt;&gt;"",U545&lt;&gt;"",V545&lt;&gt;"",W545&lt;&gt;"",X545&lt;&gt;"",Y545&lt;&gt;""),"COMPLETE","PENDING")</x:f>
        <x:v>PENDING</x:v>
      </x:c>
      <x:c r="AF545" s="79" t="str">
        <x:f>IF(AE545="COMPLETE","YES","NO")</x:f>
        <x:v>NO</x:v>
      </x:c>
      <x:c r="AG545" s="214" t="str">
        <x:f>IF(AF545&lt;&gt;"YES","",(IF(V545="YES",1,0)+IF(W545="YES",1,0))/2)</x:f>
      </x:c>
    </x:row>
    <x:row r="546">
      <x:c r="A546" s="57" t="inlineStr">
        <x:is>
          <x:t xml:space="preserve">C0541</x:t>
        </x:is>
      </x:c>
      <x:c r="B546" s="57" t="inlineStr">
        <x:is>
          <x:t xml:space="preserve">Development</x:t>
        </x:is>
      </x:c>
      <x:c r="C546" s="57" t="inlineStr">
        <x:is>
          <x:t xml:space="preserve">OPEN</x:t>
        </x:is>
      </x:c>
      <x:c r="D546" s="57" t="inlineStr">
        <x:is>
          <x:t xml:space="preserve">ARG-055</x:t>
        </x:is>
      </x:c>
      <x:c r="E546" s="75" t="str">
        <x:f>INDEX('Company Universe'!$B$6:$B$105,MATCH(D546,'Company Universe'!$A$6:$A$105,0))</x:f>
        <x:v>Costco Wholesale</x:v>
      </x:c>
      <x:c r="F546" s="75" t="str">
        <x:f>INDEX('Company Universe'!$C$6:$C$105,MATCH(D546,'Company Universe'!$A$6:$A$105,0))</x:f>
        <x:v>COST</x:v>
      </x:c>
      <x:c r="G546" s="75" t="str">
        <x:f>INDEX('Company Universe'!$F$6:$F$105,MATCH(D546,'Company Universe'!$A$6:$A$105,0))</x:f>
        <x:v>Consumer</x:v>
      </x:c>
      <x:c r="H546" s="57" t="n">
        <x:v>1</x:v>
      </x:c>
      <x:c r="I546" s="206" t="n"/>
      <x:c r="J546" s="71" t="n"/>
      <x:c r="K546" s="71" t="n"/>
      <x:c r="L546" s="71" t="inlineStr">
        <x:is>
          <x:t xml:space="preserve">NO</x:t>
        </x:is>
      </x:c>
      <x:c r="M546" s="71" t="n"/>
      <x:c r="N546" s="71" t="n"/>
      <x:c r="O546" s="71" t="n"/>
      <x:c r="P546" s="71" t="n"/>
      <x:c r="Q546" s="71" t="n"/>
      <x:c r="R546" s="71" t="n"/>
      <x:c r="S546" s="206" t="n"/>
      <x:c r="T546" s="71" t="n"/>
      <x:c r="U546" s="71" t="n"/>
      <x:c r="V546" s="71" t="n"/>
      <x:c r="W546" s="71" t="n"/>
      <x:c r="X546" s="71" t="n"/>
      <x:c r="Y546" s="71" t="n"/>
      <x:c r="Z546" s="71" t="n"/>
      <x:c r="AA546" s="71" t="n"/>
      <x:c r="AB546" s="71" t="inlineStr">
        <x:is>
          <x:t xml:space="preserve">NO</x:t>
        </x:is>
      </x:c>
      <x:c r="AC546" s="57" t="inlineStr">
        <x:is>
          <x:t xml:space="preserve">V10</x:t>
        </x:is>
      </x:c>
      <x:c r="AD546" s="57" t="n"/>
      <x:c r="AE546" s="79" t="str">
        <x:f>IF(AND(I546&lt;&gt;"",J546&lt;&gt;"",K546&lt;&gt;"",L546="YES",M546&lt;&gt;"",S546&lt;&gt;"",T546&lt;&gt;"",U546&lt;&gt;"",V546&lt;&gt;"",W546&lt;&gt;"",X546&lt;&gt;"",Y546&lt;&gt;""),"COMPLETE","PENDING")</x:f>
        <x:v>PENDING</x:v>
      </x:c>
      <x:c r="AF546" s="79" t="str">
        <x:f>IF(AE546="COMPLETE","YES","NO")</x:f>
        <x:v>NO</x:v>
      </x:c>
      <x:c r="AG546" s="214" t="str">
        <x:f>IF(AF546&lt;&gt;"YES","",(IF(V546="YES",1,0)+IF(W546="YES",1,0))/2)</x:f>
      </x:c>
    </x:row>
    <x:row r="547">
      <x:c r="A547" s="57" t="inlineStr">
        <x:is>
          <x:t xml:space="preserve">C0542</x:t>
        </x:is>
      </x:c>
      <x:c r="B547" s="57" t="inlineStr">
        <x:is>
          <x:t xml:space="preserve">Development</x:t>
        </x:is>
      </x:c>
      <x:c r="C547" s="57" t="inlineStr">
        <x:is>
          <x:t xml:space="preserve">OPEN</x:t>
        </x:is>
      </x:c>
      <x:c r="D547" s="57" t="inlineStr">
        <x:is>
          <x:t xml:space="preserve">ARG-055</x:t>
        </x:is>
      </x:c>
      <x:c r="E547" s="75" t="str">
        <x:f>INDEX('Company Universe'!$B$6:$B$105,MATCH(D547,'Company Universe'!$A$6:$A$105,0))</x:f>
        <x:v>Costco Wholesale</x:v>
      </x:c>
      <x:c r="F547" s="75" t="str">
        <x:f>INDEX('Company Universe'!$C$6:$C$105,MATCH(D547,'Company Universe'!$A$6:$A$105,0))</x:f>
        <x:v>COST</x:v>
      </x:c>
      <x:c r="G547" s="75" t="str">
        <x:f>INDEX('Company Universe'!$F$6:$F$105,MATCH(D547,'Company Universe'!$A$6:$A$105,0))</x:f>
        <x:v>Consumer</x:v>
      </x:c>
      <x:c r="H547" s="57" t="n">
        <x:v>2</x:v>
      </x:c>
      <x:c r="I547" s="206" t="n"/>
      <x:c r="J547" s="71" t="n"/>
      <x:c r="K547" s="71" t="n"/>
      <x:c r="L547" s="71" t="inlineStr">
        <x:is>
          <x:t xml:space="preserve">NO</x:t>
        </x:is>
      </x:c>
      <x:c r="M547" s="71" t="n"/>
      <x:c r="N547" s="71" t="n"/>
      <x:c r="O547" s="71" t="n"/>
      <x:c r="P547" s="71" t="n"/>
      <x:c r="Q547" s="71" t="n"/>
      <x:c r="R547" s="71" t="n"/>
      <x:c r="S547" s="206" t="n"/>
      <x:c r="T547" s="71" t="n"/>
      <x:c r="U547" s="71" t="n"/>
      <x:c r="V547" s="71" t="n"/>
      <x:c r="W547" s="71" t="n"/>
      <x:c r="X547" s="71" t="n"/>
      <x:c r="Y547" s="71" t="n"/>
      <x:c r="Z547" s="71" t="n"/>
      <x:c r="AA547" s="71" t="n"/>
      <x:c r="AB547" s="71" t="inlineStr">
        <x:is>
          <x:t xml:space="preserve">NO</x:t>
        </x:is>
      </x:c>
      <x:c r="AC547" s="57" t="inlineStr">
        <x:is>
          <x:t xml:space="preserve">V10</x:t>
        </x:is>
      </x:c>
      <x:c r="AD547" s="57" t="n"/>
      <x:c r="AE547" s="79" t="str">
        <x:f>IF(AND(I547&lt;&gt;"",J547&lt;&gt;"",K547&lt;&gt;"",L547="YES",M547&lt;&gt;"",S547&lt;&gt;"",T547&lt;&gt;"",U547&lt;&gt;"",V547&lt;&gt;"",W547&lt;&gt;"",X547&lt;&gt;"",Y547&lt;&gt;""),"COMPLETE","PENDING")</x:f>
        <x:v>PENDING</x:v>
      </x:c>
      <x:c r="AF547" s="79" t="str">
        <x:f>IF(AE547="COMPLETE","YES","NO")</x:f>
        <x:v>NO</x:v>
      </x:c>
      <x:c r="AG547" s="214" t="str">
        <x:f>IF(AF547&lt;&gt;"YES","",(IF(V547="YES",1,0)+IF(W547="YES",1,0))/2)</x:f>
      </x:c>
    </x:row>
    <x:row r="548">
      <x:c r="A548" s="57" t="inlineStr">
        <x:is>
          <x:t xml:space="preserve">C0543</x:t>
        </x:is>
      </x:c>
      <x:c r="B548" s="57" t="inlineStr">
        <x:is>
          <x:t xml:space="preserve">Development</x:t>
        </x:is>
      </x:c>
      <x:c r="C548" s="57" t="inlineStr">
        <x:is>
          <x:t xml:space="preserve">OPEN</x:t>
        </x:is>
      </x:c>
      <x:c r="D548" s="57" t="inlineStr">
        <x:is>
          <x:t xml:space="preserve">ARG-055</x:t>
        </x:is>
      </x:c>
      <x:c r="E548" s="75" t="str">
        <x:f>INDEX('Company Universe'!$B$6:$B$105,MATCH(D548,'Company Universe'!$A$6:$A$105,0))</x:f>
        <x:v>Costco Wholesale</x:v>
      </x:c>
      <x:c r="F548" s="75" t="str">
        <x:f>INDEX('Company Universe'!$C$6:$C$105,MATCH(D548,'Company Universe'!$A$6:$A$105,0))</x:f>
        <x:v>COST</x:v>
      </x:c>
      <x:c r="G548" s="75" t="str">
        <x:f>INDEX('Company Universe'!$F$6:$F$105,MATCH(D548,'Company Universe'!$A$6:$A$105,0))</x:f>
        <x:v>Consumer</x:v>
      </x:c>
      <x:c r="H548" s="57" t="n">
        <x:v>3</x:v>
      </x:c>
      <x:c r="I548" s="206" t="n"/>
      <x:c r="J548" s="71" t="n"/>
      <x:c r="K548" s="71" t="n"/>
      <x:c r="L548" s="71" t="inlineStr">
        <x:is>
          <x:t xml:space="preserve">NO</x:t>
        </x:is>
      </x:c>
      <x:c r="M548" s="71" t="n"/>
      <x:c r="N548" s="71" t="n"/>
      <x:c r="O548" s="71" t="n"/>
      <x:c r="P548" s="71" t="n"/>
      <x:c r="Q548" s="71" t="n"/>
      <x:c r="R548" s="71" t="n"/>
      <x:c r="S548" s="206" t="n"/>
      <x:c r="T548" s="71" t="n"/>
      <x:c r="U548" s="71" t="n"/>
      <x:c r="V548" s="71" t="n"/>
      <x:c r="W548" s="71" t="n"/>
      <x:c r="X548" s="71" t="n"/>
      <x:c r="Y548" s="71" t="n"/>
      <x:c r="Z548" s="71" t="n"/>
      <x:c r="AA548" s="71" t="n"/>
      <x:c r="AB548" s="71" t="inlineStr">
        <x:is>
          <x:t xml:space="preserve">NO</x:t>
        </x:is>
      </x:c>
      <x:c r="AC548" s="57" t="inlineStr">
        <x:is>
          <x:t xml:space="preserve">V10</x:t>
        </x:is>
      </x:c>
      <x:c r="AD548" s="57" t="n"/>
      <x:c r="AE548" s="79" t="str">
        <x:f>IF(AND(I548&lt;&gt;"",J548&lt;&gt;"",K548&lt;&gt;"",L548="YES",M548&lt;&gt;"",S548&lt;&gt;"",T548&lt;&gt;"",U548&lt;&gt;"",V548&lt;&gt;"",W548&lt;&gt;"",X548&lt;&gt;"",Y548&lt;&gt;""),"COMPLETE","PENDING")</x:f>
        <x:v>PENDING</x:v>
      </x:c>
      <x:c r="AF548" s="79" t="str">
        <x:f>IF(AE548="COMPLETE","YES","NO")</x:f>
        <x:v>NO</x:v>
      </x:c>
      <x:c r="AG548" s="214" t="str">
        <x:f>IF(AF548&lt;&gt;"YES","",(IF(V548="YES",1,0)+IF(W548="YES",1,0))/2)</x:f>
      </x:c>
    </x:row>
    <x:row r="549">
      <x:c r="A549" s="57" t="inlineStr">
        <x:is>
          <x:t xml:space="preserve">C0544</x:t>
        </x:is>
      </x:c>
      <x:c r="B549" s="57" t="inlineStr">
        <x:is>
          <x:t xml:space="preserve">Development</x:t>
        </x:is>
      </x:c>
      <x:c r="C549" s="57" t="inlineStr">
        <x:is>
          <x:t xml:space="preserve">OPEN</x:t>
        </x:is>
      </x:c>
      <x:c r="D549" s="57" t="inlineStr">
        <x:is>
          <x:t xml:space="preserve">ARG-055</x:t>
        </x:is>
      </x:c>
      <x:c r="E549" s="75" t="str">
        <x:f>INDEX('Company Universe'!$B$6:$B$105,MATCH(D549,'Company Universe'!$A$6:$A$105,0))</x:f>
        <x:v>Costco Wholesale</x:v>
      </x:c>
      <x:c r="F549" s="75" t="str">
        <x:f>INDEX('Company Universe'!$C$6:$C$105,MATCH(D549,'Company Universe'!$A$6:$A$105,0))</x:f>
        <x:v>COST</x:v>
      </x:c>
      <x:c r="G549" s="75" t="str">
        <x:f>INDEX('Company Universe'!$F$6:$F$105,MATCH(D549,'Company Universe'!$A$6:$A$105,0))</x:f>
        <x:v>Consumer</x:v>
      </x:c>
      <x:c r="H549" s="57" t="n">
        <x:v>4</x:v>
      </x:c>
      <x:c r="I549" s="206" t="n"/>
      <x:c r="J549" s="71" t="n"/>
      <x:c r="K549" s="71" t="n"/>
      <x:c r="L549" s="71" t="inlineStr">
        <x:is>
          <x:t xml:space="preserve">NO</x:t>
        </x:is>
      </x:c>
      <x:c r="M549" s="71" t="n"/>
      <x:c r="N549" s="71" t="n"/>
      <x:c r="O549" s="71" t="n"/>
      <x:c r="P549" s="71" t="n"/>
      <x:c r="Q549" s="71" t="n"/>
      <x:c r="R549" s="71" t="n"/>
      <x:c r="S549" s="206" t="n"/>
      <x:c r="T549" s="71" t="n"/>
      <x:c r="U549" s="71" t="n"/>
      <x:c r="V549" s="71" t="n"/>
      <x:c r="W549" s="71" t="n"/>
      <x:c r="X549" s="71" t="n"/>
      <x:c r="Y549" s="71" t="n"/>
      <x:c r="Z549" s="71" t="n"/>
      <x:c r="AA549" s="71" t="n"/>
      <x:c r="AB549" s="71" t="inlineStr">
        <x:is>
          <x:t xml:space="preserve">NO</x:t>
        </x:is>
      </x:c>
      <x:c r="AC549" s="57" t="inlineStr">
        <x:is>
          <x:t xml:space="preserve">V10</x:t>
        </x:is>
      </x:c>
      <x:c r="AD549" s="57" t="n"/>
      <x:c r="AE549" s="79" t="str">
        <x:f>IF(AND(I549&lt;&gt;"",J549&lt;&gt;"",K549&lt;&gt;"",L549="YES",M549&lt;&gt;"",S549&lt;&gt;"",T549&lt;&gt;"",U549&lt;&gt;"",V549&lt;&gt;"",W549&lt;&gt;"",X549&lt;&gt;"",Y549&lt;&gt;""),"COMPLETE","PENDING")</x:f>
        <x:v>PENDING</x:v>
      </x:c>
      <x:c r="AF549" s="79" t="str">
        <x:f>IF(AE549="COMPLETE","YES","NO")</x:f>
        <x:v>NO</x:v>
      </x:c>
      <x:c r="AG549" s="214" t="str">
        <x:f>IF(AF549&lt;&gt;"YES","",(IF(V549="YES",1,0)+IF(W549="YES",1,0))/2)</x:f>
      </x:c>
    </x:row>
    <x:row r="550">
      <x:c r="A550" s="57" t="inlineStr">
        <x:is>
          <x:t xml:space="preserve">C0545</x:t>
        </x:is>
      </x:c>
      <x:c r="B550" s="57" t="inlineStr">
        <x:is>
          <x:t xml:space="preserve">Development</x:t>
        </x:is>
      </x:c>
      <x:c r="C550" s="57" t="inlineStr">
        <x:is>
          <x:t xml:space="preserve">OPEN</x:t>
        </x:is>
      </x:c>
      <x:c r="D550" s="57" t="inlineStr">
        <x:is>
          <x:t xml:space="preserve">ARG-055</x:t>
        </x:is>
      </x:c>
      <x:c r="E550" s="75" t="str">
        <x:f>INDEX('Company Universe'!$B$6:$B$105,MATCH(D550,'Company Universe'!$A$6:$A$105,0))</x:f>
        <x:v>Costco Wholesale</x:v>
      </x:c>
      <x:c r="F550" s="75" t="str">
        <x:f>INDEX('Company Universe'!$C$6:$C$105,MATCH(D550,'Company Universe'!$A$6:$A$105,0))</x:f>
        <x:v>COST</x:v>
      </x:c>
      <x:c r="G550" s="75" t="str">
        <x:f>INDEX('Company Universe'!$F$6:$F$105,MATCH(D550,'Company Universe'!$A$6:$A$105,0))</x:f>
        <x:v>Consumer</x:v>
      </x:c>
      <x:c r="H550" s="57" t="n">
        <x:v>5</x:v>
      </x:c>
      <x:c r="I550" s="206" t="n"/>
      <x:c r="J550" s="71" t="n"/>
      <x:c r="K550" s="71" t="n"/>
      <x:c r="L550" s="71" t="inlineStr">
        <x:is>
          <x:t xml:space="preserve">NO</x:t>
        </x:is>
      </x:c>
      <x:c r="M550" s="71" t="n"/>
      <x:c r="N550" s="71" t="n"/>
      <x:c r="O550" s="71" t="n"/>
      <x:c r="P550" s="71" t="n"/>
      <x:c r="Q550" s="71" t="n"/>
      <x:c r="R550" s="71" t="n"/>
      <x:c r="S550" s="206" t="n"/>
      <x:c r="T550" s="71" t="n"/>
      <x:c r="U550" s="71" t="n"/>
      <x:c r="V550" s="71" t="n"/>
      <x:c r="W550" s="71" t="n"/>
      <x:c r="X550" s="71" t="n"/>
      <x:c r="Y550" s="71" t="n"/>
      <x:c r="Z550" s="71" t="n"/>
      <x:c r="AA550" s="71" t="n"/>
      <x:c r="AB550" s="71" t="inlineStr">
        <x:is>
          <x:t xml:space="preserve">NO</x:t>
        </x:is>
      </x:c>
      <x:c r="AC550" s="57" t="inlineStr">
        <x:is>
          <x:t xml:space="preserve">V10</x:t>
        </x:is>
      </x:c>
      <x:c r="AD550" s="57" t="n"/>
      <x:c r="AE550" s="79" t="str">
        <x:f>IF(AND(I550&lt;&gt;"",J550&lt;&gt;"",K550&lt;&gt;"",L550="YES",M550&lt;&gt;"",S550&lt;&gt;"",T550&lt;&gt;"",U550&lt;&gt;"",V550&lt;&gt;"",W550&lt;&gt;"",X550&lt;&gt;"",Y550&lt;&gt;""),"COMPLETE","PENDING")</x:f>
        <x:v>PENDING</x:v>
      </x:c>
      <x:c r="AF550" s="79" t="str">
        <x:f>IF(AE550="COMPLETE","YES","NO")</x:f>
        <x:v>NO</x:v>
      </x:c>
      <x:c r="AG550" s="214" t="str">
        <x:f>IF(AF550&lt;&gt;"YES","",(IF(V550="YES",1,0)+IF(W550="YES",1,0))/2)</x:f>
      </x:c>
    </x:row>
    <x:row r="551">
      <x:c r="A551" s="57" t="inlineStr">
        <x:is>
          <x:t xml:space="preserve">C0546</x:t>
        </x:is>
      </x:c>
      <x:c r="B551" s="57" t="inlineStr">
        <x:is>
          <x:t xml:space="preserve">Development</x:t>
        </x:is>
      </x:c>
      <x:c r="C551" s="57" t="inlineStr">
        <x:is>
          <x:t xml:space="preserve">OPEN</x:t>
        </x:is>
      </x:c>
      <x:c r="D551" s="57" t="inlineStr">
        <x:is>
          <x:t xml:space="preserve">ARG-055</x:t>
        </x:is>
      </x:c>
      <x:c r="E551" s="75" t="str">
        <x:f>INDEX('Company Universe'!$B$6:$B$105,MATCH(D551,'Company Universe'!$A$6:$A$105,0))</x:f>
        <x:v>Costco Wholesale</x:v>
      </x:c>
      <x:c r="F551" s="75" t="str">
        <x:f>INDEX('Company Universe'!$C$6:$C$105,MATCH(D551,'Company Universe'!$A$6:$A$105,0))</x:f>
        <x:v>COST</x:v>
      </x:c>
      <x:c r="G551" s="75" t="str">
        <x:f>INDEX('Company Universe'!$F$6:$F$105,MATCH(D551,'Company Universe'!$A$6:$A$105,0))</x:f>
        <x:v>Consumer</x:v>
      </x:c>
      <x:c r="H551" s="57" t="n">
        <x:v>6</x:v>
      </x:c>
      <x:c r="I551" s="206" t="n"/>
      <x:c r="J551" s="71" t="n"/>
      <x:c r="K551" s="71" t="n"/>
      <x:c r="L551" s="71" t="inlineStr">
        <x:is>
          <x:t xml:space="preserve">NO</x:t>
        </x:is>
      </x:c>
      <x:c r="M551" s="71" t="n"/>
      <x:c r="N551" s="71" t="n"/>
      <x:c r="O551" s="71" t="n"/>
      <x:c r="P551" s="71" t="n"/>
      <x:c r="Q551" s="71" t="n"/>
      <x:c r="R551" s="71" t="n"/>
      <x:c r="S551" s="206" t="n"/>
      <x:c r="T551" s="71" t="n"/>
      <x:c r="U551" s="71" t="n"/>
      <x:c r="V551" s="71" t="n"/>
      <x:c r="W551" s="71" t="n"/>
      <x:c r="X551" s="71" t="n"/>
      <x:c r="Y551" s="71" t="n"/>
      <x:c r="Z551" s="71" t="n"/>
      <x:c r="AA551" s="71" t="n"/>
      <x:c r="AB551" s="71" t="inlineStr">
        <x:is>
          <x:t xml:space="preserve">NO</x:t>
        </x:is>
      </x:c>
      <x:c r="AC551" s="57" t="inlineStr">
        <x:is>
          <x:t xml:space="preserve">V10</x:t>
        </x:is>
      </x:c>
      <x:c r="AD551" s="57" t="n"/>
      <x:c r="AE551" s="79" t="str">
        <x:f>IF(AND(I551&lt;&gt;"",J551&lt;&gt;"",K551&lt;&gt;"",L551="YES",M551&lt;&gt;"",S551&lt;&gt;"",T551&lt;&gt;"",U551&lt;&gt;"",V551&lt;&gt;"",W551&lt;&gt;"",X551&lt;&gt;"",Y551&lt;&gt;""),"COMPLETE","PENDING")</x:f>
        <x:v>PENDING</x:v>
      </x:c>
      <x:c r="AF551" s="79" t="str">
        <x:f>IF(AE551="COMPLETE","YES","NO")</x:f>
        <x:v>NO</x:v>
      </x:c>
      <x:c r="AG551" s="214" t="str">
        <x:f>IF(AF551&lt;&gt;"YES","",(IF(V551="YES",1,0)+IF(W551="YES",1,0))/2)</x:f>
      </x:c>
    </x:row>
    <x:row r="552">
      <x:c r="A552" s="57" t="inlineStr">
        <x:is>
          <x:t xml:space="preserve">C0547</x:t>
        </x:is>
      </x:c>
      <x:c r="B552" s="57" t="inlineStr">
        <x:is>
          <x:t xml:space="preserve">Development</x:t>
        </x:is>
      </x:c>
      <x:c r="C552" s="57" t="inlineStr">
        <x:is>
          <x:t xml:space="preserve">OPEN</x:t>
        </x:is>
      </x:c>
      <x:c r="D552" s="57" t="inlineStr">
        <x:is>
          <x:t xml:space="preserve">ARG-055</x:t>
        </x:is>
      </x:c>
      <x:c r="E552" s="75" t="str">
        <x:f>INDEX('Company Universe'!$B$6:$B$105,MATCH(D552,'Company Universe'!$A$6:$A$105,0))</x:f>
        <x:v>Costco Wholesale</x:v>
      </x:c>
      <x:c r="F552" s="75" t="str">
        <x:f>INDEX('Company Universe'!$C$6:$C$105,MATCH(D552,'Company Universe'!$A$6:$A$105,0))</x:f>
        <x:v>COST</x:v>
      </x:c>
      <x:c r="G552" s="75" t="str">
        <x:f>INDEX('Company Universe'!$F$6:$F$105,MATCH(D552,'Company Universe'!$A$6:$A$105,0))</x:f>
        <x:v>Consumer</x:v>
      </x:c>
      <x:c r="H552" s="57" t="n">
        <x:v>7</x:v>
      </x:c>
      <x:c r="I552" s="206" t="n"/>
      <x:c r="J552" s="71" t="n"/>
      <x:c r="K552" s="71" t="n"/>
      <x:c r="L552" s="71" t="inlineStr">
        <x:is>
          <x:t xml:space="preserve">NO</x:t>
        </x:is>
      </x:c>
      <x:c r="M552" s="71" t="n"/>
      <x:c r="N552" s="71" t="n"/>
      <x:c r="O552" s="71" t="n"/>
      <x:c r="P552" s="71" t="n"/>
      <x:c r="Q552" s="71" t="n"/>
      <x:c r="R552" s="71" t="n"/>
      <x:c r="S552" s="206" t="n"/>
      <x:c r="T552" s="71" t="n"/>
      <x:c r="U552" s="71" t="n"/>
      <x:c r="V552" s="71" t="n"/>
      <x:c r="W552" s="71" t="n"/>
      <x:c r="X552" s="71" t="n"/>
      <x:c r="Y552" s="71" t="n"/>
      <x:c r="Z552" s="71" t="n"/>
      <x:c r="AA552" s="71" t="n"/>
      <x:c r="AB552" s="71" t="inlineStr">
        <x:is>
          <x:t xml:space="preserve">NO</x:t>
        </x:is>
      </x:c>
      <x:c r="AC552" s="57" t="inlineStr">
        <x:is>
          <x:t xml:space="preserve">V10</x:t>
        </x:is>
      </x:c>
      <x:c r="AD552" s="57" t="n"/>
      <x:c r="AE552" s="79" t="str">
        <x:f>IF(AND(I552&lt;&gt;"",J552&lt;&gt;"",K552&lt;&gt;"",L552="YES",M552&lt;&gt;"",S552&lt;&gt;"",T552&lt;&gt;"",U552&lt;&gt;"",V552&lt;&gt;"",W552&lt;&gt;"",X552&lt;&gt;"",Y552&lt;&gt;""),"COMPLETE","PENDING")</x:f>
        <x:v>PENDING</x:v>
      </x:c>
      <x:c r="AF552" s="79" t="str">
        <x:f>IF(AE552="COMPLETE","YES","NO")</x:f>
        <x:v>NO</x:v>
      </x:c>
      <x:c r="AG552" s="214" t="str">
        <x:f>IF(AF552&lt;&gt;"YES","",(IF(V552="YES",1,0)+IF(W552="YES",1,0))/2)</x:f>
      </x:c>
    </x:row>
    <x:row r="553">
      <x:c r="A553" s="57" t="inlineStr">
        <x:is>
          <x:t xml:space="preserve">C0548</x:t>
        </x:is>
      </x:c>
      <x:c r="B553" s="57" t="inlineStr">
        <x:is>
          <x:t xml:space="preserve">Development</x:t>
        </x:is>
      </x:c>
      <x:c r="C553" s="57" t="inlineStr">
        <x:is>
          <x:t xml:space="preserve">OPEN</x:t>
        </x:is>
      </x:c>
      <x:c r="D553" s="57" t="inlineStr">
        <x:is>
          <x:t xml:space="preserve">ARG-055</x:t>
        </x:is>
      </x:c>
      <x:c r="E553" s="75" t="str">
        <x:f>INDEX('Company Universe'!$B$6:$B$105,MATCH(D553,'Company Universe'!$A$6:$A$105,0))</x:f>
        <x:v>Costco Wholesale</x:v>
      </x:c>
      <x:c r="F553" s="75" t="str">
        <x:f>INDEX('Company Universe'!$C$6:$C$105,MATCH(D553,'Company Universe'!$A$6:$A$105,0))</x:f>
        <x:v>COST</x:v>
      </x:c>
      <x:c r="G553" s="75" t="str">
        <x:f>INDEX('Company Universe'!$F$6:$F$105,MATCH(D553,'Company Universe'!$A$6:$A$105,0))</x:f>
        <x:v>Consumer</x:v>
      </x:c>
      <x:c r="H553" s="57" t="n">
        <x:v>8</x:v>
      </x:c>
      <x:c r="I553" s="206" t="n"/>
      <x:c r="J553" s="71" t="n"/>
      <x:c r="K553" s="71" t="n"/>
      <x:c r="L553" s="71" t="inlineStr">
        <x:is>
          <x:t xml:space="preserve">NO</x:t>
        </x:is>
      </x:c>
      <x:c r="M553" s="71" t="n"/>
      <x:c r="N553" s="71" t="n"/>
      <x:c r="O553" s="71" t="n"/>
      <x:c r="P553" s="71" t="n"/>
      <x:c r="Q553" s="71" t="n"/>
      <x:c r="R553" s="71" t="n"/>
      <x:c r="S553" s="206" t="n"/>
      <x:c r="T553" s="71" t="n"/>
      <x:c r="U553" s="71" t="n"/>
      <x:c r="V553" s="71" t="n"/>
      <x:c r="W553" s="71" t="n"/>
      <x:c r="X553" s="71" t="n"/>
      <x:c r="Y553" s="71" t="n"/>
      <x:c r="Z553" s="71" t="n"/>
      <x:c r="AA553" s="71" t="n"/>
      <x:c r="AB553" s="71" t="inlineStr">
        <x:is>
          <x:t xml:space="preserve">NO</x:t>
        </x:is>
      </x:c>
      <x:c r="AC553" s="57" t="inlineStr">
        <x:is>
          <x:t xml:space="preserve">V10</x:t>
        </x:is>
      </x:c>
      <x:c r="AD553" s="57" t="n"/>
      <x:c r="AE553" s="79" t="str">
        <x:f>IF(AND(I553&lt;&gt;"",J553&lt;&gt;"",K553&lt;&gt;"",L553="YES",M553&lt;&gt;"",S553&lt;&gt;"",T553&lt;&gt;"",U553&lt;&gt;"",V553&lt;&gt;"",W553&lt;&gt;"",X553&lt;&gt;"",Y553&lt;&gt;""),"COMPLETE","PENDING")</x:f>
        <x:v>PENDING</x:v>
      </x:c>
      <x:c r="AF553" s="79" t="str">
        <x:f>IF(AE553="COMPLETE","YES","NO")</x:f>
        <x:v>NO</x:v>
      </x:c>
      <x:c r="AG553" s="214" t="str">
        <x:f>IF(AF553&lt;&gt;"YES","",(IF(V553="YES",1,0)+IF(W553="YES",1,0))/2)</x:f>
      </x:c>
    </x:row>
    <x:row r="554">
      <x:c r="A554" s="57" t="inlineStr">
        <x:is>
          <x:t xml:space="preserve">C0549</x:t>
        </x:is>
      </x:c>
      <x:c r="B554" s="57" t="inlineStr">
        <x:is>
          <x:t xml:space="preserve">Development</x:t>
        </x:is>
      </x:c>
      <x:c r="C554" s="57" t="inlineStr">
        <x:is>
          <x:t xml:space="preserve">OPEN</x:t>
        </x:is>
      </x:c>
      <x:c r="D554" s="57" t="inlineStr">
        <x:is>
          <x:t xml:space="preserve">ARG-055</x:t>
        </x:is>
      </x:c>
      <x:c r="E554" s="75" t="str">
        <x:f>INDEX('Company Universe'!$B$6:$B$105,MATCH(D554,'Company Universe'!$A$6:$A$105,0))</x:f>
        <x:v>Costco Wholesale</x:v>
      </x:c>
      <x:c r="F554" s="75" t="str">
        <x:f>INDEX('Company Universe'!$C$6:$C$105,MATCH(D554,'Company Universe'!$A$6:$A$105,0))</x:f>
        <x:v>COST</x:v>
      </x:c>
      <x:c r="G554" s="75" t="str">
        <x:f>INDEX('Company Universe'!$F$6:$F$105,MATCH(D554,'Company Universe'!$A$6:$A$105,0))</x:f>
        <x:v>Consumer</x:v>
      </x:c>
      <x:c r="H554" s="57" t="n">
        <x:v>9</x:v>
      </x:c>
      <x:c r="I554" s="206" t="n"/>
      <x:c r="J554" s="71" t="n"/>
      <x:c r="K554" s="71" t="n"/>
      <x:c r="L554" s="71" t="inlineStr">
        <x:is>
          <x:t xml:space="preserve">NO</x:t>
        </x:is>
      </x:c>
      <x:c r="M554" s="71" t="n"/>
      <x:c r="N554" s="71" t="n"/>
      <x:c r="O554" s="71" t="n"/>
      <x:c r="P554" s="71" t="n"/>
      <x:c r="Q554" s="71" t="n"/>
      <x:c r="R554" s="71" t="n"/>
      <x:c r="S554" s="206" t="n"/>
      <x:c r="T554" s="71" t="n"/>
      <x:c r="U554" s="71" t="n"/>
      <x:c r="V554" s="71" t="n"/>
      <x:c r="W554" s="71" t="n"/>
      <x:c r="X554" s="71" t="n"/>
      <x:c r="Y554" s="71" t="n"/>
      <x:c r="Z554" s="71" t="n"/>
      <x:c r="AA554" s="71" t="n"/>
      <x:c r="AB554" s="71" t="inlineStr">
        <x:is>
          <x:t xml:space="preserve">NO</x:t>
        </x:is>
      </x:c>
      <x:c r="AC554" s="57" t="inlineStr">
        <x:is>
          <x:t xml:space="preserve">V10</x:t>
        </x:is>
      </x:c>
      <x:c r="AD554" s="57" t="n"/>
      <x:c r="AE554" s="79" t="str">
        <x:f>IF(AND(I554&lt;&gt;"",J554&lt;&gt;"",K554&lt;&gt;"",L554="YES",M554&lt;&gt;"",S554&lt;&gt;"",T554&lt;&gt;"",U554&lt;&gt;"",V554&lt;&gt;"",W554&lt;&gt;"",X554&lt;&gt;"",Y554&lt;&gt;""),"COMPLETE","PENDING")</x:f>
        <x:v>PENDING</x:v>
      </x:c>
      <x:c r="AF554" s="79" t="str">
        <x:f>IF(AE554="COMPLETE","YES","NO")</x:f>
        <x:v>NO</x:v>
      </x:c>
      <x:c r="AG554" s="214" t="str">
        <x:f>IF(AF554&lt;&gt;"YES","",(IF(V554="YES",1,0)+IF(W554="YES",1,0))/2)</x:f>
      </x:c>
    </x:row>
    <x:row r="555">
      <x:c r="A555" s="57" t="inlineStr">
        <x:is>
          <x:t xml:space="preserve">C0550</x:t>
        </x:is>
      </x:c>
      <x:c r="B555" s="57" t="inlineStr">
        <x:is>
          <x:t xml:space="preserve">Development</x:t>
        </x:is>
      </x:c>
      <x:c r="C555" s="57" t="inlineStr">
        <x:is>
          <x:t xml:space="preserve">OPEN</x:t>
        </x:is>
      </x:c>
      <x:c r="D555" s="57" t="inlineStr">
        <x:is>
          <x:t xml:space="preserve">ARG-055</x:t>
        </x:is>
      </x:c>
      <x:c r="E555" s="75" t="str">
        <x:f>INDEX('Company Universe'!$B$6:$B$105,MATCH(D555,'Company Universe'!$A$6:$A$105,0))</x:f>
        <x:v>Costco Wholesale</x:v>
      </x:c>
      <x:c r="F555" s="75" t="str">
        <x:f>INDEX('Company Universe'!$C$6:$C$105,MATCH(D555,'Company Universe'!$A$6:$A$105,0))</x:f>
        <x:v>COST</x:v>
      </x:c>
      <x:c r="G555" s="75" t="str">
        <x:f>INDEX('Company Universe'!$F$6:$F$105,MATCH(D555,'Company Universe'!$A$6:$A$105,0))</x:f>
        <x:v>Consumer</x:v>
      </x:c>
      <x:c r="H555" s="57" t="n">
        <x:v>10</x:v>
      </x:c>
      <x:c r="I555" s="206" t="n"/>
      <x:c r="J555" s="71" t="n"/>
      <x:c r="K555" s="71" t="n"/>
      <x:c r="L555" s="71" t="inlineStr">
        <x:is>
          <x:t xml:space="preserve">NO</x:t>
        </x:is>
      </x:c>
      <x:c r="M555" s="71" t="n"/>
      <x:c r="N555" s="71" t="n"/>
      <x:c r="O555" s="71" t="n"/>
      <x:c r="P555" s="71" t="n"/>
      <x:c r="Q555" s="71" t="n"/>
      <x:c r="R555" s="71" t="n"/>
      <x:c r="S555" s="206" t="n"/>
      <x:c r="T555" s="71" t="n"/>
      <x:c r="U555" s="71" t="n"/>
      <x:c r="V555" s="71" t="n"/>
      <x:c r="W555" s="71" t="n"/>
      <x:c r="X555" s="71" t="n"/>
      <x:c r="Y555" s="71" t="n"/>
      <x:c r="Z555" s="71" t="n"/>
      <x:c r="AA555" s="71" t="n"/>
      <x:c r="AB555" s="71" t="inlineStr">
        <x:is>
          <x:t xml:space="preserve">NO</x:t>
        </x:is>
      </x:c>
      <x:c r="AC555" s="57" t="inlineStr">
        <x:is>
          <x:t xml:space="preserve">V10</x:t>
        </x:is>
      </x:c>
      <x:c r="AD555" s="57" t="n"/>
      <x:c r="AE555" s="79" t="str">
        <x:f>IF(AND(I555&lt;&gt;"",J555&lt;&gt;"",K555&lt;&gt;"",L555="YES",M555&lt;&gt;"",S555&lt;&gt;"",T555&lt;&gt;"",U555&lt;&gt;"",V555&lt;&gt;"",W555&lt;&gt;"",X555&lt;&gt;"",Y555&lt;&gt;""),"COMPLETE","PENDING")</x:f>
        <x:v>PENDING</x:v>
      </x:c>
      <x:c r="AF555" s="79" t="str">
        <x:f>IF(AE555="COMPLETE","YES","NO")</x:f>
        <x:v>NO</x:v>
      </x:c>
      <x:c r="AG555" s="214" t="str">
        <x:f>IF(AF555&lt;&gt;"YES","",(IF(V555="YES",1,0)+IF(W555="YES",1,0))/2)</x:f>
      </x:c>
    </x:row>
    <x:row r="556">
      <x:c r="A556" s="57" t="inlineStr">
        <x:is>
          <x:t xml:space="preserve">C0551</x:t>
        </x:is>
      </x:c>
      <x:c r="B556" s="57" t="inlineStr">
        <x:is>
          <x:t xml:space="preserve">Development</x:t>
        </x:is>
      </x:c>
      <x:c r="C556" s="57" t="inlineStr">
        <x:is>
          <x:t xml:space="preserve">OPEN</x:t>
        </x:is>
      </x:c>
      <x:c r="D556" s="57" t="inlineStr">
        <x:is>
          <x:t xml:space="preserve">ARG-056</x:t>
        </x:is>
      </x:c>
      <x:c r="E556" s="75" t="str">
        <x:f>INDEX('Company Universe'!$B$6:$B$105,MATCH(D556,'Company Universe'!$A$6:$A$105,0))</x:f>
        <x:v>Caterpillar</x:v>
      </x:c>
      <x:c r="F556" s="75" t="str">
        <x:f>INDEX('Company Universe'!$C$6:$C$105,MATCH(D556,'Company Universe'!$A$6:$A$105,0))</x:f>
        <x:v>CAT</x:v>
      </x:c>
      <x:c r="G556" s="75" t="str">
        <x:f>INDEX('Company Universe'!$F$6:$F$105,MATCH(D556,'Company Universe'!$A$6:$A$105,0))</x:f>
        <x:v>Industrials &amp; Defense</x:v>
      </x:c>
      <x:c r="H556" s="57" t="n">
        <x:v>1</x:v>
      </x:c>
      <x:c r="I556" s="206" t="n"/>
      <x:c r="J556" s="71" t="n"/>
      <x:c r="K556" s="71" t="n"/>
      <x:c r="L556" s="71" t="inlineStr">
        <x:is>
          <x:t xml:space="preserve">NO</x:t>
        </x:is>
      </x:c>
      <x:c r="M556" s="71" t="n"/>
      <x:c r="N556" s="71" t="n"/>
      <x:c r="O556" s="71" t="n"/>
      <x:c r="P556" s="71" t="n"/>
      <x:c r="Q556" s="71" t="n"/>
      <x:c r="R556" s="71" t="n"/>
      <x:c r="S556" s="206" t="n"/>
      <x:c r="T556" s="71" t="n"/>
      <x:c r="U556" s="71" t="n"/>
      <x:c r="V556" s="71" t="n"/>
      <x:c r="W556" s="71" t="n"/>
      <x:c r="X556" s="71" t="n"/>
      <x:c r="Y556" s="71" t="n"/>
      <x:c r="Z556" s="71" t="n"/>
      <x:c r="AA556" s="71" t="n"/>
      <x:c r="AB556" s="71" t="inlineStr">
        <x:is>
          <x:t xml:space="preserve">NO</x:t>
        </x:is>
      </x:c>
      <x:c r="AC556" s="57" t="inlineStr">
        <x:is>
          <x:t xml:space="preserve">V10</x:t>
        </x:is>
      </x:c>
      <x:c r="AD556" s="57" t="n"/>
      <x:c r="AE556" s="79" t="str">
        <x:f>IF(AND(I556&lt;&gt;"",J556&lt;&gt;"",K556&lt;&gt;"",L556="YES",M556&lt;&gt;"",S556&lt;&gt;"",T556&lt;&gt;"",U556&lt;&gt;"",V556&lt;&gt;"",W556&lt;&gt;"",X556&lt;&gt;"",Y556&lt;&gt;""),"COMPLETE","PENDING")</x:f>
        <x:v>PENDING</x:v>
      </x:c>
      <x:c r="AF556" s="79" t="str">
        <x:f>IF(AE556="COMPLETE","YES","NO")</x:f>
        <x:v>NO</x:v>
      </x:c>
      <x:c r="AG556" s="214" t="str">
        <x:f>IF(AF556&lt;&gt;"YES","",(IF(V556="YES",1,0)+IF(W556="YES",1,0))/2)</x:f>
      </x:c>
    </x:row>
    <x:row r="557">
      <x:c r="A557" s="57" t="inlineStr">
        <x:is>
          <x:t xml:space="preserve">C0552</x:t>
        </x:is>
      </x:c>
      <x:c r="B557" s="57" t="inlineStr">
        <x:is>
          <x:t xml:space="preserve">Development</x:t>
        </x:is>
      </x:c>
      <x:c r="C557" s="57" t="inlineStr">
        <x:is>
          <x:t xml:space="preserve">OPEN</x:t>
        </x:is>
      </x:c>
      <x:c r="D557" s="57" t="inlineStr">
        <x:is>
          <x:t xml:space="preserve">ARG-056</x:t>
        </x:is>
      </x:c>
      <x:c r="E557" s="75" t="str">
        <x:f>INDEX('Company Universe'!$B$6:$B$105,MATCH(D557,'Company Universe'!$A$6:$A$105,0))</x:f>
        <x:v>Caterpillar</x:v>
      </x:c>
      <x:c r="F557" s="75" t="str">
        <x:f>INDEX('Company Universe'!$C$6:$C$105,MATCH(D557,'Company Universe'!$A$6:$A$105,0))</x:f>
        <x:v>CAT</x:v>
      </x:c>
      <x:c r="G557" s="75" t="str">
        <x:f>INDEX('Company Universe'!$F$6:$F$105,MATCH(D557,'Company Universe'!$A$6:$A$105,0))</x:f>
        <x:v>Industrials &amp; Defense</x:v>
      </x:c>
      <x:c r="H557" s="57" t="n">
        <x:v>2</x:v>
      </x:c>
      <x:c r="I557" s="206" t="n"/>
      <x:c r="J557" s="71" t="n"/>
      <x:c r="K557" s="71" t="n"/>
      <x:c r="L557" s="71" t="inlineStr">
        <x:is>
          <x:t xml:space="preserve">NO</x:t>
        </x:is>
      </x:c>
      <x:c r="M557" s="71" t="n"/>
      <x:c r="N557" s="71" t="n"/>
      <x:c r="O557" s="71" t="n"/>
      <x:c r="P557" s="71" t="n"/>
      <x:c r="Q557" s="71" t="n"/>
      <x:c r="R557" s="71" t="n"/>
      <x:c r="S557" s="206" t="n"/>
      <x:c r="T557" s="71" t="n"/>
      <x:c r="U557" s="71" t="n"/>
      <x:c r="V557" s="71" t="n"/>
      <x:c r="W557" s="71" t="n"/>
      <x:c r="X557" s="71" t="n"/>
      <x:c r="Y557" s="71" t="n"/>
      <x:c r="Z557" s="71" t="n"/>
      <x:c r="AA557" s="71" t="n"/>
      <x:c r="AB557" s="71" t="inlineStr">
        <x:is>
          <x:t xml:space="preserve">NO</x:t>
        </x:is>
      </x:c>
      <x:c r="AC557" s="57" t="inlineStr">
        <x:is>
          <x:t xml:space="preserve">V10</x:t>
        </x:is>
      </x:c>
      <x:c r="AD557" s="57" t="n"/>
      <x:c r="AE557" s="79" t="str">
        <x:f>IF(AND(I557&lt;&gt;"",J557&lt;&gt;"",K557&lt;&gt;"",L557="YES",M557&lt;&gt;"",S557&lt;&gt;"",T557&lt;&gt;"",U557&lt;&gt;"",V557&lt;&gt;"",W557&lt;&gt;"",X557&lt;&gt;"",Y557&lt;&gt;""),"COMPLETE","PENDING")</x:f>
        <x:v>PENDING</x:v>
      </x:c>
      <x:c r="AF557" s="79" t="str">
        <x:f>IF(AE557="COMPLETE","YES","NO")</x:f>
        <x:v>NO</x:v>
      </x:c>
      <x:c r="AG557" s="214" t="str">
        <x:f>IF(AF557&lt;&gt;"YES","",(IF(V557="YES",1,0)+IF(W557="YES",1,0))/2)</x:f>
      </x:c>
    </x:row>
    <x:row r="558">
      <x:c r="A558" s="57" t="inlineStr">
        <x:is>
          <x:t xml:space="preserve">C0553</x:t>
        </x:is>
      </x:c>
      <x:c r="B558" s="57" t="inlineStr">
        <x:is>
          <x:t xml:space="preserve">Development</x:t>
        </x:is>
      </x:c>
      <x:c r="C558" s="57" t="inlineStr">
        <x:is>
          <x:t xml:space="preserve">OPEN</x:t>
        </x:is>
      </x:c>
      <x:c r="D558" s="57" t="inlineStr">
        <x:is>
          <x:t xml:space="preserve">ARG-056</x:t>
        </x:is>
      </x:c>
      <x:c r="E558" s="75" t="str">
        <x:f>INDEX('Company Universe'!$B$6:$B$105,MATCH(D558,'Company Universe'!$A$6:$A$105,0))</x:f>
        <x:v>Caterpillar</x:v>
      </x:c>
      <x:c r="F558" s="75" t="str">
        <x:f>INDEX('Company Universe'!$C$6:$C$105,MATCH(D558,'Company Universe'!$A$6:$A$105,0))</x:f>
        <x:v>CAT</x:v>
      </x:c>
      <x:c r="G558" s="75" t="str">
        <x:f>INDEX('Company Universe'!$F$6:$F$105,MATCH(D558,'Company Universe'!$A$6:$A$105,0))</x:f>
        <x:v>Industrials &amp; Defense</x:v>
      </x:c>
      <x:c r="H558" s="57" t="n">
        <x:v>3</x:v>
      </x:c>
      <x:c r="I558" s="206" t="n"/>
      <x:c r="J558" s="71" t="n"/>
      <x:c r="K558" s="71" t="n"/>
      <x:c r="L558" s="71" t="inlineStr">
        <x:is>
          <x:t xml:space="preserve">NO</x:t>
        </x:is>
      </x:c>
      <x:c r="M558" s="71" t="n"/>
      <x:c r="N558" s="71" t="n"/>
      <x:c r="O558" s="71" t="n"/>
      <x:c r="P558" s="71" t="n"/>
      <x:c r="Q558" s="71" t="n"/>
      <x:c r="R558" s="71" t="n"/>
      <x:c r="S558" s="206" t="n"/>
      <x:c r="T558" s="71" t="n"/>
      <x:c r="U558" s="71" t="n"/>
      <x:c r="V558" s="71" t="n"/>
      <x:c r="W558" s="71" t="n"/>
      <x:c r="X558" s="71" t="n"/>
      <x:c r="Y558" s="71" t="n"/>
      <x:c r="Z558" s="71" t="n"/>
      <x:c r="AA558" s="71" t="n"/>
      <x:c r="AB558" s="71" t="inlineStr">
        <x:is>
          <x:t xml:space="preserve">NO</x:t>
        </x:is>
      </x:c>
      <x:c r="AC558" s="57" t="inlineStr">
        <x:is>
          <x:t xml:space="preserve">V10</x:t>
        </x:is>
      </x:c>
      <x:c r="AD558" s="57" t="n"/>
      <x:c r="AE558" s="79" t="str">
        <x:f>IF(AND(I558&lt;&gt;"",J558&lt;&gt;"",K558&lt;&gt;"",L558="YES",M558&lt;&gt;"",S558&lt;&gt;"",T558&lt;&gt;"",U558&lt;&gt;"",V558&lt;&gt;"",W558&lt;&gt;"",X558&lt;&gt;"",Y558&lt;&gt;""),"COMPLETE","PENDING")</x:f>
        <x:v>PENDING</x:v>
      </x:c>
      <x:c r="AF558" s="79" t="str">
        <x:f>IF(AE558="COMPLETE","YES","NO")</x:f>
        <x:v>NO</x:v>
      </x:c>
      <x:c r="AG558" s="214" t="str">
        <x:f>IF(AF558&lt;&gt;"YES","",(IF(V558="YES",1,0)+IF(W558="YES",1,0))/2)</x:f>
      </x:c>
    </x:row>
    <x:row r="559">
      <x:c r="A559" s="57" t="inlineStr">
        <x:is>
          <x:t xml:space="preserve">C0554</x:t>
        </x:is>
      </x:c>
      <x:c r="B559" s="57" t="inlineStr">
        <x:is>
          <x:t xml:space="preserve">Development</x:t>
        </x:is>
      </x:c>
      <x:c r="C559" s="57" t="inlineStr">
        <x:is>
          <x:t xml:space="preserve">OPEN</x:t>
        </x:is>
      </x:c>
      <x:c r="D559" s="57" t="inlineStr">
        <x:is>
          <x:t xml:space="preserve">ARG-056</x:t>
        </x:is>
      </x:c>
      <x:c r="E559" s="75" t="str">
        <x:f>INDEX('Company Universe'!$B$6:$B$105,MATCH(D559,'Company Universe'!$A$6:$A$105,0))</x:f>
        <x:v>Caterpillar</x:v>
      </x:c>
      <x:c r="F559" s="75" t="str">
        <x:f>INDEX('Company Universe'!$C$6:$C$105,MATCH(D559,'Company Universe'!$A$6:$A$105,0))</x:f>
        <x:v>CAT</x:v>
      </x:c>
      <x:c r="G559" s="75" t="str">
        <x:f>INDEX('Company Universe'!$F$6:$F$105,MATCH(D559,'Company Universe'!$A$6:$A$105,0))</x:f>
        <x:v>Industrials &amp; Defense</x:v>
      </x:c>
      <x:c r="H559" s="57" t="n">
        <x:v>4</x:v>
      </x:c>
      <x:c r="I559" s="206" t="n"/>
      <x:c r="J559" s="71" t="n"/>
      <x:c r="K559" s="71" t="n"/>
      <x:c r="L559" s="71" t="inlineStr">
        <x:is>
          <x:t xml:space="preserve">NO</x:t>
        </x:is>
      </x:c>
      <x:c r="M559" s="71" t="n"/>
      <x:c r="N559" s="71" t="n"/>
      <x:c r="O559" s="71" t="n"/>
      <x:c r="P559" s="71" t="n"/>
      <x:c r="Q559" s="71" t="n"/>
      <x:c r="R559" s="71" t="n"/>
      <x:c r="S559" s="206" t="n"/>
      <x:c r="T559" s="71" t="n"/>
      <x:c r="U559" s="71" t="n"/>
      <x:c r="V559" s="71" t="n"/>
      <x:c r="W559" s="71" t="n"/>
      <x:c r="X559" s="71" t="n"/>
      <x:c r="Y559" s="71" t="n"/>
      <x:c r="Z559" s="71" t="n"/>
      <x:c r="AA559" s="71" t="n"/>
      <x:c r="AB559" s="71" t="inlineStr">
        <x:is>
          <x:t xml:space="preserve">NO</x:t>
        </x:is>
      </x:c>
      <x:c r="AC559" s="57" t="inlineStr">
        <x:is>
          <x:t xml:space="preserve">V10</x:t>
        </x:is>
      </x:c>
      <x:c r="AD559" s="57" t="n"/>
      <x:c r="AE559" s="79" t="str">
        <x:f>IF(AND(I559&lt;&gt;"",J559&lt;&gt;"",K559&lt;&gt;"",L559="YES",M559&lt;&gt;"",S559&lt;&gt;"",T559&lt;&gt;"",U559&lt;&gt;"",V559&lt;&gt;"",W559&lt;&gt;"",X559&lt;&gt;"",Y559&lt;&gt;""),"COMPLETE","PENDING")</x:f>
        <x:v>PENDING</x:v>
      </x:c>
      <x:c r="AF559" s="79" t="str">
        <x:f>IF(AE559="COMPLETE","YES","NO")</x:f>
        <x:v>NO</x:v>
      </x:c>
      <x:c r="AG559" s="214" t="str">
        <x:f>IF(AF559&lt;&gt;"YES","",(IF(V559="YES",1,0)+IF(W559="YES",1,0))/2)</x:f>
      </x:c>
    </x:row>
    <x:row r="560">
      <x:c r="A560" s="57" t="inlineStr">
        <x:is>
          <x:t xml:space="preserve">C0555</x:t>
        </x:is>
      </x:c>
      <x:c r="B560" s="57" t="inlineStr">
        <x:is>
          <x:t xml:space="preserve">Development</x:t>
        </x:is>
      </x:c>
      <x:c r="C560" s="57" t="inlineStr">
        <x:is>
          <x:t xml:space="preserve">OPEN</x:t>
        </x:is>
      </x:c>
      <x:c r="D560" s="57" t="inlineStr">
        <x:is>
          <x:t xml:space="preserve">ARG-056</x:t>
        </x:is>
      </x:c>
      <x:c r="E560" s="75" t="str">
        <x:f>INDEX('Company Universe'!$B$6:$B$105,MATCH(D560,'Company Universe'!$A$6:$A$105,0))</x:f>
        <x:v>Caterpillar</x:v>
      </x:c>
      <x:c r="F560" s="75" t="str">
        <x:f>INDEX('Company Universe'!$C$6:$C$105,MATCH(D560,'Company Universe'!$A$6:$A$105,0))</x:f>
        <x:v>CAT</x:v>
      </x:c>
      <x:c r="G560" s="75" t="str">
        <x:f>INDEX('Company Universe'!$F$6:$F$105,MATCH(D560,'Company Universe'!$A$6:$A$105,0))</x:f>
        <x:v>Industrials &amp; Defense</x:v>
      </x:c>
      <x:c r="H560" s="57" t="n">
        <x:v>5</x:v>
      </x:c>
      <x:c r="I560" s="206" t="n"/>
      <x:c r="J560" s="71" t="n"/>
      <x:c r="K560" s="71" t="n"/>
      <x:c r="L560" s="71" t="inlineStr">
        <x:is>
          <x:t xml:space="preserve">NO</x:t>
        </x:is>
      </x:c>
      <x:c r="M560" s="71" t="n"/>
      <x:c r="N560" s="71" t="n"/>
      <x:c r="O560" s="71" t="n"/>
      <x:c r="P560" s="71" t="n"/>
      <x:c r="Q560" s="71" t="n"/>
      <x:c r="R560" s="71" t="n"/>
      <x:c r="S560" s="206" t="n"/>
      <x:c r="T560" s="71" t="n"/>
      <x:c r="U560" s="71" t="n"/>
      <x:c r="V560" s="71" t="n"/>
      <x:c r="W560" s="71" t="n"/>
      <x:c r="X560" s="71" t="n"/>
      <x:c r="Y560" s="71" t="n"/>
      <x:c r="Z560" s="71" t="n"/>
      <x:c r="AA560" s="71" t="n"/>
      <x:c r="AB560" s="71" t="inlineStr">
        <x:is>
          <x:t xml:space="preserve">NO</x:t>
        </x:is>
      </x:c>
      <x:c r="AC560" s="57" t="inlineStr">
        <x:is>
          <x:t xml:space="preserve">V10</x:t>
        </x:is>
      </x:c>
      <x:c r="AD560" s="57" t="n"/>
      <x:c r="AE560" s="79" t="str">
        <x:f>IF(AND(I560&lt;&gt;"",J560&lt;&gt;"",K560&lt;&gt;"",L560="YES",M560&lt;&gt;"",S560&lt;&gt;"",T560&lt;&gt;"",U560&lt;&gt;"",V560&lt;&gt;"",W560&lt;&gt;"",X560&lt;&gt;"",Y560&lt;&gt;""),"COMPLETE","PENDING")</x:f>
        <x:v>PENDING</x:v>
      </x:c>
      <x:c r="AF560" s="79" t="str">
        <x:f>IF(AE560="COMPLETE","YES","NO")</x:f>
        <x:v>NO</x:v>
      </x:c>
      <x:c r="AG560" s="214" t="str">
        <x:f>IF(AF560&lt;&gt;"YES","",(IF(V560="YES",1,0)+IF(W560="YES",1,0))/2)</x:f>
      </x:c>
    </x:row>
    <x:row r="561">
      <x:c r="A561" s="57" t="inlineStr">
        <x:is>
          <x:t xml:space="preserve">C0556</x:t>
        </x:is>
      </x:c>
      <x:c r="B561" s="57" t="inlineStr">
        <x:is>
          <x:t xml:space="preserve">Development</x:t>
        </x:is>
      </x:c>
      <x:c r="C561" s="57" t="inlineStr">
        <x:is>
          <x:t xml:space="preserve">OPEN</x:t>
        </x:is>
      </x:c>
      <x:c r="D561" s="57" t="inlineStr">
        <x:is>
          <x:t xml:space="preserve">ARG-056</x:t>
        </x:is>
      </x:c>
      <x:c r="E561" s="75" t="str">
        <x:f>INDEX('Company Universe'!$B$6:$B$105,MATCH(D561,'Company Universe'!$A$6:$A$105,0))</x:f>
        <x:v>Caterpillar</x:v>
      </x:c>
      <x:c r="F561" s="75" t="str">
        <x:f>INDEX('Company Universe'!$C$6:$C$105,MATCH(D561,'Company Universe'!$A$6:$A$105,0))</x:f>
        <x:v>CAT</x:v>
      </x:c>
      <x:c r="G561" s="75" t="str">
        <x:f>INDEX('Company Universe'!$F$6:$F$105,MATCH(D561,'Company Universe'!$A$6:$A$105,0))</x:f>
        <x:v>Industrials &amp; Defense</x:v>
      </x:c>
      <x:c r="H561" s="57" t="n">
        <x:v>6</x:v>
      </x:c>
      <x:c r="I561" s="206" t="n"/>
      <x:c r="J561" s="71" t="n"/>
      <x:c r="K561" s="71" t="n"/>
      <x:c r="L561" s="71" t="inlineStr">
        <x:is>
          <x:t xml:space="preserve">NO</x:t>
        </x:is>
      </x:c>
      <x:c r="M561" s="71" t="n"/>
      <x:c r="N561" s="71" t="n"/>
      <x:c r="O561" s="71" t="n"/>
      <x:c r="P561" s="71" t="n"/>
      <x:c r="Q561" s="71" t="n"/>
      <x:c r="R561" s="71" t="n"/>
      <x:c r="S561" s="206" t="n"/>
      <x:c r="T561" s="71" t="n"/>
      <x:c r="U561" s="71" t="n"/>
      <x:c r="V561" s="71" t="n"/>
      <x:c r="W561" s="71" t="n"/>
      <x:c r="X561" s="71" t="n"/>
      <x:c r="Y561" s="71" t="n"/>
      <x:c r="Z561" s="71" t="n"/>
      <x:c r="AA561" s="71" t="n"/>
      <x:c r="AB561" s="71" t="inlineStr">
        <x:is>
          <x:t xml:space="preserve">NO</x:t>
        </x:is>
      </x:c>
      <x:c r="AC561" s="57" t="inlineStr">
        <x:is>
          <x:t xml:space="preserve">V10</x:t>
        </x:is>
      </x:c>
      <x:c r="AD561" s="57" t="n"/>
      <x:c r="AE561" s="79" t="str">
        <x:f>IF(AND(I561&lt;&gt;"",J561&lt;&gt;"",K561&lt;&gt;"",L561="YES",M561&lt;&gt;"",S561&lt;&gt;"",T561&lt;&gt;"",U561&lt;&gt;"",V561&lt;&gt;"",W561&lt;&gt;"",X561&lt;&gt;"",Y561&lt;&gt;""),"COMPLETE","PENDING")</x:f>
        <x:v>PENDING</x:v>
      </x:c>
      <x:c r="AF561" s="79" t="str">
        <x:f>IF(AE561="COMPLETE","YES","NO")</x:f>
        <x:v>NO</x:v>
      </x:c>
      <x:c r="AG561" s="214" t="str">
        <x:f>IF(AF561&lt;&gt;"YES","",(IF(V561="YES",1,0)+IF(W561="YES",1,0))/2)</x:f>
      </x:c>
    </x:row>
    <x:row r="562">
      <x:c r="A562" s="57" t="inlineStr">
        <x:is>
          <x:t xml:space="preserve">C0557</x:t>
        </x:is>
      </x:c>
      <x:c r="B562" s="57" t="inlineStr">
        <x:is>
          <x:t xml:space="preserve">Development</x:t>
        </x:is>
      </x:c>
      <x:c r="C562" s="57" t="inlineStr">
        <x:is>
          <x:t xml:space="preserve">OPEN</x:t>
        </x:is>
      </x:c>
      <x:c r="D562" s="57" t="inlineStr">
        <x:is>
          <x:t xml:space="preserve">ARG-056</x:t>
        </x:is>
      </x:c>
      <x:c r="E562" s="75" t="str">
        <x:f>INDEX('Company Universe'!$B$6:$B$105,MATCH(D562,'Company Universe'!$A$6:$A$105,0))</x:f>
        <x:v>Caterpillar</x:v>
      </x:c>
      <x:c r="F562" s="75" t="str">
        <x:f>INDEX('Company Universe'!$C$6:$C$105,MATCH(D562,'Company Universe'!$A$6:$A$105,0))</x:f>
        <x:v>CAT</x:v>
      </x:c>
      <x:c r="G562" s="75" t="str">
        <x:f>INDEX('Company Universe'!$F$6:$F$105,MATCH(D562,'Company Universe'!$A$6:$A$105,0))</x:f>
        <x:v>Industrials &amp; Defense</x:v>
      </x:c>
      <x:c r="H562" s="57" t="n">
        <x:v>7</x:v>
      </x:c>
      <x:c r="I562" s="206" t="n"/>
      <x:c r="J562" s="71" t="n"/>
      <x:c r="K562" s="71" t="n"/>
      <x:c r="L562" s="71" t="inlineStr">
        <x:is>
          <x:t xml:space="preserve">NO</x:t>
        </x:is>
      </x:c>
      <x:c r="M562" s="71" t="n"/>
      <x:c r="N562" s="71" t="n"/>
      <x:c r="O562" s="71" t="n"/>
      <x:c r="P562" s="71" t="n"/>
      <x:c r="Q562" s="71" t="n"/>
      <x:c r="R562" s="71" t="n"/>
      <x:c r="S562" s="206" t="n"/>
      <x:c r="T562" s="71" t="n"/>
      <x:c r="U562" s="71" t="n"/>
      <x:c r="V562" s="71" t="n"/>
      <x:c r="W562" s="71" t="n"/>
      <x:c r="X562" s="71" t="n"/>
      <x:c r="Y562" s="71" t="n"/>
      <x:c r="Z562" s="71" t="n"/>
      <x:c r="AA562" s="71" t="n"/>
      <x:c r="AB562" s="71" t="inlineStr">
        <x:is>
          <x:t xml:space="preserve">NO</x:t>
        </x:is>
      </x:c>
      <x:c r="AC562" s="57" t="inlineStr">
        <x:is>
          <x:t xml:space="preserve">V10</x:t>
        </x:is>
      </x:c>
      <x:c r="AD562" s="57" t="n"/>
      <x:c r="AE562" s="79" t="str">
        <x:f>IF(AND(I562&lt;&gt;"",J562&lt;&gt;"",K562&lt;&gt;"",L562="YES",M562&lt;&gt;"",S562&lt;&gt;"",T562&lt;&gt;"",U562&lt;&gt;"",V562&lt;&gt;"",W562&lt;&gt;"",X562&lt;&gt;"",Y562&lt;&gt;""),"COMPLETE","PENDING")</x:f>
        <x:v>PENDING</x:v>
      </x:c>
      <x:c r="AF562" s="79" t="str">
        <x:f>IF(AE562="COMPLETE","YES","NO")</x:f>
        <x:v>NO</x:v>
      </x:c>
      <x:c r="AG562" s="214" t="str">
        <x:f>IF(AF562&lt;&gt;"YES","",(IF(V562="YES",1,0)+IF(W562="YES",1,0))/2)</x:f>
      </x:c>
    </x:row>
    <x:row r="563">
      <x:c r="A563" s="57" t="inlineStr">
        <x:is>
          <x:t xml:space="preserve">C0558</x:t>
        </x:is>
      </x:c>
      <x:c r="B563" s="57" t="inlineStr">
        <x:is>
          <x:t xml:space="preserve">Development</x:t>
        </x:is>
      </x:c>
      <x:c r="C563" s="57" t="inlineStr">
        <x:is>
          <x:t xml:space="preserve">OPEN</x:t>
        </x:is>
      </x:c>
      <x:c r="D563" s="57" t="inlineStr">
        <x:is>
          <x:t xml:space="preserve">ARG-056</x:t>
        </x:is>
      </x:c>
      <x:c r="E563" s="75" t="str">
        <x:f>INDEX('Company Universe'!$B$6:$B$105,MATCH(D563,'Company Universe'!$A$6:$A$105,0))</x:f>
        <x:v>Caterpillar</x:v>
      </x:c>
      <x:c r="F563" s="75" t="str">
        <x:f>INDEX('Company Universe'!$C$6:$C$105,MATCH(D563,'Company Universe'!$A$6:$A$105,0))</x:f>
        <x:v>CAT</x:v>
      </x:c>
      <x:c r="G563" s="75" t="str">
        <x:f>INDEX('Company Universe'!$F$6:$F$105,MATCH(D563,'Company Universe'!$A$6:$A$105,0))</x:f>
        <x:v>Industrials &amp; Defense</x:v>
      </x:c>
      <x:c r="H563" s="57" t="n">
        <x:v>8</x:v>
      </x:c>
      <x:c r="I563" s="206" t="n"/>
      <x:c r="J563" s="71" t="n"/>
      <x:c r="K563" s="71" t="n"/>
      <x:c r="L563" s="71" t="inlineStr">
        <x:is>
          <x:t xml:space="preserve">NO</x:t>
        </x:is>
      </x:c>
      <x:c r="M563" s="71" t="n"/>
      <x:c r="N563" s="71" t="n"/>
      <x:c r="O563" s="71" t="n"/>
      <x:c r="P563" s="71" t="n"/>
      <x:c r="Q563" s="71" t="n"/>
      <x:c r="R563" s="71" t="n"/>
      <x:c r="S563" s="206" t="n"/>
      <x:c r="T563" s="71" t="n"/>
      <x:c r="U563" s="71" t="n"/>
      <x:c r="V563" s="71" t="n"/>
      <x:c r="W563" s="71" t="n"/>
      <x:c r="X563" s="71" t="n"/>
      <x:c r="Y563" s="71" t="n"/>
      <x:c r="Z563" s="71" t="n"/>
      <x:c r="AA563" s="71" t="n"/>
      <x:c r="AB563" s="71" t="inlineStr">
        <x:is>
          <x:t xml:space="preserve">NO</x:t>
        </x:is>
      </x:c>
      <x:c r="AC563" s="57" t="inlineStr">
        <x:is>
          <x:t xml:space="preserve">V10</x:t>
        </x:is>
      </x:c>
      <x:c r="AD563" s="57" t="n"/>
      <x:c r="AE563" s="79" t="str">
        <x:f>IF(AND(I563&lt;&gt;"",J563&lt;&gt;"",K563&lt;&gt;"",L563="YES",M563&lt;&gt;"",S563&lt;&gt;"",T563&lt;&gt;"",U563&lt;&gt;"",V563&lt;&gt;"",W563&lt;&gt;"",X563&lt;&gt;"",Y563&lt;&gt;""),"COMPLETE","PENDING")</x:f>
        <x:v>PENDING</x:v>
      </x:c>
      <x:c r="AF563" s="79" t="str">
        <x:f>IF(AE563="COMPLETE","YES","NO")</x:f>
        <x:v>NO</x:v>
      </x:c>
      <x:c r="AG563" s="214" t="str">
        <x:f>IF(AF563&lt;&gt;"YES","",(IF(V563="YES",1,0)+IF(W563="YES",1,0))/2)</x:f>
      </x:c>
    </x:row>
    <x:row r="564">
      <x:c r="A564" s="57" t="inlineStr">
        <x:is>
          <x:t xml:space="preserve">C0559</x:t>
        </x:is>
      </x:c>
      <x:c r="B564" s="57" t="inlineStr">
        <x:is>
          <x:t xml:space="preserve">Development</x:t>
        </x:is>
      </x:c>
      <x:c r="C564" s="57" t="inlineStr">
        <x:is>
          <x:t xml:space="preserve">OPEN</x:t>
        </x:is>
      </x:c>
      <x:c r="D564" s="57" t="inlineStr">
        <x:is>
          <x:t xml:space="preserve">ARG-056</x:t>
        </x:is>
      </x:c>
      <x:c r="E564" s="75" t="str">
        <x:f>INDEX('Company Universe'!$B$6:$B$105,MATCH(D564,'Company Universe'!$A$6:$A$105,0))</x:f>
        <x:v>Caterpillar</x:v>
      </x:c>
      <x:c r="F564" s="75" t="str">
        <x:f>INDEX('Company Universe'!$C$6:$C$105,MATCH(D564,'Company Universe'!$A$6:$A$105,0))</x:f>
        <x:v>CAT</x:v>
      </x:c>
      <x:c r="G564" s="75" t="str">
        <x:f>INDEX('Company Universe'!$F$6:$F$105,MATCH(D564,'Company Universe'!$A$6:$A$105,0))</x:f>
        <x:v>Industrials &amp; Defense</x:v>
      </x:c>
      <x:c r="H564" s="57" t="n">
        <x:v>9</x:v>
      </x:c>
      <x:c r="I564" s="206" t="n"/>
      <x:c r="J564" s="71" t="n"/>
      <x:c r="K564" s="71" t="n"/>
      <x:c r="L564" s="71" t="inlineStr">
        <x:is>
          <x:t xml:space="preserve">NO</x:t>
        </x:is>
      </x:c>
      <x:c r="M564" s="71" t="n"/>
      <x:c r="N564" s="71" t="n"/>
      <x:c r="O564" s="71" t="n"/>
      <x:c r="P564" s="71" t="n"/>
      <x:c r="Q564" s="71" t="n"/>
      <x:c r="R564" s="71" t="n"/>
      <x:c r="S564" s="206" t="n"/>
      <x:c r="T564" s="71" t="n"/>
      <x:c r="U564" s="71" t="n"/>
      <x:c r="V564" s="71" t="n"/>
      <x:c r="W564" s="71" t="n"/>
      <x:c r="X564" s="71" t="n"/>
      <x:c r="Y564" s="71" t="n"/>
      <x:c r="Z564" s="71" t="n"/>
      <x:c r="AA564" s="71" t="n"/>
      <x:c r="AB564" s="71" t="inlineStr">
        <x:is>
          <x:t xml:space="preserve">NO</x:t>
        </x:is>
      </x:c>
      <x:c r="AC564" s="57" t="inlineStr">
        <x:is>
          <x:t xml:space="preserve">V10</x:t>
        </x:is>
      </x:c>
      <x:c r="AD564" s="57" t="n"/>
      <x:c r="AE564" s="79" t="str">
        <x:f>IF(AND(I564&lt;&gt;"",J564&lt;&gt;"",K564&lt;&gt;"",L564="YES",M564&lt;&gt;"",S564&lt;&gt;"",T564&lt;&gt;"",U564&lt;&gt;"",V564&lt;&gt;"",W564&lt;&gt;"",X564&lt;&gt;"",Y564&lt;&gt;""),"COMPLETE","PENDING")</x:f>
        <x:v>PENDING</x:v>
      </x:c>
      <x:c r="AF564" s="79" t="str">
        <x:f>IF(AE564="COMPLETE","YES","NO")</x:f>
        <x:v>NO</x:v>
      </x:c>
      <x:c r="AG564" s="214" t="str">
        <x:f>IF(AF564&lt;&gt;"YES","",(IF(V564="YES",1,0)+IF(W564="YES",1,0))/2)</x:f>
      </x:c>
    </x:row>
    <x:row r="565">
      <x:c r="A565" s="57" t="inlineStr">
        <x:is>
          <x:t xml:space="preserve">C0560</x:t>
        </x:is>
      </x:c>
      <x:c r="B565" s="57" t="inlineStr">
        <x:is>
          <x:t xml:space="preserve">Development</x:t>
        </x:is>
      </x:c>
      <x:c r="C565" s="57" t="inlineStr">
        <x:is>
          <x:t xml:space="preserve">OPEN</x:t>
        </x:is>
      </x:c>
      <x:c r="D565" s="57" t="inlineStr">
        <x:is>
          <x:t xml:space="preserve">ARG-056</x:t>
        </x:is>
      </x:c>
      <x:c r="E565" s="75" t="str">
        <x:f>INDEX('Company Universe'!$B$6:$B$105,MATCH(D565,'Company Universe'!$A$6:$A$105,0))</x:f>
        <x:v>Caterpillar</x:v>
      </x:c>
      <x:c r="F565" s="75" t="str">
        <x:f>INDEX('Company Universe'!$C$6:$C$105,MATCH(D565,'Company Universe'!$A$6:$A$105,0))</x:f>
        <x:v>CAT</x:v>
      </x:c>
      <x:c r="G565" s="75" t="str">
        <x:f>INDEX('Company Universe'!$F$6:$F$105,MATCH(D565,'Company Universe'!$A$6:$A$105,0))</x:f>
        <x:v>Industrials &amp; Defense</x:v>
      </x:c>
      <x:c r="H565" s="57" t="n">
        <x:v>10</x:v>
      </x:c>
      <x:c r="I565" s="206" t="n"/>
      <x:c r="J565" s="71" t="n"/>
      <x:c r="K565" s="71" t="n"/>
      <x:c r="L565" s="71" t="inlineStr">
        <x:is>
          <x:t xml:space="preserve">NO</x:t>
        </x:is>
      </x:c>
      <x:c r="M565" s="71" t="n"/>
      <x:c r="N565" s="71" t="n"/>
      <x:c r="O565" s="71" t="n"/>
      <x:c r="P565" s="71" t="n"/>
      <x:c r="Q565" s="71" t="n"/>
      <x:c r="R565" s="71" t="n"/>
      <x:c r="S565" s="206" t="n"/>
      <x:c r="T565" s="71" t="n"/>
      <x:c r="U565" s="71" t="n"/>
      <x:c r="V565" s="71" t="n"/>
      <x:c r="W565" s="71" t="n"/>
      <x:c r="X565" s="71" t="n"/>
      <x:c r="Y565" s="71" t="n"/>
      <x:c r="Z565" s="71" t="n"/>
      <x:c r="AA565" s="71" t="n"/>
      <x:c r="AB565" s="71" t="inlineStr">
        <x:is>
          <x:t xml:space="preserve">NO</x:t>
        </x:is>
      </x:c>
      <x:c r="AC565" s="57" t="inlineStr">
        <x:is>
          <x:t xml:space="preserve">V10</x:t>
        </x:is>
      </x:c>
      <x:c r="AD565" s="57" t="n"/>
      <x:c r="AE565" s="79" t="str">
        <x:f>IF(AND(I565&lt;&gt;"",J565&lt;&gt;"",K565&lt;&gt;"",L565="YES",M565&lt;&gt;"",S565&lt;&gt;"",T565&lt;&gt;"",U565&lt;&gt;"",V565&lt;&gt;"",W565&lt;&gt;"",X565&lt;&gt;"",Y565&lt;&gt;""),"COMPLETE","PENDING")</x:f>
        <x:v>PENDING</x:v>
      </x:c>
      <x:c r="AF565" s="79" t="str">
        <x:f>IF(AE565="COMPLETE","YES","NO")</x:f>
        <x:v>NO</x:v>
      </x:c>
      <x:c r="AG565" s="214" t="str">
        <x:f>IF(AF565&lt;&gt;"YES","",(IF(V565="YES",1,0)+IF(W565="YES",1,0))/2)</x:f>
      </x:c>
    </x:row>
    <x:row r="566">
      <x:c r="A566" s="57" t="inlineStr">
        <x:is>
          <x:t xml:space="preserve">C0561</x:t>
        </x:is>
      </x:c>
      <x:c r="B566" s="57" t="inlineStr">
        <x:is>
          <x:t xml:space="preserve">Development</x:t>
        </x:is>
      </x:c>
      <x:c r="C566" s="57" t="inlineStr">
        <x:is>
          <x:t xml:space="preserve">OPEN</x:t>
        </x:is>
      </x:c>
      <x:c r="D566" s="57" t="inlineStr">
        <x:is>
          <x:t xml:space="preserve">ARG-057</x:t>
        </x:is>
      </x:c>
      <x:c r="E566" s="75" t="str">
        <x:f>INDEX('Company Universe'!$B$6:$B$105,MATCH(D566,'Company Universe'!$A$6:$A$105,0))</x:f>
        <x:v>BHP Group</x:v>
      </x:c>
      <x:c r="F566" s="75" t="str">
        <x:f>INDEX('Company Universe'!$C$6:$C$105,MATCH(D566,'Company Universe'!$A$6:$A$105,0))</x:f>
        <x:v>BHP</x:v>
      </x:c>
      <x:c r="G566" s="75" t="str">
        <x:f>INDEX('Company Universe'!$F$6:$F$105,MATCH(D566,'Company Universe'!$A$6:$A$105,0))</x:f>
        <x:v>Materials &amp; Mining</x:v>
      </x:c>
      <x:c r="H566" s="57" t="n">
        <x:v>1</x:v>
      </x:c>
      <x:c r="I566" s="206" t="n"/>
      <x:c r="J566" s="71" t="n"/>
      <x:c r="K566" s="71" t="n"/>
      <x:c r="L566" s="71" t="inlineStr">
        <x:is>
          <x:t xml:space="preserve">NO</x:t>
        </x:is>
      </x:c>
      <x:c r="M566" s="71" t="n"/>
      <x:c r="N566" s="71" t="n"/>
      <x:c r="O566" s="71" t="n"/>
      <x:c r="P566" s="71" t="n"/>
      <x:c r="Q566" s="71" t="n"/>
      <x:c r="R566" s="71" t="n"/>
      <x:c r="S566" s="206" t="n"/>
      <x:c r="T566" s="71" t="n"/>
      <x:c r="U566" s="71" t="n"/>
      <x:c r="V566" s="71" t="n"/>
      <x:c r="W566" s="71" t="n"/>
      <x:c r="X566" s="71" t="n"/>
      <x:c r="Y566" s="71" t="n"/>
      <x:c r="Z566" s="71" t="n"/>
      <x:c r="AA566" s="71" t="n"/>
      <x:c r="AB566" s="71" t="inlineStr">
        <x:is>
          <x:t xml:space="preserve">NO</x:t>
        </x:is>
      </x:c>
      <x:c r="AC566" s="57" t="inlineStr">
        <x:is>
          <x:t xml:space="preserve">V10</x:t>
        </x:is>
      </x:c>
      <x:c r="AD566" s="57" t="n"/>
      <x:c r="AE566" s="79" t="str">
        <x:f>IF(AND(I566&lt;&gt;"",J566&lt;&gt;"",K566&lt;&gt;"",L566="YES",M566&lt;&gt;"",S566&lt;&gt;"",T566&lt;&gt;"",U566&lt;&gt;"",V566&lt;&gt;"",W566&lt;&gt;"",X566&lt;&gt;"",Y566&lt;&gt;""),"COMPLETE","PENDING")</x:f>
        <x:v>PENDING</x:v>
      </x:c>
      <x:c r="AF566" s="79" t="str">
        <x:f>IF(AE566="COMPLETE","YES","NO")</x:f>
        <x:v>NO</x:v>
      </x:c>
      <x:c r="AG566" s="214" t="str">
        <x:f>IF(AF566&lt;&gt;"YES","",(IF(V566="YES",1,0)+IF(W566="YES",1,0))/2)</x:f>
      </x:c>
    </x:row>
    <x:row r="567">
      <x:c r="A567" s="57" t="inlineStr">
        <x:is>
          <x:t xml:space="preserve">C0562</x:t>
        </x:is>
      </x:c>
      <x:c r="B567" s="57" t="inlineStr">
        <x:is>
          <x:t xml:space="preserve">Development</x:t>
        </x:is>
      </x:c>
      <x:c r="C567" s="57" t="inlineStr">
        <x:is>
          <x:t xml:space="preserve">OPEN</x:t>
        </x:is>
      </x:c>
      <x:c r="D567" s="57" t="inlineStr">
        <x:is>
          <x:t xml:space="preserve">ARG-057</x:t>
        </x:is>
      </x:c>
      <x:c r="E567" s="75" t="str">
        <x:f>INDEX('Company Universe'!$B$6:$B$105,MATCH(D567,'Company Universe'!$A$6:$A$105,0))</x:f>
        <x:v>BHP Group</x:v>
      </x:c>
      <x:c r="F567" s="75" t="str">
        <x:f>INDEX('Company Universe'!$C$6:$C$105,MATCH(D567,'Company Universe'!$A$6:$A$105,0))</x:f>
        <x:v>BHP</x:v>
      </x:c>
      <x:c r="G567" s="75" t="str">
        <x:f>INDEX('Company Universe'!$F$6:$F$105,MATCH(D567,'Company Universe'!$A$6:$A$105,0))</x:f>
        <x:v>Materials &amp; Mining</x:v>
      </x:c>
      <x:c r="H567" s="57" t="n">
        <x:v>2</x:v>
      </x:c>
      <x:c r="I567" s="206" t="n"/>
      <x:c r="J567" s="71" t="n"/>
      <x:c r="K567" s="71" t="n"/>
      <x:c r="L567" s="71" t="inlineStr">
        <x:is>
          <x:t xml:space="preserve">NO</x:t>
        </x:is>
      </x:c>
      <x:c r="M567" s="71" t="n"/>
      <x:c r="N567" s="71" t="n"/>
      <x:c r="O567" s="71" t="n"/>
      <x:c r="P567" s="71" t="n"/>
      <x:c r="Q567" s="71" t="n"/>
      <x:c r="R567" s="71" t="n"/>
      <x:c r="S567" s="206" t="n"/>
      <x:c r="T567" s="71" t="n"/>
      <x:c r="U567" s="71" t="n"/>
      <x:c r="V567" s="71" t="n"/>
      <x:c r="W567" s="71" t="n"/>
      <x:c r="X567" s="71" t="n"/>
      <x:c r="Y567" s="71" t="n"/>
      <x:c r="Z567" s="71" t="n"/>
      <x:c r="AA567" s="71" t="n"/>
      <x:c r="AB567" s="71" t="inlineStr">
        <x:is>
          <x:t xml:space="preserve">NO</x:t>
        </x:is>
      </x:c>
      <x:c r="AC567" s="57" t="inlineStr">
        <x:is>
          <x:t xml:space="preserve">V10</x:t>
        </x:is>
      </x:c>
      <x:c r="AD567" s="57" t="n"/>
      <x:c r="AE567" s="79" t="str">
        <x:f>IF(AND(I567&lt;&gt;"",J567&lt;&gt;"",K567&lt;&gt;"",L567="YES",M567&lt;&gt;"",S567&lt;&gt;"",T567&lt;&gt;"",U567&lt;&gt;"",V567&lt;&gt;"",W567&lt;&gt;"",X567&lt;&gt;"",Y567&lt;&gt;""),"COMPLETE","PENDING")</x:f>
        <x:v>PENDING</x:v>
      </x:c>
      <x:c r="AF567" s="79" t="str">
        <x:f>IF(AE567="COMPLETE","YES","NO")</x:f>
        <x:v>NO</x:v>
      </x:c>
      <x:c r="AG567" s="214" t="str">
        <x:f>IF(AF567&lt;&gt;"YES","",(IF(V567="YES",1,0)+IF(W567="YES",1,0))/2)</x:f>
      </x:c>
    </x:row>
    <x:row r="568">
      <x:c r="A568" s="57" t="inlineStr">
        <x:is>
          <x:t xml:space="preserve">C0563</x:t>
        </x:is>
      </x:c>
      <x:c r="B568" s="57" t="inlineStr">
        <x:is>
          <x:t xml:space="preserve">Development</x:t>
        </x:is>
      </x:c>
      <x:c r="C568" s="57" t="inlineStr">
        <x:is>
          <x:t xml:space="preserve">OPEN</x:t>
        </x:is>
      </x:c>
      <x:c r="D568" s="57" t="inlineStr">
        <x:is>
          <x:t xml:space="preserve">ARG-057</x:t>
        </x:is>
      </x:c>
      <x:c r="E568" s="75" t="str">
        <x:f>INDEX('Company Universe'!$B$6:$B$105,MATCH(D568,'Company Universe'!$A$6:$A$105,0))</x:f>
        <x:v>BHP Group</x:v>
      </x:c>
      <x:c r="F568" s="75" t="str">
        <x:f>INDEX('Company Universe'!$C$6:$C$105,MATCH(D568,'Company Universe'!$A$6:$A$105,0))</x:f>
        <x:v>BHP</x:v>
      </x:c>
      <x:c r="G568" s="75" t="str">
        <x:f>INDEX('Company Universe'!$F$6:$F$105,MATCH(D568,'Company Universe'!$A$6:$A$105,0))</x:f>
        <x:v>Materials &amp; Mining</x:v>
      </x:c>
      <x:c r="H568" s="57" t="n">
        <x:v>3</x:v>
      </x:c>
      <x:c r="I568" s="206" t="n"/>
      <x:c r="J568" s="71" t="n"/>
      <x:c r="K568" s="71" t="n"/>
      <x:c r="L568" s="71" t="inlineStr">
        <x:is>
          <x:t xml:space="preserve">NO</x:t>
        </x:is>
      </x:c>
      <x:c r="M568" s="71" t="n"/>
      <x:c r="N568" s="71" t="n"/>
      <x:c r="O568" s="71" t="n"/>
      <x:c r="P568" s="71" t="n"/>
      <x:c r="Q568" s="71" t="n"/>
      <x:c r="R568" s="71" t="n"/>
      <x:c r="S568" s="206" t="n"/>
      <x:c r="T568" s="71" t="n"/>
      <x:c r="U568" s="71" t="n"/>
      <x:c r="V568" s="71" t="n"/>
      <x:c r="W568" s="71" t="n"/>
      <x:c r="X568" s="71" t="n"/>
      <x:c r="Y568" s="71" t="n"/>
      <x:c r="Z568" s="71" t="n"/>
      <x:c r="AA568" s="71" t="n"/>
      <x:c r="AB568" s="71" t="inlineStr">
        <x:is>
          <x:t xml:space="preserve">NO</x:t>
        </x:is>
      </x:c>
      <x:c r="AC568" s="57" t="inlineStr">
        <x:is>
          <x:t xml:space="preserve">V10</x:t>
        </x:is>
      </x:c>
      <x:c r="AD568" s="57" t="n"/>
      <x:c r="AE568" s="79" t="str">
        <x:f>IF(AND(I568&lt;&gt;"",J568&lt;&gt;"",K568&lt;&gt;"",L568="YES",M568&lt;&gt;"",S568&lt;&gt;"",T568&lt;&gt;"",U568&lt;&gt;"",V568&lt;&gt;"",W568&lt;&gt;"",X568&lt;&gt;"",Y568&lt;&gt;""),"COMPLETE","PENDING")</x:f>
        <x:v>PENDING</x:v>
      </x:c>
      <x:c r="AF568" s="79" t="str">
        <x:f>IF(AE568="COMPLETE","YES","NO")</x:f>
        <x:v>NO</x:v>
      </x:c>
      <x:c r="AG568" s="214" t="str">
        <x:f>IF(AF568&lt;&gt;"YES","",(IF(V568="YES",1,0)+IF(W568="YES",1,0))/2)</x:f>
      </x:c>
    </x:row>
    <x:row r="569">
      <x:c r="A569" s="57" t="inlineStr">
        <x:is>
          <x:t xml:space="preserve">C0564</x:t>
        </x:is>
      </x:c>
      <x:c r="B569" s="57" t="inlineStr">
        <x:is>
          <x:t xml:space="preserve">Development</x:t>
        </x:is>
      </x:c>
      <x:c r="C569" s="57" t="inlineStr">
        <x:is>
          <x:t xml:space="preserve">OPEN</x:t>
        </x:is>
      </x:c>
      <x:c r="D569" s="57" t="inlineStr">
        <x:is>
          <x:t xml:space="preserve">ARG-057</x:t>
        </x:is>
      </x:c>
      <x:c r="E569" s="75" t="str">
        <x:f>INDEX('Company Universe'!$B$6:$B$105,MATCH(D569,'Company Universe'!$A$6:$A$105,0))</x:f>
        <x:v>BHP Group</x:v>
      </x:c>
      <x:c r="F569" s="75" t="str">
        <x:f>INDEX('Company Universe'!$C$6:$C$105,MATCH(D569,'Company Universe'!$A$6:$A$105,0))</x:f>
        <x:v>BHP</x:v>
      </x:c>
      <x:c r="G569" s="75" t="str">
        <x:f>INDEX('Company Universe'!$F$6:$F$105,MATCH(D569,'Company Universe'!$A$6:$A$105,0))</x:f>
        <x:v>Materials &amp; Mining</x:v>
      </x:c>
      <x:c r="H569" s="57" t="n">
        <x:v>4</x:v>
      </x:c>
      <x:c r="I569" s="206" t="n"/>
      <x:c r="J569" s="71" t="n"/>
      <x:c r="K569" s="71" t="n"/>
      <x:c r="L569" s="71" t="inlineStr">
        <x:is>
          <x:t xml:space="preserve">NO</x:t>
        </x:is>
      </x:c>
      <x:c r="M569" s="71" t="n"/>
      <x:c r="N569" s="71" t="n"/>
      <x:c r="O569" s="71" t="n"/>
      <x:c r="P569" s="71" t="n"/>
      <x:c r="Q569" s="71" t="n"/>
      <x:c r="R569" s="71" t="n"/>
      <x:c r="S569" s="206" t="n"/>
      <x:c r="T569" s="71" t="n"/>
      <x:c r="U569" s="71" t="n"/>
      <x:c r="V569" s="71" t="n"/>
      <x:c r="W569" s="71" t="n"/>
      <x:c r="X569" s="71" t="n"/>
      <x:c r="Y569" s="71" t="n"/>
      <x:c r="Z569" s="71" t="n"/>
      <x:c r="AA569" s="71" t="n"/>
      <x:c r="AB569" s="71" t="inlineStr">
        <x:is>
          <x:t xml:space="preserve">NO</x:t>
        </x:is>
      </x:c>
      <x:c r="AC569" s="57" t="inlineStr">
        <x:is>
          <x:t xml:space="preserve">V10</x:t>
        </x:is>
      </x:c>
      <x:c r="AD569" s="57" t="n"/>
      <x:c r="AE569" s="79" t="str">
        <x:f>IF(AND(I569&lt;&gt;"",J569&lt;&gt;"",K569&lt;&gt;"",L569="YES",M569&lt;&gt;"",S569&lt;&gt;"",T569&lt;&gt;"",U569&lt;&gt;"",V569&lt;&gt;"",W569&lt;&gt;"",X569&lt;&gt;"",Y569&lt;&gt;""),"COMPLETE","PENDING")</x:f>
        <x:v>PENDING</x:v>
      </x:c>
      <x:c r="AF569" s="79" t="str">
        <x:f>IF(AE569="COMPLETE","YES","NO")</x:f>
        <x:v>NO</x:v>
      </x:c>
      <x:c r="AG569" s="214" t="str">
        <x:f>IF(AF569&lt;&gt;"YES","",(IF(V569="YES",1,0)+IF(W569="YES",1,0))/2)</x:f>
      </x:c>
    </x:row>
    <x:row r="570">
      <x:c r="A570" s="57" t="inlineStr">
        <x:is>
          <x:t xml:space="preserve">C0565</x:t>
        </x:is>
      </x:c>
      <x:c r="B570" s="57" t="inlineStr">
        <x:is>
          <x:t xml:space="preserve">Development</x:t>
        </x:is>
      </x:c>
      <x:c r="C570" s="57" t="inlineStr">
        <x:is>
          <x:t xml:space="preserve">OPEN</x:t>
        </x:is>
      </x:c>
      <x:c r="D570" s="57" t="inlineStr">
        <x:is>
          <x:t xml:space="preserve">ARG-057</x:t>
        </x:is>
      </x:c>
      <x:c r="E570" s="75" t="str">
        <x:f>INDEX('Company Universe'!$B$6:$B$105,MATCH(D570,'Company Universe'!$A$6:$A$105,0))</x:f>
        <x:v>BHP Group</x:v>
      </x:c>
      <x:c r="F570" s="75" t="str">
        <x:f>INDEX('Company Universe'!$C$6:$C$105,MATCH(D570,'Company Universe'!$A$6:$A$105,0))</x:f>
        <x:v>BHP</x:v>
      </x:c>
      <x:c r="G570" s="75" t="str">
        <x:f>INDEX('Company Universe'!$F$6:$F$105,MATCH(D570,'Company Universe'!$A$6:$A$105,0))</x:f>
        <x:v>Materials &amp; Mining</x:v>
      </x:c>
      <x:c r="H570" s="57" t="n">
        <x:v>5</x:v>
      </x:c>
      <x:c r="I570" s="206" t="n"/>
      <x:c r="J570" s="71" t="n"/>
      <x:c r="K570" s="71" t="n"/>
      <x:c r="L570" s="71" t="inlineStr">
        <x:is>
          <x:t xml:space="preserve">NO</x:t>
        </x:is>
      </x:c>
      <x:c r="M570" s="71" t="n"/>
      <x:c r="N570" s="71" t="n"/>
      <x:c r="O570" s="71" t="n"/>
      <x:c r="P570" s="71" t="n"/>
      <x:c r="Q570" s="71" t="n"/>
      <x:c r="R570" s="71" t="n"/>
      <x:c r="S570" s="206" t="n"/>
      <x:c r="T570" s="71" t="n"/>
      <x:c r="U570" s="71" t="n"/>
      <x:c r="V570" s="71" t="n"/>
      <x:c r="W570" s="71" t="n"/>
      <x:c r="X570" s="71" t="n"/>
      <x:c r="Y570" s="71" t="n"/>
      <x:c r="Z570" s="71" t="n"/>
      <x:c r="AA570" s="71" t="n"/>
      <x:c r="AB570" s="71" t="inlineStr">
        <x:is>
          <x:t xml:space="preserve">NO</x:t>
        </x:is>
      </x:c>
      <x:c r="AC570" s="57" t="inlineStr">
        <x:is>
          <x:t xml:space="preserve">V10</x:t>
        </x:is>
      </x:c>
      <x:c r="AD570" s="57" t="n"/>
      <x:c r="AE570" s="79" t="str">
        <x:f>IF(AND(I570&lt;&gt;"",J570&lt;&gt;"",K570&lt;&gt;"",L570="YES",M570&lt;&gt;"",S570&lt;&gt;"",T570&lt;&gt;"",U570&lt;&gt;"",V570&lt;&gt;"",W570&lt;&gt;"",X570&lt;&gt;"",Y570&lt;&gt;""),"COMPLETE","PENDING")</x:f>
        <x:v>PENDING</x:v>
      </x:c>
      <x:c r="AF570" s="79" t="str">
        <x:f>IF(AE570="COMPLETE","YES","NO")</x:f>
        <x:v>NO</x:v>
      </x:c>
      <x:c r="AG570" s="214" t="str">
        <x:f>IF(AF570&lt;&gt;"YES","",(IF(V570="YES",1,0)+IF(W570="YES",1,0))/2)</x:f>
      </x:c>
    </x:row>
    <x:row r="571">
      <x:c r="A571" s="57" t="inlineStr">
        <x:is>
          <x:t xml:space="preserve">C0566</x:t>
        </x:is>
      </x:c>
      <x:c r="B571" s="57" t="inlineStr">
        <x:is>
          <x:t xml:space="preserve">Development</x:t>
        </x:is>
      </x:c>
      <x:c r="C571" s="57" t="inlineStr">
        <x:is>
          <x:t xml:space="preserve">OPEN</x:t>
        </x:is>
      </x:c>
      <x:c r="D571" s="57" t="inlineStr">
        <x:is>
          <x:t xml:space="preserve">ARG-057</x:t>
        </x:is>
      </x:c>
      <x:c r="E571" s="75" t="str">
        <x:f>INDEX('Company Universe'!$B$6:$B$105,MATCH(D571,'Company Universe'!$A$6:$A$105,0))</x:f>
        <x:v>BHP Group</x:v>
      </x:c>
      <x:c r="F571" s="75" t="str">
        <x:f>INDEX('Company Universe'!$C$6:$C$105,MATCH(D571,'Company Universe'!$A$6:$A$105,0))</x:f>
        <x:v>BHP</x:v>
      </x:c>
      <x:c r="G571" s="75" t="str">
        <x:f>INDEX('Company Universe'!$F$6:$F$105,MATCH(D571,'Company Universe'!$A$6:$A$105,0))</x:f>
        <x:v>Materials &amp; Mining</x:v>
      </x:c>
      <x:c r="H571" s="57" t="n">
        <x:v>6</x:v>
      </x:c>
      <x:c r="I571" s="206" t="n"/>
      <x:c r="J571" s="71" t="n"/>
      <x:c r="K571" s="71" t="n"/>
      <x:c r="L571" s="71" t="inlineStr">
        <x:is>
          <x:t xml:space="preserve">NO</x:t>
        </x:is>
      </x:c>
      <x:c r="M571" s="71" t="n"/>
      <x:c r="N571" s="71" t="n"/>
      <x:c r="O571" s="71" t="n"/>
      <x:c r="P571" s="71" t="n"/>
      <x:c r="Q571" s="71" t="n"/>
      <x:c r="R571" s="71" t="n"/>
      <x:c r="S571" s="206" t="n"/>
      <x:c r="T571" s="71" t="n"/>
      <x:c r="U571" s="71" t="n"/>
      <x:c r="V571" s="71" t="n"/>
      <x:c r="W571" s="71" t="n"/>
      <x:c r="X571" s="71" t="n"/>
      <x:c r="Y571" s="71" t="n"/>
      <x:c r="Z571" s="71" t="n"/>
      <x:c r="AA571" s="71" t="n"/>
      <x:c r="AB571" s="71" t="inlineStr">
        <x:is>
          <x:t xml:space="preserve">NO</x:t>
        </x:is>
      </x:c>
      <x:c r="AC571" s="57" t="inlineStr">
        <x:is>
          <x:t xml:space="preserve">V10</x:t>
        </x:is>
      </x:c>
      <x:c r="AD571" s="57" t="n"/>
      <x:c r="AE571" s="79" t="str">
        <x:f>IF(AND(I571&lt;&gt;"",J571&lt;&gt;"",K571&lt;&gt;"",L571="YES",M571&lt;&gt;"",S571&lt;&gt;"",T571&lt;&gt;"",U571&lt;&gt;"",V571&lt;&gt;"",W571&lt;&gt;"",X571&lt;&gt;"",Y571&lt;&gt;""),"COMPLETE","PENDING")</x:f>
        <x:v>PENDING</x:v>
      </x:c>
      <x:c r="AF571" s="79" t="str">
        <x:f>IF(AE571="COMPLETE","YES","NO")</x:f>
        <x:v>NO</x:v>
      </x:c>
      <x:c r="AG571" s="214" t="str">
        <x:f>IF(AF571&lt;&gt;"YES","",(IF(V571="YES",1,0)+IF(W571="YES",1,0))/2)</x:f>
      </x:c>
    </x:row>
    <x:row r="572">
      <x:c r="A572" s="57" t="inlineStr">
        <x:is>
          <x:t xml:space="preserve">C0567</x:t>
        </x:is>
      </x:c>
      <x:c r="B572" s="57" t="inlineStr">
        <x:is>
          <x:t xml:space="preserve">Development</x:t>
        </x:is>
      </x:c>
      <x:c r="C572" s="57" t="inlineStr">
        <x:is>
          <x:t xml:space="preserve">OPEN</x:t>
        </x:is>
      </x:c>
      <x:c r="D572" s="57" t="inlineStr">
        <x:is>
          <x:t xml:space="preserve">ARG-057</x:t>
        </x:is>
      </x:c>
      <x:c r="E572" s="75" t="str">
        <x:f>INDEX('Company Universe'!$B$6:$B$105,MATCH(D572,'Company Universe'!$A$6:$A$105,0))</x:f>
        <x:v>BHP Group</x:v>
      </x:c>
      <x:c r="F572" s="75" t="str">
        <x:f>INDEX('Company Universe'!$C$6:$C$105,MATCH(D572,'Company Universe'!$A$6:$A$105,0))</x:f>
        <x:v>BHP</x:v>
      </x:c>
      <x:c r="G572" s="75" t="str">
        <x:f>INDEX('Company Universe'!$F$6:$F$105,MATCH(D572,'Company Universe'!$A$6:$A$105,0))</x:f>
        <x:v>Materials &amp; Mining</x:v>
      </x:c>
      <x:c r="H572" s="57" t="n">
        <x:v>7</x:v>
      </x:c>
      <x:c r="I572" s="206" t="n"/>
      <x:c r="J572" s="71" t="n"/>
      <x:c r="K572" s="71" t="n"/>
      <x:c r="L572" s="71" t="inlineStr">
        <x:is>
          <x:t xml:space="preserve">NO</x:t>
        </x:is>
      </x:c>
      <x:c r="M572" s="71" t="n"/>
      <x:c r="N572" s="71" t="n"/>
      <x:c r="O572" s="71" t="n"/>
      <x:c r="P572" s="71" t="n"/>
      <x:c r="Q572" s="71" t="n"/>
      <x:c r="R572" s="71" t="n"/>
      <x:c r="S572" s="206" t="n"/>
      <x:c r="T572" s="71" t="n"/>
      <x:c r="U572" s="71" t="n"/>
      <x:c r="V572" s="71" t="n"/>
      <x:c r="W572" s="71" t="n"/>
      <x:c r="X572" s="71" t="n"/>
      <x:c r="Y572" s="71" t="n"/>
      <x:c r="Z572" s="71" t="n"/>
      <x:c r="AA572" s="71" t="n"/>
      <x:c r="AB572" s="71" t="inlineStr">
        <x:is>
          <x:t xml:space="preserve">NO</x:t>
        </x:is>
      </x:c>
      <x:c r="AC572" s="57" t="inlineStr">
        <x:is>
          <x:t xml:space="preserve">V10</x:t>
        </x:is>
      </x:c>
      <x:c r="AD572" s="57" t="n"/>
      <x:c r="AE572" s="79" t="str">
        <x:f>IF(AND(I572&lt;&gt;"",J572&lt;&gt;"",K572&lt;&gt;"",L572="YES",M572&lt;&gt;"",S572&lt;&gt;"",T572&lt;&gt;"",U572&lt;&gt;"",V572&lt;&gt;"",W572&lt;&gt;"",X572&lt;&gt;"",Y572&lt;&gt;""),"COMPLETE","PENDING")</x:f>
        <x:v>PENDING</x:v>
      </x:c>
      <x:c r="AF572" s="79" t="str">
        <x:f>IF(AE572="COMPLETE","YES","NO")</x:f>
        <x:v>NO</x:v>
      </x:c>
      <x:c r="AG572" s="214" t="str">
        <x:f>IF(AF572&lt;&gt;"YES","",(IF(V572="YES",1,0)+IF(W572="YES",1,0))/2)</x:f>
      </x:c>
    </x:row>
    <x:row r="573">
      <x:c r="A573" s="57" t="inlineStr">
        <x:is>
          <x:t xml:space="preserve">C0568</x:t>
        </x:is>
      </x:c>
      <x:c r="B573" s="57" t="inlineStr">
        <x:is>
          <x:t xml:space="preserve">Development</x:t>
        </x:is>
      </x:c>
      <x:c r="C573" s="57" t="inlineStr">
        <x:is>
          <x:t xml:space="preserve">OPEN</x:t>
        </x:is>
      </x:c>
      <x:c r="D573" s="57" t="inlineStr">
        <x:is>
          <x:t xml:space="preserve">ARG-057</x:t>
        </x:is>
      </x:c>
      <x:c r="E573" s="75" t="str">
        <x:f>INDEX('Company Universe'!$B$6:$B$105,MATCH(D573,'Company Universe'!$A$6:$A$105,0))</x:f>
        <x:v>BHP Group</x:v>
      </x:c>
      <x:c r="F573" s="75" t="str">
        <x:f>INDEX('Company Universe'!$C$6:$C$105,MATCH(D573,'Company Universe'!$A$6:$A$105,0))</x:f>
        <x:v>BHP</x:v>
      </x:c>
      <x:c r="G573" s="75" t="str">
        <x:f>INDEX('Company Universe'!$F$6:$F$105,MATCH(D573,'Company Universe'!$A$6:$A$105,0))</x:f>
        <x:v>Materials &amp; Mining</x:v>
      </x:c>
      <x:c r="H573" s="57" t="n">
        <x:v>8</x:v>
      </x:c>
      <x:c r="I573" s="206" t="n"/>
      <x:c r="J573" s="71" t="n"/>
      <x:c r="K573" s="71" t="n"/>
      <x:c r="L573" s="71" t="inlineStr">
        <x:is>
          <x:t xml:space="preserve">NO</x:t>
        </x:is>
      </x:c>
      <x:c r="M573" s="71" t="n"/>
      <x:c r="N573" s="71" t="n"/>
      <x:c r="O573" s="71" t="n"/>
      <x:c r="P573" s="71" t="n"/>
      <x:c r="Q573" s="71" t="n"/>
      <x:c r="R573" s="71" t="n"/>
      <x:c r="S573" s="206" t="n"/>
      <x:c r="T573" s="71" t="n"/>
      <x:c r="U573" s="71" t="n"/>
      <x:c r="V573" s="71" t="n"/>
      <x:c r="W573" s="71" t="n"/>
      <x:c r="X573" s="71" t="n"/>
      <x:c r="Y573" s="71" t="n"/>
      <x:c r="Z573" s="71" t="n"/>
      <x:c r="AA573" s="71" t="n"/>
      <x:c r="AB573" s="71" t="inlineStr">
        <x:is>
          <x:t xml:space="preserve">NO</x:t>
        </x:is>
      </x:c>
      <x:c r="AC573" s="57" t="inlineStr">
        <x:is>
          <x:t xml:space="preserve">V10</x:t>
        </x:is>
      </x:c>
      <x:c r="AD573" s="57" t="n"/>
      <x:c r="AE573" s="79" t="str">
        <x:f>IF(AND(I573&lt;&gt;"",J573&lt;&gt;"",K573&lt;&gt;"",L573="YES",M573&lt;&gt;"",S573&lt;&gt;"",T573&lt;&gt;"",U573&lt;&gt;"",V573&lt;&gt;"",W573&lt;&gt;"",X573&lt;&gt;"",Y573&lt;&gt;""),"COMPLETE","PENDING")</x:f>
        <x:v>PENDING</x:v>
      </x:c>
      <x:c r="AF573" s="79" t="str">
        <x:f>IF(AE573="COMPLETE","YES","NO")</x:f>
        <x:v>NO</x:v>
      </x:c>
      <x:c r="AG573" s="214" t="str">
        <x:f>IF(AF573&lt;&gt;"YES","",(IF(V573="YES",1,0)+IF(W573="YES",1,0))/2)</x:f>
      </x:c>
    </x:row>
    <x:row r="574">
      <x:c r="A574" s="57" t="inlineStr">
        <x:is>
          <x:t xml:space="preserve">C0569</x:t>
        </x:is>
      </x:c>
      <x:c r="B574" s="57" t="inlineStr">
        <x:is>
          <x:t xml:space="preserve">Development</x:t>
        </x:is>
      </x:c>
      <x:c r="C574" s="57" t="inlineStr">
        <x:is>
          <x:t xml:space="preserve">OPEN</x:t>
        </x:is>
      </x:c>
      <x:c r="D574" s="57" t="inlineStr">
        <x:is>
          <x:t xml:space="preserve">ARG-057</x:t>
        </x:is>
      </x:c>
      <x:c r="E574" s="75" t="str">
        <x:f>INDEX('Company Universe'!$B$6:$B$105,MATCH(D574,'Company Universe'!$A$6:$A$105,0))</x:f>
        <x:v>BHP Group</x:v>
      </x:c>
      <x:c r="F574" s="75" t="str">
        <x:f>INDEX('Company Universe'!$C$6:$C$105,MATCH(D574,'Company Universe'!$A$6:$A$105,0))</x:f>
        <x:v>BHP</x:v>
      </x:c>
      <x:c r="G574" s="75" t="str">
        <x:f>INDEX('Company Universe'!$F$6:$F$105,MATCH(D574,'Company Universe'!$A$6:$A$105,0))</x:f>
        <x:v>Materials &amp; Mining</x:v>
      </x:c>
      <x:c r="H574" s="57" t="n">
        <x:v>9</x:v>
      </x:c>
      <x:c r="I574" s="206" t="n"/>
      <x:c r="J574" s="71" t="n"/>
      <x:c r="K574" s="71" t="n"/>
      <x:c r="L574" s="71" t="inlineStr">
        <x:is>
          <x:t xml:space="preserve">NO</x:t>
        </x:is>
      </x:c>
      <x:c r="M574" s="71" t="n"/>
      <x:c r="N574" s="71" t="n"/>
      <x:c r="O574" s="71" t="n"/>
      <x:c r="P574" s="71" t="n"/>
      <x:c r="Q574" s="71" t="n"/>
      <x:c r="R574" s="71" t="n"/>
      <x:c r="S574" s="206" t="n"/>
      <x:c r="T574" s="71" t="n"/>
      <x:c r="U574" s="71" t="n"/>
      <x:c r="V574" s="71" t="n"/>
      <x:c r="W574" s="71" t="n"/>
      <x:c r="X574" s="71" t="n"/>
      <x:c r="Y574" s="71" t="n"/>
      <x:c r="Z574" s="71" t="n"/>
      <x:c r="AA574" s="71" t="n"/>
      <x:c r="AB574" s="71" t="inlineStr">
        <x:is>
          <x:t xml:space="preserve">NO</x:t>
        </x:is>
      </x:c>
      <x:c r="AC574" s="57" t="inlineStr">
        <x:is>
          <x:t xml:space="preserve">V10</x:t>
        </x:is>
      </x:c>
      <x:c r="AD574" s="57" t="n"/>
      <x:c r="AE574" s="79" t="str">
        <x:f>IF(AND(I574&lt;&gt;"",J574&lt;&gt;"",K574&lt;&gt;"",L574="YES",M574&lt;&gt;"",S574&lt;&gt;"",T574&lt;&gt;"",U574&lt;&gt;"",V574&lt;&gt;"",W574&lt;&gt;"",X574&lt;&gt;"",Y574&lt;&gt;""),"COMPLETE","PENDING")</x:f>
        <x:v>PENDING</x:v>
      </x:c>
      <x:c r="AF574" s="79" t="str">
        <x:f>IF(AE574="COMPLETE","YES","NO")</x:f>
        <x:v>NO</x:v>
      </x:c>
      <x:c r="AG574" s="214" t="str">
        <x:f>IF(AF574&lt;&gt;"YES","",(IF(V574="YES",1,0)+IF(W574="YES",1,0))/2)</x:f>
      </x:c>
    </x:row>
    <x:row r="575">
      <x:c r="A575" s="57" t="inlineStr">
        <x:is>
          <x:t xml:space="preserve">C0570</x:t>
        </x:is>
      </x:c>
      <x:c r="B575" s="57" t="inlineStr">
        <x:is>
          <x:t xml:space="preserve">Development</x:t>
        </x:is>
      </x:c>
      <x:c r="C575" s="57" t="inlineStr">
        <x:is>
          <x:t xml:space="preserve">OPEN</x:t>
        </x:is>
      </x:c>
      <x:c r="D575" s="57" t="inlineStr">
        <x:is>
          <x:t xml:space="preserve">ARG-057</x:t>
        </x:is>
      </x:c>
      <x:c r="E575" s="75" t="str">
        <x:f>INDEX('Company Universe'!$B$6:$B$105,MATCH(D575,'Company Universe'!$A$6:$A$105,0))</x:f>
        <x:v>BHP Group</x:v>
      </x:c>
      <x:c r="F575" s="75" t="str">
        <x:f>INDEX('Company Universe'!$C$6:$C$105,MATCH(D575,'Company Universe'!$A$6:$A$105,0))</x:f>
        <x:v>BHP</x:v>
      </x:c>
      <x:c r="G575" s="75" t="str">
        <x:f>INDEX('Company Universe'!$F$6:$F$105,MATCH(D575,'Company Universe'!$A$6:$A$105,0))</x:f>
        <x:v>Materials &amp; Mining</x:v>
      </x:c>
      <x:c r="H575" s="57" t="n">
        <x:v>10</x:v>
      </x:c>
      <x:c r="I575" s="206" t="n"/>
      <x:c r="J575" s="71" t="n"/>
      <x:c r="K575" s="71" t="n"/>
      <x:c r="L575" s="71" t="inlineStr">
        <x:is>
          <x:t xml:space="preserve">NO</x:t>
        </x:is>
      </x:c>
      <x:c r="M575" s="71" t="n"/>
      <x:c r="N575" s="71" t="n"/>
      <x:c r="O575" s="71" t="n"/>
      <x:c r="P575" s="71" t="n"/>
      <x:c r="Q575" s="71" t="n"/>
      <x:c r="R575" s="71" t="n"/>
      <x:c r="S575" s="206" t="n"/>
      <x:c r="T575" s="71" t="n"/>
      <x:c r="U575" s="71" t="n"/>
      <x:c r="V575" s="71" t="n"/>
      <x:c r="W575" s="71" t="n"/>
      <x:c r="X575" s="71" t="n"/>
      <x:c r="Y575" s="71" t="n"/>
      <x:c r="Z575" s="71" t="n"/>
      <x:c r="AA575" s="71" t="n"/>
      <x:c r="AB575" s="71" t="inlineStr">
        <x:is>
          <x:t xml:space="preserve">NO</x:t>
        </x:is>
      </x:c>
      <x:c r="AC575" s="57" t="inlineStr">
        <x:is>
          <x:t xml:space="preserve">V10</x:t>
        </x:is>
      </x:c>
      <x:c r="AD575" s="57" t="n"/>
      <x:c r="AE575" s="79" t="str">
        <x:f>IF(AND(I575&lt;&gt;"",J575&lt;&gt;"",K575&lt;&gt;"",L575="YES",M575&lt;&gt;"",S575&lt;&gt;"",T575&lt;&gt;"",U575&lt;&gt;"",V575&lt;&gt;"",W575&lt;&gt;"",X575&lt;&gt;"",Y575&lt;&gt;""),"COMPLETE","PENDING")</x:f>
        <x:v>PENDING</x:v>
      </x:c>
      <x:c r="AF575" s="79" t="str">
        <x:f>IF(AE575="COMPLETE","YES","NO")</x:f>
        <x:v>NO</x:v>
      </x:c>
      <x:c r="AG575" s="214" t="str">
        <x:f>IF(AF575&lt;&gt;"YES","",(IF(V575="YES",1,0)+IF(W575="YES",1,0))/2)</x:f>
      </x:c>
    </x:row>
    <x:row r="576">
      <x:c r="A576" s="57" t="inlineStr">
        <x:is>
          <x:t xml:space="preserve">C0571</x:t>
        </x:is>
      </x:c>
      <x:c r="B576" s="57" t="inlineStr">
        <x:is>
          <x:t xml:space="preserve">Development</x:t>
        </x:is>
      </x:c>
      <x:c r="C576" s="57" t="inlineStr">
        <x:is>
          <x:t xml:space="preserve">OPEN</x:t>
        </x:is>
      </x:c>
      <x:c r="D576" s="57" t="inlineStr">
        <x:is>
          <x:t xml:space="preserve">ARG-058</x:t>
        </x:is>
      </x:c>
      <x:c r="E576" s="75" t="str">
        <x:f>INDEX('Company Universe'!$B$6:$B$105,MATCH(D576,'Company Universe'!$A$6:$A$105,0))</x:f>
        <x:v>Prologis</x:v>
      </x:c>
      <x:c r="F576" s="75" t="str">
        <x:f>INDEX('Company Universe'!$C$6:$C$105,MATCH(D576,'Company Universe'!$A$6:$A$105,0))</x:f>
        <x:v>PLD</x:v>
      </x:c>
      <x:c r="G576" s="75" t="str">
        <x:f>INDEX('Company Universe'!$F$6:$F$105,MATCH(D576,'Company Universe'!$A$6:$A$105,0))</x:f>
        <x:v>Real Estate &amp; Telecom</x:v>
      </x:c>
      <x:c r="H576" s="57" t="n">
        <x:v>1</x:v>
      </x:c>
      <x:c r="I576" s="206" t="n"/>
      <x:c r="J576" s="71" t="n"/>
      <x:c r="K576" s="71" t="n"/>
      <x:c r="L576" s="71" t="inlineStr">
        <x:is>
          <x:t xml:space="preserve">NO</x:t>
        </x:is>
      </x:c>
      <x:c r="M576" s="71" t="n"/>
      <x:c r="N576" s="71" t="n"/>
      <x:c r="O576" s="71" t="n"/>
      <x:c r="P576" s="71" t="n"/>
      <x:c r="Q576" s="71" t="n"/>
      <x:c r="R576" s="71" t="n"/>
      <x:c r="S576" s="206" t="n"/>
      <x:c r="T576" s="71" t="n"/>
      <x:c r="U576" s="71" t="n"/>
      <x:c r="V576" s="71" t="n"/>
      <x:c r="W576" s="71" t="n"/>
      <x:c r="X576" s="71" t="n"/>
      <x:c r="Y576" s="71" t="n"/>
      <x:c r="Z576" s="71" t="n"/>
      <x:c r="AA576" s="71" t="n"/>
      <x:c r="AB576" s="71" t="inlineStr">
        <x:is>
          <x:t xml:space="preserve">NO</x:t>
        </x:is>
      </x:c>
      <x:c r="AC576" s="57" t="inlineStr">
        <x:is>
          <x:t xml:space="preserve">V10</x:t>
        </x:is>
      </x:c>
      <x:c r="AD576" s="57" t="n"/>
      <x:c r="AE576" s="79" t="str">
        <x:f>IF(AND(I576&lt;&gt;"",J576&lt;&gt;"",K576&lt;&gt;"",L576="YES",M576&lt;&gt;"",S576&lt;&gt;"",T576&lt;&gt;"",U576&lt;&gt;"",V576&lt;&gt;"",W576&lt;&gt;"",X576&lt;&gt;"",Y576&lt;&gt;""),"COMPLETE","PENDING")</x:f>
        <x:v>PENDING</x:v>
      </x:c>
      <x:c r="AF576" s="79" t="str">
        <x:f>IF(AE576="COMPLETE","YES","NO")</x:f>
        <x:v>NO</x:v>
      </x:c>
      <x:c r="AG576" s="214" t="str">
        <x:f>IF(AF576&lt;&gt;"YES","",(IF(V576="YES",1,0)+IF(W576="YES",1,0))/2)</x:f>
      </x:c>
    </x:row>
    <x:row r="577">
      <x:c r="A577" s="57" t="inlineStr">
        <x:is>
          <x:t xml:space="preserve">C0572</x:t>
        </x:is>
      </x:c>
      <x:c r="B577" s="57" t="inlineStr">
        <x:is>
          <x:t xml:space="preserve">Development</x:t>
        </x:is>
      </x:c>
      <x:c r="C577" s="57" t="inlineStr">
        <x:is>
          <x:t xml:space="preserve">OPEN</x:t>
        </x:is>
      </x:c>
      <x:c r="D577" s="57" t="inlineStr">
        <x:is>
          <x:t xml:space="preserve">ARG-058</x:t>
        </x:is>
      </x:c>
      <x:c r="E577" s="75" t="str">
        <x:f>INDEX('Company Universe'!$B$6:$B$105,MATCH(D577,'Company Universe'!$A$6:$A$105,0))</x:f>
        <x:v>Prologis</x:v>
      </x:c>
      <x:c r="F577" s="75" t="str">
        <x:f>INDEX('Company Universe'!$C$6:$C$105,MATCH(D577,'Company Universe'!$A$6:$A$105,0))</x:f>
        <x:v>PLD</x:v>
      </x:c>
      <x:c r="G577" s="75" t="str">
        <x:f>INDEX('Company Universe'!$F$6:$F$105,MATCH(D577,'Company Universe'!$A$6:$A$105,0))</x:f>
        <x:v>Real Estate &amp; Telecom</x:v>
      </x:c>
      <x:c r="H577" s="57" t="n">
        <x:v>2</x:v>
      </x:c>
      <x:c r="I577" s="206" t="n"/>
      <x:c r="J577" s="71" t="n"/>
      <x:c r="K577" s="71" t="n"/>
      <x:c r="L577" s="71" t="inlineStr">
        <x:is>
          <x:t xml:space="preserve">NO</x:t>
        </x:is>
      </x:c>
      <x:c r="M577" s="71" t="n"/>
      <x:c r="N577" s="71" t="n"/>
      <x:c r="O577" s="71" t="n"/>
      <x:c r="P577" s="71" t="n"/>
      <x:c r="Q577" s="71" t="n"/>
      <x:c r="R577" s="71" t="n"/>
      <x:c r="S577" s="206" t="n"/>
      <x:c r="T577" s="71" t="n"/>
      <x:c r="U577" s="71" t="n"/>
      <x:c r="V577" s="71" t="n"/>
      <x:c r="W577" s="71" t="n"/>
      <x:c r="X577" s="71" t="n"/>
      <x:c r="Y577" s="71" t="n"/>
      <x:c r="Z577" s="71" t="n"/>
      <x:c r="AA577" s="71" t="n"/>
      <x:c r="AB577" s="71" t="inlineStr">
        <x:is>
          <x:t xml:space="preserve">NO</x:t>
        </x:is>
      </x:c>
      <x:c r="AC577" s="57" t="inlineStr">
        <x:is>
          <x:t xml:space="preserve">V10</x:t>
        </x:is>
      </x:c>
      <x:c r="AD577" s="57" t="n"/>
      <x:c r="AE577" s="79" t="str">
        <x:f>IF(AND(I577&lt;&gt;"",J577&lt;&gt;"",K577&lt;&gt;"",L577="YES",M577&lt;&gt;"",S577&lt;&gt;"",T577&lt;&gt;"",U577&lt;&gt;"",V577&lt;&gt;"",W577&lt;&gt;"",X577&lt;&gt;"",Y577&lt;&gt;""),"COMPLETE","PENDING")</x:f>
        <x:v>PENDING</x:v>
      </x:c>
      <x:c r="AF577" s="79" t="str">
        <x:f>IF(AE577="COMPLETE","YES","NO")</x:f>
        <x:v>NO</x:v>
      </x:c>
      <x:c r="AG577" s="214" t="str">
        <x:f>IF(AF577&lt;&gt;"YES","",(IF(V577="YES",1,0)+IF(W577="YES",1,0))/2)</x:f>
      </x:c>
    </x:row>
    <x:row r="578">
      <x:c r="A578" s="57" t="inlineStr">
        <x:is>
          <x:t xml:space="preserve">C0573</x:t>
        </x:is>
      </x:c>
      <x:c r="B578" s="57" t="inlineStr">
        <x:is>
          <x:t xml:space="preserve">Development</x:t>
        </x:is>
      </x:c>
      <x:c r="C578" s="57" t="inlineStr">
        <x:is>
          <x:t xml:space="preserve">OPEN</x:t>
        </x:is>
      </x:c>
      <x:c r="D578" s="57" t="inlineStr">
        <x:is>
          <x:t xml:space="preserve">ARG-058</x:t>
        </x:is>
      </x:c>
      <x:c r="E578" s="75" t="str">
        <x:f>INDEX('Company Universe'!$B$6:$B$105,MATCH(D578,'Company Universe'!$A$6:$A$105,0))</x:f>
        <x:v>Prologis</x:v>
      </x:c>
      <x:c r="F578" s="75" t="str">
        <x:f>INDEX('Company Universe'!$C$6:$C$105,MATCH(D578,'Company Universe'!$A$6:$A$105,0))</x:f>
        <x:v>PLD</x:v>
      </x:c>
      <x:c r="G578" s="75" t="str">
        <x:f>INDEX('Company Universe'!$F$6:$F$105,MATCH(D578,'Company Universe'!$A$6:$A$105,0))</x:f>
        <x:v>Real Estate &amp; Telecom</x:v>
      </x:c>
      <x:c r="H578" s="57" t="n">
        <x:v>3</x:v>
      </x:c>
      <x:c r="I578" s="206" t="n"/>
      <x:c r="J578" s="71" t="n"/>
      <x:c r="K578" s="71" t="n"/>
      <x:c r="L578" s="71" t="inlineStr">
        <x:is>
          <x:t xml:space="preserve">NO</x:t>
        </x:is>
      </x:c>
      <x:c r="M578" s="71" t="n"/>
      <x:c r="N578" s="71" t="n"/>
      <x:c r="O578" s="71" t="n"/>
      <x:c r="P578" s="71" t="n"/>
      <x:c r="Q578" s="71" t="n"/>
      <x:c r="R578" s="71" t="n"/>
      <x:c r="S578" s="206" t="n"/>
      <x:c r="T578" s="71" t="n"/>
      <x:c r="U578" s="71" t="n"/>
      <x:c r="V578" s="71" t="n"/>
      <x:c r="W578" s="71" t="n"/>
      <x:c r="X578" s="71" t="n"/>
      <x:c r="Y578" s="71" t="n"/>
      <x:c r="Z578" s="71" t="n"/>
      <x:c r="AA578" s="71" t="n"/>
      <x:c r="AB578" s="71" t="inlineStr">
        <x:is>
          <x:t xml:space="preserve">NO</x:t>
        </x:is>
      </x:c>
      <x:c r="AC578" s="57" t="inlineStr">
        <x:is>
          <x:t xml:space="preserve">V10</x:t>
        </x:is>
      </x:c>
      <x:c r="AD578" s="57" t="n"/>
      <x:c r="AE578" s="79" t="str">
        <x:f>IF(AND(I578&lt;&gt;"",J578&lt;&gt;"",K578&lt;&gt;"",L578="YES",M578&lt;&gt;"",S578&lt;&gt;"",T578&lt;&gt;"",U578&lt;&gt;"",V578&lt;&gt;"",W578&lt;&gt;"",X578&lt;&gt;"",Y578&lt;&gt;""),"COMPLETE","PENDING")</x:f>
        <x:v>PENDING</x:v>
      </x:c>
      <x:c r="AF578" s="79" t="str">
        <x:f>IF(AE578="COMPLETE","YES","NO")</x:f>
        <x:v>NO</x:v>
      </x:c>
      <x:c r="AG578" s="214" t="str">
        <x:f>IF(AF578&lt;&gt;"YES","",(IF(V578="YES",1,0)+IF(W578="YES",1,0))/2)</x:f>
      </x:c>
    </x:row>
    <x:row r="579">
      <x:c r="A579" s="57" t="inlineStr">
        <x:is>
          <x:t xml:space="preserve">C0574</x:t>
        </x:is>
      </x:c>
      <x:c r="B579" s="57" t="inlineStr">
        <x:is>
          <x:t xml:space="preserve">Development</x:t>
        </x:is>
      </x:c>
      <x:c r="C579" s="57" t="inlineStr">
        <x:is>
          <x:t xml:space="preserve">OPEN</x:t>
        </x:is>
      </x:c>
      <x:c r="D579" s="57" t="inlineStr">
        <x:is>
          <x:t xml:space="preserve">ARG-058</x:t>
        </x:is>
      </x:c>
      <x:c r="E579" s="75" t="str">
        <x:f>INDEX('Company Universe'!$B$6:$B$105,MATCH(D579,'Company Universe'!$A$6:$A$105,0))</x:f>
        <x:v>Prologis</x:v>
      </x:c>
      <x:c r="F579" s="75" t="str">
        <x:f>INDEX('Company Universe'!$C$6:$C$105,MATCH(D579,'Company Universe'!$A$6:$A$105,0))</x:f>
        <x:v>PLD</x:v>
      </x:c>
      <x:c r="G579" s="75" t="str">
        <x:f>INDEX('Company Universe'!$F$6:$F$105,MATCH(D579,'Company Universe'!$A$6:$A$105,0))</x:f>
        <x:v>Real Estate &amp; Telecom</x:v>
      </x:c>
      <x:c r="H579" s="57" t="n">
        <x:v>4</x:v>
      </x:c>
      <x:c r="I579" s="206" t="n"/>
      <x:c r="J579" s="71" t="n"/>
      <x:c r="K579" s="71" t="n"/>
      <x:c r="L579" s="71" t="inlineStr">
        <x:is>
          <x:t xml:space="preserve">NO</x:t>
        </x:is>
      </x:c>
      <x:c r="M579" s="71" t="n"/>
      <x:c r="N579" s="71" t="n"/>
      <x:c r="O579" s="71" t="n"/>
      <x:c r="P579" s="71" t="n"/>
      <x:c r="Q579" s="71" t="n"/>
      <x:c r="R579" s="71" t="n"/>
      <x:c r="S579" s="206" t="n"/>
      <x:c r="T579" s="71" t="n"/>
      <x:c r="U579" s="71" t="n"/>
      <x:c r="V579" s="71" t="n"/>
      <x:c r="W579" s="71" t="n"/>
      <x:c r="X579" s="71" t="n"/>
      <x:c r="Y579" s="71" t="n"/>
      <x:c r="Z579" s="71" t="n"/>
      <x:c r="AA579" s="71" t="n"/>
      <x:c r="AB579" s="71" t="inlineStr">
        <x:is>
          <x:t xml:space="preserve">NO</x:t>
        </x:is>
      </x:c>
      <x:c r="AC579" s="57" t="inlineStr">
        <x:is>
          <x:t xml:space="preserve">V10</x:t>
        </x:is>
      </x:c>
      <x:c r="AD579" s="57" t="n"/>
      <x:c r="AE579" s="79" t="str">
        <x:f>IF(AND(I579&lt;&gt;"",J579&lt;&gt;"",K579&lt;&gt;"",L579="YES",M579&lt;&gt;"",S579&lt;&gt;"",T579&lt;&gt;"",U579&lt;&gt;"",V579&lt;&gt;"",W579&lt;&gt;"",X579&lt;&gt;"",Y579&lt;&gt;""),"COMPLETE","PENDING")</x:f>
        <x:v>PENDING</x:v>
      </x:c>
      <x:c r="AF579" s="79" t="str">
        <x:f>IF(AE579="COMPLETE","YES","NO")</x:f>
        <x:v>NO</x:v>
      </x:c>
      <x:c r="AG579" s="214" t="str">
        <x:f>IF(AF579&lt;&gt;"YES","",(IF(V579="YES",1,0)+IF(W579="YES",1,0))/2)</x:f>
      </x:c>
    </x:row>
    <x:row r="580">
      <x:c r="A580" s="57" t="inlineStr">
        <x:is>
          <x:t xml:space="preserve">C0575</x:t>
        </x:is>
      </x:c>
      <x:c r="B580" s="57" t="inlineStr">
        <x:is>
          <x:t xml:space="preserve">Development</x:t>
        </x:is>
      </x:c>
      <x:c r="C580" s="57" t="inlineStr">
        <x:is>
          <x:t xml:space="preserve">OPEN</x:t>
        </x:is>
      </x:c>
      <x:c r="D580" s="57" t="inlineStr">
        <x:is>
          <x:t xml:space="preserve">ARG-058</x:t>
        </x:is>
      </x:c>
      <x:c r="E580" s="75" t="str">
        <x:f>INDEX('Company Universe'!$B$6:$B$105,MATCH(D580,'Company Universe'!$A$6:$A$105,0))</x:f>
        <x:v>Prologis</x:v>
      </x:c>
      <x:c r="F580" s="75" t="str">
        <x:f>INDEX('Company Universe'!$C$6:$C$105,MATCH(D580,'Company Universe'!$A$6:$A$105,0))</x:f>
        <x:v>PLD</x:v>
      </x:c>
      <x:c r="G580" s="75" t="str">
        <x:f>INDEX('Company Universe'!$F$6:$F$105,MATCH(D580,'Company Universe'!$A$6:$A$105,0))</x:f>
        <x:v>Real Estate &amp; Telecom</x:v>
      </x:c>
      <x:c r="H580" s="57" t="n">
        <x:v>5</x:v>
      </x:c>
      <x:c r="I580" s="206" t="n"/>
      <x:c r="J580" s="71" t="n"/>
      <x:c r="K580" s="71" t="n"/>
      <x:c r="L580" s="71" t="inlineStr">
        <x:is>
          <x:t xml:space="preserve">NO</x:t>
        </x:is>
      </x:c>
      <x:c r="M580" s="71" t="n"/>
      <x:c r="N580" s="71" t="n"/>
      <x:c r="O580" s="71" t="n"/>
      <x:c r="P580" s="71" t="n"/>
      <x:c r="Q580" s="71" t="n"/>
      <x:c r="R580" s="71" t="n"/>
      <x:c r="S580" s="206" t="n"/>
      <x:c r="T580" s="71" t="n"/>
      <x:c r="U580" s="71" t="n"/>
      <x:c r="V580" s="71" t="n"/>
      <x:c r="W580" s="71" t="n"/>
      <x:c r="X580" s="71" t="n"/>
      <x:c r="Y580" s="71" t="n"/>
      <x:c r="Z580" s="71" t="n"/>
      <x:c r="AA580" s="71" t="n"/>
      <x:c r="AB580" s="71" t="inlineStr">
        <x:is>
          <x:t xml:space="preserve">NO</x:t>
        </x:is>
      </x:c>
      <x:c r="AC580" s="57" t="inlineStr">
        <x:is>
          <x:t xml:space="preserve">V10</x:t>
        </x:is>
      </x:c>
      <x:c r="AD580" s="57" t="n"/>
      <x:c r="AE580" s="79" t="str">
        <x:f>IF(AND(I580&lt;&gt;"",J580&lt;&gt;"",K580&lt;&gt;"",L580="YES",M580&lt;&gt;"",S580&lt;&gt;"",T580&lt;&gt;"",U580&lt;&gt;"",V580&lt;&gt;"",W580&lt;&gt;"",X580&lt;&gt;"",Y580&lt;&gt;""),"COMPLETE","PENDING")</x:f>
        <x:v>PENDING</x:v>
      </x:c>
      <x:c r="AF580" s="79" t="str">
        <x:f>IF(AE580="COMPLETE","YES","NO")</x:f>
        <x:v>NO</x:v>
      </x:c>
      <x:c r="AG580" s="214" t="str">
        <x:f>IF(AF580&lt;&gt;"YES","",(IF(V580="YES",1,0)+IF(W580="YES",1,0))/2)</x:f>
      </x:c>
    </x:row>
    <x:row r="581">
      <x:c r="A581" s="57" t="inlineStr">
        <x:is>
          <x:t xml:space="preserve">C0576</x:t>
        </x:is>
      </x:c>
      <x:c r="B581" s="57" t="inlineStr">
        <x:is>
          <x:t xml:space="preserve">Development</x:t>
        </x:is>
      </x:c>
      <x:c r="C581" s="57" t="inlineStr">
        <x:is>
          <x:t xml:space="preserve">OPEN</x:t>
        </x:is>
      </x:c>
      <x:c r="D581" s="57" t="inlineStr">
        <x:is>
          <x:t xml:space="preserve">ARG-058</x:t>
        </x:is>
      </x:c>
      <x:c r="E581" s="75" t="str">
        <x:f>INDEX('Company Universe'!$B$6:$B$105,MATCH(D581,'Company Universe'!$A$6:$A$105,0))</x:f>
        <x:v>Prologis</x:v>
      </x:c>
      <x:c r="F581" s="75" t="str">
        <x:f>INDEX('Company Universe'!$C$6:$C$105,MATCH(D581,'Company Universe'!$A$6:$A$105,0))</x:f>
        <x:v>PLD</x:v>
      </x:c>
      <x:c r="G581" s="75" t="str">
        <x:f>INDEX('Company Universe'!$F$6:$F$105,MATCH(D581,'Company Universe'!$A$6:$A$105,0))</x:f>
        <x:v>Real Estate &amp; Telecom</x:v>
      </x:c>
      <x:c r="H581" s="57" t="n">
        <x:v>6</x:v>
      </x:c>
      <x:c r="I581" s="206" t="n"/>
      <x:c r="J581" s="71" t="n"/>
      <x:c r="K581" s="71" t="n"/>
      <x:c r="L581" s="71" t="inlineStr">
        <x:is>
          <x:t xml:space="preserve">NO</x:t>
        </x:is>
      </x:c>
      <x:c r="M581" s="71" t="n"/>
      <x:c r="N581" s="71" t="n"/>
      <x:c r="O581" s="71" t="n"/>
      <x:c r="P581" s="71" t="n"/>
      <x:c r="Q581" s="71" t="n"/>
      <x:c r="R581" s="71" t="n"/>
      <x:c r="S581" s="206" t="n"/>
      <x:c r="T581" s="71" t="n"/>
      <x:c r="U581" s="71" t="n"/>
      <x:c r="V581" s="71" t="n"/>
      <x:c r="W581" s="71" t="n"/>
      <x:c r="X581" s="71" t="n"/>
      <x:c r="Y581" s="71" t="n"/>
      <x:c r="Z581" s="71" t="n"/>
      <x:c r="AA581" s="71" t="n"/>
      <x:c r="AB581" s="71" t="inlineStr">
        <x:is>
          <x:t xml:space="preserve">NO</x:t>
        </x:is>
      </x:c>
      <x:c r="AC581" s="57" t="inlineStr">
        <x:is>
          <x:t xml:space="preserve">V10</x:t>
        </x:is>
      </x:c>
      <x:c r="AD581" s="57" t="n"/>
      <x:c r="AE581" s="79" t="str">
        <x:f>IF(AND(I581&lt;&gt;"",J581&lt;&gt;"",K581&lt;&gt;"",L581="YES",M581&lt;&gt;"",S581&lt;&gt;"",T581&lt;&gt;"",U581&lt;&gt;"",V581&lt;&gt;"",W581&lt;&gt;"",X581&lt;&gt;"",Y581&lt;&gt;""),"COMPLETE","PENDING")</x:f>
        <x:v>PENDING</x:v>
      </x:c>
      <x:c r="AF581" s="79" t="str">
        <x:f>IF(AE581="COMPLETE","YES","NO")</x:f>
        <x:v>NO</x:v>
      </x:c>
      <x:c r="AG581" s="214" t="str">
        <x:f>IF(AF581&lt;&gt;"YES","",(IF(V581="YES",1,0)+IF(W581="YES",1,0))/2)</x:f>
      </x:c>
    </x:row>
    <x:row r="582">
      <x:c r="A582" s="57" t="inlineStr">
        <x:is>
          <x:t xml:space="preserve">C0577</x:t>
        </x:is>
      </x:c>
      <x:c r="B582" s="57" t="inlineStr">
        <x:is>
          <x:t xml:space="preserve">Development</x:t>
        </x:is>
      </x:c>
      <x:c r="C582" s="57" t="inlineStr">
        <x:is>
          <x:t xml:space="preserve">OPEN</x:t>
        </x:is>
      </x:c>
      <x:c r="D582" s="57" t="inlineStr">
        <x:is>
          <x:t xml:space="preserve">ARG-058</x:t>
        </x:is>
      </x:c>
      <x:c r="E582" s="75" t="str">
        <x:f>INDEX('Company Universe'!$B$6:$B$105,MATCH(D582,'Company Universe'!$A$6:$A$105,0))</x:f>
        <x:v>Prologis</x:v>
      </x:c>
      <x:c r="F582" s="75" t="str">
        <x:f>INDEX('Company Universe'!$C$6:$C$105,MATCH(D582,'Company Universe'!$A$6:$A$105,0))</x:f>
        <x:v>PLD</x:v>
      </x:c>
      <x:c r="G582" s="75" t="str">
        <x:f>INDEX('Company Universe'!$F$6:$F$105,MATCH(D582,'Company Universe'!$A$6:$A$105,0))</x:f>
        <x:v>Real Estate &amp; Telecom</x:v>
      </x:c>
      <x:c r="H582" s="57" t="n">
        <x:v>7</x:v>
      </x:c>
      <x:c r="I582" s="206" t="n"/>
      <x:c r="J582" s="71" t="n"/>
      <x:c r="K582" s="71" t="n"/>
      <x:c r="L582" s="71" t="inlineStr">
        <x:is>
          <x:t xml:space="preserve">NO</x:t>
        </x:is>
      </x:c>
      <x:c r="M582" s="71" t="n"/>
      <x:c r="N582" s="71" t="n"/>
      <x:c r="O582" s="71" t="n"/>
      <x:c r="P582" s="71" t="n"/>
      <x:c r="Q582" s="71" t="n"/>
      <x:c r="R582" s="71" t="n"/>
      <x:c r="S582" s="206" t="n"/>
      <x:c r="T582" s="71" t="n"/>
      <x:c r="U582" s="71" t="n"/>
      <x:c r="V582" s="71" t="n"/>
      <x:c r="W582" s="71" t="n"/>
      <x:c r="X582" s="71" t="n"/>
      <x:c r="Y582" s="71" t="n"/>
      <x:c r="Z582" s="71" t="n"/>
      <x:c r="AA582" s="71" t="n"/>
      <x:c r="AB582" s="71" t="inlineStr">
        <x:is>
          <x:t xml:space="preserve">NO</x:t>
        </x:is>
      </x:c>
      <x:c r="AC582" s="57" t="inlineStr">
        <x:is>
          <x:t xml:space="preserve">V10</x:t>
        </x:is>
      </x:c>
      <x:c r="AD582" s="57" t="n"/>
      <x:c r="AE582" s="79" t="str">
        <x:f>IF(AND(I582&lt;&gt;"",J582&lt;&gt;"",K582&lt;&gt;"",L582="YES",M582&lt;&gt;"",S582&lt;&gt;"",T582&lt;&gt;"",U582&lt;&gt;"",V582&lt;&gt;"",W582&lt;&gt;"",X582&lt;&gt;"",Y582&lt;&gt;""),"COMPLETE","PENDING")</x:f>
        <x:v>PENDING</x:v>
      </x:c>
      <x:c r="AF582" s="79" t="str">
        <x:f>IF(AE582="COMPLETE","YES","NO")</x:f>
        <x:v>NO</x:v>
      </x:c>
      <x:c r="AG582" s="214" t="str">
        <x:f>IF(AF582&lt;&gt;"YES","",(IF(V582="YES",1,0)+IF(W582="YES",1,0))/2)</x:f>
      </x:c>
    </x:row>
    <x:row r="583">
      <x:c r="A583" s="57" t="inlineStr">
        <x:is>
          <x:t xml:space="preserve">C0578</x:t>
        </x:is>
      </x:c>
      <x:c r="B583" s="57" t="inlineStr">
        <x:is>
          <x:t xml:space="preserve">Development</x:t>
        </x:is>
      </x:c>
      <x:c r="C583" s="57" t="inlineStr">
        <x:is>
          <x:t xml:space="preserve">OPEN</x:t>
        </x:is>
      </x:c>
      <x:c r="D583" s="57" t="inlineStr">
        <x:is>
          <x:t xml:space="preserve">ARG-058</x:t>
        </x:is>
      </x:c>
      <x:c r="E583" s="75" t="str">
        <x:f>INDEX('Company Universe'!$B$6:$B$105,MATCH(D583,'Company Universe'!$A$6:$A$105,0))</x:f>
        <x:v>Prologis</x:v>
      </x:c>
      <x:c r="F583" s="75" t="str">
        <x:f>INDEX('Company Universe'!$C$6:$C$105,MATCH(D583,'Company Universe'!$A$6:$A$105,0))</x:f>
        <x:v>PLD</x:v>
      </x:c>
      <x:c r="G583" s="75" t="str">
        <x:f>INDEX('Company Universe'!$F$6:$F$105,MATCH(D583,'Company Universe'!$A$6:$A$105,0))</x:f>
        <x:v>Real Estate &amp; Telecom</x:v>
      </x:c>
      <x:c r="H583" s="57" t="n">
        <x:v>8</x:v>
      </x:c>
      <x:c r="I583" s="206" t="n"/>
      <x:c r="J583" s="71" t="n"/>
      <x:c r="K583" s="71" t="n"/>
      <x:c r="L583" s="71" t="inlineStr">
        <x:is>
          <x:t xml:space="preserve">NO</x:t>
        </x:is>
      </x:c>
      <x:c r="M583" s="71" t="n"/>
      <x:c r="N583" s="71" t="n"/>
      <x:c r="O583" s="71" t="n"/>
      <x:c r="P583" s="71" t="n"/>
      <x:c r="Q583" s="71" t="n"/>
      <x:c r="R583" s="71" t="n"/>
      <x:c r="S583" s="206" t="n"/>
      <x:c r="T583" s="71" t="n"/>
      <x:c r="U583" s="71" t="n"/>
      <x:c r="V583" s="71" t="n"/>
      <x:c r="W583" s="71" t="n"/>
      <x:c r="X583" s="71" t="n"/>
      <x:c r="Y583" s="71" t="n"/>
      <x:c r="Z583" s="71" t="n"/>
      <x:c r="AA583" s="71" t="n"/>
      <x:c r="AB583" s="71" t="inlineStr">
        <x:is>
          <x:t xml:space="preserve">NO</x:t>
        </x:is>
      </x:c>
      <x:c r="AC583" s="57" t="inlineStr">
        <x:is>
          <x:t xml:space="preserve">V10</x:t>
        </x:is>
      </x:c>
      <x:c r="AD583" s="57" t="n"/>
      <x:c r="AE583" s="79" t="str">
        <x:f>IF(AND(I583&lt;&gt;"",J583&lt;&gt;"",K583&lt;&gt;"",L583="YES",M583&lt;&gt;"",S583&lt;&gt;"",T583&lt;&gt;"",U583&lt;&gt;"",V583&lt;&gt;"",W583&lt;&gt;"",X583&lt;&gt;"",Y583&lt;&gt;""),"COMPLETE","PENDING")</x:f>
        <x:v>PENDING</x:v>
      </x:c>
      <x:c r="AF583" s="79" t="str">
        <x:f>IF(AE583="COMPLETE","YES","NO")</x:f>
        <x:v>NO</x:v>
      </x:c>
      <x:c r="AG583" s="214" t="str">
        <x:f>IF(AF583&lt;&gt;"YES","",(IF(V583="YES",1,0)+IF(W583="YES",1,0))/2)</x:f>
      </x:c>
    </x:row>
    <x:row r="584">
      <x:c r="A584" s="57" t="inlineStr">
        <x:is>
          <x:t xml:space="preserve">C0579</x:t>
        </x:is>
      </x:c>
      <x:c r="B584" s="57" t="inlineStr">
        <x:is>
          <x:t xml:space="preserve">Development</x:t>
        </x:is>
      </x:c>
      <x:c r="C584" s="57" t="inlineStr">
        <x:is>
          <x:t xml:space="preserve">OPEN</x:t>
        </x:is>
      </x:c>
      <x:c r="D584" s="57" t="inlineStr">
        <x:is>
          <x:t xml:space="preserve">ARG-058</x:t>
        </x:is>
      </x:c>
      <x:c r="E584" s="75" t="str">
        <x:f>INDEX('Company Universe'!$B$6:$B$105,MATCH(D584,'Company Universe'!$A$6:$A$105,0))</x:f>
        <x:v>Prologis</x:v>
      </x:c>
      <x:c r="F584" s="75" t="str">
        <x:f>INDEX('Company Universe'!$C$6:$C$105,MATCH(D584,'Company Universe'!$A$6:$A$105,0))</x:f>
        <x:v>PLD</x:v>
      </x:c>
      <x:c r="G584" s="75" t="str">
        <x:f>INDEX('Company Universe'!$F$6:$F$105,MATCH(D584,'Company Universe'!$A$6:$A$105,0))</x:f>
        <x:v>Real Estate &amp; Telecom</x:v>
      </x:c>
      <x:c r="H584" s="57" t="n">
        <x:v>9</x:v>
      </x:c>
      <x:c r="I584" s="206" t="n"/>
      <x:c r="J584" s="71" t="n"/>
      <x:c r="K584" s="71" t="n"/>
      <x:c r="L584" s="71" t="inlineStr">
        <x:is>
          <x:t xml:space="preserve">NO</x:t>
        </x:is>
      </x:c>
      <x:c r="M584" s="71" t="n"/>
      <x:c r="N584" s="71" t="n"/>
      <x:c r="O584" s="71" t="n"/>
      <x:c r="P584" s="71" t="n"/>
      <x:c r="Q584" s="71" t="n"/>
      <x:c r="R584" s="71" t="n"/>
      <x:c r="S584" s="206" t="n"/>
      <x:c r="T584" s="71" t="n"/>
      <x:c r="U584" s="71" t="n"/>
      <x:c r="V584" s="71" t="n"/>
      <x:c r="W584" s="71" t="n"/>
      <x:c r="X584" s="71" t="n"/>
      <x:c r="Y584" s="71" t="n"/>
      <x:c r="Z584" s="71" t="n"/>
      <x:c r="AA584" s="71" t="n"/>
      <x:c r="AB584" s="71" t="inlineStr">
        <x:is>
          <x:t xml:space="preserve">NO</x:t>
        </x:is>
      </x:c>
      <x:c r="AC584" s="57" t="inlineStr">
        <x:is>
          <x:t xml:space="preserve">V10</x:t>
        </x:is>
      </x:c>
      <x:c r="AD584" s="57" t="n"/>
      <x:c r="AE584" s="79" t="str">
        <x:f>IF(AND(I584&lt;&gt;"",J584&lt;&gt;"",K584&lt;&gt;"",L584="YES",M584&lt;&gt;"",S584&lt;&gt;"",T584&lt;&gt;"",U584&lt;&gt;"",V584&lt;&gt;"",W584&lt;&gt;"",X584&lt;&gt;"",Y584&lt;&gt;""),"COMPLETE","PENDING")</x:f>
        <x:v>PENDING</x:v>
      </x:c>
      <x:c r="AF584" s="79" t="str">
        <x:f>IF(AE584="COMPLETE","YES","NO")</x:f>
        <x:v>NO</x:v>
      </x:c>
      <x:c r="AG584" s="214" t="str">
        <x:f>IF(AF584&lt;&gt;"YES","",(IF(V584="YES",1,0)+IF(W584="YES",1,0))/2)</x:f>
      </x:c>
    </x:row>
    <x:row r="585">
      <x:c r="A585" s="57" t="inlineStr">
        <x:is>
          <x:t xml:space="preserve">C0580</x:t>
        </x:is>
      </x:c>
      <x:c r="B585" s="57" t="inlineStr">
        <x:is>
          <x:t xml:space="preserve">Development</x:t>
        </x:is>
      </x:c>
      <x:c r="C585" s="57" t="inlineStr">
        <x:is>
          <x:t xml:space="preserve">OPEN</x:t>
        </x:is>
      </x:c>
      <x:c r="D585" s="57" t="inlineStr">
        <x:is>
          <x:t xml:space="preserve">ARG-058</x:t>
        </x:is>
      </x:c>
      <x:c r="E585" s="75" t="str">
        <x:f>INDEX('Company Universe'!$B$6:$B$105,MATCH(D585,'Company Universe'!$A$6:$A$105,0))</x:f>
        <x:v>Prologis</x:v>
      </x:c>
      <x:c r="F585" s="75" t="str">
        <x:f>INDEX('Company Universe'!$C$6:$C$105,MATCH(D585,'Company Universe'!$A$6:$A$105,0))</x:f>
        <x:v>PLD</x:v>
      </x:c>
      <x:c r="G585" s="75" t="str">
        <x:f>INDEX('Company Universe'!$F$6:$F$105,MATCH(D585,'Company Universe'!$A$6:$A$105,0))</x:f>
        <x:v>Real Estate &amp; Telecom</x:v>
      </x:c>
      <x:c r="H585" s="57" t="n">
        <x:v>10</x:v>
      </x:c>
      <x:c r="I585" s="206" t="n"/>
      <x:c r="J585" s="71" t="n"/>
      <x:c r="K585" s="71" t="n"/>
      <x:c r="L585" s="71" t="inlineStr">
        <x:is>
          <x:t xml:space="preserve">NO</x:t>
        </x:is>
      </x:c>
      <x:c r="M585" s="71" t="n"/>
      <x:c r="N585" s="71" t="n"/>
      <x:c r="O585" s="71" t="n"/>
      <x:c r="P585" s="71" t="n"/>
      <x:c r="Q585" s="71" t="n"/>
      <x:c r="R585" s="71" t="n"/>
      <x:c r="S585" s="206" t="n"/>
      <x:c r="T585" s="71" t="n"/>
      <x:c r="U585" s="71" t="n"/>
      <x:c r="V585" s="71" t="n"/>
      <x:c r="W585" s="71" t="n"/>
      <x:c r="X585" s="71" t="n"/>
      <x:c r="Y585" s="71" t="n"/>
      <x:c r="Z585" s="71" t="n"/>
      <x:c r="AA585" s="71" t="n"/>
      <x:c r="AB585" s="71" t="inlineStr">
        <x:is>
          <x:t xml:space="preserve">NO</x:t>
        </x:is>
      </x:c>
      <x:c r="AC585" s="57" t="inlineStr">
        <x:is>
          <x:t xml:space="preserve">V10</x:t>
        </x:is>
      </x:c>
      <x:c r="AD585" s="57" t="n"/>
      <x:c r="AE585" s="79" t="str">
        <x:f>IF(AND(I585&lt;&gt;"",J585&lt;&gt;"",K585&lt;&gt;"",L585="YES",M585&lt;&gt;"",S585&lt;&gt;"",T585&lt;&gt;"",U585&lt;&gt;"",V585&lt;&gt;"",W585&lt;&gt;"",X585&lt;&gt;"",Y585&lt;&gt;""),"COMPLETE","PENDING")</x:f>
        <x:v>PENDING</x:v>
      </x:c>
      <x:c r="AF585" s="79" t="str">
        <x:f>IF(AE585="COMPLETE","YES","NO")</x:f>
        <x:v>NO</x:v>
      </x:c>
      <x:c r="AG585" s="214" t="str">
        <x:f>IF(AF585&lt;&gt;"YES","",(IF(V585="YES",1,0)+IF(W585="YES",1,0))/2)</x:f>
      </x:c>
    </x:row>
    <x:row r="586">
      <x:c r="A586" s="57" t="inlineStr">
        <x:is>
          <x:t xml:space="preserve">C0581</x:t>
        </x:is>
      </x:c>
      <x:c r="B586" s="57" t="inlineStr">
        <x:is>
          <x:t xml:space="preserve">Development</x:t>
        </x:is>
      </x:c>
      <x:c r="C586" s="57" t="inlineStr">
        <x:is>
          <x:t xml:space="preserve">OPEN</x:t>
        </x:is>
      </x:c>
      <x:c r="D586" s="57" t="inlineStr">
        <x:is>
          <x:t xml:space="preserve">ARG-059</x:t>
        </x:is>
      </x:c>
      <x:c r="E586" s="75" t="str">
        <x:f>INDEX('Company Universe'!$B$6:$B$105,MATCH(D586,'Company Universe'!$A$6:$A$105,0))</x:f>
        <x:v>Union Pacific</x:v>
      </x:c>
      <x:c r="F586" s="75" t="str">
        <x:f>INDEX('Company Universe'!$C$6:$C$105,MATCH(D586,'Company Universe'!$A$6:$A$105,0))</x:f>
        <x:v>UNP</x:v>
      </x:c>
      <x:c r="G586" s="75" t="str">
        <x:f>INDEX('Company Universe'!$F$6:$F$105,MATCH(D586,'Company Universe'!$A$6:$A$105,0))</x:f>
        <x:v>Transportation</x:v>
      </x:c>
      <x:c r="H586" s="57" t="n">
        <x:v>1</x:v>
      </x:c>
      <x:c r="I586" s="206" t="n"/>
      <x:c r="J586" s="71" t="n"/>
      <x:c r="K586" s="71" t="n"/>
      <x:c r="L586" s="71" t="inlineStr">
        <x:is>
          <x:t xml:space="preserve">NO</x:t>
        </x:is>
      </x:c>
      <x:c r="M586" s="71" t="n"/>
      <x:c r="N586" s="71" t="n"/>
      <x:c r="O586" s="71" t="n"/>
      <x:c r="P586" s="71" t="n"/>
      <x:c r="Q586" s="71" t="n"/>
      <x:c r="R586" s="71" t="n"/>
      <x:c r="S586" s="206" t="n"/>
      <x:c r="T586" s="71" t="n"/>
      <x:c r="U586" s="71" t="n"/>
      <x:c r="V586" s="71" t="n"/>
      <x:c r="W586" s="71" t="n"/>
      <x:c r="X586" s="71" t="n"/>
      <x:c r="Y586" s="71" t="n"/>
      <x:c r="Z586" s="71" t="n"/>
      <x:c r="AA586" s="71" t="n"/>
      <x:c r="AB586" s="71" t="inlineStr">
        <x:is>
          <x:t xml:space="preserve">NO</x:t>
        </x:is>
      </x:c>
      <x:c r="AC586" s="57" t="inlineStr">
        <x:is>
          <x:t xml:space="preserve">V10</x:t>
        </x:is>
      </x:c>
      <x:c r="AD586" s="57" t="n"/>
      <x:c r="AE586" s="79" t="str">
        <x:f>IF(AND(I586&lt;&gt;"",J586&lt;&gt;"",K586&lt;&gt;"",L586="YES",M586&lt;&gt;"",S586&lt;&gt;"",T586&lt;&gt;"",U586&lt;&gt;"",V586&lt;&gt;"",W586&lt;&gt;"",X586&lt;&gt;"",Y586&lt;&gt;""),"COMPLETE","PENDING")</x:f>
        <x:v>PENDING</x:v>
      </x:c>
      <x:c r="AF586" s="79" t="str">
        <x:f>IF(AE586="COMPLETE","YES","NO")</x:f>
        <x:v>NO</x:v>
      </x:c>
      <x:c r="AG586" s="214" t="str">
        <x:f>IF(AF586&lt;&gt;"YES","",(IF(V586="YES",1,0)+IF(W586="YES",1,0))/2)</x:f>
      </x:c>
    </x:row>
    <x:row r="587">
      <x:c r="A587" s="57" t="inlineStr">
        <x:is>
          <x:t xml:space="preserve">C0582</x:t>
        </x:is>
      </x:c>
      <x:c r="B587" s="57" t="inlineStr">
        <x:is>
          <x:t xml:space="preserve">Development</x:t>
        </x:is>
      </x:c>
      <x:c r="C587" s="57" t="inlineStr">
        <x:is>
          <x:t xml:space="preserve">OPEN</x:t>
        </x:is>
      </x:c>
      <x:c r="D587" s="57" t="inlineStr">
        <x:is>
          <x:t xml:space="preserve">ARG-059</x:t>
        </x:is>
      </x:c>
      <x:c r="E587" s="75" t="str">
        <x:f>INDEX('Company Universe'!$B$6:$B$105,MATCH(D587,'Company Universe'!$A$6:$A$105,0))</x:f>
        <x:v>Union Pacific</x:v>
      </x:c>
      <x:c r="F587" s="75" t="str">
        <x:f>INDEX('Company Universe'!$C$6:$C$105,MATCH(D587,'Company Universe'!$A$6:$A$105,0))</x:f>
        <x:v>UNP</x:v>
      </x:c>
      <x:c r="G587" s="75" t="str">
        <x:f>INDEX('Company Universe'!$F$6:$F$105,MATCH(D587,'Company Universe'!$A$6:$A$105,0))</x:f>
        <x:v>Transportation</x:v>
      </x:c>
      <x:c r="H587" s="57" t="n">
        <x:v>2</x:v>
      </x:c>
      <x:c r="I587" s="206" t="n"/>
      <x:c r="J587" s="71" t="n"/>
      <x:c r="K587" s="71" t="n"/>
      <x:c r="L587" s="71" t="inlineStr">
        <x:is>
          <x:t xml:space="preserve">NO</x:t>
        </x:is>
      </x:c>
      <x:c r="M587" s="71" t="n"/>
      <x:c r="N587" s="71" t="n"/>
      <x:c r="O587" s="71" t="n"/>
      <x:c r="P587" s="71" t="n"/>
      <x:c r="Q587" s="71" t="n"/>
      <x:c r="R587" s="71" t="n"/>
      <x:c r="S587" s="206" t="n"/>
      <x:c r="T587" s="71" t="n"/>
      <x:c r="U587" s="71" t="n"/>
      <x:c r="V587" s="71" t="n"/>
      <x:c r="W587" s="71" t="n"/>
      <x:c r="X587" s="71" t="n"/>
      <x:c r="Y587" s="71" t="n"/>
      <x:c r="Z587" s="71" t="n"/>
      <x:c r="AA587" s="71" t="n"/>
      <x:c r="AB587" s="71" t="inlineStr">
        <x:is>
          <x:t xml:space="preserve">NO</x:t>
        </x:is>
      </x:c>
      <x:c r="AC587" s="57" t="inlineStr">
        <x:is>
          <x:t xml:space="preserve">V10</x:t>
        </x:is>
      </x:c>
      <x:c r="AD587" s="57" t="n"/>
      <x:c r="AE587" s="79" t="str">
        <x:f>IF(AND(I587&lt;&gt;"",J587&lt;&gt;"",K587&lt;&gt;"",L587="YES",M587&lt;&gt;"",S587&lt;&gt;"",T587&lt;&gt;"",U587&lt;&gt;"",V587&lt;&gt;"",W587&lt;&gt;"",X587&lt;&gt;"",Y587&lt;&gt;""),"COMPLETE","PENDING")</x:f>
        <x:v>PENDING</x:v>
      </x:c>
      <x:c r="AF587" s="79" t="str">
        <x:f>IF(AE587="COMPLETE","YES","NO")</x:f>
        <x:v>NO</x:v>
      </x:c>
      <x:c r="AG587" s="214" t="str">
        <x:f>IF(AF587&lt;&gt;"YES","",(IF(V587="YES",1,0)+IF(W587="YES",1,0))/2)</x:f>
      </x:c>
    </x:row>
    <x:row r="588">
      <x:c r="A588" s="57" t="inlineStr">
        <x:is>
          <x:t xml:space="preserve">C0583</x:t>
        </x:is>
      </x:c>
      <x:c r="B588" s="57" t="inlineStr">
        <x:is>
          <x:t xml:space="preserve">Development</x:t>
        </x:is>
      </x:c>
      <x:c r="C588" s="57" t="inlineStr">
        <x:is>
          <x:t xml:space="preserve">OPEN</x:t>
        </x:is>
      </x:c>
      <x:c r="D588" s="57" t="inlineStr">
        <x:is>
          <x:t xml:space="preserve">ARG-059</x:t>
        </x:is>
      </x:c>
      <x:c r="E588" s="75" t="str">
        <x:f>INDEX('Company Universe'!$B$6:$B$105,MATCH(D588,'Company Universe'!$A$6:$A$105,0))</x:f>
        <x:v>Union Pacific</x:v>
      </x:c>
      <x:c r="F588" s="75" t="str">
        <x:f>INDEX('Company Universe'!$C$6:$C$105,MATCH(D588,'Company Universe'!$A$6:$A$105,0))</x:f>
        <x:v>UNP</x:v>
      </x:c>
      <x:c r="G588" s="75" t="str">
        <x:f>INDEX('Company Universe'!$F$6:$F$105,MATCH(D588,'Company Universe'!$A$6:$A$105,0))</x:f>
        <x:v>Transportation</x:v>
      </x:c>
      <x:c r="H588" s="57" t="n">
        <x:v>3</x:v>
      </x:c>
      <x:c r="I588" s="206" t="n"/>
      <x:c r="J588" s="71" t="n"/>
      <x:c r="K588" s="71" t="n"/>
      <x:c r="L588" s="71" t="inlineStr">
        <x:is>
          <x:t xml:space="preserve">NO</x:t>
        </x:is>
      </x:c>
      <x:c r="M588" s="71" t="n"/>
      <x:c r="N588" s="71" t="n"/>
      <x:c r="O588" s="71" t="n"/>
      <x:c r="P588" s="71" t="n"/>
      <x:c r="Q588" s="71" t="n"/>
      <x:c r="R588" s="71" t="n"/>
      <x:c r="S588" s="206" t="n"/>
      <x:c r="T588" s="71" t="n"/>
      <x:c r="U588" s="71" t="n"/>
      <x:c r="V588" s="71" t="n"/>
      <x:c r="W588" s="71" t="n"/>
      <x:c r="X588" s="71" t="n"/>
      <x:c r="Y588" s="71" t="n"/>
      <x:c r="Z588" s="71" t="n"/>
      <x:c r="AA588" s="71" t="n"/>
      <x:c r="AB588" s="71" t="inlineStr">
        <x:is>
          <x:t xml:space="preserve">NO</x:t>
        </x:is>
      </x:c>
      <x:c r="AC588" s="57" t="inlineStr">
        <x:is>
          <x:t xml:space="preserve">V10</x:t>
        </x:is>
      </x:c>
      <x:c r="AD588" s="57" t="n"/>
      <x:c r="AE588" s="79" t="str">
        <x:f>IF(AND(I588&lt;&gt;"",J588&lt;&gt;"",K588&lt;&gt;"",L588="YES",M588&lt;&gt;"",S588&lt;&gt;"",T588&lt;&gt;"",U588&lt;&gt;"",V588&lt;&gt;"",W588&lt;&gt;"",X588&lt;&gt;"",Y588&lt;&gt;""),"COMPLETE","PENDING")</x:f>
        <x:v>PENDING</x:v>
      </x:c>
      <x:c r="AF588" s="79" t="str">
        <x:f>IF(AE588="COMPLETE","YES","NO")</x:f>
        <x:v>NO</x:v>
      </x:c>
      <x:c r="AG588" s="214" t="str">
        <x:f>IF(AF588&lt;&gt;"YES","",(IF(V588="YES",1,0)+IF(W588="YES",1,0))/2)</x:f>
      </x:c>
    </x:row>
    <x:row r="589">
      <x:c r="A589" s="57" t="inlineStr">
        <x:is>
          <x:t xml:space="preserve">C0584</x:t>
        </x:is>
      </x:c>
      <x:c r="B589" s="57" t="inlineStr">
        <x:is>
          <x:t xml:space="preserve">Development</x:t>
        </x:is>
      </x:c>
      <x:c r="C589" s="57" t="inlineStr">
        <x:is>
          <x:t xml:space="preserve">OPEN</x:t>
        </x:is>
      </x:c>
      <x:c r="D589" s="57" t="inlineStr">
        <x:is>
          <x:t xml:space="preserve">ARG-059</x:t>
        </x:is>
      </x:c>
      <x:c r="E589" s="75" t="str">
        <x:f>INDEX('Company Universe'!$B$6:$B$105,MATCH(D589,'Company Universe'!$A$6:$A$105,0))</x:f>
        <x:v>Union Pacific</x:v>
      </x:c>
      <x:c r="F589" s="75" t="str">
        <x:f>INDEX('Company Universe'!$C$6:$C$105,MATCH(D589,'Company Universe'!$A$6:$A$105,0))</x:f>
        <x:v>UNP</x:v>
      </x:c>
      <x:c r="G589" s="75" t="str">
        <x:f>INDEX('Company Universe'!$F$6:$F$105,MATCH(D589,'Company Universe'!$A$6:$A$105,0))</x:f>
        <x:v>Transportation</x:v>
      </x:c>
      <x:c r="H589" s="57" t="n">
        <x:v>4</x:v>
      </x:c>
      <x:c r="I589" s="206" t="n"/>
      <x:c r="J589" s="71" t="n"/>
      <x:c r="K589" s="71" t="n"/>
      <x:c r="L589" s="71" t="inlineStr">
        <x:is>
          <x:t xml:space="preserve">NO</x:t>
        </x:is>
      </x:c>
      <x:c r="M589" s="71" t="n"/>
      <x:c r="N589" s="71" t="n"/>
      <x:c r="O589" s="71" t="n"/>
      <x:c r="P589" s="71" t="n"/>
      <x:c r="Q589" s="71" t="n"/>
      <x:c r="R589" s="71" t="n"/>
      <x:c r="S589" s="206" t="n"/>
      <x:c r="T589" s="71" t="n"/>
      <x:c r="U589" s="71" t="n"/>
      <x:c r="V589" s="71" t="n"/>
      <x:c r="W589" s="71" t="n"/>
      <x:c r="X589" s="71" t="n"/>
      <x:c r="Y589" s="71" t="n"/>
      <x:c r="Z589" s="71" t="n"/>
      <x:c r="AA589" s="71" t="n"/>
      <x:c r="AB589" s="71" t="inlineStr">
        <x:is>
          <x:t xml:space="preserve">NO</x:t>
        </x:is>
      </x:c>
      <x:c r="AC589" s="57" t="inlineStr">
        <x:is>
          <x:t xml:space="preserve">V10</x:t>
        </x:is>
      </x:c>
      <x:c r="AD589" s="57" t="n"/>
      <x:c r="AE589" s="79" t="str">
        <x:f>IF(AND(I589&lt;&gt;"",J589&lt;&gt;"",K589&lt;&gt;"",L589="YES",M589&lt;&gt;"",S589&lt;&gt;"",T589&lt;&gt;"",U589&lt;&gt;"",V589&lt;&gt;"",W589&lt;&gt;"",X589&lt;&gt;"",Y589&lt;&gt;""),"COMPLETE","PENDING")</x:f>
        <x:v>PENDING</x:v>
      </x:c>
      <x:c r="AF589" s="79" t="str">
        <x:f>IF(AE589="COMPLETE","YES","NO")</x:f>
        <x:v>NO</x:v>
      </x:c>
      <x:c r="AG589" s="214" t="str">
        <x:f>IF(AF589&lt;&gt;"YES","",(IF(V589="YES",1,0)+IF(W589="YES",1,0))/2)</x:f>
      </x:c>
    </x:row>
    <x:row r="590">
      <x:c r="A590" s="57" t="inlineStr">
        <x:is>
          <x:t xml:space="preserve">C0585</x:t>
        </x:is>
      </x:c>
      <x:c r="B590" s="57" t="inlineStr">
        <x:is>
          <x:t xml:space="preserve">Development</x:t>
        </x:is>
      </x:c>
      <x:c r="C590" s="57" t="inlineStr">
        <x:is>
          <x:t xml:space="preserve">OPEN</x:t>
        </x:is>
      </x:c>
      <x:c r="D590" s="57" t="inlineStr">
        <x:is>
          <x:t xml:space="preserve">ARG-059</x:t>
        </x:is>
      </x:c>
      <x:c r="E590" s="75" t="str">
        <x:f>INDEX('Company Universe'!$B$6:$B$105,MATCH(D590,'Company Universe'!$A$6:$A$105,0))</x:f>
        <x:v>Union Pacific</x:v>
      </x:c>
      <x:c r="F590" s="75" t="str">
        <x:f>INDEX('Company Universe'!$C$6:$C$105,MATCH(D590,'Company Universe'!$A$6:$A$105,0))</x:f>
        <x:v>UNP</x:v>
      </x:c>
      <x:c r="G590" s="75" t="str">
        <x:f>INDEX('Company Universe'!$F$6:$F$105,MATCH(D590,'Company Universe'!$A$6:$A$105,0))</x:f>
        <x:v>Transportation</x:v>
      </x:c>
      <x:c r="H590" s="57" t="n">
        <x:v>5</x:v>
      </x:c>
      <x:c r="I590" s="206" t="n"/>
      <x:c r="J590" s="71" t="n"/>
      <x:c r="K590" s="71" t="n"/>
      <x:c r="L590" s="71" t="inlineStr">
        <x:is>
          <x:t xml:space="preserve">NO</x:t>
        </x:is>
      </x:c>
      <x:c r="M590" s="71" t="n"/>
      <x:c r="N590" s="71" t="n"/>
      <x:c r="O590" s="71" t="n"/>
      <x:c r="P590" s="71" t="n"/>
      <x:c r="Q590" s="71" t="n"/>
      <x:c r="R590" s="71" t="n"/>
      <x:c r="S590" s="206" t="n"/>
      <x:c r="T590" s="71" t="n"/>
      <x:c r="U590" s="71" t="n"/>
      <x:c r="V590" s="71" t="n"/>
      <x:c r="W590" s="71" t="n"/>
      <x:c r="X590" s="71" t="n"/>
      <x:c r="Y590" s="71" t="n"/>
      <x:c r="Z590" s="71" t="n"/>
      <x:c r="AA590" s="71" t="n"/>
      <x:c r="AB590" s="71" t="inlineStr">
        <x:is>
          <x:t xml:space="preserve">NO</x:t>
        </x:is>
      </x:c>
      <x:c r="AC590" s="57" t="inlineStr">
        <x:is>
          <x:t xml:space="preserve">V10</x:t>
        </x:is>
      </x:c>
      <x:c r="AD590" s="57" t="n"/>
      <x:c r="AE590" s="79" t="str">
        <x:f>IF(AND(I590&lt;&gt;"",J590&lt;&gt;"",K590&lt;&gt;"",L590="YES",M590&lt;&gt;"",S590&lt;&gt;"",T590&lt;&gt;"",U590&lt;&gt;"",V590&lt;&gt;"",W590&lt;&gt;"",X590&lt;&gt;"",Y590&lt;&gt;""),"COMPLETE","PENDING")</x:f>
        <x:v>PENDING</x:v>
      </x:c>
      <x:c r="AF590" s="79" t="str">
        <x:f>IF(AE590="COMPLETE","YES","NO")</x:f>
        <x:v>NO</x:v>
      </x:c>
      <x:c r="AG590" s="214" t="str">
        <x:f>IF(AF590&lt;&gt;"YES","",(IF(V590="YES",1,0)+IF(W590="YES",1,0))/2)</x:f>
      </x:c>
    </x:row>
    <x:row r="591">
      <x:c r="A591" s="57" t="inlineStr">
        <x:is>
          <x:t xml:space="preserve">C0586</x:t>
        </x:is>
      </x:c>
      <x:c r="B591" s="57" t="inlineStr">
        <x:is>
          <x:t xml:space="preserve">Development</x:t>
        </x:is>
      </x:c>
      <x:c r="C591" s="57" t="inlineStr">
        <x:is>
          <x:t xml:space="preserve">OPEN</x:t>
        </x:is>
      </x:c>
      <x:c r="D591" s="57" t="inlineStr">
        <x:is>
          <x:t xml:space="preserve">ARG-059</x:t>
        </x:is>
      </x:c>
      <x:c r="E591" s="75" t="str">
        <x:f>INDEX('Company Universe'!$B$6:$B$105,MATCH(D591,'Company Universe'!$A$6:$A$105,0))</x:f>
        <x:v>Union Pacific</x:v>
      </x:c>
      <x:c r="F591" s="75" t="str">
        <x:f>INDEX('Company Universe'!$C$6:$C$105,MATCH(D591,'Company Universe'!$A$6:$A$105,0))</x:f>
        <x:v>UNP</x:v>
      </x:c>
      <x:c r="G591" s="75" t="str">
        <x:f>INDEX('Company Universe'!$F$6:$F$105,MATCH(D591,'Company Universe'!$A$6:$A$105,0))</x:f>
        <x:v>Transportation</x:v>
      </x:c>
      <x:c r="H591" s="57" t="n">
        <x:v>6</x:v>
      </x:c>
      <x:c r="I591" s="206" t="n"/>
      <x:c r="J591" s="71" t="n"/>
      <x:c r="K591" s="71" t="n"/>
      <x:c r="L591" s="71" t="inlineStr">
        <x:is>
          <x:t xml:space="preserve">NO</x:t>
        </x:is>
      </x:c>
      <x:c r="M591" s="71" t="n"/>
      <x:c r="N591" s="71" t="n"/>
      <x:c r="O591" s="71" t="n"/>
      <x:c r="P591" s="71" t="n"/>
      <x:c r="Q591" s="71" t="n"/>
      <x:c r="R591" s="71" t="n"/>
      <x:c r="S591" s="206" t="n"/>
      <x:c r="T591" s="71" t="n"/>
      <x:c r="U591" s="71" t="n"/>
      <x:c r="V591" s="71" t="n"/>
      <x:c r="W591" s="71" t="n"/>
      <x:c r="X591" s="71" t="n"/>
      <x:c r="Y591" s="71" t="n"/>
      <x:c r="Z591" s="71" t="n"/>
      <x:c r="AA591" s="71" t="n"/>
      <x:c r="AB591" s="71" t="inlineStr">
        <x:is>
          <x:t xml:space="preserve">NO</x:t>
        </x:is>
      </x:c>
      <x:c r="AC591" s="57" t="inlineStr">
        <x:is>
          <x:t xml:space="preserve">V10</x:t>
        </x:is>
      </x:c>
      <x:c r="AD591" s="57" t="n"/>
      <x:c r="AE591" s="79" t="str">
        <x:f>IF(AND(I591&lt;&gt;"",J591&lt;&gt;"",K591&lt;&gt;"",L591="YES",M591&lt;&gt;"",S591&lt;&gt;"",T591&lt;&gt;"",U591&lt;&gt;"",V591&lt;&gt;"",W591&lt;&gt;"",X591&lt;&gt;"",Y591&lt;&gt;""),"COMPLETE","PENDING")</x:f>
        <x:v>PENDING</x:v>
      </x:c>
      <x:c r="AF591" s="79" t="str">
        <x:f>IF(AE591="COMPLETE","YES","NO")</x:f>
        <x:v>NO</x:v>
      </x:c>
      <x:c r="AG591" s="214" t="str">
        <x:f>IF(AF591&lt;&gt;"YES","",(IF(V591="YES",1,0)+IF(W591="YES",1,0))/2)</x:f>
      </x:c>
    </x:row>
    <x:row r="592">
      <x:c r="A592" s="57" t="inlineStr">
        <x:is>
          <x:t xml:space="preserve">C0587</x:t>
        </x:is>
      </x:c>
      <x:c r="B592" s="57" t="inlineStr">
        <x:is>
          <x:t xml:space="preserve">Development</x:t>
        </x:is>
      </x:c>
      <x:c r="C592" s="57" t="inlineStr">
        <x:is>
          <x:t xml:space="preserve">OPEN</x:t>
        </x:is>
      </x:c>
      <x:c r="D592" s="57" t="inlineStr">
        <x:is>
          <x:t xml:space="preserve">ARG-059</x:t>
        </x:is>
      </x:c>
      <x:c r="E592" s="75" t="str">
        <x:f>INDEX('Company Universe'!$B$6:$B$105,MATCH(D592,'Company Universe'!$A$6:$A$105,0))</x:f>
        <x:v>Union Pacific</x:v>
      </x:c>
      <x:c r="F592" s="75" t="str">
        <x:f>INDEX('Company Universe'!$C$6:$C$105,MATCH(D592,'Company Universe'!$A$6:$A$105,0))</x:f>
        <x:v>UNP</x:v>
      </x:c>
      <x:c r="G592" s="75" t="str">
        <x:f>INDEX('Company Universe'!$F$6:$F$105,MATCH(D592,'Company Universe'!$A$6:$A$105,0))</x:f>
        <x:v>Transportation</x:v>
      </x:c>
      <x:c r="H592" s="57" t="n">
        <x:v>7</x:v>
      </x:c>
      <x:c r="I592" s="206" t="n"/>
      <x:c r="J592" s="71" t="n"/>
      <x:c r="K592" s="71" t="n"/>
      <x:c r="L592" s="71" t="inlineStr">
        <x:is>
          <x:t xml:space="preserve">NO</x:t>
        </x:is>
      </x:c>
      <x:c r="M592" s="71" t="n"/>
      <x:c r="N592" s="71" t="n"/>
      <x:c r="O592" s="71" t="n"/>
      <x:c r="P592" s="71" t="n"/>
      <x:c r="Q592" s="71" t="n"/>
      <x:c r="R592" s="71" t="n"/>
      <x:c r="S592" s="206" t="n"/>
      <x:c r="T592" s="71" t="n"/>
      <x:c r="U592" s="71" t="n"/>
      <x:c r="V592" s="71" t="n"/>
      <x:c r="W592" s="71" t="n"/>
      <x:c r="X592" s="71" t="n"/>
      <x:c r="Y592" s="71" t="n"/>
      <x:c r="Z592" s="71" t="n"/>
      <x:c r="AA592" s="71" t="n"/>
      <x:c r="AB592" s="71" t="inlineStr">
        <x:is>
          <x:t xml:space="preserve">NO</x:t>
        </x:is>
      </x:c>
      <x:c r="AC592" s="57" t="inlineStr">
        <x:is>
          <x:t xml:space="preserve">V10</x:t>
        </x:is>
      </x:c>
      <x:c r="AD592" s="57" t="n"/>
      <x:c r="AE592" s="79" t="str">
        <x:f>IF(AND(I592&lt;&gt;"",J592&lt;&gt;"",K592&lt;&gt;"",L592="YES",M592&lt;&gt;"",S592&lt;&gt;"",T592&lt;&gt;"",U592&lt;&gt;"",V592&lt;&gt;"",W592&lt;&gt;"",X592&lt;&gt;"",Y592&lt;&gt;""),"COMPLETE","PENDING")</x:f>
        <x:v>PENDING</x:v>
      </x:c>
      <x:c r="AF592" s="79" t="str">
        <x:f>IF(AE592="COMPLETE","YES","NO")</x:f>
        <x:v>NO</x:v>
      </x:c>
      <x:c r="AG592" s="214" t="str">
        <x:f>IF(AF592&lt;&gt;"YES","",(IF(V592="YES",1,0)+IF(W592="YES",1,0))/2)</x:f>
      </x:c>
    </x:row>
    <x:row r="593">
      <x:c r="A593" s="57" t="inlineStr">
        <x:is>
          <x:t xml:space="preserve">C0588</x:t>
        </x:is>
      </x:c>
      <x:c r="B593" s="57" t="inlineStr">
        <x:is>
          <x:t xml:space="preserve">Development</x:t>
        </x:is>
      </x:c>
      <x:c r="C593" s="57" t="inlineStr">
        <x:is>
          <x:t xml:space="preserve">OPEN</x:t>
        </x:is>
      </x:c>
      <x:c r="D593" s="57" t="inlineStr">
        <x:is>
          <x:t xml:space="preserve">ARG-059</x:t>
        </x:is>
      </x:c>
      <x:c r="E593" s="75" t="str">
        <x:f>INDEX('Company Universe'!$B$6:$B$105,MATCH(D593,'Company Universe'!$A$6:$A$105,0))</x:f>
        <x:v>Union Pacific</x:v>
      </x:c>
      <x:c r="F593" s="75" t="str">
        <x:f>INDEX('Company Universe'!$C$6:$C$105,MATCH(D593,'Company Universe'!$A$6:$A$105,0))</x:f>
        <x:v>UNP</x:v>
      </x:c>
      <x:c r="G593" s="75" t="str">
        <x:f>INDEX('Company Universe'!$F$6:$F$105,MATCH(D593,'Company Universe'!$A$6:$A$105,0))</x:f>
        <x:v>Transportation</x:v>
      </x:c>
      <x:c r="H593" s="57" t="n">
        <x:v>8</x:v>
      </x:c>
      <x:c r="I593" s="206" t="n"/>
      <x:c r="J593" s="71" t="n"/>
      <x:c r="K593" s="71" t="n"/>
      <x:c r="L593" s="71" t="inlineStr">
        <x:is>
          <x:t xml:space="preserve">NO</x:t>
        </x:is>
      </x:c>
      <x:c r="M593" s="71" t="n"/>
      <x:c r="N593" s="71" t="n"/>
      <x:c r="O593" s="71" t="n"/>
      <x:c r="P593" s="71" t="n"/>
      <x:c r="Q593" s="71" t="n"/>
      <x:c r="R593" s="71" t="n"/>
      <x:c r="S593" s="206" t="n"/>
      <x:c r="T593" s="71" t="n"/>
      <x:c r="U593" s="71" t="n"/>
      <x:c r="V593" s="71" t="n"/>
      <x:c r="W593" s="71" t="n"/>
      <x:c r="X593" s="71" t="n"/>
      <x:c r="Y593" s="71" t="n"/>
      <x:c r="Z593" s="71" t="n"/>
      <x:c r="AA593" s="71" t="n"/>
      <x:c r="AB593" s="71" t="inlineStr">
        <x:is>
          <x:t xml:space="preserve">NO</x:t>
        </x:is>
      </x:c>
      <x:c r="AC593" s="57" t="inlineStr">
        <x:is>
          <x:t xml:space="preserve">V10</x:t>
        </x:is>
      </x:c>
      <x:c r="AD593" s="57" t="n"/>
      <x:c r="AE593" s="79" t="str">
        <x:f>IF(AND(I593&lt;&gt;"",J593&lt;&gt;"",K593&lt;&gt;"",L593="YES",M593&lt;&gt;"",S593&lt;&gt;"",T593&lt;&gt;"",U593&lt;&gt;"",V593&lt;&gt;"",W593&lt;&gt;"",X593&lt;&gt;"",Y593&lt;&gt;""),"COMPLETE","PENDING")</x:f>
        <x:v>PENDING</x:v>
      </x:c>
      <x:c r="AF593" s="79" t="str">
        <x:f>IF(AE593="COMPLETE","YES","NO")</x:f>
        <x:v>NO</x:v>
      </x:c>
      <x:c r="AG593" s="214" t="str">
        <x:f>IF(AF593&lt;&gt;"YES","",(IF(V593="YES",1,0)+IF(W593="YES",1,0))/2)</x:f>
      </x:c>
    </x:row>
    <x:row r="594">
      <x:c r="A594" s="57" t="inlineStr">
        <x:is>
          <x:t xml:space="preserve">C0589</x:t>
        </x:is>
      </x:c>
      <x:c r="B594" s="57" t="inlineStr">
        <x:is>
          <x:t xml:space="preserve">Development</x:t>
        </x:is>
      </x:c>
      <x:c r="C594" s="57" t="inlineStr">
        <x:is>
          <x:t xml:space="preserve">OPEN</x:t>
        </x:is>
      </x:c>
      <x:c r="D594" s="57" t="inlineStr">
        <x:is>
          <x:t xml:space="preserve">ARG-059</x:t>
        </x:is>
      </x:c>
      <x:c r="E594" s="75" t="str">
        <x:f>INDEX('Company Universe'!$B$6:$B$105,MATCH(D594,'Company Universe'!$A$6:$A$105,0))</x:f>
        <x:v>Union Pacific</x:v>
      </x:c>
      <x:c r="F594" s="75" t="str">
        <x:f>INDEX('Company Universe'!$C$6:$C$105,MATCH(D594,'Company Universe'!$A$6:$A$105,0))</x:f>
        <x:v>UNP</x:v>
      </x:c>
      <x:c r="G594" s="75" t="str">
        <x:f>INDEX('Company Universe'!$F$6:$F$105,MATCH(D594,'Company Universe'!$A$6:$A$105,0))</x:f>
        <x:v>Transportation</x:v>
      </x:c>
      <x:c r="H594" s="57" t="n">
        <x:v>9</x:v>
      </x:c>
      <x:c r="I594" s="206" t="n"/>
      <x:c r="J594" s="71" t="n"/>
      <x:c r="K594" s="71" t="n"/>
      <x:c r="L594" s="71" t="inlineStr">
        <x:is>
          <x:t xml:space="preserve">NO</x:t>
        </x:is>
      </x:c>
      <x:c r="M594" s="71" t="n"/>
      <x:c r="N594" s="71" t="n"/>
      <x:c r="O594" s="71" t="n"/>
      <x:c r="P594" s="71" t="n"/>
      <x:c r="Q594" s="71" t="n"/>
      <x:c r="R594" s="71" t="n"/>
      <x:c r="S594" s="206" t="n"/>
      <x:c r="T594" s="71" t="n"/>
      <x:c r="U594" s="71" t="n"/>
      <x:c r="V594" s="71" t="n"/>
      <x:c r="W594" s="71" t="n"/>
      <x:c r="X594" s="71" t="n"/>
      <x:c r="Y594" s="71" t="n"/>
      <x:c r="Z594" s="71" t="n"/>
      <x:c r="AA594" s="71" t="n"/>
      <x:c r="AB594" s="71" t="inlineStr">
        <x:is>
          <x:t xml:space="preserve">NO</x:t>
        </x:is>
      </x:c>
      <x:c r="AC594" s="57" t="inlineStr">
        <x:is>
          <x:t xml:space="preserve">V10</x:t>
        </x:is>
      </x:c>
      <x:c r="AD594" s="57" t="n"/>
      <x:c r="AE594" s="79" t="str">
        <x:f>IF(AND(I594&lt;&gt;"",J594&lt;&gt;"",K594&lt;&gt;"",L594="YES",M594&lt;&gt;"",S594&lt;&gt;"",T594&lt;&gt;"",U594&lt;&gt;"",V594&lt;&gt;"",W594&lt;&gt;"",X594&lt;&gt;"",Y594&lt;&gt;""),"COMPLETE","PENDING")</x:f>
        <x:v>PENDING</x:v>
      </x:c>
      <x:c r="AF594" s="79" t="str">
        <x:f>IF(AE594="COMPLETE","YES","NO")</x:f>
        <x:v>NO</x:v>
      </x:c>
      <x:c r="AG594" s="214" t="str">
        <x:f>IF(AF594&lt;&gt;"YES","",(IF(V594="YES",1,0)+IF(W594="YES",1,0))/2)</x:f>
      </x:c>
    </x:row>
    <x:row r="595">
      <x:c r="A595" s="57" t="inlineStr">
        <x:is>
          <x:t xml:space="preserve">C0590</x:t>
        </x:is>
      </x:c>
      <x:c r="B595" s="57" t="inlineStr">
        <x:is>
          <x:t xml:space="preserve">Development</x:t>
        </x:is>
      </x:c>
      <x:c r="C595" s="57" t="inlineStr">
        <x:is>
          <x:t xml:space="preserve">OPEN</x:t>
        </x:is>
      </x:c>
      <x:c r="D595" s="57" t="inlineStr">
        <x:is>
          <x:t xml:space="preserve">ARG-059</x:t>
        </x:is>
      </x:c>
      <x:c r="E595" s="75" t="str">
        <x:f>INDEX('Company Universe'!$B$6:$B$105,MATCH(D595,'Company Universe'!$A$6:$A$105,0))</x:f>
        <x:v>Union Pacific</x:v>
      </x:c>
      <x:c r="F595" s="75" t="str">
        <x:f>INDEX('Company Universe'!$C$6:$C$105,MATCH(D595,'Company Universe'!$A$6:$A$105,0))</x:f>
        <x:v>UNP</x:v>
      </x:c>
      <x:c r="G595" s="75" t="str">
        <x:f>INDEX('Company Universe'!$F$6:$F$105,MATCH(D595,'Company Universe'!$A$6:$A$105,0))</x:f>
        <x:v>Transportation</x:v>
      </x:c>
      <x:c r="H595" s="57" t="n">
        <x:v>10</x:v>
      </x:c>
      <x:c r="I595" s="206" t="n"/>
      <x:c r="J595" s="71" t="n"/>
      <x:c r="K595" s="71" t="n"/>
      <x:c r="L595" s="71" t="inlineStr">
        <x:is>
          <x:t xml:space="preserve">NO</x:t>
        </x:is>
      </x:c>
      <x:c r="M595" s="71" t="n"/>
      <x:c r="N595" s="71" t="n"/>
      <x:c r="O595" s="71" t="n"/>
      <x:c r="P595" s="71" t="n"/>
      <x:c r="Q595" s="71" t="n"/>
      <x:c r="R595" s="71" t="n"/>
      <x:c r="S595" s="206" t="n"/>
      <x:c r="T595" s="71" t="n"/>
      <x:c r="U595" s="71" t="n"/>
      <x:c r="V595" s="71" t="n"/>
      <x:c r="W595" s="71" t="n"/>
      <x:c r="X595" s="71" t="n"/>
      <x:c r="Y595" s="71" t="n"/>
      <x:c r="Z595" s="71" t="n"/>
      <x:c r="AA595" s="71" t="n"/>
      <x:c r="AB595" s="71" t="inlineStr">
        <x:is>
          <x:t xml:space="preserve">NO</x:t>
        </x:is>
      </x:c>
      <x:c r="AC595" s="57" t="inlineStr">
        <x:is>
          <x:t xml:space="preserve">V10</x:t>
        </x:is>
      </x:c>
      <x:c r="AD595" s="57" t="n"/>
      <x:c r="AE595" s="79" t="str">
        <x:f>IF(AND(I595&lt;&gt;"",J595&lt;&gt;"",K595&lt;&gt;"",L595="YES",M595&lt;&gt;"",S595&lt;&gt;"",T595&lt;&gt;"",U595&lt;&gt;"",V595&lt;&gt;"",W595&lt;&gt;"",X595&lt;&gt;"",Y595&lt;&gt;""),"COMPLETE","PENDING")</x:f>
        <x:v>PENDING</x:v>
      </x:c>
      <x:c r="AF595" s="79" t="str">
        <x:f>IF(AE595="COMPLETE","YES","NO")</x:f>
        <x:v>NO</x:v>
      </x:c>
      <x:c r="AG595" s="214" t="str">
        <x:f>IF(AF595&lt;&gt;"YES","",(IF(V595="YES",1,0)+IF(W595="YES",1,0))/2)</x:f>
      </x:c>
    </x:row>
    <x:row r="596">
      <x:c r="A596" s="57" t="inlineStr">
        <x:is>
          <x:t xml:space="preserve">C0591</x:t>
        </x:is>
      </x:c>
      <x:c r="B596" s="57" t="inlineStr">
        <x:is>
          <x:t xml:space="preserve">Development</x:t>
        </x:is>
      </x:c>
      <x:c r="C596" s="57" t="inlineStr">
        <x:is>
          <x:t xml:space="preserve">OPEN</x:t>
        </x:is>
      </x:c>
      <x:c r="D596" s="57" t="inlineStr">
        <x:is>
          <x:t xml:space="preserve">ARG-060</x:t>
        </x:is>
      </x:c>
      <x:c r="E596" s="75" t="str">
        <x:f>INDEX('Company Universe'!$B$6:$B$105,MATCH(D596,'Company Universe'!$A$6:$A$105,0))</x:f>
        <x:v>Palo Alto Networks</x:v>
      </x:c>
      <x:c r="F596" s="75" t="str">
        <x:f>INDEX('Company Universe'!$C$6:$C$105,MATCH(D596,'Company Universe'!$A$6:$A$105,0))</x:f>
        <x:v>PANW</x:v>
      </x:c>
      <x:c r="G596" s="75" t="str">
        <x:f>INDEX('Company Universe'!$F$6:$F$105,MATCH(D596,'Company Universe'!$A$6:$A$105,0))</x:f>
        <x:v>Cybersecurity</x:v>
      </x:c>
      <x:c r="H596" s="57" t="n">
        <x:v>1</x:v>
      </x:c>
      <x:c r="I596" s="206" t="n"/>
      <x:c r="J596" s="71" t="n"/>
      <x:c r="K596" s="71" t="n"/>
      <x:c r="L596" s="71" t="inlineStr">
        <x:is>
          <x:t xml:space="preserve">NO</x:t>
        </x:is>
      </x:c>
      <x:c r="M596" s="71" t="n"/>
      <x:c r="N596" s="71" t="n"/>
      <x:c r="O596" s="71" t="n"/>
      <x:c r="P596" s="71" t="n"/>
      <x:c r="Q596" s="71" t="n"/>
      <x:c r="R596" s="71" t="n"/>
      <x:c r="S596" s="206" t="n"/>
      <x:c r="T596" s="71" t="n"/>
      <x:c r="U596" s="71" t="n"/>
      <x:c r="V596" s="71" t="n"/>
      <x:c r="W596" s="71" t="n"/>
      <x:c r="X596" s="71" t="n"/>
      <x:c r="Y596" s="71" t="n"/>
      <x:c r="Z596" s="71" t="n"/>
      <x:c r="AA596" s="71" t="n"/>
      <x:c r="AB596" s="71" t="inlineStr">
        <x:is>
          <x:t xml:space="preserve">NO</x:t>
        </x:is>
      </x:c>
      <x:c r="AC596" s="57" t="inlineStr">
        <x:is>
          <x:t xml:space="preserve">V10</x:t>
        </x:is>
      </x:c>
      <x:c r="AD596" s="57" t="n"/>
      <x:c r="AE596" s="79" t="str">
        <x:f>IF(AND(I596&lt;&gt;"",J596&lt;&gt;"",K596&lt;&gt;"",L596="YES",M596&lt;&gt;"",S596&lt;&gt;"",T596&lt;&gt;"",U596&lt;&gt;"",V596&lt;&gt;"",W596&lt;&gt;"",X596&lt;&gt;"",Y596&lt;&gt;""),"COMPLETE","PENDING")</x:f>
        <x:v>PENDING</x:v>
      </x:c>
      <x:c r="AF596" s="79" t="str">
        <x:f>IF(AE596="COMPLETE","YES","NO")</x:f>
        <x:v>NO</x:v>
      </x:c>
      <x:c r="AG596" s="214" t="str">
        <x:f>IF(AF596&lt;&gt;"YES","",(IF(V596="YES",1,0)+IF(W596="YES",1,0))/2)</x:f>
      </x:c>
    </x:row>
    <x:row r="597">
      <x:c r="A597" s="57" t="inlineStr">
        <x:is>
          <x:t xml:space="preserve">C0592</x:t>
        </x:is>
      </x:c>
      <x:c r="B597" s="57" t="inlineStr">
        <x:is>
          <x:t xml:space="preserve">Development</x:t>
        </x:is>
      </x:c>
      <x:c r="C597" s="57" t="inlineStr">
        <x:is>
          <x:t xml:space="preserve">OPEN</x:t>
        </x:is>
      </x:c>
      <x:c r="D597" s="57" t="inlineStr">
        <x:is>
          <x:t xml:space="preserve">ARG-060</x:t>
        </x:is>
      </x:c>
      <x:c r="E597" s="75" t="str">
        <x:f>INDEX('Company Universe'!$B$6:$B$105,MATCH(D597,'Company Universe'!$A$6:$A$105,0))</x:f>
        <x:v>Palo Alto Networks</x:v>
      </x:c>
      <x:c r="F597" s="75" t="str">
        <x:f>INDEX('Company Universe'!$C$6:$C$105,MATCH(D597,'Company Universe'!$A$6:$A$105,0))</x:f>
        <x:v>PANW</x:v>
      </x:c>
      <x:c r="G597" s="75" t="str">
        <x:f>INDEX('Company Universe'!$F$6:$F$105,MATCH(D597,'Company Universe'!$A$6:$A$105,0))</x:f>
        <x:v>Cybersecurity</x:v>
      </x:c>
      <x:c r="H597" s="57" t="n">
        <x:v>2</x:v>
      </x:c>
      <x:c r="I597" s="206" t="n"/>
      <x:c r="J597" s="71" t="n"/>
      <x:c r="K597" s="71" t="n"/>
      <x:c r="L597" s="71" t="inlineStr">
        <x:is>
          <x:t xml:space="preserve">NO</x:t>
        </x:is>
      </x:c>
      <x:c r="M597" s="71" t="n"/>
      <x:c r="N597" s="71" t="n"/>
      <x:c r="O597" s="71" t="n"/>
      <x:c r="P597" s="71" t="n"/>
      <x:c r="Q597" s="71" t="n"/>
      <x:c r="R597" s="71" t="n"/>
      <x:c r="S597" s="206" t="n"/>
      <x:c r="T597" s="71" t="n"/>
      <x:c r="U597" s="71" t="n"/>
      <x:c r="V597" s="71" t="n"/>
      <x:c r="W597" s="71" t="n"/>
      <x:c r="X597" s="71" t="n"/>
      <x:c r="Y597" s="71" t="n"/>
      <x:c r="Z597" s="71" t="n"/>
      <x:c r="AA597" s="71" t="n"/>
      <x:c r="AB597" s="71" t="inlineStr">
        <x:is>
          <x:t xml:space="preserve">NO</x:t>
        </x:is>
      </x:c>
      <x:c r="AC597" s="57" t="inlineStr">
        <x:is>
          <x:t xml:space="preserve">V10</x:t>
        </x:is>
      </x:c>
      <x:c r="AD597" s="57" t="n"/>
      <x:c r="AE597" s="79" t="str">
        <x:f>IF(AND(I597&lt;&gt;"",J597&lt;&gt;"",K597&lt;&gt;"",L597="YES",M597&lt;&gt;"",S597&lt;&gt;"",T597&lt;&gt;"",U597&lt;&gt;"",V597&lt;&gt;"",W597&lt;&gt;"",X597&lt;&gt;"",Y597&lt;&gt;""),"COMPLETE","PENDING")</x:f>
        <x:v>PENDING</x:v>
      </x:c>
      <x:c r="AF597" s="79" t="str">
        <x:f>IF(AE597="COMPLETE","YES","NO")</x:f>
        <x:v>NO</x:v>
      </x:c>
      <x:c r="AG597" s="214" t="str">
        <x:f>IF(AF597&lt;&gt;"YES","",(IF(V597="YES",1,0)+IF(W597="YES",1,0))/2)</x:f>
      </x:c>
    </x:row>
    <x:row r="598">
      <x:c r="A598" s="57" t="inlineStr">
        <x:is>
          <x:t xml:space="preserve">C0593</x:t>
        </x:is>
      </x:c>
      <x:c r="B598" s="57" t="inlineStr">
        <x:is>
          <x:t xml:space="preserve">Development</x:t>
        </x:is>
      </x:c>
      <x:c r="C598" s="57" t="inlineStr">
        <x:is>
          <x:t xml:space="preserve">OPEN</x:t>
        </x:is>
      </x:c>
      <x:c r="D598" s="57" t="inlineStr">
        <x:is>
          <x:t xml:space="preserve">ARG-060</x:t>
        </x:is>
      </x:c>
      <x:c r="E598" s="75" t="str">
        <x:f>INDEX('Company Universe'!$B$6:$B$105,MATCH(D598,'Company Universe'!$A$6:$A$105,0))</x:f>
        <x:v>Palo Alto Networks</x:v>
      </x:c>
      <x:c r="F598" s="75" t="str">
        <x:f>INDEX('Company Universe'!$C$6:$C$105,MATCH(D598,'Company Universe'!$A$6:$A$105,0))</x:f>
        <x:v>PANW</x:v>
      </x:c>
      <x:c r="G598" s="75" t="str">
        <x:f>INDEX('Company Universe'!$F$6:$F$105,MATCH(D598,'Company Universe'!$A$6:$A$105,0))</x:f>
        <x:v>Cybersecurity</x:v>
      </x:c>
      <x:c r="H598" s="57" t="n">
        <x:v>3</x:v>
      </x:c>
      <x:c r="I598" s="206" t="n"/>
      <x:c r="J598" s="71" t="n"/>
      <x:c r="K598" s="71" t="n"/>
      <x:c r="L598" s="71" t="inlineStr">
        <x:is>
          <x:t xml:space="preserve">NO</x:t>
        </x:is>
      </x:c>
      <x:c r="M598" s="71" t="n"/>
      <x:c r="N598" s="71" t="n"/>
      <x:c r="O598" s="71" t="n"/>
      <x:c r="P598" s="71" t="n"/>
      <x:c r="Q598" s="71" t="n"/>
      <x:c r="R598" s="71" t="n"/>
      <x:c r="S598" s="206" t="n"/>
      <x:c r="T598" s="71" t="n"/>
      <x:c r="U598" s="71" t="n"/>
      <x:c r="V598" s="71" t="n"/>
      <x:c r="W598" s="71" t="n"/>
      <x:c r="X598" s="71" t="n"/>
      <x:c r="Y598" s="71" t="n"/>
      <x:c r="Z598" s="71" t="n"/>
      <x:c r="AA598" s="71" t="n"/>
      <x:c r="AB598" s="71" t="inlineStr">
        <x:is>
          <x:t xml:space="preserve">NO</x:t>
        </x:is>
      </x:c>
      <x:c r="AC598" s="57" t="inlineStr">
        <x:is>
          <x:t xml:space="preserve">V10</x:t>
        </x:is>
      </x:c>
      <x:c r="AD598" s="57" t="n"/>
      <x:c r="AE598" s="79" t="str">
        <x:f>IF(AND(I598&lt;&gt;"",J598&lt;&gt;"",K598&lt;&gt;"",L598="YES",M598&lt;&gt;"",S598&lt;&gt;"",T598&lt;&gt;"",U598&lt;&gt;"",V598&lt;&gt;"",W598&lt;&gt;"",X598&lt;&gt;"",Y598&lt;&gt;""),"COMPLETE","PENDING")</x:f>
        <x:v>PENDING</x:v>
      </x:c>
      <x:c r="AF598" s="79" t="str">
        <x:f>IF(AE598="COMPLETE","YES","NO")</x:f>
        <x:v>NO</x:v>
      </x:c>
      <x:c r="AG598" s="214" t="str">
        <x:f>IF(AF598&lt;&gt;"YES","",(IF(V598="YES",1,0)+IF(W598="YES",1,0))/2)</x:f>
      </x:c>
    </x:row>
    <x:row r="599">
      <x:c r="A599" s="57" t="inlineStr">
        <x:is>
          <x:t xml:space="preserve">C0594</x:t>
        </x:is>
      </x:c>
      <x:c r="B599" s="57" t="inlineStr">
        <x:is>
          <x:t xml:space="preserve">Development</x:t>
        </x:is>
      </x:c>
      <x:c r="C599" s="57" t="inlineStr">
        <x:is>
          <x:t xml:space="preserve">OPEN</x:t>
        </x:is>
      </x:c>
      <x:c r="D599" s="57" t="inlineStr">
        <x:is>
          <x:t xml:space="preserve">ARG-060</x:t>
        </x:is>
      </x:c>
      <x:c r="E599" s="75" t="str">
        <x:f>INDEX('Company Universe'!$B$6:$B$105,MATCH(D599,'Company Universe'!$A$6:$A$105,0))</x:f>
        <x:v>Palo Alto Networks</x:v>
      </x:c>
      <x:c r="F599" s="75" t="str">
        <x:f>INDEX('Company Universe'!$C$6:$C$105,MATCH(D599,'Company Universe'!$A$6:$A$105,0))</x:f>
        <x:v>PANW</x:v>
      </x:c>
      <x:c r="G599" s="75" t="str">
        <x:f>INDEX('Company Universe'!$F$6:$F$105,MATCH(D599,'Company Universe'!$A$6:$A$105,0))</x:f>
        <x:v>Cybersecurity</x:v>
      </x:c>
      <x:c r="H599" s="57" t="n">
        <x:v>4</x:v>
      </x:c>
      <x:c r="I599" s="206" t="n"/>
      <x:c r="J599" s="71" t="n"/>
      <x:c r="K599" s="71" t="n"/>
      <x:c r="L599" s="71" t="inlineStr">
        <x:is>
          <x:t xml:space="preserve">NO</x:t>
        </x:is>
      </x:c>
      <x:c r="M599" s="71" t="n"/>
      <x:c r="N599" s="71" t="n"/>
      <x:c r="O599" s="71" t="n"/>
      <x:c r="P599" s="71" t="n"/>
      <x:c r="Q599" s="71" t="n"/>
      <x:c r="R599" s="71" t="n"/>
      <x:c r="S599" s="206" t="n"/>
      <x:c r="T599" s="71" t="n"/>
      <x:c r="U599" s="71" t="n"/>
      <x:c r="V599" s="71" t="n"/>
      <x:c r="W599" s="71" t="n"/>
      <x:c r="X599" s="71" t="n"/>
      <x:c r="Y599" s="71" t="n"/>
      <x:c r="Z599" s="71" t="n"/>
      <x:c r="AA599" s="71" t="n"/>
      <x:c r="AB599" s="71" t="inlineStr">
        <x:is>
          <x:t xml:space="preserve">NO</x:t>
        </x:is>
      </x:c>
      <x:c r="AC599" s="57" t="inlineStr">
        <x:is>
          <x:t xml:space="preserve">V10</x:t>
        </x:is>
      </x:c>
      <x:c r="AD599" s="57" t="n"/>
      <x:c r="AE599" s="79" t="str">
        <x:f>IF(AND(I599&lt;&gt;"",J599&lt;&gt;"",K599&lt;&gt;"",L599="YES",M599&lt;&gt;"",S599&lt;&gt;"",T599&lt;&gt;"",U599&lt;&gt;"",V599&lt;&gt;"",W599&lt;&gt;"",X599&lt;&gt;"",Y599&lt;&gt;""),"COMPLETE","PENDING")</x:f>
        <x:v>PENDING</x:v>
      </x:c>
      <x:c r="AF599" s="79" t="str">
        <x:f>IF(AE599="COMPLETE","YES","NO")</x:f>
        <x:v>NO</x:v>
      </x:c>
      <x:c r="AG599" s="214" t="str">
        <x:f>IF(AF599&lt;&gt;"YES","",(IF(V599="YES",1,0)+IF(W599="YES",1,0))/2)</x:f>
      </x:c>
    </x:row>
    <x:row r="600">
      <x:c r="A600" s="57" t="inlineStr">
        <x:is>
          <x:t xml:space="preserve">C0595</x:t>
        </x:is>
      </x:c>
      <x:c r="B600" s="57" t="inlineStr">
        <x:is>
          <x:t xml:space="preserve">Development</x:t>
        </x:is>
      </x:c>
      <x:c r="C600" s="57" t="inlineStr">
        <x:is>
          <x:t xml:space="preserve">OPEN</x:t>
        </x:is>
      </x:c>
      <x:c r="D600" s="57" t="inlineStr">
        <x:is>
          <x:t xml:space="preserve">ARG-060</x:t>
        </x:is>
      </x:c>
      <x:c r="E600" s="75" t="str">
        <x:f>INDEX('Company Universe'!$B$6:$B$105,MATCH(D600,'Company Universe'!$A$6:$A$105,0))</x:f>
        <x:v>Palo Alto Networks</x:v>
      </x:c>
      <x:c r="F600" s="75" t="str">
        <x:f>INDEX('Company Universe'!$C$6:$C$105,MATCH(D600,'Company Universe'!$A$6:$A$105,0))</x:f>
        <x:v>PANW</x:v>
      </x:c>
      <x:c r="G600" s="75" t="str">
        <x:f>INDEX('Company Universe'!$F$6:$F$105,MATCH(D600,'Company Universe'!$A$6:$A$105,0))</x:f>
        <x:v>Cybersecurity</x:v>
      </x:c>
      <x:c r="H600" s="57" t="n">
        <x:v>5</x:v>
      </x:c>
      <x:c r="I600" s="206" t="n"/>
      <x:c r="J600" s="71" t="n"/>
      <x:c r="K600" s="71" t="n"/>
      <x:c r="L600" s="71" t="inlineStr">
        <x:is>
          <x:t xml:space="preserve">NO</x:t>
        </x:is>
      </x:c>
      <x:c r="M600" s="71" t="n"/>
      <x:c r="N600" s="71" t="n"/>
      <x:c r="O600" s="71" t="n"/>
      <x:c r="P600" s="71" t="n"/>
      <x:c r="Q600" s="71" t="n"/>
      <x:c r="R600" s="71" t="n"/>
      <x:c r="S600" s="206" t="n"/>
      <x:c r="T600" s="71" t="n"/>
      <x:c r="U600" s="71" t="n"/>
      <x:c r="V600" s="71" t="n"/>
      <x:c r="W600" s="71" t="n"/>
      <x:c r="X600" s="71" t="n"/>
      <x:c r="Y600" s="71" t="n"/>
      <x:c r="Z600" s="71" t="n"/>
      <x:c r="AA600" s="71" t="n"/>
      <x:c r="AB600" s="71" t="inlineStr">
        <x:is>
          <x:t xml:space="preserve">NO</x:t>
        </x:is>
      </x:c>
      <x:c r="AC600" s="57" t="inlineStr">
        <x:is>
          <x:t xml:space="preserve">V10</x:t>
        </x:is>
      </x:c>
      <x:c r="AD600" s="57" t="n"/>
      <x:c r="AE600" s="79" t="str">
        <x:f>IF(AND(I600&lt;&gt;"",J600&lt;&gt;"",K600&lt;&gt;"",L600="YES",M600&lt;&gt;"",S600&lt;&gt;"",T600&lt;&gt;"",U600&lt;&gt;"",V600&lt;&gt;"",W600&lt;&gt;"",X600&lt;&gt;"",Y600&lt;&gt;""),"COMPLETE","PENDING")</x:f>
        <x:v>PENDING</x:v>
      </x:c>
      <x:c r="AF600" s="79" t="str">
        <x:f>IF(AE600="COMPLETE","YES","NO")</x:f>
        <x:v>NO</x:v>
      </x:c>
      <x:c r="AG600" s="214" t="str">
        <x:f>IF(AF600&lt;&gt;"YES","",(IF(V600="YES",1,0)+IF(W600="YES",1,0))/2)</x:f>
      </x:c>
    </x:row>
    <x:row r="601">
      <x:c r="A601" s="57" t="inlineStr">
        <x:is>
          <x:t xml:space="preserve">C0596</x:t>
        </x:is>
      </x:c>
      <x:c r="B601" s="57" t="inlineStr">
        <x:is>
          <x:t xml:space="preserve">Development</x:t>
        </x:is>
      </x:c>
      <x:c r="C601" s="57" t="inlineStr">
        <x:is>
          <x:t xml:space="preserve">OPEN</x:t>
        </x:is>
      </x:c>
      <x:c r="D601" s="57" t="inlineStr">
        <x:is>
          <x:t xml:space="preserve">ARG-060</x:t>
        </x:is>
      </x:c>
      <x:c r="E601" s="75" t="str">
        <x:f>INDEX('Company Universe'!$B$6:$B$105,MATCH(D601,'Company Universe'!$A$6:$A$105,0))</x:f>
        <x:v>Palo Alto Networks</x:v>
      </x:c>
      <x:c r="F601" s="75" t="str">
        <x:f>INDEX('Company Universe'!$C$6:$C$105,MATCH(D601,'Company Universe'!$A$6:$A$105,0))</x:f>
        <x:v>PANW</x:v>
      </x:c>
      <x:c r="G601" s="75" t="str">
        <x:f>INDEX('Company Universe'!$F$6:$F$105,MATCH(D601,'Company Universe'!$A$6:$A$105,0))</x:f>
        <x:v>Cybersecurity</x:v>
      </x:c>
      <x:c r="H601" s="57" t="n">
        <x:v>6</x:v>
      </x:c>
      <x:c r="I601" s="206" t="n"/>
      <x:c r="J601" s="71" t="n"/>
      <x:c r="K601" s="71" t="n"/>
      <x:c r="L601" s="71" t="inlineStr">
        <x:is>
          <x:t xml:space="preserve">NO</x:t>
        </x:is>
      </x:c>
      <x:c r="M601" s="71" t="n"/>
      <x:c r="N601" s="71" t="n"/>
      <x:c r="O601" s="71" t="n"/>
      <x:c r="P601" s="71" t="n"/>
      <x:c r="Q601" s="71" t="n"/>
      <x:c r="R601" s="71" t="n"/>
      <x:c r="S601" s="206" t="n"/>
      <x:c r="T601" s="71" t="n"/>
      <x:c r="U601" s="71" t="n"/>
      <x:c r="V601" s="71" t="n"/>
      <x:c r="W601" s="71" t="n"/>
      <x:c r="X601" s="71" t="n"/>
      <x:c r="Y601" s="71" t="n"/>
      <x:c r="Z601" s="71" t="n"/>
      <x:c r="AA601" s="71" t="n"/>
      <x:c r="AB601" s="71" t="inlineStr">
        <x:is>
          <x:t xml:space="preserve">NO</x:t>
        </x:is>
      </x:c>
      <x:c r="AC601" s="57" t="inlineStr">
        <x:is>
          <x:t xml:space="preserve">V10</x:t>
        </x:is>
      </x:c>
      <x:c r="AD601" s="57" t="n"/>
      <x:c r="AE601" s="79" t="str">
        <x:f>IF(AND(I601&lt;&gt;"",J601&lt;&gt;"",K601&lt;&gt;"",L601="YES",M601&lt;&gt;"",S601&lt;&gt;"",T601&lt;&gt;"",U601&lt;&gt;"",V601&lt;&gt;"",W601&lt;&gt;"",X601&lt;&gt;"",Y601&lt;&gt;""),"COMPLETE","PENDING")</x:f>
        <x:v>PENDING</x:v>
      </x:c>
      <x:c r="AF601" s="79" t="str">
        <x:f>IF(AE601="COMPLETE","YES","NO")</x:f>
        <x:v>NO</x:v>
      </x:c>
      <x:c r="AG601" s="214" t="str">
        <x:f>IF(AF601&lt;&gt;"YES","",(IF(V601="YES",1,0)+IF(W601="YES",1,0))/2)</x:f>
      </x:c>
    </x:row>
    <x:row r="602">
      <x:c r="A602" s="57" t="inlineStr">
        <x:is>
          <x:t xml:space="preserve">C0597</x:t>
        </x:is>
      </x:c>
      <x:c r="B602" s="57" t="inlineStr">
        <x:is>
          <x:t xml:space="preserve">Development</x:t>
        </x:is>
      </x:c>
      <x:c r="C602" s="57" t="inlineStr">
        <x:is>
          <x:t xml:space="preserve">OPEN</x:t>
        </x:is>
      </x:c>
      <x:c r="D602" s="57" t="inlineStr">
        <x:is>
          <x:t xml:space="preserve">ARG-060</x:t>
        </x:is>
      </x:c>
      <x:c r="E602" s="75" t="str">
        <x:f>INDEX('Company Universe'!$B$6:$B$105,MATCH(D602,'Company Universe'!$A$6:$A$105,0))</x:f>
        <x:v>Palo Alto Networks</x:v>
      </x:c>
      <x:c r="F602" s="75" t="str">
        <x:f>INDEX('Company Universe'!$C$6:$C$105,MATCH(D602,'Company Universe'!$A$6:$A$105,0))</x:f>
        <x:v>PANW</x:v>
      </x:c>
      <x:c r="G602" s="75" t="str">
        <x:f>INDEX('Company Universe'!$F$6:$F$105,MATCH(D602,'Company Universe'!$A$6:$A$105,0))</x:f>
        <x:v>Cybersecurity</x:v>
      </x:c>
      <x:c r="H602" s="57" t="n">
        <x:v>7</x:v>
      </x:c>
      <x:c r="I602" s="206" t="n"/>
      <x:c r="J602" s="71" t="n"/>
      <x:c r="K602" s="71" t="n"/>
      <x:c r="L602" s="71" t="inlineStr">
        <x:is>
          <x:t xml:space="preserve">NO</x:t>
        </x:is>
      </x:c>
      <x:c r="M602" s="71" t="n"/>
      <x:c r="N602" s="71" t="n"/>
      <x:c r="O602" s="71" t="n"/>
      <x:c r="P602" s="71" t="n"/>
      <x:c r="Q602" s="71" t="n"/>
      <x:c r="R602" s="71" t="n"/>
      <x:c r="S602" s="206" t="n"/>
      <x:c r="T602" s="71" t="n"/>
      <x:c r="U602" s="71" t="n"/>
      <x:c r="V602" s="71" t="n"/>
      <x:c r="W602" s="71" t="n"/>
      <x:c r="X602" s="71" t="n"/>
      <x:c r="Y602" s="71" t="n"/>
      <x:c r="Z602" s="71" t="n"/>
      <x:c r="AA602" s="71" t="n"/>
      <x:c r="AB602" s="71" t="inlineStr">
        <x:is>
          <x:t xml:space="preserve">NO</x:t>
        </x:is>
      </x:c>
      <x:c r="AC602" s="57" t="inlineStr">
        <x:is>
          <x:t xml:space="preserve">V10</x:t>
        </x:is>
      </x:c>
      <x:c r="AD602" s="57" t="n"/>
      <x:c r="AE602" s="79" t="str">
        <x:f>IF(AND(I602&lt;&gt;"",J602&lt;&gt;"",K602&lt;&gt;"",L602="YES",M602&lt;&gt;"",S602&lt;&gt;"",T602&lt;&gt;"",U602&lt;&gt;"",V602&lt;&gt;"",W602&lt;&gt;"",X602&lt;&gt;"",Y602&lt;&gt;""),"COMPLETE","PENDING")</x:f>
        <x:v>PENDING</x:v>
      </x:c>
      <x:c r="AF602" s="79" t="str">
        <x:f>IF(AE602="COMPLETE","YES","NO")</x:f>
        <x:v>NO</x:v>
      </x:c>
      <x:c r="AG602" s="214" t="str">
        <x:f>IF(AF602&lt;&gt;"YES","",(IF(V602="YES",1,0)+IF(W602="YES",1,0))/2)</x:f>
      </x:c>
    </x:row>
    <x:row r="603">
      <x:c r="A603" s="57" t="inlineStr">
        <x:is>
          <x:t xml:space="preserve">C0598</x:t>
        </x:is>
      </x:c>
      <x:c r="B603" s="57" t="inlineStr">
        <x:is>
          <x:t xml:space="preserve">Development</x:t>
        </x:is>
      </x:c>
      <x:c r="C603" s="57" t="inlineStr">
        <x:is>
          <x:t xml:space="preserve">OPEN</x:t>
        </x:is>
      </x:c>
      <x:c r="D603" s="57" t="inlineStr">
        <x:is>
          <x:t xml:space="preserve">ARG-060</x:t>
        </x:is>
      </x:c>
      <x:c r="E603" s="75" t="str">
        <x:f>INDEX('Company Universe'!$B$6:$B$105,MATCH(D603,'Company Universe'!$A$6:$A$105,0))</x:f>
        <x:v>Palo Alto Networks</x:v>
      </x:c>
      <x:c r="F603" s="75" t="str">
        <x:f>INDEX('Company Universe'!$C$6:$C$105,MATCH(D603,'Company Universe'!$A$6:$A$105,0))</x:f>
        <x:v>PANW</x:v>
      </x:c>
      <x:c r="G603" s="75" t="str">
        <x:f>INDEX('Company Universe'!$F$6:$F$105,MATCH(D603,'Company Universe'!$A$6:$A$105,0))</x:f>
        <x:v>Cybersecurity</x:v>
      </x:c>
      <x:c r="H603" s="57" t="n">
        <x:v>8</x:v>
      </x:c>
      <x:c r="I603" s="206" t="n"/>
      <x:c r="J603" s="71" t="n"/>
      <x:c r="K603" s="71" t="n"/>
      <x:c r="L603" s="71" t="inlineStr">
        <x:is>
          <x:t xml:space="preserve">NO</x:t>
        </x:is>
      </x:c>
      <x:c r="M603" s="71" t="n"/>
      <x:c r="N603" s="71" t="n"/>
      <x:c r="O603" s="71" t="n"/>
      <x:c r="P603" s="71" t="n"/>
      <x:c r="Q603" s="71" t="n"/>
      <x:c r="R603" s="71" t="n"/>
      <x:c r="S603" s="206" t="n"/>
      <x:c r="T603" s="71" t="n"/>
      <x:c r="U603" s="71" t="n"/>
      <x:c r="V603" s="71" t="n"/>
      <x:c r="W603" s="71" t="n"/>
      <x:c r="X603" s="71" t="n"/>
      <x:c r="Y603" s="71" t="n"/>
      <x:c r="Z603" s="71" t="n"/>
      <x:c r="AA603" s="71" t="n"/>
      <x:c r="AB603" s="71" t="inlineStr">
        <x:is>
          <x:t xml:space="preserve">NO</x:t>
        </x:is>
      </x:c>
      <x:c r="AC603" s="57" t="inlineStr">
        <x:is>
          <x:t xml:space="preserve">V10</x:t>
        </x:is>
      </x:c>
      <x:c r="AD603" s="57" t="n"/>
      <x:c r="AE603" s="79" t="str">
        <x:f>IF(AND(I603&lt;&gt;"",J603&lt;&gt;"",K603&lt;&gt;"",L603="YES",M603&lt;&gt;"",S603&lt;&gt;"",T603&lt;&gt;"",U603&lt;&gt;"",V603&lt;&gt;"",W603&lt;&gt;"",X603&lt;&gt;"",Y603&lt;&gt;""),"COMPLETE","PENDING")</x:f>
        <x:v>PENDING</x:v>
      </x:c>
      <x:c r="AF603" s="79" t="str">
        <x:f>IF(AE603="COMPLETE","YES","NO")</x:f>
        <x:v>NO</x:v>
      </x:c>
      <x:c r="AG603" s="214" t="str">
        <x:f>IF(AF603&lt;&gt;"YES","",(IF(V603="YES",1,0)+IF(W603="YES",1,0))/2)</x:f>
      </x:c>
    </x:row>
    <x:row r="604">
      <x:c r="A604" s="57" t="inlineStr">
        <x:is>
          <x:t xml:space="preserve">C0599</x:t>
        </x:is>
      </x:c>
      <x:c r="B604" s="57" t="inlineStr">
        <x:is>
          <x:t xml:space="preserve">Development</x:t>
        </x:is>
      </x:c>
      <x:c r="C604" s="57" t="inlineStr">
        <x:is>
          <x:t xml:space="preserve">OPEN</x:t>
        </x:is>
      </x:c>
      <x:c r="D604" s="57" t="inlineStr">
        <x:is>
          <x:t xml:space="preserve">ARG-060</x:t>
        </x:is>
      </x:c>
      <x:c r="E604" s="75" t="str">
        <x:f>INDEX('Company Universe'!$B$6:$B$105,MATCH(D604,'Company Universe'!$A$6:$A$105,0))</x:f>
        <x:v>Palo Alto Networks</x:v>
      </x:c>
      <x:c r="F604" s="75" t="str">
        <x:f>INDEX('Company Universe'!$C$6:$C$105,MATCH(D604,'Company Universe'!$A$6:$A$105,0))</x:f>
        <x:v>PANW</x:v>
      </x:c>
      <x:c r="G604" s="75" t="str">
        <x:f>INDEX('Company Universe'!$F$6:$F$105,MATCH(D604,'Company Universe'!$A$6:$A$105,0))</x:f>
        <x:v>Cybersecurity</x:v>
      </x:c>
      <x:c r="H604" s="57" t="n">
        <x:v>9</x:v>
      </x:c>
      <x:c r="I604" s="206" t="n"/>
      <x:c r="J604" s="71" t="n"/>
      <x:c r="K604" s="71" t="n"/>
      <x:c r="L604" s="71" t="inlineStr">
        <x:is>
          <x:t xml:space="preserve">NO</x:t>
        </x:is>
      </x:c>
      <x:c r="M604" s="71" t="n"/>
      <x:c r="N604" s="71" t="n"/>
      <x:c r="O604" s="71" t="n"/>
      <x:c r="P604" s="71" t="n"/>
      <x:c r="Q604" s="71" t="n"/>
      <x:c r="R604" s="71" t="n"/>
      <x:c r="S604" s="206" t="n"/>
      <x:c r="T604" s="71" t="n"/>
      <x:c r="U604" s="71" t="n"/>
      <x:c r="V604" s="71" t="n"/>
      <x:c r="W604" s="71" t="n"/>
      <x:c r="X604" s="71" t="n"/>
      <x:c r="Y604" s="71" t="n"/>
      <x:c r="Z604" s="71" t="n"/>
      <x:c r="AA604" s="71" t="n"/>
      <x:c r="AB604" s="71" t="inlineStr">
        <x:is>
          <x:t xml:space="preserve">NO</x:t>
        </x:is>
      </x:c>
      <x:c r="AC604" s="57" t="inlineStr">
        <x:is>
          <x:t xml:space="preserve">V10</x:t>
        </x:is>
      </x:c>
      <x:c r="AD604" s="57" t="n"/>
      <x:c r="AE604" s="79" t="str">
        <x:f>IF(AND(I604&lt;&gt;"",J604&lt;&gt;"",K604&lt;&gt;"",L604="YES",M604&lt;&gt;"",S604&lt;&gt;"",T604&lt;&gt;"",U604&lt;&gt;"",V604&lt;&gt;"",W604&lt;&gt;"",X604&lt;&gt;"",Y604&lt;&gt;""),"COMPLETE","PENDING")</x:f>
        <x:v>PENDING</x:v>
      </x:c>
      <x:c r="AF604" s="79" t="str">
        <x:f>IF(AE604="COMPLETE","YES","NO")</x:f>
        <x:v>NO</x:v>
      </x:c>
      <x:c r="AG604" s="214" t="str">
        <x:f>IF(AF604&lt;&gt;"YES","",(IF(V604="YES",1,0)+IF(W604="YES",1,0))/2)</x:f>
      </x:c>
    </x:row>
    <x:row r="605">
      <x:c r="A605" s="57" t="inlineStr">
        <x:is>
          <x:t xml:space="preserve">C0600</x:t>
        </x:is>
      </x:c>
      <x:c r="B605" s="57" t="inlineStr">
        <x:is>
          <x:t xml:space="preserve">Development</x:t>
        </x:is>
      </x:c>
      <x:c r="C605" s="57" t="inlineStr">
        <x:is>
          <x:t xml:space="preserve">OPEN</x:t>
        </x:is>
      </x:c>
      <x:c r="D605" s="57" t="inlineStr">
        <x:is>
          <x:t xml:space="preserve">ARG-060</x:t>
        </x:is>
      </x:c>
      <x:c r="E605" s="75" t="str">
        <x:f>INDEX('Company Universe'!$B$6:$B$105,MATCH(D605,'Company Universe'!$A$6:$A$105,0))</x:f>
        <x:v>Palo Alto Networks</x:v>
      </x:c>
      <x:c r="F605" s="75" t="str">
        <x:f>INDEX('Company Universe'!$C$6:$C$105,MATCH(D605,'Company Universe'!$A$6:$A$105,0))</x:f>
        <x:v>PANW</x:v>
      </x:c>
      <x:c r="G605" s="75" t="str">
        <x:f>INDEX('Company Universe'!$F$6:$F$105,MATCH(D605,'Company Universe'!$A$6:$A$105,0))</x:f>
        <x:v>Cybersecurity</x:v>
      </x:c>
      <x:c r="H605" s="57" t="n">
        <x:v>10</x:v>
      </x:c>
      <x:c r="I605" s="206" t="n"/>
      <x:c r="J605" s="71" t="n"/>
      <x:c r="K605" s="71" t="n"/>
      <x:c r="L605" s="71" t="inlineStr">
        <x:is>
          <x:t xml:space="preserve">NO</x:t>
        </x:is>
      </x:c>
      <x:c r="M605" s="71" t="n"/>
      <x:c r="N605" s="71" t="n"/>
      <x:c r="O605" s="71" t="n"/>
      <x:c r="P605" s="71" t="n"/>
      <x:c r="Q605" s="71" t="n"/>
      <x:c r="R605" s="71" t="n"/>
      <x:c r="S605" s="206" t="n"/>
      <x:c r="T605" s="71" t="n"/>
      <x:c r="U605" s="71" t="n"/>
      <x:c r="V605" s="71" t="n"/>
      <x:c r="W605" s="71" t="n"/>
      <x:c r="X605" s="71" t="n"/>
      <x:c r="Y605" s="71" t="n"/>
      <x:c r="Z605" s="71" t="n"/>
      <x:c r="AA605" s="71" t="n"/>
      <x:c r="AB605" s="71" t="inlineStr">
        <x:is>
          <x:t xml:space="preserve">NO</x:t>
        </x:is>
      </x:c>
      <x:c r="AC605" s="57" t="inlineStr">
        <x:is>
          <x:t xml:space="preserve">V10</x:t>
        </x:is>
      </x:c>
      <x:c r="AD605" s="57" t="n"/>
      <x:c r="AE605" s="79" t="str">
        <x:f>IF(AND(I605&lt;&gt;"",J605&lt;&gt;"",K605&lt;&gt;"",L605="YES",M605&lt;&gt;"",S605&lt;&gt;"",T605&lt;&gt;"",U605&lt;&gt;"",V605&lt;&gt;"",W605&lt;&gt;"",X605&lt;&gt;"",Y605&lt;&gt;""),"COMPLETE","PENDING")</x:f>
        <x:v>PENDING</x:v>
      </x:c>
      <x:c r="AF605" s="79" t="str">
        <x:f>IF(AE605="COMPLETE","YES","NO")</x:f>
        <x:v>NO</x:v>
      </x:c>
      <x:c r="AG605" s="214" t="str">
        <x:f>IF(AF605&lt;&gt;"YES","",(IF(V605="YES",1,0)+IF(W605="YES",1,0))/2)</x:f>
      </x:c>
    </x:row>
    <x:row r="606">
      <x:c r="A606" s="57" t="inlineStr">
        <x:is>
          <x:t xml:space="preserve">C0601</x:t>
        </x:is>
      </x:c>
      <x:c r="B606" s="57" t="inlineStr">
        <x:is>
          <x:t xml:space="preserve">Validation</x:t>
        </x:is>
      </x:c>
      <x:c r="C606" s="57" t="inlineStr">
        <x:is>
          <x:t xml:space="preserve">OPEN</x:t>
        </x:is>
      </x:c>
      <x:c r="D606" s="57" t="inlineStr">
        <x:is>
          <x:t xml:space="preserve">ARG-061</x:t>
        </x:is>
      </x:c>
      <x:c r="E606" s="75" t="str">
        <x:f>INDEX('Company Universe'!$B$6:$B$105,MATCH(D606,'Company Universe'!$A$6:$A$105,0))</x:f>
        <x:v>Scorpio Tankers</x:v>
      </x:c>
      <x:c r="F606" s="75" t="str">
        <x:f>INDEX('Company Universe'!$C$6:$C$105,MATCH(D606,'Company Universe'!$A$6:$A$105,0))</x:f>
        <x:v>STNG</x:v>
      </x:c>
      <x:c r="G606" s="75" t="str">
        <x:f>INDEX('Company Universe'!$F$6:$F$105,MATCH(D606,'Company Universe'!$A$6:$A$105,0))</x:f>
        <x:v>Shipping</x:v>
      </x:c>
      <x:c r="H606" s="57" t="n">
        <x:v>1</x:v>
      </x:c>
      <x:c r="I606" s="206" t="n"/>
      <x:c r="J606" s="71" t="n"/>
      <x:c r="K606" s="71" t="n"/>
      <x:c r="L606" s="71" t="inlineStr">
        <x:is>
          <x:t xml:space="preserve">NO</x:t>
        </x:is>
      </x:c>
      <x:c r="M606" s="71" t="n"/>
      <x:c r="N606" s="71" t="n"/>
      <x:c r="O606" s="71" t="n"/>
      <x:c r="P606" s="71" t="n"/>
      <x:c r="Q606" s="71" t="n"/>
      <x:c r="R606" s="71" t="n"/>
      <x:c r="S606" s="206" t="n"/>
      <x:c r="T606" s="71" t="n"/>
      <x:c r="U606" s="71" t="n"/>
      <x:c r="V606" s="71" t="n"/>
      <x:c r="W606" s="71" t="n"/>
      <x:c r="X606" s="71" t="n"/>
      <x:c r="Y606" s="71" t="n"/>
      <x:c r="Z606" s="71" t="n"/>
      <x:c r="AA606" s="71" t="n"/>
      <x:c r="AB606" s="71" t="inlineStr">
        <x:is>
          <x:t xml:space="preserve">NO</x:t>
        </x:is>
      </x:c>
      <x:c r="AC606" s="57" t="inlineStr">
        <x:is>
          <x:t xml:space="preserve">V10</x:t>
        </x:is>
      </x:c>
      <x:c r="AD606" s="57" t="n"/>
      <x:c r="AE606" s="79" t="str">
        <x:f>IF(AND(I606&lt;&gt;"",J606&lt;&gt;"",K606&lt;&gt;"",L606="YES",M606&lt;&gt;"",S606&lt;&gt;"",T606&lt;&gt;"",U606&lt;&gt;"",V606&lt;&gt;"",W606&lt;&gt;"",X606&lt;&gt;"",Y606&lt;&gt;""),"COMPLETE","PENDING")</x:f>
        <x:v>PENDING</x:v>
      </x:c>
      <x:c r="AF606" s="79" t="str">
        <x:f>IF(AE606="COMPLETE","YES","NO")</x:f>
        <x:v>NO</x:v>
      </x:c>
      <x:c r="AG606" s="214" t="str">
        <x:f>IF(AF606&lt;&gt;"YES","",(IF(V606="YES",1,0)+IF(W606="YES",1,0))/2)</x:f>
      </x:c>
    </x:row>
    <x:row r="607">
      <x:c r="A607" s="57" t="inlineStr">
        <x:is>
          <x:t xml:space="preserve">C0602</x:t>
        </x:is>
      </x:c>
      <x:c r="B607" s="57" t="inlineStr">
        <x:is>
          <x:t xml:space="preserve">Validation</x:t>
        </x:is>
      </x:c>
      <x:c r="C607" s="57" t="inlineStr">
        <x:is>
          <x:t xml:space="preserve">OPEN</x:t>
        </x:is>
      </x:c>
      <x:c r="D607" s="57" t="inlineStr">
        <x:is>
          <x:t xml:space="preserve">ARG-061</x:t>
        </x:is>
      </x:c>
      <x:c r="E607" s="75" t="str">
        <x:f>INDEX('Company Universe'!$B$6:$B$105,MATCH(D607,'Company Universe'!$A$6:$A$105,0))</x:f>
        <x:v>Scorpio Tankers</x:v>
      </x:c>
      <x:c r="F607" s="75" t="str">
        <x:f>INDEX('Company Universe'!$C$6:$C$105,MATCH(D607,'Company Universe'!$A$6:$A$105,0))</x:f>
        <x:v>STNG</x:v>
      </x:c>
      <x:c r="G607" s="75" t="str">
        <x:f>INDEX('Company Universe'!$F$6:$F$105,MATCH(D607,'Company Universe'!$A$6:$A$105,0))</x:f>
        <x:v>Shipping</x:v>
      </x:c>
      <x:c r="H607" s="57" t="n">
        <x:v>2</x:v>
      </x:c>
      <x:c r="I607" s="206" t="n"/>
      <x:c r="J607" s="71" t="n"/>
      <x:c r="K607" s="71" t="n"/>
      <x:c r="L607" s="71" t="inlineStr">
        <x:is>
          <x:t xml:space="preserve">NO</x:t>
        </x:is>
      </x:c>
      <x:c r="M607" s="71" t="n"/>
      <x:c r="N607" s="71" t="n"/>
      <x:c r="O607" s="71" t="n"/>
      <x:c r="P607" s="71" t="n"/>
      <x:c r="Q607" s="71" t="n"/>
      <x:c r="R607" s="71" t="n"/>
      <x:c r="S607" s="206" t="n"/>
      <x:c r="T607" s="71" t="n"/>
      <x:c r="U607" s="71" t="n"/>
      <x:c r="V607" s="71" t="n"/>
      <x:c r="W607" s="71" t="n"/>
      <x:c r="X607" s="71" t="n"/>
      <x:c r="Y607" s="71" t="n"/>
      <x:c r="Z607" s="71" t="n"/>
      <x:c r="AA607" s="71" t="n"/>
      <x:c r="AB607" s="71" t="inlineStr">
        <x:is>
          <x:t xml:space="preserve">NO</x:t>
        </x:is>
      </x:c>
      <x:c r="AC607" s="57" t="inlineStr">
        <x:is>
          <x:t xml:space="preserve">V10</x:t>
        </x:is>
      </x:c>
      <x:c r="AD607" s="57" t="n"/>
      <x:c r="AE607" s="79" t="str">
        <x:f>IF(AND(I607&lt;&gt;"",J607&lt;&gt;"",K607&lt;&gt;"",L607="YES",M607&lt;&gt;"",S607&lt;&gt;"",T607&lt;&gt;"",U607&lt;&gt;"",V607&lt;&gt;"",W607&lt;&gt;"",X607&lt;&gt;"",Y607&lt;&gt;""),"COMPLETE","PENDING")</x:f>
        <x:v>PENDING</x:v>
      </x:c>
      <x:c r="AF607" s="79" t="str">
        <x:f>IF(AE607="COMPLETE","YES","NO")</x:f>
        <x:v>NO</x:v>
      </x:c>
      <x:c r="AG607" s="214" t="str">
        <x:f>IF(AF607&lt;&gt;"YES","",(IF(V607="YES",1,0)+IF(W607="YES",1,0))/2)</x:f>
      </x:c>
    </x:row>
    <x:row r="608">
      <x:c r="A608" s="57" t="inlineStr">
        <x:is>
          <x:t xml:space="preserve">C0603</x:t>
        </x:is>
      </x:c>
      <x:c r="B608" s="57" t="inlineStr">
        <x:is>
          <x:t xml:space="preserve">Validation</x:t>
        </x:is>
      </x:c>
      <x:c r="C608" s="57" t="inlineStr">
        <x:is>
          <x:t xml:space="preserve">OPEN</x:t>
        </x:is>
      </x:c>
      <x:c r="D608" s="57" t="inlineStr">
        <x:is>
          <x:t xml:space="preserve">ARG-061</x:t>
        </x:is>
      </x:c>
      <x:c r="E608" s="75" t="str">
        <x:f>INDEX('Company Universe'!$B$6:$B$105,MATCH(D608,'Company Universe'!$A$6:$A$105,0))</x:f>
        <x:v>Scorpio Tankers</x:v>
      </x:c>
      <x:c r="F608" s="75" t="str">
        <x:f>INDEX('Company Universe'!$C$6:$C$105,MATCH(D608,'Company Universe'!$A$6:$A$105,0))</x:f>
        <x:v>STNG</x:v>
      </x:c>
      <x:c r="G608" s="75" t="str">
        <x:f>INDEX('Company Universe'!$F$6:$F$105,MATCH(D608,'Company Universe'!$A$6:$A$105,0))</x:f>
        <x:v>Shipping</x:v>
      </x:c>
      <x:c r="H608" s="57" t="n">
        <x:v>3</x:v>
      </x:c>
      <x:c r="I608" s="206" t="n"/>
      <x:c r="J608" s="71" t="n"/>
      <x:c r="K608" s="71" t="n"/>
      <x:c r="L608" s="71" t="inlineStr">
        <x:is>
          <x:t xml:space="preserve">NO</x:t>
        </x:is>
      </x:c>
      <x:c r="M608" s="71" t="n"/>
      <x:c r="N608" s="71" t="n"/>
      <x:c r="O608" s="71" t="n"/>
      <x:c r="P608" s="71" t="n"/>
      <x:c r="Q608" s="71" t="n"/>
      <x:c r="R608" s="71" t="n"/>
      <x:c r="S608" s="206" t="n"/>
      <x:c r="T608" s="71" t="n"/>
      <x:c r="U608" s="71" t="n"/>
      <x:c r="V608" s="71" t="n"/>
      <x:c r="W608" s="71" t="n"/>
      <x:c r="X608" s="71" t="n"/>
      <x:c r="Y608" s="71" t="n"/>
      <x:c r="Z608" s="71" t="n"/>
      <x:c r="AA608" s="71" t="n"/>
      <x:c r="AB608" s="71" t="inlineStr">
        <x:is>
          <x:t xml:space="preserve">NO</x:t>
        </x:is>
      </x:c>
      <x:c r="AC608" s="57" t="inlineStr">
        <x:is>
          <x:t xml:space="preserve">V10</x:t>
        </x:is>
      </x:c>
      <x:c r="AD608" s="57" t="n"/>
      <x:c r="AE608" s="79" t="str">
        <x:f>IF(AND(I608&lt;&gt;"",J608&lt;&gt;"",K608&lt;&gt;"",L608="YES",M608&lt;&gt;"",S608&lt;&gt;"",T608&lt;&gt;"",U608&lt;&gt;"",V608&lt;&gt;"",W608&lt;&gt;"",X608&lt;&gt;"",Y608&lt;&gt;""),"COMPLETE","PENDING")</x:f>
        <x:v>PENDING</x:v>
      </x:c>
      <x:c r="AF608" s="79" t="str">
        <x:f>IF(AE608="COMPLETE","YES","NO")</x:f>
        <x:v>NO</x:v>
      </x:c>
      <x:c r="AG608" s="214" t="str">
        <x:f>IF(AF608&lt;&gt;"YES","",(IF(V608="YES",1,0)+IF(W608="YES",1,0))/2)</x:f>
      </x:c>
    </x:row>
    <x:row r="609">
      <x:c r="A609" s="57" t="inlineStr">
        <x:is>
          <x:t xml:space="preserve">C0604</x:t>
        </x:is>
      </x:c>
      <x:c r="B609" s="57" t="inlineStr">
        <x:is>
          <x:t xml:space="preserve">Validation</x:t>
        </x:is>
      </x:c>
      <x:c r="C609" s="57" t="inlineStr">
        <x:is>
          <x:t xml:space="preserve">OPEN</x:t>
        </x:is>
      </x:c>
      <x:c r="D609" s="57" t="inlineStr">
        <x:is>
          <x:t xml:space="preserve">ARG-061</x:t>
        </x:is>
      </x:c>
      <x:c r="E609" s="75" t="str">
        <x:f>INDEX('Company Universe'!$B$6:$B$105,MATCH(D609,'Company Universe'!$A$6:$A$105,0))</x:f>
        <x:v>Scorpio Tankers</x:v>
      </x:c>
      <x:c r="F609" s="75" t="str">
        <x:f>INDEX('Company Universe'!$C$6:$C$105,MATCH(D609,'Company Universe'!$A$6:$A$105,0))</x:f>
        <x:v>STNG</x:v>
      </x:c>
      <x:c r="G609" s="75" t="str">
        <x:f>INDEX('Company Universe'!$F$6:$F$105,MATCH(D609,'Company Universe'!$A$6:$A$105,0))</x:f>
        <x:v>Shipping</x:v>
      </x:c>
      <x:c r="H609" s="57" t="n">
        <x:v>4</x:v>
      </x:c>
      <x:c r="I609" s="206" t="n"/>
      <x:c r="J609" s="71" t="n"/>
      <x:c r="K609" s="71" t="n"/>
      <x:c r="L609" s="71" t="inlineStr">
        <x:is>
          <x:t xml:space="preserve">NO</x:t>
        </x:is>
      </x:c>
      <x:c r="M609" s="71" t="n"/>
      <x:c r="N609" s="71" t="n"/>
      <x:c r="O609" s="71" t="n"/>
      <x:c r="P609" s="71" t="n"/>
      <x:c r="Q609" s="71" t="n"/>
      <x:c r="R609" s="71" t="n"/>
      <x:c r="S609" s="206" t="n"/>
      <x:c r="T609" s="71" t="n"/>
      <x:c r="U609" s="71" t="n"/>
      <x:c r="V609" s="71" t="n"/>
      <x:c r="W609" s="71" t="n"/>
      <x:c r="X609" s="71" t="n"/>
      <x:c r="Y609" s="71" t="n"/>
      <x:c r="Z609" s="71" t="n"/>
      <x:c r="AA609" s="71" t="n"/>
      <x:c r="AB609" s="71" t="inlineStr">
        <x:is>
          <x:t xml:space="preserve">NO</x:t>
        </x:is>
      </x:c>
      <x:c r="AC609" s="57" t="inlineStr">
        <x:is>
          <x:t xml:space="preserve">V10</x:t>
        </x:is>
      </x:c>
      <x:c r="AD609" s="57" t="n"/>
      <x:c r="AE609" s="79" t="str">
        <x:f>IF(AND(I609&lt;&gt;"",J609&lt;&gt;"",K609&lt;&gt;"",L609="YES",M609&lt;&gt;"",S609&lt;&gt;"",T609&lt;&gt;"",U609&lt;&gt;"",V609&lt;&gt;"",W609&lt;&gt;"",X609&lt;&gt;"",Y609&lt;&gt;""),"COMPLETE","PENDING")</x:f>
        <x:v>PENDING</x:v>
      </x:c>
      <x:c r="AF609" s="79" t="str">
        <x:f>IF(AE609="COMPLETE","YES","NO")</x:f>
        <x:v>NO</x:v>
      </x:c>
      <x:c r="AG609" s="214" t="str">
        <x:f>IF(AF609&lt;&gt;"YES","",(IF(V609="YES",1,0)+IF(W609="YES",1,0))/2)</x:f>
      </x:c>
    </x:row>
    <x:row r="610">
      <x:c r="A610" s="57" t="inlineStr">
        <x:is>
          <x:t xml:space="preserve">C0605</x:t>
        </x:is>
      </x:c>
      <x:c r="B610" s="57" t="inlineStr">
        <x:is>
          <x:t xml:space="preserve">Validation</x:t>
        </x:is>
      </x:c>
      <x:c r="C610" s="57" t="inlineStr">
        <x:is>
          <x:t xml:space="preserve">OPEN</x:t>
        </x:is>
      </x:c>
      <x:c r="D610" s="57" t="inlineStr">
        <x:is>
          <x:t xml:space="preserve">ARG-061</x:t>
        </x:is>
      </x:c>
      <x:c r="E610" s="75" t="str">
        <x:f>INDEX('Company Universe'!$B$6:$B$105,MATCH(D610,'Company Universe'!$A$6:$A$105,0))</x:f>
        <x:v>Scorpio Tankers</x:v>
      </x:c>
      <x:c r="F610" s="75" t="str">
        <x:f>INDEX('Company Universe'!$C$6:$C$105,MATCH(D610,'Company Universe'!$A$6:$A$105,0))</x:f>
        <x:v>STNG</x:v>
      </x:c>
      <x:c r="G610" s="75" t="str">
        <x:f>INDEX('Company Universe'!$F$6:$F$105,MATCH(D610,'Company Universe'!$A$6:$A$105,0))</x:f>
        <x:v>Shipping</x:v>
      </x:c>
      <x:c r="H610" s="57" t="n">
        <x:v>5</x:v>
      </x:c>
      <x:c r="I610" s="206" t="n"/>
      <x:c r="J610" s="71" t="n"/>
      <x:c r="K610" s="71" t="n"/>
      <x:c r="L610" s="71" t="inlineStr">
        <x:is>
          <x:t xml:space="preserve">NO</x:t>
        </x:is>
      </x:c>
      <x:c r="M610" s="71" t="n"/>
      <x:c r="N610" s="71" t="n"/>
      <x:c r="O610" s="71" t="n"/>
      <x:c r="P610" s="71" t="n"/>
      <x:c r="Q610" s="71" t="n"/>
      <x:c r="R610" s="71" t="n"/>
      <x:c r="S610" s="206" t="n"/>
      <x:c r="T610" s="71" t="n"/>
      <x:c r="U610" s="71" t="n"/>
      <x:c r="V610" s="71" t="n"/>
      <x:c r="W610" s="71" t="n"/>
      <x:c r="X610" s="71" t="n"/>
      <x:c r="Y610" s="71" t="n"/>
      <x:c r="Z610" s="71" t="n"/>
      <x:c r="AA610" s="71" t="n"/>
      <x:c r="AB610" s="71" t="inlineStr">
        <x:is>
          <x:t xml:space="preserve">NO</x:t>
        </x:is>
      </x:c>
      <x:c r="AC610" s="57" t="inlineStr">
        <x:is>
          <x:t xml:space="preserve">V10</x:t>
        </x:is>
      </x:c>
      <x:c r="AD610" s="57" t="n"/>
      <x:c r="AE610" s="79" t="str">
        <x:f>IF(AND(I610&lt;&gt;"",J610&lt;&gt;"",K610&lt;&gt;"",L610="YES",M610&lt;&gt;"",S610&lt;&gt;"",T610&lt;&gt;"",U610&lt;&gt;"",V610&lt;&gt;"",W610&lt;&gt;"",X610&lt;&gt;"",Y610&lt;&gt;""),"COMPLETE","PENDING")</x:f>
        <x:v>PENDING</x:v>
      </x:c>
      <x:c r="AF610" s="79" t="str">
        <x:f>IF(AE610="COMPLETE","YES","NO")</x:f>
        <x:v>NO</x:v>
      </x:c>
      <x:c r="AG610" s="214" t="str">
        <x:f>IF(AF610&lt;&gt;"YES","",(IF(V610="YES",1,0)+IF(W610="YES",1,0))/2)</x:f>
      </x:c>
    </x:row>
    <x:row r="611">
      <x:c r="A611" s="57" t="inlineStr">
        <x:is>
          <x:t xml:space="preserve">C0606</x:t>
        </x:is>
      </x:c>
      <x:c r="B611" s="57" t="inlineStr">
        <x:is>
          <x:t xml:space="preserve">Validation</x:t>
        </x:is>
      </x:c>
      <x:c r="C611" s="57" t="inlineStr">
        <x:is>
          <x:t xml:space="preserve">OPEN</x:t>
        </x:is>
      </x:c>
      <x:c r="D611" s="57" t="inlineStr">
        <x:is>
          <x:t xml:space="preserve">ARG-061</x:t>
        </x:is>
      </x:c>
      <x:c r="E611" s="75" t="str">
        <x:f>INDEX('Company Universe'!$B$6:$B$105,MATCH(D611,'Company Universe'!$A$6:$A$105,0))</x:f>
        <x:v>Scorpio Tankers</x:v>
      </x:c>
      <x:c r="F611" s="75" t="str">
        <x:f>INDEX('Company Universe'!$C$6:$C$105,MATCH(D611,'Company Universe'!$A$6:$A$105,0))</x:f>
        <x:v>STNG</x:v>
      </x:c>
      <x:c r="G611" s="75" t="str">
        <x:f>INDEX('Company Universe'!$F$6:$F$105,MATCH(D611,'Company Universe'!$A$6:$A$105,0))</x:f>
        <x:v>Shipping</x:v>
      </x:c>
      <x:c r="H611" s="57" t="n">
        <x:v>6</x:v>
      </x:c>
      <x:c r="I611" s="206" t="n"/>
      <x:c r="J611" s="71" t="n"/>
      <x:c r="K611" s="71" t="n"/>
      <x:c r="L611" s="71" t="inlineStr">
        <x:is>
          <x:t xml:space="preserve">NO</x:t>
        </x:is>
      </x:c>
      <x:c r="M611" s="71" t="n"/>
      <x:c r="N611" s="71" t="n"/>
      <x:c r="O611" s="71" t="n"/>
      <x:c r="P611" s="71" t="n"/>
      <x:c r="Q611" s="71" t="n"/>
      <x:c r="R611" s="71" t="n"/>
      <x:c r="S611" s="206" t="n"/>
      <x:c r="T611" s="71" t="n"/>
      <x:c r="U611" s="71" t="n"/>
      <x:c r="V611" s="71" t="n"/>
      <x:c r="W611" s="71" t="n"/>
      <x:c r="X611" s="71" t="n"/>
      <x:c r="Y611" s="71" t="n"/>
      <x:c r="Z611" s="71" t="n"/>
      <x:c r="AA611" s="71" t="n"/>
      <x:c r="AB611" s="71" t="inlineStr">
        <x:is>
          <x:t xml:space="preserve">NO</x:t>
        </x:is>
      </x:c>
      <x:c r="AC611" s="57" t="inlineStr">
        <x:is>
          <x:t xml:space="preserve">V10</x:t>
        </x:is>
      </x:c>
      <x:c r="AD611" s="57" t="n"/>
      <x:c r="AE611" s="79" t="str">
        <x:f>IF(AND(I611&lt;&gt;"",J611&lt;&gt;"",K611&lt;&gt;"",L611="YES",M611&lt;&gt;"",S611&lt;&gt;"",T611&lt;&gt;"",U611&lt;&gt;"",V611&lt;&gt;"",W611&lt;&gt;"",X611&lt;&gt;"",Y611&lt;&gt;""),"COMPLETE","PENDING")</x:f>
        <x:v>PENDING</x:v>
      </x:c>
      <x:c r="AF611" s="79" t="str">
        <x:f>IF(AE611="COMPLETE","YES","NO")</x:f>
        <x:v>NO</x:v>
      </x:c>
      <x:c r="AG611" s="214" t="str">
        <x:f>IF(AF611&lt;&gt;"YES","",(IF(V611="YES",1,0)+IF(W611="YES",1,0))/2)</x:f>
      </x:c>
    </x:row>
    <x:row r="612">
      <x:c r="A612" s="57" t="inlineStr">
        <x:is>
          <x:t xml:space="preserve">C0607</x:t>
        </x:is>
      </x:c>
      <x:c r="B612" s="57" t="inlineStr">
        <x:is>
          <x:t xml:space="preserve">Validation</x:t>
        </x:is>
      </x:c>
      <x:c r="C612" s="57" t="inlineStr">
        <x:is>
          <x:t xml:space="preserve">OPEN</x:t>
        </x:is>
      </x:c>
      <x:c r="D612" s="57" t="inlineStr">
        <x:is>
          <x:t xml:space="preserve">ARG-061</x:t>
        </x:is>
      </x:c>
      <x:c r="E612" s="75" t="str">
        <x:f>INDEX('Company Universe'!$B$6:$B$105,MATCH(D612,'Company Universe'!$A$6:$A$105,0))</x:f>
        <x:v>Scorpio Tankers</x:v>
      </x:c>
      <x:c r="F612" s="75" t="str">
        <x:f>INDEX('Company Universe'!$C$6:$C$105,MATCH(D612,'Company Universe'!$A$6:$A$105,0))</x:f>
        <x:v>STNG</x:v>
      </x:c>
      <x:c r="G612" s="75" t="str">
        <x:f>INDEX('Company Universe'!$F$6:$F$105,MATCH(D612,'Company Universe'!$A$6:$A$105,0))</x:f>
        <x:v>Shipping</x:v>
      </x:c>
      <x:c r="H612" s="57" t="n">
        <x:v>7</x:v>
      </x:c>
      <x:c r="I612" s="206" t="n"/>
      <x:c r="J612" s="71" t="n"/>
      <x:c r="K612" s="71" t="n"/>
      <x:c r="L612" s="71" t="inlineStr">
        <x:is>
          <x:t xml:space="preserve">NO</x:t>
        </x:is>
      </x:c>
      <x:c r="M612" s="71" t="n"/>
      <x:c r="N612" s="71" t="n"/>
      <x:c r="O612" s="71" t="n"/>
      <x:c r="P612" s="71" t="n"/>
      <x:c r="Q612" s="71" t="n"/>
      <x:c r="R612" s="71" t="n"/>
      <x:c r="S612" s="206" t="n"/>
      <x:c r="T612" s="71" t="n"/>
      <x:c r="U612" s="71" t="n"/>
      <x:c r="V612" s="71" t="n"/>
      <x:c r="W612" s="71" t="n"/>
      <x:c r="X612" s="71" t="n"/>
      <x:c r="Y612" s="71" t="n"/>
      <x:c r="Z612" s="71" t="n"/>
      <x:c r="AA612" s="71" t="n"/>
      <x:c r="AB612" s="71" t="inlineStr">
        <x:is>
          <x:t xml:space="preserve">NO</x:t>
        </x:is>
      </x:c>
      <x:c r="AC612" s="57" t="inlineStr">
        <x:is>
          <x:t xml:space="preserve">V10</x:t>
        </x:is>
      </x:c>
      <x:c r="AD612" s="57" t="n"/>
      <x:c r="AE612" s="79" t="str">
        <x:f>IF(AND(I612&lt;&gt;"",J612&lt;&gt;"",K612&lt;&gt;"",L612="YES",M612&lt;&gt;"",S612&lt;&gt;"",T612&lt;&gt;"",U612&lt;&gt;"",V612&lt;&gt;"",W612&lt;&gt;"",X612&lt;&gt;"",Y612&lt;&gt;""),"COMPLETE","PENDING")</x:f>
        <x:v>PENDING</x:v>
      </x:c>
      <x:c r="AF612" s="79" t="str">
        <x:f>IF(AE612="COMPLETE","YES","NO")</x:f>
        <x:v>NO</x:v>
      </x:c>
      <x:c r="AG612" s="214" t="str">
        <x:f>IF(AF612&lt;&gt;"YES","",(IF(V612="YES",1,0)+IF(W612="YES",1,0))/2)</x:f>
      </x:c>
    </x:row>
    <x:row r="613">
      <x:c r="A613" s="57" t="inlineStr">
        <x:is>
          <x:t xml:space="preserve">C0608</x:t>
        </x:is>
      </x:c>
      <x:c r="B613" s="57" t="inlineStr">
        <x:is>
          <x:t xml:space="preserve">Validation</x:t>
        </x:is>
      </x:c>
      <x:c r="C613" s="57" t="inlineStr">
        <x:is>
          <x:t xml:space="preserve">OPEN</x:t>
        </x:is>
      </x:c>
      <x:c r="D613" s="57" t="inlineStr">
        <x:is>
          <x:t xml:space="preserve">ARG-061</x:t>
        </x:is>
      </x:c>
      <x:c r="E613" s="75" t="str">
        <x:f>INDEX('Company Universe'!$B$6:$B$105,MATCH(D613,'Company Universe'!$A$6:$A$105,0))</x:f>
        <x:v>Scorpio Tankers</x:v>
      </x:c>
      <x:c r="F613" s="75" t="str">
        <x:f>INDEX('Company Universe'!$C$6:$C$105,MATCH(D613,'Company Universe'!$A$6:$A$105,0))</x:f>
        <x:v>STNG</x:v>
      </x:c>
      <x:c r="G613" s="75" t="str">
        <x:f>INDEX('Company Universe'!$F$6:$F$105,MATCH(D613,'Company Universe'!$A$6:$A$105,0))</x:f>
        <x:v>Shipping</x:v>
      </x:c>
      <x:c r="H613" s="57" t="n">
        <x:v>8</x:v>
      </x:c>
      <x:c r="I613" s="206" t="n"/>
      <x:c r="J613" s="71" t="n"/>
      <x:c r="K613" s="71" t="n"/>
      <x:c r="L613" s="71" t="inlineStr">
        <x:is>
          <x:t xml:space="preserve">NO</x:t>
        </x:is>
      </x:c>
      <x:c r="M613" s="71" t="n"/>
      <x:c r="N613" s="71" t="n"/>
      <x:c r="O613" s="71" t="n"/>
      <x:c r="P613" s="71" t="n"/>
      <x:c r="Q613" s="71" t="n"/>
      <x:c r="R613" s="71" t="n"/>
      <x:c r="S613" s="206" t="n"/>
      <x:c r="T613" s="71" t="n"/>
      <x:c r="U613" s="71" t="n"/>
      <x:c r="V613" s="71" t="n"/>
      <x:c r="W613" s="71" t="n"/>
      <x:c r="X613" s="71" t="n"/>
      <x:c r="Y613" s="71" t="n"/>
      <x:c r="Z613" s="71" t="n"/>
      <x:c r="AA613" s="71" t="n"/>
      <x:c r="AB613" s="71" t="inlineStr">
        <x:is>
          <x:t xml:space="preserve">NO</x:t>
        </x:is>
      </x:c>
      <x:c r="AC613" s="57" t="inlineStr">
        <x:is>
          <x:t xml:space="preserve">V10</x:t>
        </x:is>
      </x:c>
      <x:c r="AD613" s="57" t="n"/>
      <x:c r="AE613" s="79" t="str">
        <x:f>IF(AND(I613&lt;&gt;"",J613&lt;&gt;"",K613&lt;&gt;"",L613="YES",M613&lt;&gt;"",S613&lt;&gt;"",T613&lt;&gt;"",U613&lt;&gt;"",V613&lt;&gt;"",W613&lt;&gt;"",X613&lt;&gt;"",Y613&lt;&gt;""),"COMPLETE","PENDING")</x:f>
        <x:v>PENDING</x:v>
      </x:c>
      <x:c r="AF613" s="79" t="str">
        <x:f>IF(AE613="COMPLETE","YES","NO")</x:f>
        <x:v>NO</x:v>
      </x:c>
      <x:c r="AG613" s="214" t="str">
        <x:f>IF(AF613&lt;&gt;"YES","",(IF(V613="YES",1,0)+IF(W613="YES",1,0))/2)</x:f>
      </x:c>
    </x:row>
    <x:row r="614">
      <x:c r="A614" s="57" t="inlineStr">
        <x:is>
          <x:t xml:space="preserve">C0609</x:t>
        </x:is>
      </x:c>
      <x:c r="B614" s="57" t="inlineStr">
        <x:is>
          <x:t xml:space="preserve">Validation</x:t>
        </x:is>
      </x:c>
      <x:c r="C614" s="57" t="inlineStr">
        <x:is>
          <x:t xml:space="preserve">OPEN</x:t>
        </x:is>
      </x:c>
      <x:c r="D614" s="57" t="inlineStr">
        <x:is>
          <x:t xml:space="preserve">ARG-061</x:t>
        </x:is>
      </x:c>
      <x:c r="E614" s="75" t="str">
        <x:f>INDEX('Company Universe'!$B$6:$B$105,MATCH(D614,'Company Universe'!$A$6:$A$105,0))</x:f>
        <x:v>Scorpio Tankers</x:v>
      </x:c>
      <x:c r="F614" s="75" t="str">
        <x:f>INDEX('Company Universe'!$C$6:$C$105,MATCH(D614,'Company Universe'!$A$6:$A$105,0))</x:f>
        <x:v>STNG</x:v>
      </x:c>
      <x:c r="G614" s="75" t="str">
        <x:f>INDEX('Company Universe'!$F$6:$F$105,MATCH(D614,'Company Universe'!$A$6:$A$105,0))</x:f>
        <x:v>Shipping</x:v>
      </x:c>
      <x:c r="H614" s="57" t="n">
        <x:v>9</x:v>
      </x:c>
      <x:c r="I614" s="206" t="n"/>
      <x:c r="J614" s="71" t="n"/>
      <x:c r="K614" s="71" t="n"/>
      <x:c r="L614" s="71" t="inlineStr">
        <x:is>
          <x:t xml:space="preserve">NO</x:t>
        </x:is>
      </x:c>
      <x:c r="M614" s="71" t="n"/>
      <x:c r="N614" s="71" t="n"/>
      <x:c r="O614" s="71" t="n"/>
      <x:c r="P614" s="71" t="n"/>
      <x:c r="Q614" s="71" t="n"/>
      <x:c r="R614" s="71" t="n"/>
      <x:c r="S614" s="206" t="n"/>
      <x:c r="T614" s="71" t="n"/>
      <x:c r="U614" s="71" t="n"/>
      <x:c r="V614" s="71" t="n"/>
      <x:c r="W614" s="71" t="n"/>
      <x:c r="X614" s="71" t="n"/>
      <x:c r="Y614" s="71" t="n"/>
      <x:c r="Z614" s="71" t="n"/>
      <x:c r="AA614" s="71" t="n"/>
      <x:c r="AB614" s="71" t="inlineStr">
        <x:is>
          <x:t xml:space="preserve">NO</x:t>
        </x:is>
      </x:c>
      <x:c r="AC614" s="57" t="inlineStr">
        <x:is>
          <x:t xml:space="preserve">V10</x:t>
        </x:is>
      </x:c>
      <x:c r="AD614" s="57" t="n"/>
      <x:c r="AE614" s="79" t="str">
        <x:f>IF(AND(I614&lt;&gt;"",J614&lt;&gt;"",K614&lt;&gt;"",L614="YES",M614&lt;&gt;"",S614&lt;&gt;"",T614&lt;&gt;"",U614&lt;&gt;"",V614&lt;&gt;"",W614&lt;&gt;"",X614&lt;&gt;"",Y614&lt;&gt;""),"COMPLETE","PENDING")</x:f>
        <x:v>PENDING</x:v>
      </x:c>
      <x:c r="AF614" s="79" t="str">
        <x:f>IF(AE614="COMPLETE","YES","NO")</x:f>
        <x:v>NO</x:v>
      </x:c>
      <x:c r="AG614" s="214" t="str">
        <x:f>IF(AF614&lt;&gt;"YES","",(IF(V614="YES",1,0)+IF(W614="YES",1,0))/2)</x:f>
      </x:c>
    </x:row>
    <x:row r="615">
      <x:c r="A615" s="57" t="inlineStr">
        <x:is>
          <x:t xml:space="preserve">C0610</x:t>
        </x:is>
      </x:c>
      <x:c r="B615" s="57" t="inlineStr">
        <x:is>
          <x:t xml:space="preserve">Validation</x:t>
        </x:is>
      </x:c>
      <x:c r="C615" s="57" t="inlineStr">
        <x:is>
          <x:t xml:space="preserve">OPEN</x:t>
        </x:is>
      </x:c>
      <x:c r="D615" s="57" t="inlineStr">
        <x:is>
          <x:t xml:space="preserve">ARG-061</x:t>
        </x:is>
      </x:c>
      <x:c r="E615" s="75" t="str">
        <x:f>INDEX('Company Universe'!$B$6:$B$105,MATCH(D615,'Company Universe'!$A$6:$A$105,0))</x:f>
        <x:v>Scorpio Tankers</x:v>
      </x:c>
      <x:c r="F615" s="75" t="str">
        <x:f>INDEX('Company Universe'!$C$6:$C$105,MATCH(D615,'Company Universe'!$A$6:$A$105,0))</x:f>
        <x:v>STNG</x:v>
      </x:c>
      <x:c r="G615" s="75" t="str">
        <x:f>INDEX('Company Universe'!$F$6:$F$105,MATCH(D615,'Company Universe'!$A$6:$A$105,0))</x:f>
        <x:v>Shipping</x:v>
      </x:c>
      <x:c r="H615" s="57" t="n">
        <x:v>10</x:v>
      </x:c>
      <x:c r="I615" s="206" t="n"/>
      <x:c r="J615" s="71" t="n"/>
      <x:c r="K615" s="71" t="n"/>
      <x:c r="L615" s="71" t="inlineStr">
        <x:is>
          <x:t xml:space="preserve">NO</x:t>
        </x:is>
      </x:c>
      <x:c r="M615" s="71" t="n"/>
      <x:c r="N615" s="71" t="n"/>
      <x:c r="O615" s="71" t="n"/>
      <x:c r="P615" s="71" t="n"/>
      <x:c r="Q615" s="71" t="n"/>
      <x:c r="R615" s="71" t="n"/>
      <x:c r="S615" s="206" t="n"/>
      <x:c r="T615" s="71" t="n"/>
      <x:c r="U615" s="71" t="n"/>
      <x:c r="V615" s="71" t="n"/>
      <x:c r="W615" s="71" t="n"/>
      <x:c r="X615" s="71" t="n"/>
      <x:c r="Y615" s="71" t="n"/>
      <x:c r="Z615" s="71" t="n"/>
      <x:c r="AA615" s="71" t="n"/>
      <x:c r="AB615" s="71" t="inlineStr">
        <x:is>
          <x:t xml:space="preserve">NO</x:t>
        </x:is>
      </x:c>
      <x:c r="AC615" s="57" t="inlineStr">
        <x:is>
          <x:t xml:space="preserve">V10</x:t>
        </x:is>
      </x:c>
      <x:c r="AD615" s="57" t="n"/>
      <x:c r="AE615" s="79" t="str">
        <x:f>IF(AND(I615&lt;&gt;"",J615&lt;&gt;"",K615&lt;&gt;"",L615="YES",M615&lt;&gt;"",S615&lt;&gt;"",T615&lt;&gt;"",U615&lt;&gt;"",V615&lt;&gt;"",W615&lt;&gt;"",X615&lt;&gt;"",Y615&lt;&gt;""),"COMPLETE","PENDING")</x:f>
        <x:v>PENDING</x:v>
      </x:c>
      <x:c r="AF615" s="79" t="str">
        <x:f>IF(AE615="COMPLETE","YES","NO")</x:f>
        <x:v>NO</x:v>
      </x:c>
      <x:c r="AG615" s="214" t="str">
        <x:f>IF(AF615&lt;&gt;"YES","",(IF(V615="YES",1,0)+IF(W615="YES",1,0))/2)</x:f>
      </x:c>
    </x:row>
    <x:row r="616">
      <x:c r="A616" s="57" t="inlineStr">
        <x:is>
          <x:t xml:space="preserve">C0611</x:t>
        </x:is>
      </x:c>
      <x:c r="B616" s="57" t="inlineStr">
        <x:is>
          <x:t xml:space="preserve">Validation</x:t>
        </x:is>
      </x:c>
      <x:c r="C616" s="57" t="inlineStr">
        <x:is>
          <x:t xml:space="preserve">OPEN</x:t>
        </x:is>
      </x:c>
      <x:c r="D616" s="57" t="inlineStr">
        <x:is>
          <x:t xml:space="preserve">ARG-062</x:t>
        </x:is>
      </x:c>
      <x:c r="E616" s="75" t="str">
        <x:f>INDEX('Company Universe'!$B$6:$B$105,MATCH(D616,'Company Universe'!$A$6:$A$105,0))</x:f>
        <x:v>HSBC Holdings</x:v>
      </x:c>
      <x:c r="F616" s="75" t="str">
        <x:f>INDEX('Company Universe'!$C$6:$C$105,MATCH(D616,'Company Universe'!$A$6:$A$105,0))</x:f>
        <x:v>HSBC</x:v>
      </x:c>
      <x:c r="G616" s="75" t="str">
        <x:f>INDEX('Company Universe'!$F$6:$F$105,MATCH(D616,'Company Universe'!$A$6:$A$105,0))</x:f>
        <x:v>Banks</x:v>
      </x:c>
      <x:c r="H616" s="57" t="n">
        <x:v>1</x:v>
      </x:c>
      <x:c r="I616" s="206" t="n"/>
      <x:c r="J616" s="71" t="n"/>
      <x:c r="K616" s="71" t="n"/>
      <x:c r="L616" s="71" t="inlineStr">
        <x:is>
          <x:t xml:space="preserve">NO</x:t>
        </x:is>
      </x:c>
      <x:c r="M616" s="71" t="n"/>
      <x:c r="N616" s="71" t="n"/>
      <x:c r="O616" s="71" t="n"/>
      <x:c r="P616" s="71" t="n"/>
      <x:c r="Q616" s="71" t="n"/>
      <x:c r="R616" s="71" t="n"/>
      <x:c r="S616" s="206" t="n"/>
      <x:c r="T616" s="71" t="n"/>
      <x:c r="U616" s="71" t="n"/>
      <x:c r="V616" s="71" t="n"/>
      <x:c r="W616" s="71" t="n"/>
      <x:c r="X616" s="71" t="n"/>
      <x:c r="Y616" s="71" t="n"/>
      <x:c r="Z616" s="71" t="n"/>
      <x:c r="AA616" s="71" t="n"/>
      <x:c r="AB616" s="71" t="inlineStr">
        <x:is>
          <x:t xml:space="preserve">NO</x:t>
        </x:is>
      </x:c>
      <x:c r="AC616" s="57" t="inlineStr">
        <x:is>
          <x:t xml:space="preserve">V10</x:t>
        </x:is>
      </x:c>
      <x:c r="AD616" s="57" t="n"/>
      <x:c r="AE616" s="79" t="str">
        <x:f>IF(AND(I616&lt;&gt;"",J616&lt;&gt;"",K616&lt;&gt;"",L616="YES",M616&lt;&gt;"",S616&lt;&gt;"",T616&lt;&gt;"",U616&lt;&gt;"",V616&lt;&gt;"",W616&lt;&gt;"",X616&lt;&gt;"",Y616&lt;&gt;""),"COMPLETE","PENDING")</x:f>
        <x:v>PENDING</x:v>
      </x:c>
      <x:c r="AF616" s="79" t="str">
        <x:f>IF(AE616="COMPLETE","YES","NO")</x:f>
        <x:v>NO</x:v>
      </x:c>
      <x:c r="AG616" s="214" t="str">
        <x:f>IF(AF616&lt;&gt;"YES","",(IF(V616="YES",1,0)+IF(W616="YES",1,0))/2)</x:f>
      </x:c>
    </x:row>
    <x:row r="617">
      <x:c r="A617" s="57" t="inlineStr">
        <x:is>
          <x:t xml:space="preserve">C0612</x:t>
        </x:is>
      </x:c>
      <x:c r="B617" s="57" t="inlineStr">
        <x:is>
          <x:t xml:space="preserve">Validation</x:t>
        </x:is>
      </x:c>
      <x:c r="C617" s="57" t="inlineStr">
        <x:is>
          <x:t xml:space="preserve">OPEN</x:t>
        </x:is>
      </x:c>
      <x:c r="D617" s="57" t="inlineStr">
        <x:is>
          <x:t xml:space="preserve">ARG-062</x:t>
        </x:is>
      </x:c>
      <x:c r="E617" s="75" t="str">
        <x:f>INDEX('Company Universe'!$B$6:$B$105,MATCH(D617,'Company Universe'!$A$6:$A$105,0))</x:f>
        <x:v>HSBC Holdings</x:v>
      </x:c>
      <x:c r="F617" s="75" t="str">
        <x:f>INDEX('Company Universe'!$C$6:$C$105,MATCH(D617,'Company Universe'!$A$6:$A$105,0))</x:f>
        <x:v>HSBC</x:v>
      </x:c>
      <x:c r="G617" s="75" t="str">
        <x:f>INDEX('Company Universe'!$F$6:$F$105,MATCH(D617,'Company Universe'!$A$6:$A$105,0))</x:f>
        <x:v>Banks</x:v>
      </x:c>
      <x:c r="H617" s="57" t="n">
        <x:v>2</x:v>
      </x:c>
      <x:c r="I617" s="206" t="n"/>
      <x:c r="J617" s="71" t="n"/>
      <x:c r="K617" s="71" t="n"/>
      <x:c r="L617" s="71" t="inlineStr">
        <x:is>
          <x:t xml:space="preserve">NO</x:t>
        </x:is>
      </x:c>
      <x:c r="M617" s="71" t="n"/>
      <x:c r="N617" s="71" t="n"/>
      <x:c r="O617" s="71" t="n"/>
      <x:c r="P617" s="71" t="n"/>
      <x:c r="Q617" s="71" t="n"/>
      <x:c r="R617" s="71" t="n"/>
      <x:c r="S617" s="206" t="n"/>
      <x:c r="T617" s="71" t="n"/>
      <x:c r="U617" s="71" t="n"/>
      <x:c r="V617" s="71" t="n"/>
      <x:c r="W617" s="71" t="n"/>
      <x:c r="X617" s="71" t="n"/>
      <x:c r="Y617" s="71" t="n"/>
      <x:c r="Z617" s="71" t="n"/>
      <x:c r="AA617" s="71" t="n"/>
      <x:c r="AB617" s="71" t="inlineStr">
        <x:is>
          <x:t xml:space="preserve">NO</x:t>
        </x:is>
      </x:c>
      <x:c r="AC617" s="57" t="inlineStr">
        <x:is>
          <x:t xml:space="preserve">V10</x:t>
        </x:is>
      </x:c>
      <x:c r="AD617" s="57" t="n"/>
      <x:c r="AE617" s="79" t="str">
        <x:f>IF(AND(I617&lt;&gt;"",J617&lt;&gt;"",K617&lt;&gt;"",L617="YES",M617&lt;&gt;"",S617&lt;&gt;"",T617&lt;&gt;"",U617&lt;&gt;"",V617&lt;&gt;"",W617&lt;&gt;"",X617&lt;&gt;"",Y617&lt;&gt;""),"COMPLETE","PENDING")</x:f>
        <x:v>PENDING</x:v>
      </x:c>
      <x:c r="AF617" s="79" t="str">
        <x:f>IF(AE617="COMPLETE","YES","NO")</x:f>
        <x:v>NO</x:v>
      </x:c>
      <x:c r="AG617" s="214" t="str">
        <x:f>IF(AF617&lt;&gt;"YES","",(IF(V617="YES",1,0)+IF(W617="YES",1,0))/2)</x:f>
      </x:c>
    </x:row>
    <x:row r="618">
      <x:c r="A618" s="57" t="inlineStr">
        <x:is>
          <x:t xml:space="preserve">C0613</x:t>
        </x:is>
      </x:c>
      <x:c r="B618" s="57" t="inlineStr">
        <x:is>
          <x:t xml:space="preserve">Validation</x:t>
        </x:is>
      </x:c>
      <x:c r="C618" s="57" t="inlineStr">
        <x:is>
          <x:t xml:space="preserve">OPEN</x:t>
        </x:is>
      </x:c>
      <x:c r="D618" s="57" t="inlineStr">
        <x:is>
          <x:t xml:space="preserve">ARG-062</x:t>
        </x:is>
      </x:c>
      <x:c r="E618" s="75" t="str">
        <x:f>INDEX('Company Universe'!$B$6:$B$105,MATCH(D618,'Company Universe'!$A$6:$A$105,0))</x:f>
        <x:v>HSBC Holdings</x:v>
      </x:c>
      <x:c r="F618" s="75" t="str">
        <x:f>INDEX('Company Universe'!$C$6:$C$105,MATCH(D618,'Company Universe'!$A$6:$A$105,0))</x:f>
        <x:v>HSBC</x:v>
      </x:c>
      <x:c r="G618" s="75" t="str">
        <x:f>INDEX('Company Universe'!$F$6:$F$105,MATCH(D618,'Company Universe'!$A$6:$A$105,0))</x:f>
        <x:v>Banks</x:v>
      </x:c>
      <x:c r="H618" s="57" t="n">
        <x:v>3</x:v>
      </x:c>
      <x:c r="I618" s="206" t="n"/>
      <x:c r="J618" s="71" t="n"/>
      <x:c r="K618" s="71" t="n"/>
      <x:c r="L618" s="71" t="inlineStr">
        <x:is>
          <x:t xml:space="preserve">NO</x:t>
        </x:is>
      </x:c>
      <x:c r="M618" s="71" t="n"/>
      <x:c r="N618" s="71" t="n"/>
      <x:c r="O618" s="71" t="n"/>
      <x:c r="P618" s="71" t="n"/>
      <x:c r="Q618" s="71" t="n"/>
      <x:c r="R618" s="71" t="n"/>
      <x:c r="S618" s="206" t="n"/>
      <x:c r="T618" s="71" t="n"/>
      <x:c r="U618" s="71" t="n"/>
      <x:c r="V618" s="71" t="n"/>
      <x:c r="W618" s="71" t="n"/>
      <x:c r="X618" s="71" t="n"/>
      <x:c r="Y618" s="71" t="n"/>
      <x:c r="Z618" s="71" t="n"/>
      <x:c r="AA618" s="71" t="n"/>
      <x:c r="AB618" s="71" t="inlineStr">
        <x:is>
          <x:t xml:space="preserve">NO</x:t>
        </x:is>
      </x:c>
      <x:c r="AC618" s="57" t="inlineStr">
        <x:is>
          <x:t xml:space="preserve">V10</x:t>
        </x:is>
      </x:c>
      <x:c r="AD618" s="57" t="n"/>
      <x:c r="AE618" s="79" t="str">
        <x:f>IF(AND(I618&lt;&gt;"",J618&lt;&gt;"",K618&lt;&gt;"",L618="YES",M618&lt;&gt;"",S618&lt;&gt;"",T618&lt;&gt;"",U618&lt;&gt;"",V618&lt;&gt;"",W618&lt;&gt;"",X618&lt;&gt;"",Y618&lt;&gt;""),"COMPLETE","PENDING")</x:f>
        <x:v>PENDING</x:v>
      </x:c>
      <x:c r="AF618" s="79" t="str">
        <x:f>IF(AE618="COMPLETE","YES","NO")</x:f>
        <x:v>NO</x:v>
      </x:c>
      <x:c r="AG618" s="214" t="str">
        <x:f>IF(AF618&lt;&gt;"YES","",(IF(V618="YES",1,0)+IF(W618="YES",1,0))/2)</x:f>
      </x:c>
    </x:row>
    <x:row r="619">
      <x:c r="A619" s="57" t="inlineStr">
        <x:is>
          <x:t xml:space="preserve">C0614</x:t>
        </x:is>
      </x:c>
      <x:c r="B619" s="57" t="inlineStr">
        <x:is>
          <x:t xml:space="preserve">Validation</x:t>
        </x:is>
      </x:c>
      <x:c r="C619" s="57" t="inlineStr">
        <x:is>
          <x:t xml:space="preserve">OPEN</x:t>
        </x:is>
      </x:c>
      <x:c r="D619" s="57" t="inlineStr">
        <x:is>
          <x:t xml:space="preserve">ARG-062</x:t>
        </x:is>
      </x:c>
      <x:c r="E619" s="75" t="str">
        <x:f>INDEX('Company Universe'!$B$6:$B$105,MATCH(D619,'Company Universe'!$A$6:$A$105,0))</x:f>
        <x:v>HSBC Holdings</x:v>
      </x:c>
      <x:c r="F619" s="75" t="str">
        <x:f>INDEX('Company Universe'!$C$6:$C$105,MATCH(D619,'Company Universe'!$A$6:$A$105,0))</x:f>
        <x:v>HSBC</x:v>
      </x:c>
      <x:c r="G619" s="75" t="str">
        <x:f>INDEX('Company Universe'!$F$6:$F$105,MATCH(D619,'Company Universe'!$A$6:$A$105,0))</x:f>
        <x:v>Banks</x:v>
      </x:c>
      <x:c r="H619" s="57" t="n">
        <x:v>4</x:v>
      </x:c>
      <x:c r="I619" s="206" t="n"/>
      <x:c r="J619" s="71" t="n"/>
      <x:c r="K619" s="71" t="n"/>
      <x:c r="L619" s="71" t="inlineStr">
        <x:is>
          <x:t xml:space="preserve">NO</x:t>
        </x:is>
      </x:c>
      <x:c r="M619" s="71" t="n"/>
      <x:c r="N619" s="71" t="n"/>
      <x:c r="O619" s="71" t="n"/>
      <x:c r="P619" s="71" t="n"/>
      <x:c r="Q619" s="71" t="n"/>
      <x:c r="R619" s="71" t="n"/>
      <x:c r="S619" s="206" t="n"/>
      <x:c r="T619" s="71" t="n"/>
      <x:c r="U619" s="71" t="n"/>
      <x:c r="V619" s="71" t="n"/>
      <x:c r="W619" s="71" t="n"/>
      <x:c r="X619" s="71" t="n"/>
      <x:c r="Y619" s="71" t="n"/>
      <x:c r="Z619" s="71" t="n"/>
      <x:c r="AA619" s="71" t="n"/>
      <x:c r="AB619" s="71" t="inlineStr">
        <x:is>
          <x:t xml:space="preserve">NO</x:t>
        </x:is>
      </x:c>
      <x:c r="AC619" s="57" t="inlineStr">
        <x:is>
          <x:t xml:space="preserve">V10</x:t>
        </x:is>
      </x:c>
      <x:c r="AD619" s="57" t="n"/>
      <x:c r="AE619" s="79" t="str">
        <x:f>IF(AND(I619&lt;&gt;"",J619&lt;&gt;"",K619&lt;&gt;"",L619="YES",M619&lt;&gt;"",S619&lt;&gt;"",T619&lt;&gt;"",U619&lt;&gt;"",V619&lt;&gt;"",W619&lt;&gt;"",X619&lt;&gt;"",Y619&lt;&gt;""),"COMPLETE","PENDING")</x:f>
        <x:v>PENDING</x:v>
      </x:c>
      <x:c r="AF619" s="79" t="str">
        <x:f>IF(AE619="COMPLETE","YES","NO")</x:f>
        <x:v>NO</x:v>
      </x:c>
      <x:c r="AG619" s="214" t="str">
        <x:f>IF(AF619&lt;&gt;"YES","",(IF(V619="YES",1,0)+IF(W619="YES",1,0))/2)</x:f>
      </x:c>
    </x:row>
    <x:row r="620">
      <x:c r="A620" s="57" t="inlineStr">
        <x:is>
          <x:t xml:space="preserve">C0615</x:t>
        </x:is>
      </x:c>
      <x:c r="B620" s="57" t="inlineStr">
        <x:is>
          <x:t xml:space="preserve">Validation</x:t>
        </x:is>
      </x:c>
      <x:c r="C620" s="57" t="inlineStr">
        <x:is>
          <x:t xml:space="preserve">OPEN</x:t>
        </x:is>
      </x:c>
      <x:c r="D620" s="57" t="inlineStr">
        <x:is>
          <x:t xml:space="preserve">ARG-062</x:t>
        </x:is>
      </x:c>
      <x:c r="E620" s="75" t="str">
        <x:f>INDEX('Company Universe'!$B$6:$B$105,MATCH(D620,'Company Universe'!$A$6:$A$105,0))</x:f>
        <x:v>HSBC Holdings</x:v>
      </x:c>
      <x:c r="F620" s="75" t="str">
        <x:f>INDEX('Company Universe'!$C$6:$C$105,MATCH(D620,'Company Universe'!$A$6:$A$105,0))</x:f>
        <x:v>HSBC</x:v>
      </x:c>
      <x:c r="G620" s="75" t="str">
        <x:f>INDEX('Company Universe'!$F$6:$F$105,MATCH(D620,'Company Universe'!$A$6:$A$105,0))</x:f>
        <x:v>Banks</x:v>
      </x:c>
      <x:c r="H620" s="57" t="n">
        <x:v>5</x:v>
      </x:c>
      <x:c r="I620" s="206" t="n"/>
      <x:c r="J620" s="71" t="n"/>
      <x:c r="K620" s="71" t="n"/>
      <x:c r="L620" s="71" t="inlineStr">
        <x:is>
          <x:t xml:space="preserve">NO</x:t>
        </x:is>
      </x:c>
      <x:c r="M620" s="71" t="n"/>
      <x:c r="N620" s="71" t="n"/>
      <x:c r="O620" s="71" t="n"/>
      <x:c r="P620" s="71" t="n"/>
      <x:c r="Q620" s="71" t="n"/>
      <x:c r="R620" s="71" t="n"/>
      <x:c r="S620" s="206" t="n"/>
      <x:c r="T620" s="71" t="n"/>
      <x:c r="U620" s="71" t="n"/>
      <x:c r="V620" s="71" t="n"/>
      <x:c r="W620" s="71" t="n"/>
      <x:c r="X620" s="71" t="n"/>
      <x:c r="Y620" s="71" t="n"/>
      <x:c r="Z620" s="71" t="n"/>
      <x:c r="AA620" s="71" t="n"/>
      <x:c r="AB620" s="71" t="inlineStr">
        <x:is>
          <x:t xml:space="preserve">NO</x:t>
        </x:is>
      </x:c>
      <x:c r="AC620" s="57" t="inlineStr">
        <x:is>
          <x:t xml:space="preserve">V10</x:t>
        </x:is>
      </x:c>
      <x:c r="AD620" s="57" t="n"/>
      <x:c r="AE620" s="79" t="str">
        <x:f>IF(AND(I620&lt;&gt;"",J620&lt;&gt;"",K620&lt;&gt;"",L620="YES",M620&lt;&gt;"",S620&lt;&gt;"",T620&lt;&gt;"",U620&lt;&gt;"",V620&lt;&gt;"",W620&lt;&gt;"",X620&lt;&gt;"",Y620&lt;&gt;""),"COMPLETE","PENDING")</x:f>
        <x:v>PENDING</x:v>
      </x:c>
      <x:c r="AF620" s="79" t="str">
        <x:f>IF(AE620="COMPLETE","YES","NO")</x:f>
        <x:v>NO</x:v>
      </x:c>
      <x:c r="AG620" s="214" t="str">
        <x:f>IF(AF620&lt;&gt;"YES","",(IF(V620="YES",1,0)+IF(W620="YES",1,0))/2)</x:f>
      </x:c>
    </x:row>
    <x:row r="621">
      <x:c r="A621" s="57" t="inlineStr">
        <x:is>
          <x:t xml:space="preserve">C0616</x:t>
        </x:is>
      </x:c>
      <x:c r="B621" s="57" t="inlineStr">
        <x:is>
          <x:t xml:space="preserve">Validation</x:t>
        </x:is>
      </x:c>
      <x:c r="C621" s="57" t="inlineStr">
        <x:is>
          <x:t xml:space="preserve">OPEN</x:t>
        </x:is>
      </x:c>
      <x:c r="D621" s="57" t="inlineStr">
        <x:is>
          <x:t xml:space="preserve">ARG-062</x:t>
        </x:is>
      </x:c>
      <x:c r="E621" s="75" t="str">
        <x:f>INDEX('Company Universe'!$B$6:$B$105,MATCH(D621,'Company Universe'!$A$6:$A$105,0))</x:f>
        <x:v>HSBC Holdings</x:v>
      </x:c>
      <x:c r="F621" s="75" t="str">
        <x:f>INDEX('Company Universe'!$C$6:$C$105,MATCH(D621,'Company Universe'!$A$6:$A$105,0))</x:f>
        <x:v>HSBC</x:v>
      </x:c>
      <x:c r="G621" s="75" t="str">
        <x:f>INDEX('Company Universe'!$F$6:$F$105,MATCH(D621,'Company Universe'!$A$6:$A$105,0))</x:f>
        <x:v>Banks</x:v>
      </x:c>
      <x:c r="H621" s="57" t="n">
        <x:v>6</x:v>
      </x:c>
      <x:c r="I621" s="206" t="n"/>
      <x:c r="J621" s="71" t="n"/>
      <x:c r="K621" s="71" t="n"/>
      <x:c r="L621" s="71" t="inlineStr">
        <x:is>
          <x:t xml:space="preserve">NO</x:t>
        </x:is>
      </x:c>
      <x:c r="M621" s="71" t="n"/>
      <x:c r="N621" s="71" t="n"/>
      <x:c r="O621" s="71" t="n"/>
      <x:c r="P621" s="71" t="n"/>
      <x:c r="Q621" s="71" t="n"/>
      <x:c r="R621" s="71" t="n"/>
      <x:c r="S621" s="206" t="n"/>
      <x:c r="T621" s="71" t="n"/>
      <x:c r="U621" s="71" t="n"/>
      <x:c r="V621" s="71" t="n"/>
      <x:c r="W621" s="71" t="n"/>
      <x:c r="X621" s="71" t="n"/>
      <x:c r="Y621" s="71" t="n"/>
      <x:c r="Z621" s="71" t="n"/>
      <x:c r="AA621" s="71" t="n"/>
      <x:c r="AB621" s="71" t="inlineStr">
        <x:is>
          <x:t xml:space="preserve">NO</x:t>
        </x:is>
      </x:c>
      <x:c r="AC621" s="57" t="inlineStr">
        <x:is>
          <x:t xml:space="preserve">V10</x:t>
        </x:is>
      </x:c>
      <x:c r="AD621" s="57" t="n"/>
      <x:c r="AE621" s="79" t="str">
        <x:f>IF(AND(I621&lt;&gt;"",J621&lt;&gt;"",K621&lt;&gt;"",L621="YES",M621&lt;&gt;"",S621&lt;&gt;"",T621&lt;&gt;"",U621&lt;&gt;"",V621&lt;&gt;"",W621&lt;&gt;"",X621&lt;&gt;"",Y621&lt;&gt;""),"COMPLETE","PENDING")</x:f>
        <x:v>PENDING</x:v>
      </x:c>
      <x:c r="AF621" s="79" t="str">
        <x:f>IF(AE621="COMPLETE","YES","NO")</x:f>
        <x:v>NO</x:v>
      </x:c>
      <x:c r="AG621" s="214" t="str">
        <x:f>IF(AF621&lt;&gt;"YES","",(IF(V621="YES",1,0)+IF(W621="YES",1,0))/2)</x:f>
      </x:c>
    </x:row>
    <x:row r="622">
      <x:c r="A622" s="57" t="inlineStr">
        <x:is>
          <x:t xml:space="preserve">C0617</x:t>
        </x:is>
      </x:c>
      <x:c r="B622" s="57" t="inlineStr">
        <x:is>
          <x:t xml:space="preserve">Validation</x:t>
        </x:is>
      </x:c>
      <x:c r="C622" s="57" t="inlineStr">
        <x:is>
          <x:t xml:space="preserve">OPEN</x:t>
        </x:is>
      </x:c>
      <x:c r="D622" s="57" t="inlineStr">
        <x:is>
          <x:t xml:space="preserve">ARG-062</x:t>
        </x:is>
      </x:c>
      <x:c r="E622" s="75" t="str">
        <x:f>INDEX('Company Universe'!$B$6:$B$105,MATCH(D622,'Company Universe'!$A$6:$A$105,0))</x:f>
        <x:v>HSBC Holdings</x:v>
      </x:c>
      <x:c r="F622" s="75" t="str">
        <x:f>INDEX('Company Universe'!$C$6:$C$105,MATCH(D622,'Company Universe'!$A$6:$A$105,0))</x:f>
        <x:v>HSBC</x:v>
      </x:c>
      <x:c r="G622" s="75" t="str">
        <x:f>INDEX('Company Universe'!$F$6:$F$105,MATCH(D622,'Company Universe'!$A$6:$A$105,0))</x:f>
        <x:v>Banks</x:v>
      </x:c>
      <x:c r="H622" s="57" t="n">
        <x:v>7</x:v>
      </x:c>
      <x:c r="I622" s="206" t="n"/>
      <x:c r="J622" s="71" t="n"/>
      <x:c r="K622" s="71" t="n"/>
      <x:c r="L622" s="71" t="inlineStr">
        <x:is>
          <x:t xml:space="preserve">NO</x:t>
        </x:is>
      </x:c>
      <x:c r="M622" s="71" t="n"/>
      <x:c r="N622" s="71" t="n"/>
      <x:c r="O622" s="71" t="n"/>
      <x:c r="P622" s="71" t="n"/>
      <x:c r="Q622" s="71" t="n"/>
      <x:c r="R622" s="71" t="n"/>
      <x:c r="S622" s="206" t="n"/>
      <x:c r="T622" s="71" t="n"/>
      <x:c r="U622" s="71" t="n"/>
      <x:c r="V622" s="71" t="n"/>
      <x:c r="W622" s="71" t="n"/>
      <x:c r="X622" s="71" t="n"/>
      <x:c r="Y622" s="71" t="n"/>
      <x:c r="Z622" s="71" t="n"/>
      <x:c r="AA622" s="71" t="n"/>
      <x:c r="AB622" s="71" t="inlineStr">
        <x:is>
          <x:t xml:space="preserve">NO</x:t>
        </x:is>
      </x:c>
      <x:c r="AC622" s="57" t="inlineStr">
        <x:is>
          <x:t xml:space="preserve">V10</x:t>
        </x:is>
      </x:c>
      <x:c r="AD622" s="57" t="n"/>
      <x:c r="AE622" s="79" t="str">
        <x:f>IF(AND(I622&lt;&gt;"",J622&lt;&gt;"",K622&lt;&gt;"",L622="YES",M622&lt;&gt;"",S622&lt;&gt;"",T622&lt;&gt;"",U622&lt;&gt;"",V622&lt;&gt;"",W622&lt;&gt;"",X622&lt;&gt;"",Y622&lt;&gt;""),"COMPLETE","PENDING")</x:f>
        <x:v>PENDING</x:v>
      </x:c>
      <x:c r="AF622" s="79" t="str">
        <x:f>IF(AE622="COMPLETE","YES","NO")</x:f>
        <x:v>NO</x:v>
      </x:c>
      <x:c r="AG622" s="214" t="str">
        <x:f>IF(AF622&lt;&gt;"YES","",(IF(V622="YES",1,0)+IF(W622="YES",1,0))/2)</x:f>
      </x:c>
    </x:row>
    <x:row r="623">
      <x:c r="A623" s="57" t="inlineStr">
        <x:is>
          <x:t xml:space="preserve">C0618</x:t>
        </x:is>
      </x:c>
      <x:c r="B623" s="57" t="inlineStr">
        <x:is>
          <x:t xml:space="preserve">Validation</x:t>
        </x:is>
      </x:c>
      <x:c r="C623" s="57" t="inlineStr">
        <x:is>
          <x:t xml:space="preserve">OPEN</x:t>
        </x:is>
      </x:c>
      <x:c r="D623" s="57" t="inlineStr">
        <x:is>
          <x:t xml:space="preserve">ARG-062</x:t>
        </x:is>
      </x:c>
      <x:c r="E623" s="75" t="str">
        <x:f>INDEX('Company Universe'!$B$6:$B$105,MATCH(D623,'Company Universe'!$A$6:$A$105,0))</x:f>
        <x:v>HSBC Holdings</x:v>
      </x:c>
      <x:c r="F623" s="75" t="str">
        <x:f>INDEX('Company Universe'!$C$6:$C$105,MATCH(D623,'Company Universe'!$A$6:$A$105,0))</x:f>
        <x:v>HSBC</x:v>
      </x:c>
      <x:c r="G623" s="75" t="str">
        <x:f>INDEX('Company Universe'!$F$6:$F$105,MATCH(D623,'Company Universe'!$A$6:$A$105,0))</x:f>
        <x:v>Banks</x:v>
      </x:c>
      <x:c r="H623" s="57" t="n">
        <x:v>8</x:v>
      </x:c>
      <x:c r="I623" s="206" t="n"/>
      <x:c r="J623" s="71" t="n"/>
      <x:c r="K623" s="71" t="n"/>
      <x:c r="L623" s="71" t="inlineStr">
        <x:is>
          <x:t xml:space="preserve">NO</x:t>
        </x:is>
      </x:c>
      <x:c r="M623" s="71" t="n"/>
      <x:c r="N623" s="71" t="n"/>
      <x:c r="O623" s="71" t="n"/>
      <x:c r="P623" s="71" t="n"/>
      <x:c r="Q623" s="71" t="n"/>
      <x:c r="R623" s="71" t="n"/>
      <x:c r="S623" s="206" t="n"/>
      <x:c r="T623" s="71" t="n"/>
      <x:c r="U623" s="71" t="n"/>
      <x:c r="V623" s="71" t="n"/>
      <x:c r="W623" s="71" t="n"/>
      <x:c r="X623" s="71" t="n"/>
      <x:c r="Y623" s="71" t="n"/>
      <x:c r="Z623" s="71" t="n"/>
      <x:c r="AA623" s="71" t="n"/>
      <x:c r="AB623" s="71" t="inlineStr">
        <x:is>
          <x:t xml:space="preserve">NO</x:t>
        </x:is>
      </x:c>
      <x:c r="AC623" s="57" t="inlineStr">
        <x:is>
          <x:t xml:space="preserve">V10</x:t>
        </x:is>
      </x:c>
      <x:c r="AD623" s="57" t="n"/>
      <x:c r="AE623" s="79" t="str">
        <x:f>IF(AND(I623&lt;&gt;"",J623&lt;&gt;"",K623&lt;&gt;"",L623="YES",M623&lt;&gt;"",S623&lt;&gt;"",T623&lt;&gt;"",U623&lt;&gt;"",V623&lt;&gt;"",W623&lt;&gt;"",X623&lt;&gt;"",Y623&lt;&gt;""),"COMPLETE","PENDING")</x:f>
        <x:v>PENDING</x:v>
      </x:c>
      <x:c r="AF623" s="79" t="str">
        <x:f>IF(AE623="COMPLETE","YES","NO")</x:f>
        <x:v>NO</x:v>
      </x:c>
      <x:c r="AG623" s="214" t="str">
        <x:f>IF(AF623&lt;&gt;"YES","",(IF(V623="YES",1,0)+IF(W623="YES",1,0))/2)</x:f>
      </x:c>
    </x:row>
    <x:row r="624">
      <x:c r="A624" s="57" t="inlineStr">
        <x:is>
          <x:t xml:space="preserve">C0619</x:t>
        </x:is>
      </x:c>
      <x:c r="B624" s="57" t="inlineStr">
        <x:is>
          <x:t xml:space="preserve">Validation</x:t>
        </x:is>
      </x:c>
      <x:c r="C624" s="57" t="inlineStr">
        <x:is>
          <x:t xml:space="preserve">OPEN</x:t>
        </x:is>
      </x:c>
      <x:c r="D624" s="57" t="inlineStr">
        <x:is>
          <x:t xml:space="preserve">ARG-062</x:t>
        </x:is>
      </x:c>
      <x:c r="E624" s="75" t="str">
        <x:f>INDEX('Company Universe'!$B$6:$B$105,MATCH(D624,'Company Universe'!$A$6:$A$105,0))</x:f>
        <x:v>HSBC Holdings</x:v>
      </x:c>
      <x:c r="F624" s="75" t="str">
        <x:f>INDEX('Company Universe'!$C$6:$C$105,MATCH(D624,'Company Universe'!$A$6:$A$105,0))</x:f>
        <x:v>HSBC</x:v>
      </x:c>
      <x:c r="G624" s="75" t="str">
        <x:f>INDEX('Company Universe'!$F$6:$F$105,MATCH(D624,'Company Universe'!$A$6:$A$105,0))</x:f>
        <x:v>Banks</x:v>
      </x:c>
      <x:c r="H624" s="57" t="n">
        <x:v>9</x:v>
      </x:c>
      <x:c r="I624" s="206" t="n"/>
      <x:c r="J624" s="71" t="n"/>
      <x:c r="K624" s="71" t="n"/>
      <x:c r="L624" s="71" t="inlineStr">
        <x:is>
          <x:t xml:space="preserve">NO</x:t>
        </x:is>
      </x:c>
      <x:c r="M624" s="71" t="n"/>
      <x:c r="N624" s="71" t="n"/>
      <x:c r="O624" s="71" t="n"/>
      <x:c r="P624" s="71" t="n"/>
      <x:c r="Q624" s="71" t="n"/>
      <x:c r="R624" s="71" t="n"/>
      <x:c r="S624" s="206" t="n"/>
      <x:c r="T624" s="71" t="n"/>
      <x:c r="U624" s="71" t="n"/>
      <x:c r="V624" s="71" t="n"/>
      <x:c r="W624" s="71" t="n"/>
      <x:c r="X624" s="71" t="n"/>
      <x:c r="Y624" s="71" t="n"/>
      <x:c r="Z624" s="71" t="n"/>
      <x:c r="AA624" s="71" t="n"/>
      <x:c r="AB624" s="71" t="inlineStr">
        <x:is>
          <x:t xml:space="preserve">NO</x:t>
        </x:is>
      </x:c>
      <x:c r="AC624" s="57" t="inlineStr">
        <x:is>
          <x:t xml:space="preserve">V10</x:t>
        </x:is>
      </x:c>
      <x:c r="AD624" s="57" t="n"/>
      <x:c r="AE624" s="79" t="str">
        <x:f>IF(AND(I624&lt;&gt;"",J624&lt;&gt;"",K624&lt;&gt;"",L624="YES",M624&lt;&gt;"",S624&lt;&gt;"",T624&lt;&gt;"",U624&lt;&gt;"",V624&lt;&gt;"",W624&lt;&gt;"",X624&lt;&gt;"",Y624&lt;&gt;""),"COMPLETE","PENDING")</x:f>
        <x:v>PENDING</x:v>
      </x:c>
      <x:c r="AF624" s="79" t="str">
        <x:f>IF(AE624="COMPLETE","YES","NO")</x:f>
        <x:v>NO</x:v>
      </x:c>
      <x:c r="AG624" s="214" t="str">
        <x:f>IF(AF624&lt;&gt;"YES","",(IF(V624="YES",1,0)+IF(W624="YES",1,0))/2)</x:f>
      </x:c>
    </x:row>
    <x:row r="625">
      <x:c r="A625" s="57" t="inlineStr">
        <x:is>
          <x:t xml:space="preserve">C0620</x:t>
        </x:is>
      </x:c>
      <x:c r="B625" s="57" t="inlineStr">
        <x:is>
          <x:t xml:space="preserve">Validation</x:t>
        </x:is>
      </x:c>
      <x:c r="C625" s="57" t="inlineStr">
        <x:is>
          <x:t xml:space="preserve">OPEN</x:t>
        </x:is>
      </x:c>
      <x:c r="D625" s="57" t="inlineStr">
        <x:is>
          <x:t xml:space="preserve">ARG-062</x:t>
        </x:is>
      </x:c>
      <x:c r="E625" s="75" t="str">
        <x:f>INDEX('Company Universe'!$B$6:$B$105,MATCH(D625,'Company Universe'!$A$6:$A$105,0))</x:f>
        <x:v>HSBC Holdings</x:v>
      </x:c>
      <x:c r="F625" s="75" t="str">
        <x:f>INDEX('Company Universe'!$C$6:$C$105,MATCH(D625,'Company Universe'!$A$6:$A$105,0))</x:f>
        <x:v>HSBC</x:v>
      </x:c>
      <x:c r="G625" s="75" t="str">
        <x:f>INDEX('Company Universe'!$F$6:$F$105,MATCH(D625,'Company Universe'!$A$6:$A$105,0))</x:f>
        <x:v>Banks</x:v>
      </x:c>
      <x:c r="H625" s="57" t="n">
        <x:v>10</x:v>
      </x:c>
      <x:c r="I625" s="206" t="n"/>
      <x:c r="J625" s="71" t="n"/>
      <x:c r="K625" s="71" t="n"/>
      <x:c r="L625" s="71" t="inlineStr">
        <x:is>
          <x:t xml:space="preserve">NO</x:t>
        </x:is>
      </x:c>
      <x:c r="M625" s="71" t="n"/>
      <x:c r="N625" s="71" t="n"/>
      <x:c r="O625" s="71" t="n"/>
      <x:c r="P625" s="71" t="n"/>
      <x:c r="Q625" s="71" t="n"/>
      <x:c r="R625" s="71" t="n"/>
      <x:c r="S625" s="206" t="n"/>
      <x:c r="T625" s="71" t="n"/>
      <x:c r="U625" s="71" t="n"/>
      <x:c r="V625" s="71" t="n"/>
      <x:c r="W625" s="71" t="n"/>
      <x:c r="X625" s="71" t="n"/>
      <x:c r="Y625" s="71" t="n"/>
      <x:c r="Z625" s="71" t="n"/>
      <x:c r="AA625" s="71" t="n"/>
      <x:c r="AB625" s="71" t="inlineStr">
        <x:is>
          <x:t xml:space="preserve">NO</x:t>
        </x:is>
      </x:c>
      <x:c r="AC625" s="57" t="inlineStr">
        <x:is>
          <x:t xml:space="preserve">V10</x:t>
        </x:is>
      </x:c>
      <x:c r="AD625" s="57" t="n"/>
      <x:c r="AE625" s="79" t="str">
        <x:f>IF(AND(I625&lt;&gt;"",J625&lt;&gt;"",K625&lt;&gt;"",L625="YES",M625&lt;&gt;"",S625&lt;&gt;"",T625&lt;&gt;"",U625&lt;&gt;"",V625&lt;&gt;"",W625&lt;&gt;"",X625&lt;&gt;"",Y625&lt;&gt;""),"COMPLETE","PENDING")</x:f>
        <x:v>PENDING</x:v>
      </x:c>
      <x:c r="AF625" s="79" t="str">
        <x:f>IF(AE625="COMPLETE","YES","NO")</x:f>
        <x:v>NO</x:v>
      </x:c>
      <x:c r="AG625" s="214" t="str">
        <x:f>IF(AF625&lt;&gt;"YES","",(IF(V625="YES",1,0)+IF(W625="YES",1,0))/2)</x:f>
      </x:c>
    </x:row>
    <x:row r="626">
      <x:c r="A626" s="57" t="inlineStr">
        <x:is>
          <x:t xml:space="preserve">C0621</x:t>
        </x:is>
      </x:c>
      <x:c r="B626" s="57" t="inlineStr">
        <x:is>
          <x:t xml:space="preserve">Validation</x:t>
        </x:is>
      </x:c>
      <x:c r="C626" s="57" t="inlineStr">
        <x:is>
          <x:t xml:space="preserve">OPEN</x:t>
        </x:is>
      </x:c>
      <x:c r="D626" s="57" t="inlineStr">
        <x:is>
          <x:t xml:space="preserve">ARG-063</x:t>
        </x:is>
      </x:c>
      <x:c r="E626" s="75" t="str">
        <x:f>INDEX('Company Universe'!$B$6:$B$105,MATCH(D626,'Company Universe'!$A$6:$A$105,0))</x:f>
        <x:v>Allianz</x:v>
      </x:c>
      <x:c r="F626" s="75" t="str">
        <x:f>INDEX('Company Universe'!$C$6:$C$105,MATCH(D626,'Company Universe'!$A$6:$A$105,0))</x:f>
        <x:v>ALV.DE</x:v>
      </x:c>
      <x:c r="G626" s="75" t="str">
        <x:f>INDEX('Company Universe'!$F$6:$F$105,MATCH(D626,'Company Universe'!$A$6:$A$105,0))</x:f>
        <x:v>Insurance</x:v>
      </x:c>
      <x:c r="H626" s="57" t="n">
        <x:v>1</x:v>
      </x:c>
      <x:c r="I626" s="206" t="n"/>
      <x:c r="J626" s="71" t="n"/>
      <x:c r="K626" s="71" t="n"/>
      <x:c r="L626" s="71" t="inlineStr">
        <x:is>
          <x:t xml:space="preserve">NO</x:t>
        </x:is>
      </x:c>
      <x:c r="M626" s="71" t="n"/>
      <x:c r="N626" s="71" t="n"/>
      <x:c r="O626" s="71" t="n"/>
      <x:c r="P626" s="71" t="n"/>
      <x:c r="Q626" s="71" t="n"/>
      <x:c r="R626" s="71" t="n"/>
      <x:c r="S626" s="206" t="n"/>
      <x:c r="T626" s="71" t="n"/>
      <x:c r="U626" s="71" t="n"/>
      <x:c r="V626" s="71" t="n"/>
      <x:c r="W626" s="71" t="n"/>
      <x:c r="X626" s="71" t="n"/>
      <x:c r="Y626" s="71" t="n"/>
      <x:c r="Z626" s="71" t="n"/>
      <x:c r="AA626" s="71" t="n"/>
      <x:c r="AB626" s="71" t="inlineStr">
        <x:is>
          <x:t xml:space="preserve">NO</x:t>
        </x:is>
      </x:c>
      <x:c r="AC626" s="57" t="inlineStr">
        <x:is>
          <x:t xml:space="preserve">V10</x:t>
        </x:is>
      </x:c>
      <x:c r="AD626" s="57" t="n"/>
      <x:c r="AE626" s="79" t="str">
        <x:f>IF(AND(I626&lt;&gt;"",J626&lt;&gt;"",K626&lt;&gt;"",L626="YES",M626&lt;&gt;"",S626&lt;&gt;"",T626&lt;&gt;"",U626&lt;&gt;"",V626&lt;&gt;"",W626&lt;&gt;"",X626&lt;&gt;"",Y626&lt;&gt;""),"COMPLETE","PENDING")</x:f>
        <x:v>PENDING</x:v>
      </x:c>
      <x:c r="AF626" s="79" t="str">
        <x:f>IF(AE626="COMPLETE","YES","NO")</x:f>
        <x:v>NO</x:v>
      </x:c>
      <x:c r="AG626" s="214" t="str">
        <x:f>IF(AF626&lt;&gt;"YES","",(IF(V626="YES",1,0)+IF(W626="YES",1,0))/2)</x:f>
      </x:c>
    </x:row>
    <x:row r="627">
      <x:c r="A627" s="57" t="inlineStr">
        <x:is>
          <x:t xml:space="preserve">C0622</x:t>
        </x:is>
      </x:c>
      <x:c r="B627" s="57" t="inlineStr">
        <x:is>
          <x:t xml:space="preserve">Validation</x:t>
        </x:is>
      </x:c>
      <x:c r="C627" s="57" t="inlineStr">
        <x:is>
          <x:t xml:space="preserve">OPEN</x:t>
        </x:is>
      </x:c>
      <x:c r="D627" s="57" t="inlineStr">
        <x:is>
          <x:t xml:space="preserve">ARG-063</x:t>
        </x:is>
      </x:c>
      <x:c r="E627" s="75" t="str">
        <x:f>INDEX('Company Universe'!$B$6:$B$105,MATCH(D627,'Company Universe'!$A$6:$A$105,0))</x:f>
        <x:v>Allianz</x:v>
      </x:c>
      <x:c r="F627" s="75" t="str">
        <x:f>INDEX('Company Universe'!$C$6:$C$105,MATCH(D627,'Company Universe'!$A$6:$A$105,0))</x:f>
        <x:v>ALV.DE</x:v>
      </x:c>
      <x:c r="G627" s="75" t="str">
        <x:f>INDEX('Company Universe'!$F$6:$F$105,MATCH(D627,'Company Universe'!$A$6:$A$105,0))</x:f>
        <x:v>Insurance</x:v>
      </x:c>
      <x:c r="H627" s="57" t="n">
        <x:v>2</x:v>
      </x:c>
      <x:c r="I627" s="206" t="n"/>
      <x:c r="J627" s="71" t="n"/>
      <x:c r="K627" s="71" t="n"/>
      <x:c r="L627" s="71" t="inlineStr">
        <x:is>
          <x:t xml:space="preserve">NO</x:t>
        </x:is>
      </x:c>
      <x:c r="M627" s="71" t="n"/>
      <x:c r="N627" s="71" t="n"/>
      <x:c r="O627" s="71" t="n"/>
      <x:c r="P627" s="71" t="n"/>
      <x:c r="Q627" s="71" t="n"/>
      <x:c r="R627" s="71" t="n"/>
      <x:c r="S627" s="206" t="n"/>
      <x:c r="T627" s="71" t="n"/>
      <x:c r="U627" s="71" t="n"/>
      <x:c r="V627" s="71" t="n"/>
      <x:c r="W627" s="71" t="n"/>
      <x:c r="X627" s="71" t="n"/>
      <x:c r="Y627" s="71" t="n"/>
      <x:c r="Z627" s="71" t="n"/>
      <x:c r="AA627" s="71" t="n"/>
      <x:c r="AB627" s="71" t="inlineStr">
        <x:is>
          <x:t xml:space="preserve">NO</x:t>
        </x:is>
      </x:c>
      <x:c r="AC627" s="57" t="inlineStr">
        <x:is>
          <x:t xml:space="preserve">V10</x:t>
        </x:is>
      </x:c>
      <x:c r="AD627" s="57" t="n"/>
      <x:c r="AE627" s="79" t="str">
        <x:f>IF(AND(I627&lt;&gt;"",J627&lt;&gt;"",K627&lt;&gt;"",L627="YES",M627&lt;&gt;"",S627&lt;&gt;"",T627&lt;&gt;"",U627&lt;&gt;"",V627&lt;&gt;"",W627&lt;&gt;"",X627&lt;&gt;"",Y627&lt;&gt;""),"COMPLETE","PENDING")</x:f>
        <x:v>PENDING</x:v>
      </x:c>
      <x:c r="AF627" s="79" t="str">
        <x:f>IF(AE627="COMPLETE","YES","NO")</x:f>
        <x:v>NO</x:v>
      </x:c>
      <x:c r="AG627" s="214" t="str">
        <x:f>IF(AF627&lt;&gt;"YES","",(IF(V627="YES",1,0)+IF(W627="YES",1,0))/2)</x:f>
      </x:c>
    </x:row>
    <x:row r="628">
      <x:c r="A628" s="57" t="inlineStr">
        <x:is>
          <x:t xml:space="preserve">C0623</x:t>
        </x:is>
      </x:c>
      <x:c r="B628" s="57" t="inlineStr">
        <x:is>
          <x:t xml:space="preserve">Validation</x:t>
        </x:is>
      </x:c>
      <x:c r="C628" s="57" t="inlineStr">
        <x:is>
          <x:t xml:space="preserve">OPEN</x:t>
        </x:is>
      </x:c>
      <x:c r="D628" s="57" t="inlineStr">
        <x:is>
          <x:t xml:space="preserve">ARG-063</x:t>
        </x:is>
      </x:c>
      <x:c r="E628" s="75" t="str">
        <x:f>INDEX('Company Universe'!$B$6:$B$105,MATCH(D628,'Company Universe'!$A$6:$A$105,0))</x:f>
        <x:v>Allianz</x:v>
      </x:c>
      <x:c r="F628" s="75" t="str">
        <x:f>INDEX('Company Universe'!$C$6:$C$105,MATCH(D628,'Company Universe'!$A$6:$A$105,0))</x:f>
        <x:v>ALV.DE</x:v>
      </x:c>
      <x:c r="G628" s="75" t="str">
        <x:f>INDEX('Company Universe'!$F$6:$F$105,MATCH(D628,'Company Universe'!$A$6:$A$105,0))</x:f>
        <x:v>Insurance</x:v>
      </x:c>
      <x:c r="H628" s="57" t="n">
        <x:v>3</x:v>
      </x:c>
      <x:c r="I628" s="206" t="n"/>
      <x:c r="J628" s="71" t="n"/>
      <x:c r="K628" s="71" t="n"/>
      <x:c r="L628" s="71" t="inlineStr">
        <x:is>
          <x:t xml:space="preserve">NO</x:t>
        </x:is>
      </x:c>
      <x:c r="M628" s="71" t="n"/>
      <x:c r="N628" s="71" t="n"/>
      <x:c r="O628" s="71" t="n"/>
      <x:c r="P628" s="71" t="n"/>
      <x:c r="Q628" s="71" t="n"/>
      <x:c r="R628" s="71" t="n"/>
      <x:c r="S628" s="206" t="n"/>
      <x:c r="T628" s="71" t="n"/>
      <x:c r="U628" s="71" t="n"/>
      <x:c r="V628" s="71" t="n"/>
      <x:c r="W628" s="71" t="n"/>
      <x:c r="X628" s="71" t="n"/>
      <x:c r="Y628" s="71" t="n"/>
      <x:c r="Z628" s="71" t="n"/>
      <x:c r="AA628" s="71" t="n"/>
      <x:c r="AB628" s="71" t="inlineStr">
        <x:is>
          <x:t xml:space="preserve">NO</x:t>
        </x:is>
      </x:c>
      <x:c r="AC628" s="57" t="inlineStr">
        <x:is>
          <x:t xml:space="preserve">V10</x:t>
        </x:is>
      </x:c>
      <x:c r="AD628" s="57" t="n"/>
      <x:c r="AE628" s="79" t="str">
        <x:f>IF(AND(I628&lt;&gt;"",J628&lt;&gt;"",K628&lt;&gt;"",L628="YES",M628&lt;&gt;"",S628&lt;&gt;"",T628&lt;&gt;"",U628&lt;&gt;"",V628&lt;&gt;"",W628&lt;&gt;"",X628&lt;&gt;"",Y628&lt;&gt;""),"COMPLETE","PENDING")</x:f>
        <x:v>PENDING</x:v>
      </x:c>
      <x:c r="AF628" s="79" t="str">
        <x:f>IF(AE628="COMPLETE","YES","NO")</x:f>
        <x:v>NO</x:v>
      </x:c>
      <x:c r="AG628" s="214" t="str">
        <x:f>IF(AF628&lt;&gt;"YES","",(IF(V628="YES",1,0)+IF(W628="YES",1,0))/2)</x:f>
      </x:c>
    </x:row>
    <x:row r="629">
      <x:c r="A629" s="57" t="inlineStr">
        <x:is>
          <x:t xml:space="preserve">C0624</x:t>
        </x:is>
      </x:c>
      <x:c r="B629" s="57" t="inlineStr">
        <x:is>
          <x:t xml:space="preserve">Validation</x:t>
        </x:is>
      </x:c>
      <x:c r="C629" s="57" t="inlineStr">
        <x:is>
          <x:t xml:space="preserve">OPEN</x:t>
        </x:is>
      </x:c>
      <x:c r="D629" s="57" t="inlineStr">
        <x:is>
          <x:t xml:space="preserve">ARG-063</x:t>
        </x:is>
      </x:c>
      <x:c r="E629" s="75" t="str">
        <x:f>INDEX('Company Universe'!$B$6:$B$105,MATCH(D629,'Company Universe'!$A$6:$A$105,0))</x:f>
        <x:v>Allianz</x:v>
      </x:c>
      <x:c r="F629" s="75" t="str">
        <x:f>INDEX('Company Universe'!$C$6:$C$105,MATCH(D629,'Company Universe'!$A$6:$A$105,0))</x:f>
        <x:v>ALV.DE</x:v>
      </x:c>
      <x:c r="G629" s="75" t="str">
        <x:f>INDEX('Company Universe'!$F$6:$F$105,MATCH(D629,'Company Universe'!$A$6:$A$105,0))</x:f>
        <x:v>Insurance</x:v>
      </x:c>
      <x:c r="H629" s="57" t="n">
        <x:v>4</x:v>
      </x:c>
      <x:c r="I629" s="206" t="n"/>
      <x:c r="J629" s="71" t="n"/>
      <x:c r="K629" s="71" t="n"/>
      <x:c r="L629" s="71" t="inlineStr">
        <x:is>
          <x:t xml:space="preserve">NO</x:t>
        </x:is>
      </x:c>
      <x:c r="M629" s="71" t="n"/>
      <x:c r="N629" s="71" t="n"/>
      <x:c r="O629" s="71" t="n"/>
      <x:c r="P629" s="71" t="n"/>
      <x:c r="Q629" s="71" t="n"/>
      <x:c r="R629" s="71" t="n"/>
      <x:c r="S629" s="206" t="n"/>
      <x:c r="T629" s="71" t="n"/>
      <x:c r="U629" s="71" t="n"/>
      <x:c r="V629" s="71" t="n"/>
      <x:c r="W629" s="71" t="n"/>
      <x:c r="X629" s="71" t="n"/>
      <x:c r="Y629" s="71" t="n"/>
      <x:c r="Z629" s="71" t="n"/>
      <x:c r="AA629" s="71" t="n"/>
      <x:c r="AB629" s="71" t="inlineStr">
        <x:is>
          <x:t xml:space="preserve">NO</x:t>
        </x:is>
      </x:c>
      <x:c r="AC629" s="57" t="inlineStr">
        <x:is>
          <x:t xml:space="preserve">V10</x:t>
        </x:is>
      </x:c>
      <x:c r="AD629" s="57" t="n"/>
      <x:c r="AE629" s="79" t="str">
        <x:f>IF(AND(I629&lt;&gt;"",J629&lt;&gt;"",K629&lt;&gt;"",L629="YES",M629&lt;&gt;"",S629&lt;&gt;"",T629&lt;&gt;"",U629&lt;&gt;"",V629&lt;&gt;"",W629&lt;&gt;"",X629&lt;&gt;"",Y629&lt;&gt;""),"COMPLETE","PENDING")</x:f>
        <x:v>PENDING</x:v>
      </x:c>
      <x:c r="AF629" s="79" t="str">
        <x:f>IF(AE629="COMPLETE","YES","NO")</x:f>
        <x:v>NO</x:v>
      </x:c>
      <x:c r="AG629" s="214" t="str">
        <x:f>IF(AF629&lt;&gt;"YES","",(IF(V629="YES",1,0)+IF(W629="YES",1,0))/2)</x:f>
      </x:c>
    </x:row>
    <x:row r="630">
      <x:c r="A630" s="57" t="inlineStr">
        <x:is>
          <x:t xml:space="preserve">C0625</x:t>
        </x:is>
      </x:c>
      <x:c r="B630" s="57" t="inlineStr">
        <x:is>
          <x:t xml:space="preserve">Validation</x:t>
        </x:is>
      </x:c>
      <x:c r="C630" s="57" t="inlineStr">
        <x:is>
          <x:t xml:space="preserve">OPEN</x:t>
        </x:is>
      </x:c>
      <x:c r="D630" s="57" t="inlineStr">
        <x:is>
          <x:t xml:space="preserve">ARG-063</x:t>
        </x:is>
      </x:c>
      <x:c r="E630" s="75" t="str">
        <x:f>INDEX('Company Universe'!$B$6:$B$105,MATCH(D630,'Company Universe'!$A$6:$A$105,0))</x:f>
        <x:v>Allianz</x:v>
      </x:c>
      <x:c r="F630" s="75" t="str">
        <x:f>INDEX('Company Universe'!$C$6:$C$105,MATCH(D630,'Company Universe'!$A$6:$A$105,0))</x:f>
        <x:v>ALV.DE</x:v>
      </x:c>
      <x:c r="G630" s="75" t="str">
        <x:f>INDEX('Company Universe'!$F$6:$F$105,MATCH(D630,'Company Universe'!$A$6:$A$105,0))</x:f>
        <x:v>Insurance</x:v>
      </x:c>
      <x:c r="H630" s="57" t="n">
        <x:v>5</x:v>
      </x:c>
      <x:c r="I630" s="206" t="n"/>
      <x:c r="J630" s="71" t="n"/>
      <x:c r="K630" s="71" t="n"/>
      <x:c r="L630" s="71" t="inlineStr">
        <x:is>
          <x:t xml:space="preserve">NO</x:t>
        </x:is>
      </x:c>
      <x:c r="M630" s="71" t="n"/>
      <x:c r="N630" s="71" t="n"/>
      <x:c r="O630" s="71" t="n"/>
      <x:c r="P630" s="71" t="n"/>
      <x:c r="Q630" s="71" t="n"/>
      <x:c r="R630" s="71" t="n"/>
      <x:c r="S630" s="206" t="n"/>
      <x:c r="T630" s="71" t="n"/>
      <x:c r="U630" s="71" t="n"/>
      <x:c r="V630" s="71" t="n"/>
      <x:c r="W630" s="71" t="n"/>
      <x:c r="X630" s="71" t="n"/>
      <x:c r="Y630" s="71" t="n"/>
      <x:c r="Z630" s="71" t="n"/>
      <x:c r="AA630" s="71" t="n"/>
      <x:c r="AB630" s="71" t="inlineStr">
        <x:is>
          <x:t xml:space="preserve">NO</x:t>
        </x:is>
      </x:c>
      <x:c r="AC630" s="57" t="inlineStr">
        <x:is>
          <x:t xml:space="preserve">V10</x:t>
        </x:is>
      </x:c>
      <x:c r="AD630" s="57" t="n"/>
      <x:c r="AE630" s="79" t="str">
        <x:f>IF(AND(I630&lt;&gt;"",J630&lt;&gt;"",K630&lt;&gt;"",L630="YES",M630&lt;&gt;"",S630&lt;&gt;"",T630&lt;&gt;"",U630&lt;&gt;"",V630&lt;&gt;"",W630&lt;&gt;"",X630&lt;&gt;"",Y630&lt;&gt;""),"COMPLETE","PENDING")</x:f>
        <x:v>PENDING</x:v>
      </x:c>
      <x:c r="AF630" s="79" t="str">
        <x:f>IF(AE630="COMPLETE","YES","NO")</x:f>
        <x:v>NO</x:v>
      </x:c>
      <x:c r="AG630" s="214" t="str">
        <x:f>IF(AF630&lt;&gt;"YES","",(IF(V630="YES",1,0)+IF(W630="YES",1,0))/2)</x:f>
      </x:c>
    </x:row>
    <x:row r="631">
      <x:c r="A631" s="57" t="inlineStr">
        <x:is>
          <x:t xml:space="preserve">C0626</x:t>
        </x:is>
      </x:c>
      <x:c r="B631" s="57" t="inlineStr">
        <x:is>
          <x:t xml:space="preserve">Validation</x:t>
        </x:is>
      </x:c>
      <x:c r="C631" s="57" t="inlineStr">
        <x:is>
          <x:t xml:space="preserve">OPEN</x:t>
        </x:is>
      </x:c>
      <x:c r="D631" s="57" t="inlineStr">
        <x:is>
          <x:t xml:space="preserve">ARG-063</x:t>
        </x:is>
      </x:c>
      <x:c r="E631" s="75" t="str">
        <x:f>INDEX('Company Universe'!$B$6:$B$105,MATCH(D631,'Company Universe'!$A$6:$A$105,0))</x:f>
        <x:v>Allianz</x:v>
      </x:c>
      <x:c r="F631" s="75" t="str">
        <x:f>INDEX('Company Universe'!$C$6:$C$105,MATCH(D631,'Company Universe'!$A$6:$A$105,0))</x:f>
        <x:v>ALV.DE</x:v>
      </x:c>
      <x:c r="G631" s="75" t="str">
        <x:f>INDEX('Company Universe'!$F$6:$F$105,MATCH(D631,'Company Universe'!$A$6:$A$105,0))</x:f>
        <x:v>Insurance</x:v>
      </x:c>
      <x:c r="H631" s="57" t="n">
        <x:v>6</x:v>
      </x:c>
      <x:c r="I631" s="206" t="n"/>
      <x:c r="J631" s="71" t="n"/>
      <x:c r="K631" s="71" t="n"/>
      <x:c r="L631" s="71" t="inlineStr">
        <x:is>
          <x:t xml:space="preserve">NO</x:t>
        </x:is>
      </x:c>
      <x:c r="M631" s="71" t="n"/>
      <x:c r="N631" s="71" t="n"/>
      <x:c r="O631" s="71" t="n"/>
      <x:c r="P631" s="71" t="n"/>
      <x:c r="Q631" s="71" t="n"/>
      <x:c r="R631" s="71" t="n"/>
      <x:c r="S631" s="206" t="n"/>
      <x:c r="T631" s="71" t="n"/>
      <x:c r="U631" s="71" t="n"/>
      <x:c r="V631" s="71" t="n"/>
      <x:c r="W631" s="71" t="n"/>
      <x:c r="X631" s="71" t="n"/>
      <x:c r="Y631" s="71" t="n"/>
      <x:c r="Z631" s="71" t="n"/>
      <x:c r="AA631" s="71" t="n"/>
      <x:c r="AB631" s="71" t="inlineStr">
        <x:is>
          <x:t xml:space="preserve">NO</x:t>
        </x:is>
      </x:c>
      <x:c r="AC631" s="57" t="inlineStr">
        <x:is>
          <x:t xml:space="preserve">V10</x:t>
        </x:is>
      </x:c>
      <x:c r="AD631" s="57" t="n"/>
      <x:c r="AE631" s="79" t="str">
        <x:f>IF(AND(I631&lt;&gt;"",J631&lt;&gt;"",K631&lt;&gt;"",L631="YES",M631&lt;&gt;"",S631&lt;&gt;"",T631&lt;&gt;"",U631&lt;&gt;"",V631&lt;&gt;"",W631&lt;&gt;"",X631&lt;&gt;"",Y631&lt;&gt;""),"COMPLETE","PENDING")</x:f>
        <x:v>PENDING</x:v>
      </x:c>
      <x:c r="AF631" s="79" t="str">
        <x:f>IF(AE631="COMPLETE","YES","NO")</x:f>
        <x:v>NO</x:v>
      </x:c>
      <x:c r="AG631" s="214" t="str">
        <x:f>IF(AF631&lt;&gt;"YES","",(IF(V631="YES",1,0)+IF(W631="YES",1,0))/2)</x:f>
      </x:c>
    </x:row>
    <x:row r="632">
      <x:c r="A632" s="57" t="inlineStr">
        <x:is>
          <x:t xml:space="preserve">C0627</x:t>
        </x:is>
      </x:c>
      <x:c r="B632" s="57" t="inlineStr">
        <x:is>
          <x:t xml:space="preserve">Validation</x:t>
        </x:is>
      </x:c>
      <x:c r="C632" s="57" t="inlineStr">
        <x:is>
          <x:t xml:space="preserve">OPEN</x:t>
        </x:is>
      </x:c>
      <x:c r="D632" s="57" t="inlineStr">
        <x:is>
          <x:t xml:space="preserve">ARG-063</x:t>
        </x:is>
      </x:c>
      <x:c r="E632" s="75" t="str">
        <x:f>INDEX('Company Universe'!$B$6:$B$105,MATCH(D632,'Company Universe'!$A$6:$A$105,0))</x:f>
        <x:v>Allianz</x:v>
      </x:c>
      <x:c r="F632" s="75" t="str">
        <x:f>INDEX('Company Universe'!$C$6:$C$105,MATCH(D632,'Company Universe'!$A$6:$A$105,0))</x:f>
        <x:v>ALV.DE</x:v>
      </x:c>
      <x:c r="G632" s="75" t="str">
        <x:f>INDEX('Company Universe'!$F$6:$F$105,MATCH(D632,'Company Universe'!$A$6:$A$105,0))</x:f>
        <x:v>Insurance</x:v>
      </x:c>
      <x:c r="H632" s="57" t="n">
        <x:v>7</x:v>
      </x:c>
      <x:c r="I632" s="206" t="n"/>
      <x:c r="J632" s="71" t="n"/>
      <x:c r="K632" s="71" t="n"/>
      <x:c r="L632" s="71" t="inlineStr">
        <x:is>
          <x:t xml:space="preserve">NO</x:t>
        </x:is>
      </x:c>
      <x:c r="M632" s="71" t="n"/>
      <x:c r="N632" s="71" t="n"/>
      <x:c r="O632" s="71" t="n"/>
      <x:c r="P632" s="71" t="n"/>
      <x:c r="Q632" s="71" t="n"/>
      <x:c r="R632" s="71" t="n"/>
      <x:c r="S632" s="206" t="n"/>
      <x:c r="T632" s="71" t="n"/>
      <x:c r="U632" s="71" t="n"/>
      <x:c r="V632" s="71" t="n"/>
      <x:c r="W632" s="71" t="n"/>
      <x:c r="X632" s="71" t="n"/>
      <x:c r="Y632" s="71" t="n"/>
      <x:c r="Z632" s="71" t="n"/>
      <x:c r="AA632" s="71" t="n"/>
      <x:c r="AB632" s="71" t="inlineStr">
        <x:is>
          <x:t xml:space="preserve">NO</x:t>
        </x:is>
      </x:c>
      <x:c r="AC632" s="57" t="inlineStr">
        <x:is>
          <x:t xml:space="preserve">V10</x:t>
        </x:is>
      </x:c>
      <x:c r="AD632" s="57" t="n"/>
      <x:c r="AE632" s="79" t="str">
        <x:f>IF(AND(I632&lt;&gt;"",J632&lt;&gt;"",K632&lt;&gt;"",L632="YES",M632&lt;&gt;"",S632&lt;&gt;"",T632&lt;&gt;"",U632&lt;&gt;"",V632&lt;&gt;"",W632&lt;&gt;"",X632&lt;&gt;"",Y632&lt;&gt;""),"COMPLETE","PENDING")</x:f>
        <x:v>PENDING</x:v>
      </x:c>
      <x:c r="AF632" s="79" t="str">
        <x:f>IF(AE632="COMPLETE","YES","NO")</x:f>
        <x:v>NO</x:v>
      </x:c>
      <x:c r="AG632" s="214" t="str">
        <x:f>IF(AF632&lt;&gt;"YES","",(IF(V632="YES",1,0)+IF(W632="YES",1,0))/2)</x:f>
      </x:c>
    </x:row>
    <x:row r="633">
      <x:c r="A633" s="57" t="inlineStr">
        <x:is>
          <x:t xml:space="preserve">C0628</x:t>
        </x:is>
      </x:c>
      <x:c r="B633" s="57" t="inlineStr">
        <x:is>
          <x:t xml:space="preserve">Validation</x:t>
        </x:is>
      </x:c>
      <x:c r="C633" s="57" t="inlineStr">
        <x:is>
          <x:t xml:space="preserve">OPEN</x:t>
        </x:is>
      </x:c>
      <x:c r="D633" s="57" t="inlineStr">
        <x:is>
          <x:t xml:space="preserve">ARG-063</x:t>
        </x:is>
      </x:c>
      <x:c r="E633" s="75" t="str">
        <x:f>INDEX('Company Universe'!$B$6:$B$105,MATCH(D633,'Company Universe'!$A$6:$A$105,0))</x:f>
        <x:v>Allianz</x:v>
      </x:c>
      <x:c r="F633" s="75" t="str">
        <x:f>INDEX('Company Universe'!$C$6:$C$105,MATCH(D633,'Company Universe'!$A$6:$A$105,0))</x:f>
        <x:v>ALV.DE</x:v>
      </x:c>
      <x:c r="G633" s="75" t="str">
        <x:f>INDEX('Company Universe'!$F$6:$F$105,MATCH(D633,'Company Universe'!$A$6:$A$105,0))</x:f>
        <x:v>Insurance</x:v>
      </x:c>
      <x:c r="H633" s="57" t="n">
        <x:v>8</x:v>
      </x:c>
      <x:c r="I633" s="206" t="n"/>
      <x:c r="J633" s="71" t="n"/>
      <x:c r="K633" s="71" t="n"/>
      <x:c r="L633" s="71" t="inlineStr">
        <x:is>
          <x:t xml:space="preserve">NO</x:t>
        </x:is>
      </x:c>
      <x:c r="M633" s="71" t="n"/>
      <x:c r="N633" s="71" t="n"/>
      <x:c r="O633" s="71" t="n"/>
      <x:c r="P633" s="71" t="n"/>
      <x:c r="Q633" s="71" t="n"/>
      <x:c r="R633" s="71" t="n"/>
      <x:c r="S633" s="206" t="n"/>
      <x:c r="T633" s="71" t="n"/>
      <x:c r="U633" s="71" t="n"/>
      <x:c r="V633" s="71" t="n"/>
      <x:c r="W633" s="71" t="n"/>
      <x:c r="X633" s="71" t="n"/>
      <x:c r="Y633" s="71" t="n"/>
      <x:c r="Z633" s="71" t="n"/>
      <x:c r="AA633" s="71" t="n"/>
      <x:c r="AB633" s="71" t="inlineStr">
        <x:is>
          <x:t xml:space="preserve">NO</x:t>
        </x:is>
      </x:c>
      <x:c r="AC633" s="57" t="inlineStr">
        <x:is>
          <x:t xml:space="preserve">V10</x:t>
        </x:is>
      </x:c>
      <x:c r="AD633" s="57" t="n"/>
      <x:c r="AE633" s="79" t="str">
        <x:f>IF(AND(I633&lt;&gt;"",J633&lt;&gt;"",K633&lt;&gt;"",L633="YES",M633&lt;&gt;"",S633&lt;&gt;"",T633&lt;&gt;"",U633&lt;&gt;"",V633&lt;&gt;"",W633&lt;&gt;"",X633&lt;&gt;"",Y633&lt;&gt;""),"COMPLETE","PENDING")</x:f>
        <x:v>PENDING</x:v>
      </x:c>
      <x:c r="AF633" s="79" t="str">
        <x:f>IF(AE633="COMPLETE","YES","NO")</x:f>
        <x:v>NO</x:v>
      </x:c>
      <x:c r="AG633" s="214" t="str">
        <x:f>IF(AF633&lt;&gt;"YES","",(IF(V633="YES",1,0)+IF(W633="YES",1,0))/2)</x:f>
      </x:c>
    </x:row>
    <x:row r="634">
      <x:c r="A634" s="57" t="inlineStr">
        <x:is>
          <x:t xml:space="preserve">C0629</x:t>
        </x:is>
      </x:c>
      <x:c r="B634" s="57" t="inlineStr">
        <x:is>
          <x:t xml:space="preserve">Validation</x:t>
        </x:is>
      </x:c>
      <x:c r="C634" s="57" t="inlineStr">
        <x:is>
          <x:t xml:space="preserve">OPEN</x:t>
        </x:is>
      </x:c>
      <x:c r="D634" s="57" t="inlineStr">
        <x:is>
          <x:t xml:space="preserve">ARG-063</x:t>
        </x:is>
      </x:c>
      <x:c r="E634" s="75" t="str">
        <x:f>INDEX('Company Universe'!$B$6:$B$105,MATCH(D634,'Company Universe'!$A$6:$A$105,0))</x:f>
        <x:v>Allianz</x:v>
      </x:c>
      <x:c r="F634" s="75" t="str">
        <x:f>INDEX('Company Universe'!$C$6:$C$105,MATCH(D634,'Company Universe'!$A$6:$A$105,0))</x:f>
        <x:v>ALV.DE</x:v>
      </x:c>
      <x:c r="G634" s="75" t="str">
        <x:f>INDEX('Company Universe'!$F$6:$F$105,MATCH(D634,'Company Universe'!$A$6:$A$105,0))</x:f>
        <x:v>Insurance</x:v>
      </x:c>
      <x:c r="H634" s="57" t="n">
        <x:v>9</x:v>
      </x:c>
      <x:c r="I634" s="206" t="n"/>
      <x:c r="J634" s="71" t="n"/>
      <x:c r="K634" s="71" t="n"/>
      <x:c r="L634" s="71" t="inlineStr">
        <x:is>
          <x:t xml:space="preserve">NO</x:t>
        </x:is>
      </x:c>
      <x:c r="M634" s="71" t="n"/>
      <x:c r="N634" s="71" t="n"/>
      <x:c r="O634" s="71" t="n"/>
      <x:c r="P634" s="71" t="n"/>
      <x:c r="Q634" s="71" t="n"/>
      <x:c r="R634" s="71" t="n"/>
      <x:c r="S634" s="206" t="n"/>
      <x:c r="T634" s="71" t="n"/>
      <x:c r="U634" s="71" t="n"/>
      <x:c r="V634" s="71" t="n"/>
      <x:c r="W634" s="71" t="n"/>
      <x:c r="X634" s="71" t="n"/>
      <x:c r="Y634" s="71" t="n"/>
      <x:c r="Z634" s="71" t="n"/>
      <x:c r="AA634" s="71" t="n"/>
      <x:c r="AB634" s="71" t="inlineStr">
        <x:is>
          <x:t xml:space="preserve">NO</x:t>
        </x:is>
      </x:c>
      <x:c r="AC634" s="57" t="inlineStr">
        <x:is>
          <x:t xml:space="preserve">V10</x:t>
        </x:is>
      </x:c>
      <x:c r="AD634" s="57" t="n"/>
      <x:c r="AE634" s="79" t="str">
        <x:f>IF(AND(I634&lt;&gt;"",J634&lt;&gt;"",K634&lt;&gt;"",L634="YES",M634&lt;&gt;"",S634&lt;&gt;"",T634&lt;&gt;"",U634&lt;&gt;"",V634&lt;&gt;"",W634&lt;&gt;"",X634&lt;&gt;"",Y634&lt;&gt;""),"COMPLETE","PENDING")</x:f>
        <x:v>PENDING</x:v>
      </x:c>
      <x:c r="AF634" s="79" t="str">
        <x:f>IF(AE634="COMPLETE","YES","NO")</x:f>
        <x:v>NO</x:v>
      </x:c>
      <x:c r="AG634" s="214" t="str">
        <x:f>IF(AF634&lt;&gt;"YES","",(IF(V634="YES",1,0)+IF(W634="YES",1,0))/2)</x:f>
      </x:c>
    </x:row>
    <x:row r="635">
      <x:c r="A635" s="57" t="inlineStr">
        <x:is>
          <x:t xml:space="preserve">C0630</x:t>
        </x:is>
      </x:c>
      <x:c r="B635" s="57" t="inlineStr">
        <x:is>
          <x:t xml:space="preserve">Validation</x:t>
        </x:is>
      </x:c>
      <x:c r="C635" s="57" t="inlineStr">
        <x:is>
          <x:t xml:space="preserve">OPEN</x:t>
        </x:is>
      </x:c>
      <x:c r="D635" s="57" t="inlineStr">
        <x:is>
          <x:t xml:space="preserve">ARG-063</x:t>
        </x:is>
      </x:c>
      <x:c r="E635" s="75" t="str">
        <x:f>INDEX('Company Universe'!$B$6:$B$105,MATCH(D635,'Company Universe'!$A$6:$A$105,0))</x:f>
        <x:v>Allianz</x:v>
      </x:c>
      <x:c r="F635" s="75" t="str">
        <x:f>INDEX('Company Universe'!$C$6:$C$105,MATCH(D635,'Company Universe'!$A$6:$A$105,0))</x:f>
        <x:v>ALV.DE</x:v>
      </x:c>
      <x:c r="G635" s="75" t="str">
        <x:f>INDEX('Company Universe'!$F$6:$F$105,MATCH(D635,'Company Universe'!$A$6:$A$105,0))</x:f>
        <x:v>Insurance</x:v>
      </x:c>
      <x:c r="H635" s="57" t="n">
        <x:v>10</x:v>
      </x:c>
      <x:c r="I635" s="206" t="n"/>
      <x:c r="J635" s="71" t="n"/>
      <x:c r="K635" s="71" t="n"/>
      <x:c r="L635" s="71" t="inlineStr">
        <x:is>
          <x:t xml:space="preserve">NO</x:t>
        </x:is>
      </x:c>
      <x:c r="M635" s="71" t="n"/>
      <x:c r="N635" s="71" t="n"/>
      <x:c r="O635" s="71" t="n"/>
      <x:c r="P635" s="71" t="n"/>
      <x:c r="Q635" s="71" t="n"/>
      <x:c r="R635" s="71" t="n"/>
      <x:c r="S635" s="206" t="n"/>
      <x:c r="T635" s="71" t="n"/>
      <x:c r="U635" s="71" t="n"/>
      <x:c r="V635" s="71" t="n"/>
      <x:c r="W635" s="71" t="n"/>
      <x:c r="X635" s="71" t="n"/>
      <x:c r="Y635" s="71" t="n"/>
      <x:c r="Z635" s="71" t="n"/>
      <x:c r="AA635" s="71" t="n"/>
      <x:c r="AB635" s="71" t="inlineStr">
        <x:is>
          <x:t xml:space="preserve">NO</x:t>
        </x:is>
      </x:c>
      <x:c r="AC635" s="57" t="inlineStr">
        <x:is>
          <x:t xml:space="preserve">V10</x:t>
        </x:is>
      </x:c>
      <x:c r="AD635" s="57" t="n"/>
      <x:c r="AE635" s="79" t="str">
        <x:f>IF(AND(I635&lt;&gt;"",J635&lt;&gt;"",K635&lt;&gt;"",L635="YES",M635&lt;&gt;"",S635&lt;&gt;"",T635&lt;&gt;"",U635&lt;&gt;"",V635&lt;&gt;"",W635&lt;&gt;"",X635&lt;&gt;"",Y635&lt;&gt;""),"COMPLETE","PENDING")</x:f>
        <x:v>PENDING</x:v>
      </x:c>
      <x:c r="AF635" s="79" t="str">
        <x:f>IF(AE635="COMPLETE","YES","NO")</x:f>
        <x:v>NO</x:v>
      </x:c>
      <x:c r="AG635" s="214" t="str">
        <x:f>IF(AF635&lt;&gt;"YES","",(IF(V635="YES",1,0)+IF(W635="YES",1,0))/2)</x:f>
      </x:c>
    </x:row>
    <x:row r="636">
      <x:c r="A636" s="57" t="inlineStr">
        <x:is>
          <x:t xml:space="preserve">C0631</x:t>
        </x:is>
      </x:c>
      <x:c r="B636" s="57" t="inlineStr">
        <x:is>
          <x:t xml:space="preserve">Validation</x:t>
        </x:is>
      </x:c>
      <x:c r="C636" s="57" t="inlineStr">
        <x:is>
          <x:t xml:space="preserve">OPEN</x:t>
        </x:is>
      </x:c>
      <x:c r="D636" s="57" t="inlineStr">
        <x:is>
          <x:t xml:space="preserve">ARG-064</x:t>
        </x:is>
      </x:c>
      <x:c r="E636" s="75" t="str">
        <x:f>INDEX('Company Universe'!$B$6:$B$105,MATCH(D636,'Company Universe'!$A$6:$A$105,0))</x:f>
        <x:v>Novo Nordisk</x:v>
      </x:c>
      <x:c r="F636" s="75" t="str">
        <x:f>INDEX('Company Universe'!$C$6:$C$105,MATCH(D636,'Company Universe'!$A$6:$A$105,0))</x:f>
        <x:v>NVO</x:v>
      </x:c>
      <x:c r="G636" s="75" t="str">
        <x:f>INDEX('Company Universe'!$F$6:$F$105,MATCH(D636,'Company Universe'!$A$6:$A$105,0))</x:f>
        <x:v>Healthcare &amp; Biopharma</x:v>
      </x:c>
      <x:c r="H636" s="57" t="n">
        <x:v>1</x:v>
      </x:c>
      <x:c r="I636" s="206" t="n"/>
      <x:c r="J636" s="71" t="n"/>
      <x:c r="K636" s="71" t="n"/>
      <x:c r="L636" s="71" t="inlineStr">
        <x:is>
          <x:t xml:space="preserve">NO</x:t>
        </x:is>
      </x:c>
      <x:c r="M636" s="71" t="n"/>
      <x:c r="N636" s="71" t="n"/>
      <x:c r="O636" s="71" t="n"/>
      <x:c r="P636" s="71" t="n"/>
      <x:c r="Q636" s="71" t="n"/>
      <x:c r="R636" s="71" t="n"/>
      <x:c r="S636" s="206" t="n"/>
      <x:c r="T636" s="71" t="n"/>
      <x:c r="U636" s="71" t="n"/>
      <x:c r="V636" s="71" t="n"/>
      <x:c r="W636" s="71" t="n"/>
      <x:c r="X636" s="71" t="n"/>
      <x:c r="Y636" s="71" t="n"/>
      <x:c r="Z636" s="71" t="n"/>
      <x:c r="AA636" s="71" t="n"/>
      <x:c r="AB636" s="71" t="inlineStr">
        <x:is>
          <x:t xml:space="preserve">NO</x:t>
        </x:is>
      </x:c>
      <x:c r="AC636" s="57" t="inlineStr">
        <x:is>
          <x:t xml:space="preserve">V10</x:t>
        </x:is>
      </x:c>
      <x:c r="AD636" s="57" t="n"/>
      <x:c r="AE636" s="79" t="str">
        <x:f>IF(AND(I636&lt;&gt;"",J636&lt;&gt;"",K636&lt;&gt;"",L636="YES",M636&lt;&gt;"",S636&lt;&gt;"",T636&lt;&gt;"",U636&lt;&gt;"",V636&lt;&gt;"",W636&lt;&gt;"",X636&lt;&gt;"",Y636&lt;&gt;""),"COMPLETE","PENDING")</x:f>
        <x:v>PENDING</x:v>
      </x:c>
      <x:c r="AF636" s="79" t="str">
        <x:f>IF(AE636="COMPLETE","YES","NO")</x:f>
        <x:v>NO</x:v>
      </x:c>
      <x:c r="AG636" s="214" t="str">
        <x:f>IF(AF636&lt;&gt;"YES","",(IF(V636="YES",1,0)+IF(W636="YES",1,0))/2)</x:f>
      </x:c>
    </x:row>
    <x:row r="637">
      <x:c r="A637" s="57" t="inlineStr">
        <x:is>
          <x:t xml:space="preserve">C0632</x:t>
        </x:is>
      </x:c>
      <x:c r="B637" s="57" t="inlineStr">
        <x:is>
          <x:t xml:space="preserve">Validation</x:t>
        </x:is>
      </x:c>
      <x:c r="C637" s="57" t="inlineStr">
        <x:is>
          <x:t xml:space="preserve">OPEN</x:t>
        </x:is>
      </x:c>
      <x:c r="D637" s="57" t="inlineStr">
        <x:is>
          <x:t xml:space="preserve">ARG-064</x:t>
        </x:is>
      </x:c>
      <x:c r="E637" s="75" t="str">
        <x:f>INDEX('Company Universe'!$B$6:$B$105,MATCH(D637,'Company Universe'!$A$6:$A$105,0))</x:f>
        <x:v>Novo Nordisk</x:v>
      </x:c>
      <x:c r="F637" s="75" t="str">
        <x:f>INDEX('Company Universe'!$C$6:$C$105,MATCH(D637,'Company Universe'!$A$6:$A$105,0))</x:f>
        <x:v>NVO</x:v>
      </x:c>
      <x:c r="G637" s="75" t="str">
        <x:f>INDEX('Company Universe'!$F$6:$F$105,MATCH(D637,'Company Universe'!$A$6:$A$105,0))</x:f>
        <x:v>Healthcare &amp; Biopharma</x:v>
      </x:c>
      <x:c r="H637" s="57" t="n">
        <x:v>2</x:v>
      </x:c>
      <x:c r="I637" s="206" t="n"/>
      <x:c r="J637" s="71" t="n"/>
      <x:c r="K637" s="71" t="n"/>
      <x:c r="L637" s="71" t="inlineStr">
        <x:is>
          <x:t xml:space="preserve">NO</x:t>
        </x:is>
      </x:c>
      <x:c r="M637" s="71" t="n"/>
      <x:c r="N637" s="71" t="n"/>
      <x:c r="O637" s="71" t="n"/>
      <x:c r="P637" s="71" t="n"/>
      <x:c r="Q637" s="71" t="n"/>
      <x:c r="R637" s="71" t="n"/>
      <x:c r="S637" s="206" t="n"/>
      <x:c r="T637" s="71" t="n"/>
      <x:c r="U637" s="71" t="n"/>
      <x:c r="V637" s="71" t="n"/>
      <x:c r="W637" s="71" t="n"/>
      <x:c r="X637" s="71" t="n"/>
      <x:c r="Y637" s="71" t="n"/>
      <x:c r="Z637" s="71" t="n"/>
      <x:c r="AA637" s="71" t="n"/>
      <x:c r="AB637" s="71" t="inlineStr">
        <x:is>
          <x:t xml:space="preserve">NO</x:t>
        </x:is>
      </x:c>
      <x:c r="AC637" s="57" t="inlineStr">
        <x:is>
          <x:t xml:space="preserve">V10</x:t>
        </x:is>
      </x:c>
      <x:c r="AD637" s="57" t="n"/>
      <x:c r="AE637" s="79" t="str">
        <x:f>IF(AND(I637&lt;&gt;"",J637&lt;&gt;"",K637&lt;&gt;"",L637="YES",M637&lt;&gt;"",S637&lt;&gt;"",T637&lt;&gt;"",U637&lt;&gt;"",V637&lt;&gt;"",W637&lt;&gt;"",X637&lt;&gt;"",Y637&lt;&gt;""),"COMPLETE","PENDING")</x:f>
        <x:v>PENDING</x:v>
      </x:c>
      <x:c r="AF637" s="79" t="str">
        <x:f>IF(AE637="COMPLETE","YES","NO")</x:f>
        <x:v>NO</x:v>
      </x:c>
      <x:c r="AG637" s="214" t="str">
        <x:f>IF(AF637&lt;&gt;"YES","",(IF(V637="YES",1,0)+IF(W637="YES",1,0))/2)</x:f>
      </x:c>
    </x:row>
    <x:row r="638">
      <x:c r="A638" s="57" t="inlineStr">
        <x:is>
          <x:t xml:space="preserve">C0633</x:t>
        </x:is>
      </x:c>
      <x:c r="B638" s="57" t="inlineStr">
        <x:is>
          <x:t xml:space="preserve">Validation</x:t>
        </x:is>
      </x:c>
      <x:c r="C638" s="57" t="inlineStr">
        <x:is>
          <x:t xml:space="preserve">OPEN</x:t>
        </x:is>
      </x:c>
      <x:c r="D638" s="57" t="inlineStr">
        <x:is>
          <x:t xml:space="preserve">ARG-064</x:t>
        </x:is>
      </x:c>
      <x:c r="E638" s="75" t="str">
        <x:f>INDEX('Company Universe'!$B$6:$B$105,MATCH(D638,'Company Universe'!$A$6:$A$105,0))</x:f>
        <x:v>Novo Nordisk</x:v>
      </x:c>
      <x:c r="F638" s="75" t="str">
        <x:f>INDEX('Company Universe'!$C$6:$C$105,MATCH(D638,'Company Universe'!$A$6:$A$105,0))</x:f>
        <x:v>NVO</x:v>
      </x:c>
      <x:c r="G638" s="75" t="str">
        <x:f>INDEX('Company Universe'!$F$6:$F$105,MATCH(D638,'Company Universe'!$A$6:$A$105,0))</x:f>
        <x:v>Healthcare &amp; Biopharma</x:v>
      </x:c>
      <x:c r="H638" s="57" t="n">
        <x:v>3</x:v>
      </x:c>
      <x:c r="I638" s="206" t="n"/>
      <x:c r="J638" s="71" t="n"/>
      <x:c r="K638" s="71" t="n"/>
      <x:c r="L638" s="71" t="inlineStr">
        <x:is>
          <x:t xml:space="preserve">NO</x:t>
        </x:is>
      </x:c>
      <x:c r="M638" s="71" t="n"/>
      <x:c r="N638" s="71" t="n"/>
      <x:c r="O638" s="71" t="n"/>
      <x:c r="P638" s="71" t="n"/>
      <x:c r="Q638" s="71" t="n"/>
      <x:c r="R638" s="71" t="n"/>
      <x:c r="S638" s="206" t="n"/>
      <x:c r="T638" s="71" t="n"/>
      <x:c r="U638" s="71" t="n"/>
      <x:c r="V638" s="71" t="n"/>
      <x:c r="W638" s="71" t="n"/>
      <x:c r="X638" s="71" t="n"/>
      <x:c r="Y638" s="71" t="n"/>
      <x:c r="Z638" s="71" t="n"/>
      <x:c r="AA638" s="71" t="n"/>
      <x:c r="AB638" s="71" t="inlineStr">
        <x:is>
          <x:t xml:space="preserve">NO</x:t>
        </x:is>
      </x:c>
      <x:c r="AC638" s="57" t="inlineStr">
        <x:is>
          <x:t xml:space="preserve">V10</x:t>
        </x:is>
      </x:c>
      <x:c r="AD638" s="57" t="n"/>
      <x:c r="AE638" s="79" t="str">
        <x:f>IF(AND(I638&lt;&gt;"",J638&lt;&gt;"",K638&lt;&gt;"",L638="YES",M638&lt;&gt;"",S638&lt;&gt;"",T638&lt;&gt;"",U638&lt;&gt;"",V638&lt;&gt;"",W638&lt;&gt;"",X638&lt;&gt;"",Y638&lt;&gt;""),"COMPLETE","PENDING")</x:f>
        <x:v>PENDING</x:v>
      </x:c>
      <x:c r="AF638" s="79" t="str">
        <x:f>IF(AE638="COMPLETE","YES","NO")</x:f>
        <x:v>NO</x:v>
      </x:c>
      <x:c r="AG638" s="214" t="str">
        <x:f>IF(AF638&lt;&gt;"YES","",(IF(V638="YES",1,0)+IF(W638="YES",1,0))/2)</x:f>
      </x:c>
    </x:row>
    <x:row r="639">
      <x:c r="A639" s="57" t="inlineStr">
        <x:is>
          <x:t xml:space="preserve">C0634</x:t>
        </x:is>
      </x:c>
      <x:c r="B639" s="57" t="inlineStr">
        <x:is>
          <x:t xml:space="preserve">Validation</x:t>
        </x:is>
      </x:c>
      <x:c r="C639" s="57" t="inlineStr">
        <x:is>
          <x:t xml:space="preserve">OPEN</x:t>
        </x:is>
      </x:c>
      <x:c r="D639" s="57" t="inlineStr">
        <x:is>
          <x:t xml:space="preserve">ARG-064</x:t>
        </x:is>
      </x:c>
      <x:c r="E639" s="75" t="str">
        <x:f>INDEX('Company Universe'!$B$6:$B$105,MATCH(D639,'Company Universe'!$A$6:$A$105,0))</x:f>
        <x:v>Novo Nordisk</x:v>
      </x:c>
      <x:c r="F639" s="75" t="str">
        <x:f>INDEX('Company Universe'!$C$6:$C$105,MATCH(D639,'Company Universe'!$A$6:$A$105,0))</x:f>
        <x:v>NVO</x:v>
      </x:c>
      <x:c r="G639" s="75" t="str">
        <x:f>INDEX('Company Universe'!$F$6:$F$105,MATCH(D639,'Company Universe'!$A$6:$A$105,0))</x:f>
        <x:v>Healthcare &amp; Biopharma</x:v>
      </x:c>
      <x:c r="H639" s="57" t="n">
        <x:v>4</x:v>
      </x:c>
      <x:c r="I639" s="206" t="n"/>
      <x:c r="J639" s="71" t="n"/>
      <x:c r="K639" s="71" t="n"/>
      <x:c r="L639" s="71" t="inlineStr">
        <x:is>
          <x:t xml:space="preserve">NO</x:t>
        </x:is>
      </x:c>
      <x:c r="M639" s="71" t="n"/>
      <x:c r="N639" s="71" t="n"/>
      <x:c r="O639" s="71" t="n"/>
      <x:c r="P639" s="71" t="n"/>
      <x:c r="Q639" s="71" t="n"/>
      <x:c r="R639" s="71" t="n"/>
      <x:c r="S639" s="206" t="n"/>
      <x:c r="T639" s="71" t="n"/>
      <x:c r="U639" s="71" t="n"/>
      <x:c r="V639" s="71" t="n"/>
      <x:c r="W639" s="71" t="n"/>
      <x:c r="X639" s="71" t="n"/>
      <x:c r="Y639" s="71" t="n"/>
      <x:c r="Z639" s="71" t="n"/>
      <x:c r="AA639" s="71" t="n"/>
      <x:c r="AB639" s="71" t="inlineStr">
        <x:is>
          <x:t xml:space="preserve">NO</x:t>
        </x:is>
      </x:c>
      <x:c r="AC639" s="57" t="inlineStr">
        <x:is>
          <x:t xml:space="preserve">V10</x:t>
        </x:is>
      </x:c>
      <x:c r="AD639" s="57" t="n"/>
      <x:c r="AE639" s="79" t="str">
        <x:f>IF(AND(I639&lt;&gt;"",J639&lt;&gt;"",K639&lt;&gt;"",L639="YES",M639&lt;&gt;"",S639&lt;&gt;"",T639&lt;&gt;"",U639&lt;&gt;"",V639&lt;&gt;"",W639&lt;&gt;"",X639&lt;&gt;"",Y639&lt;&gt;""),"COMPLETE","PENDING")</x:f>
        <x:v>PENDING</x:v>
      </x:c>
      <x:c r="AF639" s="79" t="str">
        <x:f>IF(AE639="COMPLETE","YES","NO")</x:f>
        <x:v>NO</x:v>
      </x:c>
      <x:c r="AG639" s="214" t="str">
        <x:f>IF(AF639&lt;&gt;"YES","",(IF(V639="YES",1,0)+IF(W639="YES",1,0))/2)</x:f>
      </x:c>
    </x:row>
    <x:row r="640">
      <x:c r="A640" s="57" t="inlineStr">
        <x:is>
          <x:t xml:space="preserve">C0635</x:t>
        </x:is>
      </x:c>
      <x:c r="B640" s="57" t="inlineStr">
        <x:is>
          <x:t xml:space="preserve">Validation</x:t>
        </x:is>
      </x:c>
      <x:c r="C640" s="57" t="inlineStr">
        <x:is>
          <x:t xml:space="preserve">OPEN</x:t>
        </x:is>
      </x:c>
      <x:c r="D640" s="57" t="inlineStr">
        <x:is>
          <x:t xml:space="preserve">ARG-064</x:t>
        </x:is>
      </x:c>
      <x:c r="E640" s="75" t="str">
        <x:f>INDEX('Company Universe'!$B$6:$B$105,MATCH(D640,'Company Universe'!$A$6:$A$105,0))</x:f>
        <x:v>Novo Nordisk</x:v>
      </x:c>
      <x:c r="F640" s="75" t="str">
        <x:f>INDEX('Company Universe'!$C$6:$C$105,MATCH(D640,'Company Universe'!$A$6:$A$105,0))</x:f>
        <x:v>NVO</x:v>
      </x:c>
      <x:c r="G640" s="75" t="str">
        <x:f>INDEX('Company Universe'!$F$6:$F$105,MATCH(D640,'Company Universe'!$A$6:$A$105,0))</x:f>
        <x:v>Healthcare &amp; Biopharma</x:v>
      </x:c>
      <x:c r="H640" s="57" t="n">
        <x:v>5</x:v>
      </x:c>
      <x:c r="I640" s="206" t="n"/>
      <x:c r="J640" s="71" t="n"/>
      <x:c r="K640" s="71" t="n"/>
      <x:c r="L640" s="71" t="inlineStr">
        <x:is>
          <x:t xml:space="preserve">NO</x:t>
        </x:is>
      </x:c>
      <x:c r="M640" s="71" t="n"/>
      <x:c r="N640" s="71" t="n"/>
      <x:c r="O640" s="71" t="n"/>
      <x:c r="P640" s="71" t="n"/>
      <x:c r="Q640" s="71" t="n"/>
      <x:c r="R640" s="71" t="n"/>
      <x:c r="S640" s="206" t="n"/>
      <x:c r="T640" s="71" t="n"/>
      <x:c r="U640" s="71" t="n"/>
      <x:c r="V640" s="71" t="n"/>
      <x:c r="W640" s="71" t="n"/>
      <x:c r="X640" s="71" t="n"/>
      <x:c r="Y640" s="71" t="n"/>
      <x:c r="Z640" s="71" t="n"/>
      <x:c r="AA640" s="71" t="n"/>
      <x:c r="AB640" s="71" t="inlineStr">
        <x:is>
          <x:t xml:space="preserve">NO</x:t>
        </x:is>
      </x:c>
      <x:c r="AC640" s="57" t="inlineStr">
        <x:is>
          <x:t xml:space="preserve">V10</x:t>
        </x:is>
      </x:c>
      <x:c r="AD640" s="57" t="n"/>
      <x:c r="AE640" s="79" t="str">
        <x:f>IF(AND(I640&lt;&gt;"",J640&lt;&gt;"",K640&lt;&gt;"",L640="YES",M640&lt;&gt;"",S640&lt;&gt;"",T640&lt;&gt;"",U640&lt;&gt;"",V640&lt;&gt;"",W640&lt;&gt;"",X640&lt;&gt;"",Y640&lt;&gt;""),"COMPLETE","PENDING")</x:f>
        <x:v>PENDING</x:v>
      </x:c>
      <x:c r="AF640" s="79" t="str">
        <x:f>IF(AE640="COMPLETE","YES","NO")</x:f>
        <x:v>NO</x:v>
      </x:c>
      <x:c r="AG640" s="214" t="str">
        <x:f>IF(AF640&lt;&gt;"YES","",(IF(V640="YES",1,0)+IF(W640="YES",1,0))/2)</x:f>
      </x:c>
    </x:row>
    <x:row r="641">
      <x:c r="A641" s="57" t="inlineStr">
        <x:is>
          <x:t xml:space="preserve">C0636</x:t>
        </x:is>
      </x:c>
      <x:c r="B641" s="57" t="inlineStr">
        <x:is>
          <x:t xml:space="preserve">Validation</x:t>
        </x:is>
      </x:c>
      <x:c r="C641" s="57" t="inlineStr">
        <x:is>
          <x:t xml:space="preserve">OPEN</x:t>
        </x:is>
      </x:c>
      <x:c r="D641" s="57" t="inlineStr">
        <x:is>
          <x:t xml:space="preserve">ARG-064</x:t>
        </x:is>
      </x:c>
      <x:c r="E641" s="75" t="str">
        <x:f>INDEX('Company Universe'!$B$6:$B$105,MATCH(D641,'Company Universe'!$A$6:$A$105,0))</x:f>
        <x:v>Novo Nordisk</x:v>
      </x:c>
      <x:c r="F641" s="75" t="str">
        <x:f>INDEX('Company Universe'!$C$6:$C$105,MATCH(D641,'Company Universe'!$A$6:$A$105,0))</x:f>
        <x:v>NVO</x:v>
      </x:c>
      <x:c r="G641" s="75" t="str">
        <x:f>INDEX('Company Universe'!$F$6:$F$105,MATCH(D641,'Company Universe'!$A$6:$A$105,0))</x:f>
        <x:v>Healthcare &amp; Biopharma</x:v>
      </x:c>
      <x:c r="H641" s="57" t="n">
        <x:v>6</x:v>
      </x:c>
      <x:c r="I641" s="206" t="n"/>
      <x:c r="J641" s="71" t="n"/>
      <x:c r="K641" s="71" t="n"/>
      <x:c r="L641" s="71" t="inlineStr">
        <x:is>
          <x:t xml:space="preserve">NO</x:t>
        </x:is>
      </x:c>
      <x:c r="M641" s="71" t="n"/>
      <x:c r="N641" s="71" t="n"/>
      <x:c r="O641" s="71" t="n"/>
      <x:c r="P641" s="71" t="n"/>
      <x:c r="Q641" s="71" t="n"/>
      <x:c r="R641" s="71" t="n"/>
      <x:c r="S641" s="206" t="n"/>
      <x:c r="T641" s="71" t="n"/>
      <x:c r="U641" s="71" t="n"/>
      <x:c r="V641" s="71" t="n"/>
      <x:c r="W641" s="71" t="n"/>
      <x:c r="X641" s="71" t="n"/>
      <x:c r="Y641" s="71" t="n"/>
      <x:c r="Z641" s="71" t="n"/>
      <x:c r="AA641" s="71" t="n"/>
      <x:c r="AB641" s="71" t="inlineStr">
        <x:is>
          <x:t xml:space="preserve">NO</x:t>
        </x:is>
      </x:c>
      <x:c r="AC641" s="57" t="inlineStr">
        <x:is>
          <x:t xml:space="preserve">V10</x:t>
        </x:is>
      </x:c>
      <x:c r="AD641" s="57" t="n"/>
      <x:c r="AE641" s="79" t="str">
        <x:f>IF(AND(I641&lt;&gt;"",J641&lt;&gt;"",K641&lt;&gt;"",L641="YES",M641&lt;&gt;"",S641&lt;&gt;"",T641&lt;&gt;"",U641&lt;&gt;"",V641&lt;&gt;"",W641&lt;&gt;"",X641&lt;&gt;"",Y641&lt;&gt;""),"COMPLETE","PENDING")</x:f>
        <x:v>PENDING</x:v>
      </x:c>
      <x:c r="AF641" s="79" t="str">
        <x:f>IF(AE641="COMPLETE","YES","NO")</x:f>
        <x:v>NO</x:v>
      </x:c>
      <x:c r="AG641" s="214" t="str">
        <x:f>IF(AF641&lt;&gt;"YES","",(IF(V641="YES",1,0)+IF(W641="YES",1,0))/2)</x:f>
      </x:c>
    </x:row>
    <x:row r="642">
      <x:c r="A642" s="57" t="inlineStr">
        <x:is>
          <x:t xml:space="preserve">C0637</x:t>
        </x:is>
      </x:c>
      <x:c r="B642" s="57" t="inlineStr">
        <x:is>
          <x:t xml:space="preserve">Validation</x:t>
        </x:is>
      </x:c>
      <x:c r="C642" s="57" t="inlineStr">
        <x:is>
          <x:t xml:space="preserve">OPEN</x:t>
        </x:is>
      </x:c>
      <x:c r="D642" s="57" t="inlineStr">
        <x:is>
          <x:t xml:space="preserve">ARG-064</x:t>
        </x:is>
      </x:c>
      <x:c r="E642" s="75" t="str">
        <x:f>INDEX('Company Universe'!$B$6:$B$105,MATCH(D642,'Company Universe'!$A$6:$A$105,0))</x:f>
        <x:v>Novo Nordisk</x:v>
      </x:c>
      <x:c r="F642" s="75" t="str">
        <x:f>INDEX('Company Universe'!$C$6:$C$105,MATCH(D642,'Company Universe'!$A$6:$A$105,0))</x:f>
        <x:v>NVO</x:v>
      </x:c>
      <x:c r="G642" s="75" t="str">
        <x:f>INDEX('Company Universe'!$F$6:$F$105,MATCH(D642,'Company Universe'!$A$6:$A$105,0))</x:f>
        <x:v>Healthcare &amp; Biopharma</x:v>
      </x:c>
      <x:c r="H642" s="57" t="n">
        <x:v>7</x:v>
      </x:c>
      <x:c r="I642" s="206" t="n"/>
      <x:c r="J642" s="71" t="n"/>
      <x:c r="K642" s="71" t="n"/>
      <x:c r="L642" s="71" t="inlineStr">
        <x:is>
          <x:t xml:space="preserve">NO</x:t>
        </x:is>
      </x:c>
      <x:c r="M642" s="71" t="n"/>
      <x:c r="N642" s="71" t="n"/>
      <x:c r="O642" s="71" t="n"/>
      <x:c r="P642" s="71" t="n"/>
      <x:c r="Q642" s="71" t="n"/>
      <x:c r="R642" s="71" t="n"/>
      <x:c r="S642" s="206" t="n"/>
      <x:c r="T642" s="71" t="n"/>
      <x:c r="U642" s="71" t="n"/>
      <x:c r="V642" s="71" t="n"/>
      <x:c r="W642" s="71" t="n"/>
      <x:c r="X642" s="71" t="n"/>
      <x:c r="Y642" s="71" t="n"/>
      <x:c r="Z642" s="71" t="n"/>
      <x:c r="AA642" s="71" t="n"/>
      <x:c r="AB642" s="71" t="inlineStr">
        <x:is>
          <x:t xml:space="preserve">NO</x:t>
        </x:is>
      </x:c>
      <x:c r="AC642" s="57" t="inlineStr">
        <x:is>
          <x:t xml:space="preserve">V10</x:t>
        </x:is>
      </x:c>
      <x:c r="AD642" s="57" t="n"/>
      <x:c r="AE642" s="79" t="str">
        <x:f>IF(AND(I642&lt;&gt;"",J642&lt;&gt;"",K642&lt;&gt;"",L642="YES",M642&lt;&gt;"",S642&lt;&gt;"",T642&lt;&gt;"",U642&lt;&gt;"",V642&lt;&gt;"",W642&lt;&gt;"",X642&lt;&gt;"",Y642&lt;&gt;""),"COMPLETE","PENDING")</x:f>
        <x:v>PENDING</x:v>
      </x:c>
      <x:c r="AF642" s="79" t="str">
        <x:f>IF(AE642="COMPLETE","YES","NO")</x:f>
        <x:v>NO</x:v>
      </x:c>
      <x:c r="AG642" s="214" t="str">
        <x:f>IF(AF642&lt;&gt;"YES","",(IF(V642="YES",1,0)+IF(W642="YES",1,0))/2)</x:f>
      </x:c>
    </x:row>
    <x:row r="643">
      <x:c r="A643" s="57" t="inlineStr">
        <x:is>
          <x:t xml:space="preserve">C0638</x:t>
        </x:is>
      </x:c>
      <x:c r="B643" s="57" t="inlineStr">
        <x:is>
          <x:t xml:space="preserve">Validation</x:t>
        </x:is>
      </x:c>
      <x:c r="C643" s="57" t="inlineStr">
        <x:is>
          <x:t xml:space="preserve">OPEN</x:t>
        </x:is>
      </x:c>
      <x:c r="D643" s="57" t="inlineStr">
        <x:is>
          <x:t xml:space="preserve">ARG-064</x:t>
        </x:is>
      </x:c>
      <x:c r="E643" s="75" t="str">
        <x:f>INDEX('Company Universe'!$B$6:$B$105,MATCH(D643,'Company Universe'!$A$6:$A$105,0))</x:f>
        <x:v>Novo Nordisk</x:v>
      </x:c>
      <x:c r="F643" s="75" t="str">
        <x:f>INDEX('Company Universe'!$C$6:$C$105,MATCH(D643,'Company Universe'!$A$6:$A$105,0))</x:f>
        <x:v>NVO</x:v>
      </x:c>
      <x:c r="G643" s="75" t="str">
        <x:f>INDEX('Company Universe'!$F$6:$F$105,MATCH(D643,'Company Universe'!$A$6:$A$105,0))</x:f>
        <x:v>Healthcare &amp; Biopharma</x:v>
      </x:c>
      <x:c r="H643" s="57" t="n">
        <x:v>8</x:v>
      </x:c>
      <x:c r="I643" s="206" t="n"/>
      <x:c r="J643" s="71" t="n"/>
      <x:c r="K643" s="71" t="n"/>
      <x:c r="L643" s="71" t="inlineStr">
        <x:is>
          <x:t xml:space="preserve">NO</x:t>
        </x:is>
      </x:c>
      <x:c r="M643" s="71" t="n"/>
      <x:c r="N643" s="71" t="n"/>
      <x:c r="O643" s="71" t="n"/>
      <x:c r="P643" s="71" t="n"/>
      <x:c r="Q643" s="71" t="n"/>
      <x:c r="R643" s="71" t="n"/>
      <x:c r="S643" s="206" t="n"/>
      <x:c r="T643" s="71" t="n"/>
      <x:c r="U643" s="71" t="n"/>
      <x:c r="V643" s="71" t="n"/>
      <x:c r="W643" s="71" t="n"/>
      <x:c r="X643" s="71" t="n"/>
      <x:c r="Y643" s="71" t="n"/>
      <x:c r="Z643" s="71" t="n"/>
      <x:c r="AA643" s="71" t="n"/>
      <x:c r="AB643" s="71" t="inlineStr">
        <x:is>
          <x:t xml:space="preserve">NO</x:t>
        </x:is>
      </x:c>
      <x:c r="AC643" s="57" t="inlineStr">
        <x:is>
          <x:t xml:space="preserve">V10</x:t>
        </x:is>
      </x:c>
      <x:c r="AD643" s="57" t="n"/>
      <x:c r="AE643" s="79" t="str">
        <x:f>IF(AND(I643&lt;&gt;"",J643&lt;&gt;"",K643&lt;&gt;"",L643="YES",M643&lt;&gt;"",S643&lt;&gt;"",T643&lt;&gt;"",U643&lt;&gt;"",V643&lt;&gt;"",W643&lt;&gt;"",X643&lt;&gt;"",Y643&lt;&gt;""),"COMPLETE","PENDING")</x:f>
        <x:v>PENDING</x:v>
      </x:c>
      <x:c r="AF643" s="79" t="str">
        <x:f>IF(AE643="COMPLETE","YES","NO")</x:f>
        <x:v>NO</x:v>
      </x:c>
      <x:c r="AG643" s="214" t="str">
        <x:f>IF(AF643&lt;&gt;"YES","",(IF(V643="YES",1,0)+IF(W643="YES",1,0))/2)</x:f>
      </x:c>
    </x:row>
    <x:row r="644">
      <x:c r="A644" s="57" t="inlineStr">
        <x:is>
          <x:t xml:space="preserve">C0639</x:t>
        </x:is>
      </x:c>
      <x:c r="B644" s="57" t="inlineStr">
        <x:is>
          <x:t xml:space="preserve">Validation</x:t>
        </x:is>
      </x:c>
      <x:c r="C644" s="57" t="inlineStr">
        <x:is>
          <x:t xml:space="preserve">OPEN</x:t>
        </x:is>
      </x:c>
      <x:c r="D644" s="57" t="inlineStr">
        <x:is>
          <x:t xml:space="preserve">ARG-064</x:t>
        </x:is>
      </x:c>
      <x:c r="E644" s="75" t="str">
        <x:f>INDEX('Company Universe'!$B$6:$B$105,MATCH(D644,'Company Universe'!$A$6:$A$105,0))</x:f>
        <x:v>Novo Nordisk</x:v>
      </x:c>
      <x:c r="F644" s="75" t="str">
        <x:f>INDEX('Company Universe'!$C$6:$C$105,MATCH(D644,'Company Universe'!$A$6:$A$105,0))</x:f>
        <x:v>NVO</x:v>
      </x:c>
      <x:c r="G644" s="75" t="str">
        <x:f>INDEX('Company Universe'!$F$6:$F$105,MATCH(D644,'Company Universe'!$A$6:$A$105,0))</x:f>
        <x:v>Healthcare &amp; Biopharma</x:v>
      </x:c>
      <x:c r="H644" s="57" t="n">
        <x:v>9</x:v>
      </x:c>
      <x:c r="I644" s="206" t="n"/>
      <x:c r="J644" s="71" t="n"/>
      <x:c r="K644" s="71" t="n"/>
      <x:c r="L644" s="71" t="inlineStr">
        <x:is>
          <x:t xml:space="preserve">NO</x:t>
        </x:is>
      </x:c>
      <x:c r="M644" s="71" t="n"/>
      <x:c r="N644" s="71" t="n"/>
      <x:c r="O644" s="71" t="n"/>
      <x:c r="P644" s="71" t="n"/>
      <x:c r="Q644" s="71" t="n"/>
      <x:c r="R644" s="71" t="n"/>
      <x:c r="S644" s="206" t="n"/>
      <x:c r="T644" s="71" t="n"/>
      <x:c r="U644" s="71" t="n"/>
      <x:c r="V644" s="71" t="n"/>
      <x:c r="W644" s="71" t="n"/>
      <x:c r="X644" s="71" t="n"/>
      <x:c r="Y644" s="71" t="n"/>
      <x:c r="Z644" s="71" t="n"/>
      <x:c r="AA644" s="71" t="n"/>
      <x:c r="AB644" s="71" t="inlineStr">
        <x:is>
          <x:t xml:space="preserve">NO</x:t>
        </x:is>
      </x:c>
      <x:c r="AC644" s="57" t="inlineStr">
        <x:is>
          <x:t xml:space="preserve">V10</x:t>
        </x:is>
      </x:c>
      <x:c r="AD644" s="57" t="n"/>
      <x:c r="AE644" s="79" t="str">
        <x:f>IF(AND(I644&lt;&gt;"",J644&lt;&gt;"",K644&lt;&gt;"",L644="YES",M644&lt;&gt;"",S644&lt;&gt;"",T644&lt;&gt;"",U644&lt;&gt;"",V644&lt;&gt;"",W644&lt;&gt;"",X644&lt;&gt;"",Y644&lt;&gt;""),"COMPLETE","PENDING")</x:f>
        <x:v>PENDING</x:v>
      </x:c>
      <x:c r="AF644" s="79" t="str">
        <x:f>IF(AE644="COMPLETE","YES","NO")</x:f>
        <x:v>NO</x:v>
      </x:c>
      <x:c r="AG644" s="214" t="str">
        <x:f>IF(AF644&lt;&gt;"YES","",(IF(V644="YES",1,0)+IF(W644="YES",1,0))/2)</x:f>
      </x:c>
    </x:row>
    <x:row r="645">
      <x:c r="A645" s="57" t="inlineStr">
        <x:is>
          <x:t xml:space="preserve">C0640</x:t>
        </x:is>
      </x:c>
      <x:c r="B645" s="57" t="inlineStr">
        <x:is>
          <x:t xml:space="preserve">Validation</x:t>
        </x:is>
      </x:c>
      <x:c r="C645" s="57" t="inlineStr">
        <x:is>
          <x:t xml:space="preserve">OPEN</x:t>
        </x:is>
      </x:c>
      <x:c r="D645" s="57" t="inlineStr">
        <x:is>
          <x:t xml:space="preserve">ARG-064</x:t>
        </x:is>
      </x:c>
      <x:c r="E645" s="75" t="str">
        <x:f>INDEX('Company Universe'!$B$6:$B$105,MATCH(D645,'Company Universe'!$A$6:$A$105,0))</x:f>
        <x:v>Novo Nordisk</x:v>
      </x:c>
      <x:c r="F645" s="75" t="str">
        <x:f>INDEX('Company Universe'!$C$6:$C$105,MATCH(D645,'Company Universe'!$A$6:$A$105,0))</x:f>
        <x:v>NVO</x:v>
      </x:c>
      <x:c r="G645" s="75" t="str">
        <x:f>INDEX('Company Universe'!$F$6:$F$105,MATCH(D645,'Company Universe'!$A$6:$A$105,0))</x:f>
        <x:v>Healthcare &amp; Biopharma</x:v>
      </x:c>
      <x:c r="H645" s="57" t="n">
        <x:v>10</x:v>
      </x:c>
      <x:c r="I645" s="206" t="n"/>
      <x:c r="J645" s="71" t="n"/>
      <x:c r="K645" s="71" t="n"/>
      <x:c r="L645" s="71" t="inlineStr">
        <x:is>
          <x:t xml:space="preserve">NO</x:t>
        </x:is>
      </x:c>
      <x:c r="M645" s="71" t="n"/>
      <x:c r="N645" s="71" t="n"/>
      <x:c r="O645" s="71" t="n"/>
      <x:c r="P645" s="71" t="n"/>
      <x:c r="Q645" s="71" t="n"/>
      <x:c r="R645" s="71" t="n"/>
      <x:c r="S645" s="206" t="n"/>
      <x:c r="T645" s="71" t="n"/>
      <x:c r="U645" s="71" t="n"/>
      <x:c r="V645" s="71" t="n"/>
      <x:c r="W645" s="71" t="n"/>
      <x:c r="X645" s="71" t="n"/>
      <x:c r="Y645" s="71" t="n"/>
      <x:c r="Z645" s="71" t="n"/>
      <x:c r="AA645" s="71" t="n"/>
      <x:c r="AB645" s="71" t="inlineStr">
        <x:is>
          <x:t xml:space="preserve">NO</x:t>
        </x:is>
      </x:c>
      <x:c r="AC645" s="57" t="inlineStr">
        <x:is>
          <x:t xml:space="preserve">V10</x:t>
        </x:is>
      </x:c>
      <x:c r="AD645" s="57" t="n"/>
      <x:c r="AE645" s="79" t="str">
        <x:f>IF(AND(I645&lt;&gt;"",J645&lt;&gt;"",K645&lt;&gt;"",L645="YES",M645&lt;&gt;"",S645&lt;&gt;"",T645&lt;&gt;"",U645&lt;&gt;"",V645&lt;&gt;"",W645&lt;&gt;"",X645&lt;&gt;"",Y645&lt;&gt;""),"COMPLETE","PENDING")</x:f>
        <x:v>PENDING</x:v>
      </x:c>
      <x:c r="AF645" s="79" t="str">
        <x:f>IF(AE645="COMPLETE","YES","NO")</x:f>
        <x:v>NO</x:v>
      </x:c>
      <x:c r="AG645" s="214" t="str">
        <x:f>IF(AF645&lt;&gt;"YES","",(IF(V645="YES",1,0)+IF(W645="YES",1,0))/2)</x:f>
      </x:c>
    </x:row>
    <x:row r="646">
      <x:c r="A646" s="57" t="inlineStr">
        <x:is>
          <x:t xml:space="preserve">C0641</x:t>
        </x:is>
      </x:c>
      <x:c r="B646" s="57" t="inlineStr">
        <x:is>
          <x:t xml:space="preserve">Validation</x:t>
        </x:is>
      </x:c>
      <x:c r="C646" s="57" t="inlineStr">
        <x:is>
          <x:t xml:space="preserve">OPEN</x:t>
        </x:is>
      </x:c>
      <x:c r="D646" s="57" t="inlineStr">
        <x:is>
          <x:t xml:space="preserve">ARG-065</x:t>
        </x:is>
      </x:c>
      <x:c r="E646" s="75" t="str">
        <x:f>INDEX('Company Universe'!$B$6:$B$105,MATCH(D646,'Company Universe'!$A$6:$A$105,0))</x:f>
        <x:v>Johnson &amp; Johnson</x:v>
      </x:c>
      <x:c r="F646" s="75" t="str">
        <x:f>INDEX('Company Universe'!$C$6:$C$105,MATCH(D646,'Company Universe'!$A$6:$A$105,0))</x:f>
        <x:v>JNJ</x:v>
      </x:c>
      <x:c r="G646" s="75" t="str">
        <x:f>INDEX('Company Universe'!$F$6:$F$105,MATCH(D646,'Company Universe'!$A$6:$A$105,0))</x:f>
        <x:v>Healthcare &amp; Biopharma</x:v>
      </x:c>
      <x:c r="H646" s="57" t="n">
        <x:v>1</x:v>
      </x:c>
      <x:c r="I646" s="206" t="n"/>
      <x:c r="J646" s="71" t="n"/>
      <x:c r="K646" s="71" t="n"/>
      <x:c r="L646" s="71" t="inlineStr">
        <x:is>
          <x:t xml:space="preserve">NO</x:t>
        </x:is>
      </x:c>
      <x:c r="M646" s="71" t="n"/>
      <x:c r="N646" s="71" t="n"/>
      <x:c r="O646" s="71" t="n"/>
      <x:c r="P646" s="71" t="n"/>
      <x:c r="Q646" s="71" t="n"/>
      <x:c r="R646" s="71" t="n"/>
      <x:c r="S646" s="206" t="n"/>
      <x:c r="T646" s="71" t="n"/>
      <x:c r="U646" s="71" t="n"/>
      <x:c r="V646" s="71" t="n"/>
      <x:c r="W646" s="71" t="n"/>
      <x:c r="X646" s="71" t="n"/>
      <x:c r="Y646" s="71" t="n"/>
      <x:c r="Z646" s="71" t="n"/>
      <x:c r="AA646" s="71" t="n"/>
      <x:c r="AB646" s="71" t="inlineStr">
        <x:is>
          <x:t xml:space="preserve">NO</x:t>
        </x:is>
      </x:c>
      <x:c r="AC646" s="57" t="inlineStr">
        <x:is>
          <x:t xml:space="preserve">V10</x:t>
        </x:is>
      </x:c>
      <x:c r="AD646" s="57" t="n"/>
      <x:c r="AE646" s="79" t="str">
        <x:f>IF(AND(I646&lt;&gt;"",J646&lt;&gt;"",K646&lt;&gt;"",L646="YES",M646&lt;&gt;"",S646&lt;&gt;"",T646&lt;&gt;"",U646&lt;&gt;"",V646&lt;&gt;"",W646&lt;&gt;"",X646&lt;&gt;"",Y646&lt;&gt;""),"COMPLETE","PENDING")</x:f>
        <x:v>PENDING</x:v>
      </x:c>
      <x:c r="AF646" s="79" t="str">
        <x:f>IF(AE646="COMPLETE","YES","NO")</x:f>
        <x:v>NO</x:v>
      </x:c>
      <x:c r="AG646" s="214" t="str">
        <x:f>IF(AF646&lt;&gt;"YES","",(IF(V646="YES",1,0)+IF(W646="YES",1,0))/2)</x:f>
      </x:c>
    </x:row>
    <x:row r="647">
      <x:c r="A647" s="57" t="inlineStr">
        <x:is>
          <x:t xml:space="preserve">C0642</x:t>
        </x:is>
      </x:c>
      <x:c r="B647" s="57" t="inlineStr">
        <x:is>
          <x:t xml:space="preserve">Validation</x:t>
        </x:is>
      </x:c>
      <x:c r="C647" s="57" t="inlineStr">
        <x:is>
          <x:t xml:space="preserve">OPEN</x:t>
        </x:is>
      </x:c>
      <x:c r="D647" s="57" t="inlineStr">
        <x:is>
          <x:t xml:space="preserve">ARG-065</x:t>
        </x:is>
      </x:c>
      <x:c r="E647" s="75" t="str">
        <x:f>INDEX('Company Universe'!$B$6:$B$105,MATCH(D647,'Company Universe'!$A$6:$A$105,0))</x:f>
        <x:v>Johnson &amp; Johnson</x:v>
      </x:c>
      <x:c r="F647" s="75" t="str">
        <x:f>INDEX('Company Universe'!$C$6:$C$105,MATCH(D647,'Company Universe'!$A$6:$A$105,0))</x:f>
        <x:v>JNJ</x:v>
      </x:c>
      <x:c r="G647" s="75" t="str">
        <x:f>INDEX('Company Universe'!$F$6:$F$105,MATCH(D647,'Company Universe'!$A$6:$A$105,0))</x:f>
        <x:v>Healthcare &amp; Biopharma</x:v>
      </x:c>
      <x:c r="H647" s="57" t="n">
        <x:v>2</x:v>
      </x:c>
      <x:c r="I647" s="206" t="n"/>
      <x:c r="J647" s="71" t="n"/>
      <x:c r="K647" s="71" t="n"/>
      <x:c r="L647" s="71" t="inlineStr">
        <x:is>
          <x:t xml:space="preserve">NO</x:t>
        </x:is>
      </x:c>
      <x:c r="M647" s="71" t="n"/>
      <x:c r="N647" s="71" t="n"/>
      <x:c r="O647" s="71" t="n"/>
      <x:c r="P647" s="71" t="n"/>
      <x:c r="Q647" s="71" t="n"/>
      <x:c r="R647" s="71" t="n"/>
      <x:c r="S647" s="206" t="n"/>
      <x:c r="T647" s="71" t="n"/>
      <x:c r="U647" s="71" t="n"/>
      <x:c r="V647" s="71" t="n"/>
      <x:c r="W647" s="71" t="n"/>
      <x:c r="X647" s="71" t="n"/>
      <x:c r="Y647" s="71" t="n"/>
      <x:c r="Z647" s="71" t="n"/>
      <x:c r="AA647" s="71" t="n"/>
      <x:c r="AB647" s="71" t="inlineStr">
        <x:is>
          <x:t xml:space="preserve">NO</x:t>
        </x:is>
      </x:c>
      <x:c r="AC647" s="57" t="inlineStr">
        <x:is>
          <x:t xml:space="preserve">V10</x:t>
        </x:is>
      </x:c>
      <x:c r="AD647" s="57" t="n"/>
      <x:c r="AE647" s="79" t="str">
        <x:f>IF(AND(I647&lt;&gt;"",J647&lt;&gt;"",K647&lt;&gt;"",L647="YES",M647&lt;&gt;"",S647&lt;&gt;"",T647&lt;&gt;"",U647&lt;&gt;"",V647&lt;&gt;"",W647&lt;&gt;"",X647&lt;&gt;"",Y647&lt;&gt;""),"COMPLETE","PENDING")</x:f>
        <x:v>PENDING</x:v>
      </x:c>
      <x:c r="AF647" s="79" t="str">
        <x:f>IF(AE647="COMPLETE","YES","NO")</x:f>
        <x:v>NO</x:v>
      </x:c>
      <x:c r="AG647" s="214" t="str">
        <x:f>IF(AF647&lt;&gt;"YES","",(IF(V647="YES",1,0)+IF(W647="YES",1,0))/2)</x:f>
      </x:c>
    </x:row>
    <x:row r="648">
      <x:c r="A648" s="57" t="inlineStr">
        <x:is>
          <x:t xml:space="preserve">C0643</x:t>
        </x:is>
      </x:c>
      <x:c r="B648" s="57" t="inlineStr">
        <x:is>
          <x:t xml:space="preserve">Validation</x:t>
        </x:is>
      </x:c>
      <x:c r="C648" s="57" t="inlineStr">
        <x:is>
          <x:t xml:space="preserve">OPEN</x:t>
        </x:is>
      </x:c>
      <x:c r="D648" s="57" t="inlineStr">
        <x:is>
          <x:t xml:space="preserve">ARG-065</x:t>
        </x:is>
      </x:c>
      <x:c r="E648" s="75" t="str">
        <x:f>INDEX('Company Universe'!$B$6:$B$105,MATCH(D648,'Company Universe'!$A$6:$A$105,0))</x:f>
        <x:v>Johnson &amp; Johnson</x:v>
      </x:c>
      <x:c r="F648" s="75" t="str">
        <x:f>INDEX('Company Universe'!$C$6:$C$105,MATCH(D648,'Company Universe'!$A$6:$A$105,0))</x:f>
        <x:v>JNJ</x:v>
      </x:c>
      <x:c r="G648" s="75" t="str">
        <x:f>INDEX('Company Universe'!$F$6:$F$105,MATCH(D648,'Company Universe'!$A$6:$A$105,0))</x:f>
        <x:v>Healthcare &amp; Biopharma</x:v>
      </x:c>
      <x:c r="H648" s="57" t="n">
        <x:v>3</x:v>
      </x:c>
      <x:c r="I648" s="206" t="n"/>
      <x:c r="J648" s="71" t="n"/>
      <x:c r="K648" s="71" t="n"/>
      <x:c r="L648" s="71" t="inlineStr">
        <x:is>
          <x:t xml:space="preserve">NO</x:t>
        </x:is>
      </x:c>
      <x:c r="M648" s="71" t="n"/>
      <x:c r="N648" s="71" t="n"/>
      <x:c r="O648" s="71" t="n"/>
      <x:c r="P648" s="71" t="n"/>
      <x:c r="Q648" s="71" t="n"/>
      <x:c r="R648" s="71" t="n"/>
      <x:c r="S648" s="206" t="n"/>
      <x:c r="T648" s="71" t="n"/>
      <x:c r="U648" s="71" t="n"/>
      <x:c r="V648" s="71" t="n"/>
      <x:c r="W648" s="71" t="n"/>
      <x:c r="X648" s="71" t="n"/>
      <x:c r="Y648" s="71" t="n"/>
      <x:c r="Z648" s="71" t="n"/>
      <x:c r="AA648" s="71" t="n"/>
      <x:c r="AB648" s="71" t="inlineStr">
        <x:is>
          <x:t xml:space="preserve">NO</x:t>
        </x:is>
      </x:c>
      <x:c r="AC648" s="57" t="inlineStr">
        <x:is>
          <x:t xml:space="preserve">V10</x:t>
        </x:is>
      </x:c>
      <x:c r="AD648" s="57" t="n"/>
      <x:c r="AE648" s="79" t="str">
        <x:f>IF(AND(I648&lt;&gt;"",J648&lt;&gt;"",K648&lt;&gt;"",L648="YES",M648&lt;&gt;"",S648&lt;&gt;"",T648&lt;&gt;"",U648&lt;&gt;"",V648&lt;&gt;"",W648&lt;&gt;"",X648&lt;&gt;"",Y648&lt;&gt;""),"COMPLETE","PENDING")</x:f>
        <x:v>PENDING</x:v>
      </x:c>
      <x:c r="AF648" s="79" t="str">
        <x:f>IF(AE648="COMPLETE","YES","NO")</x:f>
        <x:v>NO</x:v>
      </x:c>
      <x:c r="AG648" s="214" t="str">
        <x:f>IF(AF648&lt;&gt;"YES","",(IF(V648="YES",1,0)+IF(W648="YES",1,0))/2)</x:f>
      </x:c>
    </x:row>
    <x:row r="649">
      <x:c r="A649" s="57" t="inlineStr">
        <x:is>
          <x:t xml:space="preserve">C0644</x:t>
        </x:is>
      </x:c>
      <x:c r="B649" s="57" t="inlineStr">
        <x:is>
          <x:t xml:space="preserve">Validation</x:t>
        </x:is>
      </x:c>
      <x:c r="C649" s="57" t="inlineStr">
        <x:is>
          <x:t xml:space="preserve">OPEN</x:t>
        </x:is>
      </x:c>
      <x:c r="D649" s="57" t="inlineStr">
        <x:is>
          <x:t xml:space="preserve">ARG-065</x:t>
        </x:is>
      </x:c>
      <x:c r="E649" s="75" t="str">
        <x:f>INDEX('Company Universe'!$B$6:$B$105,MATCH(D649,'Company Universe'!$A$6:$A$105,0))</x:f>
        <x:v>Johnson &amp; Johnson</x:v>
      </x:c>
      <x:c r="F649" s="75" t="str">
        <x:f>INDEX('Company Universe'!$C$6:$C$105,MATCH(D649,'Company Universe'!$A$6:$A$105,0))</x:f>
        <x:v>JNJ</x:v>
      </x:c>
      <x:c r="G649" s="75" t="str">
        <x:f>INDEX('Company Universe'!$F$6:$F$105,MATCH(D649,'Company Universe'!$A$6:$A$105,0))</x:f>
        <x:v>Healthcare &amp; Biopharma</x:v>
      </x:c>
      <x:c r="H649" s="57" t="n">
        <x:v>4</x:v>
      </x:c>
      <x:c r="I649" s="206" t="n"/>
      <x:c r="J649" s="71" t="n"/>
      <x:c r="K649" s="71" t="n"/>
      <x:c r="L649" s="71" t="inlineStr">
        <x:is>
          <x:t xml:space="preserve">NO</x:t>
        </x:is>
      </x:c>
      <x:c r="M649" s="71" t="n"/>
      <x:c r="N649" s="71" t="n"/>
      <x:c r="O649" s="71" t="n"/>
      <x:c r="P649" s="71" t="n"/>
      <x:c r="Q649" s="71" t="n"/>
      <x:c r="R649" s="71" t="n"/>
      <x:c r="S649" s="206" t="n"/>
      <x:c r="T649" s="71" t="n"/>
      <x:c r="U649" s="71" t="n"/>
      <x:c r="V649" s="71" t="n"/>
      <x:c r="W649" s="71" t="n"/>
      <x:c r="X649" s="71" t="n"/>
      <x:c r="Y649" s="71" t="n"/>
      <x:c r="Z649" s="71" t="n"/>
      <x:c r="AA649" s="71" t="n"/>
      <x:c r="AB649" s="71" t="inlineStr">
        <x:is>
          <x:t xml:space="preserve">NO</x:t>
        </x:is>
      </x:c>
      <x:c r="AC649" s="57" t="inlineStr">
        <x:is>
          <x:t xml:space="preserve">V10</x:t>
        </x:is>
      </x:c>
      <x:c r="AD649" s="57" t="n"/>
      <x:c r="AE649" s="79" t="str">
        <x:f>IF(AND(I649&lt;&gt;"",J649&lt;&gt;"",K649&lt;&gt;"",L649="YES",M649&lt;&gt;"",S649&lt;&gt;"",T649&lt;&gt;"",U649&lt;&gt;"",V649&lt;&gt;"",W649&lt;&gt;"",X649&lt;&gt;"",Y649&lt;&gt;""),"COMPLETE","PENDING")</x:f>
        <x:v>PENDING</x:v>
      </x:c>
      <x:c r="AF649" s="79" t="str">
        <x:f>IF(AE649="COMPLETE","YES","NO")</x:f>
        <x:v>NO</x:v>
      </x:c>
      <x:c r="AG649" s="214" t="str">
        <x:f>IF(AF649&lt;&gt;"YES","",(IF(V649="YES",1,0)+IF(W649="YES",1,0))/2)</x:f>
      </x:c>
    </x:row>
    <x:row r="650">
      <x:c r="A650" s="57" t="inlineStr">
        <x:is>
          <x:t xml:space="preserve">C0645</x:t>
        </x:is>
      </x:c>
      <x:c r="B650" s="57" t="inlineStr">
        <x:is>
          <x:t xml:space="preserve">Validation</x:t>
        </x:is>
      </x:c>
      <x:c r="C650" s="57" t="inlineStr">
        <x:is>
          <x:t xml:space="preserve">OPEN</x:t>
        </x:is>
      </x:c>
      <x:c r="D650" s="57" t="inlineStr">
        <x:is>
          <x:t xml:space="preserve">ARG-065</x:t>
        </x:is>
      </x:c>
      <x:c r="E650" s="75" t="str">
        <x:f>INDEX('Company Universe'!$B$6:$B$105,MATCH(D650,'Company Universe'!$A$6:$A$105,0))</x:f>
        <x:v>Johnson &amp; Johnson</x:v>
      </x:c>
      <x:c r="F650" s="75" t="str">
        <x:f>INDEX('Company Universe'!$C$6:$C$105,MATCH(D650,'Company Universe'!$A$6:$A$105,0))</x:f>
        <x:v>JNJ</x:v>
      </x:c>
      <x:c r="G650" s="75" t="str">
        <x:f>INDEX('Company Universe'!$F$6:$F$105,MATCH(D650,'Company Universe'!$A$6:$A$105,0))</x:f>
        <x:v>Healthcare &amp; Biopharma</x:v>
      </x:c>
      <x:c r="H650" s="57" t="n">
        <x:v>5</x:v>
      </x:c>
      <x:c r="I650" s="206" t="n"/>
      <x:c r="J650" s="71" t="n"/>
      <x:c r="K650" s="71" t="n"/>
      <x:c r="L650" s="71" t="inlineStr">
        <x:is>
          <x:t xml:space="preserve">NO</x:t>
        </x:is>
      </x:c>
      <x:c r="M650" s="71" t="n"/>
      <x:c r="N650" s="71" t="n"/>
      <x:c r="O650" s="71" t="n"/>
      <x:c r="P650" s="71" t="n"/>
      <x:c r="Q650" s="71" t="n"/>
      <x:c r="R650" s="71" t="n"/>
      <x:c r="S650" s="206" t="n"/>
      <x:c r="T650" s="71" t="n"/>
      <x:c r="U650" s="71" t="n"/>
      <x:c r="V650" s="71" t="n"/>
      <x:c r="W650" s="71" t="n"/>
      <x:c r="X650" s="71" t="n"/>
      <x:c r="Y650" s="71" t="n"/>
      <x:c r="Z650" s="71" t="n"/>
      <x:c r="AA650" s="71" t="n"/>
      <x:c r="AB650" s="71" t="inlineStr">
        <x:is>
          <x:t xml:space="preserve">NO</x:t>
        </x:is>
      </x:c>
      <x:c r="AC650" s="57" t="inlineStr">
        <x:is>
          <x:t xml:space="preserve">V10</x:t>
        </x:is>
      </x:c>
      <x:c r="AD650" s="57" t="n"/>
      <x:c r="AE650" s="79" t="str">
        <x:f>IF(AND(I650&lt;&gt;"",J650&lt;&gt;"",K650&lt;&gt;"",L650="YES",M650&lt;&gt;"",S650&lt;&gt;"",T650&lt;&gt;"",U650&lt;&gt;"",V650&lt;&gt;"",W650&lt;&gt;"",X650&lt;&gt;"",Y650&lt;&gt;""),"COMPLETE","PENDING")</x:f>
        <x:v>PENDING</x:v>
      </x:c>
      <x:c r="AF650" s="79" t="str">
        <x:f>IF(AE650="COMPLETE","YES","NO")</x:f>
        <x:v>NO</x:v>
      </x:c>
      <x:c r="AG650" s="214" t="str">
        <x:f>IF(AF650&lt;&gt;"YES","",(IF(V650="YES",1,0)+IF(W650="YES",1,0))/2)</x:f>
      </x:c>
    </x:row>
    <x:row r="651">
      <x:c r="A651" s="57" t="inlineStr">
        <x:is>
          <x:t xml:space="preserve">C0646</x:t>
        </x:is>
      </x:c>
      <x:c r="B651" s="57" t="inlineStr">
        <x:is>
          <x:t xml:space="preserve">Validation</x:t>
        </x:is>
      </x:c>
      <x:c r="C651" s="57" t="inlineStr">
        <x:is>
          <x:t xml:space="preserve">OPEN</x:t>
        </x:is>
      </x:c>
      <x:c r="D651" s="57" t="inlineStr">
        <x:is>
          <x:t xml:space="preserve">ARG-065</x:t>
        </x:is>
      </x:c>
      <x:c r="E651" s="75" t="str">
        <x:f>INDEX('Company Universe'!$B$6:$B$105,MATCH(D651,'Company Universe'!$A$6:$A$105,0))</x:f>
        <x:v>Johnson &amp; Johnson</x:v>
      </x:c>
      <x:c r="F651" s="75" t="str">
        <x:f>INDEX('Company Universe'!$C$6:$C$105,MATCH(D651,'Company Universe'!$A$6:$A$105,0))</x:f>
        <x:v>JNJ</x:v>
      </x:c>
      <x:c r="G651" s="75" t="str">
        <x:f>INDEX('Company Universe'!$F$6:$F$105,MATCH(D651,'Company Universe'!$A$6:$A$105,0))</x:f>
        <x:v>Healthcare &amp; Biopharma</x:v>
      </x:c>
      <x:c r="H651" s="57" t="n">
        <x:v>6</x:v>
      </x:c>
      <x:c r="I651" s="206" t="n"/>
      <x:c r="J651" s="71" t="n"/>
      <x:c r="K651" s="71" t="n"/>
      <x:c r="L651" s="71" t="inlineStr">
        <x:is>
          <x:t xml:space="preserve">NO</x:t>
        </x:is>
      </x:c>
      <x:c r="M651" s="71" t="n"/>
      <x:c r="N651" s="71" t="n"/>
      <x:c r="O651" s="71" t="n"/>
      <x:c r="P651" s="71" t="n"/>
      <x:c r="Q651" s="71" t="n"/>
      <x:c r="R651" s="71" t="n"/>
      <x:c r="S651" s="206" t="n"/>
      <x:c r="T651" s="71" t="n"/>
      <x:c r="U651" s="71" t="n"/>
      <x:c r="V651" s="71" t="n"/>
      <x:c r="W651" s="71" t="n"/>
      <x:c r="X651" s="71" t="n"/>
      <x:c r="Y651" s="71" t="n"/>
      <x:c r="Z651" s="71" t="n"/>
      <x:c r="AA651" s="71" t="n"/>
      <x:c r="AB651" s="71" t="inlineStr">
        <x:is>
          <x:t xml:space="preserve">NO</x:t>
        </x:is>
      </x:c>
      <x:c r="AC651" s="57" t="inlineStr">
        <x:is>
          <x:t xml:space="preserve">V10</x:t>
        </x:is>
      </x:c>
      <x:c r="AD651" s="57" t="n"/>
      <x:c r="AE651" s="79" t="str">
        <x:f>IF(AND(I651&lt;&gt;"",J651&lt;&gt;"",K651&lt;&gt;"",L651="YES",M651&lt;&gt;"",S651&lt;&gt;"",T651&lt;&gt;"",U651&lt;&gt;"",V651&lt;&gt;"",W651&lt;&gt;"",X651&lt;&gt;"",Y651&lt;&gt;""),"COMPLETE","PENDING")</x:f>
        <x:v>PENDING</x:v>
      </x:c>
      <x:c r="AF651" s="79" t="str">
        <x:f>IF(AE651="COMPLETE","YES","NO")</x:f>
        <x:v>NO</x:v>
      </x:c>
      <x:c r="AG651" s="214" t="str">
        <x:f>IF(AF651&lt;&gt;"YES","",(IF(V651="YES",1,0)+IF(W651="YES",1,0))/2)</x:f>
      </x:c>
    </x:row>
    <x:row r="652">
      <x:c r="A652" s="57" t="inlineStr">
        <x:is>
          <x:t xml:space="preserve">C0647</x:t>
        </x:is>
      </x:c>
      <x:c r="B652" s="57" t="inlineStr">
        <x:is>
          <x:t xml:space="preserve">Validation</x:t>
        </x:is>
      </x:c>
      <x:c r="C652" s="57" t="inlineStr">
        <x:is>
          <x:t xml:space="preserve">OPEN</x:t>
        </x:is>
      </x:c>
      <x:c r="D652" s="57" t="inlineStr">
        <x:is>
          <x:t xml:space="preserve">ARG-065</x:t>
        </x:is>
      </x:c>
      <x:c r="E652" s="75" t="str">
        <x:f>INDEX('Company Universe'!$B$6:$B$105,MATCH(D652,'Company Universe'!$A$6:$A$105,0))</x:f>
        <x:v>Johnson &amp; Johnson</x:v>
      </x:c>
      <x:c r="F652" s="75" t="str">
        <x:f>INDEX('Company Universe'!$C$6:$C$105,MATCH(D652,'Company Universe'!$A$6:$A$105,0))</x:f>
        <x:v>JNJ</x:v>
      </x:c>
      <x:c r="G652" s="75" t="str">
        <x:f>INDEX('Company Universe'!$F$6:$F$105,MATCH(D652,'Company Universe'!$A$6:$A$105,0))</x:f>
        <x:v>Healthcare &amp; Biopharma</x:v>
      </x:c>
      <x:c r="H652" s="57" t="n">
        <x:v>7</x:v>
      </x:c>
      <x:c r="I652" s="206" t="n"/>
      <x:c r="J652" s="71" t="n"/>
      <x:c r="K652" s="71" t="n"/>
      <x:c r="L652" s="71" t="inlineStr">
        <x:is>
          <x:t xml:space="preserve">NO</x:t>
        </x:is>
      </x:c>
      <x:c r="M652" s="71" t="n"/>
      <x:c r="N652" s="71" t="n"/>
      <x:c r="O652" s="71" t="n"/>
      <x:c r="P652" s="71" t="n"/>
      <x:c r="Q652" s="71" t="n"/>
      <x:c r="R652" s="71" t="n"/>
      <x:c r="S652" s="206" t="n"/>
      <x:c r="T652" s="71" t="n"/>
      <x:c r="U652" s="71" t="n"/>
      <x:c r="V652" s="71" t="n"/>
      <x:c r="W652" s="71" t="n"/>
      <x:c r="X652" s="71" t="n"/>
      <x:c r="Y652" s="71" t="n"/>
      <x:c r="Z652" s="71" t="n"/>
      <x:c r="AA652" s="71" t="n"/>
      <x:c r="AB652" s="71" t="inlineStr">
        <x:is>
          <x:t xml:space="preserve">NO</x:t>
        </x:is>
      </x:c>
      <x:c r="AC652" s="57" t="inlineStr">
        <x:is>
          <x:t xml:space="preserve">V10</x:t>
        </x:is>
      </x:c>
      <x:c r="AD652" s="57" t="n"/>
      <x:c r="AE652" s="79" t="str">
        <x:f>IF(AND(I652&lt;&gt;"",J652&lt;&gt;"",K652&lt;&gt;"",L652="YES",M652&lt;&gt;"",S652&lt;&gt;"",T652&lt;&gt;"",U652&lt;&gt;"",V652&lt;&gt;"",W652&lt;&gt;"",X652&lt;&gt;"",Y652&lt;&gt;""),"COMPLETE","PENDING")</x:f>
        <x:v>PENDING</x:v>
      </x:c>
      <x:c r="AF652" s="79" t="str">
        <x:f>IF(AE652="COMPLETE","YES","NO")</x:f>
        <x:v>NO</x:v>
      </x:c>
      <x:c r="AG652" s="214" t="str">
        <x:f>IF(AF652&lt;&gt;"YES","",(IF(V652="YES",1,0)+IF(W652="YES",1,0))/2)</x:f>
      </x:c>
    </x:row>
    <x:row r="653">
      <x:c r="A653" s="57" t="inlineStr">
        <x:is>
          <x:t xml:space="preserve">C0648</x:t>
        </x:is>
      </x:c>
      <x:c r="B653" s="57" t="inlineStr">
        <x:is>
          <x:t xml:space="preserve">Validation</x:t>
        </x:is>
      </x:c>
      <x:c r="C653" s="57" t="inlineStr">
        <x:is>
          <x:t xml:space="preserve">OPEN</x:t>
        </x:is>
      </x:c>
      <x:c r="D653" s="57" t="inlineStr">
        <x:is>
          <x:t xml:space="preserve">ARG-065</x:t>
        </x:is>
      </x:c>
      <x:c r="E653" s="75" t="str">
        <x:f>INDEX('Company Universe'!$B$6:$B$105,MATCH(D653,'Company Universe'!$A$6:$A$105,0))</x:f>
        <x:v>Johnson &amp; Johnson</x:v>
      </x:c>
      <x:c r="F653" s="75" t="str">
        <x:f>INDEX('Company Universe'!$C$6:$C$105,MATCH(D653,'Company Universe'!$A$6:$A$105,0))</x:f>
        <x:v>JNJ</x:v>
      </x:c>
      <x:c r="G653" s="75" t="str">
        <x:f>INDEX('Company Universe'!$F$6:$F$105,MATCH(D653,'Company Universe'!$A$6:$A$105,0))</x:f>
        <x:v>Healthcare &amp; Biopharma</x:v>
      </x:c>
      <x:c r="H653" s="57" t="n">
        <x:v>8</x:v>
      </x:c>
      <x:c r="I653" s="206" t="n"/>
      <x:c r="J653" s="71" t="n"/>
      <x:c r="K653" s="71" t="n"/>
      <x:c r="L653" s="71" t="inlineStr">
        <x:is>
          <x:t xml:space="preserve">NO</x:t>
        </x:is>
      </x:c>
      <x:c r="M653" s="71" t="n"/>
      <x:c r="N653" s="71" t="n"/>
      <x:c r="O653" s="71" t="n"/>
      <x:c r="P653" s="71" t="n"/>
      <x:c r="Q653" s="71" t="n"/>
      <x:c r="R653" s="71" t="n"/>
      <x:c r="S653" s="206" t="n"/>
      <x:c r="T653" s="71" t="n"/>
      <x:c r="U653" s="71" t="n"/>
      <x:c r="V653" s="71" t="n"/>
      <x:c r="W653" s="71" t="n"/>
      <x:c r="X653" s="71" t="n"/>
      <x:c r="Y653" s="71" t="n"/>
      <x:c r="Z653" s="71" t="n"/>
      <x:c r="AA653" s="71" t="n"/>
      <x:c r="AB653" s="71" t="inlineStr">
        <x:is>
          <x:t xml:space="preserve">NO</x:t>
        </x:is>
      </x:c>
      <x:c r="AC653" s="57" t="inlineStr">
        <x:is>
          <x:t xml:space="preserve">V10</x:t>
        </x:is>
      </x:c>
      <x:c r="AD653" s="57" t="n"/>
      <x:c r="AE653" s="79" t="str">
        <x:f>IF(AND(I653&lt;&gt;"",J653&lt;&gt;"",K653&lt;&gt;"",L653="YES",M653&lt;&gt;"",S653&lt;&gt;"",T653&lt;&gt;"",U653&lt;&gt;"",V653&lt;&gt;"",W653&lt;&gt;"",X653&lt;&gt;"",Y653&lt;&gt;""),"COMPLETE","PENDING")</x:f>
        <x:v>PENDING</x:v>
      </x:c>
      <x:c r="AF653" s="79" t="str">
        <x:f>IF(AE653="COMPLETE","YES","NO")</x:f>
        <x:v>NO</x:v>
      </x:c>
      <x:c r="AG653" s="214" t="str">
        <x:f>IF(AF653&lt;&gt;"YES","",(IF(V653="YES",1,0)+IF(W653="YES",1,0))/2)</x:f>
      </x:c>
    </x:row>
    <x:row r="654">
      <x:c r="A654" s="57" t="inlineStr">
        <x:is>
          <x:t xml:space="preserve">C0649</x:t>
        </x:is>
      </x:c>
      <x:c r="B654" s="57" t="inlineStr">
        <x:is>
          <x:t xml:space="preserve">Validation</x:t>
        </x:is>
      </x:c>
      <x:c r="C654" s="57" t="inlineStr">
        <x:is>
          <x:t xml:space="preserve">OPEN</x:t>
        </x:is>
      </x:c>
      <x:c r="D654" s="57" t="inlineStr">
        <x:is>
          <x:t xml:space="preserve">ARG-065</x:t>
        </x:is>
      </x:c>
      <x:c r="E654" s="75" t="str">
        <x:f>INDEX('Company Universe'!$B$6:$B$105,MATCH(D654,'Company Universe'!$A$6:$A$105,0))</x:f>
        <x:v>Johnson &amp; Johnson</x:v>
      </x:c>
      <x:c r="F654" s="75" t="str">
        <x:f>INDEX('Company Universe'!$C$6:$C$105,MATCH(D654,'Company Universe'!$A$6:$A$105,0))</x:f>
        <x:v>JNJ</x:v>
      </x:c>
      <x:c r="G654" s="75" t="str">
        <x:f>INDEX('Company Universe'!$F$6:$F$105,MATCH(D654,'Company Universe'!$A$6:$A$105,0))</x:f>
        <x:v>Healthcare &amp; Biopharma</x:v>
      </x:c>
      <x:c r="H654" s="57" t="n">
        <x:v>9</x:v>
      </x:c>
      <x:c r="I654" s="206" t="n"/>
      <x:c r="J654" s="71" t="n"/>
      <x:c r="K654" s="71" t="n"/>
      <x:c r="L654" s="71" t="inlineStr">
        <x:is>
          <x:t xml:space="preserve">NO</x:t>
        </x:is>
      </x:c>
      <x:c r="M654" s="71" t="n"/>
      <x:c r="N654" s="71" t="n"/>
      <x:c r="O654" s="71" t="n"/>
      <x:c r="P654" s="71" t="n"/>
      <x:c r="Q654" s="71" t="n"/>
      <x:c r="R654" s="71" t="n"/>
      <x:c r="S654" s="206" t="n"/>
      <x:c r="T654" s="71" t="n"/>
      <x:c r="U654" s="71" t="n"/>
      <x:c r="V654" s="71" t="n"/>
      <x:c r="W654" s="71" t="n"/>
      <x:c r="X654" s="71" t="n"/>
      <x:c r="Y654" s="71" t="n"/>
      <x:c r="Z654" s="71" t="n"/>
      <x:c r="AA654" s="71" t="n"/>
      <x:c r="AB654" s="71" t="inlineStr">
        <x:is>
          <x:t xml:space="preserve">NO</x:t>
        </x:is>
      </x:c>
      <x:c r="AC654" s="57" t="inlineStr">
        <x:is>
          <x:t xml:space="preserve">V10</x:t>
        </x:is>
      </x:c>
      <x:c r="AD654" s="57" t="n"/>
      <x:c r="AE654" s="79" t="str">
        <x:f>IF(AND(I654&lt;&gt;"",J654&lt;&gt;"",K654&lt;&gt;"",L654="YES",M654&lt;&gt;"",S654&lt;&gt;"",T654&lt;&gt;"",U654&lt;&gt;"",V654&lt;&gt;"",W654&lt;&gt;"",X654&lt;&gt;"",Y654&lt;&gt;""),"COMPLETE","PENDING")</x:f>
        <x:v>PENDING</x:v>
      </x:c>
      <x:c r="AF654" s="79" t="str">
        <x:f>IF(AE654="COMPLETE","YES","NO")</x:f>
        <x:v>NO</x:v>
      </x:c>
      <x:c r="AG654" s="214" t="str">
        <x:f>IF(AF654&lt;&gt;"YES","",(IF(V654="YES",1,0)+IF(W654="YES",1,0))/2)</x:f>
      </x:c>
    </x:row>
    <x:row r="655">
      <x:c r="A655" s="57" t="inlineStr">
        <x:is>
          <x:t xml:space="preserve">C0650</x:t>
        </x:is>
      </x:c>
      <x:c r="B655" s="57" t="inlineStr">
        <x:is>
          <x:t xml:space="preserve">Validation</x:t>
        </x:is>
      </x:c>
      <x:c r="C655" s="57" t="inlineStr">
        <x:is>
          <x:t xml:space="preserve">OPEN</x:t>
        </x:is>
      </x:c>
      <x:c r="D655" s="57" t="inlineStr">
        <x:is>
          <x:t xml:space="preserve">ARG-065</x:t>
        </x:is>
      </x:c>
      <x:c r="E655" s="75" t="str">
        <x:f>INDEX('Company Universe'!$B$6:$B$105,MATCH(D655,'Company Universe'!$A$6:$A$105,0))</x:f>
        <x:v>Johnson &amp; Johnson</x:v>
      </x:c>
      <x:c r="F655" s="75" t="str">
        <x:f>INDEX('Company Universe'!$C$6:$C$105,MATCH(D655,'Company Universe'!$A$6:$A$105,0))</x:f>
        <x:v>JNJ</x:v>
      </x:c>
      <x:c r="G655" s="75" t="str">
        <x:f>INDEX('Company Universe'!$F$6:$F$105,MATCH(D655,'Company Universe'!$A$6:$A$105,0))</x:f>
        <x:v>Healthcare &amp; Biopharma</x:v>
      </x:c>
      <x:c r="H655" s="57" t="n">
        <x:v>10</x:v>
      </x:c>
      <x:c r="I655" s="206" t="n"/>
      <x:c r="J655" s="71" t="n"/>
      <x:c r="K655" s="71" t="n"/>
      <x:c r="L655" s="71" t="inlineStr">
        <x:is>
          <x:t xml:space="preserve">NO</x:t>
        </x:is>
      </x:c>
      <x:c r="M655" s="71" t="n"/>
      <x:c r="N655" s="71" t="n"/>
      <x:c r="O655" s="71" t="n"/>
      <x:c r="P655" s="71" t="n"/>
      <x:c r="Q655" s="71" t="n"/>
      <x:c r="R655" s="71" t="n"/>
      <x:c r="S655" s="206" t="n"/>
      <x:c r="T655" s="71" t="n"/>
      <x:c r="U655" s="71" t="n"/>
      <x:c r="V655" s="71" t="n"/>
      <x:c r="W655" s="71" t="n"/>
      <x:c r="X655" s="71" t="n"/>
      <x:c r="Y655" s="71" t="n"/>
      <x:c r="Z655" s="71" t="n"/>
      <x:c r="AA655" s="71" t="n"/>
      <x:c r="AB655" s="71" t="inlineStr">
        <x:is>
          <x:t xml:space="preserve">NO</x:t>
        </x:is>
      </x:c>
      <x:c r="AC655" s="57" t="inlineStr">
        <x:is>
          <x:t xml:space="preserve">V10</x:t>
        </x:is>
      </x:c>
      <x:c r="AD655" s="57" t="n"/>
      <x:c r="AE655" s="79" t="str">
        <x:f>IF(AND(I655&lt;&gt;"",J655&lt;&gt;"",K655&lt;&gt;"",L655="YES",M655&lt;&gt;"",S655&lt;&gt;"",T655&lt;&gt;"",U655&lt;&gt;"",V655&lt;&gt;"",W655&lt;&gt;"",X655&lt;&gt;"",Y655&lt;&gt;""),"COMPLETE","PENDING")</x:f>
        <x:v>PENDING</x:v>
      </x:c>
      <x:c r="AF655" s="79" t="str">
        <x:f>IF(AE655="COMPLETE","YES","NO")</x:f>
        <x:v>NO</x:v>
      </x:c>
      <x:c r="AG655" s="214" t="str">
        <x:f>IF(AF655&lt;&gt;"YES","",(IF(V655="YES",1,0)+IF(W655="YES",1,0))/2)</x:f>
      </x:c>
    </x:row>
    <x:row r="656">
      <x:c r="A656" s="57" t="inlineStr">
        <x:is>
          <x:t xml:space="preserve">C0651</x:t>
        </x:is>
      </x:c>
      <x:c r="B656" s="57" t="inlineStr">
        <x:is>
          <x:t xml:space="preserve">Validation</x:t>
        </x:is>
      </x:c>
      <x:c r="C656" s="57" t="inlineStr">
        <x:is>
          <x:t xml:space="preserve">OPEN</x:t>
        </x:is>
      </x:c>
      <x:c r="D656" s="57" t="inlineStr">
        <x:is>
          <x:t xml:space="preserve">ARG-066</x:t>
        </x:is>
      </x:c>
      <x:c r="E656" s="75" t="str">
        <x:f>INDEX('Company Universe'!$B$6:$B$105,MATCH(D656,'Company Universe'!$A$6:$A$105,0))</x:f>
        <x:v>NIKE</x:v>
      </x:c>
      <x:c r="F656" s="75" t="str">
        <x:f>INDEX('Company Universe'!$C$6:$C$105,MATCH(D656,'Company Universe'!$A$6:$A$105,0))</x:f>
        <x:v>NKE</x:v>
      </x:c>
      <x:c r="G656" s="75" t="str">
        <x:f>INDEX('Company Universe'!$F$6:$F$105,MATCH(D656,'Company Universe'!$A$6:$A$105,0))</x:f>
        <x:v>Consumer</x:v>
      </x:c>
      <x:c r="H656" s="57" t="n">
        <x:v>1</x:v>
      </x:c>
      <x:c r="I656" s="206" t="n"/>
      <x:c r="J656" s="71" t="n"/>
      <x:c r="K656" s="71" t="n"/>
      <x:c r="L656" s="71" t="inlineStr">
        <x:is>
          <x:t xml:space="preserve">NO</x:t>
        </x:is>
      </x:c>
      <x:c r="M656" s="71" t="n"/>
      <x:c r="N656" s="71" t="n"/>
      <x:c r="O656" s="71" t="n"/>
      <x:c r="P656" s="71" t="n"/>
      <x:c r="Q656" s="71" t="n"/>
      <x:c r="R656" s="71" t="n"/>
      <x:c r="S656" s="206" t="n"/>
      <x:c r="T656" s="71" t="n"/>
      <x:c r="U656" s="71" t="n"/>
      <x:c r="V656" s="71" t="n"/>
      <x:c r="W656" s="71" t="n"/>
      <x:c r="X656" s="71" t="n"/>
      <x:c r="Y656" s="71" t="n"/>
      <x:c r="Z656" s="71" t="n"/>
      <x:c r="AA656" s="71" t="n"/>
      <x:c r="AB656" s="71" t="inlineStr">
        <x:is>
          <x:t xml:space="preserve">NO</x:t>
        </x:is>
      </x:c>
      <x:c r="AC656" s="57" t="inlineStr">
        <x:is>
          <x:t xml:space="preserve">V10</x:t>
        </x:is>
      </x:c>
      <x:c r="AD656" s="57" t="n"/>
      <x:c r="AE656" s="79" t="str">
        <x:f>IF(AND(I656&lt;&gt;"",J656&lt;&gt;"",K656&lt;&gt;"",L656="YES",M656&lt;&gt;"",S656&lt;&gt;"",T656&lt;&gt;"",U656&lt;&gt;"",V656&lt;&gt;"",W656&lt;&gt;"",X656&lt;&gt;"",Y656&lt;&gt;""),"COMPLETE","PENDING")</x:f>
        <x:v>PENDING</x:v>
      </x:c>
      <x:c r="AF656" s="79" t="str">
        <x:f>IF(AE656="COMPLETE","YES","NO")</x:f>
        <x:v>NO</x:v>
      </x:c>
      <x:c r="AG656" s="214" t="str">
        <x:f>IF(AF656&lt;&gt;"YES","",(IF(V656="YES",1,0)+IF(W656="YES",1,0))/2)</x:f>
      </x:c>
    </x:row>
    <x:row r="657">
      <x:c r="A657" s="57" t="inlineStr">
        <x:is>
          <x:t xml:space="preserve">C0652</x:t>
        </x:is>
      </x:c>
      <x:c r="B657" s="57" t="inlineStr">
        <x:is>
          <x:t xml:space="preserve">Validation</x:t>
        </x:is>
      </x:c>
      <x:c r="C657" s="57" t="inlineStr">
        <x:is>
          <x:t xml:space="preserve">OPEN</x:t>
        </x:is>
      </x:c>
      <x:c r="D657" s="57" t="inlineStr">
        <x:is>
          <x:t xml:space="preserve">ARG-066</x:t>
        </x:is>
      </x:c>
      <x:c r="E657" s="75" t="str">
        <x:f>INDEX('Company Universe'!$B$6:$B$105,MATCH(D657,'Company Universe'!$A$6:$A$105,0))</x:f>
        <x:v>NIKE</x:v>
      </x:c>
      <x:c r="F657" s="75" t="str">
        <x:f>INDEX('Company Universe'!$C$6:$C$105,MATCH(D657,'Company Universe'!$A$6:$A$105,0))</x:f>
        <x:v>NKE</x:v>
      </x:c>
      <x:c r="G657" s="75" t="str">
        <x:f>INDEX('Company Universe'!$F$6:$F$105,MATCH(D657,'Company Universe'!$A$6:$A$105,0))</x:f>
        <x:v>Consumer</x:v>
      </x:c>
      <x:c r="H657" s="57" t="n">
        <x:v>2</x:v>
      </x:c>
      <x:c r="I657" s="206" t="n"/>
      <x:c r="J657" s="71" t="n"/>
      <x:c r="K657" s="71" t="n"/>
      <x:c r="L657" s="71" t="inlineStr">
        <x:is>
          <x:t xml:space="preserve">NO</x:t>
        </x:is>
      </x:c>
      <x:c r="M657" s="71" t="n"/>
      <x:c r="N657" s="71" t="n"/>
      <x:c r="O657" s="71" t="n"/>
      <x:c r="P657" s="71" t="n"/>
      <x:c r="Q657" s="71" t="n"/>
      <x:c r="R657" s="71" t="n"/>
      <x:c r="S657" s="206" t="n"/>
      <x:c r="T657" s="71" t="n"/>
      <x:c r="U657" s="71" t="n"/>
      <x:c r="V657" s="71" t="n"/>
      <x:c r="W657" s="71" t="n"/>
      <x:c r="X657" s="71" t="n"/>
      <x:c r="Y657" s="71" t="n"/>
      <x:c r="Z657" s="71" t="n"/>
      <x:c r="AA657" s="71" t="n"/>
      <x:c r="AB657" s="71" t="inlineStr">
        <x:is>
          <x:t xml:space="preserve">NO</x:t>
        </x:is>
      </x:c>
      <x:c r="AC657" s="57" t="inlineStr">
        <x:is>
          <x:t xml:space="preserve">V10</x:t>
        </x:is>
      </x:c>
      <x:c r="AD657" s="57" t="n"/>
      <x:c r="AE657" s="79" t="str">
        <x:f>IF(AND(I657&lt;&gt;"",J657&lt;&gt;"",K657&lt;&gt;"",L657="YES",M657&lt;&gt;"",S657&lt;&gt;"",T657&lt;&gt;"",U657&lt;&gt;"",V657&lt;&gt;"",W657&lt;&gt;"",X657&lt;&gt;"",Y657&lt;&gt;""),"COMPLETE","PENDING")</x:f>
        <x:v>PENDING</x:v>
      </x:c>
      <x:c r="AF657" s="79" t="str">
        <x:f>IF(AE657="COMPLETE","YES","NO")</x:f>
        <x:v>NO</x:v>
      </x:c>
      <x:c r="AG657" s="214" t="str">
        <x:f>IF(AF657&lt;&gt;"YES","",(IF(V657="YES",1,0)+IF(W657="YES",1,0))/2)</x:f>
      </x:c>
    </x:row>
    <x:row r="658">
      <x:c r="A658" s="57" t="inlineStr">
        <x:is>
          <x:t xml:space="preserve">C0653</x:t>
        </x:is>
      </x:c>
      <x:c r="B658" s="57" t="inlineStr">
        <x:is>
          <x:t xml:space="preserve">Validation</x:t>
        </x:is>
      </x:c>
      <x:c r="C658" s="57" t="inlineStr">
        <x:is>
          <x:t xml:space="preserve">OPEN</x:t>
        </x:is>
      </x:c>
      <x:c r="D658" s="57" t="inlineStr">
        <x:is>
          <x:t xml:space="preserve">ARG-066</x:t>
        </x:is>
      </x:c>
      <x:c r="E658" s="75" t="str">
        <x:f>INDEX('Company Universe'!$B$6:$B$105,MATCH(D658,'Company Universe'!$A$6:$A$105,0))</x:f>
        <x:v>NIKE</x:v>
      </x:c>
      <x:c r="F658" s="75" t="str">
        <x:f>INDEX('Company Universe'!$C$6:$C$105,MATCH(D658,'Company Universe'!$A$6:$A$105,0))</x:f>
        <x:v>NKE</x:v>
      </x:c>
      <x:c r="G658" s="75" t="str">
        <x:f>INDEX('Company Universe'!$F$6:$F$105,MATCH(D658,'Company Universe'!$A$6:$A$105,0))</x:f>
        <x:v>Consumer</x:v>
      </x:c>
      <x:c r="H658" s="57" t="n">
        <x:v>3</x:v>
      </x:c>
      <x:c r="I658" s="206" t="n"/>
      <x:c r="J658" s="71" t="n"/>
      <x:c r="K658" s="71" t="n"/>
      <x:c r="L658" s="71" t="inlineStr">
        <x:is>
          <x:t xml:space="preserve">NO</x:t>
        </x:is>
      </x:c>
      <x:c r="M658" s="71" t="n"/>
      <x:c r="N658" s="71" t="n"/>
      <x:c r="O658" s="71" t="n"/>
      <x:c r="P658" s="71" t="n"/>
      <x:c r="Q658" s="71" t="n"/>
      <x:c r="R658" s="71" t="n"/>
      <x:c r="S658" s="206" t="n"/>
      <x:c r="T658" s="71" t="n"/>
      <x:c r="U658" s="71" t="n"/>
      <x:c r="V658" s="71" t="n"/>
      <x:c r="W658" s="71" t="n"/>
      <x:c r="X658" s="71" t="n"/>
      <x:c r="Y658" s="71" t="n"/>
      <x:c r="Z658" s="71" t="n"/>
      <x:c r="AA658" s="71" t="n"/>
      <x:c r="AB658" s="71" t="inlineStr">
        <x:is>
          <x:t xml:space="preserve">NO</x:t>
        </x:is>
      </x:c>
      <x:c r="AC658" s="57" t="inlineStr">
        <x:is>
          <x:t xml:space="preserve">V10</x:t>
        </x:is>
      </x:c>
      <x:c r="AD658" s="57" t="n"/>
      <x:c r="AE658" s="79" t="str">
        <x:f>IF(AND(I658&lt;&gt;"",J658&lt;&gt;"",K658&lt;&gt;"",L658="YES",M658&lt;&gt;"",S658&lt;&gt;"",T658&lt;&gt;"",U658&lt;&gt;"",V658&lt;&gt;"",W658&lt;&gt;"",X658&lt;&gt;"",Y658&lt;&gt;""),"COMPLETE","PENDING")</x:f>
        <x:v>PENDING</x:v>
      </x:c>
      <x:c r="AF658" s="79" t="str">
        <x:f>IF(AE658="COMPLETE","YES","NO")</x:f>
        <x:v>NO</x:v>
      </x:c>
      <x:c r="AG658" s="214" t="str">
        <x:f>IF(AF658&lt;&gt;"YES","",(IF(V658="YES",1,0)+IF(W658="YES",1,0))/2)</x:f>
      </x:c>
    </x:row>
    <x:row r="659">
      <x:c r="A659" s="57" t="inlineStr">
        <x:is>
          <x:t xml:space="preserve">C0654</x:t>
        </x:is>
      </x:c>
      <x:c r="B659" s="57" t="inlineStr">
        <x:is>
          <x:t xml:space="preserve">Validation</x:t>
        </x:is>
      </x:c>
      <x:c r="C659" s="57" t="inlineStr">
        <x:is>
          <x:t xml:space="preserve">OPEN</x:t>
        </x:is>
      </x:c>
      <x:c r="D659" s="57" t="inlineStr">
        <x:is>
          <x:t xml:space="preserve">ARG-066</x:t>
        </x:is>
      </x:c>
      <x:c r="E659" s="75" t="str">
        <x:f>INDEX('Company Universe'!$B$6:$B$105,MATCH(D659,'Company Universe'!$A$6:$A$105,0))</x:f>
        <x:v>NIKE</x:v>
      </x:c>
      <x:c r="F659" s="75" t="str">
        <x:f>INDEX('Company Universe'!$C$6:$C$105,MATCH(D659,'Company Universe'!$A$6:$A$105,0))</x:f>
        <x:v>NKE</x:v>
      </x:c>
      <x:c r="G659" s="75" t="str">
        <x:f>INDEX('Company Universe'!$F$6:$F$105,MATCH(D659,'Company Universe'!$A$6:$A$105,0))</x:f>
        <x:v>Consumer</x:v>
      </x:c>
      <x:c r="H659" s="57" t="n">
        <x:v>4</x:v>
      </x:c>
      <x:c r="I659" s="206" t="n"/>
      <x:c r="J659" s="71" t="n"/>
      <x:c r="K659" s="71" t="n"/>
      <x:c r="L659" s="71" t="inlineStr">
        <x:is>
          <x:t xml:space="preserve">NO</x:t>
        </x:is>
      </x:c>
      <x:c r="M659" s="71" t="n"/>
      <x:c r="N659" s="71" t="n"/>
      <x:c r="O659" s="71" t="n"/>
      <x:c r="P659" s="71" t="n"/>
      <x:c r="Q659" s="71" t="n"/>
      <x:c r="R659" s="71" t="n"/>
      <x:c r="S659" s="206" t="n"/>
      <x:c r="T659" s="71" t="n"/>
      <x:c r="U659" s="71" t="n"/>
      <x:c r="V659" s="71" t="n"/>
      <x:c r="W659" s="71" t="n"/>
      <x:c r="X659" s="71" t="n"/>
      <x:c r="Y659" s="71" t="n"/>
      <x:c r="Z659" s="71" t="n"/>
      <x:c r="AA659" s="71" t="n"/>
      <x:c r="AB659" s="71" t="inlineStr">
        <x:is>
          <x:t xml:space="preserve">NO</x:t>
        </x:is>
      </x:c>
      <x:c r="AC659" s="57" t="inlineStr">
        <x:is>
          <x:t xml:space="preserve">V10</x:t>
        </x:is>
      </x:c>
      <x:c r="AD659" s="57" t="n"/>
      <x:c r="AE659" s="79" t="str">
        <x:f>IF(AND(I659&lt;&gt;"",J659&lt;&gt;"",K659&lt;&gt;"",L659="YES",M659&lt;&gt;"",S659&lt;&gt;"",T659&lt;&gt;"",U659&lt;&gt;"",V659&lt;&gt;"",W659&lt;&gt;"",X659&lt;&gt;"",Y659&lt;&gt;""),"COMPLETE","PENDING")</x:f>
        <x:v>PENDING</x:v>
      </x:c>
      <x:c r="AF659" s="79" t="str">
        <x:f>IF(AE659="COMPLETE","YES","NO")</x:f>
        <x:v>NO</x:v>
      </x:c>
      <x:c r="AG659" s="214" t="str">
        <x:f>IF(AF659&lt;&gt;"YES","",(IF(V659="YES",1,0)+IF(W659="YES",1,0))/2)</x:f>
      </x:c>
    </x:row>
    <x:row r="660">
      <x:c r="A660" s="57" t="inlineStr">
        <x:is>
          <x:t xml:space="preserve">C0655</x:t>
        </x:is>
      </x:c>
      <x:c r="B660" s="57" t="inlineStr">
        <x:is>
          <x:t xml:space="preserve">Validation</x:t>
        </x:is>
      </x:c>
      <x:c r="C660" s="57" t="inlineStr">
        <x:is>
          <x:t xml:space="preserve">OPEN</x:t>
        </x:is>
      </x:c>
      <x:c r="D660" s="57" t="inlineStr">
        <x:is>
          <x:t xml:space="preserve">ARG-066</x:t>
        </x:is>
      </x:c>
      <x:c r="E660" s="75" t="str">
        <x:f>INDEX('Company Universe'!$B$6:$B$105,MATCH(D660,'Company Universe'!$A$6:$A$105,0))</x:f>
        <x:v>NIKE</x:v>
      </x:c>
      <x:c r="F660" s="75" t="str">
        <x:f>INDEX('Company Universe'!$C$6:$C$105,MATCH(D660,'Company Universe'!$A$6:$A$105,0))</x:f>
        <x:v>NKE</x:v>
      </x:c>
      <x:c r="G660" s="75" t="str">
        <x:f>INDEX('Company Universe'!$F$6:$F$105,MATCH(D660,'Company Universe'!$A$6:$A$105,0))</x:f>
        <x:v>Consumer</x:v>
      </x:c>
      <x:c r="H660" s="57" t="n">
        <x:v>5</x:v>
      </x:c>
      <x:c r="I660" s="206" t="n"/>
      <x:c r="J660" s="71" t="n"/>
      <x:c r="K660" s="71" t="n"/>
      <x:c r="L660" s="71" t="inlineStr">
        <x:is>
          <x:t xml:space="preserve">NO</x:t>
        </x:is>
      </x:c>
      <x:c r="M660" s="71" t="n"/>
      <x:c r="N660" s="71" t="n"/>
      <x:c r="O660" s="71" t="n"/>
      <x:c r="P660" s="71" t="n"/>
      <x:c r="Q660" s="71" t="n"/>
      <x:c r="R660" s="71" t="n"/>
      <x:c r="S660" s="206" t="n"/>
      <x:c r="T660" s="71" t="n"/>
      <x:c r="U660" s="71" t="n"/>
      <x:c r="V660" s="71" t="n"/>
      <x:c r="W660" s="71" t="n"/>
      <x:c r="X660" s="71" t="n"/>
      <x:c r="Y660" s="71" t="n"/>
      <x:c r="Z660" s="71" t="n"/>
      <x:c r="AA660" s="71" t="n"/>
      <x:c r="AB660" s="71" t="inlineStr">
        <x:is>
          <x:t xml:space="preserve">NO</x:t>
        </x:is>
      </x:c>
      <x:c r="AC660" s="57" t="inlineStr">
        <x:is>
          <x:t xml:space="preserve">V10</x:t>
        </x:is>
      </x:c>
      <x:c r="AD660" s="57" t="n"/>
      <x:c r="AE660" s="79" t="str">
        <x:f>IF(AND(I660&lt;&gt;"",J660&lt;&gt;"",K660&lt;&gt;"",L660="YES",M660&lt;&gt;"",S660&lt;&gt;"",T660&lt;&gt;"",U660&lt;&gt;"",V660&lt;&gt;"",W660&lt;&gt;"",X660&lt;&gt;"",Y660&lt;&gt;""),"COMPLETE","PENDING")</x:f>
        <x:v>PENDING</x:v>
      </x:c>
      <x:c r="AF660" s="79" t="str">
        <x:f>IF(AE660="COMPLETE","YES","NO")</x:f>
        <x:v>NO</x:v>
      </x:c>
      <x:c r="AG660" s="214" t="str">
        <x:f>IF(AF660&lt;&gt;"YES","",(IF(V660="YES",1,0)+IF(W660="YES",1,0))/2)</x:f>
      </x:c>
    </x:row>
    <x:row r="661">
      <x:c r="A661" s="57" t="inlineStr">
        <x:is>
          <x:t xml:space="preserve">C0656</x:t>
        </x:is>
      </x:c>
      <x:c r="B661" s="57" t="inlineStr">
        <x:is>
          <x:t xml:space="preserve">Validation</x:t>
        </x:is>
      </x:c>
      <x:c r="C661" s="57" t="inlineStr">
        <x:is>
          <x:t xml:space="preserve">OPEN</x:t>
        </x:is>
      </x:c>
      <x:c r="D661" s="57" t="inlineStr">
        <x:is>
          <x:t xml:space="preserve">ARG-066</x:t>
        </x:is>
      </x:c>
      <x:c r="E661" s="75" t="str">
        <x:f>INDEX('Company Universe'!$B$6:$B$105,MATCH(D661,'Company Universe'!$A$6:$A$105,0))</x:f>
        <x:v>NIKE</x:v>
      </x:c>
      <x:c r="F661" s="75" t="str">
        <x:f>INDEX('Company Universe'!$C$6:$C$105,MATCH(D661,'Company Universe'!$A$6:$A$105,0))</x:f>
        <x:v>NKE</x:v>
      </x:c>
      <x:c r="G661" s="75" t="str">
        <x:f>INDEX('Company Universe'!$F$6:$F$105,MATCH(D661,'Company Universe'!$A$6:$A$105,0))</x:f>
        <x:v>Consumer</x:v>
      </x:c>
      <x:c r="H661" s="57" t="n">
        <x:v>6</x:v>
      </x:c>
      <x:c r="I661" s="206" t="n"/>
      <x:c r="J661" s="71" t="n"/>
      <x:c r="K661" s="71" t="n"/>
      <x:c r="L661" s="71" t="inlineStr">
        <x:is>
          <x:t xml:space="preserve">NO</x:t>
        </x:is>
      </x:c>
      <x:c r="M661" s="71" t="n"/>
      <x:c r="N661" s="71" t="n"/>
      <x:c r="O661" s="71" t="n"/>
      <x:c r="P661" s="71" t="n"/>
      <x:c r="Q661" s="71" t="n"/>
      <x:c r="R661" s="71" t="n"/>
      <x:c r="S661" s="206" t="n"/>
      <x:c r="T661" s="71" t="n"/>
      <x:c r="U661" s="71" t="n"/>
      <x:c r="V661" s="71" t="n"/>
      <x:c r="W661" s="71" t="n"/>
      <x:c r="X661" s="71" t="n"/>
      <x:c r="Y661" s="71" t="n"/>
      <x:c r="Z661" s="71" t="n"/>
      <x:c r="AA661" s="71" t="n"/>
      <x:c r="AB661" s="71" t="inlineStr">
        <x:is>
          <x:t xml:space="preserve">NO</x:t>
        </x:is>
      </x:c>
      <x:c r="AC661" s="57" t="inlineStr">
        <x:is>
          <x:t xml:space="preserve">V10</x:t>
        </x:is>
      </x:c>
      <x:c r="AD661" s="57" t="n"/>
      <x:c r="AE661" s="79" t="str">
        <x:f>IF(AND(I661&lt;&gt;"",J661&lt;&gt;"",K661&lt;&gt;"",L661="YES",M661&lt;&gt;"",S661&lt;&gt;"",T661&lt;&gt;"",U661&lt;&gt;"",V661&lt;&gt;"",W661&lt;&gt;"",X661&lt;&gt;"",Y661&lt;&gt;""),"COMPLETE","PENDING")</x:f>
        <x:v>PENDING</x:v>
      </x:c>
      <x:c r="AF661" s="79" t="str">
        <x:f>IF(AE661="COMPLETE","YES","NO")</x:f>
        <x:v>NO</x:v>
      </x:c>
      <x:c r="AG661" s="214" t="str">
        <x:f>IF(AF661&lt;&gt;"YES","",(IF(V661="YES",1,0)+IF(W661="YES",1,0))/2)</x:f>
      </x:c>
    </x:row>
    <x:row r="662">
      <x:c r="A662" s="57" t="inlineStr">
        <x:is>
          <x:t xml:space="preserve">C0657</x:t>
        </x:is>
      </x:c>
      <x:c r="B662" s="57" t="inlineStr">
        <x:is>
          <x:t xml:space="preserve">Validation</x:t>
        </x:is>
      </x:c>
      <x:c r="C662" s="57" t="inlineStr">
        <x:is>
          <x:t xml:space="preserve">OPEN</x:t>
        </x:is>
      </x:c>
      <x:c r="D662" s="57" t="inlineStr">
        <x:is>
          <x:t xml:space="preserve">ARG-066</x:t>
        </x:is>
      </x:c>
      <x:c r="E662" s="75" t="str">
        <x:f>INDEX('Company Universe'!$B$6:$B$105,MATCH(D662,'Company Universe'!$A$6:$A$105,0))</x:f>
        <x:v>NIKE</x:v>
      </x:c>
      <x:c r="F662" s="75" t="str">
        <x:f>INDEX('Company Universe'!$C$6:$C$105,MATCH(D662,'Company Universe'!$A$6:$A$105,0))</x:f>
        <x:v>NKE</x:v>
      </x:c>
      <x:c r="G662" s="75" t="str">
        <x:f>INDEX('Company Universe'!$F$6:$F$105,MATCH(D662,'Company Universe'!$A$6:$A$105,0))</x:f>
        <x:v>Consumer</x:v>
      </x:c>
      <x:c r="H662" s="57" t="n">
        <x:v>7</x:v>
      </x:c>
      <x:c r="I662" s="206" t="n"/>
      <x:c r="J662" s="71" t="n"/>
      <x:c r="K662" s="71" t="n"/>
      <x:c r="L662" s="71" t="inlineStr">
        <x:is>
          <x:t xml:space="preserve">NO</x:t>
        </x:is>
      </x:c>
      <x:c r="M662" s="71" t="n"/>
      <x:c r="N662" s="71" t="n"/>
      <x:c r="O662" s="71" t="n"/>
      <x:c r="P662" s="71" t="n"/>
      <x:c r="Q662" s="71" t="n"/>
      <x:c r="R662" s="71" t="n"/>
      <x:c r="S662" s="206" t="n"/>
      <x:c r="T662" s="71" t="n"/>
      <x:c r="U662" s="71" t="n"/>
      <x:c r="V662" s="71" t="n"/>
      <x:c r="W662" s="71" t="n"/>
      <x:c r="X662" s="71" t="n"/>
      <x:c r="Y662" s="71" t="n"/>
      <x:c r="Z662" s="71" t="n"/>
      <x:c r="AA662" s="71" t="n"/>
      <x:c r="AB662" s="71" t="inlineStr">
        <x:is>
          <x:t xml:space="preserve">NO</x:t>
        </x:is>
      </x:c>
      <x:c r="AC662" s="57" t="inlineStr">
        <x:is>
          <x:t xml:space="preserve">V10</x:t>
        </x:is>
      </x:c>
      <x:c r="AD662" s="57" t="n"/>
      <x:c r="AE662" s="79" t="str">
        <x:f>IF(AND(I662&lt;&gt;"",J662&lt;&gt;"",K662&lt;&gt;"",L662="YES",M662&lt;&gt;"",S662&lt;&gt;"",T662&lt;&gt;"",U662&lt;&gt;"",V662&lt;&gt;"",W662&lt;&gt;"",X662&lt;&gt;"",Y662&lt;&gt;""),"COMPLETE","PENDING")</x:f>
        <x:v>PENDING</x:v>
      </x:c>
      <x:c r="AF662" s="79" t="str">
        <x:f>IF(AE662="COMPLETE","YES","NO")</x:f>
        <x:v>NO</x:v>
      </x:c>
      <x:c r="AG662" s="214" t="str">
        <x:f>IF(AF662&lt;&gt;"YES","",(IF(V662="YES",1,0)+IF(W662="YES",1,0))/2)</x:f>
      </x:c>
    </x:row>
    <x:row r="663">
      <x:c r="A663" s="57" t="inlineStr">
        <x:is>
          <x:t xml:space="preserve">C0658</x:t>
        </x:is>
      </x:c>
      <x:c r="B663" s="57" t="inlineStr">
        <x:is>
          <x:t xml:space="preserve">Validation</x:t>
        </x:is>
      </x:c>
      <x:c r="C663" s="57" t="inlineStr">
        <x:is>
          <x:t xml:space="preserve">OPEN</x:t>
        </x:is>
      </x:c>
      <x:c r="D663" s="57" t="inlineStr">
        <x:is>
          <x:t xml:space="preserve">ARG-066</x:t>
        </x:is>
      </x:c>
      <x:c r="E663" s="75" t="str">
        <x:f>INDEX('Company Universe'!$B$6:$B$105,MATCH(D663,'Company Universe'!$A$6:$A$105,0))</x:f>
        <x:v>NIKE</x:v>
      </x:c>
      <x:c r="F663" s="75" t="str">
        <x:f>INDEX('Company Universe'!$C$6:$C$105,MATCH(D663,'Company Universe'!$A$6:$A$105,0))</x:f>
        <x:v>NKE</x:v>
      </x:c>
      <x:c r="G663" s="75" t="str">
        <x:f>INDEX('Company Universe'!$F$6:$F$105,MATCH(D663,'Company Universe'!$A$6:$A$105,0))</x:f>
        <x:v>Consumer</x:v>
      </x:c>
      <x:c r="H663" s="57" t="n">
        <x:v>8</x:v>
      </x:c>
      <x:c r="I663" s="206" t="n"/>
      <x:c r="J663" s="71" t="n"/>
      <x:c r="K663" s="71" t="n"/>
      <x:c r="L663" s="71" t="inlineStr">
        <x:is>
          <x:t xml:space="preserve">NO</x:t>
        </x:is>
      </x:c>
      <x:c r="M663" s="71" t="n"/>
      <x:c r="N663" s="71" t="n"/>
      <x:c r="O663" s="71" t="n"/>
      <x:c r="P663" s="71" t="n"/>
      <x:c r="Q663" s="71" t="n"/>
      <x:c r="R663" s="71" t="n"/>
      <x:c r="S663" s="206" t="n"/>
      <x:c r="T663" s="71" t="n"/>
      <x:c r="U663" s="71" t="n"/>
      <x:c r="V663" s="71" t="n"/>
      <x:c r="W663" s="71" t="n"/>
      <x:c r="X663" s="71" t="n"/>
      <x:c r="Y663" s="71" t="n"/>
      <x:c r="Z663" s="71" t="n"/>
      <x:c r="AA663" s="71" t="n"/>
      <x:c r="AB663" s="71" t="inlineStr">
        <x:is>
          <x:t xml:space="preserve">NO</x:t>
        </x:is>
      </x:c>
      <x:c r="AC663" s="57" t="inlineStr">
        <x:is>
          <x:t xml:space="preserve">V10</x:t>
        </x:is>
      </x:c>
      <x:c r="AD663" s="57" t="n"/>
      <x:c r="AE663" s="79" t="str">
        <x:f>IF(AND(I663&lt;&gt;"",J663&lt;&gt;"",K663&lt;&gt;"",L663="YES",M663&lt;&gt;"",S663&lt;&gt;"",T663&lt;&gt;"",U663&lt;&gt;"",V663&lt;&gt;"",W663&lt;&gt;"",X663&lt;&gt;"",Y663&lt;&gt;""),"COMPLETE","PENDING")</x:f>
        <x:v>PENDING</x:v>
      </x:c>
      <x:c r="AF663" s="79" t="str">
        <x:f>IF(AE663="COMPLETE","YES","NO")</x:f>
        <x:v>NO</x:v>
      </x:c>
      <x:c r="AG663" s="214" t="str">
        <x:f>IF(AF663&lt;&gt;"YES","",(IF(V663="YES",1,0)+IF(W663="YES",1,0))/2)</x:f>
      </x:c>
    </x:row>
    <x:row r="664">
      <x:c r="A664" s="57" t="inlineStr">
        <x:is>
          <x:t xml:space="preserve">C0659</x:t>
        </x:is>
      </x:c>
      <x:c r="B664" s="57" t="inlineStr">
        <x:is>
          <x:t xml:space="preserve">Validation</x:t>
        </x:is>
      </x:c>
      <x:c r="C664" s="57" t="inlineStr">
        <x:is>
          <x:t xml:space="preserve">OPEN</x:t>
        </x:is>
      </x:c>
      <x:c r="D664" s="57" t="inlineStr">
        <x:is>
          <x:t xml:space="preserve">ARG-066</x:t>
        </x:is>
      </x:c>
      <x:c r="E664" s="75" t="str">
        <x:f>INDEX('Company Universe'!$B$6:$B$105,MATCH(D664,'Company Universe'!$A$6:$A$105,0))</x:f>
        <x:v>NIKE</x:v>
      </x:c>
      <x:c r="F664" s="75" t="str">
        <x:f>INDEX('Company Universe'!$C$6:$C$105,MATCH(D664,'Company Universe'!$A$6:$A$105,0))</x:f>
        <x:v>NKE</x:v>
      </x:c>
      <x:c r="G664" s="75" t="str">
        <x:f>INDEX('Company Universe'!$F$6:$F$105,MATCH(D664,'Company Universe'!$A$6:$A$105,0))</x:f>
        <x:v>Consumer</x:v>
      </x:c>
      <x:c r="H664" s="57" t="n">
        <x:v>9</x:v>
      </x:c>
      <x:c r="I664" s="206" t="n"/>
      <x:c r="J664" s="71" t="n"/>
      <x:c r="K664" s="71" t="n"/>
      <x:c r="L664" s="71" t="inlineStr">
        <x:is>
          <x:t xml:space="preserve">NO</x:t>
        </x:is>
      </x:c>
      <x:c r="M664" s="71" t="n"/>
      <x:c r="N664" s="71" t="n"/>
      <x:c r="O664" s="71" t="n"/>
      <x:c r="P664" s="71" t="n"/>
      <x:c r="Q664" s="71" t="n"/>
      <x:c r="R664" s="71" t="n"/>
      <x:c r="S664" s="206" t="n"/>
      <x:c r="T664" s="71" t="n"/>
      <x:c r="U664" s="71" t="n"/>
      <x:c r="V664" s="71" t="n"/>
      <x:c r="W664" s="71" t="n"/>
      <x:c r="X664" s="71" t="n"/>
      <x:c r="Y664" s="71" t="n"/>
      <x:c r="Z664" s="71" t="n"/>
      <x:c r="AA664" s="71" t="n"/>
      <x:c r="AB664" s="71" t="inlineStr">
        <x:is>
          <x:t xml:space="preserve">NO</x:t>
        </x:is>
      </x:c>
      <x:c r="AC664" s="57" t="inlineStr">
        <x:is>
          <x:t xml:space="preserve">V10</x:t>
        </x:is>
      </x:c>
      <x:c r="AD664" s="57" t="n"/>
      <x:c r="AE664" s="79" t="str">
        <x:f>IF(AND(I664&lt;&gt;"",J664&lt;&gt;"",K664&lt;&gt;"",L664="YES",M664&lt;&gt;"",S664&lt;&gt;"",T664&lt;&gt;"",U664&lt;&gt;"",V664&lt;&gt;"",W664&lt;&gt;"",X664&lt;&gt;"",Y664&lt;&gt;""),"COMPLETE","PENDING")</x:f>
        <x:v>PENDING</x:v>
      </x:c>
      <x:c r="AF664" s="79" t="str">
        <x:f>IF(AE664="COMPLETE","YES","NO")</x:f>
        <x:v>NO</x:v>
      </x:c>
      <x:c r="AG664" s="214" t="str">
        <x:f>IF(AF664&lt;&gt;"YES","",(IF(V664="YES",1,0)+IF(W664="YES",1,0))/2)</x:f>
      </x:c>
    </x:row>
    <x:row r="665">
      <x:c r="A665" s="57" t="inlineStr">
        <x:is>
          <x:t xml:space="preserve">C0660</x:t>
        </x:is>
      </x:c>
      <x:c r="B665" s="57" t="inlineStr">
        <x:is>
          <x:t xml:space="preserve">Validation</x:t>
        </x:is>
      </x:c>
      <x:c r="C665" s="57" t="inlineStr">
        <x:is>
          <x:t xml:space="preserve">OPEN</x:t>
        </x:is>
      </x:c>
      <x:c r="D665" s="57" t="inlineStr">
        <x:is>
          <x:t xml:space="preserve">ARG-066</x:t>
        </x:is>
      </x:c>
      <x:c r="E665" s="75" t="str">
        <x:f>INDEX('Company Universe'!$B$6:$B$105,MATCH(D665,'Company Universe'!$A$6:$A$105,0))</x:f>
        <x:v>NIKE</x:v>
      </x:c>
      <x:c r="F665" s="75" t="str">
        <x:f>INDEX('Company Universe'!$C$6:$C$105,MATCH(D665,'Company Universe'!$A$6:$A$105,0))</x:f>
        <x:v>NKE</x:v>
      </x:c>
      <x:c r="G665" s="75" t="str">
        <x:f>INDEX('Company Universe'!$F$6:$F$105,MATCH(D665,'Company Universe'!$A$6:$A$105,0))</x:f>
        <x:v>Consumer</x:v>
      </x:c>
      <x:c r="H665" s="57" t="n">
        <x:v>10</x:v>
      </x:c>
      <x:c r="I665" s="206" t="n"/>
      <x:c r="J665" s="71" t="n"/>
      <x:c r="K665" s="71" t="n"/>
      <x:c r="L665" s="71" t="inlineStr">
        <x:is>
          <x:t xml:space="preserve">NO</x:t>
        </x:is>
      </x:c>
      <x:c r="M665" s="71" t="n"/>
      <x:c r="N665" s="71" t="n"/>
      <x:c r="O665" s="71" t="n"/>
      <x:c r="P665" s="71" t="n"/>
      <x:c r="Q665" s="71" t="n"/>
      <x:c r="R665" s="71" t="n"/>
      <x:c r="S665" s="206" t="n"/>
      <x:c r="T665" s="71" t="n"/>
      <x:c r="U665" s="71" t="n"/>
      <x:c r="V665" s="71" t="n"/>
      <x:c r="W665" s="71" t="n"/>
      <x:c r="X665" s="71" t="n"/>
      <x:c r="Y665" s="71" t="n"/>
      <x:c r="Z665" s="71" t="n"/>
      <x:c r="AA665" s="71" t="n"/>
      <x:c r="AB665" s="71" t="inlineStr">
        <x:is>
          <x:t xml:space="preserve">NO</x:t>
        </x:is>
      </x:c>
      <x:c r="AC665" s="57" t="inlineStr">
        <x:is>
          <x:t xml:space="preserve">V10</x:t>
        </x:is>
      </x:c>
      <x:c r="AD665" s="57" t="n"/>
      <x:c r="AE665" s="79" t="str">
        <x:f>IF(AND(I665&lt;&gt;"",J665&lt;&gt;"",K665&lt;&gt;"",L665="YES",M665&lt;&gt;"",S665&lt;&gt;"",T665&lt;&gt;"",U665&lt;&gt;"",V665&lt;&gt;"",W665&lt;&gt;"",X665&lt;&gt;"",Y665&lt;&gt;""),"COMPLETE","PENDING")</x:f>
        <x:v>PENDING</x:v>
      </x:c>
      <x:c r="AF665" s="79" t="str">
        <x:f>IF(AE665="COMPLETE","YES","NO")</x:f>
        <x:v>NO</x:v>
      </x:c>
      <x:c r="AG665" s="214" t="str">
        <x:f>IF(AF665&lt;&gt;"YES","",(IF(V665="YES",1,0)+IF(W665="YES",1,0))/2)</x:f>
      </x:c>
    </x:row>
    <x:row r="666">
      <x:c r="A666" s="57" t="inlineStr">
        <x:is>
          <x:t xml:space="preserve">C0661</x:t>
        </x:is>
      </x:c>
      <x:c r="B666" s="57" t="inlineStr">
        <x:is>
          <x:t xml:space="preserve">Validation</x:t>
        </x:is>
      </x:c>
      <x:c r="C666" s="57" t="inlineStr">
        <x:is>
          <x:t xml:space="preserve">OPEN</x:t>
        </x:is>
      </x:c>
      <x:c r="D666" s="57" t="inlineStr">
        <x:is>
          <x:t xml:space="preserve">ARG-067</x:t>
        </x:is>
      </x:c>
      <x:c r="E666" s="75" t="str">
        <x:f>INDEX('Company Universe'!$B$6:$B$105,MATCH(D666,'Company Universe'!$A$6:$A$105,0))</x:f>
        <x:v>Unilever</x:v>
      </x:c>
      <x:c r="F666" s="75" t="str">
        <x:f>INDEX('Company Universe'!$C$6:$C$105,MATCH(D666,'Company Universe'!$A$6:$A$105,0))</x:f>
        <x:v>UL</x:v>
      </x:c>
      <x:c r="G666" s="75" t="str">
        <x:f>INDEX('Company Universe'!$F$6:$F$105,MATCH(D666,'Company Universe'!$A$6:$A$105,0))</x:f>
        <x:v>Consumer</x:v>
      </x:c>
      <x:c r="H666" s="57" t="n">
        <x:v>1</x:v>
      </x:c>
      <x:c r="I666" s="206" t="n"/>
      <x:c r="J666" s="71" t="n"/>
      <x:c r="K666" s="71" t="n"/>
      <x:c r="L666" s="71" t="inlineStr">
        <x:is>
          <x:t xml:space="preserve">NO</x:t>
        </x:is>
      </x:c>
      <x:c r="M666" s="71" t="n"/>
      <x:c r="N666" s="71" t="n"/>
      <x:c r="O666" s="71" t="n"/>
      <x:c r="P666" s="71" t="n"/>
      <x:c r="Q666" s="71" t="n"/>
      <x:c r="R666" s="71" t="n"/>
      <x:c r="S666" s="206" t="n"/>
      <x:c r="T666" s="71" t="n"/>
      <x:c r="U666" s="71" t="n"/>
      <x:c r="V666" s="71" t="n"/>
      <x:c r="W666" s="71" t="n"/>
      <x:c r="X666" s="71" t="n"/>
      <x:c r="Y666" s="71" t="n"/>
      <x:c r="Z666" s="71" t="n"/>
      <x:c r="AA666" s="71" t="n"/>
      <x:c r="AB666" s="71" t="inlineStr">
        <x:is>
          <x:t xml:space="preserve">NO</x:t>
        </x:is>
      </x:c>
      <x:c r="AC666" s="57" t="inlineStr">
        <x:is>
          <x:t xml:space="preserve">V10</x:t>
        </x:is>
      </x:c>
      <x:c r="AD666" s="57" t="n"/>
      <x:c r="AE666" s="79" t="str">
        <x:f>IF(AND(I666&lt;&gt;"",J666&lt;&gt;"",K666&lt;&gt;"",L666="YES",M666&lt;&gt;"",S666&lt;&gt;"",T666&lt;&gt;"",U666&lt;&gt;"",V666&lt;&gt;"",W666&lt;&gt;"",X666&lt;&gt;"",Y666&lt;&gt;""),"COMPLETE","PENDING")</x:f>
        <x:v>PENDING</x:v>
      </x:c>
      <x:c r="AF666" s="79" t="str">
        <x:f>IF(AE666="COMPLETE","YES","NO")</x:f>
        <x:v>NO</x:v>
      </x:c>
      <x:c r="AG666" s="214" t="str">
        <x:f>IF(AF666&lt;&gt;"YES","",(IF(V666="YES",1,0)+IF(W666="YES",1,0))/2)</x:f>
      </x:c>
    </x:row>
    <x:row r="667">
      <x:c r="A667" s="57" t="inlineStr">
        <x:is>
          <x:t xml:space="preserve">C0662</x:t>
        </x:is>
      </x:c>
      <x:c r="B667" s="57" t="inlineStr">
        <x:is>
          <x:t xml:space="preserve">Validation</x:t>
        </x:is>
      </x:c>
      <x:c r="C667" s="57" t="inlineStr">
        <x:is>
          <x:t xml:space="preserve">OPEN</x:t>
        </x:is>
      </x:c>
      <x:c r="D667" s="57" t="inlineStr">
        <x:is>
          <x:t xml:space="preserve">ARG-067</x:t>
        </x:is>
      </x:c>
      <x:c r="E667" s="75" t="str">
        <x:f>INDEX('Company Universe'!$B$6:$B$105,MATCH(D667,'Company Universe'!$A$6:$A$105,0))</x:f>
        <x:v>Unilever</x:v>
      </x:c>
      <x:c r="F667" s="75" t="str">
        <x:f>INDEX('Company Universe'!$C$6:$C$105,MATCH(D667,'Company Universe'!$A$6:$A$105,0))</x:f>
        <x:v>UL</x:v>
      </x:c>
      <x:c r="G667" s="75" t="str">
        <x:f>INDEX('Company Universe'!$F$6:$F$105,MATCH(D667,'Company Universe'!$A$6:$A$105,0))</x:f>
        <x:v>Consumer</x:v>
      </x:c>
      <x:c r="H667" s="57" t="n">
        <x:v>2</x:v>
      </x:c>
      <x:c r="I667" s="206" t="n"/>
      <x:c r="J667" s="71" t="n"/>
      <x:c r="K667" s="71" t="n"/>
      <x:c r="L667" s="71" t="inlineStr">
        <x:is>
          <x:t xml:space="preserve">NO</x:t>
        </x:is>
      </x:c>
      <x:c r="M667" s="71" t="n"/>
      <x:c r="N667" s="71" t="n"/>
      <x:c r="O667" s="71" t="n"/>
      <x:c r="P667" s="71" t="n"/>
      <x:c r="Q667" s="71" t="n"/>
      <x:c r="R667" s="71" t="n"/>
      <x:c r="S667" s="206" t="n"/>
      <x:c r="T667" s="71" t="n"/>
      <x:c r="U667" s="71" t="n"/>
      <x:c r="V667" s="71" t="n"/>
      <x:c r="W667" s="71" t="n"/>
      <x:c r="X667" s="71" t="n"/>
      <x:c r="Y667" s="71" t="n"/>
      <x:c r="Z667" s="71" t="n"/>
      <x:c r="AA667" s="71" t="n"/>
      <x:c r="AB667" s="71" t="inlineStr">
        <x:is>
          <x:t xml:space="preserve">NO</x:t>
        </x:is>
      </x:c>
      <x:c r="AC667" s="57" t="inlineStr">
        <x:is>
          <x:t xml:space="preserve">V10</x:t>
        </x:is>
      </x:c>
      <x:c r="AD667" s="57" t="n"/>
      <x:c r="AE667" s="79" t="str">
        <x:f>IF(AND(I667&lt;&gt;"",J667&lt;&gt;"",K667&lt;&gt;"",L667="YES",M667&lt;&gt;"",S667&lt;&gt;"",T667&lt;&gt;"",U667&lt;&gt;"",V667&lt;&gt;"",W667&lt;&gt;"",X667&lt;&gt;"",Y667&lt;&gt;""),"COMPLETE","PENDING")</x:f>
        <x:v>PENDING</x:v>
      </x:c>
      <x:c r="AF667" s="79" t="str">
        <x:f>IF(AE667="COMPLETE","YES","NO")</x:f>
        <x:v>NO</x:v>
      </x:c>
      <x:c r="AG667" s="214" t="str">
        <x:f>IF(AF667&lt;&gt;"YES","",(IF(V667="YES",1,0)+IF(W667="YES",1,0))/2)</x:f>
      </x:c>
    </x:row>
    <x:row r="668">
      <x:c r="A668" s="57" t="inlineStr">
        <x:is>
          <x:t xml:space="preserve">C0663</x:t>
        </x:is>
      </x:c>
      <x:c r="B668" s="57" t="inlineStr">
        <x:is>
          <x:t xml:space="preserve">Validation</x:t>
        </x:is>
      </x:c>
      <x:c r="C668" s="57" t="inlineStr">
        <x:is>
          <x:t xml:space="preserve">OPEN</x:t>
        </x:is>
      </x:c>
      <x:c r="D668" s="57" t="inlineStr">
        <x:is>
          <x:t xml:space="preserve">ARG-067</x:t>
        </x:is>
      </x:c>
      <x:c r="E668" s="75" t="str">
        <x:f>INDEX('Company Universe'!$B$6:$B$105,MATCH(D668,'Company Universe'!$A$6:$A$105,0))</x:f>
        <x:v>Unilever</x:v>
      </x:c>
      <x:c r="F668" s="75" t="str">
        <x:f>INDEX('Company Universe'!$C$6:$C$105,MATCH(D668,'Company Universe'!$A$6:$A$105,0))</x:f>
        <x:v>UL</x:v>
      </x:c>
      <x:c r="G668" s="75" t="str">
        <x:f>INDEX('Company Universe'!$F$6:$F$105,MATCH(D668,'Company Universe'!$A$6:$A$105,0))</x:f>
        <x:v>Consumer</x:v>
      </x:c>
      <x:c r="H668" s="57" t="n">
        <x:v>3</x:v>
      </x:c>
      <x:c r="I668" s="206" t="n"/>
      <x:c r="J668" s="71" t="n"/>
      <x:c r="K668" s="71" t="n"/>
      <x:c r="L668" s="71" t="inlineStr">
        <x:is>
          <x:t xml:space="preserve">NO</x:t>
        </x:is>
      </x:c>
      <x:c r="M668" s="71" t="n"/>
      <x:c r="N668" s="71" t="n"/>
      <x:c r="O668" s="71" t="n"/>
      <x:c r="P668" s="71" t="n"/>
      <x:c r="Q668" s="71" t="n"/>
      <x:c r="R668" s="71" t="n"/>
      <x:c r="S668" s="206" t="n"/>
      <x:c r="T668" s="71" t="n"/>
      <x:c r="U668" s="71" t="n"/>
      <x:c r="V668" s="71" t="n"/>
      <x:c r="W668" s="71" t="n"/>
      <x:c r="X668" s="71" t="n"/>
      <x:c r="Y668" s="71" t="n"/>
      <x:c r="Z668" s="71" t="n"/>
      <x:c r="AA668" s="71" t="n"/>
      <x:c r="AB668" s="71" t="inlineStr">
        <x:is>
          <x:t xml:space="preserve">NO</x:t>
        </x:is>
      </x:c>
      <x:c r="AC668" s="57" t="inlineStr">
        <x:is>
          <x:t xml:space="preserve">V10</x:t>
        </x:is>
      </x:c>
      <x:c r="AD668" s="57" t="n"/>
      <x:c r="AE668" s="79" t="str">
        <x:f>IF(AND(I668&lt;&gt;"",J668&lt;&gt;"",K668&lt;&gt;"",L668="YES",M668&lt;&gt;"",S668&lt;&gt;"",T668&lt;&gt;"",U668&lt;&gt;"",V668&lt;&gt;"",W668&lt;&gt;"",X668&lt;&gt;"",Y668&lt;&gt;""),"COMPLETE","PENDING")</x:f>
        <x:v>PENDING</x:v>
      </x:c>
      <x:c r="AF668" s="79" t="str">
        <x:f>IF(AE668="COMPLETE","YES","NO")</x:f>
        <x:v>NO</x:v>
      </x:c>
      <x:c r="AG668" s="214" t="str">
        <x:f>IF(AF668&lt;&gt;"YES","",(IF(V668="YES",1,0)+IF(W668="YES",1,0))/2)</x:f>
      </x:c>
    </x:row>
    <x:row r="669">
      <x:c r="A669" s="57" t="inlineStr">
        <x:is>
          <x:t xml:space="preserve">C0664</x:t>
        </x:is>
      </x:c>
      <x:c r="B669" s="57" t="inlineStr">
        <x:is>
          <x:t xml:space="preserve">Validation</x:t>
        </x:is>
      </x:c>
      <x:c r="C669" s="57" t="inlineStr">
        <x:is>
          <x:t xml:space="preserve">OPEN</x:t>
        </x:is>
      </x:c>
      <x:c r="D669" s="57" t="inlineStr">
        <x:is>
          <x:t xml:space="preserve">ARG-067</x:t>
        </x:is>
      </x:c>
      <x:c r="E669" s="75" t="str">
        <x:f>INDEX('Company Universe'!$B$6:$B$105,MATCH(D669,'Company Universe'!$A$6:$A$105,0))</x:f>
        <x:v>Unilever</x:v>
      </x:c>
      <x:c r="F669" s="75" t="str">
        <x:f>INDEX('Company Universe'!$C$6:$C$105,MATCH(D669,'Company Universe'!$A$6:$A$105,0))</x:f>
        <x:v>UL</x:v>
      </x:c>
      <x:c r="G669" s="75" t="str">
        <x:f>INDEX('Company Universe'!$F$6:$F$105,MATCH(D669,'Company Universe'!$A$6:$A$105,0))</x:f>
        <x:v>Consumer</x:v>
      </x:c>
      <x:c r="H669" s="57" t="n">
        <x:v>4</x:v>
      </x:c>
      <x:c r="I669" s="206" t="n"/>
      <x:c r="J669" s="71" t="n"/>
      <x:c r="K669" s="71" t="n"/>
      <x:c r="L669" s="71" t="inlineStr">
        <x:is>
          <x:t xml:space="preserve">NO</x:t>
        </x:is>
      </x:c>
      <x:c r="M669" s="71" t="n"/>
      <x:c r="N669" s="71" t="n"/>
      <x:c r="O669" s="71" t="n"/>
      <x:c r="P669" s="71" t="n"/>
      <x:c r="Q669" s="71" t="n"/>
      <x:c r="R669" s="71" t="n"/>
      <x:c r="S669" s="206" t="n"/>
      <x:c r="T669" s="71" t="n"/>
      <x:c r="U669" s="71" t="n"/>
      <x:c r="V669" s="71" t="n"/>
      <x:c r="W669" s="71" t="n"/>
      <x:c r="X669" s="71" t="n"/>
      <x:c r="Y669" s="71" t="n"/>
      <x:c r="Z669" s="71" t="n"/>
      <x:c r="AA669" s="71" t="n"/>
      <x:c r="AB669" s="71" t="inlineStr">
        <x:is>
          <x:t xml:space="preserve">NO</x:t>
        </x:is>
      </x:c>
      <x:c r="AC669" s="57" t="inlineStr">
        <x:is>
          <x:t xml:space="preserve">V10</x:t>
        </x:is>
      </x:c>
      <x:c r="AD669" s="57" t="n"/>
      <x:c r="AE669" s="79" t="str">
        <x:f>IF(AND(I669&lt;&gt;"",J669&lt;&gt;"",K669&lt;&gt;"",L669="YES",M669&lt;&gt;"",S669&lt;&gt;"",T669&lt;&gt;"",U669&lt;&gt;"",V669&lt;&gt;"",W669&lt;&gt;"",X669&lt;&gt;"",Y669&lt;&gt;""),"COMPLETE","PENDING")</x:f>
        <x:v>PENDING</x:v>
      </x:c>
      <x:c r="AF669" s="79" t="str">
        <x:f>IF(AE669="COMPLETE","YES","NO")</x:f>
        <x:v>NO</x:v>
      </x:c>
      <x:c r="AG669" s="214" t="str">
        <x:f>IF(AF669&lt;&gt;"YES","",(IF(V669="YES",1,0)+IF(W669="YES",1,0))/2)</x:f>
      </x:c>
    </x:row>
    <x:row r="670">
      <x:c r="A670" s="57" t="inlineStr">
        <x:is>
          <x:t xml:space="preserve">C0665</x:t>
        </x:is>
      </x:c>
      <x:c r="B670" s="57" t="inlineStr">
        <x:is>
          <x:t xml:space="preserve">Validation</x:t>
        </x:is>
      </x:c>
      <x:c r="C670" s="57" t="inlineStr">
        <x:is>
          <x:t xml:space="preserve">OPEN</x:t>
        </x:is>
      </x:c>
      <x:c r="D670" s="57" t="inlineStr">
        <x:is>
          <x:t xml:space="preserve">ARG-067</x:t>
        </x:is>
      </x:c>
      <x:c r="E670" s="75" t="str">
        <x:f>INDEX('Company Universe'!$B$6:$B$105,MATCH(D670,'Company Universe'!$A$6:$A$105,0))</x:f>
        <x:v>Unilever</x:v>
      </x:c>
      <x:c r="F670" s="75" t="str">
        <x:f>INDEX('Company Universe'!$C$6:$C$105,MATCH(D670,'Company Universe'!$A$6:$A$105,0))</x:f>
        <x:v>UL</x:v>
      </x:c>
      <x:c r="G670" s="75" t="str">
        <x:f>INDEX('Company Universe'!$F$6:$F$105,MATCH(D670,'Company Universe'!$A$6:$A$105,0))</x:f>
        <x:v>Consumer</x:v>
      </x:c>
      <x:c r="H670" s="57" t="n">
        <x:v>5</x:v>
      </x:c>
      <x:c r="I670" s="206" t="n"/>
      <x:c r="J670" s="71" t="n"/>
      <x:c r="K670" s="71" t="n"/>
      <x:c r="L670" s="71" t="inlineStr">
        <x:is>
          <x:t xml:space="preserve">NO</x:t>
        </x:is>
      </x:c>
      <x:c r="M670" s="71" t="n"/>
      <x:c r="N670" s="71" t="n"/>
      <x:c r="O670" s="71" t="n"/>
      <x:c r="P670" s="71" t="n"/>
      <x:c r="Q670" s="71" t="n"/>
      <x:c r="R670" s="71" t="n"/>
      <x:c r="S670" s="206" t="n"/>
      <x:c r="T670" s="71" t="n"/>
      <x:c r="U670" s="71" t="n"/>
      <x:c r="V670" s="71" t="n"/>
      <x:c r="W670" s="71" t="n"/>
      <x:c r="X670" s="71" t="n"/>
      <x:c r="Y670" s="71" t="n"/>
      <x:c r="Z670" s="71" t="n"/>
      <x:c r="AA670" s="71" t="n"/>
      <x:c r="AB670" s="71" t="inlineStr">
        <x:is>
          <x:t xml:space="preserve">NO</x:t>
        </x:is>
      </x:c>
      <x:c r="AC670" s="57" t="inlineStr">
        <x:is>
          <x:t xml:space="preserve">V10</x:t>
        </x:is>
      </x:c>
      <x:c r="AD670" s="57" t="n"/>
      <x:c r="AE670" s="79" t="str">
        <x:f>IF(AND(I670&lt;&gt;"",J670&lt;&gt;"",K670&lt;&gt;"",L670="YES",M670&lt;&gt;"",S670&lt;&gt;"",T670&lt;&gt;"",U670&lt;&gt;"",V670&lt;&gt;"",W670&lt;&gt;"",X670&lt;&gt;"",Y670&lt;&gt;""),"COMPLETE","PENDING")</x:f>
        <x:v>PENDING</x:v>
      </x:c>
      <x:c r="AF670" s="79" t="str">
        <x:f>IF(AE670="COMPLETE","YES","NO")</x:f>
        <x:v>NO</x:v>
      </x:c>
      <x:c r="AG670" s="214" t="str">
        <x:f>IF(AF670&lt;&gt;"YES","",(IF(V670="YES",1,0)+IF(W670="YES",1,0))/2)</x:f>
      </x:c>
    </x:row>
    <x:row r="671">
      <x:c r="A671" s="57" t="inlineStr">
        <x:is>
          <x:t xml:space="preserve">C0666</x:t>
        </x:is>
      </x:c>
      <x:c r="B671" s="57" t="inlineStr">
        <x:is>
          <x:t xml:space="preserve">Validation</x:t>
        </x:is>
      </x:c>
      <x:c r="C671" s="57" t="inlineStr">
        <x:is>
          <x:t xml:space="preserve">OPEN</x:t>
        </x:is>
      </x:c>
      <x:c r="D671" s="57" t="inlineStr">
        <x:is>
          <x:t xml:space="preserve">ARG-067</x:t>
        </x:is>
      </x:c>
      <x:c r="E671" s="75" t="str">
        <x:f>INDEX('Company Universe'!$B$6:$B$105,MATCH(D671,'Company Universe'!$A$6:$A$105,0))</x:f>
        <x:v>Unilever</x:v>
      </x:c>
      <x:c r="F671" s="75" t="str">
        <x:f>INDEX('Company Universe'!$C$6:$C$105,MATCH(D671,'Company Universe'!$A$6:$A$105,0))</x:f>
        <x:v>UL</x:v>
      </x:c>
      <x:c r="G671" s="75" t="str">
        <x:f>INDEX('Company Universe'!$F$6:$F$105,MATCH(D671,'Company Universe'!$A$6:$A$105,0))</x:f>
        <x:v>Consumer</x:v>
      </x:c>
      <x:c r="H671" s="57" t="n">
        <x:v>6</x:v>
      </x:c>
      <x:c r="I671" s="206" t="n"/>
      <x:c r="J671" s="71" t="n"/>
      <x:c r="K671" s="71" t="n"/>
      <x:c r="L671" s="71" t="inlineStr">
        <x:is>
          <x:t xml:space="preserve">NO</x:t>
        </x:is>
      </x:c>
      <x:c r="M671" s="71" t="n"/>
      <x:c r="N671" s="71" t="n"/>
      <x:c r="O671" s="71" t="n"/>
      <x:c r="P671" s="71" t="n"/>
      <x:c r="Q671" s="71" t="n"/>
      <x:c r="R671" s="71" t="n"/>
      <x:c r="S671" s="206" t="n"/>
      <x:c r="T671" s="71" t="n"/>
      <x:c r="U671" s="71" t="n"/>
      <x:c r="V671" s="71" t="n"/>
      <x:c r="W671" s="71" t="n"/>
      <x:c r="X671" s="71" t="n"/>
      <x:c r="Y671" s="71" t="n"/>
      <x:c r="Z671" s="71" t="n"/>
      <x:c r="AA671" s="71" t="n"/>
      <x:c r="AB671" s="71" t="inlineStr">
        <x:is>
          <x:t xml:space="preserve">NO</x:t>
        </x:is>
      </x:c>
      <x:c r="AC671" s="57" t="inlineStr">
        <x:is>
          <x:t xml:space="preserve">V10</x:t>
        </x:is>
      </x:c>
      <x:c r="AD671" s="57" t="n"/>
      <x:c r="AE671" s="79" t="str">
        <x:f>IF(AND(I671&lt;&gt;"",J671&lt;&gt;"",K671&lt;&gt;"",L671="YES",M671&lt;&gt;"",S671&lt;&gt;"",T671&lt;&gt;"",U671&lt;&gt;"",V671&lt;&gt;"",W671&lt;&gt;"",X671&lt;&gt;"",Y671&lt;&gt;""),"COMPLETE","PENDING")</x:f>
        <x:v>PENDING</x:v>
      </x:c>
      <x:c r="AF671" s="79" t="str">
        <x:f>IF(AE671="COMPLETE","YES","NO")</x:f>
        <x:v>NO</x:v>
      </x:c>
      <x:c r="AG671" s="214" t="str">
        <x:f>IF(AF671&lt;&gt;"YES","",(IF(V671="YES",1,0)+IF(W671="YES",1,0))/2)</x:f>
      </x:c>
    </x:row>
    <x:row r="672">
      <x:c r="A672" s="57" t="inlineStr">
        <x:is>
          <x:t xml:space="preserve">C0667</x:t>
        </x:is>
      </x:c>
      <x:c r="B672" s="57" t="inlineStr">
        <x:is>
          <x:t xml:space="preserve">Validation</x:t>
        </x:is>
      </x:c>
      <x:c r="C672" s="57" t="inlineStr">
        <x:is>
          <x:t xml:space="preserve">OPEN</x:t>
        </x:is>
      </x:c>
      <x:c r="D672" s="57" t="inlineStr">
        <x:is>
          <x:t xml:space="preserve">ARG-067</x:t>
        </x:is>
      </x:c>
      <x:c r="E672" s="75" t="str">
        <x:f>INDEX('Company Universe'!$B$6:$B$105,MATCH(D672,'Company Universe'!$A$6:$A$105,0))</x:f>
        <x:v>Unilever</x:v>
      </x:c>
      <x:c r="F672" s="75" t="str">
        <x:f>INDEX('Company Universe'!$C$6:$C$105,MATCH(D672,'Company Universe'!$A$6:$A$105,0))</x:f>
        <x:v>UL</x:v>
      </x:c>
      <x:c r="G672" s="75" t="str">
        <x:f>INDEX('Company Universe'!$F$6:$F$105,MATCH(D672,'Company Universe'!$A$6:$A$105,0))</x:f>
        <x:v>Consumer</x:v>
      </x:c>
      <x:c r="H672" s="57" t="n">
        <x:v>7</x:v>
      </x:c>
      <x:c r="I672" s="206" t="n"/>
      <x:c r="J672" s="71" t="n"/>
      <x:c r="K672" s="71" t="n"/>
      <x:c r="L672" s="71" t="inlineStr">
        <x:is>
          <x:t xml:space="preserve">NO</x:t>
        </x:is>
      </x:c>
      <x:c r="M672" s="71" t="n"/>
      <x:c r="N672" s="71" t="n"/>
      <x:c r="O672" s="71" t="n"/>
      <x:c r="P672" s="71" t="n"/>
      <x:c r="Q672" s="71" t="n"/>
      <x:c r="R672" s="71" t="n"/>
      <x:c r="S672" s="206" t="n"/>
      <x:c r="T672" s="71" t="n"/>
      <x:c r="U672" s="71" t="n"/>
      <x:c r="V672" s="71" t="n"/>
      <x:c r="W672" s="71" t="n"/>
      <x:c r="X672" s="71" t="n"/>
      <x:c r="Y672" s="71" t="n"/>
      <x:c r="Z672" s="71" t="n"/>
      <x:c r="AA672" s="71" t="n"/>
      <x:c r="AB672" s="71" t="inlineStr">
        <x:is>
          <x:t xml:space="preserve">NO</x:t>
        </x:is>
      </x:c>
      <x:c r="AC672" s="57" t="inlineStr">
        <x:is>
          <x:t xml:space="preserve">V10</x:t>
        </x:is>
      </x:c>
      <x:c r="AD672" s="57" t="n"/>
      <x:c r="AE672" s="79" t="str">
        <x:f>IF(AND(I672&lt;&gt;"",J672&lt;&gt;"",K672&lt;&gt;"",L672="YES",M672&lt;&gt;"",S672&lt;&gt;"",T672&lt;&gt;"",U672&lt;&gt;"",V672&lt;&gt;"",W672&lt;&gt;"",X672&lt;&gt;"",Y672&lt;&gt;""),"COMPLETE","PENDING")</x:f>
        <x:v>PENDING</x:v>
      </x:c>
      <x:c r="AF672" s="79" t="str">
        <x:f>IF(AE672="COMPLETE","YES","NO")</x:f>
        <x:v>NO</x:v>
      </x:c>
      <x:c r="AG672" s="214" t="str">
        <x:f>IF(AF672&lt;&gt;"YES","",(IF(V672="YES",1,0)+IF(W672="YES",1,0))/2)</x:f>
      </x:c>
    </x:row>
    <x:row r="673">
      <x:c r="A673" s="57" t="inlineStr">
        <x:is>
          <x:t xml:space="preserve">C0668</x:t>
        </x:is>
      </x:c>
      <x:c r="B673" s="57" t="inlineStr">
        <x:is>
          <x:t xml:space="preserve">Validation</x:t>
        </x:is>
      </x:c>
      <x:c r="C673" s="57" t="inlineStr">
        <x:is>
          <x:t xml:space="preserve">OPEN</x:t>
        </x:is>
      </x:c>
      <x:c r="D673" s="57" t="inlineStr">
        <x:is>
          <x:t xml:space="preserve">ARG-067</x:t>
        </x:is>
      </x:c>
      <x:c r="E673" s="75" t="str">
        <x:f>INDEX('Company Universe'!$B$6:$B$105,MATCH(D673,'Company Universe'!$A$6:$A$105,0))</x:f>
        <x:v>Unilever</x:v>
      </x:c>
      <x:c r="F673" s="75" t="str">
        <x:f>INDEX('Company Universe'!$C$6:$C$105,MATCH(D673,'Company Universe'!$A$6:$A$105,0))</x:f>
        <x:v>UL</x:v>
      </x:c>
      <x:c r="G673" s="75" t="str">
        <x:f>INDEX('Company Universe'!$F$6:$F$105,MATCH(D673,'Company Universe'!$A$6:$A$105,0))</x:f>
        <x:v>Consumer</x:v>
      </x:c>
      <x:c r="H673" s="57" t="n">
        <x:v>8</x:v>
      </x:c>
      <x:c r="I673" s="206" t="n"/>
      <x:c r="J673" s="71" t="n"/>
      <x:c r="K673" s="71" t="n"/>
      <x:c r="L673" s="71" t="inlineStr">
        <x:is>
          <x:t xml:space="preserve">NO</x:t>
        </x:is>
      </x:c>
      <x:c r="M673" s="71" t="n"/>
      <x:c r="N673" s="71" t="n"/>
      <x:c r="O673" s="71" t="n"/>
      <x:c r="P673" s="71" t="n"/>
      <x:c r="Q673" s="71" t="n"/>
      <x:c r="R673" s="71" t="n"/>
      <x:c r="S673" s="206" t="n"/>
      <x:c r="T673" s="71" t="n"/>
      <x:c r="U673" s="71" t="n"/>
      <x:c r="V673" s="71" t="n"/>
      <x:c r="W673" s="71" t="n"/>
      <x:c r="X673" s="71" t="n"/>
      <x:c r="Y673" s="71" t="n"/>
      <x:c r="Z673" s="71" t="n"/>
      <x:c r="AA673" s="71" t="n"/>
      <x:c r="AB673" s="71" t="inlineStr">
        <x:is>
          <x:t xml:space="preserve">NO</x:t>
        </x:is>
      </x:c>
      <x:c r="AC673" s="57" t="inlineStr">
        <x:is>
          <x:t xml:space="preserve">V10</x:t>
        </x:is>
      </x:c>
      <x:c r="AD673" s="57" t="n"/>
      <x:c r="AE673" s="79" t="str">
        <x:f>IF(AND(I673&lt;&gt;"",J673&lt;&gt;"",K673&lt;&gt;"",L673="YES",M673&lt;&gt;"",S673&lt;&gt;"",T673&lt;&gt;"",U673&lt;&gt;"",V673&lt;&gt;"",W673&lt;&gt;"",X673&lt;&gt;"",Y673&lt;&gt;""),"COMPLETE","PENDING")</x:f>
        <x:v>PENDING</x:v>
      </x:c>
      <x:c r="AF673" s="79" t="str">
        <x:f>IF(AE673="COMPLETE","YES","NO")</x:f>
        <x:v>NO</x:v>
      </x:c>
      <x:c r="AG673" s="214" t="str">
        <x:f>IF(AF673&lt;&gt;"YES","",(IF(V673="YES",1,0)+IF(W673="YES",1,0))/2)</x:f>
      </x:c>
    </x:row>
    <x:row r="674">
      <x:c r="A674" s="57" t="inlineStr">
        <x:is>
          <x:t xml:space="preserve">C0669</x:t>
        </x:is>
      </x:c>
      <x:c r="B674" s="57" t="inlineStr">
        <x:is>
          <x:t xml:space="preserve">Validation</x:t>
        </x:is>
      </x:c>
      <x:c r="C674" s="57" t="inlineStr">
        <x:is>
          <x:t xml:space="preserve">OPEN</x:t>
        </x:is>
      </x:c>
      <x:c r="D674" s="57" t="inlineStr">
        <x:is>
          <x:t xml:space="preserve">ARG-067</x:t>
        </x:is>
      </x:c>
      <x:c r="E674" s="75" t="str">
        <x:f>INDEX('Company Universe'!$B$6:$B$105,MATCH(D674,'Company Universe'!$A$6:$A$105,0))</x:f>
        <x:v>Unilever</x:v>
      </x:c>
      <x:c r="F674" s="75" t="str">
        <x:f>INDEX('Company Universe'!$C$6:$C$105,MATCH(D674,'Company Universe'!$A$6:$A$105,0))</x:f>
        <x:v>UL</x:v>
      </x:c>
      <x:c r="G674" s="75" t="str">
        <x:f>INDEX('Company Universe'!$F$6:$F$105,MATCH(D674,'Company Universe'!$A$6:$A$105,0))</x:f>
        <x:v>Consumer</x:v>
      </x:c>
      <x:c r="H674" s="57" t="n">
        <x:v>9</x:v>
      </x:c>
      <x:c r="I674" s="206" t="n"/>
      <x:c r="J674" s="71" t="n"/>
      <x:c r="K674" s="71" t="n"/>
      <x:c r="L674" s="71" t="inlineStr">
        <x:is>
          <x:t xml:space="preserve">NO</x:t>
        </x:is>
      </x:c>
      <x:c r="M674" s="71" t="n"/>
      <x:c r="N674" s="71" t="n"/>
      <x:c r="O674" s="71" t="n"/>
      <x:c r="P674" s="71" t="n"/>
      <x:c r="Q674" s="71" t="n"/>
      <x:c r="R674" s="71" t="n"/>
      <x:c r="S674" s="206" t="n"/>
      <x:c r="T674" s="71" t="n"/>
      <x:c r="U674" s="71" t="n"/>
      <x:c r="V674" s="71" t="n"/>
      <x:c r="W674" s="71" t="n"/>
      <x:c r="X674" s="71" t="n"/>
      <x:c r="Y674" s="71" t="n"/>
      <x:c r="Z674" s="71" t="n"/>
      <x:c r="AA674" s="71" t="n"/>
      <x:c r="AB674" s="71" t="inlineStr">
        <x:is>
          <x:t xml:space="preserve">NO</x:t>
        </x:is>
      </x:c>
      <x:c r="AC674" s="57" t="inlineStr">
        <x:is>
          <x:t xml:space="preserve">V10</x:t>
        </x:is>
      </x:c>
      <x:c r="AD674" s="57" t="n"/>
      <x:c r="AE674" s="79" t="str">
        <x:f>IF(AND(I674&lt;&gt;"",J674&lt;&gt;"",K674&lt;&gt;"",L674="YES",M674&lt;&gt;"",S674&lt;&gt;"",T674&lt;&gt;"",U674&lt;&gt;"",V674&lt;&gt;"",W674&lt;&gt;"",X674&lt;&gt;"",Y674&lt;&gt;""),"COMPLETE","PENDING")</x:f>
        <x:v>PENDING</x:v>
      </x:c>
      <x:c r="AF674" s="79" t="str">
        <x:f>IF(AE674="COMPLETE","YES","NO")</x:f>
        <x:v>NO</x:v>
      </x:c>
      <x:c r="AG674" s="214" t="str">
        <x:f>IF(AF674&lt;&gt;"YES","",(IF(V674="YES",1,0)+IF(W674="YES",1,0))/2)</x:f>
      </x:c>
    </x:row>
    <x:row r="675">
      <x:c r="A675" s="57" t="inlineStr">
        <x:is>
          <x:t xml:space="preserve">C0670</x:t>
        </x:is>
      </x:c>
      <x:c r="B675" s="57" t="inlineStr">
        <x:is>
          <x:t xml:space="preserve">Validation</x:t>
        </x:is>
      </x:c>
      <x:c r="C675" s="57" t="inlineStr">
        <x:is>
          <x:t xml:space="preserve">OPEN</x:t>
        </x:is>
      </x:c>
      <x:c r="D675" s="57" t="inlineStr">
        <x:is>
          <x:t xml:space="preserve">ARG-067</x:t>
        </x:is>
      </x:c>
      <x:c r="E675" s="75" t="str">
        <x:f>INDEX('Company Universe'!$B$6:$B$105,MATCH(D675,'Company Universe'!$A$6:$A$105,0))</x:f>
        <x:v>Unilever</x:v>
      </x:c>
      <x:c r="F675" s="75" t="str">
        <x:f>INDEX('Company Universe'!$C$6:$C$105,MATCH(D675,'Company Universe'!$A$6:$A$105,0))</x:f>
        <x:v>UL</x:v>
      </x:c>
      <x:c r="G675" s="75" t="str">
        <x:f>INDEX('Company Universe'!$F$6:$F$105,MATCH(D675,'Company Universe'!$A$6:$A$105,0))</x:f>
        <x:v>Consumer</x:v>
      </x:c>
      <x:c r="H675" s="57" t="n">
        <x:v>10</x:v>
      </x:c>
      <x:c r="I675" s="206" t="n"/>
      <x:c r="J675" s="71" t="n"/>
      <x:c r="K675" s="71" t="n"/>
      <x:c r="L675" s="71" t="inlineStr">
        <x:is>
          <x:t xml:space="preserve">NO</x:t>
        </x:is>
      </x:c>
      <x:c r="M675" s="71" t="n"/>
      <x:c r="N675" s="71" t="n"/>
      <x:c r="O675" s="71" t="n"/>
      <x:c r="P675" s="71" t="n"/>
      <x:c r="Q675" s="71" t="n"/>
      <x:c r="R675" s="71" t="n"/>
      <x:c r="S675" s="206" t="n"/>
      <x:c r="T675" s="71" t="n"/>
      <x:c r="U675" s="71" t="n"/>
      <x:c r="V675" s="71" t="n"/>
      <x:c r="W675" s="71" t="n"/>
      <x:c r="X675" s="71" t="n"/>
      <x:c r="Y675" s="71" t="n"/>
      <x:c r="Z675" s="71" t="n"/>
      <x:c r="AA675" s="71" t="n"/>
      <x:c r="AB675" s="71" t="inlineStr">
        <x:is>
          <x:t xml:space="preserve">NO</x:t>
        </x:is>
      </x:c>
      <x:c r="AC675" s="57" t="inlineStr">
        <x:is>
          <x:t xml:space="preserve">V10</x:t>
        </x:is>
      </x:c>
      <x:c r="AD675" s="57" t="n"/>
      <x:c r="AE675" s="79" t="str">
        <x:f>IF(AND(I675&lt;&gt;"",J675&lt;&gt;"",K675&lt;&gt;"",L675="YES",M675&lt;&gt;"",S675&lt;&gt;"",T675&lt;&gt;"",U675&lt;&gt;"",V675&lt;&gt;"",W675&lt;&gt;"",X675&lt;&gt;"",Y675&lt;&gt;""),"COMPLETE","PENDING")</x:f>
        <x:v>PENDING</x:v>
      </x:c>
      <x:c r="AF675" s="79" t="str">
        <x:f>IF(AE675="COMPLETE","YES","NO")</x:f>
        <x:v>NO</x:v>
      </x:c>
      <x:c r="AG675" s="214" t="str">
        <x:f>IF(AF675&lt;&gt;"YES","",(IF(V675="YES",1,0)+IF(W675="YES",1,0))/2)</x:f>
      </x:c>
    </x:row>
    <x:row r="676">
      <x:c r="A676" s="57" t="inlineStr">
        <x:is>
          <x:t xml:space="preserve">C0671</x:t>
        </x:is>
      </x:c>
      <x:c r="B676" s="57" t="inlineStr">
        <x:is>
          <x:t xml:space="preserve">Validation</x:t>
        </x:is>
      </x:c>
      <x:c r="C676" s="57" t="inlineStr">
        <x:is>
          <x:t xml:space="preserve">OPEN</x:t>
        </x:is>
      </x:c>
      <x:c r="D676" s="57" t="inlineStr">
        <x:is>
          <x:t xml:space="preserve">ARG-068</x:t>
        </x:is>
      </x:c>
      <x:c r="E676" s="75" t="str">
        <x:f>INDEX('Company Universe'!$B$6:$B$105,MATCH(D676,'Company Universe'!$A$6:$A$105,0))</x:f>
        <x:v>RTX</x:v>
      </x:c>
      <x:c r="F676" s="75" t="str">
        <x:f>INDEX('Company Universe'!$C$6:$C$105,MATCH(D676,'Company Universe'!$A$6:$A$105,0))</x:f>
        <x:v>RTX</x:v>
      </x:c>
      <x:c r="G676" s="75" t="str">
        <x:f>INDEX('Company Universe'!$F$6:$F$105,MATCH(D676,'Company Universe'!$A$6:$A$105,0))</x:f>
        <x:v>Industrials &amp; Defense</x:v>
      </x:c>
      <x:c r="H676" s="57" t="n">
        <x:v>1</x:v>
      </x:c>
      <x:c r="I676" s="206" t="n"/>
      <x:c r="J676" s="71" t="n"/>
      <x:c r="K676" s="71" t="n"/>
      <x:c r="L676" s="71" t="inlineStr">
        <x:is>
          <x:t xml:space="preserve">NO</x:t>
        </x:is>
      </x:c>
      <x:c r="M676" s="71" t="n"/>
      <x:c r="N676" s="71" t="n"/>
      <x:c r="O676" s="71" t="n"/>
      <x:c r="P676" s="71" t="n"/>
      <x:c r="Q676" s="71" t="n"/>
      <x:c r="R676" s="71" t="n"/>
      <x:c r="S676" s="206" t="n"/>
      <x:c r="T676" s="71" t="n"/>
      <x:c r="U676" s="71" t="n"/>
      <x:c r="V676" s="71" t="n"/>
      <x:c r="W676" s="71" t="n"/>
      <x:c r="X676" s="71" t="n"/>
      <x:c r="Y676" s="71" t="n"/>
      <x:c r="Z676" s="71" t="n"/>
      <x:c r="AA676" s="71" t="n"/>
      <x:c r="AB676" s="71" t="inlineStr">
        <x:is>
          <x:t xml:space="preserve">NO</x:t>
        </x:is>
      </x:c>
      <x:c r="AC676" s="57" t="inlineStr">
        <x:is>
          <x:t xml:space="preserve">V10</x:t>
        </x:is>
      </x:c>
      <x:c r="AD676" s="57" t="n"/>
      <x:c r="AE676" s="79" t="str">
        <x:f>IF(AND(I676&lt;&gt;"",J676&lt;&gt;"",K676&lt;&gt;"",L676="YES",M676&lt;&gt;"",S676&lt;&gt;"",T676&lt;&gt;"",U676&lt;&gt;"",V676&lt;&gt;"",W676&lt;&gt;"",X676&lt;&gt;"",Y676&lt;&gt;""),"COMPLETE","PENDING")</x:f>
        <x:v>PENDING</x:v>
      </x:c>
      <x:c r="AF676" s="79" t="str">
        <x:f>IF(AE676="COMPLETE","YES","NO")</x:f>
        <x:v>NO</x:v>
      </x:c>
      <x:c r="AG676" s="214" t="str">
        <x:f>IF(AF676&lt;&gt;"YES","",(IF(V676="YES",1,0)+IF(W676="YES",1,0))/2)</x:f>
      </x:c>
    </x:row>
    <x:row r="677">
      <x:c r="A677" s="57" t="inlineStr">
        <x:is>
          <x:t xml:space="preserve">C0672</x:t>
        </x:is>
      </x:c>
      <x:c r="B677" s="57" t="inlineStr">
        <x:is>
          <x:t xml:space="preserve">Validation</x:t>
        </x:is>
      </x:c>
      <x:c r="C677" s="57" t="inlineStr">
        <x:is>
          <x:t xml:space="preserve">OPEN</x:t>
        </x:is>
      </x:c>
      <x:c r="D677" s="57" t="inlineStr">
        <x:is>
          <x:t xml:space="preserve">ARG-068</x:t>
        </x:is>
      </x:c>
      <x:c r="E677" s="75" t="str">
        <x:f>INDEX('Company Universe'!$B$6:$B$105,MATCH(D677,'Company Universe'!$A$6:$A$105,0))</x:f>
        <x:v>RTX</x:v>
      </x:c>
      <x:c r="F677" s="75" t="str">
        <x:f>INDEX('Company Universe'!$C$6:$C$105,MATCH(D677,'Company Universe'!$A$6:$A$105,0))</x:f>
        <x:v>RTX</x:v>
      </x:c>
      <x:c r="G677" s="75" t="str">
        <x:f>INDEX('Company Universe'!$F$6:$F$105,MATCH(D677,'Company Universe'!$A$6:$A$105,0))</x:f>
        <x:v>Industrials &amp; Defense</x:v>
      </x:c>
      <x:c r="H677" s="57" t="n">
        <x:v>2</x:v>
      </x:c>
      <x:c r="I677" s="206" t="n"/>
      <x:c r="J677" s="71" t="n"/>
      <x:c r="K677" s="71" t="n"/>
      <x:c r="L677" s="71" t="inlineStr">
        <x:is>
          <x:t xml:space="preserve">NO</x:t>
        </x:is>
      </x:c>
      <x:c r="M677" s="71" t="n"/>
      <x:c r="N677" s="71" t="n"/>
      <x:c r="O677" s="71" t="n"/>
      <x:c r="P677" s="71" t="n"/>
      <x:c r="Q677" s="71" t="n"/>
      <x:c r="R677" s="71" t="n"/>
      <x:c r="S677" s="206" t="n"/>
      <x:c r="T677" s="71" t="n"/>
      <x:c r="U677" s="71" t="n"/>
      <x:c r="V677" s="71" t="n"/>
      <x:c r="W677" s="71" t="n"/>
      <x:c r="X677" s="71" t="n"/>
      <x:c r="Y677" s="71" t="n"/>
      <x:c r="Z677" s="71" t="n"/>
      <x:c r="AA677" s="71" t="n"/>
      <x:c r="AB677" s="71" t="inlineStr">
        <x:is>
          <x:t xml:space="preserve">NO</x:t>
        </x:is>
      </x:c>
      <x:c r="AC677" s="57" t="inlineStr">
        <x:is>
          <x:t xml:space="preserve">V10</x:t>
        </x:is>
      </x:c>
      <x:c r="AD677" s="57" t="n"/>
      <x:c r="AE677" s="79" t="str">
        <x:f>IF(AND(I677&lt;&gt;"",J677&lt;&gt;"",K677&lt;&gt;"",L677="YES",M677&lt;&gt;"",S677&lt;&gt;"",T677&lt;&gt;"",U677&lt;&gt;"",V677&lt;&gt;"",W677&lt;&gt;"",X677&lt;&gt;"",Y677&lt;&gt;""),"COMPLETE","PENDING")</x:f>
        <x:v>PENDING</x:v>
      </x:c>
      <x:c r="AF677" s="79" t="str">
        <x:f>IF(AE677="COMPLETE","YES","NO")</x:f>
        <x:v>NO</x:v>
      </x:c>
      <x:c r="AG677" s="214" t="str">
        <x:f>IF(AF677&lt;&gt;"YES","",(IF(V677="YES",1,0)+IF(W677="YES",1,0))/2)</x:f>
      </x:c>
    </x:row>
    <x:row r="678">
      <x:c r="A678" s="57" t="inlineStr">
        <x:is>
          <x:t xml:space="preserve">C0673</x:t>
        </x:is>
      </x:c>
      <x:c r="B678" s="57" t="inlineStr">
        <x:is>
          <x:t xml:space="preserve">Validation</x:t>
        </x:is>
      </x:c>
      <x:c r="C678" s="57" t="inlineStr">
        <x:is>
          <x:t xml:space="preserve">OPEN</x:t>
        </x:is>
      </x:c>
      <x:c r="D678" s="57" t="inlineStr">
        <x:is>
          <x:t xml:space="preserve">ARG-068</x:t>
        </x:is>
      </x:c>
      <x:c r="E678" s="75" t="str">
        <x:f>INDEX('Company Universe'!$B$6:$B$105,MATCH(D678,'Company Universe'!$A$6:$A$105,0))</x:f>
        <x:v>RTX</x:v>
      </x:c>
      <x:c r="F678" s="75" t="str">
        <x:f>INDEX('Company Universe'!$C$6:$C$105,MATCH(D678,'Company Universe'!$A$6:$A$105,0))</x:f>
        <x:v>RTX</x:v>
      </x:c>
      <x:c r="G678" s="75" t="str">
        <x:f>INDEX('Company Universe'!$F$6:$F$105,MATCH(D678,'Company Universe'!$A$6:$A$105,0))</x:f>
        <x:v>Industrials &amp; Defense</x:v>
      </x:c>
      <x:c r="H678" s="57" t="n">
        <x:v>3</x:v>
      </x:c>
      <x:c r="I678" s="206" t="n"/>
      <x:c r="J678" s="71" t="n"/>
      <x:c r="K678" s="71" t="n"/>
      <x:c r="L678" s="71" t="inlineStr">
        <x:is>
          <x:t xml:space="preserve">NO</x:t>
        </x:is>
      </x:c>
      <x:c r="M678" s="71" t="n"/>
      <x:c r="N678" s="71" t="n"/>
      <x:c r="O678" s="71" t="n"/>
      <x:c r="P678" s="71" t="n"/>
      <x:c r="Q678" s="71" t="n"/>
      <x:c r="R678" s="71" t="n"/>
      <x:c r="S678" s="206" t="n"/>
      <x:c r="T678" s="71" t="n"/>
      <x:c r="U678" s="71" t="n"/>
      <x:c r="V678" s="71" t="n"/>
      <x:c r="W678" s="71" t="n"/>
      <x:c r="X678" s="71" t="n"/>
      <x:c r="Y678" s="71" t="n"/>
      <x:c r="Z678" s="71" t="n"/>
      <x:c r="AA678" s="71" t="n"/>
      <x:c r="AB678" s="71" t="inlineStr">
        <x:is>
          <x:t xml:space="preserve">NO</x:t>
        </x:is>
      </x:c>
      <x:c r="AC678" s="57" t="inlineStr">
        <x:is>
          <x:t xml:space="preserve">V10</x:t>
        </x:is>
      </x:c>
      <x:c r="AD678" s="57" t="n"/>
      <x:c r="AE678" s="79" t="str">
        <x:f>IF(AND(I678&lt;&gt;"",J678&lt;&gt;"",K678&lt;&gt;"",L678="YES",M678&lt;&gt;"",S678&lt;&gt;"",T678&lt;&gt;"",U678&lt;&gt;"",V678&lt;&gt;"",W678&lt;&gt;"",X678&lt;&gt;"",Y678&lt;&gt;""),"COMPLETE","PENDING")</x:f>
        <x:v>PENDING</x:v>
      </x:c>
      <x:c r="AF678" s="79" t="str">
        <x:f>IF(AE678="COMPLETE","YES","NO")</x:f>
        <x:v>NO</x:v>
      </x:c>
      <x:c r="AG678" s="214" t="str">
        <x:f>IF(AF678&lt;&gt;"YES","",(IF(V678="YES",1,0)+IF(W678="YES",1,0))/2)</x:f>
      </x:c>
    </x:row>
    <x:row r="679">
      <x:c r="A679" s="57" t="inlineStr">
        <x:is>
          <x:t xml:space="preserve">C0674</x:t>
        </x:is>
      </x:c>
      <x:c r="B679" s="57" t="inlineStr">
        <x:is>
          <x:t xml:space="preserve">Validation</x:t>
        </x:is>
      </x:c>
      <x:c r="C679" s="57" t="inlineStr">
        <x:is>
          <x:t xml:space="preserve">OPEN</x:t>
        </x:is>
      </x:c>
      <x:c r="D679" s="57" t="inlineStr">
        <x:is>
          <x:t xml:space="preserve">ARG-068</x:t>
        </x:is>
      </x:c>
      <x:c r="E679" s="75" t="str">
        <x:f>INDEX('Company Universe'!$B$6:$B$105,MATCH(D679,'Company Universe'!$A$6:$A$105,0))</x:f>
        <x:v>RTX</x:v>
      </x:c>
      <x:c r="F679" s="75" t="str">
        <x:f>INDEX('Company Universe'!$C$6:$C$105,MATCH(D679,'Company Universe'!$A$6:$A$105,0))</x:f>
        <x:v>RTX</x:v>
      </x:c>
      <x:c r="G679" s="75" t="str">
        <x:f>INDEX('Company Universe'!$F$6:$F$105,MATCH(D679,'Company Universe'!$A$6:$A$105,0))</x:f>
        <x:v>Industrials &amp; Defense</x:v>
      </x:c>
      <x:c r="H679" s="57" t="n">
        <x:v>4</x:v>
      </x:c>
      <x:c r="I679" s="206" t="n"/>
      <x:c r="J679" s="71" t="n"/>
      <x:c r="K679" s="71" t="n"/>
      <x:c r="L679" s="71" t="inlineStr">
        <x:is>
          <x:t xml:space="preserve">NO</x:t>
        </x:is>
      </x:c>
      <x:c r="M679" s="71" t="n"/>
      <x:c r="N679" s="71" t="n"/>
      <x:c r="O679" s="71" t="n"/>
      <x:c r="P679" s="71" t="n"/>
      <x:c r="Q679" s="71" t="n"/>
      <x:c r="R679" s="71" t="n"/>
      <x:c r="S679" s="206" t="n"/>
      <x:c r="T679" s="71" t="n"/>
      <x:c r="U679" s="71" t="n"/>
      <x:c r="V679" s="71" t="n"/>
      <x:c r="W679" s="71" t="n"/>
      <x:c r="X679" s="71" t="n"/>
      <x:c r="Y679" s="71" t="n"/>
      <x:c r="Z679" s="71" t="n"/>
      <x:c r="AA679" s="71" t="n"/>
      <x:c r="AB679" s="71" t="inlineStr">
        <x:is>
          <x:t xml:space="preserve">NO</x:t>
        </x:is>
      </x:c>
      <x:c r="AC679" s="57" t="inlineStr">
        <x:is>
          <x:t xml:space="preserve">V10</x:t>
        </x:is>
      </x:c>
      <x:c r="AD679" s="57" t="n"/>
      <x:c r="AE679" s="79" t="str">
        <x:f>IF(AND(I679&lt;&gt;"",J679&lt;&gt;"",K679&lt;&gt;"",L679="YES",M679&lt;&gt;"",S679&lt;&gt;"",T679&lt;&gt;"",U679&lt;&gt;"",V679&lt;&gt;"",W679&lt;&gt;"",X679&lt;&gt;"",Y679&lt;&gt;""),"COMPLETE","PENDING")</x:f>
        <x:v>PENDING</x:v>
      </x:c>
      <x:c r="AF679" s="79" t="str">
        <x:f>IF(AE679="COMPLETE","YES","NO")</x:f>
        <x:v>NO</x:v>
      </x:c>
      <x:c r="AG679" s="214" t="str">
        <x:f>IF(AF679&lt;&gt;"YES","",(IF(V679="YES",1,0)+IF(W679="YES",1,0))/2)</x:f>
      </x:c>
    </x:row>
    <x:row r="680">
      <x:c r="A680" s="57" t="inlineStr">
        <x:is>
          <x:t xml:space="preserve">C0675</x:t>
        </x:is>
      </x:c>
      <x:c r="B680" s="57" t="inlineStr">
        <x:is>
          <x:t xml:space="preserve">Validation</x:t>
        </x:is>
      </x:c>
      <x:c r="C680" s="57" t="inlineStr">
        <x:is>
          <x:t xml:space="preserve">OPEN</x:t>
        </x:is>
      </x:c>
      <x:c r="D680" s="57" t="inlineStr">
        <x:is>
          <x:t xml:space="preserve">ARG-068</x:t>
        </x:is>
      </x:c>
      <x:c r="E680" s="75" t="str">
        <x:f>INDEX('Company Universe'!$B$6:$B$105,MATCH(D680,'Company Universe'!$A$6:$A$105,0))</x:f>
        <x:v>RTX</x:v>
      </x:c>
      <x:c r="F680" s="75" t="str">
        <x:f>INDEX('Company Universe'!$C$6:$C$105,MATCH(D680,'Company Universe'!$A$6:$A$105,0))</x:f>
        <x:v>RTX</x:v>
      </x:c>
      <x:c r="G680" s="75" t="str">
        <x:f>INDEX('Company Universe'!$F$6:$F$105,MATCH(D680,'Company Universe'!$A$6:$A$105,0))</x:f>
        <x:v>Industrials &amp; Defense</x:v>
      </x:c>
      <x:c r="H680" s="57" t="n">
        <x:v>5</x:v>
      </x:c>
      <x:c r="I680" s="206" t="n"/>
      <x:c r="J680" s="71" t="n"/>
      <x:c r="K680" s="71" t="n"/>
      <x:c r="L680" s="71" t="inlineStr">
        <x:is>
          <x:t xml:space="preserve">NO</x:t>
        </x:is>
      </x:c>
      <x:c r="M680" s="71" t="n"/>
      <x:c r="N680" s="71" t="n"/>
      <x:c r="O680" s="71" t="n"/>
      <x:c r="P680" s="71" t="n"/>
      <x:c r="Q680" s="71" t="n"/>
      <x:c r="R680" s="71" t="n"/>
      <x:c r="S680" s="206" t="n"/>
      <x:c r="T680" s="71" t="n"/>
      <x:c r="U680" s="71" t="n"/>
      <x:c r="V680" s="71" t="n"/>
      <x:c r="W680" s="71" t="n"/>
      <x:c r="X680" s="71" t="n"/>
      <x:c r="Y680" s="71" t="n"/>
      <x:c r="Z680" s="71" t="n"/>
      <x:c r="AA680" s="71" t="n"/>
      <x:c r="AB680" s="71" t="inlineStr">
        <x:is>
          <x:t xml:space="preserve">NO</x:t>
        </x:is>
      </x:c>
      <x:c r="AC680" s="57" t="inlineStr">
        <x:is>
          <x:t xml:space="preserve">V10</x:t>
        </x:is>
      </x:c>
      <x:c r="AD680" s="57" t="n"/>
      <x:c r="AE680" s="79" t="str">
        <x:f>IF(AND(I680&lt;&gt;"",J680&lt;&gt;"",K680&lt;&gt;"",L680="YES",M680&lt;&gt;"",S680&lt;&gt;"",T680&lt;&gt;"",U680&lt;&gt;"",V680&lt;&gt;"",W680&lt;&gt;"",X680&lt;&gt;"",Y680&lt;&gt;""),"COMPLETE","PENDING")</x:f>
        <x:v>PENDING</x:v>
      </x:c>
      <x:c r="AF680" s="79" t="str">
        <x:f>IF(AE680="COMPLETE","YES","NO")</x:f>
        <x:v>NO</x:v>
      </x:c>
      <x:c r="AG680" s="214" t="str">
        <x:f>IF(AF680&lt;&gt;"YES","",(IF(V680="YES",1,0)+IF(W680="YES",1,0))/2)</x:f>
      </x:c>
    </x:row>
    <x:row r="681">
      <x:c r="A681" s="57" t="inlineStr">
        <x:is>
          <x:t xml:space="preserve">C0676</x:t>
        </x:is>
      </x:c>
      <x:c r="B681" s="57" t="inlineStr">
        <x:is>
          <x:t xml:space="preserve">Validation</x:t>
        </x:is>
      </x:c>
      <x:c r="C681" s="57" t="inlineStr">
        <x:is>
          <x:t xml:space="preserve">OPEN</x:t>
        </x:is>
      </x:c>
      <x:c r="D681" s="57" t="inlineStr">
        <x:is>
          <x:t xml:space="preserve">ARG-068</x:t>
        </x:is>
      </x:c>
      <x:c r="E681" s="75" t="str">
        <x:f>INDEX('Company Universe'!$B$6:$B$105,MATCH(D681,'Company Universe'!$A$6:$A$105,0))</x:f>
        <x:v>RTX</x:v>
      </x:c>
      <x:c r="F681" s="75" t="str">
        <x:f>INDEX('Company Universe'!$C$6:$C$105,MATCH(D681,'Company Universe'!$A$6:$A$105,0))</x:f>
        <x:v>RTX</x:v>
      </x:c>
      <x:c r="G681" s="75" t="str">
        <x:f>INDEX('Company Universe'!$F$6:$F$105,MATCH(D681,'Company Universe'!$A$6:$A$105,0))</x:f>
        <x:v>Industrials &amp; Defense</x:v>
      </x:c>
      <x:c r="H681" s="57" t="n">
        <x:v>6</x:v>
      </x:c>
      <x:c r="I681" s="206" t="n"/>
      <x:c r="J681" s="71" t="n"/>
      <x:c r="K681" s="71" t="n"/>
      <x:c r="L681" s="71" t="inlineStr">
        <x:is>
          <x:t xml:space="preserve">NO</x:t>
        </x:is>
      </x:c>
      <x:c r="M681" s="71" t="n"/>
      <x:c r="N681" s="71" t="n"/>
      <x:c r="O681" s="71" t="n"/>
      <x:c r="P681" s="71" t="n"/>
      <x:c r="Q681" s="71" t="n"/>
      <x:c r="R681" s="71" t="n"/>
      <x:c r="S681" s="206" t="n"/>
      <x:c r="T681" s="71" t="n"/>
      <x:c r="U681" s="71" t="n"/>
      <x:c r="V681" s="71" t="n"/>
      <x:c r="W681" s="71" t="n"/>
      <x:c r="X681" s="71" t="n"/>
      <x:c r="Y681" s="71" t="n"/>
      <x:c r="Z681" s="71" t="n"/>
      <x:c r="AA681" s="71" t="n"/>
      <x:c r="AB681" s="71" t="inlineStr">
        <x:is>
          <x:t xml:space="preserve">NO</x:t>
        </x:is>
      </x:c>
      <x:c r="AC681" s="57" t="inlineStr">
        <x:is>
          <x:t xml:space="preserve">V10</x:t>
        </x:is>
      </x:c>
      <x:c r="AD681" s="57" t="n"/>
      <x:c r="AE681" s="79" t="str">
        <x:f>IF(AND(I681&lt;&gt;"",J681&lt;&gt;"",K681&lt;&gt;"",L681="YES",M681&lt;&gt;"",S681&lt;&gt;"",T681&lt;&gt;"",U681&lt;&gt;"",V681&lt;&gt;"",W681&lt;&gt;"",X681&lt;&gt;"",Y681&lt;&gt;""),"COMPLETE","PENDING")</x:f>
        <x:v>PENDING</x:v>
      </x:c>
      <x:c r="AF681" s="79" t="str">
        <x:f>IF(AE681="COMPLETE","YES","NO")</x:f>
        <x:v>NO</x:v>
      </x:c>
      <x:c r="AG681" s="214" t="str">
        <x:f>IF(AF681&lt;&gt;"YES","",(IF(V681="YES",1,0)+IF(W681="YES",1,0))/2)</x:f>
      </x:c>
    </x:row>
    <x:row r="682">
      <x:c r="A682" s="57" t="inlineStr">
        <x:is>
          <x:t xml:space="preserve">C0677</x:t>
        </x:is>
      </x:c>
      <x:c r="B682" s="57" t="inlineStr">
        <x:is>
          <x:t xml:space="preserve">Validation</x:t>
        </x:is>
      </x:c>
      <x:c r="C682" s="57" t="inlineStr">
        <x:is>
          <x:t xml:space="preserve">OPEN</x:t>
        </x:is>
      </x:c>
      <x:c r="D682" s="57" t="inlineStr">
        <x:is>
          <x:t xml:space="preserve">ARG-068</x:t>
        </x:is>
      </x:c>
      <x:c r="E682" s="75" t="str">
        <x:f>INDEX('Company Universe'!$B$6:$B$105,MATCH(D682,'Company Universe'!$A$6:$A$105,0))</x:f>
        <x:v>RTX</x:v>
      </x:c>
      <x:c r="F682" s="75" t="str">
        <x:f>INDEX('Company Universe'!$C$6:$C$105,MATCH(D682,'Company Universe'!$A$6:$A$105,0))</x:f>
        <x:v>RTX</x:v>
      </x:c>
      <x:c r="G682" s="75" t="str">
        <x:f>INDEX('Company Universe'!$F$6:$F$105,MATCH(D682,'Company Universe'!$A$6:$A$105,0))</x:f>
        <x:v>Industrials &amp; Defense</x:v>
      </x:c>
      <x:c r="H682" s="57" t="n">
        <x:v>7</x:v>
      </x:c>
      <x:c r="I682" s="206" t="n"/>
      <x:c r="J682" s="71" t="n"/>
      <x:c r="K682" s="71" t="n"/>
      <x:c r="L682" s="71" t="inlineStr">
        <x:is>
          <x:t xml:space="preserve">NO</x:t>
        </x:is>
      </x:c>
      <x:c r="M682" s="71" t="n"/>
      <x:c r="N682" s="71" t="n"/>
      <x:c r="O682" s="71" t="n"/>
      <x:c r="P682" s="71" t="n"/>
      <x:c r="Q682" s="71" t="n"/>
      <x:c r="R682" s="71" t="n"/>
      <x:c r="S682" s="206" t="n"/>
      <x:c r="T682" s="71" t="n"/>
      <x:c r="U682" s="71" t="n"/>
      <x:c r="V682" s="71" t="n"/>
      <x:c r="W682" s="71" t="n"/>
      <x:c r="X682" s="71" t="n"/>
      <x:c r="Y682" s="71" t="n"/>
      <x:c r="Z682" s="71" t="n"/>
      <x:c r="AA682" s="71" t="n"/>
      <x:c r="AB682" s="71" t="inlineStr">
        <x:is>
          <x:t xml:space="preserve">NO</x:t>
        </x:is>
      </x:c>
      <x:c r="AC682" s="57" t="inlineStr">
        <x:is>
          <x:t xml:space="preserve">V10</x:t>
        </x:is>
      </x:c>
      <x:c r="AD682" s="57" t="n"/>
      <x:c r="AE682" s="79" t="str">
        <x:f>IF(AND(I682&lt;&gt;"",J682&lt;&gt;"",K682&lt;&gt;"",L682="YES",M682&lt;&gt;"",S682&lt;&gt;"",T682&lt;&gt;"",U682&lt;&gt;"",V682&lt;&gt;"",W682&lt;&gt;"",X682&lt;&gt;"",Y682&lt;&gt;""),"COMPLETE","PENDING")</x:f>
        <x:v>PENDING</x:v>
      </x:c>
      <x:c r="AF682" s="79" t="str">
        <x:f>IF(AE682="COMPLETE","YES","NO")</x:f>
        <x:v>NO</x:v>
      </x:c>
      <x:c r="AG682" s="214" t="str">
        <x:f>IF(AF682&lt;&gt;"YES","",(IF(V682="YES",1,0)+IF(W682="YES",1,0))/2)</x:f>
      </x:c>
    </x:row>
    <x:row r="683">
      <x:c r="A683" s="57" t="inlineStr">
        <x:is>
          <x:t xml:space="preserve">C0678</x:t>
        </x:is>
      </x:c>
      <x:c r="B683" s="57" t="inlineStr">
        <x:is>
          <x:t xml:space="preserve">Validation</x:t>
        </x:is>
      </x:c>
      <x:c r="C683" s="57" t="inlineStr">
        <x:is>
          <x:t xml:space="preserve">OPEN</x:t>
        </x:is>
      </x:c>
      <x:c r="D683" s="57" t="inlineStr">
        <x:is>
          <x:t xml:space="preserve">ARG-068</x:t>
        </x:is>
      </x:c>
      <x:c r="E683" s="75" t="str">
        <x:f>INDEX('Company Universe'!$B$6:$B$105,MATCH(D683,'Company Universe'!$A$6:$A$105,0))</x:f>
        <x:v>RTX</x:v>
      </x:c>
      <x:c r="F683" s="75" t="str">
        <x:f>INDEX('Company Universe'!$C$6:$C$105,MATCH(D683,'Company Universe'!$A$6:$A$105,0))</x:f>
        <x:v>RTX</x:v>
      </x:c>
      <x:c r="G683" s="75" t="str">
        <x:f>INDEX('Company Universe'!$F$6:$F$105,MATCH(D683,'Company Universe'!$A$6:$A$105,0))</x:f>
        <x:v>Industrials &amp; Defense</x:v>
      </x:c>
      <x:c r="H683" s="57" t="n">
        <x:v>8</x:v>
      </x:c>
      <x:c r="I683" s="206" t="n"/>
      <x:c r="J683" s="71" t="n"/>
      <x:c r="K683" s="71" t="n"/>
      <x:c r="L683" s="71" t="inlineStr">
        <x:is>
          <x:t xml:space="preserve">NO</x:t>
        </x:is>
      </x:c>
      <x:c r="M683" s="71" t="n"/>
      <x:c r="N683" s="71" t="n"/>
      <x:c r="O683" s="71" t="n"/>
      <x:c r="P683" s="71" t="n"/>
      <x:c r="Q683" s="71" t="n"/>
      <x:c r="R683" s="71" t="n"/>
      <x:c r="S683" s="206" t="n"/>
      <x:c r="T683" s="71" t="n"/>
      <x:c r="U683" s="71" t="n"/>
      <x:c r="V683" s="71" t="n"/>
      <x:c r="W683" s="71" t="n"/>
      <x:c r="X683" s="71" t="n"/>
      <x:c r="Y683" s="71" t="n"/>
      <x:c r="Z683" s="71" t="n"/>
      <x:c r="AA683" s="71" t="n"/>
      <x:c r="AB683" s="71" t="inlineStr">
        <x:is>
          <x:t xml:space="preserve">NO</x:t>
        </x:is>
      </x:c>
      <x:c r="AC683" s="57" t="inlineStr">
        <x:is>
          <x:t xml:space="preserve">V10</x:t>
        </x:is>
      </x:c>
      <x:c r="AD683" s="57" t="n"/>
      <x:c r="AE683" s="79" t="str">
        <x:f>IF(AND(I683&lt;&gt;"",J683&lt;&gt;"",K683&lt;&gt;"",L683="YES",M683&lt;&gt;"",S683&lt;&gt;"",T683&lt;&gt;"",U683&lt;&gt;"",V683&lt;&gt;"",W683&lt;&gt;"",X683&lt;&gt;"",Y683&lt;&gt;""),"COMPLETE","PENDING")</x:f>
        <x:v>PENDING</x:v>
      </x:c>
      <x:c r="AF683" s="79" t="str">
        <x:f>IF(AE683="COMPLETE","YES","NO")</x:f>
        <x:v>NO</x:v>
      </x:c>
      <x:c r="AG683" s="214" t="str">
        <x:f>IF(AF683&lt;&gt;"YES","",(IF(V683="YES",1,0)+IF(W683="YES",1,0))/2)</x:f>
      </x:c>
    </x:row>
    <x:row r="684">
      <x:c r="A684" s="57" t="inlineStr">
        <x:is>
          <x:t xml:space="preserve">C0679</x:t>
        </x:is>
      </x:c>
      <x:c r="B684" s="57" t="inlineStr">
        <x:is>
          <x:t xml:space="preserve">Validation</x:t>
        </x:is>
      </x:c>
      <x:c r="C684" s="57" t="inlineStr">
        <x:is>
          <x:t xml:space="preserve">OPEN</x:t>
        </x:is>
      </x:c>
      <x:c r="D684" s="57" t="inlineStr">
        <x:is>
          <x:t xml:space="preserve">ARG-068</x:t>
        </x:is>
      </x:c>
      <x:c r="E684" s="75" t="str">
        <x:f>INDEX('Company Universe'!$B$6:$B$105,MATCH(D684,'Company Universe'!$A$6:$A$105,0))</x:f>
        <x:v>RTX</x:v>
      </x:c>
      <x:c r="F684" s="75" t="str">
        <x:f>INDEX('Company Universe'!$C$6:$C$105,MATCH(D684,'Company Universe'!$A$6:$A$105,0))</x:f>
        <x:v>RTX</x:v>
      </x:c>
      <x:c r="G684" s="75" t="str">
        <x:f>INDEX('Company Universe'!$F$6:$F$105,MATCH(D684,'Company Universe'!$A$6:$A$105,0))</x:f>
        <x:v>Industrials &amp; Defense</x:v>
      </x:c>
      <x:c r="H684" s="57" t="n">
        <x:v>9</x:v>
      </x:c>
      <x:c r="I684" s="206" t="n"/>
      <x:c r="J684" s="71" t="n"/>
      <x:c r="K684" s="71" t="n"/>
      <x:c r="L684" s="71" t="inlineStr">
        <x:is>
          <x:t xml:space="preserve">NO</x:t>
        </x:is>
      </x:c>
      <x:c r="M684" s="71" t="n"/>
      <x:c r="N684" s="71" t="n"/>
      <x:c r="O684" s="71" t="n"/>
      <x:c r="P684" s="71" t="n"/>
      <x:c r="Q684" s="71" t="n"/>
      <x:c r="R684" s="71" t="n"/>
      <x:c r="S684" s="206" t="n"/>
      <x:c r="T684" s="71" t="n"/>
      <x:c r="U684" s="71" t="n"/>
      <x:c r="V684" s="71" t="n"/>
      <x:c r="W684" s="71" t="n"/>
      <x:c r="X684" s="71" t="n"/>
      <x:c r="Y684" s="71" t="n"/>
      <x:c r="Z684" s="71" t="n"/>
      <x:c r="AA684" s="71" t="n"/>
      <x:c r="AB684" s="71" t="inlineStr">
        <x:is>
          <x:t xml:space="preserve">NO</x:t>
        </x:is>
      </x:c>
      <x:c r="AC684" s="57" t="inlineStr">
        <x:is>
          <x:t xml:space="preserve">V10</x:t>
        </x:is>
      </x:c>
      <x:c r="AD684" s="57" t="n"/>
      <x:c r="AE684" s="79" t="str">
        <x:f>IF(AND(I684&lt;&gt;"",J684&lt;&gt;"",K684&lt;&gt;"",L684="YES",M684&lt;&gt;"",S684&lt;&gt;"",T684&lt;&gt;"",U684&lt;&gt;"",V684&lt;&gt;"",W684&lt;&gt;"",X684&lt;&gt;"",Y684&lt;&gt;""),"COMPLETE","PENDING")</x:f>
        <x:v>PENDING</x:v>
      </x:c>
      <x:c r="AF684" s="79" t="str">
        <x:f>IF(AE684="COMPLETE","YES","NO")</x:f>
        <x:v>NO</x:v>
      </x:c>
      <x:c r="AG684" s="214" t="str">
        <x:f>IF(AF684&lt;&gt;"YES","",(IF(V684="YES",1,0)+IF(W684="YES",1,0))/2)</x:f>
      </x:c>
    </x:row>
    <x:row r="685">
      <x:c r="A685" s="57" t="inlineStr">
        <x:is>
          <x:t xml:space="preserve">C0680</x:t>
        </x:is>
      </x:c>
      <x:c r="B685" s="57" t="inlineStr">
        <x:is>
          <x:t xml:space="preserve">Validation</x:t>
        </x:is>
      </x:c>
      <x:c r="C685" s="57" t="inlineStr">
        <x:is>
          <x:t xml:space="preserve">OPEN</x:t>
        </x:is>
      </x:c>
      <x:c r="D685" s="57" t="inlineStr">
        <x:is>
          <x:t xml:space="preserve">ARG-068</x:t>
        </x:is>
      </x:c>
      <x:c r="E685" s="75" t="str">
        <x:f>INDEX('Company Universe'!$B$6:$B$105,MATCH(D685,'Company Universe'!$A$6:$A$105,0))</x:f>
        <x:v>RTX</x:v>
      </x:c>
      <x:c r="F685" s="75" t="str">
        <x:f>INDEX('Company Universe'!$C$6:$C$105,MATCH(D685,'Company Universe'!$A$6:$A$105,0))</x:f>
        <x:v>RTX</x:v>
      </x:c>
      <x:c r="G685" s="75" t="str">
        <x:f>INDEX('Company Universe'!$F$6:$F$105,MATCH(D685,'Company Universe'!$A$6:$A$105,0))</x:f>
        <x:v>Industrials &amp; Defense</x:v>
      </x:c>
      <x:c r="H685" s="57" t="n">
        <x:v>10</x:v>
      </x:c>
      <x:c r="I685" s="206" t="n"/>
      <x:c r="J685" s="71" t="n"/>
      <x:c r="K685" s="71" t="n"/>
      <x:c r="L685" s="71" t="inlineStr">
        <x:is>
          <x:t xml:space="preserve">NO</x:t>
        </x:is>
      </x:c>
      <x:c r="M685" s="71" t="n"/>
      <x:c r="N685" s="71" t="n"/>
      <x:c r="O685" s="71" t="n"/>
      <x:c r="P685" s="71" t="n"/>
      <x:c r="Q685" s="71" t="n"/>
      <x:c r="R685" s="71" t="n"/>
      <x:c r="S685" s="206" t="n"/>
      <x:c r="T685" s="71" t="n"/>
      <x:c r="U685" s="71" t="n"/>
      <x:c r="V685" s="71" t="n"/>
      <x:c r="W685" s="71" t="n"/>
      <x:c r="X685" s="71" t="n"/>
      <x:c r="Y685" s="71" t="n"/>
      <x:c r="Z685" s="71" t="n"/>
      <x:c r="AA685" s="71" t="n"/>
      <x:c r="AB685" s="71" t="inlineStr">
        <x:is>
          <x:t xml:space="preserve">NO</x:t>
        </x:is>
      </x:c>
      <x:c r="AC685" s="57" t="inlineStr">
        <x:is>
          <x:t xml:space="preserve">V10</x:t>
        </x:is>
      </x:c>
      <x:c r="AD685" s="57" t="n"/>
      <x:c r="AE685" s="79" t="str">
        <x:f>IF(AND(I685&lt;&gt;"",J685&lt;&gt;"",K685&lt;&gt;"",L685="YES",M685&lt;&gt;"",S685&lt;&gt;"",T685&lt;&gt;"",U685&lt;&gt;"",V685&lt;&gt;"",W685&lt;&gt;"",X685&lt;&gt;"",Y685&lt;&gt;""),"COMPLETE","PENDING")</x:f>
        <x:v>PENDING</x:v>
      </x:c>
      <x:c r="AF685" s="79" t="str">
        <x:f>IF(AE685="COMPLETE","YES","NO")</x:f>
        <x:v>NO</x:v>
      </x:c>
      <x:c r="AG685" s="214" t="str">
        <x:f>IF(AF685&lt;&gt;"YES","",(IF(V685="YES",1,0)+IF(W685="YES",1,0))/2)</x:f>
      </x:c>
    </x:row>
    <x:row r="686">
      <x:c r="A686" s="57" t="inlineStr">
        <x:is>
          <x:t xml:space="preserve">C0681</x:t>
        </x:is>
      </x:c>
      <x:c r="B686" s="57" t="inlineStr">
        <x:is>
          <x:t xml:space="preserve">Validation</x:t>
        </x:is>
      </x:c>
      <x:c r="C686" s="57" t="inlineStr">
        <x:is>
          <x:t xml:space="preserve">OPEN</x:t>
        </x:is>
      </x:c>
      <x:c r="D686" s="57" t="inlineStr">
        <x:is>
          <x:t xml:space="preserve">ARG-069</x:t>
        </x:is>
      </x:c>
      <x:c r="E686" s="75" t="str">
        <x:f>INDEX('Company Universe'!$B$6:$B$105,MATCH(D686,'Company Universe'!$A$6:$A$105,0))</x:f>
        <x:v>Deere &amp; Company</x:v>
      </x:c>
      <x:c r="F686" s="75" t="str">
        <x:f>INDEX('Company Universe'!$C$6:$C$105,MATCH(D686,'Company Universe'!$A$6:$A$105,0))</x:f>
        <x:v>DE</x:v>
      </x:c>
      <x:c r="G686" s="75" t="str">
        <x:f>INDEX('Company Universe'!$F$6:$F$105,MATCH(D686,'Company Universe'!$A$6:$A$105,0))</x:f>
        <x:v>Industrials &amp; Defense</x:v>
      </x:c>
      <x:c r="H686" s="57" t="n">
        <x:v>1</x:v>
      </x:c>
      <x:c r="I686" s="206" t="n"/>
      <x:c r="J686" s="71" t="n"/>
      <x:c r="K686" s="71" t="n"/>
      <x:c r="L686" s="71" t="inlineStr">
        <x:is>
          <x:t xml:space="preserve">NO</x:t>
        </x:is>
      </x:c>
      <x:c r="M686" s="71" t="n"/>
      <x:c r="N686" s="71" t="n"/>
      <x:c r="O686" s="71" t="n"/>
      <x:c r="P686" s="71" t="n"/>
      <x:c r="Q686" s="71" t="n"/>
      <x:c r="R686" s="71" t="n"/>
      <x:c r="S686" s="206" t="n"/>
      <x:c r="T686" s="71" t="n"/>
      <x:c r="U686" s="71" t="n"/>
      <x:c r="V686" s="71" t="n"/>
      <x:c r="W686" s="71" t="n"/>
      <x:c r="X686" s="71" t="n"/>
      <x:c r="Y686" s="71" t="n"/>
      <x:c r="Z686" s="71" t="n"/>
      <x:c r="AA686" s="71" t="n"/>
      <x:c r="AB686" s="71" t="inlineStr">
        <x:is>
          <x:t xml:space="preserve">NO</x:t>
        </x:is>
      </x:c>
      <x:c r="AC686" s="57" t="inlineStr">
        <x:is>
          <x:t xml:space="preserve">V10</x:t>
        </x:is>
      </x:c>
      <x:c r="AD686" s="57" t="n"/>
      <x:c r="AE686" s="79" t="str">
        <x:f>IF(AND(I686&lt;&gt;"",J686&lt;&gt;"",K686&lt;&gt;"",L686="YES",M686&lt;&gt;"",S686&lt;&gt;"",T686&lt;&gt;"",U686&lt;&gt;"",V686&lt;&gt;"",W686&lt;&gt;"",X686&lt;&gt;"",Y686&lt;&gt;""),"COMPLETE","PENDING")</x:f>
        <x:v>PENDING</x:v>
      </x:c>
      <x:c r="AF686" s="79" t="str">
        <x:f>IF(AE686="COMPLETE","YES","NO")</x:f>
        <x:v>NO</x:v>
      </x:c>
      <x:c r="AG686" s="214" t="str">
        <x:f>IF(AF686&lt;&gt;"YES","",(IF(V686="YES",1,0)+IF(W686="YES",1,0))/2)</x:f>
      </x:c>
    </x:row>
    <x:row r="687">
      <x:c r="A687" s="57" t="inlineStr">
        <x:is>
          <x:t xml:space="preserve">C0682</x:t>
        </x:is>
      </x:c>
      <x:c r="B687" s="57" t="inlineStr">
        <x:is>
          <x:t xml:space="preserve">Validation</x:t>
        </x:is>
      </x:c>
      <x:c r="C687" s="57" t="inlineStr">
        <x:is>
          <x:t xml:space="preserve">OPEN</x:t>
        </x:is>
      </x:c>
      <x:c r="D687" s="57" t="inlineStr">
        <x:is>
          <x:t xml:space="preserve">ARG-069</x:t>
        </x:is>
      </x:c>
      <x:c r="E687" s="75" t="str">
        <x:f>INDEX('Company Universe'!$B$6:$B$105,MATCH(D687,'Company Universe'!$A$6:$A$105,0))</x:f>
        <x:v>Deere &amp; Company</x:v>
      </x:c>
      <x:c r="F687" s="75" t="str">
        <x:f>INDEX('Company Universe'!$C$6:$C$105,MATCH(D687,'Company Universe'!$A$6:$A$105,0))</x:f>
        <x:v>DE</x:v>
      </x:c>
      <x:c r="G687" s="75" t="str">
        <x:f>INDEX('Company Universe'!$F$6:$F$105,MATCH(D687,'Company Universe'!$A$6:$A$105,0))</x:f>
        <x:v>Industrials &amp; Defense</x:v>
      </x:c>
      <x:c r="H687" s="57" t="n">
        <x:v>2</x:v>
      </x:c>
      <x:c r="I687" s="206" t="n"/>
      <x:c r="J687" s="71" t="n"/>
      <x:c r="K687" s="71" t="n"/>
      <x:c r="L687" s="71" t="inlineStr">
        <x:is>
          <x:t xml:space="preserve">NO</x:t>
        </x:is>
      </x:c>
      <x:c r="M687" s="71" t="n"/>
      <x:c r="N687" s="71" t="n"/>
      <x:c r="O687" s="71" t="n"/>
      <x:c r="P687" s="71" t="n"/>
      <x:c r="Q687" s="71" t="n"/>
      <x:c r="R687" s="71" t="n"/>
      <x:c r="S687" s="206" t="n"/>
      <x:c r="T687" s="71" t="n"/>
      <x:c r="U687" s="71" t="n"/>
      <x:c r="V687" s="71" t="n"/>
      <x:c r="W687" s="71" t="n"/>
      <x:c r="X687" s="71" t="n"/>
      <x:c r="Y687" s="71" t="n"/>
      <x:c r="Z687" s="71" t="n"/>
      <x:c r="AA687" s="71" t="n"/>
      <x:c r="AB687" s="71" t="inlineStr">
        <x:is>
          <x:t xml:space="preserve">NO</x:t>
        </x:is>
      </x:c>
      <x:c r="AC687" s="57" t="inlineStr">
        <x:is>
          <x:t xml:space="preserve">V10</x:t>
        </x:is>
      </x:c>
      <x:c r="AD687" s="57" t="n"/>
      <x:c r="AE687" s="79" t="str">
        <x:f>IF(AND(I687&lt;&gt;"",J687&lt;&gt;"",K687&lt;&gt;"",L687="YES",M687&lt;&gt;"",S687&lt;&gt;"",T687&lt;&gt;"",U687&lt;&gt;"",V687&lt;&gt;"",W687&lt;&gt;"",X687&lt;&gt;"",Y687&lt;&gt;""),"COMPLETE","PENDING")</x:f>
        <x:v>PENDING</x:v>
      </x:c>
      <x:c r="AF687" s="79" t="str">
        <x:f>IF(AE687="COMPLETE","YES","NO")</x:f>
        <x:v>NO</x:v>
      </x:c>
      <x:c r="AG687" s="214" t="str">
        <x:f>IF(AF687&lt;&gt;"YES","",(IF(V687="YES",1,0)+IF(W687="YES",1,0))/2)</x:f>
      </x:c>
    </x:row>
    <x:row r="688">
      <x:c r="A688" s="57" t="inlineStr">
        <x:is>
          <x:t xml:space="preserve">C0683</x:t>
        </x:is>
      </x:c>
      <x:c r="B688" s="57" t="inlineStr">
        <x:is>
          <x:t xml:space="preserve">Validation</x:t>
        </x:is>
      </x:c>
      <x:c r="C688" s="57" t="inlineStr">
        <x:is>
          <x:t xml:space="preserve">OPEN</x:t>
        </x:is>
      </x:c>
      <x:c r="D688" s="57" t="inlineStr">
        <x:is>
          <x:t xml:space="preserve">ARG-069</x:t>
        </x:is>
      </x:c>
      <x:c r="E688" s="75" t="str">
        <x:f>INDEX('Company Universe'!$B$6:$B$105,MATCH(D688,'Company Universe'!$A$6:$A$105,0))</x:f>
        <x:v>Deere &amp; Company</x:v>
      </x:c>
      <x:c r="F688" s="75" t="str">
        <x:f>INDEX('Company Universe'!$C$6:$C$105,MATCH(D688,'Company Universe'!$A$6:$A$105,0))</x:f>
        <x:v>DE</x:v>
      </x:c>
      <x:c r="G688" s="75" t="str">
        <x:f>INDEX('Company Universe'!$F$6:$F$105,MATCH(D688,'Company Universe'!$A$6:$A$105,0))</x:f>
        <x:v>Industrials &amp; Defense</x:v>
      </x:c>
      <x:c r="H688" s="57" t="n">
        <x:v>3</x:v>
      </x:c>
      <x:c r="I688" s="206" t="n"/>
      <x:c r="J688" s="71" t="n"/>
      <x:c r="K688" s="71" t="n"/>
      <x:c r="L688" s="71" t="inlineStr">
        <x:is>
          <x:t xml:space="preserve">NO</x:t>
        </x:is>
      </x:c>
      <x:c r="M688" s="71" t="n"/>
      <x:c r="N688" s="71" t="n"/>
      <x:c r="O688" s="71" t="n"/>
      <x:c r="P688" s="71" t="n"/>
      <x:c r="Q688" s="71" t="n"/>
      <x:c r="R688" s="71" t="n"/>
      <x:c r="S688" s="206" t="n"/>
      <x:c r="T688" s="71" t="n"/>
      <x:c r="U688" s="71" t="n"/>
      <x:c r="V688" s="71" t="n"/>
      <x:c r="W688" s="71" t="n"/>
      <x:c r="X688" s="71" t="n"/>
      <x:c r="Y688" s="71" t="n"/>
      <x:c r="Z688" s="71" t="n"/>
      <x:c r="AA688" s="71" t="n"/>
      <x:c r="AB688" s="71" t="inlineStr">
        <x:is>
          <x:t xml:space="preserve">NO</x:t>
        </x:is>
      </x:c>
      <x:c r="AC688" s="57" t="inlineStr">
        <x:is>
          <x:t xml:space="preserve">V10</x:t>
        </x:is>
      </x:c>
      <x:c r="AD688" s="57" t="n"/>
      <x:c r="AE688" s="79" t="str">
        <x:f>IF(AND(I688&lt;&gt;"",J688&lt;&gt;"",K688&lt;&gt;"",L688="YES",M688&lt;&gt;"",S688&lt;&gt;"",T688&lt;&gt;"",U688&lt;&gt;"",V688&lt;&gt;"",W688&lt;&gt;"",X688&lt;&gt;"",Y688&lt;&gt;""),"COMPLETE","PENDING")</x:f>
        <x:v>PENDING</x:v>
      </x:c>
      <x:c r="AF688" s="79" t="str">
        <x:f>IF(AE688="COMPLETE","YES","NO")</x:f>
        <x:v>NO</x:v>
      </x:c>
      <x:c r="AG688" s="214" t="str">
        <x:f>IF(AF688&lt;&gt;"YES","",(IF(V688="YES",1,0)+IF(W688="YES",1,0))/2)</x:f>
      </x:c>
    </x:row>
    <x:row r="689">
      <x:c r="A689" s="57" t="inlineStr">
        <x:is>
          <x:t xml:space="preserve">C0684</x:t>
        </x:is>
      </x:c>
      <x:c r="B689" s="57" t="inlineStr">
        <x:is>
          <x:t xml:space="preserve">Validation</x:t>
        </x:is>
      </x:c>
      <x:c r="C689" s="57" t="inlineStr">
        <x:is>
          <x:t xml:space="preserve">OPEN</x:t>
        </x:is>
      </x:c>
      <x:c r="D689" s="57" t="inlineStr">
        <x:is>
          <x:t xml:space="preserve">ARG-069</x:t>
        </x:is>
      </x:c>
      <x:c r="E689" s="75" t="str">
        <x:f>INDEX('Company Universe'!$B$6:$B$105,MATCH(D689,'Company Universe'!$A$6:$A$105,0))</x:f>
        <x:v>Deere &amp; Company</x:v>
      </x:c>
      <x:c r="F689" s="75" t="str">
        <x:f>INDEX('Company Universe'!$C$6:$C$105,MATCH(D689,'Company Universe'!$A$6:$A$105,0))</x:f>
        <x:v>DE</x:v>
      </x:c>
      <x:c r="G689" s="75" t="str">
        <x:f>INDEX('Company Universe'!$F$6:$F$105,MATCH(D689,'Company Universe'!$A$6:$A$105,0))</x:f>
        <x:v>Industrials &amp; Defense</x:v>
      </x:c>
      <x:c r="H689" s="57" t="n">
        <x:v>4</x:v>
      </x:c>
      <x:c r="I689" s="206" t="n"/>
      <x:c r="J689" s="71" t="n"/>
      <x:c r="K689" s="71" t="n"/>
      <x:c r="L689" s="71" t="inlineStr">
        <x:is>
          <x:t xml:space="preserve">NO</x:t>
        </x:is>
      </x:c>
      <x:c r="M689" s="71" t="n"/>
      <x:c r="N689" s="71" t="n"/>
      <x:c r="O689" s="71" t="n"/>
      <x:c r="P689" s="71" t="n"/>
      <x:c r="Q689" s="71" t="n"/>
      <x:c r="R689" s="71" t="n"/>
      <x:c r="S689" s="206" t="n"/>
      <x:c r="T689" s="71" t="n"/>
      <x:c r="U689" s="71" t="n"/>
      <x:c r="V689" s="71" t="n"/>
      <x:c r="W689" s="71" t="n"/>
      <x:c r="X689" s="71" t="n"/>
      <x:c r="Y689" s="71" t="n"/>
      <x:c r="Z689" s="71" t="n"/>
      <x:c r="AA689" s="71" t="n"/>
      <x:c r="AB689" s="71" t="inlineStr">
        <x:is>
          <x:t xml:space="preserve">NO</x:t>
        </x:is>
      </x:c>
      <x:c r="AC689" s="57" t="inlineStr">
        <x:is>
          <x:t xml:space="preserve">V10</x:t>
        </x:is>
      </x:c>
      <x:c r="AD689" s="57" t="n"/>
      <x:c r="AE689" s="79" t="str">
        <x:f>IF(AND(I689&lt;&gt;"",J689&lt;&gt;"",K689&lt;&gt;"",L689="YES",M689&lt;&gt;"",S689&lt;&gt;"",T689&lt;&gt;"",U689&lt;&gt;"",V689&lt;&gt;"",W689&lt;&gt;"",X689&lt;&gt;"",Y689&lt;&gt;""),"COMPLETE","PENDING")</x:f>
        <x:v>PENDING</x:v>
      </x:c>
      <x:c r="AF689" s="79" t="str">
        <x:f>IF(AE689="COMPLETE","YES","NO")</x:f>
        <x:v>NO</x:v>
      </x:c>
      <x:c r="AG689" s="214" t="str">
        <x:f>IF(AF689&lt;&gt;"YES","",(IF(V689="YES",1,0)+IF(W689="YES",1,0))/2)</x:f>
      </x:c>
    </x:row>
    <x:row r="690">
      <x:c r="A690" s="57" t="inlineStr">
        <x:is>
          <x:t xml:space="preserve">C0685</x:t>
        </x:is>
      </x:c>
      <x:c r="B690" s="57" t="inlineStr">
        <x:is>
          <x:t xml:space="preserve">Validation</x:t>
        </x:is>
      </x:c>
      <x:c r="C690" s="57" t="inlineStr">
        <x:is>
          <x:t xml:space="preserve">OPEN</x:t>
        </x:is>
      </x:c>
      <x:c r="D690" s="57" t="inlineStr">
        <x:is>
          <x:t xml:space="preserve">ARG-069</x:t>
        </x:is>
      </x:c>
      <x:c r="E690" s="75" t="str">
        <x:f>INDEX('Company Universe'!$B$6:$B$105,MATCH(D690,'Company Universe'!$A$6:$A$105,0))</x:f>
        <x:v>Deere &amp; Company</x:v>
      </x:c>
      <x:c r="F690" s="75" t="str">
        <x:f>INDEX('Company Universe'!$C$6:$C$105,MATCH(D690,'Company Universe'!$A$6:$A$105,0))</x:f>
        <x:v>DE</x:v>
      </x:c>
      <x:c r="G690" s="75" t="str">
        <x:f>INDEX('Company Universe'!$F$6:$F$105,MATCH(D690,'Company Universe'!$A$6:$A$105,0))</x:f>
        <x:v>Industrials &amp; Defense</x:v>
      </x:c>
      <x:c r="H690" s="57" t="n">
        <x:v>5</x:v>
      </x:c>
      <x:c r="I690" s="206" t="n"/>
      <x:c r="J690" s="71" t="n"/>
      <x:c r="K690" s="71" t="n"/>
      <x:c r="L690" s="71" t="inlineStr">
        <x:is>
          <x:t xml:space="preserve">NO</x:t>
        </x:is>
      </x:c>
      <x:c r="M690" s="71" t="n"/>
      <x:c r="N690" s="71" t="n"/>
      <x:c r="O690" s="71" t="n"/>
      <x:c r="P690" s="71" t="n"/>
      <x:c r="Q690" s="71" t="n"/>
      <x:c r="R690" s="71" t="n"/>
      <x:c r="S690" s="206" t="n"/>
      <x:c r="T690" s="71" t="n"/>
      <x:c r="U690" s="71" t="n"/>
      <x:c r="V690" s="71" t="n"/>
      <x:c r="W690" s="71" t="n"/>
      <x:c r="X690" s="71" t="n"/>
      <x:c r="Y690" s="71" t="n"/>
      <x:c r="Z690" s="71" t="n"/>
      <x:c r="AA690" s="71" t="n"/>
      <x:c r="AB690" s="71" t="inlineStr">
        <x:is>
          <x:t xml:space="preserve">NO</x:t>
        </x:is>
      </x:c>
      <x:c r="AC690" s="57" t="inlineStr">
        <x:is>
          <x:t xml:space="preserve">V10</x:t>
        </x:is>
      </x:c>
      <x:c r="AD690" s="57" t="n"/>
      <x:c r="AE690" s="79" t="str">
        <x:f>IF(AND(I690&lt;&gt;"",J690&lt;&gt;"",K690&lt;&gt;"",L690="YES",M690&lt;&gt;"",S690&lt;&gt;"",T690&lt;&gt;"",U690&lt;&gt;"",V690&lt;&gt;"",W690&lt;&gt;"",X690&lt;&gt;"",Y690&lt;&gt;""),"COMPLETE","PENDING")</x:f>
        <x:v>PENDING</x:v>
      </x:c>
      <x:c r="AF690" s="79" t="str">
        <x:f>IF(AE690="COMPLETE","YES","NO")</x:f>
        <x:v>NO</x:v>
      </x:c>
      <x:c r="AG690" s="214" t="str">
        <x:f>IF(AF690&lt;&gt;"YES","",(IF(V690="YES",1,0)+IF(W690="YES",1,0))/2)</x:f>
      </x:c>
    </x:row>
    <x:row r="691">
      <x:c r="A691" s="57" t="inlineStr">
        <x:is>
          <x:t xml:space="preserve">C0686</x:t>
        </x:is>
      </x:c>
      <x:c r="B691" s="57" t="inlineStr">
        <x:is>
          <x:t xml:space="preserve">Validation</x:t>
        </x:is>
      </x:c>
      <x:c r="C691" s="57" t="inlineStr">
        <x:is>
          <x:t xml:space="preserve">OPEN</x:t>
        </x:is>
      </x:c>
      <x:c r="D691" s="57" t="inlineStr">
        <x:is>
          <x:t xml:space="preserve">ARG-069</x:t>
        </x:is>
      </x:c>
      <x:c r="E691" s="75" t="str">
        <x:f>INDEX('Company Universe'!$B$6:$B$105,MATCH(D691,'Company Universe'!$A$6:$A$105,0))</x:f>
        <x:v>Deere &amp; Company</x:v>
      </x:c>
      <x:c r="F691" s="75" t="str">
        <x:f>INDEX('Company Universe'!$C$6:$C$105,MATCH(D691,'Company Universe'!$A$6:$A$105,0))</x:f>
        <x:v>DE</x:v>
      </x:c>
      <x:c r="G691" s="75" t="str">
        <x:f>INDEX('Company Universe'!$F$6:$F$105,MATCH(D691,'Company Universe'!$A$6:$A$105,0))</x:f>
        <x:v>Industrials &amp; Defense</x:v>
      </x:c>
      <x:c r="H691" s="57" t="n">
        <x:v>6</x:v>
      </x:c>
      <x:c r="I691" s="206" t="n"/>
      <x:c r="J691" s="71" t="n"/>
      <x:c r="K691" s="71" t="n"/>
      <x:c r="L691" s="71" t="inlineStr">
        <x:is>
          <x:t xml:space="preserve">NO</x:t>
        </x:is>
      </x:c>
      <x:c r="M691" s="71" t="n"/>
      <x:c r="N691" s="71" t="n"/>
      <x:c r="O691" s="71" t="n"/>
      <x:c r="P691" s="71" t="n"/>
      <x:c r="Q691" s="71" t="n"/>
      <x:c r="R691" s="71" t="n"/>
      <x:c r="S691" s="206" t="n"/>
      <x:c r="T691" s="71" t="n"/>
      <x:c r="U691" s="71" t="n"/>
      <x:c r="V691" s="71" t="n"/>
      <x:c r="W691" s="71" t="n"/>
      <x:c r="X691" s="71" t="n"/>
      <x:c r="Y691" s="71" t="n"/>
      <x:c r="Z691" s="71" t="n"/>
      <x:c r="AA691" s="71" t="n"/>
      <x:c r="AB691" s="71" t="inlineStr">
        <x:is>
          <x:t xml:space="preserve">NO</x:t>
        </x:is>
      </x:c>
      <x:c r="AC691" s="57" t="inlineStr">
        <x:is>
          <x:t xml:space="preserve">V10</x:t>
        </x:is>
      </x:c>
      <x:c r="AD691" s="57" t="n"/>
      <x:c r="AE691" s="79" t="str">
        <x:f>IF(AND(I691&lt;&gt;"",J691&lt;&gt;"",K691&lt;&gt;"",L691="YES",M691&lt;&gt;"",S691&lt;&gt;"",T691&lt;&gt;"",U691&lt;&gt;"",V691&lt;&gt;"",W691&lt;&gt;"",X691&lt;&gt;"",Y691&lt;&gt;""),"COMPLETE","PENDING")</x:f>
        <x:v>PENDING</x:v>
      </x:c>
      <x:c r="AF691" s="79" t="str">
        <x:f>IF(AE691="COMPLETE","YES","NO")</x:f>
        <x:v>NO</x:v>
      </x:c>
      <x:c r="AG691" s="214" t="str">
        <x:f>IF(AF691&lt;&gt;"YES","",(IF(V691="YES",1,0)+IF(W691="YES",1,0))/2)</x:f>
      </x:c>
    </x:row>
    <x:row r="692">
      <x:c r="A692" s="57" t="inlineStr">
        <x:is>
          <x:t xml:space="preserve">C0687</x:t>
        </x:is>
      </x:c>
      <x:c r="B692" s="57" t="inlineStr">
        <x:is>
          <x:t xml:space="preserve">Validation</x:t>
        </x:is>
      </x:c>
      <x:c r="C692" s="57" t="inlineStr">
        <x:is>
          <x:t xml:space="preserve">OPEN</x:t>
        </x:is>
      </x:c>
      <x:c r="D692" s="57" t="inlineStr">
        <x:is>
          <x:t xml:space="preserve">ARG-069</x:t>
        </x:is>
      </x:c>
      <x:c r="E692" s="75" t="str">
        <x:f>INDEX('Company Universe'!$B$6:$B$105,MATCH(D692,'Company Universe'!$A$6:$A$105,0))</x:f>
        <x:v>Deere &amp; Company</x:v>
      </x:c>
      <x:c r="F692" s="75" t="str">
        <x:f>INDEX('Company Universe'!$C$6:$C$105,MATCH(D692,'Company Universe'!$A$6:$A$105,0))</x:f>
        <x:v>DE</x:v>
      </x:c>
      <x:c r="G692" s="75" t="str">
        <x:f>INDEX('Company Universe'!$F$6:$F$105,MATCH(D692,'Company Universe'!$A$6:$A$105,0))</x:f>
        <x:v>Industrials &amp; Defense</x:v>
      </x:c>
      <x:c r="H692" s="57" t="n">
        <x:v>7</x:v>
      </x:c>
      <x:c r="I692" s="206" t="n"/>
      <x:c r="J692" s="71" t="n"/>
      <x:c r="K692" s="71" t="n"/>
      <x:c r="L692" s="71" t="inlineStr">
        <x:is>
          <x:t xml:space="preserve">NO</x:t>
        </x:is>
      </x:c>
      <x:c r="M692" s="71" t="n"/>
      <x:c r="N692" s="71" t="n"/>
      <x:c r="O692" s="71" t="n"/>
      <x:c r="P692" s="71" t="n"/>
      <x:c r="Q692" s="71" t="n"/>
      <x:c r="R692" s="71" t="n"/>
      <x:c r="S692" s="206" t="n"/>
      <x:c r="T692" s="71" t="n"/>
      <x:c r="U692" s="71" t="n"/>
      <x:c r="V692" s="71" t="n"/>
      <x:c r="W692" s="71" t="n"/>
      <x:c r="X692" s="71" t="n"/>
      <x:c r="Y692" s="71" t="n"/>
      <x:c r="Z692" s="71" t="n"/>
      <x:c r="AA692" s="71" t="n"/>
      <x:c r="AB692" s="71" t="inlineStr">
        <x:is>
          <x:t xml:space="preserve">NO</x:t>
        </x:is>
      </x:c>
      <x:c r="AC692" s="57" t="inlineStr">
        <x:is>
          <x:t xml:space="preserve">V10</x:t>
        </x:is>
      </x:c>
      <x:c r="AD692" s="57" t="n"/>
      <x:c r="AE692" s="79" t="str">
        <x:f>IF(AND(I692&lt;&gt;"",J692&lt;&gt;"",K692&lt;&gt;"",L692="YES",M692&lt;&gt;"",S692&lt;&gt;"",T692&lt;&gt;"",U692&lt;&gt;"",V692&lt;&gt;"",W692&lt;&gt;"",X692&lt;&gt;"",Y692&lt;&gt;""),"COMPLETE","PENDING")</x:f>
        <x:v>PENDING</x:v>
      </x:c>
      <x:c r="AF692" s="79" t="str">
        <x:f>IF(AE692="COMPLETE","YES","NO")</x:f>
        <x:v>NO</x:v>
      </x:c>
      <x:c r="AG692" s="214" t="str">
        <x:f>IF(AF692&lt;&gt;"YES","",(IF(V692="YES",1,0)+IF(W692="YES",1,0))/2)</x:f>
      </x:c>
    </x:row>
    <x:row r="693">
      <x:c r="A693" s="57" t="inlineStr">
        <x:is>
          <x:t xml:space="preserve">C0688</x:t>
        </x:is>
      </x:c>
      <x:c r="B693" s="57" t="inlineStr">
        <x:is>
          <x:t xml:space="preserve">Validation</x:t>
        </x:is>
      </x:c>
      <x:c r="C693" s="57" t="inlineStr">
        <x:is>
          <x:t xml:space="preserve">OPEN</x:t>
        </x:is>
      </x:c>
      <x:c r="D693" s="57" t="inlineStr">
        <x:is>
          <x:t xml:space="preserve">ARG-069</x:t>
        </x:is>
      </x:c>
      <x:c r="E693" s="75" t="str">
        <x:f>INDEX('Company Universe'!$B$6:$B$105,MATCH(D693,'Company Universe'!$A$6:$A$105,0))</x:f>
        <x:v>Deere &amp; Company</x:v>
      </x:c>
      <x:c r="F693" s="75" t="str">
        <x:f>INDEX('Company Universe'!$C$6:$C$105,MATCH(D693,'Company Universe'!$A$6:$A$105,0))</x:f>
        <x:v>DE</x:v>
      </x:c>
      <x:c r="G693" s="75" t="str">
        <x:f>INDEX('Company Universe'!$F$6:$F$105,MATCH(D693,'Company Universe'!$A$6:$A$105,0))</x:f>
        <x:v>Industrials &amp; Defense</x:v>
      </x:c>
      <x:c r="H693" s="57" t="n">
        <x:v>8</x:v>
      </x:c>
      <x:c r="I693" s="206" t="n"/>
      <x:c r="J693" s="71" t="n"/>
      <x:c r="K693" s="71" t="n"/>
      <x:c r="L693" s="71" t="inlineStr">
        <x:is>
          <x:t xml:space="preserve">NO</x:t>
        </x:is>
      </x:c>
      <x:c r="M693" s="71" t="n"/>
      <x:c r="N693" s="71" t="n"/>
      <x:c r="O693" s="71" t="n"/>
      <x:c r="P693" s="71" t="n"/>
      <x:c r="Q693" s="71" t="n"/>
      <x:c r="R693" s="71" t="n"/>
      <x:c r="S693" s="206" t="n"/>
      <x:c r="T693" s="71" t="n"/>
      <x:c r="U693" s="71" t="n"/>
      <x:c r="V693" s="71" t="n"/>
      <x:c r="W693" s="71" t="n"/>
      <x:c r="X693" s="71" t="n"/>
      <x:c r="Y693" s="71" t="n"/>
      <x:c r="Z693" s="71" t="n"/>
      <x:c r="AA693" s="71" t="n"/>
      <x:c r="AB693" s="71" t="inlineStr">
        <x:is>
          <x:t xml:space="preserve">NO</x:t>
        </x:is>
      </x:c>
      <x:c r="AC693" s="57" t="inlineStr">
        <x:is>
          <x:t xml:space="preserve">V10</x:t>
        </x:is>
      </x:c>
      <x:c r="AD693" s="57" t="n"/>
      <x:c r="AE693" s="79" t="str">
        <x:f>IF(AND(I693&lt;&gt;"",J693&lt;&gt;"",K693&lt;&gt;"",L693="YES",M693&lt;&gt;"",S693&lt;&gt;"",T693&lt;&gt;"",U693&lt;&gt;"",V693&lt;&gt;"",W693&lt;&gt;"",X693&lt;&gt;"",Y693&lt;&gt;""),"COMPLETE","PENDING")</x:f>
        <x:v>PENDING</x:v>
      </x:c>
      <x:c r="AF693" s="79" t="str">
        <x:f>IF(AE693="COMPLETE","YES","NO")</x:f>
        <x:v>NO</x:v>
      </x:c>
      <x:c r="AG693" s="214" t="str">
        <x:f>IF(AF693&lt;&gt;"YES","",(IF(V693="YES",1,0)+IF(W693="YES",1,0))/2)</x:f>
      </x:c>
    </x:row>
    <x:row r="694">
      <x:c r="A694" s="57" t="inlineStr">
        <x:is>
          <x:t xml:space="preserve">C0689</x:t>
        </x:is>
      </x:c>
      <x:c r="B694" s="57" t="inlineStr">
        <x:is>
          <x:t xml:space="preserve">Validation</x:t>
        </x:is>
      </x:c>
      <x:c r="C694" s="57" t="inlineStr">
        <x:is>
          <x:t xml:space="preserve">OPEN</x:t>
        </x:is>
      </x:c>
      <x:c r="D694" s="57" t="inlineStr">
        <x:is>
          <x:t xml:space="preserve">ARG-069</x:t>
        </x:is>
      </x:c>
      <x:c r="E694" s="75" t="str">
        <x:f>INDEX('Company Universe'!$B$6:$B$105,MATCH(D694,'Company Universe'!$A$6:$A$105,0))</x:f>
        <x:v>Deere &amp; Company</x:v>
      </x:c>
      <x:c r="F694" s="75" t="str">
        <x:f>INDEX('Company Universe'!$C$6:$C$105,MATCH(D694,'Company Universe'!$A$6:$A$105,0))</x:f>
        <x:v>DE</x:v>
      </x:c>
      <x:c r="G694" s="75" t="str">
        <x:f>INDEX('Company Universe'!$F$6:$F$105,MATCH(D694,'Company Universe'!$A$6:$A$105,0))</x:f>
        <x:v>Industrials &amp; Defense</x:v>
      </x:c>
      <x:c r="H694" s="57" t="n">
        <x:v>9</x:v>
      </x:c>
      <x:c r="I694" s="206" t="n"/>
      <x:c r="J694" s="71" t="n"/>
      <x:c r="K694" s="71" t="n"/>
      <x:c r="L694" s="71" t="inlineStr">
        <x:is>
          <x:t xml:space="preserve">NO</x:t>
        </x:is>
      </x:c>
      <x:c r="M694" s="71" t="n"/>
      <x:c r="N694" s="71" t="n"/>
      <x:c r="O694" s="71" t="n"/>
      <x:c r="P694" s="71" t="n"/>
      <x:c r="Q694" s="71" t="n"/>
      <x:c r="R694" s="71" t="n"/>
      <x:c r="S694" s="206" t="n"/>
      <x:c r="T694" s="71" t="n"/>
      <x:c r="U694" s="71" t="n"/>
      <x:c r="V694" s="71" t="n"/>
      <x:c r="W694" s="71" t="n"/>
      <x:c r="X694" s="71" t="n"/>
      <x:c r="Y694" s="71" t="n"/>
      <x:c r="Z694" s="71" t="n"/>
      <x:c r="AA694" s="71" t="n"/>
      <x:c r="AB694" s="71" t="inlineStr">
        <x:is>
          <x:t xml:space="preserve">NO</x:t>
        </x:is>
      </x:c>
      <x:c r="AC694" s="57" t="inlineStr">
        <x:is>
          <x:t xml:space="preserve">V10</x:t>
        </x:is>
      </x:c>
      <x:c r="AD694" s="57" t="n"/>
      <x:c r="AE694" s="79" t="str">
        <x:f>IF(AND(I694&lt;&gt;"",J694&lt;&gt;"",K694&lt;&gt;"",L694="YES",M694&lt;&gt;"",S694&lt;&gt;"",T694&lt;&gt;"",U694&lt;&gt;"",V694&lt;&gt;"",W694&lt;&gt;"",X694&lt;&gt;"",Y694&lt;&gt;""),"COMPLETE","PENDING")</x:f>
        <x:v>PENDING</x:v>
      </x:c>
      <x:c r="AF694" s="79" t="str">
        <x:f>IF(AE694="COMPLETE","YES","NO")</x:f>
        <x:v>NO</x:v>
      </x:c>
      <x:c r="AG694" s="214" t="str">
        <x:f>IF(AF694&lt;&gt;"YES","",(IF(V694="YES",1,0)+IF(W694="YES",1,0))/2)</x:f>
      </x:c>
    </x:row>
    <x:row r="695">
      <x:c r="A695" s="57" t="inlineStr">
        <x:is>
          <x:t xml:space="preserve">C0690</x:t>
        </x:is>
      </x:c>
      <x:c r="B695" s="57" t="inlineStr">
        <x:is>
          <x:t xml:space="preserve">Validation</x:t>
        </x:is>
      </x:c>
      <x:c r="C695" s="57" t="inlineStr">
        <x:is>
          <x:t xml:space="preserve">OPEN</x:t>
        </x:is>
      </x:c>
      <x:c r="D695" s="57" t="inlineStr">
        <x:is>
          <x:t xml:space="preserve">ARG-069</x:t>
        </x:is>
      </x:c>
      <x:c r="E695" s="75" t="str">
        <x:f>INDEX('Company Universe'!$B$6:$B$105,MATCH(D695,'Company Universe'!$A$6:$A$105,0))</x:f>
        <x:v>Deere &amp; Company</x:v>
      </x:c>
      <x:c r="F695" s="75" t="str">
        <x:f>INDEX('Company Universe'!$C$6:$C$105,MATCH(D695,'Company Universe'!$A$6:$A$105,0))</x:f>
        <x:v>DE</x:v>
      </x:c>
      <x:c r="G695" s="75" t="str">
        <x:f>INDEX('Company Universe'!$F$6:$F$105,MATCH(D695,'Company Universe'!$A$6:$A$105,0))</x:f>
        <x:v>Industrials &amp; Defense</x:v>
      </x:c>
      <x:c r="H695" s="57" t="n">
        <x:v>10</x:v>
      </x:c>
      <x:c r="I695" s="206" t="n"/>
      <x:c r="J695" s="71" t="n"/>
      <x:c r="K695" s="71" t="n"/>
      <x:c r="L695" s="71" t="inlineStr">
        <x:is>
          <x:t xml:space="preserve">NO</x:t>
        </x:is>
      </x:c>
      <x:c r="M695" s="71" t="n"/>
      <x:c r="N695" s="71" t="n"/>
      <x:c r="O695" s="71" t="n"/>
      <x:c r="P695" s="71" t="n"/>
      <x:c r="Q695" s="71" t="n"/>
      <x:c r="R695" s="71" t="n"/>
      <x:c r="S695" s="206" t="n"/>
      <x:c r="T695" s="71" t="n"/>
      <x:c r="U695" s="71" t="n"/>
      <x:c r="V695" s="71" t="n"/>
      <x:c r="W695" s="71" t="n"/>
      <x:c r="X695" s="71" t="n"/>
      <x:c r="Y695" s="71" t="n"/>
      <x:c r="Z695" s="71" t="n"/>
      <x:c r="AA695" s="71" t="n"/>
      <x:c r="AB695" s="71" t="inlineStr">
        <x:is>
          <x:t xml:space="preserve">NO</x:t>
        </x:is>
      </x:c>
      <x:c r="AC695" s="57" t="inlineStr">
        <x:is>
          <x:t xml:space="preserve">V10</x:t>
        </x:is>
      </x:c>
      <x:c r="AD695" s="57" t="n"/>
      <x:c r="AE695" s="79" t="str">
        <x:f>IF(AND(I695&lt;&gt;"",J695&lt;&gt;"",K695&lt;&gt;"",L695="YES",M695&lt;&gt;"",S695&lt;&gt;"",T695&lt;&gt;"",U695&lt;&gt;"",V695&lt;&gt;"",W695&lt;&gt;"",X695&lt;&gt;"",Y695&lt;&gt;""),"COMPLETE","PENDING")</x:f>
        <x:v>PENDING</x:v>
      </x:c>
      <x:c r="AF695" s="79" t="str">
        <x:f>IF(AE695="COMPLETE","YES","NO")</x:f>
        <x:v>NO</x:v>
      </x:c>
      <x:c r="AG695" s="214" t="str">
        <x:f>IF(AF695&lt;&gt;"YES","",(IF(V695="YES",1,0)+IF(W695="YES",1,0))/2)</x:f>
      </x:c>
    </x:row>
    <x:row r="696">
      <x:c r="A696" s="57" t="inlineStr">
        <x:is>
          <x:t xml:space="preserve">C0691</x:t>
        </x:is>
      </x:c>
      <x:c r="B696" s="57" t="inlineStr">
        <x:is>
          <x:t xml:space="preserve">Validation</x:t>
        </x:is>
      </x:c>
      <x:c r="C696" s="57" t="inlineStr">
        <x:is>
          <x:t xml:space="preserve">OPEN</x:t>
        </x:is>
      </x:c>
      <x:c r="D696" s="57" t="inlineStr">
        <x:is>
          <x:t xml:space="preserve">ARG-070</x:t>
        </x:is>
      </x:c>
      <x:c r="E696" s="75" t="str">
        <x:f>INDEX('Company Universe'!$B$6:$B$105,MATCH(D696,'Company Universe'!$A$6:$A$105,0))</x:f>
        <x:v>Rio Tinto</x:v>
      </x:c>
      <x:c r="F696" s="75" t="str">
        <x:f>INDEX('Company Universe'!$C$6:$C$105,MATCH(D696,'Company Universe'!$A$6:$A$105,0))</x:f>
        <x:v>RIO</x:v>
      </x:c>
      <x:c r="G696" s="75" t="str">
        <x:f>INDEX('Company Universe'!$F$6:$F$105,MATCH(D696,'Company Universe'!$A$6:$A$105,0))</x:f>
        <x:v>Materials &amp; Mining</x:v>
      </x:c>
      <x:c r="H696" s="57" t="n">
        <x:v>1</x:v>
      </x:c>
      <x:c r="I696" s="206" t="n"/>
      <x:c r="J696" s="71" t="n"/>
      <x:c r="K696" s="71" t="n"/>
      <x:c r="L696" s="71" t="inlineStr">
        <x:is>
          <x:t xml:space="preserve">NO</x:t>
        </x:is>
      </x:c>
      <x:c r="M696" s="71" t="n"/>
      <x:c r="N696" s="71" t="n"/>
      <x:c r="O696" s="71" t="n"/>
      <x:c r="P696" s="71" t="n"/>
      <x:c r="Q696" s="71" t="n"/>
      <x:c r="R696" s="71" t="n"/>
      <x:c r="S696" s="206" t="n"/>
      <x:c r="T696" s="71" t="n"/>
      <x:c r="U696" s="71" t="n"/>
      <x:c r="V696" s="71" t="n"/>
      <x:c r="W696" s="71" t="n"/>
      <x:c r="X696" s="71" t="n"/>
      <x:c r="Y696" s="71" t="n"/>
      <x:c r="Z696" s="71" t="n"/>
      <x:c r="AA696" s="71" t="n"/>
      <x:c r="AB696" s="71" t="inlineStr">
        <x:is>
          <x:t xml:space="preserve">NO</x:t>
        </x:is>
      </x:c>
      <x:c r="AC696" s="57" t="inlineStr">
        <x:is>
          <x:t xml:space="preserve">V10</x:t>
        </x:is>
      </x:c>
      <x:c r="AD696" s="57" t="n"/>
      <x:c r="AE696" s="79" t="str">
        <x:f>IF(AND(I696&lt;&gt;"",J696&lt;&gt;"",K696&lt;&gt;"",L696="YES",M696&lt;&gt;"",S696&lt;&gt;"",T696&lt;&gt;"",U696&lt;&gt;"",V696&lt;&gt;"",W696&lt;&gt;"",X696&lt;&gt;"",Y696&lt;&gt;""),"COMPLETE","PENDING")</x:f>
        <x:v>PENDING</x:v>
      </x:c>
      <x:c r="AF696" s="79" t="str">
        <x:f>IF(AE696="COMPLETE","YES","NO")</x:f>
        <x:v>NO</x:v>
      </x:c>
      <x:c r="AG696" s="214" t="str">
        <x:f>IF(AF696&lt;&gt;"YES","",(IF(V696="YES",1,0)+IF(W696="YES",1,0))/2)</x:f>
      </x:c>
    </x:row>
    <x:row r="697">
      <x:c r="A697" s="57" t="inlineStr">
        <x:is>
          <x:t xml:space="preserve">C0692</x:t>
        </x:is>
      </x:c>
      <x:c r="B697" s="57" t="inlineStr">
        <x:is>
          <x:t xml:space="preserve">Validation</x:t>
        </x:is>
      </x:c>
      <x:c r="C697" s="57" t="inlineStr">
        <x:is>
          <x:t xml:space="preserve">OPEN</x:t>
        </x:is>
      </x:c>
      <x:c r="D697" s="57" t="inlineStr">
        <x:is>
          <x:t xml:space="preserve">ARG-070</x:t>
        </x:is>
      </x:c>
      <x:c r="E697" s="75" t="str">
        <x:f>INDEX('Company Universe'!$B$6:$B$105,MATCH(D697,'Company Universe'!$A$6:$A$105,0))</x:f>
        <x:v>Rio Tinto</x:v>
      </x:c>
      <x:c r="F697" s="75" t="str">
        <x:f>INDEX('Company Universe'!$C$6:$C$105,MATCH(D697,'Company Universe'!$A$6:$A$105,0))</x:f>
        <x:v>RIO</x:v>
      </x:c>
      <x:c r="G697" s="75" t="str">
        <x:f>INDEX('Company Universe'!$F$6:$F$105,MATCH(D697,'Company Universe'!$A$6:$A$105,0))</x:f>
        <x:v>Materials &amp; Mining</x:v>
      </x:c>
      <x:c r="H697" s="57" t="n">
        <x:v>2</x:v>
      </x:c>
      <x:c r="I697" s="206" t="n"/>
      <x:c r="J697" s="71" t="n"/>
      <x:c r="K697" s="71" t="n"/>
      <x:c r="L697" s="71" t="inlineStr">
        <x:is>
          <x:t xml:space="preserve">NO</x:t>
        </x:is>
      </x:c>
      <x:c r="M697" s="71" t="n"/>
      <x:c r="N697" s="71" t="n"/>
      <x:c r="O697" s="71" t="n"/>
      <x:c r="P697" s="71" t="n"/>
      <x:c r="Q697" s="71" t="n"/>
      <x:c r="R697" s="71" t="n"/>
      <x:c r="S697" s="206" t="n"/>
      <x:c r="T697" s="71" t="n"/>
      <x:c r="U697" s="71" t="n"/>
      <x:c r="V697" s="71" t="n"/>
      <x:c r="W697" s="71" t="n"/>
      <x:c r="X697" s="71" t="n"/>
      <x:c r="Y697" s="71" t="n"/>
      <x:c r="Z697" s="71" t="n"/>
      <x:c r="AA697" s="71" t="n"/>
      <x:c r="AB697" s="71" t="inlineStr">
        <x:is>
          <x:t xml:space="preserve">NO</x:t>
        </x:is>
      </x:c>
      <x:c r="AC697" s="57" t="inlineStr">
        <x:is>
          <x:t xml:space="preserve">V10</x:t>
        </x:is>
      </x:c>
      <x:c r="AD697" s="57" t="n"/>
      <x:c r="AE697" s="79" t="str">
        <x:f>IF(AND(I697&lt;&gt;"",J697&lt;&gt;"",K697&lt;&gt;"",L697="YES",M697&lt;&gt;"",S697&lt;&gt;"",T697&lt;&gt;"",U697&lt;&gt;"",V697&lt;&gt;"",W697&lt;&gt;"",X697&lt;&gt;"",Y697&lt;&gt;""),"COMPLETE","PENDING")</x:f>
        <x:v>PENDING</x:v>
      </x:c>
      <x:c r="AF697" s="79" t="str">
        <x:f>IF(AE697="COMPLETE","YES","NO")</x:f>
        <x:v>NO</x:v>
      </x:c>
      <x:c r="AG697" s="214" t="str">
        <x:f>IF(AF697&lt;&gt;"YES","",(IF(V697="YES",1,0)+IF(W697="YES",1,0))/2)</x:f>
      </x:c>
    </x:row>
    <x:row r="698">
      <x:c r="A698" s="57" t="inlineStr">
        <x:is>
          <x:t xml:space="preserve">C0693</x:t>
        </x:is>
      </x:c>
      <x:c r="B698" s="57" t="inlineStr">
        <x:is>
          <x:t xml:space="preserve">Validation</x:t>
        </x:is>
      </x:c>
      <x:c r="C698" s="57" t="inlineStr">
        <x:is>
          <x:t xml:space="preserve">OPEN</x:t>
        </x:is>
      </x:c>
      <x:c r="D698" s="57" t="inlineStr">
        <x:is>
          <x:t xml:space="preserve">ARG-070</x:t>
        </x:is>
      </x:c>
      <x:c r="E698" s="75" t="str">
        <x:f>INDEX('Company Universe'!$B$6:$B$105,MATCH(D698,'Company Universe'!$A$6:$A$105,0))</x:f>
        <x:v>Rio Tinto</x:v>
      </x:c>
      <x:c r="F698" s="75" t="str">
        <x:f>INDEX('Company Universe'!$C$6:$C$105,MATCH(D698,'Company Universe'!$A$6:$A$105,0))</x:f>
        <x:v>RIO</x:v>
      </x:c>
      <x:c r="G698" s="75" t="str">
        <x:f>INDEX('Company Universe'!$F$6:$F$105,MATCH(D698,'Company Universe'!$A$6:$A$105,0))</x:f>
        <x:v>Materials &amp; Mining</x:v>
      </x:c>
      <x:c r="H698" s="57" t="n">
        <x:v>3</x:v>
      </x:c>
      <x:c r="I698" s="206" t="n"/>
      <x:c r="J698" s="71" t="n"/>
      <x:c r="K698" s="71" t="n"/>
      <x:c r="L698" s="71" t="inlineStr">
        <x:is>
          <x:t xml:space="preserve">NO</x:t>
        </x:is>
      </x:c>
      <x:c r="M698" s="71" t="n"/>
      <x:c r="N698" s="71" t="n"/>
      <x:c r="O698" s="71" t="n"/>
      <x:c r="P698" s="71" t="n"/>
      <x:c r="Q698" s="71" t="n"/>
      <x:c r="R698" s="71" t="n"/>
      <x:c r="S698" s="206" t="n"/>
      <x:c r="T698" s="71" t="n"/>
      <x:c r="U698" s="71" t="n"/>
      <x:c r="V698" s="71" t="n"/>
      <x:c r="W698" s="71" t="n"/>
      <x:c r="X698" s="71" t="n"/>
      <x:c r="Y698" s="71" t="n"/>
      <x:c r="Z698" s="71" t="n"/>
      <x:c r="AA698" s="71" t="n"/>
      <x:c r="AB698" s="71" t="inlineStr">
        <x:is>
          <x:t xml:space="preserve">NO</x:t>
        </x:is>
      </x:c>
      <x:c r="AC698" s="57" t="inlineStr">
        <x:is>
          <x:t xml:space="preserve">V10</x:t>
        </x:is>
      </x:c>
      <x:c r="AD698" s="57" t="n"/>
      <x:c r="AE698" s="79" t="str">
        <x:f>IF(AND(I698&lt;&gt;"",J698&lt;&gt;"",K698&lt;&gt;"",L698="YES",M698&lt;&gt;"",S698&lt;&gt;"",T698&lt;&gt;"",U698&lt;&gt;"",V698&lt;&gt;"",W698&lt;&gt;"",X698&lt;&gt;"",Y698&lt;&gt;""),"COMPLETE","PENDING")</x:f>
        <x:v>PENDING</x:v>
      </x:c>
      <x:c r="AF698" s="79" t="str">
        <x:f>IF(AE698="COMPLETE","YES","NO")</x:f>
        <x:v>NO</x:v>
      </x:c>
      <x:c r="AG698" s="214" t="str">
        <x:f>IF(AF698&lt;&gt;"YES","",(IF(V698="YES",1,0)+IF(W698="YES",1,0))/2)</x:f>
      </x:c>
    </x:row>
    <x:row r="699">
      <x:c r="A699" s="57" t="inlineStr">
        <x:is>
          <x:t xml:space="preserve">C0694</x:t>
        </x:is>
      </x:c>
      <x:c r="B699" s="57" t="inlineStr">
        <x:is>
          <x:t xml:space="preserve">Validation</x:t>
        </x:is>
      </x:c>
      <x:c r="C699" s="57" t="inlineStr">
        <x:is>
          <x:t xml:space="preserve">OPEN</x:t>
        </x:is>
      </x:c>
      <x:c r="D699" s="57" t="inlineStr">
        <x:is>
          <x:t xml:space="preserve">ARG-070</x:t>
        </x:is>
      </x:c>
      <x:c r="E699" s="75" t="str">
        <x:f>INDEX('Company Universe'!$B$6:$B$105,MATCH(D699,'Company Universe'!$A$6:$A$105,0))</x:f>
        <x:v>Rio Tinto</x:v>
      </x:c>
      <x:c r="F699" s="75" t="str">
        <x:f>INDEX('Company Universe'!$C$6:$C$105,MATCH(D699,'Company Universe'!$A$6:$A$105,0))</x:f>
        <x:v>RIO</x:v>
      </x:c>
      <x:c r="G699" s="75" t="str">
        <x:f>INDEX('Company Universe'!$F$6:$F$105,MATCH(D699,'Company Universe'!$A$6:$A$105,0))</x:f>
        <x:v>Materials &amp; Mining</x:v>
      </x:c>
      <x:c r="H699" s="57" t="n">
        <x:v>4</x:v>
      </x:c>
      <x:c r="I699" s="206" t="n"/>
      <x:c r="J699" s="71" t="n"/>
      <x:c r="K699" s="71" t="n"/>
      <x:c r="L699" s="71" t="inlineStr">
        <x:is>
          <x:t xml:space="preserve">NO</x:t>
        </x:is>
      </x:c>
      <x:c r="M699" s="71" t="n"/>
      <x:c r="N699" s="71" t="n"/>
      <x:c r="O699" s="71" t="n"/>
      <x:c r="P699" s="71" t="n"/>
      <x:c r="Q699" s="71" t="n"/>
      <x:c r="R699" s="71" t="n"/>
      <x:c r="S699" s="206" t="n"/>
      <x:c r="T699" s="71" t="n"/>
      <x:c r="U699" s="71" t="n"/>
      <x:c r="V699" s="71" t="n"/>
      <x:c r="W699" s="71" t="n"/>
      <x:c r="X699" s="71" t="n"/>
      <x:c r="Y699" s="71" t="n"/>
      <x:c r="Z699" s="71" t="n"/>
      <x:c r="AA699" s="71" t="n"/>
      <x:c r="AB699" s="71" t="inlineStr">
        <x:is>
          <x:t xml:space="preserve">NO</x:t>
        </x:is>
      </x:c>
      <x:c r="AC699" s="57" t="inlineStr">
        <x:is>
          <x:t xml:space="preserve">V10</x:t>
        </x:is>
      </x:c>
      <x:c r="AD699" s="57" t="n"/>
      <x:c r="AE699" s="79" t="str">
        <x:f>IF(AND(I699&lt;&gt;"",J699&lt;&gt;"",K699&lt;&gt;"",L699="YES",M699&lt;&gt;"",S699&lt;&gt;"",T699&lt;&gt;"",U699&lt;&gt;"",V699&lt;&gt;"",W699&lt;&gt;"",X699&lt;&gt;"",Y699&lt;&gt;""),"COMPLETE","PENDING")</x:f>
        <x:v>PENDING</x:v>
      </x:c>
      <x:c r="AF699" s="79" t="str">
        <x:f>IF(AE699="COMPLETE","YES","NO")</x:f>
        <x:v>NO</x:v>
      </x:c>
      <x:c r="AG699" s="214" t="str">
        <x:f>IF(AF699&lt;&gt;"YES","",(IF(V699="YES",1,0)+IF(W699="YES",1,0))/2)</x:f>
      </x:c>
    </x:row>
    <x:row r="700">
      <x:c r="A700" s="57" t="inlineStr">
        <x:is>
          <x:t xml:space="preserve">C0695</x:t>
        </x:is>
      </x:c>
      <x:c r="B700" s="57" t="inlineStr">
        <x:is>
          <x:t xml:space="preserve">Validation</x:t>
        </x:is>
      </x:c>
      <x:c r="C700" s="57" t="inlineStr">
        <x:is>
          <x:t xml:space="preserve">OPEN</x:t>
        </x:is>
      </x:c>
      <x:c r="D700" s="57" t="inlineStr">
        <x:is>
          <x:t xml:space="preserve">ARG-070</x:t>
        </x:is>
      </x:c>
      <x:c r="E700" s="75" t="str">
        <x:f>INDEX('Company Universe'!$B$6:$B$105,MATCH(D700,'Company Universe'!$A$6:$A$105,0))</x:f>
        <x:v>Rio Tinto</x:v>
      </x:c>
      <x:c r="F700" s="75" t="str">
        <x:f>INDEX('Company Universe'!$C$6:$C$105,MATCH(D700,'Company Universe'!$A$6:$A$105,0))</x:f>
        <x:v>RIO</x:v>
      </x:c>
      <x:c r="G700" s="75" t="str">
        <x:f>INDEX('Company Universe'!$F$6:$F$105,MATCH(D700,'Company Universe'!$A$6:$A$105,0))</x:f>
        <x:v>Materials &amp; Mining</x:v>
      </x:c>
      <x:c r="H700" s="57" t="n">
        <x:v>5</x:v>
      </x:c>
      <x:c r="I700" s="206" t="n"/>
      <x:c r="J700" s="71" t="n"/>
      <x:c r="K700" s="71" t="n"/>
      <x:c r="L700" s="71" t="inlineStr">
        <x:is>
          <x:t xml:space="preserve">NO</x:t>
        </x:is>
      </x:c>
      <x:c r="M700" s="71" t="n"/>
      <x:c r="N700" s="71" t="n"/>
      <x:c r="O700" s="71" t="n"/>
      <x:c r="P700" s="71" t="n"/>
      <x:c r="Q700" s="71" t="n"/>
      <x:c r="R700" s="71" t="n"/>
      <x:c r="S700" s="206" t="n"/>
      <x:c r="T700" s="71" t="n"/>
      <x:c r="U700" s="71" t="n"/>
      <x:c r="V700" s="71" t="n"/>
      <x:c r="W700" s="71" t="n"/>
      <x:c r="X700" s="71" t="n"/>
      <x:c r="Y700" s="71" t="n"/>
      <x:c r="Z700" s="71" t="n"/>
      <x:c r="AA700" s="71" t="n"/>
      <x:c r="AB700" s="71" t="inlineStr">
        <x:is>
          <x:t xml:space="preserve">NO</x:t>
        </x:is>
      </x:c>
      <x:c r="AC700" s="57" t="inlineStr">
        <x:is>
          <x:t xml:space="preserve">V10</x:t>
        </x:is>
      </x:c>
      <x:c r="AD700" s="57" t="n"/>
      <x:c r="AE700" s="79" t="str">
        <x:f>IF(AND(I700&lt;&gt;"",J700&lt;&gt;"",K700&lt;&gt;"",L700="YES",M700&lt;&gt;"",S700&lt;&gt;"",T700&lt;&gt;"",U700&lt;&gt;"",V700&lt;&gt;"",W700&lt;&gt;"",X700&lt;&gt;"",Y700&lt;&gt;""),"COMPLETE","PENDING")</x:f>
        <x:v>PENDING</x:v>
      </x:c>
      <x:c r="AF700" s="79" t="str">
        <x:f>IF(AE700="COMPLETE","YES","NO")</x:f>
        <x:v>NO</x:v>
      </x:c>
      <x:c r="AG700" s="214" t="str">
        <x:f>IF(AF700&lt;&gt;"YES","",(IF(V700="YES",1,0)+IF(W700="YES",1,0))/2)</x:f>
      </x:c>
    </x:row>
    <x:row r="701">
      <x:c r="A701" s="57" t="inlineStr">
        <x:is>
          <x:t xml:space="preserve">C0696</x:t>
        </x:is>
      </x:c>
      <x:c r="B701" s="57" t="inlineStr">
        <x:is>
          <x:t xml:space="preserve">Validation</x:t>
        </x:is>
      </x:c>
      <x:c r="C701" s="57" t="inlineStr">
        <x:is>
          <x:t xml:space="preserve">OPEN</x:t>
        </x:is>
      </x:c>
      <x:c r="D701" s="57" t="inlineStr">
        <x:is>
          <x:t xml:space="preserve">ARG-070</x:t>
        </x:is>
      </x:c>
      <x:c r="E701" s="75" t="str">
        <x:f>INDEX('Company Universe'!$B$6:$B$105,MATCH(D701,'Company Universe'!$A$6:$A$105,0))</x:f>
        <x:v>Rio Tinto</x:v>
      </x:c>
      <x:c r="F701" s="75" t="str">
        <x:f>INDEX('Company Universe'!$C$6:$C$105,MATCH(D701,'Company Universe'!$A$6:$A$105,0))</x:f>
        <x:v>RIO</x:v>
      </x:c>
      <x:c r="G701" s="75" t="str">
        <x:f>INDEX('Company Universe'!$F$6:$F$105,MATCH(D701,'Company Universe'!$A$6:$A$105,0))</x:f>
        <x:v>Materials &amp; Mining</x:v>
      </x:c>
      <x:c r="H701" s="57" t="n">
        <x:v>6</x:v>
      </x:c>
      <x:c r="I701" s="206" t="n"/>
      <x:c r="J701" s="71" t="n"/>
      <x:c r="K701" s="71" t="n"/>
      <x:c r="L701" s="71" t="inlineStr">
        <x:is>
          <x:t xml:space="preserve">NO</x:t>
        </x:is>
      </x:c>
      <x:c r="M701" s="71" t="n"/>
      <x:c r="N701" s="71" t="n"/>
      <x:c r="O701" s="71" t="n"/>
      <x:c r="P701" s="71" t="n"/>
      <x:c r="Q701" s="71" t="n"/>
      <x:c r="R701" s="71" t="n"/>
      <x:c r="S701" s="206" t="n"/>
      <x:c r="T701" s="71" t="n"/>
      <x:c r="U701" s="71" t="n"/>
      <x:c r="V701" s="71" t="n"/>
      <x:c r="W701" s="71" t="n"/>
      <x:c r="X701" s="71" t="n"/>
      <x:c r="Y701" s="71" t="n"/>
      <x:c r="Z701" s="71" t="n"/>
      <x:c r="AA701" s="71" t="n"/>
      <x:c r="AB701" s="71" t="inlineStr">
        <x:is>
          <x:t xml:space="preserve">NO</x:t>
        </x:is>
      </x:c>
      <x:c r="AC701" s="57" t="inlineStr">
        <x:is>
          <x:t xml:space="preserve">V10</x:t>
        </x:is>
      </x:c>
      <x:c r="AD701" s="57" t="n"/>
      <x:c r="AE701" s="79" t="str">
        <x:f>IF(AND(I701&lt;&gt;"",J701&lt;&gt;"",K701&lt;&gt;"",L701="YES",M701&lt;&gt;"",S701&lt;&gt;"",T701&lt;&gt;"",U701&lt;&gt;"",V701&lt;&gt;"",W701&lt;&gt;"",X701&lt;&gt;"",Y701&lt;&gt;""),"COMPLETE","PENDING")</x:f>
        <x:v>PENDING</x:v>
      </x:c>
      <x:c r="AF701" s="79" t="str">
        <x:f>IF(AE701="COMPLETE","YES","NO")</x:f>
        <x:v>NO</x:v>
      </x:c>
      <x:c r="AG701" s="214" t="str">
        <x:f>IF(AF701&lt;&gt;"YES","",(IF(V701="YES",1,0)+IF(W701="YES",1,0))/2)</x:f>
      </x:c>
    </x:row>
    <x:row r="702">
      <x:c r="A702" s="57" t="inlineStr">
        <x:is>
          <x:t xml:space="preserve">C0697</x:t>
        </x:is>
      </x:c>
      <x:c r="B702" s="57" t="inlineStr">
        <x:is>
          <x:t xml:space="preserve">Validation</x:t>
        </x:is>
      </x:c>
      <x:c r="C702" s="57" t="inlineStr">
        <x:is>
          <x:t xml:space="preserve">OPEN</x:t>
        </x:is>
      </x:c>
      <x:c r="D702" s="57" t="inlineStr">
        <x:is>
          <x:t xml:space="preserve">ARG-070</x:t>
        </x:is>
      </x:c>
      <x:c r="E702" s="75" t="str">
        <x:f>INDEX('Company Universe'!$B$6:$B$105,MATCH(D702,'Company Universe'!$A$6:$A$105,0))</x:f>
        <x:v>Rio Tinto</x:v>
      </x:c>
      <x:c r="F702" s="75" t="str">
        <x:f>INDEX('Company Universe'!$C$6:$C$105,MATCH(D702,'Company Universe'!$A$6:$A$105,0))</x:f>
        <x:v>RIO</x:v>
      </x:c>
      <x:c r="G702" s="75" t="str">
        <x:f>INDEX('Company Universe'!$F$6:$F$105,MATCH(D702,'Company Universe'!$A$6:$A$105,0))</x:f>
        <x:v>Materials &amp; Mining</x:v>
      </x:c>
      <x:c r="H702" s="57" t="n">
        <x:v>7</x:v>
      </x:c>
      <x:c r="I702" s="206" t="n"/>
      <x:c r="J702" s="71" t="n"/>
      <x:c r="K702" s="71" t="n"/>
      <x:c r="L702" s="71" t="inlineStr">
        <x:is>
          <x:t xml:space="preserve">NO</x:t>
        </x:is>
      </x:c>
      <x:c r="M702" s="71" t="n"/>
      <x:c r="N702" s="71" t="n"/>
      <x:c r="O702" s="71" t="n"/>
      <x:c r="P702" s="71" t="n"/>
      <x:c r="Q702" s="71" t="n"/>
      <x:c r="R702" s="71" t="n"/>
      <x:c r="S702" s="206" t="n"/>
      <x:c r="T702" s="71" t="n"/>
      <x:c r="U702" s="71" t="n"/>
      <x:c r="V702" s="71" t="n"/>
      <x:c r="W702" s="71" t="n"/>
      <x:c r="X702" s="71" t="n"/>
      <x:c r="Y702" s="71" t="n"/>
      <x:c r="Z702" s="71" t="n"/>
      <x:c r="AA702" s="71" t="n"/>
      <x:c r="AB702" s="71" t="inlineStr">
        <x:is>
          <x:t xml:space="preserve">NO</x:t>
        </x:is>
      </x:c>
      <x:c r="AC702" s="57" t="inlineStr">
        <x:is>
          <x:t xml:space="preserve">V10</x:t>
        </x:is>
      </x:c>
      <x:c r="AD702" s="57" t="n"/>
      <x:c r="AE702" s="79" t="str">
        <x:f>IF(AND(I702&lt;&gt;"",J702&lt;&gt;"",K702&lt;&gt;"",L702="YES",M702&lt;&gt;"",S702&lt;&gt;"",T702&lt;&gt;"",U702&lt;&gt;"",V702&lt;&gt;"",W702&lt;&gt;"",X702&lt;&gt;"",Y702&lt;&gt;""),"COMPLETE","PENDING")</x:f>
        <x:v>PENDING</x:v>
      </x:c>
      <x:c r="AF702" s="79" t="str">
        <x:f>IF(AE702="COMPLETE","YES","NO")</x:f>
        <x:v>NO</x:v>
      </x:c>
      <x:c r="AG702" s="214" t="str">
        <x:f>IF(AF702&lt;&gt;"YES","",(IF(V702="YES",1,0)+IF(W702="YES",1,0))/2)</x:f>
      </x:c>
    </x:row>
    <x:row r="703">
      <x:c r="A703" s="57" t="inlineStr">
        <x:is>
          <x:t xml:space="preserve">C0698</x:t>
        </x:is>
      </x:c>
      <x:c r="B703" s="57" t="inlineStr">
        <x:is>
          <x:t xml:space="preserve">Validation</x:t>
        </x:is>
      </x:c>
      <x:c r="C703" s="57" t="inlineStr">
        <x:is>
          <x:t xml:space="preserve">OPEN</x:t>
        </x:is>
      </x:c>
      <x:c r="D703" s="57" t="inlineStr">
        <x:is>
          <x:t xml:space="preserve">ARG-070</x:t>
        </x:is>
      </x:c>
      <x:c r="E703" s="75" t="str">
        <x:f>INDEX('Company Universe'!$B$6:$B$105,MATCH(D703,'Company Universe'!$A$6:$A$105,0))</x:f>
        <x:v>Rio Tinto</x:v>
      </x:c>
      <x:c r="F703" s="75" t="str">
        <x:f>INDEX('Company Universe'!$C$6:$C$105,MATCH(D703,'Company Universe'!$A$6:$A$105,0))</x:f>
        <x:v>RIO</x:v>
      </x:c>
      <x:c r="G703" s="75" t="str">
        <x:f>INDEX('Company Universe'!$F$6:$F$105,MATCH(D703,'Company Universe'!$A$6:$A$105,0))</x:f>
        <x:v>Materials &amp; Mining</x:v>
      </x:c>
      <x:c r="H703" s="57" t="n">
        <x:v>8</x:v>
      </x:c>
      <x:c r="I703" s="206" t="n"/>
      <x:c r="J703" s="71" t="n"/>
      <x:c r="K703" s="71" t="n"/>
      <x:c r="L703" s="71" t="inlineStr">
        <x:is>
          <x:t xml:space="preserve">NO</x:t>
        </x:is>
      </x:c>
      <x:c r="M703" s="71" t="n"/>
      <x:c r="N703" s="71" t="n"/>
      <x:c r="O703" s="71" t="n"/>
      <x:c r="P703" s="71" t="n"/>
      <x:c r="Q703" s="71" t="n"/>
      <x:c r="R703" s="71" t="n"/>
      <x:c r="S703" s="206" t="n"/>
      <x:c r="T703" s="71" t="n"/>
      <x:c r="U703" s="71" t="n"/>
      <x:c r="V703" s="71" t="n"/>
      <x:c r="W703" s="71" t="n"/>
      <x:c r="X703" s="71" t="n"/>
      <x:c r="Y703" s="71" t="n"/>
      <x:c r="Z703" s="71" t="n"/>
      <x:c r="AA703" s="71" t="n"/>
      <x:c r="AB703" s="71" t="inlineStr">
        <x:is>
          <x:t xml:space="preserve">NO</x:t>
        </x:is>
      </x:c>
      <x:c r="AC703" s="57" t="inlineStr">
        <x:is>
          <x:t xml:space="preserve">V10</x:t>
        </x:is>
      </x:c>
      <x:c r="AD703" s="57" t="n"/>
      <x:c r="AE703" s="79" t="str">
        <x:f>IF(AND(I703&lt;&gt;"",J703&lt;&gt;"",K703&lt;&gt;"",L703="YES",M703&lt;&gt;"",S703&lt;&gt;"",T703&lt;&gt;"",U703&lt;&gt;"",V703&lt;&gt;"",W703&lt;&gt;"",X703&lt;&gt;"",Y703&lt;&gt;""),"COMPLETE","PENDING")</x:f>
        <x:v>PENDING</x:v>
      </x:c>
      <x:c r="AF703" s="79" t="str">
        <x:f>IF(AE703="COMPLETE","YES","NO")</x:f>
        <x:v>NO</x:v>
      </x:c>
      <x:c r="AG703" s="214" t="str">
        <x:f>IF(AF703&lt;&gt;"YES","",(IF(V703="YES",1,0)+IF(W703="YES",1,0))/2)</x:f>
      </x:c>
    </x:row>
    <x:row r="704">
      <x:c r="A704" s="57" t="inlineStr">
        <x:is>
          <x:t xml:space="preserve">C0699</x:t>
        </x:is>
      </x:c>
      <x:c r="B704" s="57" t="inlineStr">
        <x:is>
          <x:t xml:space="preserve">Validation</x:t>
        </x:is>
      </x:c>
      <x:c r="C704" s="57" t="inlineStr">
        <x:is>
          <x:t xml:space="preserve">OPEN</x:t>
        </x:is>
      </x:c>
      <x:c r="D704" s="57" t="inlineStr">
        <x:is>
          <x:t xml:space="preserve">ARG-070</x:t>
        </x:is>
      </x:c>
      <x:c r="E704" s="75" t="str">
        <x:f>INDEX('Company Universe'!$B$6:$B$105,MATCH(D704,'Company Universe'!$A$6:$A$105,0))</x:f>
        <x:v>Rio Tinto</x:v>
      </x:c>
      <x:c r="F704" s="75" t="str">
        <x:f>INDEX('Company Universe'!$C$6:$C$105,MATCH(D704,'Company Universe'!$A$6:$A$105,0))</x:f>
        <x:v>RIO</x:v>
      </x:c>
      <x:c r="G704" s="75" t="str">
        <x:f>INDEX('Company Universe'!$F$6:$F$105,MATCH(D704,'Company Universe'!$A$6:$A$105,0))</x:f>
        <x:v>Materials &amp; Mining</x:v>
      </x:c>
      <x:c r="H704" s="57" t="n">
        <x:v>9</x:v>
      </x:c>
      <x:c r="I704" s="206" t="n"/>
      <x:c r="J704" s="71" t="n"/>
      <x:c r="K704" s="71" t="n"/>
      <x:c r="L704" s="71" t="inlineStr">
        <x:is>
          <x:t xml:space="preserve">NO</x:t>
        </x:is>
      </x:c>
      <x:c r="M704" s="71" t="n"/>
      <x:c r="N704" s="71" t="n"/>
      <x:c r="O704" s="71" t="n"/>
      <x:c r="P704" s="71" t="n"/>
      <x:c r="Q704" s="71" t="n"/>
      <x:c r="R704" s="71" t="n"/>
      <x:c r="S704" s="206" t="n"/>
      <x:c r="T704" s="71" t="n"/>
      <x:c r="U704" s="71" t="n"/>
      <x:c r="V704" s="71" t="n"/>
      <x:c r="W704" s="71" t="n"/>
      <x:c r="X704" s="71" t="n"/>
      <x:c r="Y704" s="71" t="n"/>
      <x:c r="Z704" s="71" t="n"/>
      <x:c r="AA704" s="71" t="n"/>
      <x:c r="AB704" s="71" t="inlineStr">
        <x:is>
          <x:t xml:space="preserve">NO</x:t>
        </x:is>
      </x:c>
      <x:c r="AC704" s="57" t="inlineStr">
        <x:is>
          <x:t xml:space="preserve">V10</x:t>
        </x:is>
      </x:c>
      <x:c r="AD704" s="57" t="n"/>
      <x:c r="AE704" s="79" t="str">
        <x:f>IF(AND(I704&lt;&gt;"",J704&lt;&gt;"",K704&lt;&gt;"",L704="YES",M704&lt;&gt;"",S704&lt;&gt;"",T704&lt;&gt;"",U704&lt;&gt;"",V704&lt;&gt;"",W704&lt;&gt;"",X704&lt;&gt;"",Y704&lt;&gt;""),"COMPLETE","PENDING")</x:f>
        <x:v>PENDING</x:v>
      </x:c>
      <x:c r="AF704" s="79" t="str">
        <x:f>IF(AE704="COMPLETE","YES","NO")</x:f>
        <x:v>NO</x:v>
      </x:c>
      <x:c r="AG704" s="214" t="str">
        <x:f>IF(AF704&lt;&gt;"YES","",(IF(V704="YES",1,0)+IF(W704="YES",1,0))/2)</x:f>
      </x:c>
    </x:row>
    <x:row r="705">
      <x:c r="A705" s="57" t="inlineStr">
        <x:is>
          <x:t xml:space="preserve">C0700</x:t>
        </x:is>
      </x:c>
      <x:c r="B705" s="57" t="inlineStr">
        <x:is>
          <x:t xml:space="preserve">Validation</x:t>
        </x:is>
      </x:c>
      <x:c r="C705" s="57" t="inlineStr">
        <x:is>
          <x:t xml:space="preserve">OPEN</x:t>
        </x:is>
      </x:c>
      <x:c r="D705" s="57" t="inlineStr">
        <x:is>
          <x:t xml:space="preserve">ARG-070</x:t>
        </x:is>
      </x:c>
      <x:c r="E705" s="75" t="str">
        <x:f>INDEX('Company Universe'!$B$6:$B$105,MATCH(D705,'Company Universe'!$A$6:$A$105,0))</x:f>
        <x:v>Rio Tinto</x:v>
      </x:c>
      <x:c r="F705" s="75" t="str">
        <x:f>INDEX('Company Universe'!$C$6:$C$105,MATCH(D705,'Company Universe'!$A$6:$A$105,0))</x:f>
        <x:v>RIO</x:v>
      </x:c>
      <x:c r="G705" s="75" t="str">
        <x:f>INDEX('Company Universe'!$F$6:$F$105,MATCH(D705,'Company Universe'!$A$6:$A$105,0))</x:f>
        <x:v>Materials &amp; Mining</x:v>
      </x:c>
      <x:c r="H705" s="57" t="n">
        <x:v>10</x:v>
      </x:c>
      <x:c r="I705" s="206" t="n"/>
      <x:c r="J705" s="71" t="n"/>
      <x:c r="K705" s="71" t="n"/>
      <x:c r="L705" s="71" t="inlineStr">
        <x:is>
          <x:t xml:space="preserve">NO</x:t>
        </x:is>
      </x:c>
      <x:c r="M705" s="71" t="n"/>
      <x:c r="N705" s="71" t="n"/>
      <x:c r="O705" s="71" t="n"/>
      <x:c r="P705" s="71" t="n"/>
      <x:c r="Q705" s="71" t="n"/>
      <x:c r="R705" s="71" t="n"/>
      <x:c r="S705" s="206" t="n"/>
      <x:c r="T705" s="71" t="n"/>
      <x:c r="U705" s="71" t="n"/>
      <x:c r="V705" s="71" t="n"/>
      <x:c r="W705" s="71" t="n"/>
      <x:c r="X705" s="71" t="n"/>
      <x:c r="Y705" s="71" t="n"/>
      <x:c r="Z705" s="71" t="n"/>
      <x:c r="AA705" s="71" t="n"/>
      <x:c r="AB705" s="71" t="inlineStr">
        <x:is>
          <x:t xml:space="preserve">NO</x:t>
        </x:is>
      </x:c>
      <x:c r="AC705" s="57" t="inlineStr">
        <x:is>
          <x:t xml:space="preserve">V10</x:t>
        </x:is>
      </x:c>
      <x:c r="AD705" s="57" t="n"/>
      <x:c r="AE705" s="79" t="str">
        <x:f>IF(AND(I705&lt;&gt;"",J705&lt;&gt;"",K705&lt;&gt;"",L705="YES",M705&lt;&gt;"",S705&lt;&gt;"",T705&lt;&gt;"",U705&lt;&gt;"",V705&lt;&gt;"",W705&lt;&gt;"",X705&lt;&gt;"",Y705&lt;&gt;""),"COMPLETE","PENDING")</x:f>
        <x:v>PENDING</x:v>
      </x:c>
      <x:c r="AF705" s="79" t="str">
        <x:f>IF(AE705="COMPLETE","YES","NO")</x:f>
        <x:v>NO</x:v>
      </x:c>
      <x:c r="AG705" s="214" t="str">
        <x:f>IF(AF705&lt;&gt;"YES","",(IF(V705="YES",1,0)+IF(W705="YES",1,0))/2)</x:f>
      </x:c>
    </x:row>
    <x:row r="706">
      <x:c r="A706" s="57" t="inlineStr">
        <x:is>
          <x:t xml:space="preserve">C0701</x:t>
        </x:is>
      </x:c>
      <x:c r="B706" s="57" t="inlineStr">
        <x:is>
          <x:t xml:space="preserve">Validation</x:t>
        </x:is>
      </x:c>
      <x:c r="C706" s="57" t="inlineStr">
        <x:is>
          <x:t xml:space="preserve">OPEN</x:t>
        </x:is>
      </x:c>
      <x:c r="D706" s="57" t="inlineStr">
        <x:is>
          <x:t xml:space="preserve">ARG-071</x:t>
        </x:is>
      </x:c>
      <x:c r="E706" s="75" t="str">
        <x:f>INDEX('Company Universe'!$B$6:$B$105,MATCH(D706,'Company Universe'!$A$6:$A$105,0))</x:f>
        <x:v>Linde</x:v>
      </x:c>
      <x:c r="F706" s="75" t="str">
        <x:f>INDEX('Company Universe'!$C$6:$C$105,MATCH(D706,'Company Universe'!$A$6:$A$105,0))</x:f>
        <x:v>LIN</x:v>
      </x:c>
      <x:c r="G706" s="75" t="str">
        <x:f>INDEX('Company Universe'!$F$6:$F$105,MATCH(D706,'Company Universe'!$A$6:$A$105,0))</x:f>
        <x:v>Materials &amp; Mining</x:v>
      </x:c>
      <x:c r="H706" s="57" t="n">
        <x:v>1</x:v>
      </x:c>
      <x:c r="I706" s="206" t="n"/>
      <x:c r="J706" s="71" t="n"/>
      <x:c r="K706" s="71" t="n"/>
      <x:c r="L706" s="71" t="inlineStr">
        <x:is>
          <x:t xml:space="preserve">NO</x:t>
        </x:is>
      </x:c>
      <x:c r="M706" s="71" t="n"/>
      <x:c r="N706" s="71" t="n"/>
      <x:c r="O706" s="71" t="n"/>
      <x:c r="P706" s="71" t="n"/>
      <x:c r="Q706" s="71" t="n"/>
      <x:c r="R706" s="71" t="n"/>
      <x:c r="S706" s="206" t="n"/>
      <x:c r="T706" s="71" t="n"/>
      <x:c r="U706" s="71" t="n"/>
      <x:c r="V706" s="71" t="n"/>
      <x:c r="W706" s="71" t="n"/>
      <x:c r="X706" s="71" t="n"/>
      <x:c r="Y706" s="71" t="n"/>
      <x:c r="Z706" s="71" t="n"/>
      <x:c r="AA706" s="71" t="n"/>
      <x:c r="AB706" s="71" t="inlineStr">
        <x:is>
          <x:t xml:space="preserve">NO</x:t>
        </x:is>
      </x:c>
      <x:c r="AC706" s="57" t="inlineStr">
        <x:is>
          <x:t xml:space="preserve">V10</x:t>
        </x:is>
      </x:c>
      <x:c r="AD706" s="57" t="n"/>
      <x:c r="AE706" s="79" t="str">
        <x:f>IF(AND(I706&lt;&gt;"",J706&lt;&gt;"",K706&lt;&gt;"",L706="YES",M706&lt;&gt;"",S706&lt;&gt;"",T706&lt;&gt;"",U706&lt;&gt;"",V706&lt;&gt;"",W706&lt;&gt;"",X706&lt;&gt;"",Y706&lt;&gt;""),"COMPLETE","PENDING")</x:f>
        <x:v>PENDING</x:v>
      </x:c>
      <x:c r="AF706" s="79" t="str">
        <x:f>IF(AE706="COMPLETE","YES","NO")</x:f>
        <x:v>NO</x:v>
      </x:c>
      <x:c r="AG706" s="214" t="str">
        <x:f>IF(AF706&lt;&gt;"YES","",(IF(V706="YES",1,0)+IF(W706="YES",1,0))/2)</x:f>
      </x:c>
    </x:row>
    <x:row r="707">
      <x:c r="A707" s="57" t="inlineStr">
        <x:is>
          <x:t xml:space="preserve">C0702</x:t>
        </x:is>
      </x:c>
      <x:c r="B707" s="57" t="inlineStr">
        <x:is>
          <x:t xml:space="preserve">Validation</x:t>
        </x:is>
      </x:c>
      <x:c r="C707" s="57" t="inlineStr">
        <x:is>
          <x:t xml:space="preserve">OPEN</x:t>
        </x:is>
      </x:c>
      <x:c r="D707" s="57" t="inlineStr">
        <x:is>
          <x:t xml:space="preserve">ARG-071</x:t>
        </x:is>
      </x:c>
      <x:c r="E707" s="75" t="str">
        <x:f>INDEX('Company Universe'!$B$6:$B$105,MATCH(D707,'Company Universe'!$A$6:$A$105,0))</x:f>
        <x:v>Linde</x:v>
      </x:c>
      <x:c r="F707" s="75" t="str">
        <x:f>INDEX('Company Universe'!$C$6:$C$105,MATCH(D707,'Company Universe'!$A$6:$A$105,0))</x:f>
        <x:v>LIN</x:v>
      </x:c>
      <x:c r="G707" s="75" t="str">
        <x:f>INDEX('Company Universe'!$F$6:$F$105,MATCH(D707,'Company Universe'!$A$6:$A$105,0))</x:f>
        <x:v>Materials &amp; Mining</x:v>
      </x:c>
      <x:c r="H707" s="57" t="n">
        <x:v>2</x:v>
      </x:c>
      <x:c r="I707" s="206" t="n"/>
      <x:c r="J707" s="71" t="n"/>
      <x:c r="K707" s="71" t="n"/>
      <x:c r="L707" s="71" t="inlineStr">
        <x:is>
          <x:t xml:space="preserve">NO</x:t>
        </x:is>
      </x:c>
      <x:c r="M707" s="71" t="n"/>
      <x:c r="N707" s="71" t="n"/>
      <x:c r="O707" s="71" t="n"/>
      <x:c r="P707" s="71" t="n"/>
      <x:c r="Q707" s="71" t="n"/>
      <x:c r="R707" s="71" t="n"/>
      <x:c r="S707" s="206" t="n"/>
      <x:c r="T707" s="71" t="n"/>
      <x:c r="U707" s="71" t="n"/>
      <x:c r="V707" s="71" t="n"/>
      <x:c r="W707" s="71" t="n"/>
      <x:c r="X707" s="71" t="n"/>
      <x:c r="Y707" s="71" t="n"/>
      <x:c r="Z707" s="71" t="n"/>
      <x:c r="AA707" s="71" t="n"/>
      <x:c r="AB707" s="71" t="inlineStr">
        <x:is>
          <x:t xml:space="preserve">NO</x:t>
        </x:is>
      </x:c>
      <x:c r="AC707" s="57" t="inlineStr">
        <x:is>
          <x:t xml:space="preserve">V10</x:t>
        </x:is>
      </x:c>
      <x:c r="AD707" s="57" t="n"/>
      <x:c r="AE707" s="79" t="str">
        <x:f>IF(AND(I707&lt;&gt;"",J707&lt;&gt;"",K707&lt;&gt;"",L707="YES",M707&lt;&gt;"",S707&lt;&gt;"",T707&lt;&gt;"",U707&lt;&gt;"",V707&lt;&gt;"",W707&lt;&gt;"",X707&lt;&gt;"",Y707&lt;&gt;""),"COMPLETE","PENDING")</x:f>
        <x:v>PENDING</x:v>
      </x:c>
      <x:c r="AF707" s="79" t="str">
        <x:f>IF(AE707="COMPLETE","YES","NO")</x:f>
        <x:v>NO</x:v>
      </x:c>
      <x:c r="AG707" s="214" t="str">
        <x:f>IF(AF707&lt;&gt;"YES","",(IF(V707="YES",1,0)+IF(W707="YES",1,0))/2)</x:f>
      </x:c>
    </x:row>
    <x:row r="708">
      <x:c r="A708" s="57" t="inlineStr">
        <x:is>
          <x:t xml:space="preserve">C0703</x:t>
        </x:is>
      </x:c>
      <x:c r="B708" s="57" t="inlineStr">
        <x:is>
          <x:t xml:space="preserve">Validation</x:t>
        </x:is>
      </x:c>
      <x:c r="C708" s="57" t="inlineStr">
        <x:is>
          <x:t xml:space="preserve">OPEN</x:t>
        </x:is>
      </x:c>
      <x:c r="D708" s="57" t="inlineStr">
        <x:is>
          <x:t xml:space="preserve">ARG-071</x:t>
        </x:is>
      </x:c>
      <x:c r="E708" s="75" t="str">
        <x:f>INDEX('Company Universe'!$B$6:$B$105,MATCH(D708,'Company Universe'!$A$6:$A$105,0))</x:f>
        <x:v>Linde</x:v>
      </x:c>
      <x:c r="F708" s="75" t="str">
        <x:f>INDEX('Company Universe'!$C$6:$C$105,MATCH(D708,'Company Universe'!$A$6:$A$105,0))</x:f>
        <x:v>LIN</x:v>
      </x:c>
      <x:c r="G708" s="75" t="str">
        <x:f>INDEX('Company Universe'!$F$6:$F$105,MATCH(D708,'Company Universe'!$A$6:$A$105,0))</x:f>
        <x:v>Materials &amp; Mining</x:v>
      </x:c>
      <x:c r="H708" s="57" t="n">
        <x:v>3</x:v>
      </x:c>
      <x:c r="I708" s="206" t="n"/>
      <x:c r="J708" s="71" t="n"/>
      <x:c r="K708" s="71" t="n"/>
      <x:c r="L708" s="71" t="inlineStr">
        <x:is>
          <x:t xml:space="preserve">NO</x:t>
        </x:is>
      </x:c>
      <x:c r="M708" s="71" t="n"/>
      <x:c r="N708" s="71" t="n"/>
      <x:c r="O708" s="71" t="n"/>
      <x:c r="P708" s="71" t="n"/>
      <x:c r="Q708" s="71" t="n"/>
      <x:c r="R708" s="71" t="n"/>
      <x:c r="S708" s="206" t="n"/>
      <x:c r="T708" s="71" t="n"/>
      <x:c r="U708" s="71" t="n"/>
      <x:c r="V708" s="71" t="n"/>
      <x:c r="W708" s="71" t="n"/>
      <x:c r="X708" s="71" t="n"/>
      <x:c r="Y708" s="71" t="n"/>
      <x:c r="Z708" s="71" t="n"/>
      <x:c r="AA708" s="71" t="n"/>
      <x:c r="AB708" s="71" t="inlineStr">
        <x:is>
          <x:t xml:space="preserve">NO</x:t>
        </x:is>
      </x:c>
      <x:c r="AC708" s="57" t="inlineStr">
        <x:is>
          <x:t xml:space="preserve">V10</x:t>
        </x:is>
      </x:c>
      <x:c r="AD708" s="57" t="n"/>
      <x:c r="AE708" s="79" t="str">
        <x:f>IF(AND(I708&lt;&gt;"",J708&lt;&gt;"",K708&lt;&gt;"",L708="YES",M708&lt;&gt;"",S708&lt;&gt;"",T708&lt;&gt;"",U708&lt;&gt;"",V708&lt;&gt;"",W708&lt;&gt;"",X708&lt;&gt;"",Y708&lt;&gt;""),"COMPLETE","PENDING")</x:f>
        <x:v>PENDING</x:v>
      </x:c>
      <x:c r="AF708" s="79" t="str">
        <x:f>IF(AE708="COMPLETE","YES","NO")</x:f>
        <x:v>NO</x:v>
      </x:c>
      <x:c r="AG708" s="214" t="str">
        <x:f>IF(AF708&lt;&gt;"YES","",(IF(V708="YES",1,0)+IF(W708="YES",1,0))/2)</x:f>
      </x:c>
    </x:row>
    <x:row r="709">
      <x:c r="A709" s="57" t="inlineStr">
        <x:is>
          <x:t xml:space="preserve">C0704</x:t>
        </x:is>
      </x:c>
      <x:c r="B709" s="57" t="inlineStr">
        <x:is>
          <x:t xml:space="preserve">Validation</x:t>
        </x:is>
      </x:c>
      <x:c r="C709" s="57" t="inlineStr">
        <x:is>
          <x:t xml:space="preserve">OPEN</x:t>
        </x:is>
      </x:c>
      <x:c r="D709" s="57" t="inlineStr">
        <x:is>
          <x:t xml:space="preserve">ARG-071</x:t>
        </x:is>
      </x:c>
      <x:c r="E709" s="75" t="str">
        <x:f>INDEX('Company Universe'!$B$6:$B$105,MATCH(D709,'Company Universe'!$A$6:$A$105,0))</x:f>
        <x:v>Linde</x:v>
      </x:c>
      <x:c r="F709" s="75" t="str">
        <x:f>INDEX('Company Universe'!$C$6:$C$105,MATCH(D709,'Company Universe'!$A$6:$A$105,0))</x:f>
        <x:v>LIN</x:v>
      </x:c>
      <x:c r="G709" s="75" t="str">
        <x:f>INDEX('Company Universe'!$F$6:$F$105,MATCH(D709,'Company Universe'!$A$6:$A$105,0))</x:f>
        <x:v>Materials &amp; Mining</x:v>
      </x:c>
      <x:c r="H709" s="57" t="n">
        <x:v>4</x:v>
      </x:c>
      <x:c r="I709" s="206" t="n"/>
      <x:c r="J709" s="71" t="n"/>
      <x:c r="K709" s="71" t="n"/>
      <x:c r="L709" s="71" t="inlineStr">
        <x:is>
          <x:t xml:space="preserve">NO</x:t>
        </x:is>
      </x:c>
      <x:c r="M709" s="71" t="n"/>
      <x:c r="N709" s="71" t="n"/>
      <x:c r="O709" s="71" t="n"/>
      <x:c r="P709" s="71" t="n"/>
      <x:c r="Q709" s="71" t="n"/>
      <x:c r="R709" s="71" t="n"/>
      <x:c r="S709" s="206" t="n"/>
      <x:c r="T709" s="71" t="n"/>
      <x:c r="U709" s="71" t="n"/>
      <x:c r="V709" s="71" t="n"/>
      <x:c r="W709" s="71" t="n"/>
      <x:c r="X709" s="71" t="n"/>
      <x:c r="Y709" s="71" t="n"/>
      <x:c r="Z709" s="71" t="n"/>
      <x:c r="AA709" s="71" t="n"/>
      <x:c r="AB709" s="71" t="inlineStr">
        <x:is>
          <x:t xml:space="preserve">NO</x:t>
        </x:is>
      </x:c>
      <x:c r="AC709" s="57" t="inlineStr">
        <x:is>
          <x:t xml:space="preserve">V10</x:t>
        </x:is>
      </x:c>
      <x:c r="AD709" s="57" t="n"/>
      <x:c r="AE709" s="79" t="str">
        <x:f>IF(AND(I709&lt;&gt;"",J709&lt;&gt;"",K709&lt;&gt;"",L709="YES",M709&lt;&gt;"",S709&lt;&gt;"",T709&lt;&gt;"",U709&lt;&gt;"",V709&lt;&gt;"",W709&lt;&gt;"",X709&lt;&gt;"",Y709&lt;&gt;""),"COMPLETE","PENDING")</x:f>
        <x:v>PENDING</x:v>
      </x:c>
      <x:c r="AF709" s="79" t="str">
        <x:f>IF(AE709="COMPLETE","YES","NO")</x:f>
        <x:v>NO</x:v>
      </x:c>
      <x:c r="AG709" s="214" t="str">
        <x:f>IF(AF709&lt;&gt;"YES","",(IF(V709="YES",1,0)+IF(W709="YES",1,0))/2)</x:f>
      </x:c>
    </x:row>
    <x:row r="710">
      <x:c r="A710" s="57" t="inlineStr">
        <x:is>
          <x:t xml:space="preserve">C0705</x:t>
        </x:is>
      </x:c>
      <x:c r="B710" s="57" t="inlineStr">
        <x:is>
          <x:t xml:space="preserve">Validation</x:t>
        </x:is>
      </x:c>
      <x:c r="C710" s="57" t="inlineStr">
        <x:is>
          <x:t xml:space="preserve">OPEN</x:t>
        </x:is>
      </x:c>
      <x:c r="D710" s="57" t="inlineStr">
        <x:is>
          <x:t xml:space="preserve">ARG-071</x:t>
        </x:is>
      </x:c>
      <x:c r="E710" s="75" t="str">
        <x:f>INDEX('Company Universe'!$B$6:$B$105,MATCH(D710,'Company Universe'!$A$6:$A$105,0))</x:f>
        <x:v>Linde</x:v>
      </x:c>
      <x:c r="F710" s="75" t="str">
        <x:f>INDEX('Company Universe'!$C$6:$C$105,MATCH(D710,'Company Universe'!$A$6:$A$105,0))</x:f>
        <x:v>LIN</x:v>
      </x:c>
      <x:c r="G710" s="75" t="str">
        <x:f>INDEX('Company Universe'!$F$6:$F$105,MATCH(D710,'Company Universe'!$A$6:$A$105,0))</x:f>
        <x:v>Materials &amp; Mining</x:v>
      </x:c>
      <x:c r="H710" s="57" t="n">
        <x:v>5</x:v>
      </x:c>
      <x:c r="I710" s="206" t="n"/>
      <x:c r="J710" s="71" t="n"/>
      <x:c r="K710" s="71" t="n"/>
      <x:c r="L710" s="71" t="inlineStr">
        <x:is>
          <x:t xml:space="preserve">NO</x:t>
        </x:is>
      </x:c>
      <x:c r="M710" s="71" t="n"/>
      <x:c r="N710" s="71" t="n"/>
      <x:c r="O710" s="71" t="n"/>
      <x:c r="P710" s="71" t="n"/>
      <x:c r="Q710" s="71" t="n"/>
      <x:c r="R710" s="71" t="n"/>
      <x:c r="S710" s="206" t="n"/>
      <x:c r="T710" s="71" t="n"/>
      <x:c r="U710" s="71" t="n"/>
      <x:c r="V710" s="71" t="n"/>
      <x:c r="W710" s="71" t="n"/>
      <x:c r="X710" s="71" t="n"/>
      <x:c r="Y710" s="71" t="n"/>
      <x:c r="Z710" s="71" t="n"/>
      <x:c r="AA710" s="71" t="n"/>
      <x:c r="AB710" s="71" t="inlineStr">
        <x:is>
          <x:t xml:space="preserve">NO</x:t>
        </x:is>
      </x:c>
      <x:c r="AC710" s="57" t="inlineStr">
        <x:is>
          <x:t xml:space="preserve">V10</x:t>
        </x:is>
      </x:c>
      <x:c r="AD710" s="57" t="n"/>
      <x:c r="AE710" s="79" t="str">
        <x:f>IF(AND(I710&lt;&gt;"",J710&lt;&gt;"",K710&lt;&gt;"",L710="YES",M710&lt;&gt;"",S710&lt;&gt;"",T710&lt;&gt;"",U710&lt;&gt;"",V710&lt;&gt;"",W710&lt;&gt;"",X710&lt;&gt;"",Y710&lt;&gt;""),"COMPLETE","PENDING")</x:f>
        <x:v>PENDING</x:v>
      </x:c>
      <x:c r="AF710" s="79" t="str">
        <x:f>IF(AE710="COMPLETE","YES","NO")</x:f>
        <x:v>NO</x:v>
      </x:c>
      <x:c r="AG710" s="214" t="str">
        <x:f>IF(AF710&lt;&gt;"YES","",(IF(V710="YES",1,0)+IF(W710="YES",1,0))/2)</x:f>
      </x:c>
    </x:row>
    <x:row r="711">
      <x:c r="A711" s="57" t="inlineStr">
        <x:is>
          <x:t xml:space="preserve">C0706</x:t>
        </x:is>
      </x:c>
      <x:c r="B711" s="57" t="inlineStr">
        <x:is>
          <x:t xml:space="preserve">Validation</x:t>
        </x:is>
      </x:c>
      <x:c r="C711" s="57" t="inlineStr">
        <x:is>
          <x:t xml:space="preserve">OPEN</x:t>
        </x:is>
      </x:c>
      <x:c r="D711" s="57" t="inlineStr">
        <x:is>
          <x:t xml:space="preserve">ARG-071</x:t>
        </x:is>
      </x:c>
      <x:c r="E711" s="75" t="str">
        <x:f>INDEX('Company Universe'!$B$6:$B$105,MATCH(D711,'Company Universe'!$A$6:$A$105,0))</x:f>
        <x:v>Linde</x:v>
      </x:c>
      <x:c r="F711" s="75" t="str">
        <x:f>INDEX('Company Universe'!$C$6:$C$105,MATCH(D711,'Company Universe'!$A$6:$A$105,0))</x:f>
        <x:v>LIN</x:v>
      </x:c>
      <x:c r="G711" s="75" t="str">
        <x:f>INDEX('Company Universe'!$F$6:$F$105,MATCH(D711,'Company Universe'!$A$6:$A$105,0))</x:f>
        <x:v>Materials &amp; Mining</x:v>
      </x:c>
      <x:c r="H711" s="57" t="n">
        <x:v>6</x:v>
      </x:c>
      <x:c r="I711" s="206" t="n"/>
      <x:c r="J711" s="71" t="n"/>
      <x:c r="K711" s="71" t="n"/>
      <x:c r="L711" s="71" t="inlineStr">
        <x:is>
          <x:t xml:space="preserve">NO</x:t>
        </x:is>
      </x:c>
      <x:c r="M711" s="71" t="n"/>
      <x:c r="N711" s="71" t="n"/>
      <x:c r="O711" s="71" t="n"/>
      <x:c r="P711" s="71" t="n"/>
      <x:c r="Q711" s="71" t="n"/>
      <x:c r="R711" s="71" t="n"/>
      <x:c r="S711" s="206" t="n"/>
      <x:c r="T711" s="71" t="n"/>
      <x:c r="U711" s="71" t="n"/>
      <x:c r="V711" s="71" t="n"/>
      <x:c r="W711" s="71" t="n"/>
      <x:c r="X711" s="71" t="n"/>
      <x:c r="Y711" s="71" t="n"/>
      <x:c r="Z711" s="71" t="n"/>
      <x:c r="AA711" s="71" t="n"/>
      <x:c r="AB711" s="71" t="inlineStr">
        <x:is>
          <x:t xml:space="preserve">NO</x:t>
        </x:is>
      </x:c>
      <x:c r="AC711" s="57" t="inlineStr">
        <x:is>
          <x:t xml:space="preserve">V10</x:t>
        </x:is>
      </x:c>
      <x:c r="AD711" s="57" t="n"/>
      <x:c r="AE711" s="79" t="str">
        <x:f>IF(AND(I711&lt;&gt;"",J711&lt;&gt;"",K711&lt;&gt;"",L711="YES",M711&lt;&gt;"",S711&lt;&gt;"",T711&lt;&gt;"",U711&lt;&gt;"",V711&lt;&gt;"",W711&lt;&gt;"",X711&lt;&gt;"",Y711&lt;&gt;""),"COMPLETE","PENDING")</x:f>
        <x:v>PENDING</x:v>
      </x:c>
      <x:c r="AF711" s="79" t="str">
        <x:f>IF(AE711="COMPLETE","YES","NO")</x:f>
        <x:v>NO</x:v>
      </x:c>
      <x:c r="AG711" s="214" t="str">
        <x:f>IF(AF711&lt;&gt;"YES","",(IF(V711="YES",1,0)+IF(W711="YES",1,0))/2)</x:f>
      </x:c>
    </x:row>
    <x:row r="712">
      <x:c r="A712" s="57" t="inlineStr">
        <x:is>
          <x:t xml:space="preserve">C0707</x:t>
        </x:is>
      </x:c>
      <x:c r="B712" s="57" t="inlineStr">
        <x:is>
          <x:t xml:space="preserve">Validation</x:t>
        </x:is>
      </x:c>
      <x:c r="C712" s="57" t="inlineStr">
        <x:is>
          <x:t xml:space="preserve">OPEN</x:t>
        </x:is>
      </x:c>
      <x:c r="D712" s="57" t="inlineStr">
        <x:is>
          <x:t xml:space="preserve">ARG-071</x:t>
        </x:is>
      </x:c>
      <x:c r="E712" s="75" t="str">
        <x:f>INDEX('Company Universe'!$B$6:$B$105,MATCH(D712,'Company Universe'!$A$6:$A$105,0))</x:f>
        <x:v>Linde</x:v>
      </x:c>
      <x:c r="F712" s="75" t="str">
        <x:f>INDEX('Company Universe'!$C$6:$C$105,MATCH(D712,'Company Universe'!$A$6:$A$105,0))</x:f>
        <x:v>LIN</x:v>
      </x:c>
      <x:c r="G712" s="75" t="str">
        <x:f>INDEX('Company Universe'!$F$6:$F$105,MATCH(D712,'Company Universe'!$A$6:$A$105,0))</x:f>
        <x:v>Materials &amp; Mining</x:v>
      </x:c>
      <x:c r="H712" s="57" t="n">
        <x:v>7</x:v>
      </x:c>
      <x:c r="I712" s="206" t="n"/>
      <x:c r="J712" s="71" t="n"/>
      <x:c r="K712" s="71" t="n"/>
      <x:c r="L712" s="71" t="inlineStr">
        <x:is>
          <x:t xml:space="preserve">NO</x:t>
        </x:is>
      </x:c>
      <x:c r="M712" s="71" t="n"/>
      <x:c r="N712" s="71" t="n"/>
      <x:c r="O712" s="71" t="n"/>
      <x:c r="P712" s="71" t="n"/>
      <x:c r="Q712" s="71" t="n"/>
      <x:c r="R712" s="71" t="n"/>
      <x:c r="S712" s="206" t="n"/>
      <x:c r="T712" s="71" t="n"/>
      <x:c r="U712" s="71" t="n"/>
      <x:c r="V712" s="71" t="n"/>
      <x:c r="W712" s="71" t="n"/>
      <x:c r="X712" s="71" t="n"/>
      <x:c r="Y712" s="71" t="n"/>
      <x:c r="Z712" s="71" t="n"/>
      <x:c r="AA712" s="71" t="n"/>
      <x:c r="AB712" s="71" t="inlineStr">
        <x:is>
          <x:t xml:space="preserve">NO</x:t>
        </x:is>
      </x:c>
      <x:c r="AC712" s="57" t="inlineStr">
        <x:is>
          <x:t xml:space="preserve">V10</x:t>
        </x:is>
      </x:c>
      <x:c r="AD712" s="57" t="n"/>
      <x:c r="AE712" s="79" t="str">
        <x:f>IF(AND(I712&lt;&gt;"",J712&lt;&gt;"",K712&lt;&gt;"",L712="YES",M712&lt;&gt;"",S712&lt;&gt;"",T712&lt;&gt;"",U712&lt;&gt;"",V712&lt;&gt;"",W712&lt;&gt;"",X712&lt;&gt;"",Y712&lt;&gt;""),"COMPLETE","PENDING")</x:f>
        <x:v>PENDING</x:v>
      </x:c>
      <x:c r="AF712" s="79" t="str">
        <x:f>IF(AE712="COMPLETE","YES","NO")</x:f>
        <x:v>NO</x:v>
      </x:c>
      <x:c r="AG712" s="214" t="str">
        <x:f>IF(AF712&lt;&gt;"YES","",(IF(V712="YES",1,0)+IF(W712="YES",1,0))/2)</x:f>
      </x:c>
    </x:row>
    <x:row r="713">
      <x:c r="A713" s="57" t="inlineStr">
        <x:is>
          <x:t xml:space="preserve">C0708</x:t>
        </x:is>
      </x:c>
      <x:c r="B713" s="57" t="inlineStr">
        <x:is>
          <x:t xml:space="preserve">Validation</x:t>
        </x:is>
      </x:c>
      <x:c r="C713" s="57" t="inlineStr">
        <x:is>
          <x:t xml:space="preserve">OPEN</x:t>
        </x:is>
      </x:c>
      <x:c r="D713" s="57" t="inlineStr">
        <x:is>
          <x:t xml:space="preserve">ARG-071</x:t>
        </x:is>
      </x:c>
      <x:c r="E713" s="75" t="str">
        <x:f>INDEX('Company Universe'!$B$6:$B$105,MATCH(D713,'Company Universe'!$A$6:$A$105,0))</x:f>
        <x:v>Linde</x:v>
      </x:c>
      <x:c r="F713" s="75" t="str">
        <x:f>INDEX('Company Universe'!$C$6:$C$105,MATCH(D713,'Company Universe'!$A$6:$A$105,0))</x:f>
        <x:v>LIN</x:v>
      </x:c>
      <x:c r="G713" s="75" t="str">
        <x:f>INDEX('Company Universe'!$F$6:$F$105,MATCH(D713,'Company Universe'!$A$6:$A$105,0))</x:f>
        <x:v>Materials &amp; Mining</x:v>
      </x:c>
      <x:c r="H713" s="57" t="n">
        <x:v>8</x:v>
      </x:c>
      <x:c r="I713" s="206" t="n"/>
      <x:c r="J713" s="71" t="n"/>
      <x:c r="K713" s="71" t="n"/>
      <x:c r="L713" s="71" t="inlineStr">
        <x:is>
          <x:t xml:space="preserve">NO</x:t>
        </x:is>
      </x:c>
      <x:c r="M713" s="71" t="n"/>
      <x:c r="N713" s="71" t="n"/>
      <x:c r="O713" s="71" t="n"/>
      <x:c r="P713" s="71" t="n"/>
      <x:c r="Q713" s="71" t="n"/>
      <x:c r="R713" s="71" t="n"/>
      <x:c r="S713" s="206" t="n"/>
      <x:c r="T713" s="71" t="n"/>
      <x:c r="U713" s="71" t="n"/>
      <x:c r="V713" s="71" t="n"/>
      <x:c r="W713" s="71" t="n"/>
      <x:c r="X713" s="71" t="n"/>
      <x:c r="Y713" s="71" t="n"/>
      <x:c r="Z713" s="71" t="n"/>
      <x:c r="AA713" s="71" t="n"/>
      <x:c r="AB713" s="71" t="inlineStr">
        <x:is>
          <x:t xml:space="preserve">NO</x:t>
        </x:is>
      </x:c>
      <x:c r="AC713" s="57" t="inlineStr">
        <x:is>
          <x:t xml:space="preserve">V10</x:t>
        </x:is>
      </x:c>
      <x:c r="AD713" s="57" t="n"/>
      <x:c r="AE713" s="79" t="str">
        <x:f>IF(AND(I713&lt;&gt;"",J713&lt;&gt;"",K713&lt;&gt;"",L713="YES",M713&lt;&gt;"",S713&lt;&gt;"",T713&lt;&gt;"",U713&lt;&gt;"",V713&lt;&gt;"",W713&lt;&gt;"",X713&lt;&gt;"",Y713&lt;&gt;""),"COMPLETE","PENDING")</x:f>
        <x:v>PENDING</x:v>
      </x:c>
      <x:c r="AF713" s="79" t="str">
        <x:f>IF(AE713="COMPLETE","YES","NO")</x:f>
        <x:v>NO</x:v>
      </x:c>
      <x:c r="AG713" s="214" t="str">
        <x:f>IF(AF713&lt;&gt;"YES","",(IF(V713="YES",1,0)+IF(W713="YES",1,0))/2)</x:f>
      </x:c>
    </x:row>
    <x:row r="714">
      <x:c r="A714" s="57" t="inlineStr">
        <x:is>
          <x:t xml:space="preserve">C0709</x:t>
        </x:is>
      </x:c>
      <x:c r="B714" s="57" t="inlineStr">
        <x:is>
          <x:t xml:space="preserve">Validation</x:t>
        </x:is>
      </x:c>
      <x:c r="C714" s="57" t="inlineStr">
        <x:is>
          <x:t xml:space="preserve">OPEN</x:t>
        </x:is>
      </x:c>
      <x:c r="D714" s="57" t="inlineStr">
        <x:is>
          <x:t xml:space="preserve">ARG-071</x:t>
        </x:is>
      </x:c>
      <x:c r="E714" s="75" t="str">
        <x:f>INDEX('Company Universe'!$B$6:$B$105,MATCH(D714,'Company Universe'!$A$6:$A$105,0))</x:f>
        <x:v>Linde</x:v>
      </x:c>
      <x:c r="F714" s="75" t="str">
        <x:f>INDEX('Company Universe'!$C$6:$C$105,MATCH(D714,'Company Universe'!$A$6:$A$105,0))</x:f>
        <x:v>LIN</x:v>
      </x:c>
      <x:c r="G714" s="75" t="str">
        <x:f>INDEX('Company Universe'!$F$6:$F$105,MATCH(D714,'Company Universe'!$A$6:$A$105,0))</x:f>
        <x:v>Materials &amp; Mining</x:v>
      </x:c>
      <x:c r="H714" s="57" t="n">
        <x:v>9</x:v>
      </x:c>
      <x:c r="I714" s="206" t="n"/>
      <x:c r="J714" s="71" t="n"/>
      <x:c r="K714" s="71" t="n"/>
      <x:c r="L714" s="71" t="inlineStr">
        <x:is>
          <x:t xml:space="preserve">NO</x:t>
        </x:is>
      </x:c>
      <x:c r="M714" s="71" t="n"/>
      <x:c r="N714" s="71" t="n"/>
      <x:c r="O714" s="71" t="n"/>
      <x:c r="P714" s="71" t="n"/>
      <x:c r="Q714" s="71" t="n"/>
      <x:c r="R714" s="71" t="n"/>
      <x:c r="S714" s="206" t="n"/>
      <x:c r="T714" s="71" t="n"/>
      <x:c r="U714" s="71" t="n"/>
      <x:c r="V714" s="71" t="n"/>
      <x:c r="W714" s="71" t="n"/>
      <x:c r="X714" s="71" t="n"/>
      <x:c r="Y714" s="71" t="n"/>
      <x:c r="Z714" s="71" t="n"/>
      <x:c r="AA714" s="71" t="n"/>
      <x:c r="AB714" s="71" t="inlineStr">
        <x:is>
          <x:t xml:space="preserve">NO</x:t>
        </x:is>
      </x:c>
      <x:c r="AC714" s="57" t="inlineStr">
        <x:is>
          <x:t xml:space="preserve">V10</x:t>
        </x:is>
      </x:c>
      <x:c r="AD714" s="57" t="n"/>
      <x:c r="AE714" s="79" t="str">
        <x:f>IF(AND(I714&lt;&gt;"",J714&lt;&gt;"",K714&lt;&gt;"",L714="YES",M714&lt;&gt;"",S714&lt;&gt;"",T714&lt;&gt;"",U714&lt;&gt;"",V714&lt;&gt;"",W714&lt;&gt;"",X714&lt;&gt;"",Y714&lt;&gt;""),"COMPLETE","PENDING")</x:f>
        <x:v>PENDING</x:v>
      </x:c>
      <x:c r="AF714" s="79" t="str">
        <x:f>IF(AE714="COMPLETE","YES","NO")</x:f>
        <x:v>NO</x:v>
      </x:c>
      <x:c r="AG714" s="214" t="str">
        <x:f>IF(AF714&lt;&gt;"YES","",(IF(V714="YES",1,0)+IF(W714="YES",1,0))/2)</x:f>
      </x:c>
    </x:row>
    <x:row r="715">
      <x:c r="A715" s="57" t="inlineStr">
        <x:is>
          <x:t xml:space="preserve">C0710</x:t>
        </x:is>
      </x:c>
      <x:c r="B715" s="57" t="inlineStr">
        <x:is>
          <x:t xml:space="preserve">Validation</x:t>
        </x:is>
      </x:c>
      <x:c r="C715" s="57" t="inlineStr">
        <x:is>
          <x:t xml:space="preserve">OPEN</x:t>
        </x:is>
      </x:c>
      <x:c r="D715" s="57" t="inlineStr">
        <x:is>
          <x:t xml:space="preserve">ARG-071</x:t>
        </x:is>
      </x:c>
      <x:c r="E715" s="75" t="str">
        <x:f>INDEX('Company Universe'!$B$6:$B$105,MATCH(D715,'Company Universe'!$A$6:$A$105,0))</x:f>
        <x:v>Linde</x:v>
      </x:c>
      <x:c r="F715" s="75" t="str">
        <x:f>INDEX('Company Universe'!$C$6:$C$105,MATCH(D715,'Company Universe'!$A$6:$A$105,0))</x:f>
        <x:v>LIN</x:v>
      </x:c>
      <x:c r="G715" s="75" t="str">
        <x:f>INDEX('Company Universe'!$F$6:$F$105,MATCH(D715,'Company Universe'!$A$6:$A$105,0))</x:f>
        <x:v>Materials &amp; Mining</x:v>
      </x:c>
      <x:c r="H715" s="57" t="n">
        <x:v>10</x:v>
      </x:c>
      <x:c r="I715" s="206" t="n"/>
      <x:c r="J715" s="71" t="n"/>
      <x:c r="K715" s="71" t="n"/>
      <x:c r="L715" s="71" t="inlineStr">
        <x:is>
          <x:t xml:space="preserve">NO</x:t>
        </x:is>
      </x:c>
      <x:c r="M715" s="71" t="n"/>
      <x:c r="N715" s="71" t="n"/>
      <x:c r="O715" s="71" t="n"/>
      <x:c r="P715" s="71" t="n"/>
      <x:c r="Q715" s="71" t="n"/>
      <x:c r="R715" s="71" t="n"/>
      <x:c r="S715" s="206" t="n"/>
      <x:c r="T715" s="71" t="n"/>
      <x:c r="U715" s="71" t="n"/>
      <x:c r="V715" s="71" t="n"/>
      <x:c r="W715" s="71" t="n"/>
      <x:c r="X715" s="71" t="n"/>
      <x:c r="Y715" s="71" t="n"/>
      <x:c r="Z715" s="71" t="n"/>
      <x:c r="AA715" s="71" t="n"/>
      <x:c r="AB715" s="71" t="inlineStr">
        <x:is>
          <x:t xml:space="preserve">NO</x:t>
        </x:is>
      </x:c>
      <x:c r="AC715" s="57" t="inlineStr">
        <x:is>
          <x:t xml:space="preserve">V10</x:t>
        </x:is>
      </x:c>
      <x:c r="AD715" s="57" t="n"/>
      <x:c r="AE715" s="79" t="str">
        <x:f>IF(AND(I715&lt;&gt;"",J715&lt;&gt;"",K715&lt;&gt;"",L715="YES",M715&lt;&gt;"",S715&lt;&gt;"",T715&lt;&gt;"",U715&lt;&gt;"",V715&lt;&gt;"",W715&lt;&gt;"",X715&lt;&gt;"",Y715&lt;&gt;""),"COMPLETE","PENDING")</x:f>
        <x:v>PENDING</x:v>
      </x:c>
      <x:c r="AF715" s="79" t="str">
        <x:f>IF(AE715="COMPLETE","YES","NO")</x:f>
        <x:v>NO</x:v>
      </x:c>
      <x:c r="AG715" s="214" t="str">
        <x:f>IF(AF715&lt;&gt;"YES","",(IF(V715="YES",1,0)+IF(W715="YES",1,0))/2)</x:f>
      </x:c>
    </x:row>
    <x:row r="716">
      <x:c r="A716" s="57" t="inlineStr">
        <x:is>
          <x:t xml:space="preserve">C0711</x:t>
        </x:is>
      </x:c>
      <x:c r="B716" s="57" t="inlineStr">
        <x:is>
          <x:t xml:space="preserve">Validation</x:t>
        </x:is>
      </x:c>
      <x:c r="C716" s="57" t="inlineStr">
        <x:is>
          <x:t xml:space="preserve">OPEN</x:t>
        </x:is>
      </x:c>
      <x:c r="D716" s="57" t="inlineStr">
        <x:is>
          <x:t xml:space="preserve">ARG-072</x:t>
        </x:is>
      </x:c>
      <x:c r="E716" s="75" t="str">
        <x:f>INDEX('Company Universe'!$B$6:$B$105,MATCH(D716,'Company Universe'!$A$6:$A$105,0))</x:f>
        <x:v>American Tower</x:v>
      </x:c>
      <x:c r="F716" s="75" t="str">
        <x:f>INDEX('Company Universe'!$C$6:$C$105,MATCH(D716,'Company Universe'!$A$6:$A$105,0))</x:f>
        <x:v>AMT</x:v>
      </x:c>
      <x:c r="G716" s="75" t="str">
        <x:f>INDEX('Company Universe'!$F$6:$F$105,MATCH(D716,'Company Universe'!$A$6:$A$105,0))</x:f>
        <x:v>Real Estate &amp; Telecom</x:v>
      </x:c>
      <x:c r="H716" s="57" t="n">
        <x:v>1</x:v>
      </x:c>
      <x:c r="I716" s="206" t="n"/>
      <x:c r="J716" s="71" t="n"/>
      <x:c r="K716" s="71" t="n"/>
      <x:c r="L716" s="71" t="inlineStr">
        <x:is>
          <x:t xml:space="preserve">NO</x:t>
        </x:is>
      </x:c>
      <x:c r="M716" s="71" t="n"/>
      <x:c r="N716" s="71" t="n"/>
      <x:c r="O716" s="71" t="n"/>
      <x:c r="P716" s="71" t="n"/>
      <x:c r="Q716" s="71" t="n"/>
      <x:c r="R716" s="71" t="n"/>
      <x:c r="S716" s="206" t="n"/>
      <x:c r="T716" s="71" t="n"/>
      <x:c r="U716" s="71" t="n"/>
      <x:c r="V716" s="71" t="n"/>
      <x:c r="W716" s="71" t="n"/>
      <x:c r="X716" s="71" t="n"/>
      <x:c r="Y716" s="71" t="n"/>
      <x:c r="Z716" s="71" t="n"/>
      <x:c r="AA716" s="71" t="n"/>
      <x:c r="AB716" s="71" t="inlineStr">
        <x:is>
          <x:t xml:space="preserve">NO</x:t>
        </x:is>
      </x:c>
      <x:c r="AC716" s="57" t="inlineStr">
        <x:is>
          <x:t xml:space="preserve">V10</x:t>
        </x:is>
      </x:c>
      <x:c r="AD716" s="57" t="n"/>
      <x:c r="AE716" s="79" t="str">
        <x:f>IF(AND(I716&lt;&gt;"",J716&lt;&gt;"",K716&lt;&gt;"",L716="YES",M716&lt;&gt;"",S716&lt;&gt;"",T716&lt;&gt;"",U716&lt;&gt;"",V716&lt;&gt;"",W716&lt;&gt;"",X716&lt;&gt;"",Y716&lt;&gt;""),"COMPLETE","PENDING")</x:f>
        <x:v>PENDING</x:v>
      </x:c>
      <x:c r="AF716" s="79" t="str">
        <x:f>IF(AE716="COMPLETE","YES","NO")</x:f>
        <x:v>NO</x:v>
      </x:c>
      <x:c r="AG716" s="214" t="str">
        <x:f>IF(AF716&lt;&gt;"YES","",(IF(V716="YES",1,0)+IF(W716="YES",1,0))/2)</x:f>
      </x:c>
    </x:row>
    <x:row r="717">
      <x:c r="A717" s="57" t="inlineStr">
        <x:is>
          <x:t xml:space="preserve">C0712</x:t>
        </x:is>
      </x:c>
      <x:c r="B717" s="57" t="inlineStr">
        <x:is>
          <x:t xml:space="preserve">Validation</x:t>
        </x:is>
      </x:c>
      <x:c r="C717" s="57" t="inlineStr">
        <x:is>
          <x:t xml:space="preserve">OPEN</x:t>
        </x:is>
      </x:c>
      <x:c r="D717" s="57" t="inlineStr">
        <x:is>
          <x:t xml:space="preserve">ARG-072</x:t>
        </x:is>
      </x:c>
      <x:c r="E717" s="75" t="str">
        <x:f>INDEX('Company Universe'!$B$6:$B$105,MATCH(D717,'Company Universe'!$A$6:$A$105,0))</x:f>
        <x:v>American Tower</x:v>
      </x:c>
      <x:c r="F717" s="75" t="str">
        <x:f>INDEX('Company Universe'!$C$6:$C$105,MATCH(D717,'Company Universe'!$A$6:$A$105,0))</x:f>
        <x:v>AMT</x:v>
      </x:c>
      <x:c r="G717" s="75" t="str">
        <x:f>INDEX('Company Universe'!$F$6:$F$105,MATCH(D717,'Company Universe'!$A$6:$A$105,0))</x:f>
        <x:v>Real Estate &amp; Telecom</x:v>
      </x:c>
      <x:c r="H717" s="57" t="n">
        <x:v>2</x:v>
      </x:c>
      <x:c r="I717" s="206" t="n"/>
      <x:c r="J717" s="71" t="n"/>
      <x:c r="K717" s="71" t="n"/>
      <x:c r="L717" s="71" t="inlineStr">
        <x:is>
          <x:t xml:space="preserve">NO</x:t>
        </x:is>
      </x:c>
      <x:c r="M717" s="71" t="n"/>
      <x:c r="N717" s="71" t="n"/>
      <x:c r="O717" s="71" t="n"/>
      <x:c r="P717" s="71" t="n"/>
      <x:c r="Q717" s="71" t="n"/>
      <x:c r="R717" s="71" t="n"/>
      <x:c r="S717" s="206" t="n"/>
      <x:c r="T717" s="71" t="n"/>
      <x:c r="U717" s="71" t="n"/>
      <x:c r="V717" s="71" t="n"/>
      <x:c r="W717" s="71" t="n"/>
      <x:c r="X717" s="71" t="n"/>
      <x:c r="Y717" s="71" t="n"/>
      <x:c r="Z717" s="71" t="n"/>
      <x:c r="AA717" s="71" t="n"/>
      <x:c r="AB717" s="71" t="inlineStr">
        <x:is>
          <x:t xml:space="preserve">NO</x:t>
        </x:is>
      </x:c>
      <x:c r="AC717" s="57" t="inlineStr">
        <x:is>
          <x:t xml:space="preserve">V10</x:t>
        </x:is>
      </x:c>
      <x:c r="AD717" s="57" t="n"/>
      <x:c r="AE717" s="79" t="str">
        <x:f>IF(AND(I717&lt;&gt;"",J717&lt;&gt;"",K717&lt;&gt;"",L717="YES",M717&lt;&gt;"",S717&lt;&gt;"",T717&lt;&gt;"",U717&lt;&gt;"",V717&lt;&gt;"",W717&lt;&gt;"",X717&lt;&gt;"",Y717&lt;&gt;""),"COMPLETE","PENDING")</x:f>
        <x:v>PENDING</x:v>
      </x:c>
      <x:c r="AF717" s="79" t="str">
        <x:f>IF(AE717="COMPLETE","YES","NO")</x:f>
        <x:v>NO</x:v>
      </x:c>
      <x:c r="AG717" s="214" t="str">
        <x:f>IF(AF717&lt;&gt;"YES","",(IF(V717="YES",1,0)+IF(W717="YES",1,0))/2)</x:f>
      </x:c>
    </x:row>
    <x:row r="718">
      <x:c r="A718" s="57" t="inlineStr">
        <x:is>
          <x:t xml:space="preserve">C0713</x:t>
        </x:is>
      </x:c>
      <x:c r="B718" s="57" t="inlineStr">
        <x:is>
          <x:t xml:space="preserve">Validation</x:t>
        </x:is>
      </x:c>
      <x:c r="C718" s="57" t="inlineStr">
        <x:is>
          <x:t xml:space="preserve">OPEN</x:t>
        </x:is>
      </x:c>
      <x:c r="D718" s="57" t="inlineStr">
        <x:is>
          <x:t xml:space="preserve">ARG-072</x:t>
        </x:is>
      </x:c>
      <x:c r="E718" s="75" t="str">
        <x:f>INDEX('Company Universe'!$B$6:$B$105,MATCH(D718,'Company Universe'!$A$6:$A$105,0))</x:f>
        <x:v>American Tower</x:v>
      </x:c>
      <x:c r="F718" s="75" t="str">
        <x:f>INDEX('Company Universe'!$C$6:$C$105,MATCH(D718,'Company Universe'!$A$6:$A$105,0))</x:f>
        <x:v>AMT</x:v>
      </x:c>
      <x:c r="G718" s="75" t="str">
        <x:f>INDEX('Company Universe'!$F$6:$F$105,MATCH(D718,'Company Universe'!$A$6:$A$105,0))</x:f>
        <x:v>Real Estate &amp; Telecom</x:v>
      </x:c>
      <x:c r="H718" s="57" t="n">
        <x:v>3</x:v>
      </x:c>
      <x:c r="I718" s="206" t="n"/>
      <x:c r="J718" s="71" t="n"/>
      <x:c r="K718" s="71" t="n"/>
      <x:c r="L718" s="71" t="inlineStr">
        <x:is>
          <x:t xml:space="preserve">NO</x:t>
        </x:is>
      </x:c>
      <x:c r="M718" s="71" t="n"/>
      <x:c r="N718" s="71" t="n"/>
      <x:c r="O718" s="71" t="n"/>
      <x:c r="P718" s="71" t="n"/>
      <x:c r="Q718" s="71" t="n"/>
      <x:c r="R718" s="71" t="n"/>
      <x:c r="S718" s="206" t="n"/>
      <x:c r="T718" s="71" t="n"/>
      <x:c r="U718" s="71" t="n"/>
      <x:c r="V718" s="71" t="n"/>
      <x:c r="W718" s="71" t="n"/>
      <x:c r="X718" s="71" t="n"/>
      <x:c r="Y718" s="71" t="n"/>
      <x:c r="Z718" s="71" t="n"/>
      <x:c r="AA718" s="71" t="n"/>
      <x:c r="AB718" s="71" t="inlineStr">
        <x:is>
          <x:t xml:space="preserve">NO</x:t>
        </x:is>
      </x:c>
      <x:c r="AC718" s="57" t="inlineStr">
        <x:is>
          <x:t xml:space="preserve">V10</x:t>
        </x:is>
      </x:c>
      <x:c r="AD718" s="57" t="n"/>
      <x:c r="AE718" s="79" t="str">
        <x:f>IF(AND(I718&lt;&gt;"",J718&lt;&gt;"",K718&lt;&gt;"",L718="YES",M718&lt;&gt;"",S718&lt;&gt;"",T718&lt;&gt;"",U718&lt;&gt;"",V718&lt;&gt;"",W718&lt;&gt;"",X718&lt;&gt;"",Y718&lt;&gt;""),"COMPLETE","PENDING")</x:f>
        <x:v>PENDING</x:v>
      </x:c>
      <x:c r="AF718" s="79" t="str">
        <x:f>IF(AE718="COMPLETE","YES","NO")</x:f>
        <x:v>NO</x:v>
      </x:c>
      <x:c r="AG718" s="214" t="str">
        <x:f>IF(AF718&lt;&gt;"YES","",(IF(V718="YES",1,0)+IF(W718="YES",1,0))/2)</x:f>
      </x:c>
    </x:row>
    <x:row r="719">
      <x:c r="A719" s="57" t="inlineStr">
        <x:is>
          <x:t xml:space="preserve">C0714</x:t>
        </x:is>
      </x:c>
      <x:c r="B719" s="57" t="inlineStr">
        <x:is>
          <x:t xml:space="preserve">Validation</x:t>
        </x:is>
      </x:c>
      <x:c r="C719" s="57" t="inlineStr">
        <x:is>
          <x:t xml:space="preserve">OPEN</x:t>
        </x:is>
      </x:c>
      <x:c r="D719" s="57" t="inlineStr">
        <x:is>
          <x:t xml:space="preserve">ARG-072</x:t>
        </x:is>
      </x:c>
      <x:c r="E719" s="75" t="str">
        <x:f>INDEX('Company Universe'!$B$6:$B$105,MATCH(D719,'Company Universe'!$A$6:$A$105,0))</x:f>
        <x:v>American Tower</x:v>
      </x:c>
      <x:c r="F719" s="75" t="str">
        <x:f>INDEX('Company Universe'!$C$6:$C$105,MATCH(D719,'Company Universe'!$A$6:$A$105,0))</x:f>
        <x:v>AMT</x:v>
      </x:c>
      <x:c r="G719" s="75" t="str">
        <x:f>INDEX('Company Universe'!$F$6:$F$105,MATCH(D719,'Company Universe'!$A$6:$A$105,0))</x:f>
        <x:v>Real Estate &amp; Telecom</x:v>
      </x:c>
      <x:c r="H719" s="57" t="n">
        <x:v>4</x:v>
      </x:c>
      <x:c r="I719" s="206" t="n"/>
      <x:c r="J719" s="71" t="n"/>
      <x:c r="K719" s="71" t="n"/>
      <x:c r="L719" s="71" t="inlineStr">
        <x:is>
          <x:t xml:space="preserve">NO</x:t>
        </x:is>
      </x:c>
      <x:c r="M719" s="71" t="n"/>
      <x:c r="N719" s="71" t="n"/>
      <x:c r="O719" s="71" t="n"/>
      <x:c r="P719" s="71" t="n"/>
      <x:c r="Q719" s="71" t="n"/>
      <x:c r="R719" s="71" t="n"/>
      <x:c r="S719" s="206" t="n"/>
      <x:c r="T719" s="71" t="n"/>
      <x:c r="U719" s="71" t="n"/>
      <x:c r="V719" s="71" t="n"/>
      <x:c r="W719" s="71" t="n"/>
      <x:c r="X719" s="71" t="n"/>
      <x:c r="Y719" s="71" t="n"/>
      <x:c r="Z719" s="71" t="n"/>
      <x:c r="AA719" s="71" t="n"/>
      <x:c r="AB719" s="71" t="inlineStr">
        <x:is>
          <x:t xml:space="preserve">NO</x:t>
        </x:is>
      </x:c>
      <x:c r="AC719" s="57" t="inlineStr">
        <x:is>
          <x:t xml:space="preserve">V10</x:t>
        </x:is>
      </x:c>
      <x:c r="AD719" s="57" t="n"/>
      <x:c r="AE719" s="79" t="str">
        <x:f>IF(AND(I719&lt;&gt;"",J719&lt;&gt;"",K719&lt;&gt;"",L719="YES",M719&lt;&gt;"",S719&lt;&gt;"",T719&lt;&gt;"",U719&lt;&gt;"",V719&lt;&gt;"",W719&lt;&gt;"",X719&lt;&gt;"",Y719&lt;&gt;""),"COMPLETE","PENDING")</x:f>
        <x:v>PENDING</x:v>
      </x:c>
      <x:c r="AF719" s="79" t="str">
        <x:f>IF(AE719="COMPLETE","YES","NO")</x:f>
        <x:v>NO</x:v>
      </x:c>
      <x:c r="AG719" s="214" t="str">
        <x:f>IF(AF719&lt;&gt;"YES","",(IF(V719="YES",1,0)+IF(W719="YES",1,0))/2)</x:f>
      </x:c>
    </x:row>
    <x:row r="720">
      <x:c r="A720" s="57" t="inlineStr">
        <x:is>
          <x:t xml:space="preserve">C0715</x:t>
        </x:is>
      </x:c>
      <x:c r="B720" s="57" t="inlineStr">
        <x:is>
          <x:t xml:space="preserve">Validation</x:t>
        </x:is>
      </x:c>
      <x:c r="C720" s="57" t="inlineStr">
        <x:is>
          <x:t xml:space="preserve">OPEN</x:t>
        </x:is>
      </x:c>
      <x:c r="D720" s="57" t="inlineStr">
        <x:is>
          <x:t xml:space="preserve">ARG-072</x:t>
        </x:is>
      </x:c>
      <x:c r="E720" s="75" t="str">
        <x:f>INDEX('Company Universe'!$B$6:$B$105,MATCH(D720,'Company Universe'!$A$6:$A$105,0))</x:f>
        <x:v>American Tower</x:v>
      </x:c>
      <x:c r="F720" s="75" t="str">
        <x:f>INDEX('Company Universe'!$C$6:$C$105,MATCH(D720,'Company Universe'!$A$6:$A$105,0))</x:f>
        <x:v>AMT</x:v>
      </x:c>
      <x:c r="G720" s="75" t="str">
        <x:f>INDEX('Company Universe'!$F$6:$F$105,MATCH(D720,'Company Universe'!$A$6:$A$105,0))</x:f>
        <x:v>Real Estate &amp; Telecom</x:v>
      </x:c>
      <x:c r="H720" s="57" t="n">
        <x:v>5</x:v>
      </x:c>
      <x:c r="I720" s="206" t="n"/>
      <x:c r="J720" s="71" t="n"/>
      <x:c r="K720" s="71" t="n"/>
      <x:c r="L720" s="71" t="inlineStr">
        <x:is>
          <x:t xml:space="preserve">NO</x:t>
        </x:is>
      </x:c>
      <x:c r="M720" s="71" t="n"/>
      <x:c r="N720" s="71" t="n"/>
      <x:c r="O720" s="71" t="n"/>
      <x:c r="P720" s="71" t="n"/>
      <x:c r="Q720" s="71" t="n"/>
      <x:c r="R720" s="71" t="n"/>
      <x:c r="S720" s="206" t="n"/>
      <x:c r="T720" s="71" t="n"/>
      <x:c r="U720" s="71" t="n"/>
      <x:c r="V720" s="71" t="n"/>
      <x:c r="W720" s="71" t="n"/>
      <x:c r="X720" s="71" t="n"/>
      <x:c r="Y720" s="71" t="n"/>
      <x:c r="Z720" s="71" t="n"/>
      <x:c r="AA720" s="71" t="n"/>
      <x:c r="AB720" s="71" t="inlineStr">
        <x:is>
          <x:t xml:space="preserve">NO</x:t>
        </x:is>
      </x:c>
      <x:c r="AC720" s="57" t="inlineStr">
        <x:is>
          <x:t xml:space="preserve">V10</x:t>
        </x:is>
      </x:c>
      <x:c r="AD720" s="57" t="n"/>
      <x:c r="AE720" s="79" t="str">
        <x:f>IF(AND(I720&lt;&gt;"",J720&lt;&gt;"",K720&lt;&gt;"",L720="YES",M720&lt;&gt;"",S720&lt;&gt;"",T720&lt;&gt;"",U720&lt;&gt;"",V720&lt;&gt;"",W720&lt;&gt;"",X720&lt;&gt;"",Y720&lt;&gt;""),"COMPLETE","PENDING")</x:f>
        <x:v>PENDING</x:v>
      </x:c>
      <x:c r="AF720" s="79" t="str">
        <x:f>IF(AE720="COMPLETE","YES","NO")</x:f>
        <x:v>NO</x:v>
      </x:c>
      <x:c r="AG720" s="214" t="str">
        <x:f>IF(AF720&lt;&gt;"YES","",(IF(V720="YES",1,0)+IF(W720="YES",1,0))/2)</x:f>
      </x:c>
    </x:row>
    <x:row r="721">
      <x:c r="A721" s="57" t="inlineStr">
        <x:is>
          <x:t xml:space="preserve">C0716</x:t>
        </x:is>
      </x:c>
      <x:c r="B721" s="57" t="inlineStr">
        <x:is>
          <x:t xml:space="preserve">Validation</x:t>
        </x:is>
      </x:c>
      <x:c r="C721" s="57" t="inlineStr">
        <x:is>
          <x:t xml:space="preserve">OPEN</x:t>
        </x:is>
      </x:c>
      <x:c r="D721" s="57" t="inlineStr">
        <x:is>
          <x:t xml:space="preserve">ARG-072</x:t>
        </x:is>
      </x:c>
      <x:c r="E721" s="75" t="str">
        <x:f>INDEX('Company Universe'!$B$6:$B$105,MATCH(D721,'Company Universe'!$A$6:$A$105,0))</x:f>
        <x:v>American Tower</x:v>
      </x:c>
      <x:c r="F721" s="75" t="str">
        <x:f>INDEX('Company Universe'!$C$6:$C$105,MATCH(D721,'Company Universe'!$A$6:$A$105,0))</x:f>
        <x:v>AMT</x:v>
      </x:c>
      <x:c r="G721" s="75" t="str">
        <x:f>INDEX('Company Universe'!$F$6:$F$105,MATCH(D721,'Company Universe'!$A$6:$A$105,0))</x:f>
        <x:v>Real Estate &amp; Telecom</x:v>
      </x:c>
      <x:c r="H721" s="57" t="n">
        <x:v>6</x:v>
      </x:c>
      <x:c r="I721" s="206" t="n"/>
      <x:c r="J721" s="71" t="n"/>
      <x:c r="K721" s="71" t="n"/>
      <x:c r="L721" s="71" t="inlineStr">
        <x:is>
          <x:t xml:space="preserve">NO</x:t>
        </x:is>
      </x:c>
      <x:c r="M721" s="71" t="n"/>
      <x:c r="N721" s="71" t="n"/>
      <x:c r="O721" s="71" t="n"/>
      <x:c r="P721" s="71" t="n"/>
      <x:c r="Q721" s="71" t="n"/>
      <x:c r="R721" s="71" t="n"/>
      <x:c r="S721" s="206" t="n"/>
      <x:c r="T721" s="71" t="n"/>
      <x:c r="U721" s="71" t="n"/>
      <x:c r="V721" s="71" t="n"/>
      <x:c r="W721" s="71" t="n"/>
      <x:c r="X721" s="71" t="n"/>
      <x:c r="Y721" s="71" t="n"/>
      <x:c r="Z721" s="71" t="n"/>
      <x:c r="AA721" s="71" t="n"/>
      <x:c r="AB721" s="71" t="inlineStr">
        <x:is>
          <x:t xml:space="preserve">NO</x:t>
        </x:is>
      </x:c>
      <x:c r="AC721" s="57" t="inlineStr">
        <x:is>
          <x:t xml:space="preserve">V10</x:t>
        </x:is>
      </x:c>
      <x:c r="AD721" s="57" t="n"/>
      <x:c r="AE721" s="79" t="str">
        <x:f>IF(AND(I721&lt;&gt;"",J721&lt;&gt;"",K721&lt;&gt;"",L721="YES",M721&lt;&gt;"",S721&lt;&gt;"",T721&lt;&gt;"",U721&lt;&gt;"",V721&lt;&gt;"",W721&lt;&gt;"",X721&lt;&gt;"",Y721&lt;&gt;""),"COMPLETE","PENDING")</x:f>
        <x:v>PENDING</x:v>
      </x:c>
      <x:c r="AF721" s="79" t="str">
        <x:f>IF(AE721="COMPLETE","YES","NO")</x:f>
        <x:v>NO</x:v>
      </x:c>
      <x:c r="AG721" s="214" t="str">
        <x:f>IF(AF721&lt;&gt;"YES","",(IF(V721="YES",1,0)+IF(W721="YES",1,0))/2)</x:f>
      </x:c>
    </x:row>
    <x:row r="722">
      <x:c r="A722" s="57" t="inlineStr">
        <x:is>
          <x:t xml:space="preserve">C0717</x:t>
        </x:is>
      </x:c>
      <x:c r="B722" s="57" t="inlineStr">
        <x:is>
          <x:t xml:space="preserve">Validation</x:t>
        </x:is>
      </x:c>
      <x:c r="C722" s="57" t="inlineStr">
        <x:is>
          <x:t xml:space="preserve">OPEN</x:t>
        </x:is>
      </x:c>
      <x:c r="D722" s="57" t="inlineStr">
        <x:is>
          <x:t xml:space="preserve">ARG-072</x:t>
        </x:is>
      </x:c>
      <x:c r="E722" s="75" t="str">
        <x:f>INDEX('Company Universe'!$B$6:$B$105,MATCH(D722,'Company Universe'!$A$6:$A$105,0))</x:f>
        <x:v>American Tower</x:v>
      </x:c>
      <x:c r="F722" s="75" t="str">
        <x:f>INDEX('Company Universe'!$C$6:$C$105,MATCH(D722,'Company Universe'!$A$6:$A$105,0))</x:f>
        <x:v>AMT</x:v>
      </x:c>
      <x:c r="G722" s="75" t="str">
        <x:f>INDEX('Company Universe'!$F$6:$F$105,MATCH(D722,'Company Universe'!$A$6:$A$105,0))</x:f>
        <x:v>Real Estate &amp; Telecom</x:v>
      </x:c>
      <x:c r="H722" s="57" t="n">
        <x:v>7</x:v>
      </x:c>
      <x:c r="I722" s="206" t="n"/>
      <x:c r="J722" s="71" t="n"/>
      <x:c r="K722" s="71" t="n"/>
      <x:c r="L722" s="71" t="inlineStr">
        <x:is>
          <x:t xml:space="preserve">NO</x:t>
        </x:is>
      </x:c>
      <x:c r="M722" s="71" t="n"/>
      <x:c r="N722" s="71" t="n"/>
      <x:c r="O722" s="71" t="n"/>
      <x:c r="P722" s="71" t="n"/>
      <x:c r="Q722" s="71" t="n"/>
      <x:c r="R722" s="71" t="n"/>
      <x:c r="S722" s="206" t="n"/>
      <x:c r="T722" s="71" t="n"/>
      <x:c r="U722" s="71" t="n"/>
      <x:c r="V722" s="71" t="n"/>
      <x:c r="W722" s="71" t="n"/>
      <x:c r="X722" s="71" t="n"/>
      <x:c r="Y722" s="71" t="n"/>
      <x:c r="Z722" s="71" t="n"/>
      <x:c r="AA722" s="71" t="n"/>
      <x:c r="AB722" s="71" t="inlineStr">
        <x:is>
          <x:t xml:space="preserve">NO</x:t>
        </x:is>
      </x:c>
      <x:c r="AC722" s="57" t="inlineStr">
        <x:is>
          <x:t xml:space="preserve">V10</x:t>
        </x:is>
      </x:c>
      <x:c r="AD722" s="57" t="n"/>
      <x:c r="AE722" s="79" t="str">
        <x:f>IF(AND(I722&lt;&gt;"",J722&lt;&gt;"",K722&lt;&gt;"",L722="YES",M722&lt;&gt;"",S722&lt;&gt;"",T722&lt;&gt;"",U722&lt;&gt;"",V722&lt;&gt;"",W722&lt;&gt;"",X722&lt;&gt;"",Y722&lt;&gt;""),"COMPLETE","PENDING")</x:f>
        <x:v>PENDING</x:v>
      </x:c>
      <x:c r="AF722" s="79" t="str">
        <x:f>IF(AE722="COMPLETE","YES","NO")</x:f>
        <x:v>NO</x:v>
      </x:c>
      <x:c r="AG722" s="214" t="str">
        <x:f>IF(AF722&lt;&gt;"YES","",(IF(V722="YES",1,0)+IF(W722="YES",1,0))/2)</x:f>
      </x:c>
    </x:row>
    <x:row r="723">
      <x:c r="A723" s="57" t="inlineStr">
        <x:is>
          <x:t xml:space="preserve">C0718</x:t>
        </x:is>
      </x:c>
      <x:c r="B723" s="57" t="inlineStr">
        <x:is>
          <x:t xml:space="preserve">Validation</x:t>
        </x:is>
      </x:c>
      <x:c r="C723" s="57" t="inlineStr">
        <x:is>
          <x:t xml:space="preserve">OPEN</x:t>
        </x:is>
      </x:c>
      <x:c r="D723" s="57" t="inlineStr">
        <x:is>
          <x:t xml:space="preserve">ARG-072</x:t>
        </x:is>
      </x:c>
      <x:c r="E723" s="75" t="str">
        <x:f>INDEX('Company Universe'!$B$6:$B$105,MATCH(D723,'Company Universe'!$A$6:$A$105,0))</x:f>
        <x:v>American Tower</x:v>
      </x:c>
      <x:c r="F723" s="75" t="str">
        <x:f>INDEX('Company Universe'!$C$6:$C$105,MATCH(D723,'Company Universe'!$A$6:$A$105,0))</x:f>
        <x:v>AMT</x:v>
      </x:c>
      <x:c r="G723" s="75" t="str">
        <x:f>INDEX('Company Universe'!$F$6:$F$105,MATCH(D723,'Company Universe'!$A$6:$A$105,0))</x:f>
        <x:v>Real Estate &amp; Telecom</x:v>
      </x:c>
      <x:c r="H723" s="57" t="n">
        <x:v>8</x:v>
      </x:c>
      <x:c r="I723" s="206" t="n"/>
      <x:c r="J723" s="71" t="n"/>
      <x:c r="K723" s="71" t="n"/>
      <x:c r="L723" s="71" t="inlineStr">
        <x:is>
          <x:t xml:space="preserve">NO</x:t>
        </x:is>
      </x:c>
      <x:c r="M723" s="71" t="n"/>
      <x:c r="N723" s="71" t="n"/>
      <x:c r="O723" s="71" t="n"/>
      <x:c r="P723" s="71" t="n"/>
      <x:c r="Q723" s="71" t="n"/>
      <x:c r="R723" s="71" t="n"/>
      <x:c r="S723" s="206" t="n"/>
      <x:c r="T723" s="71" t="n"/>
      <x:c r="U723" s="71" t="n"/>
      <x:c r="V723" s="71" t="n"/>
      <x:c r="W723" s="71" t="n"/>
      <x:c r="X723" s="71" t="n"/>
      <x:c r="Y723" s="71" t="n"/>
      <x:c r="Z723" s="71" t="n"/>
      <x:c r="AA723" s="71" t="n"/>
      <x:c r="AB723" s="71" t="inlineStr">
        <x:is>
          <x:t xml:space="preserve">NO</x:t>
        </x:is>
      </x:c>
      <x:c r="AC723" s="57" t="inlineStr">
        <x:is>
          <x:t xml:space="preserve">V10</x:t>
        </x:is>
      </x:c>
      <x:c r="AD723" s="57" t="n"/>
      <x:c r="AE723" s="79" t="str">
        <x:f>IF(AND(I723&lt;&gt;"",J723&lt;&gt;"",K723&lt;&gt;"",L723="YES",M723&lt;&gt;"",S723&lt;&gt;"",T723&lt;&gt;"",U723&lt;&gt;"",V723&lt;&gt;"",W723&lt;&gt;"",X723&lt;&gt;"",Y723&lt;&gt;""),"COMPLETE","PENDING")</x:f>
        <x:v>PENDING</x:v>
      </x:c>
      <x:c r="AF723" s="79" t="str">
        <x:f>IF(AE723="COMPLETE","YES","NO")</x:f>
        <x:v>NO</x:v>
      </x:c>
      <x:c r="AG723" s="214" t="str">
        <x:f>IF(AF723&lt;&gt;"YES","",(IF(V723="YES",1,0)+IF(W723="YES",1,0))/2)</x:f>
      </x:c>
    </x:row>
    <x:row r="724">
      <x:c r="A724" s="57" t="inlineStr">
        <x:is>
          <x:t xml:space="preserve">C0719</x:t>
        </x:is>
      </x:c>
      <x:c r="B724" s="57" t="inlineStr">
        <x:is>
          <x:t xml:space="preserve">Validation</x:t>
        </x:is>
      </x:c>
      <x:c r="C724" s="57" t="inlineStr">
        <x:is>
          <x:t xml:space="preserve">OPEN</x:t>
        </x:is>
      </x:c>
      <x:c r="D724" s="57" t="inlineStr">
        <x:is>
          <x:t xml:space="preserve">ARG-072</x:t>
        </x:is>
      </x:c>
      <x:c r="E724" s="75" t="str">
        <x:f>INDEX('Company Universe'!$B$6:$B$105,MATCH(D724,'Company Universe'!$A$6:$A$105,0))</x:f>
        <x:v>American Tower</x:v>
      </x:c>
      <x:c r="F724" s="75" t="str">
        <x:f>INDEX('Company Universe'!$C$6:$C$105,MATCH(D724,'Company Universe'!$A$6:$A$105,0))</x:f>
        <x:v>AMT</x:v>
      </x:c>
      <x:c r="G724" s="75" t="str">
        <x:f>INDEX('Company Universe'!$F$6:$F$105,MATCH(D724,'Company Universe'!$A$6:$A$105,0))</x:f>
        <x:v>Real Estate &amp; Telecom</x:v>
      </x:c>
      <x:c r="H724" s="57" t="n">
        <x:v>9</x:v>
      </x:c>
      <x:c r="I724" s="206" t="n"/>
      <x:c r="J724" s="71" t="n"/>
      <x:c r="K724" s="71" t="n"/>
      <x:c r="L724" s="71" t="inlineStr">
        <x:is>
          <x:t xml:space="preserve">NO</x:t>
        </x:is>
      </x:c>
      <x:c r="M724" s="71" t="n"/>
      <x:c r="N724" s="71" t="n"/>
      <x:c r="O724" s="71" t="n"/>
      <x:c r="P724" s="71" t="n"/>
      <x:c r="Q724" s="71" t="n"/>
      <x:c r="R724" s="71" t="n"/>
      <x:c r="S724" s="206" t="n"/>
      <x:c r="T724" s="71" t="n"/>
      <x:c r="U724" s="71" t="n"/>
      <x:c r="V724" s="71" t="n"/>
      <x:c r="W724" s="71" t="n"/>
      <x:c r="X724" s="71" t="n"/>
      <x:c r="Y724" s="71" t="n"/>
      <x:c r="Z724" s="71" t="n"/>
      <x:c r="AA724" s="71" t="n"/>
      <x:c r="AB724" s="71" t="inlineStr">
        <x:is>
          <x:t xml:space="preserve">NO</x:t>
        </x:is>
      </x:c>
      <x:c r="AC724" s="57" t="inlineStr">
        <x:is>
          <x:t xml:space="preserve">V10</x:t>
        </x:is>
      </x:c>
      <x:c r="AD724" s="57" t="n"/>
      <x:c r="AE724" s="79" t="str">
        <x:f>IF(AND(I724&lt;&gt;"",J724&lt;&gt;"",K724&lt;&gt;"",L724="YES",M724&lt;&gt;"",S724&lt;&gt;"",T724&lt;&gt;"",U724&lt;&gt;"",V724&lt;&gt;"",W724&lt;&gt;"",X724&lt;&gt;"",Y724&lt;&gt;""),"COMPLETE","PENDING")</x:f>
        <x:v>PENDING</x:v>
      </x:c>
      <x:c r="AF724" s="79" t="str">
        <x:f>IF(AE724="COMPLETE","YES","NO")</x:f>
        <x:v>NO</x:v>
      </x:c>
      <x:c r="AG724" s="214" t="str">
        <x:f>IF(AF724&lt;&gt;"YES","",(IF(V724="YES",1,0)+IF(W724="YES",1,0))/2)</x:f>
      </x:c>
    </x:row>
    <x:row r="725">
      <x:c r="A725" s="57" t="inlineStr">
        <x:is>
          <x:t xml:space="preserve">C0720</x:t>
        </x:is>
      </x:c>
      <x:c r="B725" s="57" t="inlineStr">
        <x:is>
          <x:t xml:space="preserve">Validation</x:t>
        </x:is>
      </x:c>
      <x:c r="C725" s="57" t="inlineStr">
        <x:is>
          <x:t xml:space="preserve">OPEN</x:t>
        </x:is>
      </x:c>
      <x:c r="D725" s="57" t="inlineStr">
        <x:is>
          <x:t xml:space="preserve">ARG-072</x:t>
        </x:is>
      </x:c>
      <x:c r="E725" s="75" t="str">
        <x:f>INDEX('Company Universe'!$B$6:$B$105,MATCH(D725,'Company Universe'!$A$6:$A$105,0))</x:f>
        <x:v>American Tower</x:v>
      </x:c>
      <x:c r="F725" s="75" t="str">
        <x:f>INDEX('Company Universe'!$C$6:$C$105,MATCH(D725,'Company Universe'!$A$6:$A$105,0))</x:f>
        <x:v>AMT</x:v>
      </x:c>
      <x:c r="G725" s="75" t="str">
        <x:f>INDEX('Company Universe'!$F$6:$F$105,MATCH(D725,'Company Universe'!$A$6:$A$105,0))</x:f>
        <x:v>Real Estate &amp; Telecom</x:v>
      </x:c>
      <x:c r="H725" s="57" t="n">
        <x:v>10</x:v>
      </x:c>
      <x:c r="I725" s="206" t="n"/>
      <x:c r="J725" s="71" t="n"/>
      <x:c r="K725" s="71" t="n"/>
      <x:c r="L725" s="71" t="inlineStr">
        <x:is>
          <x:t xml:space="preserve">NO</x:t>
        </x:is>
      </x:c>
      <x:c r="M725" s="71" t="n"/>
      <x:c r="N725" s="71" t="n"/>
      <x:c r="O725" s="71" t="n"/>
      <x:c r="P725" s="71" t="n"/>
      <x:c r="Q725" s="71" t="n"/>
      <x:c r="R725" s="71" t="n"/>
      <x:c r="S725" s="206" t="n"/>
      <x:c r="T725" s="71" t="n"/>
      <x:c r="U725" s="71" t="n"/>
      <x:c r="V725" s="71" t="n"/>
      <x:c r="W725" s="71" t="n"/>
      <x:c r="X725" s="71" t="n"/>
      <x:c r="Y725" s="71" t="n"/>
      <x:c r="Z725" s="71" t="n"/>
      <x:c r="AA725" s="71" t="n"/>
      <x:c r="AB725" s="71" t="inlineStr">
        <x:is>
          <x:t xml:space="preserve">NO</x:t>
        </x:is>
      </x:c>
      <x:c r="AC725" s="57" t="inlineStr">
        <x:is>
          <x:t xml:space="preserve">V10</x:t>
        </x:is>
      </x:c>
      <x:c r="AD725" s="57" t="n"/>
      <x:c r="AE725" s="79" t="str">
        <x:f>IF(AND(I725&lt;&gt;"",J725&lt;&gt;"",K725&lt;&gt;"",L725="YES",M725&lt;&gt;"",S725&lt;&gt;"",T725&lt;&gt;"",U725&lt;&gt;"",V725&lt;&gt;"",W725&lt;&gt;"",X725&lt;&gt;"",Y725&lt;&gt;""),"COMPLETE","PENDING")</x:f>
        <x:v>PENDING</x:v>
      </x:c>
      <x:c r="AF725" s="79" t="str">
        <x:f>IF(AE725="COMPLETE","YES","NO")</x:f>
        <x:v>NO</x:v>
      </x:c>
      <x:c r="AG725" s="214" t="str">
        <x:f>IF(AF725&lt;&gt;"YES","",(IF(V725="YES",1,0)+IF(W725="YES",1,0))/2)</x:f>
      </x:c>
    </x:row>
    <x:row r="726">
      <x:c r="A726" s="57" t="inlineStr">
        <x:is>
          <x:t xml:space="preserve">C0721</x:t>
        </x:is>
      </x:c>
      <x:c r="B726" s="57" t="inlineStr">
        <x:is>
          <x:t xml:space="preserve">Validation</x:t>
        </x:is>
      </x:c>
      <x:c r="C726" s="57" t="inlineStr">
        <x:is>
          <x:t xml:space="preserve">OPEN</x:t>
        </x:is>
      </x:c>
      <x:c r="D726" s="57" t="inlineStr">
        <x:is>
          <x:t xml:space="preserve">ARG-073</x:t>
        </x:is>
      </x:c>
      <x:c r="E726" s="75" t="str">
        <x:f>INDEX('Company Universe'!$B$6:$B$105,MATCH(D726,'Company Universe'!$A$6:$A$105,0))</x:f>
        <x:v>NextEra Energy</x:v>
      </x:c>
      <x:c r="F726" s="75" t="str">
        <x:f>INDEX('Company Universe'!$C$6:$C$105,MATCH(D726,'Company Universe'!$A$6:$A$105,0))</x:f>
        <x:v>NEE</x:v>
      </x:c>
      <x:c r="G726" s="75" t="str">
        <x:f>INDEX('Company Universe'!$F$6:$F$105,MATCH(D726,'Company Universe'!$A$6:$A$105,0))</x:f>
        <x:v>Utilities</x:v>
      </x:c>
      <x:c r="H726" s="57" t="n">
        <x:v>1</x:v>
      </x:c>
      <x:c r="I726" s="206" t="n"/>
      <x:c r="J726" s="71" t="n"/>
      <x:c r="K726" s="71" t="n"/>
      <x:c r="L726" s="71" t="inlineStr">
        <x:is>
          <x:t xml:space="preserve">NO</x:t>
        </x:is>
      </x:c>
      <x:c r="M726" s="71" t="n"/>
      <x:c r="N726" s="71" t="n"/>
      <x:c r="O726" s="71" t="n"/>
      <x:c r="P726" s="71" t="n"/>
      <x:c r="Q726" s="71" t="n"/>
      <x:c r="R726" s="71" t="n"/>
      <x:c r="S726" s="206" t="n"/>
      <x:c r="T726" s="71" t="n"/>
      <x:c r="U726" s="71" t="n"/>
      <x:c r="V726" s="71" t="n"/>
      <x:c r="W726" s="71" t="n"/>
      <x:c r="X726" s="71" t="n"/>
      <x:c r="Y726" s="71" t="n"/>
      <x:c r="Z726" s="71" t="n"/>
      <x:c r="AA726" s="71" t="n"/>
      <x:c r="AB726" s="71" t="inlineStr">
        <x:is>
          <x:t xml:space="preserve">NO</x:t>
        </x:is>
      </x:c>
      <x:c r="AC726" s="57" t="inlineStr">
        <x:is>
          <x:t xml:space="preserve">V10</x:t>
        </x:is>
      </x:c>
      <x:c r="AD726" s="57" t="n"/>
      <x:c r="AE726" s="79" t="str">
        <x:f>IF(AND(I726&lt;&gt;"",J726&lt;&gt;"",K726&lt;&gt;"",L726="YES",M726&lt;&gt;"",S726&lt;&gt;"",T726&lt;&gt;"",U726&lt;&gt;"",V726&lt;&gt;"",W726&lt;&gt;"",X726&lt;&gt;"",Y726&lt;&gt;""),"COMPLETE","PENDING")</x:f>
        <x:v>PENDING</x:v>
      </x:c>
      <x:c r="AF726" s="79" t="str">
        <x:f>IF(AE726="COMPLETE","YES","NO")</x:f>
        <x:v>NO</x:v>
      </x:c>
      <x:c r="AG726" s="214" t="str">
        <x:f>IF(AF726&lt;&gt;"YES","",(IF(V726="YES",1,0)+IF(W726="YES",1,0))/2)</x:f>
      </x:c>
    </x:row>
    <x:row r="727">
      <x:c r="A727" s="57" t="inlineStr">
        <x:is>
          <x:t xml:space="preserve">C0722</x:t>
        </x:is>
      </x:c>
      <x:c r="B727" s="57" t="inlineStr">
        <x:is>
          <x:t xml:space="preserve">Validation</x:t>
        </x:is>
      </x:c>
      <x:c r="C727" s="57" t="inlineStr">
        <x:is>
          <x:t xml:space="preserve">OPEN</x:t>
        </x:is>
      </x:c>
      <x:c r="D727" s="57" t="inlineStr">
        <x:is>
          <x:t xml:space="preserve">ARG-073</x:t>
        </x:is>
      </x:c>
      <x:c r="E727" s="75" t="str">
        <x:f>INDEX('Company Universe'!$B$6:$B$105,MATCH(D727,'Company Universe'!$A$6:$A$105,0))</x:f>
        <x:v>NextEra Energy</x:v>
      </x:c>
      <x:c r="F727" s="75" t="str">
        <x:f>INDEX('Company Universe'!$C$6:$C$105,MATCH(D727,'Company Universe'!$A$6:$A$105,0))</x:f>
        <x:v>NEE</x:v>
      </x:c>
      <x:c r="G727" s="75" t="str">
        <x:f>INDEX('Company Universe'!$F$6:$F$105,MATCH(D727,'Company Universe'!$A$6:$A$105,0))</x:f>
        <x:v>Utilities</x:v>
      </x:c>
      <x:c r="H727" s="57" t="n">
        <x:v>2</x:v>
      </x:c>
      <x:c r="I727" s="206" t="n"/>
      <x:c r="J727" s="71" t="n"/>
      <x:c r="K727" s="71" t="n"/>
      <x:c r="L727" s="71" t="inlineStr">
        <x:is>
          <x:t xml:space="preserve">NO</x:t>
        </x:is>
      </x:c>
      <x:c r="M727" s="71" t="n"/>
      <x:c r="N727" s="71" t="n"/>
      <x:c r="O727" s="71" t="n"/>
      <x:c r="P727" s="71" t="n"/>
      <x:c r="Q727" s="71" t="n"/>
      <x:c r="R727" s="71" t="n"/>
      <x:c r="S727" s="206" t="n"/>
      <x:c r="T727" s="71" t="n"/>
      <x:c r="U727" s="71" t="n"/>
      <x:c r="V727" s="71" t="n"/>
      <x:c r="W727" s="71" t="n"/>
      <x:c r="X727" s="71" t="n"/>
      <x:c r="Y727" s="71" t="n"/>
      <x:c r="Z727" s="71" t="n"/>
      <x:c r="AA727" s="71" t="n"/>
      <x:c r="AB727" s="71" t="inlineStr">
        <x:is>
          <x:t xml:space="preserve">NO</x:t>
        </x:is>
      </x:c>
      <x:c r="AC727" s="57" t="inlineStr">
        <x:is>
          <x:t xml:space="preserve">V10</x:t>
        </x:is>
      </x:c>
      <x:c r="AD727" s="57" t="n"/>
      <x:c r="AE727" s="79" t="str">
        <x:f>IF(AND(I727&lt;&gt;"",J727&lt;&gt;"",K727&lt;&gt;"",L727="YES",M727&lt;&gt;"",S727&lt;&gt;"",T727&lt;&gt;"",U727&lt;&gt;"",V727&lt;&gt;"",W727&lt;&gt;"",X727&lt;&gt;"",Y727&lt;&gt;""),"COMPLETE","PENDING")</x:f>
        <x:v>PENDING</x:v>
      </x:c>
      <x:c r="AF727" s="79" t="str">
        <x:f>IF(AE727="COMPLETE","YES","NO")</x:f>
        <x:v>NO</x:v>
      </x:c>
      <x:c r="AG727" s="214" t="str">
        <x:f>IF(AF727&lt;&gt;"YES","",(IF(V727="YES",1,0)+IF(W727="YES",1,0))/2)</x:f>
      </x:c>
    </x:row>
    <x:row r="728">
      <x:c r="A728" s="57" t="inlineStr">
        <x:is>
          <x:t xml:space="preserve">C0723</x:t>
        </x:is>
      </x:c>
      <x:c r="B728" s="57" t="inlineStr">
        <x:is>
          <x:t xml:space="preserve">Validation</x:t>
        </x:is>
      </x:c>
      <x:c r="C728" s="57" t="inlineStr">
        <x:is>
          <x:t xml:space="preserve">OPEN</x:t>
        </x:is>
      </x:c>
      <x:c r="D728" s="57" t="inlineStr">
        <x:is>
          <x:t xml:space="preserve">ARG-073</x:t>
        </x:is>
      </x:c>
      <x:c r="E728" s="75" t="str">
        <x:f>INDEX('Company Universe'!$B$6:$B$105,MATCH(D728,'Company Universe'!$A$6:$A$105,0))</x:f>
        <x:v>NextEra Energy</x:v>
      </x:c>
      <x:c r="F728" s="75" t="str">
        <x:f>INDEX('Company Universe'!$C$6:$C$105,MATCH(D728,'Company Universe'!$A$6:$A$105,0))</x:f>
        <x:v>NEE</x:v>
      </x:c>
      <x:c r="G728" s="75" t="str">
        <x:f>INDEX('Company Universe'!$F$6:$F$105,MATCH(D728,'Company Universe'!$A$6:$A$105,0))</x:f>
        <x:v>Utilities</x:v>
      </x:c>
      <x:c r="H728" s="57" t="n">
        <x:v>3</x:v>
      </x:c>
      <x:c r="I728" s="206" t="n"/>
      <x:c r="J728" s="71" t="n"/>
      <x:c r="K728" s="71" t="n"/>
      <x:c r="L728" s="71" t="inlineStr">
        <x:is>
          <x:t xml:space="preserve">NO</x:t>
        </x:is>
      </x:c>
      <x:c r="M728" s="71" t="n"/>
      <x:c r="N728" s="71" t="n"/>
      <x:c r="O728" s="71" t="n"/>
      <x:c r="P728" s="71" t="n"/>
      <x:c r="Q728" s="71" t="n"/>
      <x:c r="R728" s="71" t="n"/>
      <x:c r="S728" s="206" t="n"/>
      <x:c r="T728" s="71" t="n"/>
      <x:c r="U728" s="71" t="n"/>
      <x:c r="V728" s="71" t="n"/>
      <x:c r="W728" s="71" t="n"/>
      <x:c r="X728" s="71" t="n"/>
      <x:c r="Y728" s="71" t="n"/>
      <x:c r="Z728" s="71" t="n"/>
      <x:c r="AA728" s="71" t="n"/>
      <x:c r="AB728" s="71" t="inlineStr">
        <x:is>
          <x:t xml:space="preserve">NO</x:t>
        </x:is>
      </x:c>
      <x:c r="AC728" s="57" t="inlineStr">
        <x:is>
          <x:t xml:space="preserve">V10</x:t>
        </x:is>
      </x:c>
      <x:c r="AD728" s="57" t="n"/>
      <x:c r="AE728" s="79" t="str">
        <x:f>IF(AND(I728&lt;&gt;"",J728&lt;&gt;"",K728&lt;&gt;"",L728="YES",M728&lt;&gt;"",S728&lt;&gt;"",T728&lt;&gt;"",U728&lt;&gt;"",V728&lt;&gt;"",W728&lt;&gt;"",X728&lt;&gt;"",Y728&lt;&gt;""),"COMPLETE","PENDING")</x:f>
        <x:v>PENDING</x:v>
      </x:c>
      <x:c r="AF728" s="79" t="str">
        <x:f>IF(AE728="COMPLETE","YES","NO")</x:f>
        <x:v>NO</x:v>
      </x:c>
      <x:c r="AG728" s="214" t="str">
        <x:f>IF(AF728&lt;&gt;"YES","",(IF(V728="YES",1,0)+IF(W728="YES",1,0))/2)</x:f>
      </x:c>
    </x:row>
    <x:row r="729">
      <x:c r="A729" s="57" t="inlineStr">
        <x:is>
          <x:t xml:space="preserve">C0724</x:t>
        </x:is>
      </x:c>
      <x:c r="B729" s="57" t="inlineStr">
        <x:is>
          <x:t xml:space="preserve">Validation</x:t>
        </x:is>
      </x:c>
      <x:c r="C729" s="57" t="inlineStr">
        <x:is>
          <x:t xml:space="preserve">OPEN</x:t>
        </x:is>
      </x:c>
      <x:c r="D729" s="57" t="inlineStr">
        <x:is>
          <x:t xml:space="preserve">ARG-073</x:t>
        </x:is>
      </x:c>
      <x:c r="E729" s="75" t="str">
        <x:f>INDEX('Company Universe'!$B$6:$B$105,MATCH(D729,'Company Universe'!$A$6:$A$105,0))</x:f>
        <x:v>NextEra Energy</x:v>
      </x:c>
      <x:c r="F729" s="75" t="str">
        <x:f>INDEX('Company Universe'!$C$6:$C$105,MATCH(D729,'Company Universe'!$A$6:$A$105,0))</x:f>
        <x:v>NEE</x:v>
      </x:c>
      <x:c r="G729" s="75" t="str">
        <x:f>INDEX('Company Universe'!$F$6:$F$105,MATCH(D729,'Company Universe'!$A$6:$A$105,0))</x:f>
        <x:v>Utilities</x:v>
      </x:c>
      <x:c r="H729" s="57" t="n">
        <x:v>4</x:v>
      </x:c>
      <x:c r="I729" s="206" t="n"/>
      <x:c r="J729" s="71" t="n"/>
      <x:c r="K729" s="71" t="n"/>
      <x:c r="L729" s="71" t="inlineStr">
        <x:is>
          <x:t xml:space="preserve">NO</x:t>
        </x:is>
      </x:c>
      <x:c r="M729" s="71" t="n"/>
      <x:c r="N729" s="71" t="n"/>
      <x:c r="O729" s="71" t="n"/>
      <x:c r="P729" s="71" t="n"/>
      <x:c r="Q729" s="71" t="n"/>
      <x:c r="R729" s="71" t="n"/>
      <x:c r="S729" s="206" t="n"/>
      <x:c r="T729" s="71" t="n"/>
      <x:c r="U729" s="71" t="n"/>
      <x:c r="V729" s="71" t="n"/>
      <x:c r="W729" s="71" t="n"/>
      <x:c r="X729" s="71" t="n"/>
      <x:c r="Y729" s="71" t="n"/>
      <x:c r="Z729" s="71" t="n"/>
      <x:c r="AA729" s="71" t="n"/>
      <x:c r="AB729" s="71" t="inlineStr">
        <x:is>
          <x:t xml:space="preserve">NO</x:t>
        </x:is>
      </x:c>
      <x:c r="AC729" s="57" t="inlineStr">
        <x:is>
          <x:t xml:space="preserve">V10</x:t>
        </x:is>
      </x:c>
      <x:c r="AD729" s="57" t="n"/>
      <x:c r="AE729" s="79" t="str">
        <x:f>IF(AND(I729&lt;&gt;"",J729&lt;&gt;"",K729&lt;&gt;"",L729="YES",M729&lt;&gt;"",S729&lt;&gt;"",T729&lt;&gt;"",U729&lt;&gt;"",V729&lt;&gt;"",W729&lt;&gt;"",X729&lt;&gt;"",Y729&lt;&gt;""),"COMPLETE","PENDING")</x:f>
        <x:v>PENDING</x:v>
      </x:c>
      <x:c r="AF729" s="79" t="str">
        <x:f>IF(AE729="COMPLETE","YES","NO")</x:f>
        <x:v>NO</x:v>
      </x:c>
      <x:c r="AG729" s="214" t="str">
        <x:f>IF(AF729&lt;&gt;"YES","",(IF(V729="YES",1,0)+IF(W729="YES",1,0))/2)</x:f>
      </x:c>
    </x:row>
    <x:row r="730">
      <x:c r="A730" s="57" t="inlineStr">
        <x:is>
          <x:t xml:space="preserve">C0725</x:t>
        </x:is>
      </x:c>
      <x:c r="B730" s="57" t="inlineStr">
        <x:is>
          <x:t xml:space="preserve">Validation</x:t>
        </x:is>
      </x:c>
      <x:c r="C730" s="57" t="inlineStr">
        <x:is>
          <x:t xml:space="preserve">OPEN</x:t>
        </x:is>
      </x:c>
      <x:c r="D730" s="57" t="inlineStr">
        <x:is>
          <x:t xml:space="preserve">ARG-073</x:t>
        </x:is>
      </x:c>
      <x:c r="E730" s="75" t="str">
        <x:f>INDEX('Company Universe'!$B$6:$B$105,MATCH(D730,'Company Universe'!$A$6:$A$105,0))</x:f>
        <x:v>NextEra Energy</x:v>
      </x:c>
      <x:c r="F730" s="75" t="str">
        <x:f>INDEX('Company Universe'!$C$6:$C$105,MATCH(D730,'Company Universe'!$A$6:$A$105,0))</x:f>
        <x:v>NEE</x:v>
      </x:c>
      <x:c r="G730" s="75" t="str">
        <x:f>INDEX('Company Universe'!$F$6:$F$105,MATCH(D730,'Company Universe'!$A$6:$A$105,0))</x:f>
        <x:v>Utilities</x:v>
      </x:c>
      <x:c r="H730" s="57" t="n">
        <x:v>5</x:v>
      </x:c>
      <x:c r="I730" s="206" t="n"/>
      <x:c r="J730" s="71" t="n"/>
      <x:c r="K730" s="71" t="n"/>
      <x:c r="L730" s="71" t="inlineStr">
        <x:is>
          <x:t xml:space="preserve">NO</x:t>
        </x:is>
      </x:c>
      <x:c r="M730" s="71" t="n"/>
      <x:c r="N730" s="71" t="n"/>
      <x:c r="O730" s="71" t="n"/>
      <x:c r="P730" s="71" t="n"/>
      <x:c r="Q730" s="71" t="n"/>
      <x:c r="R730" s="71" t="n"/>
      <x:c r="S730" s="206" t="n"/>
      <x:c r="T730" s="71" t="n"/>
      <x:c r="U730" s="71" t="n"/>
      <x:c r="V730" s="71" t="n"/>
      <x:c r="W730" s="71" t="n"/>
      <x:c r="X730" s="71" t="n"/>
      <x:c r="Y730" s="71" t="n"/>
      <x:c r="Z730" s="71" t="n"/>
      <x:c r="AA730" s="71" t="n"/>
      <x:c r="AB730" s="71" t="inlineStr">
        <x:is>
          <x:t xml:space="preserve">NO</x:t>
        </x:is>
      </x:c>
      <x:c r="AC730" s="57" t="inlineStr">
        <x:is>
          <x:t xml:space="preserve">V10</x:t>
        </x:is>
      </x:c>
      <x:c r="AD730" s="57" t="n"/>
      <x:c r="AE730" s="79" t="str">
        <x:f>IF(AND(I730&lt;&gt;"",J730&lt;&gt;"",K730&lt;&gt;"",L730="YES",M730&lt;&gt;"",S730&lt;&gt;"",T730&lt;&gt;"",U730&lt;&gt;"",V730&lt;&gt;"",W730&lt;&gt;"",X730&lt;&gt;"",Y730&lt;&gt;""),"COMPLETE","PENDING")</x:f>
        <x:v>PENDING</x:v>
      </x:c>
      <x:c r="AF730" s="79" t="str">
        <x:f>IF(AE730="COMPLETE","YES","NO")</x:f>
        <x:v>NO</x:v>
      </x:c>
      <x:c r="AG730" s="214" t="str">
        <x:f>IF(AF730&lt;&gt;"YES","",(IF(V730="YES",1,0)+IF(W730="YES",1,0))/2)</x:f>
      </x:c>
    </x:row>
    <x:row r="731">
      <x:c r="A731" s="57" t="inlineStr">
        <x:is>
          <x:t xml:space="preserve">C0726</x:t>
        </x:is>
      </x:c>
      <x:c r="B731" s="57" t="inlineStr">
        <x:is>
          <x:t xml:space="preserve">Validation</x:t>
        </x:is>
      </x:c>
      <x:c r="C731" s="57" t="inlineStr">
        <x:is>
          <x:t xml:space="preserve">OPEN</x:t>
        </x:is>
      </x:c>
      <x:c r="D731" s="57" t="inlineStr">
        <x:is>
          <x:t xml:space="preserve">ARG-073</x:t>
        </x:is>
      </x:c>
      <x:c r="E731" s="75" t="str">
        <x:f>INDEX('Company Universe'!$B$6:$B$105,MATCH(D731,'Company Universe'!$A$6:$A$105,0))</x:f>
        <x:v>NextEra Energy</x:v>
      </x:c>
      <x:c r="F731" s="75" t="str">
        <x:f>INDEX('Company Universe'!$C$6:$C$105,MATCH(D731,'Company Universe'!$A$6:$A$105,0))</x:f>
        <x:v>NEE</x:v>
      </x:c>
      <x:c r="G731" s="75" t="str">
        <x:f>INDEX('Company Universe'!$F$6:$F$105,MATCH(D731,'Company Universe'!$A$6:$A$105,0))</x:f>
        <x:v>Utilities</x:v>
      </x:c>
      <x:c r="H731" s="57" t="n">
        <x:v>6</x:v>
      </x:c>
      <x:c r="I731" s="206" t="n"/>
      <x:c r="J731" s="71" t="n"/>
      <x:c r="K731" s="71" t="n"/>
      <x:c r="L731" s="71" t="inlineStr">
        <x:is>
          <x:t xml:space="preserve">NO</x:t>
        </x:is>
      </x:c>
      <x:c r="M731" s="71" t="n"/>
      <x:c r="N731" s="71" t="n"/>
      <x:c r="O731" s="71" t="n"/>
      <x:c r="P731" s="71" t="n"/>
      <x:c r="Q731" s="71" t="n"/>
      <x:c r="R731" s="71" t="n"/>
      <x:c r="S731" s="206" t="n"/>
      <x:c r="T731" s="71" t="n"/>
      <x:c r="U731" s="71" t="n"/>
      <x:c r="V731" s="71" t="n"/>
      <x:c r="W731" s="71" t="n"/>
      <x:c r="X731" s="71" t="n"/>
      <x:c r="Y731" s="71" t="n"/>
      <x:c r="Z731" s="71" t="n"/>
      <x:c r="AA731" s="71" t="n"/>
      <x:c r="AB731" s="71" t="inlineStr">
        <x:is>
          <x:t xml:space="preserve">NO</x:t>
        </x:is>
      </x:c>
      <x:c r="AC731" s="57" t="inlineStr">
        <x:is>
          <x:t xml:space="preserve">V10</x:t>
        </x:is>
      </x:c>
      <x:c r="AD731" s="57" t="n"/>
      <x:c r="AE731" s="79" t="str">
        <x:f>IF(AND(I731&lt;&gt;"",J731&lt;&gt;"",K731&lt;&gt;"",L731="YES",M731&lt;&gt;"",S731&lt;&gt;"",T731&lt;&gt;"",U731&lt;&gt;"",V731&lt;&gt;"",W731&lt;&gt;"",X731&lt;&gt;"",Y731&lt;&gt;""),"COMPLETE","PENDING")</x:f>
        <x:v>PENDING</x:v>
      </x:c>
      <x:c r="AF731" s="79" t="str">
        <x:f>IF(AE731="COMPLETE","YES","NO")</x:f>
        <x:v>NO</x:v>
      </x:c>
      <x:c r="AG731" s="214" t="str">
        <x:f>IF(AF731&lt;&gt;"YES","",(IF(V731="YES",1,0)+IF(W731="YES",1,0))/2)</x:f>
      </x:c>
    </x:row>
    <x:row r="732">
      <x:c r="A732" s="57" t="inlineStr">
        <x:is>
          <x:t xml:space="preserve">C0727</x:t>
        </x:is>
      </x:c>
      <x:c r="B732" s="57" t="inlineStr">
        <x:is>
          <x:t xml:space="preserve">Validation</x:t>
        </x:is>
      </x:c>
      <x:c r="C732" s="57" t="inlineStr">
        <x:is>
          <x:t xml:space="preserve">OPEN</x:t>
        </x:is>
      </x:c>
      <x:c r="D732" s="57" t="inlineStr">
        <x:is>
          <x:t xml:space="preserve">ARG-073</x:t>
        </x:is>
      </x:c>
      <x:c r="E732" s="75" t="str">
        <x:f>INDEX('Company Universe'!$B$6:$B$105,MATCH(D732,'Company Universe'!$A$6:$A$105,0))</x:f>
        <x:v>NextEra Energy</x:v>
      </x:c>
      <x:c r="F732" s="75" t="str">
        <x:f>INDEX('Company Universe'!$C$6:$C$105,MATCH(D732,'Company Universe'!$A$6:$A$105,0))</x:f>
        <x:v>NEE</x:v>
      </x:c>
      <x:c r="G732" s="75" t="str">
        <x:f>INDEX('Company Universe'!$F$6:$F$105,MATCH(D732,'Company Universe'!$A$6:$A$105,0))</x:f>
        <x:v>Utilities</x:v>
      </x:c>
      <x:c r="H732" s="57" t="n">
        <x:v>7</x:v>
      </x:c>
      <x:c r="I732" s="206" t="n"/>
      <x:c r="J732" s="71" t="n"/>
      <x:c r="K732" s="71" t="n"/>
      <x:c r="L732" s="71" t="inlineStr">
        <x:is>
          <x:t xml:space="preserve">NO</x:t>
        </x:is>
      </x:c>
      <x:c r="M732" s="71" t="n"/>
      <x:c r="N732" s="71" t="n"/>
      <x:c r="O732" s="71" t="n"/>
      <x:c r="P732" s="71" t="n"/>
      <x:c r="Q732" s="71" t="n"/>
      <x:c r="R732" s="71" t="n"/>
      <x:c r="S732" s="206" t="n"/>
      <x:c r="T732" s="71" t="n"/>
      <x:c r="U732" s="71" t="n"/>
      <x:c r="V732" s="71" t="n"/>
      <x:c r="W732" s="71" t="n"/>
      <x:c r="X732" s="71" t="n"/>
      <x:c r="Y732" s="71" t="n"/>
      <x:c r="Z732" s="71" t="n"/>
      <x:c r="AA732" s="71" t="n"/>
      <x:c r="AB732" s="71" t="inlineStr">
        <x:is>
          <x:t xml:space="preserve">NO</x:t>
        </x:is>
      </x:c>
      <x:c r="AC732" s="57" t="inlineStr">
        <x:is>
          <x:t xml:space="preserve">V10</x:t>
        </x:is>
      </x:c>
      <x:c r="AD732" s="57" t="n"/>
      <x:c r="AE732" s="79" t="str">
        <x:f>IF(AND(I732&lt;&gt;"",J732&lt;&gt;"",K732&lt;&gt;"",L732="YES",M732&lt;&gt;"",S732&lt;&gt;"",T732&lt;&gt;"",U732&lt;&gt;"",V732&lt;&gt;"",W732&lt;&gt;"",X732&lt;&gt;"",Y732&lt;&gt;""),"COMPLETE","PENDING")</x:f>
        <x:v>PENDING</x:v>
      </x:c>
      <x:c r="AF732" s="79" t="str">
        <x:f>IF(AE732="COMPLETE","YES","NO")</x:f>
        <x:v>NO</x:v>
      </x:c>
      <x:c r="AG732" s="214" t="str">
        <x:f>IF(AF732&lt;&gt;"YES","",(IF(V732="YES",1,0)+IF(W732="YES",1,0))/2)</x:f>
      </x:c>
    </x:row>
    <x:row r="733">
      <x:c r="A733" s="57" t="inlineStr">
        <x:is>
          <x:t xml:space="preserve">C0728</x:t>
        </x:is>
      </x:c>
      <x:c r="B733" s="57" t="inlineStr">
        <x:is>
          <x:t xml:space="preserve">Validation</x:t>
        </x:is>
      </x:c>
      <x:c r="C733" s="57" t="inlineStr">
        <x:is>
          <x:t xml:space="preserve">OPEN</x:t>
        </x:is>
      </x:c>
      <x:c r="D733" s="57" t="inlineStr">
        <x:is>
          <x:t xml:space="preserve">ARG-073</x:t>
        </x:is>
      </x:c>
      <x:c r="E733" s="75" t="str">
        <x:f>INDEX('Company Universe'!$B$6:$B$105,MATCH(D733,'Company Universe'!$A$6:$A$105,0))</x:f>
        <x:v>NextEra Energy</x:v>
      </x:c>
      <x:c r="F733" s="75" t="str">
        <x:f>INDEX('Company Universe'!$C$6:$C$105,MATCH(D733,'Company Universe'!$A$6:$A$105,0))</x:f>
        <x:v>NEE</x:v>
      </x:c>
      <x:c r="G733" s="75" t="str">
        <x:f>INDEX('Company Universe'!$F$6:$F$105,MATCH(D733,'Company Universe'!$A$6:$A$105,0))</x:f>
        <x:v>Utilities</x:v>
      </x:c>
      <x:c r="H733" s="57" t="n">
        <x:v>8</x:v>
      </x:c>
      <x:c r="I733" s="206" t="n"/>
      <x:c r="J733" s="71" t="n"/>
      <x:c r="K733" s="71" t="n"/>
      <x:c r="L733" s="71" t="inlineStr">
        <x:is>
          <x:t xml:space="preserve">NO</x:t>
        </x:is>
      </x:c>
      <x:c r="M733" s="71" t="n"/>
      <x:c r="N733" s="71" t="n"/>
      <x:c r="O733" s="71" t="n"/>
      <x:c r="P733" s="71" t="n"/>
      <x:c r="Q733" s="71" t="n"/>
      <x:c r="R733" s="71" t="n"/>
      <x:c r="S733" s="206" t="n"/>
      <x:c r="T733" s="71" t="n"/>
      <x:c r="U733" s="71" t="n"/>
      <x:c r="V733" s="71" t="n"/>
      <x:c r="W733" s="71" t="n"/>
      <x:c r="X733" s="71" t="n"/>
      <x:c r="Y733" s="71" t="n"/>
      <x:c r="Z733" s="71" t="n"/>
      <x:c r="AA733" s="71" t="n"/>
      <x:c r="AB733" s="71" t="inlineStr">
        <x:is>
          <x:t xml:space="preserve">NO</x:t>
        </x:is>
      </x:c>
      <x:c r="AC733" s="57" t="inlineStr">
        <x:is>
          <x:t xml:space="preserve">V10</x:t>
        </x:is>
      </x:c>
      <x:c r="AD733" s="57" t="n"/>
      <x:c r="AE733" s="79" t="str">
        <x:f>IF(AND(I733&lt;&gt;"",J733&lt;&gt;"",K733&lt;&gt;"",L733="YES",M733&lt;&gt;"",S733&lt;&gt;"",T733&lt;&gt;"",U733&lt;&gt;"",V733&lt;&gt;"",W733&lt;&gt;"",X733&lt;&gt;"",Y733&lt;&gt;""),"COMPLETE","PENDING")</x:f>
        <x:v>PENDING</x:v>
      </x:c>
      <x:c r="AF733" s="79" t="str">
        <x:f>IF(AE733="COMPLETE","YES","NO")</x:f>
        <x:v>NO</x:v>
      </x:c>
      <x:c r="AG733" s="214" t="str">
        <x:f>IF(AF733&lt;&gt;"YES","",(IF(V733="YES",1,0)+IF(W733="YES",1,0))/2)</x:f>
      </x:c>
    </x:row>
    <x:row r="734">
      <x:c r="A734" s="57" t="inlineStr">
        <x:is>
          <x:t xml:space="preserve">C0729</x:t>
        </x:is>
      </x:c>
      <x:c r="B734" s="57" t="inlineStr">
        <x:is>
          <x:t xml:space="preserve">Validation</x:t>
        </x:is>
      </x:c>
      <x:c r="C734" s="57" t="inlineStr">
        <x:is>
          <x:t xml:space="preserve">OPEN</x:t>
        </x:is>
      </x:c>
      <x:c r="D734" s="57" t="inlineStr">
        <x:is>
          <x:t xml:space="preserve">ARG-073</x:t>
        </x:is>
      </x:c>
      <x:c r="E734" s="75" t="str">
        <x:f>INDEX('Company Universe'!$B$6:$B$105,MATCH(D734,'Company Universe'!$A$6:$A$105,0))</x:f>
        <x:v>NextEra Energy</x:v>
      </x:c>
      <x:c r="F734" s="75" t="str">
        <x:f>INDEX('Company Universe'!$C$6:$C$105,MATCH(D734,'Company Universe'!$A$6:$A$105,0))</x:f>
        <x:v>NEE</x:v>
      </x:c>
      <x:c r="G734" s="75" t="str">
        <x:f>INDEX('Company Universe'!$F$6:$F$105,MATCH(D734,'Company Universe'!$A$6:$A$105,0))</x:f>
        <x:v>Utilities</x:v>
      </x:c>
      <x:c r="H734" s="57" t="n">
        <x:v>9</x:v>
      </x:c>
      <x:c r="I734" s="206" t="n"/>
      <x:c r="J734" s="71" t="n"/>
      <x:c r="K734" s="71" t="n"/>
      <x:c r="L734" s="71" t="inlineStr">
        <x:is>
          <x:t xml:space="preserve">NO</x:t>
        </x:is>
      </x:c>
      <x:c r="M734" s="71" t="n"/>
      <x:c r="N734" s="71" t="n"/>
      <x:c r="O734" s="71" t="n"/>
      <x:c r="P734" s="71" t="n"/>
      <x:c r="Q734" s="71" t="n"/>
      <x:c r="R734" s="71" t="n"/>
      <x:c r="S734" s="206" t="n"/>
      <x:c r="T734" s="71" t="n"/>
      <x:c r="U734" s="71" t="n"/>
      <x:c r="V734" s="71" t="n"/>
      <x:c r="W734" s="71" t="n"/>
      <x:c r="X734" s="71" t="n"/>
      <x:c r="Y734" s="71" t="n"/>
      <x:c r="Z734" s="71" t="n"/>
      <x:c r="AA734" s="71" t="n"/>
      <x:c r="AB734" s="71" t="inlineStr">
        <x:is>
          <x:t xml:space="preserve">NO</x:t>
        </x:is>
      </x:c>
      <x:c r="AC734" s="57" t="inlineStr">
        <x:is>
          <x:t xml:space="preserve">V10</x:t>
        </x:is>
      </x:c>
      <x:c r="AD734" s="57" t="n"/>
      <x:c r="AE734" s="79" t="str">
        <x:f>IF(AND(I734&lt;&gt;"",J734&lt;&gt;"",K734&lt;&gt;"",L734="YES",M734&lt;&gt;"",S734&lt;&gt;"",T734&lt;&gt;"",U734&lt;&gt;"",V734&lt;&gt;"",W734&lt;&gt;"",X734&lt;&gt;"",Y734&lt;&gt;""),"COMPLETE","PENDING")</x:f>
        <x:v>PENDING</x:v>
      </x:c>
      <x:c r="AF734" s="79" t="str">
        <x:f>IF(AE734="COMPLETE","YES","NO")</x:f>
        <x:v>NO</x:v>
      </x:c>
      <x:c r="AG734" s="214" t="str">
        <x:f>IF(AF734&lt;&gt;"YES","",(IF(V734="YES",1,0)+IF(W734="YES",1,0))/2)</x:f>
      </x:c>
    </x:row>
    <x:row r="735">
      <x:c r="A735" s="57" t="inlineStr">
        <x:is>
          <x:t xml:space="preserve">C0730</x:t>
        </x:is>
      </x:c>
      <x:c r="B735" s="57" t="inlineStr">
        <x:is>
          <x:t xml:space="preserve">Validation</x:t>
        </x:is>
      </x:c>
      <x:c r="C735" s="57" t="inlineStr">
        <x:is>
          <x:t xml:space="preserve">OPEN</x:t>
        </x:is>
      </x:c>
      <x:c r="D735" s="57" t="inlineStr">
        <x:is>
          <x:t xml:space="preserve">ARG-073</x:t>
        </x:is>
      </x:c>
      <x:c r="E735" s="75" t="str">
        <x:f>INDEX('Company Universe'!$B$6:$B$105,MATCH(D735,'Company Universe'!$A$6:$A$105,0))</x:f>
        <x:v>NextEra Energy</x:v>
      </x:c>
      <x:c r="F735" s="75" t="str">
        <x:f>INDEX('Company Universe'!$C$6:$C$105,MATCH(D735,'Company Universe'!$A$6:$A$105,0))</x:f>
        <x:v>NEE</x:v>
      </x:c>
      <x:c r="G735" s="75" t="str">
        <x:f>INDEX('Company Universe'!$F$6:$F$105,MATCH(D735,'Company Universe'!$A$6:$A$105,0))</x:f>
        <x:v>Utilities</x:v>
      </x:c>
      <x:c r="H735" s="57" t="n">
        <x:v>10</x:v>
      </x:c>
      <x:c r="I735" s="206" t="n"/>
      <x:c r="J735" s="71" t="n"/>
      <x:c r="K735" s="71" t="n"/>
      <x:c r="L735" s="71" t="inlineStr">
        <x:is>
          <x:t xml:space="preserve">NO</x:t>
        </x:is>
      </x:c>
      <x:c r="M735" s="71" t="n"/>
      <x:c r="N735" s="71" t="n"/>
      <x:c r="O735" s="71" t="n"/>
      <x:c r="P735" s="71" t="n"/>
      <x:c r="Q735" s="71" t="n"/>
      <x:c r="R735" s="71" t="n"/>
      <x:c r="S735" s="206" t="n"/>
      <x:c r="T735" s="71" t="n"/>
      <x:c r="U735" s="71" t="n"/>
      <x:c r="V735" s="71" t="n"/>
      <x:c r="W735" s="71" t="n"/>
      <x:c r="X735" s="71" t="n"/>
      <x:c r="Y735" s="71" t="n"/>
      <x:c r="Z735" s="71" t="n"/>
      <x:c r="AA735" s="71" t="n"/>
      <x:c r="AB735" s="71" t="inlineStr">
        <x:is>
          <x:t xml:space="preserve">NO</x:t>
        </x:is>
      </x:c>
      <x:c r="AC735" s="57" t="inlineStr">
        <x:is>
          <x:t xml:space="preserve">V10</x:t>
        </x:is>
      </x:c>
      <x:c r="AD735" s="57" t="n"/>
      <x:c r="AE735" s="79" t="str">
        <x:f>IF(AND(I735&lt;&gt;"",J735&lt;&gt;"",K735&lt;&gt;"",L735="YES",M735&lt;&gt;"",S735&lt;&gt;"",T735&lt;&gt;"",U735&lt;&gt;"",V735&lt;&gt;"",W735&lt;&gt;"",X735&lt;&gt;"",Y735&lt;&gt;""),"COMPLETE","PENDING")</x:f>
        <x:v>PENDING</x:v>
      </x:c>
      <x:c r="AF735" s="79" t="str">
        <x:f>IF(AE735="COMPLETE","YES","NO")</x:f>
        <x:v>NO</x:v>
      </x:c>
      <x:c r="AG735" s="214" t="str">
        <x:f>IF(AF735&lt;&gt;"YES","",(IF(V735="YES",1,0)+IF(W735="YES",1,0))/2)</x:f>
      </x:c>
    </x:row>
    <x:row r="736">
      <x:c r="A736" s="57" t="inlineStr">
        <x:is>
          <x:t xml:space="preserve">C0731</x:t>
        </x:is>
      </x:c>
      <x:c r="B736" s="57" t="inlineStr">
        <x:is>
          <x:t xml:space="preserve">Validation</x:t>
        </x:is>
      </x:c>
      <x:c r="C736" s="57" t="inlineStr">
        <x:is>
          <x:t xml:space="preserve">OPEN</x:t>
        </x:is>
      </x:c>
      <x:c r="D736" s="57" t="inlineStr">
        <x:is>
          <x:t xml:space="preserve">ARG-074</x:t>
        </x:is>
      </x:c>
      <x:c r="E736" s="75" t="str">
        <x:f>INDEX('Company Universe'!$B$6:$B$105,MATCH(D736,'Company Universe'!$A$6:$A$105,0))</x:f>
        <x:v>Verizon Communications</x:v>
      </x:c>
      <x:c r="F736" s="75" t="str">
        <x:f>INDEX('Company Universe'!$C$6:$C$105,MATCH(D736,'Company Universe'!$A$6:$A$105,0))</x:f>
        <x:v>VZ</x:v>
      </x:c>
      <x:c r="G736" s="75" t="str">
        <x:f>INDEX('Company Universe'!$F$6:$F$105,MATCH(D736,'Company Universe'!$A$6:$A$105,0))</x:f>
        <x:v>Real Estate &amp; Telecom</x:v>
      </x:c>
      <x:c r="H736" s="57" t="n">
        <x:v>1</x:v>
      </x:c>
      <x:c r="I736" s="206" t="n"/>
      <x:c r="J736" s="71" t="n"/>
      <x:c r="K736" s="71" t="n"/>
      <x:c r="L736" s="71" t="inlineStr">
        <x:is>
          <x:t xml:space="preserve">NO</x:t>
        </x:is>
      </x:c>
      <x:c r="M736" s="71" t="n"/>
      <x:c r="N736" s="71" t="n"/>
      <x:c r="O736" s="71" t="n"/>
      <x:c r="P736" s="71" t="n"/>
      <x:c r="Q736" s="71" t="n"/>
      <x:c r="R736" s="71" t="n"/>
      <x:c r="S736" s="206" t="n"/>
      <x:c r="T736" s="71" t="n"/>
      <x:c r="U736" s="71" t="n"/>
      <x:c r="V736" s="71" t="n"/>
      <x:c r="W736" s="71" t="n"/>
      <x:c r="X736" s="71" t="n"/>
      <x:c r="Y736" s="71" t="n"/>
      <x:c r="Z736" s="71" t="n"/>
      <x:c r="AA736" s="71" t="n"/>
      <x:c r="AB736" s="71" t="inlineStr">
        <x:is>
          <x:t xml:space="preserve">NO</x:t>
        </x:is>
      </x:c>
      <x:c r="AC736" s="57" t="inlineStr">
        <x:is>
          <x:t xml:space="preserve">V10</x:t>
        </x:is>
      </x:c>
      <x:c r="AD736" s="57" t="n"/>
      <x:c r="AE736" s="79" t="str">
        <x:f>IF(AND(I736&lt;&gt;"",J736&lt;&gt;"",K736&lt;&gt;"",L736="YES",M736&lt;&gt;"",S736&lt;&gt;"",T736&lt;&gt;"",U736&lt;&gt;"",V736&lt;&gt;"",W736&lt;&gt;"",X736&lt;&gt;"",Y736&lt;&gt;""),"COMPLETE","PENDING")</x:f>
        <x:v>PENDING</x:v>
      </x:c>
      <x:c r="AF736" s="79" t="str">
        <x:f>IF(AE736="COMPLETE","YES","NO")</x:f>
        <x:v>NO</x:v>
      </x:c>
      <x:c r="AG736" s="214" t="str">
        <x:f>IF(AF736&lt;&gt;"YES","",(IF(V736="YES",1,0)+IF(W736="YES",1,0))/2)</x:f>
      </x:c>
    </x:row>
    <x:row r="737">
      <x:c r="A737" s="57" t="inlineStr">
        <x:is>
          <x:t xml:space="preserve">C0732</x:t>
        </x:is>
      </x:c>
      <x:c r="B737" s="57" t="inlineStr">
        <x:is>
          <x:t xml:space="preserve">Validation</x:t>
        </x:is>
      </x:c>
      <x:c r="C737" s="57" t="inlineStr">
        <x:is>
          <x:t xml:space="preserve">OPEN</x:t>
        </x:is>
      </x:c>
      <x:c r="D737" s="57" t="inlineStr">
        <x:is>
          <x:t xml:space="preserve">ARG-074</x:t>
        </x:is>
      </x:c>
      <x:c r="E737" s="75" t="str">
        <x:f>INDEX('Company Universe'!$B$6:$B$105,MATCH(D737,'Company Universe'!$A$6:$A$105,0))</x:f>
        <x:v>Verizon Communications</x:v>
      </x:c>
      <x:c r="F737" s="75" t="str">
        <x:f>INDEX('Company Universe'!$C$6:$C$105,MATCH(D737,'Company Universe'!$A$6:$A$105,0))</x:f>
        <x:v>VZ</x:v>
      </x:c>
      <x:c r="G737" s="75" t="str">
        <x:f>INDEX('Company Universe'!$F$6:$F$105,MATCH(D737,'Company Universe'!$A$6:$A$105,0))</x:f>
        <x:v>Real Estate &amp; Telecom</x:v>
      </x:c>
      <x:c r="H737" s="57" t="n">
        <x:v>2</x:v>
      </x:c>
      <x:c r="I737" s="206" t="n"/>
      <x:c r="J737" s="71" t="n"/>
      <x:c r="K737" s="71" t="n"/>
      <x:c r="L737" s="71" t="inlineStr">
        <x:is>
          <x:t xml:space="preserve">NO</x:t>
        </x:is>
      </x:c>
      <x:c r="M737" s="71" t="n"/>
      <x:c r="N737" s="71" t="n"/>
      <x:c r="O737" s="71" t="n"/>
      <x:c r="P737" s="71" t="n"/>
      <x:c r="Q737" s="71" t="n"/>
      <x:c r="R737" s="71" t="n"/>
      <x:c r="S737" s="206" t="n"/>
      <x:c r="T737" s="71" t="n"/>
      <x:c r="U737" s="71" t="n"/>
      <x:c r="V737" s="71" t="n"/>
      <x:c r="W737" s="71" t="n"/>
      <x:c r="X737" s="71" t="n"/>
      <x:c r="Y737" s="71" t="n"/>
      <x:c r="Z737" s="71" t="n"/>
      <x:c r="AA737" s="71" t="n"/>
      <x:c r="AB737" s="71" t="inlineStr">
        <x:is>
          <x:t xml:space="preserve">NO</x:t>
        </x:is>
      </x:c>
      <x:c r="AC737" s="57" t="inlineStr">
        <x:is>
          <x:t xml:space="preserve">V10</x:t>
        </x:is>
      </x:c>
      <x:c r="AD737" s="57" t="n"/>
      <x:c r="AE737" s="79" t="str">
        <x:f>IF(AND(I737&lt;&gt;"",J737&lt;&gt;"",K737&lt;&gt;"",L737="YES",M737&lt;&gt;"",S737&lt;&gt;"",T737&lt;&gt;"",U737&lt;&gt;"",V737&lt;&gt;"",W737&lt;&gt;"",X737&lt;&gt;"",Y737&lt;&gt;""),"COMPLETE","PENDING")</x:f>
        <x:v>PENDING</x:v>
      </x:c>
      <x:c r="AF737" s="79" t="str">
        <x:f>IF(AE737="COMPLETE","YES","NO")</x:f>
        <x:v>NO</x:v>
      </x:c>
      <x:c r="AG737" s="214" t="str">
        <x:f>IF(AF737&lt;&gt;"YES","",(IF(V737="YES",1,0)+IF(W737="YES",1,0))/2)</x:f>
      </x:c>
    </x:row>
    <x:row r="738">
      <x:c r="A738" s="57" t="inlineStr">
        <x:is>
          <x:t xml:space="preserve">C0733</x:t>
        </x:is>
      </x:c>
      <x:c r="B738" s="57" t="inlineStr">
        <x:is>
          <x:t xml:space="preserve">Validation</x:t>
        </x:is>
      </x:c>
      <x:c r="C738" s="57" t="inlineStr">
        <x:is>
          <x:t xml:space="preserve">OPEN</x:t>
        </x:is>
      </x:c>
      <x:c r="D738" s="57" t="inlineStr">
        <x:is>
          <x:t xml:space="preserve">ARG-074</x:t>
        </x:is>
      </x:c>
      <x:c r="E738" s="75" t="str">
        <x:f>INDEX('Company Universe'!$B$6:$B$105,MATCH(D738,'Company Universe'!$A$6:$A$105,0))</x:f>
        <x:v>Verizon Communications</x:v>
      </x:c>
      <x:c r="F738" s="75" t="str">
        <x:f>INDEX('Company Universe'!$C$6:$C$105,MATCH(D738,'Company Universe'!$A$6:$A$105,0))</x:f>
        <x:v>VZ</x:v>
      </x:c>
      <x:c r="G738" s="75" t="str">
        <x:f>INDEX('Company Universe'!$F$6:$F$105,MATCH(D738,'Company Universe'!$A$6:$A$105,0))</x:f>
        <x:v>Real Estate &amp; Telecom</x:v>
      </x:c>
      <x:c r="H738" s="57" t="n">
        <x:v>3</x:v>
      </x:c>
      <x:c r="I738" s="206" t="n"/>
      <x:c r="J738" s="71" t="n"/>
      <x:c r="K738" s="71" t="n"/>
      <x:c r="L738" s="71" t="inlineStr">
        <x:is>
          <x:t xml:space="preserve">NO</x:t>
        </x:is>
      </x:c>
      <x:c r="M738" s="71" t="n"/>
      <x:c r="N738" s="71" t="n"/>
      <x:c r="O738" s="71" t="n"/>
      <x:c r="P738" s="71" t="n"/>
      <x:c r="Q738" s="71" t="n"/>
      <x:c r="R738" s="71" t="n"/>
      <x:c r="S738" s="206" t="n"/>
      <x:c r="T738" s="71" t="n"/>
      <x:c r="U738" s="71" t="n"/>
      <x:c r="V738" s="71" t="n"/>
      <x:c r="W738" s="71" t="n"/>
      <x:c r="X738" s="71" t="n"/>
      <x:c r="Y738" s="71" t="n"/>
      <x:c r="Z738" s="71" t="n"/>
      <x:c r="AA738" s="71" t="n"/>
      <x:c r="AB738" s="71" t="inlineStr">
        <x:is>
          <x:t xml:space="preserve">NO</x:t>
        </x:is>
      </x:c>
      <x:c r="AC738" s="57" t="inlineStr">
        <x:is>
          <x:t xml:space="preserve">V10</x:t>
        </x:is>
      </x:c>
      <x:c r="AD738" s="57" t="n"/>
      <x:c r="AE738" s="79" t="str">
        <x:f>IF(AND(I738&lt;&gt;"",J738&lt;&gt;"",K738&lt;&gt;"",L738="YES",M738&lt;&gt;"",S738&lt;&gt;"",T738&lt;&gt;"",U738&lt;&gt;"",V738&lt;&gt;"",W738&lt;&gt;"",X738&lt;&gt;"",Y738&lt;&gt;""),"COMPLETE","PENDING")</x:f>
        <x:v>PENDING</x:v>
      </x:c>
      <x:c r="AF738" s="79" t="str">
        <x:f>IF(AE738="COMPLETE","YES","NO")</x:f>
        <x:v>NO</x:v>
      </x:c>
      <x:c r="AG738" s="214" t="str">
        <x:f>IF(AF738&lt;&gt;"YES","",(IF(V738="YES",1,0)+IF(W738="YES",1,0))/2)</x:f>
      </x:c>
    </x:row>
    <x:row r="739">
      <x:c r="A739" s="57" t="inlineStr">
        <x:is>
          <x:t xml:space="preserve">C0734</x:t>
        </x:is>
      </x:c>
      <x:c r="B739" s="57" t="inlineStr">
        <x:is>
          <x:t xml:space="preserve">Validation</x:t>
        </x:is>
      </x:c>
      <x:c r="C739" s="57" t="inlineStr">
        <x:is>
          <x:t xml:space="preserve">OPEN</x:t>
        </x:is>
      </x:c>
      <x:c r="D739" s="57" t="inlineStr">
        <x:is>
          <x:t xml:space="preserve">ARG-074</x:t>
        </x:is>
      </x:c>
      <x:c r="E739" s="75" t="str">
        <x:f>INDEX('Company Universe'!$B$6:$B$105,MATCH(D739,'Company Universe'!$A$6:$A$105,0))</x:f>
        <x:v>Verizon Communications</x:v>
      </x:c>
      <x:c r="F739" s="75" t="str">
        <x:f>INDEX('Company Universe'!$C$6:$C$105,MATCH(D739,'Company Universe'!$A$6:$A$105,0))</x:f>
        <x:v>VZ</x:v>
      </x:c>
      <x:c r="G739" s="75" t="str">
        <x:f>INDEX('Company Universe'!$F$6:$F$105,MATCH(D739,'Company Universe'!$A$6:$A$105,0))</x:f>
        <x:v>Real Estate &amp; Telecom</x:v>
      </x:c>
      <x:c r="H739" s="57" t="n">
        <x:v>4</x:v>
      </x:c>
      <x:c r="I739" s="206" t="n"/>
      <x:c r="J739" s="71" t="n"/>
      <x:c r="K739" s="71" t="n"/>
      <x:c r="L739" s="71" t="inlineStr">
        <x:is>
          <x:t xml:space="preserve">NO</x:t>
        </x:is>
      </x:c>
      <x:c r="M739" s="71" t="n"/>
      <x:c r="N739" s="71" t="n"/>
      <x:c r="O739" s="71" t="n"/>
      <x:c r="P739" s="71" t="n"/>
      <x:c r="Q739" s="71" t="n"/>
      <x:c r="R739" s="71" t="n"/>
      <x:c r="S739" s="206" t="n"/>
      <x:c r="T739" s="71" t="n"/>
      <x:c r="U739" s="71" t="n"/>
      <x:c r="V739" s="71" t="n"/>
      <x:c r="W739" s="71" t="n"/>
      <x:c r="X739" s="71" t="n"/>
      <x:c r="Y739" s="71" t="n"/>
      <x:c r="Z739" s="71" t="n"/>
      <x:c r="AA739" s="71" t="n"/>
      <x:c r="AB739" s="71" t="inlineStr">
        <x:is>
          <x:t xml:space="preserve">NO</x:t>
        </x:is>
      </x:c>
      <x:c r="AC739" s="57" t="inlineStr">
        <x:is>
          <x:t xml:space="preserve">V10</x:t>
        </x:is>
      </x:c>
      <x:c r="AD739" s="57" t="n"/>
      <x:c r="AE739" s="79" t="str">
        <x:f>IF(AND(I739&lt;&gt;"",J739&lt;&gt;"",K739&lt;&gt;"",L739="YES",M739&lt;&gt;"",S739&lt;&gt;"",T739&lt;&gt;"",U739&lt;&gt;"",V739&lt;&gt;"",W739&lt;&gt;"",X739&lt;&gt;"",Y739&lt;&gt;""),"COMPLETE","PENDING")</x:f>
        <x:v>PENDING</x:v>
      </x:c>
      <x:c r="AF739" s="79" t="str">
        <x:f>IF(AE739="COMPLETE","YES","NO")</x:f>
        <x:v>NO</x:v>
      </x:c>
      <x:c r="AG739" s="214" t="str">
        <x:f>IF(AF739&lt;&gt;"YES","",(IF(V739="YES",1,0)+IF(W739="YES",1,0))/2)</x:f>
      </x:c>
    </x:row>
    <x:row r="740">
      <x:c r="A740" s="57" t="inlineStr">
        <x:is>
          <x:t xml:space="preserve">C0735</x:t>
        </x:is>
      </x:c>
      <x:c r="B740" s="57" t="inlineStr">
        <x:is>
          <x:t xml:space="preserve">Validation</x:t>
        </x:is>
      </x:c>
      <x:c r="C740" s="57" t="inlineStr">
        <x:is>
          <x:t xml:space="preserve">OPEN</x:t>
        </x:is>
      </x:c>
      <x:c r="D740" s="57" t="inlineStr">
        <x:is>
          <x:t xml:space="preserve">ARG-074</x:t>
        </x:is>
      </x:c>
      <x:c r="E740" s="75" t="str">
        <x:f>INDEX('Company Universe'!$B$6:$B$105,MATCH(D740,'Company Universe'!$A$6:$A$105,0))</x:f>
        <x:v>Verizon Communications</x:v>
      </x:c>
      <x:c r="F740" s="75" t="str">
        <x:f>INDEX('Company Universe'!$C$6:$C$105,MATCH(D740,'Company Universe'!$A$6:$A$105,0))</x:f>
        <x:v>VZ</x:v>
      </x:c>
      <x:c r="G740" s="75" t="str">
        <x:f>INDEX('Company Universe'!$F$6:$F$105,MATCH(D740,'Company Universe'!$A$6:$A$105,0))</x:f>
        <x:v>Real Estate &amp; Telecom</x:v>
      </x:c>
      <x:c r="H740" s="57" t="n">
        <x:v>5</x:v>
      </x:c>
      <x:c r="I740" s="206" t="n"/>
      <x:c r="J740" s="71" t="n"/>
      <x:c r="K740" s="71" t="n"/>
      <x:c r="L740" s="71" t="inlineStr">
        <x:is>
          <x:t xml:space="preserve">NO</x:t>
        </x:is>
      </x:c>
      <x:c r="M740" s="71" t="n"/>
      <x:c r="N740" s="71" t="n"/>
      <x:c r="O740" s="71" t="n"/>
      <x:c r="P740" s="71" t="n"/>
      <x:c r="Q740" s="71" t="n"/>
      <x:c r="R740" s="71" t="n"/>
      <x:c r="S740" s="206" t="n"/>
      <x:c r="T740" s="71" t="n"/>
      <x:c r="U740" s="71" t="n"/>
      <x:c r="V740" s="71" t="n"/>
      <x:c r="W740" s="71" t="n"/>
      <x:c r="X740" s="71" t="n"/>
      <x:c r="Y740" s="71" t="n"/>
      <x:c r="Z740" s="71" t="n"/>
      <x:c r="AA740" s="71" t="n"/>
      <x:c r="AB740" s="71" t="inlineStr">
        <x:is>
          <x:t xml:space="preserve">NO</x:t>
        </x:is>
      </x:c>
      <x:c r="AC740" s="57" t="inlineStr">
        <x:is>
          <x:t xml:space="preserve">V10</x:t>
        </x:is>
      </x:c>
      <x:c r="AD740" s="57" t="n"/>
      <x:c r="AE740" s="79" t="str">
        <x:f>IF(AND(I740&lt;&gt;"",J740&lt;&gt;"",K740&lt;&gt;"",L740="YES",M740&lt;&gt;"",S740&lt;&gt;"",T740&lt;&gt;"",U740&lt;&gt;"",V740&lt;&gt;"",W740&lt;&gt;"",X740&lt;&gt;"",Y740&lt;&gt;""),"COMPLETE","PENDING")</x:f>
        <x:v>PENDING</x:v>
      </x:c>
      <x:c r="AF740" s="79" t="str">
        <x:f>IF(AE740="COMPLETE","YES","NO")</x:f>
        <x:v>NO</x:v>
      </x:c>
      <x:c r="AG740" s="214" t="str">
        <x:f>IF(AF740&lt;&gt;"YES","",(IF(V740="YES",1,0)+IF(W740="YES",1,0))/2)</x:f>
      </x:c>
    </x:row>
    <x:row r="741">
      <x:c r="A741" s="57" t="inlineStr">
        <x:is>
          <x:t xml:space="preserve">C0736</x:t>
        </x:is>
      </x:c>
      <x:c r="B741" s="57" t="inlineStr">
        <x:is>
          <x:t xml:space="preserve">Validation</x:t>
        </x:is>
      </x:c>
      <x:c r="C741" s="57" t="inlineStr">
        <x:is>
          <x:t xml:space="preserve">OPEN</x:t>
        </x:is>
      </x:c>
      <x:c r="D741" s="57" t="inlineStr">
        <x:is>
          <x:t xml:space="preserve">ARG-074</x:t>
        </x:is>
      </x:c>
      <x:c r="E741" s="75" t="str">
        <x:f>INDEX('Company Universe'!$B$6:$B$105,MATCH(D741,'Company Universe'!$A$6:$A$105,0))</x:f>
        <x:v>Verizon Communications</x:v>
      </x:c>
      <x:c r="F741" s="75" t="str">
        <x:f>INDEX('Company Universe'!$C$6:$C$105,MATCH(D741,'Company Universe'!$A$6:$A$105,0))</x:f>
        <x:v>VZ</x:v>
      </x:c>
      <x:c r="G741" s="75" t="str">
        <x:f>INDEX('Company Universe'!$F$6:$F$105,MATCH(D741,'Company Universe'!$A$6:$A$105,0))</x:f>
        <x:v>Real Estate &amp; Telecom</x:v>
      </x:c>
      <x:c r="H741" s="57" t="n">
        <x:v>6</x:v>
      </x:c>
      <x:c r="I741" s="206" t="n"/>
      <x:c r="J741" s="71" t="n"/>
      <x:c r="K741" s="71" t="n"/>
      <x:c r="L741" s="71" t="inlineStr">
        <x:is>
          <x:t xml:space="preserve">NO</x:t>
        </x:is>
      </x:c>
      <x:c r="M741" s="71" t="n"/>
      <x:c r="N741" s="71" t="n"/>
      <x:c r="O741" s="71" t="n"/>
      <x:c r="P741" s="71" t="n"/>
      <x:c r="Q741" s="71" t="n"/>
      <x:c r="R741" s="71" t="n"/>
      <x:c r="S741" s="206" t="n"/>
      <x:c r="T741" s="71" t="n"/>
      <x:c r="U741" s="71" t="n"/>
      <x:c r="V741" s="71" t="n"/>
      <x:c r="W741" s="71" t="n"/>
      <x:c r="X741" s="71" t="n"/>
      <x:c r="Y741" s="71" t="n"/>
      <x:c r="Z741" s="71" t="n"/>
      <x:c r="AA741" s="71" t="n"/>
      <x:c r="AB741" s="71" t="inlineStr">
        <x:is>
          <x:t xml:space="preserve">NO</x:t>
        </x:is>
      </x:c>
      <x:c r="AC741" s="57" t="inlineStr">
        <x:is>
          <x:t xml:space="preserve">V10</x:t>
        </x:is>
      </x:c>
      <x:c r="AD741" s="57" t="n"/>
      <x:c r="AE741" s="79" t="str">
        <x:f>IF(AND(I741&lt;&gt;"",J741&lt;&gt;"",K741&lt;&gt;"",L741="YES",M741&lt;&gt;"",S741&lt;&gt;"",T741&lt;&gt;"",U741&lt;&gt;"",V741&lt;&gt;"",W741&lt;&gt;"",X741&lt;&gt;"",Y741&lt;&gt;""),"COMPLETE","PENDING")</x:f>
        <x:v>PENDING</x:v>
      </x:c>
      <x:c r="AF741" s="79" t="str">
        <x:f>IF(AE741="COMPLETE","YES","NO")</x:f>
        <x:v>NO</x:v>
      </x:c>
      <x:c r="AG741" s="214" t="str">
        <x:f>IF(AF741&lt;&gt;"YES","",(IF(V741="YES",1,0)+IF(W741="YES",1,0))/2)</x:f>
      </x:c>
    </x:row>
    <x:row r="742">
      <x:c r="A742" s="57" t="inlineStr">
        <x:is>
          <x:t xml:space="preserve">C0737</x:t>
        </x:is>
      </x:c>
      <x:c r="B742" s="57" t="inlineStr">
        <x:is>
          <x:t xml:space="preserve">Validation</x:t>
        </x:is>
      </x:c>
      <x:c r="C742" s="57" t="inlineStr">
        <x:is>
          <x:t xml:space="preserve">OPEN</x:t>
        </x:is>
      </x:c>
      <x:c r="D742" s="57" t="inlineStr">
        <x:is>
          <x:t xml:space="preserve">ARG-074</x:t>
        </x:is>
      </x:c>
      <x:c r="E742" s="75" t="str">
        <x:f>INDEX('Company Universe'!$B$6:$B$105,MATCH(D742,'Company Universe'!$A$6:$A$105,0))</x:f>
        <x:v>Verizon Communications</x:v>
      </x:c>
      <x:c r="F742" s="75" t="str">
        <x:f>INDEX('Company Universe'!$C$6:$C$105,MATCH(D742,'Company Universe'!$A$6:$A$105,0))</x:f>
        <x:v>VZ</x:v>
      </x:c>
      <x:c r="G742" s="75" t="str">
        <x:f>INDEX('Company Universe'!$F$6:$F$105,MATCH(D742,'Company Universe'!$A$6:$A$105,0))</x:f>
        <x:v>Real Estate &amp; Telecom</x:v>
      </x:c>
      <x:c r="H742" s="57" t="n">
        <x:v>7</x:v>
      </x:c>
      <x:c r="I742" s="206" t="n"/>
      <x:c r="J742" s="71" t="n"/>
      <x:c r="K742" s="71" t="n"/>
      <x:c r="L742" s="71" t="inlineStr">
        <x:is>
          <x:t xml:space="preserve">NO</x:t>
        </x:is>
      </x:c>
      <x:c r="M742" s="71" t="n"/>
      <x:c r="N742" s="71" t="n"/>
      <x:c r="O742" s="71" t="n"/>
      <x:c r="P742" s="71" t="n"/>
      <x:c r="Q742" s="71" t="n"/>
      <x:c r="R742" s="71" t="n"/>
      <x:c r="S742" s="206" t="n"/>
      <x:c r="T742" s="71" t="n"/>
      <x:c r="U742" s="71" t="n"/>
      <x:c r="V742" s="71" t="n"/>
      <x:c r="W742" s="71" t="n"/>
      <x:c r="X742" s="71" t="n"/>
      <x:c r="Y742" s="71" t="n"/>
      <x:c r="Z742" s="71" t="n"/>
      <x:c r="AA742" s="71" t="n"/>
      <x:c r="AB742" s="71" t="inlineStr">
        <x:is>
          <x:t xml:space="preserve">NO</x:t>
        </x:is>
      </x:c>
      <x:c r="AC742" s="57" t="inlineStr">
        <x:is>
          <x:t xml:space="preserve">V10</x:t>
        </x:is>
      </x:c>
      <x:c r="AD742" s="57" t="n"/>
      <x:c r="AE742" s="79" t="str">
        <x:f>IF(AND(I742&lt;&gt;"",J742&lt;&gt;"",K742&lt;&gt;"",L742="YES",M742&lt;&gt;"",S742&lt;&gt;"",T742&lt;&gt;"",U742&lt;&gt;"",V742&lt;&gt;"",W742&lt;&gt;"",X742&lt;&gt;"",Y742&lt;&gt;""),"COMPLETE","PENDING")</x:f>
        <x:v>PENDING</x:v>
      </x:c>
      <x:c r="AF742" s="79" t="str">
        <x:f>IF(AE742="COMPLETE","YES","NO")</x:f>
        <x:v>NO</x:v>
      </x:c>
      <x:c r="AG742" s="214" t="str">
        <x:f>IF(AF742&lt;&gt;"YES","",(IF(V742="YES",1,0)+IF(W742="YES",1,0))/2)</x:f>
      </x:c>
    </x:row>
    <x:row r="743">
      <x:c r="A743" s="57" t="inlineStr">
        <x:is>
          <x:t xml:space="preserve">C0738</x:t>
        </x:is>
      </x:c>
      <x:c r="B743" s="57" t="inlineStr">
        <x:is>
          <x:t xml:space="preserve">Validation</x:t>
        </x:is>
      </x:c>
      <x:c r="C743" s="57" t="inlineStr">
        <x:is>
          <x:t xml:space="preserve">OPEN</x:t>
        </x:is>
      </x:c>
      <x:c r="D743" s="57" t="inlineStr">
        <x:is>
          <x:t xml:space="preserve">ARG-074</x:t>
        </x:is>
      </x:c>
      <x:c r="E743" s="75" t="str">
        <x:f>INDEX('Company Universe'!$B$6:$B$105,MATCH(D743,'Company Universe'!$A$6:$A$105,0))</x:f>
        <x:v>Verizon Communications</x:v>
      </x:c>
      <x:c r="F743" s="75" t="str">
        <x:f>INDEX('Company Universe'!$C$6:$C$105,MATCH(D743,'Company Universe'!$A$6:$A$105,0))</x:f>
        <x:v>VZ</x:v>
      </x:c>
      <x:c r="G743" s="75" t="str">
        <x:f>INDEX('Company Universe'!$F$6:$F$105,MATCH(D743,'Company Universe'!$A$6:$A$105,0))</x:f>
        <x:v>Real Estate &amp; Telecom</x:v>
      </x:c>
      <x:c r="H743" s="57" t="n">
        <x:v>8</x:v>
      </x:c>
      <x:c r="I743" s="206" t="n"/>
      <x:c r="J743" s="71" t="n"/>
      <x:c r="K743" s="71" t="n"/>
      <x:c r="L743" s="71" t="inlineStr">
        <x:is>
          <x:t xml:space="preserve">NO</x:t>
        </x:is>
      </x:c>
      <x:c r="M743" s="71" t="n"/>
      <x:c r="N743" s="71" t="n"/>
      <x:c r="O743" s="71" t="n"/>
      <x:c r="P743" s="71" t="n"/>
      <x:c r="Q743" s="71" t="n"/>
      <x:c r="R743" s="71" t="n"/>
      <x:c r="S743" s="206" t="n"/>
      <x:c r="T743" s="71" t="n"/>
      <x:c r="U743" s="71" t="n"/>
      <x:c r="V743" s="71" t="n"/>
      <x:c r="W743" s="71" t="n"/>
      <x:c r="X743" s="71" t="n"/>
      <x:c r="Y743" s="71" t="n"/>
      <x:c r="Z743" s="71" t="n"/>
      <x:c r="AA743" s="71" t="n"/>
      <x:c r="AB743" s="71" t="inlineStr">
        <x:is>
          <x:t xml:space="preserve">NO</x:t>
        </x:is>
      </x:c>
      <x:c r="AC743" s="57" t="inlineStr">
        <x:is>
          <x:t xml:space="preserve">V10</x:t>
        </x:is>
      </x:c>
      <x:c r="AD743" s="57" t="n"/>
      <x:c r="AE743" s="79" t="str">
        <x:f>IF(AND(I743&lt;&gt;"",J743&lt;&gt;"",K743&lt;&gt;"",L743="YES",M743&lt;&gt;"",S743&lt;&gt;"",T743&lt;&gt;"",U743&lt;&gt;"",V743&lt;&gt;"",W743&lt;&gt;"",X743&lt;&gt;"",Y743&lt;&gt;""),"COMPLETE","PENDING")</x:f>
        <x:v>PENDING</x:v>
      </x:c>
      <x:c r="AF743" s="79" t="str">
        <x:f>IF(AE743="COMPLETE","YES","NO")</x:f>
        <x:v>NO</x:v>
      </x:c>
      <x:c r="AG743" s="214" t="str">
        <x:f>IF(AF743&lt;&gt;"YES","",(IF(V743="YES",1,0)+IF(W743="YES",1,0))/2)</x:f>
      </x:c>
    </x:row>
    <x:row r="744">
      <x:c r="A744" s="57" t="inlineStr">
        <x:is>
          <x:t xml:space="preserve">C0739</x:t>
        </x:is>
      </x:c>
      <x:c r="B744" s="57" t="inlineStr">
        <x:is>
          <x:t xml:space="preserve">Validation</x:t>
        </x:is>
      </x:c>
      <x:c r="C744" s="57" t="inlineStr">
        <x:is>
          <x:t xml:space="preserve">OPEN</x:t>
        </x:is>
      </x:c>
      <x:c r="D744" s="57" t="inlineStr">
        <x:is>
          <x:t xml:space="preserve">ARG-074</x:t>
        </x:is>
      </x:c>
      <x:c r="E744" s="75" t="str">
        <x:f>INDEX('Company Universe'!$B$6:$B$105,MATCH(D744,'Company Universe'!$A$6:$A$105,0))</x:f>
        <x:v>Verizon Communications</x:v>
      </x:c>
      <x:c r="F744" s="75" t="str">
        <x:f>INDEX('Company Universe'!$C$6:$C$105,MATCH(D744,'Company Universe'!$A$6:$A$105,0))</x:f>
        <x:v>VZ</x:v>
      </x:c>
      <x:c r="G744" s="75" t="str">
        <x:f>INDEX('Company Universe'!$F$6:$F$105,MATCH(D744,'Company Universe'!$A$6:$A$105,0))</x:f>
        <x:v>Real Estate &amp; Telecom</x:v>
      </x:c>
      <x:c r="H744" s="57" t="n">
        <x:v>9</x:v>
      </x:c>
      <x:c r="I744" s="206" t="n"/>
      <x:c r="J744" s="71" t="n"/>
      <x:c r="K744" s="71" t="n"/>
      <x:c r="L744" s="71" t="inlineStr">
        <x:is>
          <x:t xml:space="preserve">NO</x:t>
        </x:is>
      </x:c>
      <x:c r="M744" s="71" t="n"/>
      <x:c r="N744" s="71" t="n"/>
      <x:c r="O744" s="71" t="n"/>
      <x:c r="P744" s="71" t="n"/>
      <x:c r="Q744" s="71" t="n"/>
      <x:c r="R744" s="71" t="n"/>
      <x:c r="S744" s="206" t="n"/>
      <x:c r="T744" s="71" t="n"/>
      <x:c r="U744" s="71" t="n"/>
      <x:c r="V744" s="71" t="n"/>
      <x:c r="W744" s="71" t="n"/>
      <x:c r="X744" s="71" t="n"/>
      <x:c r="Y744" s="71" t="n"/>
      <x:c r="Z744" s="71" t="n"/>
      <x:c r="AA744" s="71" t="n"/>
      <x:c r="AB744" s="71" t="inlineStr">
        <x:is>
          <x:t xml:space="preserve">NO</x:t>
        </x:is>
      </x:c>
      <x:c r="AC744" s="57" t="inlineStr">
        <x:is>
          <x:t xml:space="preserve">V10</x:t>
        </x:is>
      </x:c>
      <x:c r="AD744" s="57" t="n"/>
      <x:c r="AE744" s="79" t="str">
        <x:f>IF(AND(I744&lt;&gt;"",J744&lt;&gt;"",K744&lt;&gt;"",L744="YES",M744&lt;&gt;"",S744&lt;&gt;"",T744&lt;&gt;"",U744&lt;&gt;"",V744&lt;&gt;"",W744&lt;&gt;"",X744&lt;&gt;"",Y744&lt;&gt;""),"COMPLETE","PENDING")</x:f>
        <x:v>PENDING</x:v>
      </x:c>
      <x:c r="AF744" s="79" t="str">
        <x:f>IF(AE744="COMPLETE","YES","NO")</x:f>
        <x:v>NO</x:v>
      </x:c>
      <x:c r="AG744" s="214" t="str">
        <x:f>IF(AF744&lt;&gt;"YES","",(IF(V744="YES",1,0)+IF(W744="YES",1,0))/2)</x:f>
      </x:c>
    </x:row>
    <x:row r="745">
      <x:c r="A745" s="57" t="inlineStr">
        <x:is>
          <x:t xml:space="preserve">C0740</x:t>
        </x:is>
      </x:c>
      <x:c r="B745" s="57" t="inlineStr">
        <x:is>
          <x:t xml:space="preserve">Validation</x:t>
        </x:is>
      </x:c>
      <x:c r="C745" s="57" t="inlineStr">
        <x:is>
          <x:t xml:space="preserve">OPEN</x:t>
        </x:is>
      </x:c>
      <x:c r="D745" s="57" t="inlineStr">
        <x:is>
          <x:t xml:space="preserve">ARG-074</x:t>
        </x:is>
      </x:c>
      <x:c r="E745" s="75" t="str">
        <x:f>INDEX('Company Universe'!$B$6:$B$105,MATCH(D745,'Company Universe'!$A$6:$A$105,0))</x:f>
        <x:v>Verizon Communications</x:v>
      </x:c>
      <x:c r="F745" s="75" t="str">
        <x:f>INDEX('Company Universe'!$C$6:$C$105,MATCH(D745,'Company Universe'!$A$6:$A$105,0))</x:f>
        <x:v>VZ</x:v>
      </x:c>
      <x:c r="G745" s="75" t="str">
        <x:f>INDEX('Company Universe'!$F$6:$F$105,MATCH(D745,'Company Universe'!$A$6:$A$105,0))</x:f>
        <x:v>Real Estate &amp; Telecom</x:v>
      </x:c>
      <x:c r="H745" s="57" t="n">
        <x:v>10</x:v>
      </x:c>
      <x:c r="I745" s="206" t="n"/>
      <x:c r="J745" s="71" t="n"/>
      <x:c r="K745" s="71" t="n"/>
      <x:c r="L745" s="71" t="inlineStr">
        <x:is>
          <x:t xml:space="preserve">NO</x:t>
        </x:is>
      </x:c>
      <x:c r="M745" s="71" t="n"/>
      <x:c r="N745" s="71" t="n"/>
      <x:c r="O745" s="71" t="n"/>
      <x:c r="P745" s="71" t="n"/>
      <x:c r="Q745" s="71" t="n"/>
      <x:c r="R745" s="71" t="n"/>
      <x:c r="S745" s="206" t="n"/>
      <x:c r="T745" s="71" t="n"/>
      <x:c r="U745" s="71" t="n"/>
      <x:c r="V745" s="71" t="n"/>
      <x:c r="W745" s="71" t="n"/>
      <x:c r="X745" s="71" t="n"/>
      <x:c r="Y745" s="71" t="n"/>
      <x:c r="Z745" s="71" t="n"/>
      <x:c r="AA745" s="71" t="n"/>
      <x:c r="AB745" s="71" t="inlineStr">
        <x:is>
          <x:t xml:space="preserve">NO</x:t>
        </x:is>
      </x:c>
      <x:c r="AC745" s="57" t="inlineStr">
        <x:is>
          <x:t xml:space="preserve">V10</x:t>
        </x:is>
      </x:c>
      <x:c r="AD745" s="57" t="n"/>
      <x:c r="AE745" s="79" t="str">
        <x:f>IF(AND(I745&lt;&gt;"",J745&lt;&gt;"",K745&lt;&gt;"",L745="YES",M745&lt;&gt;"",S745&lt;&gt;"",T745&lt;&gt;"",U745&lt;&gt;"",V745&lt;&gt;"",W745&lt;&gt;"",X745&lt;&gt;"",Y745&lt;&gt;""),"COMPLETE","PENDING")</x:f>
        <x:v>PENDING</x:v>
      </x:c>
      <x:c r="AF745" s="79" t="str">
        <x:f>IF(AE745="COMPLETE","YES","NO")</x:f>
        <x:v>NO</x:v>
      </x:c>
      <x:c r="AG745" s="214" t="str">
        <x:f>IF(AF745&lt;&gt;"YES","",(IF(V745="YES",1,0)+IF(W745="YES",1,0))/2)</x:f>
      </x:c>
    </x:row>
    <x:row r="746">
      <x:c r="A746" s="57" t="inlineStr">
        <x:is>
          <x:t xml:space="preserve">C0741</x:t>
        </x:is>
      </x:c>
      <x:c r="B746" s="57" t="inlineStr">
        <x:is>
          <x:t xml:space="preserve">Validation</x:t>
        </x:is>
      </x:c>
      <x:c r="C746" s="57" t="inlineStr">
        <x:is>
          <x:t xml:space="preserve">OPEN</x:t>
        </x:is>
      </x:c>
      <x:c r="D746" s="57" t="inlineStr">
        <x:is>
          <x:t xml:space="preserve">ARG-075</x:t>
        </x:is>
      </x:c>
      <x:c r="E746" s="75" t="str">
        <x:f>INDEX('Company Universe'!$B$6:$B$105,MATCH(D746,'Company Universe'!$A$6:$A$105,0))</x:f>
        <x:v>Delta Air Lines</x:v>
      </x:c>
      <x:c r="F746" s="75" t="str">
        <x:f>INDEX('Company Universe'!$C$6:$C$105,MATCH(D746,'Company Universe'!$A$6:$A$105,0))</x:f>
        <x:v>DAL</x:v>
      </x:c>
      <x:c r="G746" s="75" t="str">
        <x:f>INDEX('Company Universe'!$F$6:$F$105,MATCH(D746,'Company Universe'!$A$6:$A$105,0))</x:f>
        <x:v>Transportation</x:v>
      </x:c>
      <x:c r="H746" s="57" t="n">
        <x:v>1</x:v>
      </x:c>
      <x:c r="I746" s="206" t="n"/>
      <x:c r="J746" s="71" t="n"/>
      <x:c r="K746" s="71" t="n"/>
      <x:c r="L746" s="71" t="inlineStr">
        <x:is>
          <x:t xml:space="preserve">NO</x:t>
        </x:is>
      </x:c>
      <x:c r="M746" s="71" t="n"/>
      <x:c r="N746" s="71" t="n"/>
      <x:c r="O746" s="71" t="n"/>
      <x:c r="P746" s="71" t="n"/>
      <x:c r="Q746" s="71" t="n"/>
      <x:c r="R746" s="71" t="n"/>
      <x:c r="S746" s="206" t="n"/>
      <x:c r="T746" s="71" t="n"/>
      <x:c r="U746" s="71" t="n"/>
      <x:c r="V746" s="71" t="n"/>
      <x:c r="W746" s="71" t="n"/>
      <x:c r="X746" s="71" t="n"/>
      <x:c r="Y746" s="71" t="n"/>
      <x:c r="Z746" s="71" t="n"/>
      <x:c r="AA746" s="71" t="n"/>
      <x:c r="AB746" s="71" t="inlineStr">
        <x:is>
          <x:t xml:space="preserve">NO</x:t>
        </x:is>
      </x:c>
      <x:c r="AC746" s="57" t="inlineStr">
        <x:is>
          <x:t xml:space="preserve">V10</x:t>
        </x:is>
      </x:c>
      <x:c r="AD746" s="57" t="n"/>
      <x:c r="AE746" s="79" t="str">
        <x:f>IF(AND(I746&lt;&gt;"",J746&lt;&gt;"",K746&lt;&gt;"",L746="YES",M746&lt;&gt;"",S746&lt;&gt;"",T746&lt;&gt;"",U746&lt;&gt;"",V746&lt;&gt;"",W746&lt;&gt;"",X746&lt;&gt;"",Y746&lt;&gt;""),"COMPLETE","PENDING")</x:f>
        <x:v>PENDING</x:v>
      </x:c>
      <x:c r="AF746" s="79" t="str">
        <x:f>IF(AE746="COMPLETE","YES","NO")</x:f>
        <x:v>NO</x:v>
      </x:c>
      <x:c r="AG746" s="214" t="str">
        <x:f>IF(AF746&lt;&gt;"YES","",(IF(V746="YES",1,0)+IF(W746="YES",1,0))/2)</x:f>
      </x:c>
    </x:row>
    <x:row r="747">
      <x:c r="A747" s="57" t="inlineStr">
        <x:is>
          <x:t xml:space="preserve">C0742</x:t>
        </x:is>
      </x:c>
      <x:c r="B747" s="57" t="inlineStr">
        <x:is>
          <x:t xml:space="preserve">Validation</x:t>
        </x:is>
      </x:c>
      <x:c r="C747" s="57" t="inlineStr">
        <x:is>
          <x:t xml:space="preserve">OPEN</x:t>
        </x:is>
      </x:c>
      <x:c r="D747" s="57" t="inlineStr">
        <x:is>
          <x:t xml:space="preserve">ARG-075</x:t>
        </x:is>
      </x:c>
      <x:c r="E747" s="75" t="str">
        <x:f>INDEX('Company Universe'!$B$6:$B$105,MATCH(D747,'Company Universe'!$A$6:$A$105,0))</x:f>
        <x:v>Delta Air Lines</x:v>
      </x:c>
      <x:c r="F747" s="75" t="str">
        <x:f>INDEX('Company Universe'!$C$6:$C$105,MATCH(D747,'Company Universe'!$A$6:$A$105,0))</x:f>
        <x:v>DAL</x:v>
      </x:c>
      <x:c r="G747" s="75" t="str">
        <x:f>INDEX('Company Universe'!$F$6:$F$105,MATCH(D747,'Company Universe'!$A$6:$A$105,0))</x:f>
        <x:v>Transportation</x:v>
      </x:c>
      <x:c r="H747" s="57" t="n">
        <x:v>2</x:v>
      </x:c>
      <x:c r="I747" s="206" t="n"/>
      <x:c r="J747" s="71" t="n"/>
      <x:c r="K747" s="71" t="n"/>
      <x:c r="L747" s="71" t="inlineStr">
        <x:is>
          <x:t xml:space="preserve">NO</x:t>
        </x:is>
      </x:c>
      <x:c r="M747" s="71" t="n"/>
      <x:c r="N747" s="71" t="n"/>
      <x:c r="O747" s="71" t="n"/>
      <x:c r="P747" s="71" t="n"/>
      <x:c r="Q747" s="71" t="n"/>
      <x:c r="R747" s="71" t="n"/>
      <x:c r="S747" s="206" t="n"/>
      <x:c r="T747" s="71" t="n"/>
      <x:c r="U747" s="71" t="n"/>
      <x:c r="V747" s="71" t="n"/>
      <x:c r="W747" s="71" t="n"/>
      <x:c r="X747" s="71" t="n"/>
      <x:c r="Y747" s="71" t="n"/>
      <x:c r="Z747" s="71" t="n"/>
      <x:c r="AA747" s="71" t="n"/>
      <x:c r="AB747" s="71" t="inlineStr">
        <x:is>
          <x:t xml:space="preserve">NO</x:t>
        </x:is>
      </x:c>
      <x:c r="AC747" s="57" t="inlineStr">
        <x:is>
          <x:t xml:space="preserve">V10</x:t>
        </x:is>
      </x:c>
      <x:c r="AD747" s="57" t="n"/>
      <x:c r="AE747" s="79" t="str">
        <x:f>IF(AND(I747&lt;&gt;"",J747&lt;&gt;"",K747&lt;&gt;"",L747="YES",M747&lt;&gt;"",S747&lt;&gt;"",T747&lt;&gt;"",U747&lt;&gt;"",V747&lt;&gt;"",W747&lt;&gt;"",X747&lt;&gt;"",Y747&lt;&gt;""),"COMPLETE","PENDING")</x:f>
        <x:v>PENDING</x:v>
      </x:c>
      <x:c r="AF747" s="79" t="str">
        <x:f>IF(AE747="COMPLETE","YES","NO")</x:f>
        <x:v>NO</x:v>
      </x:c>
      <x:c r="AG747" s="214" t="str">
        <x:f>IF(AF747&lt;&gt;"YES","",(IF(V747="YES",1,0)+IF(W747="YES",1,0))/2)</x:f>
      </x:c>
    </x:row>
    <x:row r="748">
      <x:c r="A748" s="57" t="inlineStr">
        <x:is>
          <x:t xml:space="preserve">C0743</x:t>
        </x:is>
      </x:c>
      <x:c r="B748" s="57" t="inlineStr">
        <x:is>
          <x:t xml:space="preserve">Validation</x:t>
        </x:is>
      </x:c>
      <x:c r="C748" s="57" t="inlineStr">
        <x:is>
          <x:t xml:space="preserve">OPEN</x:t>
        </x:is>
      </x:c>
      <x:c r="D748" s="57" t="inlineStr">
        <x:is>
          <x:t xml:space="preserve">ARG-075</x:t>
        </x:is>
      </x:c>
      <x:c r="E748" s="75" t="str">
        <x:f>INDEX('Company Universe'!$B$6:$B$105,MATCH(D748,'Company Universe'!$A$6:$A$105,0))</x:f>
        <x:v>Delta Air Lines</x:v>
      </x:c>
      <x:c r="F748" s="75" t="str">
        <x:f>INDEX('Company Universe'!$C$6:$C$105,MATCH(D748,'Company Universe'!$A$6:$A$105,0))</x:f>
        <x:v>DAL</x:v>
      </x:c>
      <x:c r="G748" s="75" t="str">
        <x:f>INDEX('Company Universe'!$F$6:$F$105,MATCH(D748,'Company Universe'!$A$6:$A$105,0))</x:f>
        <x:v>Transportation</x:v>
      </x:c>
      <x:c r="H748" s="57" t="n">
        <x:v>3</x:v>
      </x:c>
      <x:c r="I748" s="206" t="n"/>
      <x:c r="J748" s="71" t="n"/>
      <x:c r="K748" s="71" t="n"/>
      <x:c r="L748" s="71" t="inlineStr">
        <x:is>
          <x:t xml:space="preserve">NO</x:t>
        </x:is>
      </x:c>
      <x:c r="M748" s="71" t="n"/>
      <x:c r="N748" s="71" t="n"/>
      <x:c r="O748" s="71" t="n"/>
      <x:c r="P748" s="71" t="n"/>
      <x:c r="Q748" s="71" t="n"/>
      <x:c r="R748" s="71" t="n"/>
      <x:c r="S748" s="206" t="n"/>
      <x:c r="T748" s="71" t="n"/>
      <x:c r="U748" s="71" t="n"/>
      <x:c r="V748" s="71" t="n"/>
      <x:c r="W748" s="71" t="n"/>
      <x:c r="X748" s="71" t="n"/>
      <x:c r="Y748" s="71" t="n"/>
      <x:c r="Z748" s="71" t="n"/>
      <x:c r="AA748" s="71" t="n"/>
      <x:c r="AB748" s="71" t="inlineStr">
        <x:is>
          <x:t xml:space="preserve">NO</x:t>
        </x:is>
      </x:c>
      <x:c r="AC748" s="57" t="inlineStr">
        <x:is>
          <x:t xml:space="preserve">V10</x:t>
        </x:is>
      </x:c>
      <x:c r="AD748" s="57" t="n"/>
      <x:c r="AE748" s="79" t="str">
        <x:f>IF(AND(I748&lt;&gt;"",J748&lt;&gt;"",K748&lt;&gt;"",L748="YES",M748&lt;&gt;"",S748&lt;&gt;"",T748&lt;&gt;"",U748&lt;&gt;"",V748&lt;&gt;"",W748&lt;&gt;"",X748&lt;&gt;"",Y748&lt;&gt;""),"COMPLETE","PENDING")</x:f>
        <x:v>PENDING</x:v>
      </x:c>
      <x:c r="AF748" s="79" t="str">
        <x:f>IF(AE748="COMPLETE","YES","NO")</x:f>
        <x:v>NO</x:v>
      </x:c>
      <x:c r="AG748" s="214" t="str">
        <x:f>IF(AF748&lt;&gt;"YES","",(IF(V748="YES",1,0)+IF(W748="YES",1,0))/2)</x:f>
      </x:c>
    </x:row>
    <x:row r="749">
      <x:c r="A749" s="57" t="inlineStr">
        <x:is>
          <x:t xml:space="preserve">C0744</x:t>
        </x:is>
      </x:c>
      <x:c r="B749" s="57" t="inlineStr">
        <x:is>
          <x:t xml:space="preserve">Validation</x:t>
        </x:is>
      </x:c>
      <x:c r="C749" s="57" t="inlineStr">
        <x:is>
          <x:t xml:space="preserve">OPEN</x:t>
        </x:is>
      </x:c>
      <x:c r="D749" s="57" t="inlineStr">
        <x:is>
          <x:t xml:space="preserve">ARG-075</x:t>
        </x:is>
      </x:c>
      <x:c r="E749" s="75" t="str">
        <x:f>INDEX('Company Universe'!$B$6:$B$105,MATCH(D749,'Company Universe'!$A$6:$A$105,0))</x:f>
        <x:v>Delta Air Lines</x:v>
      </x:c>
      <x:c r="F749" s="75" t="str">
        <x:f>INDEX('Company Universe'!$C$6:$C$105,MATCH(D749,'Company Universe'!$A$6:$A$105,0))</x:f>
        <x:v>DAL</x:v>
      </x:c>
      <x:c r="G749" s="75" t="str">
        <x:f>INDEX('Company Universe'!$F$6:$F$105,MATCH(D749,'Company Universe'!$A$6:$A$105,0))</x:f>
        <x:v>Transportation</x:v>
      </x:c>
      <x:c r="H749" s="57" t="n">
        <x:v>4</x:v>
      </x:c>
      <x:c r="I749" s="206" t="n"/>
      <x:c r="J749" s="71" t="n"/>
      <x:c r="K749" s="71" t="n"/>
      <x:c r="L749" s="71" t="inlineStr">
        <x:is>
          <x:t xml:space="preserve">NO</x:t>
        </x:is>
      </x:c>
      <x:c r="M749" s="71" t="n"/>
      <x:c r="N749" s="71" t="n"/>
      <x:c r="O749" s="71" t="n"/>
      <x:c r="P749" s="71" t="n"/>
      <x:c r="Q749" s="71" t="n"/>
      <x:c r="R749" s="71" t="n"/>
      <x:c r="S749" s="206" t="n"/>
      <x:c r="T749" s="71" t="n"/>
      <x:c r="U749" s="71" t="n"/>
      <x:c r="V749" s="71" t="n"/>
      <x:c r="W749" s="71" t="n"/>
      <x:c r="X749" s="71" t="n"/>
      <x:c r="Y749" s="71" t="n"/>
      <x:c r="Z749" s="71" t="n"/>
      <x:c r="AA749" s="71" t="n"/>
      <x:c r="AB749" s="71" t="inlineStr">
        <x:is>
          <x:t xml:space="preserve">NO</x:t>
        </x:is>
      </x:c>
      <x:c r="AC749" s="57" t="inlineStr">
        <x:is>
          <x:t xml:space="preserve">V10</x:t>
        </x:is>
      </x:c>
      <x:c r="AD749" s="57" t="n"/>
      <x:c r="AE749" s="79" t="str">
        <x:f>IF(AND(I749&lt;&gt;"",J749&lt;&gt;"",K749&lt;&gt;"",L749="YES",M749&lt;&gt;"",S749&lt;&gt;"",T749&lt;&gt;"",U749&lt;&gt;"",V749&lt;&gt;"",W749&lt;&gt;"",X749&lt;&gt;"",Y749&lt;&gt;""),"COMPLETE","PENDING")</x:f>
        <x:v>PENDING</x:v>
      </x:c>
      <x:c r="AF749" s="79" t="str">
        <x:f>IF(AE749="COMPLETE","YES","NO")</x:f>
        <x:v>NO</x:v>
      </x:c>
      <x:c r="AG749" s="214" t="str">
        <x:f>IF(AF749&lt;&gt;"YES","",(IF(V749="YES",1,0)+IF(W749="YES",1,0))/2)</x:f>
      </x:c>
    </x:row>
    <x:row r="750">
      <x:c r="A750" s="57" t="inlineStr">
        <x:is>
          <x:t xml:space="preserve">C0745</x:t>
        </x:is>
      </x:c>
      <x:c r="B750" s="57" t="inlineStr">
        <x:is>
          <x:t xml:space="preserve">Validation</x:t>
        </x:is>
      </x:c>
      <x:c r="C750" s="57" t="inlineStr">
        <x:is>
          <x:t xml:space="preserve">OPEN</x:t>
        </x:is>
      </x:c>
      <x:c r="D750" s="57" t="inlineStr">
        <x:is>
          <x:t xml:space="preserve">ARG-075</x:t>
        </x:is>
      </x:c>
      <x:c r="E750" s="75" t="str">
        <x:f>INDEX('Company Universe'!$B$6:$B$105,MATCH(D750,'Company Universe'!$A$6:$A$105,0))</x:f>
        <x:v>Delta Air Lines</x:v>
      </x:c>
      <x:c r="F750" s="75" t="str">
        <x:f>INDEX('Company Universe'!$C$6:$C$105,MATCH(D750,'Company Universe'!$A$6:$A$105,0))</x:f>
        <x:v>DAL</x:v>
      </x:c>
      <x:c r="G750" s="75" t="str">
        <x:f>INDEX('Company Universe'!$F$6:$F$105,MATCH(D750,'Company Universe'!$A$6:$A$105,0))</x:f>
        <x:v>Transportation</x:v>
      </x:c>
      <x:c r="H750" s="57" t="n">
        <x:v>5</x:v>
      </x:c>
      <x:c r="I750" s="206" t="n"/>
      <x:c r="J750" s="71" t="n"/>
      <x:c r="K750" s="71" t="n"/>
      <x:c r="L750" s="71" t="inlineStr">
        <x:is>
          <x:t xml:space="preserve">NO</x:t>
        </x:is>
      </x:c>
      <x:c r="M750" s="71" t="n"/>
      <x:c r="N750" s="71" t="n"/>
      <x:c r="O750" s="71" t="n"/>
      <x:c r="P750" s="71" t="n"/>
      <x:c r="Q750" s="71" t="n"/>
      <x:c r="R750" s="71" t="n"/>
      <x:c r="S750" s="206" t="n"/>
      <x:c r="T750" s="71" t="n"/>
      <x:c r="U750" s="71" t="n"/>
      <x:c r="V750" s="71" t="n"/>
      <x:c r="W750" s="71" t="n"/>
      <x:c r="X750" s="71" t="n"/>
      <x:c r="Y750" s="71" t="n"/>
      <x:c r="Z750" s="71" t="n"/>
      <x:c r="AA750" s="71" t="n"/>
      <x:c r="AB750" s="71" t="inlineStr">
        <x:is>
          <x:t xml:space="preserve">NO</x:t>
        </x:is>
      </x:c>
      <x:c r="AC750" s="57" t="inlineStr">
        <x:is>
          <x:t xml:space="preserve">V10</x:t>
        </x:is>
      </x:c>
      <x:c r="AD750" s="57" t="n"/>
      <x:c r="AE750" s="79" t="str">
        <x:f>IF(AND(I750&lt;&gt;"",J750&lt;&gt;"",K750&lt;&gt;"",L750="YES",M750&lt;&gt;"",S750&lt;&gt;"",T750&lt;&gt;"",U750&lt;&gt;"",V750&lt;&gt;"",W750&lt;&gt;"",X750&lt;&gt;"",Y750&lt;&gt;""),"COMPLETE","PENDING")</x:f>
        <x:v>PENDING</x:v>
      </x:c>
      <x:c r="AF750" s="79" t="str">
        <x:f>IF(AE750="COMPLETE","YES","NO")</x:f>
        <x:v>NO</x:v>
      </x:c>
      <x:c r="AG750" s="214" t="str">
        <x:f>IF(AF750&lt;&gt;"YES","",(IF(V750="YES",1,0)+IF(W750="YES",1,0))/2)</x:f>
      </x:c>
    </x:row>
    <x:row r="751">
      <x:c r="A751" s="57" t="inlineStr">
        <x:is>
          <x:t xml:space="preserve">C0746</x:t>
        </x:is>
      </x:c>
      <x:c r="B751" s="57" t="inlineStr">
        <x:is>
          <x:t xml:space="preserve">Validation</x:t>
        </x:is>
      </x:c>
      <x:c r="C751" s="57" t="inlineStr">
        <x:is>
          <x:t xml:space="preserve">OPEN</x:t>
        </x:is>
      </x:c>
      <x:c r="D751" s="57" t="inlineStr">
        <x:is>
          <x:t xml:space="preserve">ARG-075</x:t>
        </x:is>
      </x:c>
      <x:c r="E751" s="75" t="str">
        <x:f>INDEX('Company Universe'!$B$6:$B$105,MATCH(D751,'Company Universe'!$A$6:$A$105,0))</x:f>
        <x:v>Delta Air Lines</x:v>
      </x:c>
      <x:c r="F751" s="75" t="str">
        <x:f>INDEX('Company Universe'!$C$6:$C$105,MATCH(D751,'Company Universe'!$A$6:$A$105,0))</x:f>
        <x:v>DAL</x:v>
      </x:c>
      <x:c r="G751" s="75" t="str">
        <x:f>INDEX('Company Universe'!$F$6:$F$105,MATCH(D751,'Company Universe'!$A$6:$A$105,0))</x:f>
        <x:v>Transportation</x:v>
      </x:c>
      <x:c r="H751" s="57" t="n">
        <x:v>6</x:v>
      </x:c>
      <x:c r="I751" s="206" t="n"/>
      <x:c r="J751" s="71" t="n"/>
      <x:c r="K751" s="71" t="n"/>
      <x:c r="L751" s="71" t="inlineStr">
        <x:is>
          <x:t xml:space="preserve">NO</x:t>
        </x:is>
      </x:c>
      <x:c r="M751" s="71" t="n"/>
      <x:c r="N751" s="71" t="n"/>
      <x:c r="O751" s="71" t="n"/>
      <x:c r="P751" s="71" t="n"/>
      <x:c r="Q751" s="71" t="n"/>
      <x:c r="R751" s="71" t="n"/>
      <x:c r="S751" s="206" t="n"/>
      <x:c r="T751" s="71" t="n"/>
      <x:c r="U751" s="71" t="n"/>
      <x:c r="V751" s="71" t="n"/>
      <x:c r="W751" s="71" t="n"/>
      <x:c r="X751" s="71" t="n"/>
      <x:c r="Y751" s="71" t="n"/>
      <x:c r="Z751" s="71" t="n"/>
      <x:c r="AA751" s="71" t="n"/>
      <x:c r="AB751" s="71" t="inlineStr">
        <x:is>
          <x:t xml:space="preserve">NO</x:t>
        </x:is>
      </x:c>
      <x:c r="AC751" s="57" t="inlineStr">
        <x:is>
          <x:t xml:space="preserve">V10</x:t>
        </x:is>
      </x:c>
      <x:c r="AD751" s="57" t="n"/>
      <x:c r="AE751" s="79" t="str">
        <x:f>IF(AND(I751&lt;&gt;"",J751&lt;&gt;"",K751&lt;&gt;"",L751="YES",M751&lt;&gt;"",S751&lt;&gt;"",T751&lt;&gt;"",U751&lt;&gt;"",V751&lt;&gt;"",W751&lt;&gt;"",X751&lt;&gt;"",Y751&lt;&gt;""),"COMPLETE","PENDING")</x:f>
        <x:v>PENDING</x:v>
      </x:c>
      <x:c r="AF751" s="79" t="str">
        <x:f>IF(AE751="COMPLETE","YES","NO")</x:f>
        <x:v>NO</x:v>
      </x:c>
      <x:c r="AG751" s="214" t="str">
        <x:f>IF(AF751&lt;&gt;"YES","",(IF(V751="YES",1,0)+IF(W751="YES",1,0))/2)</x:f>
      </x:c>
    </x:row>
    <x:row r="752">
      <x:c r="A752" s="57" t="inlineStr">
        <x:is>
          <x:t xml:space="preserve">C0747</x:t>
        </x:is>
      </x:c>
      <x:c r="B752" s="57" t="inlineStr">
        <x:is>
          <x:t xml:space="preserve">Validation</x:t>
        </x:is>
      </x:c>
      <x:c r="C752" s="57" t="inlineStr">
        <x:is>
          <x:t xml:space="preserve">OPEN</x:t>
        </x:is>
      </x:c>
      <x:c r="D752" s="57" t="inlineStr">
        <x:is>
          <x:t xml:space="preserve">ARG-075</x:t>
        </x:is>
      </x:c>
      <x:c r="E752" s="75" t="str">
        <x:f>INDEX('Company Universe'!$B$6:$B$105,MATCH(D752,'Company Universe'!$A$6:$A$105,0))</x:f>
        <x:v>Delta Air Lines</x:v>
      </x:c>
      <x:c r="F752" s="75" t="str">
        <x:f>INDEX('Company Universe'!$C$6:$C$105,MATCH(D752,'Company Universe'!$A$6:$A$105,0))</x:f>
        <x:v>DAL</x:v>
      </x:c>
      <x:c r="G752" s="75" t="str">
        <x:f>INDEX('Company Universe'!$F$6:$F$105,MATCH(D752,'Company Universe'!$A$6:$A$105,0))</x:f>
        <x:v>Transportation</x:v>
      </x:c>
      <x:c r="H752" s="57" t="n">
        <x:v>7</x:v>
      </x:c>
      <x:c r="I752" s="206" t="n"/>
      <x:c r="J752" s="71" t="n"/>
      <x:c r="K752" s="71" t="n"/>
      <x:c r="L752" s="71" t="inlineStr">
        <x:is>
          <x:t xml:space="preserve">NO</x:t>
        </x:is>
      </x:c>
      <x:c r="M752" s="71" t="n"/>
      <x:c r="N752" s="71" t="n"/>
      <x:c r="O752" s="71" t="n"/>
      <x:c r="P752" s="71" t="n"/>
      <x:c r="Q752" s="71" t="n"/>
      <x:c r="R752" s="71" t="n"/>
      <x:c r="S752" s="206" t="n"/>
      <x:c r="T752" s="71" t="n"/>
      <x:c r="U752" s="71" t="n"/>
      <x:c r="V752" s="71" t="n"/>
      <x:c r="W752" s="71" t="n"/>
      <x:c r="X752" s="71" t="n"/>
      <x:c r="Y752" s="71" t="n"/>
      <x:c r="Z752" s="71" t="n"/>
      <x:c r="AA752" s="71" t="n"/>
      <x:c r="AB752" s="71" t="inlineStr">
        <x:is>
          <x:t xml:space="preserve">NO</x:t>
        </x:is>
      </x:c>
      <x:c r="AC752" s="57" t="inlineStr">
        <x:is>
          <x:t xml:space="preserve">V10</x:t>
        </x:is>
      </x:c>
      <x:c r="AD752" s="57" t="n"/>
      <x:c r="AE752" s="79" t="str">
        <x:f>IF(AND(I752&lt;&gt;"",J752&lt;&gt;"",K752&lt;&gt;"",L752="YES",M752&lt;&gt;"",S752&lt;&gt;"",T752&lt;&gt;"",U752&lt;&gt;"",V752&lt;&gt;"",W752&lt;&gt;"",X752&lt;&gt;"",Y752&lt;&gt;""),"COMPLETE","PENDING")</x:f>
        <x:v>PENDING</x:v>
      </x:c>
      <x:c r="AF752" s="79" t="str">
        <x:f>IF(AE752="COMPLETE","YES","NO")</x:f>
        <x:v>NO</x:v>
      </x:c>
      <x:c r="AG752" s="214" t="str">
        <x:f>IF(AF752&lt;&gt;"YES","",(IF(V752="YES",1,0)+IF(W752="YES",1,0))/2)</x:f>
      </x:c>
    </x:row>
    <x:row r="753">
      <x:c r="A753" s="57" t="inlineStr">
        <x:is>
          <x:t xml:space="preserve">C0748</x:t>
        </x:is>
      </x:c>
      <x:c r="B753" s="57" t="inlineStr">
        <x:is>
          <x:t xml:space="preserve">Validation</x:t>
        </x:is>
      </x:c>
      <x:c r="C753" s="57" t="inlineStr">
        <x:is>
          <x:t xml:space="preserve">OPEN</x:t>
        </x:is>
      </x:c>
      <x:c r="D753" s="57" t="inlineStr">
        <x:is>
          <x:t xml:space="preserve">ARG-075</x:t>
        </x:is>
      </x:c>
      <x:c r="E753" s="75" t="str">
        <x:f>INDEX('Company Universe'!$B$6:$B$105,MATCH(D753,'Company Universe'!$A$6:$A$105,0))</x:f>
        <x:v>Delta Air Lines</x:v>
      </x:c>
      <x:c r="F753" s="75" t="str">
        <x:f>INDEX('Company Universe'!$C$6:$C$105,MATCH(D753,'Company Universe'!$A$6:$A$105,0))</x:f>
        <x:v>DAL</x:v>
      </x:c>
      <x:c r="G753" s="75" t="str">
        <x:f>INDEX('Company Universe'!$F$6:$F$105,MATCH(D753,'Company Universe'!$A$6:$A$105,0))</x:f>
        <x:v>Transportation</x:v>
      </x:c>
      <x:c r="H753" s="57" t="n">
        <x:v>8</x:v>
      </x:c>
      <x:c r="I753" s="206" t="n"/>
      <x:c r="J753" s="71" t="n"/>
      <x:c r="K753" s="71" t="n"/>
      <x:c r="L753" s="71" t="inlineStr">
        <x:is>
          <x:t xml:space="preserve">NO</x:t>
        </x:is>
      </x:c>
      <x:c r="M753" s="71" t="n"/>
      <x:c r="N753" s="71" t="n"/>
      <x:c r="O753" s="71" t="n"/>
      <x:c r="P753" s="71" t="n"/>
      <x:c r="Q753" s="71" t="n"/>
      <x:c r="R753" s="71" t="n"/>
      <x:c r="S753" s="206" t="n"/>
      <x:c r="T753" s="71" t="n"/>
      <x:c r="U753" s="71" t="n"/>
      <x:c r="V753" s="71" t="n"/>
      <x:c r="W753" s="71" t="n"/>
      <x:c r="X753" s="71" t="n"/>
      <x:c r="Y753" s="71" t="n"/>
      <x:c r="Z753" s="71" t="n"/>
      <x:c r="AA753" s="71" t="n"/>
      <x:c r="AB753" s="71" t="inlineStr">
        <x:is>
          <x:t xml:space="preserve">NO</x:t>
        </x:is>
      </x:c>
      <x:c r="AC753" s="57" t="inlineStr">
        <x:is>
          <x:t xml:space="preserve">V10</x:t>
        </x:is>
      </x:c>
      <x:c r="AD753" s="57" t="n"/>
      <x:c r="AE753" s="79" t="str">
        <x:f>IF(AND(I753&lt;&gt;"",J753&lt;&gt;"",K753&lt;&gt;"",L753="YES",M753&lt;&gt;"",S753&lt;&gt;"",T753&lt;&gt;"",U753&lt;&gt;"",V753&lt;&gt;"",W753&lt;&gt;"",X753&lt;&gt;"",Y753&lt;&gt;""),"COMPLETE","PENDING")</x:f>
        <x:v>PENDING</x:v>
      </x:c>
      <x:c r="AF753" s="79" t="str">
        <x:f>IF(AE753="COMPLETE","YES","NO")</x:f>
        <x:v>NO</x:v>
      </x:c>
      <x:c r="AG753" s="214" t="str">
        <x:f>IF(AF753&lt;&gt;"YES","",(IF(V753="YES",1,0)+IF(W753="YES",1,0))/2)</x:f>
      </x:c>
    </x:row>
    <x:row r="754">
      <x:c r="A754" s="57" t="inlineStr">
        <x:is>
          <x:t xml:space="preserve">C0749</x:t>
        </x:is>
      </x:c>
      <x:c r="B754" s="57" t="inlineStr">
        <x:is>
          <x:t xml:space="preserve">Validation</x:t>
        </x:is>
      </x:c>
      <x:c r="C754" s="57" t="inlineStr">
        <x:is>
          <x:t xml:space="preserve">OPEN</x:t>
        </x:is>
      </x:c>
      <x:c r="D754" s="57" t="inlineStr">
        <x:is>
          <x:t xml:space="preserve">ARG-075</x:t>
        </x:is>
      </x:c>
      <x:c r="E754" s="75" t="str">
        <x:f>INDEX('Company Universe'!$B$6:$B$105,MATCH(D754,'Company Universe'!$A$6:$A$105,0))</x:f>
        <x:v>Delta Air Lines</x:v>
      </x:c>
      <x:c r="F754" s="75" t="str">
        <x:f>INDEX('Company Universe'!$C$6:$C$105,MATCH(D754,'Company Universe'!$A$6:$A$105,0))</x:f>
        <x:v>DAL</x:v>
      </x:c>
      <x:c r="G754" s="75" t="str">
        <x:f>INDEX('Company Universe'!$F$6:$F$105,MATCH(D754,'Company Universe'!$A$6:$A$105,0))</x:f>
        <x:v>Transportation</x:v>
      </x:c>
      <x:c r="H754" s="57" t="n">
        <x:v>9</x:v>
      </x:c>
      <x:c r="I754" s="206" t="n"/>
      <x:c r="J754" s="71" t="n"/>
      <x:c r="K754" s="71" t="n"/>
      <x:c r="L754" s="71" t="inlineStr">
        <x:is>
          <x:t xml:space="preserve">NO</x:t>
        </x:is>
      </x:c>
      <x:c r="M754" s="71" t="n"/>
      <x:c r="N754" s="71" t="n"/>
      <x:c r="O754" s="71" t="n"/>
      <x:c r="P754" s="71" t="n"/>
      <x:c r="Q754" s="71" t="n"/>
      <x:c r="R754" s="71" t="n"/>
      <x:c r="S754" s="206" t="n"/>
      <x:c r="T754" s="71" t="n"/>
      <x:c r="U754" s="71" t="n"/>
      <x:c r="V754" s="71" t="n"/>
      <x:c r="W754" s="71" t="n"/>
      <x:c r="X754" s="71" t="n"/>
      <x:c r="Y754" s="71" t="n"/>
      <x:c r="Z754" s="71" t="n"/>
      <x:c r="AA754" s="71" t="n"/>
      <x:c r="AB754" s="71" t="inlineStr">
        <x:is>
          <x:t xml:space="preserve">NO</x:t>
        </x:is>
      </x:c>
      <x:c r="AC754" s="57" t="inlineStr">
        <x:is>
          <x:t xml:space="preserve">V10</x:t>
        </x:is>
      </x:c>
      <x:c r="AD754" s="57" t="n"/>
      <x:c r="AE754" s="79" t="str">
        <x:f>IF(AND(I754&lt;&gt;"",J754&lt;&gt;"",K754&lt;&gt;"",L754="YES",M754&lt;&gt;"",S754&lt;&gt;"",T754&lt;&gt;"",U754&lt;&gt;"",V754&lt;&gt;"",W754&lt;&gt;"",X754&lt;&gt;"",Y754&lt;&gt;""),"COMPLETE","PENDING")</x:f>
        <x:v>PENDING</x:v>
      </x:c>
      <x:c r="AF754" s="79" t="str">
        <x:f>IF(AE754="COMPLETE","YES","NO")</x:f>
        <x:v>NO</x:v>
      </x:c>
      <x:c r="AG754" s="214" t="str">
        <x:f>IF(AF754&lt;&gt;"YES","",(IF(V754="YES",1,0)+IF(W754="YES",1,0))/2)</x:f>
      </x:c>
    </x:row>
    <x:row r="755">
      <x:c r="A755" s="57" t="inlineStr">
        <x:is>
          <x:t xml:space="preserve">C0750</x:t>
        </x:is>
      </x:c>
      <x:c r="B755" s="57" t="inlineStr">
        <x:is>
          <x:t xml:space="preserve">Validation</x:t>
        </x:is>
      </x:c>
      <x:c r="C755" s="57" t="inlineStr">
        <x:is>
          <x:t xml:space="preserve">OPEN</x:t>
        </x:is>
      </x:c>
      <x:c r="D755" s="57" t="inlineStr">
        <x:is>
          <x:t xml:space="preserve">ARG-075</x:t>
        </x:is>
      </x:c>
      <x:c r="E755" s="75" t="str">
        <x:f>INDEX('Company Universe'!$B$6:$B$105,MATCH(D755,'Company Universe'!$A$6:$A$105,0))</x:f>
        <x:v>Delta Air Lines</x:v>
      </x:c>
      <x:c r="F755" s="75" t="str">
        <x:f>INDEX('Company Universe'!$C$6:$C$105,MATCH(D755,'Company Universe'!$A$6:$A$105,0))</x:f>
        <x:v>DAL</x:v>
      </x:c>
      <x:c r="G755" s="75" t="str">
        <x:f>INDEX('Company Universe'!$F$6:$F$105,MATCH(D755,'Company Universe'!$A$6:$A$105,0))</x:f>
        <x:v>Transportation</x:v>
      </x:c>
      <x:c r="H755" s="57" t="n">
        <x:v>10</x:v>
      </x:c>
      <x:c r="I755" s="206" t="n"/>
      <x:c r="J755" s="71" t="n"/>
      <x:c r="K755" s="71" t="n"/>
      <x:c r="L755" s="71" t="inlineStr">
        <x:is>
          <x:t xml:space="preserve">NO</x:t>
        </x:is>
      </x:c>
      <x:c r="M755" s="71" t="n"/>
      <x:c r="N755" s="71" t="n"/>
      <x:c r="O755" s="71" t="n"/>
      <x:c r="P755" s="71" t="n"/>
      <x:c r="Q755" s="71" t="n"/>
      <x:c r="R755" s="71" t="n"/>
      <x:c r="S755" s="206" t="n"/>
      <x:c r="T755" s="71" t="n"/>
      <x:c r="U755" s="71" t="n"/>
      <x:c r="V755" s="71" t="n"/>
      <x:c r="W755" s="71" t="n"/>
      <x:c r="X755" s="71" t="n"/>
      <x:c r="Y755" s="71" t="n"/>
      <x:c r="Z755" s="71" t="n"/>
      <x:c r="AA755" s="71" t="n"/>
      <x:c r="AB755" s="71" t="inlineStr">
        <x:is>
          <x:t xml:space="preserve">NO</x:t>
        </x:is>
      </x:c>
      <x:c r="AC755" s="57" t="inlineStr">
        <x:is>
          <x:t xml:space="preserve">V10</x:t>
        </x:is>
      </x:c>
      <x:c r="AD755" s="57" t="n"/>
      <x:c r="AE755" s="79" t="str">
        <x:f>IF(AND(I755&lt;&gt;"",J755&lt;&gt;"",K755&lt;&gt;"",L755="YES",M755&lt;&gt;"",S755&lt;&gt;"",T755&lt;&gt;"",U755&lt;&gt;"",V755&lt;&gt;"",W755&lt;&gt;"",X755&lt;&gt;"",Y755&lt;&gt;""),"COMPLETE","PENDING")</x:f>
        <x:v>PENDING</x:v>
      </x:c>
      <x:c r="AF755" s="79" t="str">
        <x:f>IF(AE755="COMPLETE","YES","NO")</x:f>
        <x:v>NO</x:v>
      </x:c>
      <x:c r="AG755" s="214" t="str">
        <x:f>IF(AF755&lt;&gt;"YES","",(IF(V755="YES",1,0)+IF(W755="YES",1,0))/2)</x:f>
      </x:c>
    </x:row>
    <x:row r="756">
      <x:c r="A756" s="57" t="inlineStr">
        <x:is>
          <x:t xml:space="preserve">C0751</x:t>
        </x:is>
      </x:c>
      <x:c r="B756" s="57" t="inlineStr">
        <x:is>
          <x:t xml:space="preserve">Validation</x:t>
        </x:is>
      </x:c>
      <x:c r="C756" s="57" t="inlineStr">
        <x:is>
          <x:t xml:space="preserve">OPEN</x:t>
        </x:is>
      </x:c>
      <x:c r="D756" s="57" t="inlineStr">
        <x:is>
          <x:t xml:space="preserve">ARG-076</x:t>
        </x:is>
      </x:c>
      <x:c r="E756" s="75" t="str">
        <x:f>INDEX('Company Universe'!$B$6:$B$105,MATCH(D756,'Company Universe'!$A$6:$A$105,0))</x:f>
        <x:v>Toyota Motor</x:v>
      </x:c>
      <x:c r="F756" s="75" t="str">
        <x:f>INDEX('Company Universe'!$C$6:$C$105,MATCH(D756,'Company Universe'!$A$6:$A$105,0))</x:f>
        <x:v>TM</x:v>
      </x:c>
      <x:c r="G756" s="75" t="str">
        <x:f>INDEX('Company Universe'!$F$6:$F$105,MATCH(D756,'Company Universe'!$A$6:$A$105,0))</x:f>
        <x:v>Autos &amp; Mobility</x:v>
      </x:c>
      <x:c r="H756" s="57" t="n">
        <x:v>1</x:v>
      </x:c>
      <x:c r="I756" s="206" t="n"/>
      <x:c r="J756" s="71" t="n"/>
      <x:c r="K756" s="71" t="n"/>
      <x:c r="L756" s="71" t="inlineStr">
        <x:is>
          <x:t xml:space="preserve">NO</x:t>
        </x:is>
      </x:c>
      <x:c r="M756" s="71" t="n"/>
      <x:c r="N756" s="71" t="n"/>
      <x:c r="O756" s="71" t="n"/>
      <x:c r="P756" s="71" t="n"/>
      <x:c r="Q756" s="71" t="n"/>
      <x:c r="R756" s="71" t="n"/>
      <x:c r="S756" s="206" t="n"/>
      <x:c r="T756" s="71" t="n"/>
      <x:c r="U756" s="71" t="n"/>
      <x:c r="V756" s="71" t="n"/>
      <x:c r="W756" s="71" t="n"/>
      <x:c r="X756" s="71" t="n"/>
      <x:c r="Y756" s="71" t="n"/>
      <x:c r="Z756" s="71" t="n"/>
      <x:c r="AA756" s="71" t="n"/>
      <x:c r="AB756" s="71" t="inlineStr">
        <x:is>
          <x:t xml:space="preserve">NO</x:t>
        </x:is>
      </x:c>
      <x:c r="AC756" s="57" t="inlineStr">
        <x:is>
          <x:t xml:space="preserve">V10</x:t>
        </x:is>
      </x:c>
      <x:c r="AD756" s="57" t="n"/>
      <x:c r="AE756" s="79" t="str">
        <x:f>IF(AND(I756&lt;&gt;"",J756&lt;&gt;"",K756&lt;&gt;"",L756="YES",M756&lt;&gt;"",S756&lt;&gt;"",T756&lt;&gt;"",U756&lt;&gt;"",V756&lt;&gt;"",W756&lt;&gt;"",X756&lt;&gt;"",Y756&lt;&gt;""),"COMPLETE","PENDING")</x:f>
        <x:v>PENDING</x:v>
      </x:c>
      <x:c r="AF756" s="79" t="str">
        <x:f>IF(AE756="COMPLETE","YES","NO")</x:f>
        <x:v>NO</x:v>
      </x:c>
      <x:c r="AG756" s="214" t="str">
        <x:f>IF(AF756&lt;&gt;"YES","",(IF(V756="YES",1,0)+IF(W756="YES",1,0))/2)</x:f>
      </x:c>
    </x:row>
    <x:row r="757">
      <x:c r="A757" s="57" t="inlineStr">
        <x:is>
          <x:t xml:space="preserve">C0752</x:t>
        </x:is>
      </x:c>
      <x:c r="B757" s="57" t="inlineStr">
        <x:is>
          <x:t xml:space="preserve">Validation</x:t>
        </x:is>
      </x:c>
      <x:c r="C757" s="57" t="inlineStr">
        <x:is>
          <x:t xml:space="preserve">OPEN</x:t>
        </x:is>
      </x:c>
      <x:c r="D757" s="57" t="inlineStr">
        <x:is>
          <x:t xml:space="preserve">ARG-076</x:t>
        </x:is>
      </x:c>
      <x:c r="E757" s="75" t="str">
        <x:f>INDEX('Company Universe'!$B$6:$B$105,MATCH(D757,'Company Universe'!$A$6:$A$105,0))</x:f>
        <x:v>Toyota Motor</x:v>
      </x:c>
      <x:c r="F757" s="75" t="str">
        <x:f>INDEX('Company Universe'!$C$6:$C$105,MATCH(D757,'Company Universe'!$A$6:$A$105,0))</x:f>
        <x:v>TM</x:v>
      </x:c>
      <x:c r="G757" s="75" t="str">
        <x:f>INDEX('Company Universe'!$F$6:$F$105,MATCH(D757,'Company Universe'!$A$6:$A$105,0))</x:f>
        <x:v>Autos &amp; Mobility</x:v>
      </x:c>
      <x:c r="H757" s="57" t="n">
        <x:v>2</x:v>
      </x:c>
      <x:c r="I757" s="206" t="n"/>
      <x:c r="J757" s="71" t="n"/>
      <x:c r="K757" s="71" t="n"/>
      <x:c r="L757" s="71" t="inlineStr">
        <x:is>
          <x:t xml:space="preserve">NO</x:t>
        </x:is>
      </x:c>
      <x:c r="M757" s="71" t="n"/>
      <x:c r="N757" s="71" t="n"/>
      <x:c r="O757" s="71" t="n"/>
      <x:c r="P757" s="71" t="n"/>
      <x:c r="Q757" s="71" t="n"/>
      <x:c r="R757" s="71" t="n"/>
      <x:c r="S757" s="206" t="n"/>
      <x:c r="T757" s="71" t="n"/>
      <x:c r="U757" s="71" t="n"/>
      <x:c r="V757" s="71" t="n"/>
      <x:c r="W757" s="71" t="n"/>
      <x:c r="X757" s="71" t="n"/>
      <x:c r="Y757" s="71" t="n"/>
      <x:c r="Z757" s="71" t="n"/>
      <x:c r="AA757" s="71" t="n"/>
      <x:c r="AB757" s="71" t="inlineStr">
        <x:is>
          <x:t xml:space="preserve">NO</x:t>
        </x:is>
      </x:c>
      <x:c r="AC757" s="57" t="inlineStr">
        <x:is>
          <x:t xml:space="preserve">V10</x:t>
        </x:is>
      </x:c>
      <x:c r="AD757" s="57" t="n"/>
      <x:c r="AE757" s="79" t="str">
        <x:f>IF(AND(I757&lt;&gt;"",J757&lt;&gt;"",K757&lt;&gt;"",L757="YES",M757&lt;&gt;"",S757&lt;&gt;"",T757&lt;&gt;"",U757&lt;&gt;"",V757&lt;&gt;"",W757&lt;&gt;"",X757&lt;&gt;"",Y757&lt;&gt;""),"COMPLETE","PENDING")</x:f>
        <x:v>PENDING</x:v>
      </x:c>
      <x:c r="AF757" s="79" t="str">
        <x:f>IF(AE757="COMPLETE","YES","NO")</x:f>
        <x:v>NO</x:v>
      </x:c>
      <x:c r="AG757" s="214" t="str">
        <x:f>IF(AF757&lt;&gt;"YES","",(IF(V757="YES",1,0)+IF(W757="YES",1,0))/2)</x:f>
      </x:c>
    </x:row>
    <x:row r="758">
      <x:c r="A758" s="57" t="inlineStr">
        <x:is>
          <x:t xml:space="preserve">C0753</x:t>
        </x:is>
      </x:c>
      <x:c r="B758" s="57" t="inlineStr">
        <x:is>
          <x:t xml:space="preserve">Validation</x:t>
        </x:is>
      </x:c>
      <x:c r="C758" s="57" t="inlineStr">
        <x:is>
          <x:t xml:space="preserve">OPEN</x:t>
        </x:is>
      </x:c>
      <x:c r="D758" s="57" t="inlineStr">
        <x:is>
          <x:t xml:space="preserve">ARG-076</x:t>
        </x:is>
      </x:c>
      <x:c r="E758" s="75" t="str">
        <x:f>INDEX('Company Universe'!$B$6:$B$105,MATCH(D758,'Company Universe'!$A$6:$A$105,0))</x:f>
        <x:v>Toyota Motor</x:v>
      </x:c>
      <x:c r="F758" s="75" t="str">
        <x:f>INDEX('Company Universe'!$C$6:$C$105,MATCH(D758,'Company Universe'!$A$6:$A$105,0))</x:f>
        <x:v>TM</x:v>
      </x:c>
      <x:c r="G758" s="75" t="str">
        <x:f>INDEX('Company Universe'!$F$6:$F$105,MATCH(D758,'Company Universe'!$A$6:$A$105,0))</x:f>
        <x:v>Autos &amp; Mobility</x:v>
      </x:c>
      <x:c r="H758" s="57" t="n">
        <x:v>3</x:v>
      </x:c>
      <x:c r="I758" s="206" t="n"/>
      <x:c r="J758" s="71" t="n"/>
      <x:c r="K758" s="71" t="n"/>
      <x:c r="L758" s="71" t="inlineStr">
        <x:is>
          <x:t xml:space="preserve">NO</x:t>
        </x:is>
      </x:c>
      <x:c r="M758" s="71" t="n"/>
      <x:c r="N758" s="71" t="n"/>
      <x:c r="O758" s="71" t="n"/>
      <x:c r="P758" s="71" t="n"/>
      <x:c r="Q758" s="71" t="n"/>
      <x:c r="R758" s="71" t="n"/>
      <x:c r="S758" s="206" t="n"/>
      <x:c r="T758" s="71" t="n"/>
      <x:c r="U758" s="71" t="n"/>
      <x:c r="V758" s="71" t="n"/>
      <x:c r="W758" s="71" t="n"/>
      <x:c r="X758" s="71" t="n"/>
      <x:c r="Y758" s="71" t="n"/>
      <x:c r="Z758" s="71" t="n"/>
      <x:c r="AA758" s="71" t="n"/>
      <x:c r="AB758" s="71" t="inlineStr">
        <x:is>
          <x:t xml:space="preserve">NO</x:t>
        </x:is>
      </x:c>
      <x:c r="AC758" s="57" t="inlineStr">
        <x:is>
          <x:t xml:space="preserve">V10</x:t>
        </x:is>
      </x:c>
      <x:c r="AD758" s="57" t="n"/>
      <x:c r="AE758" s="79" t="str">
        <x:f>IF(AND(I758&lt;&gt;"",J758&lt;&gt;"",K758&lt;&gt;"",L758="YES",M758&lt;&gt;"",S758&lt;&gt;"",T758&lt;&gt;"",U758&lt;&gt;"",V758&lt;&gt;"",W758&lt;&gt;"",X758&lt;&gt;"",Y758&lt;&gt;""),"COMPLETE","PENDING")</x:f>
        <x:v>PENDING</x:v>
      </x:c>
      <x:c r="AF758" s="79" t="str">
        <x:f>IF(AE758="COMPLETE","YES","NO")</x:f>
        <x:v>NO</x:v>
      </x:c>
      <x:c r="AG758" s="214" t="str">
        <x:f>IF(AF758&lt;&gt;"YES","",(IF(V758="YES",1,0)+IF(W758="YES",1,0))/2)</x:f>
      </x:c>
    </x:row>
    <x:row r="759">
      <x:c r="A759" s="57" t="inlineStr">
        <x:is>
          <x:t xml:space="preserve">C0754</x:t>
        </x:is>
      </x:c>
      <x:c r="B759" s="57" t="inlineStr">
        <x:is>
          <x:t xml:space="preserve">Validation</x:t>
        </x:is>
      </x:c>
      <x:c r="C759" s="57" t="inlineStr">
        <x:is>
          <x:t xml:space="preserve">OPEN</x:t>
        </x:is>
      </x:c>
      <x:c r="D759" s="57" t="inlineStr">
        <x:is>
          <x:t xml:space="preserve">ARG-076</x:t>
        </x:is>
      </x:c>
      <x:c r="E759" s="75" t="str">
        <x:f>INDEX('Company Universe'!$B$6:$B$105,MATCH(D759,'Company Universe'!$A$6:$A$105,0))</x:f>
        <x:v>Toyota Motor</x:v>
      </x:c>
      <x:c r="F759" s="75" t="str">
        <x:f>INDEX('Company Universe'!$C$6:$C$105,MATCH(D759,'Company Universe'!$A$6:$A$105,0))</x:f>
        <x:v>TM</x:v>
      </x:c>
      <x:c r="G759" s="75" t="str">
        <x:f>INDEX('Company Universe'!$F$6:$F$105,MATCH(D759,'Company Universe'!$A$6:$A$105,0))</x:f>
        <x:v>Autos &amp; Mobility</x:v>
      </x:c>
      <x:c r="H759" s="57" t="n">
        <x:v>4</x:v>
      </x:c>
      <x:c r="I759" s="206" t="n"/>
      <x:c r="J759" s="71" t="n"/>
      <x:c r="K759" s="71" t="n"/>
      <x:c r="L759" s="71" t="inlineStr">
        <x:is>
          <x:t xml:space="preserve">NO</x:t>
        </x:is>
      </x:c>
      <x:c r="M759" s="71" t="n"/>
      <x:c r="N759" s="71" t="n"/>
      <x:c r="O759" s="71" t="n"/>
      <x:c r="P759" s="71" t="n"/>
      <x:c r="Q759" s="71" t="n"/>
      <x:c r="R759" s="71" t="n"/>
      <x:c r="S759" s="206" t="n"/>
      <x:c r="T759" s="71" t="n"/>
      <x:c r="U759" s="71" t="n"/>
      <x:c r="V759" s="71" t="n"/>
      <x:c r="W759" s="71" t="n"/>
      <x:c r="X759" s="71" t="n"/>
      <x:c r="Y759" s="71" t="n"/>
      <x:c r="Z759" s="71" t="n"/>
      <x:c r="AA759" s="71" t="n"/>
      <x:c r="AB759" s="71" t="inlineStr">
        <x:is>
          <x:t xml:space="preserve">NO</x:t>
        </x:is>
      </x:c>
      <x:c r="AC759" s="57" t="inlineStr">
        <x:is>
          <x:t xml:space="preserve">V10</x:t>
        </x:is>
      </x:c>
      <x:c r="AD759" s="57" t="n"/>
      <x:c r="AE759" s="79" t="str">
        <x:f>IF(AND(I759&lt;&gt;"",J759&lt;&gt;"",K759&lt;&gt;"",L759="YES",M759&lt;&gt;"",S759&lt;&gt;"",T759&lt;&gt;"",U759&lt;&gt;"",V759&lt;&gt;"",W759&lt;&gt;"",X759&lt;&gt;"",Y759&lt;&gt;""),"COMPLETE","PENDING")</x:f>
        <x:v>PENDING</x:v>
      </x:c>
      <x:c r="AF759" s="79" t="str">
        <x:f>IF(AE759="COMPLETE","YES","NO")</x:f>
        <x:v>NO</x:v>
      </x:c>
      <x:c r="AG759" s="214" t="str">
        <x:f>IF(AF759&lt;&gt;"YES","",(IF(V759="YES",1,0)+IF(W759="YES",1,0))/2)</x:f>
      </x:c>
    </x:row>
    <x:row r="760">
      <x:c r="A760" s="57" t="inlineStr">
        <x:is>
          <x:t xml:space="preserve">C0755</x:t>
        </x:is>
      </x:c>
      <x:c r="B760" s="57" t="inlineStr">
        <x:is>
          <x:t xml:space="preserve">Validation</x:t>
        </x:is>
      </x:c>
      <x:c r="C760" s="57" t="inlineStr">
        <x:is>
          <x:t xml:space="preserve">OPEN</x:t>
        </x:is>
      </x:c>
      <x:c r="D760" s="57" t="inlineStr">
        <x:is>
          <x:t xml:space="preserve">ARG-076</x:t>
        </x:is>
      </x:c>
      <x:c r="E760" s="75" t="str">
        <x:f>INDEX('Company Universe'!$B$6:$B$105,MATCH(D760,'Company Universe'!$A$6:$A$105,0))</x:f>
        <x:v>Toyota Motor</x:v>
      </x:c>
      <x:c r="F760" s="75" t="str">
        <x:f>INDEX('Company Universe'!$C$6:$C$105,MATCH(D760,'Company Universe'!$A$6:$A$105,0))</x:f>
        <x:v>TM</x:v>
      </x:c>
      <x:c r="G760" s="75" t="str">
        <x:f>INDEX('Company Universe'!$F$6:$F$105,MATCH(D760,'Company Universe'!$A$6:$A$105,0))</x:f>
        <x:v>Autos &amp; Mobility</x:v>
      </x:c>
      <x:c r="H760" s="57" t="n">
        <x:v>5</x:v>
      </x:c>
      <x:c r="I760" s="206" t="n"/>
      <x:c r="J760" s="71" t="n"/>
      <x:c r="K760" s="71" t="n"/>
      <x:c r="L760" s="71" t="inlineStr">
        <x:is>
          <x:t xml:space="preserve">NO</x:t>
        </x:is>
      </x:c>
      <x:c r="M760" s="71" t="n"/>
      <x:c r="N760" s="71" t="n"/>
      <x:c r="O760" s="71" t="n"/>
      <x:c r="P760" s="71" t="n"/>
      <x:c r="Q760" s="71" t="n"/>
      <x:c r="R760" s="71" t="n"/>
      <x:c r="S760" s="206" t="n"/>
      <x:c r="T760" s="71" t="n"/>
      <x:c r="U760" s="71" t="n"/>
      <x:c r="V760" s="71" t="n"/>
      <x:c r="W760" s="71" t="n"/>
      <x:c r="X760" s="71" t="n"/>
      <x:c r="Y760" s="71" t="n"/>
      <x:c r="Z760" s="71" t="n"/>
      <x:c r="AA760" s="71" t="n"/>
      <x:c r="AB760" s="71" t="inlineStr">
        <x:is>
          <x:t xml:space="preserve">NO</x:t>
        </x:is>
      </x:c>
      <x:c r="AC760" s="57" t="inlineStr">
        <x:is>
          <x:t xml:space="preserve">V10</x:t>
        </x:is>
      </x:c>
      <x:c r="AD760" s="57" t="n"/>
      <x:c r="AE760" s="79" t="str">
        <x:f>IF(AND(I760&lt;&gt;"",J760&lt;&gt;"",K760&lt;&gt;"",L760="YES",M760&lt;&gt;"",S760&lt;&gt;"",T760&lt;&gt;"",U760&lt;&gt;"",V760&lt;&gt;"",W760&lt;&gt;"",X760&lt;&gt;"",Y760&lt;&gt;""),"COMPLETE","PENDING")</x:f>
        <x:v>PENDING</x:v>
      </x:c>
      <x:c r="AF760" s="79" t="str">
        <x:f>IF(AE760="COMPLETE","YES","NO")</x:f>
        <x:v>NO</x:v>
      </x:c>
      <x:c r="AG760" s="214" t="str">
        <x:f>IF(AF760&lt;&gt;"YES","",(IF(V760="YES",1,0)+IF(W760="YES",1,0))/2)</x:f>
      </x:c>
    </x:row>
    <x:row r="761">
      <x:c r="A761" s="57" t="inlineStr">
        <x:is>
          <x:t xml:space="preserve">C0756</x:t>
        </x:is>
      </x:c>
      <x:c r="B761" s="57" t="inlineStr">
        <x:is>
          <x:t xml:space="preserve">Validation</x:t>
        </x:is>
      </x:c>
      <x:c r="C761" s="57" t="inlineStr">
        <x:is>
          <x:t xml:space="preserve">OPEN</x:t>
        </x:is>
      </x:c>
      <x:c r="D761" s="57" t="inlineStr">
        <x:is>
          <x:t xml:space="preserve">ARG-076</x:t>
        </x:is>
      </x:c>
      <x:c r="E761" s="75" t="str">
        <x:f>INDEX('Company Universe'!$B$6:$B$105,MATCH(D761,'Company Universe'!$A$6:$A$105,0))</x:f>
        <x:v>Toyota Motor</x:v>
      </x:c>
      <x:c r="F761" s="75" t="str">
        <x:f>INDEX('Company Universe'!$C$6:$C$105,MATCH(D761,'Company Universe'!$A$6:$A$105,0))</x:f>
        <x:v>TM</x:v>
      </x:c>
      <x:c r="G761" s="75" t="str">
        <x:f>INDEX('Company Universe'!$F$6:$F$105,MATCH(D761,'Company Universe'!$A$6:$A$105,0))</x:f>
        <x:v>Autos &amp; Mobility</x:v>
      </x:c>
      <x:c r="H761" s="57" t="n">
        <x:v>6</x:v>
      </x:c>
      <x:c r="I761" s="206" t="n"/>
      <x:c r="J761" s="71" t="n"/>
      <x:c r="K761" s="71" t="n"/>
      <x:c r="L761" s="71" t="inlineStr">
        <x:is>
          <x:t xml:space="preserve">NO</x:t>
        </x:is>
      </x:c>
      <x:c r="M761" s="71" t="n"/>
      <x:c r="N761" s="71" t="n"/>
      <x:c r="O761" s="71" t="n"/>
      <x:c r="P761" s="71" t="n"/>
      <x:c r="Q761" s="71" t="n"/>
      <x:c r="R761" s="71" t="n"/>
      <x:c r="S761" s="206" t="n"/>
      <x:c r="T761" s="71" t="n"/>
      <x:c r="U761" s="71" t="n"/>
      <x:c r="V761" s="71" t="n"/>
      <x:c r="W761" s="71" t="n"/>
      <x:c r="X761" s="71" t="n"/>
      <x:c r="Y761" s="71" t="n"/>
      <x:c r="Z761" s="71" t="n"/>
      <x:c r="AA761" s="71" t="n"/>
      <x:c r="AB761" s="71" t="inlineStr">
        <x:is>
          <x:t xml:space="preserve">NO</x:t>
        </x:is>
      </x:c>
      <x:c r="AC761" s="57" t="inlineStr">
        <x:is>
          <x:t xml:space="preserve">V10</x:t>
        </x:is>
      </x:c>
      <x:c r="AD761" s="57" t="n"/>
      <x:c r="AE761" s="79" t="str">
        <x:f>IF(AND(I761&lt;&gt;"",J761&lt;&gt;"",K761&lt;&gt;"",L761="YES",M761&lt;&gt;"",S761&lt;&gt;"",T761&lt;&gt;"",U761&lt;&gt;"",V761&lt;&gt;"",W761&lt;&gt;"",X761&lt;&gt;"",Y761&lt;&gt;""),"COMPLETE","PENDING")</x:f>
        <x:v>PENDING</x:v>
      </x:c>
      <x:c r="AF761" s="79" t="str">
        <x:f>IF(AE761="COMPLETE","YES","NO")</x:f>
        <x:v>NO</x:v>
      </x:c>
      <x:c r="AG761" s="214" t="str">
        <x:f>IF(AF761&lt;&gt;"YES","",(IF(V761="YES",1,0)+IF(W761="YES",1,0))/2)</x:f>
      </x:c>
    </x:row>
    <x:row r="762">
      <x:c r="A762" s="57" t="inlineStr">
        <x:is>
          <x:t xml:space="preserve">C0757</x:t>
        </x:is>
      </x:c>
      <x:c r="B762" s="57" t="inlineStr">
        <x:is>
          <x:t xml:space="preserve">Validation</x:t>
        </x:is>
      </x:c>
      <x:c r="C762" s="57" t="inlineStr">
        <x:is>
          <x:t xml:space="preserve">OPEN</x:t>
        </x:is>
      </x:c>
      <x:c r="D762" s="57" t="inlineStr">
        <x:is>
          <x:t xml:space="preserve">ARG-076</x:t>
        </x:is>
      </x:c>
      <x:c r="E762" s="75" t="str">
        <x:f>INDEX('Company Universe'!$B$6:$B$105,MATCH(D762,'Company Universe'!$A$6:$A$105,0))</x:f>
        <x:v>Toyota Motor</x:v>
      </x:c>
      <x:c r="F762" s="75" t="str">
        <x:f>INDEX('Company Universe'!$C$6:$C$105,MATCH(D762,'Company Universe'!$A$6:$A$105,0))</x:f>
        <x:v>TM</x:v>
      </x:c>
      <x:c r="G762" s="75" t="str">
        <x:f>INDEX('Company Universe'!$F$6:$F$105,MATCH(D762,'Company Universe'!$A$6:$A$105,0))</x:f>
        <x:v>Autos &amp; Mobility</x:v>
      </x:c>
      <x:c r="H762" s="57" t="n">
        <x:v>7</x:v>
      </x:c>
      <x:c r="I762" s="206" t="n"/>
      <x:c r="J762" s="71" t="n"/>
      <x:c r="K762" s="71" t="n"/>
      <x:c r="L762" s="71" t="inlineStr">
        <x:is>
          <x:t xml:space="preserve">NO</x:t>
        </x:is>
      </x:c>
      <x:c r="M762" s="71" t="n"/>
      <x:c r="N762" s="71" t="n"/>
      <x:c r="O762" s="71" t="n"/>
      <x:c r="P762" s="71" t="n"/>
      <x:c r="Q762" s="71" t="n"/>
      <x:c r="R762" s="71" t="n"/>
      <x:c r="S762" s="206" t="n"/>
      <x:c r="T762" s="71" t="n"/>
      <x:c r="U762" s="71" t="n"/>
      <x:c r="V762" s="71" t="n"/>
      <x:c r="W762" s="71" t="n"/>
      <x:c r="X762" s="71" t="n"/>
      <x:c r="Y762" s="71" t="n"/>
      <x:c r="Z762" s="71" t="n"/>
      <x:c r="AA762" s="71" t="n"/>
      <x:c r="AB762" s="71" t="inlineStr">
        <x:is>
          <x:t xml:space="preserve">NO</x:t>
        </x:is>
      </x:c>
      <x:c r="AC762" s="57" t="inlineStr">
        <x:is>
          <x:t xml:space="preserve">V10</x:t>
        </x:is>
      </x:c>
      <x:c r="AD762" s="57" t="n"/>
      <x:c r="AE762" s="79" t="str">
        <x:f>IF(AND(I762&lt;&gt;"",J762&lt;&gt;"",K762&lt;&gt;"",L762="YES",M762&lt;&gt;"",S762&lt;&gt;"",T762&lt;&gt;"",U762&lt;&gt;"",V762&lt;&gt;"",W762&lt;&gt;"",X762&lt;&gt;"",Y762&lt;&gt;""),"COMPLETE","PENDING")</x:f>
        <x:v>PENDING</x:v>
      </x:c>
      <x:c r="AF762" s="79" t="str">
        <x:f>IF(AE762="COMPLETE","YES","NO")</x:f>
        <x:v>NO</x:v>
      </x:c>
      <x:c r="AG762" s="214" t="str">
        <x:f>IF(AF762&lt;&gt;"YES","",(IF(V762="YES",1,0)+IF(W762="YES",1,0))/2)</x:f>
      </x:c>
    </x:row>
    <x:row r="763">
      <x:c r="A763" s="57" t="inlineStr">
        <x:is>
          <x:t xml:space="preserve">C0758</x:t>
        </x:is>
      </x:c>
      <x:c r="B763" s="57" t="inlineStr">
        <x:is>
          <x:t xml:space="preserve">Validation</x:t>
        </x:is>
      </x:c>
      <x:c r="C763" s="57" t="inlineStr">
        <x:is>
          <x:t xml:space="preserve">OPEN</x:t>
        </x:is>
      </x:c>
      <x:c r="D763" s="57" t="inlineStr">
        <x:is>
          <x:t xml:space="preserve">ARG-076</x:t>
        </x:is>
      </x:c>
      <x:c r="E763" s="75" t="str">
        <x:f>INDEX('Company Universe'!$B$6:$B$105,MATCH(D763,'Company Universe'!$A$6:$A$105,0))</x:f>
        <x:v>Toyota Motor</x:v>
      </x:c>
      <x:c r="F763" s="75" t="str">
        <x:f>INDEX('Company Universe'!$C$6:$C$105,MATCH(D763,'Company Universe'!$A$6:$A$105,0))</x:f>
        <x:v>TM</x:v>
      </x:c>
      <x:c r="G763" s="75" t="str">
        <x:f>INDEX('Company Universe'!$F$6:$F$105,MATCH(D763,'Company Universe'!$A$6:$A$105,0))</x:f>
        <x:v>Autos &amp; Mobility</x:v>
      </x:c>
      <x:c r="H763" s="57" t="n">
        <x:v>8</x:v>
      </x:c>
      <x:c r="I763" s="206" t="n"/>
      <x:c r="J763" s="71" t="n"/>
      <x:c r="K763" s="71" t="n"/>
      <x:c r="L763" s="71" t="inlineStr">
        <x:is>
          <x:t xml:space="preserve">NO</x:t>
        </x:is>
      </x:c>
      <x:c r="M763" s="71" t="n"/>
      <x:c r="N763" s="71" t="n"/>
      <x:c r="O763" s="71" t="n"/>
      <x:c r="P763" s="71" t="n"/>
      <x:c r="Q763" s="71" t="n"/>
      <x:c r="R763" s="71" t="n"/>
      <x:c r="S763" s="206" t="n"/>
      <x:c r="T763" s="71" t="n"/>
      <x:c r="U763" s="71" t="n"/>
      <x:c r="V763" s="71" t="n"/>
      <x:c r="W763" s="71" t="n"/>
      <x:c r="X763" s="71" t="n"/>
      <x:c r="Y763" s="71" t="n"/>
      <x:c r="Z763" s="71" t="n"/>
      <x:c r="AA763" s="71" t="n"/>
      <x:c r="AB763" s="71" t="inlineStr">
        <x:is>
          <x:t xml:space="preserve">NO</x:t>
        </x:is>
      </x:c>
      <x:c r="AC763" s="57" t="inlineStr">
        <x:is>
          <x:t xml:space="preserve">V10</x:t>
        </x:is>
      </x:c>
      <x:c r="AD763" s="57" t="n"/>
      <x:c r="AE763" s="79" t="str">
        <x:f>IF(AND(I763&lt;&gt;"",J763&lt;&gt;"",K763&lt;&gt;"",L763="YES",M763&lt;&gt;"",S763&lt;&gt;"",T763&lt;&gt;"",U763&lt;&gt;"",V763&lt;&gt;"",W763&lt;&gt;"",X763&lt;&gt;"",Y763&lt;&gt;""),"COMPLETE","PENDING")</x:f>
        <x:v>PENDING</x:v>
      </x:c>
      <x:c r="AF763" s="79" t="str">
        <x:f>IF(AE763="COMPLETE","YES","NO")</x:f>
        <x:v>NO</x:v>
      </x:c>
      <x:c r="AG763" s="214" t="str">
        <x:f>IF(AF763&lt;&gt;"YES","",(IF(V763="YES",1,0)+IF(W763="YES",1,0))/2)</x:f>
      </x:c>
    </x:row>
    <x:row r="764">
      <x:c r="A764" s="57" t="inlineStr">
        <x:is>
          <x:t xml:space="preserve">C0759</x:t>
        </x:is>
      </x:c>
      <x:c r="B764" s="57" t="inlineStr">
        <x:is>
          <x:t xml:space="preserve">Validation</x:t>
        </x:is>
      </x:c>
      <x:c r="C764" s="57" t="inlineStr">
        <x:is>
          <x:t xml:space="preserve">OPEN</x:t>
        </x:is>
      </x:c>
      <x:c r="D764" s="57" t="inlineStr">
        <x:is>
          <x:t xml:space="preserve">ARG-076</x:t>
        </x:is>
      </x:c>
      <x:c r="E764" s="75" t="str">
        <x:f>INDEX('Company Universe'!$B$6:$B$105,MATCH(D764,'Company Universe'!$A$6:$A$105,0))</x:f>
        <x:v>Toyota Motor</x:v>
      </x:c>
      <x:c r="F764" s="75" t="str">
        <x:f>INDEX('Company Universe'!$C$6:$C$105,MATCH(D764,'Company Universe'!$A$6:$A$105,0))</x:f>
        <x:v>TM</x:v>
      </x:c>
      <x:c r="G764" s="75" t="str">
        <x:f>INDEX('Company Universe'!$F$6:$F$105,MATCH(D764,'Company Universe'!$A$6:$A$105,0))</x:f>
        <x:v>Autos &amp; Mobility</x:v>
      </x:c>
      <x:c r="H764" s="57" t="n">
        <x:v>9</x:v>
      </x:c>
      <x:c r="I764" s="206" t="n"/>
      <x:c r="J764" s="71" t="n"/>
      <x:c r="K764" s="71" t="n"/>
      <x:c r="L764" s="71" t="inlineStr">
        <x:is>
          <x:t xml:space="preserve">NO</x:t>
        </x:is>
      </x:c>
      <x:c r="M764" s="71" t="n"/>
      <x:c r="N764" s="71" t="n"/>
      <x:c r="O764" s="71" t="n"/>
      <x:c r="P764" s="71" t="n"/>
      <x:c r="Q764" s="71" t="n"/>
      <x:c r="R764" s="71" t="n"/>
      <x:c r="S764" s="206" t="n"/>
      <x:c r="T764" s="71" t="n"/>
      <x:c r="U764" s="71" t="n"/>
      <x:c r="V764" s="71" t="n"/>
      <x:c r="W764" s="71" t="n"/>
      <x:c r="X764" s="71" t="n"/>
      <x:c r="Y764" s="71" t="n"/>
      <x:c r="Z764" s="71" t="n"/>
      <x:c r="AA764" s="71" t="n"/>
      <x:c r="AB764" s="71" t="inlineStr">
        <x:is>
          <x:t xml:space="preserve">NO</x:t>
        </x:is>
      </x:c>
      <x:c r="AC764" s="57" t="inlineStr">
        <x:is>
          <x:t xml:space="preserve">V10</x:t>
        </x:is>
      </x:c>
      <x:c r="AD764" s="57" t="n"/>
      <x:c r="AE764" s="79" t="str">
        <x:f>IF(AND(I764&lt;&gt;"",J764&lt;&gt;"",K764&lt;&gt;"",L764="YES",M764&lt;&gt;"",S764&lt;&gt;"",T764&lt;&gt;"",U764&lt;&gt;"",V764&lt;&gt;"",W764&lt;&gt;"",X764&lt;&gt;"",Y764&lt;&gt;""),"COMPLETE","PENDING")</x:f>
        <x:v>PENDING</x:v>
      </x:c>
      <x:c r="AF764" s="79" t="str">
        <x:f>IF(AE764="COMPLETE","YES","NO")</x:f>
        <x:v>NO</x:v>
      </x:c>
      <x:c r="AG764" s="214" t="str">
        <x:f>IF(AF764&lt;&gt;"YES","",(IF(V764="YES",1,0)+IF(W764="YES",1,0))/2)</x:f>
      </x:c>
    </x:row>
    <x:row r="765">
      <x:c r="A765" s="57" t="inlineStr">
        <x:is>
          <x:t xml:space="preserve">C0760</x:t>
        </x:is>
      </x:c>
      <x:c r="B765" s="57" t="inlineStr">
        <x:is>
          <x:t xml:space="preserve">Validation</x:t>
        </x:is>
      </x:c>
      <x:c r="C765" s="57" t="inlineStr">
        <x:is>
          <x:t xml:space="preserve">OPEN</x:t>
        </x:is>
      </x:c>
      <x:c r="D765" s="57" t="inlineStr">
        <x:is>
          <x:t xml:space="preserve">ARG-076</x:t>
        </x:is>
      </x:c>
      <x:c r="E765" s="75" t="str">
        <x:f>INDEX('Company Universe'!$B$6:$B$105,MATCH(D765,'Company Universe'!$A$6:$A$105,0))</x:f>
        <x:v>Toyota Motor</x:v>
      </x:c>
      <x:c r="F765" s="75" t="str">
        <x:f>INDEX('Company Universe'!$C$6:$C$105,MATCH(D765,'Company Universe'!$A$6:$A$105,0))</x:f>
        <x:v>TM</x:v>
      </x:c>
      <x:c r="G765" s="75" t="str">
        <x:f>INDEX('Company Universe'!$F$6:$F$105,MATCH(D765,'Company Universe'!$A$6:$A$105,0))</x:f>
        <x:v>Autos &amp; Mobility</x:v>
      </x:c>
      <x:c r="H765" s="57" t="n">
        <x:v>10</x:v>
      </x:c>
      <x:c r="I765" s="206" t="n"/>
      <x:c r="J765" s="71" t="n"/>
      <x:c r="K765" s="71" t="n"/>
      <x:c r="L765" s="71" t="inlineStr">
        <x:is>
          <x:t xml:space="preserve">NO</x:t>
        </x:is>
      </x:c>
      <x:c r="M765" s="71" t="n"/>
      <x:c r="N765" s="71" t="n"/>
      <x:c r="O765" s="71" t="n"/>
      <x:c r="P765" s="71" t="n"/>
      <x:c r="Q765" s="71" t="n"/>
      <x:c r="R765" s="71" t="n"/>
      <x:c r="S765" s="206" t="n"/>
      <x:c r="T765" s="71" t="n"/>
      <x:c r="U765" s="71" t="n"/>
      <x:c r="V765" s="71" t="n"/>
      <x:c r="W765" s="71" t="n"/>
      <x:c r="X765" s="71" t="n"/>
      <x:c r="Y765" s="71" t="n"/>
      <x:c r="Z765" s="71" t="n"/>
      <x:c r="AA765" s="71" t="n"/>
      <x:c r="AB765" s="71" t="inlineStr">
        <x:is>
          <x:t xml:space="preserve">NO</x:t>
        </x:is>
      </x:c>
      <x:c r="AC765" s="57" t="inlineStr">
        <x:is>
          <x:t xml:space="preserve">V10</x:t>
        </x:is>
      </x:c>
      <x:c r="AD765" s="57" t="n"/>
      <x:c r="AE765" s="79" t="str">
        <x:f>IF(AND(I765&lt;&gt;"",J765&lt;&gt;"",K765&lt;&gt;"",L765="YES",M765&lt;&gt;"",S765&lt;&gt;"",T765&lt;&gt;"",U765&lt;&gt;"",V765&lt;&gt;"",W765&lt;&gt;"",X765&lt;&gt;"",Y765&lt;&gt;""),"COMPLETE","PENDING")</x:f>
        <x:v>PENDING</x:v>
      </x:c>
      <x:c r="AF765" s="79" t="str">
        <x:f>IF(AE765="COMPLETE","YES","NO")</x:f>
        <x:v>NO</x:v>
      </x:c>
      <x:c r="AG765" s="214" t="str">
        <x:f>IF(AF765&lt;&gt;"YES","",(IF(V765="YES",1,0)+IF(W765="YES",1,0))/2)</x:f>
      </x:c>
    </x:row>
    <x:row r="766">
      <x:c r="A766" s="57" t="inlineStr">
        <x:is>
          <x:t xml:space="preserve">C0761</x:t>
        </x:is>
      </x:c>
      <x:c r="B766" s="57" t="inlineStr">
        <x:is>
          <x:t xml:space="preserve">Validation</x:t>
        </x:is>
      </x:c>
      <x:c r="C766" s="57" t="inlineStr">
        <x:is>
          <x:t xml:space="preserve">OPEN</x:t>
        </x:is>
      </x:c>
      <x:c r="D766" s="57" t="inlineStr">
        <x:is>
          <x:t xml:space="preserve">ARG-077</x:t>
        </x:is>
      </x:c>
      <x:c r="E766" s="75" t="str">
        <x:f>INDEX('Company Universe'!$B$6:$B$105,MATCH(D766,'Company Universe'!$A$6:$A$105,0))</x:f>
        <x:v>Corteva</x:v>
      </x:c>
      <x:c r="F766" s="75" t="str">
        <x:f>INDEX('Company Universe'!$C$6:$C$105,MATCH(D766,'Company Universe'!$A$6:$A$105,0))</x:f>
        <x:v>CTVA</x:v>
      </x:c>
      <x:c r="G766" s="75" t="str">
        <x:f>INDEX('Company Universe'!$F$6:$F$105,MATCH(D766,'Company Universe'!$A$6:$A$105,0))</x:f>
        <x:v>Agriculture &amp; Fertilizers</x:v>
      </x:c>
      <x:c r="H766" s="57" t="n">
        <x:v>1</x:v>
      </x:c>
      <x:c r="I766" s="206" t="n"/>
      <x:c r="J766" s="71" t="n"/>
      <x:c r="K766" s="71" t="n"/>
      <x:c r="L766" s="71" t="inlineStr">
        <x:is>
          <x:t xml:space="preserve">NO</x:t>
        </x:is>
      </x:c>
      <x:c r="M766" s="71" t="n"/>
      <x:c r="N766" s="71" t="n"/>
      <x:c r="O766" s="71" t="n"/>
      <x:c r="P766" s="71" t="n"/>
      <x:c r="Q766" s="71" t="n"/>
      <x:c r="R766" s="71" t="n"/>
      <x:c r="S766" s="206" t="n"/>
      <x:c r="T766" s="71" t="n"/>
      <x:c r="U766" s="71" t="n"/>
      <x:c r="V766" s="71" t="n"/>
      <x:c r="W766" s="71" t="n"/>
      <x:c r="X766" s="71" t="n"/>
      <x:c r="Y766" s="71" t="n"/>
      <x:c r="Z766" s="71" t="n"/>
      <x:c r="AA766" s="71" t="n"/>
      <x:c r="AB766" s="71" t="inlineStr">
        <x:is>
          <x:t xml:space="preserve">NO</x:t>
        </x:is>
      </x:c>
      <x:c r="AC766" s="57" t="inlineStr">
        <x:is>
          <x:t xml:space="preserve">V10</x:t>
        </x:is>
      </x:c>
      <x:c r="AD766" s="57" t="n"/>
      <x:c r="AE766" s="79" t="str">
        <x:f>IF(AND(I766&lt;&gt;"",J766&lt;&gt;"",K766&lt;&gt;"",L766="YES",M766&lt;&gt;"",S766&lt;&gt;"",T766&lt;&gt;"",U766&lt;&gt;"",V766&lt;&gt;"",W766&lt;&gt;"",X766&lt;&gt;"",Y766&lt;&gt;""),"COMPLETE","PENDING")</x:f>
        <x:v>PENDING</x:v>
      </x:c>
      <x:c r="AF766" s="79" t="str">
        <x:f>IF(AE766="COMPLETE","YES","NO")</x:f>
        <x:v>NO</x:v>
      </x:c>
      <x:c r="AG766" s="214" t="str">
        <x:f>IF(AF766&lt;&gt;"YES","",(IF(V766="YES",1,0)+IF(W766="YES",1,0))/2)</x:f>
      </x:c>
    </x:row>
    <x:row r="767">
      <x:c r="A767" s="57" t="inlineStr">
        <x:is>
          <x:t xml:space="preserve">C0762</x:t>
        </x:is>
      </x:c>
      <x:c r="B767" s="57" t="inlineStr">
        <x:is>
          <x:t xml:space="preserve">Validation</x:t>
        </x:is>
      </x:c>
      <x:c r="C767" s="57" t="inlineStr">
        <x:is>
          <x:t xml:space="preserve">OPEN</x:t>
        </x:is>
      </x:c>
      <x:c r="D767" s="57" t="inlineStr">
        <x:is>
          <x:t xml:space="preserve">ARG-077</x:t>
        </x:is>
      </x:c>
      <x:c r="E767" s="75" t="str">
        <x:f>INDEX('Company Universe'!$B$6:$B$105,MATCH(D767,'Company Universe'!$A$6:$A$105,0))</x:f>
        <x:v>Corteva</x:v>
      </x:c>
      <x:c r="F767" s="75" t="str">
        <x:f>INDEX('Company Universe'!$C$6:$C$105,MATCH(D767,'Company Universe'!$A$6:$A$105,0))</x:f>
        <x:v>CTVA</x:v>
      </x:c>
      <x:c r="G767" s="75" t="str">
        <x:f>INDEX('Company Universe'!$F$6:$F$105,MATCH(D767,'Company Universe'!$A$6:$A$105,0))</x:f>
        <x:v>Agriculture &amp; Fertilizers</x:v>
      </x:c>
      <x:c r="H767" s="57" t="n">
        <x:v>2</x:v>
      </x:c>
      <x:c r="I767" s="206" t="n"/>
      <x:c r="J767" s="71" t="n"/>
      <x:c r="K767" s="71" t="n"/>
      <x:c r="L767" s="71" t="inlineStr">
        <x:is>
          <x:t xml:space="preserve">NO</x:t>
        </x:is>
      </x:c>
      <x:c r="M767" s="71" t="n"/>
      <x:c r="N767" s="71" t="n"/>
      <x:c r="O767" s="71" t="n"/>
      <x:c r="P767" s="71" t="n"/>
      <x:c r="Q767" s="71" t="n"/>
      <x:c r="R767" s="71" t="n"/>
      <x:c r="S767" s="206" t="n"/>
      <x:c r="T767" s="71" t="n"/>
      <x:c r="U767" s="71" t="n"/>
      <x:c r="V767" s="71" t="n"/>
      <x:c r="W767" s="71" t="n"/>
      <x:c r="X767" s="71" t="n"/>
      <x:c r="Y767" s="71" t="n"/>
      <x:c r="Z767" s="71" t="n"/>
      <x:c r="AA767" s="71" t="n"/>
      <x:c r="AB767" s="71" t="inlineStr">
        <x:is>
          <x:t xml:space="preserve">NO</x:t>
        </x:is>
      </x:c>
      <x:c r="AC767" s="57" t="inlineStr">
        <x:is>
          <x:t xml:space="preserve">V10</x:t>
        </x:is>
      </x:c>
      <x:c r="AD767" s="57" t="n"/>
      <x:c r="AE767" s="79" t="str">
        <x:f>IF(AND(I767&lt;&gt;"",J767&lt;&gt;"",K767&lt;&gt;"",L767="YES",M767&lt;&gt;"",S767&lt;&gt;"",T767&lt;&gt;"",U767&lt;&gt;"",V767&lt;&gt;"",W767&lt;&gt;"",X767&lt;&gt;"",Y767&lt;&gt;""),"COMPLETE","PENDING")</x:f>
        <x:v>PENDING</x:v>
      </x:c>
      <x:c r="AF767" s="79" t="str">
        <x:f>IF(AE767="COMPLETE","YES","NO")</x:f>
        <x:v>NO</x:v>
      </x:c>
      <x:c r="AG767" s="214" t="str">
        <x:f>IF(AF767&lt;&gt;"YES","",(IF(V767="YES",1,0)+IF(W767="YES",1,0))/2)</x:f>
      </x:c>
    </x:row>
    <x:row r="768">
      <x:c r="A768" s="57" t="inlineStr">
        <x:is>
          <x:t xml:space="preserve">C0763</x:t>
        </x:is>
      </x:c>
      <x:c r="B768" s="57" t="inlineStr">
        <x:is>
          <x:t xml:space="preserve">Validation</x:t>
        </x:is>
      </x:c>
      <x:c r="C768" s="57" t="inlineStr">
        <x:is>
          <x:t xml:space="preserve">OPEN</x:t>
        </x:is>
      </x:c>
      <x:c r="D768" s="57" t="inlineStr">
        <x:is>
          <x:t xml:space="preserve">ARG-077</x:t>
        </x:is>
      </x:c>
      <x:c r="E768" s="75" t="str">
        <x:f>INDEX('Company Universe'!$B$6:$B$105,MATCH(D768,'Company Universe'!$A$6:$A$105,0))</x:f>
        <x:v>Corteva</x:v>
      </x:c>
      <x:c r="F768" s="75" t="str">
        <x:f>INDEX('Company Universe'!$C$6:$C$105,MATCH(D768,'Company Universe'!$A$6:$A$105,0))</x:f>
        <x:v>CTVA</x:v>
      </x:c>
      <x:c r="G768" s="75" t="str">
        <x:f>INDEX('Company Universe'!$F$6:$F$105,MATCH(D768,'Company Universe'!$A$6:$A$105,0))</x:f>
        <x:v>Agriculture &amp; Fertilizers</x:v>
      </x:c>
      <x:c r="H768" s="57" t="n">
        <x:v>3</x:v>
      </x:c>
      <x:c r="I768" s="206" t="n"/>
      <x:c r="J768" s="71" t="n"/>
      <x:c r="K768" s="71" t="n"/>
      <x:c r="L768" s="71" t="inlineStr">
        <x:is>
          <x:t xml:space="preserve">NO</x:t>
        </x:is>
      </x:c>
      <x:c r="M768" s="71" t="n"/>
      <x:c r="N768" s="71" t="n"/>
      <x:c r="O768" s="71" t="n"/>
      <x:c r="P768" s="71" t="n"/>
      <x:c r="Q768" s="71" t="n"/>
      <x:c r="R768" s="71" t="n"/>
      <x:c r="S768" s="206" t="n"/>
      <x:c r="T768" s="71" t="n"/>
      <x:c r="U768" s="71" t="n"/>
      <x:c r="V768" s="71" t="n"/>
      <x:c r="W768" s="71" t="n"/>
      <x:c r="X768" s="71" t="n"/>
      <x:c r="Y768" s="71" t="n"/>
      <x:c r="Z768" s="71" t="n"/>
      <x:c r="AA768" s="71" t="n"/>
      <x:c r="AB768" s="71" t="inlineStr">
        <x:is>
          <x:t xml:space="preserve">NO</x:t>
        </x:is>
      </x:c>
      <x:c r="AC768" s="57" t="inlineStr">
        <x:is>
          <x:t xml:space="preserve">V10</x:t>
        </x:is>
      </x:c>
      <x:c r="AD768" s="57" t="n"/>
      <x:c r="AE768" s="79" t="str">
        <x:f>IF(AND(I768&lt;&gt;"",J768&lt;&gt;"",K768&lt;&gt;"",L768="YES",M768&lt;&gt;"",S768&lt;&gt;"",T768&lt;&gt;"",U768&lt;&gt;"",V768&lt;&gt;"",W768&lt;&gt;"",X768&lt;&gt;"",Y768&lt;&gt;""),"COMPLETE","PENDING")</x:f>
        <x:v>PENDING</x:v>
      </x:c>
      <x:c r="AF768" s="79" t="str">
        <x:f>IF(AE768="COMPLETE","YES","NO")</x:f>
        <x:v>NO</x:v>
      </x:c>
      <x:c r="AG768" s="214" t="str">
        <x:f>IF(AF768&lt;&gt;"YES","",(IF(V768="YES",1,0)+IF(W768="YES",1,0))/2)</x:f>
      </x:c>
    </x:row>
    <x:row r="769">
      <x:c r="A769" s="57" t="inlineStr">
        <x:is>
          <x:t xml:space="preserve">C0764</x:t>
        </x:is>
      </x:c>
      <x:c r="B769" s="57" t="inlineStr">
        <x:is>
          <x:t xml:space="preserve">Validation</x:t>
        </x:is>
      </x:c>
      <x:c r="C769" s="57" t="inlineStr">
        <x:is>
          <x:t xml:space="preserve">OPEN</x:t>
        </x:is>
      </x:c>
      <x:c r="D769" s="57" t="inlineStr">
        <x:is>
          <x:t xml:space="preserve">ARG-077</x:t>
        </x:is>
      </x:c>
      <x:c r="E769" s="75" t="str">
        <x:f>INDEX('Company Universe'!$B$6:$B$105,MATCH(D769,'Company Universe'!$A$6:$A$105,0))</x:f>
        <x:v>Corteva</x:v>
      </x:c>
      <x:c r="F769" s="75" t="str">
        <x:f>INDEX('Company Universe'!$C$6:$C$105,MATCH(D769,'Company Universe'!$A$6:$A$105,0))</x:f>
        <x:v>CTVA</x:v>
      </x:c>
      <x:c r="G769" s="75" t="str">
        <x:f>INDEX('Company Universe'!$F$6:$F$105,MATCH(D769,'Company Universe'!$A$6:$A$105,0))</x:f>
        <x:v>Agriculture &amp; Fertilizers</x:v>
      </x:c>
      <x:c r="H769" s="57" t="n">
        <x:v>4</x:v>
      </x:c>
      <x:c r="I769" s="206" t="n"/>
      <x:c r="J769" s="71" t="n"/>
      <x:c r="K769" s="71" t="n"/>
      <x:c r="L769" s="71" t="inlineStr">
        <x:is>
          <x:t xml:space="preserve">NO</x:t>
        </x:is>
      </x:c>
      <x:c r="M769" s="71" t="n"/>
      <x:c r="N769" s="71" t="n"/>
      <x:c r="O769" s="71" t="n"/>
      <x:c r="P769" s="71" t="n"/>
      <x:c r="Q769" s="71" t="n"/>
      <x:c r="R769" s="71" t="n"/>
      <x:c r="S769" s="206" t="n"/>
      <x:c r="T769" s="71" t="n"/>
      <x:c r="U769" s="71" t="n"/>
      <x:c r="V769" s="71" t="n"/>
      <x:c r="W769" s="71" t="n"/>
      <x:c r="X769" s="71" t="n"/>
      <x:c r="Y769" s="71" t="n"/>
      <x:c r="Z769" s="71" t="n"/>
      <x:c r="AA769" s="71" t="n"/>
      <x:c r="AB769" s="71" t="inlineStr">
        <x:is>
          <x:t xml:space="preserve">NO</x:t>
        </x:is>
      </x:c>
      <x:c r="AC769" s="57" t="inlineStr">
        <x:is>
          <x:t xml:space="preserve">V10</x:t>
        </x:is>
      </x:c>
      <x:c r="AD769" s="57" t="n"/>
      <x:c r="AE769" s="79" t="str">
        <x:f>IF(AND(I769&lt;&gt;"",J769&lt;&gt;"",K769&lt;&gt;"",L769="YES",M769&lt;&gt;"",S769&lt;&gt;"",T769&lt;&gt;"",U769&lt;&gt;"",V769&lt;&gt;"",W769&lt;&gt;"",X769&lt;&gt;"",Y769&lt;&gt;""),"COMPLETE","PENDING")</x:f>
        <x:v>PENDING</x:v>
      </x:c>
      <x:c r="AF769" s="79" t="str">
        <x:f>IF(AE769="COMPLETE","YES","NO")</x:f>
        <x:v>NO</x:v>
      </x:c>
      <x:c r="AG769" s="214" t="str">
        <x:f>IF(AF769&lt;&gt;"YES","",(IF(V769="YES",1,0)+IF(W769="YES",1,0))/2)</x:f>
      </x:c>
    </x:row>
    <x:row r="770">
      <x:c r="A770" s="57" t="inlineStr">
        <x:is>
          <x:t xml:space="preserve">C0765</x:t>
        </x:is>
      </x:c>
      <x:c r="B770" s="57" t="inlineStr">
        <x:is>
          <x:t xml:space="preserve">Validation</x:t>
        </x:is>
      </x:c>
      <x:c r="C770" s="57" t="inlineStr">
        <x:is>
          <x:t xml:space="preserve">OPEN</x:t>
        </x:is>
      </x:c>
      <x:c r="D770" s="57" t="inlineStr">
        <x:is>
          <x:t xml:space="preserve">ARG-077</x:t>
        </x:is>
      </x:c>
      <x:c r="E770" s="75" t="str">
        <x:f>INDEX('Company Universe'!$B$6:$B$105,MATCH(D770,'Company Universe'!$A$6:$A$105,0))</x:f>
        <x:v>Corteva</x:v>
      </x:c>
      <x:c r="F770" s="75" t="str">
        <x:f>INDEX('Company Universe'!$C$6:$C$105,MATCH(D770,'Company Universe'!$A$6:$A$105,0))</x:f>
        <x:v>CTVA</x:v>
      </x:c>
      <x:c r="G770" s="75" t="str">
        <x:f>INDEX('Company Universe'!$F$6:$F$105,MATCH(D770,'Company Universe'!$A$6:$A$105,0))</x:f>
        <x:v>Agriculture &amp; Fertilizers</x:v>
      </x:c>
      <x:c r="H770" s="57" t="n">
        <x:v>5</x:v>
      </x:c>
      <x:c r="I770" s="206" t="n"/>
      <x:c r="J770" s="71" t="n"/>
      <x:c r="K770" s="71" t="n"/>
      <x:c r="L770" s="71" t="inlineStr">
        <x:is>
          <x:t xml:space="preserve">NO</x:t>
        </x:is>
      </x:c>
      <x:c r="M770" s="71" t="n"/>
      <x:c r="N770" s="71" t="n"/>
      <x:c r="O770" s="71" t="n"/>
      <x:c r="P770" s="71" t="n"/>
      <x:c r="Q770" s="71" t="n"/>
      <x:c r="R770" s="71" t="n"/>
      <x:c r="S770" s="206" t="n"/>
      <x:c r="T770" s="71" t="n"/>
      <x:c r="U770" s="71" t="n"/>
      <x:c r="V770" s="71" t="n"/>
      <x:c r="W770" s="71" t="n"/>
      <x:c r="X770" s="71" t="n"/>
      <x:c r="Y770" s="71" t="n"/>
      <x:c r="Z770" s="71" t="n"/>
      <x:c r="AA770" s="71" t="n"/>
      <x:c r="AB770" s="71" t="inlineStr">
        <x:is>
          <x:t xml:space="preserve">NO</x:t>
        </x:is>
      </x:c>
      <x:c r="AC770" s="57" t="inlineStr">
        <x:is>
          <x:t xml:space="preserve">V10</x:t>
        </x:is>
      </x:c>
      <x:c r="AD770" s="57" t="n"/>
      <x:c r="AE770" s="79" t="str">
        <x:f>IF(AND(I770&lt;&gt;"",J770&lt;&gt;"",K770&lt;&gt;"",L770="YES",M770&lt;&gt;"",S770&lt;&gt;"",T770&lt;&gt;"",U770&lt;&gt;"",V770&lt;&gt;"",W770&lt;&gt;"",X770&lt;&gt;"",Y770&lt;&gt;""),"COMPLETE","PENDING")</x:f>
        <x:v>PENDING</x:v>
      </x:c>
      <x:c r="AF770" s="79" t="str">
        <x:f>IF(AE770="COMPLETE","YES","NO")</x:f>
        <x:v>NO</x:v>
      </x:c>
      <x:c r="AG770" s="214" t="str">
        <x:f>IF(AF770&lt;&gt;"YES","",(IF(V770="YES",1,0)+IF(W770="YES",1,0))/2)</x:f>
      </x:c>
    </x:row>
    <x:row r="771">
      <x:c r="A771" s="57" t="inlineStr">
        <x:is>
          <x:t xml:space="preserve">C0766</x:t>
        </x:is>
      </x:c>
      <x:c r="B771" s="57" t="inlineStr">
        <x:is>
          <x:t xml:space="preserve">Validation</x:t>
        </x:is>
      </x:c>
      <x:c r="C771" s="57" t="inlineStr">
        <x:is>
          <x:t xml:space="preserve">OPEN</x:t>
        </x:is>
      </x:c>
      <x:c r="D771" s="57" t="inlineStr">
        <x:is>
          <x:t xml:space="preserve">ARG-077</x:t>
        </x:is>
      </x:c>
      <x:c r="E771" s="75" t="str">
        <x:f>INDEX('Company Universe'!$B$6:$B$105,MATCH(D771,'Company Universe'!$A$6:$A$105,0))</x:f>
        <x:v>Corteva</x:v>
      </x:c>
      <x:c r="F771" s="75" t="str">
        <x:f>INDEX('Company Universe'!$C$6:$C$105,MATCH(D771,'Company Universe'!$A$6:$A$105,0))</x:f>
        <x:v>CTVA</x:v>
      </x:c>
      <x:c r="G771" s="75" t="str">
        <x:f>INDEX('Company Universe'!$F$6:$F$105,MATCH(D771,'Company Universe'!$A$6:$A$105,0))</x:f>
        <x:v>Agriculture &amp; Fertilizers</x:v>
      </x:c>
      <x:c r="H771" s="57" t="n">
        <x:v>6</x:v>
      </x:c>
      <x:c r="I771" s="206" t="n"/>
      <x:c r="J771" s="71" t="n"/>
      <x:c r="K771" s="71" t="n"/>
      <x:c r="L771" s="71" t="inlineStr">
        <x:is>
          <x:t xml:space="preserve">NO</x:t>
        </x:is>
      </x:c>
      <x:c r="M771" s="71" t="n"/>
      <x:c r="N771" s="71" t="n"/>
      <x:c r="O771" s="71" t="n"/>
      <x:c r="P771" s="71" t="n"/>
      <x:c r="Q771" s="71" t="n"/>
      <x:c r="R771" s="71" t="n"/>
      <x:c r="S771" s="206" t="n"/>
      <x:c r="T771" s="71" t="n"/>
      <x:c r="U771" s="71" t="n"/>
      <x:c r="V771" s="71" t="n"/>
      <x:c r="W771" s="71" t="n"/>
      <x:c r="X771" s="71" t="n"/>
      <x:c r="Y771" s="71" t="n"/>
      <x:c r="Z771" s="71" t="n"/>
      <x:c r="AA771" s="71" t="n"/>
      <x:c r="AB771" s="71" t="inlineStr">
        <x:is>
          <x:t xml:space="preserve">NO</x:t>
        </x:is>
      </x:c>
      <x:c r="AC771" s="57" t="inlineStr">
        <x:is>
          <x:t xml:space="preserve">V10</x:t>
        </x:is>
      </x:c>
      <x:c r="AD771" s="57" t="n"/>
      <x:c r="AE771" s="79" t="str">
        <x:f>IF(AND(I771&lt;&gt;"",J771&lt;&gt;"",K771&lt;&gt;"",L771="YES",M771&lt;&gt;"",S771&lt;&gt;"",T771&lt;&gt;"",U771&lt;&gt;"",V771&lt;&gt;"",W771&lt;&gt;"",X771&lt;&gt;"",Y771&lt;&gt;""),"COMPLETE","PENDING")</x:f>
        <x:v>PENDING</x:v>
      </x:c>
      <x:c r="AF771" s="79" t="str">
        <x:f>IF(AE771="COMPLETE","YES","NO")</x:f>
        <x:v>NO</x:v>
      </x:c>
      <x:c r="AG771" s="214" t="str">
        <x:f>IF(AF771&lt;&gt;"YES","",(IF(V771="YES",1,0)+IF(W771="YES",1,0))/2)</x:f>
      </x:c>
    </x:row>
    <x:row r="772">
      <x:c r="A772" s="57" t="inlineStr">
        <x:is>
          <x:t xml:space="preserve">C0767</x:t>
        </x:is>
      </x:c>
      <x:c r="B772" s="57" t="inlineStr">
        <x:is>
          <x:t xml:space="preserve">Validation</x:t>
        </x:is>
      </x:c>
      <x:c r="C772" s="57" t="inlineStr">
        <x:is>
          <x:t xml:space="preserve">OPEN</x:t>
        </x:is>
      </x:c>
      <x:c r="D772" s="57" t="inlineStr">
        <x:is>
          <x:t xml:space="preserve">ARG-077</x:t>
        </x:is>
      </x:c>
      <x:c r="E772" s="75" t="str">
        <x:f>INDEX('Company Universe'!$B$6:$B$105,MATCH(D772,'Company Universe'!$A$6:$A$105,0))</x:f>
        <x:v>Corteva</x:v>
      </x:c>
      <x:c r="F772" s="75" t="str">
        <x:f>INDEX('Company Universe'!$C$6:$C$105,MATCH(D772,'Company Universe'!$A$6:$A$105,0))</x:f>
        <x:v>CTVA</x:v>
      </x:c>
      <x:c r="G772" s="75" t="str">
        <x:f>INDEX('Company Universe'!$F$6:$F$105,MATCH(D772,'Company Universe'!$A$6:$A$105,0))</x:f>
        <x:v>Agriculture &amp; Fertilizers</x:v>
      </x:c>
      <x:c r="H772" s="57" t="n">
        <x:v>7</x:v>
      </x:c>
      <x:c r="I772" s="206" t="n"/>
      <x:c r="J772" s="71" t="n"/>
      <x:c r="K772" s="71" t="n"/>
      <x:c r="L772" s="71" t="inlineStr">
        <x:is>
          <x:t xml:space="preserve">NO</x:t>
        </x:is>
      </x:c>
      <x:c r="M772" s="71" t="n"/>
      <x:c r="N772" s="71" t="n"/>
      <x:c r="O772" s="71" t="n"/>
      <x:c r="P772" s="71" t="n"/>
      <x:c r="Q772" s="71" t="n"/>
      <x:c r="R772" s="71" t="n"/>
      <x:c r="S772" s="206" t="n"/>
      <x:c r="T772" s="71" t="n"/>
      <x:c r="U772" s="71" t="n"/>
      <x:c r="V772" s="71" t="n"/>
      <x:c r="W772" s="71" t="n"/>
      <x:c r="X772" s="71" t="n"/>
      <x:c r="Y772" s="71" t="n"/>
      <x:c r="Z772" s="71" t="n"/>
      <x:c r="AA772" s="71" t="n"/>
      <x:c r="AB772" s="71" t="inlineStr">
        <x:is>
          <x:t xml:space="preserve">NO</x:t>
        </x:is>
      </x:c>
      <x:c r="AC772" s="57" t="inlineStr">
        <x:is>
          <x:t xml:space="preserve">V10</x:t>
        </x:is>
      </x:c>
      <x:c r="AD772" s="57" t="n"/>
      <x:c r="AE772" s="79" t="str">
        <x:f>IF(AND(I772&lt;&gt;"",J772&lt;&gt;"",K772&lt;&gt;"",L772="YES",M772&lt;&gt;"",S772&lt;&gt;"",T772&lt;&gt;"",U772&lt;&gt;"",V772&lt;&gt;"",W772&lt;&gt;"",X772&lt;&gt;"",Y772&lt;&gt;""),"COMPLETE","PENDING")</x:f>
        <x:v>PENDING</x:v>
      </x:c>
      <x:c r="AF772" s="79" t="str">
        <x:f>IF(AE772="COMPLETE","YES","NO")</x:f>
        <x:v>NO</x:v>
      </x:c>
      <x:c r="AG772" s="214" t="str">
        <x:f>IF(AF772&lt;&gt;"YES","",(IF(V772="YES",1,0)+IF(W772="YES",1,0))/2)</x:f>
      </x:c>
    </x:row>
    <x:row r="773">
      <x:c r="A773" s="57" t="inlineStr">
        <x:is>
          <x:t xml:space="preserve">C0768</x:t>
        </x:is>
      </x:c>
      <x:c r="B773" s="57" t="inlineStr">
        <x:is>
          <x:t xml:space="preserve">Validation</x:t>
        </x:is>
      </x:c>
      <x:c r="C773" s="57" t="inlineStr">
        <x:is>
          <x:t xml:space="preserve">OPEN</x:t>
        </x:is>
      </x:c>
      <x:c r="D773" s="57" t="inlineStr">
        <x:is>
          <x:t xml:space="preserve">ARG-077</x:t>
        </x:is>
      </x:c>
      <x:c r="E773" s="75" t="str">
        <x:f>INDEX('Company Universe'!$B$6:$B$105,MATCH(D773,'Company Universe'!$A$6:$A$105,0))</x:f>
        <x:v>Corteva</x:v>
      </x:c>
      <x:c r="F773" s="75" t="str">
        <x:f>INDEX('Company Universe'!$C$6:$C$105,MATCH(D773,'Company Universe'!$A$6:$A$105,0))</x:f>
        <x:v>CTVA</x:v>
      </x:c>
      <x:c r="G773" s="75" t="str">
        <x:f>INDEX('Company Universe'!$F$6:$F$105,MATCH(D773,'Company Universe'!$A$6:$A$105,0))</x:f>
        <x:v>Agriculture &amp; Fertilizers</x:v>
      </x:c>
      <x:c r="H773" s="57" t="n">
        <x:v>8</x:v>
      </x:c>
      <x:c r="I773" s="206" t="n"/>
      <x:c r="J773" s="71" t="n"/>
      <x:c r="K773" s="71" t="n"/>
      <x:c r="L773" s="71" t="inlineStr">
        <x:is>
          <x:t xml:space="preserve">NO</x:t>
        </x:is>
      </x:c>
      <x:c r="M773" s="71" t="n"/>
      <x:c r="N773" s="71" t="n"/>
      <x:c r="O773" s="71" t="n"/>
      <x:c r="P773" s="71" t="n"/>
      <x:c r="Q773" s="71" t="n"/>
      <x:c r="R773" s="71" t="n"/>
      <x:c r="S773" s="206" t="n"/>
      <x:c r="T773" s="71" t="n"/>
      <x:c r="U773" s="71" t="n"/>
      <x:c r="V773" s="71" t="n"/>
      <x:c r="W773" s="71" t="n"/>
      <x:c r="X773" s="71" t="n"/>
      <x:c r="Y773" s="71" t="n"/>
      <x:c r="Z773" s="71" t="n"/>
      <x:c r="AA773" s="71" t="n"/>
      <x:c r="AB773" s="71" t="inlineStr">
        <x:is>
          <x:t xml:space="preserve">NO</x:t>
        </x:is>
      </x:c>
      <x:c r="AC773" s="57" t="inlineStr">
        <x:is>
          <x:t xml:space="preserve">V10</x:t>
        </x:is>
      </x:c>
      <x:c r="AD773" s="57" t="n"/>
      <x:c r="AE773" s="79" t="str">
        <x:f>IF(AND(I773&lt;&gt;"",J773&lt;&gt;"",K773&lt;&gt;"",L773="YES",M773&lt;&gt;"",S773&lt;&gt;"",T773&lt;&gt;"",U773&lt;&gt;"",V773&lt;&gt;"",W773&lt;&gt;"",X773&lt;&gt;"",Y773&lt;&gt;""),"COMPLETE","PENDING")</x:f>
        <x:v>PENDING</x:v>
      </x:c>
      <x:c r="AF773" s="79" t="str">
        <x:f>IF(AE773="COMPLETE","YES","NO")</x:f>
        <x:v>NO</x:v>
      </x:c>
      <x:c r="AG773" s="214" t="str">
        <x:f>IF(AF773&lt;&gt;"YES","",(IF(V773="YES",1,0)+IF(W773="YES",1,0))/2)</x:f>
      </x:c>
    </x:row>
    <x:row r="774">
      <x:c r="A774" s="57" t="inlineStr">
        <x:is>
          <x:t xml:space="preserve">C0769</x:t>
        </x:is>
      </x:c>
      <x:c r="B774" s="57" t="inlineStr">
        <x:is>
          <x:t xml:space="preserve">Validation</x:t>
        </x:is>
      </x:c>
      <x:c r="C774" s="57" t="inlineStr">
        <x:is>
          <x:t xml:space="preserve">OPEN</x:t>
        </x:is>
      </x:c>
      <x:c r="D774" s="57" t="inlineStr">
        <x:is>
          <x:t xml:space="preserve">ARG-077</x:t>
        </x:is>
      </x:c>
      <x:c r="E774" s="75" t="str">
        <x:f>INDEX('Company Universe'!$B$6:$B$105,MATCH(D774,'Company Universe'!$A$6:$A$105,0))</x:f>
        <x:v>Corteva</x:v>
      </x:c>
      <x:c r="F774" s="75" t="str">
        <x:f>INDEX('Company Universe'!$C$6:$C$105,MATCH(D774,'Company Universe'!$A$6:$A$105,0))</x:f>
        <x:v>CTVA</x:v>
      </x:c>
      <x:c r="G774" s="75" t="str">
        <x:f>INDEX('Company Universe'!$F$6:$F$105,MATCH(D774,'Company Universe'!$A$6:$A$105,0))</x:f>
        <x:v>Agriculture &amp; Fertilizers</x:v>
      </x:c>
      <x:c r="H774" s="57" t="n">
        <x:v>9</x:v>
      </x:c>
      <x:c r="I774" s="206" t="n"/>
      <x:c r="J774" s="71" t="n"/>
      <x:c r="K774" s="71" t="n"/>
      <x:c r="L774" s="71" t="inlineStr">
        <x:is>
          <x:t xml:space="preserve">NO</x:t>
        </x:is>
      </x:c>
      <x:c r="M774" s="71" t="n"/>
      <x:c r="N774" s="71" t="n"/>
      <x:c r="O774" s="71" t="n"/>
      <x:c r="P774" s="71" t="n"/>
      <x:c r="Q774" s="71" t="n"/>
      <x:c r="R774" s="71" t="n"/>
      <x:c r="S774" s="206" t="n"/>
      <x:c r="T774" s="71" t="n"/>
      <x:c r="U774" s="71" t="n"/>
      <x:c r="V774" s="71" t="n"/>
      <x:c r="W774" s="71" t="n"/>
      <x:c r="X774" s="71" t="n"/>
      <x:c r="Y774" s="71" t="n"/>
      <x:c r="Z774" s="71" t="n"/>
      <x:c r="AA774" s="71" t="n"/>
      <x:c r="AB774" s="71" t="inlineStr">
        <x:is>
          <x:t xml:space="preserve">NO</x:t>
        </x:is>
      </x:c>
      <x:c r="AC774" s="57" t="inlineStr">
        <x:is>
          <x:t xml:space="preserve">V10</x:t>
        </x:is>
      </x:c>
      <x:c r="AD774" s="57" t="n"/>
      <x:c r="AE774" s="79" t="str">
        <x:f>IF(AND(I774&lt;&gt;"",J774&lt;&gt;"",K774&lt;&gt;"",L774="YES",M774&lt;&gt;"",S774&lt;&gt;"",T774&lt;&gt;"",U774&lt;&gt;"",V774&lt;&gt;"",W774&lt;&gt;"",X774&lt;&gt;"",Y774&lt;&gt;""),"COMPLETE","PENDING")</x:f>
        <x:v>PENDING</x:v>
      </x:c>
      <x:c r="AF774" s="79" t="str">
        <x:f>IF(AE774="COMPLETE","YES","NO")</x:f>
        <x:v>NO</x:v>
      </x:c>
      <x:c r="AG774" s="214" t="str">
        <x:f>IF(AF774&lt;&gt;"YES","",(IF(V774="YES",1,0)+IF(W774="YES",1,0))/2)</x:f>
      </x:c>
    </x:row>
    <x:row r="775">
      <x:c r="A775" s="57" t="inlineStr">
        <x:is>
          <x:t xml:space="preserve">C0770</x:t>
        </x:is>
      </x:c>
      <x:c r="B775" s="57" t="inlineStr">
        <x:is>
          <x:t xml:space="preserve">Validation</x:t>
        </x:is>
      </x:c>
      <x:c r="C775" s="57" t="inlineStr">
        <x:is>
          <x:t xml:space="preserve">OPEN</x:t>
        </x:is>
      </x:c>
      <x:c r="D775" s="57" t="inlineStr">
        <x:is>
          <x:t xml:space="preserve">ARG-077</x:t>
        </x:is>
      </x:c>
      <x:c r="E775" s="75" t="str">
        <x:f>INDEX('Company Universe'!$B$6:$B$105,MATCH(D775,'Company Universe'!$A$6:$A$105,0))</x:f>
        <x:v>Corteva</x:v>
      </x:c>
      <x:c r="F775" s="75" t="str">
        <x:f>INDEX('Company Universe'!$C$6:$C$105,MATCH(D775,'Company Universe'!$A$6:$A$105,0))</x:f>
        <x:v>CTVA</x:v>
      </x:c>
      <x:c r="G775" s="75" t="str">
        <x:f>INDEX('Company Universe'!$F$6:$F$105,MATCH(D775,'Company Universe'!$A$6:$A$105,0))</x:f>
        <x:v>Agriculture &amp; Fertilizers</x:v>
      </x:c>
      <x:c r="H775" s="57" t="n">
        <x:v>10</x:v>
      </x:c>
      <x:c r="I775" s="206" t="n"/>
      <x:c r="J775" s="71" t="n"/>
      <x:c r="K775" s="71" t="n"/>
      <x:c r="L775" s="71" t="inlineStr">
        <x:is>
          <x:t xml:space="preserve">NO</x:t>
        </x:is>
      </x:c>
      <x:c r="M775" s="71" t="n"/>
      <x:c r="N775" s="71" t="n"/>
      <x:c r="O775" s="71" t="n"/>
      <x:c r="P775" s="71" t="n"/>
      <x:c r="Q775" s="71" t="n"/>
      <x:c r="R775" s="71" t="n"/>
      <x:c r="S775" s="206" t="n"/>
      <x:c r="T775" s="71" t="n"/>
      <x:c r="U775" s="71" t="n"/>
      <x:c r="V775" s="71" t="n"/>
      <x:c r="W775" s="71" t="n"/>
      <x:c r="X775" s="71" t="n"/>
      <x:c r="Y775" s="71" t="n"/>
      <x:c r="Z775" s="71" t="n"/>
      <x:c r="AA775" s="71" t="n"/>
      <x:c r="AB775" s="71" t="inlineStr">
        <x:is>
          <x:t xml:space="preserve">NO</x:t>
        </x:is>
      </x:c>
      <x:c r="AC775" s="57" t="inlineStr">
        <x:is>
          <x:t xml:space="preserve">V10</x:t>
        </x:is>
      </x:c>
      <x:c r="AD775" s="57" t="n"/>
      <x:c r="AE775" s="79" t="str">
        <x:f>IF(AND(I775&lt;&gt;"",J775&lt;&gt;"",K775&lt;&gt;"",L775="YES",M775&lt;&gt;"",S775&lt;&gt;"",T775&lt;&gt;"",U775&lt;&gt;"",V775&lt;&gt;"",W775&lt;&gt;"",X775&lt;&gt;"",Y775&lt;&gt;""),"COMPLETE","PENDING")</x:f>
        <x:v>PENDING</x:v>
      </x:c>
      <x:c r="AF775" s="79" t="str">
        <x:f>IF(AE775="COMPLETE","YES","NO")</x:f>
        <x:v>NO</x:v>
      </x:c>
      <x:c r="AG775" s="214" t="str">
        <x:f>IF(AF775&lt;&gt;"YES","",(IF(V775="YES",1,0)+IF(W775="YES",1,0))/2)</x:f>
      </x:c>
    </x:row>
    <x:row r="776">
      <x:c r="A776" s="57" t="inlineStr">
        <x:is>
          <x:t xml:space="preserve">C0771</x:t>
        </x:is>
      </x:c>
      <x:c r="B776" s="57" t="inlineStr">
        <x:is>
          <x:t xml:space="preserve">Validation</x:t>
        </x:is>
      </x:c>
      <x:c r="C776" s="57" t="inlineStr">
        <x:is>
          <x:t xml:space="preserve">OPEN</x:t>
        </x:is>
      </x:c>
      <x:c r="D776" s="57" t="inlineStr">
        <x:is>
          <x:t xml:space="preserve">ARG-078</x:t>
        </x:is>
      </x:c>
      <x:c r="E776" s="75" t="str">
        <x:f>INDEX('Company Universe'!$B$6:$B$105,MATCH(D776,'Company Universe'!$A$6:$A$105,0))</x:f>
        <x:v>Netflix</x:v>
      </x:c>
      <x:c r="F776" s="75" t="str">
        <x:f>INDEX('Company Universe'!$C$6:$C$105,MATCH(D776,'Company Universe'!$A$6:$A$105,0))</x:f>
        <x:v>NFLX</x:v>
      </x:c>
      <x:c r="G776" s="75" t="str">
        <x:f>INDEX('Company Universe'!$F$6:$F$105,MATCH(D776,'Company Universe'!$A$6:$A$105,0))</x:f>
        <x:v>Media &amp; Internet</x:v>
      </x:c>
      <x:c r="H776" s="57" t="n">
        <x:v>1</x:v>
      </x:c>
      <x:c r="I776" s="206" t="n"/>
      <x:c r="J776" s="71" t="n"/>
      <x:c r="K776" s="71" t="n"/>
      <x:c r="L776" s="71" t="inlineStr">
        <x:is>
          <x:t xml:space="preserve">NO</x:t>
        </x:is>
      </x:c>
      <x:c r="M776" s="71" t="n"/>
      <x:c r="N776" s="71" t="n"/>
      <x:c r="O776" s="71" t="n"/>
      <x:c r="P776" s="71" t="n"/>
      <x:c r="Q776" s="71" t="n"/>
      <x:c r="R776" s="71" t="n"/>
      <x:c r="S776" s="206" t="n"/>
      <x:c r="T776" s="71" t="n"/>
      <x:c r="U776" s="71" t="n"/>
      <x:c r="V776" s="71" t="n"/>
      <x:c r="W776" s="71" t="n"/>
      <x:c r="X776" s="71" t="n"/>
      <x:c r="Y776" s="71" t="n"/>
      <x:c r="Z776" s="71" t="n"/>
      <x:c r="AA776" s="71" t="n"/>
      <x:c r="AB776" s="71" t="inlineStr">
        <x:is>
          <x:t xml:space="preserve">NO</x:t>
        </x:is>
      </x:c>
      <x:c r="AC776" s="57" t="inlineStr">
        <x:is>
          <x:t xml:space="preserve">V10</x:t>
        </x:is>
      </x:c>
      <x:c r="AD776" s="57" t="n"/>
      <x:c r="AE776" s="79" t="str">
        <x:f>IF(AND(I776&lt;&gt;"",J776&lt;&gt;"",K776&lt;&gt;"",L776="YES",M776&lt;&gt;"",S776&lt;&gt;"",T776&lt;&gt;"",U776&lt;&gt;"",V776&lt;&gt;"",W776&lt;&gt;"",X776&lt;&gt;"",Y776&lt;&gt;""),"COMPLETE","PENDING")</x:f>
        <x:v>PENDING</x:v>
      </x:c>
      <x:c r="AF776" s="79" t="str">
        <x:f>IF(AE776="COMPLETE","YES","NO")</x:f>
        <x:v>NO</x:v>
      </x:c>
      <x:c r="AG776" s="214" t="str">
        <x:f>IF(AF776&lt;&gt;"YES","",(IF(V776="YES",1,0)+IF(W776="YES",1,0))/2)</x:f>
      </x:c>
    </x:row>
    <x:row r="777">
      <x:c r="A777" s="57" t="inlineStr">
        <x:is>
          <x:t xml:space="preserve">C0772</x:t>
        </x:is>
      </x:c>
      <x:c r="B777" s="57" t="inlineStr">
        <x:is>
          <x:t xml:space="preserve">Validation</x:t>
        </x:is>
      </x:c>
      <x:c r="C777" s="57" t="inlineStr">
        <x:is>
          <x:t xml:space="preserve">OPEN</x:t>
        </x:is>
      </x:c>
      <x:c r="D777" s="57" t="inlineStr">
        <x:is>
          <x:t xml:space="preserve">ARG-078</x:t>
        </x:is>
      </x:c>
      <x:c r="E777" s="75" t="str">
        <x:f>INDEX('Company Universe'!$B$6:$B$105,MATCH(D777,'Company Universe'!$A$6:$A$105,0))</x:f>
        <x:v>Netflix</x:v>
      </x:c>
      <x:c r="F777" s="75" t="str">
        <x:f>INDEX('Company Universe'!$C$6:$C$105,MATCH(D777,'Company Universe'!$A$6:$A$105,0))</x:f>
        <x:v>NFLX</x:v>
      </x:c>
      <x:c r="G777" s="75" t="str">
        <x:f>INDEX('Company Universe'!$F$6:$F$105,MATCH(D777,'Company Universe'!$A$6:$A$105,0))</x:f>
        <x:v>Media &amp; Internet</x:v>
      </x:c>
      <x:c r="H777" s="57" t="n">
        <x:v>2</x:v>
      </x:c>
      <x:c r="I777" s="206" t="n"/>
      <x:c r="J777" s="71" t="n"/>
      <x:c r="K777" s="71" t="n"/>
      <x:c r="L777" s="71" t="inlineStr">
        <x:is>
          <x:t xml:space="preserve">NO</x:t>
        </x:is>
      </x:c>
      <x:c r="M777" s="71" t="n"/>
      <x:c r="N777" s="71" t="n"/>
      <x:c r="O777" s="71" t="n"/>
      <x:c r="P777" s="71" t="n"/>
      <x:c r="Q777" s="71" t="n"/>
      <x:c r="R777" s="71" t="n"/>
      <x:c r="S777" s="206" t="n"/>
      <x:c r="T777" s="71" t="n"/>
      <x:c r="U777" s="71" t="n"/>
      <x:c r="V777" s="71" t="n"/>
      <x:c r="W777" s="71" t="n"/>
      <x:c r="X777" s="71" t="n"/>
      <x:c r="Y777" s="71" t="n"/>
      <x:c r="Z777" s="71" t="n"/>
      <x:c r="AA777" s="71" t="n"/>
      <x:c r="AB777" s="71" t="inlineStr">
        <x:is>
          <x:t xml:space="preserve">NO</x:t>
        </x:is>
      </x:c>
      <x:c r="AC777" s="57" t="inlineStr">
        <x:is>
          <x:t xml:space="preserve">V10</x:t>
        </x:is>
      </x:c>
      <x:c r="AD777" s="57" t="n"/>
      <x:c r="AE777" s="79" t="str">
        <x:f>IF(AND(I777&lt;&gt;"",J777&lt;&gt;"",K777&lt;&gt;"",L777="YES",M777&lt;&gt;"",S777&lt;&gt;"",T777&lt;&gt;"",U777&lt;&gt;"",V777&lt;&gt;"",W777&lt;&gt;"",X777&lt;&gt;"",Y777&lt;&gt;""),"COMPLETE","PENDING")</x:f>
        <x:v>PENDING</x:v>
      </x:c>
      <x:c r="AF777" s="79" t="str">
        <x:f>IF(AE777="COMPLETE","YES","NO")</x:f>
        <x:v>NO</x:v>
      </x:c>
      <x:c r="AG777" s="214" t="str">
        <x:f>IF(AF777&lt;&gt;"YES","",(IF(V777="YES",1,0)+IF(W777="YES",1,0))/2)</x:f>
      </x:c>
    </x:row>
    <x:row r="778">
      <x:c r="A778" s="57" t="inlineStr">
        <x:is>
          <x:t xml:space="preserve">C0773</x:t>
        </x:is>
      </x:c>
      <x:c r="B778" s="57" t="inlineStr">
        <x:is>
          <x:t xml:space="preserve">Validation</x:t>
        </x:is>
      </x:c>
      <x:c r="C778" s="57" t="inlineStr">
        <x:is>
          <x:t xml:space="preserve">OPEN</x:t>
        </x:is>
      </x:c>
      <x:c r="D778" s="57" t="inlineStr">
        <x:is>
          <x:t xml:space="preserve">ARG-078</x:t>
        </x:is>
      </x:c>
      <x:c r="E778" s="75" t="str">
        <x:f>INDEX('Company Universe'!$B$6:$B$105,MATCH(D778,'Company Universe'!$A$6:$A$105,0))</x:f>
        <x:v>Netflix</x:v>
      </x:c>
      <x:c r="F778" s="75" t="str">
        <x:f>INDEX('Company Universe'!$C$6:$C$105,MATCH(D778,'Company Universe'!$A$6:$A$105,0))</x:f>
        <x:v>NFLX</x:v>
      </x:c>
      <x:c r="G778" s="75" t="str">
        <x:f>INDEX('Company Universe'!$F$6:$F$105,MATCH(D778,'Company Universe'!$A$6:$A$105,0))</x:f>
        <x:v>Media &amp; Internet</x:v>
      </x:c>
      <x:c r="H778" s="57" t="n">
        <x:v>3</x:v>
      </x:c>
      <x:c r="I778" s="206" t="n"/>
      <x:c r="J778" s="71" t="n"/>
      <x:c r="K778" s="71" t="n"/>
      <x:c r="L778" s="71" t="inlineStr">
        <x:is>
          <x:t xml:space="preserve">NO</x:t>
        </x:is>
      </x:c>
      <x:c r="M778" s="71" t="n"/>
      <x:c r="N778" s="71" t="n"/>
      <x:c r="O778" s="71" t="n"/>
      <x:c r="P778" s="71" t="n"/>
      <x:c r="Q778" s="71" t="n"/>
      <x:c r="R778" s="71" t="n"/>
      <x:c r="S778" s="206" t="n"/>
      <x:c r="T778" s="71" t="n"/>
      <x:c r="U778" s="71" t="n"/>
      <x:c r="V778" s="71" t="n"/>
      <x:c r="W778" s="71" t="n"/>
      <x:c r="X778" s="71" t="n"/>
      <x:c r="Y778" s="71" t="n"/>
      <x:c r="Z778" s="71" t="n"/>
      <x:c r="AA778" s="71" t="n"/>
      <x:c r="AB778" s="71" t="inlineStr">
        <x:is>
          <x:t xml:space="preserve">NO</x:t>
        </x:is>
      </x:c>
      <x:c r="AC778" s="57" t="inlineStr">
        <x:is>
          <x:t xml:space="preserve">V10</x:t>
        </x:is>
      </x:c>
      <x:c r="AD778" s="57" t="n"/>
      <x:c r="AE778" s="79" t="str">
        <x:f>IF(AND(I778&lt;&gt;"",J778&lt;&gt;"",K778&lt;&gt;"",L778="YES",M778&lt;&gt;"",S778&lt;&gt;"",T778&lt;&gt;"",U778&lt;&gt;"",V778&lt;&gt;"",W778&lt;&gt;"",X778&lt;&gt;"",Y778&lt;&gt;""),"COMPLETE","PENDING")</x:f>
        <x:v>PENDING</x:v>
      </x:c>
      <x:c r="AF778" s="79" t="str">
        <x:f>IF(AE778="COMPLETE","YES","NO")</x:f>
        <x:v>NO</x:v>
      </x:c>
      <x:c r="AG778" s="214" t="str">
        <x:f>IF(AF778&lt;&gt;"YES","",(IF(V778="YES",1,0)+IF(W778="YES",1,0))/2)</x:f>
      </x:c>
    </x:row>
    <x:row r="779">
      <x:c r="A779" s="57" t="inlineStr">
        <x:is>
          <x:t xml:space="preserve">C0774</x:t>
        </x:is>
      </x:c>
      <x:c r="B779" s="57" t="inlineStr">
        <x:is>
          <x:t xml:space="preserve">Validation</x:t>
        </x:is>
      </x:c>
      <x:c r="C779" s="57" t="inlineStr">
        <x:is>
          <x:t xml:space="preserve">OPEN</x:t>
        </x:is>
      </x:c>
      <x:c r="D779" s="57" t="inlineStr">
        <x:is>
          <x:t xml:space="preserve">ARG-078</x:t>
        </x:is>
      </x:c>
      <x:c r="E779" s="75" t="str">
        <x:f>INDEX('Company Universe'!$B$6:$B$105,MATCH(D779,'Company Universe'!$A$6:$A$105,0))</x:f>
        <x:v>Netflix</x:v>
      </x:c>
      <x:c r="F779" s="75" t="str">
        <x:f>INDEX('Company Universe'!$C$6:$C$105,MATCH(D779,'Company Universe'!$A$6:$A$105,0))</x:f>
        <x:v>NFLX</x:v>
      </x:c>
      <x:c r="G779" s="75" t="str">
        <x:f>INDEX('Company Universe'!$F$6:$F$105,MATCH(D779,'Company Universe'!$A$6:$A$105,0))</x:f>
        <x:v>Media &amp; Internet</x:v>
      </x:c>
      <x:c r="H779" s="57" t="n">
        <x:v>4</x:v>
      </x:c>
      <x:c r="I779" s="206" t="n"/>
      <x:c r="J779" s="71" t="n"/>
      <x:c r="K779" s="71" t="n"/>
      <x:c r="L779" s="71" t="inlineStr">
        <x:is>
          <x:t xml:space="preserve">NO</x:t>
        </x:is>
      </x:c>
      <x:c r="M779" s="71" t="n"/>
      <x:c r="N779" s="71" t="n"/>
      <x:c r="O779" s="71" t="n"/>
      <x:c r="P779" s="71" t="n"/>
      <x:c r="Q779" s="71" t="n"/>
      <x:c r="R779" s="71" t="n"/>
      <x:c r="S779" s="206" t="n"/>
      <x:c r="T779" s="71" t="n"/>
      <x:c r="U779" s="71" t="n"/>
      <x:c r="V779" s="71" t="n"/>
      <x:c r="W779" s="71" t="n"/>
      <x:c r="X779" s="71" t="n"/>
      <x:c r="Y779" s="71" t="n"/>
      <x:c r="Z779" s="71" t="n"/>
      <x:c r="AA779" s="71" t="n"/>
      <x:c r="AB779" s="71" t="inlineStr">
        <x:is>
          <x:t xml:space="preserve">NO</x:t>
        </x:is>
      </x:c>
      <x:c r="AC779" s="57" t="inlineStr">
        <x:is>
          <x:t xml:space="preserve">V10</x:t>
        </x:is>
      </x:c>
      <x:c r="AD779" s="57" t="n"/>
      <x:c r="AE779" s="79" t="str">
        <x:f>IF(AND(I779&lt;&gt;"",J779&lt;&gt;"",K779&lt;&gt;"",L779="YES",M779&lt;&gt;"",S779&lt;&gt;"",T779&lt;&gt;"",U779&lt;&gt;"",V779&lt;&gt;"",W779&lt;&gt;"",X779&lt;&gt;"",Y779&lt;&gt;""),"COMPLETE","PENDING")</x:f>
        <x:v>PENDING</x:v>
      </x:c>
      <x:c r="AF779" s="79" t="str">
        <x:f>IF(AE779="COMPLETE","YES","NO")</x:f>
        <x:v>NO</x:v>
      </x:c>
      <x:c r="AG779" s="214" t="str">
        <x:f>IF(AF779&lt;&gt;"YES","",(IF(V779="YES",1,0)+IF(W779="YES",1,0))/2)</x:f>
      </x:c>
    </x:row>
    <x:row r="780">
      <x:c r="A780" s="57" t="inlineStr">
        <x:is>
          <x:t xml:space="preserve">C0775</x:t>
        </x:is>
      </x:c>
      <x:c r="B780" s="57" t="inlineStr">
        <x:is>
          <x:t xml:space="preserve">Validation</x:t>
        </x:is>
      </x:c>
      <x:c r="C780" s="57" t="inlineStr">
        <x:is>
          <x:t xml:space="preserve">OPEN</x:t>
        </x:is>
      </x:c>
      <x:c r="D780" s="57" t="inlineStr">
        <x:is>
          <x:t xml:space="preserve">ARG-078</x:t>
        </x:is>
      </x:c>
      <x:c r="E780" s="75" t="str">
        <x:f>INDEX('Company Universe'!$B$6:$B$105,MATCH(D780,'Company Universe'!$A$6:$A$105,0))</x:f>
        <x:v>Netflix</x:v>
      </x:c>
      <x:c r="F780" s="75" t="str">
        <x:f>INDEX('Company Universe'!$C$6:$C$105,MATCH(D780,'Company Universe'!$A$6:$A$105,0))</x:f>
        <x:v>NFLX</x:v>
      </x:c>
      <x:c r="G780" s="75" t="str">
        <x:f>INDEX('Company Universe'!$F$6:$F$105,MATCH(D780,'Company Universe'!$A$6:$A$105,0))</x:f>
        <x:v>Media &amp; Internet</x:v>
      </x:c>
      <x:c r="H780" s="57" t="n">
        <x:v>5</x:v>
      </x:c>
      <x:c r="I780" s="206" t="n"/>
      <x:c r="J780" s="71" t="n"/>
      <x:c r="K780" s="71" t="n"/>
      <x:c r="L780" s="71" t="inlineStr">
        <x:is>
          <x:t xml:space="preserve">NO</x:t>
        </x:is>
      </x:c>
      <x:c r="M780" s="71" t="n"/>
      <x:c r="N780" s="71" t="n"/>
      <x:c r="O780" s="71" t="n"/>
      <x:c r="P780" s="71" t="n"/>
      <x:c r="Q780" s="71" t="n"/>
      <x:c r="R780" s="71" t="n"/>
      <x:c r="S780" s="206" t="n"/>
      <x:c r="T780" s="71" t="n"/>
      <x:c r="U780" s="71" t="n"/>
      <x:c r="V780" s="71" t="n"/>
      <x:c r="W780" s="71" t="n"/>
      <x:c r="X780" s="71" t="n"/>
      <x:c r="Y780" s="71" t="n"/>
      <x:c r="Z780" s="71" t="n"/>
      <x:c r="AA780" s="71" t="n"/>
      <x:c r="AB780" s="71" t="inlineStr">
        <x:is>
          <x:t xml:space="preserve">NO</x:t>
        </x:is>
      </x:c>
      <x:c r="AC780" s="57" t="inlineStr">
        <x:is>
          <x:t xml:space="preserve">V10</x:t>
        </x:is>
      </x:c>
      <x:c r="AD780" s="57" t="n"/>
      <x:c r="AE780" s="79" t="str">
        <x:f>IF(AND(I780&lt;&gt;"",J780&lt;&gt;"",K780&lt;&gt;"",L780="YES",M780&lt;&gt;"",S780&lt;&gt;"",T780&lt;&gt;"",U780&lt;&gt;"",V780&lt;&gt;"",W780&lt;&gt;"",X780&lt;&gt;"",Y780&lt;&gt;""),"COMPLETE","PENDING")</x:f>
        <x:v>PENDING</x:v>
      </x:c>
      <x:c r="AF780" s="79" t="str">
        <x:f>IF(AE780="COMPLETE","YES","NO")</x:f>
        <x:v>NO</x:v>
      </x:c>
      <x:c r="AG780" s="214" t="str">
        <x:f>IF(AF780&lt;&gt;"YES","",(IF(V780="YES",1,0)+IF(W780="YES",1,0))/2)</x:f>
      </x:c>
    </x:row>
    <x:row r="781">
      <x:c r="A781" s="57" t="inlineStr">
        <x:is>
          <x:t xml:space="preserve">C0776</x:t>
        </x:is>
      </x:c>
      <x:c r="B781" s="57" t="inlineStr">
        <x:is>
          <x:t xml:space="preserve">Validation</x:t>
        </x:is>
      </x:c>
      <x:c r="C781" s="57" t="inlineStr">
        <x:is>
          <x:t xml:space="preserve">OPEN</x:t>
        </x:is>
      </x:c>
      <x:c r="D781" s="57" t="inlineStr">
        <x:is>
          <x:t xml:space="preserve">ARG-078</x:t>
        </x:is>
      </x:c>
      <x:c r="E781" s="75" t="str">
        <x:f>INDEX('Company Universe'!$B$6:$B$105,MATCH(D781,'Company Universe'!$A$6:$A$105,0))</x:f>
        <x:v>Netflix</x:v>
      </x:c>
      <x:c r="F781" s="75" t="str">
        <x:f>INDEX('Company Universe'!$C$6:$C$105,MATCH(D781,'Company Universe'!$A$6:$A$105,0))</x:f>
        <x:v>NFLX</x:v>
      </x:c>
      <x:c r="G781" s="75" t="str">
        <x:f>INDEX('Company Universe'!$F$6:$F$105,MATCH(D781,'Company Universe'!$A$6:$A$105,0))</x:f>
        <x:v>Media &amp; Internet</x:v>
      </x:c>
      <x:c r="H781" s="57" t="n">
        <x:v>6</x:v>
      </x:c>
      <x:c r="I781" s="206" t="n"/>
      <x:c r="J781" s="71" t="n"/>
      <x:c r="K781" s="71" t="n"/>
      <x:c r="L781" s="71" t="inlineStr">
        <x:is>
          <x:t xml:space="preserve">NO</x:t>
        </x:is>
      </x:c>
      <x:c r="M781" s="71" t="n"/>
      <x:c r="N781" s="71" t="n"/>
      <x:c r="O781" s="71" t="n"/>
      <x:c r="P781" s="71" t="n"/>
      <x:c r="Q781" s="71" t="n"/>
      <x:c r="R781" s="71" t="n"/>
      <x:c r="S781" s="206" t="n"/>
      <x:c r="T781" s="71" t="n"/>
      <x:c r="U781" s="71" t="n"/>
      <x:c r="V781" s="71" t="n"/>
      <x:c r="W781" s="71" t="n"/>
      <x:c r="X781" s="71" t="n"/>
      <x:c r="Y781" s="71" t="n"/>
      <x:c r="Z781" s="71" t="n"/>
      <x:c r="AA781" s="71" t="n"/>
      <x:c r="AB781" s="71" t="inlineStr">
        <x:is>
          <x:t xml:space="preserve">NO</x:t>
        </x:is>
      </x:c>
      <x:c r="AC781" s="57" t="inlineStr">
        <x:is>
          <x:t xml:space="preserve">V10</x:t>
        </x:is>
      </x:c>
      <x:c r="AD781" s="57" t="n"/>
      <x:c r="AE781" s="79" t="str">
        <x:f>IF(AND(I781&lt;&gt;"",J781&lt;&gt;"",K781&lt;&gt;"",L781="YES",M781&lt;&gt;"",S781&lt;&gt;"",T781&lt;&gt;"",U781&lt;&gt;"",V781&lt;&gt;"",W781&lt;&gt;"",X781&lt;&gt;"",Y781&lt;&gt;""),"COMPLETE","PENDING")</x:f>
        <x:v>PENDING</x:v>
      </x:c>
      <x:c r="AF781" s="79" t="str">
        <x:f>IF(AE781="COMPLETE","YES","NO")</x:f>
        <x:v>NO</x:v>
      </x:c>
      <x:c r="AG781" s="214" t="str">
        <x:f>IF(AF781&lt;&gt;"YES","",(IF(V781="YES",1,0)+IF(W781="YES",1,0))/2)</x:f>
      </x:c>
    </x:row>
    <x:row r="782">
      <x:c r="A782" s="57" t="inlineStr">
        <x:is>
          <x:t xml:space="preserve">C0777</x:t>
        </x:is>
      </x:c>
      <x:c r="B782" s="57" t="inlineStr">
        <x:is>
          <x:t xml:space="preserve">Validation</x:t>
        </x:is>
      </x:c>
      <x:c r="C782" s="57" t="inlineStr">
        <x:is>
          <x:t xml:space="preserve">OPEN</x:t>
        </x:is>
      </x:c>
      <x:c r="D782" s="57" t="inlineStr">
        <x:is>
          <x:t xml:space="preserve">ARG-078</x:t>
        </x:is>
      </x:c>
      <x:c r="E782" s="75" t="str">
        <x:f>INDEX('Company Universe'!$B$6:$B$105,MATCH(D782,'Company Universe'!$A$6:$A$105,0))</x:f>
        <x:v>Netflix</x:v>
      </x:c>
      <x:c r="F782" s="75" t="str">
        <x:f>INDEX('Company Universe'!$C$6:$C$105,MATCH(D782,'Company Universe'!$A$6:$A$105,0))</x:f>
        <x:v>NFLX</x:v>
      </x:c>
      <x:c r="G782" s="75" t="str">
        <x:f>INDEX('Company Universe'!$F$6:$F$105,MATCH(D782,'Company Universe'!$A$6:$A$105,0))</x:f>
        <x:v>Media &amp; Internet</x:v>
      </x:c>
      <x:c r="H782" s="57" t="n">
        <x:v>7</x:v>
      </x:c>
      <x:c r="I782" s="206" t="n"/>
      <x:c r="J782" s="71" t="n"/>
      <x:c r="K782" s="71" t="n"/>
      <x:c r="L782" s="71" t="inlineStr">
        <x:is>
          <x:t xml:space="preserve">NO</x:t>
        </x:is>
      </x:c>
      <x:c r="M782" s="71" t="n"/>
      <x:c r="N782" s="71" t="n"/>
      <x:c r="O782" s="71" t="n"/>
      <x:c r="P782" s="71" t="n"/>
      <x:c r="Q782" s="71" t="n"/>
      <x:c r="R782" s="71" t="n"/>
      <x:c r="S782" s="206" t="n"/>
      <x:c r="T782" s="71" t="n"/>
      <x:c r="U782" s="71" t="n"/>
      <x:c r="V782" s="71" t="n"/>
      <x:c r="W782" s="71" t="n"/>
      <x:c r="X782" s="71" t="n"/>
      <x:c r="Y782" s="71" t="n"/>
      <x:c r="Z782" s="71" t="n"/>
      <x:c r="AA782" s="71" t="n"/>
      <x:c r="AB782" s="71" t="inlineStr">
        <x:is>
          <x:t xml:space="preserve">NO</x:t>
        </x:is>
      </x:c>
      <x:c r="AC782" s="57" t="inlineStr">
        <x:is>
          <x:t xml:space="preserve">V10</x:t>
        </x:is>
      </x:c>
      <x:c r="AD782" s="57" t="n"/>
      <x:c r="AE782" s="79" t="str">
        <x:f>IF(AND(I782&lt;&gt;"",J782&lt;&gt;"",K782&lt;&gt;"",L782="YES",M782&lt;&gt;"",S782&lt;&gt;"",T782&lt;&gt;"",U782&lt;&gt;"",V782&lt;&gt;"",W782&lt;&gt;"",X782&lt;&gt;"",Y782&lt;&gt;""),"COMPLETE","PENDING")</x:f>
        <x:v>PENDING</x:v>
      </x:c>
      <x:c r="AF782" s="79" t="str">
        <x:f>IF(AE782="COMPLETE","YES","NO")</x:f>
        <x:v>NO</x:v>
      </x:c>
      <x:c r="AG782" s="214" t="str">
        <x:f>IF(AF782&lt;&gt;"YES","",(IF(V782="YES",1,0)+IF(W782="YES",1,0))/2)</x:f>
      </x:c>
    </x:row>
    <x:row r="783">
      <x:c r="A783" s="57" t="inlineStr">
        <x:is>
          <x:t xml:space="preserve">C0778</x:t>
        </x:is>
      </x:c>
      <x:c r="B783" s="57" t="inlineStr">
        <x:is>
          <x:t xml:space="preserve">Validation</x:t>
        </x:is>
      </x:c>
      <x:c r="C783" s="57" t="inlineStr">
        <x:is>
          <x:t xml:space="preserve">OPEN</x:t>
        </x:is>
      </x:c>
      <x:c r="D783" s="57" t="inlineStr">
        <x:is>
          <x:t xml:space="preserve">ARG-078</x:t>
        </x:is>
      </x:c>
      <x:c r="E783" s="75" t="str">
        <x:f>INDEX('Company Universe'!$B$6:$B$105,MATCH(D783,'Company Universe'!$A$6:$A$105,0))</x:f>
        <x:v>Netflix</x:v>
      </x:c>
      <x:c r="F783" s="75" t="str">
        <x:f>INDEX('Company Universe'!$C$6:$C$105,MATCH(D783,'Company Universe'!$A$6:$A$105,0))</x:f>
        <x:v>NFLX</x:v>
      </x:c>
      <x:c r="G783" s="75" t="str">
        <x:f>INDEX('Company Universe'!$F$6:$F$105,MATCH(D783,'Company Universe'!$A$6:$A$105,0))</x:f>
        <x:v>Media &amp; Internet</x:v>
      </x:c>
      <x:c r="H783" s="57" t="n">
        <x:v>8</x:v>
      </x:c>
      <x:c r="I783" s="206" t="n"/>
      <x:c r="J783" s="71" t="n"/>
      <x:c r="K783" s="71" t="n"/>
      <x:c r="L783" s="71" t="inlineStr">
        <x:is>
          <x:t xml:space="preserve">NO</x:t>
        </x:is>
      </x:c>
      <x:c r="M783" s="71" t="n"/>
      <x:c r="N783" s="71" t="n"/>
      <x:c r="O783" s="71" t="n"/>
      <x:c r="P783" s="71" t="n"/>
      <x:c r="Q783" s="71" t="n"/>
      <x:c r="R783" s="71" t="n"/>
      <x:c r="S783" s="206" t="n"/>
      <x:c r="T783" s="71" t="n"/>
      <x:c r="U783" s="71" t="n"/>
      <x:c r="V783" s="71" t="n"/>
      <x:c r="W783" s="71" t="n"/>
      <x:c r="X783" s="71" t="n"/>
      <x:c r="Y783" s="71" t="n"/>
      <x:c r="Z783" s="71" t="n"/>
      <x:c r="AA783" s="71" t="n"/>
      <x:c r="AB783" s="71" t="inlineStr">
        <x:is>
          <x:t xml:space="preserve">NO</x:t>
        </x:is>
      </x:c>
      <x:c r="AC783" s="57" t="inlineStr">
        <x:is>
          <x:t xml:space="preserve">V10</x:t>
        </x:is>
      </x:c>
      <x:c r="AD783" s="57" t="n"/>
      <x:c r="AE783" s="79" t="str">
        <x:f>IF(AND(I783&lt;&gt;"",J783&lt;&gt;"",K783&lt;&gt;"",L783="YES",M783&lt;&gt;"",S783&lt;&gt;"",T783&lt;&gt;"",U783&lt;&gt;"",V783&lt;&gt;"",W783&lt;&gt;"",X783&lt;&gt;"",Y783&lt;&gt;""),"COMPLETE","PENDING")</x:f>
        <x:v>PENDING</x:v>
      </x:c>
      <x:c r="AF783" s="79" t="str">
        <x:f>IF(AE783="COMPLETE","YES","NO")</x:f>
        <x:v>NO</x:v>
      </x:c>
      <x:c r="AG783" s="214" t="str">
        <x:f>IF(AF783&lt;&gt;"YES","",(IF(V783="YES",1,0)+IF(W783="YES",1,0))/2)</x:f>
      </x:c>
    </x:row>
    <x:row r="784">
      <x:c r="A784" s="57" t="inlineStr">
        <x:is>
          <x:t xml:space="preserve">C0779</x:t>
        </x:is>
      </x:c>
      <x:c r="B784" s="57" t="inlineStr">
        <x:is>
          <x:t xml:space="preserve">Validation</x:t>
        </x:is>
      </x:c>
      <x:c r="C784" s="57" t="inlineStr">
        <x:is>
          <x:t xml:space="preserve">OPEN</x:t>
        </x:is>
      </x:c>
      <x:c r="D784" s="57" t="inlineStr">
        <x:is>
          <x:t xml:space="preserve">ARG-078</x:t>
        </x:is>
      </x:c>
      <x:c r="E784" s="75" t="str">
        <x:f>INDEX('Company Universe'!$B$6:$B$105,MATCH(D784,'Company Universe'!$A$6:$A$105,0))</x:f>
        <x:v>Netflix</x:v>
      </x:c>
      <x:c r="F784" s="75" t="str">
        <x:f>INDEX('Company Universe'!$C$6:$C$105,MATCH(D784,'Company Universe'!$A$6:$A$105,0))</x:f>
        <x:v>NFLX</x:v>
      </x:c>
      <x:c r="G784" s="75" t="str">
        <x:f>INDEX('Company Universe'!$F$6:$F$105,MATCH(D784,'Company Universe'!$A$6:$A$105,0))</x:f>
        <x:v>Media &amp; Internet</x:v>
      </x:c>
      <x:c r="H784" s="57" t="n">
        <x:v>9</x:v>
      </x:c>
      <x:c r="I784" s="206" t="n"/>
      <x:c r="J784" s="71" t="n"/>
      <x:c r="K784" s="71" t="n"/>
      <x:c r="L784" s="71" t="inlineStr">
        <x:is>
          <x:t xml:space="preserve">NO</x:t>
        </x:is>
      </x:c>
      <x:c r="M784" s="71" t="n"/>
      <x:c r="N784" s="71" t="n"/>
      <x:c r="O784" s="71" t="n"/>
      <x:c r="P784" s="71" t="n"/>
      <x:c r="Q784" s="71" t="n"/>
      <x:c r="R784" s="71" t="n"/>
      <x:c r="S784" s="206" t="n"/>
      <x:c r="T784" s="71" t="n"/>
      <x:c r="U784" s="71" t="n"/>
      <x:c r="V784" s="71" t="n"/>
      <x:c r="W784" s="71" t="n"/>
      <x:c r="X784" s="71" t="n"/>
      <x:c r="Y784" s="71" t="n"/>
      <x:c r="Z784" s="71" t="n"/>
      <x:c r="AA784" s="71" t="n"/>
      <x:c r="AB784" s="71" t="inlineStr">
        <x:is>
          <x:t xml:space="preserve">NO</x:t>
        </x:is>
      </x:c>
      <x:c r="AC784" s="57" t="inlineStr">
        <x:is>
          <x:t xml:space="preserve">V10</x:t>
        </x:is>
      </x:c>
      <x:c r="AD784" s="57" t="n"/>
      <x:c r="AE784" s="79" t="str">
        <x:f>IF(AND(I784&lt;&gt;"",J784&lt;&gt;"",K784&lt;&gt;"",L784="YES",M784&lt;&gt;"",S784&lt;&gt;"",T784&lt;&gt;"",U784&lt;&gt;"",V784&lt;&gt;"",W784&lt;&gt;"",X784&lt;&gt;"",Y784&lt;&gt;""),"COMPLETE","PENDING")</x:f>
        <x:v>PENDING</x:v>
      </x:c>
      <x:c r="AF784" s="79" t="str">
        <x:f>IF(AE784="COMPLETE","YES","NO")</x:f>
        <x:v>NO</x:v>
      </x:c>
      <x:c r="AG784" s="214" t="str">
        <x:f>IF(AF784&lt;&gt;"YES","",(IF(V784="YES",1,0)+IF(W784="YES",1,0))/2)</x:f>
      </x:c>
    </x:row>
    <x:row r="785">
      <x:c r="A785" s="57" t="inlineStr">
        <x:is>
          <x:t xml:space="preserve">C0780</x:t>
        </x:is>
      </x:c>
      <x:c r="B785" s="57" t="inlineStr">
        <x:is>
          <x:t xml:space="preserve">Validation</x:t>
        </x:is>
      </x:c>
      <x:c r="C785" s="57" t="inlineStr">
        <x:is>
          <x:t xml:space="preserve">OPEN</x:t>
        </x:is>
      </x:c>
      <x:c r="D785" s="57" t="inlineStr">
        <x:is>
          <x:t xml:space="preserve">ARG-078</x:t>
        </x:is>
      </x:c>
      <x:c r="E785" s="75" t="str">
        <x:f>INDEX('Company Universe'!$B$6:$B$105,MATCH(D785,'Company Universe'!$A$6:$A$105,0))</x:f>
        <x:v>Netflix</x:v>
      </x:c>
      <x:c r="F785" s="75" t="str">
        <x:f>INDEX('Company Universe'!$C$6:$C$105,MATCH(D785,'Company Universe'!$A$6:$A$105,0))</x:f>
        <x:v>NFLX</x:v>
      </x:c>
      <x:c r="G785" s="75" t="str">
        <x:f>INDEX('Company Universe'!$F$6:$F$105,MATCH(D785,'Company Universe'!$A$6:$A$105,0))</x:f>
        <x:v>Media &amp; Internet</x:v>
      </x:c>
      <x:c r="H785" s="57" t="n">
        <x:v>10</x:v>
      </x:c>
      <x:c r="I785" s="206" t="n"/>
      <x:c r="J785" s="71" t="n"/>
      <x:c r="K785" s="71" t="n"/>
      <x:c r="L785" s="71" t="inlineStr">
        <x:is>
          <x:t xml:space="preserve">NO</x:t>
        </x:is>
      </x:c>
      <x:c r="M785" s="71" t="n"/>
      <x:c r="N785" s="71" t="n"/>
      <x:c r="O785" s="71" t="n"/>
      <x:c r="P785" s="71" t="n"/>
      <x:c r="Q785" s="71" t="n"/>
      <x:c r="R785" s="71" t="n"/>
      <x:c r="S785" s="206" t="n"/>
      <x:c r="T785" s="71" t="n"/>
      <x:c r="U785" s="71" t="n"/>
      <x:c r="V785" s="71" t="n"/>
      <x:c r="W785" s="71" t="n"/>
      <x:c r="X785" s="71" t="n"/>
      <x:c r="Y785" s="71" t="n"/>
      <x:c r="Z785" s="71" t="n"/>
      <x:c r="AA785" s="71" t="n"/>
      <x:c r="AB785" s="71" t="inlineStr">
        <x:is>
          <x:t xml:space="preserve">NO</x:t>
        </x:is>
      </x:c>
      <x:c r="AC785" s="57" t="inlineStr">
        <x:is>
          <x:t xml:space="preserve">V10</x:t>
        </x:is>
      </x:c>
      <x:c r="AD785" s="57" t="n"/>
      <x:c r="AE785" s="79" t="str">
        <x:f>IF(AND(I785&lt;&gt;"",J785&lt;&gt;"",K785&lt;&gt;"",L785="YES",M785&lt;&gt;"",S785&lt;&gt;"",T785&lt;&gt;"",U785&lt;&gt;"",V785&lt;&gt;"",W785&lt;&gt;"",X785&lt;&gt;"",Y785&lt;&gt;""),"COMPLETE","PENDING")</x:f>
        <x:v>PENDING</x:v>
      </x:c>
      <x:c r="AF785" s="79" t="str">
        <x:f>IF(AE785="COMPLETE","YES","NO")</x:f>
        <x:v>NO</x:v>
      </x:c>
      <x:c r="AG785" s="214" t="str">
        <x:f>IF(AF785&lt;&gt;"YES","",(IF(V785="YES",1,0)+IF(W785="YES",1,0))/2)</x:f>
      </x:c>
    </x:row>
    <x:row r="786">
      <x:c r="A786" s="57" t="inlineStr">
        <x:is>
          <x:t xml:space="preserve">C0781</x:t>
        </x:is>
      </x:c>
      <x:c r="B786" s="57" t="inlineStr">
        <x:is>
          <x:t xml:space="preserve">Validation</x:t>
        </x:is>
      </x:c>
      <x:c r="C786" s="57" t="inlineStr">
        <x:is>
          <x:t xml:space="preserve">OPEN</x:t>
        </x:is>
      </x:c>
      <x:c r="D786" s="57" t="inlineStr">
        <x:is>
          <x:t xml:space="preserve">ARG-079</x:t>
        </x:is>
      </x:c>
      <x:c r="E786" s="75" t="str">
        <x:f>INDEX('Company Universe'!$B$6:$B$105,MATCH(D786,'Company Universe'!$A$6:$A$105,0))</x:f>
        <x:v>CME Group</x:v>
      </x:c>
      <x:c r="F786" s="75" t="str">
        <x:f>INDEX('Company Universe'!$C$6:$C$105,MATCH(D786,'Company Universe'!$A$6:$A$105,0))</x:f>
        <x:v>CME</x:v>
      </x:c>
      <x:c r="G786" s="75" t="str">
        <x:f>INDEX('Company Universe'!$F$6:$F$105,MATCH(D786,'Company Universe'!$A$6:$A$105,0))</x:f>
        <x:v>Business Services &amp; Exchanges</x:v>
      </x:c>
      <x:c r="H786" s="57" t="n">
        <x:v>1</x:v>
      </x:c>
      <x:c r="I786" s="206" t="n"/>
      <x:c r="J786" s="71" t="n"/>
      <x:c r="K786" s="71" t="n"/>
      <x:c r="L786" s="71" t="inlineStr">
        <x:is>
          <x:t xml:space="preserve">NO</x:t>
        </x:is>
      </x:c>
      <x:c r="M786" s="71" t="n"/>
      <x:c r="N786" s="71" t="n"/>
      <x:c r="O786" s="71" t="n"/>
      <x:c r="P786" s="71" t="n"/>
      <x:c r="Q786" s="71" t="n"/>
      <x:c r="R786" s="71" t="n"/>
      <x:c r="S786" s="206" t="n"/>
      <x:c r="T786" s="71" t="n"/>
      <x:c r="U786" s="71" t="n"/>
      <x:c r="V786" s="71" t="n"/>
      <x:c r="W786" s="71" t="n"/>
      <x:c r="X786" s="71" t="n"/>
      <x:c r="Y786" s="71" t="n"/>
      <x:c r="Z786" s="71" t="n"/>
      <x:c r="AA786" s="71" t="n"/>
      <x:c r="AB786" s="71" t="inlineStr">
        <x:is>
          <x:t xml:space="preserve">NO</x:t>
        </x:is>
      </x:c>
      <x:c r="AC786" s="57" t="inlineStr">
        <x:is>
          <x:t xml:space="preserve">V10</x:t>
        </x:is>
      </x:c>
      <x:c r="AD786" s="57" t="n"/>
      <x:c r="AE786" s="79" t="str">
        <x:f>IF(AND(I786&lt;&gt;"",J786&lt;&gt;"",K786&lt;&gt;"",L786="YES",M786&lt;&gt;"",S786&lt;&gt;"",T786&lt;&gt;"",U786&lt;&gt;"",V786&lt;&gt;"",W786&lt;&gt;"",X786&lt;&gt;"",Y786&lt;&gt;""),"COMPLETE","PENDING")</x:f>
        <x:v>PENDING</x:v>
      </x:c>
      <x:c r="AF786" s="79" t="str">
        <x:f>IF(AE786="COMPLETE","YES","NO")</x:f>
        <x:v>NO</x:v>
      </x:c>
      <x:c r="AG786" s="214" t="str">
        <x:f>IF(AF786&lt;&gt;"YES","",(IF(V786="YES",1,0)+IF(W786="YES",1,0))/2)</x:f>
      </x:c>
    </x:row>
    <x:row r="787">
      <x:c r="A787" s="57" t="inlineStr">
        <x:is>
          <x:t xml:space="preserve">C0782</x:t>
        </x:is>
      </x:c>
      <x:c r="B787" s="57" t="inlineStr">
        <x:is>
          <x:t xml:space="preserve">Validation</x:t>
        </x:is>
      </x:c>
      <x:c r="C787" s="57" t="inlineStr">
        <x:is>
          <x:t xml:space="preserve">OPEN</x:t>
        </x:is>
      </x:c>
      <x:c r="D787" s="57" t="inlineStr">
        <x:is>
          <x:t xml:space="preserve">ARG-079</x:t>
        </x:is>
      </x:c>
      <x:c r="E787" s="75" t="str">
        <x:f>INDEX('Company Universe'!$B$6:$B$105,MATCH(D787,'Company Universe'!$A$6:$A$105,0))</x:f>
        <x:v>CME Group</x:v>
      </x:c>
      <x:c r="F787" s="75" t="str">
        <x:f>INDEX('Company Universe'!$C$6:$C$105,MATCH(D787,'Company Universe'!$A$6:$A$105,0))</x:f>
        <x:v>CME</x:v>
      </x:c>
      <x:c r="G787" s="75" t="str">
        <x:f>INDEX('Company Universe'!$F$6:$F$105,MATCH(D787,'Company Universe'!$A$6:$A$105,0))</x:f>
        <x:v>Business Services &amp; Exchanges</x:v>
      </x:c>
      <x:c r="H787" s="57" t="n">
        <x:v>2</x:v>
      </x:c>
      <x:c r="I787" s="206" t="n"/>
      <x:c r="J787" s="71" t="n"/>
      <x:c r="K787" s="71" t="n"/>
      <x:c r="L787" s="71" t="inlineStr">
        <x:is>
          <x:t xml:space="preserve">NO</x:t>
        </x:is>
      </x:c>
      <x:c r="M787" s="71" t="n"/>
      <x:c r="N787" s="71" t="n"/>
      <x:c r="O787" s="71" t="n"/>
      <x:c r="P787" s="71" t="n"/>
      <x:c r="Q787" s="71" t="n"/>
      <x:c r="R787" s="71" t="n"/>
      <x:c r="S787" s="206" t="n"/>
      <x:c r="T787" s="71" t="n"/>
      <x:c r="U787" s="71" t="n"/>
      <x:c r="V787" s="71" t="n"/>
      <x:c r="W787" s="71" t="n"/>
      <x:c r="X787" s="71" t="n"/>
      <x:c r="Y787" s="71" t="n"/>
      <x:c r="Z787" s="71" t="n"/>
      <x:c r="AA787" s="71" t="n"/>
      <x:c r="AB787" s="71" t="inlineStr">
        <x:is>
          <x:t xml:space="preserve">NO</x:t>
        </x:is>
      </x:c>
      <x:c r="AC787" s="57" t="inlineStr">
        <x:is>
          <x:t xml:space="preserve">V10</x:t>
        </x:is>
      </x:c>
      <x:c r="AD787" s="57" t="n"/>
      <x:c r="AE787" s="79" t="str">
        <x:f>IF(AND(I787&lt;&gt;"",J787&lt;&gt;"",K787&lt;&gt;"",L787="YES",M787&lt;&gt;"",S787&lt;&gt;"",T787&lt;&gt;"",U787&lt;&gt;"",V787&lt;&gt;"",W787&lt;&gt;"",X787&lt;&gt;"",Y787&lt;&gt;""),"COMPLETE","PENDING")</x:f>
        <x:v>PENDING</x:v>
      </x:c>
      <x:c r="AF787" s="79" t="str">
        <x:f>IF(AE787="COMPLETE","YES","NO")</x:f>
        <x:v>NO</x:v>
      </x:c>
      <x:c r="AG787" s="214" t="str">
        <x:f>IF(AF787&lt;&gt;"YES","",(IF(V787="YES",1,0)+IF(W787="YES",1,0))/2)</x:f>
      </x:c>
    </x:row>
    <x:row r="788">
      <x:c r="A788" s="57" t="inlineStr">
        <x:is>
          <x:t xml:space="preserve">C0783</x:t>
        </x:is>
      </x:c>
      <x:c r="B788" s="57" t="inlineStr">
        <x:is>
          <x:t xml:space="preserve">Validation</x:t>
        </x:is>
      </x:c>
      <x:c r="C788" s="57" t="inlineStr">
        <x:is>
          <x:t xml:space="preserve">OPEN</x:t>
        </x:is>
      </x:c>
      <x:c r="D788" s="57" t="inlineStr">
        <x:is>
          <x:t xml:space="preserve">ARG-079</x:t>
        </x:is>
      </x:c>
      <x:c r="E788" s="75" t="str">
        <x:f>INDEX('Company Universe'!$B$6:$B$105,MATCH(D788,'Company Universe'!$A$6:$A$105,0))</x:f>
        <x:v>CME Group</x:v>
      </x:c>
      <x:c r="F788" s="75" t="str">
        <x:f>INDEX('Company Universe'!$C$6:$C$105,MATCH(D788,'Company Universe'!$A$6:$A$105,0))</x:f>
        <x:v>CME</x:v>
      </x:c>
      <x:c r="G788" s="75" t="str">
        <x:f>INDEX('Company Universe'!$F$6:$F$105,MATCH(D788,'Company Universe'!$A$6:$A$105,0))</x:f>
        <x:v>Business Services &amp; Exchanges</x:v>
      </x:c>
      <x:c r="H788" s="57" t="n">
        <x:v>3</x:v>
      </x:c>
      <x:c r="I788" s="206" t="n"/>
      <x:c r="J788" s="71" t="n"/>
      <x:c r="K788" s="71" t="n"/>
      <x:c r="L788" s="71" t="inlineStr">
        <x:is>
          <x:t xml:space="preserve">NO</x:t>
        </x:is>
      </x:c>
      <x:c r="M788" s="71" t="n"/>
      <x:c r="N788" s="71" t="n"/>
      <x:c r="O788" s="71" t="n"/>
      <x:c r="P788" s="71" t="n"/>
      <x:c r="Q788" s="71" t="n"/>
      <x:c r="R788" s="71" t="n"/>
      <x:c r="S788" s="206" t="n"/>
      <x:c r="T788" s="71" t="n"/>
      <x:c r="U788" s="71" t="n"/>
      <x:c r="V788" s="71" t="n"/>
      <x:c r="W788" s="71" t="n"/>
      <x:c r="X788" s="71" t="n"/>
      <x:c r="Y788" s="71" t="n"/>
      <x:c r="Z788" s="71" t="n"/>
      <x:c r="AA788" s="71" t="n"/>
      <x:c r="AB788" s="71" t="inlineStr">
        <x:is>
          <x:t xml:space="preserve">NO</x:t>
        </x:is>
      </x:c>
      <x:c r="AC788" s="57" t="inlineStr">
        <x:is>
          <x:t xml:space="preserve">V10</x:t>
        </x:is>
      </x:c>
      <x:c r="AD788" s="57" t="n"/>
      <x:c r="AE788" s="79" t="str">
        <x:f>IF(AND(I788&lt;&gt;"",J788&lt;&gt;"",K788&lt;&gt;"",L788="YES",M788&lt;&gt;"",S788&lt;&gt;"",T788&lt;&gt;"",U788&lt;&gt;"",V788&lt;&gt;"",W788&lt;&gt;"",X788&lt;&gt;"",Y788&lt;&gt;""),"COMPLETE","PENDING")</x:f>
        <x:v>PENDING</x:v>
      </x:c>
      <x:c r="AF788" s="79" t="str">
        <x:f>IF(AE788="COMPLETE","YES","NO")</x:f>
        <x:v>NO</x:v>
      </x:c>
      <x:c r="AG788" s="214" t="str">
        <x:f>IF(AF788&lt;&gt;"YES","",(IF(V788="YES",1,0)+IF(W788="YES",1,0))/2)</x:f>
      </x:c>
    </x:row>
    <x:row r="789">
      <x:c r="A789" s="57" t="inlineStr">
        <x:is>
          <x:t xml:space="preserve">C0784</x:t>
        </x:is>
      </x:c>
      <x:c r="B789" s="57" t="inlineStr">
        <x:is>
          <x:t xml:space="preserve">Validation</x:t>
        </x:is>
      </x:c>
      <x:c r="C789" s="57" t="inlineStr">
        <x:is>
          <x:t xml:space="preserve">OPEN</x:t>
        </x:is>
      </x:c>
      <x:c r="D789" s="57" t="inlineStr">
        <x:is>
          <x:t xml:space="preserve">ARG-079</x:t>
        </x:is>
      </x:c>
      <x:c r="E789" s="75" t="str">
        <x:f>INDEX('Company Universe'!$B$6:$B$105,MATCH(D789,'Company Universe'!$A$6:$A$105,0))</x:f>
        <x:v>CME Group</x:v>
      </x:c>
      <x:c r="F789" s="75" t="str">
        <x:f>INDEX('Company Universe'!$C$6:$C$105,MATCH(D789,'Company Universe'!$A$6:$A$105,0))</x:f>
        <x:v>CME</x:v>
      </x:c>
      <x:c r="G789" s="75" t="str">
        <x:f>INDEX('Company Universe'!$F$6:$F$105,MATCH(D789,'Company Universe'!$A$6:$A$105,0))</x:f>
        <x:v>Business Services &amp; Exchanges</x:v>
      </x:c>
      <x:c r="H789" s="57" t="n">
        <x:v>4</x:v>
      </x:c>
      <x:c r="I789" s="206" t="n"/>
      <x:c r="J789" s="71" t="n"/>
      <x:c r="K789" s="71" t="n"/>
      <x:c r="L789" s="71" t="inlineStr">
        <x:is>
          <x:t xml:space="preserve">NO</x:t>
        </x:is>
      </x:c>
      <x:c r="M789" s="71" t="n"/>
      <x:c r="N789" s="71" t="n"/>
      <x:c r="O789" s="71" t="n"/>
      <x:c r="P789" s="71" t="n"/>
      <x:c r="Q789" s="71" t="n"/>
      <x:c r="R789" s="71" t="n"/>
      <x:c r="S789" s="206" t="n"/>
      <x:c r="T789" s="71" t="n"/>
      <x:c r="U789" s="71" t="n"/>
      <x:c r="V789" s="71" t="n"/>
      <x:c r="W789" s="71" t="n"/>
      <x:c r="X789" s="71" t="n"/>
      <x:c r="Y789" s="71" t="n"/>
      <x:c r="Z789" s="71" t="n"/>
      <x:c r="AA789" s="71" t="n"/>
      <x:c r="AB789" s="71" t="inlineStr">
        <x:is>
          <x:t xml:space="preserve">NO</x:t>
        </x:is>
      </x:c>
      <x:c r="AC789" s="57" t="inlineStr">
        <x:is>
          <x:t xml:space="preserve">V10</x:t>
        </x:is>
      </x:c>
      <x:c r="AD789" s="57" t="n"/>
      <x:c r="AE789" s="79" t="str">
        <x:f>IF(AND(I789&lt;&gt;"",J789&lt;&gt;"",K789&lt;&gt;"",L789="YES",M789&lt;&gt;"",S789&lt;&gt;"",T789&lt;&gt;"",U789&lt;&gt;"",V789&lt;&gt;"",W789&lt;&gt;"",X789&lt;&gt;"",Y789&lt;&gt;""),"COMPLETE","PENDING")</x:f>
        <x:v>PENDING</x:v>
      </x:c>
      <x:c r="AF789" s="79" t="str">
        <x:f>IF(AE789="COMPLETE","YES","NO")</x:f>
        <x:v>NO</x:v>
      </x:c>
      <x:c r="AG789" s="214" t="str">
        <x:f>IF(AF789&lt;&gt;"YES","",(IF(V789="YES",1,0)+IF(W789="YES",1,0))/2)</x:f>
      </x:c>
    </x:row>
    <x:row r="790">
      <x:c r="A790" s="57" t="inlineStr">
        <x:is>
          <x:t xml:space="preserve">C0785</x:t>
        </x:is>
      </x:c>
      <x:c r="B790" s="57" t="inlineStr">
        <x:is>
          <x:t xml:space="preserve">Validation</x:t>
        </x:is>
      </x:c>
      <x:c r="C790" s="57" t="inlineStr">
        <x:is>
          <x:t xml:space="preserve">OPEN</x:t>
        </x:is>
      </x:c>
      <x:c r="D790" s="57" t="inlineStr">
        <x:is>
          <x:t xml:space="preserve">ARG-079</x:t>
        </x:is>
      </x:c>
      <x:c r="E790" s="75" t="str">
        <x:f>INDEX('Company Universe'!$B$6:$B$105,MATCH(D790,'Company Universe'!$A$6:$A$105,0))</x:f>
        <x:v>CME Group</x:v>
      </x:c>
      <x:c r="F790" s="75" t="str">
        <x:f>INDEX('Company Universe'!$C$6:$C$105,MATCH(D790,'Company Universe'!$A$6:$A$105,0))</x:f>
        <x:v>CME</x:v>
      </x:c>
      <x:c r="G790" s="75" t="str">
        <x:f>INDEX('Company Universe'!$F$6:$F$105,MATCH(D790,'Company Universe'!$A$6:$A$105,0))</x:f>
        <x:v>Business Services &amp; Exchanges</x:v>
      </x:c>
      <x:c r="H790" s="57" t="n">
        <x:v>5</x:v>
      </x:c>
      <x:c r="I790" s="206" t="n"/>
      <x:c r="J790" s="71" t="n"/>
      <x:c r="K790" s="71" t="n"/>
      <x:c r="L790" s="71" t="inlineStr">
        <x:is>
          <x:t xml:space="preserve">NO</x:t>
        </x:is>
      </x:c>
      <x:c r="M790" s="71" t="n"/>
      <x:c r="N790" s="71" t="n"/>
      <x:c r="O790" s="71" t="n"/>
      <x:c r="P790" s="71" t="n"/>
      <x:c r="Q790" s="71" t="n"/>
      <x:c r="R790" s="71" t="n"/>
      <x:c r="S790" s="206" t="n"/>
      <x:c r="T790" s="71" t="n"/>
      <x:c r="U790" s="71" t="n"/>
      <x:c r="V790" s="71" t="n"/>
      <x:c r="W790" s="71" t="n"/>
      <x:c r="X790" s="71" t="n"/>
      <x:c r="Y790" s="71" t="n"/>
      <x:c r="Z790" s="71" t="n"/>
      <x:c r="AA790" s="71" t="n"/>
      <x:c r="AB790" s="71" t="inlineStr">
        <x:is>
          <x:t xml:space="preserve">NO</x:t>
        </x:is>
      </x:c>
      <x:c r="AC790" s="57" t="inlineStr">
        <x:is>
          <x:t xml:space="preserve">V10</x:t>
        </x:is>
      </x:c>
      <x:c r="AD790" s="57" t="n"/>
      <x:c r="AE790" s="79" t="str">
        <x:f>IF(AND(I790&lt;&gt;"",J790&lt;&gt;"",K790&lt;&gt;"",L790="YES",M790&lt;&gt;"",S790&lt;&gt;"",T790&lt;&gt;"",U790&lt;&gt;"",V790&lt;&gt;"",W790&lt;&gt;"",X790&lt;&gt;"",Y790&lt;&gt;""),"COMPLETE","PENDING")</x:f>
        <x:v>PENDING</x:v>
      </x:c>
      <x:c r="AF790" s="79" t="str">
        <x:f>IF(AE790="COMPLETE","YES","NO")</x:f>
        <x:v>NO</x:v>
      </x:c>
      <x:c r="AG790" s="214" t="str">
        <x:f>IF(AF790&lt;&gt;"YES","",(IF(V790="YES",1,0)+IF(W790="YES",1,0))/2)</x:f>
      </x:c>
    </x:row>
    <x:row r="791">
      <x:c r="A791" s="57" t="inlineStr">
        <x:is>
          <x:t xml:space="preserve">C0786</x:t>
        </x:is>
      </x:c>
      <x:c r="B791" s="57" t="inlineStr">
        <x:is>
          <x:t xml:space="preserve">Validation</x:t>
        </x:is>
      </x:c>
      <x:c r="C791" s="57" t="inlineStr">
        <x:is>
          <x:t xml:space="preserve">OPEN</x:t>
        </x:is>
      </x:c>
      <x:c r="D791" s="57" t="inlineStr">
        <x:is>
          <x:t xml:space="preserve">ARG-079</x:t>
        </x:is>
      </x:c>
      <x:c r="E791" s="75" t="str">
        <x:f>INDEX('Company Universe'!$B$6:$B$105,MATCH(D791,'Company Universe'!$A$6:$A$105,0))</x:f>
        <x:v>CME Group</x:v>
      </x:c>
      <x:c r="F791" s="75" t="str">
        <x:f>INDEX('Company Universe'!$C$6:$C$105,MATCH(D791,'Company Universe'!$A$6:$A$105,0))</x:f>
        <x:v>CME</x:v>
      </x:c>
      <x:c r="G791" s="75" t="str">
        <x:f>INDEX('Company Universe'!$F$6:$F$105,MATCH(D791,'Company Universe'!$A$6:$A$105,0))</x:f>
        <x:v>Business Services &amp; Exchanges</x:v>
      </x:c>
      <x:c r="H791" s="57" t="n">
        <x:v>6</x:v>
      </x:c>
      <x:c r="I791" s="206" t="n"/>
      <x:c r="J791" s="71" t="n"/>
      <x:c r="K791" s="71" t="n"/>
      <x:c r="L791" s="71" t="inlineStr">
        <x:is>
          <x:t xml:space="preserve">NO</x:t>
        </x:is>
      </x:c>
      <x:c r="M791" s="71" t="n"/>
      <x:c r="N791" s="71" t="n"/>
      <x:c r="O791" s="71" t="n"/>
      <x:c r="P791" s="71" t="n"/>
      <x:c r="Q791" s="71" t="n"/>
      <x:c r="R791" s="71" t="n"/>
      <x:c r="S791" s="206" t="n"/>
      <x:c r="T791" s="71" t="n"/>
      <x:c r="U791" s="71" t="n"/>
      <x:c r="V791" s="71" t="n"/>
      <x:c r="W791" s="71" t="n"/>
      <x:c r="X791" s="71" t="n"/>
      <x:c r="Y791" s="71" t="n"/>
      <x:c r="Z791" s="71" t="n"/>
      <x:c r="AA791" s="71" t="n"/>
      <x:c r="AB791" s="71" t="inlineStr">
        <x:is>
          <x:t xml:space="preserve">NO</x:t>
        </x:is>
      </x:c>
      <x:c r="AC791" s="57" t="inlineStr">
        <x:is>
          <x:t xml:space="preserve">V10</x:t>
        </x:is>
      </x:c>
      <x:c r="AD791" s="57" t="n"/>
      <x:c r="AE791" s="79" t="str">
        <x:f>IF(AND(I791&lt;&gt;"",J791&lt;&gt;"",K791&lt;&gt;"",L791="YES",M791&lt;&gt;"",S791&lt;&gt;"",T791&lt;&gt;"",U791&lt;&gt;"",V791&lt;&gt;"",W791&lt;&gt;"",X791&lt;&gt;"",Y791&lt;&gt;""),"COMPLETE","PENDING")</x:f>
        <x:v>PENDING</x:v>
      </x:c>
      <x:c r="AF791" s="79" t="str">
        <x:f>IF(AE791="COMPLETE","YES","NO")</x:f>
        <x:v>NO</x:v>
      </x:c>
      <x:c r="AG791" s="214" t="str">
        <x:f>IF(AF791&lt;&gt;"YES","",(IF(V791="YES",1,0)+IF(W791="YES",1,0))/2)</x:f>
      </x:c>
    </x:row>
    <x:row r="792">
      <x:c r="A792" s="57" t="inlineStr">
        <x:is>
          <x:t xml:space="preserve">C0787</x:t>
        </x:is>
      </x:c>
      <x:c r="B792" s="57" t="inlineStr">
        <x:is>
          <x:t xml:space="preserve">Validation</x:t>
        </x:is>
      </x:c>
      <x:c r="C792" s="57" t="inlineStr">
        <x:is>
          <x:t xml:space="preserve">OPEN</x:t>
        </x:is>
      </x:c>
      <x:c r="D792" s="57" t="inlineStr">
        <x:is>
          <x:t xml:space="preserve">ARG-079</x:t>
        </x:is>
      </x:c>
      <x:c r="E792" s="75" t="str">
        <x:f>INDEX('Company Universe'!$B$6:$B$105,MATCH(D792,'Company Universe'!$A$6:$A$105,0))</x:f>
        <x:v>CME Group</x:v>
      </x:c>
      <x:c r="F792" s="75" t="str">
        <x:f>INDEX('Company Universe'!$C$6:$C$105,MATCH(D792,'Company Universe'!$A$6:$A$105,0))</x:f>
        <x:v>CME</x:v>
      </x:c>
      <x:c r="G792" s="75" t="str">
        <x:f>INDEX('Company Universe'!$F$6:$F$105,MATCH(D792,'Company Universe'!$A$6:$A$105,0))</x:f>
        <x:v>Business Services &amp; Exchanges</x:v>
      </x:c>
      <x:c r="H792" s="57" t="n">
        <x:v>7</x:v>
      </x:c>
      <x:c r="I792" s="206" t="n"/>
      <x:c r="J792" s="71" t="n"/>
      <x:c r="K792" s="71" t="n"/>
      <x:c r="L792" s="71" t="inlineStr">
        <x:is>
          <x:t xml:space="preserve">NO</x:t>
        </x:is>
      </x:c>
      <x:c r="M792" s="71" t="n"/>
      <x:c r="N792" s="71" t="n"/>
      <x:c r="O792" s="71" t="n"/>
      <x:c r="P792" s="71" t="n"/>
      <x:c r="Q792" s="71" t="n"/>
      <x:c r="R792" s="71" t="n"/>
      <x:c r="S792" s="206" t="n"/>
      <x:c r="T792" s="71" t="n"/>
      <x:c r="U792" s="71" t="n"/>
      <x:c r="V792" s="71" t="n"/>
      <x:c r="W792" s="71" t="n"/>
      <x:c r="X792" s="71" t="n"/>
      <x:c r="Y792" s="71" t="n"/>
      <x:c r="Z792" s="71" t="n"/>
      <x:c r="AA792" s="71" t="n"/>
      <x:c r="AB792" s="71" t="inlineStr">
        <x:is>
          <x:t xml:space="preserve">NO</x:t>
        </x:is>
      </x:c>
      <x:c r="AC792" s="57" t="inlineStr">
        <x:is>
          <x:t xml:space="preserve">V10</x:t>
        </x:is>
      </x:c>
      <x:c r="AD792" s="57" t="n"/>
      <x:c r="AE792" s="79" t="str">
        <x:f>IF(AND(I792&lt;&gt;"",J792&lt;&gt;"",K792&lt;&gt;"",L792="YES",M792&lt;&gt;"",S792&lt;&gt;"",T792&lt;&gt;"",U792&lt;&gt;"",V792&lt;&gt;"",W792&lt;&gt;"",X792&lt;&gt;"",Y792&lt;&gt;""),"COMPLETE","PENDING")</x:f>
        <x:v>PENDING</x:v>
      </x:c>
      <x:c r="AF792" s="79" t="str">
        <x:f>IF(AE792="COMPLETE","YES","NO")</x:f>
        <x:v>NO</x:v>
      </x:c>
      <x:c r="AG792" s="214" t="str">
        <x:f>IF(AF792&lt;&gt;"YES","",(IF(V792="YES",1,0)+IF(W792="YES",1,0))/2)</x:f>
      </x:c>
    </x:row>
    <x:row r="793">
      <x:c r="A793" s="57" t="inlineStr">
        <x:is>
          <x:t xml:space="preserve">C0788</x:t>
        </x:is>
      </x:c>
      <x:c r="B793" s="57" t="inlineStr">
        <x:is>
          <x:t xml:space="preserve">Validation</x:t>
        </x:is>
      </x:c>
      <x:c r="C793" s="57" t="inlineStr">
        <x:is>
          <x:t xml:space="preserve">OPEN</x:t>
        </x:is>
      </x:c>
      <x:c r="D793" s="57" t="inlineStr">
        <x:is>
          <x:t xml:space="preserve">ARG-079</x:t>
        </x:is>
      </x:c>
      <x:c r="E793" s="75" t="str">
        <x:f>INDEX('Company Universe'!$B$6:$B$105,MATCH(D793,'Company Universe'!$A$6:$A$105,0))</x:f>
        <x:v>CME Group</x:v>
      </x:c>
      <x:c r="F793" s="75" t="str">
        <x:f>INDEX('Company Universe'!$C$6:$C$105,MATCH(D793,'Company Universe'!$A$6:$A$105,0))</x:f>
        <x:v>CME</x:v>
      </x:c>
      <x:c r="G793" s="75" t="str">
        <x:f>INDEX('Company Universe'!$F$6:$F$105,MATCH(D793,'Company Universe'!$A$6:$A$105,0))</x:f>
        <x:v>Business Services &amp; Exchanges</x:v>
      </x:c>
      <x:c r="H793" s="57" t="n">
        <x:v>8</x:v>
      </x:c>
      <x:c r="I793" s="206" t="n"/>
      <x:c r="J793" s="71" t="n"/>
      <x:c r="K793" s="71" t="n"/>
      <x:c r="L793" s="71" t="inlineStr">
        <x:is>
          <x:t xml:space="preserve">NO</x:t>
        </x:is>
      </x:c>
      <x:c r="M793" s="71" t="n"/>
      <x:c r="N793" s="71" t="n"/>
      <x:c r="O793" s="71" t="n"/>
      <x:c r="P793" s="71" t="n"/>
      <x:c r="Q793" s="71" t="n"/>
      <x:c r="R793" s="71" t="n"/>
      <x:c r="S793" s="206" t="n"/>
      <x:c r="T793" s="71" t="n"/>
      <x:c r="U793" s="71" t="n"/>
      <x:c r="V793" s="71" t="n"/>
      <x:c r="W793" s="71" t="n"/>
      <x:c r="X793" s="71" t="n"/>
      <x:c r="Y793" s="71" t="n"/>
      <x:c r="Z793" s="71" t="n"/>
      <x:c r="AA793" s="71" t="n"/>
      <x:c r="AB793" s="71" t="inlineStr">
        <x:is>
          <x:t xml:space="preserve">NO</x:t>
        </x:is>
      </x:c>
      <x:c r="AC793" s="57" t="inlineStr">
        <x:is>
          <x:t xml:space="preserve">V10</x:t>
        </x:is>
      </x:c>
      <x:c r="AD793" s="57" t="n"/>
      <x:c r="AE793" s="79" t="str">
        <x:f>IF(AND(I793&lt;&gt;"",J793&lt;&gt;"",K793&lt;&gt;"",L793="YES",M793&lt;&gt;"",S793&lt;&gt;"",T793&lt;&gt;"",U793&lt;&gt;"",V793&lt;&gt;"",W793&lt;&gt;"",X793&lt;&gt;"",Y793&lt;&gt;""),"COMPLETE","PENDING")</x:f>
        <x:v>PENDING</x:v>
      </x:c>
      <x:c r="AF793" s="79" t="str">
        <x:f>IF(AE793="COMPLETE","YES","NO")</x:f>
        <x:v>NO</x:v>
      </x:c>
      <x:c r="AG793" s="214" t="str">
        <x:f>IF(AF793&lt;&gt;"YES","",(IF(V793="YES",1,0)+IF(W793="YES",1,0))/2)</x:f>
      </x:c>
    </x:row>
    <x:row r="794">
      <x:c r="A794" s="57" t="inlineStr">
        <x:is>
          <x:t xml:space="preserve">C0789</x:t>
        </x:is>
      </x:c>
      <x:c r="B794" s="57" t="inlineStr">
        <x:is>
          <x:t xml:space="preserve">Validation</x:t>
        </x:is>
      </x:c>
      <x:c r="C794" s="57" t="inlineStr">
        <x:is>
          <x:t xml:space="preserve">OPEN</x:t>
        </x:is>
      </x:c>
      <x:c r="D794" s="57" t="inlineStr">
        <x:is>
          <x:t xml:space="preserve">ARG-079</x:t>
        </x:is>
      </x:c>
      <x:c r="E794" s="75" t="str">
        <x:f>INDEX('Company Universe'!$B$6:$B$105,MATCH(D794,'Company Universe'!$A$6:$A$105,0))</x:f>
        <x:v>CME Group</x:v>
      </x:c>
      <x:c r="F794" s="75" t="str">
        <x:f>INDEX('Company Universe'!$C$6:$C$105,MATCH(D794,'Company Universe'!$A$6:$A$105,0))</x:f>
        <x:v>CME</x:v>
      </x:c>
      <x:c r="G794" s="75" t="str">
        <x:f>INDEX('Company Universe'!$F$6:$F$105,MATCH(D794,'Company Universe'!$A$6:$A$105,0))</x:f>
        <x:v>Business Services &amp; Exchanges</x:v>
      </x:c>
      <x:c r="H794" s="57" t="n">
        <x:v>9</x:v>
      </x:c>
      <x:c r="I794" s="206" t="n"/>
      <x:c r="J794" s="71" t="n"/>
      <x:c r="K794" s="71" t="n"/>
      <x:c r="L794" s="71" t="inlineStr">
        <x:is>
          <x:t xml:space="preserve">NO</x:t>
        </x:is>
      </x:c>
      <x:c r="M794" s="71" t="n"/>
      <x:c r="N794" s="71" t="n"/>
      <x:c r="O794" s="71" t="n"/>
      <x:c r="P794" s="71" t="n"/>
      <x:c r="Q794" s="71" t="n"/>
      <x:c r="R794" s="71" t="n"/>
      <x:c r="S794" s="206" t="n"/>
      <x:c r="T794" s="71" t="n"/>
      <x:c r="U794" s="71" t="n"/>
      <x:c r="V794" s="71" t="n"/>
      <x:c r="W794" s="71" t="n"/>
      <x:c r="X794" s="71" t="n"/>
      <x:c r="Y794" s="71" t="n"/>
      <x:c r="Z794" s="71" t="n"/>
      <x:c r="AA794" s="71" t="n"/>
      <x:c r="AB794" s="71" t="inlineStr">
        <x:is>
          <x:t xml:space="preserve">NO</x:t>
        </x:is>
      </x:c>
      <x:c r="AC794" s="57" t="inlineStr">
        <x:is>
          <x:t xml:space="preserve">V10</x:t>
        </x:is>
      </x:c>
      <x:c r="AD794" s="57" t="n"/>
      <x:c r="AE794" s="79" t="str">
        <x:f>IF(AND(I794&lt;&gt;"",J794&lt;&gt;"",K794&lt;&gt;"",L794="YES",M794&lt;&gt;"",S794&lt;&gt;"",T794&lt;&gt;"",U794&lt;&gt;"",V794&lt;&gt;"",W794&lt;&gt;"",X794&lt;&gt;"",Y794&lt;&gt;""),"COMPLETE","PENDING")</x:f>
        <x:v>PENDING</x:v>
      </x:c>
      <x:c r="AF794" s="79" t="str">
        <x:f>IF(AE794="COMPLETE","YES","NO")</x:f>
        <x:v>NO</x:v>
      </x:c>
      <x:c r="AG794" s="214" t="str">
        <x:f>IF(AF794&lt;&gt;"YES","",(IF(V794="YES",1,0)+IF(W794="YES",1,0))/2)</x:f>
      </x:c>
    </x:row>
    <x:row r="795">
      <x:c r="A795" s="57" t="inlineStr">
        <x:is>
          <x:t xml:space="preserve">C0790</x:t>
        </x:is>
      </x:c>
      <x:c r="B795" s="57" t="inlineStr">
        <x:is>
          <x:t xml:space="preserve">Validation</x:t>
        </x:is>
      </x:c>
      <x:c r="C795" s="57" t="inlineStr">
        <x:is>
          <x:t xml:space="preserve">OPEN</x:t>
        </x:is>
      </x:c>
      <x:c r="D795" s="57" t="inlineStr">
        <x:is>
          <x:t xml:space="preserve">ARG-079</x:t>
        </x:is>
      </x:c>
      <x:c r="E795" s="75" t="str">
        <x:f>INDEX('Company Universe'!$B$6:$B$105,MATCH(D795,'Company Universe'!$A$6:$A$105,0))</x:f>
        <x:v>CME Group</x:v>
      </x:c>
      <x:c r="F795" s="75" t="str">
        <x:f>INDEX('Company Universe'!$C$6:$C$105,MATCH(D795,'Company Universe'!$A$6:$A$105,0))</x:f>
        <x:v>CME</x:v>
      </x:c>
      <x:c r="G795" s="75" t="str">
        <x:f>INDEX('Company Universe'!$F$6:$F$105,MATCH(D795,'Company Universe'!$A$6:$A$105,0))</x:f>
        <x:v>Business Services &amp; Exchanges</x:v>
      </x:c>
      <x:c r="H795" s="57" t="n">
        <x:v>10</x:v>
      </x:c>
      <x:c r="I795" s="206" t="n"/>
      <x:c r="J795" s="71" t="n"/>
      <x:c r="K795" s="71" t="n"/>
      <x:c r="L795" s="71" t="inlineStr">
        <x:is>
          <x:t xml:space="preserve">NO</x:t>
        </x:is>
      </x:c>
      <x:c r="M795" s="71" t="n"/>
      <x:c r="N795" s="71" t="n"/>
      <x:c r="O795" s="71" t="n"/>
      <x:c r="P795" s="71" t="n"/>
      <x:c r="Q795" s="71" t="n"/>
      <x:c r="R795" s="71" t="n"/>
      <x:c r="S795" s="206" t="n"/>
      <x:c r="T795" s="71" t="n"/>
      <x:c r="U795" s="71" t="n"/>
      <x:c r="V795" s="71" t="n"/>
      <x:c r="W795" s="71" t="n"/>
      <x:c r="X795" s="71" t="n"/>
      <x:c r="Y795" s="71" t="n"/>
      <x:c r="Z795" s="71" t="n"/>
      <x:c r="AA795" s="71" t="n"/>
      <x:c r="AB795" s="71" t="inlineStr">
        <x:is>
          <x:t xml:space="preserve">NO</x:t>
        </x:is>
      </x:c>
      <x:c r="AC795" s="57" t="inlineStr">
        <x:is>
          <x:t xml:space="preserve">V10</x:t>
        </x:is>
      </x:c>
      <x:c r="AD795" s="57" t="n"/>
      <x:c r="AE795" s="79" t="str">
        <x:f>IF(AND(I795&lt;&gt;"",J795&lt;&gt;"",K795&lt;&gt;"",L795="YES",M795&lt;&gt;"",S795&lt;&gt;"",T795&lt;&gt;"",U795&lt;&gt;"",V795&lt;&gt;"",W795&lt;&gt;"",X795&lt;&gt;"",Y795&lt;&gt;""),"COMPLETE","PENDING")</x:f>
        <x:v>PENDING</x:v>
      </x:c>
      <x:c r="AF795" s="79" t="str">
        <x:f>IF(AE795="COMPLETE","YES","NO")</x:f>
        <x:v>NO</x:v>
      </x:c>
      <x:c r="AG795" s="214" t="str">
        <x:f>IF(AF795&lt;&gt;"YES","",(IF(V795="YES",1,0)+IF(W795="YES",1,0))/2)</x:f>
      </x:c>
    </x:row>
    <x:row r="796">
      <x:c r="A796" s="57" t="inlineStr">
        <x:is>
          <x:t xml:space="preserve">C0791</x:t>
        </x:is>
      </x:c>
      <x:c r="B796" s="57" t="inlineStr">
        <x:is>
          <x:t xml:space="preserve">Validation</x:t>
        </x:is>
      </x:c>
      <x:c r="C796" s="57" t="inlineStr">
        <x:is>
          <x:t xml:space="preserve">OPEN</x:t>
        </x:is>
      </x:c>
      <x:c r="D796" s="57" t="inlineStr">
        <x:is>
          <x:t xml:space="preserve">ARG-080</x:t>
        </x:is>
      </x:c>
      <x:c r="E796" s="75" t="str">
        <x:f>INDEX('Company Universe'!$B$6:$B$105,MATCH(D796,'Company Universe'!$A$6:$A$105,0))</x:f>
        <x:v>Intuitive Surgical</x:v>
      </x:c>
      <x:c r="F796" s="75" t="str">
        <x:f>INDEX('Company Universe'!$C$6:$C$105,MATCH(D796,'Company Universe'!$A$6:$A$105,0))</x:f>
        <x:v>ISRG</x:v>
      </x:c>
      <x:c r="G796" s="75" t="str">
        <x:f>INDEX('Company Universe'!$F$6:$F$105,MATCH(D796,'Company Universe'!$A$6:$A$105,0))</x:f>
        <x:v>Medical Devices</x:v>
      </x:c>
      <x:c r="H796" s="57" t="n">
        <x:v>1</x:v>
      </x:c>
      <x:c r="I796" s="206" t="n"/>
      <x:c r="J796" s="71" t="n"/>
      <x:c r="K796" s="71" t="n"/>
      <x:c r="L796" s="71" t="inlineStr">
        <x:is>
          <x:t xml:space="preserve">NO</x:t>
        </x:is>
      </x:c>
      <x:c r="M796" s="71" t="n"/>
      <x:c r="N796" s="71" t="n"/>
      <x:c r="O796" s="71" t="n"/>
      <x:c r="P796" s="71" t="n"/>
      <x:c r="Q796" s="71" t="n"/>
      <x:c r="R796" s="71" t="n"/>
      <x:c r="S796" s="206" t="n"/>
      <x:c r="T796" s="71" t="n"/>
      <x:c r="U796" s="71" t="n"/>
      <x:c r="V796" s="71" t="n"/>
      <x:c r="W796" s="71" t="n"/>
      <x:c r="X796" s="71" t="n"/>
      <x:c r="Y796" s="71" t="n"/>
      <x:c r="Z796" s="71" t="n"/>
      <x:c r="AA796" s="71" t="n"/>
      <x:c r="AB796" s="71" t="inlineStr">
        <x:is>
          <x:t xml:space="preserve">NO</x:t>
        </x:is>
      </x:c>
      <x:c r="AC796" s="57" t="inlineStr">
        <x:is>
          <x:t xml:space="preserve">V10</x:t>
        </x:is>
      </x:c>
      <x:c r="AD796" s="57" t="n"/>
      <x:c r="AE796" s="79" t="str">
        <x:f>IF(AND(I796&lt;&gt;"",J796&lt;&gt;"",K796&lt;&gt;"",L796="YES",M796&lt;&gt;"",S796&lt;&gt;"",T796&lt;&gt;"",U796&lt;&gt;"",V796&lt;&gt;"",W796&lt;&gt;"",X796&lt;&gt;"",Y796&lt;&gt;""),"COMPLETE","PENDING")</x:f>
        <x:v>PENDING</x:v>
      </x:c>
      <x:c r="AF796" s="79" t="str">
        <x:f>IF(AE796="COMPLETE","YES","NO")</x:f>
        <x:v>NO</x:v>
      </x:c>
      <x:c r="AG796" s="214" t="str">
        <x:f>IF(AF796&lt;&gt;"YES","",(IF(V796="YES",1,0)+IF(W796="YES",1,0))/2)</x:f>
      </x:c>
    </x:row>
    <x:row r="797">
      <x:c r="A797" s="57" t="inlineStr">
        <x:is>
          <x:t xml:space="preserve">C0792</x:t>
        </x:is>
      </x:c>
      <x:c r="B797" s="57" t="inlineStr">
        <x:is>
          <x:t xml:space="preserve">Validation</x:t>
        </x:is>
      </x:c>
      <x:c r="C797" s="57" t="inlineStr">
        <x:is>
          <x:t xml:space="preserve">OPEN</x:t>
        </x:is>
      </x:c>
      <x:c r="D797" s="57" t="inlineStr">
        <x:is>
          <x:t xml:space="preserve">ARG-080</x:t>
        </x:is>
      </x:c>
      <x:c r="E797" s="75" t="str">
        <x:f>INDEX('Company Universe'!$B$6:$B$105,MATCH(D797,'Company Universe'!$A$6:$A$105,0))</x:f>
        <x:v>Intuitive Surgical</x:v>
      </x:c>
      <x:c r="F797" s="75" t="str">
        <x:f>INDEX('Company Universe'!$C$6:$C$105,MATCH(D797,'Company Universe'!$A$6:$A$105,0))</x:f>
        <x:v>ISRG</x:v>
      </x:c>
      <x:c r="G797" s="75" t="str">
        <x:f>INDEX('Company Universe'!$F$6:$F$105,MATCH(D797,'Company Universe'!$A$6:$A$105,0))</x:f>
        <x:v>Medical Devices</x:v>
      </x:c>
      <x:c r="H797" s="57" t="n">
        <x:v>2</x:v>
      </x:c>
      <x:c r="I797" s="206" t="n"/>
      <x:c r="J797" s="71" t="n"/>
      <x:c r="K797" s="71" t="n"/>
      <x:c r="L797" s="71" t="inlineStr">
        <x:is>
          <x:t xml:space="preserve">NO</x:t>
        </x:is>
      </x:c>
      <x:c r="M797" s="71" t="n"/>
      <x:c r="N797" s="71" t="n"/>
      <x:c r="O797" s="71" t="n"/>
      <x:c r="P797" s="71" t="n"/>
      <x:c r="Q797" s="71" t="n"/>
      <x:c r="R797" s="71" t="n"/>
      <x:c r="S797" s="206" t="n"/>
      <x:c r="T797" s="71" t="n"/>
      <x:c r="U797" s="71" t="n"/>
      <x:c r="V797" s="71" t="n"/>
      <x:c r="W797" s="71" t="n"/>
      <x:c r="X797" s="71" t="n"/>
      <x:c r="Y797" s="71" t="n"/>
      <x:c r="Z797" s="71" t="n"/>
      <x:c r="AA797" s="71" t="n"/>
      <x:c r="AB797" s="71" t="inlineStr">
        <x:is>
          <x:t xml:space="preserve">NO</x:t>
        </x:is>
      </x:c>
      <x:c r="AC797" s="57" t="inlineStr">
        <x:is>
          <x:t xml:space="preserve">V10</x:t>
        </x:is>
      </x:c>
      <x:c r="AD797" s="57" t="n"/>
      <x:c r="AE797" s="79" t="str">
        <x:f>IF(AND(I797&lt;&gt;"",J797&lt;&gt;"",K797&lt;&gt;"",L797="YES",M797&lt;&gt;"",S797&lt;&gt;"",T797&lt;&gt;"",U797&lt;&gt;"",V797&lt;&gt;"",W797&lt;&gt;"",X797&lt;&gt;"",Y797&lt;&gt;""),"COMPLETE","PENDING")</x:f>
        <x:v>PENDING</x:v>
      </x:c>
      <x:c r="AF797" s="79" t="str">
        <x:f>IF(AE797="COMPLETE","YES","NO")</x:f>
        <x:v>NO</x:v>
      </x:c>
      <x:c r="AG797" s="214" t="str">
        <x:f>IF(AF797&lt;&gt;"YES","",(IF(V797="YES",1,0)+IF(W797="YES",1,0))/2)</x:f>
      </x:c>
    </x:row>
    <x:row r="798">
      <x:c r="A798" s="57" t="inlineStr">
        <x:is>
          <x:t xml:space="preserve">C0793</x:t>
        </x:is>
      </x:c>
      <x:c r="B798" s="57" t="inlineStr">
        <x:is>
          <x:t xml:space="preserve">Validation</x:t>
        </x:is>
      </x:c>
      <x:c r="C798" s="57" t="inlineStr">
        <x:is>
          <x:t xml:space="preserve">OPEN</x:t>
        </x:is>
      </x:c>
      <x:c r="D798" s="57" t="inlineStr">
        <x:is>
          <x:t xml:space="preserve">ARG-080</x:t>
        </x:is>
      </x:c>
      <x:c r="E798" s="75" t="str">
        <x:f>INDEX('Company Universe'!$B$6:$B$105,MATCH(D798,'Company Universe'!$A$6:$A$105,0))</x:f>
        <x:v>Intuitive Surgical</x:v>
      </x:c>
      <x:c r="F798" s="75" t="str">
        <x:f>INDEX('Company Universe'!$C$6:$C$105,MATCH(D798,'Company Universe'!$A$6:$A$105,0))</x:f>
        <x:v>ISRG</x:v>
      </x:c>
      <x:c r="G798" s="75" t="str">
        <x:f>INDEX('Company Universe'!$F$6:$F$105,MATCH(D798,'Company Universe'!$A$6:$A$105,0))</x:f>
        <x:v>Medical Devices</x:v>
      </x:c>
      <x:c r="H798" s="57" t="n">
        <x:v>3</x:v>
      </x:c>
      <x:c r="I798" s="206" t="n"/>
      <x:c r="J798" s="71" t="n"/>
      <x:c r="K798" s="71" t="n"/>
      <x:c r="L798" s="71" t="inlineStr">
        <x:is>
          <x:t xml:space="preserve">NO</x:t>
        </x:is>
      </x:c>
      <x:c r="M798" s="71" t="n"/>
      <x:c r="N798" s="71" t="n"/>
      <x:c r="O798" s="71" t="n"/>
      <x:c r="P798" s="71" t="n"/>
      <x:c r="Q798" s="71" t="n"/>
      <x:c r="R798" s="71" t="n"/>
      <x:c r="S798" s="206" t="n"/>
      <x:c r="T798" s="71" t="n"/>
      <x:c r="U798" s="71" t="n"/>
      <x:c r="V798" s="71" t="n"/>
      <x:c r="W798" s="71" t="n"/>
      <x:c r="X798" s="71" t="n"/>
      <x:c r="Y798" s="71" t="n"/>
      <x:c r="Z798" s="71" t="n"/>
      <x:c r="AA798" s="71" t="n"/>
      <x:c r="AB798" s="71" t="inlineStr">
        <x:is>
          <x:t xml:space="preserve">NO</x:t>
        </x:is>
      </x:c>
      <x:c r="AC798" s="57" t="inlineStr">
        <x:is>
          <x:t xml:space="preserve">V10</x:t>
        </x:is>
      </x:c>
      <x:c r="AD798" s="57" t="n"/>
      <x:c r="AE798" s="79" t="str">
        <x:f>IF(AND(I798&lt;&gt;"",J798&lt;&gt;"",K798&lt;&gt;"",L798="YES",M798&lt;&gt;"",S798&lt;&gt;"",T798&lt;&gt;"",U798&lt;&gt;"",V798&lt;&gt;"",W798&lt;&gt;"",X798&lt;&gt;"",Y798&lt;&gt;""),"COMPLETE","PENDING")</x:f>
        <x:v>PENDING</x:v>
      </x:c>
      <x:c r="AF798" s="79" t="str">
        <x:f>IF(AE798="COMPLETE","YES","NO")</x:f>
        <x:v>NO</x:v>
      </x:c>
      <x:c r="AG798" s="214" t="str">
        <x:f>IF(AF798&lt;&gt;"YES","",(IF(V798="YES",1,0)+IF(W798="YES",1,0))/2)</x:f>
      </x:c>
    </x:row>
    <x:row r="799">
      <x:c r="A799" s="57" t="inlineStr">
        <x:is>
          <x:t xml:space="preserve">C0794</x:t>
        </x:is>
      </x:c>
      <x:c r="B799" s="57" t="inlineStr">
        <x:is>
          <x:t xml:space="preserve">Validation</x:t>
        </x:is>
      </x:c>
      <x:c r="C799" s="57" t="inlineStr">
        <x:is>
          <x:t xml:space="preserve">OPEN</x:t>
        </x:is>
      </x:c>
      <x:c r="D799" s="57" t="inlineStr">
        <x:is>
          <x:t xml:space="preserve">ARG-080</x:t>
        </x:is>
      </x:c>
      <x:c r="E799" s="75" t="str">
        <x:f>INDEX('Company Universe'!$B$6:$B$105,MATCH(D799,'Company Universe'!$A$6:$A$105,0))</x:f>
        <x:v>Intuitive Surgical</x:v>
      </x:c>
      <x:c r="F799" s="75" t="str">
        <x:f>INDEX('Company Universe'!$C$6:$C$105,MATCH(D799,'Company Universe'!$A$6:$A$105,0))</x:f>
        <x:v>ISRG</x:v>
      </x:c>
      <x:c r="G799" s="75" t="str">
        <x:f>INDEX('Company Universe'!$F$6:$F$105,MATCH(D799,'Company Universe'!$A$6:$A$105,0))</x:f>
        <x:v>Medical Devices</x:v>
      </x:c>
      <x:c r="H799" s="57" t="n">
        <x:v>4</x:v>
      </x:c>
      <x:c r="I799" s="206" t="n"/>
      <x:c r="J799" s="71" t="n"/>
      <x:c r="K799" s="71" t="n"/>
      <x:c r="L799" s="71" t="inlineStr">
        <x:is>
          <x:t xml:space="preserve">NO</x:t>
        </x:is>
      </x:c>
      <x:c r="M799" s="71" t="n"/>
      <x:c r="N799" s="71" t="n"/>
      <x:c r="O799" s="71" t="n"/>
      <x:c r="P799" s="71" t="n"/>
      <x:c r="Q799" s="71" t="n"/>
      <x:c r="R799" s="71" t="n"/>
      <x:c r="S799" s="206" t="n"/>
      <x:c r="T799" s="71" t="n"/>
      <x:c r="U799" s="71" t="n"/>
      <x:c r="V799" s="71" t="n"/>
      <x:c r="W799" s="71" t="n"/>
      <x:c r="X799" s="71" t="n"/>
      <x:c r="Y799" s="71" t="n"/>
      <x:c r="Z799" s="71" t="n"/>
      <x:c r="AA799" s="71" t="n"/>
      <x:c r="AB799" s="71" t="inlineStr">
        <x:is>
          <x:t xml:space="preserve">NO</x:t>
        </x:is>
      </x:c>
      <x:c r="AC799" s="57" t="inlineStr">
        <x:is>
          <x:t xml:space="preserve">V10</x:t>
        </x:is>
      </x:c>
      <x:c r="AD799" s="57" t="n"/>
      <x:c r="AE799" s="79" t="str">
        <x:f>IF(AND(I799&lt;&gt;"",J799&lt;&gt;"",K799&lt;&gt;"",L799="YES",M799&lt;&gt;"",S799&lt;&gt;"",T799&lt;&gt;"",U799&lt;&gt;"",V799&lt;&gt;"",W799&lt;&gt;"",X799&lt;&gt;"",Y799&lt;&gt;""),"COMPLETE","PENDING")</x:f>
        <x:v>PENDING</x:v>
      </x:c>
      <x:c r="AF799" s="79" t="str">
        <x:f>IF(AE799="COMPLETE","YES","NO")</x:f>
        <x:v>NO</x:v>
      </x:c>
      <x:c r="AG799" s="214" t="str">
        <x:f>IF(AF799&lt;&gt;"YES","",(IF(V799="YES",1,0)+IF(W799="YES",1,0))/2)</x:f>
      </x:c>
    </x:row>
    <x:row r="800">
      <x:c r="A800" s="57" t="inlineStr">
        <x:is>
          <x:t xml:space="preserve">C0795</x:t>
        </x:is>
      </x:c>
      <x:c r="B800" s="57" t="inlineStr">
        <x:is>
          <x:t xml:space="preserve">Validation</x:t>
        </x:is>
      </x:c>
      <x:c r="C800" s="57" t="inlineStr">
        <x:is>
          <x:t xml:space="preserve">OPEN</x:t>
        </x:is>
      </x:c>
      <x:c r="D800" s="57" t="inlineStr">
        <x:is>
          <x:t xml:space="preserve">ARG-080</x:t>
        </x:is>
      </x:c>
      <x:c r="E800" s="75" t="str">
        <x:f>INDEX('Company Universe'!$B$6:$B$105,MATCH(D800,'Company Universe'!$A$6:$A$105,0))</x:f>
        <x:v>Intuitive Surgical</x:v>
      </x:c>
      <x:c r="F800" s="75" t="str">
        <x:f>INDEX('Company Universe'!$C$6:$C$105,MATCH(D800,'Company Universe'!$A$6:$A$105,0))</x:f>
        <x:v>ISRG</x:v>
      </x:c>
      <x:c r="G800" s="75" t="str">
        <x:f>INDEX('Company Universe'!$F$6:$F$105,MATCH(D800,'Company Universe'!$A$6:$A$105,0))</x:f>
        <x:v>Medical Devices</x:v>
      </x:c>
      <x:c r="H800" s="57" t="n">
        <x:v>5</x:v>
      </x:c>
      <x:c r="I800" s="206" t="n"/>
      <x:c r="J800" s="71" t="n"/>
      <x:c r="K800" s="71" t="n"/>
      <x:c r="L800" s="71" t="inlineStr">
        <x:is>
          <x:t xml:space="preserve">NO</x:t>
        </x:is>
      </x:c>
      <x:c r="M800" s="71" t="n"/>
      <x:c r="N800" s="71" t="n"/>
      <x:c r="O800" s="71" t="n"/>
      <x:c r="P800" s="71" t="n"/>
      <x:c r="Q800" s="71" t="n"/>
      <x:c r="R800" s="71" t="n"/>
      <x:c r="S800" s="206" t="n"/>
      <x:c r="T800" s="71" t="n"/>
      <x:c r="U800" s="71" t="n"/>
      <x:c r="V800" s="71" t="n"/>
      <x:c r="W800" s="71" t="n"/>
      <x:c r="X800" s="71" t="n"/>
      <x:c r="Y800" s="71" t="n"/>
      <x:c r="Z800" s="71" t="n"/>
      <x:c r="AA800" s="71" t="n"/>
      <x:c r="AB800" s="71" t="inlineStr">
        <x:is>
          <x:t xml:space="preserve">NO</x:t>
        </x:is>
      </x:c>
      <x:c r="AC800" s="57" t="inlineStr">
        <x:is>
          <x:t xml:space="preserve">V10</x:t>
        </x:is>
      </x:c>
      <x:c r="AD800" s="57" t="n"/>
      <x:c r="AE800" s="79" t="str">
        <x:f>IF(AND(I800&lt;&gt;"",J800&lt;&gt;"",K800&lt;&gt;"",L800="YES",M800&lt;&gt;"",S800&lt;&gt;"",T800&lt;&gt;"",U800&lt;&gt;"",V800&lt;&gt;"",W800&lt;&gt;"",X800&lt;&gt;"",Y800&lt;&gt;""),"COMPLETE","PENDING")</x:f>
        <x:v>PENDING</x:v>
      </x:c>
      <x:c r="AF800" s="79" t="str">
        <x:f>IF(AE800="COMPLETE","YES","NO")</x:f>
        <x:v>NO</x:v>
      </x:c>
      <x:c r="AG800" s="214" t="str">
        <x:f>IF(AF800&lt;&gt;"YES","",(IF(V800="YES",1,0)+IF(W800="YES",1,0))/2)</x:f>
      </x:c>
    </x:row>
    <x:row r="801">
      <x:c r="A801" s="57" t="inlineStr">
        <x:is>
          <x:t xml:space="preserve">C0796</x:t>
        </x:is>
      </x:c>
      <x:c r="B801" s="57" t="inlineStr">
        <x:is>
          <x:t xml:space="preserve">Validation</x:t>
        </x:is>
      </x:c>
      <x:c r="C801" s="57" t="inlineStr">
        <x:is>
          <x:t xml:space="preserve">OPEN</x:t>
        </x:is>
      </x:c>
      <x:c r="D801" s="57" t="inlineStr">
        <x:is>
          <x:t xml:space="preserve">ARG-080</x:t>
        </x:is>
      </x:c>
      <x:c r="E801" s="75" t="str">
        <x:f>INDEX('Company Universe'!$B$6:$B$105,MATCH(D801,'Company Universe'!$A$6:$A$105,0))</x:f>
        <x:v>Intuitive Surgical</x:v>
      </x:c>
      <x:c r="F801" s="75" t="str">
        <x:f>INDEX('Company Universe'!$C$6:$C$105,MATCH(D801,'Company Universe'!$A$6:$A$105,0))</x:f>
        <x:v>ISRG</x:v>
      </x:c>
      <x:c r="G801" s="75" t="str">
        <x:f>INDEX('Company Universe'!$F$6:$F$105,MATCH(D801,'Company Universe'!$A$6:$A$105,0))</x:f>
        <x:v>Medical Devices</x:v>
      </x:c>
      <x:c r="H801" s="57" t="n">
        <x:v>6</x:v>
      </x:c>
      <x:c r="I801" s="206" t="n"/>
      <x:c r="J801" s="71" t="n"/>
      <x:c r="K801" s="71" t="n"/>
      <x:c r="L801" s="71" t="inlineStr">
        <x:is>
          <x:t xml:space="preserve">NO</x:t>
        </x:is>
      </x:c>
      <x:c r="M801" s="71" t="n"/>
      <x:c r="N801" s="71" t="n"/>
      <x:c r="O801" s="71" t="n"/>
      <x:c r="P801" s="71" t="n"/>
      <x:c r="Q801" s="71" t="n"/>
      <x:c r="R801" s="71" t="n"/>
      <x:c r="S801" s="206" t="n"/>
      <x:c r="T801" s="71" t="n"/>
      <x:c r="U801" s="71" t="n"/>
      <x:c r="V801" s="71" t="n"/>
      <x:c r="W801" s="71" t="n"/>
      <x:c r="X801" s="71" t="n"/>
      <x:c r="Y801" s="71" t="n"/>
      <x:c r="Z801" s="71" t="n"/>
      <x:c r="AA801" s="71" t="n"/>
      <x:c r="AB801" s="71" t="inlineStr">
        <x:is>
          <x:t xml:space="preserve">NO</x:t>
        </x:is>
      </x:c>
      <x:c r="AC801" s="57" t="inlineStr">
        <x:is>
          <x:t xml:space="preserve">V10</x:t>
        </x:is>
      </x:c>
      <x:c r="AD801" s="57" t="n"/>
      <x:c r="AE801" s="79" t="str">
        <x:f>IF(AND(I801&lt;&gt;"",J801&lt;&gt;"",K801&lt;&gt;"",L801="YES",M801&lt;&gt;"",S801&lt;&gt;"",T801&lt;&gt;"",U801&lt;&gt;"",V801&lt;&gt;"",W801&lt;&gt;"",X801&lt;&gt;"",Y801&lt;&gt;""),"COMPLETE","PENDING")</x:f>
        <x:v>PENDING</x:v>
      </x:c>
      <x:c r="AF801" s="79" t="str">
        <x:f>IF(AE801="COMPLETE","YES","NO")</x:f>
        <x:v>NO</x:v>
      </x:c>
      <x:c r="AG801" s="214" t="str">
        <x:f>IF(AF801&lt;&gt;"YES","",(IF(V801="YES",1,0)+IF(W801="YES",1,0))/2)</x:f>
      </x:c>
    </x:row>
    <x:row r="802">
      <x:c r="A802" s="57" t="inlineStr">
        <x:is>
          <x:t xml:space="preserve">C0797</x:t>
        </x:is>
      </x:c>
      <x:c r="B802" s="57" t="inlineStr">
        <x:is>
          <x:t xml:space="preserve">Validation</x:t>
        </x:is>
      </x:c>
      <x:c r="C802" s="57" t="inlineStr">
        <x:is>
          <x:t xml:space="preserve">OPEN</x:t>
        </x:is>
      </x:c>
      <x:c r="D802" s="57" t="inlineStr">
        <x:is>
          <x:t xml:space="preserve">ARG-080</x:t>
        </x:is>
      </x:c>
      <x:c r="E802" s="75" t="str">
        <x:f>INDEX('Company Universe'!$B$6:$B$105,MATCH(D802,'Company Universe'!$A$6:$A$105,0))</x:f>
        <x:v>Intuitive Surgical</x:v>
      </x:c>
      <x:c r="F802" s="75" t="str">
        <x:f>INDEX('Company Universe'!$C$6:$C$105,MATCH(D802,'Company Universe'!$A$6:$A$105,0))</x:f>
        <x:v>ISRG</x:v>
      </x:c>
      <x:c r="G802" s="75" t="str">
        <x:f>INDEX('Company Universe'!$F$6:$F$105,MATCH(D802,'Company Universe'!$A$6:$A$105,0))</x:f>
        <x:v>Medical Devices</x:v>
      </x:c>
      <x:c r="H802" s="57" t="n">
        <x:v>7</x:v>
      </x:c>
      <x:c r="I802" s="206" t="n"/>
      <x:c r="J802" s="71" t="n"/>
      <x:c r="K802" s="71" t="n"/>
      <x:c r="L802" s="71" t="inlineStr">
        <x:is>
          <x:t xml:space="preserve">NO</x:t>
        </x:is>
      </x:c>
      <x:c r="M802" s="71" t="n"/>
      <x:c r="N802" s="71" t="n"/>
      <x:c r="O802" s="71" t="n"/>
      <x:c r="P802" s="71" t="n"/>
      <x:c r="Q802" s="71" t="n"/>
      <x:c r="R802" s="71" t="n"/>
      <x:c r="S802" s="206" t="n"/>
      <x:c r="T802" s="71" t="n"/>
      <x:c r="U802" s="71" t="n"/>
      <x:c r="V802" s="71" t="n"/>
      <x:c r="W802" s="71" t="n"/>
      <x:c r="X802" s="71" t="n"/>
      <x:c r="Y802" s="71" t="n"/>
      <x:c r="Z802" s="71" t="n"/>
      <x:c r="AA802" s="71" t="n"/>
      <x:c r="AB802" s="71" t="inlineStr">
        <x:is>
          <x:t xml:space="preserve">NO</x:t>
        </x:is>
      </x:c>
      <x:c r="AC802" s="57" t="inlineStr">
        <x:is>
          <x:t xml:space="preserve">V10</x:t>
        </x:is>
      </x:c>
      <x:c r="AD802" s="57" t="n"/>
      <x:c r="AE802" s="79" t="str">
        <x:f>IF(AND(I802&lt;&gt;"",J802&lt;&gt;"",K802&lt;&gt;"",L802="YES",M802&lt;&gt;"",S802&lt;&gt;"",T802&lt;&gt;"",U802&lt;&gt;"",V802&lt;&gt;"",W802&lt;&gt;"",X802&lt;&gt;"",Y802&lt;&gt;""),"COMPLETE","PENDING")</x:f>
        <x:v>PENDING</x:v>
      </x:c>
      <x:c r="AF802" s="79" t="str">
        <x:f>IF(AE802="COMPLETE","YES","NO")</x:f>
        <x:v>NO</x:v>
      </x:c>
      <x:c r="AG802" s="214" t="str">
        <x:f>IF(AF802&lt;&gt;"YES","",(IF(V802="YES",1,0)+IF(W802="YES",1,0))/2)</x:f>
      </x:c>
    </x:row>
    <x:row r="803">
      <x:c r="A803" s="57" t="inlineStr">
        <x:is>
          <x:t xml:space="preserve">C0798</x:t>
        </x:is>
      </x:c>
      <x:c r="B803" s="57" t="inlineStr">
        <x:is>
          <x:t xml:space="preserve">Validation</x:t>
        </x:is>
      </x:c>
      <x:c r="C803" s="57" t="inlineStr">
        <x:is>
          <x:t xml:space="preserve">OPEN</x:t>
        </x:is>
      </x:c>
      <x:c r="D803" s="57" t="inlineStr">
        <x:is>
          <x:t xml:space="preserve">ARG-080</x:t>
        </x:is>
      </x:c>
      <x:c r="E803" s="75" t="str">
        <x:f>INDEX('Company Universe'!$B$6:$B$105,MATCH(D803,'Company Universe'!$A$6:$A$105,0))</x:f>
        <x:v>Intuitive Surgical</x:v>
      </x:c>
      <x:c r="F803" s="75" t="str">
        <x:f>INDEX('Company Universe'!$C$6:$C$105,MATCH(D803,'Company Universe'!$A$6:$A$105,0))</x:f>
        <x:v>ISRG</x:v>
      </x:c>
      <x:c r="G803" s="75" t="str">
        <x:f>INDEX('Company Universe'!$F$6:$F$105,MATCH(D803,'Company Universe'!$A$6:$A$105,0))</x:f>
        <x:v>Medical Devices</x:v>
      </x:c>
      <x:c r="H803" s="57" t="n">
        <x:v>8</x:v>
      </x:c>
      <x:c r="I803" s="206" t="n"/>
      <x:c r="J803" s="71" t="n"/>
      <x:c r="K803" s="71" t="n"/>
      <x:c r="L803" s="71" t="inlineStr">
        <x:is>
          <x:t xml:space="preserve">NO</x:t>
        </x:is>
      </x:c>
      <x:c r="M803" s="71" t="n"/>
      <x:c r="N803" s="71" t="n"/>
      <x:c r="O803" s="71" t="n"/>
      <x:c r="P803" s="71" t="n"/>
      <x:c r="Q803" s="71" t="n"/>
      <x:c r="R803" s="71" t="n"/>
      <x:c r="S803" s="206" t="n"/>
      <x:c r="T803" s="71" t="n"/>
      <x:c r="U803" s="71" t="n"/>
      <x:c r="V803" s="71" t="n"/>
      <x:c r="W803" s="71" t="n"/>
      <x:c r="X803" s="71" t="n"/>
      <x:c r="Y803" s="71" t="n"/>
      <x:c r="Z803" s="71" t="n"/>
      <x:c r="AA803" s="71" t="n"/>
      <x:c r="AB803" s="71" t="inlineStr">
        <x:is>
          <x:t xml:space="preserve">NO</x:t>
        </x:is>
      </x:c>
      <x:c r="AC803" s="57" t="inlineStr">
        <x:is>
          <x:t xml:space="preserve">V10</x:t>
        </x:is>
      </x:c>
      <x:c r="AD803" s="57" t="n"/>
      <x:c r="AE803" s="79" t="str">
        <x:f>IF(AND(I803&lt;&gt;"",J803&lt;&gt;"",K803&lt;&gt;"",L803="YES",M803&lt;&gt;"",S803&lt;&gt;"",T803&lt;&gt;"",U803&lt;&gt;"",V803&lt;&gt;"",W803&lt;&gt;"",X803&lt;&gt;"",Y803&lt;&gt;""),"COMPLETE","PENDING")</x:f>
        <x:v>PENDING</x:v>
      </x:c>
      <x:c r="AF803" s="79" t="str">
        <x:f>IF(AE803="COMPLETE","YES","NO")</x:f>
        <x:v>NO</x:v>
      </x:c>
      <x:c r="AG803" s="214" t="str">
        <x:f>IF(AF803&lt;&gt;"YES","",(IF(V803="YES",1,0)+IF(W803="YES",1,0))/2)</x:f>
      </x:c>
    </x:row>
    <x:row r="804">
      <x:c r="A804" s="57" t="inlineStr">
        <x:is>
          <x:t xml:space="preserve">C0799</x:t>
        </x:is>
      </x:c>
      <x:c r="B804" s="57" t="inlineStr">
        <x:is>
          <x:t xml:space="preserve">Validation</x:t>
        </x:is>
      </x:c>
      <x:c r="C804" s="57" t="inlineStr">
        <x:is>
          <x:t xml:space="preserve">OPEN</x:t>
        </x:is>
      </x:c>
      <x:c r="D804" s="57" t="inlineStr">
        <x:is>
          <x:t xml:space="preserve">ARG-080</x:t>
        </x:is>
      </x:c>
      <x:c r="E804" s="75" t="str">
        <x:f>INDEX('Company Universe'!$B$6:$B$105,MATCH(D804,'Company Universe'!$A$6:$A$105,0))</x:f>
        <x:v>Intuitive Surgical</x:v>
      </x:c>
      <x:c r="F804" s="75" t="str">
        <x:f>INDEX('Company Universe'!$C$6:$C$105,MATCH(D804,'Company Universe'!$A$6:$A$105,0))</x:f>
        <x:v>ISRG</x:v>
      </x:c>
      <x:c r="G804" s="75" t="str">
        <x:f>INDEX('Company Universe'!$F$6:$F$105,MATCH(D804,'Company Universe'!$A$6:$A$105,0))</x:f>
        <x:v>Medical Devices</x:v>
      </x:c>
      <x:c r="H804" s="57" t="n">
        <x:v>9</x:v>
      </x:c>
      <x:c r="I804" s="206" t="n"/>
      <x:c r="J804" s="71" t="n"/>
      <x:c r="K804" s="71" t="n"/>
      <x:c r="L804" s="71" t="inlineStr">
        <x:is>
          <x:t xml:space="preserve">NO</x:t>
        </x:is>
      </x:c>
      <x:c r="M804" s="71" t="n"/>
      <x:c r="N804" s="71" t="n"/>
      <x:c r="O804" s="71" t="n"/>
      <x:c r="P804" s="71" t="n"/>
      <x:c r="Q804" s="71" t="n"/>
      <x:c r="R804" s="71" t="n"/>
      <x:c r="S804" s="206" t="n"/>
      <x:c r="T804" s="71" t="n"/>
      <x:c r="U804" s="71" t="n"/>
      <x:c r="V804" s="71" t="n"/>
      <x:c r="W804" s="71" t="n"/>
      <x:c r="X804" s="71" t="n"/>
      <x:c r="Y804" s="71" t="n"/>
      <x:c r="Z804" s="71" t="n"/>
      <x:c r="AA804" s="71" t="n"/>
      <x:c r="AB804" s="71" t="inlineStr">
        <x:is>
          <x:t xml:space="preserve">NO</x:t>
        </x:is>
      </x:c>
      <x:c r="AC804" s="57" t="inlineStr">
        <x:is>
          <x:t xml:space="preserve">V10</x:t>
        </x:is>
      </x:c>
      <x:c r="AD804" s="57" t="n"/>
      <x:c r="AE804" s="79" t="str">
        <x:f>IF(AND(I804&lt;&gt;"",J804&lt;&gt;"",K804&lt;&gt;"",L804="YES",M804&lt;&gt;"",S804&lt;&gt;"",T804&lt;&gt;"",U804&lt;&gt;"",V804&lt;&gt;"",W804&lt;&gt;"",X804&lt;&gt;"",Y804&lt;&gt;""),"COMPLETE","PENDING")</x:f>
        <x:v>PENDING</x:v>
      </x:c>
      <x:c r="AF804" s="79" t="str">
        <x:f>IF(AE804="COMPLETE","YES","NO")</x:f>
        <x:v>NO</x:v>
      </x:c>
      <x:c r="AG804" s="214" t="str">
        <x:f>IF(AF804&lt;&gt;"YES","",(IF(V804="YES",1,0)+IF(W804="YES",1,0))/2)</x:f>
      </x:c>
    </x:row>
    <x:row r="805">
      <x:c r="A805" s="57" t="inlineStr">
        <x:is>
          <x:t xml:space="preserve">C0800</x:t>
        </x:is>
      </x:c>
      <x:c r="B805" s="57" t="inlineStr">
        <x:is>
          <x:t xml:space="preserve">Validation</x:t>
        </x:is>
      </x:c>
      <x:c r="C805" s="57" t="inlineStr">
        <x:is>
          <x:t xml:space="preserve">OPEN</x:t>
        </x:is>
      </x:c>
      <x:c r="D805" s="57" t="inlineStr">
        <x:is>
          <x:t xml:space="preserve">ARG-080</x:t>
        </x:is>
      </x:c>
      <x:c r="E805" s="75" t="str">
        <x:f>INDEX('Company Universe'!$B$6:$B$105,MATCH(D805,'Company Universe'!$A$6:$A$105,0))</x:f>
        <x:v>Intuitive Surgical</x:v>
      </x:c>
      <x:c r="F805" s="75" t="str">
        <x:f>INDEX('Company Universe'!$C$6:$C$105,MATCH(D805,'Company Universe'!$A$6:$A$105,0))</x:f>
        <x:v>ISRG</x:v>
      </x:c>
      <x:c r="G805" s="75" t="str">
        <x:f>INDEX('Company Universe'!$F$6:$F$105,MATCH(D805,'Company Universe'!$A$6:$A$105,0))</x:f>
        <x:v>Medical Devices</x:v>
      </x:c>
      <x:c r="H805" s="57" t="n">
        <x:v>10</x:v>
      </x:c>
      <x:c r="I805" s="206" t="n"/>
      <x:c r="J805" s="71" t="n"/>
      <x:c r="K805" s="71" t="n"/>
      <x:c r="L805" s="71" t="inlineStr">
        <x:is>
          <x:t xml:space="preserve">NO</x:t>
        </x:is>
      </x:c>
      <x:c r="M805" s="71" t="n"/>
      <x:c r="N805" s="71" t="n"/>
      <x:c r="O805" s="71" t="n"/>
      <x:c r="P805" s="71" t="n"/>
      <x:c r="Q805" s="71" t="n"/>
      <x:c r="R805" s="71" t="n"/>
      <x:c r="S805" s="206" t="n"/>
      <x:c r="T805" s="71" t="n"/>
      <x:c r="U805" s="71" t="n"/>
      <x:c r="V805" s="71" t="n"/>
      <x:c r="W805" s="71" t="n"/>
      <x:c r="X805" s="71" t="n"/>
      <x:c r="Y805" s="71" t="n"/>
      <x:c r="Z805" s="71" t="n"/>
      <x:c r="AA805" s="71" t="n"/>
      <x:c r="AB805" s="71" t="inlineStr">
        <x:is>
          <x:t xml:space="preserve">NO</x:t>
        </x:is>
      </x:c>
      <x:c r="AC805" s="57" t="inlineStr">
        <x:is>
          <x:t xml:space="preserve">V10</x:t>
        </x:is>
      </x:c>
      <x:c r="AD805" s="57" t="n"/>
      <x:c r="AE805" s="79" t="str">
        <x:f>IF(AND(I805&lt;&gt;"",J805&lt;&gt;"",K805&lt;&gt;"",L805="YES",M805&lt;&gt;"",S805&lt;&gt;"",T805&lt;&gt;"",U805&lt;&gt;"",V805&lt;&gt;"",W805&lt;&gt;"",X805&lt;&gt;"",Y805&lt;&gt;""),"COMPLETE","PENDING")</x:f>
        <x:v>PENDING</x:v>
      </x:c>
      <x:c r="AF805" s="79" t="str">
        <x:f>IF(AE805="COMPLETE","YES","NO")</x:f>
        <x:v>NO</x:v>
      </x:c>
      <x:c r="AG805" s="214" t="str">
        <x:f>IF(AF805&lt;&gt;"YES","",(IF(V805="YES",1,0)+IF(W805="YES",1,0))/2)</x:f>
      </x:c>
    </x:row>
    <x:row r="806">
      <x:c r="A806" s="57" t="inlineStr">
        <x:is>
          <x:t xml:space="preserve">C0801</x:t>
        </x:is>
      </x:c>
      <x:c r="B806" s="57" t="inlineStr">
        <x:is>
          <x:t xml:space="preserve">Holdout</x:t>
        </x:is>
      </x:c>
      <x:c r="C806" s="57" t="inlineStr">
        <x:is>
          <x:t xml:space="preserve">LOCKED</x:t>
        </x:is>
      </x:c>
      <x:c r="D806" s="57" t="inlineStr">
        <x:is>
          <x:t xml:space="preserve">ARG-081</x:t>
        </x:is>
      </x:c>
      <x:c r="E806" s="75" t="str">
        <x:f>INDEX('Company Universe'!$B$6:$B$105,MATCH(D806,'Company Universe'!$A$6:$A$105,0))</x:f>
        <x:v>International Seaways</x:v>
      </x:c>
      <x:c r="F806" s="75" t="str">
        <x:f>INDEX('Company Universe'!$C$6:$C$105,MATCH(D806,'Company Universe'!$A$6:$A$105,0))</x:f>
        <x:v>INSW</x:v>
      </x:c>
      <x:c r="G806" s="75" t="str">
        <x:f>INDEX('Company Universe'!$F$6:$F$105,MATCH(D806,'Company Universe'!$A$6:$A$105,0))</x:f>
        <x:v>Shipping</x:v>
      </x:c>
      <x:c r="H806" s="57" t="n">
        <x:v>1</x:v>
      </x:c>
      <x:c r="I806" s="206" t="n"/>
      <x:c r="J806" s="71" t="n"/>
      <x:c r="K806" s="71" t="n"/>
      <x:c r="L806" s="71" t="inlineStr">
        <x:is>
          <x:t xml:space="preserve">NO</x:t>
        </x:is>
      </x:c>
      <x:c r="M806" s="71" t="n"/>
      <x:c r="N806" s="71" t="n"/>
      <x:c r="O806" s="71" t="n"/>
      <x:c r="P806" s="71" t="n"/>
      <x:c r="Q806" s="71" t="n"/>
      <x:c r="R806" s="71" t="n"/>
      <x:c r="S806" s="206" t="n"/>
      <x:c r="T806" s="71" t="n"/>
      <x:c r="U806" s="71" t="n"/>
      <x:c r="V806" s="71" t="n"/>
      <x:c r="W806" s="71" t="n"/>
      <x:c r="X806" s="71" t="n"/>
      <x:c r="Y806" s="71" t="n"/>
      <x:c r="Z806" s="71" t="n"/>
      <x:c r="AA806" s="71" t="n"/>
      <x:c r="AB806" s="71" t="inlineStr">
        <x:is>
          <x:t xml:space="preserve">NO</x:t>
        </x:is>
      </x:c>
      <x:c r="AC806" s="57" t="inlineStr">
        <x:is>
          <x:t xml:space="preserve">V10</x:t>
        </x:is>
      </x:c>
      <x:c r="AD806" s="57" t="n"/>
      <x:c r="AE806" s="79" t="str">
        <x:f>IF(AND(I806&lt;&gt;"",J806&lt;&gt;"",K806&lt;&gt;"",L806="YES",M806&lt;&gt;"",S806&lt;&gt;"",T806&lt;&gt;"",U806&lt;&gt;"",V806&lt;&gt;"",W806&lt;&gt;"",X806&lt;&gt;"",Y806&lt;&gt;""),"COMPLETE","PENDING")</x:f>
        <x:v>PENDING</x:v>
      </x:c>
      <x:c r="AF806" s="79" t="str">
        <x:f>IF(AE806="COMPLETE","YES","NO")</x:f>
        <x:v>NO</x:v>
      </x:c>
      <x:c r="AG806" s="214" t="str">
        <x:f>IF(AF806&lt;&gt;"YES","",(IF(V806="YES",1,0)+IF(W806="YES",1,0))/2)</x:f>
      </x:c>
    </x:row>
    <x:row r="807">
      <x:c r="A807" s="57" t="inlineStr">
        <x:is>
          <x:t xml:space="preserve">C0802</x:t>
        </x:is>
      </x:c>
      <x:c r="B807" s="57" t="inlineStr">
        <x:is>
          <x:t xml:space="preserve">Holdout</x:t>
        </x:is>
      </x:c>
      <x:c r="C807" s="57" t="inlineStr">
        <x:is>
          <x:t xml:space="preserve">LOCKED</x:t>
        </x:is>
      </x:c>
      <x:c r="D807" s="57" t="inlineStr">
        <x:is>
          <x:t xml:space="preserve">ARG-081</x:t>
        </x:is>
      </x:c>
      <x:c r="E807" s="75" t="str">
        <x:f>INDEX('Company Universe'!$B$6:$B$105,MATCH(D807,'Company Universe'!$A$6:$A$105,0))</x:f>
        <x:v>International Seaways</x:v>
      </x:c>
      <x:c r="F807" s="75" t="str">
        <x:f>INDEX('Company Universe'!$C$6:$C$105,MATCH(D807,'Company Universe'!$A$6:$A$105,0))</x:f>
        <x:v>INSW</x:v>
      </x:c>
      <x:c r="G807" s="75" t="str">
        <x:f>INDEX('Company Universe'!$F$6:$F$105,MATCH(D807,'Company Universe'!$A$6:$A$105,0))</x:f>
        <x:v>Shipping</x:v>
      </x:c>
      <x:c r="H807" s="57" t="n">
        <x:v>2</x:v>
      </x:c>
      <x:c r="I807" s="206" t="n"/>
      <x:c r="J807" s="71" t="n"/>
      <x:c r="K807" s="71" t="n"/>
      <x:c r="L807" s="71" t="inlineStr">
        <x:is>
          <x:t xml:space="preserve">NO</x:t>
        </x:is>
      </x:c>
      <x:c r="M807" s="71" t="n"/>
      <x:c r="N807" s="71" t="n"/>
      <x:c r="O807" s="71" t="n"/>
      <x:c r="P807" s="71" t="n"/>
      <x:c r="Q807" s="71" t="n"/>
      <x:c r="R807" s="71" t="n"/>
      <x:c r="S807" s="206" t="n"/>
      <x:c r="T807" s="71" t="n"/>
      <x:c r="U807" s="71" t="n"/>
      <x:c r="V807" s="71" t="n"/>
      <x:c r="W807" s="71" t="n"/>
      <x:c r="X807" s="71" t="n"/>
      <x:c r="Y807" s="71" t="n"/>
      <x:c r="Z807" s="71" t="n"/>
      <x:c r="AA807" s="71" t="n"/>
      <x:c r="AB807" s="71" t="inlineStr">
        <x:is>
          <x:t xml:space="preserve">NO</x:t>
        </x:is>
      </x:c>
      <x:c r="AC807" s="57" t="inlineStr">
        <x:is>
          <x:t xml:space="preserve">V10</x:t>
        </x:is>
      </x:c>
      <x:c r="AD807" s="57" t="n"/>
      <x:c r="AE807" s="79" t="str">
        <x:f>IF(AND(I807&lt;&gt;"",J807&lt;&gt;"",K807&lt;&gt;"",L807="YES",M807&lt;&gt;"",S807&lt;&gt;"",T807&lt;&gt;"",U807&lt;&gt;"",V807&lt;&gt;"",W807&lt;&gt;"",X807&lt;&gt;"",Y807&lt;&gt;""),"COMPLETE","PENDING")</x:f>
        <x:v>PENDING</x:v>
      </x:c>
      <x:c r="AF807" s="79" t="str">
        <x:f>IF(AE807="COMPLETE","YES","NO")</x:f>
        <x:v>NO</x:v>
      </x:c>
      <x:c r="AG807" s="214" t="str">
        <x:f>IF(AF807&lt;&gt;"YES","",(IF(V807="YES",1,0)+IF(W807="YES",1,0))/2)</x:f>
      </x:c>
    </x:row>
    <x:row r="808">
      <x:c r="A808" s="57" t="inlineStr">
        <x:is>
          <x:t xml:space="preserve">C0803</x:t>
        </x:is>
      </x:c>
      <x:c r="B808" s="57" t="inlineStr">
        <x:is>
          <x:t xml:space="preserve">Holdout</x:t>
        </x:is>
      </x:c>
      <x:c r="C808" s="57" t="inlineStr">
        <x:is>
          <x:t xml:space="preserve">LOCKED</x:t>
        </x:is>
      </x:c>
      <x:c r="D808" s="57" t="inlineStr">
        <x:is>
          <x:t xml:space="preserve">ARG-081</x:t>
        </x:is>
      </x:c>
      <x:c r="E808" s="75" t="str">
        <x:f>INDEX('Company Universe'!$B$6:$B$105,MATCH(D808,'Company Universe'!$A$6:$A$105,0))</x:f>
        <x:v>International Seaways</x:v>
      </x:c>
      <x:c r="F808" s="75" t="str">
        <x:f>INDEX('Company Universe'!$C$6:$C$105,MATCH(D808,'Company Universe'!$A$6:$A$105,0))</x:f>
        <x:v>INSW</x:v>
      </x:c>
      <x:c r="G808" s="75" t="str">
        <x:f>INDEX('Company Universe'!$F$6:$F$105,MATCH(D808,'Company Universe'!$A$6:$A$105,0))</x:f>
        <x:v>Shipping</x:v>
      </x:c>
      <x:c r="H808" s="57" t="n">
        <x:v>3</x:v>
      </x:c>
      <x:c r="I808" s="206" t="n"/>
      <x:c r="J808" s="71" t="n"/>
      <x:c r="K808" s="71" t="n"/>
      <x:c r="L808" s="71" t="inlineStr">
        <x:is>
          <x:t xml:space="preserve">NO</x:t>
        </x:is>
      </x:c>
      <x:c r="M808" s="71" t="n"/>
      <x:c r="N808" s="71" t="n"/>
      <x:c r="O808" s="71" t="n"/>
      <x:c r="P808" s="71" t="n"/>
      <x:c r="Q808" s="71" t="n"/>
      <x:c r="R808" s="71" t="n"/>
      <x:c r="S808" s="206" t="n"/>
      <x:c r="T808" s="71" t="n"/>
      <x:c r="U808" s="71" t="n"/>
      <x:c r="V808" s="71" t="n"/>
      <x:c r="W808" s="71" t="n"/>
      <x:c r="X808" s="71" t="n"/>
      <x:c r="Y808" s="71" t="n"/>
      <x:c r="Z808" s="71" t="n"/>
      <x:c r="AA808" s="71" t="n"/>
      <x:c r="AB808" s="71" t="inlineStr">
        <x:is>
          <x:t xml:space="preserve">NO</x:t>
        </x:is>
      </x:c>
      <x:c r="AC808" s="57" t="inlineStr">
        <x:is>
          <x:t xml:space="preserve">V10</x:t>
        </x:is>
      </x:c>
      <x:c r="AD808" s="57" t="n"/>
      <x:c r="AE808" s="79" t="str">
        <x:f>IF(AND(I808&lt;&gt;"",J808&lt;&gt;"",K808&lt;&gt;"",L808="YES",M808&lt;&gt;"",S808&lt;&gt;"",T808&lt;&gt;"",U808&lt;&gt;"",V808&lt;&gt;"",W808&lt;&gt;"",X808&lt;&gt;"",Y808&lt;&gt;""),"COMPLETE","PENDING")</x:f>
        <x:v>PENDING</x:v>
      </x:c>
      <x:c r="AF808" s="79" t="str">
        <x:f>IF(AE808="COMPLETE","YES","NO")</x:f>
        <x:v>NO</x:v>
      </x:c>
      <x:c r="AG808" s="214" t="str">
        <x:f>IF(AF808&lt;&gt;"YES","",(IF(V808="YES",1,0)+IF(W808="YES",1,0))/2)</x:f>
      </x:c>
    </x:row>
    <x:row r="809">
      <x:c r="A809" s="57" t="inlineStr">
        <x:is>
          <x:t xml:space="preserve">C0804</x:t>
        </x:is>
      </x:c>
      <x:c r="B809" s="57" t="inlineStr">
        <x:is>
          <x:t xml:space="preserve">Holdout</x:t>
        </x:is>
      </x:c>
      <x:c r="C809" s="57" t="inlineStr">
        <x:is>
          <x:t xml:space="preserve">LOCKED</x:t>
        </x:is>
      </x:c>
      <x:c r="D809" s="57" t="inlineStr">
        <x:is>
          <x:t xml:space="preserve">ARG-081</x:t>
        </x:is>
      </x:c>
      <x:c r="E809" s="75" t="str">
        <x:f>INDEX('Company Universe'!$B$6:$B$105,MATCH(D809,'Company Universe'!$A$6:$A$105,0))</x:f>
        <x:v>International Seaways</x:v>
      </x:c>
      <x:c r="F809" s="75" t="str">
        <x:f>INDEX('Company Universe'!$C$6:$C$105,MATCH(D809,'Company Universe'!$A$6:$A$105,0))</x:f>
        <x:v>INSW</x:v>
      </x:c>
      <x:c r="G809" s="75" t="str">
        <x:f>INDEX('Company Universe'!$F$6:$F$105,MATCH(D809,'Company Universe'!$A$6:$A$105,0))</x:f>
        <x:v>Shipping</x:v>
      </x:c>
      <x:c r="H809" s="57" t="n">
        <x:v>4</x:v>
      </x:c>
      <x:c r="I809" s="206" t="n"/>
      <x:c r="J809" s="71" t="n"/>
      <x:c r="K809" s="71" t="n"/>
      <x:c r="L809" s="71" t="inlineStr">
        <x:is>
          <x:t xml:space="preserve">NO</x:t>
        </x:is>
      </x:c>
      <x:c r="M809" s="71" t="n"/>
      <x:c r="N809" s="71" t="n"/>
      <x:c r="O809" s="71" t="n"/>
      <x:c r="P809" s="71" t="n"/>
      <x:c r="Q809" s="71" t="n"/>
      <x:c r="R809" s="71" t="n"/>
      <x:c r="S809" s="206" t="n"/>
      <x:c r="T809" s="71" t="n"/>
      <x:c r="U809" s="71" t="n"/>
      <x:c r="V809" s="71" t="n"/>
      <x:c r="W809" s="71" t="n"/>
      <x:c r="X809" s="71" t="n"/>
      <x:c r="Y809" s="71" t="n"/>
      <x:c r="Z809" s="71" t="n"/>
      <x:c r="AA809" s="71" t="n"/>
      <x:c r="AB809" s="71" t="inlineStr">
        <x:is>
          <x:t xml:space="preserve">NO</x:t>
        </x:is>
      </x:c>
      <x:c r="AC809" s="57" t="inlineStr">
        <x:is>
          <x:t xml:space="preserve">V10</x:t>
        </x:is>
      </x:c>
      <x:c r="AD809" s="57" t="n"/>
      <x:c r="AE809" s="79" t="str">
        <x:f>IF(AND(I809&lt;&gt;"",J809&lt;&gt;"",K809&lt;&gt;"",L809="YES",M809&lt;&gt;"",S809&lt;&gt;"",T809&lt;&gt;"",U809&lt;&gt;"",V809&lt;&gt;"",W809&lt;&gt;"",X809&lt;&gt;"",Y809&lt;&gt;""),"COMPLETE","PENDING")</x:f>
        <x:v>PENDING</x:v>
      </x:c>
      <x:c r="AF809" s="79" t="str">
        <x:f>IF(AE809="COMPLETE","YES","NO")</x:f>
        <x:v>NO</x:v>
      </x:c>
      <x:c r="AG809" s="214" t="str">
        <x:f>IF(AF809&lt;&gt;"YES","",(IF(V809="YES",1,0)+IF(W809="YES",1,0))/2)</x:f>
      </x:c>
    </x:row>
    <x:row r="810">
      <x:c r="A810" s="57" t="inlineStr">
        <x:is>
          <x:t xml:space="preserve">C0805</x:t>
        </x:is>
      </x:c>
      <x:c r="B810" s="57" t="inlineStr">
        <x:is>
          <x:t xml:space="preserve">Holdout</x:t>
        </x:is>
      </x:c>
      <x:c r="C810" s="57" t="inlineStr">
        <x:is>
          <x:t xml:space="preserve">LOCKED</x:t>
        </x:is>
      </x:c>
      <x:c r="D810" s="57" t="inlineStr">
        <x:is>
          <x:t xml:space="preserve">ARG-081</x:t>
        </x:is>
      </x:c>
      <x:c r="E810" s="75" t="str">
        <x:f>INDEX('Company Universe'!$B$6:$B$105,MATCH(D810,'Company Universe'!$A$6:$A$105,0))</x:f>
        <x:v>International Seaways</x:v>
      </x:c>
      <x:c r="F810" s="75" t="str">
        <x:f>INDEX('Company Universe'!$C$6:$C$105,MATCH(D810,'Company Universe'!$A$6:$A$105,0))</x:f>
        <x:v>INSW</x:v>
      </x:c>
      <x:c r="G810" s="75" t="str">
        <x:f>INDEX('Company Universe'!$F$6:$F$105,MATCH(D810,'Company Universe'!$A$6:$A$105,0))</x:f>
        <x:v>Shipping</x:v>
      </x:c>
      <x:c r="H810" s="57" t="n">
        <x:v>5</x:v>
      </x:c>
      <x:c r="I810" s="206" t="n"/>
      <x:c r="J810" s="71" t="n"/>
      <x:c r="K810" s="71" t="n"/>
      <x:c r="L810" s="71" t="inlineStr">
        <x:is>
          <x:t xml:space="preserve">NO</x:t>
        </x:is>
      </x:c>
      <x:c r="M810" s="71" t="n"/>
      <x:c r="N810" s="71" t="n"/>
      <x:c r="O810" s="71" t="n"/>
      <x:c r="P810" s="71" t="n"/>
      <x:c r="Q810" s="71" t="n"/>
      <x:c r="R810" s="71" t="n"/>
      <x:c r="S810" s="206" t="n"/>
      <x:c r="T810" s="71" t="n"/>
      <x:c r="U810" s="71" t="n"/>
      <x:c r="V810" s="71" t="n"/>
      <x:c r="W810" s="71" t="n"/>
      <x:c r="X810" s="71" t="n"/>
      <x:c r="Y810" s="71" t="n"/>
      <x:c r="Z810" s="71" t="n"/>
      <x:c r="AA810" s="71" t="n"/>
      <x:c r="AB810" s="71" t="inlineStr">
        <x:is>
          <x:t xml:space="preserve">NO</x:t>
        </x:is>
      </x:c>
      <x:c r="AC810" s="57" t="inlineStr">
        <x:is>
          <x:t xml:space="preserve">V10</x:t>
        </x:is>
      </x:c>
      <x:c r="AD810" s="57" t="n"/>
      <x:c r="AE810" s="79" t="str">
        <x:f>IF(AND(I810&lt;&gt;"",J810&lt;&gt;"",K810&lt;&gt;"",L810="YES",M810&lt;&gt;"",S810&lt;&gt;"",T810&lt;&gt;"",U810&lt;&gt;"",V810&lt;&gt;"",W810&lt;&gt;"",X810&lt;&gt;"",Y810&lt;&gt;""),"COMPLETE","PENDING")</x:f>
        <x:v>PENDING</x:v>
      </x:c>
      <x:c r="AF810" s="79" t="str">
        <x:f>IF(AE810="COMPLETE","YES","NO")</x:f>
        <x:v>NO</x:v>
      </x:c>
      <x:c r="AG810" s="214" t="str">
        <x:f>IF(AF810&lt;&gt;"YES","",(IF(V810="YES",1,0)+IF(W810="YES",1,0))/2)</x:f>
      </x:c>
    </x:row>
    <x:row r="811">
      <x:c r="A811" s="57" t="inlineStr">
        <x:is>
          <x:t xml:space="preserve">C0806</x:t>
        </x:is>
      </x:c>
      <x:c r="B811" s="57" t="inlineStr">
        <x:is>
          <x:t xml:space="preserve">Holdout</x:t>
        </x:is>
      </x:c>
      <x:c r="C811" s="57" t="inlineStr">
        <x:is>
          <x:t xml:space="preserve">LOCKED</x:t>
        </x:is>
      </x:c>
      <x:c r="D811" s="57" t="inlineStr">
        <x:is>
          <x:t xml:space="preserve">ARG-081</x:t>
        </x:is>
      </x:c>
      <x:c r="E811" s="75" t="str">
        <x:f>INDEX('Company Universe'!$B$6:$B$105,MATCH(D811,'Company Universe'!$A$6:$A$105,0))</x:f>
        <x:v>International Seaways</x:v>
      </x:c>
      <x:c r="F811" s="75" t="str">
        <x:f>INDEX('Company Universe'!$C$6:$C$105,MATCH(D811,'Company Universe'!$A$6:$A$105,0))</x:f>
        <x:v>INSW</x:v>
      </x:c>
      <x:c r="G811" s="75" t="str">
        <x:f>INDEX('Company Universe'!$F$6:$F$105,MATCH(D811,'Company Universe'!$A$6:$A$105,0))</x:f>
        <x:v>Shipping</x:v>
      </x:c>
      <x:c r="H811" s="57" t="n">
        <x:v>6</x:v>
      </x:c>
      <x:c r="I811" s="206" t="n"/>
      <x:c r="J811" s="71" t="n"/>
      <x:c r="K811" s="71" t="n"/>
      <x:c r="L811" s="71" t="inlineStr">
        <x:is>
          <x:t xml:space="preserve">NO</x:t>
        </x:is>
      </x:c>
      <x:c r="M811" s="71" t="n"/>
      <x:c r="N811" s="71" t="n"/>
      <x:c r="O811" s="71" t="n"/>
      <x:c r="P811" s="71" t="n"/>
      <x:c r="Q811" s="71" t="n"/>
      <x:c r="R811" s="71" t="n"/>
      <x:c r="S811" s="206" t="n"/>
      <x:c r="T811" s="71" t="n"/>
      <x:c r="U811" s="71" t="n"/>
      <x:c r="V811" s="71" t="n"/>
      <x:c r="W811" s="71" t="n"/>
      <x:c r="X811" s="71" t="n"/>
      <x:c r="Y811" s="71" t="n"/>
      <x:c r="Z811" s="71" t="n"/>
      <x:c r="AA811" s="71" t="n"/>
      <x:c r="AB811" s="71" t="inlineStr">
        <x:is>
          <x:t xml:space="preserve">NO</x:t>
        </x:is>
      </x:c>
      <x:c r="AC811" s="57" t="inlineStr">
        <x:is>
          <x:t xml:space="preserve">V10</x:t>
        </x:is>
      </x:c>
      <x:c r="AD811" s="57" t="n"/>
      <x:c r="AE811" s="79" t="str">
        <x:f>IF(AND(I811&lt;&gt;"",J811&lt;&gt;"",K811&lt;&gt;"",L811="YES",M811&lt;&gt;"",S811&lt;&gt;"",T811&lt;&gt;"",U811&lt;&gt;"",V811&lt;&gt;"",W811&lt;&gt;"",X811&lt;&gt;"",Y811&lt;&gt;""),"COMPLETE","PENDING")</x:f>
        <x:v>PENDING</x:v>
      </x:c>
      <x:c r="AF811" s="79" t="str">
        <x:f>IF(AE811="COMPLETE","YES","NO")</x:f>
        <x:v>NO</x:v>
      </x:c>
      <x:c r="AG811" s="214" t="str">
        <x:f>IF(AF811&lt;&gt;"YES","",(IF(V811="YES",1,0)+IF(W811="YES",1,0))/2)</x:f>
      </x:c>
    </x:row>
    <x:row r="812">
      <x:c r="A812" s="57" t="inlineStr">
        <x:is>
          <x:t xml:space="preserve">C0807</x:t>
        </x:is>
      </x:c>
      <x:c r="B812" s="57" t="inlineStr">
        <x:is>
          <x:t xml:space="preserve">Holdout</x:t>
        </x:is>
      </x:c>
      <x:c r="C812" s="57" t="inlineStr">
        <x:is>
          <x:t xml:space="preserve">LOCKED</x:t>
        </x:is>
      </x:c>
      <x:c r="D812" s="57" t="inlineStr">
        <x:is>
          <x:t xml:space="preserve">ARG-081</x:t>
        </x:is>
      </x:c>
      <x:c r="E812" s="75" t="str">
        <x:f>INDEX('Company Universe'!$B$6:$B$105,MATCH(D812,'Company Universe'!$A$6:$A$105,0))</x:f>
        <x:v>International Seaways</x:v>
      </x:c>
      <x:c r="F812" s="75" t="str">
        <x:f>INDEX('Company Universe'!$C$6:$C$105,MATCH(D812,'Company Universe'!$A$6:$A$105,0))</x:f>
        <x:v>INSW</x:v>
      </x:c>
      <x:c r="G812" s="75" t="str">
        <x:f>INDEX('Company Universe'!$F$6:$F$105,MATCH(D812,'Company Universe'!$A$6:$A$105,0))</x:f>
        <x:v>Shipping</x:v>
      </x:c>
      <x:c r="H812" s="57" t="n">
        <x:v>7</x:v>
      </x:c>
      <x:c r="I812" s="206" t="n"/>
      <x:c r="J812" s="71" t="n"/>
      <x:c r="K812" s="71" t="n"/>
      <x:c r="L812" s="71" t="inlineStr">
        <x:is>
          <x:t xml:space="preserve">NO</x:t>
        </x:is>
      </x:c>
      <x:c r="M812" s="71" t="n"/>
      <x:c r="N812" s="71" t="n"/>
      <x:c r="O812" s="71" t="n"/>
      <x:c r="P812" s="71" t="n"/>
      <x:c r="Q812" s="71" t="n"/>
      <x:c r="R812" s="71" t="n"/>
      <x:c r="S812" s="206" t="n"/>
      <x:c r="T812" s="71" t="n"/>
      <x:c r="U812" s="71" t="n"/>
      <x:c r="V812" s="71" t="n"/>
      <x:c r="W812" s="71" t="n"/>
      <x:c r="X812" s="71" t="n"/>
      <x:c r="Y812" s="71" t="n"/>
      <x:c r="Z812" s="71" t="n"/>
      <x:c r="AA812" s="71" t="n"/>
      <x:c r="AB812" s="71" t="inlineStr">
        <x:is>
          <x:t xml:space="preserve">NO</x:t>
        </x:is>
      </x:c>
      <x:c r="AC812" s="57" t="inlineStr">
        <x:is>
          <x:t xml:space="preserve">V10</x:t>
        </x:is>
      </x:c>
      <x:c r="AD812" s="57" t="n"/>
      <x:c r="AE812" s="79" t="str">
        <x:f>IF(AND(I812&lt;&gt;"",J812&lt;&gt;"",K812&lt;&gt;"",L812="YES",M812&lt;&gt;"",S812&lt;&gt;"",T812&lt;&gt;"",U812&lt;&gt;"",V812&lt;&gt;"",W812&lt;&gt;"",X812&lt;&gt;"",Y812&lt;&gt;""),"COMPLETE","PENDING")</x:f>
        <x:v>PENDING</x:v>
      </x:c>
      <x:c r="AF812" s="79" t="str">
        <x:f>IF(AE812="COMPLETE","YES","NO")</x:f>
        <x:v>NO</x:v>
      </x:c>
      <x:c r="AG812" s="214" t="str">
        <x:f>IF(AF812&lt;&gt;"YES","",(IF(V812="YES",1,0)+IF(W812="YES",1,0))/2)</x:f>
      </x:c>
    </x:row>
    <x:row r="813">
      <x:c r="A813" s="57" t="inlineStr">
        <x:is>
          <x:t xml:space="preserve">C0808</x:t>
        </x:is>
      </x:c>
      <x:c r="B813" s="57" t="inlineStr">
        <x:is>
          <x:t xml:space="preserve">Holdout</x:t>
        </x:is>
      </x:c>
      <x:c r="C813" s="57" t="inlineStr">
        <x:is>
          <x:t xml:space="preserve">LOCKED</x:t>
        </x:is>
      </x:c>
      <x:c r="D813" s="57" t="inlineStr">
        <x:is>
          <x:t xml:space="preserve">ARG-081</x:t>
        </x:is>
      </x:c>
      <x:c r="E813" s="75" t="str">
        <x:f>INDEX('Company Universe'!$B$6:$B$105,MATCH(D813,'Company Universe'!$A$6:$A$105,0))</x:f>
        <x:v>International Seaways</x:v>
      </x:c>
      <x:c r="F813" s="75" t="str">
        <x:f>INDEX('Company Universe'!$C$6:$C$105,MATCH(D813,'Company Universe'!$A$6:$A$105,0))</x:f>
        <x:v>INSW</x:v>
      </x:c>
      <x:c r="G813" s="75" t="str">
        <x:f>INDEX('Company Universe'!$F$6:$F$105,MATCH(D813,'Company Universe'!$A$6:$A$105,0))</x:f>
        <x:v>Shipping</x:v>
      </x:c>
      <x:c r="H813" s="57" t="n">
        <x:v>8</x:v>
      </x:c>
      <x:c r="I813" s="206" t="n"/>
      <x:c r="J813" s="71" t="n"/>
      <x:c r="K813" s="71" t="n"/>
      <x:c r="L813" s="71" t="inlineStr">
        <x:is>
          <x:t xml:space="preserve">NO</x:t>
        </x:is>
      </x:c>
      <x:c r="M813" s="71" t="n"/>
      <x:c r="N813" s="71" t="n"/>
      <x:c r="O813" s="71" t="n"/>
      <x:c r="P813" s="71" t="n"/>
      <x:c r="Q813" s="71" t="n"/>
      <x:c r="R813" s="71" t="n"/>
      <x:c r="S813" s="206" t="n"/>
      <x:c r="T813" s="71" t="n"/>
      <x:c r="U813" s="71" t="n"/>
      <x:c r="V813" s="71" t="n"/>
      <x:c r="W813" s="71" t="n"/>
      <x:c r="X813" s="71" t="n"/>
      <x:c r="Y813" s="71" t="n"/>
      <x:c r="Z813" s="71" t="n"/>
      <x:c r="AA813" s="71" t="n"/>
      <x:c r="AB813" s="71" t="inlineStr">
        <x:is>
          <x:t xml:space="preserve">NO</x:t>
        </x:is>
      </x:c>
      <x:c r="AC813" s="57" t="inlineStr">
        <x:is>
          <x:t xml:space="preserve">V10</x:t>
        </x:is>
      </x:c>
      <x:c r="AD813" s="57" t="n"/>
      <x:c r="AE813" s="79" t="str">
        <x:f>IF(AND(I813&lt;&gt;"",J813&lt;&gt;"",K813&lt;&gt;"",L813="YES",M813&lt;&gt;"",S813&lt;&gt;"",T813&lt;&gt;"",U813&lt;&gt;"",V813&lt;&gt;"",W813&lt;&gt;"",X813&lt;&gt;"",Y813&lt;&gt;""),"COMPLETE","PENDING")</x:f>
        <x:v>PENDING</x:v>
      </x:c>
      <x:c r="AF813" s="79" t="str">
        <x:f>IF(AE813="COMPLETE","YES","NO")</x:f>
        <x:v>NO</x:v>
      </x:c>
      <x:c r="AG813" s="214" t="str">
        <x:f>IF(AF813&lt;&gt;"YES","",(IF(V813="YES",1,0)+IF(W813="YES",1,0))/2)</x:f>
      </x:c>
    </x:row>
    <x:row r="814">
      <x:c r="A814" s="57" t="inlineStr">
        <x:is>
          <x:t xml:space="preserve">C0809</x:t>
        </x:is>
      </x:c>
      <x:c r="B814" s="57" t="inlineStr">
        <x:is>
          <x:t xml:space="preserve">Holdout</x:t>
        </x:is>
      </x:c>
      <x:c r="C814" s="57" t="inlineStr">
        <x:is>
          <x:t xml:space="preserve">LOCKED</x:t>
        </x:is>
      </x:c>
      <x:c r="D814" s="57" t="inlineStr">
        <x:is>
          <x:t xml:space="preserve">ARG-081</x:t>
        </x:is>
      </x:c>
      <x:c r="E814" s="75" t="str">
        <x:f>INDEX('Company Universe'!$B$6:$B$105,MATCH(D814,'Company Universe'!$A$6:$A$105,0))</x:f>
        <x:v>International Seaways</x:v>
      </x:c>
      <x:c r="F814" s="75" t="str">
        <x:f>INDEX('Company Universe'!$C$6:$C$105,MATCH(D814,'Company Universe'!$A$6:$A$105,0))</x:f>
        <x:v>INSW</x:v>
      </x:c>
      <x:c r="G814" s="75" t="str">
        <x:f>INDEX('Company Universe'!$F$6:$F$105,MATCH(D814,'Company Universe'!$A$6:$A$105,0))</x:f>
        <x:v>Shipping</x:v>
      </x:c>
      <x:c r="H814" s="57" t="n">
        <x:v>9</x:v>
      </x:c>
      <x:c r="I814" s="206" t="n"/>
      <x:c r="J814" s="71" t="n"/>
      <x:c r="K814" s="71" t="n"/>
      <x:c r="L814" s="71" t="inlineStr">
        <x:is>
          <x:t xml:space="preserve">NO</x:t>
        </x:is>
      </x:c>
      <x:c r="M814" s="71" t="n"/>
      <x:c r="N814" s="71" t="n"/>
      <x:c r="O814" s="71" t="n"/>
      <x:c r="P814" s="71" t="n"/>
      <x:c r="Q814" s="71" t="n"/>
      <x:c r="R814" s="71" t="n"/>
      <x:c r="S814" s="206" t="n"/>
      <x:c r="T814" s="71" t="n"/>
      <x:c r="U814" s="71" t="n"/>
      <x:c r="V814" s="71" t="n"/>
      <x:c r="W814" s="71" t="n"/>
      <x:c r="X814" s="71" t="n"/>
      <x:c r="Y814" s="71" t="n"/>
      <x:c r="Z814" s="71" t="n"/>
      <x:c r="AA814" s="71" t="n"/>
      <x:c r="AB814" s="71" t="inlineStr">
        <x:is>
          <x:t xml:space="preserve">NO</x:t>
        </x:is>
      </x:c>
      <x:c r="AC814" s="57" t="inlineStr">
        <x:is>
          <x:t xml:space="preserve">V10</x:t>
        </x:is>
      </x:c>
      <x:c r="AD814" s="57" t="n"/>
      <x:c r="AE814" s="79" t="str">
        <x:f>IF(AND(I814&lt;&gt;"",J814&lt;&gt;"",K814&lt;&gt;"",L814="YES",M814&lt;&gt;"",S814&lt;&gt;"",T814&lt;&gt;"",U814&lt;&gt;"",V814&lt;&gt;"",W814&lt;&gt;"",X814&lt;&gt;"",Y814&lt;&gt;""),"COMPLETE","PENDING")</x:f>
        <x:v>PENDING</x:v>
      </x:c>
      <x:c r="AF814" s="79" t="str">
        <x:f>IF(AE814="COMPLETE","YES","NO")</x:f>
        <x:v>NO</x:v>
      </x:c>
      <x:c r="AG814" s="214" t="str">
        <x:f>IF(AF814&lt;&gt;"YES","",(IF(V814="YES",1,0)+IF(W814="YES",1,0))/2)</x:f>
      </x:c>
    </x:row>
    <x:row r="815">
      <x:c r="A815" s="57" t="inlineStr">
        <x:is>
          <x:t xml:space="preserve">C0810</x:t>
        </x:is>
      </x:c>
      <x:c r="B815" s="57" t="inlineStr">
        <x:is>
          <x:t xml:space="preserve">Holdout</x:t>
        </x:is>
      </x:c>
      <x:c r="C815" s="57" t="inlineStr">
        <x:is>
          <x:t xml:space="preserve">LOCKED</x:t>
        </x:is>
      </x:c>
      <x:c r="D815" s="57" t="inlineStr">
        <x:is>
          <x:t xml:space="preserve">ARG-081</x:t>
        </x:is>
      </x:c>
      <x:c r="E815" s="75" t="str">
        <x:f>INDEX('Company Universe'!$B$6:$B$105,MATCH(D815,'Company Universe'!$A$6:$A$105,0))</x:f>
        <x:v>International Seaways</x:v>
      </x:c>
      <x:c r="F815" s="75" t="str">
        <x:f>INDEX('Company Universe'!$C$6:$C$105,MATCH(D815,'Company Universe'!$A$6:$A$105,0))</x:f>
        <x:v>INSW</x:v>
      </x:c>
      <x:c r="G815" s="75" t="str">
        <x:f>INDEX('Company Universe'!$F$6:$F$105,MATCH(D815,'Company Universe'!$A$6:$A$105,0))</x:f>
        <x:v>Shipping</x:v>
      </x:c>
      <x:c r="H815" s="57" t="n">
        <x:v>10</x:v>
      </x:c>
      <x:c r="I815" s="206" t="n"/>
      <x:c r="J815" s="71" t="n"/>
      <x:c r="K815" s="71" t="n"/>
      <x:c r="L815" s="71" t="inlineStr">
        <x:is>
          <x:t xml:space="preserve">NO</x:t>
        </x:is>
      </x:c>
      <x:c r="M815" s="71" t="n"/>
      <x:c r="N815" s="71" t="n"/>
      <x:c r="O815" s="71" t="n"/>
      <x:c r="P815" s="71" t="n"/>
      <x:c r="Q815" s="71" t="n"/>
      <x:c r="R815" s="71" t="n"/>
      <x:c r="S815" s="206" t="n"/>
      <x:c r="T815" s="71" t="n"/>
      <x:c r="U815" s="71" t="n"/>
      <x:c r="V815" s="71" t="n"/>
      <x:c r="W815" s="71" t="n"/>
      <x:c r="X815" s="71" t="n"/>
      <x:c r="Y815" s="71" t="n"/>
      <x:c r="Z815" s="71" t="n"/>
      <x:c r="AA815" s="71" t="n"/>
      <x:c r="AB815" s="71" t="inlineStr">
        <x:is>
          <x:t xml:space="preserve">NO</x:t>
        </x:is>
      </x:c>
      <x:c r="AC815" s="57" t="inlineStr">
        <x:is>
          <x:t xml:space="preserve">V10</x:t>
        </x:is>
      </x:c>
      <x:c r="AD815" s="57" t="n"/>
      <x:c r="AE815" s="79" t="str">
        <x:f>IF(AND(I815&lt;&gt;"",J815&lt;&gt;"",K815&lt;&gt;"",L815="YES",M815&lt;&gt;"",S815&lt;&gt;"",T815&lt;&gt;"",U815&lt;&gt;"",V815&lt;&gt;"",W815&lt;&gt;"",X815&lt;&gt;"",Y815&lt;&gt;""),"COMPLETE","PENDING")</x:f>
        <x:v>PENDING</x:v>
      </x:c>
      <x:c r="AF815" s="79" t="str">
        <x:f>IF(AE815="COMPLETE","YES","NO")</x:f>
        <x:v>NO</x:v>
      </x:c>
      <x:c r="AG815" s="214" t="str">
        <x:f>IF(AF815&lt;&gt;"YES","",(IF(V815="YES",1,0)+IF(W815="YES",1,0))/2)</x:f>
      </x:c>
    </x:row>
    <x:row r="816">
      <x:c r="A816" s="57" t="inlineStr">
        <x:is>
          <x:t xml:space="preserve">C0811</x:t>
        </x:is>
      </x:c>
      <x:c r="B816" s="57" t="inlineStr">
        <x:is>
          <x:t xml:space="preserve">Holdout</x:t>
        </x:is>
      </x:c>
      <x:c r="C816" s="57" t="inlineStr">
        <x:is>
          <x:t xml:space="preserve">LOCKED</x:t>
        </x:is>
      </x:c>
      <x:c r="D816" s="57" t="inlineStr">
        <x:is>
          <x:t xml:space="preserve">ARG-082</x:t>
        </x:is>
      </x:c>
      <x:c r="E816" s="75" t="str">
        <x:f>INDEX('Company Universe'!$B$6:$B$105,MATCH(D816,'Company Universe'!$A$6:$A$105,0))</x:f>
        <x:v>Frontline</x:v>
      </x:c>
      <x:c r="F816" s="75" t="str">
        <x:f>INDEX('Company Universe'!$C$6:$C$105,MATCH(D816,'Company Universe'!$A$6:$A$105,0))</x:f>
        <x:v>FRO</x:v>
      </x:c>
      <x:c r="G816" s="75" t="str">
        <x:f>INDEX('Company Universe'!$F$6:$F$105,MATCH(D816,'Company Universe'!$A$6:$A$105,0))</x:f>
        <x:v>Shipping</x:v>
      </x:c>
      <x:c r="H816" s="57" t="n">
        <x:v>1</x:v>
      </x:c>
      <x:c r="I816" s="206" t="n"/>
      <x:c r="J816" s="71" t="n"/>
      <x:c r="K816" s="71" t="n"/>
      <x:c r="L816" s="71" t="inlineStr">
        <x:is>
          <x:t xml:space="preserve">NO</x:t>
        </x:is>
      </x:c>
      <x:c r="M816" s="71" t="n"/>
      <x:c r="N816" s="71" t="n"/>
      <x:c r="O816" s="71" t="n"/>
      <x:c r="P816" s="71" t="n"/>
      <x:c r="Q816" s="71" t="n"/>
      <x:c r="R816" s="71" t="n"/>
      <x:c r="S816" s="206" t="n"/>
      <x:c r="T816" s="71" t="n"/>
      <x:c r="U816" s="71" t="n"/>
      <x:c r="V816" s="71" t="n"/>
      <x:c r="W816" s="71" t="n"/>
      <x:c r="X816" s="71" t="n"/>
      <x:c r="Y816" s="71" t="n"/>
      <x:c r="Z816" s="71" t="n"/>
      <x:c r="AA816" s="71" t="n"/>
      <x:c r="AB816" s="71" t="inlineStr">
        <x:is>
          <x:t xml:space="preserve">NO</x:t>
        </x:is>
      </x:c>
      <x:c r="AC816" s="57" t="inlineStr">
        <x:is>
          <x:t xml:space="preserve">V10</x:t>
        </x:is>
      </x:c>
      <x:c r="AD816" s="57" t="n"/>
      <x:c r="AE816" s="79" t="str">
        <x:f>IF(AND(I816&lt;&gt;"",J816&lt;&gt;"",K816&lt;&gt;"",L816="YES",M816&lt;&gt;"",S816&lt;&gt;"",T816&lt;&gt;"",U816&lt;&gt;"",V816&lt;&gt;"",W816&lt;&gt;"",X816&lt;&gt;"",Y816&lt;&gt;""),"COMPLETE","PENDING")</x:f>
        <x:v>PENDING</x:v>
      </x:c>
      <x:c r="AF816" s="79" t="str">
        <x:f>IF(AE816="COMPLETE","YES","NO")</x:f>
        <x:v>NO</x:v>
      </x:c>
      <x:c r="AG816" s="214" t="str">
        <x:f>IF(AF816&lt;&gt;"YES","",(IF(V816="YES",1,0)+IF(W816="YES",1,0))/2)</x:f>
      </x:c>
    </x:row>
    <x:row r="817">
      <x:c r="A817" s="57" t="inlineStr">
        <x:is>
          <x:t xml:space="preserve">C0812</x:t>
        </x:is>
      </x:c>
      <x:c r="B817" s="57" t="inlineStr">
        <x:is>
          <x:t xml:space="preserve">Holdout</x:t>
        </x:is>
      </x:c>
      <x:c r="C817" s="57" t="inlineStr">
        <x:is>
          <x:t xml:space="preserve">LOCKED</x:t>
        </x:is>
      </x:c>
      <x:c r="D817" s="57" t="inlineStr">
        <x:is>
          <x:t xml:space="preserve">ARG-082</x:t>
        </x:is>
      </x:c>
      <x:c r="E817" s="75" t="str">
        <x:f>INDEX('Company Universe'!$B$6:$B$105,MATCH(D817,'Company Universe'!$A$6:$A$105,0))</x:f>
        <x:v>Frontline</x:v>
      </x:c>
      <x:c r="F817" s="75" t="str">
        <x:f>INDEX('Company Universe'!$C$6:$C$105,MATCH(D817,'Company Universe'!$A$6:$A$105,0))</x:f>
        <x:v>FRO</x:v>
      </x:c>
      <x:c r="G817" s="75" t="str">
        <x:f>INDEX('Company Universe'!$F$6:$F$105,MATCH(D817,'Company Universe'!$A$6:$A$105,0))</x:f>
        <x:v>Shipping</x:v>
      </x:c>
      <x:c r="H817" s="57" t="n">
        <x:v>2</x:v>
      </x:c>
      <x:c r="I817" s="206" t="n"/>
      <x:c r="J817" s="71" t="n"/>
      <x:c r="K817" s="71" t="n"/>
      <x:c r="L817" s="71" t="inlineStr">
        <x:is>
          <x:t xml:space="preserve">NO</x:t>
        </x:is>
      </x:c>
      <x:c r="M817" s="71" t="n"/>
      <x:c r="N817" s="71" t="n"/>
      <x:c r="O817" s="71" t="n"/>
      <x:c r="P817" s="71" t="n"/>
      <x:c r="Q817" s="71" t="n"/>
      <x:c r="R817" s="71" t="n"/>
      <x:c r="S817" s="206" t="n"/>
      <x:c r="T817" s="71" t="n"/>
      <x:c r="U817" s="71" t="n"/>
      <x:c r="V817" s="71" t="n"/>
      <x:c r="W817" s="71" t="n"/>
      <x:c r="X817" s="71" t="n"/>
      <x:c r="Y817" s="71" t="n"/>
      <x:c r="Z817" s="71" t="n"/>
      <x:c r="AA817" s="71" t="n"/>
      <x:c r="AB817" s="71" t="inlineStr">
        <x:is>
          <x:t xml:space="preserve">NO</x:t>
        </x:is>
      </x:c>
      <x:c r="AC817" s="57" t="inlineStr">
        <x:is>
          <x:t xml:space="preserve">V10</x:t>
        </x:is>
      </x:c>
      <x:c r="AD817" s="57" t="n"/>
      <x:c r="AE817" s="79" t="str">
        <x:f>IF(AND(I817&lt;&gt;"",J817&lt;&gt;"",K817&lt;&gt;"",L817="YES",M817&lt;&gt;"",S817&lt;&gt;"",T817&lt;&gt;"",U817&lt;&gt;"",V817&lt;&gt;"",W817&lt;&gt;"",X817&lt;&gt;"",Y817&lt;&gt;""),"COMPLETE","PENDING")</x:f>
        <x:v>PENDING</x:v>
      </x:c>
      <x:c r="AF817" s="79" t="str">
        <x:f>IF(AE817="COMPLETE","YES","NO")</x:f>
        <x:v>NO</x:v>
      </x:c>
      <x:c r="AG817" s="214" t="str">
        <x:f>IF(AF817&lt;&gt;"YES","",(IF(V817="YES",1,0)+IF(W817="YES",1,0))/2)</x:f>
      </x:c>
    </x:row>
    <x:row r="818">
      <x:c r="A818" s="57" t="inlineStr">
        <x:is>
          <x:t xml:space="preserve">C0813</x:t>
        </x:is>
      </x:c>
      <x:c r="B818" s="57" t="inlineStr">
        <x:is>
          <x:t xml:space="preserve">Holdout</x:t>
        </x:is>
      </x:c>
      <x:c r="C818" s="57" t="inlineStr">
        <x:is>
          <x:t xml:space="preserve">LOCKED</x:t>
        </x:is>
      </x:c>
      <x:c r="D818" s="57" t="inlineStr">
        <x:is>
          <x:t xml:space="preserve">ARG-082</x:t>
        </x:is>
      </x:c>
      <x:c r="E818" s="75" t="str">
        <x:f>INDEX('Company Universe'!$B$6:$B$105,MATCH(D818,'Company Universe'!$A$6:$A$105,0))</x:f>
        <x:v>Frontline</x:v>
      </x:c>
      <x:c r="F818" s="75" t="str">
        <x:f>INDEX('Company Universe'!$C$6:$C$105,MATCH(D818,'Company Universe'!$A$6:$A$105,0))</x:f>
        <x:v>FRO</x:v>
      </x:c>
      <x:c r="G818" s="75" t="str">
        <x:f>INDEX('Company Universe'!$F$6:$F$105,MATCH(D818,'Company Universe'!$A$6:$A$105,0))</x:f>
        <x:v>Shipping</x:v>
      </x:c>
      <x:c r="H818" s="57" t="n">
        <x:v>3</x:v>
      </x:c>
      <x:c r="I818" s="206" t="n"/>
      <x:c r="J818" s="71" t="n"/>
      <x:c r="K818" s="71" t="n"/>
      <x:c r="L818" s="71" t="inlineStr">
        <x:is>
          <x:t xml:space="preserve">NO</x:t>
        </x:is>
      </x:c>
      <x:c r="M818" s="71" t="n"/>
      <x:c r="N818" s="71" t="n"/>
      <x:c r="O818" s="71" t="n"/>
      <x:c r="P818" s="71" t="n"/>
      <x:c r="Q818" s="71" t="n"/>
      <x:c r="R818" s="71" t="n"/>
      <x:c r="S818" s="206" t="n"/>
      <x:c r="T818" s="71" t="n"/>
      <x:c r="U818" s="71" t="n"/>
      <x:c r="V818" s="71" t="n"/>
      <x:c r="W818" s="71" t="n"/>
      <x:c r="X818" s="71" t="n"/>
      <x:c r="Y818" s="71" t="n"/>
      <x:c r="Z818" s="71" t="n"/>
      <x:c r="AA818" s="71" t="n"/>
      <x:c r="AB818" s="71" t="inlineStr">
        <x:is>
          <x:t xml:space="preserve">NO</x:t>
        </x:is>
      </x:c>
      <x:c r="AC818" s="57" t="inlineStr">
        <x:is>
          <x:t xml:space="preserve">V10</x:t>
        </x:is>
      </x:c>
      <x:c r="AD818" s="57" t="n"/>
      <x:c r="AE818" s="79" t="str">
        <x:f>IF(AND(I818&lt;&gt;"",J818&lt;&gt;"",K818&lt;&gt;"",L818="YES",M818&lt;&gt;"",S818&lt;&gt;"",T818&lt;&gt;"",U818&lt;&gt;"",V818&lt;&gt;"",W818&lt;&gt;"",X818&lt;&gt;"",Y818&lt;&gt;""),"COMPLETE","PENDING")</x:f>
        <x:v>PENDING</x:v>
      </x:c>
      <x:c r="AF818" s="79" t="str">
        <x:f>IF(AE818="COMPLETE","YES","NO")</x:f>
        <x:v>NO</x:v>
      </x:c>
      <x:c r="AG818" s="214" t="str">
        <x:f>IF(AF818&lt;&gt;"YES","",(IF(V818="YES",1,0)+IF(W818="YES",1,0))/2)</x:f>
      </x:c>
    </x:row>
    <x:row r="819">
      <x:c r="A819" s="57" t="inlineStr">
        <x:is>
          <x:t xml:space="preserve">C0814</x:t>
        </x:is>
      </x:c>
      <x:c r="B819" s="57" t="inlineStr">
        <x:is>
          <x:t xml:space="preserve">Holdout</x:t>
        </x:is>
      </x:c>
      <x:c r="C819" s="57" t="inlineStr">
        <x:is>
          <x:t xml:space="preserve">LOCKED</x:t>
        </x:is>
      </x:c>
      <x:c r="D819" s="57" t="inlineStr">
        <x:is>
          <x:t xml:space="preserve">ARG-082</x:t>
        </x:is>
      </x:c>
      <x:c r="E819" s="75" t="str">
        <x:f>INDEX('Company Universe'!$B$6:$B$105,MATCH(D819,'Company Universe'!$A$6:$A$105,0))</x:f>
        <x:v>Frontline</x:v>
      </x:c>
      <x:c r="F819" s="75" t="str">
        <x:f>INDEX('Company Universe'!$C$6:$C$105,MATCH(D819,'Company Universe'!$A$6:$A$105,0))</x:f>
        <x:v>FRO</x:v>
      </x:c>
      <x:c r="G819" s="75" t="str">
        <x:f>INDEX('Company Universe'!$F$6:$F$105,MATCH(D819,'Company Universe'!$A$6:$A$105,0))</x:f>
        <x:v>Shipping</x:v>
      </x:c>
      <x:c r="H819" s="57" t="n">
        <x:v>4</x:v>
      </x:c>
      <x:c r="I819" s="206" t="n"/>
      <x:c r="J819" s="71" t="n"/>
      <x:c r="K819" s="71" t="n"/>
      <x:c r="L819" s="71" t="inlineStr">
        <x:is>
          <x:t xml:space="preserve">NO</x:t>
        </x:is>
      </x:c>
      <x:c r="M819" s="71" t="n"/>
      <x:c r="N819" s="71" t="n"/>
      <x:c r="O819" s="71" t="n"/>
      <x:c r="P819" s="71" t="n"/>
      <x:c r="Q819" s="71" t="n"/>
      <x:c r="R819" s="71" t="n"/>
      <x:c r="S819" s="206" t="n"/>
      <x:c r="T819" s="71" t="n"/>
      <x:c r="U819" s="71" t="n"/>
      <x:c r="V819" s="71" t="n"/>
      <x:c r="W819" s="71" t="n"/>
      <x:c r="X819" s="71" t="n"/>
      <x:c r="Y819" s="71" t="n"/>
      <x:c r="Z819" s="71" t="n"/>
      <x:c r="AA819" s="71" t="n"/>
      <x:c r="AB819" s="71" t="inlineStr">
        <x:is>
          <x:t xml:space="preserve">NO</x:t>
        </x:is>
      </x:c>
      <x:c r="AC819" s="57" t="inlineStr">
        <x:is>
          <x:t xml:space="preserve">V10</x:t>
        </x:is>
      </x:c>
      <x:c r="AD819" s="57" t="n"/>
      <x:c r="AE819" s="79" t="str">
        <x:f>IF(AND(I819&lt;&gt;"",J819&lt;&gt;"",K819&lt;&gt;"",L819="YES",M819&lt;&gt;"",S819&lt;&gt;"",T819&lt;&gt;"",U819&lt;&gt;"",V819&lt;&gt;"",W819&lt;&gt;"",X819&lt;&gt;"",Y819&lt;&gt;""),"COMPLETE","PENDING")</x:f>
        <x:v>PENDING</x:v>
      </x:c>
      <x:c r="AF819" s="79" t="str">
        <x:f>IF(AE819="COMPLETE","YES","NO")</x:f>
        <x:v>NO</x:v>
      </x:c>
      <x:c r="AG819" s="214" t="str">
        <x:f>IF(AF819&lt;&gt;"YES","",(IF(V819="YES",1,0)+IF(W819="YES",1,0))/2)</x:f>
      </x:c>
    </x:row>
    <x:row r="820">
      <x:c r="A820" s="57" t="inlineStr">
        <x:is>
          <x:t xml:space="preserve">C0815</x:t>
        </x:is>
      </x:c>
      <x:c r="B820" s="57" t="inlineStr">
        <x:is>
          <x:t xml:space="preserve">Holdout</x:t>
        </x:is>
      </x:c>
      <x:c r="C820" s="57" t="inlineStr">
        <x:is>
          <x:t xml:space="preserve">LOCKED</x:t>
        </x:is>
      </x:c>
      <x:c r="D820" s="57" t="inlineStr">
        <x:is>
          <x:t xml:space="preserve">ARG-082</x:t>
        </x:is>
      </x:c>
      <x:c r="E820" s="75" t="str">
        <x:f>INDEX('Company Universe'!$B$6:$B$105,MATCH(D820,'Company Universe'!$A$6:$A$105,0))</x:f>
        <x:v>Frontline</x:v>
      </x:c>
      <x:c r="F820" s="75" t="str">
        <x:f>INDEX('Company Universe'!$C$6:$C$105,MATCH(D820,'Company Universe'!$A$6:$A$105,0))</x:f>
        <x:v>FRO</x:v>
      </x:c>
      <x:c r="G820" s="75" t="str">
        <x:f>INDEX('Company Universe'!$F$6:$F$105,MATCH(D820,'Company Universe'!$A$6:$A$105,0))</x:f>
        <x:v>Shipping</x:v>
      </x:c>
      <x:c r="H820" s="57" t="n">
        <x:v>5</x:v>
      </x:c>
      <x:c r="I820" s="206" t="n"/>
      <x:c r="J820" s="71" t="n"/>
      <x:c r="K820" s="71" t="n"/>
      <x:c r="L820" s="71" t="inlineStr">
        <x:is>
          <x:t xml:space="preserve">NO</x:t>
        </x:is>
      </x:c>
      <x:c r="M820" s="71" t="n"/>
      <x:c r="N820" s="71" t="n"/>
      <x:c r="O820" s="71" t="n"/>
      <x:c r="P820" s="71" t="n"/>
      <x:c r="Q820" s="71" t="n"/>
      <x:c r="R820" s="71" t="n"/>
      <x:c r="S820" s="206" t="n"/>
      <x:c r="T820" s="71" t="n"/>
      <x:c r="U820" s="71" t="n"/>
      <x:c r="V820" s="71" t="n"/>
      <x:c r="W820" s="71" t="n"/>
      <x:c r="X820" s="71" t="n"/>
      <x:c r="Y820" s="71" t="n"/>
      <x:c r="Z820" s="71" t="n"/>
      <x:c r="AA820" s="71" t="n"/>
      <x:c r="AB820" s="71" t="inlineStr">
        <x:is>
          <x:t xml:space="preserve">NO</x:t>
        </x:is>
      </x:c>
      <x:c r="AC820" s="57" t="inlineStr">
        <x:is>
          <x:t xml:space="preserve">V10</x:t>
        </x:is>
      </x:c>
      <x:c r="AD820" s="57" t="n"/>
      <x:c r="AE820" s="79" t="str">
        <x:f>IF(AND(I820&lt;&gt;"",J820&lt;&gt;"",K820&lt;&gt;"",L820="YES",M820&lt;&gt;"",S820&lt;&gt;"",T820&lt;&gt;"",U820&lt;&gt;"",V820&lt;&gt;"",W820&lt;&gt;"",X820&lt;&gt;"",Y820&lt;&gt;""),"COMPLETE","PENDING")</x:f>
        <x:v>PENDING</x:v>
      </x:c>
      <x:c r="AF820" s="79" t="str">
        <x:f>IF(AE820="COMPLETE","YES","NO")</x:f>
        <x:v>NO</x:v>
      </x:c>
      <x:c r="AG820" s="214" t="str">
        <x:f>IF(AF820&lt;&gt;"YES","",(IF(V820="YES",1,0)+IF(W820="YES",1,0))/2)</x:f>
      </x:c>
    </x:row>
    <x:row r="821">
      <x:c r="A821" s="57" t="inlineStr">
        <x:is>
          <x:t xml:space="preserve">C0816</x:t>
        </x:is>
      </x:c>
      <x:c r="B821" s="57" t="inlineStr">
        <x:is>
          <x:t xml:space="preserve">Holdout</x:t>
        </x:is>
      </x:c>
      <x:c r="C821" s="57" t="inlineStr">
        <x:is>
          <x:t xml:space="preserve">LOCKED</x:t>
        </x:is>
      </x:c>
      <x:c r="D821" s="57" t="inlineStr">
        <x:is>
          <x:t xml:space="preserve">ARG-082</x:t>
        </x:is>
      </x:c>
      <x:c r="E821" s="75" t="str">
        <x:f>INDEX('Company Universe'!$B$6:$B$105,MATCH(D821,'Company Universe'!$A$6:$A$105,0))</x:f>
        <x:v>Frontline</x:v>
      </x:c>
      <x:c r="F821" s="75" t="str">
        <x:f>INDEX('Company Universe'!$C$6:$C$105,MATCH(D821,'Company Universe'!$A$6:$A$105,0))</x:f>
        <x:v>FRO</x:v>
      </x:c>
      <x:c r="G821" s="75" t="str">
        <x:f>INDEX('Company Universe'!$F$6:$F$105,MATCH(D821,'Company Universe'!$A$6:$A$105,0))</x:f>
        <x:v>Shipping</x:v>
      </x:c>
      <x:c r="H821" s="57" t="n">
        <x:v>6</x:v>
      </x:c>
      <x:c r="I821" s="206" t="n"/>
      <x:c r="J821" s="71" t="n"/>
      <x:c r="K821" s="71" t="n"/>
      <x:c r="L821" s="71" t="inlineStr">
        <x:is>
          <x:t xml:space="preserve">NO</x:t>
        </x:is>
      </x:c>
      <x:c r="M821" s="71" t="n"/>
      <x:c r="N821" s="71" t="n"/>
      <x:c r="O821" s="71" t="n"/>
      <x:c r="P821" s="71" t="n"/>
      <x:c r="Q821" s="71" t="n"/>
      <x:c r="R821" s="71" t="n"/>
      <x:c r="S821" s="206" t="n"/>
      <x:c r="T821" s="71" t="n"/>
      <x:c r="U821" s="71" t="n"/>
      <x:c r="V821" s="71" t="n"/>
      <x:c r="W821" s="71" t="n"/>
      <x:c r="X821" s="71" t="n"/>
      <x:c r="Y821" s="71" t="n"/>
      <x:c r="Z821" s="71" t="n"/>
      <x:c r="AA821" s="71" t="n"/>
      <x:c r="AB821" s="71" t="inlineStr">
        <x:is>
          <x:t xml:space="preserve">NO</x:t>
        </x:is>
      </x:c>
      <x:c r="AC821" s="57" t="inlineStr">
        <x:is>
          <x:t xml:space="preserve">V10</x:t>
        </x:is>
      </x:c>
      <x:c r="AD821" s="57" t="n"/>
      <x:c r="AE821" s="79" t="str">
        <x:f>IF(AND(I821&lt;&gt;"",J821&lt;&gt;"",K821&lt;&gt;"",L821="YES",M821&lt;&gt;"",S821&lt;&gt;"",T821&lt;&gt;"",U821&lt;&gt;"",V821&lt;&gt;"",W821&lt;&gt;"",X821&lt;&gt;"",Y821&lt;&gt;""),"COMPLETE","PENDING")</x:f>
        <x:v>PENDING</x:v>
      </x:c>
      <x:c r="AF821" s="79" t="str">
        <x:f>IF(AE821="COMPLETE","YES","NO")</x:f>
        <x:v>NO</x:v>
      </x:c>
      <x:c r="AG821" s="214" t="str">
        <x:f>IF(AF821&lt;&gt;"YES","",(IF(V821="YES",1,0)+IF(W821="YES",1,0))/2)</x:f>
      </x:c>
    </x:row>
    <x:row r="822">
      <x:c r="A822" s="57" t="inlineStr">
        <x:is>
          <x:t xml:space="preserve">C0817</x:t>
        </x:is>
      </x:c>
      <x:c r="B822" s="57" t="inlineStr">
        <x:is>
          <x:t xml:space="preserve">Holdout</x:t>
        </x:is>
      </x:c>
      <x:c r="C822" s="57" t="inlineStr">
        <x:is>
          <x:t xml:space="preserve">LOCKED</x:t>
        </x:is>
      </x:c>
      <x:c r="D822" s="57" t="inlineStr">
        <x:is>
          <x:t xml:space="preserve">ARG-082</x:t>
        </x:is>
      </x:c>
      <x:c r="E822" s="75" t="str">
        <x:f>INDEX('Company Universe'!$B$6:$B$105,MATCH(D822,'Company Universe'!$A$6:$A$105,0))</x:f>
        <x:v>Frontline</x:v>
      </x:c>
      <x:c r="F822" s="75" t="str">
        <x:f>INDEX('Company Universe'!$C$6:$C$105,MATCH(D822,'Company Universe'!$A$6:$A$105,0))</x:f>
        <x:v>FRO</x:v>
      </x:c>
      <x:c r="G822" s="75" t="str">
        <x:f>INDEX('Company Universe'!$F$6:$F$105,MATCH(D822,'Company Universe'!$A$6:$A$105,0))</x:f>
        <x:v>Shipping</x:v>
      </x:c>
      <x:c r="H822" s="57" t="n">
        <x:v>7</x:v>
      </x:c>
      <x:c r="I822" s="206" t="n"/>
      <x:c r="J822" s="71" t="n"/>
      <x:c r="K822" s="71" t="n"/>
      <x:c r="L822" s="71" t="inlineStr">
        <x:is>
          <x:t xml:space="preserve">NO</x:t>
        </x:is>
      </x:c>
      <x:c r="M822" s="71" t="n"/>
      <x:c r="N822" s="71" t="n"/>
      <x:c r="O822" s="71" t="n"/>
      <x:c r="P822" s="71" t="n"/>
      <x:c r="Q822" s="71" t="n"/>
      <x:c r="R822" s="71" t="n"/>
      <x:c r="S822" s="206" t="n"/>
      <x:c r="T822" s="71" t="n"/>
      <x:c r="U822" s="71" t="n"/>
      <x:c r="V822" s="71" t="n"/>
      <x:c r="W822" s="71" t="n"/>
      <x:c r="X822" s="71" t="n"/>
      <x:c r="Y822" s="71" t="n"/>
      <x:c r="Z822" s="71" t="n"/>
      <x:c r="AA822" s="71" t="n"/>
      <x:c r="AB822" s="71" t="inlineStr">
        <x:is>
          <x:t xml:space="preserve">NO</x:t>
        </x:is>
      </x:c>
      <x:c r="AC822" s="57" t="inlineStr">
        <x:is>
          <x:t xml:space="preserve">V10</x:t>
        </x:is>
      </x:c>
      <x:c r="AD822" s="57" t="n"/>
      <x:c r="AE822" s="79" t="str">
        <x:f>IF(AND(I822&lt;&gt;"",J822&lt;&gt;"",K822&lt;&gt;"",L822="YES",M822&lt;&gt;"",S822&lt;&gt;"",T822&lt;&gt;"",U822&lt;&gt;"",V822&lt;&gt;"",W822&lt;&gt;"",X822&lt;&gt;"",Y822&lt;&gt;""),"COMPLETE","PENDING")</x:f>
        <x:v>PENDING</x:v>
      </x:c>
      <x:c r="AF822" s="79" t="str">
        <x:f>IF(AE822="COMPLETE","YES","NO")</x:f>
        <x:v>NO</x:v>
      </x:c>
      <x:c r="AG822" s="214" t="str">
        <x:f>IF(AF822&lt;&gt;"YES","",(IF(V822="YES",1,0)+IF(W822="YES",1,0))/2)</x:f>
      </x:c>
    </x:row>
    <x:row r="823">
      <x:c r="A823" s="57" t="inlineStr">
        <x:is>
          <x:t xml:space="preserve">C0818</x:t>
        </x:is>
      </x:c>
      <x:c r="B823" s="57" t="inlineStr">
        <x:is>
          <x:t xml:space="preserve">Holdout</x:t>
        </x:is>
      </x:c>
      <x:c r="C823" s="57" t="inlineStr">
        <x:is>
          <x:t xml:space="preserve">LOCKED</x:t>
        </x:is>
      </x:c>
      <x:c r="D823" s="57" t="inlineStr">
        <x:is>
          <x:t xml:space="preserve">ARG-082</x:t>
        </x:is>
      </x:c>
      <x:c r="E823" s="75" t="str">
        <x:f>INDEX('Company Universe'!$B$6:$B$105,MATCH(D823,'Company Universe'!$A$6:$A$105,0))</x:f>
        <x:v>Frontline</x:v>
      </x:c>
      <x:c r="F823" s="75" t="str">
        <x:f>INDEX('Company Universe'!$C$6:$C$105,MATCH(D823,'Company Universe'!$A$6:$A$105,0))</x:f>
        <x:v>FRO</x:v>
      </x:c>
      <x:c r="G823" s="75" t="str">
        <x:f>INDEX('Company Universe'!$F$6:$F$105,MATCH(D823,'Company Universe'!$A$6:$A$105,0))</x:f>
        <x:v>Shipping</x:v>
      </x:c>
      <x:c r="H823" s="57" t="n">
        <x:v>8</x:v>
      </x:c>
      <x:c r="I823" s="206" t="n"/>
      <x:c r="J823" s="71" t="n"/>
      <x:c r="K823" s="71" t="n"/>
      <x:c r="L823" s="71" t="inlineStr">
        <x:is>
          <x:t xml:space="preserve">NO</x:t>
        </x:is>
      </x:c>
      <x:c r="M823" s="71" t="n"/>
      <x:c r="N823" s="71" t="n"/>
      <x:c r="O823" s="71" t="n"/>
      <x:c r="P823" s="71" t="n"/>
      <x:c r="Q823" s="71" t="n"/>
      <x:c r="R823" s="71" t="n"/>
      <x:c r="S823" s="206" t="n"/>
      <x:c r="T823" s="71" t="n"/>
      <x:c r="U823" s="71" t="n"/>
      <x:c r="V823" s="71" t="n"/>
      <x:c r="W823" s="71" t="n"/>
      <x:c r="X823" s="71" t="n"/>
      <x:c r="Y823" s="71" t="n"/>
      <x:c r="Z823" s="71" t="n"/>
      <x:c r="AA823" s="71" t="n"/>
      <x:c r="AB823" s="71" t="inlineStr">
        <x:is>
          <x:t xml:space="preserve">NO</x:t>
        </x:is>
      </x:c>
      <x:c r="AC823" s="57" t="inlineStr">
        <x:is>
          <x:t xml:space="preserve">V10</x:t>
        </x:is>
      </x:c>
      <x:c r="AD823" s="57" t="n"/>
      <x:c r="AE823" s="79" t="str">
        <x:f>IF(AND(I823&lt;&gt;"",J823&lt;&gt;"",K823&lt;&gt;"",L823="YES",M823&lt;&gt;"",S823&lt;&gt;"",T823&lt;&gt;"",U823&lt;&gt;"",V823&lt;&gt;"",W823&lt;&gt;"",X823&lt;&gt;"",Y823&lt;&gt;""),"COMPLETE","PENDING")</x:f>
        <x:v>PENDING</x:v>
      </x:c>
      <x:c r="AF823" s="79" t="str">
        <x:f>IF(AE823="COMPLETE","YES","NO")</x:f>
        <x:v>NO</x:v>
      </x:c>
      <x:c r="AG823" s="214" t="str">
        <x:f>IF(AF823&lt;&gt;"YES","",(IF(V823="YES",1,0)+IF(W823="YES",1,0))/2)</x:f>
      </x:c>
    </x:row>
    <x:row r="824">
      <x:c r="A824" s="57" t="inlineStr">
        <x:is>
          <x:t xml:space="preserve">C0819</x:t>
        </x:is>
      </x:c>
      <x:c r="B824" s="57" t="inlineStr">
        <x:is>
          <x:t xml:space="preserve">Holdout</x:t>
        </x:is>
      </x:c>
      <x:c r="C824" s="57" t="inlineStr">
        <x:is>
          <x:t xml:space="preserve">LOCKED</x:t>
        </x:is>
      </x:c>
      <x:c r="D824" s="57" t="inlineStr">
        <x:is>
          <x:t xml:space="preserve">ARG-082</x:t>
        </x:is>
      </x:c>
      <x:c r="E824" s="75" t="str">
        <x:f>INDEX('Company Universe'!$B$6:$B$105,MATCH(D824,'Company Universe'!$A$6:$A$105,0))</x:f>
        <x:v>Frontline</x:v>
      </x:c>
      <x:c r="F824" s="75" t="str">
        <x:f>INDEX('Company Universe'!$C$6:$C$105,MATCH(D824,'Company Universe'!$A$6:$A$105,0))</x:f>
        <x:v>FRO</x:v>
      </x:c>
      <x:c r="G824" s="75" t="str">
        <x:f>INDEX('Company Universe'!$F$6:$F$105,MATCH(D824,'Company Universe'!$A$6:$A$105,0))</x:f>
        <x:v>Shipping</x:v>
      </x:c>
      <x:c r="H824" s="57" t="n">
        <x:v>9</x:v>
      </x:c>
      <x:c r="I824" s="206" t="n"/>
      <x:c r="J824" s="71" t="n"/>
      <x:c r="K824" s="71" t="n"/>
      <x:c r="L824" s="71" t="inlineStr">
        <x:is>
          <x:t xml:space="preserve">NO</x:t>
        </x:is>
      </x:c>
      <x:c r="M824" s="71" t="n"/>
      <x:c r="N824" s="71" t="n"/>
      <x:c r="O824" s="71" t="n"/>
      <x:c r="P824" s="71" t="n"/>
      <x:c r="Q824" s="71" t="n"/>
      <x:c r="R824" s="71" t="n"/>
      <x:c r="S824" s="206" t="n"/>
      <x:c r="T824" s="71" t="n"/>
      <x:c r="U824" s="71" t="n"/>
      <x:c r="V824" s="71" t="n"/>
      <x:c r="W824" s="71" t="n"/>
      <x:c r="X824" s="71" t="n"/>
      <x:c r="Y824" s="71" t="n"/>
      <x:c r="Z824" s="71" t="n"/>
      <x:c r="AA824" s="71" t="n"/>
      <x:c r="AB824" s="71" t="inlineStr">
        <x:is>
          <x:t xml:space="preserve">NO</x:t>
        </x:is>
      </x:c>
      <x:c r="AC824" s="57" t="inlineStr">
        <x:is>
          <x:t xml:space="preserve">V10</x:t>
        </x:is>
      </x:c>
      <x:c r="AD824" s="57" t="n"/>
      <x:c r="AE824" s="79" t="str">
        <x:f>IF(AND(I824&lt;&gt;"",J824&lt;&gt;"",K824&lt;&gt;"",L824="YES",M824&lt;&gt;"",S824&lt;&gt;"",T824&lt;&gt;"",U824&lt;&gt;"",V824&lt;&gt;"",W824&lt;&gt;"",X824&lt;&gt;"",Y824&lt;&gt;""),"COMPLETE","PENDING")</x:f>
        <x:v>PENDING</x:v>
      </x:c>
      <x:c r="AF824" s="79" t="str">
        <x:f>IF(AE824="COMPLETE","YES","NO")</x:f>
        <x:v>NO</x:v>
      </x:c>
      <x:c r="AG824" s="214" t="str">
        <x:f>IF(AF824&lt;&gt;"YES","",(IF(V824="YES",1,0)+IF(W824="YES",1,0))/2)</x:f>
      </x:c>
    </x:row>
    <x:row r="825">
      <x:c r="A825" s="57" t="inlineStr">
        <x:is>
          <x:t xml:space="preserve">C0820</x:t>
        </x:is>
      </x:c>
      <x:c r="B825" s="57" t="inlineStr">
        <x:is>
          <x:t xml:space="preserve">Holdout</x:t>
        </x:is>
      </x:c>
      <x:c r="C825" s="57" t="inlineStr">
        <x:is>
          <x:t xml:space="preserve">LOCKED</x:t>
        </x:is>
      </x:c>
      <x:c r="D825" s="57" t="inlineStr">
        <x:is>
          <x:t xml:space="preserve">ARG-082</x:t>
        </x:is>
      </x:c>
      <x:c r="E825" s="75" t="str">
        <x:f>INDEX('Company Universe'!$B$6:$B$105,MATCH(D825,'Company Universe'!$A$6:$A$105,0))</x:f>
        <x:v>Frontline</x:v>
      </x:c>
      <x:c r="F825" s="75" t="str">
        <x:f>INDEX('Company Universe'!$C$6:$C$105,MATCH(D825,'Company Universe'!$A$6:$A$105,0))</x:f>
        <x:v>FRO</x:v>
      </x:c>
      <x:c r="G825" s="75" t="str">
        <x:f>INDEX('Company Universe'!$F$6:$F$105,MATCH(D825,'Company Universe'!$A$6:$A$105,0))</x:f>
        <x:v>Shipping</x:v>
      </x:c>
      <x:c r="H825" s="57" t="n">
        <x:v>10</x:v>
      </x:c>
      <x:c r="I825" s="206" t="n"/>
      <x:c r="J825" s="71" t="n"/>
      <x:c r="K825" s="71" t="n"/>
      <x:c r="L825" s="71" t="inlineStr">
        <x:is>
          <x:t xml:space="preserve">NO</x:t>
        </x:is>
      </x:c>
      <x:c r="M825" s="71" t="n"/>
      <x:c r="N825" s="71" t="n"/>
      <x:c r="O825" s="71" t="n"/>
      <x:c r="P825" s="71" t="n"/>
      <x:c r="Q825" s="71" t="n"/>
      <x:c r="R825" s="71" t="n"/>
      <x:c r="S825" s="206" t="n"/>
      <x:c r="T825" s="71" t="n"/>
      <x:c r="U825" s="71" t="n"/>
      <x:c r="V825" s="71" t="n"/>
      <x:c r="W825" s="71" t="n"/>
      <x:c r="X825" s="71" t="n"/>
      <x:c r="Y825" s="71" t="n"/>
      <x:c r="Z825" s="71" t="n"/>
      <x:c r="AA825" s="71" t="n"/>
      <x:c r="AB825" s="71" t="inlineStr">
        <x:is>
          <x:t xml:space="preserve">NO</x:t>
        </x:is>
      </x:c>
      <x:c r="AC825" s="57" t="inlineStr">
        <x:is>
          <x:t xml:space="preserve">V10</x:t>
        </x:is>
      </x:c>
      <x:c r="AD825" s="57" t="n"/>
      <x:c r="AE825" s="79" t="str">
        <x:f>IF(AND(I825&lt;&gt;"",J825&lt;&gt;"",K825&lt;&gt;"",L825="YES",M825&lt;&gt;"",S825&lt;&gt;"",T825&lt;&gt;"",U825&lt;&gt;"",V825&lt;&gt;"",W825&lt;&gt;"",X825&lt;&gt;"",Y825&lt;&gt;""),"COMPLETE","PENDING")</x:f>
        <x:v>PENDING</x:v>
      </x:c>
      <x:c r="AF825" s="79" t="str">
        <x:f>IF(AE825="COMPLETE","YES","NO")</x:f>
        <x:v>NO</x:v>
      </x:c>
      <x:c r="AG825" s="214" t="str">
        <x:f>IF(AF825&lt;&gt;"YES","",(IF(V825="YES",1,0)+IF(W825="YES",1,0))/2)</x:f>
      </x:c>
    </x:row>
    <x:row r="826">
      <x:c r="A826" s="57" t="inlineStr">
        <x:is>
          <x:t xml:space="preserve">C0821</x:t>
        </x:is>
      </x:c>
      <x:c r="B826" s="57" t="inlineStr">
        <x:is>
          <x:t xml:space="preserve">Holdout</x:t>
        </x:is>
      </x:c>
      <x:c r="C826" s="57" t="inlineStr">
        <x:is>
          <x:t xml:space="preserve">LOCKED</x:t>
        </x:is>
      </x:c>
      <x:c r="D826" s="57" t="inlineStr">
        <x:is>
          <x:t xml:space="preserve">ARG-083</x:t>
        </x:is>
      </x:c>
      <x:c r="E826" s="75" t="str">
        <x:f>INDEX('Company Universe'!$B$6:$B$105,MATCH(D826,'Company Universe'!$A$6:$A$105,0))</x:f>
        <x:v>Lloyds Banking Group</x:v>
      </x:c>
      <x:c r="F826" s="75" t="str">
        <x:f>INDEX('Company Universe'!$C$6:$C$105,MATCH(D826,'Company Universe'!$A$6:$A$105,0))</x:f>
        <x:v>LLOY</x:v>
      </x:c>
      <x:c r="G826" s="75" t="str">
        <x:f>INDEX('Company Universe'!$F$6:$F$105,MATCH(D826,'Company Universe'!$A$6:$A$105,0))</x:f>
        <x:v>Banks</x:v>
      </x:c>
      <x:c r="H826" s="57" t="n">
        <x:v>1</x:v>
      </x:c>
      <x:c r="I826" s="206" t="n"/>
      <x:c r="J826" s="71" t="n"/>
      <x:c r="K826" s="71" t="n"/>
      <x:c r="L826" s="71" t="inlineStr">
        <x:is>
          <x:t xml:space="preserve">NO</x:t>
        </x:is>
      </x:c>
      <x:c r="M826" s="71" t="n"/>
      <x:c r="N826" s="71" t="n"/>
      <x:c r="O826" s="71" t="n"/>
      <x:c r="P826" s="71" t="n"/>
      <x:c r="Q826" s="71" t="n"/>
      <x:c r="R826" s="71" t="n"/>
      <x:c r="S826" s="206" t="n"/>
      <x:c r="T826" s="71" t="n"/>
      <x:c r="U826" s="71" t="n"/>
      <x:c r="V826" s="71" t="n"/>
      <x:c r="W826" s="71" t="n"/>
      <x:c r="X826" s="71" t="n"/>
      <x:c r="Y826" s="71" t="n"/>
      <x:c r="Z826" s="71" t="n"/>
      <x:c r="AA826" s="71" t="n"/>
      <x:c r="AB826" s="71" t="inlineStr">
        <x:is>
          <x:t xml:space="preserve">NO</x:t>
        </x:is>
      </x:c>
      <x:c r="AC826" s="57" t="inlineStr">
        <x:is>
          <x:t xml:space="preserve">V10</x:t>
        </x:is>
      </x:c>
      <x:c r="AD826" s="57" t="n"/>
      <x:c r="AE826" s="79" t="str">
        <x:f>IF(AND(I826&lt;&gt;"",J826&lt;&gt;"",K826&lt;&gt;"",L826="YES",M826&lt;&gt;"",S826&lt;&gt;"",T826&lt;&gt;"",U826&lt;&gt;"",V826&lt;&gt;"",W826&lt;&gt;"",X826&lt;&gt;"",Y826&lt;&gt;""),"COMPLETE","PENDING")</x:f>
        <x:v>PENDING</x:v>
      </x:c>
      <x:c r="AF826" s="79" t="str">
        <x:f>IF(AE826="COMPLETE","YES","NO")</x:f>
        <x:v>NO</x:v>
      </x:c>
      <x:c r="AG826" s="214" t="str">
        <x:f>IF(AF826&lt;&gt;"YES","",(IF(V826="YES",1,0)+IF(W826="YES",1,0))/2)</x:f>
      </x:c>
    </x:row>
    <x:row r="827">
      <x:c r="A827" s="57" t="inlineStr">
        <x:is>
          <x:t xml:space="preserve">C0822</x:t>
        </x:is>
      </x:c>
      <x:c r="B827" s="57" t="inlineStr">
        <x:is>
          <x:t xml:space="preserve">Holdout</x:t>
        </x:is>
      </x:c>
      <x:c r="C827" s="57" t="inlineStr">
        <x:is>
          <x:t xml:space="preserve">LOCKED</x:t>
        </x:is>
      </x:c>
      <x:c r="D827" s="57" t="inlineStr">
        <x:is>
          <x:t xml:space="preserve">ARG-083</x:t>
        </x:is>
      </x:c>
      <x:c r="E827" s="75" t="str">
        <x:f>INDEX('Company Universe'!$B$6:$B$105,MATCH(D827,'Company Universe'!$A$6:$A$105,0))</x:f>
        <x:v>Lloyds Banking Group</x:v>
      </x:c>
      <x:c r="F827" s="75" t="str">
        <x:f>INDEX('Company Universe'!$C$6:$C$105,MATCH(D827,'Company Universe'!$A$6:$A$105,0))</x:f>
        <x:v>LLOY</x:v>
      </x:c>
      <x:c r="G827" s="75" t="str">
        <x:f>INDEX('Company Universe'!$F$6:$F$105,MATCH(D827,'Company Universe'!$A$6:$A$105,0))</x:f>
        <x:v>Banks</x:v>
      </x:c>
      <x:c r="H827" s="57" t="n">
        <x:v>2</x:v>
      </x:c>
      <x:c r="I827" s="206" t="n"/>
      <x:c r="J827" s="71" t="n"/>
      <x:c r="K827" s="71" t="n"/>
      <x:c r="L827" s="71" t="inlineStr">
        <x:is>
          <x:t xml:space="preserve">NO</x:t>
        </x:is>
      </x:c>
      <x:c r="M827" s="71" t="n"/>
      <x:c r="N827" s="71" t="n"/>
      <x:c r="O827" s="71" t="n"/>
      <x:c r="P827" s="71" t="n"/>
      <x:c r="Q827" s="71" t="n"/>
      <x:c r="R827" s="71" t="n"/>
      <x:c r="S827" s="206" t="n"/>
      <x:c r="T827" s="71" t="n"/>
      <x:c r="U827" s="71" t="n"/>
      <x:c r="V827" s="71" t="n"/>
      <x:c r="W827" s="71" t="n"/>
      <x:c r="X827" s="71" t="n"/>
      <x:c r="Y827" s="71" t="n"/>
      <x:c r="Z827" s="71" t="n"/>
      <x:c r="AA827" s="71" t="n"/>
      <x:c r="AB827" s="71" t="inlineStr">
        <x:is>
          <x:t xml:space="preserve">NO</x:t>
        </x:is>
      </x:c>
      <x:c r="AC827" s="57" t="inlineStr">
        <x:is>
          <x:t xml:space="preserve">V10</x:t>
        </x:is>
      </x:c>
      <x:c r="AD827" s="57" t="n"/>
      <x:c r="AE827" s="79" t="str">
        <x:f>IF(AND(I827&lt;&gt;"",J827&lt;&gt;"",K827&lt;&gt;"",L827="YES",M827&lt;&gt;"",S827&lt;&gt;"",T827&lt;&gt;"",U827&lt;&gt;"",V827&lt;&gt;"",W827&lt;&gt;"",X827&lt;&gt;"",Y827&lt;&gt;""),"COMPLETE","PENDING")</x:f>
        <x:v>PENDING</x:v>
      </x:c>
      <x:c r="AF827" s="79" t="str">
        <x:f>IF(AE827="COMPLETE","YES","NO")</x:f>
        <x:v>NO</x:v>
      </x:c>
      <x:c r="AG827" s="214" t="str">
        <x:f>IF(AF827&lt;&gt;"YES","",(IF(V827="YES",1,0)+IF(W827="YES",1,0))/2)</x:f>
      </x:c>
    </x:row>
    <x:row r="828">
      <x:c r="A828" s="57" t="inlineStr">
        <x:is>
          <x:t xml:space="preserve">C0823</x:t>
        </x:is>
      </x:c>
      <x:c r="B828" s="57" t="inlineStr">
        <x:is>
          <x:t xml:space="preserve">Holdout</x:t>
        </x:is>
      </x:c>
      <x:c r="C828" s="57" t="inlineStr">
        <x:is>
          <x:t xml:space="preserve">LOCKED</x:t>
        </x:is>
      </x:c>
      <x:c r="D828" s="57" t="inlineStr">
        <x:is>
          <x:t xml:space="preserve">ARG-083</x:t>
        </x:is>
      </x:c>
      <x:c r="E828" s="75" t="str">
        <x:f>INDEX('Company Universe'!$B$6:$B$105,MATCH(D828,'Company Universe'!$A$6:$A$105,0))</x:f>
        <x:v>Lloyds Banking Group</x:v>
      </x:c>
      <x:c r="F828" s="75" t="str">
        <x:f>INDEX('Company Universe'!$C$6:$C$105,MATCH(D828,'Company Universe'!$A$6:$A$105,0))</x:f>
        <x:v>LLOY</x:v>
      </x:c>
      <x:c r="G828" s="75" t="str">
        <x:f>INDEX('Company Universe'!$F$6:$F$105,MATCH(D828,'Company Universe'!$A$6:$A$105,0))</x:f>
        <x:v>Banks</x:v>
      </x:c>
      <x:c r="H828" s="57" t="n">
        <x:v>3</x:v>
      </x:c>
      <x:c r="I828" s="206" t="n"/>
      <x:c r="J828" s="71" t="n"/>
      <x:c r="K828" s="71" t="n"/>
      <x:c r="L828" s="71" t="inlineStr">
        <x:is>
          <x:t xml:space="preserve">NO</x:t>
        </x:is>
      </x:c>
      <x:c r="M828" s="71" t="n"/>
      <x:c r="N828" s="71" t="n"/>
      <x:c r="O828" s="71" t="n"/>
      <x:c r="P828" s="71" t="n"/>
      <x:c r="Q828" s="71" t="n"/>
      <x:c r="R828" s="71" t="n"/>
      <x:c r="S828" s="206" t="n"/>
      <x:c r="T828" s="71" t="n"/>
      <x:c r="U828" s="71" t="n"/>
      <x:c r="V828" s="71" t="n"/>
      <x:c r="W828" s="71" t="n"/>
      <x:c r="X828" s="71" t="n"/>
      <x:c r="Y828" s="71" t="n"/>
      <x:c r="Z828" s="71" t="n"/>
      <x:c r="AA828" s="71" t="n"/>
      <x:c r="AB828" s="71" t="inlineStr">
        <x:is>
          <x:t xml:space="preserve">NO</x:t>
        </x:is>
      </x:c>
      <x:c r="AC828" s="57" t="inlineStr">
        <x:is>
          <x:t xml:space="preserve">V10</x:t>
        </x:is>
      </x:c>
      <x:c r="AD828" s="57" t="n"/>
      <x:c r="AE828" s="79" t="str">
        <x:f>IF(AND(I828&lt;&gt;"",J828&lt;&gt;"",K828&lt;&gt;"",L828="YES",M828&lt;&gt;"",S828&lt;&gt;"",T828&lt;&gt;"",U828&lt;&gt;"",V828&lt;&gt;"",W828&lt;&gt;"",X828&lt;&gt;"",Y828&lt;&gt;""),"COMPLETE","PENDING")</x:f>
        <x:v>PENDING</x:v>
      </x:c>
      <x:c r="AF828" s="79" t="str">
        <x:f>IF(AE828="COMPLETE","YES","NO")</x:f>
        <x:v>NO</x:v>
      </x:c>
      <x:c r="AG828" s="214" t="str">
        <x:f>IF(AF828&lt;&gt;"YES","",(IF(V828="YES",1,0)+IF(W828="YES",1,0))/2)</x:f>
      </x:c>
    </x:row>
    <x:row r="829">
      <x:c r="A829" s="57" t="inlineStr">
        <x:is>
          <x:t xml:space="preserve">C0824</x:t>
        </x:is>
      </x:c>
      <x:c r="B829" s="57" t="inlineStr">
        <x:is>
          <x:t xml:space="preserve">Holdout</x:t>
        </x:is>
      </x:c>
      <x:c r="C829" s="57" t="inlineStr">
        <x:is>
          <x:t xml:space="preserve">LOCKED</x:t>
        </x:is>
      </x:c>
      <x:c r="D829" s="57" t="inlineStr">
        <x:is>
          <x:t xml:space="preserve">ARG-083</x:t>
        </x:is>
      </x:c>
      <x:c r="E829" s="75" t="str">
        <x:f>INDEX('Company Universe'!$B$6:$B$105,MATCH(D829,'Company Universe'!$A$6:$A$105,0))</x:f>
        <x:v>Lloyds Banking Group</x:v>
      </x:c>
      <x:c r="F829" s="75" t="str">
        <x:f>INDEX('Company Universe'!$C$6:$C$105,MATCH(D829,'Company Universe'!$A$6:$A$105,0))</x:f>
        <x:v>LLOY</x:v>
      </x:c>
      <x:c r="G829" s="75" t="str">
        <x:f>INDEX('Company Universe'!$F$6:$F$105,MATCH(D829,'Company Universe'!$A$6:$A$105,0))</x:f>
        <x:v>Banks</x:v>
      </x:c>
      <x:c r="H829" s="57" t="n">
        <x:v>4</x:v>
      </x:c>
      <x:c r="I829" s="206" t="n"/>
      <x:c r="J829" s="71" t="n"/>
      <x:c r="K829" s="71" t="n"/>
      <x:c r="L829" s="71" t="inlineStr">
        <x:is>
          <x:t xml:space="preserve">NO</x:t>
        </x:is>
      </x:c>
      <x:c r="M829" s="71" t="n"/>
      <x:c r="N829" s="71" t="n"/>
      <x:c r="O829" s="71" t="n"/>
      <x:c r="P829" s="71" t="n"/>
      <x:c r="Q829" s="71" t="n"/>
      <x:c r="R829" s="71" t="n"/>
      <x:c r="S829" s="206" t="n"/>
      <x:c r="T829" s="71" t="n"/>
      <x:c r="U829" s="71" t="n"/>
      <x:c r="V829" s="71" t="n"/>
      <x:c r="W829" s="71" t="n"/>
      <x:c r="X829" s="71" t="n"/>
      <x:c r="Y829" s="71" t="n"/>
      <x:c r="Z829" s="71" t="n"/>
      <x:c r="AA829" s="71" t="n"/>
      <x:c r="AB829" s="71" t="inlineStr">
        <x:is>
          <x:t xml:space="preserve">NO</x:t>
        </x:is>
      </x:c>
      <x:c r="AC829" s="57" t="inlineStr">
        <x:is>
          <x:t xml:space="preserve">V10</x:t>
        </x:is>
      </x:c>
      <x:c r="AD829" s="57" t="n"/>
      <x:c r="AE829" s="79" t="str">
        <x:f>IF(AND(I829&lt;&gt;"",J829&lt;&gt;"",K829&lt;&gt;"",L829="YES",M829&lt;&gt;"",S829&lt;&gt;"",T829&lt;&gt;"",U829&lt;&gt;"",V829&lt;&gt;"",W829&lt;&gt;"",X829&lt;&gt;"",Y829&lt;&gt;""),"COMPLETE","PENDING")</x:f>
        <x:v>PENDING</x:v>
      </x:c>
      <x:c r="AF829" s="79" t="str">
        <x:f>IF(AE829="COMPLETE","YES","NO")</x:f>
        <x:v>NO</x:v>
      </x:c>
      <x:c r="AG829" s="214" t="str">
        <x:f>IF(AF829&lt;&gt;"YES","",(IF(V829="YES",1,0)+IF(W829="YES",1,0))/2)</x:f>
      </x:c>
    </x:row>
    <x:row r="830">
      <x:c r="A830" s="57" t="inlineStr">
        <x:is>
          <x:t xml:space="preserve">C0825</x:t>
        </x:is>
      </x:c>
      <x:c r="B830" s="57" t="inlineStr">
        <x:is>
          <x:t xml:space="preserve">Holdout</x:t>
        </x:is>
      </x:c>
      <x:c r="C830" s="57" t="inlineStr">
        <x:is>
          <x:t xml:space="preserve">LOCKED</x:t>
        </x:is>
      </x:c>
      <x:c r="D830" s="57" t="inlineStr">
        <x:is>
          <x:t xml:space="preserve">ARG-083</x:t>
        </x:is>
      </x:c>
      <x:c r="E830" s="75" t="str">
        <x:f>INDEX('Company Universe'!$B$6:$B$105,MATCH(D830,'Company Universe'!$A$6:$A$105,0))</x:f>
        <x:v>Lloyds Banking Group</x:v>
      </x:c>
      <x:c r="F830" s="75" t="str">
        <x:f>INDEX('Company Universe'!$C$6:$C$105,MATCH(D830,'Company Universe'!$A$6:$A$105,0))</x:f>
        <x:v>LLOY</x:v>
      </x:c>
      <x:c r="G830" s="75" t="str">
        <x:f>INDEX('Company Universe'!$F$6:$F$105,MATCH(D830,'Company Universe'!$A$6:$A$105,0))</x:f>
        <x:v>Banks</x:v>
      </x:c>
      <x:c r="H830" s="57" t="n">
        <x:v>5</x:v>
      </x:c>
      <x:c r="I830" s="206" t="n"/>
      <x:c r="J830" s="71" t="n"/>
      <x:c r="K830" s="71" t="n"/>
      <x:c r="L830" s="71" t="inlineStr">
        <x:is>
          <x:t xml:space="preserve">NO</x:t>
        </x:is>
      </x:c>
      <x:c r="M830" s="71" t="n"/>
      <x:c r="N830" s="71" t="n"/>
      <x:c r="O830" s="71" t="n"/>
      <x:c r="P830" s="71" t="n"/>
      <x:c r="Q830" s="71" t="n"/>
      <x:c r="R830" s="71" t="n"/>
      <x:c r="S830" s="206" t="n"/>
      <x:c r="T830" s="71" t="n"/>
      <x:c r="U830" s="71" t="n"/>
      <x:c r="V830" s="71" t="n"/>
      <x:c r="W830" s="71" t="n"/>
      <x:c r="X830" s="71" t="n"/>
      <x:c r="Y830" s="71" t="n"/>
      <x:c r="Z830" s="71" t="n"/>
      <x:c r="AA830" s="71" t="n"/>
      <x:c r="AB830" s="71" t="inlineStr">
        <x:is>
          <x:t xml:space="preserve">NO</x:t>
        </x:is>
      </x:c>
      <x:c r="AC830" s="57" t="inlineStr">
        <x:is>
          <x:t xml:space="preserve">V10</x:t>
        </x:is>
      </x:c>
      <x:c r="AD830" s="57" t="n"/>
      <x:c r="AE830" s="79" t="str">
        <x:f>IF(AND(I830&lt;&gt;"",J830&lt;&gt;"",K830&lt;&gt;"",L830="YES",M830&lt;&gt;"",S830&lt;&gt;"",T830&lt;&gt;"",U830&lt;&gt;"",V830&lt;&gt;"",W830&lt;&gt;"",X830&lt;&gt;"",Y830&lt;&gt;""),"COMPLETE","PENDING")</x:f>
        <x:v>PENDING</x:v>
      </x:c>
      <x:c r="AF830" s="79" t="str">
        <x:f>IF(AE830="COMPLETE","YES","NO")</x:f>
        <x:v>NO</x:v>
      </x:c>
      <x:c r="AG830" s="214" t="str">
        <x:f>IF(AF830&lt;&gt;"YES","",(IF(V830="YES",1,0)+IF(W830="YES",1,0))/2)</x:f>
      </x:c>
    </x:row>
    <x:row r="831">
      <x:c r="A831" s="57" t="inlineStr">
        <x:is>
          <x:t xml:space="preserve">C0826</x:t>
        </x:is>
      </x:c>
      <x:c r="B831" s="57" t="inlineStr">
        <x:is>
          <x:t xml:space="preserve">Holdout</x:t>
        </x:is>
      </x:c>
      <x:c r="C831" s="57" t="inlineStr">
        <x:is>
          <x:t xml:space="preserve">LOCKED</x:t>
        </x:is>
      </x:c>
      <x:c r="D831" s="57" t="inlineStr">
        <x:is>
          <x:t xml:space="preserve">ARG-083</x:t>
        </x:is>
      </x:c>
      <x:c r="E831" s="75" t="str">
        <x:f>INDEX('Company Universe'!$B$6:$B$105,MATCH(D831,'Company Universe'!$A$6:$A$105,0))</x:f>
        <x:v>Lloyds Banking Group</x:v>
      </x:c>
      <x:c r="F831" s="75" t="str">
        <x:f>INDEX('Company Universe'!$C$6:$C$105,MATCH(D831,'Company Universe'!$A$6:$A$105,0))</x:f>
        <x:v>LLOY</x:v>
      </x:c>
      <x:c r="G831" s="75" t="str">
        <x:f>INDEX('Company Universe'!$F$6:$F$105,MATCH(D831,'Company Universe'!$A$6:$A$105,0))</x:f>
        <x:v>Banks</x:v>
      </x:c>
      <x:c r="H831" s="57" t="n">
        <x:v>6</x:v>
      </x:c>
      <x:c r="I831" s="206" t="n"/>
      <x:c r="J831" s="71" t="n"/>
      <x:c r="K831" s="71" t="n"/>
      <x:c r="L831" s="71" t="inlineStr">
        <x:is>
          <x:t xml:space="preserve">NO</x:t>
        </x:is>
      </x:c>
      <x:c r="M831" s="71" t="n"/>
      <x:c r="N831" s="71" t="n"/>
      <x:c r="O831" s="71" t="n"/>
      <x:c r="P831" s="71" t="n"/>
      <x:c r="Q831" s="71" t="n"/>
      <x:c r="R831" s="71" t="n"/>
      <x:c r="S831" s="206" t="n"/>
      <x:c r="T831" s="71" t="n"/>
      <x:c r="U831" s="71" t="n"/>
      <x:c r="V831" s="71" t="n"/>
      <x:c r="W831" s="71" t="n"/>
      <x:c r="X831" s="71" t="n"/>
      <x:c r="Y831" s="71" t="n"/>
      <x:c r="Z831" s="71" t="n"/>
      <x:c r="AA831" s="71" t="n"/>
      <x:c r="AB831" s="71" t="inlineStr">
        <x:is>
          <x:t xml:space="preserve">NO</x:t>
        </x:is>
      </x:c>
      <x:c r="AC831" s="57" t="inlineStr">
        <x:is>
          <x:t xml:space="preserve">V10</x:t>
        </x:is>
      </x:c>
      <x:c r="AD831" s="57" t="n"/>
      <x:c r="AE831" s="79" t="str">
        <x:f>IF(AND(I831&lt;&gt;"",J831&lt;&gt;"",K831&lt;&gt;"",L831="YES",M831&lt;&gt;"",S831&lt;&gt;"",T831&lt;&gt;"",U831&lt;&gt;"",V831&lt;&gt;"",W831&lt;&gt;"",X831&lt;&gt;"",Y831&lt;&gt;""),"COMPLETE","PENDING")</x:f>
        <x:v>PENDING</x:v>
      </x:c>
      <x:c r="AF831" s="79" t="str">
        <x:f>IF(AE831="COMPLETE","YES","NO")</x:f>
        <x:v>NO</x:v>
      </x:c>
      <x:c r="AG831" s="214" t="str">
        <x:f>IF(AF831&lt;&gt;"YES","",(IF(V831="YES",1,0)+IF(W831="YES",1,0))/2)</x:f>
      </x:c>
    </x:row>
    <x:row r="832">
      <x:c r="A832" s="57" t="inlineStr">
        <x:is>
          <x:t xml:space="preserve">C0827</x:t>
        </x:is>
      </x:c>
      <x:c r="B832" s="57" t="inlineStr">
        <x:is>
          <x:t xml:space="preserve">Holdout</x:t>
        </x:is>
      </x:c>
      <x:c r="C832" s="57" t="inlineStr">
        <x:is>
          <x:t xml:space="preserve">LOCKED</x:t>
        </x:is>
      </x:c>
      <x:c r="D832" s="57" t="inlineStr">
        <x:is>
          <x:t xml:space="preserve">ARG-083</x:t>
        </x:is>
      </x:c>
      <x:c r="E832" s="75" t="str">
        <x:f>INDEX('Company Universe'!$B$6:$B$105,MATCH(D832,'Company Universe'!$A$6:$A$105,0))</x:f>
        <x:v>Lloyds Banking Group</x:v>
      </x:c>
      <x:c r="F832" s="75" t="str">
        <x:f>INDEX('Company Universe'!$C$6:$C$105,MATCH(D832,'Company Universe'!$A$6:$A$105,0))</x:f>
        <x:v>LLOY</x:v>
      </x:c>
      <x:c r="G832" s="75" t="str">
        <x:f>INDEX('Company Universe'!$F$6:$F$105,MATCH(D832,'Company Universe'!$A$6:$A$105,0))</x:f>
        <x:v>Banks</x:v>
      </x:c>
      <x:c r="H832" s="57" t="n">
        <x:v>7</x:v>
      </x:c>
      <x:c r="I832" s="206" t="n"/>
      <x:c r="J832" s="71" t="n"/>
      <x:c r="K832" s="71" t="n"/>
      <x:c r="L832" s="71" t="inlineStr">
        <x:is>
          <x:t xml:space="preserve">NO</x:t>
        </x:is>
      </x:c>
      <x:c r="M832" s="71" t="n"/>
      <x:c r="N832" s="71" t="n"/>
      <x:c r="O832" s="71" t="n"/>
      <x:c r="P832" s="71" t="n"/>
      <x:c r="Q832" s="71" t="n"/>
      <x:c r="R832" s="71" t="n"/>
      <x:c r="S832" s="206" t="n"/>
      <x:c r="T832" s="71" t="n"/>
      <x:c r="U832" s="71" t="n"/>
      <x:c r="V832" s="71" t="n"/>
      <x:c r="W832" s="71" t="n"/>
      <x:c r="X832" s="71" t="n"/>
      <x:c r="Y832" s="71" t="n"/>
      <x:c r="Z832" s="71" t="n"/>
      <x:c r="AA832" s="71" t="n"/>
      <x:c r="AB832" s="71" t="inlineStr">
        <x:is>
          <x:t xml:space="preserve">NO</x:t>
        </x:is>
      </x:c>
      <x:c r="AC832" s="57" t="inlineStr">
        <x:is>
          <x:t xml:space="preserve">V10</x:t>
        </x:is>
      </x:c>
      <x:c r="AD832" s="57" t="n"/>
      <x:c r="AE832" s="79" t="str">
        <x:f>IF(AND(I832&lt;&gt;"",J832&lt;&gt;"",K832&lt;&gt;"",L832="YES",M832&lt;&gt;"",S832&lt;&gt;"",T832&lt;&gt;"",U832&lt;&gt;"",V832&lt;&gt;"",W832&lt;&gt;"",X832&lt;&gt;"",Y832&lt;&gt;""),"COMPLETE","PENDING")</x:f>
        <x:v>PENDING</x:v>
      </x:c>
      <x:c r="AF832" s="79" t="str">
        <x:f>IF(AE832="COMPLETE","YES","NO")</x:f>
        <x:v>NO</x:v>
      </x:c>
      <x:c r="AG832" s="214" t="str">
        <x:f>IF(AF832&lt;&gt;"YES","",(IF(V832="YES",1,0)+IF(W832="YES",1,0))/2)</x:f>
      </x:c>
    </x:row>
    <x:row r="833">
      <x:c r="A833" s="57" t="inlineStr">
        <x:is>
          <x:t xml:space="preserve">C0828</x:t>
        </x:is>
      </x:c>
      <x:c r="B833" s="57" t="inlineStr">
        <x:is>
          <x:t xml:space="preserve">Holdout</x:t>
        </x:is>
      </x:c>
      <x:c r="C833" s="57" t="inlineStr">
        <x:is>
          <x:t xml:space="preserve">LOCKED</x:t>
        </x:is>
      </x:c>
      <x:c r="D833" s="57" t="inlineStr">
        <x:is>
          <x:t xml:space="preserve">ARG-083</x:t>
        </x:is>
      </x:c>
      <x:c r="E833" s="75" t="str">
        <x:f>INDEX('Company Universe'!$B$6:$B$105,MATCH(D833,'Company Universe'!$A$6:$A$105,0))</x:f>
        <x:v>Lloyds Banking Group</x:v>
      </x:c>
      <x:c r="F833" s="75" t="str">
        <x:f>INDEX('Company Universe'!$C$6:$C$105,MATCH(D833,'Company Universe'!$A$6:$A$105,0))</x:f>
        <x:v>LLOY</x:v>
      </x:c>
      <x:c r="G833" s="75" t="str">
        <x:f>INDEX('Company Universe'!$F$6:$F$105,MATCH(D833,'Company Universe'!$A$6:$A$105,0))</x:f>
        <x:v>Banks</x:v>
      </x:c>
      <x:c r="H833" s="57" t="n">
        <x:v>8</x:v>
      </x:c>
      <x:c r="I833" s="206" t="n"/>
      <x:c r="J833" s="71" t="n"/>
      <x:c r="K833" s="71" t="n"/>
      <x:c r="L833" s="71" t="inlineStr">
        <x:is>
          <x:t xml:space="preserve">NO</x:t>
        </x:is>
      </x:c>
      <x:c r="M833" s="71" t="n"/>
      <x:c r="N833" s="71" t="n"/>
      <x:c r="O833" s="71" t="n"/>
      <x:c r="P833" s="71" t="n"/>
      <x:c r="Q833" s="71" t="n"/>
      <x:c r="R833" s="71" t="n"/>
      <x:c r="S833" s="206" t="n"/>
      <x:c r="T833" s="71" t="n"/>
      <x:c r="U833" s="71" t="n"/>
      <x:c r="V833" s="71" t="n"/>
      <x:c r="W833" s="71" t="n"/>
      <x:c r="X833" s="71" t="n"/>
      <x:c r="Y833" s="71" t="n"/>
      <x:c r="Z833" s="71" t="n"/>
      <x:c r="AA833" s="71" t="n"/>
      <x:c r="AB833" s="71" t="inlineStr">
        <x:is>
          <x:t xml:space="preserve">NO</x:t>
        </x:is>
      </x:c>
      <x:c r="AC833" s="57" t="inlineStr">
        <x:is>
          <x:t xml:space="preserve">V10</x:t>
        </x:is>
      </x:c>
      <x:c r="AD833" s="57" t="n"/>
      <x:c r="AE833" s="79" t="str">
        <x:f>IF(AND(I833&lt;&gt;"",J833&lt;&gt;"",K833&lt;&gt;"",L833="YES",M833&lt;&gt;"",S833&lt;&gt;"",T833&lt;&gt;"",U833&lt;&gt;"",V833&lt;&gt;"",W833&lt;&gt;"",X833&lt;&gt;"",Y833&lt;&gt;""),"COMPLETE","PENDING")</x:f>
        <x:v>PENDING</x:v>
      </x:c>
      <x:c r="AF833" s="79" t="str">
        <x:f>IF(AE833="COMPLETE","YES","NO")</x:f>
        <x:v>NO</x:v>
      </x:c>
      <x:c r="AG833" s="214" t="str">
        <x:f>IF(AF833&lt;&gt;"YES","",(IF(V833="YES",1,0)+IF(W833="YES",1,0))/2)</x:f>
      </x:c>
    </x:row>
    <x:row r="834">
      <x:c r="A834" s="57" t="inlineStr">
        <x:is>
          <x:t xml:space="preserve">C0829</x:t>
        </x:is>
      </x:c>
      <x:c r="B834" s="57" t="inlineStr">
        <x:is>
          <x:t xml:space="preserve">Holdout</x:t>
        </x:is>
      </x:c>
      <x:c r="C834" s="57" t="inlineStr">
        <x:is>
          <x:t xml:space="preserve">LOCKED</x:t>
        </x:is>
      </x:c>
      <x:c r="D834" s="57" t="inlineStr">
        <x:is>
          <x:t xml:space="preserve">ARG-083</x:t>
        </x:is>
      </x:c>
      <x:c r="E834" s="75" t="str">
        <x:f>INDEX('Company Universe'!$B$6:$B$105,MATCH(D834,'Company Universe'!$A$6:$A$105,0))</x:f>
        <x:v>Lloyds Banking Group</x:v>
      </x:c>
      <x:c r="F834" s="75" t="str">
        <x:f>INDEX('Company Universe'!$C$6:$C$105,MATCH(D834,'Company Universe'!$A$6:$A$105,0))</x:f>
        <x:v>LLOY</x:v>
      </x:c>
      <x:c r="G834" s="75" t="str">
        <x:f>INDEX('Company Universe'!$F$6:$F$105,MATCH(D834,'Company Universe'!$A$6:$A$105,0))</x:f>
        <x:v>Banks</x:v>
      </x:c>
      <x:c r="H834" s="57" t="n">
        <x:v>9</x:v>
      </x:c>
      <x:c r="I834" s="206" t="n"/>
      <x:c r="J834" s="71" t="n"/>
      <x:c r="K834" s="71" t="n"/>
      <x:c r="L834" s="71" t="inlineStr">
        <x:is>
          <x:t xml:space="preserve">NO</x:t>
        </x:is>
      </x:c>
      <x:c r="M834" s="71" t="n"/>
      <x:c r="N834" s="71" t="n"/>
      <x:c r="O834" s="71" t="n"/>
      <x:c r="P834" s="71" t="n"/>
      <x:c r="Q834" s="71" t="n"/>
      <x:c r="R834" s="71" t="n"/>
      <x:c r="S834" s="206" t="n"/>
      <x:c r="T834" s="71" t="n"/>
      <x:c r="U834" s="71" t="n"/>
      <x:c r="V834" s="71" t="n"/>
      <x:c r="W834" s="71" t="n"/>
      <x:c r="X834" s="71" t="n"/>
      <x:c r="Y834" s="71" t="n"/>
      <x:c r="Z834" s="71" t="n"/>
      <x:c r="AA834" s="71" t="n"/>
      <x:c r="AB834" s="71" t="inlineStr">
        <x:is>
          <x:t xml:space="preserve">NO</x:t>
        </x:is>
      </x:c>
      <x:c r="AC834" s="57" t="inlineStr">
        <x:is>
          <x:t xml:space="preserve">V10</x:t>
        </x:is>
      </x:c>
      <x:c r="AD834" s="57" t="n"/>
      <x:c r="AE834" s="79" t="str">
        <x:f>IF(AND(I834&lt;&gt;"",J834&lt;&gt;"",K834&lt;&gt;"",L834="YES",M834&lt;&gt;"",S834&lt;&gt;"",T834&lt;&gt;"",U834&lt;&gt;"",V834&lt;&gt;"",W834&lt;&gt;"",X834&lt;&gt;"",Y834&lt;&gt;""),"COMPLETE","PENDING")</x:f>
        <x:v>PENDING</x:v>
      </x:c>
      <x:c r="AF834" s="79" t="str">
        <x:f>IF(AE834="COMPLETE","YES","NO")</x:f>
        <x:v>NO</x:v>
      </x:c>
      <x:c r="AG834" s="214" t="str">
        <x:f>IF(AF834&lt;&gt;"YES","",(IF(V834="YES",1,0)+IF(W834="YES",1,0))/2)</x:f>
      </x:c>
    </x:row>
    <x:row r="835">
      <x:c r="A835" s="57" t="inlineStr">
        <x:is>
          <x:t xml:space="preserve">C0830</x:t>
        </x:is>
      </x:c>
      <x:c r="B835" s="57" t="inlineStr">
        <x:is>
          <x:t xml:space="preserve">Holdout</x:t>
        </x:is>
      </x:c>
      <x:c r="C835" s="57" t="inlineStr">
        <x:is>
          <x:t xml:space="preserve">LOCKED</x:t>
        </x:is>
      </x:c>
      <x:c r="D835" s="57" t="inlineStr">
        <x:is>
          <x:t xml:space="preserve">ARG-083</x:t>
        </x:is>
      </x:c>
      <x:c r="E835" s="75" t="str">
        <x:f>INDEX('Company Universe'!$B$6:$B$105,MATCH(D835,'Company Universe'!$A$6:$A$105,0))</x:f>
        <x:v>Lloyds Banking Group</x:v>
      </x:c>
      <x:c r="F835" s="75" t="str">
        <x:f>INDEX('Company Universe'!$C$6:$C$105,MATCH(D835,'Company Universe'!$A$6:$A$105,0))</x:f>
        <x:v>LLOY</x:v>
      </x:c>
      <x:c r="G835" s="75" t="str">
        <x:f>INDEX('Company Universe'!$F$6:$F$105,MATCH(D835,'Company Universe'!$A$6:$A$105,0))</x:f>
        <x:v>Banks</x:v>
      </x:c>
      <x:c r="H835" s="57" t="n">
        <x:v>10</x:v>
      </x:c>
      <x:c r="I835" s="206" t="n"/>
      <x:c r="J835" s="71" t="n"/>
      <x:c r="K835" s="71" t="n"/>
      <x:c r="L835" s="71" t="inlineStr">
        <x:is>
          <x:t xml:space="preserve">NO</x:t>
        </x:is>
      </x:c>
      <x:c r="M835" s="71" t="n"/>
      <x:c r="N835" s="71" t="n"/>
      <x:c r="O835" s="71" t="n"/>
      <x:c r="P835" s="71" t="n"/>
      <x:c r="Q835" s="71" t="n"/>
      <x:c r="R835" s="71" t="n"/>
      <x:c r="S835" s="206" t="n"/>
      <x:c r="T835" s="71" t="n"/>
      <x:c r="U835" s="71" t="n"/>
      <x:c r="V835" s="71" t="n"/>
      <x:c r="W835" s="71" t="n"/>
      <x:c r="X835" s="71" t="n"/>
      <x:c r="Y835" s="71" t="n"/>
      <x:c r="Z835" s="71" t="n"/>
      <x:c r="AA835" s="71" t="n"/>
      <x:c r="AB835" s="71" t="inlineStr">
        <x:is>
          <x:t xml:space="preserve">NO</x:t>
        </x:is>
      </x:c>
      <x:c r="AC835" s="57" t="inlineStr">
        <x:is>
          <x:t xml:space="preserve">V10</x:t>
        </x:is>
      </x:c>
      <x:c r="AD835" s="57" t="n"/>
      <x:c r="AE835" s="79" t="str">
        <x:f>IF(AND(I835&lt;&gt;"",J835&lt;&gt;"",K835&lt;&gt;"",L835="YES",M835&lt;&gt;"",S835&lt;&gt;"",T835&lt;&gt;"",U835&lt;&gt;"",V835&lt;&gt;"",W835&lt;&gt;"",X835&lt;&gt;"",Y835&lt;&gt;""),"COMPLETE","PENDING")</x:f>
        <x:v>PENDING</x:v>
      </x:c>
      <x:c r="AF835" s="79" t="str">
        <x:f>IF(AE835="COMPLETE","YES","NO")</x:f>
        <x:v>NO</x:v>
      </x:c>
      <x:c r="AG835" s="214" t="str">
        <x:f>IF(AF835&lt;&gt;"YES","",(IF(V835="YES",1,0)+IF(W835="YES",1,0))/2)</x:f>
      </x:c>
    </x:row>
    <x:row r="836">
      <x:c r="A836" s="57" t="inlineStr">
        <x:is>
          <x:t xml:space="preserve">C0831</x:t>
        </x:is>
      </x:c>
      <x:c r="B836" s="57" t="inlineStr">
        <x:is>
          <x:t xml:space="preserve">Holdout</x:t>
        </x:is>
      </x:c>
      <x:c r="C836" s="57" t="inlineStr">
        <x:is>
          <x:t xml:space="preserve">LOCKED</x:t>
        </x:is>
      </x:c>
      <x:c r="D836" s="57" t="inlineStr">
        <x:is>
          <x:t xml:space="preserve">ARG-084</x:t>
        </x:is>
      </x:c>
      <x:c r="E836" s="75" t="str">
        <x:f>INDEX('Company Universe'!$B$6:$B$105,MATCH(D836,'Company Universe'!$A$6:$A$105,0))</x:f>
        <x:v>Bank Leumi</x:v>
      </x:c>
      <x:c r="F836" s="75" t="str">
        <x:f>INDEX('Company Universe'!$C$6:$C$105,MATCH(D836,'Company Universe'!$A$6:$A$105,0))</x:f>
        <x:v>LUMI.TA</x:v>
      </x:c>
      <x:c r="G836" s="75" t="str">
        <x:f>INDEX('Company Universe'!$F$6:$F$105,MATCH(D836,'Company Universe'!$A$6:$A$105,0))</x:f>
        <x:v>Banks</x:v>
      </x:c>
      <x:c r="H836" s="57" t="n">
        <x:v>1</x:v>
      </x:c>
      <x:c r="I836" s="206" t="n"/>
      <x:c r="J836" s="71" t="n"/>
      <x:c r="K836" s="71" t="n"/>
      <x:c r="L836" s="71" t="inlineStr">
        <x:is>
          <x:t xml:space="preserve">NO</x:t>
        </x:is>
      </x:c>
      <x:c r="M836" s="71" t="n"/>
      <x:c r="N836" s="71" t="n"/>
      <x:c r="O836" s="71" t="n"/>
      <x:c r="P836" s="71" t="n"/>
      <x:c r="Q836" s="71" t="n"/>
      <x:c r="R836" s="71" t="n"/>
      <x:c r="S836" s="206" t="n"/>
      <x:c r="T836" s="71" t="n"/>
      <x:c r="U836" s="71" t="n"/>
      <x:c r="V836" s="71" t="n"/>
      <x:c r="W836" s="71" t="n"/>
      <x:c r="X836" s="71" t="n"/>
      <x:c r="Y836" s="71" t="n"/>
      <x:c r="Z836" s="71" t="n"/>
      <x:c r="AA836" s="71" t="n"/>
      <x:c r="AB836" s="71" t="inlineStr">
        <x:is>
          <x:t xml:space="preserve">NO</x:t>
        </x:is>
      </x:c>
      <x:c r="AC836" s="57" t="inlineStr">
        <x:is>
          <x:t xml:space="preserve">V10</x:t>
        </x:is>
      </x:c>
      <x:c r="AD836" s="57" t="n"/>
      <x:c r="AE836" s="79" t="str">
        <x:f>IF(AND(I836&lt;&gt;"",J836&lt;&gt;"",K836&lt;&gt;"",L836="YES",M836&lt;&gt;"",S836&lt;&gt;"",T836&lt;&gt;"",U836&lt;&gt;"",V836&lt;&gt;"",W836&lt;&gt;"",X836&lt;&gt;"",Y836&lt;&gt;""),"COMPLETE","PENDING")</x:f>
        <x:v>PENDING</x:v>
      </x:c>
      <x:c r="AF836" s="79" t="str">
        <x:f>IF(AE836="COMPLETE","YES","NO")</x:f>
        <x:v>NO</x:v>
      </x:c>
      <x:c r="AG836" s="214" t="str">
        <x:f>IF(AF836&lt;&gt;"YES","",(IF(V836="YES",1,0)+IF(W836="YES",1,0))/2)</x:f>
      </x:c>
    </x:row>
    <x:row r="837">
      <x:c r="A837" s="57" t="inlineStr">
        <x:is>
          <x:t xml:space="preserve">C0832</x:t>
        </x:is>
      </x:c>
      <x:c r="B837" s="57" t="inlineStr">
        <x:is>
          <x:t xml:space="preserve">Holdout</x:t>
        </x:is>
      </x:c>
      <x:c r="C837" s="57" t="inlineStr">
        <x:is>
          <x:t xml:space="preserve">LOCKED</x:t>
        </x:is>
      </x:c>
      <x:c r="D837" s="57" t="inlineStr">
        <x:is>
          <x:t xml:space="preserve">ARG-084</x:t>
        </x:is>
      </x:c>
      <x:c r="E837" s="75" t="str">
        <x:f>INDEX('Company Universe'!$B$6:$B$105,MATCH(D837,'Company Universe'!$A$6:$A$105,0))</x:f>
        <x:v>Bank Leumi</x:v>
      </x:c>
      <x:c r="F837" s="75" t="str">
        <x:f>INDEX('Company Universe'!$C$6:$C$105,MATCH(D837,'Company Universe'!$A$6:$A$105,0))</x:f>
        <x:v>LUMI.TA</x:v>
      </x:c>
      <x:c r="G837" s="75" t="str">
        <x:f>INDEX('Company Universe'!$F$6:$F$105,MATCH(D837,'Company Universe'!$A$6:$A$105,0))</x:f>
        <x:v>Banks</x:v>
      </x:c>
      <x:c r="H837" s="57" t="n">
        <x:v>2</x:v>
      </x:c>
      <x:c r="I837" s="206" t="n"/>
      <x:c r="J837" s="71" t="n"/>
      <x:c r="K837" s="71" t="n"/>
      <x:c r="L837" s="71" t="inlineStr">
        <x:is>
          <x:t xml:space="preserve">NO</x:t>
        </x:is>
      </x:c>
      <x:c r="M837" s="71" t="n"/>
      <x:c r="N837" s="71" t="n"/>
      <x:c r="O837" s="71" t="n"/>
      <x:c r="P837" s="71" t="n"/>
      <x:c r="Q837" s="71" t="n"/>
      <x:c r="R837" s="71" t="n"/>
      <x:c r="S837" s="206" t="n"/>
      <x:c r="T837" s="71" t="n"/>
      <x:c r="U837" s="71" t="n"/>
      <x:c r="V837" s="71" t="n"/>
      <x:c r="W837" s="71" t="n"/>
      <x:c r="X837" s="71" t="n"/>
      <x:c r="Y837" s="71" t="n"/>
      <x:c r="Z837" s="71" t="n"/>
      <x:c r="AA837" s="71" t="n"/>
      <x:c r="AB837" s="71" t="inlineStr">
        <x:is>
          <x:t xml:space="preserve">NO</x:t>
        </x:is>
      </x:c>
      <x:c r="AC837" s="57" t="inlineStr">
        <x:is>
          <x:t xml:space="preserve">V10</x:t>
        </x:is>
      </x:c>
      <x:c r="AD837" s="57" t="n"/>
      <x:c r="AE837" s="79" t="str">
        <x:f>IF(AND(I837&lt;&gt;"",J837&lt;&gt;"",K837&lt;&gt;"",L837="YES",M837&lt;&gt;"",S837&lt;&gt;"",T837&lt;&gt;"",U837&lt;&gt;"",V837&lt;&gt;"",W837&lt;&gt;"",X837&lt;&gt;"",Y837&lt;&gt;""),"COMPLETE","PENDING")</x:f>
        <x:v>PENDING</x:v>
      </x:c>
      <x:c r="AF837" s="79" t="str">
        <x:f>IF(AE837="COMPLETE","YES","NO")</x:f>
        <x:v>NO</x:v>
      </x:c>
      <x:c r="AG837" s="214" t="str">
        <x:f>IF(AF837&lt;&gt;"YES","",(IF(V837="YES",1,0)+IF(W837="YES",1,0))/2)</x:f>
      </x:c>
    </x:row>
    <x:row r="838">
      <x:c r="A838" s="57" t="inlineStr">
        <x:is>
          <x:t xml:space="preserve">C0833</x:t>
        </x:is>
      </x:c>
      <x:c r="B838" s="57" t="inlineStr">
        <x:is>
          <x:t xml:space="preserve">Holdout</x:t>
        </x:is>
      </x:c>
      <x:c r="C838" s="57" t="inlineStr">
        <x:is>
          <x:t xml:space="preserve">LOCKED</x:t>
        </x:is>
      </x:c>
      <x:c r="D838" s="57" t="inlineStr">
        <x:is>
          <x:t xml:space="preserve">ARG-084</x:t>
        </x:is>
      </x:c>
      <x:c r="E838" s="75" t="str">
        <x:f>INDEX('Company Universe'!$B$6:$B$105,MATCH(D838,'Company Universe'!$A$6:$A$105,0))</x:f>
        <x:v>Bank Leumi</x:v>
      </x:c>
      <x:c r="F838" s="75" t="str">
        <x:f>INDEX('Company Universe'!$C$6:$C$105,MATCH(D838,'Company Universe'!$A$6:$A$105,0))</x:f>
        <x:v>LUMI.TA</x:v>
      </x:c>
      <x:c r="G838" s="75" t="str">
        <x:f>INDEX('Company Universe'!$F$6:$F$105,MATCH(D838,'Company Universe'!$A$6:$A$105,0))</x:f>
        <x:v>Banks</x:v>
      </x:c>
      <x:c r="H838" s="57" t="n">
        <x:v>3</x:v>
      </x:c>
      <x:c r="I838" s="206" t="n"/>
      <x:c r="J838" s="71" t="n"/>
      <x:c r="K838" s="71" t="n"/>
      <x:c r="L838" s="71" t="inlineStr">
        <x:is>
          <x:t xml:space="preserve">NO</x:t>
        </x:is>
      </x:c>
      <x:c r="M838" s="71" t="n"/>
      <x:c r="N838" s="71" t="n"/>
      <x:c r="O838" s="71" t="n"/>
      <x:c r="P838" s="71" t="n"/>
      <x:c r="Q838" s="71" t="n"/>
      <x:c r="R838" s="71" t="n"/>
      <x:c r="S838" s="206" t="n"/>
      <x:c r="T838" s="71" t="n"/>
      <x:c r="U838" s="71" t="n"/>
      <x:c r="V838" s="71" t="n"/>
      <x:c r="W838" s="71" t="n"/>
      <x:c r="X838" s="71" t="n"/>
      <x:c r="Y838" s="71" t="n"/>
      <x:c r="Z838" s="71" t="n"/>
      <x:c r="AA838" s="71" t="n"/>
      <x:c r="AB838" s="71" t="inlineStr">
        <x:is>
          <x:t xml:space="preserve">NO</x:t>
        </x:is>
      </x:c>
      <x:c r="AC838" s="57" t="inlineStr">
        <x:is>
          <x:t xml:space="preserve">V10</x:t>
        </x:is>
      </x:c>
      <x:c r="AD838" s="57" t="n"/>
      <x:c r="AE838" s="79" t="str">
        <x:f>IF(AND(I838&lt;&gt;"",J838&lt;&gt;"",K838&lt;&gt;"",L838="YES",M838&lt;&gt;"",S838&lt;&gt;"",T838&lt;&gt;"",U838&lt;&gt;"",V838&lt;&gt;"",W838&lt;&gt;"",X838&lt;&gt;"",Y838&lt;&gt;""),"COMPLETE","PENDING")</x:f>
        <x:v>PENDING</x:v>
      </x:c>
      <x:c r="AF838" s="79" t="str">
        <x:f>IF(AE838="COMPLETE","YES","NO")</x:f>
        <x:v>NO</x:v>
      </x:c>
      <x:c r="AG838" s="214" t="str">
        <x:f>IF(AF838&lt;&gt;"YES","",(IF(V838="YES",1,0)+IF(W838="YES",1,0))/2)</x:f>
      </x:c>
    </x:row>
    <x:row r="839">
      <x:c r="A839" s="57" t="inlineStr">
        <x:is>
          <x:t xml:space="preserve">C0834</x:t>
        </x:is>
      </x:c>
      <x:c r="B839" s="57" t="inlineStr">
        <x:is>
          <x:t xml:space="preserve">Holdout</x:t>
        </x:is>
      </x:c>
      <x:c r="C839" s="57" t="inlineStr">
        <x:is>
          <x:t xml:space="preserve">LOCKED</x:t>
        </x:is>
      </x:c>
      <x:c r="D839" s="57" t="inlineStr">
        <x:is>
          <x:t xml:space="preserve">ARG-084</x:t>
        </x:is>
      </x:c>
      <x:c r="E839" s="75" t="str">
        <x:f>INDEX('Company Universe'!$B$6:$B$105,MATCH(D839,'Company Universe'!$A$6:$A$105,0))</x:f>
        <x:v>Bank Leumi</x:v>
      </x:c>
      <x:c r="F839" s="75" t="str">
        <x:f>INDEX('Company Universe'!$C$6:$C$105,MATCH(D839,'Company Universe'!$A$6:$A$105,0))</x:f>
        <x:v>LUMI.TA</x:v>
      </x:c>
      <x:c r="G839" s="75" t="str">
        <x:f>INDEX('Company Universe'!$F$6:$F$105,MATCH(D839,'Company Universe'!$A$6:$A$105,0))</x:f>
        <x:v>Banks</x:v>
      </x:c>
      <x:c r="H839" s="57" t="n">
        <x:v>4</x:v>
      </x:c>
      <x:c r="I839" s="206" t="n"/>
      <x:c r="J839" s="71" t="n"/>
      <x:c r="K839" s="71" t="n"/>
      <x:c r="L839" s="71" t="inlineStr">
        <x:is>
          <x:t xml:space="preserve">NO</x:t>
        </x:is>
      </x:c>
      <x:c r="M839" s="71" t="n"/>
      <x:c r="N839" s="71" t="n"/>
      <x:c r="O839" s="71" t="n"/>
      <x:c r="P839" s="71" t="n"/>
      <x:c r="Q839" s="71" t="n"/>
      <x:c r="R839" s="71" t="n"/>
      <x:c r="S839" s="206" t="n"/>
      <x:c r="T839" s="71" t="n"/>
      <x:c r="U839" s="71" t="n"/>
      <x:c r="V839" s="71" t="n"/>
      <x:c r="W839" s="71" t="n"/>
      <x:c r="X839" s="71" t="n"/>
      <x:c r="Y839" s="71" t="n"/>
      <x:c r="Z839" s="71" t="n"/>
      <x:c r="AA839" s="71" t="n"/>
      <x:c r="AB839" s="71" t="inlineStr">
        <x:is>
          <x:t xml:space="preserve">NO</x:t>
        </x:is>
      </x:c>
      <x:c r="AC839" s="57" t="inlineStr">
        <x:is>
          <x:t xml:space="preserve">V10</x:t>
        </x:is>
      </x:c>
      <x:c r="AD839" s="57" t="n"/>
      <x:c r="AE839" s="79" t="str">
        <x:f>IF(AND(I839&lt;&gt;"",J839&lt;&gt;"",K839&lt;&gt;"",L839="YES",M839&lt;&gt;"",S839&lt;&gt;"",T839&lt;&gt;"",U839&lt;&gt;"",V839&lt;&gt;"",W839&lt;&gt;"",X839&lt;&gt;"",Y839&lt;&gt;""),"COMPLETE","PENDING")</x:f>
        <x:v>PENDING</x:v>
      </x:c>
      <x:c r="AF839" s="79" t="str">
        <x:f>IF(AE839="COMPLETE","YES","NO")</x:f>
        <x:v>NO</x:v>
      </x:c>
      <x:c r="AG839" s="214" t="str">
        <x:f>IF(AF839&lt;&gt;"YES","",(IF(V839="YES",1,0)+IF(W839="YES",1,0))/2)</x:f>
      </x:c>
    </x:row>
    <x:row r="840">
      <x:c r="A840" s="57" t="inlineStr">
        <x:is>
          <x:t xml:space="preserve">C0835</x:t>
        </x:is>
      </x:c>
      <x:c r="B840" s="57" t="inlineStr">
        <x:is>
          <x:t xml:space="preserve">Holdout</x:t>
        </x:is>
      </x:c>
      <x:c r="C840" s="57" t="inlineStr">
        <x:is>
          <x:t xml:space="preserve">LOCKED</x:t>
        </x:is>
      </x:c>
      <x:c r="D840" s="57" t="inlineStr">
        <x:is>
          <x:t xml:space="preserve">ARG-084</x:t>
        </x:is>
      </x:c>
      <x:c r="E840" s="75" t="str">
        <x:f>INDEX('Company Universe'!$B$6:$B$105,MATCH(D840,'Company Universe'!$A$6:$A$105,0))</x:f>
        <x:v>Bank Leumi</x:v>
      </x:c>
      <x:c r="F840" s="75" t="str">
        <x:f>INDEX('Company Universe'!$C$6:$C$105,MATCH(D840,'Company Universe'!$A$6:$A$105,0))</x:f>
        <x:v>LUMI.TA</x:v>
      </x:c>
      <x:c r="G840" s="75" t="str">
        <x:f>INDEX('Company Universe'!$F$6:$F$105,MATCH(D840,'Company Universe'!$A$6:$A$105,0))</x:f>
        <x:v>Banks</x:v>
      </x:c>
      <x:c r="H840" s="57" t="n">
        <x:v>5</x:v>
      </x:c>
      <x:c r="I840" s="206" t="n"/>
      <x:c r="J840" s="71" t="n"/>
      <x:c r="K840" s="71" t="n"/>
      <x:c r="L840" s="71" t="inlineStr">
        <x:is>
          <x:t xml:space="preserve">NO</x:t>
        </x:is>
      </x:c>
      <x:c r="M840" s="71" t="n"/>
      <x:c r="N840" s="71" t="n"/>
      <x:c r="O840" s="71" t="n"/>
      <x:c r="P840" s="71" t="n"/>
      <x:c r="Q840" s="71" t="n"/>
      <x:c r="R840" s="71" t="n"/>
      <x:c r="S840" s="206" t="n"/>
      <x:c r="T840" s="71" t="n"/>
      <x:c r="U840" s="71" t="n"/>
      <x:c r="V840" s="71" t="n"/>
      <x:c r="W840" s="71" t="n"/>
      <x:c r="X840" s="71" t="n"/>
      <x:c r="Y840" s="71" t="n"/>
      <x:c r="Z840" s="71" t="n"/>
      <x:c r="AA840" s="71" t="n"/>
      <x:c r="AB840" s="71" t="inlineStr">
        <x:is>
          <x:t xml:space="preserve">NO</x:t>
        </x:is>
      </x:c>
      <x:c r="AC840" s="57" t="inlineStr">
        <x:is>
          <x:t xml:space="preserve">V10</x:t>
        </x:is>
      </x:c>
      <x:c r="AD840" s="57" t="n"/>
      <x:c r="AE840" s="79" t="str">
        <x:f>IF(AND(I840&lt;&gt;"",J840&lt;&gt;"",K840&lt;&gt;"",L840="YES",M840&lt;&gt;"",S840&lt;&gt;"",T840&lt;&gt;"",U840&lt;&gt;"",V840&lt;&gt;"",W840&lt;&gt;"",X840&lt;&gt;"",Y840&lt;&gt;""),"COMPLETE","PENDING")</x:f>
        <x:v>PENDING</x:v>
      </x:c>
      <x:c r="AF840" s="79" t="str">
        <x:f>IF(AE840="COMPLETE","YES","NO")</x:f>
        <x:v>NO</x:v>
      </x:c>
      <x:c r="AG840" s="214" t="str">
        <x:f>IF(AF840&lt;&gt;"YES","",(IF(V840="YES",1,0)+IF(W840="YES",1,0))/2)</x:f>
      </x:c>
    </x:row>
    <x:row r="841">
      <x:c r="A841" s="57" t="inlineStr">
        <x:is>
          <x:t xml:space="preserve">C0836</x:t>
        </x:is>
      </x:c>
      <x:c r="B841" s="57" t="inlineStr">
        <x:is>
          <x:t xml:space="preserve">Holdout</x:t>
        </x:is>
      </x:c>
      <x:c r="C841" s="57" t="inlineStr">
        <x:is>
          <x:t xml:space="preserve">LOCKED</x:t>
        </x:is>
      </x:c>
      <x:c r="D841" s="57" t="inlineStr">
        <x:is>
          <x:t xml:space="preserve">ARG-084</x:t>
        </x:is>
      </x:c>
      <x:c r="E841" s="75" t="str">
        <x:f>INDEX('Company Universe'!$B$6:$B$105,MATCH(D841,'Company Universe'!$A$6:$A$105,0))</x:f>
        <x:v>Bank Leumi</x:v>
      </x:c>
      <x:c r="F841" s="75" t="str">
        <x:f>INDEX('Company Universe'!$C$6:$C$105,MATCH(D841,'Company Universe'!$A$6:$A$105,0))</x:f>
        <x:v>LUMI.TA</x:v>
      </x:c>
      <x:c r="G841" s="75" t="str">
        <x:f>INDEX('Company Universe'!$F$6:$F$105,MATCH(D841,'Company Universe'!$A$6:$A$105,0))</x:f>
        <x:v>Banks</x:v>
      </x:c>
      <x:c r="H841" s="57" t="n">
        <x:v>6</x:v>
      </x:c>
      <x:c r="I841" s="206" t="n"/>
      <x:c r="J841" s="71" t="n"/>
      <x:c r="K841" s="71" t="n"/>
      <x:c r="L841" s="71" t="inlineStr">
        <x:is>
          <x:t xml:space="preserve">NO</x:t>
        </x:is>
      </x:c>
      <x:c r="M841" s="71" t="n"/>
      <x:c r="N841" s="71" t="n"/>
      <x:c r="O841" s="71" t="n"/>
      <x:c r="P841" s="71" t="n"/>
      <x:c r="Q841" s="71" t="n"/>
      <x:c r="R841" s="71" t="n"/>
      <x:c r="S841" s="206" t="n"/>
      <x:c r="T841" s="71" t="n"/>
      <x:c r="U841" s="71" t="n"/>
      <x:c r="V841" s="71" t="n"/>
      <x:c r="W841" s="71" t="n"/>
      <x:c r="X841" s="71" t="n"/>
      <x:c r="Y841" s="71" t="n"/>
      <x:c r="Z841" s="71" t="n"/>
      <x:c r="AA841" s="71" t="n"/>
      <x:c r="AB841" s="71" t="inlineStr">
        <x:is>
          <x:t xml:space="preserve">NO</x:t>
        </x:is>
      </x:c>
      <x:c r="AC841" s="57" t="inlineStr">
        <x:is>
          <x:t xml:space="preserve">V10</x:t>
        </x:is>
      </x:c>
      <x:c r="AD841" s="57" t="n"/>
      <x:c r="AE841" s="79" t="str">
        <x:f>IF(AND(I841&lt;&gt;"",J841&lt;&gt;"",K841&lt;&gt;"",L841="YES",M841&lt;&gt;"",S841&lt;&gt;"",T841&lt;&gt;"",U841&lt;&gt;"",V841&lt;&gt;"",W841&lt;&gt;"",X841&lt;&gt;"",Y841&lt;&gt;""),"COMPLETE","PENDING")</x:f>
        <x:v>PENDING</x:v>
      </x:c>
      <x:c r="AF841" s="79" t="str">
        <x:f>IF(AE841="COMPLETE","YES","NO")</x:f>
        <x:v>NO</x:v>
      </x:c>
      <x:c r="AG841" s="214" t="str">
        <x:f>IF(AF841&lt;&gt;"YES","",(IF(V841="YES",1,0)+IF(W841="YES",1,0))/2)</x:f>
      </x:c>
    </x:row>
    <x:row r="842">
      <x:c r="A842" s="57" t="inlineStr">
        <x:is>
          <x:t xml:space="preserve">C0837</x:t>
        </x:is>
      </x:c>
      <x:c r="B842" s="57" t="inlineStr">
        <x:is>
          <x:t xml:space="preserve">Holdout</x:t>
        </x:is>
      </x:c>
      <x:c r="C842" s="57" t="inlineStr">
        <x:is>
          <x:t xml:space="preserve">LOCKED</x:t>
        </x:is>
      </x:c>
      <x:c r="D842" s="57" t="inlineStr">
        <x:is>
          <x:t xml:space="preserve">ARG-084</x:t>
        </x:is>
      </x:c>
      <x:c r="E842" s="75" t="str">
        <x:f>INDEX('Company Universe'!$B$6:$B$105,MATCH(D842,'Company Universe'!$A$6:$A$105,0))</x:f>
        <x:v>Bank Leumi</x:v>
      </x:c>
      <x:c r="F842" s="75" t="str">
        <x:f>INDEX('Company Universe'!$C$6:$C$105,MATCH(D842,'Company Universe'!$A$6:$A$105,0))</x:f>
        <x:v>LUMI.TA</x:v>
      </x:c>
      <x:c r="G842" s="75" t="str">
        <x:f>INDEX('Company Universe'!$F$6:$F$105,MATCH(D842,'Company Universe'!$A$6:$A$105,0))</x:f>
        <x:v>Banks</x:v>
      </x:c>
      <x:c r="H842" s="57" t="n">
        <x:v>7</x:v>
      </x:c>
      <x:c r="I842" s="206" t="n"/>
      <x:c r="J842" s="71" t="n"/>
      <x:c r="K842" s="71" t="n"/>
      <x:c r="L842" s="71" t="inlineStr">
        <x:is>
          <x:t xml:space="preserve">NO</x:t>
        </x:is>
      </x:c>
      <x:c r="M842" s="71" t="n"/>
      <x:c r="N842" s="71" t="n"/>
      <x:c r="O842" s="71" t="n"/>
      <x:c r="P842" s="71" t="n"/>
      <x:c r="Q842" s="71" t="n"/>
      <x:c r="R842" s="71" t="n"/>
      <x:c r="S842" s="206" t="n"/>
      <x:c r="T842" s="71" t="n"/>
      <x:c r="U842" s="71" t="n"/>
      <x:c r="V842" s="71" t="n"/>
      <x:c r="W842" s="71" t="n"/>
      <x:c r="X842" s="71" t="n"/>
      <x:c r="Y842" s="71" t="n"/>
      <x:c r="Z842" s="71" t="n"/>
      <x:c r="AA842" s="71" t="n"/>
      <x:c r="AB842" s="71" t="inlineStr">
        <x:is>
          <x:t xml:space="preserve">NO</x:t>
        </x:is>
      </x:c>
      <x:c r="AC842" s="57" t="inlineStr">
        <x:is>
          <x:t xml:space="preserve">V10</x:t>
        </x:is>
      </x:c>
      <x:c r="AD842" s="57" t="n"/>
      <x:c r="AE842" s="79" t="str">
        <x:f>IF(AND(I842&lt;&gt;"",J842&lt;&gt;"",K842&lt;&gt;"",L842="YES",M842&lt;&gt;"",S842&lt;&gt;"",T842&lt;&gt;"",U842&lt;&gt;"",V842&lt;&gt;"",W842&lt;&gt;"",X842&lt;&gt;"",Y842&lt;&gt;""),"COMPLETE","PENDING")</x:f>
        <x:v>PENDING</x:v>
      </x:c>
      <x:c r="AF842" s="79" t="str">
        <x:f>IF(AE842="COMPLETE","YES","NO")</x:f>
        <x:v>NO</x:v>
      </x:c>
      <x:c r="AG842" s="214" t="str">
        <x:f>IF(AF842&lt;&gt;"YES","",(IF(V842="YES",1,0)+IF(W842="YES",1,0))/2)</x:f>
      </x:c>
    </x:row>
    <x:row r="843">
      <x:c r="A843" s="57" t="inlineStr">
        <x:is>
          <x:t xml:space="preserve">C0838</x:t>
        </x:is>
      </x:c>
      <x:c r="B843" s="57" t="inlineStr">
        <x:is>
          <x:t xml:space="preserve">Holdout</x:t>
        </x:is>
      </x:c>
      <x:c r="C843" s="57" t="inlineStr">
        <x:is>
          <x:t xml:space="preserve">LOCKED</x:t>
        </x:is>
      </x:c>
      <x:c r="D843" s="57" t="inlineStr">
        <x:is>
          <x:t xml:space="preserve">ARG-084</x:t>
        </x:is>
      </x:c>
      <x:c r="E843" s="75" t="str">
        <x:f>INDEX('Company Universe'!$B$6:$B$105,MATCH(D843,'Company Universe'!$A$6:$A$105,0))</x:f>
        <x:v>Bank Leumi</x:v>
      </x:c>
      <x:c r="F843" s="75" t="str">
        <x:f>INDEX('Company Universe'!$C$6:$C$105,MATCH(D843,'Company Universe'!$A$6:$A$105,0))</x:f>
        <x:v>LUMI.TA</x:v>
      </x:c>
      <x:c r="G843" s="75" t="str">
        <x:f>INDEX('Company Universe'!$F$6:$F$105,MATCH(D843,'Company Universe'!$A$6:$A$105,0))</x:f>
        <x:v>Banks</x:v>
      </x:c>
      <x:c r="H843" s="57" t="n">
        <x:v>8</x:v>
      </x:c>
      <x:c r="I843" s="206" t="n"/>
      <x:c r="J843" s="71" t="n"/>
      <x:c r="K843" s="71" t="n"/>
      <x:c r="L843" s="71" t="inlineStr">
        <x:is>
          <x:t xml:space="preserve">NO</x:t>
        </x:is>
      </x:c>
      <x:c r="M843" s="71" t="n"/>
      <x:c r="N843" s="71" t="n"/>
      <x:c r="O843" s="71" t="n"/>
      <x:c r="P843" s="71" t="n"/>
      <x:c r="Q843" s="71" t="n"/>
      <x:c r="R843" s="71" t="n"/>
      <x:c r="S843" s="206" t="n"/>
      <x:c r="T843" s="71" t="n"/>
      <x:c r="U843" s="71" t="n"/>
      <x:c r="V843" s="71" t="n"/>
      <x:c r="W843" s="71" t="n"/>
      <x:c r="X843" s="71" t="n"/>
      <x:c r="Y843" s="71" t="n"/>
      <x:c r="Z843" s="71" t="n"/>
      <x:c r="AA843" s="71" t="n"/>
      <x:c r="AB843" s="71" t="inlineStr">
        <x:is>
          <x:t xml:space="preserve">NO</x:t>
        </x:is>
      </x:c>
      <x:c r="AC843" s="57" t="inlineStr">
        <x:is>
          <x:t xml:space="preserve">V10</x:t>
        </x:is>
      </x:c>
      <x:c r="AD843" s="57" t="n"/>
      <x:c r="AE843" s="79" t="str">
        <x:f>IF(AND(I843&lt;&gt;"",J843&lt;&gt;"",K843&lt;&gt;"",L843="YES",M843&lt;&gt;"",S843&lt;&gt;"",T843&lt;&gt;"",U843&lt;&gt;"",V843&lt;&gt;"",W843&lt;&gt;"",X843&lt;&gt;"",Y843&lt;&gt;""),"COMPLETE","PENDING")</x:f>
        <x:v>PENDING</x:v>
      </x:c>
      <x:c r="AF843" s="79" t="str">
        <x:f>IF(AE843="COMPLETE","YES","NO")</x:f>
        <x:v>NO</x:v>
      </x:c>
      <x:c r="AG843" s="214" t="str">
        <x:f>IF(AF843&lt;&gt;"YES","",(IF(V843="YES",1,0)+IF(W843="YES",1,0))/2)</x:f>
      </x:c>
    </x:row>
    <x:row r="844">
      <x:c r="A844" s="57" t="inlineStr">
        <x:is>
          <x:t xml:space="preserve">C0839</x:t>
        </x:is>
      </x:c>
      <x:c r="B844" s="57" t="inlineStr">
        <x:is>
          <x:t xml:space="preserve">Holdout</x:t>
        </x:is>
      </x:c>
      <x:c r="C844" s="57" t="inlineStr">
        <x:is>
          <x:t xml:space="preserve">LOCKED</x:t>
        </x:is>
      </x:c>
      <x:c r="D844" s="57" t="inlineStr">
        <x:is>
          <x:t xml:space="preserve">ARG-084</x:t>
        </x:is>
      </x:c>
      <x:c r="E844" s="75" t="str">
        <x:f>INDEX('Company Universe'!$B$6:$B$105,MATCH(D844,'Company Universe'!$A$6:$A$105,0))</x:f>
        <x:v>Bank Leumi</x:v>
      </x:c>
      <x:c r="F844" s="75" t="str">
        <x:f>INDEX('Company Universe'!$C$6:$C$105,MATCH(D844,'Company Universe'!$A$6:$A$105,0))</x:f>
        <x:v>LUMI.TA</x:v>
      </x:c>
      <x:c r="G844" s="75" t="str">
        <x:f>INDEX('Company Universe'!$F$6:$F$105,MATCH(D844,'Company Universe'!$A$6:$A$105,0))</x:f>
        <x:v>Banks</x:v>
      </x:c>
      <x:c r="H844" s="57" t="n">
        <x:v>9</x:v>
      </x:c>
      <x:c r="I844" s="206" t="n"/>
      <x:c r="J844" s="71" t="n"/>
      <x:c r="K844" s="71" t="n"/>
      <x:c r="L844" s="71" t="inlineStr">
        <x:is>
          <x:t xml:space="preserve">NO</x:t>
        </x:is>
      </x:c>
      <x:c r="M844" s="71" t="n"/>
      <x:c r="N844" s="71" t="n"/>
      <x:c r="O844" s="71" t="n"/>
      <x:c r="P844" s="71" t="n"/>
      <x:c r="Q844" s="71" t="n"/>
      <x:c r="R844" s="71" t="n"/>
      <x:c r="S844" s="206" t="n"/>
      <x:c r="T844" s="71" t="n"/>
      <x:c r="U844" s="71" t="n"/>
      <x:c r="V844" s="71" t="n"/>
      <x:c r="W844" s="71" t="n"/>
      <x:c r="X844" s="71" t="n"/>
      <x:c r="Y844" s="71" t="n"/>
      <x:c r="Z844" s="71" t="n"/>
      <x:c r="AA844" s="71" t="n"/>
      <x:c r="AB844" s="71" t="inlineStr">
        <x:is>
          <x:t xml:space="preserve">NO</x:t>
        </x:is>
      </x:c>
      <x:c r="AC844" s="57" t="inlineStr">
        <x:is>
          <x:t xml:space="preserve">V10</x:t>
        </x:is>
      </x:c>
      <x:c r="AD844" s="57" t="n"/>
      <x:c r="AE844" s="79" t="str">
        <x:f>IF(AND(I844&lt;&gt;"",J844&lt;&gt;"",K844&lt;&gt;"",L844="YES",M844&lt;&gt;"",S844&lt;&gt;"",T844&lt;&gt;"",U844&lt;&gt;"",V844&lt;&gt;"",W844&lt;&gt;"",X844&lt;&gt;"",Y844&lt;&gt;""),"COMPLETE","PENDING")</x:f>
        <x:v>PENDING</x:v>
      </x:c>
      <x:c r="AF844" s="79" t="str">
        <x:f>IF(AE844="COMPLETE","YES","NO")</x:f>
        <x:v>NO</x:v>
      </x:c>
      <x:c r="AG844" s="214" t="str">
        <x:f>IF(AF844&lt;&gt;"YES","",(IF(V844="YES",1,0)+IF(W844="YES",1,0))/2)</x:f>
      </x:c>
    </x:row>
    <x:row r="845">
      <x:c r="A845" s="57" t="inlineStr">
        <x:is>
          <x:t xml:space="preserve">C0840</x:t>
        </x:is>
      </x:c>
      <x:c r="B845" s="57" t="inlineStr">
        <x:is>
          <x:t xml:space="preserve">Holdout</x:t>
        </x:is>
      </x:c>
      <x:c r="C845" s="57" t="inlineStr">
        <x:is>
          <x:t xml:space="preserve">LOCKED</x:t>
        </x:is>
      </x:c>
      <x:c r="D845" s="57" t="inlineStr">
        <x:is>
          <x:t xml:space="preserve">ARG-084</x:t>
        </x:is>
      </x:c>
      <x:c r="E845" s="75" t="str">
        <x:f>INDEX('Company Universe'!$B$6:$B$105,MATCH(D845,'Company Universe'!$A$6:$A$105,0))</x:f>
        <x:v>Bank Leumi</x:v>
      </x:c>
      <x:c r="F845" s="75" t="str">
        <x:f>INDEX('Company Universe'!$C$6:$C$105,MATCH(D845,'Company Universe'!$A$6:$A$105,0))</x:f>
        <x:v>LUMI.TA</x:v>
      </x:c>
      <x:c r="G845" s="75" t="str">
        <x:f>INDEX('Company Universe'!$F$6:$F$105,MATCH(D845,'Company Universe'!$A$6:$A$105,0))</x:f>
        <x:v>Banks</x:v>
      </x:c>
      <x:c r="H845" s="57" t="n">
        <x:v>10</x:v>
      </x:c>
      <x:c r="I845" s="206" t="n"/>
      <x:c r="J845" s="71" t="n"/>
      <x:c r="K845" s="71" t="n"/>
      <x:c r="L845" s="71" t="inlineStr">
        <x:is>
          <x:t xml:space="preserve">NO</x:t>
        </x:is>
      </x:c>
      <x:c r="M845" s="71" t="n"/>
      <x:c r="N845" s="71" t="n"/>
      <x:c r="O845" s="71" t="n"/>
      <x:c r="P845" s="71" t="n"/>
      <x:c r="Q845" s="71" t="n"/>
      <x:c r="R845" s="71" t="n"/>
      <x:c r="S845" s="206" t="n"/>
      <x:c r="T845" s="71" t="n"/>
      <x:c r="U845" s="71" t="n"/>
      <x:c r="V845" s="71" t="n"/>
      <x:c r="W845" s="71" t="n"/>
      <x:c r="X845" s="71" t="n"/>
      <x:c r="Y845" s="71" t="n"/>
      <x:c r="Z845" s="71" t="n"/>
      <x:c r="AA845" s="71" t="n"/>
      <x:c r="AB845" s="71" t="inlineStr">
        <x:is>
          <x:t xml:space="preserve">NO</x:t>
        </x:is>
      </x:c>
      <x:c r="AC845" s="57" t="inlineStr">
        <x:is>
          <x:t xml:space="preserve">V10</x:t>
        </x:is>
      </x:c>
      <x:c r="AD845" s="57" t="n"/>
      <x:c r="AE845" s="79" t="str">
        <x:f>IF(AND(I845&lt;&gt;"",J845&lt;&gt;"",K845&lt;&gt;"",L845="YES",M845&lt;&gt;"",S845&lt;&gt;"",T845&lt;&gt;"",U845&lt;&gt;"",V845&lt;&gt;"",W845&lt;&gt;"",X845&lt;&gt;"",Y845&lt;&gt;""),"COMPLETE","PENDING")</x:f>
        <x:v>PENDING</x:v>
      </x:c>
      <x:c r="AF845" s="79" t="str">
        <x:f>IF(AE845="COMPLETE","YES","NO")</x:f>
        <x:v>NO</x:v>
      </x:c>
      <x:c r="AG845" s="214" t="str">
        <x:f>IF(AF845&lt;&gt;"YES","",(IF(V845="YES",1,0)+IF(W845="YES",1,0))/2)</x:f>
      </x:c>
    </x:row>
    <x:row r="846">
      <x:c r="A846" s="57" t="inlineStr">
        <x:is>
          <x:t xml:space="preserve">C0841</x:t>
        </x:is>
      </x:c>
      <x:c r="B846" s="57" t="inlineStr">
        <x:is>
          <x:t xml:space="preserve">Holdout</x:t>
        </x:is>
      </x:c>
      <x:c r="C846" s="57" t="inlineStr">
        <x:is>
          <x:t xml:space="preserve">LOCKED</x:t>
        </x:is>
      </x:c>
      <x:c r="D846" s="57" t="inlineStr">
        <x:is>
          <x:t xml:space="preserve">ARG-085</x:t>
        </x:is>
      </x:c>
      <x:c r="E846" s="75" t="str">
        <x:f>INDEX('Company Universe'!$B$6:$B$105,MATCH(D846,'Company Universe'!$A$6:$A$105,0))</x:f>
        <x:v>American International Group</x:v>
      </x:c>
      <x:c r="F846" s="75" t="str">
        <x:f>INDEX('Company Universe'!$C$6:$C$105,MATCH(D846,'Company Universe'!$A$6:$A$105,0))</x:f>
        <x:v>AIG</x:v>
      </x:c>
      <x:c r="G846" s="75" t="str">
        <x:f>INDEX('Company Universe'!$F$6:$F$105,MATCH(D846,'Company Universe'!$A$6:$A$105,0))</x:f>
        <x:v>Insurance</x:v>
      </x:c>
      <x:c r="H846" s="57" t="n">
        <x:v>1</x:v>
      </x:c>
      <x:c r="I846" s="206" t="n"/>
      <x:c r="J846" s="71" t="n"/>
      <x:c r="K846" s="71" t="n"/>
      <x:c r="L846" s="71" t="inlineStr">
        <x:is>
          <x:t xml:space="preserve">NO</x:t>
        </x:is>
      </x:c>
      <x:c r="M846" s="71" t="n"/>
      <x:c r="N846" s="71" t="n"/>
      <x:c r="O846" s="71" t="n"/>
      <x:c r="P846" s="71" t="n"/>
      <x:c r="Q846" s="71" t="n"/>
      <x:c r="R846" s="71" t="n"/>
      <x:c r="S846" s="206" t="n"/>
      <x:c r="T846" s="71" t="n"/>
      <x:c r="U846" s="71" t="n"/>
      <x:c r="V846" s="71" t="n"/>
      <x:c r="W846" s="71" t="n"/>
      <x:c r="X846" s="71" t="n"/>
      <x:c r="Y846" s="71" t="n"/>
      <x:c r="Z846" s="71" t="n"/>
      <x:c r="AA846" s="71" t="n"/>
      <x:c r="AB846" s="71" t="inlineStr">
        <x:is>
          <x:t xml:space="preserve">NO</x:t>
        </x:is>
      </x:c>
      <x:c r="AC846" s="57" t="inlineStr">
        <x:is>
          <x:t xml:space="preserve">V10</x:t>
        </x:is>
      </x:c>
      <x:c r="AD846" s="57" t="n"/>
      <x:c r="AE846" s="79" t="str">
        <x:f>IF(AND(I846&lt;&gt;"",J846&lt;&gt;"",K846&lt;&gt;"",L846="YES",M846&lt;&gt;"",S846&lt;&gt;"",T846&lt;&gt;"",U846&lt;&gt;"",V846&lt;&gt;"",W846&lt;&gt;"",X846&lt;&gt;"",Y846&lt;&gt;""),"COMPLETE","PENDING")</x:f>
        <x:v>PENDING</x:v>
      </x:c>
      <x:c r="AF846" s="79" t="str">
        <x:f>IF(AE846="COMPLETE","YES","NO")</x:f>
        <x:v>NO</x:v>
      </x:c>
      <x:c r="AG846" s="214" t="str">
        <x:f>IF(AF846&lt;&gt;"YES","",(IF(V846="YES",1,0)+IF(W846="YES",1,0))/2)</x:f>
      </x:c>
    </x:row>
    <x:row r="847">
      <x:c r="A847" s="57" t="inlineStr">
        <x:is>
          <x:t xml:space="preserve">C0842</x:t>
        </x:is>
      </x:c>
      <x:c r="B847" s="57" t="inlineStr">
        <x:is>
          <x:t xml:space="preserve">Holdout</x:t>
        </x:is>
      </x:c>
      <x:c r="C847" s="57" t="inlineStr">
        <x:is>
          <x:t xml:space="preserve">LOCKED</x:t>
        </x:is>
      </x:c>
      <x:c r="D847" s="57" t="inlineStr">
        <x:is>
          <x:t xml:space="preserve">ARG-085</x:t>
        </x:is>
      </x:c>
      <x:c r="E847" s="75" t="str">
        <x:f>INDEX('Company Universe'!$B$6:$B$105,MATCH(D847,'Company Universe'!$A$6:$A$105,0))</x:f>
        <x:v>American International Group</x:v>
      </x:c>
      <x:c r="F847" s="75" t="str">
        <x:f>INDEX('Company Universe'!$C$6:$C$105,MATCH(D847,'Company Universe'!$A$6:$A$105,0))</x:f>
        <x:v>AIG</x:v>
      </x:c>
      <x:c r="G847" s="75" t="str">
        <x:f>INDEX('Company Universe'!$F$6:$F$105,MATCH(D847,'Company Universe'!$A$6:$A$105,0))</x:f>
        <x:v>Insurance</x:v>
      </x:c>
      <x:c r="H847" s="57" t="n">
        <x:v>2</x:v>
      </x:c>
      <x:c r="I847" s="206" t="n"/>
      <x:c r="J847" s="71" t="n"/>
      <x:c r="K847" s="71" t="n"/>
      <x:c r="L847" s="71" t="inlineStr">
        <x:is>
          <x:t xml:space="preserve">NO</x:t>
        </x:is>
      </x:c>
      <x:c r="M847" s="71" t="n"/>
      <x:c r="N847" s="71" t="n"/>
      <x:c r="O847" s="71" t="n"/>
      <x:c r="P847" s="71" t="n"/>
      <x:c r="Q847" s="71" t="n"/>
      <x:c r="R847" s="71" t="n"/>
      <x:c r="S847" s="206" t="n"/>
      <x:c r="T847" s="71" t="n"/>
      <x:c r="U847" s="71" t="n"/>
      <x:c r="V847" s="71" t="n"/>
      <x:c r="W847" s="71" t="n"/>
      <x:c r="X847" s="71" t="n"/>
      <x:c r="Y847" s="71" t="n"/>
      <x:c r="Z847" s="71" t="n"/>
      <x:c r="AA847" s="71" t="n"/>
      <x:c r="AB847" s="71" t="inlineStr">
        <x:is>
          <x:t xml:space="preserve">NO</x:t>
        </x:is>
      </x:c>
      <x:c r="AC847" s="57" t="inlineStr">
        <x:is>
          <x:t xml:space="preserve">V10</x:t>
        </x:is>
      </x:c>
      <x:c r="AD847" s="57" t="n"/>
      <x:c r="AE847" s="79" t="str">
        <x:f>IF(AND(I847&lt;&gt;"",J847&lt;&gt;"",K847&lt;&gt;"",L847="YES",M847&lt;&gt;"",S847&lt;&gt;"",T847&lt;&gt;"",U847&lt;&gt;"",V847&lt;&gt;"",W847&lt;&gt;"",X847&lt;&gt;"",Y847&lt;&gt;""),"COMPLETE","PENDING")</x:f>
        <x:v>PENDING</x:v>
      </x:c>
      <x:c r="AF847" s="79" t="str">
        <x:f>IF(AE847="COMPLETE","YES","NO")</x:f>
        <x:v>NO</x:v>
      </x:c>
      <x:c r="AG847" s="214" t="str">
        <x:f>IF(AF847&lt;&gt;"YES","",(IF(V847="YES",1,0)+IF(W847="YES",1,0))/2)</x:f>
      </x:c>
    </x:row>
    <x:row r="848">
      <x:c r="A848" s="57" t="inlineStr">
        <x:is>
          <x:t xml:space="preserve">C0843</x:t>
        </x:is>
      </x:c>
      <x:c r="B848" s="57" t="inlineStr">
        <x:is>
          <x:t xml:space="preserve">Holdout</x:t>
        </x:is>
      </x:c>
      <x:c r="C848" s="57" t="inlineStr">
        <x:is>
          <x:t xml:space="preserve">LOCKED</x:t>
        </x:is>
      </x:c>
      <x:c r="D848" s="57" t="inlineStr">
        <x:is>
          <x:t xml:space="preserve">ARG-085</x:t>
        </x:is>
      </x:c>
      <x:c r="E848" s="75" t="str">
        <x:f>INDEX('Company Universe'!$B$6:$B$105,MATCH(D848,'Company Universe'!$A$6:$A$105,0))</x:f>
        <x:v>American International Group</x:v>
      </x:c>
      <x:c r="F848" s="75" t="str">
        <x:f>INDEX('Company Universe'!$C$6:$C$105,MATCH(D848,'Company Universe'!$A$6:$A$105,0))</x:f>
        <x:v>AIG</x:v>
      </x:c>
      <x:c r="G848" s="75" t="str">
        <x:f>INDEX('Company Universe'!$F$6:$F$105,MATCH(D848,'Company Universe'!$A$6:$A$105,0))</x:f>
        <x:v>Insurance</x:v>
      </x:c>
      <x:c r="H848" s="57" t="n">
        <x:v>3</x:v>
      </x:c>
      <x:c r="I848" s="206" t="n"/>
      <x:c r="J848" s="71" t="n"/>
      <x:c r="K848" s="71" t="n"/>
      <x:c r="L848" s="71" t="inlineStr">
        <x:is>
          <x:t xml:space="preserve">NO</x:t>
        </x:is>
      </x:c>
      <x:c r="M848" s="71" t="n"/>
      <x:c r="N848" s="71" t="n"/>
      <x:c r="O848" s="71" t="n"/>
      <x:c r="P848" s="71" t="n"/>
      <x:c r="Q848" s="71" t="n"/>
      <x:c r="R848" s="71" t="n"/>
      <x:c r="S848" s="206" t="n"/>
      <x:c r="T848" s="71" t="n"/>
      <x:c r="U848" s="71" t="n"/>
      <x:c r="V848" s="71" t="n"/>
      <x:c r="W848" s="71" t="n"/>
      <x:c r="X848" s="71" t="n"/>
      <x:c r="Y848" s="71" t="n"/>
      <x:c r="Z848" s="71" t="n"/>
      <x:c r="AA848" s="71" t="n"/>
      <x:c r="AB848" s="71" t="inlineStr">
        <x:is>
          <x:t xml:space="preserve">NO</x:t>
        </x:is>
      </x:c>
      <x:c r="AC848" s="57" t="inlineStr">
        <x:is>
          <x:t xml:space="preserve">V10</x:t>
        </x:is>
      </x:c>
      <x:c r="AD848" s="57" t="n"/>
      <x:c r="AE848" s="79" t="str">
        <x:f>IF(AND(I848&lt;&gt;"",J848&lt;&gt;"",K848&lt;&gt;"",L848="YES",M848&lt;&gt;"",S848&lt;&gt;"",T848&lt;&gt;"",U848&lt;&gt;"",V848&lt;&gt;"",W848&lt;&gt;"",X848&lt;&gt;"",Y848&lt;&gt;""),"COMPLETE","PENDING")</x:f>
        <x:v>PENDING</x:v>
      </x:c>
      <x:c r="AF848" s="79" t="str">
        <x:f>IF(AE848="COMPLETE","YES","NO")</x:f>
        <x:v>NO</x:v>
      </x:c>
      <x:c r="AG848" s="214" t="str">
        <x:f>IF(AF848&lt;&gt;"YES","",(IF(V848="YES",1,0)+IF(W848="YES",1,0))/2)</x:f>
      </x:c>
    </x:row>
    <x:row r="849">
      <x:c r="A849" s="57" t="inlineStr">
        <x:is>
          <x:t xml:space="preserve">C0844</x:t>
        </x:is>
      </x:c>
      <x:c r="B849" s="57" t="inlineStr">
        <x:is>
          <x:t xml:space="preserve">Holdout</x:t>
        </x:is>
      </x:c>
      <x:c r="C849" s="57" t="inlineStr">
        <x:is>
          <x:t xml:space="preserve">LOCKED</x:t>
        </x:is>
      </x:c>
      <x:c r="D849" s="57" t="inlineStr">
        <x:is>
          <x:t xml:space="preserve">ARG-085</x:t>
        </x:is>
      </x:c>
      <x:c r="E849" s="75" t="str">
        <x:f>INDEX('Company Universe'!$B$6:$B$105,MATCH(D849,'Company Universe'!$A$6:$A$105,0))</x:f>
        <x:v>American International Group</x:v>
      </x:c>
      <x:c r="F849" s="75" t="str">
        <x:f>INDEX('Company Universe'!$C$6:$C$105,MATCH(D849,'Company Universe'!$A$6:$A$105,0))</x:f>
        <x:v>AIG</x:v>
      </x:c>
      <x:c r="G849" s="75" t="str">
        <x:f>INDEX('Company Universe'!$F$6:$F$105,MATCH(D849,'Company Universe'!$A$6:$A$105,0))</x:f>
        <x:v>Insurance</x:v>
      </x:c>
      <x:c r="H849" s="57" t="n">
        <x:v>4</x:v>
      </x:c>
      <x:c r="I849" s="206" t="n"/>
      <x:c r="J849" s="71" t="n"/>
      <x:c r="K849" s="71" t="n"/>
      <x:c r="L849" s="71" t="inlineStr">
        <x:is>
          <x:t xml:space="preserve">NO</x:t>
        </x:is>
      </x:c>
      <x:c r="M849" s="71" t="n"/>
      <x:c r="N849" s="71" t="n"/>
      <x:c r="O849" s="71" t="n"/>
      <x:c r="P849" s="71" t="n"/>
      <x:c r="Q849" s="71" t="n"/>
      <x:c r="R849" s="71" t="n"/>
      <x:c r="S849" s="206" t="n"/>
      <x:c r="T849" s="71" t="n"/>
      <x:c r="U849" s="71" t="n"/>
      <x:c r="V849" s="71" t="n"/>
      <x:c r="W849" s="71" t="n"/>
      <x:c r="X849" s="71" t="n"/>
      <x:c r="Y849" s="71" t="n"/>
      <x:c r="Z849" s="71" t="n"/>
      <x:c r="AA849" s="71" t="n"/>
      <x:c r="AB849" s="71" t="inlineStr">
        <x:is>
          <x:t xml:space="preserve">NO</x:t>
        </x:is>
      </x:c>
      <x:c r="AC849" s="57" t="inlineStr">
        <x:is>
          <x:t xml:space="preserve">V10</x:t>
        </x:is>
      </x:c>
      <x:c r="AD849" s="57" t="n"/>
      <x:c r="AE849" s="79" t="str">
        <x:f>IF(AND(I849&lt;&gt;"",J849&lt;&gt;"",K849&lt;&gt;"",L849="YES",M849&lt;&gt;"",S849&lt;&gt;"",T849&lt;&gt;"",U849&lt;&gt;"",V849&lt;&gt;"",W849&lt;&gt;"",X849&lt;&gt;"",Y849&lt;&gt;""),"COMPLETE","PENDING")</x:f>
        <x:v>PENDING</x:v>
      </x:c>
      <x:c r="AF849" s="79" t="str">
        <x:f>IF(AE849="COMPLETE","YES","NO")</x:f>
        <x:v>NO</x:v>
      </x:c>
      <x:c r="AG849" s="214" t="str">
        <x:f>IF(AF849&lt;&gt;"YES","",(IF(V849="YES",1,0)+IF(W849="YES",1,0))/2)</x:f>
      </x:c>
    </x:row>
    <x:row r="850">
      <x:c r="A850" s="57" t="inlineStr">
        <x:is>
          <x:t xml:space="preserve">C0845</x:t>
        </x:is>
      </x:c>
      <x:c r="B850" s="57" t="inlineStr">
        <x:is>
          <x:t xml:space="preserve">Holdout</x:t>
        </x:is>
      </x:c>
      <x:c r="C850" s="57" t="inlineStr">
        <x:is>
          <x:t xml:space="preserve">LOCKED</x:t>
        </x:is>
      </x:c>
      <x:c r="D850" s="57" t="inlineStr">
        <x:is>
          <x:t xml:space="preserve">ARG-085</x:t>
        </x:is>
      </x:c>
      <x:c r="E850" s="75" t="str">
        <x:f>INDEX('Company Universe'!$B$6:$B$105,MATCH(D850,'Company Universe'!$A$6:$A$105,0))</x:f>
        <x:v>American International Group</x:v>
      </x:c>
      <x:c r="F850" s="75" t="str">
        <x:f>INDEX('Company Universe'!$C$6:$C$105,MATCH(D850,'Company Universe'!$A$6:$A$105,0))</x:f>
        <x:v>AIG</x:v>
      </x:c>
      <x:c r="G850" s="75" t="str">
        <x:f>INDEX('Company Universe'!$F$6:$F$105,MATCH(D850,'Company Universe'!$A$6:$A$105,0))</x:f>
        <x:v>Insurance</x:v>
      </x:c>
      <x:c r="H850" s="57" t="n">
        <x:v>5</x:v>
      </x:c>
      <x:c r="I850" s="206" t="n"/>
      <x:c r="J850" s="71" t="n"/>
      <x:c r="K850" s="71" t="n"/>
      <x:c r="L850" s="71" t="inlineStr">
        <x:is>
          <x:t xml:space="preserve">NO</x:t>
        </x:is>
      </x:c>
      <x:c r="M850" s="71" t="n"/>
      <x:c r="N850" s="71" t="n"/>
      <x:c r="O850" s="71" t="n"/>
      <x:c r="P850" s="71" t="n"/>
      <x:c r="Q850" s="71" t="n"/>
      <x:c r="R850" s="71" t="n"/>
      <x:c r="S850" s="206" t="n"/>
      <x:c r="T850" s="71" t="n"/>
      <x:c r="U850" s="71" t="n"/>
      <x:c r="V850" s="71" t="n"/>
      <x:c r="W850" s="71" t="n"/>
      <x:c r="X850" s="71" t="n"/>
      <x:c r="Y850" s="71" t="n"/>
      <x:c r="Z850" s="71" t="n"/>
      <x:c r="AA850" s="71" t="n"/>
      <x:c r="AB850" s="71" t="inlineStr">
        <x:is>
          <x:t xml:space="preserve">NO</x:t>
        </x:is>
      </x:c>
      <x:c r="AC850" s="57" t="inlineStr">
        <x:is>
          <x:t xml:space="preserve">V10</x:t>
        </x:is>
      </x:c>
      <x:c r="AD850" s="57" t="n"/>
      <x:c r="AE850" s="79" t="str">
        <x:f>IF(AND(I850&lt;&gt;"",J850&lt;&gt;"",K850&lt;&gt;"",L850="YES",M850&lt;&gt;"",S850&lt;&gt;"",T850&lt;&gt;"",U850&lt;&gt;"",V850&lt;&gt;"",W850&lt;&gt;"",X850&lt;&gt;"",Y850&lt;&gt;""),"COMPLETE","PENDING")</x:f>
        <x:v>PENDING</x:v>
      </x:c>
      <x:c r="AF850" s="79" t="str">
        <x:f>IF(AE850="COMPLETE","YES","NO")</x:f>
        <x:v>NO</x:v>
      </x:c>
      <x:c r="AG850" s="214" t="str">
        <x:f>IF(AF850&lt;&gt;"YES","",(IF(V850="YES",1,0)+IF(W850="YES",1,0))/2)</x:f>
      </x:c>
    </x:row>
    <x:row r="851">
      <x:c r="A851" s="57" t="inlineStr">
        <x:is>
          <x:t xml:space="preserve">C0846</x:t>
        </x:is>
      </x:c>
      <x:c r="B851" s="57" t="inlineStr">
        <x:is>
          <x:t xml:space="preserve">Holdout</x:t>
        </x:is>
      </x:c>
      <x:c r="C851" s="57" t="inlineStr">
        <x:is>
          <x:t xml:space="preserve">LOCKED</x:t>
        </x:is>
      </x:c>
      <x:c r="D851" s="57" t="inlineStr">
        <x:is>
          <x:t xml:space="preserve">ARG-085</x:t>
        </x:is>
      </x:c>
      <x:c r="E851" s="75" t="str">
        <x:f>INDEX('Company Universe'!$B$6:$B$105,MATCH(D851,'Company Universe'!$A$6:$A$105,0))</x:f>
        <x:v>American International Group</x:v>
      </x:c>
      <x:c r="F851" s="75" t="str">
        <x:f>INDEX('Company Universe'!$C$6:$C$105,MATCH(D851,'Company Universe'!$A$6:$A$105,0))</x:f>
        <x:v>AIG</x:v>
      </x:c>
      <x:c r="G851" s="75" t="str">
        <x:f>INDEX('Company Universe'!$F$6:$F$105,MATCH(D851,'Company Universe'!$A$6:$A$105,0))</x:f>
        <x:v>Insurance</x:v>
      </x:c>
      <x:c r="H851" s="57" t="n">
        <x:v>6</x:v>
      </x:c>
      <x:c r="I851" s="206" t="n"/>
      <x:c r="J851" s="71" t="n"/>
      <x:c r="K851" s="71" t="n"/>
      <x:c r="L851" s="71" t="inlineStr">
        <x:is>
          <x:t xml:space="preserve">NO</x:t>
        </x:is>
      </x:c>
      <x:c r="M851" s="71" t="n"/>
      <x:c r="N851" s="71" t="n"/>
      <x:c r="O851" s="71" t="n"/>
      <x:c r="P851" s="71" t="n"/>
      <x:c r="Q851" s="71" t="n"/>
      <x:c r="R851" s="71" t="n"/>
      <x:c r="S851" s="206" t="n"/>
      <x:c r="T851" s="71" t="n"/>
      <x:c r="U851" s="71" t="n"/>
      <x:c r="V851" s="71" t="n"/>
      <x:c r="W851" s="71" t="n"/>
      <x:c r="X851" s="71" t="n"/>
      <x:c r="Y851" s="71" t="n"/>
      <x:c r="Z851" s="71" t="n"/>
      <x:c r="AA851" s="71" t="n"/>
      <x:c r="AB851" s="71" t="inlineStr">
        <x:is>
          <x:t xml:space="preserve">NO</x:t>
        </x:is>
      </x:c>
      <x:c r="AC851" s="57" t="inlineStr">
        <x:is>
          <x:t xml:space="preserve">V10</x:t>
        </x:is>
      </x:c>
      <x:c r="AD851" s="57" t="n"/>
      <x:c r="AE851" s="79" t="str">
        <x:f>IF(AND(I851&lt;&gt;"",J851&lt;&gt;"",K851&lt;&gt;"",L851="YES",M851&lt;&gt;"",S851&lt;&gt;"",T851&lt;&gt;"",U851&lt;&gt;"",V851&lt;&gt;"",W851&lt;&gt;"",X851&lt;&gt;"",Y851&lt;&gt;""),"COMPLETE","PENDING")</x:f>
        <x:v>PENDING</x:v>
      </x:c>
      <x:c r="AF851" s="79" t="str">
        <x:f>IF(AE851="COMPLETE","YES","NO")</x:f>
        <x:v>NO</x:v>
      </x:c>
      <x:c r="AG851" s="214" t="str">
        <x:f>IF(AF851&lt;&gt;"YES","",(IF(V851="YES",1,0)+IF(W851="YES",1,0))/2)</x:f>
      </x:c>
    </x:row>
    <x:row r="852">
      <x:c r="A852" s="57" t="inlineStr">
        <x:is>
          <x:t xml:space="preserve">C0847</x:t>
        </x:is>
      </x:c>
      <x:c r="B852" s="57" t="inlineStr">
        <x:is>
          <x:t xml:space="preserve">Holdout</x:t>
        </x:is>
      </x:c>
      <x:c r="C852" s="57" t="inlineStr">
        <x:is>
          <x:t xml:space="preserve">LOCKED</x:t>
        </x:is>
      </x:c>
      <x:c r="D852" s="57" t="inlineStr">
        <x:is>
          <x:t xml:space="preserve">ARG-085</x:t>
        </x:is>
      </x:c>
      <x:c r="E852" s="75" t="str">
        <x:f>INDEX('Company Universe'!$B$6:$B$105,MATCH(D852,'Company Universe'!$A$6:$A$105,0))</x:f>
        <x:v>American International Group</x:v>
      </x:c>
      <x:c r="F852" s="75" t="str">
        <x:f>INDEX('Company Universe'!$C$6:$C$105,MATCH(D852,'Company Universe'!$A$6:$A$105,0))</x:f>
        <x:v>AIG</x:v>
      </x:c>
      <x:c r="G852" s="75" t="str">
        <x:f>INDEX('Company Universe'!$F$6:$F$105,MATCH(D852,'Company Universe'!$A$6:$A$105,0))</x:f>
        <x:v>Insurance</x:v>
      </x:c>
      <x:c r="H852" s="57" t="n">
        <x:v>7</x:v>
      </x:c>
      <x:c r="I852" s="206" t="n"/>
      <x:c r="J852" s="71" t="n"/>
      <x:c r="K852" s="71" t="n"/>
      <x:c r="L852" s="71" t="inlineStr">
        <x:is>
          <x:t xml:space="preserve">NO</x:t>
        </x:is>
      </x:c>
      <x:c r="M852" s="71" t="n"/>
      <x:c r="N852" s="71" t="n"/>
      <x:c r="O852" s="71" t="n"/>
      <x:c r="P852" s="71" t="n"/>
      <x:c r="Q852" s="71" t="n"/>
      <x:c r="R852" s="71" t="n"/>
      <x:c r="S852" s="206" t="n"/>
      <x:c r="T852" s="71" t="n"/>
      <x:c r="U852" s="71" t="n"/>
      <x:c r="V852" s="71" t="n"/>
      <x:c r="W852" s="71" t="n"/>
      <x:c r="X852" s="71" t="n"/>
      <x:c r="Y852" s="71" t="n"/>
      <x:c r="Z852" s="71" t="n"/>
      <x:c r="AA852" s="71" t="n"/>
      <x:c r="AB852" s="71" t="inlineStr">
        <x:is>
          <x:t xml:space="preserve">NO</x:t>
        </x:is>
      </x:c>
      <x:c r="AC852" s="57" t="inlineStr">
        <x:is>
          <x:t xml:space="preserve">V10</x:t>
        </x:is>
      </x:c>
      <x:c r="AD852" s="57" t="n"/>
      <x:c r="AE852" s="79" t="str">
        <x:f>IF(AND(I852&lt;&gt;"",J852&lt;&gt;"",K852&lt;&gt;"",L852="YES",M852&lt;&gt;"",S852&lt;&gt;"",T852&lt;&gt;"",U852&lt;&gt;"",V852&lt;&gt;"",W852&lt;&gt;"",X852&lt;&gt;"",Y852&lt;&gt;""),"COMPLETE","PENDING")</x:f>
        <x:v>PENDING</x:v>
      </x:c>
      <x:c r="AF852" s="79" t="str">
        <x:f>IF(AE852="COMPLETE","YES","NO")</x:f>
        <x:v>NO</x:v>
      </x:c>
      <x:c r="AG852" s="214" t="str">
        <x:f>IF(AF852&lt;&gt;"YES","",(IF(V852="YES",1,0)+IF(W852="YES",1,0))/2)</x:f>
      </x:c>
    </x:row>
    <x:row r="853">
      <x:c r="A853" s="57" t="inlineStr">
        <x:is>
          <x:t xml:space="preserve">C0848</x:t>
        </x:is>
      </x:c>
      <x:c r="B853" s="57" t="inlineStr">
        <x:is>
          <x:t xml:space="preserve">Holdout</x:t>
        </x:is>
      </x:c>
      <x:c r="C853" s="57" t="inlineStr">
        <x:is>
          <x:t xml:space="preserve">LOCKED</x:t>
        </x:is>
      </x:c>
      <x:c r="D853" s="57" t="inlineStr">
        <x:is>
          <x:t xml:space="preserve">ARG-085</x:t>
        </x:is>
      </x:c>
      <x:c r="E853" s="75" t="str">
        <x:f>INDEX('Company Universe'!$B$6:$B$105,MATCH(D853,'Company Universe'!$A$6:$A$105,0))</x:f>
        <x:v>American International Group</x:v>
      </x:c>
      <x:c r="F853" s="75" t="str">
        <x:f>INDEX('Company Universe'!$C$6:$C$105,MATCH(D853,'Company Universe'!$A$6:$A$105,0))</x:f>
        <x:v>AIG</x:v>
      </x:c>
      <x:c r="G853" s="75" t="str">
        <x:f>INDEX('Company Universe'!$F$6:$F$105,MATCH(D853,'Company Universe'!$A$6:$A$105,0))</x:f>
        <x:v>Insurance</x:v>
      </x:c>
      <x:c r="H853" s="57" t="n">
        <x:v>8</x:v>
      </x:c>
      <x:c r="I853" s="206" t="n"/>
      <x:c r="J853" s="71" t="n"/>
      <x:c r="K853" s="71" t="n"/>
      <x:c r="L853" s="71" t="inlineStr">
        <x:is>
          <x:t xml:space="preserve">NO</x:t>
        </x:is>
      </x:c>
      <x:c r="M853" s="71" t="n"/>
      <x:c r="N853" s="71" t="n"/>
      <x:c r="O853" s="71" t="n"/>
      <x:c r="P853" s="71" t="n"/>
      <x:c r="Q853" s="71" t="n"/>
      <x:c r="R853" s="71" t="n"/>
      <x:c r="S853" s="206" t="n"/>
      <x:c r="T853" s="71" t="n"/>
      <x:c r="U853" s="71" t="n"/>
      <x:c r="V853" s="71" t="n"/>
      <x:c r="W853" s="71" t="n"/>
      <x:c r="X853" s="71" t="n"/>
      <x:c r="Y853" s="71" t="n"/>
      <x:c r="Z853" s="71" t="n"/>
      <x:c r="AA853" s="71" t="n"/>
      <x:c r="AB853" s="71" t="inlineStr">
        <x:is>
          <x:t xml:space="preserve">NO</x:t>
        </x:is>
      </x:c>
      <x:c r="AC853" s="57" t="inlineStr">
        <x:is>
          <x:t xml:space="preserve">V10</x:t>
        </x:is>
      </x:c>
      <x:c r="AD853" s="57" t="n"/>
      <x:c r="AE853" s="79" t="str">
        <x:f>IF(AND(I853&lt;&gt;"",J853&lt;&gt;"",K853&lt;&gt;"",L853="YES",M853&lt;&gt;"",S853&lt;&gt;"",T853&lt;&gt;"",U853&lt;&gt;"",V853&lt;&gt;"",W853&lt;&gt;"",X853&lt;&gt;"",Y853&lt;&gt;""),"COMPLETE","PENDING")</x:f>
        <x:v>PENDING</x:v>
      </x:c>
      <x:c r="AF853" s="79" t="str">
        <x:f>IF(AE853="COMPLETE","YES","NO")</x:f>
        <x:v>NO</x:v>
      </x:c>
      <x:c r="AG853" s="214" t="str">
        <x:f>IF(AF853&lt;&gt;"YES","",(IF(V853="YES",1,0)+IF(W853="YES",1,0))/2)</x:f>
      </x:c>
    </x:row>
    <x:row r="854">
      <x:c r="A854" s="57" t="inlineStr">
        <x:is>
          <x:t xml:space="preserve">C0849</x:t>
        </x:is>
      </x:c>
      <x:c r="B854" s="57" t="inlineStr">
        <x:is>
          <x:t xml:space="preserve">Holdout</x:t>
        </x:is>
      </x:c>
      <x:c r="C854" s="57" t="inlineStr">
        <x:is>
          <x:t xml:space="preserve">LOCKED</x:t>
        </x:is>
      </x:c>
      <x:c r="D854" s="57" t="inlineStr">
        <x:is>
          <x:t xml:space="preserve">ARG-085</x:t>
        </x:is>
      </x:c>
      <x:c r="E854" s="75" t="str">
        <x:f>INDEX('Company Universe'!$B$6:$B$105,MATCH(D854,'Company Universe'!$A$6:$A$105,0))</x:f>
        <x:v>American International Group</x:v>
      </x:c>
      <x:c r="F854" s="75" t="str">
        <x:f>INDEX('Company Universe'!$C$6:$C$105,MATCH(D854,'Company Universe'!$A$6:$A$105,0))</x:f>
        <x:v>AIG</x:v>
      </x:c>
      <x:c r="G854" s="75" t="str">
        <x:f>INDEX('Company Universe'!$F$6:$F$105,MATCH(D854,'Company Universe'!$A$6:$A$105,0))</x:f>
        <x:v>Insurance</x:v>
      </x:c>
      <x:c r="H854" s="57" t="n">
        <x:v>9</x:v>
      </x:c>
      <x:c r="I854" s="206" t="n"/>
      <x:c r="J854" s="71" t="n"/>
      <x:c r="K854" s="71" t="n"/>
      <x:c r="L854" s="71" t="inlineStr">
        <x:is>
          <x:t xml:space="preserve">NO</x:t>
        </x:is>
      </x:c>
      <x:c r="M854" s="71" t="n"/>
      <x:c r="N854" s="71" t="n"/>
      <x:c r="O854" s="71" t="n"/>
      <x:c r="P854" s="71" t="n"/>
      <x:c r="Q854" s="71" t="n"/>
      <x:c r="R854" s="71" t="n"/>
      <x:c r="S854" s="206" t="n"/>
      <x:c r="T854" s="71" t="n"/>
      <x:c r="U854" s="71" t="n"/>
      <x:c r="V854" s="71" t="n"/>
      <x:c r="W854" s="71" t="n"/>
      <x:c r="X854" s="71" t="n"/>
      <x:c r="Y854" s="71" t="n"/>
      <x:c r="Z854" s="71" t="n"/>
      <x:c r="AA854" s="71" t="n"/>
      <x:c r="AB854" s="71" t="inlineStr">
        <x:is>
          <x:t xml:space="preserve">NO</x:t>
        </x:is>
      </x:c>
      <x:c r="AC854" s="57" t="inlineStr">
        <x:is>
          <x:t xml:space="preserve">V10</x:t>
        </x:is>
      </x:c>
      <x:c r="AD854" s="57" t="n"/>
      <x:c r="AE854" s="79" t="str">
        <x:f>IF(AND(I854&lt;&gt;"",J854&lt;&gt;"",K854&lt;&gt;"",L854="YES",M854&lt;&gt;"",S854&lt;&gt;"",T854&lt;&gt;"",U854&lt;&gt;"",V854&lt;&gt;"",W854&lt;&gt;"",X854&lt;&gt;"",Y854&lt;&gt;""),"COMPLETE","PENDING")</x:f>
        <x:v>PENDING</x:v>
      </x:c>
      <x:c r="AF854" s="79" t="str">
        <x:f>IF(AE854="COMPLETE","YES","NO")</x:f>
        <x:v>NO</x:v>
      </x:c>
      <x:c r="AG854" s="214" t="str">
        <x:f>IF(AF854&lt;&gt;"YES","",(IF(V854="YES",1,0)+IF(W854="YES",1,0))/2)</x:f>
      </x:c>
    </x:row>
    <x:row r="855">
      <x:c r="A855" s="57" t="inlineStr">
        <x:is>
          <x:t xml:space="preserve">C0850</x:t>
        </x:is>
      </x:c>
      <x:c r="B855" s="57" t="inlineStr">
        <x:is>
          <x:t xml:space="preserve">Holdout</x:t>
        </x:is>
      </x:c>
      <x:c r="C855" s="57" t="inlineStr">
        <x:is>
          <x:t xml:space="preserve">LOCKED</x:t>
        </x:is>
      </x:c>
      <x:c r="D855" s="57" t="inlineStr">
        <x:is>
          <x:t xml:space="preserve">ARG-085</x:t>
        </x:is>
      </x:c>
      <x:c r="E855" s="75" t="str">
        <x:f>INDEX('Company Universe'!$B$6:$B$105,MATCH(D855,'Company Universe'!$A$6:$A$105,0))</x:f>
        <x:v>American International Group</x:v>
      </x:c>
      <x:c r="F855" s="75" t="str">
        <x:f>INDEX('Company Universe'!$C$6:$C$105,MATCH(D855,'Company Universe'!$A$6:$A$105,0))</x:f>
        <x:v>AIG</x:v>
      </x:c>
      <x:c r="G855" s="75" t="str">
        <x:f>INDEX('Company Universe'!$F$6:$F$105,MATCH(D855,'Company Universe'!$A$6:$A$105,0))</x:f>
        <x:v>Insurance</x:v>
      </x:c>
      <x:c r="H855" s="57" t="n">
        <x:v>10</x:v>
      </x:c>
      <x:c r="I855" s="206" t="n"/>
      <x:c r="J855" s="71" t="n"/>
      <x:c r="K855" s="71" t="n"/>
      <x:c r="L855" s="71" t="inlineStr">
        <x:is>
          <x:t xml:space="preserve">NO</x:t>
        </x:is>
      </x:c>
      <x:c r="M855" s="71" t="n"/>
      <x:c r="N855" s="71" t="n"/>
      <x:c r="O855" s="71" t="n"/>
      <x:c r="P855" s="71" t="n"/>
      <x:c r="Q855" s="71" t="n"/>
      <x:c r="R855" s="71" t="n"/>
      <x:c r="S855" s="206" t="n"/>
      <x:c r="T855" s="71" t="n"/>
      <x:c r="U855" s="71" t="n"/>
      <x:c r="V855" s="71" t="n"/>
      <x:c r="W855" s="71" t="n"/>
      <x:c r="X855" s="71" t="n"/>
      <x:c r="Y855" s="71" t="n"/>
      <x:c r="Z855" s="71" t="n"/>
      <x:c r="AA855" s="71" t="n"/>
      <x:c r="AB855" s="71" t="inlineStr">
        <x:is>
          <x:t xml:space="preserve">NO</x:t>
        </x:is>
      </x:c>
      <x:c r="AC855" s="57" t="inlineStr">
        <x:is>
          <x:t xml:space="preserve">V10</x:t>
        </x:is>
      </x:c>
      <x:c r="AD855" s="57" t="n"/>
      <x:c r="AE855" s="79" t="str">
        <x:f>IF(AND(I855&lt;&gt;"",J855&lt;&gt;"",K855&lt;&gt;"",L855="YES",M855&lt;&gt;"",S855&lt;&gt;"",T855&lt;&gt;"",U855&lt;&gt;"",V855&lt;&gt;"",W855&lt;&gt;"",X855&lt;&gt;"",Y855&lt;&gt;""),"COMPLETE","PENDING")</x:f>
        <x:v>PENDING</x:v>
      </x:c>
      <x:c r="AF855" s="79" t="str">
        <x:f>IF(AE855="COMPLETE","YES","NO")</x:f>
        <x:v>NO</x:v>
      </x:c>
      <x:c r="AG855" s="214" t="str">
        <x:f>IF(AF855&lt;&gt;"YES","",(IF(V855="YES",1,0)+IF(W855="YES",1,0))/2)</x:f>
      </x:c>
    </x:row>
    <x:row r="856">
      <x:c r="A856" s="57" t="inlineStr">
        <x:is>
          <x:t xml:space="preserve">C0851</x:t>
        </x:is>
      </x:c>
      <x:c r="B856" s="57" t="inlineStr">
        <x:is>
          <x:t xml:space="preserve">Holdout</x:t>
        </x:is>
      </x:c>
      <x:c r="C856" s="57" t="inlineStr">
        <x:is>
          <x:t xml:space="preserve">LOCKED</x:t>
        </x:is>
      </x:c>
      <x:c r="D856" s="57" t="inlineStr">
        <x:is>
          <x:t xml:space="preserve">ARG-086</x:t>
        </x:is>
      </x:c>
      <x:c r="E856" s="75" t="str">
        <x:f>INDEX('Company Universe'!$B$6:$B$105,MATCH(D856,'Company Universe'!$A$6:$A$105,0))</x:f>
        <x:v>Travelers</x:v>
      </x:c>
      <x:c r="F856" s="75" t="str">
        <x:f>INDEX('Company Universe'!$C$6:$C$105,MATCH(D856,'Company Universe'!$A$6:$A$105,0))</x:f>
        <x:v>TRV</x:v>
      </x:c>
      <x:c r="G856" s="75" t="str">
        <x:f>INDEX('Company Universe'!$F$6:$F$105,MATCH(D856,'Company Universe'!$A$6:$A$105,0))</x:f>
        <x:v>Insurance</x:v>
      </x:c>
      <x:c r="H856" s="57" t="n">
        <x:v>1</x:v>
      </x:c>
      <x:c r="I856" s="206" t="n"/>
      <x:c r="J856" s="71" t="n"/>
      <x:c r="K856" s="71" t="n"/>
      <x:c r="L856" s="71" t="inlineStr">
        <x:is>
          <x:t xml:space="preserve">NO</x:t>
        </x:is>
      </x:c>
      <x:c r="M856" s="71" t="n"/>
      <x:c r="N856" s="71" t="n"/>
      <x:c r="O856" s="71" t="n"/>
      <x:c r="P856" s="71" t="n"/>
      <x:c r="Q856" s="71" t="n"/>
      <x:c r="R856" s="71" t="n"/>
      <x:c r="S856" s="206" t="n"/>
      <x:c r="T856" s="71" t="n"/>
      <x:c r="U856" s="71" t="n"/>
      <x:c r="V856" s="71" t="n"/>
      <x:c r="W856" s="71" t="n"/>
      <x:c r="X856" s="71" t="n"/>
      <x:c r="Y856" s="71" t="n"/>
      <x:c r="Z856" s="71" t="n"/>
      <x:c r="AA856" s="71" t="n"/>
      <x:c r="AB856" s="71" t="inlineStr">
        <x:is>
          <x:t xml:space="preserve">NO</x:t>
        </x:is>
      </x:c>
      <x:c r="AC856" s="57" t="inlineStr">
        <x:is>
          <x:t xml:space="preserve">V10</x:t>
        </x:is>
      </x:c>
      <x:c r="AD856" s="57" t="n"/>
      <x:c r="AE856" s="79" t="str">
        <x:f>IF(AND(I856&lt;&gt;"",J856&lt;&gt;"",K856&lt;&gt;"",L856="YES",M856&lt;&gt;"",S856&lt;&gt;"",T856&lt;&gt;"",U856&lt;&gt;"",V856&lt;&gt;"",W856&lt;&gt;"",X856&lt;&gt;"",Y856&lt;&gt;""),"COMPLETE","PENDING")</x:f>
        <x:v>PENDING</x:v>
      </x:c>
      <x:c r="AF856" s="79" t="str">
        <x:f>IF(AE856="COMPLETE","YES","NO")</x:f>
        <x:v>NO</x:v>
      </x:c>
      <x:c r="AG856" s="214" t="str">
        <x:f>IF(AF856&lt;&gt;"YES","",(IF(V856="YES",1,0)+IF(W856="YES",1,0))/2)</x:f>
      </x:c>
    </x:row>
    <x:row r="857">
      <x:c r="A857" s="57" t="inlineStr">
        <x:is>
          <x:t xml:space="preserve">C0852</x:t>
        </x:is>
      </x:c>
      <x:c r="B857" s="57" t="inlineStr">
        <x:is>
          <x:t xml:space="preserve">Holdout</x:t>
        </x:is>
      </x:c>
      <x:c r="C857" s="57" t="inlineStr">
        <x:is>
          <x:t xml:space="preserve">LOCKED</x:t>
        </x:is>
      </x:c>
      <x:c r="D857" s="57" t="inlineStr">
        <x:is>
          <x:t xml:space="preserve">ARG-086</x:t>
        </x:is>
      </x:c>
      <x:c r="E857" s="75" t="str">
        <x:f>INDEX('Company Universe'!$B$6:$B$105,MATCH(D857,'Company Universe'!$A$6:$A$105,0))</x:f>
        <x:v>Travelers</x:v>
      </x:c>
      <x:c r="F857" s="75" t="str">
        <x:f>INDEX('Company Universe'!$C$6:$C$105,MATCH(D857,'Company Universe'!$A$6:$A$105,0))</x:f>
        <x:v>TRV</x:v>
      </x:c>
      <x:c r="G857" s="75" t="str">
        <x:f>INDEX('Company Universe'!$F$6:$F$105,MATCH(D857,'Company Universe'!$A$6:$A$105,0))</x:f>
        <x:v>Insurance</x:v>
      </x:c>
      <x:c r="H857" s="57" t="n">
        <x:v>2</x:v>
      </x:c>
      <x:c r="I857" s="206" t="n"/>
      <x:c r="J857" s="71" t="n"/>
      <x:c r="K857" s="71" t="n"/>
      <x:c r="L857" s="71" t="inlineStr">
        <x:is>
          <x:t xml:space="preserve">NO</x:t>
        </x:is>
      </x:c>
      <x:c r="M857" s="71" t="n"/>
      <x:c r="N857" s="71" t="n"/>
      <x:c r="O857" s="71" t="n"/>
      <x:c r="P857" s="71" t="n"/>
      <x:c r="Q857" s="71" t="n"/>
      <x:c r="R857" s="71" t="n"/>
      <x:c r="S857" s="206" t="n"/>
      <x:c r="T857" s="71" t="n"/>
      <x:c r="U857" s="71" t="n"/>
      <x:c r="V857" s="71" t="n"/>
      <x:c r="W857" s="71" t="n"/>
      <x:c r="X857" s="71" t="n"/>
      <x:c r="Y857" s="71" t="n"/>
      <x:c r="Z857" s="71" t="n"/>
      <x:c r="AA857" s="71" t="n"/>
      <x:c r="AB857" s="71" t="inlineStr">
        <x:is>
          <x:t xml:space="preserve">NO</x:t>
        </x:is>
      </x:c>
      <x:c r="AC857" s="57" t="inlineStr">
        <x:is>
          <x:t xml:space="preserve">V10</x:t>
        </x:is>
      </x:c>
      <x:c r="AD857" s="57" t="n"/>
      <x:c r="AE857" s="79" t="str">
        <x:f>IF(AND(I857&lt;&gt;"",J857&lt;&gt;"",K857&lt;&gt;"",L857="YES",M857&lt;&gt;"",S857&lt;&gt;"",T857&lt;&gt;"",U857&lt;&gt;"",V857&lt;&gt;"",W857&lt;&gt;"",X857&lt;&gt;"",Y857&lt;&gt;""),"COMPLETE","PENDING")</x:f>
        <x:v>PENDING</x:v>
      </x:c>
      <x:c r="AF857" s="79" t="str">
        <x:f>IF(AE857="COMPLETE","YES","NO")</x:f>
        <x:v>NO</x:v>
      </x:c>
      <x:c r="AG857" s="214" t="str">
        <x:f>IF(AF857&lt;&gt;"YES","",(IF(V857="YES",1,0)+IF(W857="YES",1,0))/2)</x:f>
      </x:c>
    </x:row>
    <x:row r="858">
      <x:c r="A858" s="57" t="inlineStr">
        <x:is>
          <x:t xml:space="preserve">C0853</x:t>
        </x:is>
      </x:c>
      <x:c r="B858" s="57" t="inlineStr">
        <x:is>
          <x:t xml:space="preserve">Holdout</x:t>
        </x:is>
      </x:c>
      <x:c r="C858" s="57" t="inlineStr">
        <x:is>
          <x:t xml:space="preserve">LOCKED</x:t>
        </x:is>
      </x:c>
      <x:c r="D858" s="57" t="inlineStr">
        <x:is>
          <x:t xml:space="preserve">ARG-086</x:t>
        </x:is>
      </x:c>
      <x:c r="E858" s="75" t="str">
        <x:f>INDEX('Company Universe'!$B$6:$B$105,MATCH(D858,'Company Universe'!$A$6:$A$105,0))</x:f>
        <x:v>Travelers</x:v>
      </x:c>
      <x:c r="F858" s="75" t="str">
        <x:f>INDEX('Company Universe'!$C$6:$C$105,MATCH(D858,'Company Universe'!$A$6:$A$105,0))</x:f>
        <x:v>TRV</x:v>
      </x:c>
      <x:c r="G858" s="75" t="str">
        <x:f>INDEX('Company Universe'!$F$6:$F$105,MATCH(D858,'Company Universe'!$A$6:$A$105,0))</x:f>
        <x:v>Insurance</x:v>
      </x:c>
      <x:c r="H858" s="57" t="n">
        <x:v>3</x:v>
      </x:c>
      <x:c r="I858" s="206" t="n"/>
      <x:c r="J858" s="71" t="n"/>
      <x:c r="K858" s="71" t="n"/>
      <x:c r="L858" s="71" t="inlineStr">
        <x:is>
          <x:t xml:space="preserve">NO</x:t>
        </x:is>
      </x:c>
      <x:c r="M858" s="71" t="n"/>
      <x:c r="N858" s="71" t="n"/>
      <x:c r="O858" s="71" t="n"/>
      <x:c r="P858" s="71" t="n"/>
      <x:c r="Q858" s="71" t="n"/>
      <x:c r="R858" s="71" t="n"/>
      <x:c r="S858" s="206" t="n"/>
      <x:c r="T858" s="71" t="n"/>
      <x:c r="U858" s="71" t="n"/>
      <x:c r="V858" s="71" t="n"/>
      <x:c r="W858" s="71" t="n"/>
      <x:c r="X858" s="71" t="n"/>
      <x:c r="Y858" s="71" t="n"/>
      <x:c r="Z858" s="71" t="n"/>
      <x:c r="AA858" s="71" t="n"/>
      <x:c r="AB858" s="71" t="inlineStr">
        <x:is>
          <x:t xml:space="preserve">NO</x:t>
        </x:is>
      </x:c>
      <x:c r="AC858" s="57" t="inlineStr">
        <x:is>
          <x:t xml:space="preserve">V10</x:t>
        </x:is>
      </x:c>
      <x:c r="AD858" s="57" t="n"/>
      <x:c r="AE858" s="79" t="str">
        <x:f>IF(AND(I858&lt;&gt;"",J858&lt;&gt;"",K858&lt;&gt;"",L858="YES",M858&lt;&gt;"",S858&lt;&gt;"",T858&lt;&gt;"",U858&lt;&gt;"",V858&lt;&gt;"",W858&lt;&gt;"",X858&lt;&gt;"",Y858&lt;&gt;""),"COMPLETE","PENDING")</x:f>
        <x:v>PENDING</x:v>
      </x:c>
      <x:c r="AF858" s="79" t="str">
        <x:f>IF(AE858="COMPLETE","YES","NO")</x:f>
        <x:v>NO</x:v>
      </x:c>
      <x:c r="AG858" s="214" t="str">
        <x:f>IF(AF858&lt;&gt;"YES","",(IF(V858="YES",1,0)+IF(W858="YES",1,0))/2)</x:f>
      </x:c>
    </x:row>
    <x:row r="859">
      <x:c r="A859" s="57" t="inlineStr">
        <x:is>
          <x:t xml:space="preserve">C0854</x:t>
        </x:is>
      </x:c>
      <x:c r="B859" s="57" t="inlineStr">
        <x:is>
          <x:t xml:space="preserve">Holdout</x:t>
        </x:is>
      </x:c>
      <x:c r="C859" s="57" t="inlineStr">
        <x:is>
          <x:t xml:space="preserve">LOCKED</x:t>
        </x:is>
      </x:c>
      <x:c r="D859" s="57" t="inlineStr">
        <x:is>
          <x:t xml:space="preserve">ARG-086</x:t>
        </x:is>
      </x:c>
      <x:c r="E859" s="75" t="str">
        <x:f>INDEX('Company Universe'!$B$6:$B$105,MATCH(D859,'Company Universe'!$A$6:$A$105,0))</x:f>
        <x:v>Travelers</x:v>
      </x:c>
      <x:c r="F859" s="75" t="str">
        <x:f>INDEX('Company Universe'!$C$6:$C$105,MATCH(D859,'Company Universe'!$A$6:$A$105,0))</x:f>
        <x:v>TRV</x:v>
      </x:c>
      <x:c r="G859" s="75" t="str">
        <x:f>INDEX('Company Universe'!$F$6:$F$105,MATCH(D859,'Company Universe'!$A$6:$A$105,0))</x:f>
        <x:v>Insurance</x:v>
      </x:c>
      <x:c r="H859" s="57" t="n">
        <x:v>4</x:v>
      </x:c>
      <x:c r="I859" s="206" t="n"/>
      <x:c r="J859" s="71" t="n"/>
      <x:c r="K859" s="71" t="n"/>
      <x:c r="L859" s="71" t="inlineStr">
        <x:is>
          <x:t xml:space="preserve">NO</x:t>
        </x:is>
      </x:c>
      <x:c r="M859" s="71" t="n"/>
      <x:c r="N859" s="71" t="n"/>
      <x:c r="O859" s="71" t="n"/>
      <x:c r="P859" s="71" t="n"/>
      <x:c r="Q859" s="71" t="n"/>
      <x:c r="R859" s="71" t="n"/>
      <x:c r="S859" s="206" t="n"/>
      <x:c r="T859" s="71" t="n"/>
      <x:c r="U859" s="71" t="n"/>
      <x:c r="V859" s="71" t="n"/>
      <x:c r="W859" s="71" t="n"/>
      <x:c r="X859" s="71" t="n"/>
      <x:c r="Y859" s="71" t="n"/>
      <x:c r="Z859" s="71" t="n"/>
      <x:c r="AA859" s="71" t="n"/>
      <x:c r="AB859" s="71" t="inlineStr">
        <x:is>
          <x:t xml:space="preserve">NO</x:t>
        </x:is>
      </x:c>
      <x:c r="AC859" s="57" t="inlineStr">
        <x:is>
          <x:t xml:space="preserve">V10</x:t>
        </x:is>
      </x:c>
      <x:c r="AD859" s="57" t="n"/>
      <x:c r="AE859" s="79" t="str">
        <x:f>IF(AND(I859&lt;&gt;"",J859&lt;&gt;"",K859&lt;&gt;"",L859="YES",M859&lt;&gt;"",S859&lt;&gt;"",T859&lt;&gt;"",U859&lt;&gt;"",V859&lt;&gt;"",W859&lt;&gt;"",X859&lt;&gt;"",Y859&lt;&gt;""),"COMPLETE","PENDING")</x:f>
        <x:v>PENDING</x:v>
      </x:c>
      <x:c r="AF859" s="79" t="str">
        <x:f>IF(AE859="COMPLETE","YES","NO")</x:f>
        <x:v>NO</x:v>
      </x:c>
      <x:c r="AG859" s="214" t="str">
        <x:f>IF(AF859&lt;&gt;"YES","",(IF(V859="YES",1,0)+IF(W859="YES",1,0))/2)</x:f>
      </x:c>
    </x:row>
    <x:row r="860">
      <x:c r="A860" s="57" t="inlineStr">
        <x:is>
          <x:t xml:space="preserve">C0855</x:t>
        </x:is>
      </x:c>
      <x:c r="B860" s="57" t="inlineStr">
        <x:is>
          <x:t xml:space="preserve">Holdout</x:t>
        </x:is>
      </x:c>
      <x:c r="C860" s="57" t="inlineStr">
        <x:is>
          <x:t xml:space="preserve">LOCKED</x:t>
        </x:is>
      </x:c>
      <x:c r="D860" s="57" t="inlineStr">
        <x:is>
          <x:t xml:space="preserve">ARG-086</x:t>
        </x:is>
      </x:c>
      <x:c r="E860" s="75" t="str">
        <x:f>INDEX('Company Universe'!$B$6:$B$105,MATCH(D860,'Company Universe'!$A$6:$A$105,0))</x:f>
        <x:v>Travelers</x:v>
      </x:c>
      <x:c r="F860" s="75" t="str">
        <x:f>INDEX('Company Universe'!$C$6:$C$105,MATCH(D860,'Company Universe'!$A$6:$A$105,0))</x:f>
        <x:v>TRV</x:v>
      </x:c>
      <x:c r="G860" s="75" t="str">
        <x:f>INDEX('Company Universe'!$F$6:$F$105,MATCH(D860,'Company Universe'!$A$6:$A$105,0))</x:f>
        <x:v>Insurance</x:v>
      </x:c>
      <x:c r="H860" s="57" t="n">
        <x:v>5</x:v>
      </x:c>
      <x:c r="I860" s="206" t="n"/>
      <x:c r="J860" s="71" t="n"/>
      <x:c r="K860" s="71" t="n"/>
      <x:c r="L860" s="71" t="inlineStr">
        <x:is>
          <x:t xml:space="preserve">NO</x:t>
        </x:is>
      </x:c>
      <x:c r="M860" s="71" t="n"/>
      <x:c r="N860" s="71" t="n"/>
      <x:c r="O860" s="71" t="n"/>
      <x:c r="P860" s="71" t="n"/>
      <x:c r="Q860" s="71" t="n"/>
      <x:c r="R860" s="71" t="n"/>
      <x:c r="S860" s="206" t="n"/>
      <x:c r="T860" s="71" t="n"/>
      <x:c r="U860" s="71" t="n"/>
      <x:c r="V860" s="71" t="n"/>
      <x:c r="W860" s="71" t="n"/>
      <x:c r="X860" s="71" t="n"/>
      <x:c r="Y860" s="71" t="n"/>
      <x:c r="Z860" s="71" t="n"/>
      <x:c r="AA860" s="71" t="n"/>
      <x:c r="AB860" s="71" t="inlineStr">
        <x:is>
          <x:t xml:space="preserve">NO</x:t>
        </x:is>
      </x:c>
      <x:c r="AC860" s="57" t="inlineStr">
        <x:is>
          <x:t xml:space="preserve">V10</x:t>
        </x:is>
      </x:c>
      <x:c r="AD860" s="57" t="n"/>
      <x:c r="AE860" s="79" t="str">
        <x:f>IF(AND(I860&lt;&gt;"",J860&lt;&gt;"",K860&lt;&gt;"",L860="YES",M860&lt;&gt;"",S860&lt;&gt;"",T860&lt;&gt;"",U860&lt;&gt;"",V860&lt;&gt;"",W860&lt;&gt;"",X860&lt;&gt;"",Y860&lt;&gt;""),"COMPLETE","PENDING")</x:f>
        <x:v>PENDING</x:v>
      </x:c>
      <x:c r="AF860" s="79" t="str">
        <x:f>IF(AE860="COMPLETE","YES","NO")</x:f>
        <x:v>NO</x:v>
      </x:c>
      <x:c r="AG860" s="214" t="str">
        <x:f>IF(AF860&lt;&gt;"YES","",(IF(V860="YES",1,0)+IF(W860="YES",1,0))/2)</x:f>
      </x:c>
    </x:row>
    <x:row r="861">
      <x:c r="A861" s="57" t="inlineStr">
        <x:is>
          <x:t xml:space="preserve">C0856</x:t>
        </x:is>
      </x:c>
      <x:c r="B861" s="57" t="inlineStr">
        <x:is>
          <x:t xml:space="preserve">Holdout</x:t>
        </x:is>
      </x:c>
      <x:c r="C861" s="57" t="inlineStr">
        <x:is>
          <x:t xml:space="preserve">LOCKED</x:t>
        </x:is>
      </x:c>
      <x:c r="D861" s="57" t="inlineStr">
        <x:is>
          <x:t xml:space="preserve">ARG-086</x:t>
        </x:is>
      </x:c>
      <x:c r="E861" s="75" t="str">
        <x:f>INDEX('Company Universe'!$B$6:$B$105,MATCH(D861,'Company Universe'!$A$6:$A$105,0))</x:f>
        <x:v>Travelers</x:v>
      </x:c>
      <x:c r="F861" s="75" t="str">
        <x:f>INDEX('Company Universe'!$C$6:$C$105,MATCH(D861,'Company Universe'!$A$6:$A$105,0))</x:f>
        <x:v>TRV</x:v>
      </x:c>
      <x:c r="G861" s="75" t="str">
        <x:f>INDEX('Company Universe'!$F$6:$F$105,MATCH(D861,'Company Universe'!$A$6:$A$105,0))</x:f>
        <x:v>Insurance</x:v>
      </x:c>
      <x:c r="H861" s="57" t="n">
        <x:v>6</x:v>
      </x:c>
      <x:c r="I861" s="206" t="n"/>
      <x:c r="J861" s="71" t="n"/>
      <x:c r="K861" s="71" t="n"/>
      <x:c r="L861" s="71" t="inlineStr">
        <x:is>
          <x:t xml:space="preserve">NO</x:t>
        </x:is>
      </x:c>
      <x:c r="M861" s="71" t="n"/>
      <x:c r="N861" s="71" t="n"/>
      <x:c r="O861" s="71" t="n"/>
      <x:c r="P861" s="71" t="n"/>
      <x:c r="Q861" s="71" t="n"/>
      <x:c r="R861" s="71" t="n"/>
      <x:c r="S861" s="206" t="n"/>
      <x:c r="T861" s="71" t="n"/>
      <x:c r="U861" s="71" t="n"/>
      <x:c r="V861" s="71" t="n"/>
      <x:c r="W861" s="71" t="n"/>
      <x:c r="X861" s="71" t="n"/>
      <x:c r="Y861" s="71" t="n"/>
      <x:c r="Z861" s="71" t="n"/>
      <x:c r="AA861" s="71" t="n"/>
      <x:c r="AB861" s="71" t="inlineStr">
        <x:is>
          <x:t xml:space="preserve">NO</x:t>
        </x:is>
      </x:c>
      <x:c r="AC861" s="57" t="inlineStr">
        <x:is>
          <x:t xml:space="preserve">V10</x:t>
        </x:is>
      </x:c>
      <x:c r="AD861" s="57" t="n"/>
      <x:c r="AE861" s="79" t="str">
        <x:f>IF(AND(I861&lt;&gt;"",J861&lt;&gt;"",K861&lt;&gt;"",L861="YES",M861&lt;&gt;"",S861&lt;&gt;"",T861&lt;&gt;"",U861&lt;&gt;"",V861&lt;&gt;"",W861&lt;&gt;"",X861&lt;&gt;"",Y861&lt;&gt;""),"COMPLETE","PENDING")</x:f>
        <x:v>PENDING</x:v>
      </x:c>
      <x:c r="AF861" s="79" t="str">
        <x:f>IF(AE861="COMPLETE","YES","NO")</x:f>
        <x:v>NO</x:v>
      </x:c>
      <x:c r="AG861" s="214" t="str">
        <x:f>IF(AF861&lt;&gt;"YES","",(IF(V861="YES",1,0)+IF(W861="YES",1,0))/2)</x:f>
      </x:c>
    </x:row>
    <x:row r="862">
      <x:c r="A862" s="57" t="inlineStr">
        <x:is>
          <x:t xml:space="preserve">C0857</x:t>
        </x:is>
      </x:c>
      <x:c r="B862" s="57" t="inlineStr">
        <x:is>
          <x:t xml:space="preserve">Holdout</x:t>
        </x:is>
      </x:c>
      <x:c r="C862" s="57" t="inlineStr">
        <x:is>
          <x:t xml:space="preserve">LOCKED</x:t>
        </x:is>
      </x:c>
      <x:c r="D862" s="57" t="inlineStr">
        <x:is>
          <x:t xml:space="preserve">ARG-086</x:t>
        </x:is>
      </x:c>
      <x:c r="E862" s="75" t="str">
        <x:f>INDEX('Company Universe'!$B$6:$B$105,MATCH(D862,'Company Universe'!$A$6:$A$105,0))</x:f>
        <x:v>Travelers</x:v>
      </x:c>
      <x:c r="F862" s="75" t="str">
        <x:f>INDEX('Company Universe'!$C$6:$C$105,MATCH(D862,'Company Universe'!$A$6:$A$105,0))</x:f>
        <x:v>TRV</x:v>
      </x:c>
      <x:c r="G862" s="75" t="str">
        <x:f>INDEX('Company Universe'!$F$6:$F$105,MATCH(D862,'Company Universe'!$A$6:$A$105,0))</x:f>
        <x:v>Insurance</x:v>
      </x:c>
      <x:c r="H862" s="57" t="n">
        <x:v>7</x:v>
      </x:c>
      <x:c r="I862" s="206" t="n"/>
      <x:c r="J862" s="71" t="n"/>
      <x:c r="K862" s="71" t="n"/>
      <x:c r="L862" s="71" t="inlineStr">
        <x:is>
          <x:t xml:space="preserve">NO</x:t>
        </x:is>
      </x:c>
      <x:c r="M862" s="71" t="n"/>
      <x:c r="N862" s="71" t="n"/>
      <x:c r="O862" s="71" t="n"/>
      <x:c r="P862" s="71" t="n"/>
      <x:c r="Q862" s="71" t="n"/>
      <x:c r="R862" s="71" t="n"/>
      <x:c r="S862" s="206" t="n"/>
      <x:c r="T862" s="71" t="n"/>
      <x:c r="U862" s="71" t="n"/>
      <x:c r="V862" s="71" t="n"/>
      <x:c r="W862" s="71" t="n"/>
      <x:c r="X862" s="71" t="n"/>
      <x:c r="Y862" s="71" t="n"/>
      <x:c r="Z862" s="71" t="n"/>
      <x:c r="AA862" s="71" t="n"/>
      <x:c r="AB862" s="71" t="inlineStr">
        <x:is>
          <x:t xml:space="preserve">NO</x:t>
        </x:is>
      </x:c>
      <x:c r="AC862" s="57" t="inlineStr">
        <x:is>
          <x:t xml:space="preserve">V10</x:t>
        </x:is>
      </x:c>
      <x:c r="AD862" s="57" t="n"/>
      <x:c r="AE862" s="79" t="str">
        <x:f>IF(AND(I862&lt;&gt;"",J862&lt;&gt;"",K862&lt;&gt;"",L862="YES",M862&lt;&gt;"",S862&lt;&gt;"",T862&lt;&gt;"",U862&lt;&gt;"",V862&lt;&gt;"",W862&lt;&gt;"",X862&lt;&gt;"",Y862&lt;&gt;""),"COMPLETE","PENDING")</x:f>
        <x:v>PENDING</x:v>
      </x:c>
      <x:c r="AF862" s="79" t="str">
        <x:f>IF(AE862="COMPLETE","YES","NO")</x:f>
        <x:v>NO</x:v>
      </x:c>
      <x:c r="AG862" s="214" t="str">
        <x:f>IF(AF862&lt;&gt;"YES","",(IF(V862="YES",1,0)+IF(W862="YES",1,0))/2)</x:f>
      </x:c>
    </x:row>
    <x:row r="863">
      <x:c r="A863" s="57" t="inlineStr">
        <x:is>
          <x:t xml:space="preserve">C0858</x:t>
        </x:is>
      </x:c>
      <x:c r="B863" s="57" t="inlineStr">
        <x:is>
          <x:t xml:space="preserve">Holdout</x:t>
        </x:is>
      </x:c>
      <x:c r="C863" s="57" t="inlineStr">
        <x:is>
          <x:t xml:space="preserve">LOCKED</x:t>
        </x:is>
      </x:c>
      <x:c r="D863" s="57" t="inlineStr">
        <x:is>
          <x:t xml:space="preserve">ARG-086</x:t>
        </x:is>
      </x:c>
      <x:c r="E863" s="75" t="str">
        <x:f>INDEX('Company Universe'!$B$6:$B$105,MATCH(D863,'Company Universe'!$A$6:$A$105,0))</x:f>
        <x:v>Travelers</x:v>
      </x:c>
      <x:c r="F863" s="75" t="str">
        <x:f>INDEX('Company Universe'!$C$6:$C$105,MATCH(D863,'Company Universe'!$A$6:$A$105,0))</x:f>
        <x:v>TRV</x:v>
      </x:c>
      <x:c r="G863" s="75" t="str">
        <x:f>INDEX('Company Universe'!$F$6:$F$105,MATCH(D863,'Company Universe'!$A$6:$A$105,0))</x:f>
        <x:v>Insurance</x:v>
      </x:c>
      <x:c r="H863" s="57" t="n">
        <x:v>8</x:v>
      </x:c>
      <x:c r="I863" s="206" t="n"/>
      <x:c r="J863" s="71" t="n"/>
      <x:c r="K863" s="71" t="n"/>
      <x:c r="L863" s="71" t="inlineStr">
        <x:is>
          <x:t xml:space="preserve">NO</x:t>
        </x:is>
      </x:c>
      <x:c r="M863" s="71" t="n"/>
      <x:c r="N863" s="71" t="n"/>
      <x:c r="O863" s="71" t="n"/>
      <x:c r="P863" s="71" t="n"/>
      <x:c r="Q863" s="71" t="n"/>
      <x:c r="R863" s="71" t="n"/>
      <x:c r="S863" s="206" t="n"/>
      <x:c r="T863" s="71" t="n"/>
      <x:c r="U863" s="71" t="n"/>
      <x:c r="V863" s="71" t="n"/>
      <x:c r="W863" s="71" t="n"/>
      <x:c r="X863" s="71" t="n"/>
      <x:c r="Y863" s="71" t="n"/>
      <x:c r="Z863" s="71" t="n"/>
      <x:c r="AA863" s="71" t="n"/>
      <x:c r="AB863" s="71" t="inlineStr">
        <x:is>
          <x:t xml:space="preserve">NO</x:t>
        </x:is>
      </x:c>
      <x:c r="AC863" s="57" t="inlineStr">
        <x:is>
          <x:t xml:space="preserve">V10</x:t>
        </x:is>
      </x:c>
      <x:c r="AD863" s="57" t="n"/>
      <x:c r="AE863" s="79" t="str">
        <x:f>IF(AND(I863&lt;&gt;"",J863&lt;&gt;"",K863&lt;&gt;"",L863="YES",M863&lt;&gt;"",S863&lt;&gt;"",T863&lt;&gt;"",U863&lt;&gt;"",V863&lt;&gt;"",W863&lt;&gt;"",X863&lt;&gt;"",Y863&lt;&gt;""),"COMPLETE","PENDING")</x:f>
        <x:v>PENDING</x:v>
      </x:c>
      <x:c r="AF863" s="79" t="str">
        <x:f>IF(AE863="COMPLETE","YES","NO")</x:f>
        <x:v>NO</x:v>
      </x:c>
      <x:c r="AG863" s="214" t="str">
        <x:f>IF(AF863&lt;&gt;"YES","",(IF(V863="YES",1,0)+IF(W863="YES",1,0))/2)</x:f>
      </x:c>
    </x:row>
    <x:row r="864">
      <x:c r="A864" s="57" t="inlineStr">
        <x:is>
          <x:t xml:space="preserve">C0859</x:t>
        </x:is>
      </x:c>
      <x:c r="B864" s="57" t="inlineStr">
        <x:is>
          <x:t xml:space="preserve">Holdout</x:t>
        </x:is>
      </x:c>
      <x:c r="C864" s="57" t="inlineStr">
        <x:is>
          <x:t xml:space="preserve">LOCKED</x:t>
        </x:is>
      </x:c>
      <x:c r="D864" s="57" t="inlineStr">
        <x:is>
          <x:t xml:space="preserve">ARG-086</x:t>
        </x:is>
      </x:c>
      <x:c r="E864" s="75" t="str">
        <x:f>INDEX('Company Universe'!$B$6:$B$105,MATCH(D864,'Company Universe'!$A$6:$A$105,0))</x:f>
        <x:v>Travelers</x:v>
      </x:c>
      <x:c r="F864" s="75" t="str">
        <x:f>INDEX('Company Universe'!$C$6:$C$105,MATCH(D864,'Company Universe'!$A$6:$A$105,0))</x:f>
        <x:v>TRV</x:v>
      </x:c>
      <x:c r="G864" s="75" t="str">
        <x:f>INDEX('Company Universe'!$F$6:$F$105,MATCH(D864,'Company Universe'!$A$6:$A$105,0))</x:f>
        <x:v>Insurance</x:v>
      </x:c>
      <x:c r="H864" s="57" t="n">
        <x:v>9</x:v>
      </x:c>
      <x:c r="I864" s="206" t="n"/>
      <x:c r="J864" s="71" t="n"/>
      <x:c r="K864" s="71" t="n"/>
      <x:c r="L864" s="71" t="inlineStr">
        <x:is>
          <x:t xml:space="preserve">NO</x:t>
        </x:is>
      </x:c>
      <x:c r="M864" s="71" t="n"/>
      <x:c r="N864" s="71" t="n"/>
      <x:c r="O864" s="71" t="n"/>
      <x:c r="P864" s="71" t="n"/>
      <x:c r="Q864" s="71" t="n"/>
      <x:c r="R864" s="71" t="n"/>
      <x:c r="S864" s="206" t="n"/>
      <x:c r="T864" s="71" t="n"/>
      <x:c r="U864" s="71" t="n"/>
      <x:c r="V864" s="71" t="n"/>
      <x:c r="W864" s="71" t="n"/>
      <x:c r="X864" s="71" t="n"/>
      <x:c r="Y864" s="71" t="n"/>
      <x:c r="Z864" s="71" t="n"/>
      <x:c r="AA864" s="71" t="n"/>
      <x:c r="AB864" s="71" t="inlineStr">
        <x:is>
          <x:t xml:space="preserve">NO</x:t>
        </x:is>
      </x:c>
      <x:c r="AC864" s="57" t="inlineStr">
        <x:is>
          <x:t xml:space="preserve">V10</x:t>
        </x:is>
      </x:c>
      <x:c r="AD864" s="57" t="n"/>
      <x:c r="AE864" s="79" t="str">
        <x:f>IF(AND(I864&lt;&gt;"",J864&lt;&gt;"",K864&lt;&gt;"",L864="YES",M864&lt;&gt;"",S864&lt;&gt;"",T864&lt;&gt;"",U864&lt;&gt;"",V864&lt;&gt;"",W864&lt;&gt;"",X864&lt;&gt;"",Y864&lt;&gt;""),"COMPLETE","PENDING")</x:f>
        <x:v>PENDING</x:v>
      </x:c>
      <x:c r="AF864" s="79" t="str">
        <x:f>IF(AE864="COMPLETE","YES","NO")</x:f>
        <x:v>NO</x:v>
      </x:c>
      <x:c r="AG864" s="214" t="str">
        <x:f>IF(AF864&lt;&gt;"YES","",(IF(V864="YES",1,0)+IF(W864="YES",1,0))/2)</x:f>
      </x:c>
    </x:row>
    <x:row r="865">
      <x:c r="A865" s="57" t="inlineStr">
        <x:is>
          <x:t xml:space="preserve">C0860</x:t>
        </x:is>
      </x:c>
      <x:c r="B865" s="57" t="inlineStr">
        <x:is>
          <x:t xml:space="preserve">Holdout</x:t>
        </x:is>
      </x:c>
      <x:c r="C865" s="57" t="inlineStr">
        <x:is>
          <x:t xml:space="preserve">LOCKED</x:t>
        </x:is>
      </x:c>
      <x:c r="D865" s="57" t="inlineStr">
        <x:is>
          <x:t xml:space="preserve">ARG-086</x:t>
        </x:is>
      </x:c>
      <x:c r="E865" s="75" t="str">
        <x:f>INDEX('Company Universe'!$B$6:$B$105,MATCH(D865,'Company Universe'!$A$6:$A$105,0))</x:f>
        <x:v>Travelers</x:v>
      </x:c>
      <x:c r="F865" s="75" t="str">
        <x:f>INDEX('Company Universe'!$C$6:$C$105,MATCH(D865,'Company Universe'!$A$6:$A$105,0))</x:f>
        <x:v>TRV</x:v>
      </x:c>
      <x:c r="G865" s="75" t="str">
        <x:f>INDEX('Company Universe'!$F$6:$F$105,MATCH(D865,'Company Universe'!$A$6:$A$105,0))</x:f>
        <x:v>Insurance</x:v>
      </x:c>
      <x:c r="H865" s="57" t="n">
        <x:v>10</x:v>
      </x:c>
      <x:c r="I865" s="206" t="n"/>
      <x:c r="J865" s="71" t="n"/>
      <x:c r="K865" s="71" t="n"/>
      <x:c r="L865" s="71" t="inlineStr">
        <x:is>
          <x:t xml:space="preserve">NO</x:t>
        </x:is>
      </x:c>
      <x:c r="M865" s="71" t="n"/>
      <x:c r="N865" s="71" t="n"/>
      <x:c r="O865" s="71" t="n"/>
      <x:c r="P865" s="71" t="n"/>
      <x:c r="Q865" s="71" t="n"/>
      <x:c r="R865" s="71" t="n"/>
      <x:c r="S865" s="206" t="n"/>
      <x:c r="T865" s="71" t="n"/>
      <x:c r="U865" s="71" t="n"/>
      <x:c r="V865" s="71" t="n"/>
      <x:c r="W865" s="71" t="n"/>
      <x:c r="X865" s="71" t="n"/>
      <x:c r="Y865" s="71" t="n"/>
      <x:c r="Z865" s="71" t="n"/>
      <x:c r="AA865" s="71" t="n"/>
      <x:c r="AB865" s="71" t="inlineStr">
        <x:is>
          <x:t xml:space="preserve">NO</x:t>
        </x:is>
      </x:c>
      <x:c r="AC865" s="57" t="inlineStr">
        <x:is>
          <x:t xml:space="preserve">V10</x:t>
        </x:is>
      </x:c>
      <x:c r="AD865" s="57" t="n"/>
      <x:c r="AE865" s="79" t="str">
        <x:f>IF(AND(I865&lt;&gt;"",J865&lt;&gt;"",K865&lt;&gt;"",L865="YES",M865&lt;&gt;"",S865&lt;&gt;"",T865&lt;&gt;"",U865&lt;&gt;"",V865&lt;&gt;"",W865&lt;&gt;"",X865&lt;&gt;"",Y865&lt;&gt;""),"COMPLETE","PENDING")</x:f>
        <x:v>PENDING</x:v>
      </x:c>
      <x:c r="AF865" s="79" t="str">
        <x:f>IF(AE865="COMPLETE","YES","NO")</x:f>
        <x:v>NO</x:v>
      </x:c>
      <x:c r="AG865" s="214" t="str">
        <x:f>IF(AF865&lt;&gt;"YES","",(IF(V865="YES",1,0)+IF(W865="YES",1,0))/2)</x:f>
      </x:c>
    </x:row>
    <x:row r="866">
      <x:c r="A866" s="57" t="inlineStr">
        <x:is>
          <x:t xml:space="preserve">C0861</x:t>
        </x:is>
      </x:c>
      <x:c r="B866" s="57" t="inlineStr">
        <x:is>
          <x:t xml:space="preserve">Holdout</x:t>
        </x:is>
      </x:c>
      <x:c r="C866" s="57" t="inlineStr">
        <x:is>
          <x:t xml:space="preserve">LOCKED</x:t>
        </x:is>
      </x:c>
      <x:c r="D866" s="57" t="inlineStr">
        <x:is>
          <x:t xml:space="preserve">ARG-087</x:t>
        </x:is>
      </x:c>
      <x:c r="E866" s="75" t="str">
        <x:f>INDEX('Company Universe'!$B$6:$B$105,MATCH(D866,'Company Universe'!$A$6:$A$105,0))</x:f>
        <x:v>Regeneron Pharmaceuticals</x:v>
      </x:c>
      <x:c r="F866" s="75" t="str">
        <x:f>INDEX('Company Universe'!$C$6:$C$105,MATCH(D866,'Company Universe'!$A$6:$A$105,0))</x:f>
        <x:v>REGN</x:v>
      </x:c>
      <x:c r="G866" s="75" t="str">
        <x:f>INDEX('Company Universe'!$F$6:$F$105,MATCH(D866,'Company Universe'!$A$6:$A$105,0))</x:f>
        <x:v>Healthcare &amp; Biopharma</x:v>
      </x:c>
      <x:c r="H866" s="57" t="n">
        <x:v>1</x:v>
      </x:c>
      <x:c r="I866" s="206" t="n"/>
      <x:c r="J866" s="71" t="n"/>
      <x:c r="K866" s="71" t="n"/>
      <x:c r="L866" s="71" t="inlineStr">
        <x:is>
          <x:t xml:space="preserve">NO</x:t>
        </x:is>
      </x:c>
      <x:c r="M866" s="71" t="n"/>
      <x:c r="N866" s="71" t="n"/>
      <x:c r="O866" s="71" t="n"/>
      <x:c r="P866" s="71" t="n"/>
      <x:c r="Q866" s="71" t="n"/>
      <x:c r="R866" s="71" t="n"/>
      <x:c r="S866" s="206" t="n"/>
      <x:c r="T866" s="71" t="n"/>
      <x:c r="U866" s="71" t="n"/>
      <x:c r="V866" s="71" t="n"/>
      <x:c r="W866" s="71" t="n"/>
      <x:c r="X866" s="71" t="n"/>
      <x:c r="Y866" s="71" t="n"/>
      <x:c r="Z866" s="71" t="n"/>
      <x:c r="AA866" s="71" t="n"/>
      <x:c r="AB866" s="71" t="inlineStr">
        <x:is>
          <x:t xml:space="preserve">NO</x:t>
        </x:is>
      </x:c>
      <x:c r="AC866" s="57" t="inlineStr">
        <x:is>
          <x:t xml:space="preserve">V10</x:t>
        </x:is>
      </x:c>
      <x:c r="AD866" s="57" t="n"/>
      <x:c r="AE866" s="79" t="str">
        <x:f>IF(AND(I866&lt;&gt;"",J866&lt;&gt;"",K866&lt;&gt;"",L866="YES",M866&lt;&gt;"",S866&lt;&gt;"",T866&lt;&gt;"",U866&lt;&gt;"",V866&lt;&gt;"",W866&lt;&gt;"",X866&lt;&gt;"",Y866&lt;&gt;""),"COMPLETE","PENDING")</x:f>
        <x:v>PENDING</x:v>
      </x:c>
      <x:c r="AF866" s="79" t="str">
        <x:f>IF(AE866="COMPLETE","YES","NO")</x:f>
        <x:v>NO</x:v>
      </x:c>
      <x:c r="AG866" s="214" t="str">
        <x:f>IF(AF866&lt;&gt;"YES","",(IF(V866="YES",1,0)+IF(W866="YES",1,0))/2)</x:f>
      </x:c>
    </x:row>
    <x:row r="867">
      <x:c r="A867" s="57" t="inlineStr">
        <x:is>
          <x:t xml:space="preserve">C0862</x:t>
        </x:is>
      </x:c>
      <x:c r="B867" s="57" t="inlineStr">
        <x:is>
          <x:t xml:space="preserve">Holdout</x:t>
        </x:is>
      </x:c>
      <x:c r="C867" s="57" t="inlineStr">
        <x:is>
          <x:t xml:space="preserve">LOCKED</x:t>
        </x:is>
      </x:c>
      <x:c r="D867" s="57" t="inlineStr">
        <x:is>
          <x:t xml:space="preserve">ARG-087</x:t>
        </x:is>
      </x:c>
      <x:c r="E867" s="75" t="str">
        <x:f>INDEX('Company Universe'!$B$6:$B$105,MATCH(D867,'Company Universe'!$A$6:$A$105,0))</x:f>
        <x:v>Regeneron Pharmaceuticals</x:v>
      </x:c>
      <x:c r="F867" s="75" t="str">
        <x:f>INDEX('Company Universe'!$C$6:$C$105,MATCH(D867,'Company Universe'!$A$6:$A$105,0))</x:f>
        <x:v>REGN</x:v>
      </x:c>
      <x:c r="G867" s="75" t="str">
        <x:f>INDEX('Company Universe'!$F$6:$F$105,MATCH(D867,'Company Universe'!$A$6:$A$105,0))</x:f>
        <x:v>Healthcare &amp; Biopharma</x:v>
      </x:c>
      <x:c r="H867" s="57" t="n">
        <x:v>2</x:v>
      </x:c>
      <x:c r="I867" s="206" t="n"/>
      <x:c r="J867" s="71" t="n"/>
      <x:c r="K867" s="71" t="n"/>
      <x:c r="L867" s="71" t="inlineStr">
        <x:is>
          <x:t xml:space="preserve">NO</x:t>
        </x:is>
      </x:c>
      <x:c r="M867" s="71" t="n"/>
      <x:c r="N867" s="71" t="n"/>
      <x:c r="O867" s="71" t="n"/>
      <x:c r="P867" s="71" t="n"/>
      <x:c r="Q867" s="71" t="n"/>
      <x:c r="R867" s="71" t="n"/>
      <x:c r="S867" s="206" t="n"/>
      <x:c r="T867" s="71" t="n"/>
      <x:c r="U867" s="71" t="n"/>
      <x:c r="V867" s="71" t="n"/>
      <x:c r="W867" s="71" t="n"/>
      <x:c r="X867" s="71" t="n"/>
      <x:c r="Y867" s="71" t="n"/>
      <x:c r="Z867" s="71" t="n"/>
      <x:c r="AA867" s="71" t="n"/>
      <x:c r="AB867" s="71" t="inlineStr">
        <x:is>
          <x:t xml:space="preserve">NO</x:t>
        </x:is>
      </x:c>
      <x:c r="AC867" s="57" t="inlineStr">
        <x:is>
          <x:t xml:space="preserve">V10</x:t>
        </x:is>
      </x:c>
      <x:c r="AD867" s="57" t="n"/>
      <x:c r="AE867" s="79" t="str">
        <x:f>IF(AND(I867&lt;&gt;"",J867&lt;&gt;"",K867&lt;&gt;"",L867="YES",M867&lt;&gt;"",S867&lt;&gt;"",T867&lt;&gt;"",U867&lt;&gt;"",V867&lt;&gt;"",W867&lt;&gt;"",X867&lt;&gt;"",Y867&lt;&gt;""),"COMPLETE","PENDING")</x:f>
        <x:v>PENDING</x:v>
      </x:c>
      <x:c r="AF867" s="79" t="str">
        <x:f>IF(AE867="COMPLETE","YES","NO")</x:f>
        <x:v>NO</x:v>
      </x:c>
      <x:c r="AG867" s="214" t="str">
        <x:f>IF(AF867&lt;&gt;"YES","",(IF(V867="YES",1,0)+IF(W867="YES",1,0))/2)</x:f>
      </x:c>
    </x:row>
    <x:row r="868">
      <x:c r="A868" s="57" t="inlineStr">
        <x:is>
          <x:t xml:space="preserve">C0863</x:t>
        </x:is>
      </x:c>
      <x:c r="B868" s="57" t="inlineStr">
        <x:is>
          <x:t xml:space="preserve">Holdout</x:t>
        </x:is>
      </x:c>
      <x:c r="C868" s="57" t="inlineStr">
        <x:is>
          <x:t xml:space="preserve">LOCKED</x:t>
        </x:is>
      </x:c>
      <x:c r="D868" s="57" t="inlineStr">
        <x:is>
          <x:t xml:space="preserve">ARG-087</x:t>
        </x:is>
      </x:c>
      <x:c r="E868" s="75" t="str">
        <x:f>INDEX('Company Universe'!$B$6:$B$105,MATCH(D868,'Company Universe'!$A$6:$A$105,0))</x:f>
        <x:v>Regeneron Pharmaceuticals</x:v>
      </x:c>
      <x:c r="F868" s="75" t="str">
        <x:f>INDEX('Company Universe'!$C$6:$C$105,MATCH(D868,'Company Universe'!$A$6:$A$105,0))</x:f>
        <x:v>REGN</x:v>
      </x:c>
      <x:c r="G868" s="75" t="str">
        <x:f>INDEX('Company Universe'!$F$6:$F$105,MATCH(D868,'Company Universe'!$A$6:$A$105,0))</x:f>
        <x:v>Healthcare &amp; Biopharma</x:v>
      </x:c>
      <x:c r="H868" s="57" t="n">
        <x:v>3</x:v>
      </x:c>
      <x:c r="I868" s="206" t="n"/>
      <x:c r="J868" s="71" t="n"/>
      <x:c r="K868" s="71" t="n"/>
      <x:c r="L868" s="71" t="inlineStr">
        <x:is>
          <x:t xml:space="preserve">NO</x:t>
        </x:is>
      </x:c>
      <x:c r="M868" s="71" t="n"/>
      <x:c r="N868" s="71" t="n"/>
      <x:c r="O868" s="71" t="n"/>
      <x:c r="P868" s="71" t="n"/>
      <x:c r="Q868" s="71" t="n"/>
      <x:c r="R868" s="71" t="n"/>
      <x:c r="S868" s="206" t="n"/>
      <x:c r="T868" s="71" t="n"/>
      <x:c r="U868" s="71" t="n"/>
      <x:c r="V868" s="71" t="n"/>
      <x:c r="W868" s="71" t="n"/>
      <x:c r="X868" s="71" t="n"/>
      <x:c r="Y868" s="71" t="n"/>
      <x:c r="Z868" s="71" t="n"/>
      <x:c r="AA868" s="71" t="n"/>
      <x:c r="AB868" s="71" t="inlineStr">
        <x:is>
          <x:t xml:space="preserve">NO</x:t>
        </x:is>
      </x:c>
      <x:c r="AC868" s="57" t="inlineStr">
        <x:is>
          <x:t xml:space="preserve">V10</x:t>
        </x:is>
      </x:c>
      <x:c r="AD868" s="57" t="n"/>
      <x:c r="AE868" s="79" t="str">
        <x:f>IF(AND(I868&lt;&gt;"",J868&lt;&gt;"",K868&lt;&gt;"",L868="YES",M868&lt;&gt;"",S868&lt;&gt;"",T868&lt;&gt;"",U868&lt;&gt;"",V868&lt;&gt;"",W868&lt;&gt;"",X868&lt;&gt;"",Y868&lt;&gt;""),"COMPLETE","PENDING")</x:f>
        <x:v>PENDING</x:v>
      </x:c>
      <x:c r="AF868" s="79" t="str">
        <x:f>IF(AE868="COMPLETE","YES","NO")</x:f>
        <x:v>NO</x:v>
      </x:c>
      <x:c r="AG868" s="214" t="str">
        <x:f>IF(AF868&lt;&gt;"YES","",(IF(V868="YES",1,0)+IF(W868="YES",1,0))/2)</x:f>
      </x:c>
    </x:row>
    <x:row r="869">
      <x:c r="A869" s="57" t="inlineStr">
        <x:is>
          <x:t xml:space="preserve">C0864</x:t>
        </x:is>
      </x:c>
      <x:c r="B869" s="57" t="inlineStr">
        <x:is>
          <x:t xml:space="preserve">Holdout</x:t>
        </x:is>
      </x:c>
      <x:c r="C869" s="57" t="inlineStr">
        <x:is>
          <x:t xml:space="preserve">LOCKED</x:t>
        </x:is>
      </x:c>
      <x:c r="D869" s="57" t="inlineStr">
        <x:is>
          <x:t xml:space="preserve">ARG-087</x:t>
        </x:is>
      </x:c>
      <x:c r="E869" s="75" t="str">
        <x:f>INDEX('Company Universe'!$B$6:$B$105,MATCH(D869,'Company Universe'!$A$6:$A$105,0))</x:f>
        <x:v>Regeneron Pharmaceuticals</x:v>
      </x:c>
      <x:c r="F869" s="75" t="str">
        <x:f>INDEX('Company Universe'!$C$6:$C$105,MATCH(D869,'Company Universe'!$A$6:$A$105,0))</x:f>
        <x:v>REGN</x:v>
      </x:c>
      <x:c r="G869" s="75" t="str">
        <x:f>INDEX('Company Universe'!$F$6:$F$105,MATCH(D869,'Company Universe'!$A$6:$A$105,0))</x:f>
        <x:v>Healthcare &amp; Biopharma</x:v>
      </x:c>
      <x:c r="H869" s="57" t="n">
        <x:v>4</x:v>
      </x:c>
      <x:c r="I869" s="206" t="n"/>
      <x:c r="J869" s="71" t="n"/>
      <x:c r="K869" s="71" t="n"/>
      <x:c r="L869" s="71" t="inlineStr">
        <x:is>
          <x:t xml:space="preserve">NO</x:t>
        </x:is>
      </x:c>
      <x:c r="M869" s="71" t="n"/>
      <x:c r="N869" s="71" t="n"/>
      <x:c r="O869" s="71" t="n"/>
      <x:c r="P869" s="71" t="n"/>
      <x:c r="Q869" s="71" t="n"/>
      <x:c r="R869" s="71" t="n"/>
      <x:c r="S869" s="206" t="n"/>
      <x:c r="T869" s="71" t="n"/>
      <x:c r="U869" s="71" t="n"/>
      <x:c r="V869" s="71" t="n"/>
      <x:c r="W869" s="71" t="n"/>
      <x:c r="X869" s="71" t="n"/>
      <x:c r="Y869" s="71" t="n"/>
      <x:c r="Z869" s="71" t="n"/>
      <x:c r="AA869" s="71" t="n"/>
      <x:c r="AB869" s="71" t="inlineStr">
        <x:is>
          <x:t xml:space="preserve">NO</x:t>
        </x:is>
      </x:c>
      <x:c r="AC869" s="57" t="inlineStr">
        <x:is>
          <x:t xml:space="preserve">V10</x:t>
        </x:is>
      </x:c>
      <x:c r="AD869" s="57" t="n"/>
      <x:c r="AE869" s="79" t="str">
        <x:f>IF(AND(I869&lt;&gt;"",J869&lt;&gt;"",K869&lt;&gt;"",L869="YES",M869&lt;&gt;"",S869&lt;&gt;"",T869&lt;&gt;"",U869&lt;&gt;"",V869&lt;&gt;"",W869&lt;&gt;"",X869&lt;&gt;"",Y869&lt;&gt;""),"COMPLETE","PENDING")</x:f>
        <x:v>PENDING</x:v>
      </x:c>
      <x:c r="AF869" s="79" t="str">
        <x:f>IF(AE869="COMPLETE","YES","NO")</x:f>
        <x:v>NO</x:v>
      </x:c>
      <x:c r="AG869" s="214" t="str">
        <x:f>IF(AF869&lt;&gt;"YES","",(IF(V869="YES",1,0)+IF(W869="YES",1,0))/2)</x:f>
      </x:c>
    </x:row>
    <x:row r="870">
      <x:c r="A870" s="57" t="inlineStr">
        <x:is>
          <x:t xml:space="preserve">C0865</x:t>
        </x:is>
      </x:c>
      <x:c r="B870" s="57" t="inlineStr">
        <x:is>
          <x:t xml:space="preserve">Holdout</x:t>
        </x:is>
      </x:c>
      <x:c r="C870" s="57" t="inlineStr">
        <x:is>
          <x:t xml:space="preserve">LOCKED</x:t>
        </x:is>
      </x:c>
      <x:c r="D870" s="57" t="inlineStr">
        <x:is>
          <x:t xml:space="preserve">ARG-087</x:t>
        </x:is>
      </x:c>
      <x:c r="E870" s="75" t="str">
        <x:f>INDEX('Company Universe'!$B$6:$B$105,MATCH(D870,'Company Universe'!$A$6:$A$105,0))</x:f>
        <x:v>Regeneron Pharmaceuticals</x:v>
      </x:c>
      <x:c r="F870" s="75" t="str">
        <x:f>INDEX('Company Universe'!$C$6:$C$105,MATCH(D870,'Company Universe'!$A$6:$A$105,0))</x:f>
        <x:v>REGN</x:v>
      </x:c>
      <x:c r="G870" s="75" t="str">
        <x:f>INDEX('Company Universe'!$F$6:$F$105,MATCH(D870,'Company Universe'!$A$6:$A$105,0))</x:f>
        <x:v>Healthcare &amp; Biopharma</x:v>
      </x:c>
      <x:c r="H870" s="57" t="n">
        <x:v>5</x:v>
      </x:c>
      <x:c r="I870" s="206" t="n"/>
      <x:c r="J870" s="71" t="n"/>
      <x:c r="K870" s="71" t="n"/>
      <x:c r="L870" s="71" t="inlineStr">
        <x:is>
          <x:t xml:space="preserve">NO</x:t>
        </x:is>
      </x:c>
      <x:c r="M870" s="71" t="n"/>
      <x:c r="N870" s="71" t="n"/>
      <x:c r="O870" s="71" t="n"/>
      <x:c r="P870" s="71" t="n"/>
      <x:c r="Q870" s="71" t="n"/>
      <x:c r="R870" s="71" t="n"/>
      <x:c r="S870" s="206" t="n"/>
      <x:c r="T870" s="71" t="n"/>
      <x:c r="U870" s="71" t="n"/>
      <x:c r="V870" s="71" t="n"/>
      <x:c r="W870" s="71" t="n"/>
      <x:c r="X870" s="71" t="n"/>
      <x:c r="Y870" s="71" t="n"/>
      <x:c r="Z870" s="71" t="n"/>
      <x:c r="AA870" s="71" t="n"/>
      <x:c r="AB870" s="71" t="inlineStr">
        <x:is>
          <x:t xml:space="preserve">NO</x:t>
        </x:is>
      </x:c>
      <x:c r="AC870" s="57" t="inlineStr">
        <x:is>
          <x:t xml:space="preserve">V10</x:t>
        </x:is>
      </x:c>
      <x:c r="AD870" s="57" t="n"/>
      <x:c r="AE870" s="79" t="str">
        <x:f>IF(AND(I870&lt;&gt;"",J870&lt;&gt;"",K870&lt;&gt;"",L870="YES",M870&lt;&gt;"",S870&lt;&gt;"",T870&lt;&gt;"",U870&lt;&gt;"",V870&lt;&gt;"",W870&lt;&gt;"",X870&lt;&gt;"",Y870&lt;&gt;""),"COMPLETE","PENDING")</x:f>
        <x:v>PENDING</x:v>
      </x:c>
      <x:c r="AF870" s="79" t="str">
        <x:f>IF(AE870="COMPLETE","YES","NO")</x:f>
        <x:v>NO</x:v>
      </x:c>
      <x:c r="AG870" s="214" t="str">
        <x:f>IF(AF870&lt;&gt;"YES","",(IF(V870="YES",1,0)+IF(W870="YES",1,0))/2)</x:f>
      </x:c>
    </x:row>
    <x:row r="871">
      <x:c r="A871" s="57" t="inlineStr">
        <x:is>
          <x:t xml:space="preserve">C0866</x:t>
        </x:is>
      </x:c>
      <x:c r="B871" s="57" t="inlineStr">
        <x:is>
          <x:t xml:space="preserve">Holdout</x:t>
        </x:is>
      </x:c>
      <x:c r="C871" s="57" t="inlineStr">
        <x:is>
          <x:t xml:space="preserve">LOCKED</x:t>
        </x:is>
      </x:c>
      <x:c r="D871" s="57" t="inlineStr">
        <x:is>
          <x:t xml:space="preserve">ARG-087</x:t>
        </x:is>
      </x:c>
      <x:c r="E871" s="75" t="str">
        <x:f>INDEX('Company Universe'!$B$6:$B$105,MATCH(D871,'Company Universe'!$A$6:$A$105,0))</x:f>
        <x:v>Regeneron Pharmaceuticals</x:v>
      </x:c>
      <x:c r="F871" s="75" t="str">
        <x:f>INDEX('Company Universe'!$C$6:$C$105,MATCH(D871,'Company Universe'!$A$6:$A$105,0))</x:f>
        <x:v>REGN</x:v>
      </x:c>
      <x:c r="G871" s="75" t="str">
        <x:f>INDEX('Company Universe'!$F$6:$F$105,MATCH(D871,'Company Universe'!$A$6:$A$105,0))</x:f>
        <x:v>Healthcare &amp; Biopharma</x:v>
      </x:c>
      <x:c r="H871" s="57" t="n">
        <x:v>6</x:v>
      </x:c>
      <x:c r="I871" s="206" t="n"/>
      <x:c r="J871" s="71" t="n"/>
      <x:c r="K871" s="71" t="n"/>
      <x:c r="L871" s="71" t="inlineStr">
        <x:is>
          <x:t xml:space="preserve">NO</x:t>
        </x:is>
      </x:c>
      <x:c r="M871" s="71" t="n"/>
      <x:c r="N871" s="71" t="n"/>
      <x:c r="O871" s="71" t="n"/>
      <x:c r="P871" s="71" t="n"/>
      <x:c r="Q871" s="71" t="n"/>
      <x:c r="R871" s="71" t="n"/>
      <x:c r="S871" s="206" t="n"/>
      <x:c r="T871" s="71" t="n"/>
      <x:c r="U871" s="71" t="n"/>
      <x:c r="V871" s="71" t="n"/>
      <x:c r="W871" s="71" t="n"/>
      <x:c r="X871" s="71" t="n"/>
      <x:c r="Y871" s="71" t="n"/>
      <x:c r="Z871" s="71" t="n"/>
      <x:c r="AA871" s="71" t="n"/>
      <x:c r="AB871" s="71" t="inlineStr">
        <x:is>
          <x:t xml:space="preserve">NO</x:t>
        </x:is>
      </x:c>
      <x:c r="AC871" s="57" t="inlineStr">
        <x:is>
          <x:t xml:space="preserve">V10</x:t>
        </x:is>
      </x:c>
      <x:c r="AD871" s="57" t="n"/>
      <x:c r="AE871" s="79" t="str">
        <x:f>IF(AND(I871&lt;&gt;"",J871&lt;&gt;"",K871&lt;&gt;"",L871="YES",M871&lt;&gt;"",S871&lt;&gt;"",T871&lt;&gt;"",U871&lt;&gt;"",V871&lt;&gt;"",W871&lt;&gt;"",X871&lt;&gt;"",Y871&lt;&gt;""),"COMPLETE","PENDING")</x:f>
        <x:v>PENDING</x:v>
      </x:c>
      <x:c r="AF871" s="79" t="str">
        <x:f>IF(AE871="COMPLETE","YES","NO")</x:f>
        <x:v>NO</x:v>
      </x:c>
      <x:c r="AG871" s="214" t="str">
        <x:f>IF(AF871&lt;&gt;"YES","",(IF(V871="YES",1,0)+IF(W871="YES",1,0))/2)</x:f>
      </x:c>
    </x:row>
    <x:row r="872">
      <x:c r="A872" s="57" t="inlineStr">
        <x:is>
          <x:t xml:space="preserve">C0867</x:t>
        </x:is>
      </x:c>
      <x:c r="B872" s="57" t="inlineStr">
        <x:is>
          <x:t xml:space="preserve">Holdout</x:t>
        </x:is>
      </x:c>
      <x:c r="C872" s="57" t="inlineStr">
        <x:is>
          <x:t xml:space="preserve">LOCKED</x:t>
        </x:is>
      </x:c>
      <x:c r="D872" s="57" t="inlineStr">
        <x:is>
          <x:t xml:space="preserve">ARG-087</x:t>
        </x:is>
      </x:c>
      <x:c r="E872" s="75" t="str">
        <x:f>INDEX('Company Universe'!$B$6:$B$105,MATCH(D872,'Company Universe'!$A$6:$A$105,0))</x:f>
        <x:v>Regeneron Pharmaceuticals</x:v>
      </x:c>
      <x:c r="F872" s="75" t="str">
        <x:f>INDEX('Company Universe'!$C$6:$C$105,MATCH(D872,'Company Universe'!$A$6:$A$105,0))</x:f>
        <x:v>REGN</x:v>
      </x:c>
      <x:c r="G872" s="75" t="str">
        <x:f>INDEX('Company Universe'!$F$6:$F$105,MATCH(D872,'Company Universe'!$A$6:$A$105,0))</x:f>
        <x:v>Healthcare &amp; Biopharma</x:v>
      </x:c>
      <x:c r="H872" s="57" t="n">
        <x:v>7</x:v>
      </x:c>
      <x:c r="I872" s="206" t="n"/>
      <x:c r="J872" s="71" t="n"/>
      <x:c r="K872" s="71" t="n"/>
      <x:c r="L872" s="71" t="inlineStr">
        <x:is>
          <x:t xml:space="preserve">NO</x:t>
        </x:is>
      </x:c>
      <x:c r="M872" s="71" t="n"/>
      <x:c r="N872" s="71" t="n"/>
      <x:c r="O872" s="71" t="n"/>
      <x:c r="P872" s="71" t="n"/>
      <x:c r="Q872" s="71" t="n"/>
      <x:c r="R872" s="71" t="n"/>
      <x:c r="S872" s="206" t="n"/>
      <x:c r="T872" s="71" t="n"/>
      <x:c r="U872" s="71" t="n"/>
      <x:c r="V872" s="71" t="n"/>
      <x:c r="W872" s="71" t="n"/>
      <x:c r="X872" s="71" t="n"/>
      <x:c r="Y872" s="71" t="n"/>
      <x:c r="Z872" s="71" t="n"/>
      <x:c r="AA872" s="71" t="n"/>
      <x:c r="AB872" s="71" t="inlineStr">
        <x:is>
          <x:t xml:space="preserve">NO</x:t>
        </x:is>
      </x:c>
      <x:c r="AC872" s="57" t="inlineStr">
        <x:is>
          <x:t xml:space="preserve">V10</x:t>
        </x:is>
      </x:c>
      <x:c r="AD872" s="57" t="n"/>
      <x:c r="AE872" s="79" t="str">
        <x:f>IF(AND(I872&lt;&gt;"",J872&lt;&gt;"",K872&lt;&gt;"",L872="YES",M872&lt;&gt;"",S872&lt;&gt;"",T872&lt;&gt;"",U872&lt;&gt;"",V872&lt;&gt;"",W872&lt;&gt;"",X872&lt;&gt;"",Y872&lt;&gt;""),"COMPLETE","PENDING")</x:f>
        <x:v>PENDING</x:v>
      </x:c>
      <x:c r="AF872" s="79" t="str">
        <x:f>IF(AE872="COMPLETE","YES","NO")</x:f>
        <x:v>NO</x:v>
      </x:c>
      <x:c r="AG872" s="214" t="str">
        <x:f>IF(AF872&lt;&gt;"YES","",(IF(V872="YES",1,0)+IF(W872="YES",1,0))/2)</x:f>
      </x:c>
    </x:row>
    <x:row r="873">
      <x:c r="A873" s="57" t="inlineStr">
        <x:is>
          <x:t xml:space="preserve">C0868</x:t>
        </x:is>
      </x:c>
      <x:c r="B873" s="57" t="inlineStr">
        <x:is>
          <x:t xml:space="preserve">Holdout</x:t>
        </x:is>
      </x:c>
      <x:c r="C873" s="57" t="inlineStr">
        <x:is>
          <x:t xml:space="preserve">LOCKED</x:t>
        </x:is>
      </x:c>
      <x:c r="D873" s="57" t="inlineStr">
        <x:is>
          <x:t xml:space="preserve">ARG-087</x:t>
        </x:is>
      </x:c>
      <x:c r="E873" s="75" t="str">
        <x:f>INDEX('Company Universe'!$B$6:$B$105,MATCH(D873,'Company Universe'!$A$6:$A$105,0))</x:f>
        <x:v>Regeneron Pharmaceuticals</x:v>
      </x:c>
      <x:c r="F873" s="75" t="str">
        <x:f>INDEX('Company Universe'!$C$6:$C$105,MATCH(D873,'Company Universe'!$A$6:$A$105,0))</x:f>
        <x:v>REGN</x:v>
      </x:c>
      <x:c r="G873" s="75" t="str">
        <x:f>INDEX('Company Universe'!$F$6:$F$105,MATCH(D873,'Company Universe'!$A$6:$A$105,0))</x:f>
        <x:v>Healthcare &amp; Biopharma</x:v>
      </x:c>
      <x:c r="H873" s="57" t="n">
        <x:v>8</x:v>
      </x:c>
      <x:c r="I873" s="206" t="n"/>
      <x:c r="J873" s="71" t="n"/>
      <x:c r="K873" s="71" t="n"/>
      <x:c r="L873" s="71" t="inlineStr">
        <x:is>
          <x:t xml:space="preserve">NO</x:t>
        </x:is>
      </x:c>
      <x:c r="M873" s="71" t="n"/>
      <x:c r="N873" s="71" t="n"/>
      <x:c r="O873" s="71" t="n"/>
      <x:c r="P873" s="71" t="n"/>
      <x:c r="Q873" s="71" t="n"/>
      <x:c r="R873" s="71" t="n"/>
      <x:c r="S873" s="206" t="n"/>
      <x:c r="T873" s="71" t="n"/>
      <x:c r="U873" s="71" t="n"/>
      <x:c r="V873" s="71" t="n"/>
      <x:c r="W873" s="71" t="n"/>
      <x:c r="X873" s="71" t="n"/>
      <x:c r="Y873" s="71" t="n"/>
      <x:c r="Z873" s="71" t="n"/>
      <x:c r="AA873" s="71" t="n"/>
      <x:c r="AB873" s="71" t="inlineStr">
        <x:is>
          <x:t xml:space="preserve">NO</x:t>
        </x:is>
      </x:c>
      <x:c r="AC873" s="57" t="inlineStr">
        <x:is>
          <x:t xml:space="preserve">V10</x:t>
        </x:is>
      </x:c>
      <x:c r="AD873" s="57" t="n"/>
      <x:c r="AE873" s="79" t="str">
        <x:f>IF(AND(I873&lt;&gt;"",J873&lt;&gt;"",K873&lt;&gt;"",L873="YES",M873&lt;&gt;"",S873&lt;&gt;"",T873&lt;&gt;"",U873&lt;&gt;"",V873&lt;&gt;"",W873&lt;&gt;"",X873&lt;&gt;"",Y873&lt;&gt;""),"COMPLETE","PENDING")</x:f>
        <x:v>PENDING</x:v>
      </x:c>
      <x:c r="AF873" s="79" t="str">
        <x:f>IF(AE873="COMPLETE","YES","NO")</x:f>
        <x:v>NO</x:v>
      </x:c>
      <x:c r="AG873" s="214" t="str">
        <x:f>IF(AF873&lt;&gt;"YES","",(IF(V873="YES",1,0)+IF(W873="YES",1,0))/2)</x:f>
      </x:c>
    </x:row>
    <x:row r="874">
      <x:c r="A874" s="57" t="inlineStr">
        <x:is>
          <x:t xml:space="preserve">C0869</x:t>
        </x:is>
      </x:c>
      <x:c r="B874" s="57" t="inlineStr">
        <x:is>
          <x:t xml:space="preserve">Holdout</x:t>
        </x:is>
      </x:c>
      <x:c r="C874" s="57" t="inlineStr">
        <x:is>
          <x:t xml:space="preserve">LOCKED</x:t>
        </x:is>
      </x:c>
      <x:c r="D874" s="57" t="inlineStr">
        <x:is>
          <x:t xml:space="preserve">ARG-087</x:t>
        </x:is>
      </x:c>
      <x:c r="E874" s="75" t="str">
        <x:f>INDEX('Company Universe'!$B$6:$B$105,MATCH(D874,'Company Universe'!$A$6:$A$105,0))</x:f>
        <x:v>Regeneron Pharmaceuticals</x:v>
      </x:c>
      <x:c r="F874" s="75" t="str">
        <x:f>INDEX('Company Universe'!$C$6:$C$105,MATCH(D874,'Company Universe'!$A$6:$A$105,0))</x:f>
        <x:v>REGN</x:v>
      </x:c>
      <x:c r="G874" s="75" t="str">
        <x:f>INDEX('Company Universe'!$F$6:$F$105,MATCH(D874,'Company Universe'!$A$6:$A$105,0))</x:f>
        <x:v>Healthcare &amp; Biopharma</x:v>
      </x:c>
      <x:c r="H874" s="57" t="n">
        <x:v>9</x:v>
      </x:c>
      <x:c r="I874" s="206" t="n"/>
      <x:c r="J874" s="71" t="n"/>
      <x:c r="K874" s="71" t="n"/>
      <x:c r="L874" s="71" t="inlineStr">
        <x:is>
          <x:t xml:space="preserve">NO</x:t>
        </x:is>
      </x:c>
      <x:c r="M874" s="71" t="n"/>
      <x:c r="N874" s="71" t="n"/>
      <x:c r="O874" s="71" t="n"/>
      <x:c r="P874" s="71" t="n"/>
      <x:c r="Q874" s="71" t="n"/>
      <x:c r="R874" s="71" t="n"/>
      <x:c r="S874" s="206" t="n"/>
      <x:c r="T874" s="71" t="n"/>
      <x:c r="U874" s="71" t="n"/>
      <x:c r="V874" s="71" t="n"/>
      <x:c r="W874" s="71" t="n"/>
      <x:c r="X874" s="71" t="n"/>
      <x:c r="Y874" s="71" t="n"/>
      <x:c r="Z874" s="71" t="n"/>
      <x:c r="AA874" s="71" t="n"/>
      <x:c r="AB874" s="71" t="inlineStr">
        <x:is>
          <x:t xml:space="preserve">NO</x:t>
        </x:is>
      </x:c>
      <x:c r="AC874" s="57" t="inlineStr">
        <x:is>
          <x:t xml:space="preserve">V10</x:t>
        </x:is>
      </x:c>
      <x:c r="AD874" s="57" t="n"/>
      <x:c r="AE874" s="79" t="str">
        <x:f>IF(AND(I874&lt;&gt;"",J874&lt;&gt;"",K874&lt;&gt;"",L874="YES",M874&lt;&gt;"",S874&lt;&gt;"",T874&lt;&gt;"",U874&lt;&gt;"",V874&lt;&gt;"",W874&lt;&gt;"",X874&lt;&gt;"",Y874&lt;&gt;""),"COMPLETE","PENDING")</x:f>
        <x:v>PENDING</x:v>
      </x:c>
      <x:c r="AF874" s="79" t="str">
        <x:f>IF(AE874="COMPLETE","YES","NO")</x:f>
        <x:v>NO</x:v>
      </x:c>
      <x:c r="AG874" s="214" t="str">
        <x:f>IF(AF874&lt;&gt;"YES","",(IF(V874="YES",1,0)+IF(W874="YES",1,0))/2)</x:f>
      </x:c>
    </x:row>
    <x:row r="875">
      <x:c r="A875" s="57" t="inlineStr">
        <x:is>
          <x:t xml:space="preserve">C0870</x:t>
        </x:is>
      </x:c>
      <x:c r="B875" s="57" t="inlineStr">
        <x:is>
          <x:t xml:space="preserve">Holdout</x:t>
        </x:is>
      </x:c>
      <x:c r="C875" s="57" t="inlineStr">
        <x:is>
          <x:t xml:space="preserve">LOCKED</x:t>
        </x:is>
      </x:c>
      <x:c r="D875" s="57" t="inlineStr">
        <x:is>
          <x:t xml:space="preserve">ARG-087</x:t>
        </x:is>
      </x:c>
      <x:c r="E875" s="75" t="str">
        <x:f>INDEX('Company Universe'!$B$6:$B$105,MATCH(D875,'Company Universe'!$A$6:$A$105,0))</x:f>
        <x:v>Regeneron Pharmaceuticals</x:v>
      </x:c>
      <x:c r="F875" s="75" t="str">
        <x:f>INDEX('Company Universe'!$C$6:$C$105,MATCH(D875,'Company Universe'!$A$6:$A$105,0))</x:f>
        <x:v>REGN</x:v>
      </x:c>
      <x:c r="G875" s="75" t="str">
        <x:f>INDEX('Company Universe'!$F$6:$F$105,MATCH(D875,'Company Universe'!$A$6:$A$105,0))</x:f>
        <x:v>Healthcare &amp; Biopharma</x:v>
      </x:c>
      <x:c r="H875" s="57" t="n">
        <x:v>10</x:v>
      </x:c>
      <x:c r="I875" s="206" t="n"/>
      <x:c r="J875" s="71" t="n"/>
      <x:c r="K875" s="71" t="n"/>
      <x:c r="L875" s="71" t="inlineStr">
        <x:is>
          <x:t xml:space="preserve">NO</x:t>
        </x:is>
      </x:c>
      <x:c r="M875" s="71" t="n"/>
      <x:c r="N875" s="71" t="n"/>
      <x:c r="O875" s="71" t="n"/>
      <x:c r="P875" s="71" t="n"/>
      <x:c r="Q875" s="71" t="n"/>
      <x:c r="R875" s="71" t="n"/>
      <x:c r="S875" s="206" t="n"/>
      <x:c r="T875" s="71" t="n"/>
      <x:c r="U875" s="71" t="n"/>
      <x:c r="V875" s="71" t="n"/>
      <x:c r="W875" s="71" t="n"/>
      <x:c r="X875" s="71" t="n"/>
      <x:c r="Y875" s="71" t="n"/>
      <x:c r="Z875" s="71" t="n"/>
      <x:c r="AA875" s="71" t="n"/>
      <x:c r="AB875" s="71" t="inlineStr">
        <x:is>
          <x:t xml:space="preserve">NO</x:t>
        </x:is>
      </x:c>
      <x:c r="AC875" s="57" t="inlineStr">
        <x:is>
          <x:t xml:space="preserve">V10</x:t>
        </x:is>
      </x:c>
      <x:c r="AD875" s="57" t="n"/>
      <x:c r="AE875" s="79" t="str">
        <x:f>IF(AND(I875&lt;&gt;"",J875&lt;&gt;"",K875&lt;&gt;"",L875="YES",M875&lt;&gt;"",S875&lt;&gt;"",T875&lt;&gt;"",U875&lt;&gt;"",V875&lt;&gt;"",W875&lt;&gt;"",X875&lt;&gt;"",Y875&lt;&gt;""),"COMPLETE","PENDING")</x:f>
        <x:v>PENDING</x:v>
      </x:c>
      <x:c r="AF875" s="79" t="str">
        <x:f>IF(AE875="COMPLETE","YES","NO")</x:f>
        <x:v>NO</x:v>
      </x:c>
      <x:c r="AG875" s="214" t="str">
        <x:f>IF(AF875&lt;&gt;"YES","",(IF(V875="YES",1,0)+IF(W875="YES",1,0))/2)</x:f>
      </x:c>
    </x:row>
    <x:row r="876">
      <x:c r="A876" s="57" t="inlineStr">
        <x:is>
          <x:t xml:space="preserve">C0871</x:t>
        </x:is>
      </x:c>
      <x:c r="B876" s="57" t="inlineStr">
        <x:is>
          <x:t xml:space="preserve">Holdout</x:t>
        </x:is>
      </x:c>
      <x:c r="C876" s="57" t="inlineStr">
        <x:is>
          <x:t xml:space="preserve">LOCKED</x:t>
        </x:is>
      </x:c>
      <x:c r="D876" s="57" t="inlineStr">
        <x:is>
          <x:t xml:space="preserve">ARG-088</x:t>
        </x:is>
      </x:c>
      <x:c r="E876" s="75" t="str">
        <x:f>INDEX('Company Universe'!$B$6:$B$105,MATCH(D876,'Company Universe'!$A$6:$A$105,0))</x:f>
        <x:v>Vertex Pharmaceuticals</x:v>
      </x:c>
      <x:c r="F876" s="75" t="str">
        <x:f>INDEX('Company Universe'!$C$6:$C$105,MATCH(D876,'Company Universe'!$A$6:$A$105,0))</x:f>
        <x:v>VRTX</x:v>
      </x:c>
      <x:c r="G876" s="75" t="str">
        <x:f>INDEX('Company Universe'!$F$6:$F$105,MATCH(D876,'Company Universe'!$A$6:$A$105,0))</x:f>
        <x:v>Healthcare &amp; Biopharma</x:v>
      </x:c>
      <x:c r="H876" s="57" t="n">
        <x:v>1</x:v>
      </x:c>
      <x:c r="I876" s="206" t="n"/>
      <x:c r="J876" s="71" t="n"/>
      <x:c r="K876" s="71" t="n"/>
      <x:c r="L876" s="71" t="inlineStr">
        <x:is>
          <x:t xml:space="preserve">NO</x:t>
        </x:is>
      </x:c>
      <x:c r="M876" s="71" t="n"/>
      <x:c r="N876" s="71" t="n"/>
      <x:c r="O876" s="71" t="n"/>
      <x:c r="P876" s="71" t="n"/>
      <x:c r="Q876" s="71" t="n"/>
      <x:c r="R876" s="71" t="n"/>
      <x:c r="S876" s="206" t="n"/>
      <x:c r="T876" s="71" t="n"/>
      <x:c r="U876" s="71" t="n"/>
      <x:c r="V876" s="71" t="n"/>
      <x:c r="W876" s="71" t="n"/>
      <x:c r="X876" s="71" t="n"/>
      <x:c r="Y876" s="71" t="n"/>
      <x:c r="Z876" s="71" t="n"/>
      <x:c r="AA876" s="71" t="n"/>
      <x:c r="AB876" s="71" t="inlineStr">
        <x:is>
          <x:t xml:space="preserve">NO</x:t>
        </x:is>
      </x:c>
      <x:c r="AC876" s="57" t="inlineStr">
        <x:is>
          <x:t xml:space="preserve">V10</x:t>
        </x:is>
      </x:c>
      <x:c r="AD876" s="57" t="n"/>
      <x:c r="AE876" s="79" t="str">
        <x:f>IF(AND(I876&lt;&gt;"",J876&lt;&gt;"",K876&lt;&gt;"",L876="YES",M876&lt;&gt;"",S876&lt;&gt;"",T876&lt;&gt;"",U876&lt;&gt;"",V876&lt;&gt;"",W876&lt;&gt;"",X876&lt;&gt;"",Y876&lt;&gt;""),"COMPLETE","PENDING")</x:f>
        <x:v>PENDING</x:v>
      </x:c>
      <x:c r="AF876" s="79" t="str">
        <x:f>IF(AE876="COMPLETE","YES","NO")</x:f>
        <x:v>NO</x:v>
      </x:c>
      <x:c r="AG876" s="214" t="str">
        <x:f>IF(AF876&lt;&gt;"YES","",(IF(V876="YES",1,0)+IF(W876="YES",1,0))/2)</x:f>
      </x:c>
    </x:row>
    <x:row r="877">
      <x:c r="A877" s="57" t="inlineStr">
        <x:is>
          <x:t xml:space="preserve">C0872</x:t>
        </x:is>
      </x:c>
      <x:c r="B877" s="57" t="inlineStr">
        <x:is>
          <x:t xml:space="preserve">Holdout</x:t>
        </x:is>
      </x:c>
      <x:c r="C877" s="57" t="inlineStr">
        <x:is>
          <x:t xml:space="preserve">LOCKED</x:t>
        </x:is>
      </x:c>
      <x:c r="D877" s="57" t="inlineStr">
        <x:is>
          <x:t xml:space="preserve">ARG-088</x:t>
        </x:is>
      </x:c>
      <x:c r="E877" s="75" t="str">
        <x:f>INDEX('Company Universe'!$B$6:$B$105,MATCH(D877,'Company Universe'!$A$6:$A$105,0))</x:f>
        <x:v>Vertex Pharmaceuticals</x:v>
      </x:c>
      <x:c r="F877" s="75" t="str">
        <x:f>INDEX('Company Universe'!$C$6:$C$105,MATCH(D877,'Company Universe'!$A$6:$A$105,0))</x:f>
        <x:v>VRTX</x:v>
      </x:c>
      <x:c r="G877" s="75" t="str">
        <x:f>INDEX('Company Universe'!$F$6:$F$105,MATCH(D877,'Company Universe'!$A$6:$A$105,0))</x:f>
        <x:v>Healthcare &amp; Biopharma</x:v>
      </x:c>
      <x:c r="H877" s="57" t="n">
        <x:v>2</x:v>
      </x:c>
      <x:c r="I877" s="206" t="n"/>
      <x:c r="J877" s="71" t="n"/>
      <x:c r="K877" s="71" t="n"/>
      <x:c r="L877" s="71" t="inlineStr">
        <x:is>
          <x:t xml:space="preserve">NO</x:t>
        </x:is>
      </x:c>
      <x:c r="M877" s="71" t="n"/>
      <x:c r="N877" s="71" t="n"/>
      <x:c r="O877" s="71" t="n"/>
      <x:c r="P877" s="71" t="n"/>
      <x:c r="Q877" s="71" t="n"/>
      <x:c r="R877" s="71" t="n"/>
      <x:c r="S877" s="206" t="n"/>
      <x:c r="T877" s="71" t="n"/>
      <x:c r="U877" s="71" t="n"/>
      <x:c r="V877" s="71" t="n"/>
      <x:c r="W877" s="71" t="n"/>
      <x:c r="X877" s="71" t="n"/>
      <x:c r="Y877" s="71" t="n"/>
      <x:c r="Z877" s="71" t="n"/>
      <x:c r="AA877" s="71" t="n"/>
      <x:c r="AB877" s="71" t="inlineStr">
        <x:is>
          <x:t xml:space="preserve">NO</x:t>
        </x:is>
      </x:c>
      <x:c r="AC877" s="57" t="inlineStr">
        <x:is>
          <x:t xml:space="preserve">V10</x:t>
        </x:is>
      </x:c>
      <x:c r="AD877" s="57" t="n"/>
      <x:c r="AE877" s="79" t="str">
        <x:f>IF(AND(I877&lt;&gt;"",J877&lt;&gt;"",K877&lt;&gt;"",L877="YES",M877&lt;&gt;"",S877&lt;&gt;"",T877&lt;&gt;"",U877&lt;&gt;"",V877&lt;&gt;"",W877&lt;&gt;"",X877&lt;&gt;"",Y877&lt;&gt;""),"COMPLETE","PENDING")</x:f>
        <x:v>PENDING</x:v>
      </x:c>
      <x:c r="AF877" s="79" t="str">
        <x:f>IF(AE877="COMPLETE","YES","NO")</x:f>
        <x:v>NO</x:v>
      </x:c>
      <x:c r="AG877" s="214" t="str">
        <x:f>IF(AF877&lt;&gt;"YES","",(IF(V877="YES",1,0)+IF(W877="YES",1,0))/2)</x:f>
      </x:c>
    </x:row>
    <x:row r="878">
      <x:c r="A878" s="57" t="inlineStr">
        <x:is>
          <x:t xml:space="preserve">C0873</x:t>
        </x:is>
      </x:c>
      <x:c r="B878" s="57" t="inlineStr">
        <x:is>
          <x:t xml:space="preserve">Holdout</x:t>
        </x:is>
      </x:c>
      <x:c r="C878" s="57" t="inlineStr">
        <x:is>
          <x:t xml:space="preserve">LOCKED</x:t>
        </x:is>
      </x:c>
      <x:c r="D878" s="57" t="inlineStr">
        <x:is>
          <x:t xml:space="preserve">ARG-088</x:t>
        </x:is>
      </x:c>
      <x:c r="E878" s="75" t="str">
        <x:f>INDEX('Company Universe'!$B$6:$B$105,MATCH(D878,'Company Universe'!$A$6:$A$105,0))</x:f>
        <x:v>Vertex Pharmaceuticals</x:v>
      </x:c>
      <x:c r="F878" s="75" t="str">
        <x:f>INDEX('Company Universe'!$C$6:$C$105,MATCH(D878,'Company Universe'!$A$6:$A$105,0))</x:f>
        <x:v>VRTX</x:v>
      </x:c>
      <x:c r="G878" s="75" t="str">
        <x:f>INDEX('Company Universe'!$F$6:$F$105,MATCH(D878,'Company Universe'!$A$6:$A$105,0))</x:f>
        <x:v>Healthcare &amp; Biopharma</x:v>
      </x:c>
      <x:c r="H878" s="57" t="n">
        <x:v>3</x:v>
      </x:c>
      <x:c r="I878" s="206" t="n"/>
      <x:c r="J878" s="71" t="n"/>
      <x:c r="K878" s="71" t="n"/>
      <x:c r="L878" s="71" t="inlineStr">
        <x:is>
          <x:t xml:space="preserve">NO</x:t>
        </x:is>
      </x:c>
      <x:c r="M878" s="71" t="n"/>
      <x:c r="N878" s="71" t="n"/>
      <x:c r="O878" s="71" t="n"/>
      <x:c r="P878" s="71" t="n"/>
      <x:c r="Q878" s="71" t="n"/>
      <x:c r="R878" s="71" t="n"/>
      <x:c r="S878" s="206" t="n"/>
      <x:c r="T878" s="71" t="n"/>
      <x:c r="U878" s="71" t="n"/>
      <x:c r="V878" s="71" t="n"/>
      <x:c r="W878" s="71" t="n"/>
      <x:c r="X878" s="71" t="n"/>
      <x:c r="Y878" s="71" t="n"/>
      <x:c r="Z878" s="71" t="n"/>
      <x:c r="AA878" s="71" t="n"/>
      <x:c r="AB878" s="71" t="inlineStr">
        <x:is>
          <x:t xml:space="preserve">NO</x:t>
        </x:is>
      </x:c>
      <x:c r="AC878" s="57" t="inlineStr">
        <x:is>
          <x:t xml:space="preserve">V10</x:t>
        </x:is>
      </x:c>
      <x:c r="AD878" s="57" t="n"/>
      <x:c r="AE878" s="79" t="str">
        <x:f>IF(AND(I878&lt;&gt;"",J878&lt;&gt;"",K878&lt;&gt;"",L878="YES",M878&lt;&gt;"",S878&lt;&gt;"",T878&lt;&gt;"",U878&lt;&gt;"",V878&lt;&gt;"",W878&lt;&gt;"",X878&lt;&gt;"",Y878&lt;&gt;""),"COMPLETE","PENDING")</x:f>
        <x:v>PENDING</x:v>
      </x:c>
      <x:c r="AF878" s="79" t="str">
        <x:f>IF(AE878="COMPLETE","YES","NO")</x:f>
        <x:v>NO</x:v>
      </x:c>
      <x:c r="AG878" s="214" t="str">
        <x:f>IF(AF878&lt;&gt;"YES","",(IF(V878="YES",1,0)+IF(W878="YES",1,0))/2)</x:f>
      </x:c>
    </x:row>
    <x:row r="879">
      <x:c r="A879" s="57" t="inlineStr">
        <x:is>
          <x:t xml:space="preserve">C0874</x:t>
        </x:is>
      </x:c>
      <x:c r="B879" s="57" t="inlineStr">
        <x:is>
          <x:t xml:space="preserve">Holdout</x:t>
        </x:is>
      </x:c>
      <x:c r="C879" s="57" t="inlineStr">
        <x:is>
          <x:t xml:space="preserve">LOCKED</x:t>
        </x:is>
      </x:c>
      <x:c r="D879" s="57" t="inlineStr">
        <x:is>
          <x:t xml:space="preserve">ARG-088</x:t>
        </x:is>
      </x:c>
      <x:c r="E879" s="75" t="str">
        <x:f>INDEX('Company Universe'!$B$6:$B$105,MATCH(D879,'Company Universe'!$A$6:$A$105,0))</x:f>
        <x:v>Vertex Pharmaceuticals</x:v>
      </x:c>
      <x:c r="F879" s="75" t="str">
        <x:f>INDEX('Company Universe'!$C$6:$C$105,MATCH(D879,'Company Universe'!$A$6:$A$105,0))</x:f>
        <x:v>VRTX</x:v>
      </x:c>
      <x:c r="G879" s="75" t="str">
        <x:f>INDEX('Company Universe'!$F$6:$F$105,MATCH(D879,'Company Universe'!$A$6:$A$105,0))</x:f>
        <x:v>Healthcare &amp; Biopharma</x:v>
      </x:c>
      <x:c r="H879" s="57" t="n">
        <x:v>4</x:v>
      </x:c>
      <x:c r="I879" s="206" t="n"/>
      <x:c r="J879" s="71" t="n"/>
      <x:c r="K879" s="71" t="n"/>
      <x:c r="L879" s="71" t="inlineStr">
        <x:is>
          <x:t xml:space="preserve">NO</x:t>
        </x:is>
      </x:c>
      <x:c r="M879" s="71" t="n"/>
      <x:c r="N879" s="71" t="n"/>
      <x:c r="O879" s="71" t="n"/>
      <x:c r="P879" s="71" t="n"/>
      <x:c r="Q879" s="71" t="n"/>
      <x:c r="R879" s="71" t="n"/>
      <x:c r="S879" s="206" t="n"/>
      <x:c r="T879" s="71" t="n"/>
      <x:c r="U879" s="71" t="n"/>
      <x:c r="V879" s="71" t="n"/>
      <x:c r="W879" s="71" t="n"/>
      <x:c r="X879" s="71" t="n"/>
      <x:c r="Y879" s="71" t="n"/>
      <x:c r="Z879" s="71" t="n"/>
      <x:c r="AA879" s="71" t="n"/>
      <x:c r="AB879" s="71" t="inlineStr">
        <x:is>
          <x:t xml:space="preserve">NO</x:t>
        </x:is>
      </x:c>
      <x:c r="AC879" s="57" t="inlineStr">
        <x:is>
          <x:t xml:space="preserve">V10</x:t>
        </x:is>
      </x:c>
      <x:c r="AD879" s="57" t="n"/>
      <x:c r="AE879" s="79" t="str">
        <x:f>IF(AND(I879&lt;&gt;"",J879&lt;&gt;"",K879&lt;&gt;"",L879="YES",M879&lt;&gt;"",S879&lt;&gt;"",T879&lt;&gt;"",U879&lt;&gt;"",V879&lt;&gt;"",W879&lt;&gt;"",X879&lt;&gt;"",Y879&lt;&gt;""),"COMPLETE","PENDING")</x:f>
        <x:v>PENDING</x:v>
      </x:c>
      <x:c r="AF879" s="79" t="str">
        <x:f>IF(AE879="COMPLETE","YES","NO")</x:f>
        <x:v>NO</x:v>
      </x:c>
      <x:c r="AG879" s="214" t="str">
        <x:f>IF(AF879&lt;&gt;"YES","",(IF(V879="YES",1,0)+IF(W879="YES",1,0))/2)</x:f>
      </x:c>
    </x:row>
    <x:row r="880">
      <x:c r="A880" s="57" t="inlineStr">
        <x:is>
          <x:t xml:space="preserve">C0875</x:t>
        </x:is>
      </x:c>
      <x:c r="B880" s="57" t="inlineStr">
        <x:is>
          <x:t xml:space="preserve">Holdout</x:t>
        </x:is>
      </x:c>
      <x:c r="C880" s="57" t="inlineStr">
        <x:is>
          <x:t xml:space="preserve">LOCKED</x:t>
        </x:is>
      </x:c>
      <x:c r="D880" s="57" t="inlineStr">
        <x:is>
          <x:t xml:space="preserve">ARG-088</x:t>
        </x:is>
      </x:c>
      <x:c r="E880" s="75" t="str">
        <x:f>INDEX('Company Universe'!$B$6:$B$105,MATCH(D880,'Company Universe'!$A$6:$A$105,0))</x:f>
        <x:v>Vertex Pharmaceuticals</x:v>
      </x:c>
      <x:c r="F880" s="75" t="str">
        <x:f>INDEX('Company Universe'!$C$6:$C$105,MATCH(D880,'Company Universe'!$A$6:$A$105,0))</x:f>
        <x:v>VRTX</x:v>
      </x:c>
      <x:c r="G880" s="75" t="str">
        <x:f>INDEX('Company Universe'!$F$6:$F$105,MATCH(D880,'Company Universe'!$A$6:$A$105,0))</x:f>
        <x:v>Healthcare &amp; Biopharma</x:v>
      </x:c>
      <x:c r="H880" s="57" t="n">
        <x:v>5</x:v>
      </x:c>
      <x:c r="I880" s="206" t="n"/>
      <x:c r="J880" s="71" t="n"/>
      <x:c r="K880" s="71" t="n"/>
      <x:c r="L880" s="71" t="inlineStr">
        <x:is>
          <x:t xml:space="preserve">NO</x:t>
        </x:is>
      </x:c>
      <x:c r="M880" s="71" t="n"/>
      <x:c r="N880" s="71" t="n"/>
      <x:c r="O880" s="71" t="n"/>
      <x:c r="P880" s="71" t="n"/>
      <x:c r="Q880" s="71" t="n"/>
      <x:c r="R880" s="71" t="n"/>
      <x:c r="S880" s="206" t="n"/>
      <x:c r="T880" s="71" t="n"/>
      <x:c r="U880" s="71" t="n"/>
      <x:c r="V880" s="71" t="n"/>
      <x:c r="W880" s="71" t="n"/>
      <x:c r="X880" s="71" t="n"/>
      <x:c r="Y880" s="71" t="n"/>
      <x:c r="Z880" s="71" t="n"/>
      <x:c r="AA880" s="71" t="n"/>
      <x:c r="AB880" s="71" t="inlineStr">
        <x:is>
          <x:t xml:space="preserve">NO</x:t>
        </x:is>
      </x:c>
      <x:c r="AC880" s="57" t="inlineStr">
        <x:is>
          <x:t xml:space="preserve">V10</x:t>
        </x:is>
      </x:c>
      <x:c r="AD880" s="57" t="n"/>
      <x:c r="AE880" s="79" t="str">
        <x:f>IF(AND(I880&lt;&gt;"",J880&lt;&gt;"",K880&lt;&gt;"",L880="YES",M880&lt;&gt;"",S880&lt;&gt;"",T880&lt;&gt;"",U880&lt;&gt;"",V880&lt;&gt;"",W880&lt;&gt;"",X880&lt;&gt;"",Y880&lt;&gt;""),"COMPLETE","PENDING")</x:f>
        <x:v>PENDING</x:v>
      </x:c>
      <x:c r="AF880" s="79" t="str">
        <x:f>IF(AE880="COMPLETE","YES","NO")</x:f>
        <x:v>NO</x:v>
      </x:c>
      <x:c r="AG880" s="214" t="str">
        <x:f>IF(AF880&lt;&gt;"YES","",(IF(V880="YES",1,0)+IF(W880="YES",1,0))/2)</x:f>
      </x:c>
    </x:row>
    <x:row r="881">
      <x:c r="A881" s="57" t="inlineStr">
        <x:is>
          <x:t xml:space="preserve">C0876</x:t>
        </x:is>
      </x:c>
      <x:c r="B881" s="57" t="inlineStr">
        <x:is>
          <x:t xml:space="preserve">Holdout</x:t>
        </x:is>
      </x:c>
      <x:c r="C881" s="57" t="inlineStr">
        <x:is>
          <x:t xml:space="preserve">LOCKED</x:t>
        </x:is>
      </x:c>
      <x:c r="D881" s="57" t="inlineStr">
        <x:is>
          <x:t xml:space="preserve">ARG-088</x:t>
        </x:is>
      </x:c>
      <x:c r="E881" s="75" t="str">
        <x:f>INDEX('Company Universe'!$B$6:$B$105,MATCH(D881,'Company Universe'!$A$6:$A$105,0))</x:f>
        <x:v>Vertex Pharmaceuticals</x:v>
      </x:c>
      <x:c r="F881" s="75" t="str">
        <x:f>INDEX('Company Universe'!$C$6:$C$105,MATCH(D881,'Company Universe'!$A$6:$A$105,0))</x:f>
        <x:v>VRTX</x:v>
      </x:c>
      <x:c r="G881" s="75" t="str">
        <x:f>INDEX('Company Universe'!$F$6:$F$105,MATCH(D881,'Company Universe'!$A$6:$A$105,0))</x:f>
        <x:v>Healthcare &amp; Biopharma</x:v>
      </x:c>
      <x:c r="H881" s="57" t="n">
        <x:v>6</x:v>
      </x:c>
      <x:c r="I881" s="206" t="n"/>
      <x:c r="J881" s="71" t="n"/>
      <x:c r="K881" s="71" t="n"/>
      <x:c r="L881" s="71" t="inlineStr">
        <x:is>
          <x:t xml:space="preserve">NO</x:t>
        </x:is>
      </x:c>
      <x:c r="M881" s="71" t="n"/>
      <x:c r="N881" s="71" t="n"/>
      <x:c r="O881" s="71" t="n"/>
      <x:c r="P881" s="71" t="n"/>
      <x:c r="Q881" s="71" t="n"/>
      <x:c r="R881" s="71" t="n"/>
      <x:c r="S881" s="206" t="n"/>
      <x:c r="T881" s="71" t="n"/>
      <x:c r="U881" s="71" t="n"/>
      <x:c r="V881" s="71" t="n"/>
      <x:c r="W881" s="71" t="n"/>
      <x:c r="X881" s="71" t="n"/>
      <x:c r="Y881" s="71" t="n"/>
      <x:c r="Z881" s="71" t="n"/>
      <x:c r="AA881" s="71" t="n"/>
      <x:c r="AB881" s="71" t="inlineStr">
        <x:is>
          <x:t xml:space="preserve">NO</x:t>
        </x:is>
      </x:c>
      <x:c r="AC881" s="57" t="inlineStr">
        <x:is>
          <x:t xml:space="preserve">V10</x:t>
        </x:is>
      </x:c>
      <x:c r="AD881" s="57" t="n"/>
      <x:c r="AE881" s="79" t="str">
        <x:f>IF(AND(I881&lt;&gt;"",J881&lt;&gt;"",K881&lt;&gt;"",L881="YES",M881&lt;&gt;"",S881&lt;&gt;"",T881&lt;&gt;"",U881&lt;&gt;"",V881&lt;&gt;"",W881&lt;&gt;"",X881&lt;&gt;"",Y881&lt;&gt;""),"COMPLETE","PENDING")</x:f>
        <x:v>PENDING</x:v>
      </x:c>
      <x:c r="AF881" s="79" t="str">
        <x:f>IF(AE881="COMPLETE","YES","NO")</x:f>
        <x:v>NO</x:v>
      </x:c>
      <x:c r="AG881" s="214" t="str">
        <x:f>IF(AF881&lt;&gt;"YES","",(IF(V881="YES",1,0)+IF(W881="YES",1,0))/2)</x:f>
      </x:c>
    </x:row>
    <x:row r="882">
      <x:c r="A882" s="57" t="inlineStr">
        <x:is>
          <x:t xml:space="preserve">C0877</x:t>
        </x:is>
      </x:c>
      <x:c r="B882" s="57" t="inlineStr">
        <x:is>
          <x:t xml:space="preserve">Holdout</x:t>
        </x:is>
      </x:c>
      <x:c r="C882" s="57" t="inlineStr">
        <x:is>
          <x:t xml:space="preserve">LOCKED</x:t>
        </x:is>
      </x:c>
      <x:c r="D882" s="57" t="inlineStr">
        <x:is>
          <x:t xml:space="preserve">ARG-088</x:t>
        </x:is>
      </x:c>
      <x:c r="E882" s="75" t="str">
        <x:f>INDEX('Company Universe'!$B$6:$B$105,MATCH(D882,'Company Universe'!$A$6:$A$105,0))</x:f>
        <x:v>Vertex Pharmaceuticals</x:v>
      </x:c>
      <x:c r="F882" s="75" t="str">
        <x:f>INDEX('Company Universe'!$C$6:$C$105,MATCH(D882,'Company Universe'!$A$6:$A$105,0))</x:f>
        <x:v>VRTX</x:v>
      </x:c>
      <x:c r="G882" s="75" t="str">
        <x:f>INDEX('Company Universe'!$F$6:$F$105,MATCH(D882,'Company Universe'!$A$6:$A$105,0))</x:f>
        <x:v>Healthcare &amp; Biopharma</x:v>
      </x:c>
      <x:c r="H882" s="57" t="n">
        <x:v>7</x:v>
      </x:c>
      <x:c r="I882" s="206" t="n"/>
      <x:c r="J882" s="71" t="n"/>
      <x:c r="K882" s="71" t="n"/>
      <x:c r="L882" s="71" t="inlineStr">
        <x:is>
          <x:t xml:space="preserve">NO</x:t>
        </x:is>
      </x:c>
      <x:c r="M882" s="71" t="n"/>
      <x:c r="N882" s="71" t="n"/>
      <x:c r="O882" s="71" t="n"/>
      <x:c r="P882" s="71" t="n"/>
      <x:c r="Q882" s="71" t="n"/>
      <x:c r="R882" s="71" t="n"/>
      <x:c r="S882" s="206" t="n"/>
      <x:c r="T882" s="71" t="n"/>
      <x:c r="U882" s="71" t="n"/>
      <x:c r="V882" s="71" t="n"/>
      <x:c r="W882" s="71" t="n"/>
      <x:c r="X882" s="71" t="n"/>
      <x:c r="Y882" s="71" t="n"/>
      <x:c r="Z882" s="71" t="n"/>
      <x:c r="AA882" s="71" t="n"/>
      <x:c r="AB882" s="71" t="inlineStr">
        <x:is>
          <x:t xml:space="preserve">NO</x:t>
        </x:is>
      </x:c>
      <x:c r="AC882" s="57" t="inlineStr">
        <x:is>
          <x:t xml:space="preserve">V10</x:t>
        </x:is>
      </x:c>
      <x:c r="AD882" s="57" t="n"/>
      <x:c r="AE882" s="79" t="str">
        <x:f>IF(AND(I882&lt;&gt;"",J882&lt;&gt;"",K882&lt;&gt;"",L882="YES",M882&lt;&gt;"",S882&lt;&gt;"",T882&lt;&gt;"",U882&lt;&gt;"",V882&lt;&gt;"",W882&lt;&gt;"",X882&lt;&gt;"",Y882&lt;&gt;""),"COMPLETE","PENDING")</x:f>
        <x:v>PENDING</x:v>
      </x:c>
      <x:c r="AF882" s="79" t="str">
        <x:f>IF(AE882="COMPLETE","YES","NO")</x:f>
        <x:v>NO</x:v>
      </x:c>
      <x:c r="AG882" s="214" t="str">
        <x:f>IF(AF882&lt;&gt;"YES","",(IF(V882="YES",1,0)+IF(W882="YES",1,0))/2)</x:f>
      </x:c>
    </x:row>
    <x:row r="883">
      <x:c r="A883" s="57" t="inlineStr">
        <x:is>
          <x:t xml:space="preserve">C0878</x:t>
        </x:is>
      </x:c>
      <x:c r="B883" s="57" t="inlineStr">
        <x:is>
          <x:t xml:space="preserve">Holdout</x:t>
        </x:is>
      </x:c>
      <x:c r="C883" s="57" t="inlineStr">
        <x:is>
          <x:t xml:space="preserve">LOCKED</x:t>
        </x:is>
      </x:c>
      <x:c r="D883" s="57" t="inlineStr">
        <x:is>
          <x:t xml:space="preserve">ARG-088</x:t>
        </x:is>
      </x:c>
      <x:c r="E883" s="75" t="str">
        <x:f>INDEX('Company Universe'!$B$6:$B$105,MATCH(D883,'Company Universe'!$A$6:$A$105,0))</x:f>
        <x:v>Vertex Pharmaceuticals</x:v>
      </x:c>
      <x:c r="F883" s="75" t="str">
        <x:f>INDEX('Company Universe'!$C$6:$C$105,MATCH(D883,'Company Universe'!$A$6:$A$105,0))</x:f>
        <x:v>VRTX</x:v>
      </x:c>
      <x:c r="G883" s="75" t="str">
        <x:f>INDEX('Company Universe'!$F$6:$F$105,MATCH(D883,'Company Universe'!$A$6:$A$105,0))</x:f>
        <x:v>Healthcare &amp; Biopharma</x:v>
      </x:c>
      <x:c r="H883" s="57" t="n">
        <x:v>8</x:v>
      </x:c>
      <x:c r="I883" s="206" t="n"/>
      <x:c r="J883" s="71" t="n"/>
      <x:c r="K883" s="71" t="n"/>
      <x:c r="L883" s="71" t="inlineStr">
        <x:is>
          <x:t xml:space="preserve">NO</x:t>
        </x:is>
      </x:c>
      <x:c r="M883" s="71" t="n"/>
      <x:c r="N883" s="71" t="n"/>
      <x:c r="O883" s="71" t="n"/>
      <x:c r="P883" s="71" t="n"/>
      <x:c r="Q883" s="71" t="n"/>
      <x:c r="R883" s="71" t="n"/>
      <x:c r="S883" s="206" t="n"/>
      <x:c r="T883" s="71" t="n"/>
      <x:c r="U883" s="71" t="n"/>
      <x:c r="V883" s="71" t="n"/>
      <x:c r="W883" s="71" t="n"/>
      <x:c r="X883" s="71" t="n"/>
      <x:c r="Y883" s="71" t="n"/>
      <x:c r="Z883" s="71" t="n"/>
      <x:c r="AA883" s="71" t="n"/>
      <x:c r="AB883" s="71" t="inlineStr">
        <x:is>
          <x:t xml:space="preserve">NO</x:t>
        </x:is>
      </x:c>
      <x:c r="AC883" s="57" t="inlineStr">
        <x:is>
          <x:t xml:space="preserve">V10</x:t>
        </x:is>
      </x:c>
      <x:c r="AD883" s="57" t="n"/>
      <x:c r="AE883" s="79" t="str">
        <x:f>IF(AND(I883&lt;&gt;"",J883&lt;&gt;"",K883&lt;&gt;"",L883="YES",M883&lt;&gt;"",S883&lt;&gt;"",T883&lt;&gt;"",U883&lt;&gt;"",V883&lt;&gt;"",W883&lt;&gt;"",X883&lt;&gt;"",Y883&lt;&gt;""),"COMPLETE","PENDING")</x:f>
        <x:v>PENDING</x:v>
      </x:c>
      <x:c r="AF883" s="79" t="str">
        <x:f>IF(AE883="COMPLETE","YES","NO")</x:f>
        <x:v>NO</x:v>
      </x:c>
      <x:c r="AG883" s="214" t="str">
        <x:f>IF(AF883&lt;&gt;"YES","",(IF(V883="YES",1,0)+IF(W883="YES",1,0))/2)</x:f>
      </x:c>
    </x:row>
    <x:row r="884">
      <x:c r="A884" s="57" t="inlineStr">
        <x:is>
          <x:t xml:space="preserve">C0879</x:t>
        </x:is>
      </x:c>
      <x:c r="B884" s="57" t="inlineStr">
        <x:is>
          <x:t xml:space="preserve">Holdout</x:t>
        </x:is>
      </x:c>
      <x:c r="C884" s="57" t="inlineStr">
        <x:is>
          <x:t xml:space="preserve">LOCKED</x:t>
        </x:is>
      </x:c>
      <x:c r="D884" s="57" t="inlineStr">
        <x:is>
          <x:t xml:space="preserve">ARG-088</x:t>
        </x:is>
      </x:c>
      <x:c r="E884" s="75" t="str">
        <x:f>INDEX('Company Universe'!$B$6:$B$105,MATCH(D884,'Company Universe'!$A$6:$A$105,0))</x:f>
        <x:v>Vertex Pharmaceuticals</x:v>
      </x:c>
      <x:c r="F884" s="75" t="str">
        <x:f>INDEX('Company Universe'!$C$6:$C$105,MATCH(D884,'Company Universe'!$A$6:$A$105,0))</x:f>
        <x:v>VRTX</x:v>
      </x:c>
      <x:c r="G884" s="75" t="str">
        <x:f>INDEX('Company Universe'!$F$6:$F$105,MATCH(D884,'Company Universe'!$A$6:$A$105,0))</x:f>
        <x:v>Healthcare &amp; Biopharma</x:v>
      </x:c>
      <x:c r="H884" s="57" t="n">
        <x:v>9</x:v>
      </x:c>
      <x:c r="I884" s="206" t="n"/>
      <x:c r="J884" s="71" t="n"/>
      <x:c r="K884" s="71" t="n"/>
      <x:c r="L884" s="71" t="inlineStr">
        <x:is>
          <x:t xml:space="preserve">NO</x:t>
        </x:is>
      </x:c>
      <x:c r="M884" s="71" t="n"/>
      <x:c r="N884" s="71" t="n"/>
      <x:c r="O884" s="71" t="n"/>
      <x:c r="P884" s="71" t="n"/>
      <x:c r="Q884" s="71" t="n"/>
      <x:c r="R884" s="71" t="n"/>
      <x:c r="S884" s="206" t="n"/>
      <x:c r="T884" s="71" t="n"/>
      <x:c r="U884" s="71" t="n"/>
      <x:c r="V884" s="71" t="n"/>
      <x:c r="W884" s="71" t="n"/>
      <x:c r="X884" s="71" t="n"/>
      <x:c r="Y884" s="71" t="n"/>
      <x:c r="Z884" s="71" t="n"/>
      <x:c r="AA884" s="71" t="n"/>
      <x:c r="AB884" s="71" t="inlineStr">
        <x:is>
          <x:t xml:space="preserve">NO</x:t>
        </x:is>
      </x:c>
      <x:c r="AC884" s="57" t="inlineStr">
        <x:is>
          <x:t xml:space="preserve">V10</x:t>
        </x:is>
      </x:c>
      <x:c r="AD884" s="57" t="n"/>
      <x:c r="AE884" s="79" t="str">
        <x:f>IF(AND(I884&lt;&gt;"",J884&lt;&gt;"",K884&lt;&gt;"",L884="YES",M884&lt;&gt;"",S884&lt;&gt;"",T884&lt;&gt;"",U884&lt;&gt;"",V884&lt;&gt;"",W884&lt;&gt;"",X884&lt;&gt;"",Y884&lt;&gt;""),"COMPLETE","PENDING")</x:f>
        <x:v>PENDING</x:v>
      </x:c>
      <x:c r="AF884" s="79" t="str">
        <x:f>IF(AE884="COMPLETE","YES","NO")</x:f>
        <x:v>NO</x:v>
      </x:c>
      <x:c r="AG884" s="214" t="str">
        <x:f>IF(AF884&lt;&gt;"YES","",(IF(V884="YES",1,0)+IF(W884="YES",1,0))/2)</x:f>
      </x:c>
    </x:row>
    <x:row r="885">
      <x:c r="A885" s="57" t="inlineStr">
        <x:is>
          <x:t xml:space="preserve">C0880</x:t>
        </x:is>
      </x:c>
      <x:c r="B885" s="57" t="inlineStr">
        <x:is>
          <x:t xml:space="preserve">Holdout</x:t>
        </x:is>
      </x:c>
      <x:c r="C885" s="57" t="inlineStr">
        <x:is>
          <x:t xml:space="preserve">LOCKED</x:t>
        </x:is>
      </x:c>
      <x:c r="D885" s="57" t="inlineStr">
        <x:is>
          <x:t xml:space="preserve">ARG-088</x:t>
        </x:is>
      </x:c>
      <x:c r="E885" s="75" t="str">
        <x:f>INDEX('Company Universe'!$B$6:$B$105,MATCH(D885,'Company Universe'!$A$6:$A$105,0))</x:f>
        <x:v>Vertex Pharmaceuticals</x:v>
      </x:c>
      <x:c r="F885" s="75" t="str">
        <x:f>INDEX('Company Universe'!$C$6:$C$105,MATCH(D885,'Company Universe'!$A$6:$A$105,0))</x:f>
        <x:v>VRTX</x:v>
      </x:c>
      <x:c r="G885" s="75" t="str">
        <x:f>INDEX('Company Universe'!$F$6:$F$105,MATCH(D885,'Company Universe'!$A$6:$A$105,0))</x:f>
        <x:v>Healthcare &amp; Biopharma</x:v>
      </x:c>
      <x:c r="H885" s="57" t="n">
        <x:v>10</x:v>
      </x:c>
      <x:c r="I885" s="206" t="n"/>
      <x:c r="J885" s="71" t="n"/>
      <x:c r="K885" s="71" t="n"/>
      <x:c r="L885" s="71" t="inlineStr">
        <x:is>
          <x:t xml:space="preserve">NO</x:t>
        </x:is>
      </x:c>
      <x:c r="M885" s="71" t="n"/>
      <x:c r="N885" s="71" t="n"/>
      <x:c r="O885" s="71" t="n"/>
      <x:c r="P885" s="71" t="n"/>
      <x:c r="Q885" s="71" t="n"/>
      <x:c r="R885" s="71" t="n"/>
      <x:c r="S885" s="206" t="n"/>
      <x:c r="T885" s="71" t="n"/>
      <x:c r="U885" s="71" t="n"/>
      <x:c r="V885" s="71" t="n"/>
      <x:c r="W885" s="71" t="n"/>
      <x:c r="X885" s="71" t="n"/>
      <x:c r="Y885" s="71" t="n"/>
      <x:c r="Z885" s="71" t="n"/>
      <x:c r="AA885" s="71" t="n"/>
      <x:c r="AB885" s="71" t="inlineStr">
        <x:is>
          <x:t xml:space="preserve">NO</x:t>
        </x:is>
      </x:c>
      <x:c r="AC885" s="57" t="inlineStr">
        <x:is>
          <x:t xml:space="preserve">V10</x:t>
        </x:is>
      </x:c>
      <x:c r="AD885" s="57" t="n"/>
      <x:c r="AE885" s="79" t="str">
        <x:f>IF(AND(I885&lt;&gt;"",J885&lt;&gt;"",K885&lt;&gt;"",L885="YES",M885&lt;&gt;"",S885&lt;&gt;"",T885&lt;&gt;"",U885&lt;&gt;"",V885&lt;&gt;"",W885&lt;&gt;"",X885&lt;&gt;"",Y885&lt;&gt;""),"COMPLETE","PENDING")</x:f>
        <x:v>PENDING</x:v>
      </x:c>
      <x:c r="AF885" s="79" t="str">
        <x:f>IF(AE885="COMPLETE","YES","NO")</x:f>
        <x:v>NO</x:v>
      </x:c>
      <x:c r="AG885" s="214" t="str">
        <x:f>IF(AF885&lt;&gt;"YES","",(IF(V885="YES",1,0)+IF(W885="YES",1,0))/2)</x:f>
      </x:c>
    </x:row>
    <x:row r="886">
      <x:c r="A886" s="57" t="inlineStr">
        <x:is>
          <x:t xml:space="preserve">C0881</x:t>
        </x:is>
      </x:c>
      <x:c r="B886" s="57" t="inlineStr">
        <x:is>
          <x:t xml:space="preserve">Holdout</x:t>
        </x:is>
      </x:c>
      <x:c r="C886" s="57" t="inlineStr">
        <x:is>
          <x:t xml:space="preserve">LOCKED</x:t>
        </x:is>
      </x:c>
      <x:c r="D886" s="57" t="inlineStr">
        <x:is>
          <x:t xml:space="preserve">ARG-089</x:t>
        </x:is>
      </x:c>
      <x:c r="E886" s="75" t="str">
        <x:f>INDEX('Company Universe'!$B$6:$B$105,MATCH(D886,'Company Universe'!$A$6:$A$105,0))</x:f>
        <x:v>UnitedHealth Group</x:v>
      </x:c>
      <x:c r="F886" s="75" t="str">
        <x:f>INDEX('Company Universe'!$C$6:$C$105,MATCH(D886,'Company Universe'!$A$6:$A$105,0))</x:f>
        <x:v>UNH</x:v>
      </x:c>
      <x:c r="G886" s="75" t="str">
        <x:f>INDEX('Company Universe'!$F$6:$F$105,MATCH(D886,'Company Universe'!$A$6:$A$105,0))</x:f>
        <x:v>Healthcare &amp; Biopharma</x:v>
      </x:c>
      <x:c r="H886" s="57" t="n">
        <x:v>1</x:v>
      </x:c>
      <x:c r="I886" s="206" t="n"/>
      <x:c r="J886" s="71" t="n"/>
      <x:c r="K886" s="71" t="n"/>
      <x:c r="L886" s="71" t="inlineStr">
        <x:is>
          <x:t xml:space="preserve">NO</x:t>
        </x:is>
      </x:c>
      <x:c r="M886" s="71" t="n"/>
      <x:c r="N886" s="71" t="n"/>
      <x:c r="O886" s="71" t="n"/>
      <x:c r="P886" s="71" t="n"/>
      <x:c r="Q886" s="71" t="n"/>
      <x:c r="R886" s="71" t="n"/>
      <x:c r="S886" s="206" t="n"/>
      <x:c r="T886" s="71" t="n"/>
      <x:c r="U886" s="71" t="n"/>
      <x:c r="V886" s="71" t="n"/>
      <x:c r="W886" s="71" t="n"/>
      <x:c r="X886" s="71" t="n"/>
      <x:c r="Y886" s="71" t="n"/>
      <x:c r="Z886" s="71" t="n"/>
      <x:c r="AA886" s="71" t="n"/>
      <x:c r="AB886" s="71" t="inlineStr">
        <x:is>
          <x:t xml:space="preserve">NO</x:t>
        </x:is>
      </x:c>
      <x:c r="AC886" s="57" t="inlineStr">
        <x:is>
          <x:t xml:space="preserve">V10</x:t>
        </x:is>
      </x:c>
      <x:c r="AD886" s="57" t="n"/>
      <x:c r="AE886" s="79" t="str">
        <x:f>IF(AND(I886&lt;&gt;"",J886&lt;&gt;"",K886&lt;&gt;"",L886="YES",M886&lt;&gt;"",S886&lt;&gt;"",T886&lt;&gt;"",U886&lt;&gt;"",V886&lt;&gt;"",W886&lt;&gt;"",X886&lt;&gt;"",Y886&lt;&gt;""),"COMPLETE","PENDING")</x:f>
        <x:v>PENDING</x:v>
      </x:c>
      <x:c r="AF886" s="79" t="str">
        <x:f>IF(AE886="COMPLETE","YES","NO")</x:f>
        <x:v>NO</x:v>
      </x:c>
      <x:c r="AG886" s="214" t="str">
        <x:f>IF(AF886&lt;&gt;"YES","",(IF(V886="YES",1,0)+IF(W886="YES",1,0))/2)</x:f>
      </x:c>
    </x:row>
    <x:row r="887">
      <x:c r="A887" s="57" t="inlineStr">
        <x:is>
          <x:t xml:space="preserve">C0882</x:t>
        </x:is>
      </x:c>
      <x:c r="B887" s="57" t="inlineStr">
        <x:is>
          <x:t xml:space="preserve">Holdout</x:t>
        </x:is>
      </x:c>
      <x:c r="C887" s="57" t="inlineStr">
        <x:is>
          <x:t xml:space="preserve">LOCKED</x:t>
        </x:is>
      </x:c>
      <x:c r="D887" s="57" t="inlineStr">
        <x:is>
          <x:t xml:space="preserve">ARG-089</x:t>
        </x:is>
      </x:c>
      <x:c r="E887" s="75" t="str">
        <x:f>INDEX('Company Universe'!$B$6:$B$105,MATCH(D887,'Company Universe'!$A$6:$A$105,0))</x:f>
        <x:v>UnitedHealth Group</x:v>
      </x:c>
      <x:c r="F887" s="75" t="str">
        <x:f>INDEX('Company Universe'!$C$6:$C$105,MATCH(D887,'Company Universe'!$A$6:$A$105,0))</x:f>
        <x:v>UNH</x:v>
      </x:c>
      <x:c r="G887" s="75" t="str">
        <x:f>INDEX('Company Universe'!$F$6:$F$105,MATCH(D887,'Company Universe'!$A$6:$A$105,0))</x:f>
        <x:v>Healthcare &amp; Biopharma</x:v>
      </x:c>
      <x:c r="H887" s="57" t="n">
        <x:v>2</x:v>
      </x:c>
      <x:c r="I887" s="206" t="n"/>
      <x:c r="J887" s="71" t="n"/>
      <x:c r="K887" s="71" t="n"/>
      <x:c r="L887" s="71" t="inlineStr">
        <x:is>
          <x:t xml:space="preserve">NO</x:t>
        </x:is>
      </x:c>
      <x:c r="M887" s="71" t="n"/>
      <x:c r="N887" s="71" t="n"/>
      <x:c r="O887" s="71" t="n"/>
      <x:c r="P887" s="71" t="n"/>
      <x:c r="Q887" s="71" t="n"/>
      <x:c r="R887" s="71" t="n"/>
      <x:c r="S887" s="206" t="n"/>
      <x:c r="T887" s="71" t="n"/>
      <x:c r="U887" s="71" t="n"/>
      <x:c r="V887" s="71" t="n"/>
      <x:c r="W887" s="71" t="n"/>
      <x:c r="X887" s="71" t="n"/>
      <x:c r="Y887" s="71" t="n"/>
      <x:c r="Z887" s="71" t="n"/>
      <x:c r="AA887" s="71" t="n"/>
      <x:c r="AB887" s="71" t="inlineStr">
        <x:is>
          <x:t xml:space="preserve">NO</x:t>
        </x:is>
      </x:c>
      <x:c r="AC887" s="57" t="inlineStr">
        <x:is>
          <x:t xml:space="preserve">V10</x:t>
        </x:is>
      </x:c>
      <x:c r="AD887" s="57" t="n"/>
      <x:c r="AE887" s="79" t="str">
        <x:f>IF(AND(I887&lt;&gt;"",J887&lt;&gt;"",K887&lt;&gt;"",L887="YES",M887&lt;&gt;"",S887&lt;&gt;"",T887&lt;&gt;"",U887&lt;&gt;"",V887&lt;&gt;"",W887&lt;&gt;"",X887&lt;&gt;"",Y887&lt;&gt;""),"COMPLETE","PENDING")</x:f>
        <x:v>PENDING</x:v>
      </x:c>
      <x:c r="AF887" s="79" t="str">
        <x:f>IF(AE887="COMPLETE","YES","NO")</x:f>
        <x:v>NO</x:v>
      </x:c>
      <x:c r="AG887" s="214" t="str">
        <x:f>IF(AF887&lt;&gt;"YES","",(IF(V887="YES",1,0)+IF(W887="YES",1,0))/2)</x:f>
      </x:c>
    </x:row>
    <x:row r="888">
      <x:c r="A888" s="57" t="inlineStr">
        <x:is>
          <x:t xml:space="preserve">C0883</x:t>
        </x:is>
      </x:c>
      <x:c r="B888" s="57" t="inlineStr">
        <x:is>
          <x:t xml:space="preserve">Holdout</x:t>
        </x:is>
      </x:c>
      <x:c r="C888" s="57" t="inlineStr">
        <x:is>
          <x:t xml:space="preserve">LOCKED</x:t>
        </x:is>
      </x:c>
      <x:c r="D888" s="57" t="inlineStr">
        <x:is>
          <x:t xml:space="preserve">ARG-089</x:t>
        </x:is>
      </x:c>
      <x:c r="E888" s="75" t="str">
        <x:f>INDEX('Company Universe'!$B$6:$B$105,MATCH(D888,'Company Universe'!$A$6:$A$105,0))</x:f>
        <x:v>UnitedHealth Group</x:v>
      </x:c>
      <x:c r="F888" s="75" t="str">
        <x:f>INDEX('Company Universe'!$C$6:$C$105,MATCH(D888,'Company Universe'!$A$6:$A$105,0))</x:f>
        <x:v>UNH</x:v>
      </x:c>
      <x:c r="G888" s="75" t="str">
        <x:f>INDEX('Company Universe'!$F$6:$F$105,MATCH(D888,'Company Universe'!$A$6:$A$105,0))</x:f>
        <x:v>Healthcare &amp; Biopharma</x:v>
      </x:c>
      <x:c r="H888" s="57" t="n">
        <x:v>3</x:v>
      </x:c>
      <x:c r="I888" s="206" t="n"/>
      <x:c r="J888" s="71" t="n"/>
      <x:c r="K888" s="71" t="n"/>
      <x:c r="L888" s="71" t="inlineStr">
        <x:is>
          <x:t xml:space="preserve">NO</x:t>
        </x:is>
      </x:c>
      <x:c r="M888" s="71" t="n"/>
      <x:c r="N888" s="71" t="n"/>
      <x:c r="O888" s="71" t="n"/>
      <x:c r="P888" s="71" t="n"/>
      <x:c r="Q888" s="71" t="n"/>
      <x:c r="R888" s="71" t="n"/>
      <x:c r="S888" s="206" t="n"/>
      <x:c r="T888" s="71" t="n"/>
      <x:c r="U888" s="71" t="n"/>
      <x:c r="V888" s="71" t="n"/>
      <x:c r="W888" s="71" t="n"/>
      <x:c r="X888" s="71" t="n"/>
      <x:c r="Y888" s="71" t="n"/>
      <x:c r="Z888" s="71" t="n"/>
      <x:c r="AA888" s="71" t="n"/>
      <x:c r="AB888" s="71" t="inlineStr">
        <x:is>
          <x:t xml:space="preserve">NO</x:t>
        </x:is>
      </x:c>
      <x:c r="AC888" s="57" t="inlineStr">
        <x:is>
          <x:t xml:space="preserve">V10</x:t>
        </x:is>
      </x:c>
      <x:c r="AD888" s="57" t="n"/>
      <x:c r="AE888" s="79" t="str">
        <x:f>IF(AND(I888&lt;&gt;"",J888&lt;&gt;"",K888&lt;&gt;"",L888="YES",M888&lt;&gt;"",S888&lt;&gt;"",T888&lt;&gt;"",U888&lt;&gt;"",V888&lt;&gt;"",W888&lt;&gt;"",X888&lt;&gt;"",Y888&lt;&gt;""),"COMPLETE","PENDING")</x:f>
        <x:v>PENDING</x:v>
      </x:c>
      <x:c r="AF888" s="79" t="str">
        <x:f>IF(AE888="COMPLETE","YES","NO")</x:f>
        <x:v>NO</x:v>
      </x:c>
      <x:c r="AG888" s="214" t="str">
        <x:f>IF(AF888&lt;&gt;"YES","",(IF(V888="YES",1,0)+IF(W888="YES",1,0))/2)</x:f>
      </x:c>
    </x:row>
    <x:row r="889">
      <x:c r="A889" s="57" t="inlineStr">
        <x:is>
          <x:t xml:space="preserve">C0884</x:t>
        </x:is>
      </x:c>
      <x:c r="B889" s="57" t="inlineStr">
        <x:is>
          <x:t xml:space="preserve">Holdout</x:t>
        </x:is>
      </x:c>
      <x:c r="C889" s="57" t="inlineStr">
        <x:is>
          <x:t xml:space="preserve">LOCKED</x:t>
        </x:is>
      </x:c>
      <x:c r="D889" s="57" t="inlineStr">
        <x:is>
          <x:t xml:space="preserve">ARG-089</x:t>
        </x:is>
      </x:c>
      <x:c r="E889" s="75" t="str">
        <x:f>INDEX('Company Universe'!$B$6:$B$105,MATCH(D889,'Company Universe'!$A$6:$A$105,0))</x:f>
        <x:v>UnitedHealth Group</x:v>
      </x:c>
      <x:c r="F889" s="75" t="str">
        <x:f>INDEX('Company Universe'!$C$6:$C$105,MATCH(D889,'Company Universe'!$A$6:$A$105,0))</x:f>
        <x:v>UNH</x:v>
      </x:c>
      <x:c r="G889" s="75" t="str">
        <x:f>INDEX('Company Universe'!$F$6:$F$105,MATCH(D889,'Company Universe'!$A$6:$A$105,0))</x:f>
        <x:v>Healthcare &amp; Biopharma</x:v>
      </x:c>
      <x:c r="H889" s="57" t="n">
        <x:v>4</x:v>
      </x:c>
      <x:c r="I889" s="206" t="n"/>
      <x:c r="J889" s="71" t="n"/>
      <x:c r="K889" s="71" t="n"/>
      <x:c r="L889" s="71" t="inlineStr">
        <x:is>
          <x:t xml:space="preserve">NO</x:t>
        </x:is>
      </x:c>
      <x:c r="M889" s="71" t="n"/>
      <x:c r="N889" s="71" t="n"/>
      <x:c r="O889" s="71" t="n"/>
      <x:c r="P889" s="71" t="n"/>
      <x:c r="Q889" s="71" t="n"/>
      <x:c r="R889" s="71" t="n"/>
      <x:c r="S889" s="206" t="n"/>
      <x:c r="T889" s="71" t="n"/>
      <x:c r="U889" s="71" t="n"/>
      <x:c r="V889" s="71" t="n"/>
      <x:c r="W889" s="71" t="n"/>
      <x:c r="X889" s="71" t="n"/>
      <x:c r="Y889" s="71" t="n"/>
      <x:c r="Z889" s="71" t="n"/>
      <x:c r="AA889" s="71" t="n"/>
      <x:c r="AB889" s="71" t="inlineStr">
        <x:is>
          <x:t xml:space="preserve">NO</x:t>
        </x:is>
      </x:c>
      <x:c r="AC889" s="57" t="inlineStr">
        <x:is>
          <x:t xml:space="preserve">V10</x:t>
        </x:is>
      </x:c>
      <x:c r="AD889" s="57" t="n"/>
      <x:c r="AE889" s="79" t="str">
        <x:f>IF(AND(I889&lt;&gt;"",J889&lt;&gt;"",K889&lt;&gt;"",L889="YES",M889&lt;&gt;"",S889&lt;&gt;"",T889&lt;&gt;"",U889&lt;&gt;"",V889&lt;&gt;"",W889&lt;&gt;"",X889&lt;&gt;"",Y889&lt;&gt;""),"COMPLETE","PENDING")</x:f>
        <x:v>PENDING</x:v>
      </x:c>
      <x:c r="AF889" s="79" t="str">
        <x:f>IF(AE889="COMPLETE","YES","NO")</x:f>
        <x:v>NO</x:v>
      </x:c>
      <x:c r="AG889" s="214" t="str">
        <x:f>IF(AF889&lt;&gt;"YES","",(IF(V889="YES",1,0)+IF(W889="YES",1,0))/2)</x:f>
      </x:c>
    </x:row>
    <x:row r="890">
      <x:c r="A890" s="57" t="inlineStr">
        <x:is>
          <x:t xml:space="preserve">C0885</x:t>
        </x:is>
      </x:c>
      <x:c r="B890" s="57" t="inlineStr">
        <x:is>
          <x:t xml:space="preserve">Holdout</x:t>
        </x:is>
      </x:c>
      <x:c r="C890" s="57" t="inlineStr">
        <x:is>
          <x:t xml:space="preserve">LOCKED</x:t>
        </x:is>
      </x:c>
      <x:c r="D890" s="57" t="inlineStr">
        <x:is>
          <x:t xml:space="preserve">ARG-089</x:t>
        </x:is>
      </x:c>
      <x:c r="E890" s="75" t="str">
        <x:f>INDEX('Company Universe'!$B$6:$B$105,MATCH(D890,'Company Universe'!$A$6:$A$105,0))</x:f>
        <x:v>UnitedHealth Group</x:v>
      </x:c>
      <x:c r="F890" s="75" t="str">
        <x:f>INDEX('Company Universe'!$C$6:$C$105,MATCH(D890,'Company Universe'!$A$6:$A$105,0))</x:f>
        <x:v>UNH</x:v>
      </x:c>
      <x:c r="G890" s="75" t="str">
        <x:f>INDEX('Company Universe'!$F$6:$F$105,MATCH(D890,'Company Universe'!$A$6:$A$105,0))</x:f>
        <x:v>Healthcare &amp; Biopharma</x:v>
      </x:c>
      <x:c r="H890" s="57" t="n">
        <x:v>5</x:v>
      </x:c>
      <x:c r="I890" s="206" t="n"/>
      <x:c r="J890" s="71" t="n"/>
      <x:c r="K890" s="71" t="n"/>
      <x:c r="L890" s="71" t="inlineStr">
        <x:is>
          <x:t xml:space="preserve">NO</x:t>
        </x:is>
      </x:c>
      <x:c r="M890" s="71" t="n"/>
      <x:c r="N890" s="71" t="n"/>
      <x:c r="O890" s="71" t="n"/>
      <x:c r="P890" s="71" t="n"/>
      <x:c r="Q890" s="71" t="n"/>
      <x:c r="R890" s="71" t="n"/>
      <x:c r="S890" s="206" t="n"/>
      <x:c r="T890" s="71" t="n"/>
      <x:c r="U890" s="71" t="n"/>
      <x:c r="V890" s="71" t="n"/>
      <x:c r="W890" s="71" t="n"/>
      <x:c r="X890" s="71" t="n"/>
      <x:c r="Y890" s="71" t="n"/>
      <x:c r="Z890" s="71" t="n"/>
      <x:c r="AA890" s="71" t="n"/>
      <x:c r="AB890" s="71" t="inlineStr">
        <x:is>
          <x:t xml:space="preserve">NO</x:t>
        </x:is>
      </x:c>
      <x:c r="AC890" s="57" t="inlineStr">
        <x:is>
          <x:t xml:space="preserve">V10</x:t>
        </x:is>
      </x:c>
      <x:c r="AD890" s="57" t="n"/>
      <x:c r="AE890" s="79" t="str">
        <x:f>IF(AND(I890&lt;&gt;"",J890&lt;&gt;"",K890&lt;&gt;"",L890="YES",M890&lt;&gt;"",S890&lt;&gt;"",T890&lt;&gt;"",U890&lt;&gt;"",V890&lt;&gt;"",W890&lt;&gt;"",X890&lt;&gt;"",Y890&lt;&gt;""),"COMPLETE","PENDING")</x:f>
        <x:v>PENDING</x:v>
      </x:c>
      <x:c r="AF890" s="79" t="str">
        <x:f>IF(AE890="COMPLETE","YES","NO")</x:f>
        <x:v>NO</x:v>
      </x:c>
      <x:c r="AG890" s="214" t="str">
        <x:f>IF(AF890&lt;&gt;"YES","",(IF(V890="YES",1,0)+IF(W890="YES",1,0))/2)</x:f>
      </x:c>
    </x:row>
    <x:row r="891">
      <x:c r="A891" s="57" t="inlineStr">
        <x:is>
          <x:t xml:space="preserve">C0886</x:t>
        </x:is>
      </x:c>
      <x:c r="B891" s="57" t="inlineStr">
        <x:is>
          <x:t xml:space="preserve">Holdout</x:t>
        </x:is>
      </x:c>
      <x:c r="C891" s="57" t="inlineStr">
        <x:is>
          <x:t xml:space="preserve">LOCKED</x:t>
        </x:is>
      </x:c>
      <x:c r="D891" s="57" t="inlineStr">
        <x:is>
          <x:t xml:space="preserve">ARG-089</x:t>
        </x:is>
      </x:c>
      <x:c r="E891" s="75" t="str">
        <x:f>INDEX('Company Universe'!$B$6:$B$105,MATCH(D891,'Company Universe'!$A$6:$A$105,0))</x:f>
        <x:v>UnitedHealth Group</x:v>
      </x:c>
      <x:c r="F891" s="75" t="str">
        <x:f>INDEX('Company Universe'!$C$6:$C$105,MATCH(D891,'Company Universe'!$A$6:$A$105,0))</x:f>
        <x:v>UNH</x:v>
      </x:c>
      <x:c r="G891" s="75" t="str">
        <x:f>INDEX('Company Universe'!$F$6:$F$105,MATCH(D891,'Company Universe'!$A$6:$A$105,0))</x:f>
        <x:v>Healthcare &amp; Biopharma</x:v>
      </x:c>
      <x:c r="H891" s="57" t="n">
        <x:v>6</x:v>
      </x:c>
      <x:c r="I891" s="206" t="n"/>
      <x:c r="J891" s="71" t="n"/>
      <x:c r="K891" s="71" t="n"/>
      <x:c r="L891" s="71" t="inlineStr">
        <x:is>
          <x:t xml:space="preserve">NO</x:t>
        </x:is>
      </x:c>
      <x:c r="M891" s="71" t="n"/>
      <x:c r="N891" s="71" t="n"/>
      <x:c r="O891" s="71" t="n"/>
      <x:c r="P891" s="71" t="n"/>
      <x:c r="Q891" s="71" t="n"/>
      <x:c r="R891" s="71" t="n"/>
      <x:c r="S891" s="206" t="n"/>
      <x:c r="T891" s="71" t="n"/>
      <x:c r="U891" s="71" t="n"/>
      <x:c r="V891" s="71" t="n"/>
      <x:c r="W891" s="71" t="n"/>
      <x:c r="X891" s="71" t="n"/>
      <x:c r="Y891" s="71" t="n"/>
      <x:c r="Z891" s="71" t="n"/>
      <x:c r="AA891" s="71" t="n"/>
      <x:c r="AB891" s="71" t="inlineStr">
        <x:is>
          <x:t xml:space="preserve">NO</x:t>
        </x:is>
      </x:c>
      <x:c r="AC891" s="57" t="inlineStr">
        <x:is>
          <x:t xml:space="preserve">V10</x:t>
        </x:is>
      </x:c>
      <x:c r="AD891" s="57" t="n"/>
      <x:c r="AE891" s="79" t="str">
        <x:f>IF(AND(I891&lt;&gt;"",J891&lt;&gt;"",K891&lt;&gt;"",L891="YES",M891&lt;&gt;"",S891&lt;&gt;"",T891&lt;&gt;"",U891&lt;&gt;"",V891&lt;&gt;"",W891&lt;&gt;"",X891&lt;&gt;"",Y891&lt;&gt;""),"COMPLETE","PENDING")</x:f>
        <x:v>PENDING</x:v>
      </x:c>
      <x:c r="AF891" s="79" t="str">
        <x:f>IF(AE891="COMPLETE","YES","NO")</x:f>
        <x:v>NO</x:v>
      </x:c>
      <x:c r="AG891" s="214" t="str">
        <x:f>IF(AF891&lt;&gt;"YES","",(IF(V891="YES",1,0)+IF(W891="YES",1,0))/2)</x:f>
      </x:c>
    </x:row>
    <x:row r="892">
      <x:c r="A892" s="57" t="inlineStr">
        <x:is>
          <x:t xml:space="preserve">C0887</x:t>
        </x:is>
      </x:c>
      <x:c r="B892" s="57" t="inlineStr">
        <x:is>
          <x:t xml:space="preserve">Holdout</x:t>
        </x:is>
      </x:c>
      <x:c r="C892" s="57" t="inlineStr">
        <x:is>
          <x:t xml:space="preserve">LOCKED</x:t>
        </x:is>
      </x:c>
      <x:c r="D892" s="57" t="inlineStr">
        <x:is>
          <x:t xml:space="preserve">ARG-089</x:t>
        </x:is>
      </x:c>
      <x:c r="E892" s="75" t="str">
        <x:f>INDEX('Company Universe'!$B$6:$B$105,MATCH(D892,'Company Universe'!$A$6:$A$105,0))</x:f>
        <x:v>UnitedHealth Group</x:v>
      </x:c>
      <x:c r="F892" s="75" t="str">
        <x:f>INDEX('Company Universe'!$C$6:$C$105,MATCH(D892,'Company Universe'!$A$6:$A$105,0))</x:f>
        <x:v>UNH</x:v>
      </x:c>
      <x:c r="G892" s="75" t="str">
        <x:f>INDEX('Company Universe'!$F$6:$F$105,MATCH(D892,'Company Universe'!$A$6:$A$105,0))</x:f>
        <x:v>Healthcare &amp; Biopharma</x:v>
      </x:c>
      <x:c r="H892" s="57" t="n">
        <x:v>7</x:v>
      </x:c>
      <x:c r="I892" s="206" t="n"/>
      <x:c r="J892" s="71" t="n"/>
      <x:c r="K892" s="71" t="n"/>
      <x:c r="L892" s="71" t="inlineStr">
        <x:is>
          <x:t xml:space="preserve">NO</x:t>
        </x:is>
      </x:c>
      <x:c r="M892" s="71" t="n"/>
      <x:c r="N892" s="71" t="n"/>
      <x:c r="O892" s="71" t="n"/>
      <x:c r="P892" s="71" t="n"/>
      <x:c r="Q892" s="71" t="n"/>
      <x:c r="R892" s="71" t="n"/>
      <x:c r="S892" s="206" t="n"/>
      <x:c r="T892" s="71" t="n"/>
      <x:c r="U892" s="71" t="n"/>
      <x:c r="V892" s="71" t="n"/>
      <x:c r="W892" s="71" t="n"/>
      <x:c r="X892" s="71" t="n"/>
      <x:c r="Y892" s="71" t="n"/>
      <x:c r="Z892" s="71" t="n"/>
      <x:c r="AA892" s="71" t="n"/>
      <x:c r="AB892" s="71" t="inlineStr">
        <x:is>
          <x:t xml:space="preserve">NO</x:t>
        </x:is>
      </x:c>
      <x:c r="AC892" s="57" t="inlineStr">
        <x:is>
          <x:t xml:space="preserve">V10</x:t>
        </x:is>
      </x:c>
      <x:c r="AD892" s="57" t="n"/>
      <x:c r="AE892" s="79" t="str">
        <x:f>IF(AND(I892&lt;&gt;"",J892&lt;&gt;"",K892&lt;&gt;"",L892="YES",M892&lt;&gt;"",S892&lt;&gt;"",T892&lt;&gt;"",U892&lt;&gt;"",V892&lt;&gt;"",W892&lt;&gt;"",X892&lt;&gt;"",Y892&lt;&gt;""),"COMPLETE","PENDING")</x:f>
        <x:v>PENDING</x:v>
      </x:c>
      <x:c r="AF892" s="79" t="str">
        <x:f>IF(AE892="COMPLETE","YES","NO")</x:f>
        <x:v>NO</x:v>
      </x:c>
      <x:c r="AG892" s="214" t="str">
        <x:f>IF(AF892&lt;&gt;"YES","",(IF(V892="YES",1,0)+IF(W892="YES",1,0))/2)</x:f>
      </x:c>
    </x:row>
    <x:row r="893">
      <x:c r="A893" s="57" t="inlineStr">
        <x:is>
          <x:t xml:space="preserve">C0888</x:t>
        </x:is>
      </x:c>
      <x:c r="B893" s="57" t="inlineStr">
        <x:is>
          <x:t xml:space="preserve">Holdout</x:t>
        </x:is>
      </x:c>
      <x:c r="C893" s="57" t="inlineStr">
        <x:is>
          <x:t xml:space="preserve">LOCKED</x:t>
        </x:is>
      </x:c>
      <x:c r="D893" s="57" t="inlineStr">
        <x:is>
          <x:t xml:space="preserve">ARG-089</x:t>
        </x:is>
      </x:c>
      <x:c r="E893" s="75" t="str">
        <x:f>INDEX('Company Universe'!$B$6:$B$105,MATCH(D893,'Company Universe'!$A$6:$A$105,0))</x:f>
        <x:v>UnitedHealth Group</x:v>
      </x:c>
      <x:c r="F893" s="75" t="str">
        <x:f>INDEX('Company Universe'!$C$6:$C$105,MATCH(D893,'Company Universe'!$A$6:$A$105,0))</x:f>
        <x:v>UNH</x:v>
      </x:c>
      <x:c r="G893" s="75" t="str">
        <x:f>INDEX('Company Universe'!$F$6:$F$105,MATCH(D893,'Company Universe'!$A$6:$A$105,0))</x:f>
        <x:v>Healthcare &amp; Biopharma</x:v>
      </x:c>
      <x:c r="H893" s="57" t="n">
        <x:v>8</x:v>
      </x:c>
      <x:c r="I893" s="206" t="n"/>
      <x:c r="J893" s="71" t="n"/>
      <x:c r="K893" s="71" t="n"/>
      <x:c r="L893" s="71" t="inlineStr">
        <x:is>
          <x:t xml:space="preserve">NO</x:t>
        </x:is>
      </x:c>
      <x:c r="M893" s="71" t="n"/>
      <x:c r="N893" s="71" t="n"/>
      <x:c r="O893" s="71" t="n"/>
      <x:c r="P893" s="71" t="n"/>
      <x:c r="Q893" s="71" t="n"/>
      <x:c r="R893" s="71" t="n"/>
      <x:c r="S893" s="206" t="n"/>
      <x:c r="T893" s="71" t="n"/>
      <x:c r="U893" s="71" t="n"/>
      <x:c r="V893" s="71" t="n"/>
      <x:c r="W893" s="71" t="n"/>
      <x:c r="X893" s="71" t="n"/>
      <x:c r="Y893" s="71" t="n"/>
      <x:c r="Z893" s="71" t="n"/>
      <x:c r="AA893" s="71" t="n"/>
      <x:c r="AB893" s="71" t="inlineStr">
        <x:is>
          <x:t xml:space="preserve">NO</x:t>
        </x:is>
      </x:c>
      <x:c r="AC893" s="57" t="inlineStr">
        <x:is>
          <x:t xml:space="preserve">V10</x:t>
        </x:is>
      </x:c>
      <x:c r="AD893" s="57" t="n"/>
      <x:c r="AE893" s="79" t="str">
        <x:f>IF(AND(I893&lt;&gt;"",J893&lt;&gt;"",K893&lt;&gt;"",L893="YES",M893&lt;&gt;"",S893&lt;&gt;"",T893&lt;&gt;"",U893&lt;&gt;"",V893&lt;&gt;"",W893&lt;&gt;"",X893&lt;&gt;"",Y893&lt;&gt;""),"COMPLETE","PENDING")</x:f>
        <x:v>PENDING</x:v>
      </x:c>
      <x:c r="AF893" s="79" t="str">
        <x:f>IF(AE893="COMPLETE","YES","NO")</x:f>
        <x:v>NO</x:v>
      </x:c>
      <x:c r="AG893" s="214" t="str">
        <x:f>IF(AF893&lt;&gt;"YES","",(IF(V893="YES",1,0)+IF(W893="YES",1,0))/2)</x:f>
      </x:c>
    </x:row>
    <x:row r="894">
      <x:c r="A894" s="57" t="inlineStr">
        <x:is>
          <x:t xml:space="preserve">C0889</x:t>
        </x:is>
      </x:c>
      <x:c r="B894" s="57" t="inlineStr">
        <x:is>
          <x:t xml:space="preserve">Holdout</x:t>
        </x:is>
      </x:c>
      <x:c r="C894" s="57" t="inlineStr">
        <x:is>
          <x:t xml:space="preserve">LOCKED</x:t>
        </x:is>
      </x:c>
      <x:c r="D894" s="57" t="inlineStr">
        <x:is>
          <x:t xml:space="preserve">ARG-089</x:t>
        </x:is>
      </x:c>
      <x:c r="E894" s="75" t="str">
        <x:f>INDEX('Company Universe'!$B$6:$B$105,MATCH(D894,'Company Universe'!$A$6:$A$105,0))</x:f>
        <x:v>UnitedHealth Group</x:v>
      </x:c>
      <x:c r="F894" s="75" t="str">
        <x:f>INDEX('Company Universe'!$C$6:$C$105,MATCH(D894,'Company Universe'!$A$6:$A$105,0))</x:f>
        <x:v>UNH</x:v>
      </x:c>
      <x:c r="G894" s="75" t="str">
        <x:f>INDEX('Company Universe'!$F$6:$F$105,MATCH(D894,'Company Universe'!$A$6:$A$105,0))</x:f>
        <x:v>Healthcare &amp; Biopharma</x:v>
      </x:c>
      <x:c r="H894" s="57" t="n">
        <x:v>9</x:v>
      </x:c>
      <x:c r="I894" s="206" t="n"/>
      <x:c r="J894" s="71" t="n"/>
      <x:c r="K894" s="71" t="n"/>
      <x:c r="L894" s="71" t="inlineStr">
        <x:is>
          <x:t xml:space="preserve">NO</x:t>
        </x:is>
      </x:c>
      <x:c r="M894" s="71" t="n"/>
      <x:c r="N894" s="71" t="n"/>
      <x:c r="O894" s="71" t="n"/>
      <x:c r="P894" s="71" t="n"/>
      <x:c r="Q894" s="71" t="n"/>
      <x:c r="R894" s="71" t="n"/>
      <x:c r="S894" s="206" t="n"/>
      <x:c r="T894" s="71" t="n"/>
      <x:c r="U894" s="71" t="n"/>
      <x:c r="V894" s="71" t="n"/>
      <x:c r="W894" s="71" t="n"/>
      <x:c r="X894" s="71" t="n"/>
      <x:c r="Y894" s="71" t="n"/>
      <x:c r="Z894" s="71" t="n"/>
      <x:c r="AA894" s="71" t="n"/>
      <x:c r="AB894" s="71" t="inlineStr">
        <x:is>
          <x:t xml:space="preserve">NO</x:t>
        </x:is>
      </x:c>
      <x:c r="AC894" s="57" t="inlineStr">
        <x:is>
          <x:t xml:space="preserve">V10</x:t>
        </x:is>
      </x:c>
      <x:c r="AD894" s="57" t="n"/>
      <x:c r="AE894" s="79" t="str">
        <x:f>IF(AND(I894&lt;&gt;"",J894&lt;&gt;"",K894&lt;&gt;"",L894="YES",M894&lt;&gt;"",S894&lt;&gt;"",T894&lt;&gt;"",U894&lt;&gt;"",V894&lt;&gt;"",W894&lt;&gt;"",X894&lt;&gt;"",Y894&lt;&gt;""),"COMPLETE","PENDING")</x:f>
        <x:v>PENDING</x:v>
      </x:c>
      <x:c r="AF894" s="79" t="str">
        <x:f>IF(AE894="COMPLETE","YES","NO")</x:f>
        <x:v>NO</x:v>
      </x:c>
      <x:c r="AG894" s="214" t="str">
        <x:f>IF(AF894&lt;&gt;"YES","",(IF(V894="YES",1,0)+IF(W894="YES",1,0))/2)</x:f>
      </x:c>
    </x:row>
    <x:row r="895">
      <x:c r="A895" s="57" t="inlineStr">
        <x:is>
          <x:t xml:space="preserve">C0890</x:t>
        </x:is>
      </x:c>
      <x:c r="B895" s="57" t="inlineStr">
        <x:is>
          <x:t xml:space="preserve">Holdout</x:t>
        </x:is>
      </x:c>
      <x:c r="C895" s="57" t="inlineStr">
        <x:is>
          <x:t xml:space="preserve">LOCKED</x:t>
        </x:is>
      </x:c>
      <x:c r="D895" s="57" t="inlineStr">
        <x:is>
          <x:t xml:space="preserve">ARG-089</x:t>
        </x:is>
      </x:c>
      <x:c r="E895" s="75" t="str">
        <x:f>INDEX('Company Universe'!$B$6:$B$105,MATCH(D895,'Company Universe'!$A$6:$A$105,0))</x:f>
        <x:v>UnitedHealth Group</x:v>
      </x:c>
      <x:c r="F895" s="75" t="str">
        <x:f>INDEX('Company Universe'!$C$6:$C$105,MATCH(D895,'Company Universe'!$A$6:$A$105,0))</x:f>
        <x:v>UNH</x:v>
      </x:c>
      <x:c r="G895" s="75" t="str">
        <x:f>INDEX('Company Universe'!$F$6:$F$105,MATCH(D895,'Company Universe'!$A$6:$A$105,0))</x:f>
        <x:v>Healthcare &amp; Biopharma</x:v>
      </x:c>
      <x:c r="H895" s="57" t="n">
        <x:v>10</x:v>
      </x:c>
      <x:c r="I895" s="206" t="n"/>
      <x:c r="J895" s="71" t="n"/>
      <x:c r="K895" s="71" t="n"/>
      <x:c r="L895" s="71" t="inlineStr">
        <x:is>
          <x:t xml:space="preserve">NO</x:t>
        </x:is>
      </x:c>
      <x:c r="M895" s="71" t="n"/>
      <x:c r="N895" s="71" t="n"/>
      <x:c r="O895" s="71" t="n"/>
      <x:c r="P895" s="71" t="n"/>
      <x:c r="Q895" s="71" t="n"/>
      <x:c r="R895" s="71" t="n"/>
      <x:c r="S895" s="206" t="n"/>
      <x:c r="T895" s="71" t="n"/>
      <x:c r="U895" s="71" t="n"/>
      <x:c r="V895" s="71" t="n"/>
      <x:c r="W895" s="71" t="n"/>
      <x:c r="X895" s="71" t="n"/>
      <x:c r="Y895" s="71" t="n"/>
      <x:c r="Z895" s="71" t="n"/>
      <x:c r="AA895" s="71" t="n"/>
      <x:c r="AB895" s="71" t="inlineStr">
        <x:is>
          <x:t xml:space="preserve">NO</x:t>
        </x:is>
      </x:c>
      <x:c r="AC895" s="57" t="inlineStr">
        <x:is>
          <x:t xml:space="preserve">V10</x:t>
        </x:is>
      </x:c>
      <x:c r="AD895" s="57" t="n"/>
      <x:c r="AE895" s="79" t="str">
        <x:f>IF(AND(I895&lt;&gt;"",J895&lt;&gt;"",K895&lt;&gt;"",L895="YES",M895&lt;&gt;"",S895&lt;&gt;"",T895&lt;&gt;"",U895&lt;&gt;"",V895&lt;&gt;"",W895&lt;&gt;"",X895&lt;&gt;"",Y895&lt;&gt;""),"COMPLETE","PENDING")</x:f>
        <x:v>PENDING</x:v>
      </x:c>
      <x:c r="AF895" s="79" t="str">
        <x:f>IF(AE895="COMPLETE","YES","NO")</x:f>
        <x:v>NO</x:v>
      </x:c>
      <x:c r="AG895" s="214" t="str">
        <x:f>IF(AF895&lt;&gt;"YES","",(IF(V895="YES",1,0)+IF(W895="YES",1,0))/2)</x:f>
      </x:c>
    </x:row>
    <x:row r="896">
      <x:c r="A896" s="57" t="inlineStr">
        <x:is>
          <x:t xml:space="preserve">C0891</x:t>
        </x:is>
      </x:c>
      <x:c r="B896" s="57" t="inlineStr">
        <x:is>
          <x:t xml:space="preserve">Holdout</x:t>
        </x:is>
      </x:c>
      <x:c r="C896" s="57" t="inlineStr">
        <x:is>
          <x:t xml:space="preserve">LOCKED</x:t>
        </x:is>
      </x:c>
      <x:c r="D896" s="57" t="inlineStr">
        <x:is>
          <x:t xml:space="preserve">ARG-090</x:t>
        </x:is>
      </x:c>
      <x:c r="E896" s="75" t="str">
        <x:f>INDEX('Company Universe'!$B$6:$B$105,MATCH(D896,'Company Universe'!$A$6:$A$105,0))</x:f>
        <x:v>PepsiCo</x:v>
      </x:c>
      <x:c r="F896" s="75" t="str">
        <x:f>INDEX('Company Universe'!$C$6:$C$105,MATCH(D896,'Company Universe'!$A$6:$A$105,0))</x:f>
        <x:v>PEP</x:v>
      </x:c>
      <x:c r="G896" s="75" t="str">
        <x:f>INDEX('Company Universe'!$F$6:$F$105,MATCH(D896,'Company Universe'!$A$6:$A$105,0))</x:f>
        <x:v>Consumer</x:v>
      </x:c>
      <x:c r="H896" s="57" t="n">
        <x:v>1</x:v>
      </x:c>
      <x:c r="I896" s="206" t="n"/>
      <x:c r="J896" s="71" t="n"/>
      <x:c r="K896" s="71" t="n"/>
      <x:c r="L896" s="71" t="inlineStr">
        <x:is>
          <x:t xml:space="preserve">NO</x:t>
        </x:is>
      </x:c>
      <x:c r="M896" s="71" t="n"/>
      <x:c r="N896" s="71" t="n"/>
      <x:c r="O896" s="71" t="n"/>
      <x:c r="P896" s="71" t="n"/>
      <x:c r="Q896" s="71" t="n"/>
      <x:c r="R896" s="71" t="n"/>
      <x:c r="S896" s="206" t="n"/>
      <x:c r="T896" s="71" t="n"/>
      <x:c r="U896" s="71" t="n"/>
      <x:c r="V896" s="71" t="n"/>
      <x:c r="W896" s="71" t="n"/>
      <x:c r="X896" s="71" t="n"/>
      <x:c r="Y896" s="71" t="n"/>
      <x:c r="Z896" s="71" t="n"/>
      <x:c r="AA896" s="71" t="n"/>
      <x:c r="AB896" s="71" t="inlineStr">
        <x:is>
          <x:t xml:space="preserve">NO</x:t>
        </x:is>
      </x:c>
      <x:c r="AC896" s="57" t="inlineStr">
        <x:is>
          <x:t xml:space="preserve">V10</x:t>
        </x:is>
      </x:c>
      <x:c r="AD896" s="57" t="n"/>
      <x:c r="AE896" s="79" t="str">
        <x:f>IF(AND(I896&lt;&gt;"",J896&lt;&gt;"",K896&lt;&gt;"",L896="YES",M896&lt;&gt;"",S896&lt;&gt;"",T896&lt;&gt;"",U896&lt;&gt;"",V896&lt;&gt;"",W896&lt;&gt;"",X896&lt;&gt;"",Y896&lt;&gt;""),"COMPLETE","PENDING")</x:f>
        <x:v>PENDING</x:v>
      </x:c>
      <x:c r="AF896" s="79" t="str">
        <x:f>IF(AE896="COMPLETE","YES","NO")</x:f>
        <x:v>NO</x:v>
      </x:c>
      <x:c r="AG896" s="214" t="str">
        <x:f>IF(AF896&lt;&gt;"YES","",(IF(V896="YES",1,0)+IF(W896="YES",1,0))/2)</x:f>
      </x:c>
    </x:row>
    <x:row r="897">
      <x:c r="A897" s="57" t="inlineStr">
        <x:is>
          <x:t xml:space="preserve">C0892</x:t>
        </x:is>
      </x:c>
      <x:c r="B897" s="57" t="inlineStr">
        <x:is>
          <x:t xml:space="preserve">Holdout</x:t>
        </x:is>
      </x:c>
      <x:c r="C897" s="57" t="inlineStr">
        <x:is>
          <x:t xml:space="preserve">LOCKED</x:t>
        </x:is>
      </x:c>
      <x:c r="D897" s="57" t="inlineStr">
        <x:is>
          <x:t xml:space="preserve">ARG-090</x:t>
        </x:is>
      </x:c>
      <x:c r="E897" s="75" t="str">
        <x:f>INDEX('Company Universe'!$B$6:$B$105,MATCH(D897,'Company Universe'!$A$6:$A$105,0))</x:f>
        <x:v>PepsiCo</x:v>
      </x:c>
      <x:c r="F897" s="75" t="str">
        <x:f>INDEX('Company Universe'!$C$6:$C$105,MATCH(D897,'Company Universe'!$A$6:$A$105,0))</x:f>
        <x:v>PEP</x:v>
      </x:c>
      <x:c r="G897" s="75" t="str">
        <x:f>INDEX('Company Universe'!$F$6:$F$105,MATCH(D897,'Company Universe'!$A$6:$A$105,0))</x:f>
        <x:v>Consumer</x:v>
      </x:c>
      <x:c r="H897" s="57" t="n">
        <x:v>2</x:v>
      </x:c>
      <x:c r="I897" s="206" t="n"/>
      <x:c r="J897" s="71" t="n"/>
      <x:c r="K897" s="71" t="n"/>
      <x:c r="L897" s="71" t="inlineStr">
        <x:is>
          <x:t xml:space="preserve">NO</x:t>
        </x:is>
      </x:c>
      <x:c r="M897" s="71" t="n"/>
      <x:c r="N897" s="71" t="n"/>
      <x:c r="O897" s="71" t="n"/>
      <x:c r="P897" s="71" t="n"/>
      <x:c r="Q897" s="71" t="n"/>
      <x:c r="R897" s="71" t="n"/>
      <x:c r="S897" s="206" t="n"/>
      <x:c r="T897" s="71" t="n"/>
      <x:c r="U897" s="71" t="n"/>
      <x:c r="V897" s="71" t="n"/>
      <x:c r="W897" s="71" t="n"/>
      <x:c r="X897" s="71" t="n"/>
      <x:c r="Y897" s="71" t="n"/>
      <x:c r="Z897" s="71" t="n"/>
      <x:c r="AA897" s="71" t="n"/>
      <x:c r="AB897" s="71" t="inlineStr">
        <x:is>
          <x:t xml:space="preserve">NO</x:t>
        </x:is>
      </x:c>
      <x:c r="AC897" s="57" t="inlineStr">
        <x:is>
          <x:t xml:space="preserve">V10</x:t>
        </x:is>
      </x:c>
      <x:c r="AD897" s="57" t="n"/>
      <x:c r="AE897" s="79" t="str">
        <x:f>IF(AND(I897&lt;&gt;"",J897&lt;&gt;"",K897&lt;&gt;"",L897="YES",M897&lt;&gt;"",S897&lt;&gt;"",T897&lt;&gt;"",U897&lt;&gt;"",V897&lt;&gt;"",W897&lt;&gt;"",X897&lt;&gt;"",Y897&lt;&gt;""),"COMPLETE","PENDING")</x:f>
        <x:v>PENDING</x:v>
      </x:c>
      <x:c r="AF897" s="79" t="str">
        <x:f>IF(AE897="COMPLETE","YES","NO")</x:f>
        <x:v>NO</x:v>
      </x:c>
      <x:c r="AG897" s="214" t="str">
        <x:f>IF(AF897&lt;&gt;"YES","",(IF(V897="YES",1,0)+IF(W897="YES",1,0))/2)</x:f>
      </x:c>
    </x:row>
    <x:row r="898">
      <x:c r="A898" s="57" t="inlineStr">
        <x:is>
          <x:t xml:space="preserve">C0893</x:t>
        </x:is>
      </x:c>
      <x:c r="B898" s="57" t="inlineStr">
        <x:is>
          <x:t xml:space="preserve">Holdout</x:t>
        </x:is>
      </x:c>
      <x:c r="C898" s="57" t="inlineStr">
        <x:is>
          <x:t xml:space="preserve">LOCKED</x:t>
        </x:is>
      </x:c>
      <x:c r="D898" s="57" t="inlineStr">
        <x:is>
          <x:t xml:space="preserve">ARG-090</x:t>
        </x:is>
      </x:c>
      <x:c r="E898" s="75" t="str">
        <x:f>INDEX('Company Universe'!$B$6:$B$105,MATCH(D898,'Company Universe'!$A$6:$A$105,0))</x:f>
        <x:v>PepsiCo</x:v>
      </x:c>
      <x:c r="F898" s="75" t="str">
        <x:f>INDEX('Company Universe'!$C$6:$C$105,MATCH(D898,'Company Universe'!$A$6:$A$105,0))</x:f>
        <x:v>PEP</x:v>
      </x:c>
      <x:c r="G898" s="75" t="str">
        <x:f>INDEX('Company Universe'!$F$6:$F$105,MATCH(D898,'Company Universe'!$A$6:$A$105,0))</x:f>
        <x:v>Consumer</x:v>
      </x:c>
      <x:c r="H898" s="57" t="n">
        <x:v>3</x:v>
      </x:c>
      <x:c r="I898" s="206" t="n"/>
      <x:c r="J898" s="71" t="n"/>
      <x:c r="K898" s="71" t="n"/>
      <x:c r="L898" s="71" t="inlineStr">
        <x:is>
          <x:t xml:space="preserve">NO</x:t>
        </x:is>
      </x:c>
      <x:c r="M898" s="71" t="n"/>
      <x:c r="N898" s="71" t="n"/>
      <x:c r="O898" s="71" t="n"/>
      <x:c r="P898" s="71" t="n"/>
      <x:c r="Q898" s="71" t="n"/>
      <x:c r="R898" s="71" t="n"/>
      <x:c r="S898" s="206" t="n"/>
      <x:c r="T898" s="71" t="n"/>
      <x:c r="U898" s="71" t="n"/>
      <x:c r="V898" s="71" t="n"/>
      <x:c r="W898" s="71" t="n"/>
      <x:c r="X898" s="71" t="n"/>
      <x:c r="Y898" s="71" t="n"/>
      <x:c r="Z898" s="71" t="n"/>
      <x:c r="AA898" s="71" t="n"/>
      <x:c r="AB898" s="71" t="inlineStr">
        <x:is>
          <x:t xml:space="preserve">NO</x:t>
        </x:is>
      </x:c>
      <x:c r="AC898" s="57" t="inlineStr">
        <x:is>
          <x:t xml:space="preserve">V10</x:t>
        </x:is>
      </x:c>
      <x:c r="AD898" s="57" t="n"/>
      <x:c r="AE898" s="79" t="str">
        <x:f>IF(AND(I898&lt;&gt;"",J898&lt;&gt;"",K898&lt;&gt;"",L898="YES",M898&lt;&gt;"",S898&lt;&gt;"",T898&lt;&gt;"",U898&lt;&gt;"",V898&lt;&gt;"",W898&lt;&gt;"",X898&lt;&gt;"",Y898&lt;&gt;""),"COMPLETE","PENDING")</x:f>
        <x:v>PENDING</x:v>
      </x:c>
      <x:c r="AF898" s="79" t="str">
        <x:f>IF(AE898="COMPLETE","YES","NO")</x:f>
        <x:v>NO</x:v>
      </x:c>
      <x:c r="AG898" s="214" t="str">
        <x:f>IF(AF898&lt;&gt;"YES","",(IF(V898="YES",1,0)+IF(W898="YES",1,0))/2)</x:f>
      </x:c>
    </x:row>
    <x:row r="899">
      <x:c r="A899" s="57" t="inlineStr">
        <x:is>
          <x:t xml:space="preserve">C0894</x:t>
        </x:is>
      </x:c>
      <x:c r="B899" s="57" t="inlineStr">
        <x:is>
          <x:t xml:space="preserve">Holdout</x:t>
        </x:is>
      </x:c>
      <x:c r="C899" s="57" t="inlineStr">
        <x:is>
          <x:t xml:space="preserve">LOCKED</x:t>
        </x:is>
      </x:c>
      <x:c r="D899" s="57" t="inlineStr">
        <x:is>
          <x:t xml:space="preserve">ARG-090</x:t>
        </x:is>
      </x:c>
      <x:c r="E899" s="75" t="str">
        <x:f>INDEX('Company Universe'!$B$6:$B$105,MATCH(D899,'Company Universe'!$A$6:$A$105,0))</x:f>
        <x:v>PepsiCo</x:v>
      </x:c>
      <x:c r="F899" s="75" t="str">
        <x:f>INDEX('Company Universe'!$C$6:$C$105,MATCH(D899,'Company Universe'!$A$6:$A$105,0))</x:f>
        <x:v>PEP</x:v>
      </x:c>
      <x:c r="G899" s="75" t="str">
        <x:f>INDEX('Company Universe'!$F$6:$F$105,MATCH(D899,'Company Universe'!$A$6:$A$105,0))</x:f>
        <x:v>Consumer</x:v>
      </x:c>
      <x:c r="H899" s="57" t="n">
        <x:v>4</x:v>
      </x:c>
      <x:c r="I899" s="206" t="n"/>
      <x:c r="J899" s="71" t="n"/>
      <x:c r="K899" s="71" t="n"/>
      <x:c r="L899" s="71" t="inlineStr">
        <x:is>
          <x:t xml:space="preserve">NO</x:t>
        </x:is>
      </x:c>
      <x:c r="M899" s="71" t="n"/>
      <x:c r="N899" s="71" t="n"/>
      <x:c r="O899" s="71" t="n"/>
      <x:c r="P899" s="71" t="n"/>
      <x:c r="Q899" s="71" t="n"/>
      <x:c r="R899" s="71" t="n"/>
      <x:c r="S899" s="206" t="n"/>
      <x:c r="T899" s="71" t="n"/>
      <x:c r="U899" s="71" t="n"/>
      <x:c r="V899" s="71" t="n"/>
      <x:c r="W899" s="71" t="n"/>
      <x:c r="X899" s="71" t="n"/>
      <x:c r="Y899" s="71" t="n"/>
      <x:c r="Z899" s="71" t="n"/>
      <x:c r="AA899" s="71" t="n"/>
      <x:c r="AB899" s="71" t="inlineStr">
        <x:is>
          <x:t xml:space="preserve">NO</x:t>
        </x:is>
      </x:c>
      <x:c r="AC899" s="57" t="inlineStr">
        <x:is>
          <x:t xml:space="preserve">V10</x:t>
        </x:is>
      </x:c>
      <x:c r="AD899" s="57" t="n"/>
      <x:c r="AE899" s="79" t="str">
        <x:f>IF(AND(I899&lt;&gt;"",J899&lt;&gt;"",K899&lt;&gt;"",L899="YES",M899&lt;&gt;"",S899&lt;&gt;"",T899&lt;&gt;"",U899&lt;&gt;"",V899&lt;&gt;"",W899&lt;&gt;"",X899&lt;&gt;"",Y899&lt;&gt;""),"COMPLETE","PENDING")</x:f>
        <x:v>PENDING</x:v>
      </x:c>
      <x:c r="AF899" s="79" t="str">
        <x:f>IF(AE899="COMPLETE","YES","NO")</x:f>
        <x:v>NO</x:v>
      </x:c>
      <x:c r="AG899" s="214" t="str">
        <x:f>IF(AF899&lt;&gt;"YES","",(IF(V899="YES",1,0)+IF(W899="YES",1,0))/2)</x:f>
      </x:c>
    </x:row>
    <x:row r="900">
      <x:c r="A900" s="57" t="inlineStr">
        <x:is>
          <x:t xml:space="preserve">C0895</x:t>
        </x:is>
      </x:c>
      <x:c r="B900" s="57" t="inlineStr">
        <x:is>
          <x:t xml:space="preserve">Holdout</x:t>
        </x:is>
      </x:c>
      <x:c r="C900" s="57" t="inlineStr">
        <x:is>
          <x:t xml:space="preserve">LOCKED</x:t>
        </x:is>
      </x:c>
      <x:c r="D900" s="57" t="inlineStr">
        <x:is>
          <x:t xml:space="preserve">ARG-090</x:t>
        </x:is>
      </x:c>
      <x:c r="E900" s="75" t="str">
        <x:f>INDEX('Company Universe'!$B$6:$B$105,MATCH(D900,'Company Universe'!$A$6:$A$105,0))</x:f>
        <x:v>PepsiCo</x:v>
      </x:c>
      <x:c r="F900" s="75" t="str">
        <x:f>INDEX('Company Universe'!$C$6:$C$105,MATCH(D900,'Company Universe'!$A$6:$A$105,0))</x:f>
        <x:v>PEP</x:v>
      </x:c>
      <x:c r="G900" s="75" t="str">
        <x:f>INDEX('Company Universe'!$F$6:$F$105,MATCH(D900,'Company Universe'!$A$6:$A$105,0))</x:f>
        <x:v>Consumer</x:v>
      </x:c>
      <x:c r="H900" s="57" t="n">
        <x:v>5</x:v>
      </x:c>
      <x:c r="I900" s="206" t="n"/>
      <x:c r="J900" s="71" t="n"/>
      <x:c r="K900" s="71" t="n"/>
      <x:c r="L900" s="71" t="inlineStr">
        <x:is>
          <x:t xml:space="preserve">NO</x:t>
        </x:is>
      </x:c>
      <x:c r="M900" s="71" t="n"/>
      <x:c r="N900" s="71" t="n"/>
      <x:c r="O900" s="71" t="n"/>
      <x:c r="P900" s="71" t="n"/>
      <x:c r="Q900" s="71" t="n"/>
      <x:c r="R900" s="71" t="n"/>
      <x:c r="S900" s="206" t="n"/>
      <x:c r="T900" s="71" t="n"/>
      <x:c r="U900" s="71" t="n"/>
      <x:c r="V900" s="71" t="n"/>
      <x:c r="W900" s="71" t="n"/>
      <x:c r="X900" s="71" t="n"/>
      <x:c r="Y900" s="71" t="n"/>
      <x:c r="Z900" s="71" t="n"/>
      <x:c r="AA900" s="71" t="n"/>
      <x:c r="AB900" s="71" t="inlineStr">
        <x:is>
          <x:t xml:space="preserve">NO</x:t>
        </x:is>
      </x:c>
      <x:c r="AC900" s="57" t="inlineStr">
        <x:is>
          <x:t xml:space="preserve">V10</x:t>
        </x:is>
      </x:c>
      <x:c r="AD900" s="57" t="n"/>
      <x:c r="AE900" s="79" t="str">
        <x:f>IF(AND(I900&lt;&gt;"",J900&lt;&gt;"",K900&lt;&gt;"",L900="YES",M900&lt;&gt;"",S900&lt;&gt;"",T900&lt;&gt;"",U900&lt;&gt;"",V900&lt;&gt;"",W900&lt;&gt;"",X900&lt;&gt;"",Y900&lt;&gt;""),"COMPLETE","PENDING")</x:f>
        <x:v>PENDING</x:v>
      </x:c>
      <x:c r="AF900" s="79" t="str">
        <x:f>IF(AE900="COMPLETE","YES","NO")</x:f>
        <x:v>NO</x:v>
      </x:c>
      <x:c r="AG900" s="214" t="str">
        <x:f>IF(AF900&lt;&gt;"YES","",(IF(V900="YES",1,0)+IF(W900="YES",1,0))/2)</x:f>
      </x:c>
    </x:row>
    <x:row r="901">
      <x:c r="A901" s="57" t="inlineStr">
        <x:is>
          <x:t xml:space="preserve">C0896</x:t>
        </x:is>
      </x:c>
      <x:c r="B901" s="57" t="inlineStr">
        <x:is>
          <x:t xml:space="preserve">Holdout</x:t>
        </x:is>
      </x:c>
      <x:c r="C901" s="57" t="inlineStr">
        <x:is>
          <x:t xml:space="preserve">LOCKED</x:t>
        </x:is>
      </x:c>
      <x:c r="D901" s="57" t="inlineStr">
        <x:is>
          <x:t xml:space="preserve">ARG-090</x:t>
        </x:is>
      </x:c>
      <x:c r="E901" s="75" t="str">
        <x:f>INDEX('Company Universe'!$B$6:$B$105,MATCH(D901,'Company Universe'!$A$6:$A$105,0))</x:f>
        <x:v>PepsiCo</x:v>
      </x:c>
      <x:c r="F901" s="75" t="str">
        <x:f>INDEX('Company Universe'!$C$6:$C$105,MATCH(D901,'Company Universe'!$A$6:$A$105,0))</x:f>
        <x:v>PEP</x:v>
      </x:c>
      <x:c r="G901" s="75" t="str">
        <x:f>INDEX('Company Universe'!$F$6:$F$105,MATCH(D901,'Company Universe'!$A$6:$A$105,0))</x:f>
        <x:v>Consumer</x:v>
      </x:c>
      <x:c r="H901" s="57" t="n">
        <x:v>6</x:v>
      </x:c>
      <x:c r="I901" s="206" t="n"/>
      <x:c r="J901" s="71" t="n"/>
      <x:c r="K901" s="71" t="n"/>
      <x:c r="L901" s="71" t="inlineStr">
        <x:is>
          <x:t xml:space="preserve">NO</x:t>
        </x:is>
      </x:c>
      <x:c r="M901" s="71" t="n"/>
      <x:c r="N901" s="71" t="n"/>
      <x:c r="O901" s="71" t="n"/>
      <x:c r="P901" s="71" t="n"/>
      <x:c r="Q901" s="71" t="n"/>
      <x:c r="R901" s="71" t="n"/>
      <x:c r="S901" s="206" t="n"/>
      <x:c r="T901" s="71" t="n"/>
      <x:c r="U901" s="71" t="n"/>
      <x:c r="V901" s="71" t="n"/>
      <x:c r="W901" s="71" t="n"/>
      <x:c r="X901" s="71" t="n"/>
      <x:c r="Y901" s="71" t="n"/>
      <x:c r="Z901" s="71" t="n"/>
      <x:c r="AA901" s="71" t="n"/>
      <x:c r="AB901" s="71" t="inlineStr">
        <x:is>
          <x:t xml:space="preserve">NO</x:t>
        </x:is>
      </x:c>
      <x:c r="AC901" s="57" t="inlineStr">
        <x:is>
          <x:t xml:space="preserve">V10</x:t>
        </x:is>
      </x:c>
      <x:c r="AD901" s="57" t="n"/>
      <x:c r="AE901" s="79" t="str">
        <x:f>IF(AND(I901&lt;&gt;"",J901&lt;&gt;"",K901&lt;&gt;"",L901="YES",M901&lt;&gt;"",S901&lt;&gt;"",T901&lt;&gt;"",U901&lt;&gt;"",V901&lt;&gt;"",W901&lt;&gt;"",X901&lt;&gt;"",Y901&lt;&gt;""),"COMPLETE","PENDING")</x:f>
        <x:v>PENDING</x:v>
      </x:c>
      <x:c r="AF901" s="79" t="str">
        <x:f>IF(AE901="COMPLETE","YES","NO")</x:f>
        <x:v>NO</x:v>
      </x:c>
      <x:c r="AG901" s="214" t="str">
        <x:f>IF(AF901&lt;&gt;"YES","",(IF(V901="YES",1,0)+IF(W901="YES",1,0))/2)</x:f>
      </x:c>
    </x:row>
    <x:row r="902">
      <x:c r="A902" s="57" t="inlineStr">
        <x:is>
          <x:t xml:space="preserve">C0897</x:t>
        </x:is>
      </x:c>
      <x:c r="B902" s="57" t="inlineStr">
        <x:is>
          <x:t xml:space="preserve">Holdout</x:t>
        </x:is>
      </x:c>
      <x:c r="C902" s="57" t="inlineStr">
        <x:is>
          <x:t xml:space="preserve">LOCKED</x:t>
        </x:is>
      </x:c>
      <x:c r="D902" s="57" t="inlineStr">
        <x:is>
          <x:t xml:space="preserve">ARG-090</x:t>
        </x:is>
      </x:c>
      <x:c r="E902" s="75" t="str">
        <x:f>INDEX('Company Universe'!$B$6:$B$105,MATCH(D902,'Company Universe'!$A$6:$A$105,0))</x:f>
        <x:v>PepsiCo</x:v>
      </x:c>
      <x:c r="F902" s="75" t="str">
        <x:f>INDEX('Company Universe'!$C$6:$C$105,MATCH(D902,'Company Universe'!$A$6:$A$105,0))</x:f>
        <x:v>PEP</x:v>
      </x:c>
      <x:c r="G902" s="75" t="str">
        <x:f>INDEX('Company Universe'!$F$6:$F$105,MATCH(D902,'Company Universe'!$A$6:$A$105,0))</x:f>
        <x:v>Consumer</x:v>
      </x:c>
      <x:c r="H902" s="57" t="n">
        <x:v>7</x:v>
      </x:c>
      <x:c r="I902" s="206" t="n"/>
      <x:c r="J902" s="71" t="n"/>
      <x:c r="K902" s="71" t="n"/>
      <x:c r="L902" s="71" t="inlineStr">
        <x:is>
          <x:t xml:space="preserve">NO</x:t>
        </x:is>
      </x:c>
      <x:c r="M902" s="71" t="n"/>
      <x:c r="N902" s="71" t="n"/>
      <x:c r="O902" s="71" t="n"/>
      <x:c r="P902" s="71" t="n"/>
      <x:c r="Q902" s="71" t="n"/>
      <x:c r="R902" s="71" t="n"/>
      <x:c r="S902" s="206" t="n"/>
      <x:c r="T902" s="71" t="n"/>
      <x:c r="U902" s="71" t="n"/>
      <x:c r="V902" s="71" t="n"/>
      <x:c r="W902" s="71" t="n"/>
      <x:c r="X902" s="71" t="n"/>
      <x:c r="Y902" s="71" t="n"/>
      <x:c r="Z902" s="71" t="n"/>
      <x:c r="AA902" s="71" t="n"/>
      <x:c r="AB902" s="71" t="inlineStr">
        <x:is>
          <x:t xml:space="preserve">NO</x:t>
        </x:is>
      </x:c>
      <x:c r="AC902" s="57" t="inlineStr">
        <x:is>
          <x:t xml:space="preserve">V10</x:t>
        </x:is>
      </x:c>
      <x:c r="AD902" s="57" t="n"/>
      <x:c r="AE902" s="79" t="str">
        <x:f>IF(AND(I902&lt;&gt;"",J902&lt;&gt;"",K902&lt;&gt;"",L902="YES",M902&lt;&gt;"",S902&lt;&gt;"",T902&lt;&gt;"",U902&lt;&gt;"",V902&lt;&gt;"",W902&lt;&gt;"",X902&lt;&gt;"",Y902&lt;&gt;""),"COMPLETE","PENDING")</x:f>
        <x:v>PENDING</x:v>
      </x:c>
      <x:c r="AF902" s="79" t="str">
        <x:f>IF(AE902="COMPLETE","YES","NO")</x:f>
        <x:v>NO</x:v>
      </x:c>
      <x:c r="AG902" s="214" t="str">
        <x:f>IF(AF902&lt;&gt;"YES","",(IF(V902="YES",1,0)+IF(W902="YES",1,0))/2)</x:f>
      </x:c>
    </x:row>
    <x:row r="903">
      <x:c r="A903" s="57" t="inlineStr">
        <x:is>
          <x:t xml:space="preserve">C0898</x:t>
        </x:is>
      </x:c>
      <x:c r="B903" s="57" t="inlineStr">
        <x:is>
          <x:t xml:space="preserve">Holdout</x:t>
        </x:is>
      </x:c>
      <x:c r="C903" s="57" t="inlineStr">
        <x:is>
          <x:t xml:space="preserve">LOCKED</x:t>
        </x:is>
      </x:c>
      <x:c r="D903" s="57" t="inlineStr">
        <x:is>
          <x:t xml:space="preserve">ARG-090</x:t>
        </x:is>
      </x:c>
      <x:c r="E903" s="75" t="str">
        <x:f>INDEX('Company Universe'!$B$6:$B$105,MATCH(D903,'Company Universe'!$A$6:$A$105,0))</x:f>
        <x:v>PepsiCo</x:v>
      </x:c>
      <x:c r="F903" s="75" t="str">
        <x:f>INDEX('Company Universe'!$C$6:$C$105,MATCH(D903,'Company Universe'!$A$6:$A$105,0))</x:f>
        <x:v>PEP</x:v>
      </x:c>
      <x:c r="G903" s="75" t="str">
        <x:f>INDEX('Company Universe'!$F$6:$F$105,MATCH(D903,'Company Universe'!$A$6:$A$105,0))</x:f>
        <x:v>Consumer</x:v>
      </x:c>
      <x:c r="H903" s="57" t="n">
        <x:v>8</x:v>
      </x:c>
      <x:c r="I903" s="206" t="n"/>
      <x:c r="J903" s="71" t="n"/>
      <x:c r="K903" s="71" t="n"/>
      <x:c r="L903" s="71" t="inlineStr">
        <x:is>
          <x:t xml:space="preserve">NO</x:t>
        </x:is>
      </x:c>
      <x:c r="M903" s="71" t="n"/>
      <x:c r="N903" s="71" t="n"/>
      <x:c r="O903" s="71" t="n"/>
      <x:c r="P903" s="71" t="n"/>
      <x:c r="Q903" s="71" t="n"/>
      <x:c r="R903" s="71" t="n"/>
      <x:c r="S903" s="206" t="n"/>
      <x:c r="T903" s="71" t="n"/>
      <x:c r="U903" s="71" t="n"/>
      <x:c r="V903" s="71" t="n"/>
      <x:c r="W903" s="71" t="n"/>
      <x:c r="X903" s="71" t="n"/>
      <x:c r="Y903" s="71" t="n"/>
      <x:c r="Z903" s="71" t="n"/>
      <x:c r="AA903" s="71" t="n"/>
      <x:c r="AB903" s="71" t="inlineStr">
        <x:is>
          <x:t xml:space="preserve">NO</x:t>
        </x:is>
      </x:c>
      <x:c r="AC903" s="57" t="inlineStr">
        <x:is>
          <x:t xml:space="preserve">V10</x:t>
        </x:is>
      </x:c>
      <x:c r="AD903" s="57" t="n"/>
      <x:c r="AE903" s="79" t="str">
        <x:f>IF(AND(I903&lt;&gt;"",J903&lt;&gt;"",K903&lt;&gt;"",L903="YES",M903&lt;&gt;"",S903&lt;&gt;"",T903&lt;&gt;"",U903&lt;&gt;"",V903&lt;&gt;"",W903&lt;&gt;"",X903&lt;&gt;"",Y903&lt;&gt;""),"COMPLETE","PENDING")</x:f>
        <x:v>PENDING</x:v>
      </x:c>
      <x:c r="AF903" s="79" t="str">
        <x:f>IF(AE903="COMPLETE","YES","NO")</x:f>
        <x:v>NO</x:v>
      </x:c>
      <x:c r="AG903" s="214" t="str">
        <x:f>IF(AF903&lt;&gt;"YES","",(IF(V903="YES",1,0)+IF(W903="YES",1,0))/2)</x:f>
      </x:c>
    </x:row>
    <x:row r="904">
      <x:c r="A904" s="57" t="inlineStr">
        <x:is>
          <x:t xml:space="preserve">C0899</x:t>
        </x:is>
      </x:c>
      <x:c r="B904" s="57" t="inlineStr">
        <x:is>
          <x:t xml:space="preserve">Holdout</x:t>
        </x:is>
      </x:c>
      <x:c r="C904" s="57" t="inlineStr">
        <x:is>
          <x:t xml:space="preserve">LOCKED</x:t>
        </x:is>
      </x:c>
      <x:c r="D904" s="57" t="inlineStr">
        <x:is>
          <x:t xml:space="preserve">ARG-090</x:t>
        </x:is>
      </x:c>
      <x:c r="E904" s="75" t="str">
        <x:f>INDEX('Company Universe'!$B$6:$B$105,MATCH(D904,'Company Universe'!$A$6:$A$105,0))</x:f>
        <x:v>PepsiCo</x:v>
      </x:c>
      <x:c r="F904" s="75" t="str">
        <x:f>INDEX('Company Universe'!$C$6:$C$105,MATCH(D904,'Company Universe'!$A$6:$A$105,0))</x:f>
        <x:v>PEP</x:v>
      </x:c>
      <x:c r="G904" s="75" t="str">
        <x:f>INDEX('Company Universe'!$F$6:$F$105,MATCH(D904,'Company Universe'!$A$6:$A$105,0))</x:f>
        <x:v>Consumer</x:v>
      </x:c>
      <x:c r="H904" s="57" t="n">
        <x:v>9</x:v>
      </x:c>
      <x:c r="I904" s="206" t="n"/>
      <x:c r="J904" s="71" t="n"/>
      <x:c r="K904" s="71" t="n"/>
      <x:c r="L904" s="71" t="inlineStr">
        <x:is>
          <x:t xml:space="preserve">NO</x:t>
        </x:is>
      </x:c>
      <x:c r="M904" s="71" t="n"/>
      <x:c r="N904" s="71" t="n"/>
      <x:c r="O904" s="71" t="n"/>
      <x:c r="P904" s="71" t="n"/>
      <x:c r="Q904" s="71" t="n"/>
      <x:c r="R904" s="71" t="n"/>
      <x:c r="S904" s="206" t="n"/>
      <x:c r="T904" s="71" t="n"/>
      <x:c r="U904" s="71" t="n"/>
      <x:c r="V904" s="71" t="n"/>
      <x:c r="W904" s="71" t="n"/>
      <x:c r="X904" s="71" t="n"/>
      <x:c r="Y904" s="71" t="n"/>
      <x:c r="Z904" s="71" t="n"/>
      <x:c r="AA904" s="71" t="n"/>
      <x:c r="AB904" s="71" t="inlineStr">
        <x:is>
          <x:t xml:space="preserve">NO</x:t>
        </x:is>
      </x:c>
      <x:c r="AC904" s="57" t="inlineStr">
        <x:is>
          <x:t xml:space="preserve">V10</x:t>
        </x:is>
      </x:c>
      <x:c r="AD904" s="57" t="n"/>
      <x:c r="AE904" s="79" t="str">
        <x:f>IF(AND(I904&lt;&gt;"",J904&lt;&gt;"",K904&lt;&gt;"",L904="YES",M904&lt;&gt;"",S904&lt;&gt;"",T904&lt;&gt;"",U904&lt;&gt;"",V904&lt;&gt;"",W904&lt;&gt;"",X904&lt;&gt;"",Y904&lt;&gt;""),"COMPLETE","PENDING")</x:f>
        <x:v>PENDING</x:v>
      </x:c>
      <x:c r="AF904" s="79" t="str">
        <x:f>IF(AE904="COMPLETE","YES","NO")</x:f>
        <x:v>NO</x:v>
      </x:c>
      <x:c r="AG904" s="214" t="str">
        <x:f>IF(AF904&lt;&gt;"YES","",(IF(V904="YES",1,0)+IF(W904="YES",1,0))/2)</x:f>
      </x:c>
    </x:row>
    <x:row r="905">
      <x:c r="A905" s="57" t="inlineStr">
        <x:is>
          <x:t xml:space="preserve">C0900</x:t>
        </x:is>
      </x:c>
      <x:c r="B905" s="57" t="inlineStr">
        <x:is>
          <x:t xml:space="preserve">Holdout</x:t>
        </x:is>
      </x:c>
      <x:c r="C905" s="57" t="inlineStr">
        <x:is>
          <x:t xml:space="preserve">LOCKED</x:t>
        </x:is>
      </x:c>
      <x:c r="D905" s="57" t="inlineStr">
        <x:is>
          <x:t xml:space="preserve">ARG-090</x:t>
        </x:is>
      </x:c>
      <x:c r="E905" s="75" t="str">
        <x:f>INDEX('Company Universe'!$B$6:$B$105,MATCH(D905,'Company Universe'!$A$6:$A$105,0))</x:f>
        <x:v>PepsiCo</x:v>
      </x:c>
      <x:c r="F905" s="75" t="str">
        <x:f>INDEX('Company Universe'!$C$6:$C$105,MATCH(D905,'Company Universe'!$A$6:$A$105,0))</x:f>
        <x:v>PEP</x:v>
      </x:c>
      <x:c r="G905" s="75" t="str">
        <x:f>INDEX('Company Universe'!$F$6:$F$105,MATCH(D905,'Company Universe'!$A$6:$A$105,0))</x:f>
        <x:v>Consumer</x:v>
      </x:c>
      <x:c r="H905" s="57" t="n">
        <x:v>10</x:v>
      </x:c>
      <x:c r="I905" s="206" t="n"/>
      <x:c r="J905" s="71" t="n"/>
      <x:c r="K905" s="71" t="n"/>
      <x:c r="L905" s="71" t="inlineStr">
        <x:is>
          <x:t xml:space="preserve">NO</x:t>
        </x:is>
      </x:c>
      <x:c r="M905" s="71" t="n"/>
      <x:c r="N905" s="71" t="n"/>
      <x:c r="O905" s="71" t="n"/>
      <x:c r="P905" s="71" t="n"/>
      <x:c r="Q905" s="71" t="n"/>
      <x:c r="R905" s="71" t="n"/>
      <x:c r="S905" s="206" t="n"/>
      <x:c r="T905" s="71" t="n"/>
      <x:c r="U905" s="71" t="n"/>
      <x:c r="V905" s="71" t="n"/>
      <x:c r="W905" s="71" t="n"/>
      <x:c r="X905" s="71" t="n"/>
      <x:c r="Y905" s="71" t="n"/>
      <x:c r="Z905" s="71" t="n"/>
      <x:c r="AA905" s="71" t="n"/>
      <x:c r="AB905" s="71" t="inlineStr">
        <x:is>
          <x:t xml:space="preserve">NO</x:t>
        </x:is>
      </x:c>
      <x:c r="AC905" s="57" t="inlineStr">
        <x:is>
          <x:t xml:space="preserve">V10</x:t>
        </x:is>
      </x:c>
      <x:c r="AD905" s="57" t="n"/>
      <x:c r="AE905" s="79" t="str">
        <x:f>IF(AND(I905&lt;&gt;"",J905&lt;&gt;"",K905&lt;&gt;"",L905="YES",M905&lt;&gt;"",S905&lt;&gt;"",T905&lt;&gt;"",U905&lt;&gt;"",V905&lt;&gt;"",W905&lt;&gt;"",X905&lt;&gt;"",Y905&lt;&gt;""),"COMPLETE","PENDING")</x:f>
        <x:v>PENDING</x:v>
      </x:c>
      <x:c r="AF905" s="79" t="str">
        <x:f>IF(AE905="COMPLETE","YES","NO")</x:f>
        <x:v>NO</x:v>
      </x:c>
      <x:c r="AG905" s="214" t="str">
        <x:f>IF(AF905&lt;&gt;"YES","",(IF(V905="YES",1,0)+IF(W905="YES",1,0))/2)</x:f>
      </x:c>
    </x:row>
    <x:row r="906">
      <x:c r="A906" s="57" t="inlineStr">
        <x:is>
          <x:t xml:space="preserve">C0901</x:t>
        </x:is>
      </x:c>
      <x:c r="B906" s="57" t="inlineStr">
        <x:is>
          <x:t xml:space="preserve">Holdout</x:t>
        </x:is>
      </x:c>
      <x:c r="C906" s="57" t="inlineStr">
        <x:is>
          <x:t xml:space="preserve">LOCKED</x:t>
        </x:is>
      </x:c>
      <x:c r="D906" s="57" t="inlineStr">
        <x:is>
          <x:t xml:space="preserve">ARG-091</x:t>
        </x:is>
      </x:c>
      <x:c r="E906" s="75" t="str">
        <x:f>INDEX('Company Universe'!$B$6:$B$105,MATCH(D906,'Company Universe'!$A$6:$A$105,0))</x:f>
        <x:v>LVMH</x:v>
      </x:c>
      <x:c r="F906" s="75" t="str">
        <x:f>INDEX('Company Universe'!$C$6:$C$105,MATCH(D906,'Company Universe'!$A$6:$A$105,0))</x:f>
        <x:v>MC.PA</x:v>
      </x:c>
      <x:c r="G906" s="75" t="str">
        <x:f>INDEX('Company Universe'!$F$6:$F$105,MATCH(D906,'Company Universe'!$A$6:$A$105,0))</x:f>
        <x:v>Consumer</x:v>
      </x:c>
      <x:c r="H906" s="57" t="n">
        <x:v>1</x:v>
      </x:c>
      <x:c r="I906" s="206" t="n"/>
      <x:c r="J906" s="71" t="n"/>
      <x:c r="K906" s="71" t="n"/>
      <x:c r="L906" s="71" t="inlineStr">
        <x:is>
          <x:t xml:space="preserve">NO</x:t>
        </x:is>
      </x:c>
      <x:c r="M906" s="71" t="n"/>
      <x:c r="N906" s="71" t="n"/>
      <x:c r="O906" s="71" t="n"/>
      <x:c r="P906" s="71" t="n"/>
      <x:c r="Q906" s="71" t="n"/>
      <x:c r="R906" s="71" t="n"/>
      <x:c r="S906" s="206" t="n"/>
      <x:c r="T906" s="71" t="n"/>
      <x:c r="U906" s="71" t="n"/>
      <x:c r="V906" s="71" t="n"/>
      <x:c r="W906" s="71" t="n"/>
      <x:c r="X906" s="71" t="n"/>
      <x:c r="Y906" s="71" t="n"/>
      <x:c r="Z906" s="71" t="n"/>
      <x:c r="AA906" s="71" t="n"/>
      <x:c r="AB906" s="71" t="inlineStr">
        <x:is>
          <x:t xml:space="preserve">NO</x:t>
        </x:is>
      </x:c>
      <x:c r="AC906" s="57" t="inlineStr">
        <x:is>
          <x:t xml:space="preserve">V10</x:t>
        </x:is>
      </x:c>
      <x:c r="AD906" s="57" t="n"/>
      <x:c r="AE906" s="79" t="str">
        <x:f>IF(AND(I906&lt;&gt;"",J906&lt;&gt;"",K906&lt;&gt;"",L906="YES",M906&lt;&gt;"",S906&lt;&gt;"",T906&lt;&gt;"",U906&lt;&gt;"",V906&lt;&gt;"",W906&lt;&gt;"",X906&lt;&gt;"",Y906&lt;&gt;""),"COMPLETE","PENDING")</x:f>
        <x:v>PENDING</x:v>
      </x:c>
      <x:c r="AF906" s="79" t="str">
        <x:f>IF(AE906="COMPLETE","YES","NO")</x:f>
        <x:v>NO</x:v>
      </x:c>
      <x:c r="AG906" s="214" t="str">
        <x:f>IF(AF906&lt;&gt;"YES","",(IF(V906="YES",1,0)+IF(W906="YES",1,0))/2)</x:f>
      </x:c>
    </x:row>
    <x:row r="907">
      <x:c r="A907" s="57" t="inlineStr">
        <x:is>
          <x:t xml:space="preserve">C0902</x:t>
        </x:is>
      </x:c>
      <x:c r="B907" s="57" t="inlineStr">
        <x:is>
          <x:t xml:space="preserve">Holdout</x:t>
        </x:is>
      </x:c>
      <x:c r="C907" s="57" t="inlineStr">
        <x:is>
          <x:t xml:space="preserve">LOCKED</x:t>
        </x:is>
      </x:c>
      <x:c r="D907" s="57" t="inlineStr">
        <x:is>
          <x:t xml:space="preserve">ARG-091</x:t>
        </x:is>
      </x:c>
      <x:c r="E907" s="75" t="str">
        <x:f>INDEX('Company Universe'!$B$6:$B$105,MATCH(D907,'Company Universe'!$A$6:$A$105,0))</x:f>
        <x:v>LVMH</x:v>
      </x:c>
      <x:c r="F907" s="75" t="str">
        <x:f>INDEX('Company Universe'!$C$6:$C$105,MATCH(D907,'Company Universe'!$A$6:$A$105,0))</x:f>
        <x:v>MC.PA</x:v>
      </x:c>
      <x:c r="G907" s="75" t="str">
        <x:f>INDEX('Company Universe'!$F$6:$F$105,MATCH(D907,'Company Universe'!$A$6:$A$105,0))</x:f>
        <x:v>Consumer</x:v>
      </x:c>
      <x:c r="H907" s="57" t="n">
        <x:v>2</x:v>
      </x:c>
      <x:c r="I907" s="206" t="n"/>
      <x:c r="J907" s="71" t="n"/>
      <x:c r="K907" s="71" t="n"/>
      <x:c r="L907" s="71" t="inlineStr">
        <x:is>
          <x:t xml:space="preserve">NO</x:t>
        </x:is>
      </x:c>
      <x:c r="M907" s="71" t="n"/>
      <x:c r="N907" s="71" t="n"/>
      <x:c r="O907" s="71" t="n"/>
      <x:c r="P907" s="71" t="n"/>
      <x:c r="Q907" s="71" t="n"/>
      <x:c r="R907" s="71" t="n"/>
      <x:c r="S907" s="206" t="n"/>
      <x:c r="T907" s="71" t="n"/>
      <x:c r="U907" s="71" t="n"/>
      <x:c r="V907" s="71" t="n"/>
      <x:c r="W907" s="71" t="n"/>
      <x:c r="X907" s="71" t="n"/>
      <x:c r="Y907" s="71" t="n"/>
      <x:c r="Z907" s="71" t="n"/>
      <x:c r="AA907" s="71" t="n"/>
      <x:c r="AB907" s="71" t="inlineStr">
        <x:is>
          <x:t xml:space="preserve">NO</x:t>
        </x:is>
      </x:c>
      <x:c r="AC907" s="57" t="inlineStr">
        <x:is>
          <x:t xml:space="preserve">V10</x:t>
        </x:is>
      </x:c>
      <x:c r="AD907" s="57" t="n"/>
      <x:c r="AE907" s="79" t="str">
        <x:f>IF(AND(I907&lt;&gt;"",J907&lt;&gt;"",K907&lt;&gt;"",L907="YES",M907&lt;&gt;"",S907&lt;&gt;"",T907&lt;&gt;"",U907&lt;&gt;"",V907&lt;&gt;"",W907&lt;&gt;"",X907&lt;&gt;"",Y907&lt;&gt;""),"COMPLETE","PENDING")</x:f>
        <x:v>PENDING</x:v>
      </x:c>
      <x:c r="AF907" s="79" t="str">
        <x:f>IF(AE907="COMPLETE","YES","NO")</x:f>
        <x:v>NO</x:v>
      </x:c>
      <x:c r="AG907" s="214" t="str">
        <x:f>IF(AF907&lt;&gt;"YES","",(IF(V907="YES",1,0)+IF(W907="YES",1,0))/2)</x:f>
      </x:c>
    </x:row>
    <x:row r="908">
      <x:c r="A908" s="57" t="inlineStr">
        <x:is>
          <x:t xml:space="preserve">C0903</x:t>
        </x:is>
      </x:c>
      <x:c r="B908" s="57" t="inlineStr">
        <x:is>
          <x:t xml:space="preserve">Holdout</x:t>
        </x:is>
      </x:c>
      <x:c r="C908" s="57" t="inlineStr">
        <x:is>
          <x:t xml:space="preserve">LOCKED</x:t>
        </x:is>
      </x:c>
      <x:c r="D908" s="57" t="inlineStr">
        <x:is>
          <x:t xml:space="preserve">ARG-091</x:t>
        </x:is>
      </x:c>
      <x:c r="E908" s="75" t="str">
        <x:f>INDEX('Company Universe'!$B$6:$B$105,MATCH(D908,'Company Universe'!$A$6:$A$105,0))</x:f>
        <x:v>LVMH</x:v>
      </x:c>
      <x:c r="F908" s="75" t="str">
        <x:f>INDEX('Company Universe'!$C$6:$C$105,MATCH(D908,'Company Universe'!$A$6:$A$105,0))</x:f>
        <x:v>MC.PA</x:v>
      </x:c>
      <x:c r="G908" s="75" t="str">
        <x:f>INDEX('Company Universe'!$F$6:$F$105,MATCH(D908,'Company Universe'!$A$6:$A$105,0))</x:f>
        <x:v>Consumer</x:v>
      </x:c>
      <x:c r="H908" s="57" t="n">
        <x:v>3</x:v>
      </x:c>
      <x:c r="I908" s="206" t="n"/>
      <x:c r="J908" s="71" t="n"/>
      <x:c r="K908" s="71" t="n"/>
      <x:c r="L908" s="71" t="inlineStr">
        <x:is>
          <x:t xml:space="preserve">NO</x:t>
        </x:is>
      </x:c>
      <x:c r="M908" s="71" t="n"/>
      <x:c r="N908" s="71" t="n"/>
      <x:c r="O908" s="71" t="n"/>
      <x:c r="P908" s="71" t="n"/>
      <x:c r="Q908" s="71" t="n"/>
      <x:c r="R908" s="71" t="n"/>
      <x:c r="S908" s="206" t="n"/>
      <x:c r="T908" s="71" t="n"/>
      <x:c r="U908" s="71" t="n"/>
      <x:c r="V908" s="71" t="n"/>
      <x:c r="W908" s="71" t="n"/>
      <x:c r="X908" s="71" t="n"/>
      <x:c r="Y908" s="71" t="n"/>
      <x:c r="Z908" s="71" t="n"/>
      <x:c r="AA908" s="71" t="n"/>
      <x:c r="AB908" s="71" t="inlineStr">
        <x:is>
          <x:t xml:space="preserve">NO</x:t>
        </x:is>
      </x:c>
      <x:c r="AC908" s="57" t="inlineStr">
        <x:is>
          <x:t xml:space="preserve">V10</x:t>
        </x:is>
      </x:c>
      <x:c r="AD908" s="57" t="n"/>
      <x:c r="AE908" s="79" t="str">
        <x:f>IF(AND(I908&lt;&gt;"",J908&lt;&gt;"",K908&lt;&gt;"",L908="YES",M908&lt;&gt;"",S908&lt;&gt;"",T908&lt;&gt;"",U908&lt;&gt;"",V908&lt;&gt;"",W908&lt;&gt;"",X908&lt;&gt;"",Y908&lt;&gt;""),"COMPLETE","PENDING")</x:f>
        <x:v>PENDING</x:v>
      </x:c>
      <x:c r="AF908" s="79" t="str">
        <x:f>IF(AE908="COMPLETE","YES","NO")</x:f>
        <x:v>NO</x:v>
      </x:c>
      <x:c r="AG908" s="214" t="str">
        <x:f>IF(AF908&lt;&gt;"YES","",(IF(V908="YES",1,0)+IF(W908="YES",1,0))/2)</x:f>
      </x:c>
    </x:row>
    <x:row r="909">
      <x:c r="A909" s="57" t="inlineStr">
        <x:is>
          <x:t xml:space="preserve">C0904</x:t>
        </x:is>
      </x:c>
      <x:c r="B909" s="57" t="inlineStr">
        <x:is>
          <x:t xml:space="preserve">Holdout</x:t>
        </x:is>
      </x:c>
      <x:c r="C909" s="57" t="inlineStr">
        <x:is>
          <x:t xml:space="preserve">LOCKED</x:t>
        </x:is>
      </x:c>
      <x:c r="D909" s="57" t="inlineStr">
        <x:is>
          <x:t xml:space="preserve">ARG-091</x:t>
        </x:is>
      </x:c>
      <x:c r="E909" s="75" t="str">
        <x:f>INDEX('Company Universe'!$B$6:$B$105,MATCH(D909,'Company Universe'!$A$6:$A$105,0))</x:f>
        <x:v>LVMH</x:v>
      </x:c>
      <x:c r="F909" s="75" t="str">
        <x:f>INDEX('Company Universe'!$C$6:$C$105,MATCH(D909,'Company Universe'!$A$6:$A$105,0))</x:f>
        <x:v>MC.PA</x:v>
      </x:c>
      <x:c r="G909" s="75" t="str">
        <x:f>INDEX('Company Universe'!$F$6:$F$105,MATCH(D909,'Company Universe'!$A$6:$A$105,0))</x:f>
        <x:v>Consumer</x:v>
      </x:c>
      <x:c r="H909" s="57" t="n">
        <x:v>4</x:v>
      </x:c>
      <x:c r="I909" s="206" t="n"/>
      <x:c r="J909" s="71" t="n"/>
      <x:c r="K909" s="71" t="n"/>
      <x:c r="L909" s="71" t="inlineStr">
        <x:is>
          <x:t xml:space="preserve">NO</x:t>
        </x:is>
      </x:c>
      <x:c r="M909" s="71" t="n"/>
      <x:c r="N909" s="71" t="n"/>
      <x:c r="O909" s="71" t="n"/>
      <x:c r="P909" s="71" t="n"/>
      <x:c r="Q909" s="71" t="n"/>
      <x:c r="R909" s="71" t="n"/>
      <x:c r="S909" s="206" t="n"/>
      <x:c r="T909" s="71" t="n"/>
      <x:c r="U909" s="71" t="n"/>
      <x:c r="V909" s="71" t="n"/>
      <x:c r="W909" s="71" t="n"/>
      <x:c r="X909" s="71" t="n"/>
      <x:c r="Y909" s="71" t="n"/>
      <x:c r="Z909" s="71" t="n"/>
      <x:c r="AA909" s="71" t="n"/>
      <x:c r="AB909" s="71" t="inlineStr">
        <x:is>
          <x:t xml:space="preserve">NO</x:t>
        </x:is>
      </x:c>
      <x:c r="AC909" s="57" t="inlineStr">
        <x:is>
          <x:t xml:space="preserve">V10</x:t>
        </x:is>
      </x:c>
      <x:c r="AD909" s="57" t="n"/>
      <x:c r="AE909" s="79" t="str">
        <x:f>IF(AND(I909&lt;&gt;"",J909&lt;&gt;"",K909&lt;&gt;"",L909="YES",M909&lt;&gt;"",S909&lt;&gt;"",T909&lt;&gt;"",U909&lt;&gt;"",V909&lt;&gt;"",W909&lt;&gt;"",X909&lt;&gt;"",Y909&lt;&gt;""),"COMPLETE","PENDING")</x:f>
        <x:v>PENDING</x:v>
      </x:c>
      <x:c r="AF909" s="79" t="str">
        <x:f>IF(AE909="COMPLETE","YES","NO")</x:f>
        <x:v>NO</x:v>
      </x:c>
      <x:c r="AG909" s="214" t="str">
        <x:f>IF(AF909&lt;&gt;"YES","",(IF(V909="YES",1,0)+IF(W909="YES",1,0))/2)</x:f>
      </x:c>
    </x:row>
    <x:row r="910">
      <x:c r="A910" s="57" t="inlineStr">
        <x:is>
          <x:t xml:space="preserve">C0905</x:t>
        </x:is>
      </x:c>
      <x:c r="B910" s="57" t="inlineStr">
        <x:is>
          <x:t xml:space="preserve">Holdout</x:t>
        </x:is>
      </x:c>
      <x:c r="C910" s="57" t="inlineStr">
        <x:is>
          <x:t xml:space="preserve">LOCKED</x:t>
        </x:is>
      </x:c>
      <x:c r="D910" s="57" t="inlineStr">
        <x:is>
          <x:t xml:space="preserve">ARG-091</x:t>
        </x:is>
      </x:c>
      <x:c r="E910" s="75" t="str">
        <x:f>INDEX('Company Universe'!$B$6:$B$105,MATCH(D910,'Company Universe'!$A$6:$A$105,0))</x:f>
        <x:v>LVMH</x:v>
      </x:c>
      <x:c r="F910" s="75" t="str">
        <x:f>INDEX('Company Universe'!$C$6:$C$105,MATCH(D910,'Company Universe'!$A$6:$A$105,0))</x:f>
        <x:v>MC.PA</x:v>
      </x:c>
      <x:c r="G910" s="75" t="str">
        <x:f>INDEX('Company Universe'!$F$6:$F$105,MATCH(D910,'Company Universe'!$A$6:$A$105,0))</x:f>
        <x:v>Consumer</x:v>
      </x:c>
      <x:c r="H910" s="57" t="n">
        <x:v>5</x:v>
      </x:c>
      <x:c r="I910" s="206" t="n"/>
      <x:c r="J910" s="71" t="n"/>
      <x:c r="K910" s="71" t="n"/>
      <x:c r="L910" s="71" t="inlineStr">
        <x:is>
          <x:t xml:space="preserve">NO</x:t>
        </x:is>
      </x:c>
      <x:c r="M910" s="71" t="n"/>
      <x:c r="N910" s="71" t="n"/>
      <x:c r="O910" s="71" t="n"/>
      <x:c r="P910" s="71" t="n"/>
      <x:c r="Q910" s="71" t="n"/>
      <x:c r="R910" s="71" t="n"/>
      <x:c r="S910" s="206" t="n"/>
      <x:c r="T910" s="71" t="n"/>
      <x:c r="U910" s="71" t="n"/>
      <x:c r="V910" s="71" t="n"/>
      <x:c r="W910" s="71" t="n"/>
      <x:c r="X910" s="71" t="n"/>
      <x:c r="Y910" s="71" t="n"/>
      <x:c r="Z910" s="71" t="n"/>
      <x:c r="AA910" s="71" t="n"/>
      <x:c r="AB910" s="71" t="inlineStr">
        <x:is>
          <x:t xml:space="preserve">NO</x:t>
        </x:is>
      </x:c>
      <x:c r="AC910" s="57" t="inlineStr">
        <x:is>
          <x:t xml:space="preserve">V10</x:t>
        </x:is>
      </x:c>
      <x:c r="AD910" s="57" t="n"/>
      <x:c r="AE910" s="79" t="str">
        <x:f>IF(AND(I910&lt;&gt;"",J910&lt;&gt;"",K910&lt;&gt;"",L910="YES",M910&lt;&gt;"",S910&lt;&gt;"",T910&lt;&gt;"",U910&lt;&gt;"",V910&lt;&gt;"",W910&lt;&gt;"",X910&lt;&gt;"",Y910&lt;&gt;""),"COMPLETE","PENDING")</x:f>
        <x:v>PENDING</x:v>
      </x:c>
      <x:c r="AF910" s="79" t="str">
        <x:f>IF(AE910="COMPLETE","YES","NO")</x:f>
        <x:v>NO</x:v>
      </x:c>
      <x:c r="AG910" s="214" t="str">
        <x:f>IF(AF910&lt;&gt;"YES","",(IF(V910="YES",1,0)+IF(W910="YES",1,0))/2)</x:f>
      </x:c>
    </x:row>
    <x:row r="911">
      <x:c r="A911" s="57" t="inlineStr">
        <x:is>
          <x:t xml:space="preserve">C0906</x:t>
        </x:is>
      </x:c>
      <x:c r="B911" s="57" t="inlineStr">
        <x:is>
          <x:t xml:space="preserve">Holdout</x:t>
        </x:is>
      </x:c>
      <x:c r="C911" s="57" t="inlineStr">
        <x:is>
          <x:t xml:space="preserve">LOCKED</x:t>
        </x:is>
      </x:c>
      <x:c r="D911" s="57" t="inlineStr">
        <x:is>
          <x:t xml:space="preserve">ARG-091</x:t>
        </x:is>
      </x:c>
      <x:c r="E911" s="75" t="str">
        <x:f>INDEX('Company Universe'!$B$6:$B$105,MATCH(D911,'Company Universe'!$A$6:$A$105,0))</x:f>
        <x:v>LVMH</x:v>
      </x:c>
      <x:c r="F911" s="75" t="str">
        <x:f>INDEX('Company Universe'!$C$6:$C$105,MATCH(D911,'Company Universe'!$A$6:$A$105,0))</x:f>
        <x:v>MC.PA</x:v>
      </x:c>
      <x:c r="G911" s="75" t="str">
        <x:f>INDEX('Company Universe'!$F$6:$F$105,MATCH(D911,'Company Universe'!$A$6:$A$105,0))</x:f>
        <x:v>Consumer</x:v>
      </x:c>
      <x:c r="H911" s="57" t="n">
        <x:v>6</x:v>
      </x:c>
      <x:c r="I911" s="206" t="n"/>
      <x:c r="J911" s="71" t="n"/>
      <x:c r="K911" s="71" t="n"/>
      <x:c r="L911" s="71" t="inlineStr">
        <x:is>
          <x:t xml:space="preserve">NO</x:t>
        </x:is>
      </x:c>
      <x:c r="M911" s="71" t="n"/>
      <x:c r="N911" s="71" t="n"/>
      <x:c r="O911" s="71" t="n"/>
      <x:c r="P911" s="71" t="n"/>
      <x:c r="Q911" s="71" t="n"/>
      <x:c r="R911" s="71" t="n"/>
      <x:c r="S911" s="206" t="n"/>
      <x:c r="T911" s="71" t="n"/>
      <x:c r="U911" s="71" t="n"/>
      <x:c r="V911" s="71" t="n"/>
      <x:c r="W911" s="71" t="n"/>
      <x:c r="X911" s="71" t="n"/>
      <x:c r="Y911" s="71" t="n"/>
      <x:c r="Z911" s="71" t="n"/>
      <x:c r="AA911" s="71" t="n"/>
      <x:c r="AB911" s="71" t="inlineStr">
        <x:is>
          <x:t xml:space="preserve">NO</x:t>
        </x:is>
      </x:c>
      <x:c r="AC911" s="57" t="inlineStr">
        <x:is>
          <x:t xml:space="preserve">V10</x:t>
        </x:is>
      </x:c>
      <x:c r="AD911" s="57" t="n"/>
      <x:c r="AE911" s="79" t="str">
        <x:f>IF(AND(I911&lt;&gt;"",J911&lt;&gt;"",K911&lt;&gt;"",L911="YES",M911&lt;&gt;"",S911&lt;&gt;"",T911&lt;&gt;"",U911&lt;&gt;"",V911&lt;&gt;"",W911&lt;&gt;"",X911&lt;&gt;"",Y911&lt;&gt;""),"COMPLETE","PENDING")</x:f>
        <x:v>PENDING</x:v>
      </x:c>
      <x:c r="AF911" s="79" t="str">
        <x:f>IF(AE911="COMPLETE","YES","NO")</x:f>
        <x:v>NO</x:v>
      </x:c>
      <x:c r="AG911" s="214" t="str">
        <x:f>IF(AF911&lt;&gt;"YES","",(IF(V911="YES",1,0)+IF(W911="YES",1,0))/2)</x:f>
      </x:c>
    </x:row>
    <x:row r="912">
      <x:c r="A912" s="57" t="inlineStr">
        <x:is>
          <x:t xml:space="preserve">C0907</x:t>
        </x:is>
      </x:c>
      <x:c r="B912" s="57" t="inlineStr">
        <x:is>
          <x:t xml:space="preserve">Holdout</x:t>
        </x:is>
      </x:c>
      <x:c r="C912" s="57" t="inlineStr">
        <x:is>
          <x:t xml:space="preserve">LOCKED</x:t>
        </x:is>
      </x:c>
      <x:c r="D912" s="57" t="inlineStr">
        <x:is>
          <x:t xml:space="preserve">ARG-091</x:t>
        </x:is>
      </x:c>
      <x:c r="E912" s="75" t="str">
        <x:f>INDEX('Company Universe'!$B$6:$B$105,MATCH(D912,'Company Universe'!$A$6:$A$105,0))</x:f>
        <x:v>LVMH</x:v>
      </x:c>
      <x:c r="F912" s="75" t="str">
        <x:f>INDEX('Company Universe'!$C$6:$C$105,MATCH(D912,'Company Universe'!$A$6:$A$105,0))</x:f>
        <x:v>MC.PA</x:v>
      </x:c>
      <x:c r="G912" s="75" t="str">
        <x:f>INDEX('Company Universe'!$F$6:$F$105,MATCH(D912,'Company Universe'!$A$6:$A$105,0))</x:f>
        <x:v>Consumer</x:v>
      </x:c>
      <x:c r="H912" s="57" t="n">
        <x:v>7</x:v>
      </x:c>
      <x:c r="I912" s="206" t="n"/>
      <x:c r="J912" s="71" t="n"/>
      <x:c r="K912" s="71" t="n"/>
      <x:c r="L912" s="71" t="inlineStr">
        <x:is>
          <x:t xml:space="preserve">NO</x:t>
        </x:is>
      </x:c>
      <x:c r="M912" s="71" t="n"/>
      <x:c r="N912" s="71" t="n"/>
      <x:c r="O912" s="71" t="n"/>
      <x:c r="P912" s="71" t="n"/>
      <x:c r="Q912" s="71" t="n"/>
      <x:c r="R912" s="71" t="n"/>
      <x:c r="S912" s="206" t="n"/>
      <x:c r="T912" s="71" t="n"/>
      <x:c r="U912" s="71" t="n"/>
      <x:c r="V912" s="71" t="n"/>
      <x:c r="W912" s="71" t="n"/>
      <x:c r="X912" s="71" t="n"/>
      <x:c r="Y912" s="71" t="n"/>
      <x:c r="Z912" s="71" t="n"/>
      <x:c r="AA912" s="71" t="n"/>
      <x:c r="AB912" s="71" t="inlineStr">
        <x:is>
          <x:t xml:space="preserve">NO</x:t>
        </x:is>
      </x:c>
      <x:c r="AC912" s="57" t="inlineStr">
        <x:is>
          <x:t xml:space="preserve">V10</x:t>
        </x:is>
      </x:c>
      <x:c r="AD912" s="57" t="n"/>
      <x:c r="AE912" s="79" t="str">
        <x:f>IF(AND(I912&lt;&gt;"",J912&lt;&gt;"",K912&lt;&gt;"",L912="YES",M912&lt;&gt;"",S912&lt;&gt;"",T912&lt;&gt;"",U912&lt;&gt;"",V912&lt;&gt;"",W912&lt;&gt;"",X912&lt;&gt;"",Y912&lt;&gt;""),"COMPLETE","PENDING")</x:f>
        <x:v>PENDING</x:v>
      </x:c>
      <x:c r="AF912" s="79" t="str">
        <x:f>IF(AE912="COMPLETE","YES","NO")</x:f>
        <x:v>NO</x:v>
      </x:c>
      <x:c r="AG912" s="214" t="str">
        <x:f>IF(AF912&lt;&gt;"YES","",(IF(V912="YES",1,0)+IF(W912="YES",1,0))/2)</x:f>
      </x:c>
    </x:row>
    <x:row r="913">
      <x:c r="A913" s="57" t="inlineStr">
        <x:is>
          <x:t xml:space="preserve">C0908</x:t>
        </x:is>
      </x:c>
      <x:c r="B913" s="57" t="inlineStr">
        <x:is>
          <x:t xml:space="preserve">Holdout</x:t>
        </x:is>
      </x:c>
      <x:c r="C913" s="57" t="inlineStr">
        <x:is>
          <x:t xml:space="preserve">LOCKED</x:t>
        </x:is>
      </x:c>
      <x:c r="D913" s="57" t="inlineStr">
        <x:is>
          <x:t xml:space="preserve">ARG-091</x:t>
        </x:is>
      </x:c>
      <x:c r="E913" s="75" t="str">
        <x:f>INDEX('Company Universe'!$B$6:$B$105,MATCH(D913,'Company Universe'!$A$6:$A$105,0))</x:f>
        <x:v>LVMH</x:v>
      </x:c>
      <x:c r="F913" s="75" t="str">
        <x:f>INDEX('Company Universe'!$C$6:$C$105,MATCH(D913,'Company Universe'!$A$6:$A$105,0))</x:f>
        <x:v>MC.PA</x:v>
      </x:c>
      <x:c r="G913" s="75" t="str">
        <x:f>INDEX('Company Universe'!$F$6:$F$105,MATCH(D913,'Company Universe'!$A$6:$A$105,0))</x:f>
        <x:v>Consumer</x:v>
      </x:c>
      <x:c r="H913" s="57" t="n">
        <x:v>8</x:v>
      </x:c>
      <x:c r="I913" s="206" t="n"/>
      <x:c r="J913" s="71" t="n"/>
      <x:c r="K913" s="71" t="n"/>
      <x:c r="L913" s="71" t="inlineStr">
        <x:is>
          <x:t xml:space="preserve">NO</x:t>
        </x:is>
      </x:c>
      <x:c r="M913" s="71" t="n"/>
      <x:c r="N913" s="71" t="n"/>
      <x:c r="O913" s="71" t="n"/>
      <x:c r="P913" s="71" t="n"/>
      <x:c r="Q913" s="71" t="n"/>
      <x:c r="R913" s="71" t="n"/>
      <x:c r="S913" s="206" t="n"/>
      <x:c r="T913" s="71" t="n"/>
      <x:c r="U913" s="71" t="n"/>
      <x:c r="V913" s="71" t="n"/>
      <x:c r="W913" s="71" t="n"/>
      <x:c r="X913" s="71" t="n"/>
      <x:c r="Y913" s="71" t="n"/>
      <x:c r="Z913" s="71" t="n"/>
      <x:c r="AA913" s="71" t="n"/>
      <x:c r="AB913" s="71" t="inlineStr">
        <x:is>
          <x:t xml:space="preserve">NO</x:t>
        </x:is>
      </x:c>
      <x:c r="AC913" s="57" t="inlineStr">
        <x:is>
          <x:t xml:space="preserve">V10</x:t>
        </x:is>
      </x:c>
      <x:c r="AD913" s="57" t="n"/>
      <x:c r="AE913" s="79" t="str">
        <x:f>IF(AND(I913&lt;&gt;"",J913&lt;&gt;"",K913&lt;&gt;"",L913="YES",M913&lt;&gt;"",S913&lt;&gt;"",T913&lt;&gt;"",U913&lt;&gt;"",V913&lt;&gt;"",W913&lt;&gt;"",X913&lt;&gt;"",Y913&lt;&gt;""),"COMPLETE","PENDING")</x:f>
        <x:v>PENDING</x:v>
      </x:c>
      <x:c r="AF913" s="79" t="str">
        <x:f>IF(AE913="COMPLETE","YES","NO")</x:f>
        <x:v>NO</x:v>
      </x:c>
      <x:c r="AG913" s="214" t="str">
        <x:f>IF(AF913&lt;&gt;"YES","",(IF(V913="YES",1,0)+IF(W913="YES",1,0))/2)</x:f>
      </x:c>
    </x:row>
    <x:row r="914">
      <x:c r="A914" s="57" t="inlineStr">
        <x:is>
          <x:t xml:space="preserve">C0909</x:t>
        </x:is>
      </x:c>
      <x:c r="B914" s="57" t="inlineStr">
        <x:is>
          <x:t xml:space="preserve">Holdout</x:t>
        </x:is>
      </x:c>
      <x:c r="C914" s="57" t="inlineStr">
        <x:is>
          <x:t xml:space="preserve">LOCKED</x:t>
        </x:is>
      </x:c>
      <x:c r="D914" s="57" t="inlineStr">
        <x:is>
          <x:t xml:space="preserve">ARG-091</x:t>
        </x:is>
      </x:c>
      <x:c r="E914" s="75" t="str">
        <x:f>INDEX('Company Universe'!$B$6:$B$105,MATCH(D914,'Company Universe'!$A$6:$A$105,0))</x:f>
        <x:v>LVMH</x:v>
      </x:c>
      <x:c r="F914" s="75" t="str">
        <x:f>INDEX('Company Universe'!$C$6:$C$105,MATCH(D914,'Company Universe'!$A$6:$A$105,0))</x:f>
        <x:v>MC.PA</x:v>
      </x:c>
      <x:c r="G914" s="75" t="str">
        <x:f>INDEX('Company Universe'!$F$6:$F$105,MATCH(D914,'Company Universe'!$A$6:$A$105,0))</x:f>
        <x:v>Consumer</x:v>
      </x:c>
      <x:c r="H914" s="57" t="n">
        <x:v>9</x:v>
      </x:c>
      <x:c r="I914" s="206" t="n"/>
      <x:c r="J914" s="71" t="n"/>
      <x:c r="K914" s="71" t="n"/>
      <x:c r="L914" s="71" t="inlineStr">
        <x:is>
          <x:t xml:space="preserve">NO</x:t>
        </x:is>
      </x:c>
      <x:c r="M914" s="71" t="n"/>
      <x:c r="N914" s="71" t="n"/>
      <x:c r="O914" s="71" t="n"/>
      <x:c r="P914" s="71" t="n"/>
      <x:c r="Q914" s="71" t="n"/>
      <x:c r="R914" s="71" t="n"/>
      <x:c r="S914" s="206" t="n"/>
      <x:c r="T914" s="71" t="n"/>
      <x:c r="U914" s="71" t="n"/>
      <x:c r="V914" s="71" t="n"/>
      <x:c r="W914" s="71" t="n"/>
      <x:c r="X914" s="71" t="n"/>
      <x:c r="Y914" s="71" t="n"/>
      <x:c r="Z914" s="71" t="n"/>
      <x:c r="AA914" s="71" t="n"/>
      <x:c r="AB914" s="71" t="inlineStr">
        <x:is>
          <x:t xml:space="preserve">NO</x:t>
        </x:is>
      </x:c>
      <x:c r="AC914" s="57" t="inlineStr">
        <x:is>
          <x:t xml:space="preserve">V10</x:t>
        </x:is>
      </x:c>
      <x:c r="AD914" s="57" t="n"/>
      <x:c r="AE914" s="79" t="str">
        <x:f>IF(AND(I914&lt;&gt;"",J914&lt;&gt;"",K914&lt;&gt;"",L914="YES",M914&lt;&gt;"",S914&lt;&gt;"",T914&lt;&gt;"",U914&lt;&gt;"",V914&lt;&gt;"",W914&lt;&gt;"",X914&lt;&gt;"",Y914&lt;&gt;""),"COMPLETE","PENDING")</x:f>
        <x:v>PENDING</x:v>
      </x:c>
      <x:c r="AF914" s="79" t="str">
        <x:f>IF(AE914="COMPLETE","YES","NO")</x:f>
        <x:v>NO</x:v>
      </x:c>
      <x:c r="AG914" s="214" t="str">
        <x:f>IF(AF914&lt;&gt;"YES","",(IF(V914="YES",1,0)+IF(W914="YES",1,0))/2)</x:f>
      </x:c>
    </x:row>
    <x:row r="915">
      <x:c r="A915" s="57" t="inlineStr">
        <x:is>
          <x:t xml:space="preserve">C0910</x:t>
        </x:is>
      </x:c>
      <x:c r="B915" s="57" t="inlineStr">
        <x:is>
          <x:t xml:space="preserve">Holdout</x:t>
        </x:is>
      </x:c>
      <x:c r="C915" s="57" t="inlineStr">
        <x:is>
          <x:t xml:space="preserve">LOCKED</x:t>
        </x:is>
      </x:c>
      <x:c r="D915" s="57" t="inlineStr">
        <x:is>
          <x:t xml:space="preserve">ARG-091</x:t>
        </x:is>
      </x:c>
      <x:c r="E915" s="75" t="str">
        <x:f>INDEX('Company Universe'!$B$6:$B$105,MATCH(D915,'Company Universe'!$A$6:$A$105,0))</x:f>
        <x:v>LVMH</x:v>
      </x:c>
      <x:c r="F915" s="75" t="str">
        <x:f>INDEX('Company Universe'!$C$6:$C$105,MATCH(D915,'Company Universe'!$A$6:$A$105,0))</x:f>
        <x:v>MC.PA</x:v>
      </x:c>
      <x:c r="G915" s="75" t="str">
        <x:f>INDEX('Company Universe'!$F$6:$F$105,MATCH(D915,'Company Universe'!$A$6:$A$105,0))</x:f>
        <x:v>Consumer</x:v>
      </x:c>
      <x:c r="H915" s="57" t="n">
        <x:v>10</x:v>
      </x:c>
      <x:c r="I915" s="206" t="n"/>
      <x:c r="J915" s="71" t="n"/>
      <x:c r="K915" s="71" t="n"/>
      <x:c r="L915" s="71" t="inlineStr">
        <x:is>
          <x:t xml:space="preserve">NO</x:t>
        </x:is>
      </x:c>
      <x:c r="M915" s="71" t="n"/>
      <x:c r="N915" s="71" t="n"/>
      <x:c r="O915" s="71" t="n"/>
      <x:c r="P915" s="71" t="n"/>
      <x:c r="Q915" s="71" t="n"/>
      <x:c r="R915" s="71" t="n"/>
      <x:c r="S915" s="206" t="n"/>
      <x:c r="T915" s="71" t="n"/>
      <x:c r="U915" s="71" t="n"/>
      <x:c r="V915" s="71" t="n"/>
      <x:c r="W915" s="71" t="n"/>
      <x:c r="X915" s="71" t="n"/>
      <x:c r="Y915" s="71" t="n"/>
      <x:c r="Z915" s="71" t="n"/>
      <x:c r="AA915" s="71" t="n"/>
      <x:c r="AB915" s="71" t="inlineStr">
        <x:is>
          <x:t xml:space="preserve">NO</x:t>
        </x:is>
      </x:c>
      <x:c r="AC915" s="57" t="inlineStr">
        <x:is>
          <x:t xml:space="preserve">V10</x:t>
        </x:is>
      </x:c>
      <x:c r="AD915" s="57" t="n"/>
      <x:c r="AE915" s="79" t="str">
        <x:f>IF(AND(I915&lt;&gt;"",J915&lt;&gt;"",K915&lt;&gt;"",L915="YES",M915&lt;&gt;"",S915&lt;&gt;"",T915&lt;&gt;"",U915&lt;&gt;"",V915&lt;&gt;"",W915&lt;&gt;"",X915&lt;&gt;"",Y915&lt;&gt;""),"COMPLETE","PENDING")</x:f>
        <x:v>PENDING</x:v>
      </x:c>
      <x:c r="AF915" s="79" t="str">
        <x:f>IF(AE915="COMPLETE","YES","NO")</x:f>
        <x:v>NO</x:v>
      </x:c>
      <x:c r="AG915" s="214" t="str">
        <x:f>IF(AF915&lt;&gt;"YES","",(IF(V915="YES",1,0)+IF(W915="YES",1,0))/2)</x:f>
      </x:c>
    </x:row>
    <x:row r="916">
      <x:c r="A916" s="57" t="inlineStr">
        <x:is>
          <x:t xml:space="preserve">C0911</x:t>
        </x:is>
      </x:c>
      <x:c r="B916" s="57" t="inlineStr">
        <x:is>
          <x:t xml:space="preserve">Holdout</x:t>
        </x:is>
      </x:c>
      <x:c r="C916" s="57" t="inlineStr">
        <x:is>
          <x:t xml:space="preserve">LOCKED</x:t>
        </x:is>
      </x:c>
      <x:c r="D916" s="57" t="inlineStr">
        <x:is>
          <x:t xml:space="preserve">ARG-092</x:t>
        </x:is>
      </x:c>
      <x:c r="E916" s="75" t="str">
        <x:f>INDEX('Company Universe'!$B$6:$B$105,MATCH(D916,'Company Universe'!$A$6:$A$105,0))</x:f>
        <x:v>MercadoLibre</x:v>
      </x:c>
      <x:c r="F916" s="75" t="str">
        <x:f>INDEX('Company Universe'!$C$6:$C$105,MATCH(D916,'Company Universe'!$A$6:$A$105,0))</x:f>
        <x:v>MELI</x:v>
      </x:c>
      <x:c r="G916" s="75" t="str">
        <x:f>INDEX('Company Universe'!$F$6:$F$105,MATCH(D916,'Company Universe'!$A$6:$A$105,0))</x:f>
        <x:v>Consumer</x:v>
      </x:c>
      <x:c r="H916" s="57" t="n">
        <x:v>1</x:v>
      </x:c>
      <x:c r="I916" s="206" t="n"/>
      <x:c r="J916" s="71" t="n"/>
      <x:c r="K916" s="71" t="n"/>
      <x:c r="L916" s="71" t="inlineStr">
        <x:is>
          <x:t xml:space="preserve">NO</x:t>
        </x:is>
      </x:c>
      <x:c r="M916" s="71" t="n"/>
      <x:c r="N916" s="71" t="n"/>
      <x:c r="O916" s="71" t="n"/>
      <x:c r="P916" s="71" t="n"/>
      <x:c r="Q916" s="71" t="n"/>
      <x:c r="R916" s="71" t="n"/>
      <x:c r="S916" s="206" t="n"/>
      <x:c r="T916" s="71" t="n"/>
      <x:c r="U916" s="71" t="n"/>
      <x:c r="V916" s="71" t="n"/>
      <x:c r="W916" s="71" t="n"/>
      <x:c r="X916" s="71" t="n"/>
      <x:c r="Y916" s="71" t="n"/>
      <x:c r="Z916" s="71" t="n"/>
      <x:c r="AA916" s="71" t="n"/>
      <x:c r="AB916" s="71" t="inlineStr">
        <x:is>
          <x:t xml:space="preserve">NO</x:t>
        </x:is>
      </x:c>
      <x:c r="AC916" s="57" t="inlineStr">
        <x:is>
          <x:t xml:space="preserve">V10</x:t>
        </x:is>
      </x:c>
      <x:c r="AD916" s="57" t="n"/>
      <x:c r="AE916" s="79" t="str">
        <x:f>IF(AND(I916&lt;&gt;"",J916&lt;&gt;"",K916&lt;&gt;"",L916="YES",M916&lt;&gt;"",S916&lt;&gt;"",T916&lt;&gt;"",U916&lt;&gt;"",V916&lt;&gt;"",W916&lt;&gt;"",X916&lt;&gt;"",Y916&lt;&gt;""),"COMPLETE","PENDING")</x:f>
        <x:v>PENDING</x:v>
      </x:c>
      <x:c r="AF916" s="79" t="str">
        <x:f>IF(AE916="COMPLETE","YES","NO")</x:f>
        <x:v>NO</x:v>
      </x:c>
      <x:c r="AG916" s="214" t="str">
        <x:f>IF(AF916&lt;&gt;"YES","",(IF(V916="YES",1,0)+IF(W916="YES",1,0))/2)</x:f>
      </x:c>
    </x:row>
    <x:row r="917">
      <x:c r="A917" s="57" t="inlineStr">
        <x:is>
          <x:t xml:space="preserve">C0912</x:t>
        </x:is>
      </x:c>
      <x:c r="B917" s="57" t="inlineStr">
        <x:is>
          <x:t xml:space="preserve">Holdout</x:t>
        </x:is>
      </x:c>
      <x:c r="C917" s="57" t="inlineStr">
        <x:is>
          <x:t xml:space="preserve">LOCKED</x:t>
        </x:is>
      </x:c>
      <x:c r="D917" s="57" t="inlineStr">
        <x:is>
          <x:t xml:space="preserve">ARG-092</x:t>
        </x:is>
      </x:c>
      <x:c r="E917" s="75" t="str">
        <x:f>INDEX('Company Universe'!$B$6:$B$105,MATCH(D917,'Company Universe'!$A$6:$A$105,0))</x:f>
        <x:v>MercadoLibre</x:v>
      </x:c>
      <x:c r="F917" s="75" t="str">
        <x:f>INDEX('Company Universe'!$C$6:$C$105,MATCH(D917,'Company Universe'!$A$6:$A$105,0))</x:f>
        <x:v>MELI</x:v>
      </x:c>
      <x:c r="G917" s="75" t="str">
        <x:f>INDEX('Company Universe'!$F$6:$F$105,MATCH(D917,'Company Universe'!$A$6:$A$105,0))</x:f>
        <x:v>Consumer</x:v>
      </x:c>
      <x:c r="H917" s="57" t="n">
        <x:v>2</x:v>
      </x:c>
      <x:c r="I917" s="206" t="n"/>
      <x:c r="J917" s="71" t="n"/>
      <x:c r="K917" s="71" t="n"/>
      <x:c r="L917" s="71" t="inlineStr">
        <x:is>
          <x:t xml:space="preserve">NO</x:t>
        </x:is>
      </x:c>
      <x:c r="M917" s="71" t="n"/>
      <x:c r="N917" s="71" t="n"/>
      <x:c r="O917" s="71" t="n"/>
      <x:c r="P917" s="71" t="n"/>
      <x:c r="Q917" s="71" t="n"/>
      <x:c r="R917" s="71" t="n"/>
      <x:c r="S917" s="206" t="n"/>
      <x:c r="T917" s="71" t="n"/>
      <x:c r="U917" s="71" t="n"/>
      <x:c r="V917" s="71" t="n"/>
      <x:c r="W917" s="71" t="n"/>
      <x:c r="X917" s="71" t="n"/>
      <x:c r="Y917" s="71" t="n"/>
      <x:c r="Z917" s="71" t="n"/>
      <x:c r="AA917" s="71" t="n"/>
      <x:c r="AB917" s="71" t="inlineStr">
        <x:is>
          <x:t xml:space="preserve">NO</x:t>
        </x:is>
      </x:c>
      <x:c r="AC917" s="57" t="inlineStr">
        <x:is>
          <x:t xml:space="preserve">V10</x:t>
        </x:is>
      </x:c>
      <x:c r="AD917" s="57" t="n"/>
      <x:c r="AE917" s="79" t="str">
        <x:f>IF(AND(I917&lt;&gt;"",J917&lt;&gt;"",K917&lt;&gt;"",L917="YES",M917&lt;&gt;"",S917&lt;&gt;"",T917&lt;&gt;"",U917&lt;&gt;"",V917&lt;&gt;"",W917&lt;&gt;"",X917&lt;&gt;"",Y917&lt;&gt;""),"COMPLETE","PENDING")</x:f>
        <x:v>PENDING</x:v>
      </x:c>
      <x:c r="AF917" s="79" t="str">
        <x:f>IF(AE917="COMPLETE","YES","NO")</x:f>
        <x:v>NO</x:v>
      </x:c>
      <x:c r="AG917" s="214" t="str">
        <x:f>IF(AF917&lt;&gt;"YES","",(IF(V917="YES",1,0)+IF(W917="YES",1,0))/2)</x:f>
      </x:c>
    </x:row>
    <x:row r="918">
      <x:c r="A918" s="57" t="inlineStr">
        <x:is>
          <x:t xml:space="preserve">C0913</x:t>
        </x:is>
      </x:c>
      <x:c r="B918" s="57" t="inlineStr">
        <x:is>
          <x:t xml:space="preserve">Holdout</x:t>
        </x:is>
      </x:c>
      <x:c r="C918" s="57" t="inlineStr">
        <x:is>
          <x:t xml:space="preserve">LOCKED</x:t>
        </x:is>
      </x:c>
      <x:c r="D918" s="57" t="inlineStr">
        <x:is>
          <x:t xml:space="preserve">ARG-092</x:t>
        </x:is>
      </x:c>
      <x:c r="E918" s="75" t="str">
        <x:f>INDEX('Company Universe'!$B$6:$B$105,MATCH(D918,'Company Universe'!$A$6:$A$105,0))</x:f>
        <x:v>MercadoLibre</x:v>
      </x:c>
      <x:c r="F918" s="75" t="str">
        <x:f>INDEX('Company Universe'!$C$6:$C$105,MATCH(D918,'Company Universe'!$A$6:$A$105,0))</x:f>
        <x:v>MELI</x:v>
      </x:c>
      <x:c r="G918" s="75" t="str">
        <x:f>INDEX('Company Universe'!$F$6:$F$105,MATCH(D918,'Company Universe'!$A$6:$A$105,0))</x:f>
        <x:v>Consumer</x:v>
      </x:c>
      <x:c r="H918" s="57" t="n">
        <x:v>3</x:v>
      </x:c>
      <x:c r="I918" s="206" t="n"/>
      <x:c r="J918" s="71" t="n"/>
      <x:c r="K918" s="71" t="n"/>
      <x:c r="L918" s="71" t="inlineStr">
        <x:is>
          <x:t xml:space="preserve">NO</x:t>
        </x:is>
      </x:c>
      <x:c r="M918" s="71" t="n"/>
      <x:c r="N918" s="71" t="n"/>
      <x:c r="O918" s="71" t="n"/>
      <x:c r="P918" s="71" t="n"/>
      <x:c r="Q918" s="71" t="n"/>
      <x:c r="R918" s="71" t="n"/>
      <x:c r="S918" s="206" t="n"/>
      <x:c r="T918" s="71" t="n"/>
      <x:c r="U918" s="71" t="n"/>
      <x:c r="V918" s="71" t="n"/>
      <x:c r="W918" s="71" t="n"/>
      <x:c r="X918" s="71" t="n"/>
      <x:c r="Y918" s="71" t="n"/>
      <x:c r="Z918" s="71" t="n"/>
      <x:c r="AA918" s="71" t="n"/>
      <x:c r="AB918" s="71" t="inlineStr">
        <x:is>
          <x:t xml:space="preserve">NO</x:t>
        </x:is>
      </x:c>
      <x:c r="AC918" s="57" t="inlineStr">
        <x:is>
          <x:t xml:space="preserve">V10</x:t>
        </x:is>
      </x:c>
      <x:c r="AD918" s="57" t="n"/>
      <x:c r="AE918" s="79" t="str">
        <x:f>IF(AND(I918&lt;&gt;"",J918&lt;&gt;"",K918&lt;&gt;"",L918="YES",M918&lt;&gt;"",S918&lt;&gt;"",T918&lt;&gt;"",U918&lt;&gt;"",V918&lt;&gt;"",W918&lt;&gt;"",X918&lt;&gt;"",Y918&lt;&gt;""),"COMPLETE","PENDING")</x:f>
        <x:v>PENDING</x:v>
      </x:c>
      <x:c r="AF918" s="79" t="str">
        <x:f>IF(AE918="COMPLETE","YES","NO")</x:f>
        <x:v>NO</x:v>
      </x:c>
      <x:c r="AG918" s="214" t="str">
        <x:f>IF(AF918&lt;&gt;"YES","",(IF(V918="YES",1,0)+IF(W918="YES",1,0))/2)</x:f>
      </x:c>
    </x:row>
    <x:row r="919">
      <x:c r="A919" s="57" t="inlineStr">
        <x:is>
          <x:t xml:space="preserve">C0914</x:t>
        </x:is>
      </x:c>
      <x:c r="B919" s="57" t="inlineStr">
        <x:is>
          <x:t xml:space="preserve">Holdout</x:t>
        </x:is>
      </x:c>
      <x:c r="C919" s="57" t="inlineStr">
        <x:is>
          <x:t xml:space="preserve">LOCKED</x:t>
        </x:is>
      </x:c>
      <x:c r="D919" s="57" t="inlineStr">
        <x:is>
          <x:t xml:space="preserve">ARG-092</x:t>
        </x:is>
      </x:c>
      <x:c r="E919" s="75" t="str">
        <x:f>INDEX('Company Universe'!$B$6:$B$105,MATCH(D919,'Company Universe'!$A$6:$A$105,0))</x:f>
        <x:v>MercadoLibre</x:v>
      </x:c>
      <x:c r="F919" s="75" t="str">
        <x:f>INDEX('Company Universe'!$C$6:$C$105,MATCH(D919,'Company Universe'!$A$6:$A$105,0))</x:f>
        <x:v>MELI</x:v>
      </x:c>
      <x:c r="G919" s="75" t="str">
        <x:f>INDEX('Company Universe'!$F$6:$F$105,MATCH(D919,'Company Universe'!$A$6:$A$105,0))</x:f>
        <x:v>Consumer</x:v>
      </x:c>
      <x:c r="H919" s="57" t="n">
        <x:v>4</x:v>
      </x:c>
      <x:c r="I919" s="206" t="n"/>
      <x:c r="J919" s="71" t="n"/>
      <x:c r="K919" s="71" t="n"/>
      <x:c r="L919" s="71" t="inlineStr">
        <x:is>
          <x:t xml:space="preserve">NO</x:t>
        </x:is>
      </x:c>
      <x:c r="M919" s="71" t="n"/>
      <x:c r="N919" s="71" t="n"/>
      <x:c r="O919" s="71" t="n"/>
      <x:c r="P919" s="71" t="n"/>
      <x:c r="Q919" s="71" t="n"/>
      <x:c r="R919" s="71" t="n"/>
      <x:c r="S919" s="206" t="n"/>
      <x:c r="T919" s="71" t="n"/>
      <x:c r="U919" s="71" t="n"/>
      <x:c r="V919" s="71" t="n"/>
      <x:c r="W919" s="71" t="n"/>
      <x:c r="X919" s="71" t="n"/>
      <x:c r="Y919" s="71" t="n"/>
      <x:c r="Z919" s="71" t="n"/>
      <x:c r="AA919" s="71" t="n"/>
      <x:c r="AB919" s="71" t="inlineStr">
        <x:is>
          <x:t xml:space="preserve">NO</x:t>
        </x:is>
      </x:c>
      <x:c r="AC919" s="57" t="inlineStr">
        <x:is>
          <x:t xml:space="preserve">V10</x:t>
        </x:is>
      </x:c>
      <x:c r="AD919" s="57" t="n"/>
      <x:c r="AE919" s="79" t="str">
        <x:f>IF(AND(I919&lt;&gt;"",J919&lt;&gt;"",K919&lt;&gt;"",L919="YES",M919&lt;&gt;"",S919&lt;&gt;"",T919&lt;&gt;"",U919&lt;&gt;"",V919&lt;&gt;"",W919&lt;&gt;"",X919&lt;&gt;"",Y919&lt;&gt;""),"COMPLETE","PENDING")</x:f>
        <x:v>PENDING</x:v>
      </x:c>
      <x:c r="AF919" s="79" t="str">
        <x:f>IF(AE919="COMPLETE","YES","NO")</x:f>
        <x:v>NO</x:v>
      </x:c>
      <x:c r="AG919" s="214" t="str">
        <x:f>IF(AF919&lt;&gt;"YES","",(IF(V919="YES",1,0)+IF(W919="YES",1,0))/2)</x:f>
      </x:c>
    </x:row>
    <x:row r="920">
      <x:c r="A920" s="57" t="inlineStr">
        <x:is>
          <x:t xml:space="preserve">C0915</x:t>
        </x:is>
      </x:c>
      <x:c r="B920" s="57" t="inlineStr">
        <x:is>
          <x:t xml:space="preserve">Holdout</x:t>
        </x:is>
      </x:c>
      <x:c r="C920" s="57" t="inlineStr">
        <x:is>
          <x:t xml:space="preserve">LOCKED</x:t>
        </x:is>
      </x:c>
      <x:c r="D920" s="57" t="inlineStr">
        <x:is>
          <x:t xml:space="preserve">ARG-092</x:t>
        </x:is>
      </x:c>
      <x:c r="E920" s="75" t="str">
        <x:f>INDEX('Company Universe'!$B$6:$B$105,MATCH(D920,'Company Universe'!$A$6:$A$105,0))</x:f>
        <x:v>MercadoLibre</x:v>
      </x:c>
      <x:c r="F920" s="75" t="str">
        <x:f>INDEX('Company Universe'!$C$6:$C$105,MATCH(D920,'Company Universe'!$A$6:$A$105,0))</x:f>
        <x:v>MELI</x:v>
      </x:c>
      <x:c r="G920" s="75" t="str">
        <x:f>INDEX('Company Universe'!$F$6:$F$105,MATCH(D920,'Company Universe'!$A$6:$A$105,0))</x:f>
        <x:v>Consumer</x:v>
      </x:c>
      <x:c r="H920" s="57" t="n">
        <x:v>5</x:v>
      </x:c>
      <x:c r="I920" s="206" t="n"/>
      <x:c r="J920" s="71" t="n"/>
      <x:c r="K920" s="71" t="n"/>
      <x:c r="L920" s="71" t="inlineStr">
        <x:is>
          <x:t xml:space="preserve">NO</x:t>
        </x:is>
      </x:c>
      <x:c r="M920" s="71" t="n"/>
      <x:c r="N920" s="71" t="n"/>
      <x:c r="O920" s="71" t="n"/>
      <x:c r="P920" s="71" t="n"/>
      <x:c r="Q920" s="71" t="n"/>
      <x:c r="R920" s="71" t="n"/>
      <x:c r="S920" s="206" t="n"/>
      <x:c r="T920" s="71" t="n"/>
      <x:c r="U920" s="71" t="n"/>
      <x:c r="V920" s="71" t="n"/>
      <x:c r="W920" s="71" t="n"/>
      <x:c r="X920" s="71" t="n"/>
      <x:c r="Y920" s="71" t="n"/>
      <x:c r="Z920" s="71" t="n"/>
      <x:c r="AA920" s="71" t="n"/>
      <x:c r="AB920" s="71" t="inlineStr">
        <x:is>
          <x:t xml:space="preserve">NO</x:t>
        </x:is>
      </x:c>
      <x:c r="AC920" s="57" t="inlineStr">
        <x:is>
          <x:t xml:space="preserve">V10</x:t>
        </x:is>
      </x:c>
      <x:c r="AD920" s="57" t="n"/>
      <x:c r="AE920" s="79" t="str">
        <x:f>IF(AND(I920&lt;&gt;"",J920&lt;&gt;"",K920&lt;&gt;"",L920="YES",M920&lt;&gt;"",S920&lt;&gt;"",T920&lt;&gt;"",U920&lt;&gt;"",V920&lt;&gt;"",W920&lt;&gt;"",X920&lt;&gt;"",Y920&lt;&gt;""),"COMPLETE","PENDING")</x:f>
        <x:v>PENDING</x:v>
      </x:c>
      <x:c r="AF920" s="79" t="str">
        <x:f>IF(AE920="COMPLETE","YES","NO")</x:f>
        <x:v>NO</x:v>
      </x:c>
      <x:c r="AG920" s="214" t="str">
        <x:f>IF(AF920&lt;&gt;"YES","",(IF(V920="YES",1,0)+IF(W920="YES",1,0))/2)</x:f>
      </x:c>
    </x:row>
    <x:row r="921">
      <x:c r="A921" s="57" t="inlineStr">
        <x:is>
          <x:t xml:space="preserve">C0916</x:t>
        </x:is>
      </x:c>
      <x:c r="B921" s="57" t="inlineStr">
        <x:is>
          <x:t xml:space="preserve">Holdout</x:t>
        </x:is>
      </x:c>
      <x:c r="C921" s="57" t="inlineStr">
        <x:is>
          <x:t xml:space="preserve">LOCKED</x:t>
        </x:is>
      </x:c>
      <x:c r="D921" s="57" t="inlineStr">
        <x:is>
          <x:t xml:space="preserve">ARG-092</x:t>
        </x:is>
      </x:c>
      <x:c r="E921" s="75" t="str">
        <x:f>INDEX('Company Universe'!$B$6:$B$105,MATCH(D921,'Company Universe'!$A$6:$A$105,0))</x:f>
        <x:v>MercadoLibre</x:v>
      </x:c>
      <x:c r="F921" s="75" t="str">
        <x:f>INDEX('Company Universe'!$C$6:$C$105,MATCH(D921,'Company Universe'!$A$6:$A$105,0))</x:f>
        <x:v>MELI</x:v>
      </x:c>
      <x:c r="G921" s="75" t="str">
        <x:f>INDEX('Company Universe'!$F$6:$F$105,MATCH(D921,'Company Universe'!$A$6:$A$105,0))</x:f>
        <x:v>Consumer</x:v>
      </x:c>
      <x:c r="H921" s="57" t="n">
        <x:v>6</x:v>
      </x:c>
      <x:c r="I921" s="206" t="n"/>
      <x:c r="J921" s="71" t="n"/>
      <x:c r="K921" s="71" t="n"/>
      <x:c r="L921" s="71" t="inlineStr">
        <x:is>
          <x:t xml:space="preserve">NO</x:t>
        </x:is>
      </x:c>
      <x:c r="M921" s="71" t="n"/>
      <x:c r="N921" s="71" t="n"/>
      <x:c r="O921" s="71" t="n"/>
      <x:c r="P921" s="71" t="n"/>
      <x:c r="Q921" s="71" t="n"/>
      <x:c r="R921" s="71" t="n"/>
      <x:c r="S921" s="206" t="n"/>
      <x:c r="T921" s="71" t="n"/>
      <x:c r="U921" s="71" t="n"/>
      <x:c r="V921" s="71" t="n"/>
      <x:c r="W921" s="71" t="n"/>
      <x:c r="X921" s="71" t="n"/>
      <x:c r="Y921" s="71" t="n"/>
      <x:c r="Z921" s="71" t="n"/>
      <x:c r="AA921" s="71" t="n"/>
      <x:c r="AB921" s="71" t="inlineStr">
        <x:is>
          <x:t xml:space="preserve">NO</x:t>
        </x:is>
      </x:c>
      <x:c r="AC921" s="57" t="inlineStr">
        <x:is>
          <x:t xml:space="preserve">V10</x:t>
        </x:is>
      </x:c>
      <x:c r="AD921" s="57" t="n"/>
      <x:c r="AE921" s="79" t="str">
        <x:f>IF(AND(I921&lt;&gt;"",J921&lt;&gt;"",K921&lt;&gt;"",L921="YES",M921&lt;&gt;"",S921&lt;&gt;"",T921&lt;&gt;"",U921&lt;&gt;"",V921&lt;&gt;"",W921&lt;&gt;"",X921&lt;&gt;"",Y921&lt;&gt;""),"COMPLETE","PENDING")</x:f>
        <x:v>PENDING</x:v>
      </x:c>
      <x:c r="AF921" s="79" t="str">
        <x:f>IF(AE921="COMPLETE","YES","NO")</x:f>
        <x:v>NO</x:v>
      </x:c>
      <x:c r="AG921" s="214" t="str">
        <x:f>IF(AF921&lt;&gt;"YES","",(IF(V921="YES",1,0)+IF(W921="YES",1,0))/2)</x:f>
      </x:c>
    </x:row>
    <x:row r="922">
      <x:c r="A922" s="57" t="inlineStr">
        <x:is>
          <x:t xml:space="preserve">C0917</x:t>
        </x:is>
      </x:c>
      <x:c r="B922" s="57" t="inlineStr">
        <x:is>
          <x:t xml:space="preserve">Holdout</x:t>
        </x:is>
      </x:c>
      <x:c r="C922" s="57" t="inlineStr">
        <x:is>
          <x:t xml:space="preserve">LOCKED</x:t>
        </x:is>
      </x:c>
      <x:c r="D922" s="57" t="inlineStr">
        <x:is>
          <x:t xml:space="preserve">ARG-092</x:t>
        </x:is>
      </x:c>
      <x:c r="E922" s="75" t="str">
        <x:f>INDEX('Company Universe'!$B$6:$B$105,MATCH(D922,'Company Universe'!$A$6:$A$105,0))</x:f>
        <x:v>MercadoLibre</x:v>
      </x:c>
      <x:c r="F922" s="75" t="str">
        <x:f>INDEX('Company Universe'!$C$6:$C$105,MATCH(D922,'Company Universe'!$A$6:$A$105,0))</x:f>
        <x:v>MELI</x:v>
      </x:c>
      <x:c r="G922" s="75" t="str">
        <x:f>INDEX('Company Universe'!$F$6:$F$105,MATCH(D922,'Company Universe'!$A$6:$A$105,0))</x:f>
        <x:v>Consumer</x:v>
      </x:c>
      <x:c r="H922" s="57" t="n">
        <x:v>7</x:v>
      </x:c>
      <x:c r="I922" s="206" t="n"/>
      <x:c r="J922" s="71" t="n"/>
      <x:c r="K922" s="71" t="n"/>
      <x:c r="L922" s="71" t="inlineStr">
        <x:is>
          <x:t xml:space="preserve">NO</x:t>
        </x:is>
      </x:c>
      <x:c r="M922" s="71" t="n"/>
      <x:c r="N922" s="71" t="n"/>
      <x:c r="O922" s="71" t="n"/>
      <x:c r="P922" s="71" t="n"/>
      <x:c r="Q922" s="71" t="n"/>
      <x:c r="R922" s="71" t="n"/>
      <x:c r="S922" s="206" t="n"/>
      <x:c r="T922" s="71" t="n"/>
      <x:c r="U922" s="71" t="n"/>
      <x:c r="V922" s="71" t="n"/>
      <x:c r="W922" s="71" t="n"/>
      <x:c r="X922" s="71" t="n"/>
      <x:c r="Y922" s="71" t="n"/>
      <x:c r="Z922" s="71" t="n"/>
      <x:c r="AA922" s="71" t="n"/>
      <x:c r="AB922" s="71" t="inlineStr">
        <x:is>
          <x:t xml:space="preserve">NO</x:t>
        </x:is>
      </x:c>
      <x:c r="AC922" s="57" t="inlineStr">
        <x:is>
          <x:t xml:space="preserve">V10</x:t>
        </x:is>
      </x:c>
      <x:c r="AD922" s="57" t="n"/>
      <x:c r="AE922" s="79" t="str">
        <x:f>IF(AND(I922&lt;&gt;"",J922&lt;&gt;"",K922&lt;&gt;"",L922="YES",M922&lt;&gt;"",S922&lt;&gt;"",T922&lt;&gt;"",U922&lt;&gt;"",V922&lt;&gt;"",W922&lt;&gt;"",X922&lt;&gt;"",Y922&lt;&gt;""),"COMPLETE","PENDING")</x:f>
        <x:v>PENDING</x:v>
      </x:c>
      <x:c r="AF922" s="79" t="str">
        <x:f>IF(AE922="COMPLETE","YES","NO")</x:f>
        <x:v>NO</x:v>
      </x:c>
      <x:c r="AG922" s="214" t="str">
        <x:f>IF(AF922&lt;&gt;"YES","",(IF(V922="YES",1,0)+IF(W922="YES",1,0))/2)</x:f>
      </x:c>
    </x:row>
    <x:row r="923">
      <x:c r="A923" s="57" t="inlineStr">
        <x:is>
          <x:t xml:space="preserve">C0918</x:t>
        </x:is>
      </x:c>
      <x:c r="B923" s="57" t="inlineStr">
        <x:is>
          <x:t xml:space="preserve">Holdout</x:t>
        </x:is>
      </x:c>
      <x:c r="C923" s="57" t="inlineStr">
        <x:is>
          <x:t xml:space="preserve">LOCKED</x:t>
        </x:is>
      </x:c>
      <x:c r="D923" s="57" t="inlineStr">
        <x:is>
          <x:t xml:space="preserve">ARG-092</x:t>
        </x:is>
      </x:c>
      <x:c r="E923" s="75" t="str">
        <x:f>INDEX('Company Universe'!$B$6:$B$105,MATCH(D923,'Company Universe'!$A$6:$A$105,0))</x:f>
        <x:v>MercadoLibre</x:v>
      </x:c>
      <x:c r="F923" s="75" t="str">
        <x:f>INDEX('Company Universe'!$C$6:$C$105,MATCH(D923,'Company Universe'!$A$6:$A$105,0))</x:f>
        <x:v>MELI</x:v>
      </x:c>
      <x:c r="G923" s="75" t="str">
        <x:f>INDEX('Company Universe'!$F$6:$F$105,MATCH(D923,'Company Universe'!$A$6:$A$105,0))</x:f>
        <x:v>Consumer</x:v>
      </x:c>
      <x:c r="H923" s="57" t="n">
        <x:v>8</x:v>
      </x:c>
      <x:c r="I923" s="206" t="n"/>
      <x:c r="J923" s="71" t="n"/>
      <x:c r="K923" s="71" t="n"/>
      <x:c r="L923" s="71" t="inlineStr">
        <x:is>
          <x:t xml:space="preserve">NO</x:t>
        </x:is>
      </x:c>
      <x:c r="M923" s="71" t="n"/>
      <x:c r="N923" s="71" t="n"/>
      <x:c r="O923" s="71" t="n"/>
      <x:c r="P923" s="71" t="n"/>
      <x:c r="Q923" s="71" t="n"/>
      <x:c r="R923" s="71" t="n"/>
      <x:c r="S923" s="206" t="n"/>
      <x:c r="T923" s="71" t="n"/>
      <x:c r="U923" s="71" t="n"/>
      <x:c r="V923" s="71" t="n"/>
      <x:c r="W923" s="71" t="n"/>
      <x:c r="X923" s="71" t="n"/>
      <x:c r="Y923" s="71" t="n"/>
      <x:c r="Z923" s="71" t="n"/>
      <x:c r="AA923" s="71" t="n"/>
      <x:c r="AB923" s="71" t="inlineStr">
        <x:is>
          <x:t xml:space="preserve">NO</x:t>
        </x:is>
      </x:c>
      <x:c r="AC923" s="57" t="inlineStr">
        <x:is>
          <x:t xml:space="preserve">V10</x:t>
        </x:is>
      </x:c>
      <x:c r="AD923" s="57" t="n"/>
      <x:c r="AE923" s="79" t="str">
        <x:f>IF(AND(I923&lt;&gt;"",J923&lt;&gt;"",K923&lt;&gt;"",L923="YES",M923&lt;&gt;"",S923&lt;&gt;"",T923&lt;&gt;"",U923&lt;&gt;"",V923&lt;&gt;"",W923&lt;&gt;"",X923&lt;&gt;"",Y923&lt;&gt;""),"COMPLETE","PENDING")</x:f>
        <x:v>PENDING</x:v>
      </x:c>
      <x:c r="AF923" s="79" t="str">
        <x:f>IF(AE923="COMPLETE","YES","NO")</x:f>
        <x:v>NO</x:v>
      </x:c>
      <x:c r="AG923" s="214" t="str">
        <x:f>IF(AF923&lt;&gt;"YES","",(IF(V923="YES",1,0)+IF(W923="YES",1,0))/2)</x:f>
      </x:c>
    </x:row>
    <x:row r="924">
      <x:c r="A924" s="57" t="inlineStr">
        <x:is>
          <x:t xml:space="preserve">C0919</x:t>
        </x:is>
      </x:c>
      <x:c r="B924" s="57" t="inlineStr">
        <x:is>
          <x:t xml:space="preserve">Holdout</x:t>
        </x:is>
      </x:c>
      <x:c r="C924" s="57" t="inlineStr">
        <x:is>
          <x:t xml:space="preserve">LOCKED</x:t>
        </x:is>
      </x:c>
      <x:c r="D924" s="57" t="inlineStr">
        <x:is>
          <x:t xml:space="preserve">ARG-092</x:t>
        </x:is>
      </x:c>
      <x:c r="E924" s="75" t="str">
        <x:f>INDEX('Company Universe'!$B$6:$B$105,MATCH(D924,'Company Universe'!$A$6:$A$105,0))</x:f>
        <x:v>MercadoLibre</x:v>
      </x:c>
      <x:c r="F924" s="75" t="str">
        <x:f>INDEX('Company Universe'!$C$6:$C$105,MATCH(D924,'Company Universe'!$A$6:$A$105,0))</x:f>
        <x:v>MELI</x:v>
      </x:c>
      <x:c r="G924" s="75" t="str">
        <x:f>INDEX('Company Universe'!$F$6:$F$105,MATCH(D924,'Company Universe'!$A$6:$A$105,0))</x:f>
        <x:v>Consumer</x:v>
      </x:c>
      <x:c r="H924" s="57" t="n">
        <x:v>9</x:v>
      </x:c>
      <x:c r="I924" s="206" t="n"/>
      <x:c r="J924" s="71" t="n"/>
      <x:c r="K924" s="71" t="n"/>
      <x:c r="L924" s="71" t="inlineStr">
        <x:is>
          <x:t xml:space="preserve">NO</x:t>
        </x:is>
      </x:c>
      <x:c r="M924" s="71" t="n"/>
      <x:c r="N924" s="71" t="n"/>
      <x:c r="O924" s="71" t="n"/>
      <x:c r="P924" s="71" t="n"/>
      <x:c r="Q924" s="71" t="n"/>
      <x:c r="R924" s="71" t="n"/>
      <x:c r="S924" s="206" t="n"/>
      <x:c r="T924" s="71" t="n"/>
      <x:c r="U924" s="71" t="n"/>
      <x:c r="V924" s="71" t="n"/>
      <x:c r="W924" s="71" t="n"/>
      <x:c r="X924" s="71" t="n"/>
      <x:c r="Y924" s="71" t="n"/>
      <x:c r="Z924" s="71" t="n"/>
      <x:c r="AA924" s="71" t="n"/>
      <x:c r="AB924" s="71" t="inlineStr">
        <x:is>
          <x:t xml:space="preserve">NO</x:t>
        </x:is>
      </x:c>
      <x:c r="AC924" s="57" t="inlineStr">
        <x:is>
          <x:t xml:space="preserve">V10</x:t>
        </x:is>
      </x:c>
      <x:c r="AD924" s="57" t="n"/>
      <x:c r="AE924" s="79" t="str">
        <x:f>IF(AND(I924&lt;&gt;"",J924&lt;&gt;"",K924&lt;&gt;"",L924="YES",M924&lt;&gt;"",S924&lt;&gt;"",T924&lt;&gt;"",U924&lt;&gt;"",V924&lt;&gt;"",W924&lt;&gt;"",X924&lt;&gt;"",Y924&lt;&gt;""),"COMPLETE","PENDING")</x:f>
        <x:v>PENDING</x:v>
      </x:c>
      <x:c r="AF924" s="79" t="str">
        <x:f>IF(AE924="COMPLETE","YES","NO")</x:f>
        <x:v>NO</x:v>
      </x:c>
      <x:c r="AG924" s="214" t="str">
        <x:f>IF(AF924&lt;&gt;"YES","",(IF(V924="YES",1,0)+IF(W924="YES",1,0))/2)</x:f>
      </x:c>
    </x:row>
    <x:row r="925">
      <x:c r="A925" s="57" t="inlineStr">
        <x:is>
          <x:t xml:space="preserve">C0920</x:t>
        </x:is>
      </x:c>
      <x:c r="B925" s="57" t="inlineStr">
        <x:is>
          <x:t xml:space="preserve">Holdout</x:t>
        </x:is>
      </x:c>
      <x:c r="C925" s="57" t="inlineStr">
        <x:is>
          <x:t xml:space="preserve">LOCKED</x:t>
        </x:is>
      </x:c>
      <x:c r="D925" s="57" t="inlineStr">
        <x:is>
          <x:t xml:space="preserve">ARG-092</x:t>
        </x:is>
      </x:c>
      <x:c r="E925" s="75" t="str">
        <x:f>INDEX('Company Universe'!$B$6:$B$105,MATCH(D925,'Company Universe'!$A$6:$A$105,0))</x:f>
        <x:v>MercadoLibre</x:v>
      </x:c>
      <x:c r="F925" s="75" t="str">
        <x:f>INDEX('Company Universe'!$C$6:$C$105,MATCH(D925,'Company Universe'!$A$6:$A$105,0))</x:f>
        <x:v>MELI</x:v>
      </x:c>
      <x:c r="G925" s="75" t="str">
        <x:f>INDEX('Company Universe'!$F$6:$F$105,MATCH(D925,'Company Universe'!$A$6:$A$105,0))</x:f>
        <x:v>Consumer</x:v>
      </x:c>
      <x:c r="H925" s="57" t="n">
        <x:v>10</x:v>
      </x:c>
      <x:c r="I925" s="206" t="n"/>
      <x:c r="J925" s="71" t="n"/>
      <x:c r="K925" s="71" t="n"/>
      <x:c r="L925" s="71" t="inlineStr">
        <x:is>
          <x:t xml:space="preserve">NO</x:t>
        </x:is>
      </x:c>
      <x:c r="M925" s="71" t="n"/>
      <x:c r="N925" s="71" t="n"/>
      <x:c r="O925" s="71" t="n"/>
      <x:c r="P925" s="71" t="n"/>
      <x:c r="Q925" s="71" t="n"/>
      <x:c r="R925" s="71" t="n"/>
      <x:c r="S925" s="206" t="n"/>
      <x:c r="T925" s="71" t="n"/>
      <x:c r="U925" s="71" t="n"/>
      <x:c r="V925" s="71" t="n"/>
      <x:c r="W925" s="71" t="n"/>
      <x:c r="X925" s="71" t="n"/>
      <x:c r="Y925" s="71" t="n"/>
      <x:c r="Z925" s="71" t="n"/>
      <x:c r="AA925" s="71" t="n"/>
      <x:c r="AB925" s="71" t="inlineStr">
        <x:is>
          <x:t xml:space="preserve">NO</x:t>
        </x:is>
      </x:c>
      <x:c r="AC925" s="57" t="inlineStr">
        <x:is>
          <x:t xml:space="preserve">V10</x:t>
        </x:is>
      </x:c>
      <x:c r="AD925" s="57" t="n"/>
      <x:c r="AE925" s="79" t="str">
        <x:f>IF(AND(I925&lt;&gt;"",J925&lt;&gt;"",K925&lt;&gt;"",L925="YES",M925&lt;&gt;"",S925&lt;&gt;"",T925&lt;&gt;"",U925&lt;&gt;"",V925&lt;&gt;"",W925&lt;&gt;"",X925&lt;&gt;"",Y925&lt;&gt;""),"COMPLETE","PENDING")</x:f>
        <x:v>PENDING</x:v>
      </x:c>
      <x:c r="AF925" s="79" t="str">
        <x:f>IF(AE925="COMPLETE","YES","NO")</x:f>
        <x:v>NO</x:v>
      </x:c>
      <x:c r="AG925" s="214" t="str">
        <x:f>IF(AF925&lt;&gt;"YES","",(IF(V925="YES",1,0)+IF(W925="YES",1,0))/2)</x:f>
      </x:c>
    </x:row>
    <x:row r="926">
      <x:c r="A926" s="57" t="inlineStr">
        <x:is>
          <x:t xml:space="preserve">C0921</x:t>
        </x:is>
      </x:c>
      <x:c r="B926" s="57" t="inlineStr">
        <x:is>
          <x:t xml:space="preserve">Holdout</x:t>
        </x:is>
      </x:c>
      <x:c r="C926" s="57" t="inlineStr">
        <x:is>
          <x:t xml:space="preserve">LOCKED</x:t>
        </x:is>
      </x:c>
      <x:c r="D926" s="57" t="inlineStr">
        <x:is>
          <x:t xml:space="preserve">ARG-093</x:t>
        </x:is>
      </x:c>
      <x:c r="E926" s="75" t="str">
        <x:f>INDEX('Company Universe'!$B$6:$B$105,MATCH(D926,'Company Universe'!$A$6:$A$105,0))</x:f>
        <x:v>Lockheed Martin</x:v>
      </x:c>
      <x:c r="F926" s="75" t="str">
        <x:f>INDEX('Company Universe'!$C$6:$C$105,MATCH(D926,'Company Universe'!$A$6:$A$105,0))</x:f>
        <x:v>LMT</x:v>
      </x:c>
      <x:c r="G926" s="75" t="str">
        <x:f>INDEX('Company Universe'!$F$6:$F$105,MATCH(D926,'Company Universe'!$A$6:$A$105,0))</x:f>
        <x:v>Industrials &amp; Defense</x:v>
      </x:c>
      <x:c r="H926" s="57" t="n">
        <x:v>1</x:v>
      </x:c>
      <x:c r="I926" s="206" t="n"/>
      <x:c r="J926" s="71" t="n"/>
      <x:c r="K926" s="71" t="n"/>
      <x:c r="L926" s="71" t="inlineStr">
        <x:is>
          <x:t xml:space="preserve">NO</x:t>
        </x:is>
      </x:c>
      <x:c r="M926" s="71" t="n"/>
      <x:c r="N926" s="71" t="n"/>
      <x:c r="O926" s="71" t="n"/>
      <x:c r="P926" s="71" t="n"/>
      <x:c r="Q926" s="71" t="n"/>
      <x:c r="R926" s="71" t="n"/>
      <x:c r="S926" s="206" t="n"/>
      <x:c r="T926" s="71" t="n"/>
      <x:c r="U926" s="71" t="n"/>
      <x:c r="V926" s="71" t="n"/>
      <x:c r="W926" s="71" t="n"/>
      <x:c r="X926" s="71" t="n"/>
      <x:c r="Y926" s="71" t="n"/>
      <x:c r="Z926" s="71" t="n"/>
      <x:c r="AA926" s="71" t="n"/>
      <x:c r="AB926" s="71" t="inlineStr">
        <x:is>
          <x:t xml:space="preserve">NO</x:t>
        </x:is>
      </x:c>
      <x:c r="AC926" s="57" t="inlineStr">
        <x:is>
          <x:t xml:space="preserve">V10</x:t>
        </x:is>
      </x:c>
      <x:c r="AD926" s="57" t="n"/>
      <x:c r="AE926" s="79" t="str">
        <x:f>IF(AND(I926&lt;&gt;"",J926&lt;&gt;"",K926&lt;&gt;"",L926="YES",M926&lt;&gt;"",S926&lt;&gt;"",T926&lt;&gt;"",U926&lt;&gt;"",V926&lt;&gt;"",W926&lt;&gt;"",X926&lt;&gt;"",Y926&lt;&gt;""),"COMPLETE","PENDING")</x:f>
        <x:v>PENDING</x:v>
      </x:c>
      <x:c r="AF926" s="79" t="str">
        <x:f>IF(AE926="COMPLETE","YES","NO")</x:f>
        <x:v>NO</x:v>
      </x:c>
      <x:c r="AG926" s="214" t="str">
        <x:f>IF(AF926&lt;&gt;"YES","",(IF(V926="YES",1,0)+IF(W926="YES",1,0))/2)</x:f>
      </x:c>
    </x:row>
    <x:row r="927">
      <x:c r="A927" s="57" t="inlineStr">
        <x:is>
          <x:t xml:space="preserve">C0922</x:t>
        </x:is>
      </x:c>
      <x:c r="B927" s="57" t="inlineStr">
        <x:is>
          <x:t xml:space="preserve">Holdout</x:t>
        </x:is>
      </x:c>
      <x:c r="C927" s="57" t="inlineStr">
        <x:is>
          <x:t xml:space="preserve">LOCKED</x:t>
        </x:is>
      </x:c>
      <x:c r="D927" s="57" t="inlineStr">
        <x:is>
          <x:t xml:space="preserve">ARG-093</x:t>
        </x:is>
      </x:c>
      <x:c r="E927" s="75" t="str">
        <x:f>INDEX('Company Universe'!$B$6:$B$105,MATCH(D927,'Company Universe'!$A$6:$A$105,0))</x:f>
        <x:v>Lockheed Martin</x:v>
      </x:c>
      <x:c r="F927" s="75" t="str">
        <x:f>INDEX('Company Universe'!$C$6:$C$105,MATCH(D927,'Company Universe'!$A$6:$A$105,0))</x:f>
        <x:v>LMT</x:v>
      </x:c>
      <x:c r="G927" s="75" t="str">
        <x:f>INDEX('Company Universe'!$F$6:$F$105,MATCH(D927,'Company Universe'!$A$6:$A$105,0))</x:f>
        <x:v>Industrials &amp; Defense</x:v>
      </x:c>
      <x:c r="H927" s="57" t="n">
        <x:v>2</x:v>
      </x:c>
      <x:c r="I927" s="206" t="n"/>
      <x:c r="J927" s="71" t="n"/>
      <x:c r="K927" s="71" t="n"/>
      <x:c r="L927" s="71" t="inlineStr">
        <x:is>
          <x:t xml:space="preserve">NO</x:t>
        </x:is>
      </x:c>
      <x:c r="M927" s="71" t="n"/>
      <x:c r="N927" s="71" t="n"/>
      <x:c r="O927" s="71" t="n"/>
      <x:c r="P927" s="71" t="n"/>
      <x:c r="Q927" s="71" t="n"/>
      <x:c r="R927" s="71" t="n"/>
      <x:c r="S927" s="206" t="n"/>
      <x:c r="T927" s="71" t="n"/>
      <x:c r="U927" s="71" t="n"/>
      <x:c r="V927" s="71" t="n"/>
      <x:c r="W927" s="71" t="n"/>
      <x:c r="X927" s="71" t="n"/>
      <x:c r="Y927" s="71" t="n"/>
      <x:c r="Z927" s="71" t="n"/>
      <x:c r="AA927" s="71" t="n"/>
      <x:c r="AB927" s="71" t="inlineStr">
        <x:is>
          <x:t xml:space="preserve">NO</x:t>
        </x:is>
      </x:c>
      <x:c r="AC927" s="57" t="inlineStr">
        <x:is>
          <x:t xml:space="preserve">V10</x:t>
        </x:is>
      </x:c>
      <x:c r="AD927" s="57" t="n"/>
      <x:c r="AE927" s="79" t="str">
        <x:f>IF(AND(I927&lt;&gt;"",J927&lt;&gt;"",K927&lt;&gt;"",L927="YES",M927&lt;&gt;"",S927&lt;&gt;"",T927&lt;&gt;"",U927&lt;&gt;"",V927&lt;&gt;"",W927&lt;&gt;"",X927&lt;&gt;"",Y927&lt;&gt;""),"COMPLETE","PENDING")</x:f>
        <x:v>PENDING</x:v>
      </x:c>
      <x:c r="AF927" s="79" t="str">
        <x:f>IF(AE927="COMPLETE","YES","NO")</x:f>
        <x:v>NO</x:v>
      </x:c>
      <x:c r="AG927" s="214" t="str">
        <x:f>IF(AF927&lt;&gt;"YES","",(IF(V927="YES",1,0)+IF(W927="YES",1,0))/2)</x:f>
      </x:c>
    </x:row>
    <x:row r="928">
      <x:c r="A928" s="57" t="inlineStr">
        <x:is>
          <x:t xml:space="preserve">C0923</x:t>
        </x:is>
      </x:c>
      <x:c r="B928" s="57" t="inlineStr">
        <x:is>
          <x:t xml:space="preserve">Holdout</x:t>
        </x:is>
      </x:c>
      <x:c r="C928" s="57" t="inlineStr">
        <x:is>
          <x:t xml:space="preserve">LOCKED</x:t>
        </x:is>
      </x:c>
      <x:c r="D928" s="57" t="inlineStr">
        <x:is>
          <x:t xml:space="preserve">ARG-093</x:t>
        </x:is>
      </x:c>
      <x:c r="E928" s="75" t="str">
        <x:f>INDEX('Company Universe'!$B$6:$B$105,MATCH(D928,'Company Universe'!$A$6:$A$105,0))</x:f>
        <x:v>Lockheed Martin</x:v>
      </x:c>
      <x:c r="F928" s="75" t="str">
        <x:f>INDEX('Company Universe'!$C$6:$C$105,MATCH(D928,'Company Universe'!$A$6:$A$105,0))</x:f>
        <x:v>LMT</x:v>
      </x:c>
      <x:c r="G928" s="75" t="str">
        <x:f>INDEX('Company Universe'!$F$6:$F$105,MATCH(D928,'Company Universe'!$A$6:$A$105,0))</x:f>
        <x:v>Industrials &amp; Defense</x:v>
      </x:c>
      <x:c r="H928" s="57" t="n">
        <x:v>3</x:v>
      </x:c>
      <x:c r="I928" s="206" t="n"/>
      <x:c r="J928" s="71" t="n"/>
      <x:c r="K928" s="71" t="n"/>
      <x:c r="L928" s="71" t="inlineStr">
        <x:is>
          <x:t xml:space="preserve">NO</x:t>
        </x:is>
      </x:c>
      <x:c r="M928" s="71" t="n"/>
      <x:c r="N928" s="71" t="n"/>
      <x:c r="O928" s="71" t="n"/>
      <x:c r="P928" s="71" t="n"/>
      <x:c r="Q928" s="71" t="n"/>
      <x:c r="R928" s="71" t="n"/>
      <x:c r="S928" s="206" t="n"/>
      <x:c r="T928" s="71" t="n"/>
      <x:c r="U928" s="71" t="n"/>
      <x:c r="V928" s="71" t="n"/>
      <x:c r="W928" s="71" t="n"/>
      <x:c r="X928" s="71" t="n"/>
      <x:c r="Y928" s="71" t="n"/>
      <x:c r="Z928" s="71" t="n"/>
      <x:c r="AA928" s="71" t="n"/>
      <x:c r="AB928" s="71" t="inlineStr">
        <x:is>
          <x:t xml:space="preserve">NO</x:t>
        </x:is>
      </x:c>
      <x:c r="AC928" s="57" t="inlineStr">
        <x:is>
          <x:t xml:space="preserve">V10</x:t>
        </x:is>
      </x:c>
      <x:c r="AD928" s="57" t="n"/>
      <x:c r="AE928" s="79" t="str">
        <x:f>IF(AND(I928&lt;&gt;"",J928&lt;&gt;"",K928&lt;&gt;"",L928="YES",M928&lt;&gt;"",S928&lt;&gt;"",T928&lt;&gt;"",U928&lt;&gt;"",V928&lt;&gt;"",W928&lt;&gt;"",X928&lt;&gt;"",Y928&lt;&gt;""),"COMPLETE","PENDING")</x:f>
        <x:v>PENDING</x:v>
      </x:c>
      <x:c r="AF928" s="79" t="str">
        <x:f>IF(AE928="COMPLETE","YES","NO")</x:f>
        <x:v>NO</x:v>
      </x:c>
      <x:c r="AG928" s="214" t="str">
        <x:f>IF(AF928&lt;&gt;"YES","",(IF(V928="YES",1,0)+IF(W928="YES",1,0))/2)</x:f>
      </x:c>
    </x:row>
    <x:row r="929">
      <x:c r="A929" s="57" t="inlineStr">
        <x:is>
          <x:t xml:space="preserve">C0924</x:t>
        </x:is>
      </x:c>
      <x:c r="B929" s="57" t="inlineStr">
        <x:is>
          <x:t xml:space="preserve">Holdout</x:t>
        </x:is>
      </x:c>
      <x:c r="C929" s="57" t="inlineStr">
        <x:is>
          <x:t xml:space="preserve">LOCKED</x:t>
        </x:is>
      </x:c>
      <x:c r="D929" s="57" t="inlineStr">
        <x:is>
          <x:t xml:space="preserve">ARG-093</x:t>
        </x:is>
      </x:c>
      <x:c r="E929" s="75" t="str">
        <x:f>INDEX('Company Universe'!$B$6:$B$105,MATCH(D929,'Company Universe'!$A$6:$A$105,0))</x:f>
        <x:v>Lockheed Martin</x:v>
      </x:c>
      <x:c r="F929" s="75" t="str">
        <x:f>INDEX('Company Universe'!$C$6:$C$105,MATCH(D929,'Company Universe'!$A$6:$A$105,0))</x:f>
        <x:v>LMT</x:v>
      </x:c>
      <x:c r="G929" s="75" t="str">
        <x:f>INDEX('Company Universe'!$F$6:$F$105,MATCH(D929,'Company Universe'!$A$6:$A$105,0))</x:f>
        <x:v>Industrials &amp; Defense</x:v>
      </x:c>
      <x:c r="H929" s="57" t="n">
        <x:v>4</x:v>
      </x:c>
      <x:c r="I929" s="206" t="n"/>
      <x:c r="J929" s="71" t="n"/>
      <x:c r="K929" s="71" t="n"/>
      <x:c r="L929" s="71" t="inlineStr">
        <x:is>
          <x:t xml:space="preserve">NO</x:t>
        </x:is>
      </x:c>
      <x:c r="M929" s="71" t="n"/>
      <x:c r="N929" s="71" t="n"/>
      <x:c r="O929" s="71" t="n"/>
      <x:c r="P929" s="71" t="n"/>
      <x:c r="Q929" s="71" t="n"/>
      <x:c r="R929" s="71" t="n"/>
      <x:c r="S929" s="206" t="n"/>
      <x:c r="T929" s="71" t="n"/>
      <x:c r="U929" s="71" t="n"/>
      <x:c r="V929" s="71" t="n"/>
      <x:c r="W929" s="71" t="n"/>
      <x:c r="X929" s="71" t="n"/>
      <x:c r="Y929" s="71" t="n"/>
      <x:c r="Z929" s="71" t="n"/>
      <x:c r="AA929" s="71" t="n"/>
      <x:c r="AB929" s="71" t="inlineStr">
        <x:is>
          <x:t xml:space="preserve">NO</x:t>
        </x:is>
      </x:c>
      <x:c r="AC929" s="57" t="inlineStr">
        <x:is>
          <x:t xml:space="preserve">V10</x:t>
        </x:is>
      </x:c>
      <x:c r="AD929" s="57" t="n"/>
      <x:c r="AE929" s="79" t="str">
        <x:f>IF(AND(I929&lt;&gt;"",J929&lt;&gt;"",K929&lt;&gt;"",L929="YES",M929&lt;&gt;"",S929&lt;&gt;"",T929&lt;&gt;"",U929&lt;&gt;"",V929&lt;&gt;"",W929&lt;&gt;"",X929&lt;&gt;"",Y929&lt;&gt;""),"COMPLETE","PENDING")</x:f>
        <x:v>PENDING</x:v>
      </x:c>
      <x:c r="AF929" s="79" t="str">
        <x:f>IF(AE929="COMPLETE","YES","NO")</x:f>
        <x:v>NO</x:v>
      </x:c>
      <x:c r="AG929" s="214" t="str">
        <x:f>IF(AF929&lt;&gt;"YES","",(IF(V929="YES",1,0)+IF(W929="YES",1,0))/2)</x:f>
      </x:c>
    </x:row>
    <x:row r="930">
      <x:c r="A930" s="57" t="inlineStr">
        <x:is>
          <x:t xml:space="preserve">C0925</x:t>
        </x:is>
      </x:c>
      <x:c r="B930" s="57" t="inlineStr">
        <x:is>
          <x:t xml:space="preserve">Holdout</x:t>
        </x:is>
      </x:c>
      <x:c r="C930" s="57" t="inlineStr">
        <x:is>
          <x:t xml:space="preserve">LOCKED</x:t>
        </x:is>
      </x:c>
      <x:c r="D930" s="57" t="inlineStr">
        <x:is>
          <x:t xml:space="preserve">ARG-093</x:t>
        </x:is>
      </x:c>
      <x:c r="E930" s="75" t="str">
        <x:f>INDEX('Company Universe'!$B$6:$B$105,MATCH(D930,'Company Universe'!$A$6:$A$105,0))</x:f>
        <x:v>Lockheed Martin</x:v>
      </x:c>
      <x:c r="F930" s="75" t="str">
        <x:f>INDEX('Company Universe'!$C$6:$C$105,MATCH(D930,'Company Universe'!$A$6:$A$105,0))</x:f>
        <x:v>LMT</x:v>
      </x:c>
      <x:c r="G930" s="75" t="str">
        <x:f>INDEX('Company Universe'!$F$6:$F$105,MATCH(D930,'Company Universe'!$A$6:$A$105,0))</x:f>
        <x:v>Industrials &amp; Defense</x:v>
      </x:c>
      <x:c r="H930" s="57" t="n">
        <x:v>5</x:v>
      </x:c>
      <x:c r="I930" s="206" t="n"/>
      <x:c r="J930" s="71" t="n"/>
      <x:c r="K930" s="71" t="n"/>
      <x:c r="L930" s="71" t="inlineStr">
        <x:is>
          <x:t xml:space="preserve">NO</x:t>
        </x:is>
      </x:c>
      <x:c r="M930" s="71" t="n"/>
      <x:c r="N930" s="71" t="n"/>
      <x:c r="O930" s="71" t="n"/>
      <x:c r="P930" s="71" t="n"/>
      <x:c r="Q930" s="71" t="n"/>
      <x:c r="R930" s="71" t="n"/>
      <x:c r="S930" s="206" t="n"/>
      <x:c r="T930" s="71" t="n"/>
      <x:c r="U930" s="71" t="n"/>
      <x:c r="V930" s="71" t="n"/>
      <x:c r="W930" s="71" t="n"/>
      <x:c r="X930" s="71" t="n"/>
      <x:c r="Y930" s="71" t="n"/>
      <x:c r="Z930" s="71" t="n"/>
      <x:c r="AA930" s="71" t="n"/>
      <x:c r="AB930" s="71" t="inlineStr">
        <x:is>
          <x:t xml:space="preserve">NO</x:t>
        </x:is>
      </x:c>
      <x:c r="AC930" s="57" t="inlineStr">
        <x:is>
          <x:t xml:space="preserve">V10</x:t>
        </x:is>
      </x:c>
      <x:c r="AD930" s="57" t="n"/>
      <x:c r="AE930" s="79" t="str">
        <x:f>IF(AND(I930&lt;&gt;"",J930&lt;&gt;"",K930&lt;&gt;"",L930="YES",M930&lt;&gt;"",S930&lt;&gt;"",T930&lt;&gt;"",U930&lt;&gt;"",V930&lt;&gt;"",W930&lt;&gt;"",X930&lt;&gt;"",Y930&lt;&gt;""),"COMPLETE","PENDING")</x:f>
        <x:v>PENDING</x:v>
      </x:c>
      <x:c r="AF930" s="79" t="str">
        <x:f>IF(AE930="COMPLETE","YES","NO")</x:f>
        <x:v>NO</x:v>
      </x:c>
      <x:c r="AG930" s="214" t="str">
        <x:f>IF(AF930&lt;&gt;"YES","",(IF(V930="YES",1,0)+IF(W930="YES",1,0))/2)</x:f>
      </x:c>
    </x:row>
    <x:row r="931">
      <x:c r="A931" s="57" t="inlineStr">
        <x:is>
          <x:t xml:space="preserve">C0926</x:t>
        </x:is>
      </x:c>
      <x:c r="B931" s="57" t="inlineStr">
        <x:is>
          <x:t xml:space="preserve">Holdout</x:t>
        </x:is>
      </x:c>
      <x:c r="C931" s="57" t="inlineStr">
        <x:is>
          <x:t xml:space="preserve">LOCKED</x:t>
        </x:is>
      </x:c>
      <x:c r="D931" s="57" t="inlineStr">
        <x:is>
          <x:t xml:space="preserve">ARG-093</x:t>
        </x:is>
      </x:c>
      <x:c r="E931" s="75" t="str">
        <x:f>INDEX('Company Universe'!$B$6:$B$105,MATCH(D931,'Company Universe'!$A$6:$A$105,0))</x:f>
        <x:v>Lockheed Martin</x:v>
      </x:c>
      <x:c r="F931" s="75" t="str">
        <x:f>INDEX('Company Universe'!$C$6:$C$105,MATCH(D931,'Company Universe'!$A$6:$A$105,0))</x:f>
        <x:v>LMT</x:v>
      </x:c>
      <x:c r="G931" s="75" t="str">
        <x:f>INDEX('Company Universe'!$F$6:$F$105,MATCH(D931,'Company Universe'!$A$6:$A$105,0))</x:f>
        <x:v>Industrials &amp; Defense</x:v>
      </x:c>
      <x:c r="H931" s="57" t="n">
        <x:v>6</x:v>
      </x:c>
      <x:c r="I931" s="206" t="n"/>
      <x:c r="J931" s="71" t="n"/>
      <x:c r="K931" s="71" t="n"/>
      <x:c r="L931" s="71" t="inlineStr">
        <x:is>
          <x:t xml:space="preserve">NO</x:t>
        </x:is>
      </x:c>
      <x:c r="M931" s="71" t="n"/>
      <x:c r="N931" s="71" t="n"/>
      <x:c r="O931" s="71" t="n"/>
      <x:c r="P931" s="71" t="n"/>
      <x:c r="Q931" s="71" t="n"/>
      <x:c r="R931" s="71" t="n"/>
      <x:c r="S931" s="206" t="n"/>
      <x:c r="T931" s="71" t="n"/>
      <x:c r="U931" s="71" t="n"/>
      <x:c r="V931" s="71" t="n"/>
      <x:c r="W931" s="71" t="n"/>
      <x:c r="X931" s="71" t="n"/>
      <x:c r="Y931" s="71" t="n"/>
      <x:c r="Z931" s="71" t="n"/>
      <x:c r="AA931" s="71" t="n"/>
      <x:c r="AB931" s="71" t="inlineStr">
        <x:is>
          <x:t xml:space="preserve">NO</x:t>
        </x:is>
      </x:c>
      <x:c r="AC931" s="57" t="inlineStr">
        <x:is>
          <x:t xml:space="preserve">V10</x:t>
        </x:is>
      </x:c>
      <x:c r="AD931" s="57" t="n"/>
      <x:c r="AE931" s="79" t="str">
        <x:f>IF(AND(I931&lt;&gt;"",J931&lt;&gt;"",K931&lt;&gt;"",L931="YES",M931&lt;&gt;"",S931&lt;&gt;"",T931&lt;&gt;"",U931&lt;&gt;"",V931&lt;&gt;"",W931&lt;&gt;"",X931&lt;&gt;"",Y931&lt;&gt;""),"COMPLETE","PENDING")</x:f>
        <x:v>PENDING</x:v>
      </x:c>
      <x:c r="AF931" s="79" t="str">
        <x:f>IF(AE931="COMPLETE","YES","NO")</x:f>
        <x:v>NO</x:v>
      </x:c>
      <x:c r="AG931" s="214" t="str">
        <x:f>IF(AF931&lt;&gt;"YES","",(IF(V931="YES",1,0)+IF(W931="YES",1,0))/2)</x:f>
      </x:c>
    </x:row>
    <x:row r="932">
      <x:c r="A932" s="57" t="inlineStr">
        <x:is>
          <x:t xml:space="preserve">C0927</x:t>
        </x:is>
      </x:c>
      <x:c r="B932" s="57" t="inlineStr">
        <x:is>
          <x:t xml:space="preserve">Holdout</x:t>
        </x:is>
      </x:c>
      <x:c r="C932" s="57" t="inlineStr">
        <x:is>
          <x:t xml:space="preserve">LOCKED</x:t>
        </x:is>
      </x:c>
      <x:c r="D932" s="57" t="inlineStr">
        <x:is>
          <x:t xml:space="preserve">ARG-093</x:t>
        </x:is>
      </x:c>
      <x:c r="E932" s="75" t="str">
        <x:f>INDEX('Company Universe'!$B$6:$B$105,MATCH(D932,'Company Universe'!$A$6:$A$105,0))</x:f>
        <x:v>Lockheed Martin</x:v>
      </x:c>
      <x:c r="F932" s="75" t="str">
        <x:f>INDEX('Company Universe'!$C$6:$C$105,MATCH(D932,'Company Universe'!$A$6:$A$105,0))</x:f>
        <x:v>LMT</x:v>
      </x:c>
      <x:c r="G932" s="75" t="str">
        <x:f>INDEX('Company Universe'!$F$6:$F$105,MATCH(D932,'Company Universe'!$A$6:$A$105,0))</x:f>
        <x:v>Industrials &amp; Defense</x:v>
      </x:c>
      <x:c r="H932" s="57" t="n">
        <x:v>7</x:v>
      </x:c>
      <x:c r="I932" s="206" t="n"/>
      <x:c r="J932" s="71" t="n"/>
      <x:c r="K932" s="71" t="n"/>
      <x:c r="L932" s="71" t="inlineStr">
        <x:is>
          <x:t xml:space="preserve">NO</x:t>
        </x:is>
      </x:c>
      <x:c r="M932" s="71" t="n"/>
      <x:c r="N932" s="71" t="n"/>
      <x:c r="O932" s="71" t="n"/>
      <x:c r="P932" s="71" t="n"/>
      <x:c r="Q932" s="71" t="n"/>
      <x:c r="R932" s="71" t="n"/>
      <x:c r="S932" s="206" t="n"/>
      <x:c r="T932" s="71" t="n"/>
      <x:c r="U932" s="71" t="n"/>
      <x:c r="V932" s="71" t="n"/>
      <x:c r="W932" s="71" t="n"/>
      <x:c r="X932" s="71" t="n"/>
      <x:c r="Y932" s="71" t="n"/>
      <x:c r="Z932" s="71" t="n"/>
      <x:c r="AA932" s="71" t="n"/>
      <x:c r="AB932" s="71" t="inlineStr">
        <x:is>
          <x:t xml:space="preserve">NO</x:t>
        </x:is>
      </x:c>
      <x:c r="AC932" s="57" t="inlineStr">
        <x:is>
          <x:t xml:space="preserve">V10</x:t>
        </x:is>
      </x:c>
      <x:c r="AD932" s="57" t="n"/>
      <x:c r="AE932" s="79" t="str">
        <x:f>IF(AND(I932&lt;&gt;"",J932&lt;&gt;"",K932&lt;&gt;"",L932="YES",M932&lt;&gt;"",S932&lt;&gt;"",T932&lt;&gt;"",U932&lt;&gt;"",V932&lt;&gt;"",W932&lt;&gt;"",X932&lt;&gt;"",Y932&lt;&gt;""),"COMPLETE","PENDING")</x:f>
        <x:v>PENDING</x:v>
      </x:c>
      <x:c r="AF932" s="79" t="str">
        <x:f>IF(AE932="COMPLETE","YES","NO")</x:f>
        <x:v>NO</x:v>
      </x:c>
      <x:c r="AG932" s="214" t="str">
        <x:f>IF(AF932&lt;&gt;"YES","",(IF(V932="YES",1,0)+IF(W932="YES",1,0))/2)</x:f>
      </x:c>
    </x:row>
    <x:row r="933">
      <x:c r="A933" s="57" t="inlineStr">
        <x:is>
          <x:t xml:space="preserve">C0928</x:t>
        </x:is>
      </x:c>
      <x:c r="B933" s="57" t="inlineStr">
        <x:is>
          <x:t xml:space="preserve">Holdout</x:t>
        </x:is>
      </x:c>
      <x:c r="C933" s="57" t="inlineStr">
        <x:is>
          <x:t xml:space="preserve">LOCKED</x:t>
        </x:is>
      </x:c>
      <x:c r="D933" s="57" t="inlineStr">
        <x:is>
          <x:t xml:space="preserve">ARG-093</x:t>
        </x:is>
      </x:c>
      <x:c r="E933" s="75" t="str">
        <x:f>INDEX('Company Universe'!$B$6:$B$105,MATCH(D933,'Company Universe'!$A$6:$A$105,0))</x:f>
        <x:v>Lockheed Martin</x:v>
      </x:c>
      <x:c r="F933" s="75" t="str">
        <x:f>INDEX('Company Universe'!$C$6:$C$105,MATCH(D933,'Company Universe'!$A$6:$A$105,0))</x:f>
        <x:v>LMT</x:v>
      </x:c>
      <x:c r="G933" s="75" t="str">
        <x:f>INDEX('Company Universe'!$F$6:$F$105,MATCH(D933,'Company Universe'!$A$6:$A$105,0))</x:f>
        <x:v>Industrials &amp; Defense</x:v>
      </x:c>
      <x:c r="H933" s="57" t="n">
        <x:v>8</x:v>
      </x:c>
      <x:c r="I933" s="206" t="n"/>
      <x:c r="J933" s="71" t="n"/>
      <x:c r="K933" s="71" t="n"/>
      <x:c r="L933" s="71" t="inlineStr">
        <x:is>
          <x:t xml:space="preserve">NO</x:t>
        </x:is>
      </x:c>
      <x:c r="M933" s="71" t="n"/>
      <x:c r="N933" s="71" t="n"/>
      <x:c r="O933" s="71" t="n"/>
      <x:c r="P933" s="71" t="n"/>
      <x:c r="Q933" s="71" t="n"/>
      <x:c r="R933" s="71" t="n"/>
      <x:c r="S933" s="206" t="n"/>
      <x:c r="T933" s="71" t="n"/>
      <x:c r="U933" s="71" t="n"/>
      <x:c r="V933" s="71" t="n"/>
      <x:c r="W933" s="71" t="n"/>
      <x:c r="X933" s="71" t="n"/>
      <x:c r="Y933" s="71" t="n"/>
      <x:c r="Z933" s="71" t="n"/>
      <x:c r="AA933" s="71" t="n"/>
      <x:c r="AB933" s="71" t="inlineStr">
        <x:is>
          <x:t xml:space="preserve">NO</x:t>
        </x:is>
      </x:c>
      <x:c r="AC933" s="57" t="inlineStr">
        <x:is>
          <x:t xml:space="preserve">V10</x:t>
        </x:is>
      </x:c>
      <x:c r="AD933" s="57" t="n"/>
      <x:c r="AE933" s="79" t="str">
        <x:f>IF(AND(I933&lt;&gt;"",J933&lt;&gt;"",K933&lt;&gt;"",L933="YES",M933&lt;&gt;"",S933&lt;&gt;"",T933&lt;&gt;"",U933&lt;&gt;"",V933&lt;&gt;"",W933&lt;&gt;"",X933&lt;&gt;"",Y933&lt;&gt;""),"COMPLETE","PENDING")</x:f>
        <x:v>PENDING</x:v>
      </x:c>
      <x:c r="AF933" s="79" t="str">
        <x:f>IF(AE933="COMPLETE","YES","NO")</x:f>
        <x:v>NO</x:v>
      </x:c>
      <x:c r="AG933" s="214" t="str">
        <x:f>IF(AF933&lt;&gt;"YES","",(IF(V933="YES",1,0)+IF(W933="YES",1,0))/2)</x:f>
      </x:c>
    </x:row>
    <x:row r="934">
      <x:c r="A934" s="57" t="inlineStr">
        <x:is>
          <x:t xml:space="preserve">C0929</x:t>
        </x:is>
      </x:c>
      <x:c r="B934" s="57" t="inlineStr">
        <x:is>
          <x:t xml:space="preserve">Holdout</x:t>
        </x:is>
      </x:c>
      <x:c r="C934" s="57" t="inlineStr">
        <x:is>
          <x:t xml:space="preserve">LOCKED</x:t>
        </x:is>
      </x:c>
      <x:c r="D934" s="57" t="inlineStr">
        <x:is>
          <x:t xml:space="preserve">ARG-093</x:t>
        </x:is>
      </x:c>
      <x:c r="E934" s="75" t="str">
        <x:f>INDEX('Company Universe'!$B$6:$B$105,MATCH(D934,'Company Universe'!$A$6:$A$105,0))</x:f>
        <x:v>Lockheed Martin</x:v>
      </x:c>
      <x:c r="F934" s="75" t="str">
        <x:f>INDEX('Company Universe'!$C$6:$C$105,MATCH(D934,'Company Universe'!$A$6:$A$105,0))</x:f>
        <x:v>LMT</x:v>
      </x:c>
      <x:c r="G934" s="75" t="str">
        <x:f>INDEX('Company Universe'!$F$6:$F$105,MATCH(D934,'Company Universe'!$A$6:$A$105,0))</x:f>
        <x:v>Industrials &amp; Defense</x:v>
      </x:c>
      <x:c r="H934" s="57" t="n">
        <x:v>9</x:v>
      </x:c>
      <x:c r="I934" s="206" t="n"/>
      <x:c r="J934" s="71" t="n"/>
      <x:c r="K934" s="71" t="n"/>
      <x:c r="L934" s="71" t="inlineStr">
        <x:is>
          <x:t xml:space="preserve">NO</x:t>
        </x:is>
      </x:c>
      <x:c r="M934" s="71" t="n"/>
      <x:c r="N934" s="71" t="n"/>
      <x:c r="O934" s="71" t="n"/>
      <x:c r="P934" s="71" t="n"/>
      <x:c r="Q934" s="71" t="n"/>
      <x:c r="R934" s="71" t="n"/>
      <x:c r="S934" s="206" t="n"/>
      <x:c r="T934" s="71" t="n"/>
      <x:c r="U934" s="71" t="n"/>
      <x:c r="V934" s="71" t="n"/>
      <x:c r="W934" s="71" t="n"/>
      <x:c r="X934" s="71" t="n"/>
      <x:c r="Y934" s="71" t="n"/>
      <x:c r="Z934" s="71" t="n"/>
      <x:c r="AA934" s="71" t="n"/>
      <x:c r="AB934" s="71" t="inlineStr">
        <x:is>
          <x:t xml:space="preserve">NO</x:t>
        </x:is>
      </x:c>
      <x:c r="AC934" s="57" t="inlineStr">
        <x:is>
          <x:t xml:space="preserve">V10</x:t>
        </x:is>
      </x:c>
      <x:c r="AD934" s="57" t="n"/>
      <x:c r="AE934" s="79" t="str">
        <x:f>IF(AND(I934&lt;&gt;"",J934&lt;&gt;"",K934&lt;&gt;"",L934="YES",M934&lt;&gt;"",S934&lt;&gt;"",T934&lt;&gt;"",U934&lt;&gt;"",V934&lt;&gt;"",W934&lt;&gt;"",X934&lt;&gt;"",Y934&lt;&gt;""),"COMPLETE","PENDING")</x:f>
        <x:v>PENDING</x:v>
      </x:c>
      <x:c r="AF934" s="79" t="str">
        <x:f>IF(AE934="COMPLETE","YES","NO")</x:f>
        <x:v>NO</x:v>
      </x:c>
      <x:c r="AG934" s="214" t="str">
        <x:f>IF(AF934&lt;&gt;"YES","",(IF(V934="YES",1,0)+IF(W934="YES",1,0))/2)</x:f>
      </x:c>
    </x:row>
    <x:row r="935">
      <x:c r="A935" s="57" t="inlineStr">
        <x:is>
          <x:t xml:space="preserve">C0930</x:t>
        </x:is>
      </x:c>
      <x:c r="B935" s="57" t="inlineStr">
        <x:is>
          <x:t xml:space="preserve">Holdout</x:t>
        </x:is>
      </x:c>
      <x:c r="C935" s="57" t="inlineStr">
        <x:is>
          <x:t xml:space="preserve">LOCKED</x:t>
        </x:is>
      </x:c>
      <x:c r="D935" s="57" t="inlineStr">
        <x:is>
          <x:t xml:space="preserve">ARG-093</x:t>
        </x:is>
      </x:c>
      <x:c r="E935" s="75" t="str">
        <x:f>INDEX('Company Universe'!$B$6:$B$105,MATCH(D935,'Company Universe'!$A$6:$A$105,0))</x:f>
        <x:v>Lockheed Martin</x:v>
      </x:c>
      <x:c r="F935" s="75" t="str">
        <x:f>INDEX('Company Universe'!$C$6:$C$105,MATCH(D935,'Company Universe'!$A$6:$A$105,0))</x:f>
        <x:v>LMT</x:v>
      </x:c>
      <x:c r="G935" s="75" t="str">
        <x:f>INDEX('Company Universe'!$F$6:$F$105,MATCH(D935,'Company Universe'!$A$6:$A$105,0))</x:f>
        <x:v>Industrials &amp; Defense</x:v>
      </x:c>
      <x:c r="H935" s="57" t="n">
        <x:v>10</x:v>
      </x:c>
      <x:c r="I935" s="206" t="n"/>
      <x:c r="J935" s="71" t="n"/>
      <x:c r="K935" s="71" t="n"/>
      <x:c r="L935" s="71" t="inlineStr">
        <x:is>
          <x:t xml:space="preserve">NO</x:t>
        </x:is>
      </x:c>
      <x:c r="M935" s="71" t="n"/>
      <x:c r="N935" s="71" t="n"/>
      <x:c r="O935" s="71" t="n"/>
      <x:c r="P935" s="71" t="n"/>
      <x:c r="Q935" s="71" t="n"/>
      <x:c r="R935" s="71" t="n"/>
      <x:c r="S935" s="206" t="n"/>
      <x:c r="T935" s="71" t="n"/>
      <x:c r="U935" s="71" t="n"/>
      <x:c r="V935" s="71" t="n"/>
      <x:c r="W935" s="71" t="n"/>
      <x:c r="X935" s="71" t="n"/>
      <x:c r="Y935" s="71" t="n"/>
      <x:c r="Z935" s="71" t="n"/>
      <x:c r="AA935" s="71" t="n"/>
      <x:c r="AB935" s="71" t="inlineStr">
        <x:is>
          <x:t xml:space="preserve">NO</x:t>
        </x:is>
      </x:c>
      <x:c r="AC935" s="57" t="inlineStr">
        <x:is>
          <x:t xml:space="preserve">V10</x:t>
        </x:is>
      </x:c>
      <x:c r="AD935" s="57" t="n"/>
      <x:c r="AE935" s="79" t="str">
        <x:f>IF(AND(I935&lt;&gt;"",J935&lt;&gt;"",K935&lt;&gt;"",L935="YES",M935&lt;&gt;"",S935&lt;&gt;"",T935&lt;&gt;"",U935&lt;&gt;"",V935&lt;&gt;"",W935&lt;&gt;"",X935&lt;&gt;"",Y935&lt;&gt;""),"COMPLETE","PENDING")</x:f>
        <x:v>PENDING</x:v>
      </x:c>
      <x:c r="AF935" s="79" t="str">
        <x:f>IF(AE935="COMPLETE","YES","NO")</x:f>
        <x:v>NO</x:v>
      </x:c>
      <x:c r="AG935" s="214" t="str">
        <x:f>IF(AF935&lt;&gt;"YES","",(IF(V935="YES",1,0)+IF(W935="YES",1,0))/2)</x:f>
      </x:c>
    </x:row>
    <x:row r="936">
      <x:c r="A936" s="57" t="inlineStr">
        <x:is>
          <x:t xml:space="preserve">C0931</x:t>
        </x:is>
      </x:c>
      <x:c r="B936" s="57" t="inlineStr">
        <x:is>
          <x:t xml:space="preserve">Holdout</x:t>
        </x:is>
      </x:c>
      <x:c r="C936" s="57" t="inlineStr">
        <x:is>
          <x:t xml:space="preserve">LOCKED</x:t>
        </x:is>
      </x:c>
      <x:c r="D936" s="57" t="inlineStr">
        <x:is>
          <x:t xml:space="preserve">ARG-094</x:t>
        </x:is>
      </x:c>
      <x:c r="E936" s="75" t="str">
        <x:f>INDEX('Company Universe'!$B$6:$B$105,MATCH(D936,'Company Universe'!$A$6:$A$105,0))</x:f>
        <x:v>Honeywell</x:v>
      </x:c>
      <x:c r="F936" s="75" t="str">
        <x:f>INDEX('Company Universe'!$C$6:$C$105,MATCH(D936,'Company Universe'!$A$6:$A$105,0))</x:f>
        <x:v>HON</x:v>
      </x:c>
      <x:c r="G936" s="75" t="str">
        <x:f>INDEX('Company Universe'!$F$6:$F$105,MATCH(D936,'Company Universe'!$A$6:$A$105,0))</x:f>
        <x:v>Industrials &amp; Defense</x:v>
      </x:c>
      <x:c r="H936" s="57" t="n">
        <x:v>1</x:v>
      </x:c>
      <x:c r="I936" s="206" t="n"/>
      <x:c r="J936" s="71" t="n"/>
      <x:c r="K936" s="71" t="n"/>
      <x:c r="L936" s="71" t="inlineStr">
        <x:is>
          <x:t xml:space="preserve">NO</x:t>
        </x:is>
      </x:c>
      <x:c r="M936" s="71" t="n"/>
      <x:c r="N936" s="71" t="n"/>
      <x:c r="O936" s="71" t="n"/>
      <x:c r="P936" s="71" t="n"/>
      <x:c r="Q936" s="71" t="n"/>
      <x:c r="R936" s="71" t="n"/>
      <x:c r="S936" s="206" t="n"/>
      <x:c r="T936" s="71" t="n"/>
      <x:c r="U936" s="71" t="n"/>
      <x:c r="V936" s="71" t="n"/>
      <x:c r="W936" s="71" t="n"/>
      <x:c r="X936" s="71" t="n"/>
      <x:c r="Y936" s="71" t="n"/>
      <x:c r="Z936" s="71" t="n"/>
      <x:c r="AA936" s="71" t="n"/>
      <x:c r="AB936" s="71" t="inlineStr">
        <x:is>
          <x:t xml:space="preserve">NO</x:t>
        </x:is>
      </x:c>
      <x:c r="AC936" s="57" t="inlineStr">
        <x:is>
          <x:t xml:space="preserve">V10</x:t>
        </x:is>
      </x:c>
      <x:c r="AD936" s="57" t="n"/>
      <x:c r="AE936" s="79" t="str">
        <x:f>IF(AND(I936&lt;&gt;"",J936&lt;&gt;"",K936&lt;&gt;"",L936="YES",M936&lt;&gt;"",S936&lt;&gt;"",T936&lt;&gt;"",U936&lt;&gt;"",V936&lt;&gt;"",W936&lt;&gt;"",X936&lt;&gt;"",Y936&lt;&gt;""),"COMPLETE","PENDING")</x:f>
        <x:v>PENDING</x:v>
      </x:c>
      <x:c r="AF936" s="79" t="str">
        <x:f>IF(AE936="COMPLETE","YES","NO")</x:f>
        <x:v>NO</x:v>
      </x:c>
      <x:c r="AG936" s="214" t="str">
        <x:f>IF(AF936&lt;&gt;"YES","",(IF(V936="YES",1,0)+IF(W936="YES",1,0))/2)</x:f>
      </x:c>
    </x:row>
    <x:row r="937">
      <x:c r="A937" s="57" t="inlineStr">
        <x:is>
          <x:t xml:space="preserve">C0932</x:t>
        </x:is>
      </x:c>
      <x:c r="B937" s="57" t="inlineStr">
        <x:is>
          <x:t xml:space="preserve">Holdout</x:t>
        </x:is>
      </x:c>
      <x:c r="C937" s="57" t="inlineStr">
        <x:is>
          <x:t xml:space="preserve">LOCKED</x:t>
        </x:is>
      </x:c>
      <x:c r="D937" s="57" t="inlineStr">
        <x:is>
          <x:t xml:space="preserve">ARG-094</x:t>
        </x:is>
      </x:c>
      <x:c r="E937" s="75" t="str">
        <x:f>INDEX('Company Universe'!$B$6:$B$105,MATCH(D937,'Company Universe'!$A$6:$A$105,0))</x:f>
        <x:v>Honeywell</x:v>
      </x:c>
      <x:c r="F937" s="75" t="str">
        <x:f>INDEX('Company Universe'!$C$6:$C$105,MATCH(D937,'Company Universe'!$A$6:$A$105,0))</x:f>
        <x:v>HON</x:v>
      </x:c>
      <x:c r="G937" s="75" t="str">
        <x:f>INDEX('Company Universe'!$F$6:$F$105,MATCH(D937,'Company Universe'!$A$6:$A$105,0))</x:f>
        <x:v>Industrials &amp; Defense</x:v>
      </x:c>
      <x:c r="H937" s="57" t="n">
        <x:v>2</x:v>
      </x:c>
      <x:c r="I937" s="206" t="n"/>
      <x:c r="J937" s="71" t="n"/>
      <x:c r="K937" s="71" t="n"/>
      <x:c r="L937" s="71" t="inlineStr">
        <x:is>
          <x:t xml:space="preserve">NO</x:t>
        </x:is>
      </x:c>
      <x:c r="M937" s="71" t="n"/>
      <x:c r="N937" s="71" t="n"/>
      <x:c r="O937" s="71" t="n"/>
      <x:c r="P937" s="71" t="n"/>
      <x:c r="Q937" s="71" t="n"/>
      <x:c r="R937" s="71" t="n"/>
      <x:c r="S937" s="206" t="n"/>
      <x:c r="T937" s="71" t="n"/>
      <x:c r="U937" s="71" t="n"/>
      <x:c r="V937" s="71" t="n"/>
      <x:c r="W937" s="71" t="n"/>
      <x:c r="X937" s="71" t="n"/>
      <x:c r="Y937" s="71" t="n"/>
      <x:c r="Z937" s="71" t="n"/>
      <x:c r="AA937" s="71" t="n"/>
      <x:c r="AB937" s="71" t="inlineStr">
        <x:is>
          <x:t xml:space="preserve">NO</x:t>
        </x:is>
      </x:c>
      <x:c r="AC937" s="57" t="inlineStr">
        <x:is>
          <x:t xml:space="preserve">V10</x:t>
        </x:is>
      </x:c>
      <x:c r="AD937" s="57" t="n"/>
      <x:c r="AE937" s="79" t="str">
        <x:f>IF(AND(I937&lt;&gt;"",J937&lt;&gt;"",K937&lt;&gt;"",L937="YES",M937&lt;&gt;"",S937&lt;&gt;"",T937&lt;&gt;"",U937&lt;&gt;"",V937&lt;&gt;"",W937&lt;&gt;"",X937&lt;&gt;"",Y937&lt;&gt;""),"COMPLETE","PENDING")</x:f>
        <x:v>PENDING</x:v>
      </x:c>
      <x:c r="AF937" s="79" t="str">
        <x:f>IF(AE937="COMPLETE","YES","NO")</x:f>
        <x:v>NO</x:v>
      </x:c>
      <x:c r="AG937" s="214" t="str">
        <x:f>IF(AF937&lt;&gt;"YES","",(IF(V937="YES",1,0)+IF(W937="YES",1,0))/2)</x:f>
      </x:c>
    </x:row>
    <x:row r="938">
      <x:c r="A938" s="57" t="inlineStr">
        <x:is>
          <x:t xml:space="preserve">C0933</x:t>
        </x:is>
      </x:c>
      <x:c r="B938" s="57" t="inlineStr">
        <x:is>
          <x:t xml:space="preserve">Holdout</x:t>
        </x:is>
      </x:c>
      <x:c r="C938" s="57" t="inlineStr">
        <x:is>
          <x:t xml:space="preserve">LOCKED</x:t>
        </x:is>
      </x:c>
      <x:c r="D938" s="57" t="inlineStr">
        <x:is>
          <x:t xml:space="preserve">ARG-094</x:t>
        </x:is>
      </x:c>
      <x:c r="E938" s="75" t="str">
        <x:f>INDEX('Company Universe'!$B$6:$B$105,MATCH(D938,'Company Universe'!$A$6:$A$105,0))</x:f>
        <x:v>Honeywell</x:v>
      </x:c>
      <x:c r="F938" s="75" t="str">
        <x:f>INDEX('Company Universe'!$C$6:$C$105,MATCH(D938,'Company Universe'!$A$6:$A$105,0))</x:f>
        <x:v>HON</x:v>
      </x:c>
      <x:c r="G938" s="75" t="str">
        <x:f>INDEX('Company Universe'!$F$6:$F$105,MATCH(D938,'Company Universe'!$A$6:$A$105,0))</x:f>
        <x:v>Industrials &amp; Defense</x:v>
      </x:c>
      <x:c r="H938" s="57" t="n">
        <x:v>3</x:v>
      </x:c>
      <x:c r="I938" s="206" t="n"/>
      <x:c r="J938" s="71" t="n"/>
      <x:c r="K938" s="71" t="n"/>
      <x:c r="L938" s="71" t="inlineStr">
        <x:is>
          <x:t xml:space="preserve">NO</x:t>
        </x:is>
      </x:c>
      <x:c r="M938" s="71" t="n"/>
      <x:c r="N938" s="71" t="n"/>
      <x:c r="O938" s="71" t="n"/>
      <x:c r="P938" s="71" t="n"/>
      <x:c r="Q938" s="71" t="n"/>
      <x:c r="R938" s="71" t="n"/>
      <x:c r="S938" s="206" t="n"/>
      <x:c r="T938" s="71" t="n"/>
      <x:c r="U938" s="71" t="n"/>
      <x:c r="V938" s="71" t="n"/>
      <x:c r="W938" s="71" t="n"/>
      <x:c r="X938" s="71" t="n"/>
      <x:c r="Y938" s="71" t="n"/>
      <x:c r="Z938" s="71" t="n"/>
      <x:c r="AA938" s="71" t="n"/>
      <x:c r="AB938" s="71" t="inlineStr">
        <x:is>
          <x:t xml:space="preserve">NO</x:t>
        </x:is>
      </x:c>
      <x:c r="AC938" s="57" t="inlineStr">
        <x:is>
          <x:t xml:space="preserve">V10</x:t>
        </x:is>
      </x:c>
      <x:c r="AD938" s="57" t="n"/>
      <x:c r="AE938" s="79" t="str">
        <x:f>IF(AND(I938&lt;&gt;"",J938&lt;&gt;"",K938&lt;&gt;"",L938="YES",M938&lt;&gt;"",S938&lt;&gt;"",T938&lt;&gt;"",U938&lt;&gt;"",V938&lt;&gt;"",W938&lt;&gt;"",X938&lt;&gt;"",Y938&lt;&gt;""),"COMPLETE","PENDING")</x:f>
        <x:v>PENDING</x:v>
      </x:c>
      <x:c r="AF938" s="79" t="str">
        <x:f>IF(AE938="COMPLETE","YES","NO")</x:f>
        <x:v>NO</x:v>
      </x:c>
      <x:c r="AG938" s="214" t="str">
        <x:f>IF(AF938&lt;&gt;"YES","",(IF(V938="YES",1,0)+IF(W938="YES",1,0))/2)</x:f>
      </x:c>
    </x:row>
    <x:row r="939">
      <x:c r="A939" s="57" t="inlineStr">
        <x:is>
          <x:t xml:space="preserve">C0934</x:t>
        </x:is>
      </x:c>
      <x:c r="B939" s="57" t="inlineStr">
        <x:is>
          <x:t xml:space="preserve">Holdout</x:t>
        </x:is>
      </x:c>
      <x:c r="C939" s="57" t="inlineStr">
        <x:is>
          <x:t xml:space="preserve">LOCKED</x:t>
        </x:is>
      </x:c>
      <x:c r="D939" s="57" t="inlineStr">
        <x:is>
          <x:t xml:space="preserve">ARG-094</x:t>
        </x:is>
      </x:c>
      <x:c r="E939" s="75" t="str">
        <x:f>INDEX('Company Universe'!$B$6:$B$105,MATCH(D939,'Company Universe'!$A$6:$A$105,0))</x:f>
        <x:v>Honeywell</x:v>
      </x:c>
      <x:c r="F939" s="75" t="str">
        <x:f>INDEX('Company Universe'!$C$6:$C$105,MATCH(D939,'Company Universe'!$A$6:$A$105,0))</x:f>
        <x:v>HON</x:v>
      </x:c>
      <x:c r="G939" s="75" t="str">
        <x:f>INDEX('Company Universe'!$F$6:$F$105,MATCH(D939,'Company Universe'!$A$6:$A$105,0))</x:f>
        <x:v>Industrials &amp; Defense</x:v>
      </x:c>
      <x:c r="H939" s="57" t="n">
        <x:v>4</x:v>
      </x:c>
      <x:c r="I939" s="206" t="n"/>
      <x:c r="J939" s="71" t="n"/>
      <x:c r="K939" s="71" t="n"/>
      <x:c r="L939" s="71" t="inlineStr">
        <x:is>
          <x:t xml:space="preserve">NO</x:t>
        </x:is>
      </x:c>
      <x:c r="M939" s="71" t="n"/>
      <x:c r="N939" s="71" t="n"/>
      <x:c r="O939" s="71" t="n"/>
      <x:c r="P939" s="71" t="n"/>
      <x:c r="Q939" s="71" t="n"/>
      <x:c r="R939" s="71" t="n"/>
      <x:c r="S939" s="206" t="n"/>
      <x:c r="T939" s="71" t="n"/>
      <x:c r="U939" s="71" t="n"/>
      <x:c r="V939" s="71" t="n"/>
      <x:c r="W939" s="71" t="n"/>
      <x:c r="X939" s="71" t="n"/>
      <x:c r="Y939" s="71" t="n"/>
      <x:c r="Z939" s="71" t="n"/>
      <x:c r="AA939" s="71" t="n"/>
      <x:c r="AB939" s="71" t="inlineStr">
        <x:is>
          <x:t xml:space="preserve">NO</x:t>
        </x:is>
      </x:c>
      <x:c r="AC939" s="57" t="inlineStr">
        <x:is>
          <x:t xml:space="preserve">V10</x:t>
        </x:is>
      </x:c>
      <x:c r="AD939" s="57" t="n"/>
      <x:c r="AE939" s="79" t="str">
        <x:f>IF(AND(I939&lt;&gt;"",J939&lt;&gt;"",K939&lt;&gt;"",L939="YES",M939&lt;&gt;"",S939&lt;&gt;"",T939&lt;&gt;"",U939&lt;&gt;"",V939&lt;&gt;"",W939&lt;&gt;"",X939&lt;&gt;"",Y939&lt;&gt;""),"COMPLETE","PENDING")</x:f>
        <x:v>PENDING</x:v>
      </x:c>
      <x:c r="AF939" s="79" t="str">
        <x:f>IF(AE939="COMPLETE","YES","NO")</x:f>
        <x:v>NO</x:v>
      </x:c>
      <x:c r="AG939" s="214" t="str">
        <x:f>IF(AF939&lt;&gt;"YES","",(IF(V939="YES",1,0)+IF(W939="YES",1,0))/2)</x:f>
      </x:c>
    </x:row>
    <x:row r="940">
      <x:c r="A940" s="57" t="inlineStr">
        <x:is>
          <x:t xml:space="preserve">C0935</x:t>
        </x:is>
      </x:c>
      <x:c r="B940" s="57" t="inlineStr">
        <x:is>
          <x:t xml:space="preserve">Holdout</x:t>
        </x:is>
      </x:c>
      <x:c r="C940" s="57" t="inlineStr">
        <x:is>
          <x:t xml:space="preserve">LOCKED</x:t>
        </x:is>
      </x:c>
      <x:c r="D940" s="57" t="inlineStr">
        <x:is>
          <x:t xml:space="preserve">ARG-094</x:t>
        </x:is>
      </x:c>
      <x:c r="E940" s="75" t="str">
        <x:f>INDEX('Company Universe'!$B$6:$B$105,MATCH(D940,'Company Universe'!$A$6:$A$105,0))</x:f>
        <x:v>Honeywell</x:v>
      </x:c>
      <x:c r="F940" s="75" t="str">
        <x:f>INDEX('Company Universe'!$C$6:$C$105,MATCH(D940,'Company Universe'!$A$6:$A$105,0))</x:f>
        <x:v>HON</x:v>
      </x:c>
      <x:c r="G940" s="75" t="str">
        <x:f>INDEX('Company Universe'!$F$6:$F$105,MATCH(D940,'Company Universe'!$A$6:$A$105,0))</x:f>
        <x:v>Industrials &amp; Defense</x:v>
      </x:c>
      <x:c r="H940" s="57" t="n">
        <x:v>5</x:v>
      </x:c>
      <x:c r="I940" s="206" t="n"/>
      <x:c r="J940" s="71" t="n"/>
      <x:c r="K940" s="71" t="n"/>
      <x:c r="L940" s="71" t="inlineStr">
        <x:is>
          <x:t xml:space="preserve">NO</x:t>
        </x:is>
      </x:c>
      <x:c r="M940" s="71" t="n"/>
      <x:c r="N940" s="71" t="n"/>
      <x:c r="O940" s="71" t="n"/>
      <x:c r="P940" s="71" t="n"/>
      <x:c r="Q940" s="71" t="n"/>
      <x:c r="R940" s="71" t="n"/>
      <x:c r="S940" s="206" t="n"/>
      <x:c r="T940" s="71" t="n"/>
      <x:c r="U940" s="71" t="n"/>
      <x:c r="V940" s="71" t="n"/>
      <x:c r="W940" s="71" t="n"/>
      <x:c r="X940" s="71" t="n"/>
      <x:c r="Y940" s="71" t="n"/>
      <x:c r="Z940" s="71" t="n"/>
      <x:c r="AA940" s="71" t="n"/>
      <x:c r="AB940" s="71" t="inlineStr">
        <x:is>
          <x:t xml:space="preserve">NO</x:t>
        </x:is>
      </x:c>
      <x:c r="AC940" s="57" t="inlineStr">
        <x:is>
          <x:t xml:space="preserve">V10</x:t>
        </x:is>
      </x:c>
      <x:c r="AD940" s="57" t="n"/>
      <x:c r="AE940" s="79" t="str">
        <x:f>IF(AND(I940&lt;&gt;"",J940&lt;&gt;"",K940&lt;&gt;"",L940="YES",M940&lt;&gt;"",S940&lt;&gt;"",T940&lt;&gt;"",U940&lt;&gt;"",V940&lt;&gt;"",W940&lt;&gt;"",X940&lt;&gt;"",Y940&lt;&gt;""),"COMPLETE","PENDING")</x:f>
        <x:v>PENDING</x:v>
      </x:c>
      <x:c r="AF940" s="79" t="str">
        <x:f>IF(AE940="COMPLETE","YES","NO")</x:f>
        <x:v>NO</x:v>
      </x:c>
      <x:c r="AG940" s="214" t="str">
        <x:f>IF(AF940&lt;&gt;"YES","",(IF(V940="YES",1,0)+IF(W940="YES",1,0))/2)</x:f>
      </x:c>
    </x:row>
    <x:row r="941">
      <x:c r="A941" s="57" t="inlineStr">
        <x:is>
          <x:t xml:space="preserve">C0936</x:t>
        </x:is>
      </x:c>
      <x:c r="B941" s="57" t="inlineStr">
        <x:is>
          <x:t xml:space="preserve">Holdout</x:t>
        </x:is>
      </x:c>
      <x:c r="C941" s="57" t="inlineStr">
        <x:is>
          <x:t xml:space="preserve">LOCKED</x:t>
        </x:is>
      </x:c>
      <x:c r="D941" s="57" t="inlineStr">
        <x:is>
          <x:t xml:space="preserve">ARG-094</x:t>
        </x:is>
      </x:c>
      <x:c r="E941" s="75" t="str">
        <x:f>INDEX('Company Universe'!$B$6:$B$105,MATCH(D941,'Company Universe'!$A$6:$A$105,0))</x:f>
        <x:v>Honeywell</x:v>
      </x:c>
      <x:c r="F941" s="75" t="str">
        <x:f>INDEX('Company Universe'!$C$6:$C$105,MATCH(D941,'Company Universe'!$A$6:$A$105,0))</x:f>
        <x:v>HON</x:v>
      </x:c>
      <x:c r="G941" s="75" t="str">
        <x:f>INDEX('Company Universe'!$F$6:$F$105,MATCH(D941,'Company Universe'!$A$6:$A$105,0))</x:f>
        <x:v>Industrials &amp; Defense</x:v>
      </x:c>
      <x:c r="H941" s="57" t="n">
        <x:v>6</x:v>
      </x:c>
      <x:c r="I941" s="206" t="n"/>
      <x:c r="J941" s="71" t="n"/>
      <x:c r="K941" s="71" t="n"/>
      <x:c r="L941" s="71" t="inlineStr">
        <x:is>
          <x:t xml:space="preserve">NO</x:t>
        </x:is>
      </x:c>
      <x:c r="M941" s="71" t="n"/>
      <x:c r="N941" s="71" t="n"/>
      <x:c r="O941" s="71" t="n"/>
      <x:c r="P941" s="71" t="n"/>
      <x:c r="Q941" s="71" t="n"/>
      <x:c r="R941" s="71" t="n"/>
      <x:c r="S941" s="206" t="n"/>
      <x:c r="T941" s="71" t="n"/>
      <x:c r="U941" s="71" t="n"/>
      <x:c r="V941" s="71" t="n"/>
      <x:c r="W941" s="71" t="n"/>
      <x:c r="X941" s="71" t="n"/>
      <x:c r="Y941" s="71" t="n"/>
      <x:c r="Z941" s="71" t="n"/>
      <x:c r="AA941" s="71" t="n"/>
      <x:c r="AB941" s="71" t="inlineStr">
        <x:is>
          <x:t xml:space="preserve">NO</x:t>
        </x:is>
      </x:c>
      <x:c r="AC941" s="57" t="inlineStr">
        <x:is>
          <x:t xml:space="preserve">V10</x:t>
        </x:is>
      </x:c>
      <x:c r="AD941" s="57" t="n"/>
      <x:c r="AE941" s="79" t="str">
        <x:f>IF(AND(I941&lt;&gt;"",J941&lt;&gt;"",K941&lt;&gt;"",L941="YES",M941&lt;&gt;"",S941&lt;&gt;"",T941&lt;&gt;"",U941&lt;&gt;"",V941&lt;&gt;"",W941&lt;&gt;"",X941&lt;&gt;"",Y941&lt;&gt;""),"COMPLETE","PENDING")</x:f>
        <x:v>PENDING</x:v>
      </x:c>
      <x:c r="AF941" s="79" t="str">
        <x:f>IF(AE941="COMPLETE","YES","NO")</x:f>
        <x:v>NO</x:v>
      </x:c>
      <x:c r="AG941" s="214" t="str">
        <x:f>IF(AF941&lt;&gt;"YES","",(IF(V941="YES",1,0)+IF(W941="YES",1,0))/2)</x:f>
      </x:c>
    </x:row>
    <x:row r="942">
      <x:c r="A942" s="57" t="inlineStr">
        <x:is>
          <x:t xml:space="preserve">C0937</x:t>
        </x:is>
      </x:c>
      <x:c r="B942" s="57" t="inlineStr">
        <x:is>
          <x:t xml:space="preserve">Holdout</x:t>
        </x:is>
      </x:c>
      <x:c r="C942" s="57" t="inlineStr">
        <x:is>
          <x:t xml:space="preserve">LOCKED</x:t>
        </x:is>
      </x:c>
      <x:c r="D942" s="57" t="inlineStr">
        <x:is>
          <x:t xml:space="preserve">ARG-094</x:t>
        </x:is>
      </x:c>
      <x:c r="E942" s="75" t="str">
        <x:f>INDEX('Company Universe'!$B$6:$B$105,MATCH(D942,'Company Universe'!$A$6:$A$105,0))</x:f>
        <x:v>Honeywell</x:v>
      </x:c>
      <x:c r="F942" s="75" t="str">
        <x:f>INDEX('Company Universe'!$C$6:$C$105,MATCH(D942,'Company Universe'!$A$6:$A$105,0))</x:f>
        <x:v>HON</x:v>
      </x:c>
      <x:c r="G942" s="75" t="str">
        <x:f>INDEX('Company Universe'!$F$6:$F$105,MATCH(D942,'Company Universe'!$A$6:$A$105,0))</x:f>
        <x:v>Industrials &amp; Defense</x:v>
      </x:c>
      <x:c r="H942" s="57" t="n">
        <x:v>7</x:v>
      </x:c>
      <x:c r="I942" s="206" t="n"/>
      <x:c r="J942" s="71" t="n"/>
      <x:c r="K942" s="71" t="n"/>
      <x:c r="L942" s="71" t="inlineStr">
        <x:is>
          <x:t xml:space="preserve">NO</x:t>
        </x:is>
      </x:c>
      <x:c r="M942" s="71" t="n"/>
      <x:c r="N942" s="71" t="n"/>
      <x:c r="O942" s="71" t="n"/>
      <x:c r="P942" s="71" t="n"/>
      <x:c r="Q942" s="71" t="n"/>
      <x:c r="R942" s="71" t="n"/>
      <x:c r="S942" s="206" t="n"/>
      <x:c r="T942" s="71" t="n"/>
      <x:c r="U942" s="71" t="n"/>
      <x:c r="V942" s="71" t="n"/>
      <x:c r="W942" s="71" t="n"/>
      <x:c r="X942" s="71" t="n"/>
      <x:c r="Y942" s="71" t="n"/>
      <x:c r="Z942" s="71" t="n"/>
      <x:c r="AA942" s="71" t="n"/>
      <x:c r="AB942" s="71" t="inlineStr">
        <x:is>
          <x:t xml:space="preserve">NO</x:t>
        </x:is>
      </x:c>
      <x:c r="AC942" s="57" t="inlineStr">
        <x:is>
          <x:t xml:space="preserve">V10</x:t>
        </x:is>
      </x:c>
      <x:c r="AD942" s="57" t="n"/>
      <x:c r="AE942" s="79" t="str">
        <x:f>IF(AND(I942&lt;&gt;"",J942&lt;&gt;"",K942&lt;&gt;"",L942="YES",M942&lt;&gt;"",S942&lt;&gt;"",T942&lt;&gt;"",U942&lt;&gt;"",V942&lt;&gt;"",W942&lt;&gt;"",X942&lt;&gt;"",Y942&lt;&gt;""),"COMPLETE","PENDING")</x:f>
        <x:v>PENDING</x:v>
      </x:c>
      <x:c r="AF942" s="79" t="str">
        <x:f>IF(AE942="COMPLETE","YES","NO")</x:f>
        <x:v>NO</x:v>
      </x:c>
      <x:c r="AG942" s="214" t="str">
        <x:f>IF(AF942&lt;&gt;"YES","",(IF(V942="YES",1,0)+IF(W942="YES",1,0))/2)</x:f>
      </x:c>
    </x:row>
    <x:row r="943">
      <x:c r="A943" s="57" t="inlineStr">
        <x:is>
          <x:t xml:space="preserve">C0938</x:t>
        </x:is>
      </x:c>
      <x:c r="B943" s="57" t="inlineStr">
        <x:is>
          <x:t xml:space="preserve">Holdout</x:t>
        </x:is>
      </x:c>
      <x:c r="C943" s="57" t="inlineStr">
        <x:is>
          <x:t xml:space="preserve">LOCKED</x:t>
        </x:is>
      </x:c>
      <x:c r="D943" s="57" t="inlineStr">
        <x:is>
          <x:t xml:space="preserve">ARG-094</x:t>
        </x:is>
      </x:c>
      <x:c r="E943" s="75" t="str">
        <x:f>INDEX('Company Universe'!$B$6:$B$105,MATCH(D943,'Company Universe'!$A$6:$A$105,0))</x:f>
        <x:v>Honeywell</x:v>
      </x:c>
      <x:c r="F943" s="75" t="str">
        <x:f>INDEX('Company Universe'!$C$6:$C$105,MATCH(D943,'Company Universe'!$A$6:$A$105,0))</x:f>
        <x:v>HON</x:v>
      </x:c>
      <x:c r="G943" s="75" t="str">
        <x:f>INDEX('Company Universe'!$F$6:$F$105,MATCH(D943,'Company Universe'!$A$6:$A$105,0))</x:f>
        <x:v>Industrials &amp; Defense</x:v>
      </x:c>
      <x:c r="H943" s="57" t="n">
        <x:v>8</x:v>
      </x:c>
      <x:c r="I943" s="206" t="n"/>
      <x:c r="J943" s="71" t="n"/>
      <x:c r="K943" s="71" t="n"/>
      <x:c r="L943" s="71" t="inlineStr">
        <x:is>
          <x:t xml:space="preserve">NO</x:t>
        </x:is>
      </x:c>
      <x:c r="M943" s="71" t="n"/>
      <x:c r="N943" s="71" t="n"/>
      <x:c r="O943" s="71" t="n"/>
      <x:c r="P943" s="71" t="n"/>
      <x:c r="Q943" s="71" t="n"/>
      <x:c r="R943" s="71" t="n"/>
      <x:c r="S943" s="206" t="n"/>
      <x:c r="T943" s="71" t="n"/>
      <x:c r="U943" s="71" t="n"/>
      <x:c r="V943" s="71" t="n"/>
      <x:c r="W943" s="71" t="n"/>
      <x:c r="X943" s="71" t="n"/>
      <x:c r="Y943" s="71" t="n"/>
      <x:c r="Z943" s="71" t="n"/>
      <x:c r="AA943" s="71" t="n"/>
      <x:c r="AB943" s="71" t="inlineStr">
        <x:is>
          <x:t xml:space="preserve">NO</x:t>
        </x:is>
      </x:c>
      <x:c r="AC943" s="57" t="inlineStr">
        <x:is>
          <x:t xml:space="preserve">V10</x:t>
        </x:is>
      </x:c>
      <x:c r="AD943" s="57" t="n"/>
      <x:c r="AE943" s="79" t="str">
        <x:f>IF(AND(I943&lt;&gt;"",J943&lt;&gt;"",K943&lt;&gt;"",L943="YES",M943&lt;&gt;"",S943&lt;&gt;"",T943&lt;&gt;"",U943&lt;&gt;"",V943&lt;&gt;"",W943&lt;&gt;"",X943&lt;&gt;"",Y943&lt;&gt;""),"COMPLETE","PENDING")</x:f>
        <x:v>PENDING</x:v>
      </x:c>
      <x:c r="AF943" s="79" t="str">
        <x:f>IF(AE943="COMPLETE","YES","NO")</x:f>
        <x:v>NO</x:v>
      </x:c>
      <x:c r="AG943" s="214" t="str">
        <x:f>IF(AF943&lt;&gt;"YES","",(IF(V943="YES",1,0)+IF(W943="YES",1,0))/2)</x:f>
      </x:c>
    </x:row>
    <x:row r="944">
      <x:c r="A944" s="57" t="inlineStr">
        <x:is>
          <x:t xml:space="preserve">C0939</x:t>
        </x:is>
      </x:c>
      <x:c r="B944" s="57" t="inlineStr">
        <x:is>
          <x:t xml:space="preserve">Holdout</x:t>
        </x:is>
      </x:c>
      <x:c r="C944" s="57" t="inlineStr">
        <x:is>
          <x:t xml:space="preserve">LOCKED</x:t>
        </x:is>
      </x:c>
      <x:c r="D944" s="57" t="inlineStr">
        <x:is>
          <x:t xml:space="preserve">ARG-094</x:t>
        </x:is>
      </x:c>
      <x:c r="E944" s="75" t="str">
        <x:f>INDEX('Company Universe'!$B$6:$B$105,MATCH(D944,'Company Universe'!$A$6:$A$105,0))</x:f>
        <x:v>Honeywell</x:v>
      </x:c>
      <x:c r="F944" s="75" t="str">
        <x:f>INDEX('Company Universe'!$C$6:$C$105,MATCH(D944,'Company Universe'!$A$6:$A$105,0))</x:f>
        <x:v>HON</x:v>
      </x:c>
      <x:c r="G944" s="75" t="str">
        <x:f>INDEX('Company Universe'!$F$6:$F$105,MATCH(D944,'Company Universe'!$A$6:$A$105,0))</x:f>
        <x:v>Industrials &amp; Defense</x:v>
      </x:c>
      <x:c r="H944" s="57" t="n">
        <x:v>9</x:v>
      </x:c>
      <x:c r="I944" s="206" t="n"/>
      <x:c r="J944" s="71" t="n"/>
      <x:c r="K944" s="71" t="n"/>
      <x:c r="L944" s="71" t="inlineStr">
        <x:is>
          <x:t xml:space="preserve">NO</x:t>
        </x:is>
      </x:c>
      <x:c r="M944" s="71" t="n"/>
      <x:c r="N944" s="71" t="n"/>
      <x:c r="O944" s="71" t="n"/>
      <x:c r="P944" s="71" t="n"/>
      <x:c r="Q944" s="71" t="n"/>
      <x:c r="R944" s="71" t="n"/>
      <x:c r="S944" s="206" t="n"/>
      <x:c r="T944" s="71" t="n"/>
      <x:c r="U944" s="71" t="n"/>
      <x:c r="V944" s="71" t="n"/>
      <x:c r="W944" s="71" t="n"/>
      <x:c r="X944" s="71" t="n"/>
      <x:c r="Y944" s="71" t="n"/>
      <x:c r="Z944" s="71" t="n"/>
      <x:c r="AA944" s="71" t="n"/>
      <x:c r="AB944" s="71" t="inlineStr">
        <x:is>
          <x:t xml:space="preserve">NO</x:t>
        </x:is>
      </x:c>
      <x:c r="AC944" s="57" t="inlineStr">
        <x:is>
          <x:t xml:space="preserve">V10</x:t>
        </x:is>
      </x:c>
      <x:c r="AD944" s="57" t="n"/>
      <x:c r="AE944" s="79" t="str">
        <x:f>IF(AND(I944&lt;&gt;"",J944&lt;&gt;"",K944&lt;&gt;"",L944="YES",M944&lt;&gt;"",S944&lt;&gt;"",T944&lt;&gt;"",U944&lt;&gt;"",V944&lt;&gt;"",W944&lt;&gt;"",X944&lt;&gt;"",Y944&lt;&gt;""),"COMPLETE","PENDING")</x:f>
        <x:v>PENDING</x:v>
      </x:c>
      <x:c r="AF944" s="79" t="str">
        <x:f>IF(AE944="COMPLETE","YES","NO")</x:f>
        <x:v>NO</x:v>
      </x:c>
      <x:c r="AG944" s="214" t="str">
        <x:f>IF(AF944&lt;&gt;"YES","",(IF(V944="YES",1,0)+IF(W944="YES",1,0))/2)</x:f>
      </x:c>
    </x:row>
    <x:row r="945">
      <x:c r="A945" s="57" t="inlineStr">
        <x:is>
          <x:t xml:space="preserve">C0940</x:t>
        </x:is>
      </x:c>
      <x:c r="B945" s="57" t="inlineStr">
        <x:is>
          <x:t xml:space="preserve">Holdout</x:t>
        </x:is>
      </x:c>
      <x:c r="C945" s="57" t="inlineStr">
        <x:is>
          <x:t xml:space="preserve">LOCKED</x:t>
        </x:is>
      </x:c>
      <x:c r="D945" s="57" t="inlineStr">
        <x:is>
          <x:t xml:space="preserve">ARG-094</x:t>
        </x:is>
      </x:c>
      <x:c r="E945" s="75" t="str">
        <x:f>INDEX('Company Universe'!$B$6:$B$105,MATCH(D945,'Company Universe'!$A$6:$A$105,0))</x:f>
        <x:v>Honeywell</x:v>
      </x:c>
      <x:c r="F945" s="75" t="str">
        <x:f>INDEX('Company Universe'!$C$6:$C$105,MATCH(D945,'Company Universe'!$A$6:$A$105,0))</x:f>
        <x:v>HON</x:v>
      </x:c>
      <x:c r="G945" s="75" t="str">
        <x:f>INDEX('Company Universe'!$F$6:$F$105,MATCH(D945,'Company Universe'!$A$6:$A$105,0))</x:f>
        <x:v>Industrials &amp; Defense</x:v>
      </x:c>
      <x:c r="H945" s="57" t="n">
        <x:v>10</x:v>
      </x:c>
      <x:c r="I945" s="206" t="n"/>
      <x:c r="J945" s="71" t="n"/>
      <x:c r="K945" s="71" t="n"/>
      <x:c r="L945" s="71" t="inlineStr">
        <x:is>
          <x:t xml:space="preserve">NO</x:t>
        </x:is>
      </x:c>
      <x:c r="M945" s="71" t="n"/>
      <x:c r="N945" s="71" t="n"/>
      <x:c r="O945" s="71" t="n"/>
      <x:c r="P945" s="71" t="n"/>
      <x:c r="Q945" s="71" t="n"/>
      <x:c r="R945" s="71" t="n"/>
      <x:c r="S945" s="206" t="n"/>
      <x:c r="T945" s="71" t="n"/>
      <x:c r="U945" s="71" t="n"/>
      <x:c r="V945" s="71" t="n"/>
      <x:c r="W945" s="71" t="n"/>
      <x:c r="X945" s="71" t="n"/>
      <x:c r="Y945" s="71" t="n"/>
      <x:c r="Z945" s="71" t="n"/>
      <x:c r="AA945" s="71" t="n"/>
      <x:c r="AB945" s="71" t="inlineStr">
        <x:is>
          <x:t xml:space="preserve">NO</x:t>
        </x:is>
      </x:c>
      <x:c r="AC945" s="57" t="inlineStr">
        <x:is>
          <x:t xml:space="preserve">V10</x:t>
        </x:is>
      </x:c>
      <x:c r="AD945" s="57" t="n"/>
      <x:c r="AE945" s="79" t="str">
        <x:f>IF(AND(I945&lt;&gt;"",J945&lt;&gt;"",K945&lt;&gt;"",L945="YES",M945&lt;&gt;"",S945&lt;&gt;"",T945&lt;&gt;"",U945&lt;&gt;"",V945&lt;&gt;"",W945&lt;&gt;"",X945&lt;&gt;"",Y945&lt;&gt;""),"COMPLETE","PENDING")</x:f>
        <x:v>PENDING</x:v>
      </x:c>
      <x:c r="AF945" s="79" t="str">
        <x:f>IF(AE945="COMPLETE","YES","NO")</x:f>
        <x:v>NO</x:v>
      </x:c>
      <x:c r="AG945" s="214" t="str">
        <x:f>IF(AF945&lt;&gt;"YES","",(IF(V945="YES",1,0)+IF(W945="YES",1,0))/2)</x:f>
      </x:c>
    </x:row>
    <x:row r="946">
      <x:c r="A946" s="57" t="inlineStr">
        <x:is>
          <x:t xml:space="preserve">C0941</x:t>
        </x:is>
      </x:c>
      <x:c r="B946" s="57" t="inlineStr">
        <x:is>
          <x:t xml:space="preserve">Holdout</x:t>
        </x:is>
      </x:c>
      <x:c r="C946" s="57" t="inlineStr">
        <x:is>
          <x:t xml:space="preserve">LOCKED</x:t>
        </x:is>
      </x:c>
      <x:c r="D946" s="57" t="inlineStr">
        <x:is>
          <x:t xml:space="preserve">ARG-095</x:t>
        </x:is>
      </x:c>
      <x:c r="E946" s="75" t="str">
        <x:f>INDEX('Company Universe'!$B$6:$B$105,MATCH(D946,'Company Universe'!$A$6:$A$105,0))</x:f>
        <x:v>Freeport-McMoRan</x:v>
      </x:c>
      <x:c r="F946" s="75" t="str">
        <x:f>INDEX('Company Universe'!$C$6:$C$105,MATCH(D946,'Company Universe'!$A$6:$A$105,0))</x:f>
        <x:v>FCX</x:v>
      </x:c>
      <x:c r="G946" s="75" t="str">
        <x:f>INDEX('Company Universe'!$F$6:$F$105,MATCH(D946,'Company Universe'!$A$6:$A$105,0))</x:f>
        <x:v>Materials &amp; Mining</x:v>
      </x:c>
      <x:c r="H946" s="57" t="n">
        <x:v>1</x:v>
      </x:c>
      <x:c r="I946" s="206" t="n"/>
      <x:c r="J946" s="71" t="n"/>
      <x:c r="K946" s="71" t="n"/>
      <x:c r="L946" s="71" t="inlineStr">
        <x:is>
          <x:t xml:space="preserve">NO</x:t>
        </x:is>
      </x:c>
      <x:c r="M946" s="71" t="n"/>
      <x:c r="N946" s="71" t="n"/>
      <x:c r="O946" s="71" t="n"/>
      <x:c r="P946" s="71" t="n"/>
      <x:c r="Q946" s="71" t="n"/>
      <x:c r="R946" s="71" t="n"/>
      <x:c r="S946" s="206" t="n"/>
      <x:c r="T946" s="71" t="n"/>
      <x:c r="U946" s="71" t="n"/>
      <x:c r="V946" s="71" t="n"/>
      <x:c r="W946" s="71" t="n"/>
      <x:c r="X946" s="71" t="n"/>
      <x:c r="Y946" s="71" t="n"/>
      <x:c r="Z946" s="71" t="n"/>
      <x:c r="AA946" s="71" t="n"/>
      <x:c r="AB946" s="71" t="inlineStr">
        <x:is>
          <x:t xml:space="preserve">NO</x:t>
        </x:is>
      </x:c>
      <x:c r="AC946" s="57" t="inlineStr">
        <x:is>
          <x:t xml:space="preserve">V10</x:t>
        </x:is>
      </x:c>
      <x:c r="AD946" s="57" t="n"/>
      <x:c r="AE946" s="79" t="str">
        <x:f>IF(AND(I946&lt;&gt;"",J946&lt;&gt;"",K946&lt;&gt;"",L946="YES",M946&lt;&gt;"",S946&lt;&gt;"",T946&lt;&gt;"",U946&lt;&gt;"",V946&lt;&gt;"",W946&lt;&gt;"",X946&lt;&gt;"",Y946&lt;&gt;""),"COMPLETE","PENDING")</x:f>
        <x:v>PENDING</x:v>
      </x:c>
      <x:c r="AF946" s="79" t="str">
        <x:f>IF(AE946="COMPLETE","YES","NO")</x:f>
        <x:v>NO</x:v>
      </x:c>
      <x:c r="AG946" s="214" t="str">
        <x:f>IF(AF946&lt;&gt;"YES","",(IF(V946="YES",1,0)+IF(W946="YES",1,0))/2)</x:f>
      </x:c>
    </x:row>
    <x:row r="947">
      <x:c r="A947" s="57" t="inlineStr">
        <x:is>
          <x:t xml:space="preserve">C0942</x:t>
        </x:is>
      </x:c>
      <x:c r="B947" s="57" t="inlineStr">
        <x:is>
          <x:t xml:space="preserve">Holdout</x:t>
        </x:is>
      </x:c>
      <x:c r="C947" s="57" t="inlineStr">
        <x:is>
          <x:t xml:space="preserve">LOCKED</x:t>
        </x:is>
      </x:c>
      <x:c r="D947" s="57" t="inlineStr">
        <x:is>
          <x:t xml:space="preserve">ARG-095</x:t>
        </x:is>
      </x:c>
      <x:c r="E947" s="75" t="str">
        <x:f>INDEX('Company Universe'!$B$6:$B$105,MATCH(D947,'Company Universe'!$A$6:$A$105,0))</x:f>
        <x:v>Freeport-McMoRan</x:v>
      </x:c>
      <x:c r="F947" s="75" t="str">
        <x:f>INDEX('Company Universe'!$C$6:$C$105,MATCH(D947,'Company Universe'!$A$6:$A$105,0))</x:f>
        <x:v>FCX</x:v>
      </x:c>
      <x:c r="G947" s="75" t="str">
        <x:f>INDEX('Company Universe'!$F$6:$F$105,MATCH(D947,'Company Universe'!$A$6:$A$105,0))</x:f>
        <x:v>Materials &amp; Mining</x:v>
      </x:c>
      <x:c r="H947" s="57" t="n">
        <x:v>2</x:v>
      </x:c>
      <x:c r="I947" s="206" t="n"/>
      <x:c r="J947" s="71" t="n"/>
      <x:c r="K947" s="71" t="n"/>
      <x:c r="L947" s="71" t="inlineStr">
        <x:is>
          <x:t xml:space="preserve">NO</x:t>
        </x:is>
      </x:c>
      <x:c r="M947" s="71" t="n"/>
      <x:c r="N947" s="71" t="n"/>
      <x:c r="O947" s="71" t="n"/>
      <x:c r="P947" s="71" t="n"/>
      <x:c r="Q947" s="71" t="n"/>
      <x:c r="R947" s="71" t="n"/>
      <x:c r="S947" s="206" t="n"/>
      <x:c r="T947" s="71" t="n"/>
      <x:c r="U947" s="71" t="n"/>
      <x:c r="V947" s="71" t="n"/>
      <x:c r="W947" s="71" t="n"/>
      <x:c r="X947" s="71" t="n"/>
      <x:c r="Y947" s="71" t="n"/>
      <x:c r="Z947" s="71" t="n"/>
      <x:c r="AA947" s="71" t="n"/>
      <x:c r="AB947" s="71" t="inlineStr">
        <x:is>
          <x:t xml:space="preserve">NO</x:t>
        </x:is>
      </x:c>
      <x:c r="AC947" s="57" t="inlineStr">
        <x:is>
          <x:t xml:space="preserve">V10</x:t>
        </x:is>
      </x:c>
      <x:c r="AD947" s="57" t="n"/>
      <x:c r="AE947" s="79" t="str">
        <x:f>IF(AND(I947&lt;&gt;"",J947&lt;&gt;"",K947&lt;&gt;"",L947="YES",M947&lt;&gt;"",S947&lt;&gt;"",T947&lt;&gt;"",U947&lt;&gt;"",V947&lt;&gt;"",W947&lt;&gt;"",X947&lt;&gt;"",Y947&lt;&gt;""),"COMPLETE","PENDING")</x:f>
        <x:v>PENDING</x:v>
      </x:c>
      <x:c r="AF947" s="79" t="str">
        <x:f>IF(AE947="COMPLETE","YES","NO")</x:f>
        <x:v>NO</x:v>
      </x:c>
      <x:c r="AG947" s="214" t="str">
        <x:f>IF(AF947&lt;&gt;"YES","",(IF(V947="YES",1,0)+IF(W947="YES",1,0))/2)</x:f>
      </x:c>
    </x:row>
    <x:row r="948">
      <x:c r="A948" s="57" t="inlineStr">
        <x:is>
          <x:t xml:space="preserve">C0943</x:t>
        </x:is>
      </x:c>
      <x:c r="B948" s="57" t="inlineStr">
        <x:is>
          <x:t xml:space="preserve">Holdout</x:t>
        </x:is>
      </x:c>
      <x:c r="C948" s="57" t="inlineStr">
        <x:is>
          <x:t xml:space="preserve">LOCKED</x:t>
        </x:is>
      </x:c>
      <x:c r="D948" s="57" t="inlineStr">
        <x:is>
          <x:t xml:space="preserve">ARG-095</x:t>
        </x:is>
      </x:c>
      <x:c r="E948" s="75" t="str">
        <x:f>INDEX('Company Universe'!$B$6:$B$105,MATCH(D948,'Company Universe'!$A$6:$A$105,0))</x:f>
        <x:v>Freeport-McMoRan</x:v>
      </x:c>
      <x:c r="F948" s="75" t="str">
        <x:f>INDEX('Company Universe'!$C$6:$C$105,MATCH(D948,'Company Universe'!$A$6:$A$105,0))</x:f>
        <x:v>FCX</x:v>
      </x:c>
      <x:c r="G948" s="75" t="str">
        <x:f>INDEX('Company Universe'!$F$6:$F$105,MATCH(D948,'Company Universe'!$A$6:$A$105,0))</x:f>
        <x:v>Materials &amp; Mining</x:v>
      </x:c>
      <x:c r="H948" s="57" t="n">
        <x:v>3</x:v>
      </x:c>
      <x:c r="I948" s="206" t="n"/>
      <x:c r="J948" s="71" t="n"/>
      <x:c r="K948" s="71" t="n"/>
      <x:c r="L948" s="71" t="inlineStr">
        <x:is>
          <x:t xml:space="preserve">NO</x:t>
        </x:is>
      </x:c>
      <x:c r="M948" s="71" t="n"/>
      <x:c r="N948" s="71" t="n"/>
      <x:c r="O948" s="71" t="n"/>
      <x:c r="P948" s="71" t="n"/>
      <x:c r="Q948" s="71" t="n"/>
      <x:c r="R948" s="71" t="n"/>
      <x:c r="S948" s="206" t="n"/>
      <x:c r="T948" s="71" t="n"/>
      <x:c r="U948" s="71" t="n"/>
      <x:c r="V948" s="71" t="n"/>
      <x:c r="W948" s="71" t="n"/>
      <x:c r="X948" s="71" t="n"/>
      <x:c r="Y948" s="71" t="n"/>
      <x:c r="Z948" s="71" t="n"/>
      <x:c r="AA948" s="71" t="n"/>
      <x:c r="AB948" s="71" t="inlineStr">
        <x:is>
          <x:t xml:space="preserve">NO</x:t>
        </x:is>
      </x:c>
      <x:c r="AC948" s="57" t="inlineStr">
        <x:is>
          <x:t xml:space="preserve">V10</x:t>
        </x:is>
      </x:c>
      <x:c r="AD948" s="57" t="n"/>
      <x:c r="AE948" s="79" t="str">
        <x:f>IF(AND(I948&lt;&gt;"",J948&lt;&gt;"",K948&lt;&gt;"",L948="YES",M948&lt;&gt;"",S948&lt;&gt;"",T948&lt;&gt;"",U948&lt;&gt;"",V948&lt;&gt;"",W948&lt;&gt;"",X948&lt;&gt;"",Y948&lt;&gt;""),"COMPLETE","PENDING")</x:f>
        <x:v>PENDING</x:v>
      </x:c>
      <x:c r="AF948" s="79" t="str">
        <x:f>IF(AE948="COMPLETE","YES","NO")</x:f>
        <x:v>NO</x:v>
      </x:c>
      <x:c r="AG948" s="214" t="str">
        <x:f>IF(AF948&lt;&gt;"YES","",(IF(V948="YES",1,0)+IF(W948="YES",1,0))/2)</x:f>
      </x:c>
    </x:row>
    <x:row r="949">
      <x:c r="A949" s="57" t="inlineStr">
        <x:is>
          <x:t xml:space="preserve">C0944</x:t>
        </x:is>
      </x:c>
      <x:c r="B949" s="57" t="inlineStr">
        <x:is>
          <x:t xml:space="preserve">Holdout</x:t>
        </x:is>
      </x:c>
      <x:c r="C949" s="57" t="inlineStr">
        <x:is>
          <x:t xml:space="preserve">LOCKED</x:t>
        </x:is>
      </x:c>
      <x:c r="D949" s="57" t="inlineStr">
        <x:is>
          <x:t xml:space="preserve">ARG-095</x:t>
        </x:is>
      </x:c>
      <x:c r="E949" s="75" t="str">
        <x:f>INDEX('Company Universe'!$B$6:$B$105,MATCH(D949,'Company Universe'!$A$6:$A$105,0))</x:f>
        <x:v>Freeport-McMoRan</x:v>
      </x:c>
      <x:c r="F949" s="75" t="str">
        <x:f>INDEX('Company Universe'!$C$6:$C$105,MATCH(D949,'Company Universe'!$A$6:$A$105,0))</x:f>
        <x:v>FCX</x:v>
      </x:c>
      <x:c r="G949" s="75" t="str">
        <x:f>INDEX('Company Universe'!$F$6:$F$105,MATCH(D949,'Company Universe'!$A$6:$A$105,0))</x:f>
        <x:v>Materials &amp; Mining</x:v>
      </x:c>
      <x:c r="H949" s="57" t="n">
        <x:v>4</x:v>
      </x:c>
      <x:c r="I949" s="206" t="n"/>
      <x:c r="J949" s="71" t="n"/>
      <x:c r="K949" s="71" t="n"/>
      <x:c r="L949" s="71" t="inlineStr">
        <x:is>
          <x:t xml:space="preserve">NO</x:t>
        </x:is>
      </x:c>
      <x:c r="M949" s="71" t="n"/>
      <x:c r="N949" s="71" t="n"/>
      <x:c r="O949" s="71" t="n"/>
      <x:c r="P949" s="71" t="n"/>
      <x:c r="Q949" s="71" t="n"/>
      <x:c r="R949" s="71" t="n"/>
      <x:c r="S949" s="206" t="n"/>
      <x:c r="T949" s="71" t="n"/>
      <x:c r="U949" s="71" t="n"/>
      <x:c r="V949" s="71" t="n"/>
      <x:c r="W949" s="71" t="n"/>
      <x:c r="X949" s="71" t="n"/>
      <x:c r="Y949" s="71" t="n"/>
      <x:c r="Z949" s="71" t="n"/>
      <x:c r="AA949" s="71" t="n"/>
      <x:c r="AB949" s="71" t="inlineStr">
        <x:is>
          <x:t xml:space="preserve">NO</x:t>
        </x:is>
      </x:c>
      <x:c r="AC949" s="57" t="inlineStr">
        <x:is>
          <x:t xml:space="preserve">V10</x:t>
        </x:is>
      </x:c>
      <x:c r="AD949" s="57" t="n"/>
      <x:c r="AE949" s="79" t="str">
        <x:f>IF(AND(I949&lt;&gt;"",J949&lt;&gt;"",K949&lt;&gt;"",L949="YES",M949&lt;&gt;"",S949&lt;&gt;"",T949&lt;&gt;"",U949&lt;&gt;"",V949&lt;&gt;"",W949&lt;&gt;"",X949&lt;&gt;"",Y949&lt;&gt;""),"COMPLETE","PENDING")</x:f>
        <x:v>PENDING</x:v>
      </x:c>
      <x:c r="AF949" s="79" t="str">
        <x:f>IF(AE949="COMPLETE","YES","NO")</x:f>
        <x:v>NO</x:v>
      </x:c>
      <x:c r="AG949" s="214" t="str">
        <x:f>IF(AF949&lt;&gt;"YES","",(IF(V949="YES",1,0)+IF(W949="YES",1,0))/2)</x:f>
      </x:c>
    </x:row>
    <x:row r="950">
      <x:c r="A950" s="57" t="inlineStr">
        <x:is>
          <x:t xml:space="preserve">C0945</x:t>
        </x:is>
      </x:c>
      <x:c r="B950" s="57" t="inlineStr">
        <x:is>
          <x:t xml:space="preserve">Holdout</x:t>
        </x:is>
      </x:c>
      <x:c r="C950" s="57" t="inlineStr">
        <x:is>
          <x:t xml:space="preserve">LOCKED</x:t>
        </x:is>
      </x:c>
      <x:c r="D950" s="57" t="inlineStr">
        <x:is>
          <x:t xml:space="preserve">ARG-095</x:t>
        </x:is>
      </x:c>
      <x:c r="E950" s="75" t="str">
        <x:f>INDEX('Company Universe'!$B$6:$B$105,MATCH(D950,'Company Universe'!$A$6:$A$105,0))</x:f>
        <x:v>Freeport-McMoRan</x:v>
      </x:c>
      <x:c r="F950" s="75" t="str">
        <x:f>INDEX('Company Universe'!$C$6:$C$105,MATCH(D950,'Company Universe'!$A$6:$A$105,0))</x:f>
        <x:v>FCX</x:v>
      </x:c>
      <x:c r="G950" s="75" t="str">
        <x:f>INDEX('Company Universe'!$F$6:$F$105,MATCH(D950,'Company Universe'!$A$6:$A$105,0))</x:f>
        <x:v>Materials &amp; Mining</x:v>
      </x:c>
      <x:c r="H950" s="57" t="n">
        <x:v>5</x:v>
      </x:c>
      <x:c r="I950" s="206" t="n"/>
      <x:c r="J950" s="71" t="n"/>
      <x:c r="K950" s="71" t="n"/>
      <x:c r="L950" s="71" t="inlineStr">
        <x:is>
          <x:t xml:space="preserve">NO</x:t>
        </x:is>
      </x:c>
      <x:c r="M950" s="71" t="n"/>
      <x:c r="N950" s="71" t="n"/>
      <x:c r="O950" s="71" t="n"/>
      <x:c r="P950" s="71" t="n"/>
      <x:c r="Q950" s="71" t="n"/>
      <x:c r="R950" s="71" t="n"/>
      <x:c r="S950" s="206" t="n"/>
      <x:c r="T950" s="71" t="n"/>
      <x:c r="U950" s="71" t="n"/>
      <x:c r="V950" s="71" t="n"/>
      <x:c r="W950" s="71" t="n"/>
      <x:c r="X950" s="71" t="n"/>
      <x:c r="Y950" s="71" t="n"/>
      <x:c r="Z950" s="71" t="n"/>
      <x:c r="AA950" s="71" t="n"/>
      <x:c r="AB950" s="71" t="inlineStr">
        <x:is>
          <x:t xml:space="preserve">NO</x:t>
        </x:is>
      </x:c>
      <x:c r="AC950" s="57" t="inlineStr">
        <x:is>
          <x:t xml:space="preserve">V10</x:t>
        </x:is>
      </x:c>
      <x:c r="AD950" s="57" t="n"/>
      <x:c r="AE950" s="79" t="str">
        <x:f>IF(AND(I950&lt;&gt;"",J950&lt;&gt;"",K950&lt;&gt;"",L950="YES",M950&lt;&gt;"",S950&lt;&gt;"",T950&lt;&gt;"",U950&lt;&gt;"",V950&lt;&gt;"",W950&lt;&gt;"",X950&lt;&gt;"",Y950&lt;&gt;""),"COMPLETE","PENDING")</x:f>
        <x:v>PENDING</x:v>
      </x:c>
      <x:c r="AF950" s="79" t="str">
        <x:f>IF(AE950="COMPLETE","YES","NO")</x:f>
        <x:v>NO</x:v>
      </x:c>
      <x:c r="AG950" s="214" t="str">
        <x:f>IF(AF950&lt;&gt;"YES","",(IF(V950="YES",1,0)+IF(W950="YES",1,0))/2)</x:f>
      </x:c>
    </x:row>
    <x:row r="951">
      <x:c r="A951" s="57" t="inlineStr">
        <x:is>
          <x:t xml:space="preserve">C0946</x:t>
        </x:is>
      </x:c>
      <x:c r="B951" s="57" t="inlineStr">
        <x:is>
          <x:t xml:space="preserve">Holdout</x:t>
        </x:is>
      </x:c>
      <x:c r="C951" s="57" t="inlineStr">
        <x:is>
          <x:t xml:space="preserve">LOCKED</x:t>
        </x:is>
      </x:c>
      <x:c r="D951" s="57" t="inlineStr">
        <x:is>
          <x:t xml:space="preserve">ARG-095</x:t>
        </x:is>
      </x:c>
      <x:c r="E951" s="75" t="str">
        <x:f>INDEX('Company Universe'!$B$6:$B$105,MATCH(D951,'Company Universe'!$A$6:$A$105,0))</x:f>
        <x:v>Freeport-McMoRan</x:v>
      </x:c>
      <x:c r="F951" s="75" t="str">
        <x:f>INDEX('Company Universe'!$C$6:$C$105,MATCH(D951,'Company Universe'!$A$6:$A$105,0))</x:f>
        <x:v>FCX</x:v>
      </x:c>
      <x:c r="G951" s="75" t="str">
        <x:f>INDEX('Company Universe'!$F$6:$F$105,MATCH(D951,'Company Universe'!$A$6:$A$105,0))</x:f>
        <x:v>Materials &amp; Mining</x:v>
      </x:c>
      <x:c r="H951" s="57" t="n">
        <x:v>6</x:v>
      </x:c>
      <x:c r="I951" s="206" t="n"/>
      <x:c r="J951" s="71" t="n"/>
      <x:c r="K951" s="71" t="n"/>
      <x:c r="L951" s="71" t="inlineStr">
        <x:is>
          <x:t xml:space="preserve">NO</x:t>
        </x:is>
      </x:c>
      <x:c r="M951" s="71" t="n"/>
      <x:c r="N951" s="71" t="n"/>
      <x:c r="O951" s="71" t="n"/>
      <x:c r="P951" s="71" t="n"/>
      <x:c r="Q951" s="71" t="n"/>
      <x:c r="R951" s="71" t="n"/>
      <x:c r="S951" s="206" t="n"/>
      <x:c r="T951" s="71" t="n"/>
      <x:c r="U951" s="71" t="n"/>
      <x:c r="V951" s="71" t="n"/>
      <x:c r="W951" s="71" t="n"/>
      <x:c r="X951" s="71" t="n"/>
      <x:c r="Y951" s="71" t="n"/>
      <x:c r="Z951" s="71" t="n"/>
      <x:c r="AA951" s="71" t="n"/>
      <x:c r="AB951" s="71" t="inlineStr">
        <x:is>
          <x:t xml:space="preserve">NO</x:t>
        </x:is>
      </x:c>
      <x:c r="AC951" s="57" t="inlineStr">
        <x:is>
          <x:t xml:space="preserve">V10</x:t>
        </x:is>
      </x:c>
      <x:c r="AD951" s="57" t="n"/>
      <x:c r="AE951" s="79" t="str">
        <x:f>IF(AND(I951&lt;&gt;"",J951&lt;&gt;"",K951&lt;&gt;"",L951="YES",M951&lt;&gt;"",S951&lt;&gt;"",T951&lt;&gt;"",U951&lt;&gt;"",V951&lt;&gt;"",W951&lt;&gt;"",X951&lt;&gt;"",Y951&lt;&gt;""),"COMPLETE","PENDING")</x:f>
        <x:v>PENDING</x:v>
      </x:c>
      <x:c r="AF951" s="79" t="str">
        <x:f>IF(AE951="COMPLETE","YES","NO")</x:f>
        <x:v>NO</x:v>
      </x:c>
      <x:c r="AG951" s="214" t="str">
        <x:f>IF(AF951&lt;&gt;"YES","",(IF(V951="YES",1,0)+IF(W951="YES",1,0))/2)</x:f>
      </x:c>
    </x:row>
    <x:row r="952">
      <x:c r="A952" s="57" t="inlineStr">
        <x:is>
          <x:t xml:space="preserve">C0947</x:t>
        </x:is>
      </x:c>
      <x:c r="B952" s="57" t="inlineStr">
        <x:is>
          <x:t xml:space="preserve">Holdout</x:t>
        </x:is>
      </x:c>
      <x:c r="C952" s="57" t="inlineStr">
        <x:is>
          <x:t xml:space="preserve">LOCKED</x:t>
        </x:is>
      </x:c>
      <x:c r="D952" s="57" t="inlineStr">
        <x:is>
          <x:t xml:space="preserve">ARG-095</x:t>
        </x:is>
      </x:c>
      <x:c r="E952" s="75" t="str">
        <x:f>INDEX('Company Universe'!$B$6:$B$105,MATCH(D952,'Company Universe'!$A$6:$A$105,0))</x:f>
        <x:v>Freeport-McMoRan</x:v>
      </x:c>
      <x:c r="F952" s="75" t="str">
        <x:f>INDEX('Company Universe'!$C$6:$C$105,MATCH(D952,'Company Universe'!$A$6:$A$105,0))</x:f>
        <x:v>FCX</x:v>
      </x:c>
      <x:c r="G952" s="75" t="str">
        <x:f>INDEX('Company Universe'!$F$6:$F$105,MATCH(D952,'Company Universe'!$A$6:$A$105,0))</x:f>
        <x:v>Materials &amp; Mining</x:v>
      </x:c>
      <x:c r="H952" s="57" t="n">
        <x:v>7</x:v>
      </x:c>
      <x:c r="I952" s="206" t="n"/>
      <x:c r="J952" s="71" t="n"/>
      <x:c r="K952" s="71" t="n"/>
      <x:c r="L952" s="71" t="inlineStr">
        <x:is>
          <x:t xml:space="preserve">NO</x:t>
        </x:is>
      </x:c>
      <x:c r="M952" s="71" t="n"/>
      <x:c r="N952" s="71" t="n"/>
      <x:c r="O952" s="71" t="n"/>
      <x:c r="P952" s="71" t="n"/>
      <x:c r="Q952" s="71" t="n"/>
      <x:c r="R952" s="71" t="n"/>
      <x:c r="S952" s="206" t="n"/>
      <x:c r="T952" s="71" t="n"/>
      <x:c r="U952" s="71" t="n"/>
      <x:c r="V952" s="71" t="n"/>
      <x:c r="W952" s="71" t="n"/>
      <x:c r="X952" s="71" t="n"/>
      <x:c r="Y952" s="71" t="n"/>
      <x:c r="Z952" s="71" t="n"/>
      <x:c r="AA952" s="71" t="n"/>
      <x:c r="AB952" s="71" t="inlineStr">
        <x:is>
          <x:t xml:space="preserve">NO</x:t>
        </x:is>
      </x:c>
      <x:c r="AC952" s="57" t="inlineStr">
        <x:is>
          <x:t xml:space="preserve">V10</x:t>
        </x:is>
      </x:c>
      <x:c r="AD952" s="57" t="n"/>
      <x:c r="AE952" s="79" t="str">
        <x:f>IF(AND(I952&lt;&gt;"",J952&lt;&gt;"",K952&lt;&gt;"",L952="YES",M952&lt;&gt;"",S952&lt;&gt;"",T952&lt;&gt;"",U952&lt;&gt;"",V952&lt;&gt;"",W952&lt;&gt;"",X952&lt;&gt;"",Y952&lt;&gt;""),"COMPLETE","PENDING")</x:f>
        <x:v>PENDING</x:v>
      </x:c>
      <x:c r="AF952" s="79" t="str">
        <x:f>IF(AE952="COMPLETE","YES","NO")</x:f>
        <x:v>NO</x:v>
      </x:c>
      <x:c r="AG952" s="214" t="str">
        <x:f>IF(AF952&lt;&gt;"YES","",(IF(V952="YES",1,0)+IF(W952="YES",1,0))/2)</x:f>
      </x:c>
    </x:row>
    <x:row r="953">
      <x:c r="A953" s="57" t="inlineStr">
        <x:is>
          <x:t xml:space="preserve">C0948</x:t>
        </x:is>
      </x:c>
      <x:c r="B953" s="57" t="inlineStr">
        <x:is>
          <x:t xml:space="preserve">Holdout</x:t>
        </x:is>
      </x:c>
      <x:c r="C953" s="57" t="inlineStr">
        <x:is>
          <x:t xml:space="preserve">LOCKED</x:t>
        </x:is>
      </x:c>
      <x:c r="D953" s="57" t="inlineStr">
        <x:is>
          <x:t xml:space="preserve">ARG-095</x:t>
        </x:is>
      </x:c>
      <x:c r="E953" s="75" t="str">
        <x:f>INDEX('Company Universe'!$B$6:$B$105,MATCH(D953,'Company Universe'!$A$6:$A$105,0))</x:f>
        <x:v>Freeport-McMoRan</x:v>
      </x:c>
      <x:c r="F953" s="75" t="str">
        <x:f>INDEX('Company Universe'!$C$6:$C$105,MATCH(D953,'Company Universe'!$A$6:$A$105,0))</x:f>
        <x:v>FCX</x:v>
      </x:c>
      <x:c r="G953" s="75" t="str">
        <x:f>INDEX('Company Universe'!$F$6:$F$105,MATCH(D953,'Company Universe'!$A$6:$A$105,0))</x:f>
        <x:v>Materials &amp; Mining</x:v>
      </x:c>
      <x:c r="H953" s="57" t="n">
        <x:v>8</x:v>
      </x:c>
      <x:c r="I953" s="206" t="n"/>
      <x:c r="J953" s="71" t="n"/>
      <x:c r="K953" s="71" t="n"/>
      <x:c r="L953" s="71" t="inlineStr">
        <x:is>
          <x:t xml:space="preserve">NO</x:t>
        </x:is>
      </x:c>
      <x:c r="M953" s="71" t="n"/>
      <x:c r="N953" s="71" t="n"/>
      <x:c r="O953" s="71" t="n"/>
      <x:c r="P953" s="71" t="n"/>
      <x:c r="Q953" s="71" t="n"/>
      <x:c r="R953" s="71" t="n"/>
      <x:c r="S953" s="206" t="n"/>
      <x:c r="T953" s="71" t="n"/>
      <x:c r="U953" s="71" t="n"/>
      <x:c r="V953" s="71" t="n"/>
      <x:c r="W953" s="71" t="n"/>
      <x:c r="X953" s="71" t="n"/>
      <x:c r="Y953" s="71" t="n"/>
      <x:c r="Z953" s="71" t="n"/>
      <x:c r="AA953" s="71" t="n"/>
      <x:c r="AB953" s="71" t="inlineStr">
        <x:is>
          <x:t xml:space="preserve">NO</x:t>
        </x:is>
      </x:c>
      <x:c r="AC953" s="57" t="inlineStr">
        <x:is>
          <x:t xml:space="preserve">V10</x:t>
        </x:is>
      </x:c>
      <x:c r="AD953" s="57" t="n"/>
      <x:c r="AE953" s="79" t="str">
        <x:f>IF(AND(I953&lt;&gt;"",J953&lt;&gt;"",K953&lt;&gt;"",L953="YES",M953&lt;&gt;"",S953&lt;&gt;"",T953&lt;&gt;"",U953&lt;&gt;"",V953&lt;&gt;"",W953&lt;&gt;"",X953&lt;&gt;"",Y953&lt;&gt;""),"COMPLETE","PENDING")</x:f>
        <x:v>PENDING</x:v>
      </x:c>
      <x:c r="AF953" s="79" t="str">
        <x:f>IF(AE953="COMPLETE","YES","NO")</x:f>
        <x:v>NO</x:v>
      </x:c>
      <x:c r="AG953" s="214" t="str">
        <x:f>IF(AF953&lt;&gt;"YES","",(IF(V953="YES",1,0)+IF(W953="YES",1,0))/2)</x:f>
      </x:c>
    </x:row>
    <x:row r="954">
      <x:c r="A954" s="57" t="inlineStr">
        <x:is>
          <x:t xml:space="preserve">C0949</x:t>
        </x:is>
      </x:c>
      <x:c r="B954" s="57" t="inlineStr">
        <x:is>
          <x:t xml:space="preserve">Holdout</x:t>
        </x:is>
      </x:c>
      <x:c r="C954" s="57" t="inlineStr">
        <x:is>
          <x:t xml:space="preserve">LOCKED</x:t>
        </x:is>
      </x:c>
      <x:c r="D954" s="57" t="inlineStr">
        <x:is>
          <x:t xml:space="preserve">ARG-095</x:t>
        </x:is>
      </x:c>
      <x:c r="E954" s="75" t="str">
        <x:f>INDEX('Company Universe'!$B$6:$B$105,MATCH(D954,'Company Universe'!$A$6:$A$105,0))</x:f>
        <x:v>Freeport-McMoRan</x:v>
      </x:c>
      <x:c r="F954" s="75" t="str">
        <x:f>INDEX('Company Universe'!$C$6:$C$105,MATCH(D954,'Company Universe'!$A$6:$A$105,0))</x:f>
        <x:v>FCX</x:v>
      </x:c>
      <x:c r="G954" s="75" t="str">
        <x:f>INDEX('Company Universe'!$F$6:$F$105,MATCH(D954,'Company Universe'!$A$6:$A$105,0))</x:f>
        <x:v>Materials &amp; Mining</x:v>
      </x:c>
      <x:c r="H954" s="57" t="n">
        <x:v>9</x:v>
      </x:c>
      <x:c r="I954" s="206" t="n"/>
      <x:c r="J954" s="71" t="n"/>
      <x:c r="K954" s="71" t="n"/>
      <x:c r="L954" s="71" t="inlineStr">
        <x:is>
          <x:t xml:space="preserve">NO</x:t>
        </x:is>
      </x:c>
      <x:c r="M954" s="71" t="n"/>
      <x:c r="N954" s="71" t="n"/>
      <x:c r="O954" s="71" t="n"/>
      <x:c r="P954" s="71" t="n"/>
      <x:c r="Q954" s="71" t="n"/>
      <x:c r="R954" s="71" t="n"/>
      <x:c r="S954" s="206" t="n"/>
      <x:c r="T954" s="71" t="n"/>
      <x:c r="U954" s="71" t="n"/>
      <x:c r="V954" s="71" t="n"/>
      <x:c r="W954" s="71" t="n"/>
      <x:c r="X954" s="71" t="n"/>
      <x:c r="Y954" s="71" t="n"/>
      <x:c r="Z954" s="71" t="n"/>
      <x:c r="AA954" s="71" t="n"/>
      <x:c r="AB954" s="71" t="inlineStr">
        <x:is>
          <x:t xml:space="preserve">NO</x:t>
        </x:is>
      </x:c>
      <x:c r="AC954" s="57" t="inlineStr">
        <x:is>
          <x:t xml:space="preserve">V10</x:t>
        </x:is>
      </x:c>
      <x:c r="AD954" s="57" t="n"/>
      <x:c r="AE954" s="79" t="str">
        <x:f>IF(AND(I954&lt;&gt;"",J954&lt;&gt;"",K954&lt;&gt;"",L954="YES",M954&lt;&gt;"",S954&lt;&gt;"",T954&lt;&gt;"",U954&lt;&gt;"",V954&lt;&gt;"",W954&lt;&gt;"",X954&lt;&gt;"",Y954&lt;&gt;""),"COMPLETE","PENDING")</x:f>
        <x:v>PENDING</x:v>
      </x:c>
      <x:c r="AF954" s="79" t="str">
        <x:f>IF(AE954="COMPLETE","YES","NO")</x:f>
        <x:v>NO</x:v>
      </x:c>
      <x:c r="AG954" s="214" t="str">
        <x:f>IF(AF954&lt;&gt;"YES","",(IF(V954="YES",1,0)+IF(W954="YES",1,0))/2)</x:f>
      </x:c>
    </x:row>
    <x:row r="955">
      <x:c r="A955" s="57" t="inlineStr">
        <x:is>
          <x:t xml:space="preserve">C0950</x:t>
        </x:is>
      </x:c>
      <x:c r="B955" s="57" t="inlineStr">
        <x:is>
          <x:t xml:space="preserve">Holdout</x:t>
        </x:is>
      </x:c>
      <x:c r="C955" s="57" t="inlineStr">
        <x:is>
          <x:t xml:space="preserve">LOCKED</x:t>
        </x:is>
      </x:c>
      <x:c r="D955" s="57" t="inlineStr">
        <x:is>
          <x:t xml:space="preserve">ARG-095</x:t>
        </x:is>
      </x:c>
      <x:c r="E955" s="75" t="str">
        <x:f>INDEX('Company Universe'!$B$6:$B$105,MATCH(D955,'Company Universe'!$A$6:$A$105,0))</x:f>
        <x:v>Freeport-McMoRan</x:v>
      </x:c>
      <x:c r="F955" s="75" t="str">
        <x:f>INDEX('Company Universe'!$C$6:$C$105,MATCH(D955,'Company Universe'!$A$6:$A$105,0))</x:f>
        <x:v>FCX</x:v>
      </x:c>
      <x:c r="G955" s="75" t="str">
        <x:f>INDEX('Company Universe'!$F$6:$F$105,MATCH(D955,'Company Universe'!$A$6:$A$105,0))</x:f>
        <x:v>Materials &amp; Mining</x:v>
      </x:c>
      <x:c r="H955" s="57" t="n">
        <x:v>10</x:v>
      </x:c>
      <x:c r="I955" s="206" t="n"/>
      <x:c r="J955" s="71" t="n"/>
      <x:c r="K955" s="71" t="n"/>
      <x:c r="L955" s="71" t="inlineStr">
        <x:is>
          <x:t xml:space="preserve">NO</x:t>
        </x:is>
      </x:c>
      <x:c r="M955" s="71" t="n"/>
      <x:c r="N955" s="71" t="n"/>
      <x:c r="O955" s="71" t="n"/>
      <x:c r="P955" s="71" t="n"/>
      <x:c r="Q955" s="71" t="n"/>
      <x:c r="R955" s="71" t="n"/>
      <x:c r="S955" s="206" t="n"/>
      <x:c r="T955" s="71" t="n"/>
      <x:c r="U955" s="71" t="n"/>
      <x:c r="V955" s="71" t="n"/>
      <x:c r="W955" s="71" t="n"/>
      <x:c r="X955" s="71" t="n"/>
      <x:c r="Y955" s="71" t="n"/>
      <x:c r="Z955" s="71" t="n"/>
      <x:c r="AA955" s="71" t="n"/>
      <x:c r="AB955" s="71" t="inlineStr">
        <x:is>
          <x:t xml:space="preserve">NO</x:t>
        </x:is>
      </x:c>
      <x:c r="AC955" s="57" t="inlineStr">
        <x:is>
          <x:t xml:space="preserve">V10</x:t>
        </x:is>
      </x:c>
      <x:c r="AD955" s="57" t="n"/>
      <x:c r="AE955" s="79" t="str">
        <x:f>IF(AND(I955&lt;&gt;"",J955&lt;&gt;"",K955&lt;&gt;"",L955="YES",M955&lt;&gt;"",S955&lt;&gt;"",T955&lt;&gt;"",U955&lt;&gt;"",V955&lt;&gt;"",W955&lt;&gt;"",X955&lt;&gt;"",Y955&lt;&gt;""),"COMPLETE","PENDING")</x:f>
        <x:v>PENDING</x:v>
      </x:c>
      <x:c r="AF955" s="79" t="str">
        <x:f>IF(AE955="COMPLETE","YES","NO")</x:f>
        <x:v>NO</x:v>
      </x:c>
      <x:c r="AG955" s="214" t="str">
        <x:f>IF(AF955&lt;&gt;"YES","",(IF(V955="YES",1,0)+IF(W955="YES",1,0))/2)</x:f>
      </x:c>
    </x:row>
    <x:row r="956">
      <x:c r="A956" s="57" t="inlineStr">
        <x:is>
          <x:t xml:space="preserve">C0951</x:t>
        </x:is>
      </x:c>
      <x:c r="B956" s="57" t="inlineStr">
        <x:is>
          <x:t xml:space="preserve">Holdout</x:t>
        </x:is>
      </x:c>
      <x:c r="C956" s="57" t="inlineStr">
        <x:is>
          <x:t xml:space="preserve">LOCKED</x:t>
        </x:is>
      </x:c>
      <x:c r="D956" s="57" t="inlineStr">
        <x:is>
          <x:t xml:space="preserve">ARG-096</x:t>
        </x:is>
      </x:c>
      <x:c r="E956" s="75" t="str">
        <x:f>INDEX('Company Universe'!$B$6:$B$105,MATCH(D956,'Company Universe'!$A$6:$A$105,0))</x:f>
        <x:v>Nucor</x:v>
      </x:c>
      <x:c r="F956" s="75" t="str">
        <x:f>INDEX('Company Universe'!$C$6:$C$105,MATCH(D956,'Company Universe'!$A$6:$A$105,0))</x:f>
        <x:v>NUE</x:v>
      </x:c>
      <x:c r="G956" s="75" t="str">
        <x:f>INDEX('Company Universe'!$F$6:$F$105,MATCH(D956,'Company Universe'!$A$6:$A$105,0))</x:f>
        <x:v>Materials &amp; Mining</x:v>
      </x:c>
      <x:c r="H956" s="57" t="n">
        <x:v>1</x:v>
      </x:c>
      <x:c r="I956" s="206" t="n"/>
      <x:c r="J956" s="71" t="n"/>
      <x:c r="K956" s="71" t="n"/>
      <x:c r="L956" s="71" t="inlineStr">
        <x:is>
          <x:t xml:space="preserve">NO</x:t>
        </x:is>
      </x:c>
      <x:c r="M956" s="71" t="n"/>
      <x:c r="N956" s="71" t="n"/>
      <x:c r="O956" s="71" t="n"/>
      <x:c r="P956" s="71" t="n"/>
      <x:c r="Q956" s="71" t="n"/>
      <x:c r="R956" s="71" t="n"/>
      <x:c r="S956" s="206" t="n"/>
      <x:c r="T956" s="71" t="n"/>
      <x:c r="U956" s="71" t="n"/>
      <x:c r="V956" s="71" t="n"/>
      <x:c r="W956" s="71" t="n"/>
      <x:c r="X956" s="71" t="n"/>
      <x:c r="Y956" s="71" t="n"/>
      <x:c r="Z956" s="71" t="n"/>
      <x:c r="AA956" s="71" t="n"/>
      <x:c r="AB956" s="71" t="inlineStr">
        <x:is>
          <x:t xml:space="preserve">NO</x:t>
        </x:is>
      </x:c>
      <x:c r="AC956" s="57" t="inlineStr">
        <x:is>
          <x:t xml:space="preserve">V10</x:t>
        </x:is>
      </x:c>
      <x:c r="AD956" s="57" t="n"/>
      <x:c r="AE956" s="79" t="str">
        <x:f>IF(AND(I956&lt;&gt;"",J956&lt;&gt;"",K956&lt;&gt;"",L956="YES",M956&lt;&gt;"",S956&lt;&gt;"",T956&lt;&gt;"",U956&lt;&gt;"",V956&lt;&gt;"",W956&lt;&gt;"",X956&lt;&gt;"",Y956&lt;&gt;""),"COMPLETE","PENDING")</x:f>
        <x:v>PENDING</x:v>
      </x:c>
      <x:c r="AF956" s="79" t="str">
        <x:f>IF(AE956="COMPLETE","YES","NO")</x:f>
        <x:v>NO</x:v>
      </x:c>
      <x:c r="AG956" s="214" t="str">
        <x:f>IF(AF956&lt;&gt;"YES","",(IF(V956="YES",1,0)+IF(W956="YES",1,0))/2)</x:f>
      </x:c>
    </x:row>
    <x:row r="957">
      <x:c r="A957" s="57" t="inlineStr">
        <x:is>
          <x:t xml:space="preserve">C0952</x:t>
        </x:is>
      </x:c>
      <x:c r="B957" s="57" t="inlineStr">
        <x:is>
          <x:t xml:space="preserve">Holdout</x:t>
        </x:is>
      </x:c>
      <x:c r="C957" s="57" t="inlineStr">
        <x:is>
          <x:t xml:space="preserve">LOCKED</x:t>
        </x:is>
      </x:c>
      <x:c r="D957" s="57" t="inlineStr">
        <x:is>
          <x:t xml:space="preserve">ARG-096</x:t>
        </x:is>
      </x:c>
      <x:c r="E957" s="75" t="str">
        <x:f>INDEX('Company Universe'!$B$6:$B$105,MATCH(D957,'Company Universe'!$A$6:$A$105,0))</x:f>
        <x:v>Nucor</x:v>
      </x:c>
      <x:c r="F957" s="75" t="str">
        <x:f>INDEX('Company Universe'!$C$6:$C$105,MATCH(D957,'Company Universe'!$A$6:$A$105,0))</x:f>
        <x:v>NUE</x:v>
      </x:c>
      <x:c r="G957" s="75" t="str">
        <x:f>INDEX('Company Universe'!$F$6:$F$105,MATCH(D957,'Company Universe'!$A$6:$A$105,0))</x:f>
        <x:v>Materials &amp; Mining</x:v>
      </x:c>
      <x:c r="H957" s="57" t="n">
        <x:v>2</x:v>
      </x:c>
      <x:c r="I957" s="206" t="n"/>
      <x:c r="J957" s="71" t="n"/>
      <x:c r="K957" s="71" t="n"/>
      <x:c r="L957" s="71" t="inlineStr">
        <x:is>
          <x:t xml:space="preserve">NO</x:t>
        </x:is>
      </x:c>
      <x:c r="M957" s="71" t="n"/>
      <x:c r="N957" s="71" t="n"/>
      <x:c r="O957" s="71" t="n"/>
      <x:c r="P957" s="71" t="n"/>
      <x:c r="Q957" s="71" t="n"/>
      <x:c r="R957" s="71" t="n"/>
      <x:c r="S957" s="206" t="n"/>
      <x:c r="T957" s="71" t="n"/>
      <x:c r="U957" s="71" t="n"/>
      <x:c r="V957" s="71" t="n"/>
      <x:c r="W957" s="71" t="n"/>
      <x:c r="X957" s="71" t="n"/>
      <x:c r="Y957" s="71" t="n"/>
      <x:c r="Z957" s="71" t="n"/>
      <x:c r="AA957" s="71" t="n"/>
      <x:c r="AB957" s="71" t="inlineStr">
        <x:is>
          <x:t xml:space="preserve">NO</x:t>
        </x:is>
      </x:c>
      <x:c r="AC957" s="57" t="inlineStr">
        <x:is>
          <x:t xml:space="preserve">V10</x:t>
        </x:is>
      </x:c>
      <x:c r="AD957" s="57" t="n"/>
      <x:c r="AE957" s="79" t="str">
        <x:f>IF(AND(I957&lt;&gt;"",J957&lt;&gt;"",K957&lt;&gt;"",L957="YES",M957&lt;&gt;"",S957&lt;&gt;"",T957&lt;&gt;"",U957&lt;&gt;"",V957&lt;&gt;"",W957&lt;&gt;"",X957&lt;&gt;"",Y957&lt;&gt;""),"COMPLETE","PENDING")</x:f>
        <x:v>PENDING</x:v>
      </x:c>
      <x:c r="AF957" s="79" t="str">
        <x:f>IF(AE957="COMPLETE","YES","NO")</x:f>
        <x:v>NO</x:v>
      </x:c>
      <x:c r="AG957" s="214" t="str">
        <x:f>IF(AF957&lt;&gt;"YES","",(IF(V957="YES",1,0)+IF(W957="YES",1,0))/2)</x:f>
      </x:c>
    </x:row>
    <x:row r="958">
      <x:c r="A958" s="57" t="inlineStr">
        <x:is>
          <x:t xml:space="preserve">C0953</x:t>
        </x:is>
      </x:c>
      <x:c r="B958" s="57" t="inlineStr">
        <x:is>
          <x:t xml:space="preserve">Holdout</x:t>
        </x:is>
      </x:c>
      <x:c r="C958" s="57" t="inlineStr">
        <x:is>
          <x:t xml:space="preserve">LOCKED</x:t>
        </x:is>
      </x:c>
      <x:c r="D958" s="57" t="inlineStr">
        <x:is>
          <x:t xml:space="preserve">ARG-096</x:t>
        </x:is>
      </x:c>
      <x:c r="E958" s="75" t="str">
        <x:f>INDEX('Company Universe'!$B$6:$B$105,MATCH(D958,'Company Universe'!$A$6:$A$105,0))</x:f>
        <x:v>Nucor</x:v>
      </x:c>
      <x:c r="F958" s="75" t="str">
        <x:f>INDEX('Company Universe'!$C$6:$C$105,MATCH(D958,'Company Universe'!$A$6:$A$105,0))</x:f>
        <x:v>NUE</x:v>
      </x:c>
      <x:c r="G958" s="75" t="str">
        <x:f>INDEX('Company Universe'!$F$6:$F$105,MATCH(D958,'Company Universe'!$A$6:$A$105,0))</x:f>
        <x:v>Materials &amp; Mining</x:v>
      </x:c>
      <x:c r="H958" s="57" t="n">
        <x:v>3</x:v>
      </x:c>
      <x:c r="I958" s="206" t="n"/>
      <x:c r="J958" s="71" t="n"/>
      <x:c r="K958" s="71" t="n"/>
      <x:c r="L958" s="71" t="inlineStr">
        <x:is>
          <x:t xml:space="preserve">NO</x:t>
        </x:is>
      </x:c>
      <x:c r="M958" s="71" t="n"/>
      <x:c r="N958" s="71" t="n"/>
      <x:c r="O958" s="71" t="n"/>
      <x:c r="P958" s="71" t="n"/>
      <x:c r="Q958" s="71" t="n"/>
      <x:c r="R958" s="71" t="n"/>
      <x:c r="S958" s="206" t="n"/>
      <x:c r="T958" s="71" t="n"/>
      <x:c r="U958" s="71" t="n"/>
      <x:c r="V958" s="71" t="n"/>
      <x:c r="W958" s="71" t="n"/>
      <x:c r="X958" s="71" t="n"/>
      <x:c r="Y958" s="71" t="n"/>
      <x:c r="Z958" s="71" t="n"/>
      <x:c r="AA958" s="71" t="n"/>
      <x:c r="AB958" s="71" t="inlineStr">
        <x:is>
          <x:t xml:space="preserve">NO</x:t>
        </x:is>
      </x:c>
      <x:c r="AC958" s="57" t="inlineStr">
        <x:is>
          <x:t xml:space="preserve">V10</x:t>
        </x:is>
      </x:c>
      <x:c r="AD958" s="57" t="n"/>
      <x:c r="AE958" s="79" t="str">
        <x:f>IF(AND(I958&lt;&gt;"",J958&lt;&gt;"",K958&lt;&gt;"",L958="YES",M958&lt;&gt;"",S958&lt;&gt;"",T958&lt;&gt;"",U958&lt;&gt;"",V958&lt;&gt;"",W958&lt;&gt;"",X958&lt;&gt;"",Y958&lt;&gt;""),"COMPLETE","PENDING")</x:f>
        <x:v>PENDING</x:v>
      </x:c>
      <x:c r="AF958" s="79" t="str">
        <x:f>IF(AE958="COMPLETE","YES","NO")</x:f>
        <x:v>NO</x:v>
      </x:c>
      <x:c r="AG958" s="214" t="str">
        <x:f>IF(AF958&lt;&gt;"YES","",(IF(V958="YES",1,0)+IF(W958="YES",1,0))/2)</x:f>
      </x:c>
    </x:row>
    <x:row r="959">
      <x:c r="A959" s="57" t="inlineStr">
        <x:is>
          <x:t xml:space="preserve">C0954</x:t>
        </x:is>
      </x:c>
      <x:c r="B959" s="57" t="inlineStr">
        <x:is>
          <x:t xml:space="preserve">Holdout</x:t>
        </x:is>
      </x:c>
      <x:c r="C959" s="57" t="inlineStr">
        <x:is>
          <x:t xml:space="preserve">LOCKED</x:t>
        </x:is>
      </x:c>
      <x:c r="D959" s="57" t="inlineStr">
        <x:is>
          <x:t xml:space="preserve">ARG-096</x:t>
        </x:is>
      </x:c>
      <x:c r="E959" s="75" t="str">
        <x:f>INDEX('Company Universe'!$B$6:$B$105,MATCH(D959,'Company Universe'!$A$6:$A$105,0))</x:f>
        <x:v>Nucor</x:v>
      </x:c>
      <x:c r="F959" s="75" t="str">
        <x:f>INDEX('Company Universe'!$C$6:$C$105,MATCH(D959,'Company Universe'!$A$6:$A$105,0))</x:f>
        <x:v>NUE</x:v>
      </x:c>
      <x:c r="G959" s="75" t="str">
        <x:f>INDEX('Company Universe'!$F$6:$F$105,MATCH(D959,'Company Universe'!$A$6:$A$105,0))</x:f>
        <x:v>Materials &amp; Mining</x:v>
      </x:c>
      <x:c r="H959" s="57" t="n">
        <x:v>4</x:v>
      </x:c>
      <x:c r="I959" s="206" t="n"/>
      <x:c r="J959" s="71" t="n"/>
      <x:c r="K959" s="71" t="n"/>
      <x:c r="L959" s="71" t="inlineStr">
        <x:is>
          <x:t xml:space="preserve">NO</x:t>
        </x:is>
      </x:c>
      <x:c r="M959" s="71" t="n"/>
      <x:c r="N959" s="71" t="n"/>
      <x:c r="O959" s="71" t="n"/>
      <x:c r="P959" s="71" t="n"/>
      <x:c r="Q959" s="71" t="n"/>
      <x:c r="R959" s="71" t="n"/>
      <x:c r="S959" s="206" t="n"/>
      <x:c r="T959" s="71" t="n"/>
      <x:c r="U959" s="71" t="n"/>
      <x:c r="V959" s="71" t="n"/>
      <x:c r="W959" s="71" t="n"/>
      <x:c r="X959" s="71" t="n"/>
      <x:c r="Y959" s="71" t="n"/>
      <x:c r="Z959" s="71" t="n"/>
      <x:c r="AA959" s="71" t="n"/>
      <x:c r="AB959" s="71" t="inlineStr">
        <x:is>
          <x:t xml:space="preserve">NO</x:t>
        </x:is>
      </x:c>
      <x:c r="AC959" s="57" t="inlineStr">
        <x:is>
          <x:t xml:space="preserve">V10</x:t>
        </x:is>
      </x:c>
      <x:c r="AD959" s="57" t="n"/>
      <x:c r="AE959" s="79" t="str">
        <x:f>IF(AND(I959&lt;&gt;"",J959&lt;&gt;"",K959&lt;&gt;"",L959="YES",M959&lt;&gt;"",S959&lt;&gt;"",T959&lt;&gt;"",U959&lt;&gt;"",V959&lt;&gt;"",W959&lt;&gt;"",X959&lt;&gt;"",Y959&lt;&gt;""),"COMPLETE","PENDING")</x:f>
        <x:v>PENDING</x:v>
      </x:c>
      <x:c r="AF959" s="79" t="str">
        <x:f>IF(AE959="COMPLETE","YES","NO")</x:f>
        <x:v>NO</x:v>
      </x:c>
      <x:c r="AG959" s="214" t="str">
        <x:f>IF(AF959&lt;&gt;"YES","",(IF(V959="YES",1,0)+IF(W959="YES",1,0))/2)</x:f>
      </x:c>
    </x:row>
    <x:row r="960">
      <x:c r="A960" s="57" t="inlineStr">
        <x:is>
          <x:t xml:space="preserve">C0955</x:t>
        </x:is>
      </x:c>
      <x:c r="B960" s="57" t="inlineStr">
        <x:is>
          <x:t xml:space="preserve">Holdout</x:t>
        </x:is>
      </x:c>
      <x:c r="C960" s="57" t="inlineStr">
        <x:is>
          <x:t xml:space="preserve">LOCKED</x:t>
        </x:is>
      </x:c>
      <x:c r="D960" s="57" t="inlineStr">
        <x:is>
          <x:t xml:space="preserve">ARG-096</x:t>
        </x:is>
      </x:c>
      <x:c r="E960" s="75" t="str">
        <x:f>INDEX('Company Universe'!$B$6:$B$105,MATCH(D960,'Company Universe'!$A$6:$A$105,0))</x:f>
        <x:v>Nucor</x:v>
      </x:c>
      <x:c r="F960" s="75" t="str">
        <x:f>INDEX('Company Universe'!$C$6:$C$105,MATCH(D960,'Company Universe'!$A$6:$A$105,0))</x:f>
        <x:v>NUE</x:v>
      </x:c>
      <x:c r="G960" s="75" t="str">
        <x:f>INDEX('Company Universe'!$F$6:$F$105,MATCH(D960,'Company Universe'!$A$6:$A$105,0))</x:f>
        <x:v>Materials &amp; Mining</x:v>
      </x:c>
      <x:c r="H960" s="57" t="n">
        <x:v>5</x:v>
      </x:c>
      <x:c r="I960" s="206" t="n"/>
      <x:c r="J960" s="71" t="n"/>
      <x:c r="K960" s="71" t="n"/>
      <x:c r="L960" s="71" t="inlineStr">
        <x:is>
          <x:t xml:space="preserve">NO</x:t>
        </x:is>
      </x:c>
      <x:c r="M960" s="71" t="n"/>
      <x:c r="N960" s="71" t="n"/>
      <x:c r="O960" s="71" t="n"/>
      <x:c r="P960" s="71" t="n"/>
      <x:c r="Q960" s="71" t="n"/>
      <x:c r="R960" s="71" t="n"/>
      <x:c r="S960" s="206" t="n"/>
      <x:c r="T960" s="71" t="n"/>
      <x:c r="U960" s="71" t="n"/>
      <x:c r="V960" s="71" t="n"/>
      <x:c r="W960" s="71" t="n"/>
      <x:c r="X960" s="71" t="n"/>
      <x:c r="Y960" s="71" t="n"/>
      <x:c r="Z960" s="71" t="n"/>
      <x:c r="AA960" s="71" t="n"/>
      <x:c r="AB960" s="71" t="inlineStr">
        <x:is>
          <x:t xml:space="preserve">NO</x:t>
        </x:is>
      </x:c>
      <x:c r="AC960" s="57" t="inlineStr">
        <x:is>
          <x:t xml:space="preserve">V10</x:t>
        </x:is>
      </x:c>
      <x:c r="AD960" s="57" t="n"/>
      <x:c r="AE960" s="79" t="str">
        <x:f>IF(AND(I960&lt;&gt;"",J960&lt;&gt;"",K960&lt;&gt;"",L960="YES",M960&lt;&gt;"",S960&lt;&gt;"",T960&lt;&gt;"",U960&lt;&gt;"",V960&lt;&gt;"",W960&lt;&gt;"",X960&lt;&gt;"",Y960&lt;&gt;""),"COMPLETE","PENDING")</x:f>
        <x:v>PENDING</x:v>
      </x:c>
      <x:c r="AF960" s="79" t="str">
        <x:f>IF(AE960="COMPLETE","YES","NO")</x:f>
        <x:v>NO</x:v>
      </x:c>
      <x:c r="AG960" s="214" t="str">
        <x:f>IF(AF960&lt;&gt;"YES","",(IF(V960="YES",1,0)+IF(W960="YES",1,0))/2)</x:f>
      </x:c>
    </x:row>
    <x:row r="961">
      <x:c r="A961" s="57" t="inlineStr">
        <x:is>
          <x:t xml:space="preserve">C0956</x:t>
        </x:is>
      </x:c>
      <x:c r="B961" s="57" t="inlineStr">
        <x:is>
          <x:t xml:space="preserve">Holdout</x:t>
        </x:is>
      </x:c>
      <x:c r="C961" s="57" t="inlineStr">
        <x:is>
          <x:t xml:space="preserve">LOCKED</x:t>
        </x:is>
      </x:c>
      <x:c r="D961" s="57" t="inlineStr">
        <x:is>
          <x:t xml:space="preserve">ARG-096</x:t>
        </x:is>
      </x:c>
      <x:c r="E961" s="75" t="str">
        <x:f>INDEX('Company Universe'!$B$6:$B$105,MATCH(D961,'Company Universe'!$A$6:$A$105,0))</x:f>
        <x:v>Nucor</x:v>
      </x:c>
      <x:c r="F961" s="75" t="str">
        <x:f>INDEX('Company Universe'!$C$6:$C$105,MATCH(D961,'Company Universe'!$A$6:$A$105,0))</x:f>
        <x:v>NUE</x:v>
      </x:c>
      <x:c r="G961" s="75" t="str">
        <x:f>INDEX('Company Universe'!$F$6:$F$105,MATCH(D961,'Company Universe'!$A$6:$A$105,0))</x:f>
        <x:v>Materials &amp; Mining</x:v>
      </x:c>
      <x:c r="H961" s="57" t="n">
        <x:v>6</x:v>
      </x:c>
      <x:c r="I961" s="206" t="n"/>
      <x:c r="J961" s="71" t="n"/>
      <x:c r="K961" s="71" t="n"/>
      <x:c r="L961" s="71" t="inlineStr">
        <x:is>
          <x:t xml:space="preserve">NO</x:t>
        </x:is>
      </x:c>
      <x:c r="M961" s="71" t="n"/>
      <x:c r="N961" s="71" t="n"/>
      <x:c r="O961" s="71" t="n"/>
      <x:c r="P961" s="71" t="n"/>
      <x:c r="Q961" s="71" t="n"/>
      <x:c r="R961" s="71" t="n"/>
      <x:c r="S961" s="206" t="n"/>
      <x:c r="T961" s="71" t="n"/>
      <x:c r="U961" s="71" t="n"/>
      <x:c r="V961" s="71" t="n"/>
      <x:c r="W961" s="71" t="n"/>
      <x:c r="X961" s="71" t="n"/>
      <x:c r="Y961" s="71" t="n"/>
      <x:c r="Z961" s="71" t="n"/>
      <x:c r="AA961" s="71" t="n"/>
      <x:c r="AB961" s="71" t="inlineStr">
        <x:is>
          <x:t xml:space="preserve">NO</x:t>
        </x:is>
      </x:c>
      <x:c r="AC961" s="57" t="inlineStr">
        <x:is>
          <x:t xml:space="preserve">V10</x:t>
        </x:is>
      </x:c>
      <x:c r="AD961" s="57" t="n"/>
      <x:c r="AE961" s="79" t="str">
        <x:f>IF(AND(I961&lt;&gt;"",J961&lt;&gt;"",K961&lt;&gt;"",L961="YES",M961&lt;&gt;"",S961&lt;&gt;"",T961&lt;&gt;"",U961&lt;&gt;"",V961&lt;&gt;"",W961&lt;&gt;"",X961&lt;&gt;"",Y961&lt;&gt;""),"COMPLETE","PENDING")</x:f>
        <x:v>PENDING</x:v>
      </x:c>
      <x:c r="AF961" s="79" t="str">
        <x:f>IF(AE961="COMPLETE","YES","NO")</x:f>
        <x:v>NO</x:v>
      </x:c>
      <x:c r="AG961" s="214" t="str">
        <x:f>IF(AF961&lt;&gt;"YES","",(IF(V961="YES",1,0)+IF(W961="YES",1,0))/2)</x:f>
      </x:c>
    </x:row>
    <x:row r="962">
      <x:c r="A962" s="57" t="inlineStr">
        <x:is>
          <x:t xml:space="preserve">C0957</x:t>
        </x:is>
      </x:c>
      <x:c r="B962" s="57" t="inlineStr">
        <x:is>
          <x:t xml:space="preserve">Holdout</x:t>
        </x:is>
      </x:c>
      <x:c r="C962" s="57" t="inlineStr">
        <x:is>
          <x:t xml:space="preserve">LOCKED</x:t>
        </x:is>
      </x:c>
      <x:c r="D962" s="57" t="inlineStr">
        <x:is>
          <x:t xml:space="preserve">ARG-096</x:t>
        </x:is>
      </x:c>
      <x:c r="E962" s="75" t="str">
        <x:f>INDEX('Company Universe'!$B$6:$B$105,MATCH(D962,'Company Universe'!$A$6:$A$105,0))</x:f>
        <x:v>Nucor</x:v>
      </x:c>
      <x:c r="F962" s="75" t="str">
        <x:f>INDEX('Company Universe'!$C$6:$C$105,MATCH(D962,'Company Universe'!$A$6:$A$105,0))</x:f>
        <x:v>NUE</x:v>
      </x:c>
      <x:c r="G962" s="75" t="str">
        <x:f>INDEX('Company Universe'!$F$6:$F$105,MATCH(D962,'Company Universe'!$A$6:$A$105,0))</x:f>
        <x:v>Materials &amp; Mining</x:v>
      </x:c>
      <x:c r="H962" s="57" t="n">
        <x:v>7</x:v>
      </x:c>
      <x:c r="I962" s="206" t="n"/>
      <x:c r="J962" s="71" t="n"/>
      <x:c r="K962" s="71" t="n"/>
      <x:c r="L962" s="71" t="inlineStr">
        <x:is>
          <x:t xml:space="preserve">NO</x:t>
        </x:is>
      </x:c>
      <x:c r="M962" s="71" t="n"/>
      <x:c r="N962" s="71" t="n"/>
      <x:c r="O962" s="71" t="n"/>
      <x:c r="P962" s="71" t="n"/>
      <x:c r="Q962" s="71" t="n"/>
      <x:c r="R962" s="71" t="n"/>
      <x:c r="S962" s="206" t="n"/>
      <x:c r="T962" s="71" t="n"/>
      <x:c r="U962" s="71" t="n"/>
      <x:c r="V962" s="71" t="n"/>
      <x:c r="W962" s="71" t="n"/>
      <x:c r="X962" s="71" t="n"/>
      <x:c r="Y962" s="71" t="n"/>
      <x:c r="Z962" s="71" t="n"/>
      <x:c r="AA962" s="71" t="n"/>
      <x:c r="AB962" s="71" t="inlineStr">
        <x:is>
          <x:t xml:space="preserve">NO</x:t>
        </x:is>
      </x:c>
      <x:c r="AC962" s="57" t="inlineStr">
        <x:is>
          <x:t xml:space="preserve">V10</x:t>
        </x:is>
      </x:c>
      <x:c r="AD962" s="57" t="n"/>
      <x:c r="AE962" s="79" t="str">
        <x:f>IF(AND(I962&lt;&gt;"",J962&lt;&gt;"",K962&lt;&gt;"",L962="YES",M962&lt;&gt;"",S962&lt;&gt;"",T962&lt;&gt;"",U962&lt;&gt;"",V962&lt;&gt;"",W962&lt;&gt;"",X962&lt;&gt;"",Y962&lt;&gt;""),"COMPLETE","PENDING")</x:f>
        <x:v>PENDING</x:v>
      </x:c>
      <x:c r="AF962" s="79" t="str">
        <x:f>IF(AE962="COMPLETE","YES","NO")</x:f>
        <x:v>NO</x:v>
      </x:c>
      <x:c r="AG962" s="214" t="str">
        <x:f>IF(AF962&lt;&gt;"YES","",(IF(V962="YES",1,0)+IF(W962="YES",1,0))/2)</x:f>
      </x:c>
    </x:row>
    <x:row r="963">
      <x:c r="A963" s="57" t="inlineStr">
        <x:is>
          <x:t xml:space="preserve">C0958</x:t>
        </x:is>
      </x:c>
      <x:c r="B963" s="57" t="inlineStr">
        <x:is>
          <x:t xml:space="preserve">Holdout</x:t>
        </x:is>
      </x:c>
      <x:c r="C963" s="57" t="inlineStr">
        <x:is>
          <x:t xml:space="preserve">LOCKED</x:t>
        </x:is>
      </x:c>
      <x:c r="D963" s="57" t="inlineStr">
        <x:is>
          <x:t xml:space="preserve">ARG-096</x:t>
        </x:is>
      </x:c>
      <x:c r="E963" s="75" t="str">
        <x:f>INDEX('Company Universe'!$B$6:$B$105,MATCH(D963,'Company Universe'!$A$6:$A$105,0))</x:f>
        <x:v>Nucor</x:v>
      </x:c>
      <x:c r="F963" s="75" t="str">
        <x:f>INDEX('Company Universe'!$C$6:$C$105,MATCH(D963,'Company Universe'!$A$6:$A$105,0))</x:f>
        <x:v>NUE</x:v>
      </x:c>
      <x:c r="G963" s="75" t="str">
        <x:f>INDEX('Company Universe'!$F$6:$F$105,MATCH(D963,'Company Universe'!$A$6:$A$105,0))</x:f>
        <x:v>Materials &amp; Mining</x:v>
      </x:c>
      <x:c r="H963" s="57" t="n">
        <x:v>8</x:v>
      </x:c>
      <x:c r="I963" s="206" t="n"/>
      <x:c r="J963" s="71" t="n"/>
      <x:c r="K963" s="71" t="n"/>
      <x:c r="L963" s="71" t="inlineStr">
        <x:is>
          <x:t xml:space="preserve">NO</x:t>
        </x:is>
      </x:c>
      <x:c r="M963" s="71" t="n"/>
      <x:c r="N963" s="71" t="n"/>
      <x:c r="O963" s="71" t="n"/>
      <x:c r="P963" s="71" t="n"/>
      <x:c r="Q963" s="71" t="n"/>
      <x:c r="R963" s="71" t="n"/>
      <x:c r="S963" s="206" t="n"/>
      <x:c r="T963" s="71" t="n"/>
      <x:c r="U963" s="71" t="n"/>
      <x:c r="V963" s="71" t="n"/>
      <x:c r="W963" s="71" t="n"/>
      <x:c r="X963" s="71" t="n"/>
      <x:c r="Y963" s="71" t="n"/>
      <x:c r="Z963" s="71" t="n"/>
      <x:c r="AA963" s="71" t="n"/>
      <x:c r="AB963" s="71" t="inlineStr">
        <x:is>
          <x:t xml:space="preserve">NO</x:t>
        </x:is>
      </x:c>
      <x:c r="AC963" s="57" t="inlineStr">
        <x:is>
          <x:t xml:space="preserve">V10</x:t>
        </x:is>
      </x:c>
      <x:c r="AD963" s="57" t="n"/>
      <x:c r="AE963" s="79" t="str">
        <x:f>IF(AND(I963&lt;&gt;"",J963&lt;&gt;"",K963&lt;&gt;"",L963="YES",M963&lt;&gt;"",S963&lt;&gt;"",T963&lt;&gt;"",U963&lt;&gt;"",V963&lt;&gt;"",W963&lt;&gt;"",X963&lt;&gt;"",Y963&lt;&gt;""),"COMPLETE","PENDING")</x:f>
        <x:v>PENDING</x:v>
      </x:c>
      <x:c r="AF963" s="79" t="str">
        <x:f>IF(AE963="COMPLETE","YES","NO")</x:f>
        <x:v>NO</x:v>
      </x:c>
      <x:c r="AG963" s="214" t="str">
        <x:f>IF(AF963&lt;&gt;"YES","",(IF(V963="YES",1,0)+IF(W963="YES",1,0))/2)</x:f>
      </x:c>
    </x:row>
    <x:row r="964">
      <x:c r="A964" s="57" t="inlineStr">
        <x:is>
          <x:t xml:space="preserve">C0959</x:t>
        </x:is>
      </x:c>
      <x:c r="B964" s="57" t="inlineStr">
        <x:is>
          <x:t xml:space="preserve">Holdout</x:t>
        </x:is>
      </x:c>
      <x:c r="C964" s="57" t="inlineStr">
        <x:is>
          <x:t xml:space="preserve">LOCKED</x:t>
        </x:is>
      </x:c>
      <x:c r="D964" s="57" t="inlineStr">
        <x:is>
          <x:t xml:space="preserve">ARG-096</x:t>
        </x:is>
      </x:c>
      <x:c r="E964" s="75" t="str">
        <x:f>INDEX('Company Universe'!$B$6:$B$105,MATCH(D964,'Company Universe'!$A$6:$A$105,0))</x:f>
        <x:v>Nucor</x:v>
      </x:c>
      <x:c r="F964" s="75" t="str">
        <x:f>INDEX('Company Universe'!$C$6:$C$105,MATCH(D964,'Company Universe'!$A$6:$A$105,0))</x:f>
        <x:v>NUE</x:v>
      </x:c>
      <x:c r="G964" s="75" t="str">
        <x:f>INDEX('Company Universe'!$F$6:$F$105,MATCH(D964,'Company Universe'!$A$6:$A$105,0))</x:f>
        <x:v>Materials &amp; Mining</x:v>
      </x:c>
      <x:c r="H964" s="57" t="n">
        <x:v>9</x:v>
      </x:c>
      <x:c r="I964" s="206" t="n"/>
      <x:c r="J964" s="71" t="n"/>
      <x:c r="K964" s="71" t="n"/>
      <x:c r="L964" s="71" t="inlineStr">
        <x:is>
          <x:t xml:space="preserve">NO</x:t>
        </x:is>
      </x:c>
      <x:c r="M964" s="71" t="n"/>
      <x:c r="N964" s="71" t="n"/>
      <x:c r="O964" s="71" t="n"/>
      <x:c r="P964" s="71" t="n"/>
      <x:c r="Q964" s="71" t="n"/>
      <x:c r="R964" s="71" t="n"/>
      <x:c r="S964" s="206" t="n"/>
      <x:c r="T964" s="71" t="n"/>
      <x:c r="U964" s="71" t="n"/>
      <x:c r="V964" s="71" t="n"/>
      <x:c r="W964" s="71" t="n"/>
      <x:c r="X964" s="71" t="n"/>
      <x:c r="Y964" s="71" t="n"/>
      <x:c r="Z964" s="71" t="n"/>
      <x:c r="AA964" s="71" t="n"/>
      <x:c r="AB964" s="71" t="inlineStr">
        <x:is>
          <x:t xml:space="preserve">NO</x:t>
        </x:is>
      </x:c>
      <x:c r="AC964" s="57" t="inlineStr">
        <x:is>
          <x:t xml:space="preserve">V10</x:t>
        </x:is>
      </x:c>
      <x:c r="AD964" s="57" t="n"/>
      <x:c r="AE964" s="79" t="str">
        <x:f>IF(AND(I964&lt;&gt;"",J964&lt;&gt;"",K964&lt;&gt;"",L964="YES",M964&lt;&gt;"",S964&lt;&gt;"",T964&lt;&gt;"",U964&lt;&gt;"",V964&lt;&gt;"",W964&lt;&gt;"",X964&lt;&gt;"",Y964&lt;&gt;""),"COMPLETE","PENDING")</x:f>
        <x:v>PENDING</x:v>
      </x:c>
      <x:c r="AF964" s="79" t="str">
        <x:f>IF(AE964="COMPLETE","YES","NO")</x:f>
        <x:v>NO</x:v>
      </x:c>
      <x:c r="AG964" s="214" t="str">
        <x:f>IF(AF964&lt;&gt;"YES","",(IF(V964="YES",1,0)+IF(W964="YES",1,0))/2)</x:f>
      </x:c>
    </x:row>
    <x:row r="965">
      <x:c r="A965" s="57" t="inlineStr">
        <x:is>
          <x:t xml:space="preserve">C0960</x:t>
        </x:is>
      </x:c>
      <x:c r="B965" s="57" t="inlineStr">
        <x:is>
          <x:t xml:space="preserve">Holdout</x:t>
        </x:is>
      </x:c>
      <x:c r="C965" s="57" t="inlineStr">
        <x:is>
          <x:t xml:space="preserve">LOCKED</x:t>
        </x:is>
      </x:c>
      <x:c r="D965" s="57" t="inlineStr">
        <x:is>
          <x:t xml:space="preserve">ARG-096</x:t>
        </x:is>
      </x:c>
      <x:c r="E965" s="75" t="str">
        <x:f>INDEX('Company Universe'!$B$6:$B$105,MATCH(D965,'Company Universe'!$A$6:$A$105,0))</x:f>
        <x:v>Nucor</x:v>
      </x:c>
      <x:c r="F965" s="75" t="str">
        <x:f>INDEX('Company Universe'!$C$6:$C$105,MATCH(D965,'Company Universe'!$A$6:$A$105,0))</x:f>
        <x:v>NUE</x:v>
      </x:c>
      <x:c r="G965" s="75" t="str">
        <x:f>INDEX('Company Universe'!$F$6:$F$105,MATCH(D965,'Company Universe'!$A$6:$A$105,0))</x:f>
        <x:v>Materials &amp; Mining</x:v>
      </x:c>
      <x:c r="H965" s="57" t="n">
        <x:v>10</x:v>
      </x:c>
      <x:c r="I965" s="206" t="n"/>
      <x:c r="J965" s="71" t="n"/>
      <x:c r="K965" s="71" t="n"/>
      <x:c r="L965" s="71" t="inlineStr">
        <x:is>
          <x:t xml:space="preserve">NO</x:t>
        </x:is>
      </x:c>
      <x:c r="M965" s="71" t="n"/>
      <x:c r="N965" s="71" t="n"/>
      <x:c r="O965" s="71" t="n"/>
      <x:c r="P965" s="71" t="n"/>
      <x:c r="Q965" s="71" t="n"/>
      <x:c r="R965" s="71" t="n"/>
      <x:c r="S965" s="206" t="n"/>
      <x:c r="T965" s="71" t="n"/>
      <x:c r="U965" s="71" t="n"/>
      <x:c r="V965" s="71" t="n"/>
      <x:c r="W965" s="71" t="n"/>
      <x:c r="X965" s="71" t="n"/>
      <x:c r="Y965" s="71" t="n"/>
      <x:c r="Z965" s="71" t="n"/>
      <x:c r="AA965" s="71" t="n"/>
      <x:c r="AB965" s="71" t="inlineStr">
        <x:is>
          <x:t xml:space="preserve">NO</x:t>
        </x:is>
      </x:c>
      <x:c r="AC965" s="57" t="inlineStr">
        <x:is>
          <x:t xml:space="preserve">V10</x:t>
        </x:is>
      </x:c>
      <x:c r="AD965" s="57" t="n"/>
      <x:c r="AE965" s="79" t="str">
        <x:f>IF(AND(I965&lt;&gt;"",J965&lt;&gt;"",K965&lt;&gt;"",L965="YES",M965&lt;&gt;"",S965&lt;&gt;"",T965&lt;&gt;"",U965&lt;&gt;"",V965&lt;&gt;"",W965&lt;&gt;"",X965&lt;&gt;"",Y965&lt;&gt;""),"COMPLETE","PENDING")</x:f>
        <x:v>PENDING</x:v>
      </x:c>
      <x:c r="AF965" s="79" t="str">
        <x:f>IF(AE965="COMPLETE","YES","NO")</x:f>
        <x:v>NO</x:v>
      </x:c>
      <x:c r="AG965" s="214" t="str">
        <x:f>IF(AF965&lt;&gt;"YES","",(IF(V965="YES",1,0)+IF(W965="YES",1,0))/2)</x:f>
      </x:c>
    </x:row>
    <x:row r="966">
      <x:c r="A966" s="57" t="inlineStr">
        <x:is>
          <x:t xml:space="preserve">C0961</x:t>
        </x:is>
      </x:c>
      <x:c r="B966" s="57" t="inlineStr">
        <x:is>
          <x:t xml:space="preserve">Holdout</x:t>
        </x:is>
      </x:c>
      <x:c r="C966" s="57" t="inlineStr">
        <x:is>
          <x:t xml:space="preserve">LOCKED</x:t>
        </x:is>
      </x:c>
      <x:c r="D966" s="57" t="inlineStr">
        <x:is>
          <x:t xml:space="preserve">ARG-097</x:t>
        </x:is>
      </x:c>
      <x:c r="E966" s="75" t="str">
        <x:f>INDEX('Company Universe'!$B$6:$B$105,MATCH(D966,'Company Universe'!$A$6:$A$105,0))</x:f>
        <x:v>Southern Company</x:v>
      </x:c>
      <x:c r="F966" s="75" t="str">
        <x:f>INDEX('Company Universe'!$C$6:$C$105,MATCH(D966,'Company Universe'!$A$6:$A$105,0))</x:f>
        <x:v>SO</x:v>
      </x:c>
      <x:c r="G966" s="75" t="str">
        <x:f>INDEX('Company Universe'!$F$6:$F$105,MATCH(D966,'Company Universe'!$A$6:$A$105,0))</x:f>
        <x:v>Utilities</x:v>
      </x:c>
      <x:c r="H966" s="57" t="n">
        <x:v>1</x:v>
      </x:c>
      <x:c r="I966" s="206" t="n"/>
      <x:c r="J966" s="71" t="n"/>
      <x:c r="K966" s="71" t="n"/>
      <x:c r="L966" s="71" t="inlineStr">
        <x:is>
          <x:t xml:space="preserve">NO</x:t>
        </x:is>
      </x:c>
      <x:c r="M966" s="71" t="n"/>
      <x:c r="N966" s="71" t="n"/>
      <x:c r="O966" s="71" t="n"/>
      <x:c r="P966" s="71" t="n"/>
      <x:c r="Q966" s="71" t="n"/>
      <x:c r="R966" s="71" t="n"/>
      <x:c r="S966" s="206" t="n"/>
      <x:c r="T966" s="71" t="n"/>
      <x:c r="U966" s="71" t="n"/>
      <x:c r="V966" s="71" t="n"/>
      <x:c r="W966" s="71" t="n"/>
      <x:c r="X966" s="71" t="n"/>
      <x:c r="Y966" s="71" t="n"/>
      <x:c r="Z966" s="71" t="n"/>
      <x:c r="AA966" s="71" t="n"/>
      <x:c r="AB966" s="71" t="inlineStr">
        <x:is>
          <x:t xml:space="preserve">NO</x:t>
        </x:is>
      </x:c>
      <x:c r="AC966" s="57" t="inlineStr">
        <x:is>
          <x:t xml:space="preserve">V10</x:t>
        </x:is>
      </x:c>
      <x:c r="AD966" s="57" t="n"/>
      <x:c r="AE966" s="79" t="str">
        <x:f>IF(AND(I966&lt;&gt;"",J966&lt;&gt;"",K966&lt;&gt;"",L966="YES",M966&lt;&gt;"",S966&lt;&gt;"",T966&lt;&gt;"",U966&lt;&gt;"",V966&lt;&gt;"",W966&lt;&gt;"",X966&lt;&gt;"",Y966&lt;&gt;""),"COMPLETE","PENDING")</x:f>
        <x:v>PENDING</x:v>
      </x:c>
      <x:c r="AF966" s="79" t="str">
        <x:f>IF(AE966="COMPLETE","YES","NO")</x:f>
        <x:v>NO</x:v>
      </x:c>
      <x:c r="AG966" s="214" t="str">
        <x:f>IF(AF966&lt;&gt;"YES","",(IF(V966="YES",1,0)+IF(W966="YES",1,0))/2)</x:f>
      </x:c>
    </x:row>
    <x:row r="967">
      <x:c r="A967" s="57" t="inlineStr">
        <x:is>
          <x:t xml:space="preserve">C0962</x:t>
        </x:is>
      </x:c>
      <x:c r="B967" s="57" t="inlineStr">
        <x:is>
          <x:t xml:space="preserve">Holdout</x:t>
        </x:is>
      </x:c>
      <x:c r="C967" s="57" t="inlineStr">
        <x:is>
          <x:t xml:space="preserve">LOCKED</x:t>
        </x:is>
      </x:c>
      <x:c r="D967" s="57" t="inlineStr">
        <x:is>
          <x:t xml:space="preserve">ARG-097</x:t>
        </x:is>
      </x:c>
      <x:c r="E967" s="75" t="str">
        <x:f>INDEX('Company Universe'!$B$6:$B$105,MATCH(D967,'Company Universe'!$A$6:$A$105,0))</x:f>
        <x:v>Southern Company</x:v>
      </x:c>
      <x:c r="F967" s="75" t="str">
        <x:f>INDEX('Company Universe'!$C$6:$C$105,MATCH(D967,'Company Universe'!$A$6:$A$105,0))</x:f>
        <x:v>SO</x:v>
      </x:c>
      <x:c r="G967" s="75" t="str">
        <x:f>INDEX('Company Universe'!$F$6:$F$105,MATCH(D967,'Company Universe'!$A$6:$A$105,0))</x:f>
        <x:v>Utilities</x:v>
      </x:c>
      <x:c r="H967" s="57" t="n">
        <x:v>2</x:v>
      </x:c>
      <x:c r="I967" s="206" t="n"/>
      <x:c r="J967" s="71" t="n"/>
      <x:c r="K967" s="71" t="n"/>
      <x:c r="L967" s="71" t="inlineStr">
        <x:is>
          <x:t xml:space="preserve">NO</x:t>
        </x:is>
      </x:c>
      <x:c r="M967" s="71" t="n"/>
      <x:c r="N967" s="71" t="n"/>
      <x:c r="O967" s="71" t="n"/>
      <x:c r="P967" s="71" t="n"/>
      <x:c r="Q967" s="71" t="n"/>
      <x:c r="R967" s="71" t="n"/>
      <x:c r="S967" s="206" t="n"/>
      <x:c r="T967" s="71" t="n"/>
      <x:c r="U967" s="71" t="n"/>
      <x:c r="V967" s="71" t="n"/>
      <x:c r="W967" s="71" t="n"/>
      <x:c r="X967" s="71" t="n"/>
      <x:c r="Y967" s="71" t="n"/>
      <x:c r="Z967" s="71" t="n"/>
      <x:c r="AA967" s="71" t="n"/>
      <x:c r="AB967" s="71" t="inlineStr">
        <x:is>
          <x:t xml:space="preserve">NO</x:t>
        </x:is>
      </x:c>
      <x:c r="AC967" s="57" t="inlineStr">
        <x:is>
          <x:t xml:space="preserve">V10</x:t>
        </x:is>
      </x:c>
      <x:c r="AD967" s="57" t="n"/>
      <x:c r="AE967" s="79" t="str">
        <x:f>IF(AND(I967&lt;&gt;"",J967&lt;&gt;"",K967&lt;&gt;"",L967="YES",M967&lt;&gt;"",S967&lt;&gt;"",T967&lt;&gt;"",U967&lt;&gt;"",V967&lt;&gt;"",W967&lt;&gt;"",X967&lt;&gt;"",Y967&lt;&gt;""),"COMPLETE","PENDING")</x:f>
        <x:v>PENDING</x:v>
      </x:c>
      <x:c r="AF967" s="79" t="str">
        <x:f>IF(AE967="COMPLETE","YES","NO")</x:f>
        <x:v>NO</x:v>
      </x:c>
      <x:c r="AG967" s="214" t="str">
        <x:f>IF(AF967&lt;&gt;"YES","",(IF(V967="YES",1,0)+IF(W967="YES",1,0))/2)</x:f>
      </x:c>
    </x:row>
    <x:row r="968">
      <x:c r="A968" s="57" t="inlineStr">
        <x:is>
          <x:t xml:space="preserve">C0963</x:t>
        </x:is>
      </x:c>
      <x:c r="B968" s="57" t="inlineStr">
        <x:is>
          <x:t xml:space="preserve">Holdout</x:t>
        </x:is>
      </x:c>
      <x:c r="C968" s="57" t="inlineStr">
        <x:is>
          <x:t xml:space="preserve">LOCKED</x:t>
        </x:is>
      </x:c>
      <x:c r="D968" s="57" t="inlineStr">
        <x:is>
          <x:t xml:space="preserve">ARG-097</x:t>
        </x:is>
      </x:c>
      <x:c r="E968" s="75" t="str">
        <x:f>INDEX('Company Universe'!$B$6:$B$105,MATCH(D968,'Company Universe'!$A$6:$A$105,0))</x:f>
        <x:v>Southern Company</x:v>
      </x:c>
      <x:c r="F968" s="75" t="str">
        <x:f>INDEX('Company Universe'!$C$6:$C$105,MATCH(D968,'Company Universe'!$A$6:$A$105,0))</x:f>
        <x:v>SO</x:v>
      </x:c>
      <x:c r="G968" s="75" t="str">
        <x:f>INDEX('Company Universe'!$F$6:$F$105,MATCH(D968,'Company Universe'!$A$6:$A$105,0))</x:f>
        <x:v>Utilities</x:v>
      </x:c>
      <x:c r="H968" s="57" t="n">
        <x:v>3</x:v>
      </x:c>
      <x:c r="I968" s="206" t="n"/>
      <x:c r="J968" s="71" t="n"/>
      <x:c r="K968" s="71" t="n"/>
      <x:c r="L968" s="71" t="inlineStr">
        <x:is>
          <x:t xml:space="preserve">NO</x:t>
        </x:is>
      </x:c>
      <x:c r="M968" s="71" t="n"/>
      <x:c r="N968" s="71" t="n"/>
      <x:c r="O968" s="71" t="n"/>
      <x:c r="P968" s="71" t="n"/>
      <x:c r="Q968" s="71" t="n"/>
      <x:c r="R968" s="71" t="n"/>
      <x:c r="S968" s="206" t="n"/>
      <x:c r="T968" s="71" t="n"/>
      <x:c r="U968" s="71" t="n"/>
      <x:c r="V968" s="71" t="n"/>
      <x:c r="W968" s="71" t="n"/>
      <x:c r="X968" s="71" t="n"/>
      <x:c r="Y968" s="71" t="n"/>
      <x:c r="Z968" s="71" t="n"/>
      <x:c r="AA968" s="71" t="n"/>
      <x:c r="AB968" s="71" t="inlineStr">
        <x:is>
          <x:t xml:space="preserve">NO</x:t>
        </x:is>
      </x:c>
      <x:c r="AC968" s="57" t="inlineStr">
        <x:is>
          <x:t xml:space="preserve">V10</x:t>
        </x:is>
      </x:c>
      <x:c r="AD968" s="57" t="n"/>
      <x:c r="AE968" s="79" t="str">
        <x:f>IF(AND(I968&lt;&gt;"",J968&lt;&gt;"",K968&lt;&gt;"",L968="YES",M968&lt;&gt;"",S968&lt;&gt;"",T968&lt;&gt;"",U968&lt;&gt;"",V968&lt;&gt;"",W968&lt;&gt;"",X968&lt;&gt;"",Y968&lt;&gt;""),"COMPLETE","PENDING")</x:f>
        <x:v>PENDING</x:v>
      </x:c>
      <x:c r="AF968" s="79" t="str">
        <x:f>IF(AE968="COMPLETE","YES","NO")</x:f>
        <x:v>NO</x:v>
      </x:c>
      <x:c r="AG968" s="214" t="str">
        <x:f>IF(AF968&lt;&gt;"YES","",(IF(V968="YES",1,0)+IF(W968="YES",1,0))/2)</x:f>
      </x:c>
    </x:row>
    <x:row r="969">
      <x:c r="A969" s="57" t="inlineStr">
        <x:is>
          <x:t xml:space="preserve">C0964</x:t>
        </x:is>
      </x:c>
      <x:c r="B969" s="57" t="inlineStr">
        <x:is>
          <x:t xml:space="preserve">Holdout</x:t>
        </x:is>
      </x:c>
      <x:c r="C969" s="57" t="inlineStr">
        <x:is>
          <x:t xml:space="preserve">LOCKED</x:t>
        </x:is>
      </x:c>
      <x:c r="D969" s="57" t="inlineStr">
        <x:is>
          <x:t xml:space="preserve">ARG-097</x:t>
        </x:is>
      </x:c>
      <x:c r="E969" s="75" t="str">
        <x:f>INDEX('Company Universe'!$B$6:$B$105,MATCH(D969,'Company Universe'!$A$6:$A$105,0))</x:f>
        <x:v>Southern Company</x:v>
      </x:c>
      <x:c r="F969" s="75" t="str">
        <x:f>INDEX('Company Universe'!$C$6:$C$105,MATCH(D969,'Company Universe'!$A$6:$A$105,0))</x:f>
        <x:v>SO</x:v>
      </x:c>
      <x:c r="G969" s="75" t="str">
        <x:f>INDEX('Company Universe'!$F$6:$F$105,MATCH(D969,'Company Universe'!$A$6:$A$105,0))</x:f>
        <x:v>Utilities</x:v>
      </x:c>
      <x:c r="H969" s="57" t="n">
        <x:v>4</x:v>
      </x:c>
      <x:c r="I969" s="206" t="n"/>
      <x:c r="J969" s="71" t="n"/>
      <x:c r="K969" s="71" t="n"/>
      <x:c r="L969" s="71" t="inlineStr">
        <x:is>
          <x:t xml:space="preserve">NO</x:t>
        </x:is>
      </x:c>
      <x:c r="M969" s="71" t="n"/>
      <x:c r="N969" s="71" t="n"/>
      <x:c r="O969" s="71" t="n"/>
      <x:c r="P969" s="71" t="n"/>
      <x:c r="Q969" s="71" t="n"/>
      <x:c r="R969" s="71" t="n"/>
      <x:c r="S969" s="206" t="n"/>
      <x:c r="T969" s="71" t="n"/>
      <x:c r="U969" s="71" t="n"/>
      <x:c r="V969" s="71" t="n"/>
      <x:c r="W969" s="71" t="n"/>
      <x:c r="X969" s="71" t="n"/>
      <x:c r="Y969" s="71" t="n"/>
      <x:c r="Z969" s="71" t="n"/>
      <x:c r="AA969" s="71" t="n"/>
      <x:c r="AB969" s="71" t="inlineStr">
        <x:is>
          <x:t xml:space="preserve">NO</x:t>
        </x:is>
      </x:c>
      <x:c r="AC969" s="57" t="inlineStr">
        <x:is>
          <x:t xml:space="preserve">V10</x:t>
        </x:is>
      </x:c>
      <x:c r="AD969" s="57" t="n"/>
      <x:c r="AE969" s="79" t="str">
        <x:f>IF(AND(I969&lt;&gt;"",J969&lt;&gt;"",K969&lt;&gt;"",L969="YES",M969&lt;&gt;"",S969&lt;&gt;"",T969&lt;&gt;"",U969&lt;&gt;"",V969&lt;&gt;"",W969&lt;&gt;"",X969&lt;&gt;"",Y969&lt;&gt;""),"COMPLETE","PENDING")</x:f>
        <x:v>PENDING</x:v>
      </x:c>
      <x:c r="AF969" s="79" t="str">
        <x:f>IF(AE969="COMPLETE","YES","NO")</x:f>
        <x:v>NO</x:v>
      </x:c>
      <x:c r="AG969" s="214" t="str">
        <x:f>IF(AF969&lt;&gt;"YES","",(IF(V969="YES",1,0)+IF(W969="YES",1,0))/2)</x:f>
      </x:c>
    </x:row>
    <x:row r="970">
      <x:c r="A970" s="57" t="inlineStr">
        <x:is>
          <x:t xml:space="preserve">C0965</x:t>
        </x:is>
      </x:c>
      <x:c r="B970" s="57" t="inlineStr">
        <x:is>
          <x:t xml:space="preserve">Holdout</x:t>
        </x:is>
      </x:c>
      <x:c r="C970" s="57" t="inlineStr">
        <x:is>
          <x:t xml:space="preserve">LOCKED</x:t>
        </x:is>
      </x:c>
      <x:c r="D970" s="57" t="inlineStr">
        <x:is>
          <x:t xml:space="preserve">ARG-097</x:t>
        </x:is>
      </x:c>
      <x:c r="E970" s="75" t="str">
        <x:f>INDEX('Company Universe'!$B$6:$B$105,MATCH(D970,'Company Universe'!$A$6:$A$105,0))</x:f>
        <x:v>Southern Company</x:v>
      </x:c>
      <x:c r="F970" s="75" t="str">
        <x:f>INDEX('Company Universe'!$C$6:$C$105,MATCH(D970,'Company Universe'!$A$6:$A$105,0))</x:f>
        <x:v>SO</x:v>
      </x:c>
      <x:c r="G970" s="75" t="str">
        <x:f>INDEX('Company Universe'!$F$6:$F$105,MATCH(D970,'Company Universe'!$A$6:$A$105,0))</x:f>
        <x:v>Utilities</x:v>
      </x:c>
      <x:c r="H970" s="57" t="n">
        <x:v>5</x:v>
      </x:c>
      <x:c r="I970" s="206" t="n"/>
      <x:c r="J970" s="71" t="n"/>
      <x:c r="K970" s="71" t="n"/>
      <x:c r="L970" s="71" t="inlineStr">
        <x:is>
          <x:t xml:space="preserve">NO</x:t>
        </x:is>
      </x:c>
      <x:c r="M970" s="71" t="n"/>
      <x:c r="N970" s="71" t="n"/>
      <x:c r="O970" s="71" t="n"/>
      <x:c r="P970" s="71" t="n"/>
      <x:c r="Q970" s="71" t="n"/>
      <x:c r="R970" s="71" t="n"/>
      <x:c r="S970" s="206" t="n"/>
      <x:c r="T970" s="71" t="n"/>
      <x:c r="U970" s="71" t="n"/>
      <x:c r="V970" s="71" t="n"/>
      <x:c r="W970" s="71" t="n"/>
      <x:c r="X970" s="71" t="n"/>
      <x:c r="Y970" s="71" t="n"/>
      <x:c r="Z970" s="71" t="n"/>
      <x:c r="AA970" s="71" t="n"/>
      <x:c r="AB970" s="71" t="inlineStr">
        <x:is>
          <x:t xml:space="preserve">NO</x:t>
        </x:is>
      </x:c>
      <x:c r="AC970" s="57" t="inlineStr">
        <x:is>
          <x:t xml:space="preserve">V10</x:t>
        </x:is>
      </x:c>
      <x:c r="AD970" s="57" t="n"/>
      <x:c r="AE970" s="79" t="str">
        <x:f>IF(AND(I970&lt;&gt;"",J970&lt;&gt;"",K970&lt;&gt;"",L970="YES",M970&lt;&gt;"",S970&lt;&gt;"",T970&lt;&gt;"",U970&lt;&gt;"",V970&lt;&gt;"",W970&lt;&gt;"",X970&lt;&gt;"",Y970&lt;&gt;""),"COMPLETE","PENDING")</x:f>
        <x:v>PENDING</x:v>
      </x:c>
      <x:c r="AF970" s="79" t="str">
        <x:f>IF(AE970="COMPLETE","YES","NO")</x:f>
        <x:v>NO</x:v>
      </x:c>
      <x:c r="AG970" s="214" t="str">
        <x:f>IF(AF970&lt;&gt;"YES","",(IF(V970="YES",1,0)+IF(W970="YES",1,0))/2)</x:f>
      </x:c>
    </x:row>
    <x:row r="971">
      <x:c r="A971" s="57" t="inlineStr">
        <x:is>
          <x:t xml:space="preserve">C0966</x:t>
        </x:is>
      </x:c>
      <x:c r="B971" s="57" t="inlineStr">
        <x:is>
          <x:t xml:space="preserve">Holdout</x:t>
        </x:is>
      </x:c>
      <x:c r="C971" s="57" t="inlineStr">
        <x:is>
          <x:t xml:space="preserve">LOCKED</x:t>
        </x:is>
      </x:c>
      <x:c r="D971" s="57" t="inlineStr">
        <x:is>
          <x:t xml:space="preserve">ARG-097</x:t>
        </x:is>
      </x:c>
      <x:c r="E971" s="75" t="str">
        <x:f>INDEX('Company Universe'!$B$6:$B$105,MATCH(D971,'Company Universe'!$A$6:$A$105,0))</x:f>
        <x:v>Southern Company</x:v>
      </x:c>
      <x:c r="F971" s="75" t="str">
        <x:f>INDEX('Company Universe'!$C$6:$C$105,MATCH(D971,'Company Universe'!$A$6:$A$105,0))</x:f>
        <x:v>SO</x:v>
      </x:c>
      <x:c r="G971" s="75" t="str">
        <x:f>INDEX('Company Universe'!$F$6:$F$105,MATCH(D971,'Company Universe'!$A$6:$A$105,0))</x:f>
        <x:v>Utilities</x:v>
      </x:c>
      <x:c r="H971" s="57" t="n">
        <x:v>6</x:v>
      </x:c>
      <x:c r="I971" s="206" t="n"/>
      <x:c r="J971" s="71" t="n"/>
      <x:c r="K971" s="71" t="n"/>
      <x:c r="L971" s="71" t="inlineStr">
        <x:is>
          <x:t xml:space="preserve">NO</x:t>
        </x:is>
      </x:c>
      <x:c r="M971" s="71" t="n"/>
      <x:c r="N971" s="71" t="n"/>
      <x:c r="O971" s="71" t="n"/>
      <x:c r="P971" s="71" t="n"/>
      <x:c r="Q971" s="71" t="n"/>
      <x:c r="R971" s="71" t="n"/>
      <x:c r="S971" s="206" t="n"/>
      <x:c r="T971" s="71" t="n"/>
      <x:c r="U971" s="71" t="n"/>
      <x:c r="V971" s="71" t="n"/>
      <x:c r="W971" s="71" t="n"/>
      <x:c r="X971" s="71" t="n"/>
      <x:c r="Y971" s="71" t="n"/>
      <x:c r="Z971" s="71" t="n"/>
      <x:c r="AA971" s="71" t="n"/>
      <x:c r="AB971" s="71" t="inlineStr">
        <x:is>
          <x:t xml:space="preserve">NO</x:t>
        </x:is>
      </x:c>
      <x:c r="AC971" s="57" t="inlineStr">
        <x:is>
          <x:t xml:space="preserve">V10</x:t>
        </x:is>
      </x:c>
      <x:c r="AD971" s="57" t="n"/>
      <x:c r="AE971" s="79" t="str">
        <x:f>IF(AND(I971&lt;&gt;"",J971&lt;&gt;"",K971&lt;&gt;"",L971="YES",M971&lt;&gt;"",S971&lt;&gt;"",T971&lt;&gt;"",U971&lt;&gt;"",V971&lt;&gt;"",W971&lt;&gt;"",X971&lt;&gt;"",Y971&lt;&gt;""),"COMPLETE","PENDING")</x:f>
        <x:v>PENDING</x:v>
      </x:c>
      <x:c r="AF971" s="79" t="str">
        <x:f>IF(AE971="COMPLETE","YES","NO")</x:f>
        <x:v>NO</x:v>
      </x:c>
      <x:c r="AG971" s="214" t="str">
        <x:f>IF(AF971&lt;&gt;"YES","",(IF(V971="YES",1,0)+IF(W971="YES",1,0))/2)</x:f>
      </x:c>
    </x:row>
    <x:row r="972">
      <x:c r="A972" s="57" t="inlineStr">
        <x:is>
          <x:t xml:space="preserve">C0967</x:t>
        </x:is>
      </x:c>
      <x:c r="B972" s="57" t="inlineStr">
        <x:is>
          <x:t xml:space="preserve">Holdout</x:t>
        </x:is>
      </x:c>
      <x:c r="C972" s="57" t="inlineStr">
        <x:is>
          <x:t xml:space="preserve">LOCKED</x:t>
        </x:is>
      </x:c>
      <x:c r="D972" s="57" t="inlineStr">
        <x:is>
          <x:t xml:space="preserve">ARG-097</x:t>
        </x:is>
      </x:c>
      <x:c r="E972" s="75" t="str">
        <x:f>INDEX('Company Universe'!$B$6:$B$105,MATCH(D972,'Company Universe'!$A$6:$A$105,0))</x:f>
        <x:v>Southern Company</x:v>
      </x:c>
      <x:c r="F972" s="75" t="str">
        <x:f>INDEX('Company Universe'!$C$6:$C$105,MATCH(D972,'Company Universe'!$A$6:$A$105,0))</x:f>
        <x:v>SO</x:v>
      </x:c>
      <x:c r="G972" s="75" t="str">
        <x:f>INDEX('Company Universe'!$F$6:$F$105,MATCH(D972,'Company Universe'!$A$6:$A$105,0))</x:f>
        <x:v>Utilities</x:v>
      </x:c>
      <x:c r="H972" s="57" t="n">
        <x:v>7</x:v>
      </x:c>
      <x:c r="I972" s="206" t="n"/>
      <x:c r="J972" s="71" t="n"/>
      <x:c r="K972" s="71" t="n"/>
      <x:c r="L972" s="71" t="inlineStr">
        <x:is>
          <x:t xml:space="preserve">NO</x:t>
        </x:is>
      </x:c>
      <x:c r="M972" s="71" t="n"/>
      <x:c r="N972" s="71" t="n"/>
      <x:c r="O972" s="71" t="n"/>
      <x:c r="P972" s="71" t="n"/>
      <x:c r="Q972" s="71" t="n"/>
      <x:c r="R972" s="71" t="n"/>
      <x:c r="S972" s="206" t="n"/>
      <x:c r="T972" s="71" t="n"/>
      <x:c r="U972" s="71" t="n"/>
      <x:c r="V972" s="71" t="n"/>
      <x:c r="W972" s="71" t="n"/>
      <x:c r="X972" s="71" t="n"/>
      <x:c r="Y972" s="71" t="n"/>
      <x:c r="Z972" s="71" t="n"/>
      <x:c r="AA972" s="71" t="n"/>
      <x:c r="AB972" s="71" t="inlineStr">
        <x:is>
          <x:t xml:space="preserve">NO</x:t>
        </x:is>
      </x:c>
      <x:c r="AC972" s="57" t="inlineStr">
        <x:is>
          <x:t xml:space="preserve">V10</x:t>
        </x:is>
      </x:c>
      <x:c r="AD972" s="57" t="n"/>
      <x:c r="AE972" s="79" t="str">
        <x:f>IF(AND(I972&lt;&gt;"",J972&lt;&gt;"",K972&lt;&gt;"",L972="YES",M972&lt;&gt;"",S972&lt;&gt;"",T972&lt;&gt;"",U972&lt;&gt;"",V972&lt;&gt;"",W972&lt;&gt;"",X972&lt;&gt;"",Y972&lt;&gt;""),"COMPLETE","PENDING")</x:f>
        <x:v>PENDING</x:v>
      </x:c>
      <x:c r="AF972" s="79" t="str">
        <x:f>IF(AE972="COMPLETE","YES","NO")</x:f>
        <x:v>NO</x:v>
      </x:c>
      <x:c r="AG972" s="214" t="str">
        <x:f>IF(AF972&lt;&gt;"YES","",(IF(V972="YES",1,0)+IF(W972="YES",1,0))/2)</x:f>
      </x:c>
    </x:row>
    <x:row r="973">
      <x:c r="A973" s="57" t="inlineStr">
        <x:is>
          <x:t xml:space="preserve">C0968</x:t>
        </x:is>
      </x:c>
      <x:c r="B973" s="57" t="inlineStr">
        <x:is>
          <x:t xml:space="preserve">Holdout</x:t>
        </x:is>
      </x:c>
      <x:c r="C973" s="57" t="inlineStr">
        <x:is>
          <x:t xml:space="preserve">LOCKED</x:t>
        </x:is>
      </x:c>
      <x:c r="D973" s="57" t="inlineStr">
        <x:is>
          <x:t xml:space="preserve">ARG-097</x:t>
        </x:is>
      </x:c>
      <x:c r="E973" s="75" t="str">
        <x:f>INDEX('Company Universe'!$B$6:$B$105,MATCH(D973,'Company Universe'!$A$6:$A$105,0))</x:f>
        <x:v>Southern Company</x:v>
      </x:c>
      <x:c r="F973" s="75" t="str">
        <x:f>INDEX('Company Universe'!$C$6:$C$105,MATCH(D973,'Company Universe'!$A$6:$A$105,0))</x:f>
        <x:v>SO</x:v>
      </x:c>
      <x:c r="G973" s="75" t="str">
        <x:f>INDEX('Company Universe'!$F$6:$F$105,MATCH(D973,'Company Universe'!$A$6:$A$105,0))</x:f>
        <x:v>Utilities</x:v>
      </x:c>
      <x:c r="H973" s="57" t="n">
        <x:v>8</x:v>
      </x:c>
      <x:c r="I973" s="206" t="n"/>
      <x:c r="J973" s="71" t="n"/>
      <x:c r="K973" s="71" t="n"/>
      <x:c r="L973" s="71" t="inlineStr">
        <x:is>
          <x:t xml:space="preserve">NO</x:t>
        </x:is>
      </x:c>
      <x:c r="M973" s="71" t="n"/>
      <x:c r="N973" s="71" t="n"/>
      <x:c r="O973" s="71" t="n"/>
      <x:c r="P973" s="71" t="n"/>
      <x:c r="Q973" s="71" t="n"/>
      <x:c r="R973" s="71" t="n"/>
      <x:c r="S973" s="206" t="n"/>
      <x:c r="T973" s="71" t="n"/>
      <x:c r="U973" s="71" t="n"/>
      <x:c r="V973" s="71" t="n"/>
      <x:c r="W973" s="71" t="n"/>
      <x:c r="X973" s="71" t="n"/>
      <x:c r="Y973" s="71" t="n"/>
      <x:c r="Z973" s="71" t="n"/>
      <x:c r="AA973" s="71" t="n"/>
      <x:c r="AB973" s="71" t="inlineStr">
        <x:is>
          <x:t xml:space="preserve">NO</x:t>
        </x:is>
      </x:c>
      <x:c r="AC973" s="57" t="inlineStr">
        <x:is>
          <x:t xml:space="preserve">V10</x:t>
        </x:is>
      </x:c>
      <x:c r="AD973" s="57" t="n"/>
      <x:c r="AE973" s="79" t="str">
        <x:f>IF(AND(I973&lt;&gt;"",J973&lt;&gt;"",K973&lt;&gt;"",L973="YES",M973&lt;&gt;"",S973&lt;&gt;"",T973&lt;&gt;"",U973&lt;&gt;"",V973&lt;&gt;"",W973&lt;&gt;"",X973&lt;&gt;"",Y973&lt;&gt;""),"COMPLETE","PENDING")</x:f>
        <x:v>PENDING</x:v>
      </x:c>
      <x:c r="AF973" s="79" t="str">
        <x:f>IF(AE973="COMPLETE","YES","NO")</x:f>
        <x:v>NO</x:v>
      </x:c>
      <x:c r="AG973" s="214" t="str">
        <x:f>IF(AF973&lt;&gt;"YES","",(IF(V973="YES",1,0)+IF(W973="YES",1,0))/2)</x:f>
      </x:c>
    </x:row>
    <x:row r="974">
      <x:c r="A974" s="57" t="inlineStr">
        <x:is>
          <x:t xml:space="preserve">C0969</x:t>
        </x:is>
      </x:c>
      <x:c r="B974" s="57" t="inlineStr">
        <x:is>
          <x:t xml:space="preserve">Holdout</x:t>
        </x:is>
      </x:c>
      <x:c r="C974" s="57" t="inlineStr">
        <x:is>
          <x:t xml:space="preserve">LOCKED</x:t>
        </x:is>
      </x:c>
      <x:c r="D974" s="57" t="inlineStr">
        <x:is>
          <x:t xml:space="preserve">ARG-097</x:t>
        </x:is>
      </x:c>
      <x:c r="E974" s="75" t="str">
        <x:f>INDEX('Company Universe'!$B$6:$B$105,MATCH(D974,'Company Universe'!$A$6:$A$105,0))</x:f>
        <x:v>Southern Company</x:v>
      </x:c>
      <x:c r="F974" s="75" t="str">
        <x:f>INDEX('Company Universe'!$C$6:$C$105,MATCH(D974,'Company Universe'!$A$6:$A$105,0))</x:f>
        <x:v>SO</x:v>
      </x:c>
      <x:c r="G974" s="75" t="str">
        <x:f>INDEX('Company Universe'!$F$6:$F$105,MATCH(D974,'Company Universe'!$A$6:$A$105,0))</x:f>
        <x:v>Utilities</x:v>
      </x:c>
      <x:c r="H974" s="57" t="n">
        <x:v>9</x:v>
      </x:c>
      <x:c r="I974" s="206" t="n"/>
      <x:c r="J974" s="71" t="n"/>
      <x:c r="K974" s="71" t="n"/>
      <x:c r="L974" s="71" t="inlineStr">
        <x:is>
          <x:t xml:space="preserve">NO</x:t>
        </x:is>
      </x:c>
      <x:c r="M974" s="71" t="n"/>
      <x:c r="N974" s="71" t="n"/>
      <x:c r="O974" s="71" t="n"/>
      <x:c r="P974" s="71" t="n"/>
      <x:c r="Q974" s="71" t="n"/>
      <x:c r="R974" s="71" t="n"/>
      <x:c r="S974" s="206" t="n"/>
      <x:c r="T974" s="71" t="n"/>
      <x:c r="U974" s="71" t="n"/>
      <x:c r="V974" s="71" t="n"/>
      <x:c r="W974" s="71" t="n"/>
      <x:c r="X974" s="71" t="n"/>
      <x:c r="Y974" s="71" t="n"/>
      <x:c r="Z974" s="71" t="n"/>
      <x:c r="AA974" s="71" t="n"/>
      <x:c r="AB974" s="71" t="inlineStr">
        <x:is>
          <x:t xml:space="preserve">NO</x:t>
        </x:is>
      </x:c>
      <x:c r="AC974" s="57" t="inlineStr">
        <x:is>
          <x:t xml:space="preserve">V10</x:t>
        </x:is>
      </x:c>
      <x:c r="AD974" s="57" t="n"/>
      <x:c r="AE974" s="79" t="str">
        <x:f>IF(AND(I974&lt;&gt;"",J974&lt;&gt;"",K974&lt;&gt;"",L974="YES",M974&lt;&gt;"",S974&lt;&gt;"",T974&lt;&gt;"",U974&lt;&gt;"",V974&lt;&gt;"",W974&lt;&gt;"",X974&lt;&gt;"",Y974&lt;&gt;""),"COMPLETE","PENDING")</x:f>
        <x:v>PENDING</x:v>
      </x:c>
      <x:c r="AF974" s="79" t="str">
        <x:f>IF(AE974="COMPLETE","YES","NO")</x:f>
        <x:v>NO</x:v>
      </x:c>
      <x:c r="AG974" s="214" t="str">
        <x:f>IF(AF974&lt;&gt;"YES","",(IF(V974="YES",1,0)+IF(W974="YES",1,0))/2)</x:f>
      </x:c>
    </x:row>
    <x:row r="975">
      <x:c r="A975" s="57" t="inlineStr">
        <x:is>
          <x:t xml:space="preserve">C0970</x:t>
        </x:is>
      </x:c>
      <x:c r="B975" s="57" t="inlineStr">
        <x:is>
          <x:t xml:space="preserve">Holdout</x:t>
        </x:is>
      </x:c>
      <x:c r="C975" s="57" t="inlineStr">
        <x:is>
          <x:t xml:space="preserve">LOCKED</x:t>
        </x:is>
      </x:c>
      <x:c r="D975" s="57" t="inlineStr">
        <x:is>
          <x:t xml:space="preserve">ARG-097</x:t>
        </x:is>
      </x:c>
      <x:c r="E975" s="75" t="str">
        <x:f>INDEX('Company Universe'!$B$6:$B$105,MATCH(D975,'Company Universe'!$A$6:$A$105,0))</x:f>
        <x:v>Southern Company</x:v>
      </x:c>
      <x:c r="F975" s="75" t="str">
        <x:f>INDEX('Company Universe'!$C$6:$C$105,MATCH(D975,'Company Universe'!$A$6:$A$105,0))</x:f>
        <x:v>SO</x:v>
      </x:c>
      <x:c r="G975" s="75" t="str">
        <x:f>INDEX('Company Universe'!$F$6:$F$105,MATCH(D975,'Company Universe'!$A$6:$A$105,0))</x:f>
        <x:v>Utilities</x:v>
      </x:c>
      <x:c r="H975" s="57" t="n">
        <x:v>10</x:v>
      </x:c>
      <x:c r="I975" s="206" t="n"/>
      <x:c r="J975" s="71" t="n"/>
      <x:c r="K975" s="71" t="n"/>
      <x:c r="L975" s="71" t="inlineStr">
        <x:is>
          <x:t xml:space="preserve">NO</x:t>
        </x:is>
      </x:c>
      <x:c r="M975" s="71" t="n"/>
      <x:c r="N975" s="71" t="n"/>
      <x:c r="O975" s="71" t="n"/>
      <x:c r="P975" s="71" t="n"/>
      <x:c r="Q975" s="71" t="n"/>
      <x:c r="R975" s="71" t="n"/>
      <x:c r="S975" s="206" t="n"/>
      <x:c r="T975" s="71" t="n"/>
      <x:c r="U975" s="71" t="n"/>
      <x:c r="V975" s="71" t="n"/>
      <x:c r="W975" s="71" t="n"/>
      <x:c r="X975" s="71" t="n"/>
      <x:c r="Y975" s="71" t="n"/>
      <x:c r="Z975" s="71" t="n"/>
      <x:c r="AA975" s="71" t="n"/>
      <x:c r="AB975" s="71" t="inlineStr">
        <x:is>
          <x:t xml:space="preserve">NO</x:t>
        </x:is>
      </x:c>
      <x:c r="AC975" s="57" t="inlineStr">
        <x:is>
          <x:t xml:space="preserve">V10</x:t>
        </x:is>
      </x:c>
      <x:c r="AD975" s="57" t="n"/>
      <x:c r="AE975" s="79" t="str">
        <x:f>IF(AND(I975&lt;&gt;"",J975&lt;&gt;"",K975&lt;&gt;"",L975="YES",M975&lt;&gt;"",S975&lt;&gt;"",T975&lt;&gt;"",U975&lt;&gt;"",V975&lt;&gt;"",W975&lt;&gt;"",X975&lt;&gt;"",Y975&lt;&gt;""),"COMPLETE","PENDING")</x:f>
        <x:v>PENDING</x:v>
      </x:c>
      <x:c r="AF975" s="79" t="str">
        <x:f>IF(AE975="COMPLETE","YES","NO")</x:f>
        <x:v>NO</x:v>
      </x:c>
      <x:c r="AG975" s="214" t="str">
        <x:f>IF(AF975&lt;&gt;"YES","",(IF(V975="YES",1,0)+IF(W975="YES",1,0))/2)</x:f>
      </x:c>
    </x:row>
    <x:row r="976">
      <x:c r="A976" s="57" t="inlineStr">
        <x:is>
          <x:t xml:space="preserve">C0971</x:t>
        </x:is>
      </x:c>
      <x:c r="B976" s="57" t="inlineStr">
        <x:is>
          <x:t xml:space="preserve">Holdout</x:t>
        </x:is>
      </x:c>
      <x:c r="C976" s="57" t="inlineStr">
        <x:is>
          <x:t xml:space="preserve">LOCKED</x:t>
        </x:is>
      </x:c>
      <x:c r="D976" s="57" t="inlineStr">
        <x:is>
          <x:t xml:space="preserve">ARG-098</x:t>
        </x:is>
      </x:c>
      <x:c r="E976" s="75" t="str">
        <x:f>INDEX('Company Universe'!$B$6:$B$105,MATCH(D976,'Company Universe'!$A$6:$A$105,0))</x:f>
        <x:v>Duke Energy</x:v>
      </x:c>
      <x:c r="F976" s="75" t="str">
        <x:f>INDEX('Company Universe'!$C$6:$C$105,MATCH(D976,'Company Universe'!$A$6:$A$105,0))</x:f>
        <x:v>DUK</x:v>
      </x:c>
      <x:c r="G976" s="75" t="str">
        <x:f>INDEX('Company Universe'!$F$6:$F$105,MATCH(D976,'Company Universe'!$A$6:$A$105,0))</x:f>
        <x:v>Utilities</x:v>
      </x:c>
      <x:c r="H976" s="57" t="n">
        <x:v>1</x:v>
      </x:c>
      <x:c r="I976" s="206" t="n"/>
      <x:c r="J976" s="71" t="n"/>
      <x:c r="K976" s="71" t="n"/>
      <x:c r="L976" s="71" t="inlineStr">
        <x:is>
          <x:t xml:space="preserve">NO</x:t>
        </x:is>
      </x:c>
      <x:c r="M976" s="71" t="n"/>
      <x:c r="N976" s="71" t="n"/>
      <x:c r="O976" s="71" t="n"/>
      <x:c r="P976" s="71" t="n"/>
      <x:c r="Q976" s="71" t="n"/>
      <x:c r="R976" s="71" t="n"/>
      <x:c r="S976" s="206" t="n"/>
      <x:c r="T976" s="71" t="n"/>
      <x:c r="U976" s="71" t="n"/>
      <x:c r="V976" s="71" t="n"/>
      <x:c r="W976" s="71" t="n"/>
      <x:c r="X976" s="71" t="n"/>
      <x:c r="Y976" s="71" t="n"/>
      <x:c r="Z976" s="71" t="n"/>
      <x:c r="AA976" s="71" t="n"/>
      <x:c r="AB976" s="71" t="inlineStr">
        <x:is>
          <x:t xml:space="preserve">NO</x:t>
        </x:is>
      </x:c>
      <x:c r="AC976" s="57" t="inlineStr">
        <x:is>
          <x:t xml:space="preserve">V10</x:t>
        </x:is>
      </x:c>
      <x:c r="AD976" s="57" t="n"/>
      <x:c r="AE976" s="79" t="str">
        <x:f>IF(AND(I976&lt;&gt;"",J976&lt;&gt;"",K976&lt;&gt;"",L976="YES",M976&lt;&gt;"",S976&lt;&gt;"",T976&lt;&gt;"",U976&lt;&gt;"",V976&lt;&gt;"",W976&lt;&gt;"",X976&lt;&gt;"",Y976&lt;&gt;""),"COMPLETE","PENDING")</x:f>
        <x:v>PENDING</x:v>
      </x:c>
      <x:c r="AF976" s="79" t="str">
        <x:f>IF(AE976="COMPLETE","YES","NO")</x:f>
        <x:v>NO</x:v>
      </x:c>
      <x:c r="AG976" s="214" t="str">
        <x:f>IF(AF976&lt;&gt;"YES","",(IF(V976="YES",1,0)+IF(W976="YES",1,0))/2)</x:f>
      </x:c>
    </x:row>
    <x:row r="977">
      <x:c r="A977" s="57" t="inlineStr">
        <x:is>
          <x:t xml:space="preserve">C0972</x:t>
        </x:is>
      </x:c>
      <x:c r="B977" s="57" t="inlineStr">
        <x:is>
          <x:t xml:space="preserve">Holdout</x:t>
        </x:is>
      </x:c>
      <x:c r="C977" s="57" t="inlineStr">
        <x:is>
          <x:t xml:space="preserve">LOCKED</x:t>
        </x:is>
      </x:c>
      <x:c r="D977" s="57" t="inlineStr">
        <x:is>
          <x:t xml:space="preserve">ARG-098</x:t>
        </x:is>
      </x:c>
      <x:c r="E977" s="75" t="str">
        <x:f>INDEX('Company Universe'!$B$6:$B$105,MATCH(D977,'Company Universe'!$A$6:$A$105,0))</x:f>
        <x:v>Duke Energy</x:v>
      </x:c>
      <x:c r="F977" s="75" t="str">
        <x:f>INDEX('Company Universe'!$C$6:$C$105,MATCH(D977,'Company Universe'!$A$6:$A$105,0))</x:f>
        <x:v>DUK</x:v>
      </x:c>
      <x:c r="G977" s="75" t="str">
        <x:f>INDEX('Company Universe'!$F$6:$F$105,MATCH(D977,'Company Universe'!$A$6:$A$105,0))</x:f>
        <x:v>Utilities</x:v>
      </x:c>
      <x:c r="H977" s="57" t="n">
        <x:v>2</x:v>
      </x:c>
      <x:c r="I977" s="206" t="n"/>
      <x:c r="J977" s="71" t="n"/>
      <x:c r="K977" s="71" t="n"/>
      <x:c r="L977" s="71" t="inlineStr">
        <x:is>
          <x:t xml:space="preserve">NO</x:t>
        </x:is>
      </x:c>
      <x:c r="M977" s="71" t="n"/>
      <x:c r="N977" s="71" t="n"/>
      <x:c r="O977" s="71" t="n"/>
      <x:c r="P977" s="71" t="n"/>
      <x:c r="Q977" s="71" t="n"/>
      <x:c r="R977" s="71" t="n"/>
      <x:c r="S977" s="206" t="n"/>
      <x:c r="T977" s="71" t="n"/>
      <x:c r="U977" s="71" t="n"/>
      <x:c r="V977" s="71" t="n"/>
      <x:c r="W977" s="71" t="n"/>
      <x:c r="X977" s="71" t="n"/>
      <x:c r="Y977" s="71" t="n"/>
      <x:c r="Z977" s="71" t="n"/>
      <x:c r="AA977" s="71" t="n"/>
      <x:c r="AB977" s="71" t="inlineStr">
        <x:is>
          <x:t xml:space="preserve">NO</x:t>
        </x:is>
      </x:c>
      <x:c r="AC977" s="57" t="inlineStr">
        <x:is>
          <x:t xml:space="preserve">V10</x:t>
        </x:is>
      </x:c>
      <x:c r="AD977" s="57" t="n"/>
      <x:c r="AE977" s="79" t="str">
        <x:f>IF(AND(I977&lt;&gt;"",J977&lt;&gt;"",K977&lt;&gt;"",L977="YES",M977&lt;&gt;"",S977&lt;&gt;"",T977&lt;&gt;"",U977&lt;&gt;"",V977&lt;&gt;"",W977&lt;&gt;"",X977&lt;&gt;"",Y977&lt;&gt;""),"COMPLETE","PENDING")</x:f>
        <x:v>PENDING</x:v>
      </x:c>
      <x:c r="AF977" s="79" t="str">
        <x:f>IF(AE977="COMPLETE","YES","NO")</x:f>
        <x:v>NO</x:v>
      </x:c>
      <x:c r="AG977" s="214" t="str">
        <x:f>IF(AF977&lt;&gt;"YES","",(IF(V977="YES",1,0)+IF(W977="YES",1,0))/2)</x:f>
      </x:c>
    </x:row>
    <x:row r="978">
      <x:c r="A978" s="57" t="inlineStr">
        <x:is>
          <x:t xml:space="preserve">C0973</x:t>
        </x:is>
      </x:c>
      <x:c r="B978" s="57" t="inlineStr">
        <x:is>
          <x:t xml:space="preserve">Holdout</x:t>
        </x:is>
      </x:c>
      <x:c r="C978" s="57" t="inlineStr">
        <x:is>
          <x:t xml:space="preserve">LOCKED</x:t>
        </x:is>
      </x:c>
      <x:c r="D978" s="57" t="inlineStr">
        <x:is>
          <x:t xml:space="preserve">ARG-098</x:t>
        </x:is>
      </x:c>
      <x:c r="E978" s="75" t="str">
        <x:f>INDEX('Company Universe'!$B$6:$B$105,MATCH(D978,'Company Universe'!$A$6:$A$105,0))</x:f>
        <x:v>Duke Energy</x:v>
      </x:c>
      <x:c r="F978" s="75" t="str">
        <x:f>INDEX('Company Universe'!$C$6:$C$105,MATCH(D978,'Company Universe'!$A$6:$A$105,0))</x:f>
        <x:v>DUK</x:v>
      </x:c>
      <x:c r="G978" s="75" t="str">
        <x:f>INDEX('Company Universe'!$F$6:$F$105,MATCH(D978,'Company Universe'!$A$6:$A$105,0))</x:f>
        <x:v>Utilities</x:v>
      </x:c>
      <x:c r="H978" s="57" t="n">
        <x:v>3</x:v>
      </x:c>
      <x:c r="I978" s="206" t="n"/>
      <x:c r="J978" s="71" t="n"/>
      <x:c r="K978" s="71" t="n"/>
      <x:c r="L978" s="71" t="inlineStr">
        <x:is>
          <x:t xml:space="preserve">NO</x:t>
        </x:is>
      </x:c>
      <x:c r="M978" s="71" t="n"/>
      <x:c r="N978" s="71" t="n"/>
      <x:c r="O978" s="71" t="n"/>
      <x:c r="P978" s="71" t="n"/>
      <x:c r="Q978" s="71" t="n"/>
      <x:c r="R978" s="71" t="n"/>
      <x:c r="S978" s="206" t="n"/>
      <x:c r="T978" s="71" t="n"/>
      <x:c r="U978" s="71" t="n"/>
      <x:c r="V978" s="71" t="n"/>
      <x:c r="W978" s="71" t="n"/>
      <x:c r="X978" s="71" t="n"/>
      <x:c r="Y978" s="71" t="n"/>
      <x:c r="Z978" s="71" t="n"/>
      <x:c r="AA978" s="71" t="n"/>
      <x:c r="AB978" s="71" t="inlineStr">
        <x:is>
          <x:t xml:space="preserve">NO</x:t>
        </x:is>
      </x:c>
      <x:c r="AC978" s="57" t="inlineStr">
        <x:is>
          <x:t xml:space="preserve">V10</x:t>
        </x:is>
      </x:c>
      <x:c r="AD978" s="57" t="n"/>
      <x:c r="AE978" s="79" t="str">
        <x:f>IF(AND(I978&lt;&gt;"",J978&lt;&gt;"",K978&lt;&gt;"",L978="YES",M978&lt;&gt;"",S978&lt;&gt;"",T978&lt;&gt;"",U978&lt;&gt;"",V978&lt;&gt;"",W978&lt;&gt;"",X978&lt;&gt;"",Y978&lt;&gt;""),"COMPLETE","PENDING")</x:f>
        <x:v>PENDING</x:v>
      </x:c>
      <x:c r="AF978" s="79" t="str">
        <x:f>IF(AE978="COMPLETE","YES","NO")</x:f>
        <x:v>NO</x:v>
      </x:c>
      <x:c r="AG978" s="214" t="str">
        <x:f>IF(AF978&lt;&gt;"YES","",(IF(V978="YES",1,0)+IF(W978="YES",1,0))/2)</x:f>
      </x:c>
    </x:row>
    <x:row r="979">
      <x:c r="A979" s="57" t="inlineStr">
        <x:is>
          <x:t xml:space="preserve">C0974</x:t>
        </x:is>
      </x:c>
      <x:c r="B979" s="57" t="inlineStr">
        <x:is>
          <x:t xml:space="preserve">Holdout</x:t>
        </x:is>
      </x:c>
      <x:c r="C979" s="57" t="inlineStr">
        <x:is>
          <x:t xml:space="preserve">LOCKED</x:t>
        </x:is>
      </x:c>
      <x:c r="D979" s="57" t="inlineStr">
        <x:is>
          <x:t xml:space="preserve">ARG-098</x:t>
        </x:is>
      </x:c>
      <x:c r="E979" s="75" t="str">
        <x:f>INDEX('Company Universe'!$B$6:$B$105,MATCH(D979,'Company Universe'!$A$6:$A$105,0))</x:f>
        <x:v>Duke Energy</x:v>
      </x:c>
      <x:c r="F979" s="75" t="str">
        <x:f>INDEX('Company Universe'!$C$6:$C$105,MATCH(D979,'Company Universe'!$A$6:$A$105,0))</x:f>
        <x:v>DUK</x:v>
      </x:c>
      <x:c r="G979" s="75" t="str">
        <x:f>INDEX('Company Universe'!$F$6:$F$105,MATCH(D979,'Company Universe'!$A$6:$A$105,0))</x:f>
        <x:v>Utilities</x:v>
      </x:c>
      <x:c r="H979" s="57" t="n">
        <x:v>4</x:v>
      </x:c>
      <x:c r="I979" s="206" t="n"/>
      <x:c r="J979" s="71" t="n"/>
      <x:c r="K979" s="71" t="n"/>
      <x:c r="L979" s="71" t="inlineStr">
        <x:is>
          <x:t xml:space="preserve">NO</x:t>
        </x:is>
      </x:c>
      <x:c r="M979" s="71" t="n"/>
      <x:c r="N979" s="71" t="n"/>
      <x:c r="O979" s="71" t="n"/>
      <x:c r="P979" s="71" t="n"/>
      <x:c r="Q979" s="71" t="n"/>
      <x:c r="R979" s="71" t="n"/>
      <x:c r="S979" s="206" t="n"/>
      <x:c r="T979" s="71" t="n"/>
      <x:c r="U979" s="71" t="n"/>
      <x:c r="V979" s="71" t="n"/>
      <x:c r="W979" s="71" t="n"/>
      <x:c r="X979" s="71" t="n"/>
      <x:c r="Y979" s="71" t="n"/>
      <x:c r="Z979" s="71" t="n"/>
      <x:c r="AA979" s="71" t="n"/>
      <x:c r="AB979" s="71" t="inlineStr">
        <x:is>
          <x:t xml:space="preserve">NO</x:t>
        </x:is>
      </x:c>
      <x:c r="AC979" s="57" t="inlineStr">
        <x:is>
          <x:t xml:space="preserve">V10</x:t>
        </x:is>
      </x:c>
      <x:c r="AD979" s="57" t="n"/>
      <x:c r="AE979" s="79" t="str">
        <x:f>IF(AND(I979&lt;&gt;"",J979&lt;&gt;"",K979&lt;&gt;"",L979="YES",M979&lt;&gt;"",S979&lt;&gt;"",T979&lt;&gt;"",U979&lt;&gt;"",V979&lt;&gt;"",W979&lt;&gt;"",X979&lt;&gt;"",Y979&lt;&gt;""),"COMPLETE","PENDING")</x:f>
        <x:v>PENDING</x:v>
      </x:c>
      <x:c r="AF979" s="79" t="str">
        <x:f>IF(AE979="COMPLETE","YES","NO")</x:f>
        <x:v>NO</x:v>
      </x:c>
      <x:c r="AG979" s="214" t="str">
        <x:f>IF(AF979&lt;&gt;"YES","",(IF(V979="YES",1,0)+IF(W979="YES",1,0))/2)</x:f>
      </x:c>
    </x:row>
    <x:row r="980">
      <x:c r="A980" s="57" t="inlineStr">
        <x:is>
          <x:t xml:space="preserve">C0975</x:t>
        </x:is>
      </x:c>
      <x:c r="B980" s="57" t="inlineStr">
        <x:is>
          <x:t xml:space="preserve">Holdout</x:t>
        </x:is>
      </x:c>
      <x:c r="C980" s="57" t="inlineStr">
        <x:is>
          <x:t xml:space="preserve">LOCKED</x:t>
        </x:is>
      </x:c>
      <x:c r="D980" s="57" t="inlineStr">
        <x:is>
          <x:t xml:space="preserve">ARG-098</x:t>
        </x:is>
      </x:c>
      <x:c r="E980" s="75" t="str">
        <x:f>INDEX('Company Universe'!$B$6:$B$105,MATCH(D980,'Company Universe'!$A$6:$A$105,0))</x:f>
        <x:v>Duke Energy</x:v>
      </x:c>
      <x:c r="F980" s="75" t="str">
        <x:f>INDEX('Company Universe'!$C$6:$C$105,MATCH(D980,'Company Universe'!$A$6:$A$105,0))</x:f>
        <x:v>DUK</x:v>
      </x:c>
      <x:c r="G980" s="75" t="str">
        <x:f>INDEX('Company Universe'!$F$6:$F$105,MATCH(D980,'Company Universe'!$A$6:$A$105,0))</x:f>
        <x:v>Utilities</x:v>
      </x:c>
      <x:c r="H980" s="57" t="n">
        <x:v>5</x:v>
      </x:c>
      <x:c r="I980" s="206" t="n"/>
      <x:c r="J980" s="71" t="n"/>
      <x:c r="K980" s="71" t="n"/>
      <x:c r="L980" s="71" t="inlineStr">
        <x:is>
          <x:t xml:space="preserve">NO</x:t>
        </x:is>
      </x:c>
      <x:c r="M980" s="71" t="n"/>
      <x:c r="N980" s="71" t="n"/>
      <x:c r="O980" s="71" t="n"/>
      <x:c r="P980" s="71" t="n"/>
      <x:c r="Q980" s="71" t="n"/>
      <x:c r="R980" s="71" t="n"/>
      <x:c r="S980" s="206" t="n"/>
      <x:c r="T980" s="71" t="n"/>
      <x:c r="U980" s="71" t="n"/>
      <x:c r="V980" s="71" t="n"/>
      <x:c r="W980" s="71" t="n"/>
      <x:c r="X980" s="71" t="n"/>
      <x:c r="Y980" s="71" t="n"/>
      <x:c r="Z980" s="71" t="n"/>
      <x:c r="AA980" s="71" t="n"/>
      <x:c r="AB980" s="71" t="inlineStr">
        <x:is>
          <x:t xml:space="preserve">NO</x:t>
        </x:is>
      </x:c>
      <x:c r="AC980" s="57" t="inlineStr">
        <x:is>
          <x:t xml:space="preserve">V10</x:t>
        </x:is>
      </x:c>
      <x:c r="AD980" s="57" t="n"/>
      <x:c r="AE980" s="79" t="str">
        <x:f>IF(AND(I980&lt;&gt;"",J980&lt;&gt;"",K980&lt;&gt;"",L980="YES",M980&lt;&gt;"",S980&lt;&gt;"",T980&lt;&gt;"",U980&lt;&gt;"",V980&lt;&gt;"",W980&lt;&gt;"",X980&lt;&gt;"",Y980&lt;&gt;""),"COMPLETE","PENDING")</x:f>
        <x:v>PENDING</x:v>
      </x:c>
      <x:c r="AF980" s="79" t="str">
        <x:f>IF(AE980="COMPLETE","YES","NO")</x:f>
        <x:v>NO</x:v>
      </x:c>
      <x:c r="AG980" s="214" t="str">
        <x:f>IF(AF980&lt;&gt;"YES","",(IF(V980="YES",1,0)+IF(W980="YES",1,0))/2)</x:f>
      </x:c>
    </x:row>
    <x:row r="981">
      <x:c r="A981" s="57" t="inlineStr">
        <x:is>
          <x:t xml:space="preserve">C0976</x:t>
        </x:is>
      </x:c>
      <x:c r="B981" s="57" t="inlineStr">
        <x:is>
          <x:t xml:space="preserve">Holdout</x:t>
        </x:is>
      </x:c>
      <x:c r="C981" s="57" t="inlineStr">
        <x:is>
          <x:t xml:space="preserve">LOCKED</x:t>
        </x:is>
      </x:c>
      <x:c r="D981" s="57" t="inlineStr">
        <x:is>
          <x:t xml:space="preserve">ARG-098</x:t>
        </x:is>
      </x:c>
      <x:c r="E981" s="75" t="str">
        <x:f>INDEX('Company Universe'!$B$6:$B$105,MATCH(D981,'Company Universe'!$A$6:$A$105,0))</x:f>
        <x:v>Duke Energy</x:v>
      </x:c>
      <x:c r="F981" s="75" t="str">
        <x:f>INDEX('Company Universe'!$C$6:$C$105,MATCH(D981,'Company Universe'!$A$6:$A$105,0))</x:f>
        <x:v>DUK</x:v>
      </x:c>
      <x:c r="G981" s="75" t="str">
        <x:f>INDEX('Company Universe'!$F$6:$F$105,MATCH(D981,'Company Universe'!$A$6:$A$105,0))</x:f>
        <x:v>Utilities</x:v>
      </x:c>
      <x:c r="H981" s="57" t="n">
        <x:v>6</x:v>
      </x:c>
      <x:c r="I981" s="206" t="n"/>
      <x:c r="J981" s="71" t="n"/>
      <x:c r="K981" s="71" t="n"/>
      <x:c r="L981" s="71" t="inlineStr">
        <x:is>
          <x:t xml:space="preserve">NO</x:t>
        </x:is>
      </x:c>
      <x:c r="M981" s="71" t="n"/>
      <x:c r="N981" s="71" t="n"/>
      <x:c r="O981" s="71" t="n"/>
      <x:c r="P981" s="71" t="n"/>
      <x:c r="Q981" s="71" t="n"/>
      <x:c r="R981" s="71" t="n"/>
      <x:c r="S981" s="206" t="n"/>
      <x:c r="T981" s="71" t="n"/>
      <x:c r="U981" s="71" t="n"/>
      <x:c r="V981" s="71" t="n"/>
      <x:c r="W981" s="71" t="n"/>
      <x:c r="X981" s="71" t="n"/>
      <x:c r="Y981" s="71" t="n"/>
      <x:c r="Z981" s="71" t="n"/>
      <x:c r="AA981" s="71" t="n"/>
      <x:c r="AB981" s="71" t="inlineStr">
        <x:is>
          <x:t xml:space="preserve">NO</x:t>
        </x:is>
      </x:c>
      <x:c r="AC981" s="57" t="inlineStr">
        <x:is>
          <x:t xml:space="preserve">V10</x:t>
        </x:is>
      </x:c>
      <x:c r="AD981" s="57" t="n"/>
      <x:c r="AE981" s="79" t="str">
        <x:f>IF(AND(I981&lt;&gt;"",J981&lt;&gt;"",K981&lt;&gt;"",L981="YES",M981&lt;&gt;"",S981&lt;&gt;"",T981&lt;&gt;"",U981&lt;&gt;"",V981&lt;&gt;"",W981&lt;&gt;"",X981&lt;&gt;"",Y981&lt;&gt;""),"COMPLETE","PENDING")</x:f>
        <x:v>PENDING</x:v>
      </x:c>
      <x:c r="AF981" s="79" t="str">
        <x:f>IF(AE981="COMPLETE","YES","NO")</x:f>
        <x:v>NO</x:v>
      </x:c>
      <x:c r="AG981" s="214" t="str">
        <x:f>IF(AF981&lt;&gt;"YES","",(IF(V981="YES",1,0)+IF(W981="YES",1,0))/2)</x:f>
      </x:c>
    </x:row>
    <x:row r="982">
      <x:c r="A982" s="57" t="inlineStr">
        <x:is>
          <x:t xml:space="preserve">C0977</x:t>
        </x:is>
      </x:c>
      <x:c r="B982" s="57" t="inlineStr">
        <x:is>
          <x:t xml:space="preserve">Holdout</x:t>
        </x:is>
      </x:c>
      <x:c r="C982" s="57" t="inlineStr">
        <x:is>
          <x:t xml:space="preserve">LOCKED</x:t>
        </x:is>
      </x:c>
      <x:c r="D982" s="57" t="inlineStr">
        <x:is>
          <x:t xml:space="preserve">ARG-098</x:t>
        </x:is>
      </x:c>
      <x:c r="E982" s="75" t="str">
        <x:f>INDEX('Company Universe'!$B$6:$B$105,MATCH(D982,'Company Universe'!$A$6:$A$105,0))</x:f>
        <x:v>Duke Energy</x:v>
      </x:c>
      <x:c r="F982" s="75" t="str">
        <x:f>INDEX('Company Universe'!$C$6:$C$105,MATCH(D982,'Company Universe'!$A$6:$A$105,0))</x:f>
        <x:v>DUK</x:v>
      </x:c>
      <x:c r="G982" s="75" t="str">
        <x:f>INDEX('Company Universe'!$F$6:$F$105,MATCH(D982,'Company Universe'!$A$6:$A$105,0))</x:f>
        <x:v>Utilities</x:v>
      </x:c>
      <x:c r="H982" s="57" t="n">
        <x:v>7</x:v>
      </x:c>
      <x:c r="I982" s="206" t="n"/>
      <x:c r="J982" s="71" t="n"/>
      <x:c r="K982" s="71" t="n"/>
      <x:c r="L982" s="71" t="inlineStr">
        <x:is>
          <x:t xml:space="preserve">NO</x:t>
        </x:is>
      </x:c>
      <x:c r="M982" s="71" t="n"/>
      <x:c r="N982" s="71" t="n"/>
      <x:c r="O982" s="71" t="n"/>
      <x:c r="P982" s="71" t="n"/>
      <x:c r="Q982" s="71" t="n"/>
      <x:c r="R982" s="71" t="n"/>
      <x:c r="S982" s="206" t="n"/>
      <x:c r="T982" s="71" t="n"/>
      <x:c r="U982" s="71" t="n"/>
      <x:c r="V982" s="71" t="n"/>
      <x:c r="W982" s="71" t="n"/>
      <x:c r="X982" s="71" t="n"/>
      <x:c r="Y982" s="71" t="n"/>
      <x:c r="Z982" s="71" t="n"/>
      <x:c r="AA982" s="71" t="n"/>
      <x:c r="AB982" s="71" t="inlineStr">
        <x:is>
          <x:t xml:space="preserve">NO</x:t>
        </x:is>
      </x:c>
      <x:c r="AC982" s="57" t="inlineStr">
        <x:is>
          <x:t xml:space="preserve">V10</x:t>
        </x:is>
      </x:c>
      <x:c r="AD982" s="57" t="n"/>
      <x:c r="AE982" s="79" t="str">
        <x:f>IF(AND(I982&lt;&gt;"",J982&lt;&gt;"",K982&lt;&gt;"",L982="YES",M982&lt;&gt;"",S982&lt;&gt;"",T982&lt;&gt;"",U982&lt;&gt;"",V982&lt;&gt;"",W982&lt;&gt;"",X982&lt;&gt;"",Y982&lt;&gt;""),"COMPLETE","PENDING")</x:f>
        <x:v>PENDING</x:v>
      </x:c>
      <x:c r="AF982" s="79" t="str">
        <x:f>IF(AE982="COMPLETE","YES","NO")</x:f>
        <x:v>NO</x:v>
      </x:c>
      <x:c r="AG982" s="214" t="str">
        <x:f>IF(AF982&lt;&gt;"YES","",(IF(V982="YES",1,0)+IF(W982="YES",1,0))/2)</x:f>
      </x:c>
    </x:row>
    <x:row r="983">
      <x:c r="A983" s="57" t="inlineStr">
        <x:is>
          <x:t xml:space="preserve">C0978</x:t>
        </x:is>
      </x:c>
      <x:c r="B983" s="57" t="inlineStr">
        <x:is>
          <x:t xml:space="preserve">Holdout</x:t>
        </x:is>
      </x:c>
      <x:c r="C983" s="57" t="inlineStr">
        <x:is>
          <x:t xml:space="preserve">LOCKED</x:t>
        </x:is>
      </x:c>
      <x:c r="D983" s="57" t="inlineStr">
        <x:is>
          <x:t xml:space="preserve">ARG-098</x:t>
        </x:is>
      </x:c>
      <x:c r="E983" s="75" t="str">
        <x:f>INDEX('Company Universe'!$B$6:$B$105,MATCH(D983,'Company Universe'!$A$6:$A$105,0))</x:f>
        <x:v>Duke Energy</x:v>
      </x:c>
      <x:c r="F983" s="75" t="str">
        <x:f>INDEX('Company Universe'!$C$6:$C$105,MATCH(D983,'Company Universe'!$A$6:$A$105,0))</x:f>
        <x:v>DUK</x:v>
      </x:c>
      <x:c r="G983" s="75" t="str">
        <x:f>INDEX('Company Universe'!$F$6:$F$105,MATCH(D983,'Company Universe'!$A$6:$A$105,0))</x:f>
        <x:v>Utilities</x:v>
      </x:c>
      <x:c r="H983" s="57" t="n">
        <x:v>8</x:v>
      </x:c>
      <x:c r="I983" s="206" t="n"/>
      <x:c r="J983" s="71" t="n"/>
      <x:c r="K983" s="71" t="n"/>
      <x:c r="L983" s="71" t="inlineStr">
        <x:is>
          <x:t xml:space="preserve">NO</x:t>
        </x:is>
      </x:c>
      <x:c r="M983" s="71" t="n"/>
      <x:c r="N983" s="71" t="n"/>
      <x:c r="O983" s="71" t="n"/>
      <x:c r="P983" s="71" t="n"/>
      <x:c r="Q983" s="71" t="n"/>
      <x:c r="R983" s="71" t="n"/>
      <x:c r="S983" s="206" t="n"/>
      <x:c r="T983" s="71" t="n"/>
      <x:c r="U983" s="71" t="n"/>
      <x:c r="V983" s="71" t="n"/>
      <x:c r="W983" s="71" t="n"/>
      <x:c r="X983" s="71" t="n"/>
      <x:c r="Y983" s="71" t="n"/>
      <x:c r="Z983" s="71" t="n"/>
      <x:c r="AA983" s="71" t="n"/>
      <x:c r="AB983" s="71" t="inlineStr">
        <x:is>
          <x:t xml:space="preserve">NO</x:t>
        </x:is>
      </x:c>
      <x:c r="AC983" s="57" t="inlineStr">
        <x:is>
          <x:t xml:space="preserve">V10</x:t>
        </x:is>
      </x:c>
      <x:c r="AD983" s="57" t="n"/>
      <x:c r="AE983" s="79" t="str">
        <x:f>IF(AND(I983&lt;&gt;"",J983&lt;&gt;"",K983&lt;&gt;"",L983="YES",M983&lt;&gt;"",S983&lt;&gt;"",T983&lt;&gt;"",U983&lt;&gt;"",V983&lt;&gt;"",W983&lt;&gt;"",X983&lt;&gt;"",Y983&lt;&gt;""),"COMPLETE","PENDING")</x:f>
        <x:v>PENDING</x:v>
      </x:c>
      <x:c r="AF983" s="79" t="str">
        <x:f>IF(AE983="COMPLETE","YES","NO")</x:f>
        <x:v>NO</x:v>
      </x:c>
      <x:c r="AG983" s="214" t="str">
        <x:f>IF(AF983&lt;&gt;"YES","",(IF(V983="YES",1,0)+IF(W983="YES",1,0))/2)</x:f>
      </x:c>
    </x:row>
    <x:row r="984">
      <x:c r="A984" s="57" t="inlineStr">
        <x:is>
          <x:t xml:space="preserve">C0979</x:t>
        </x:is>
      </x:c>
      <x:c r="B984" s="57" t="inlineStr">
        <x:is>
          <x:t xml:space="preserve">Holdout</x:t>
        </x:is>
      </x:c>
      <x:c r="C984" s="57" t="inlineStr">
        <x:is>
          <x:t xml:space="preserve">LOCKED</x:t>
        </x:is>
      </x:c>
      <x:c r="D984" s="57" t="inlineStr">
        <x:is>
          <x:t xml:space="preserve">ARG-098</x:t>
        </x:is>
      </x:c>
      <x:c r="E984" s="75" t="str">
        <x:f>INDEX('Company Universe'!$B$6:$B$105,MATCH(D984,'Company Universe'!$A$6:$A$105,0))</x:f>
        <x:v>Duke Energy</x:v>
      </x:c>
      <x:c r="F984" s="75" t="str">
        <x:f>INDEX('Company Universe'!$C$6:$C$105,MATCH(D984,'Company Universe'!$A$6:$A$105,0))</x:f>
        <x:v>DUK</x:v>
      </x:c>
      <x:c r="G984" s="75" t="str">
        <x:f>INDEX('Company Universe'!$F$6:$F$105,MATCH(D984,'Company Universe'!$A$6:$A$105,0))</x:f>
        <x:v>Utilities</x:v>
      </x:c>
      <x:c r="H984" s="57" t="n">
        <x:v>9</x:v>
      </x:c>
      <x:c r="I984" s="206" t="n"/>
      <x:c r="J984" s="71" t="n"/>
      <x:c r="K984" s="71" t="n"/>
      <x:c r="L984" s="71" t="inlineStr">
        <x:is>
          <x:t xml:space="preserve">NO</x:t>
        </x:is>
      </x:c>
      <x:c r="M984" s="71" t="n"/>
      <x:c r="N984" s="71" t="n"/>
      <x:c r="O984" s="71" t="n"/>
      <x:c r="P984" s="71" t="n"/>
      <x:c r="Q984" s="71" t="n"/>
      <x:c r="R984" s="71" t="n"/>
      <x:c r="S984" s="206" t="n"/>
      <x:c r="T984" s="71" t="n"/>
      <x:c r="U984" s="71" t="n"/>
      <x:c r="V984" s="71" t="n"/>
      <x:c r="W984" s="71" t="n"/>
      <x:c r="X984" s="71" t="n"/>
      <x:c r="Y984" s="71" t="n"/>
      <x:c r="Z984" s="71" t="n"/>
      <x:c r="AA984" s="71" t="n"/>
      <x:c r="AB984" s="71" t="inlineStr">
        <x:is>
          <x:t xml:space="preserve">NO</x:t>
        </x:is>
      </x:c>
      <x:c r="AC984" s="57" t="inlineStr">
        <x:is>
          <x:t xml:space="preserve">V10</x:t>
        </x:is>
      </x:c>
      <x:c r="AD984" s="57" t="n"/>
      <x:c r="AE984" s="79" t="str">
        <x:f>IF(AND(I984&lt;&gt;"",J984&lt;&gt;"",K984&lt;&gt;"",L984="YES",M984&lt;&gt;"",S984&lt;&gt;"",T984&lt;&gt;"",U984&lt;&gt;"",V984&lt;&gt;"",W984&lt;&gt;"",X984&lt;&gt;"",Y984&lt;&gt;""),"COMPLETE","PENDING")</x:f>
        <x:v>PENDING</x:v>
      </x:c>
      <x:c r="AF984" s="79" t="str">
        <x:f>IF(AE984="COMPLETE","YES","NO")</x:f>
        <x:v>NO</x:v>
      </x:c>
      <x:c r="AG984" s="214" t="str">
        <x:f>IF(AF984&lt;&gt;"YES","",(IF(V984="YES",1,0)+IF(W984="YES",1,0))/2)</x:f>
      </x:c>
    </x:row>
    <x:row r="985">
      <x:c r="A985" s="57" t="inlineStr">
        <x:is>
          <x:t xml:space="preserve">C0980</x:t>
        </x:is>
      </x:c>
      <x:c r="B985" s="57" t="inlineStr">
        <x:is>
          <x:t xml:space="preserve">Holdout</x:t>
        </x:is>
      </x:c>
      <x:c r="C985" s="57" t="inlineStr">
        <x:is>
          <x:t xml:space="preserve">LOCKED</x:t>
        </x:is>
      </x:c>
      <x:c r="D985" s="57" t="inlineStr">
        <x:is>
          <x:t xml:space="preserve">ARG-098</x:t>
        </x:is>
      </x:c>
      <x:c r="E985" s="75" t="str">
        <x:f>INDEX('Company Universe'!$B$6:$B$105,MATCH(D985,'Company Universe'!$A$6:$A$105,0))</x:f>
        <x:v>Duke Energy</x:v>
      </x:c>
      <x:c r="F985" s="75" t="str">
        <x:f>INDEX('Company Universe'!$C$6:$C$105,MATCH(D985,'Company Universe'!$A$6:$A$105,0))</x:f>
        <x:v>DUK</x:v>
      </x:c>
      <x:c r="G985" s="75" t="str">
        <x:f>INDEX('Company Universe'!$F$6:$F$105,MATCH(D985,'Company Universe'!$A$6:$A$105,0))</x:f>
        <x:v>Utilities</x:v>
      </x:c>
      <x:c r="H985" s="57" t="n">
        <x:v>10</x:v>
      </x:c>
      <x:c r="I985" s="206" t="n"/>
      <x:c r="J985" s="71" t="n"/>
      <x:c r="K985" s="71" t="n"/>
      <x:c r="L985" s="71" t="inlineStr">
        <x:is>
          <x:t xml:space="preserve">NO</x:t>
        </x:is>
      </x:c>
      <x:c r="M985" s="71" t="n"/>
      <x:c r="N985" s="71" t="n"/>
      <x:c r="O985" s="71" t="n"/>
      <x:c r="P985" s="71" t="n"/>
      <x:c r="Q985" s="71" t="n"/>
      <x:c r="R985" s="71" t="n"/>
      <x:c r="S985" s="206" t="n"/>
      <x:c r="T985" s="71" t="n"/>
      <x:c r="U985" s="71" t="n"/>
      <x:c r="V985" s="71" t="n"/>
      <x:c r="W985" s="71" t="n"/>
      <x:c r="X985" s="71" t="n"/>
      <x:c r="Y985" s="71" t="n"/>
      <x:c r="Z985" s="71" t="n"/>
      <x:c r="AA985" s="71" t="n"/>
      <x:c r="AB985" s="71" t="inlineStr">
        <x:is>
          <x:t xml:space="preserve">NO</x:t>
        </x:is>
      </x:c>
      <x:c r="AC985" s="57" t="inlineStr">
        <x:is>
          <x:t xml:space="preserve">V10</x:t>
        </x:is>
      </x:c>
      <x:c r="AD985" s="57" t="n"/>
      <x:c r="AE985" s="79" t="str">
        <x:f>IF(AND(I985&lt;&gt;"",J985&lt;&gt;"",K985&lt;&gt;"",L985="YES",M985&lt;&gt;"",S985&lt;&gt;"",T985&lt;&gt;"",U985&lt;&gt;"",V985&lt;&gt;"",W985&lt;&gt;"",X985&lt;&gt;"",Y985&lt;&gt;""),"COMPLETE","PENDING")</x:f>
        <x:v>PENDING</x:v>
      </x:c>
      <x:c r="AF985" s="79" t="str">
        <x:f>IF(AE985="COMPLETE","YES","NO")</x:f>
        <x:v>NO</x:v>
      </x:c>
      <x:c r="AG985" s="214" t="str">
        <x:f>IF(AF985&lt;&gt;"YES","",(IF(V985="YES",1,0)+IF(W985="YES",1,0))/2)</x:f>
      </x:c>
    </x:row>
    <x:row r="986">
      <x:c r="A986" s="57" t="inlineStr">
        <x:is>
          <x:t xml:space="preserve">C0981</x:t>
        </x:is>
      </x:c>
      <x:c r="B986" s="57" t="inlineStr">
        <x:is>
          <x:t xml:space="preserve">Holdout</x:t>
        </x:is>
      </x:c>
      <x:c r="C986" s="57" t="inlineStr">
        <x:is>
          <x:t xml:space="preserve">LOCKED</x:t>
        </x:is>
      </x:c>
      <x:c r="D986" s="57" t="inlineStr">
        <x:is>
          <x:t xml:space="preserve">ARG-099</x:t>
        </x:is>
      </x:c>
      <x:c r="E986" s="75" t="str">
        <x:f>INDEX('Company Universe'!$B$6:$B$105,MATCH(D986,'Company Universe'!$A$6:$A$105,0))</x:f>
        <x:v>Nutrien</x:v>
      </x:c>
      <x:c r="F986" s="75" t="str">
        <x:f>INDEX('Company Universe'!$C$6:$C$105,MATCH(D986,'Company Universe'!$A$6:$A$105,0))</x:f>
        <x:v>NTR</x:v>
      </x:c>
      <x:c r="G986" s="75" t="str">
        <x:f>INDEX('Company Universe'!$F$6:$F$105,MATCH(D986,'Company Universe'!$A$6:$A$105,0))</x:f>
        <x:v>Agriculture &amp; Fertilizers</x:v>
      </x:c>
      <x:c r="H986" s="57" t="n">
        <x:v>1</x:v>
      </x:c>
      <x:c r="I986" s="206" t="n"/>
      <x:c r="J986" s="71" t="n"/>
      <x:c r="K986" s="71" t="n"/>
      <x:c r="L986" s="71" t="inlineStr">
        <x:is>
          <x:t xml:space="preserve">NO</x:t>
        </x:is>
      </x:c>
      <x:c r="M986" s="71" t="n"/>
      <x:c r="N986" s="71" t="n"/>
      <x:c r="O986" s="71" t="n"/>
      <x:c r="P986" s="71" t="n"/>
      <x:c r="Q986" s="71" t="n"/>
      <x:c r="R986" s="71" t="n"/>
      <x:c r="S986" s="206" t="n"/>
      <x:c r="T986" s="71" t="n"/>
      <x:c r="U986" s="71" t="n"/>
      <x:c r="V986" s="71" t="n"/>
      <x:c r="W986" s="71" t="n"/>
      <x:c r="X986" s="71" t="n"/>
      <x:c r="Y986" s="71" t="n"/>
      <x:c r="Z986" s="71" t="n"/>
      <x:c r="AA986" s="71" t="n"/>
      <x:c r="AB986" s="71" t="inlineStr">
        <x:is>
          <x:t xml:space="preserve">NO</x:t>
        </x:is>
      </x:c>
      <x:c r="AC986" s="57" t="inlineStr">
        <x:is>
          <x:t xml:space="preserve">V10</x:t>
        </x:is>
      </x:c>
      <x:c r="AD986" s="57" t="n"/>
      <x:c r="AE986" s="79" t="str">
        <x:f>IF(AND(I986&lt;&gt;"",J986&lt;&gt;"",K986&lt;&gt;"",L986="YES",M986&lt;&gt;"",S986&lt;&gt;"",T986&lt;&gt;"",U986&lt;&gt;"",V986&lt;&gt;"",W986&lt;&gt;"",X986&lt;&gt;"",Y986&lt;&gt;""),"COMPLETE","PENDING")</x:f>
        <x:v>PENDING</x:v>
      </x:c>
      <x:c r="AF986" s="79" t="str">
        <x:f>IF(AE986="COMPLETE","YES","NO")</x:f>
        <x:v>NO</x:v>
      </x:c>
      <x:c r="AG986" s="214" t="str">
        <x:f>IF(AF986&lt;&gt;"YES","",(IF(V986="YES",1,0)+IF(W986="YES",1,0))/2)</x:f>
      </x:c>
    </x:row>
    <x:row r="987">
      <x:c r="A987" s="57" t="inlineStr">
        <x:is>
          <x:t xml:space="preserve">C0982</x:t>
        </x:is>
      </x:c>
      <x:c r="B987" s="57" t="inlineStr">
        <x:is>
          <x:t xml:space="preserve">Holdout</x:t>
        </x:is>
      </x:c>
      <x:c r="C987" s="57" t="inlineStr">
        <x:is>
          <x:t xml:space="preserve">LOCKED</x:t>
        </x:is>
      </x:c>
      <x:c r="D987" s="57" t="inlineStr">
        <x:is>
          <x:t xml:space="preserve">ARG-099</x:t>
        </x:is>
      </x:c>
      <x:c r="E987" s="75" t="str">
        <x:f>INDEX('Company Universe'!$B$6:$B$105,MATCH(D987,'Company Universe'!$A$6:$A$105,0))</x:f>
        <x:v>Nutrien</x:v>
      </x:c>
      <x:c r="F987" s="75" t="str">
        <x:f>INDEX('Company Universe'!$C$6:$C$105,MATCH(D987,'Company Universe'!$A$6:$A$105,0))</x:f>
        <x:v>NTR</x:v>
      </x:c>
      <x:c r="G987" s="75" t="str">
        <x:f>INDEX('Company Universe'!$F$6:$F$105,MATCH(D987,'Company Universe'!$A$6:$A$105,0))</x:f>
        <x:v>Agriculture &amp; Fertilizers</x:v>
      </x:c>
      <x:c r="H987" s="57" t="n">
        <x:v>2</x:v>
      </x:c>
      <x:c r="I987" s="206" t="n"/>
      <x:c r="J987" s="71" t="n"/>
      <x:c r="K987" s="71" t="n"/>
      <x:c r="L987" s="71" t="inlineStr">
        <x:is>
          <x:t xml:space="preserve">NO</x:t>
        </x:is>
      </x:c>
      <x:c r="M987" s="71" t="n"/>
      <x:c r="N987" s="71" t="n"/>
      <x:c r="O987" s="71" t="n"/>
      <x:c r="P987" s="71" t="n"/>
      <x:c r="Q987" s="71" t="n"/>
      <x:c r="R987" s="71" t="n"/>
      <x:c r="S987" s="206" t="n"/>
      <x:c r="T987" s="71" t="n"/>
      <x:c r="U987" s="71" t="n"/>
      <x:c r="V987" s="71" t="n"/>
      <x:c r="W987" s="71" t="n"/>
      <x:c r="X987" s="71" t="n"/>
      <x:c r="Y987" s="71" t="n"/>
      <x:c r="Z987" s="71" t="n"/>
      <x:c r="AA987" s="71" t="n"/>
      <x:c r="AB987" s="71" t="inlineStr">
        <x:is>
          <x:t xml:space="preserve">NO</x:t>
        </x:is>
      </x:c>
      <x:c r="AC987" s="57" t="inlineStr">
        <x:is>
          <x:t xml:space="preserve">V10</x:t>
        </x:is>
      </x:c>
      <x:c r="AD987" s="57" t="n"/>
      <x:c r="AE987" s="79" t="str">
        <x:f>IF(AND(I987&lt;&gt;"",J987&lt;&gt;"",K987&lt;&gt;"",L987="YES",M987&lt;&gt;"",S987&lt;&gt;"",T987&lt;&gt;"",U987&lt;&gt;"",V987&lt;&gt;"",W987&lt;&gt;"",X987&lt;&gt;"",Y987&lt;&gt;""),"COMPLETE","PENDING")</x:f>
        <x:v>PENDING</x:v>
      </x:c>
      <x:c r="AF987" s="79" t="str">
        <x:f>IF(AE987="COMPLETE","YES","NO")</x:f>
        <x:v>NO</x:v>
      </x:c>
      <x:c r="AG987" s="214" t="str">
        <x:f>IF(AF987&lt;&gt;"YES","",(IF(V987="YES",1,0)+IF(W987="YES",1,0))/2)</x:f>
      </x:c>
    </x:row>
    <x:row r="988">
      <x:c r="A988" s="57" t="inlineStr">
        <x:is>
          <x:t xml:space="preserve">C0983</x:t>
        </x:is>
      </x:c>
      <x:c r="B988" s="57" t="inlineStr">
        <x:is>
          <x:t xml:space="preserve">Holdout</x:t>
        </x:is>
      </x:c>
      <x:c r="C988" s="57" t="inlineStr">
        <x:is>
          <x:t xml:space="preserve">LOCKED</x:t>
        </x:is>
      </x:c>
      <x:c r="D988" s="57" t="inlineStr">
        <x:is>
          <x:t xml:space="preserve">ARG-099</x:t>
        </x:is>
      </x:c>
      <x:c r="E988" s="75" t="str">
        <x:f>INDEX('Company Universe'!$B$6:$B$105,MATCH(D988,'Company Universe'!$A$6:$A$105,0))</x:f>
        <x:v>Nutrien</x:v>
      </x:c>
      <x:c r="F988" s="75" t="str">
        <x:f>INDEX('Company Universe'!$C$6:$C$105,MATCH(D988,'Company Universe'!$A$6:$A$105,0))</x:f>
        <x:v>NTR</x:v>
      </x:c>
      <x:c r="G988" s="75" t="str">
        <x:f>INDEX('Company Universe'!$F$6:$F$105,MATCH(D988,'Company Universe'!$A$6:$A$105,0))</x:f>
        <x:v>Agriculture &amp; Fertilizers</x:v>
      </x:c>
      <x:c r="H988" s="57" t="n">
        <x:v>3</x:v>
      </x:c>
      <x:c r="I988" s="206" t="n"/>
      <x:c r="J988" s="71" t="n"/>
      <x:c r="K988" s="71" t="n"/>
      <x:c r="L988" s="71" t="inlineStr">
        <x:is>
          <x:t xml:space="preserve">NO</x:t>
        </x:is>
      </x:c>
      <x:c r="M988" s="71" t="n"/>
      <x:c r="N988" s="71" t="n"/>
      <x:c r="O988" s="71" t="n"/>
      <x:c r="P988" s="71" t="n"/>
      <x:c r="Q988" s="71" t="n"/>
      <x:c r="R988" s="71" t="n"/>
      <x:c r="S988" s="206" t="n"/>
      <x:c r="T988" s="71" t="n"/>
      <x:c r="U988" s="71" t="n"/>
      <x:c r="V988" s="71" t="n"/>
      <x:c r="W988" s="71" t="n"/>
      <x:c r="X988" s="71" t="n"/>
      <x:c r="Y988" s="71" t="n"/>
      <x:c r="Z988" s="71" t="n"/>
      <x:c r="AA988" s="71" t="n"/>
      <x:c r="AB988" s="71" t="inlineStr">
        <x:is>
          <x:t xml:space="preserve">NO</x:t>
        </x:is>
      </x:c>
      <x:c r="AC988" s="57" t="inlineStr">
        <x:is>
          <x:t xml:space="preserve">V10</x:t>
        </x:is>
      </x:c>
      <x:c r="AD988" s="57" t="n"/>
      <x:c r="AE988" s="79" t="str">
        <x:f>IF(AND(I988&lt;&gt;"",J988&lt;&gt;"",K988&lt;&gt;"",L988="YES",M988&lt;&gt;"",S988&lt;&gt;"",T988&lt;&gt;"",U988&lt;&gt;"",V988&lt;&gt;"",W988&lt;&gt;"",X988&lt;&gt;"",Y988&lt;&gt;""),"COMPLETE","PENDING")</x:f>
        <x:v>PENDING</x:v>
      </x:c>
      <x:c r="AF988" s="79" t="str">
        <x:f>IF(AE988="COMPLETE","YES","NO")</x:f>
        <x:v>NO</x:v>
      </x:c>
      <x:c r="AG988" s="214" t="str">
        <x:f>IF(AF988&lt;&gt;"YES","",(IF(V988="YES",1,0)+IF(W988="YES",1,0))/2)</x:f>
      </x:c>
    </x:row>
    <x:row r="989">
      <x:c r="A989" s="57" t="inlineStr">
        <x:is>
          <x:t xml:space="preserve">C0984</x:t>
        </x:is>
      </x:c>
      <x:c r="B989" s="57" t="inlineStr">
        <x:is>
          <x:t xml:space="preserve">Holdout</x:t>
        </x:is>
      </x:c>
      <x:c r="C989" s="57" t="inlineStr">
        <x:is>
          <x:t xml:space="preserve">LOCKED</x:t>
        </x:is>
      </x:c>
      <x:c r="D989" s="57" t="inlineStr">
        <x:is>
          <x:t xml:space="preserve">ARG-099</x:t>
        </x:is>
      </x:c>
      <x:c r="E989" s="75" t="str">
        <x:f>INDEX('Company Universe'!$B$6:$B$105,MATCH(D989,'Company Universe'!$A$6:$A$105,0))</x:f>
        <x:v>Nutrien</x:v>
      </x:c>
      <x:c r="F989" s="75" t="str">
        <x:f>INDEX('Company Universe'!$C$6:$C$105,MATCH(D989,'Company Universe'!$A$6:$A$105,0))</x:f>
        <x:v>NTR</x:v>
      </x:c>
      <x:c r="G989" s="75" t="str">
        <x:f>INDEX('Company Universe'!$F$6:$F$105,MATCH(D989,'Company Universe'!$A$6:$A$105,0))</x:f>
        <x:v>Agriculture &amp; Fertilizers</x:v>
      </x:c>
      <x:c r="H989" s="57" t="n">
        <x:v>4</x:v>
      </x:c>
      <x:c r="I989" s="206" t="n"/>
      <x:c r="J989" s="71" t="n"/>
      <x:c r="K989" s="71" t="n"/>
      <x:c r="L989" s="71" t="inlineStr">
        <x:is>
          <x:t xml:space="preserve">NO</x:t>
        </x:is>
      </x:c>
      <x:c r="M989" s="71" t="n"/>
      <x:c r="N989" s="71" t="n"/>
      <x:c r="O989" s="71" t="n"/>
      <x:c r="P989" s="71" t="n"/>
      <x:c r="Q989" s="71" t="n"/>
      <x:c r="R989" s="71" t="n"/>
      <x:c r="S989" s="206" t="n"/>
      <x:c r="T989" s="71" t="n"/>
      <x:c r="U989" s="71" t="n"/>
      <x:c r="V989" s="71" t="n"/>
      <x:c r="W989" s="71" t="n"/>
      <x:c r="X989" s="71" t="n"/>
      <x:c r="Y989" s="71" t="n"/>
      <x:c r="Z989" s="71" t="n"/>
      <x:c r="AA989" s="71" t="n"/>
      <x:c r="AB989" s="71" t="inlineStr">
        <x:is>
          <x:t xml:space="preserve">NO</x:t>
        </x:is>
      </x:c>
      <x:c r="AC989" s="57" t="inlineStr">
        <x:is>
          <x:t xml:space="preserve">V10</x:t>
        </x:is>
      </x:c>
      <x:c r="AD989" s="57" t="n"/>
      <x:c r="AE989" s="79" t="str">
        <x:f>IF(AND(I989&lt;&gt;"",J989&lt;&gt;"",K989&lt;&gt;"",L989="YES",M989&lt;&gt;"",S989&lt;&gt;"",T989&lt;&gt;"",U989&lt;&gt;"",V989&lt;&gt;"",W989&lt;&gt;"",X989&lt;&gt;"",Y989&lt;&gt;""),"COMPLETE","PENDING")</x:f>
        <x:v>PENDING</x:v>
      </x:c>
      <x:c r="AF989" s="79" t="str">
        <x:f>IF(AE989="COMPLETE","YES","NO")</x:f>
        <x:v>NO</x:v>
      </x:c>
      <x:c r="AG989" s="214" t="str">
        <x:f>IF(AF989&lt;&gt;"YES","",(IF(V989="YES",1,0)+IF(W989="YES",1,0))/2)</x:f>
      </x:c>
    </x:row>
    <x:row r="990">
      <x:c r="A990" s="57" t="inlineStr">
        <x:is>
          <x:t xml:space="preserve">C0985</x:t>
        </x:is>
      </x:c>
      <x:c r="B990" s="57" t="inlineStr">
        <x:is>
          <x:t xml:space="preserve">Holdout</x:t>
        </x:is>
      </x:c>
      <x:c r="C990" s="57" t="inlineStr">
        <x:is>
          <x:t xml:space="preserve">LOCKED</x:t>
        </x:is>
      </x:c>
      <x:c r="D990" s="57" t="inlineStr">
        <x:is>
          <x:t xml:space="preserve">ARG-099</x:t>
        </x:is>
      </x:c>
      <x:c r="E990" s="75" t="str">
        <x:f>INDEX('Company Universe'!$B$6:$B$105,MATCH(D990,'Company Universe'!$A$6:$A$105,0))</x:f>
        <x:v>Nutrien</x:v>
      </x:c>
      <x:c r="F990" s="75" t="str">
        <x:f>INDEX('Company Universe'!$C$6:$C$105,MATCH(D990,'Company Universe'!$A$6:$A$105,0))</x:f>
        <x:v>NTR</x:v>
      </x:c>
      <x:c r="G990" s="75" t="str">
        <x:f>INDEX('Company Universe'!$F$6:$F$105,MATCH(D990,'Company Universe'!$A$6:$A$105,0))</x:f>
        <x:v>Agriculture &amp; Fertilizers</x:v>
      </x:c>
      <x:c r="H990" s="57" t="n">
        <x:v>5</x:v>
      </x:c>
      <x:c r="I990" s="206" t="n"/>
      <x:c r="J990" s="71" t="n"/>
      <x:c r="K990" s="71" t="n"/>
      <x:c r="L990" s="71" t="inlineStr">
        <x:is>
          <x:t xml:space="preserve">NO</x:t>
        </x:is>
      </x:c>
      <x:c r="M990" s="71" t="n"/>
      <x:c r="N990" s="71" t="n"/>
      <x:c r="O990" s="71" t="n"/>
      <x:c r="P990" s="71" t="n"/>
      <x:c r="Q990" s="71" t="n"/>
      <x:c r="R990" s="71" t="n"/>
      <x:c r="S990" s="206" t="n"/>
      <x:c r="T990" s="71" t="n"/>
      <x:c r="U990" s="71" t="n"/>
      <x:c r="V990" s="71" t="n"/>
      <x:c r="W990" s="71" t="n"/>
      <x:c r="X990" s="71" t="n"/>
      <x:c r="Y990" s="71" t="n"/>
      <x:c r="Z990" s="71" t="n"/>
      <x:c r="AA990" s="71" t="n"/>
      <x:c r="AB990" s="71" t="inlineStr">
        <x:is>
          <x:t xml:space="preserve">NO</x:t>
        </x:is>
      </x:c>
      <x:c r="AC990" s="57" t="inlineStr">
        <x:is>
          <x:t xml:space="preserve">V10</x:t>
        </x:is>
      </x:c>
      <x:c r="AD990" s="57" t="n"/>
      <x:c r="AE990" s="79" t="str">
        <x:f>IF(AND(I990&lt;&gt;"",J990&lt;&gt;"",K990&lt;&gt;"",L990="YES",M990&lt;&gt;"",S990&lt;&gt;"",T990&lt;&gt;"",U990&lt;&gt;"",V990&lt;&gt;"",W990&lt;&gt;"",X990&lt;&gt;"",Y990&lt;&gt;""),"COMPLETE","PENDING")</x:f>
        <x:v>PENDING</x:v>
      </x:c>
      <x:c r="AF990" s="79" t="str">
        <x:f>IF(AE990="COMPLETE","YES","NO")</x:f>
        <x:v>NO</x:v>
      </x:c>
      <x:c r="AG990" s="214" t="str">
        <x:f>IF(AF990&lt;&gt;"YES","",(IF(V990="YES",1,0)+IF(W990="YES",1,0))/2)</x:f>
      </x:c>
    </x:row>
    <x:row r="991">
      <x:c r="A991" s="57" t="inlineStr">
        <x:is>
          <x:t xml:space="preserve">C0986</x:t>
        </x:is>
      </x:c>
      <x:c r="B991" s="57" t="inlineStr">
        <x:is>
          <x:t xml:space="preserve">Holdout</x:t>
        </x:is>
      </x:c>
      <x:c r="C991" s="57" t="inlineStr">
        <x:is>
          <x:t xml:space="preserve">LOCKED</x:t>
        </x:is>
      </x:c>
      <x:c r="D991" s="57" t="inlineStr">
        <x:is>
          <x:t xml:space="preserve">ARG-099</x:t>
        </x:is>
      </x:c>
      <x:c r="E991" s="75" t="str">
        <x:f>INDEX('Company Universe'!$B$6:$B$105,MATCH(D991,'Company Universe'!$A$6:$A$105,0))</x:f>
        <x:v>Nutrien</x:v>
      </x:c>
      <x:c r="F991" s="75" t="str">
        <x:f>INDEX('Company Universe'!$C$6:$C$105,MATCH(D991,'Company Universe'!$A$6:$A$105,0))</x:f>
        <x:v>NTR</x:v>
      </x:c>
      <x:c r="G991" s="75" t="str">
        <x:f>INDEX('Company Universe'!$F$6:$F$105,MATCH(D991,'Company Universe'!$A$6:$A$105,0))</x:f>
        <x:v>Agriculture &amp; Fertilizers</x:v>
      </x:c>
      <x:c r="H991" s="57" t="n">
        <x:v>6</x:v>
      </x:c>
      <x:c r="I991" s="206" t="n"/>
      <x:c r="J991" s="71" t="n"/>
      <x:c r="K991" s="71" t="n"/>
      <x:c r="L991" s="71" t="inlineStr">
        <x:is>
          <x:t xml:space="preserve">NO</x:t>
        </x:is>
      </x:c>
      <x:c r="M991" s="71" t="n"/>
      <x:c r="N991" s="71" t="n"/>
      <x:c r="O991" s="71" t="n"/>
      <x:c r="P991" s="71" t="n"/>
      <x:c r="Q991" s="71" t="n"/>
      <x:c r="R991" s="71" t="n"/>
      <x:c r="S991" s="206" t="n"/>
      <x:c r="T991" s="71" t="n"/>
      <x:c r="U991" s="71" t="n"/>
      <x:c r="V991" s="71" t="n"/>
      <x:c r="W991" s="71" t="n"/>
      <x:c r="X991" s="71" t="n"/>
      <x:c r="Y991" s="71" t="n"/>
      <x:c r="Z991" s="71" t="n"/>
      <x:c r="AA991" s="71" t="n"/>
      <x:c r="AB991" s="71" t="inlineStr">
        <x:is>
          <x:t xml:space="preserve">NO</x:t>
        </x:is>
      </x:c>
      <x:c r="AC991" s="57" t="inlineStr">
        <x:is>
          <x:t xml:space="preserve">V10</x:t>
        </x:is>
      </x:c>
      <x:c r="AD991" s="57" t="n"/>
      <x:c r="AE991" s="79" t="str">
        <x:f>IF(AND(I991&lt;&gt;"",J991&lt;&gt;"",K991&lt;&gt;"",L991="YES",M991&lt;&gt;"",S991&lt;&gt;"",T991&lt;&gt;"",U991&lt;&gt;"",V991&lt;&gt;"",W991&lt;&gt;"",X991&lt;&gt;"",Y991&lt;&gt;""),"COMPLETE","PENDING")</x:f>
        <x:v>PENDING</x:v>
      </x:c>
      <x:c r="AF991" s="79" t="str">
        <x:f>IF(AE991="COMPLETE","YES","NO")</x:f>
        <x:v>NO</x:v>
      </x:c>
      <x:c r="AG991" s="214" t="str">
        <x:f>IF(AF991&lt;&gt;"YES","",(IF(V991="YES",1,0)+IF(W991="YES",1,0))/2)</x:f>
      </x:c>
    </x:row>
    <x:row r="992">
      <x:c r="A992" s="57" t="inlineStr">
        <x:is>
          <x:t xml:space="preserve">C0987</x:t>
        </x:is>
      </x:c>
      <x:c r="B992" s="57" t="inlineStr">
        <x:is>
          <x:t xml:space="preserve">Holdout</x:t>
        </x:is>
      </x:c>
      <x:c r="C992" s="57" t="inlineStr">
        <x:is>
          <x:t xml:space="preserve">LOCKED</x:t>
        </x:is>
      </x:c>
      <x:c r="D992" s="57" t="inlineStr">
        <x:is>
          <x:t xml:space="preserve">ARG-099</x:t>
        </x:is>
      </x:c>
      <x:c r="E992" s="75" t="str">
        <x:f>INDEX('Company Universe'!$B$6:$B$105,MATCH(D992,'Company Universe'!$A$6:$A$105,0))</x:f>
        <x:v>Nutrien</x:v>
      </x:c>
      <x:c r="F992" s="75" t="str">
        <x:f>INDEX('Company Universe'!$C$6:$C$105,MATCH(D992,'Company Universe'!$A$6:$A$105,0))</x:f>
        <x:v>NTR</x:v>
      </x:c>
      <x:c r="G992" s="75" t="str">
        <x:f>INDEX('Company Universe'!$F$6:$F$105,MATCH(D992,'Company Universe'!$A$6:$A$105,0))</x:f>
        <x:v>Agriculture &amp; Fertilizers</x:v>
      </x:c>
      <x:c r="H992" s="57" t="n">
        <x:v>7</x:v>
      </x:c>
      <x:c r="I992" s="206" t="n"/>
      <x:c r="J992" s="71" t="n"/>
      <x:c r="K992" s="71" t="n"/>
      <x:c r="L992" s="71" t="inlineStr">
        <x:is>
          <x:t xml:space="preserve">NO</x:t>
        </x:is>
      </x:c>
      <x:c r="M992" s="71" t="n"/>
      <x:c r="N992" s="71" t="n"/>
      <x:c r="O992" s="71" t="n"/>
      <x:c r="P992" s="71" t="n"/>
      <x:c r="Q992" s="71" t="n"/>
      <x:c r="R992" s="71" t="n"/>
      <x:c r="S992" s="206" t="n"/>
      <x:c r="T992" s="71" t="n"/>
      <x:c r="U992" s="71" t="n"/>
      <x:c r="V992" s="71" t="n"/>
      <x:c r="W992" s="71" t="n"/>
      <x:c r="X992" s="71" t="n"/>
      <x:c r="Y992" s="71" t="n"/>
      <x:c r="Z992" s="71" t="n"/>
      <x:c r="AA992" s="71" t="n"/>
      <x:c r="AB992" s="71" t="inlineStr">
        <x:is>
          <x:t xml:space="preserve">NO</x:t>
        </x:is>
      </x:c>
      <x:c r="AC992" s="57" t="inlineStr">
        <x:is>
          <x:t xml:space="preserve">V10</x:t>
        </x:is>
      </x:c>
      <x:c r="AD992" s="57" t="n"/>
      <x:c r="AE992" s="79" t="str">
        <x:f>IF(AND(I992&lt;&gt;"",J992&lt;&gt;"",K992&lt;&gt;"",L992="YES",M992&lt;&gt;"",S992&lt;&gt;"",T992&lt;&gt;"",U992&lt;&gt;"",V992&lt;&gt;"",W992&lt;&gt;"",X992&lt;&gt;"",Y992&lt;&gt;""),"COMPLETE","PENDING")</x:f>
        <x:v>PENDING</x:v>
      </x:c>
      <x:c r="AF992" s="79" t="str">
        <x:f>IF(AE992="COMPLETE","YES","NO")</x:f>
        <x:v>NO</x:v>
      </x:c>
      <x:c r="AG992" s="214" t="str">
        <x:f>IF(AF992&lt;&gt;"YES","",(IF(V992="YES",1,0)+IF(W992="YES",1,0))/2)</x:f>
      </x:c>
    </x:row>
    <x:row r="993">
      <x:c r="A993" s="57" t="inlineStr">
        <x:is>
          <x:t xml:space="preserve">C0988</x:t>
        </x:is>
      </x:c>
      <x:c r="B993" s="57" t="inlineStr">
        <x:is>
          <x:t xml:space="preserve">Holdout</x:t>
        </x:is>
      </x:c>
      <x:c r="C993" s="57" t="inlineStr">
        <x:is>
          <x:t xml:space="preserve">LOCKED</x:t>
        </x:is>
      </x:c>
      <x:c r="D993" s="57" t="inlineStr">
        <x:is>
          <x:t xml:space="preserve">ARG-099</x:t>
        </x:is>
      </x:c>
      <x:c r="E993" s="75" t="str">
        <x:f>INDEX('Company Universe'!$B$6:$B$105,MATCH(D993,'Company Universe'!$A$6:$A$105,0))</x:f>
        <x:v>Nutrien</x:v>
      </x:c>
      <x:c r="F993" s="75" t="str">
        <x:f>INDEX('Company Universe'!$C$6:$C$105,MATCH(D993,'Company Universe'!$A$6:$A$105,0))</x:f>
        <x:v>NTR</x:v>
      </x:c>
      <x:c r="G993" s="75" t="str">
        <x:f>INDEX('Company Universe'!$F$6:$F$105,MATCH(D993,'Company Universe'!$A$6:$A$105,0))</x:f>
        <x:v>Agriculture &amp; Fertilizers</x:v>
      </x:c>
      <x:c r="H993" s="57" t="n">
        <x:v>8</x:v>
      </x:c>
      <x:c r="I993" s="206" t="n"/>
      <x:c r="J993" s="71" t="n"/>
      <x:c r="K993" s="71" t="n"/>
      <x:c r="L993" s="71" t="inlineStr">
        <x:is>
          <x:t xml:space="preserve">NO</x:t>
        </x:is>
      </x:c>
      <x:c r="M993" s="71" t="n"/>
      <x:c r="N993" s="71" t="n"/>
      <x:c r="O993" s="71" t="n"/>
      <x:c r="P993" s="71" t="n"/>
      <x:c r="Q993" s="71" t="n"/>
      <x:c r="R993" s="71" t="n"/>
      <x:c r="S993" s="206" t="n"/>
      <x:c r="T993" s="71" t="n"/>
      <x:c r="U993" s="71" t="n"/>
      <x:c r="V993" s="71" t="n"/>
      <x:c r="W993" s="71" t="n"/>
      <x:c r="X993" s="71" t="n"/>
      <x:c r="Y993" s="71" t="n"/>
      <x:c r="Z993" s="71" t="n"/>
      <x:c r="AA993" s="71" t="n"/>
      <x:c r="AB993" s="71" t="inlineStr">
        <x:is>
          <x:t xml:space="preserve">NO</x:t>
        </x:is>
      </x:c>
      <x:c r="AC993" s="57" t="inlineStr">
        <x:is>
          <x:t xml:space="preserve">V10</x:t>
        </x:is>
      </x:c>
      <x:c r="AD993" s="57" t="n"/>
      <x:c r="AE993" s="79" t="str">
        <x:f>IF(AND(I993&lt;&gt;"",J993&lt;&gt;"",K993&lt;&gt;"",L993="YES",M993&lt;&gt;"",S993&lt;&gt;"",T993&lt;&gt;"",U993&lt;&gt;"",V993&lt;&gt;"",W993&lt;&gt;"",X993&lt;&gt;"",Y993&lt;&gt;""),"COMPLETE","PENDING")</x:f>
        <x:v>PENDING</x:v>
      </x:c>
      <x:c r="AF993" s="79" t="str">
        <x:f>IF(AE993="COMPLETE","YES","NO")</x:f>
        <x:v>NO</x:v>
      </x:c>
      <x:c r="AG993" s="214" t="str">
        <x:f>IF(AF993&lt;&gt;"YES","",(IF(V993="YES",1,0)+IF(W993="YES",1,0))/2)</x:f>
      </x:c>
    </x:row>
    <x:row r="994">
      <x:c r="A994" s="57" t="inlineStr">
        <x:is>
          <x:t xml:space="preserve">C0989</x:t>
        </x:is>
      </x:c>
      <x:c r="B994" s="57" t="inlineStr">
        <x:is>
          <x:t xml:space="preserve">Holdout</x:t>
        </x:is>
      </x:c>
      <x:c r="C994" s="57" t="inlineStr">
        <x:is>
          <x:t xml:space="preserve">LOCKED</x:t>
        </x:is>
      </x:c>
      <x:c r="D994" s="57" t="inlineStr">
        <x:is>
          <x:t xml:space="preserve">ARG-099</x:t>
        </x:is>
      </x:c>
      <x:c r="E994" s="75" t="str">
        <x:f>INDEX('Company Universe'!$B$6:$B$105,MATCH(D994,'Company Universe'!$A$6:$A$105,0))</x:f>
        <x:v>Nutrien</x:v>
      </x:c>
      <x:c r="F994" s="75" t="str">
        <x:f>INDEX('Company Universe'!$C$6:$C$105,MATCH(D994,'Company Universe'!$A$6:$A$105,0))</x:f>
        <x:v>NTR</x:v>
      </x:c>
      <x:c r="G994" s="75" t="str">
        <x:f>INDEX('Company Universe'!$F$6:$F$105,MATCH(D994,'Company Universe'!$A$6:$A$105,0))</x:f>
        <x:v>Agriculture &amp; Fertilizers</x:v>
      </x:c>
      <x:c r="H994" s="57" t="n">
        <x:v>9</x:v>
      </x:c>
      <x:c r="I994" s="206" t="n"/>
      <x:c r="J994" s="71" t="n"/>
      <x:c r="K994" s="71" t="n"/>
      <x:c r="L994" s="71" t="inlineStr">
        <x:is>
          <x:t xml:space="preserve">NO</x:t>
        </x:is>
      </x:c>
      <x:c r="M994" s="71" t="n"/>
      <x:c r="N994" s="71" t="n"/>
      <x:c r="O994" s="71" t="n"/>
      <x:c r="P994" s="71" t="n"/>
      <x:c r="Q994" s="71" t="n"/>
      <x:c r="R994" s="71" t="n"/>
      <x:c r="S994" s="206" t="n"/>
      <x:c r="T994" s="71" t="n"/>
      <x:c r="U994" s="71" t="n"/>
      <x:c r="V994" s="71" t="n"/>
      <x:c r="W994" s="71" t="n"/>
      <x:c r="X994" s="71" t="n"/>
      <x:c r="Y994" s="71" t="n"/>
      <x:c r="Z994" s="71" t="n"/>
      <x:c r="AA994" s="71" t="n"/>
      <x:c r="AB994" s="71" t="inlineStr">
        <x:is>
          <x:t xml:space="preserve">NO</x:t>
        </x:is>
      </x:c>
      <x:c r="AC994" s="57" t="inlineStr">
        <x:is>
          <x:t xml:space="preserve">V10</x:t>
        </x:is>
      </x:c>
      <x:c r="AD994" s="57" t="n"/>
      <x:c r="AE994" s="79" t="str">
        <x:f>IF(AND(I994&lt;&gt;"",J994&lt;&gt;"",K994&lt;&gt;"",L994="YES",M994&lt;&gt;"",S994&lt;&gt;"",T994&lt;&gt;"",U994&lt;&gt;"",V994&lt;&gt;"",W994&lt;&gt;"",X994&lt;&gt;"",Y994&lt;&gt;""),"COMPLETE","PENDING")</x:f>
        <x:v>PENDING</x:v>
      </x:c>
      <x:c r="AF994" s="79" t="str">
        <x:f>IF(AE994="COMPLETE","YES","NO")</x:f>
        <x:v>NO</x:v>
      </x:c>
      <x:c r="AG994" s="214" t="str">
        <x:f>IF(AF994&lt;&gt;"YES","",(IF(V994="YES",1,0)+IF(W994="YES",1,0))/2)</x:f>
      </x:c>
    </x:row>
    <x:row r="995">
      <x:c r="A995" s="57" t="inlineStr">
        <x:is>
          <x:t xml:space="preserve">C0990</x:t>
        </x:is>
      </x:c>
      <x:c r="B995" s="57" t="inlineStr">
        <x:is>
          <x:t xml:space="preserve">Holdout</x:t>
        </x:is>
      </x:c>
      <x:c r="C995" s="57" t="inlineStr">
        <x:is>
          <x:t xml:space="preserve">LOCKED</x:t>
        </x:is>
      </x:c>
      <x:c r="D995" s="57" t="inlineStr">
        <x:is>
          <x:t xml:space="preserve">ARG-099</x:t>
        </x:is>
      </x:c>
      <x:c r="E995" s="75" t="str">
        <x:f>INDEX('Company Universe'!$B$6:$B$105,MATCH(D995,'Company Universe'!$A$6:$A$105,0))</x:f>
        <x:v>Nutrien</x:v>
      </x:c>
      <x:c r="F995" s="75" t="str">
        <x:f>INDEX('Company Universe'!$C$6:$C$105,MATCH(D995,'Company Universe'!$A$6:$A$105,0))</x:f>
        <x:v>NTR</x:v>
      </x:c>
      <x:c r="G995" s="75" t="str">
        <x:f>INDEX('Company Universe'!$F$6:$F$105,MATCH(D995,'Company Universe'!$A$6:$A$105,0))</x:f>
        <x:v>Agriculture &amp; Fertilizers</x:v>
      </x:c>
      <x:c r="H995" s="57" t="n">
        <x:v>10</x:v>
      </x:c>
      <x:c r="I995" s="206" t="n"/>
      <x:c r="J995" s="71" t="n"/>
      <x:c r="K995" s="71" t="n"/>
      <x:c r="L995" s="71" t="inlineStr">
        <x:is>
          <x:t xml:space="preserve">NO</x:t>
        </x:is>
      </x:c>
      <x:c r="M995" s="71" t="n"/>
      <x:c r="N995" s="71" t="n"/>
      <x:c r="O995" s="71" t="n"/>
      <x:c r="P995" s="71" t="n"/>
      <x:c r="Q995" s="71" t="n"/>
      <x:c r="R995" s="71" t="n"/>
      <x:c r="S995" s="206" t="n"/>
      <x:c r="T995" s="71" t="n"/>
      <x:c r="U995" s="71" t="n"/>
      <x:c r="V995" s="71" t="n"/>
      <x:c r="W995" s="71" t="n"/>
      <x:c r="X995" s="71" t="n"/>
      <x:c r="Y995" s="71" t="n"/>
      <x:c r="Z995" s="71" t="n"/>
      <x:c r="AA995" s="71" t="n"/>
      <x:c r="AB995" s="71" t="inlineStr">
        <x:is>
          <x:t xml:space="preserve">NO</x:t>
        </x:is>
      </x:c>
      <x:c r="AC995" s="57" t="inlineStr">
        <x:is>
          <x:t xml:space="preserve">V10</x:t>
        </x:is>
      </x:c>
      <x:c r="AD995" s="57" t="n"/>
      <x:c r="AE995" s="79" t="str">
        <x:f>IF(AND(I995&lt;&gt;"",J995&lt;&gt;"",K995&lt;&gt;"",L995="YES",M995&lt;&gt;"",S995&lt;&gt;"",T995&lt;&gt;"",U995&lt;&gt;"",V995&lt;&gt;"",W995&lt;&gt;"",X995&lt;&gt;"",Y995&lt;&gt;""),"COMPLETE","PENDING")</x:f>
        <x:v>PENDING</x:v>
      </x:c>
      <x:c r="AF995" s="79" t="str">
        <x:f>IF(AE995="COMPLETE","YES","NO")</x:f>
        <x:v>NO</x:v>
      </x:c>
      <x:c r="AG995" s="214" t="str">
        <x:f>IF(AF995&lt;&gt;"YES","",(IF(V995="YES",1,0)+IF(W995="YES",1,0))/2)</x:f>
      </x:c>
    </x:row>
    <x:row r="996">
      <x:c r="A996" s="57" t="inlineStr">
        <x:is>
          <x:t xml:space="preserve">C0991</x:t>
        </x:is>
      </x:c>
      <x:c r="B996" s="57" t="inlineStr">
        <x:is>
          <x:t xml:space="preserve">Holdout</x:t>
        </x:is>
      </x:c>
      <x:c r="C996" s="57" t="inlineStr">
        <x:is>
          <x:t xml:space="preserve">LOCKED</x:t>
        </x:is>
      </x:c>
      <x:c r="D996" s="57" t="inlineStr">
        <x:is>
          <x:t xml:space="preserve">ARG-100</x:t>
        </x:is>
      </x:c>
      <x:c r="E996" s="75" t="str">
        <x:f>INDEX('Company Universe'!$B$6:$B$105,MATCH(D996,'Company Universe'!$A$6:$A$105,0))</x:f>
        <x:v>United Rentals</x:v>
      </x:c>
      <x:c r="F996" s="75" t="str">
        <x:f>INDEX('Company Universe'!$C$6:$C$105,MATCH(D996,'Company Universe'!$A$6:$A$105,0))</x:f>
        <x:v>URI</x:v>
      </x:c>
      <x:c r="G996" s="75" t="str">
        <x:f>INDEX('Company Universe'!$F$6:$F$105,MATCH(D996,'Company Universe'!$A$6:$A$105,0))</x:f>
        <x:v>Construction &amp; Building Products</x:v>
      </x:c>
      <x:c r="H996" s="57" t="n">
        <x:v>1</x:v>
      </x:c>
      <x:c r="I996" s="206" t="n"/>
      <x:c r="J996" s="71" t="n"/>
      <x:c r="K996" s="71" t="n"/>
      <x:c r="L996" s="71" t="inlineStr">
        <x:is>
          <x:t xml:space="preserve">NO</x:t>
        </x:is>
      </x:c>
      <x:c r="M996" s="71" t="n"/>
      <x:c r="N996" s="71" t="n"/>
      <x:c r="O996" s="71" t="n"/>
      <x:c r="P996" s="71" t="n"/>
      <x:c r="Q996" s="71" t="n"/>
      <x:c r="R996" s="71" t="n"/>
      <x:c r="S996" s="206" t="n"/>
      <x:c r="T996" s="71" t="n"/>
      <x:c r="U996" s="71" t="n"/>
      <x:c r="V996" s="71" t="n"/>
      <x:c r="W996" s="71" t="n"/>
      <x:c r="X996" s="71" t="n"/>
      <x:c r="Y996" s="71" t="n"/>
      <x:c r="Z996" s="71" t="n"/>
      <x:c r="AA996" s="71" t="n"/>
      <x:c r="AB996" s="71" t="inlineStr">
        <x:is>
          <x:t xml:space="preserve">NO</x:t>
        </x:is>
      </x:c>
      <x:c r="AC996" s="57" t="inlineStr">
        <x:is>
          <x:t xml:space="preserve">V10</x:t>
        </x:is>
      </x:c>
      <x:c r="AD996" s="57" t="n"/>
      <x:c r="AE996" s="79" t="str">
        <x:f>IF(AND(I996&lt;&gt;"",J996&lt;&gt;"",K996&lt;&gt;"",L996="YES",M996&lt;&gt;"",S996&lt;&gt;"",T996&lt;&gt;"",U996&lt;&gt;"",V996&lt;&gt;"",W996&lt;&gt;"",X996&lt;&gt;"",Y996&lt;&gt;""),"COMPLETE","PENDING")</x:f>
        <x:v>PENDING</x:v>
      </x:c>
      <x:c r="AF996" s="79" t="str">
        <x:f>IF(AE996="COMPLETE","YES","NO")</x:f>
        <x:v>NO</x:v>
      </x:c>
      <x:c r="AG996" s="214" t="str">
        <x:f>IF(AF996&lt;&gt;"YES","",(IF(V996="YES",1,0)+IF(W996="YES",1,0))/2)</x:f>
      </x:c>
    </x:row>
    <x:row r="997">
      <x:c r="A997" s="57" t="inlineStr">
        <x:is>
          <x:t xml:space="preserve">C0992</x:t>
        </x:is>
      </x:c>
      <x:c r="B997" s="57" t="inlineStr">
        <x:is>
          <x:t xml:space="preserve">Holdout</x:t>
        </x:is>
      </x:c>
      <x:c r="C997" s="57" t="inlineStr">
        <x:is>
          <x:t xml:space="preserve">LOCKED</x:t>
        </x:is>
      </x:c>
      <x:c r="D997" s="57" t="inlineStr">
        <x:is>
          <x:t xml:space="preserve">ARG-100</x:t>
        </x:is>
      </x:c>
      <x:c r="E997" s="75" t="str">
        <x:f>INDEX('Company Universe'!$B$6:$B$105,MATCH(D997,'Company Universe'!$A$6:$A$105,0))</x:f>
        <x:v>United Rentals</x:v>
      </x:c>
      <x:c r="F997" s="75" t="str">
        <x:f>INDEX('Company Universe'!$C$6:$C$105,MATCH(D997,'Company Universe'!$A$6:$A$105,0))</x:f>
        <x:v>URI</x:v>
      </x:c>
      <x:c r="G997" s="75" t="str">
        <x:f>INDEX('Company Universe'!$F$6:$F$105,MATCH(D997,'Company Universe'!$A$6:$A$105,0))</x:f>
        <x:v>Construction &amp; Building Products</x:v>
      </x:c>
      <x:c r="H997" s="57" t="n">
        <x:v>2</x:v>
      </x:c>
      <x:c r="I997" s="206" t="n"/>
      <x:c r="J997" s="71" t="n"/>
      <x:c r="K997" s="71" t="n"/>
      <x:c r="L997" s="71" t="inlineStr">
        <x:is>
          <x:t xml:space="preserve">NO</x:t>
        </x:is>
      </x:c>
      <x:c r="M997" s="71" t="n"/>
      <x:c r="N997" s="71" t="n"/>
      <x:c r="O997" s="71" t="n"/>
      <x:c r="P997" s="71" t="n"/>
      <x:c r="Q997" s="71" t="n"/>
      <x:c r="R997" s="71" t="n"/>
      <x:c r="S997" s="206" t="n"/>
      <x:c r="T997" s="71" t="n"/>
      <x:c r="U997" s="71" t="n"/>
      <x:c r="V997" s="71" t="n"/>
      <x:c r="W997" s="71" t="n"/>
      <x:c r="X997" s="71" t="n"/>
      <x:c r="Y997" s="71" t="n"/>
      <x:c r="Z997" s="71" t="n"/>
      <x:c r="AA997" s="71" t="n"/>
      <x:c r="AB997" s="71" t="inlineStr">
        <x:is>
          <x:t xml:space="preserve">NO</x:t>
        </x:is>
      </x:c>
      <x:c r="AC997" s="57" t="inlineStr">
        <x:is>
          <x:t xml:space="preserve">V10</x:t>
        </x:is>
      </x:c>
      <x:c r="AD997" s="57" t="n"/>
      <x:c r="AE997" s="79" t="str">
        <x:f>IF(AND(I997&lt;&gt;"",J997&lt;&gt;"",K997&lt;&gt;"",L997="YES",M997&lt;&gt;"",S997&lt;&gt;"",T997&lt;&gt;"",U997&lt;&gt;"",V997&lt;&gt;"",W997&lt;&gt;"",X997&lt;&gt;"",Y997&lt;&gt;""),"COMPLETE","PENDING")</x:f>
        <x:v>PENDING</x:v>
      </x:c>
      <x:c r="AF997" s="79" t="str">
        <x:f>IF(AE997="COMPLETE","YES","NO")</x:f>
        <x:v>NO</x:v>
      </x:c>
      <x:c r="AG997" s="214" t="str">
        <x:f>IF(AF997&lt;&gt;"YES","",(IF(V997="YES",1,0)+IF(W997="YES",1,0))/2)</x:f>
      </x:c>
    </x:row>
    <x:row r="998">
      <x:c r="A998" s="57" t="inlineStr">
        <x:is>
          <x:t xml:space="preserve">C0993</x:t>
        </x:is>
      </x:c>
      <x:c r="B998" s="57" t="inlineStr">
        <x:is>
          <x:t xml:space="preserve">Holdout</x:t>
        </x:is>
      </x:c>
      <x:c r="C998" s="57" t="inlineStr">
        <x:is>
          <x:t xml:space="preserve">LOCKED</x:t>
        </x:is>
      </x:c>
      <x:c r="D998" s="57" t="inlineStr">
        <x:is>
          <x:t xml:space="preserve">ARG-100</x:t>
        </x:is>
      </x:c>
      <x:c r="E998" s="75" t="str">
        <x:f>INDEX('Company Universe'!$B$6:$B$105,MATCH(D998,'Company Universe'!$A$6:$A$105,0))</x:f>
        <x:v>United Rentals</x:v>
      </x:c>
      <x:c r="F998" s="75" t="str">
        <x:f>INDEX('Company Universe'!$C$6:$C$105,MATCH(D998,'Company Universe'!$A$6:$A$105,0))</x:f>
        <x:v>URI</x:v>
      </x:c>
      <x:c r="G998" s="75" t="str">
        <x:f>INDEX('Company Universe'!$F$6:$F$105,MATCH(D998,'Company Universe'!$A$6:$A$105,0))</x:f>
        <x:v>Construction &amp; Building Products</x:v>
      </x:c>
      <x:c r="H998" s="57" t="n">
        <x:v>3</x:v>
      </x:c>
      <x:c r="I998" s="206" t="n"/>
      <x:c r="J998" s="71" t="n"/>
      <x:c r="K998" s="71" t="n"/>
      <x:c r="L998" s="71" t="inlineStr">
        <x:is>
          <x:t xml:space="preserve">NO</x:t>
        </x:is>
      </x:c>
      <x:c r="M998" s="71" t="n"/>
      <x:c r="N998" s="71" t="n"/>
      <x:c r="O998" s="71" t="n"/>
      <x:c r="P998" s="71" t="n"/>
      <x:c r="Q998" s="71" t="n"/>
      <x:c r="R998" s="71" t="n"/>
      <x:c r="S998" s="206" t="n"/>
      <x:c r="T998" s="71" t="n"/>
      <x:c r="U998" s="71" t="n"/>
      <x:c r="V998" s="71" t="n"/>
      <x:c r="W998" s="71" t="n"/>
      <x:c r="X998" s="71" t="n"/>
      <x:c r="Y998" s="71" t="n"/>
      <x:c r="Z998" s="71" t="n"/>
      <x:c r="AA998" s="71" t="n"/>
      <x:c r="AB998" s="71" t="inlineStr">
        <x:is>
          <x:t xml:space="preserve">NO</x:t>
        </x:is>
      </x:c>
      <x:c r="AC998" s="57" t="inlineStr">
        <x:is>
          <x:t xml:space="preserve">V10</x:t>
        </x:is>
      </x:c>
      <x:c r="AD998" s="57" t="n"/>
      <x:c r="AE998" s="79" t="str">
        <x:f>IF(AND(I998&lt;&gt;"",J998&lt;&gt;"",K998&lt;&gt;"",L998="YES",M998&lt;&gt;"",S998&lt;&gt;"",T998&lt;&gt;"",U998&lt;&gt;"",V998&lt;&gt;"",W998&lt;&gt;"",X998&lt;&gt;"",Y998&lt;&gt;""),"COMPLETE","PENDING")</x:f>
        <x:v>PENDING</x:v>
      </x:c>
      <x:c r="AF998" s="79" t="str">
        <x:f>IF(AE998="COMPLETE","YES","NO")</x:f>
        <x:v>NO</x:v>
      </x:c>
      <x:c r="AG998" s="214" t="str">
        <x:f>IF(AF998&lt;&gt;"YES","",(IF(V998="YES",1,0)+IF(W998="YES",1,0))/2)</x:f>
      </x:c>
    </x:row>
    <x:row r="999">
      <x:c r="A999" s="57" t="inlineStr">
        <x:is>
          <x:t xml:space="preserve">C0994</x:t>
        </x:is>
      </x:c>
      <x:c r="B999" s="57" t="inlineStr">
        <x:is>
          <x:t xml:space="preserve">Holdout</x:t>
        </x:is>
      </x:c>
      <x:c r="C999" s="57" t="inlineStr">
        <x:is>
          <x:t xml:space="preserve">LOCKED</x:t>
        </x:is>
      </x:c>
      <x:c r="D999" s="57" t="inlineStr">
        <x:is>
          <x:t xml:space="preserve">ARG-100</x:t>
        </x:is>
      </x:c>
      <x:c r="E999" s="75" t="str">
        <x:f>INDEX('Company Universe'!$B$6:$B$105,MATCH(D999,'Company Universe'!$A$6:$A$105,0))</x:f>
        <x:v>United Rentals</x:v>
      </x:c>
      <x:c r="F999" s="75" t="str">
        <x:f>INDEX('Company Universe'!$C$6:$C$105,MATCH(D999,'Company Universe'!$A$6:$A$105,0))</x:f>
        <x:v>URI</x:v>
      </x:c>
      <x:c r="G999" s="75" t="str">
        <x:f>INDEX('Company Universe'!$F$6:$F$105,MATCH(D999,'Company Universe'!$A$6:$A$105,0))</x:f>
        <x:v>Construction &amp; Building Products</x:v>
      </x:c>
      <x:c r="H999" s="57" t="n">
        <x:v>4</x:v>
      </x:c>
      <x:c r="I999" s="206" t="n"/>
      <x:c r="J999" s="71" t="n"/>
      <x:c r="K999" s="71" t="n"/>
      <x:c r="L999" s="71" t="inlineStr">
        <x:is>
          <x:t xml:space="preserve">NO</x:t>
        </x:is>
      </x:c>
      <x:c r="M999" s="71" t="n"/>
      <x:c r="N999" s="71" t="n"/>
      <x:c r="O999" s="71" t="n"/>
      <x:c r="P999" s="71" t="n"/>
      <x:c r="Q999" s="71" t="n"/>
      <x:c r="R999" s="71" t="n"/>
      <x:c r="S999" s="206" t="n"/>
      <x:c r="T999" s="71" t="n"/>
      <x:c r="U999" s="71" t="n"/>
      <x:c r="V999" s="71" t="n"/>
      <x:c r="W999" s="71" t="n"/>
      <x:c r="X999" s="71" t="n"/>
      <x:c r="Y999" s="71" t="n"/>
      <x:c r="Z999" s="71" t="n"/>
      <x:c r="AA999" s="71" t="n"/>
      <x:c r="AB999" s="71" t="inlineStr">
        <x:is>
          <x:t xml:space="preserve">NO</x:t>
        </x:is>
      </x:c>
      <x:c r="AC999" s="57" t="inlineStr">
        <x:is>
          <x:t xml:space="preserve">V10</x:t>
        </x:is>
      </x:c>
      <x:c r="AD999" s="57" t="n"/>
      <x:c r="AE999" s="79" t="str">
        <x:f>IF(AND(I999&lt;&gt;"",J999&lt;&gt;"",K999&lt;&gt;"",L999="YES",M999&lt;&gt;"",S999&lt;&gt;"",T999&lt;&gt;"",U999&lt;&gt;"",V999&lt;&gt;"",W999&lt;&gt;"",X999&lt;&gt;"",Y999&lt;&gt;""),"COMPLETE","PENDING")</x:f>
        <x:v>PENDING</x:v>
      </x:c>
      <x:c r="AF999" s="79" t="str">
        <x:f>IF(AE999="COMPLETE","YES","NO")</x:f>
        <x:v>NO</x:v>
      </x:c>
      <x:c r="AG999" s="214" t="str">
        <x:f>IF(AF999&lt;&gt;"YES","",(IF(V999="YES",1,0)+IF(W999="YES",1,0))/2)</x:f>
      </x:c>
    </x:row>
    <x:row r="1000">
      <x:c r="A1000" s="57" t="inlineStr">
        <x:is>
          <x:t xml:space="preserve">C0995</x:t>
        </x:is>
      </x:c>
      <x:c r="B1000" s="57" t="inlineStr">
        <x:is>
          <x:t xml:space="preserve">Holdout</x:t>
        </x:is>
      </x:c>
      <x:c r="C1000" s="57" t="inlineStr">
        <x:is>
          <x:t xml:space="preserve">LOCKED</x:t>
        </x:is>
      </x:c>
      <x:c r="D1000" s="57" t="inlineStr">
        <x:is>
          <x:t xml:space="preserve">ARG-100</x:t>
        </x:is>
      </x:c>
      <x:c r="E1000" s="75" t="str">
        <x:f>INDEX('Company Universe'!$B$6:$B$105,MATCH(D1000,'Company Universe'!$A$6:$A$105,0))</x:f>
        <x:v>United Rentals</x:v>
      </x:c>
      <x:c r="F1000" s="75" t="str">
        <x:f>INDEX('Company Universe'!$C$6:$C$105,MATCH(D1000,'Company Universe'!$A$6:$A$105,0))</x:f>
        <x:v>URI</x:v>
      </x:c>
      <x:c r="G1000" s="75" t="str">
        <x:f>INDEX('Company Universe'!$F$6:$F$105,MATCH(D1000,'Company Universe'!$A$6:$A$105,0))</x:f>
        <x:v>Construction &amp; Building Products</x:v>
      </x:c>
      <x:c r="H1000" s="57" t="n">
        <x:v>5</x:v>
      </x:c>
      <x:c r="I1000" s="206" t="n"/>
      <x:c r="J1000" s="71" t="n"/>
      <x:c r="K1000" s="71" t="n"/>
      <x:c r="L1000" s="71" t="inlineStr">
        <x:is>
          <x:t xml:space="preserve">NO</x:t>
        </x:is>
      </x:c>
      <x:c r="M1000" s="71" t="n"/>
      <x:c r="N1000" s="71" t="n"/>
      <x:c r="O1000" s="71" t="n"/>
      <x:c r="P1000" s="71" t="n"/>
      <x:c r="Q1000" s="71" t="n"/>
      <x:c r="R1000" s="71" t="n"/>
      <x:c r="S1000" s="206" t="n"/>
      <x:c r="T1000" s="71" t="n"/>
      <x:c r="U1000" s="71" t="n"/>
      <x:c r="V1000" s="71" t="n"/>
      <x:c r="W1000" s="71" t="n"/>
      <x:c r="X1000" s="71" t="n"/>
      <x:c r="Y1000" s="71" t="n"/>
      <x:c r="Z1000" s="71" t="n"/>
      <x:c r="AA1000" s="71" t="n"/>
      <x:c r="AB1000" s="71" t="inlineStr">
        <x:is>
          <x:t xml:space="preserve">NO</x:t>
        </x:is>
      </x:c>
      <x:c r="AC1000" s="57" t="inlineStr">
        <x:is>
          <x:t xml:space="preserve">V10</x:t>
        </x:is>
      </x:c>
      <x:c r="AD1000" s="57" t="n"/>
      <x:c r="AE1000" s="79" t="str">
        <x:f>IF(AND(I1000&lt;&gt;"",J1000&lt;&gt;"",K1000&lt;&gt;"",L1000="YES",M1000&lt;&gt;"",S1000&lt;&gt;"",T1000&lt;&gt;"",U1000&lt;&gt;"",V1000&lt;&gt;"",W1000&lt;&gt;"",X1000&lt;&gt;"",Y1000&lt;&gt;""),"COMPLETE","PENDING")</x:f>
        <x:v>PENDING</x:v>
      </x:c>
      <x:c r="AF1000" s="79" t="str">
        <x:f>IF(AE1000="COMPLETE","YES","NO")</x:f>
        <x:v>NO</x:v>
      </x:c>
      <x:c r="AG1000" s="214" t="str">
        <x:f>IF(AF1000&lt;&gt;"YES","",(IF(V1000="YES",1,0)+IF(W1000="YES",1,0))/2)</x:f>
      </x:c>
    </x:row>
    <x:row r="1001">
      <x:c r="A1001" s="57" t="inlineStr">
        <x:is>
          <x:t xml:space="preserve">C0996</x:t>
        </x:is>
      </x:c>
      <x:c r="B1001" s="57" t="inlineStr">
        <x:is>
          <x:t xml:space="preserve">Holdout</x:t>
        </x:is>
      </x:c>
      <x:c r="C1001" s="57" t="inlineStr">
        <x:is>
          <x:t xml:space="preserve">LOCKED</x:t>
        </x:is>
      </x:c>
      <x:c r="D1001" s="57" t="inlineStr">
        <x:is>
          <x:t xml:space="preserve">ARG-100</x:t>
        </x:is>
      </x:c>
      <x:c r="E1001" s="75" t="str">
        <x:f>INDEX('Company Universe'!$B$6:$B$105,MATCH(D1001,'Company Universe'!$A$6:$A$105,0))</x:f>
        <x:v>United Rentals</x:v>
      </x:c>
      <x:c r="F1001" s="75" t="str">
        <x:f>INDEX('Company Universe'!$C$6:$C$105,MATCH(D1001,'Company Universe'!$A$6:$A$105,0))</x:f>
        <x:v>URI</x:v>
      </x:c>
      <x:c r="G1001" s="75" t="str">
        <x:f>INDEX('Company Universe'!$F$6:$F$105,MATCH(D1001,'Company Universe'!$A$6:$A$105,0))</x:f>
        <x:v>Construction &amp; Building Products</x:v>
      </x:c>
      <x:c r="H1001" s="57" t="n">
        <x:v>6</x:v>
      </x:c>
      <x:c r="I1001" s="206" t="n"/>
      <x:c r="J1001" s="71" t="n"/>
      <x:c r="K1001" s="71" t="n"/>
      <x:c r="L1001" s="71" t="inlineStr">
        <x:is>
          <x:t xml:space="preserve">NO</x:t>
        </x:is>
      </x:c>
      <x:c r="M1001" s="71" t="n"/>
      <x:c r="N1001" s="71" t="n"/>
      <x:c r="O1001" s="71" t="n"/>
      <x:c r="P1001" s="71" t="n"/>
      <x:c r="Q1001" s="71" t="n"/>
      <x:c r="R1001" s="71" t="n"/>
      <x:c r="S1001" s="206" t="n"/>
      <x:c r="T1001" s="71" t="n"/>
      <x:c r="U1001" s="71" t="n"/>
      <x:c r="V1001" s="71" t="n"/>
      <x:c r="W1001" s="71" t="n"/>
      <x:c r="X1001" s="71" t="n"/>
      <x:c r="Y1001" s="71" t="n"/>
      <x:c r="Z1001" s="71" t="n"/>
      <x:c r="AA1001" s="71" t="n"/>
      <x:c r="AB1001" s="71" t="inlineStr">
        <x:is>
          <x:t xml:space="preserve">NO</x:t>
        </x:is>
      </x:c>
      <x:c r="AC1001" s="57" t="inlineStr">
        <x:is>
          <x:t xml:space="preserve">V10</x:t>
        </x:is>
      </x:c>
      <x:c r="AD1001" s="57" t="n"/>
      <x:c r="AE1001" s="79" t="str">
        <x:f>IF(AND(I1001&lt;&gt;"",J1001&lt;&gt;"",K1001&lt;&gt;"",L1001="YES",M1001&lt;&gt;"",S1001&lt;&gt;"",T1001&lt;&gt;"",U1001&lt;&gt;"",V1001&lt;&gt;"",W1001&lt;&gt;"",X1001&lt;&gt;"",Y1001&lt;&gt;""),"COMPLETE","PENDING")</x:f>
        <x:v>PENDING</x:v>
      </x:c>
      <x:c r="AF1001" s="79" t="str">
        <x:f>IF(AE1001="COMPLETE","YES","NO")</x:f>
        <x:v>NO</x:v>
      </x:c>
      <x:c r="AG1001" s="214" t="str">
        <x:f>IF(AF1001&lt;&gt;"YES","",(IF(V1001="YES",1,0)+IF(W1001="YES",1,0))/2)</x:f>
      </x:c>
    </x:row>
    <x:row r="1002">
      <x:c r="A1002" s="57" t="inlineStr">
        <x:is>
          <x:t xml:space="preserve">C0997</x:t>
        </x:is>
      </x:c>
      <x:c r="B1002" s="57" t="inlineStr">
        <x:is>
          <x:t xml:space="preserve">Holdout</x:t>
        </x:is>
      </x:c>
      <x:c r="C1002" s="57" t="inlineStr">
        <x:is>
          <x:t xml:space="preserve">LOCKED</x:t>
        </x:is>
      </x:c>
      <x:c r="D1002" s="57" t="inlineStr">
        <x:is>
          <x:t xml:space="preserve">ARG-100</x:t>
        </x:is>
      </x:c>
      <x:c r="E1002" s="75" t="str">
        <x:f>INDEX('Company Universe'!$B$6:$B$105,MATCH(D1002,'Company Universe'!$A$6:$A$105,0))</x:f>
        <x:v>United Rentals</x:v>
      </x:c>
      <x:c r="F1002" s="75" t="str">
        <x:f>INDEX('Company Universe'!$C$6:$C$105,MATCH(D1002,'Company Universe'!$A$6:$A$105,0))</x:f>
        <x:v>URI</x:v>
      </x:c>
      <x:c r="G1002" s="75" t="str">
        <x:f>INDEX('Company Universe'!$F$6:$F$105,MATCH(D1002,'Company Universe'!$A$6:$A$105,0))</x:f>
        <x:v>Construction &amp; Building Products</x:v>
      </x:c>
      <x:c r="H1002" s="57" t="n">
        <x:v>7</x:v>
      </x:c>
      <x:c r="I1002" s="206" t="n"/>
      <x:c r="J1002" s="71" t="n"/>
      <x:c r="K1002" s="71" t="n"/>
      <x:c r="L1002" s="71" t="inlineStr">
        <x:is>
          <x:t xml:space="preserve">NO</x:t>
        </x:is>
      </x:c>
      <x:c r="M1002" s="71" t="n"/>
      <x:c r="N1002" s="71" t="n"/>
      <x:c r="O1002" s="71" t="n"/>
      <x:c r="P1002" s="71" t="n"/>
      <x:c r="Q1002" s="71" t="n"/>
      <x:c r="R1002" s="71" t="n"/>
      <x:c r="S1002" s="206" t="n"/>
      <x:c r="T1002" s="71" t="n"/>
      <x:c r="U1002" s="71" t="n"/>
      <x:c r="V1002" s="71" t="n"/>
      <x:c r="W1002" s="71" t="n"/>
      <x:c r="X1002" s="71" t="n"/>
      <x:c r="Y1002" s="71" t="n"/>
      <x:c r="Z1002" s="71" t="n"/>
      <x:c r="AA1002" s="71" t="n"/>
      <x:c r="AB1002" s="71" t="inlineStr">
        <x:is>
          <x:t xml:space="preserve">NO</x:t>
        </x:is>
      </x:c>
      <x:c r="AC1002" s="57" t="inlineStr">
        <x:is>
          <x:t xml:space="preserve">V10</x:t>
        </x:is>
      </x:c>
      <x:c r="AD1002" s="57" t="n"/>
      <x:c r="AE1002" s="79" t="str">
        <x:f>IF(AND(I1002&lt;&gt;"",J1002&lt;&gt;"",K1002&lt;&gt;"",L1002="YES",M1002&lt;&gt;"",S1002&lt;&gt;"",T1002&lt;&gt;"",U1002&lt;&gt;"",V1002&lt;&gt;"",W1002&lt;&gt;"",X1002&lt;&gt;"",Y1002&lt;&gt;""),"COMPLETE","PENDING")</x:f>
        <x:v>PENDING</x:v>
      </x:c>
      <x:c r="AF1002" s="79" t="str">
        <x:f>IF(AE1002="COMPLETE","YES","NO")</x:f>
        <x:v>NO</x:v>
      </x:c>
      <x:c r="AG1002" s="214" t="str">
        <x:f>IF(AF1002&lt;&gt;"YES","",(IF(V1002="YES",1,0)+IF(W1002="YES",1,0))/2)</x:f>
      </x:c>
    </x:row>
    <x:row r="1003">
      <x:c r="A1003" s="57" t="inlineStr">
        <x:is>
          <x:t xml:space="preserve">C0998</x:t>
        </x:is>
      </x:c>
      <x:c r="B1003" s="57" t="inlineStr">
        <x:is>
          <x:t xml:space="preserve">Holdout</x:t>
        </x:is>
      </x:c>
      <x:c r="C1003" s="57" t="inlineStr">
        <x:is>
          <x:t xml:space="preserve">LOCKED</x:t>
        </x:is>
      </x:c>
      <x:c r="D1003" s="57" t="inlineStr">
        <x:is>
          <x:t xml:space="preserve">ARG-100</x:t>
        </x:is>
      </x:c>
      <x:c r="E1003" s="75" t="str">
        <x:f>INDEX('Company Universe'!$B$6:$B$105,MATCH(D1003,'Company Universe'!$A$6:$A$105,0))</x:f>
        <x:v>United Rentals</x:v>
      </x:c>
      <x:c r="F1003" s="75" t="str">
        <x:f>INDEX('Company Universe'!$C$6:$C$105,MATCH(D1003,'Company Universe'!$A$6:$A$105,0))</x:f>
        <x:v>URI</x:v>
      </x:c>
      <x:c r="G1003" s="75" t="str">
        <x:f>INDEX('Company Universe'!$F$6:$F$105,MATCH(D1003,'Company Universe'!$A$6:$A$105,0))</x:f>
        <x:v>Construction &amp; Building Products</x:v>
      </x:c>
      <x:c r="H1003" s="57" t="n">
        <x:v>8</x:v>
      </x:c>
      <x:c r="I1003" s="206" t="n"/>
      <x:c r="J1003" s="71" t="n"/>
      <x:c r="K1003" s="71" t="n"/>
      <x:c r="L1003" s="71" t="inlineStr">
        <x:is>
          <x:t xml:space="preserve">NO</x:t>
        </x:is>
      </x:c>
      <x:c r="M1003" s="71" t="n"/>
      <x:c r="N1003" s="71" t="n"/>
      <x:c r="O1003" s="71" t="n"/>
      <x:c r="P1003" s="71" t="n"/>
      <x:c r="Q1003" s="71" t="n"/>
      <x:c r="R1003" s="71" t="n"/>
      <x:c r="S1003" s="206" t="n"/>
      <x:c r="T1003" s="71" t="n"/>
      <x:c r="U1003" s="71" t="n"/>
      <x:c r="V1003" s="71" t="n"/>
      <x:c r="W1003" s="71" t="n"/>
      <x:c r="X1003" s="71" t="n"/>
      <x:c r="Y1003" s="71" t="n"/>
      <x:c r="Z1003" s="71" t="n"/>
      <x:c r="AA1003" s="71" t="n"/>
      <x:c r="AB1003" s="71" t="inlineStr">
        <x:is>
          <x:t xml:space="preserve">NO</x:t>
        </x:is>
      </x:c>
      <x:c r="AC1003" s="57" t="inlineStr">
        <x:is>
          <x:t xml:space="preserve">V10</x:t>
        </x:is>
      </x:c>
      <x:c r="AD1003" s="57" t="n"/>
      <x:c r="AE1003" s="79" t="str">
        <x:f>IF(AND(I1003&lt;&gt;"",J1003&lt;&gt;"",K1003&lt;&gt;"",L1003="YES",M1003&lt;&gt;"",S1003&lt;&gt;"",T1003&lt;&gt;"",U1003&lt;&gt;"",V1003&lt;&gt;"",W1003&lt;&gt;"",X1003&lt;&gt;"",Y1003&lt;&gt;""),"COMPLETE","PENDING")</x:f>
        <x:v>PENDING</x:v>
      </x:c>
      <x:c r="AF1003" s="79" t="str">
        <x:f>IF(AE1003="COMPLETE","YES","NO")</x:f>
        <x:v>NO</x:v>
      </x:c>
      <x:c r="AG1003" s="214" t="str">
        <x:f>IF(AF1003&lt;&gt;"YES","",(IF(V1003="YES",1,0)+IF(W1003="YES",1,0))/2)</x:f>
      </x:c>
    </x:row>
    <x:row r="1004">
      <x:c r="A1004" s="57" t="inlineStr">
        <x:is>
          <x:t xml:space="preserve">C0999</x:t>
        </x:is>
      </x:c>
      <x:c r="B1004" s="57" t="inlineStr">
        <x:is>
          <x:t xml:space="preserve">Holdout</x:t>
        </x:is>
      </x:c>
      <x:c r="C1004" s="57" t="inlineStr">
        <x:is>
          <x:t xml:space="preserve">LOCKED</x:t>
        </x:is>
      </x:c>
      <x:c r="D1004" s="57" t="inlineStr">
        <x:is>
          <x:t xml:space="preserve">ARG-100</x:t>
        </x:is>
      </x:c>
      <x:c r="E1004" s="75" t="str">
        <x:f>INDEX('Company Universe'!$B$6:$B$105,MATCH(D1004,'Company Universe'!$A$6:$A$105,0))</x:f>
        <x:v>United Rentals</x:v>
      </x:c>
      <x:c r="F1004" s="75" t="str">
        <x:f>INDEX('Company Universe'!$C$6:$C$105,MATCH(D1004,'Company Universe'!$A$6:$A$105,0))</x:f>
        <x:v>URI</x:v>
      </x:c>
      <x:c r="G1004" s="75" t="str">
        <x:f>INDEX('Company Universe'!$F$6:$F$105,MATCH(D1004,'Company Universe'!$A$6:$A$105,0))</x:f>
        <x:v>Construction &amp; Building Products</x:v>
      </x:c>
      <x:c r="H1004" s="57" t="n">
        <x:v>9</x:v>
      </x:c>
      <x:c r="I1004" s="206" t="n"/>
      <x:c r="J1004" s="71" t="n"/>
      <x:c r="K1004" s="71" t="n"/>
      <x:c r="L1004" s="71" t="inlineStr">
        <x:is>
          <x:t xml:space="preserve">NO</x:t>
        </x:is>
      </x:c>
      <x:c r="M1004" s="71" t="n"/>
      <x:c r="N1004" s="71" t="n"/>
      <x:c r="O1004" s="71" t="n"/>
      <x:c r="P1004" s="71" t="n"/>
      <x:c r="Q1004" s="71" t="n"/>
      <x:c r="R1004" s="71" t="n"/>
      <x:c r="S1004" s="206" t="n"/>
      <x:c r="T1004" s="71" t="n"/>
      <x:c r="U1004" s="71" t="n"/>
      <x:c r="V1004" s="71" t="n"/>
      <x:c r="W1004" s="71" t="n"/>
      <x:c r="X1004" s="71" t="n"/>
      <x:c r="Y1004" s="71" t="n"/>
      <x:c r="Z1004" s="71" t="n"/>
      <x:c r="AA1004" s="71" t="n"/>
      <x:c r="AB1004" s="71" t="inlineStr">
        <x:is>
          <x:t xml:space="preserve">NO</x:t>
        </x:is>
      </x:c>
      <x:c r="AC1004" s="57" t="inlineStr">
        <x:is>
          <x:t xml:space="preserve">V10</x:t>
        </x:is>
      </x:c>
      <x:c r="AD1004" s="57" t="n"/>
      <x:c r="AE1004" s="79" t="str">
        <x:f>IF(AND(I1004&lt;&gt;"",J1004&lt;&gt;"",K1004&lt;&gt;"",L1004="YES",M1004&lt;&gt;"",S1004&lt;&gt;"",T1004&lt;&gt;"",U1004&lt;&gt;"",V1004&lt;&gt;"",W1004&lt;&gt;"",X1004&lt;&gt;"",Y1004&lt;&gt;""),"COMPLETE","PENDING")</x:f>
        <x:v>PENDING</x:v>
      </x:c>
      <x:c r="AF1004" s="79" t="str">
        <x:f>IF(AE1004="COMPLETE","YES","NO")</x:f>
        <x:v>NO</x:v>
      </x:c>
      <x:c r="AG1004" s="214" t="str">
        <x:f>IF(AF1004&lt;&gt;"YES","",(IF(V1004="YES",1,0)+IF(W1004="YES",1,0))/2)</x:f>
      </x:c>
    </x:row>
    <x:row r="1005">
      <x:c r="A1005" s="58" t="inlineStr">
        <x:is>
          <x:t xml:space="preserve">C1000</x:t>
        </x:is>
      </x:c>
      <x:c r="B1005" s="58" t="inlineStr">
        <x:is>
          <x:t xml:space="preserve">Holdout</x:t>
        </x:is>
      </x:c>
      <x:c r="C1005" s="58" t="inlineStr">
        <x:is>
          <x:t xml:space="preserve">LOCKED</x:t>
        </x:is>
      </x:c>
      <x:c r="D1005" s="58" t="inlineStr">
        <x:is>
          <x:t xml:space="preserve">ARG-100</x:t>
        </x:is>
      </x:c>
      <x:c r="E1005" s="76" t="str">
        <x:f>INDEX('Company Universe'!$B$6:$B$105,MATCH(D1005,'Company Universe'!$A$6:$A$105,0))</x:f>
        <x:v>United Rentals</x:v>
      </x:c>
      <x:c r="F1005" s="76" t="str">
        <x:f>INDEX('Company Universe'!$C$6:$C$105,MATCH(D1005,'Company Universe'!$A$6:$A$105,0))</x:f>
        <x:v>URI</x:v>
      </x:c>
      <x:c r="G1005" s="76" t="str">
        <x:f>INDEX('Company Universe'!$F$6:$F$105,MATCH(D1005,'Company Universe'!$A$6:$A$105,0))</x:f>
        <x:v>Construction &amp; Building Products</x:v>
      </x:c>
      <x:c r="H1005" s="58" t="n">
        <x:v>10</x:v>
      </x:c>
      <x:c r="I1005" s="207" t="n"/>
      <x:c r="J1005" s="73" t="n"/>
      <x:c r="K1005" s="73" t="n"/>
      <x:c r="L1005" s="73" t="inlineStr">
        <x:is>
          <x:t xml:space="preserve">NO</x:t>
        </x:is>
      </x:c>
      <x:c r="M1005" s="73" t="n"/>
      <x:c r="N1005" s="73" t="n"/>
      <x:c r="O1005" s="73" t="n"/>
      <x:c r="P1005" s="73" t="n"/>
      <x:c r="Q1005" s="73" t="n"/>
      <x:c r="R1005" s="73" t="n"/>
      <x:c r="S1005" s="207" t="n"/>
      <x:c r="T1005" s="73" t="n"/>
      <x:c r="U1005" s="73" t="n"/>
      <x:c r="V1005" s="73" t="n"/>
      <x:c r="W1005" s="73" t="n"/>
      <x:c r="X1005" s="73" t="n"/>
      <x:c r="Y1005" s="73" t="n"/>
      <x:c r="Z1005" s="73" t="n"/>
      <x:c r="AA1005" s="73" t="n"/>
      <x:c r="AB1005" s="73" t="inlineStr">
        <x:is>
          <x:t xml:space="preserve">NO</x:t>
        </x:is>
      </x:c>
      <x:c r="AC1005" s="58" t="inlineStr">
        <x:is>
          <x:t xml:space="preserve">V10</x:t>
        </x:is>
      </x:c>
      <x:c r="AD1005" s="58" t="n"/>
      <x:c r="AE1005" s="81" t="str">
        <x:f>IF(AND(I1005&lt;&gt;"",J1005&lt;&gt;"",K1005&lt;&gt;"",L1005="YES",M1005&lt;&gt;"",S1005&lt;&gt;"",T1005&lt;&gt;"",U1005&lt;&gt;"",V1005&lt;&gt;"",W1005&lt;&gt;"",X1005&lt;&gt;"",Y1005&lt;&gt;""),"COMPLETE","PENDING")</x:f>
        <x:v>PENDING</x:v>
      </x:c>
      <x:c r="AF1005" s="81" t="str">
        <x:f>IF(AE1005="COMPLETE","YES","NO")</x:f>
        <x:v>NO</x:v>
      </x:c>
      <x:c r="AG1005" s="215" t="str">
        <x:f>IF(AF1005&lt;&gt;"YES","",(IF(V1005="YES",1,0)+IF(W1005="YES",1,0))/2)</x:f>
      </x:c>
    </x:row>
  </x:sheetData>
  <x:mergeCells>
    <x:mergeCell ref="A2:AG2"/>
    <x:mergeCell ref="A1:AG1"/>
    <x:mergeCell ref="A3:AG3"/>
  </x:mergeCells>
  <x:conditionalFormatting sqref="B6:B1005">
    <x:cfRule type="containsText" dxfId="28" priority="1" operator="containsText" text="Development"/>
    <x:cfRule type="containsText" dxfId="29" priority="2" operator="containsText" text="Validation"/>
    <x:cfRule type="containsText" dxfId="3" priority="3" operator="containsText" text="Holdout"/>
  </x:conditionalFormatting>
  <x:conditionalFormatting sqref="AE6:AE1005">
    <x:cfRule type="containsText" dxfId="0" priority="4" operator="containsText" text="COMPLETE"/>
    <x:cfRule type="containsText" dxfId="32" priority="5" operator="containsText" text="PENDING"/>
  </x:conditionalFormatting>
  <x:dataValidations count="8">
    <x:dataValidation type="list" allowBlank="0" showDropDown="0" showInputMessage="0" showErrorMessage="0" sqref="J6:J1005">
      <x:formula1>"3,6,12"</x:formula1>
    </x:dataValidation>
    <x:dataValidation type="list" allowBlank="0" showDropDown="0" showInputMessage="0" showErrorMessage="0" sqref="L6:L1005">
      <x:formula1>"NO,YES"</x:formula1>
    </x:dataValidation>
    <x:dataValidation type="list" allowBlank="0" showDropDown="0" showInputMessage="0" showErrorMessage="0" sqref="P6:P1005">
      <x:formula1>"BUY,ADD,HOLD,WAIT,SELL,AVOID,NO ACTION"</x:formula1>
    </x:dataValidation>
    <x:dataValidation type="list" allowBlank="0" showDropDown="0" showInputMessage="0" showErrorMessage="0" sqref="V6:V1005">
      <x:formula1>"NO,YES"</x:formula1>
    </x:dataValidation>
    <x:dataValidation type="list" allowBlank="0" showDropDown="0" showInputMessage="0" showErrorMessage="0" sqref="W6:W1005">
      <x:formula1>"NO,YES"</x:formula1>
    </x:dataValidation>
    <x:dataValidation type="list" allowBlank="0" showDropDown="0" showInputMessage="0" showErrorMessage="0" sqref="Y6:Y1005">
      <x:formula1>"NO,YES"</x:formula1>
    </x:dataValidation>
    <x:dataValidation type="list" allowBlank="0" showDropDown="0" showInputMessage="0" showErrorMessage="0" sqref="AB6:AB1005">
      <x:formula1>"NO,YES"</x:formula1>
    </x:dataValidation>
    <x:dataValidation type="list" allowBlank="0" showDropDown="0" showInputMessage="0" showErrorMessage="0" sqref="Z6:Z1005">
      <x:formula1>"None,Missing information,Wrong business engine,Management over-trust,Wrong valuation lens,Sector beta vs company alpha,Look-ahead bias,Hard gate too weak,False positive,False negative,Timing / lead-time,Data quality"</x:formula1>
    </x:dataValidation>
  </x:dataValidations>
  <x:pageMargins left="0.7" right="0.7" top="0.75" bottom="0.75" header="0.3" footer="0.3"/>
  <x:tableParts count="1">
    <x:tablePart xmlns:r="http://schemas.openxmlformats.org/officeDocument/2006/relationships" r:id="R7e0f99123bcb408f"/>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8.890000343322754" style="139" customWidth="1"/>
    <x:col min="2" max="2" width="9.4399995803833" style="139" customWidth="1"/>
    <x:col min="3" max="3" width="18.889999389648438" style="139" customWidth="1"/>
    <x:col min="4" max="4" width="7.21999979019165" style="139" customWidth="1"/>
    <x:col min="5" max="5" width="10.5600004196167" style="139" customWidth="1"/>
    <x:col min="6" max="6" width="8.890000343322754" style="139" customWidth="1"/>
    <x:col min="7" max="7" width="10.5600004196167" style="139" customWidth="1"/>
    <x:col min="8" max="8" width="17.780000686645508" style="139" customWidth="1"/>
    <x:col min="9" max="9" width="14.4399995803833" style="139" customWidth="1"/>
    <x:col min="10" max="10" width="11.109999656677246" style="139" customWidth="1"/>
    <x:col min="11" max="11" width="25.559999465942383" style="139" customWidth="1"/>
    <x:col min="12" max="12" width="24.440000534057617" style="139" customWidth="1"/>
    <x:col min="13" max="13" width="16.670000076293945" style="139" customWidth="1"/>
    <x:col min="14" max="14" width="24.440000534057617" style="139" customWidth="1"/>
    <x:col min="15" max="15" width="24.440000534057617" style="139" customWidth="1"/>
    <x:col min="16" max="16" width="11.670000076293945" style="139" customWidth="1"/>
    <x:col min="17" max="17" width="12.220000267028809" style="139" customWidth="1"/>
    <x:col min="18" max="18" width="24.440000534057617" style="139" customWidth="1"/>
  </x:cols>
  <x:sheetData>
    <x:row r="1" s="139" customFormat="1" ht="34" customHeight="1">
      <x:c r="A1" s="112" t="inlineStr">
        <x:is>
          <x:t xml:space="preserve">Prospective 3/6/12-Month Journal</x:t>
        </x:is>
      </x:c>
    </x:row>
    <x:row r="2" s="139" customFormat="1" ht="28" customHeight="1">
      <x:c r="A2" s="113" t="inlineStr">
        <x:is>
          <x:t xml:space="preserve">Forward predictions are Shadow / Unvalidated until the holdout gate is passed.</x:t>
        </x:is>
      </x:c>
    </x:row>
    <x:row r="3">
      <x:c r="A3" s="114" t="n"/>
      <x:c r="B3" s="114" t="n"/>
      <x:c r="C3" s="114" t="n"/>
      <x:c r="D3" s="114" t="n"/>
      <x:c r="E3" s="114" t="n"/>
      <x:c r="F3" s="114" t="n"/>
      <x:c r="G3" s="114" t="n"/>
      <x:c r="H3" s="114" t="n"/>
      <x:c r="I3" s="114" t="n"/>
      <x:c r="J3" s="114" t="n"/>
      <x:c r="K3" s="114" t="n"/>
      <x:c r="L3" s="114" t="n"/>
      <x:c r="M3" s="114" t="n"/>
      <x:c r="N3" s="114" t="n"/>
      <x:c r="O3" s="114" t="n"/>
      <x:c r="P3" s="114" t="n"/>
      <x:c r="Q3" s="114" t="n"/>
      <x:c r="R3" s="114" t="n"/>
    </x:row>
    <x:row r="4">
      <x:c r="A4" s="114" t="n"/>
      <x:c r="B4" s="114" t="n"/>
      <x:c r="C4" s="114" t="n"/>
      <x:c r="D4" s="114" t="n"/>
      <x:c r="E4" s="114" t="n"/>
      <x:c r="F4" s="114" t="n"/>
      <x:c r="G4" s="114" t="n"/>
      <x:c r="H4" s="114" t="n"/>
      <x:c r="I4" s="114" t="n"/>
      <x:c r="J4" s="114" t="n"/>
      <x:c r="K4" s="114" t="n"/>
      <x:c r="L4" s="114" t="n"/>
      <x:c r="M4" s="114" t="n"/>
      <x:c r="N4" s="114" t="n"/>
      <x:c r="O4" s="114" t="n"/>
      <x:c r="P4" s="114" t="n"/>
      <x:c r="Q4" s="114" t="n"/>
      <x:c r="R4" s="114" t="n"/>
    </x:row>
    <x:row r="5" s="139" customFormat="1" ht="30" customHeight="1">
      <x:c r="A5" s="116" t="inlineStr">
        <x:is>
          <x:t xml:space="preserve">Journal ID</x:t>
        </x:is>
      </x:c>
      <x:c r="B5" s="116" t="inlineStr">
        <x:is>
          <x:t xml:space="preserve">Company ID</x:t>
        </x:is>
      </x:c>
      <x:c r="C5" s="116" t="inlineStr">
        <x:is>
          <x:t xml:space="preserve">Company</x:t>
        </x:is>
      </x:c>
      <x:c r="D5" s="116" t="inlineStr">
        <x:is>
          <x:t xml:space="preserve">Ticker</x:t>
        </x:is>
      </x:c>
      <x:c r="E5" s="116" t="inlineStr">
        <x:is>
          <x:t xml:space="preserve">Prediction Date</x:t>
        </x:is>
      </x:c>
      <x:c r="F5" s="116" t="inlineStr">
        <x:is>
          <x:t xml:space="preserve">Horizon Months</x:t>
        </x:is>
      </x:c>
      <x:c r="G5" s="116" t="inlineStr">
        <x:is>
          <x:t xml:space="preserve">Due Date</x:t>
        </x:is>
      </x:c>
      <x:c r="H5" s="116" t="inlineStr">
        <x:is>
          <x:t xml:space="preserve">Operational Metric</x:t>
        </x:is>
      </x:c>
      <x:c r="I5" s="116" t="inlineStr">
        <x:is>
          <x:t xml:space="preserve">Baseline</x:t>
        </x:is>
      </x:c>
      <x:c r="J5" s="116" t="inlineStr">
        <x:is>
          <x:t xml:space="preserve">Expected Direction</x:t>
        </x:is>
      </x:c>
      <x:c r="K5" s="116" t="inlineStr">
        <x:is>
          <x:t xml:space="preserve">Prediction</x:t>
        </x:is>
      </x:c>
      <x:c r="L5" s="116" t="inlineStr">
        <x:is>
          <x:t xml:space="preserve">Kill Trigger</x:t>
        </x:is>
      </x:c>
      <x:c r="M5" s="116" t="inlineStr">
        <x:is>
          <x:t xml:space="preserve">Control Company</x:t>
        </x:is>
      </x:c>
      <x:c r="N5" s="116" t="inlineStr">
        <x:is>
          <x:t xml:space="preserve">Evidence URL</x:t>
        </x:is>
      </x:c>
      <x:c r="O5" s="116" t="inlineStr">
        <x:is>
          <x:t xml:space="preserve">Outcome</x:t>
        </x:is>
      </x:c>
      <x:c r="P5" s="116" t="inlineStr">
        <x:is>
          <x:t xml:space="preserve">Fundamental Accuracy</x:t>
        </x:is>
      </x:c>
      <x:c r="Q5" s="116" t="inlineStr">
        <x:is>
          <x:t xml:space="preserve">Stock Return (Secondary)</x:t>
        </x:is>
      </x:c>
      <x:c r="R5" s="116" t="inlineStr">
        <x:is>
          <x:t xml:space="preserve">Notes</x:t>
        </x:is>
      </x:c>
    </x:row>
    <x:row r="6">
      <x:c r="A6" s="56" t="inlineStr">
        <x:is>
          <x:t xml:space="preserve">FJ-001</x:t>
        </x:is>
      </x:c>
      <x:c r="B6" s="69" t="n"/>
      <x:c r="C6" s="74" t="str">
        <x:f>IF(B6="","",INDEX('Company Universe'!$B$6:$B$105,MATCH(B6,'Company Universe'!$A$6:$A$105,0)))</x:f>
      </x:c>
      <x:c r="D6" s="74" t="str">
        <x:f>IF(B6="","",INDEX('Company Universe'!$C$6:$C$105,MATCH(B6,'Company Universe'!$A$6:$A$105,0)))</x:f>
      </x:c>
      <x:c r="E6" s="205" t="n"/>
      <x:c r="F6" s="205" t="n"/>
      <x:c r="G6" s="205" t="n"/>
      <x:c r="H6" s="69" t="n"/>
      <x:c r="I6" s="69" t="n"/>
      <x:c r="J6" s="69" t="n"/>
      <x:c r="K6" s="69" t="n"/>
      <x:c r="L6" s="69" t="n"/>
      <x:c r="M6" s="69" t="n"/>
      <x:c r="N6" s="69" t="n"/>
      <x:c r="O6" s="69" t="n"/>
      <x:c r="P6" s="69" t="n"/>
      <x:c r="Q6" s="216" t="n"/>
      <x:c r="R6" s="69" t="n"/>
    </x:row>
    <x:row r="7">
      <x:c r="A7" s="57" t="inlineStr">
        <x:is>
          <x:t xml:space="preserve">FJ-002</x:t>
        </x:is>
      </x:c>
      <x:c r="B7" s="71" t="n"/>
      <x:c r="C7" s="75" t="str">
        <x:f>IF(B7="","",INDEX('Company Universe'!$B$6:$B$105,MATCH(B7,'Company Universe'!$A$6:$A$105,0)))</x:f>
      </x:c>
      <x:c r="D7" s="75" t="str">
        <x:f>IF(B7="","",INDEX('Company Universe'!$C$6:$C$105,MATCH(B7,'Company Universe'!$A$6:$A$105,0)))</x:f>
      </x:c>
      <x:c r="E7" s="206" t="n"/>
      <x:c r="F7" s="206" t="n"/>
      <x:c r="G7" s="206" t="n"/>
      <x:c r="H7" s="71" t="n"/>
      <x:c r="I7" s="71" t="n"/>
      <x:c r="J7" s="71" t="n"/>
      <x:c r="K7" s="71" t="n"/>
      <x:c r="L7" s="71" t="n"/>
      <x:c r="M7" s="71" t="n"/>
      <x:c r="N7" s="71" t="n"/>
      <x:c r="O7" s="71" t="n"/>
      <x:c r="P7" s="71" t="n"/>
      <x:c r="Q7" s="217" t="n"/>
      <x:c r="R7" s="71" t="n"/>
    </x:row>
    <x:row r="8">
      <x:c r="A8" s="57" t="inlineStr">
        <x:is>
          <x:t xml:space="preserve">FJ-003</x:t>
        </x:is>
      </x:c>
      <x:c r="B8" s="71" t="n"/>
      <x:c r="C8" s="75" t="str">
        <x:f>IF(B8="","",INDEX('Company Universe'!$B$6:$B$105,MATCH(B8,'Company Universe'!$A$6:$A$105,0)))</x:f>
      </x:c>
      <x:c r="D8" s="75" t="str">
        <x:f>IF(B8="","",INDEX('Company Universe'!$C$6:$C$105,MATCH(B8,'Company Universe'!$A$6:$A$105,0)))</x:f>
      </x:c>
      <x:c r="E8" s="206" t="n"/>
      <x:c r="F8" s="206" t="n"/>
      <x:c r="G8" s="206" t="n"/>
      <x:c r="H8" s="71" t="n"/>
      <x:c r="I8" s="71" t="n"/>
      <x:c r="J8" s="71" t="n"/>
      <x:c r="K8" s="71" t="n"/>
      <x:c r="L8" s="71" t="n"/>
      <x:c r="M8" s="71" t="n"/>
      <x:c r="N8" s="71" t="n"/>
      <x:c r="O8" s="71" t="n"/>
      <x:c r="P8" s="71" t="n"/>
      <x:c r="Q8" s="217" t="n"/>
      <x:c r="R8" s="71" t="n"/>
    </x:row>
    <x:row r="9">
      <x:c r="A9" s="57" t="inlineStr">
        <x:is>
          <x:t xml:space="preserve">FJ-004</x:t>
        </x:is>
      </x:c>
      <x:c r="B9" s="71" t="n"/>
      <x:c r="C9" s="75" t="str">
        <x:f>IF(B9="","",INDEX('Company Universe'!$B$6:$B$105,MATCH(B9,'Company Universe'!$A$6:$A$105,0)))</x:f>
      </x:c>
      <x:c r="D9" s="75" t="str">
        <x:f>IF(B9="","",INDEX('Company Universe'!$C$6:$C$105,MATCH(B9,'Company Universe'!$A$6:$A$105,0)))</x:f>
      </x:c>
      <x:c r="E9" s="206" t="n"/>
      <x:c r="F9" s="206" t="n"/>
      <x:c r="G9" s="206" t="n"/>
      <x:c r="H9" s="71" t="n"/>
      <x:c r="I9" s="71" t="n"/>
      <x:c r="J9" s="71" t="n"/>
      <x:c r="K9" s="71" t="n"/>
      <x:c r="L9" s="71" t="n"/>
      <x:c r="M9" s="71" t="n"/>
      <x:c r="N9" s="71" t="n"/>
      <x:c r="O9" s="71" t="n"/>
      <x:c r="P9" s="71" t="n"/>
      <x:c r="Q9" s="217" t="n"/>
      <x:c r="R9" s="71" t="n"/>
    </x:row>
    <x:row r="10">
      <x:c r="A10" s="57" t="inlineStr">
        <x:is>
          <x:t xml:space="preserve">FJ-005</x:t>
        </x:is>
      </x:c>
      <x:c r="B10" s="71" t="n"/>
      <x:c r="C10" s="75" t="str">
        <x:f>IF(B10="","",INDEX('Company Universe'!$B$6:$B$105,MATCH(B10,'Company Universe'!$A$6:$A$105,0)))</x:f>
      </x:c>
      <x:c r="D10" s="75" t="str">
        <x:f>IF(B10="","",INDEX('Company Universe'!$C$6:$C$105,MATCH(B10,'Company Universe'!$A$6:$A$105,0)))</x:f>
      </x:c>
      <x:c r="E10" s="206" t="n"/>
      <x:c r="F10" s="206" t="n"/>
      <x:c r="G10" s="206" t="n"/>
      <x:c r="H10" s="71" t="n"/>
      <x:c r="I10" s="71" t="n"/>
      <x:c r="J10" s="71" t="n"/>
      <x:c r="K10" s="71" t="n"/>
      <x:c r="L10" s="71" t="n"/>
      <x:c r="M10" s="71" t="n"/>
      <x:c r="N10" s="71" t="n"/>
      <x:c r="O10" s="71" t="n"/>
      <x:c r="P10" s="71" t="n"/>
      <x:c r="Q10" s="217" t="n"/>
      <x:c r="R10" s="71" t="n"/>
    </x:row>
    <x:row r="11">
      <x:c r="A11" s="57" t="inlineStr">
        <x:is>
          <x:t xml:space="preserve">FJ-006</x:t>
        </x:is>
      </x:c>
      <x:c r="B11" s="71" t="n"/>
      <x:c r="C11" s="75" t="str">
        <x:f>IF(B11="","",INDEX('Company Universe'!$B$6:$B$105,MATCH(B11,'Company Universe'!$A$6:$A$105,0)))</x:f>
      </x:c>
      <x:c r="D11" s="75" t="str">
        <x:f>IF(B11="","",INDEX('Company Universe'!$C$6:$C$105,MATCH(B11,'Company Universe'!$A$6:$A$105,0)))</x:f>
      </x:c>
      <x:c r="E11" s="206" t="n"/>
      <x:c r="F11" s="206" t="n"/>
      <x:c r="G11" s="206" t="n"/>
      <x:c r="H11" s="71" t="n"/>
      <x:c r="I11" s="71" t="n"/>
      <x:c r="J11" s="71" t="n"/>
      <x:c r="K11" s="71" t="n"/>
      <x:c r="L11" s="71" t="n"/>
      <x:c r="M11" s="71" t="n"/>
      <x:c r="N11" s="71" t="n"/>
      <x:c r="O11" s="71" t="n"/>
      <x:c r="P11" s="71" t="n"/>
      <x:c r="Q11" s="217" t="n"/>
      <x:c r="R11" s="71" t="n"/>
    </x:row>
    <x:row r="12">
      <x:c r="A12" s="57" t="inlineStr">
        <x:is>
          <x:t xml:space="preserve">FJ-007</x:t>
        </x:is>
      </x:c>
      <x:c r="B12" s="71" t="n"/>
      <x:c r="C12" s="75" t="str">
        <x:f>IF(B12="","",INDEX('Company Universe'!$B$6:$B$105,MATCH(B12,'Company Universe'!$A$6:$A$105,0)))</x:f>
      </x:c>
      <x:c r="D12" s="75" t="str">
        <x:f>IF(B12="","",INDEX('Company Universe'!$C$6:$C$105,MATCH(B12,'Company Universe'!$A$6:$A$105,0)))</x:f>
      </x:c>
      <x:c r="E12" s="206" t="n"/>
      <x:c r="F12" s="206" t="n"/>
      <x:c r="G12" s="206" t="n"/>
      <x:c r="H12" s="71" t="n"/>
      <x:c r="I12" s="71" t="n"/>
      <x:c r="J12" s="71" t="n"/>
      <x:c r="K12" s="71" t="n"/>
      <x:c r="L12" s="71" t="n"/>
      <x:c r="M12" s="71" t="n"/>
      <x:c r="N12" s="71" t="n"/>
      <x:c r="O12" s="71" t="n"/>
      <x:c r="P12" s="71" t="n"/>
      <x:c r="Q12" s="217" t="n"/>
      <x:c r="R12" s="71" t="n"/>
    </x:row>
    <x:row r="13">
      <x:c r="A13" s="57" t="inlineStr">
        <x:is>
          <x:t xml:space="preserve">FJ-008</x:t>
        </x:is>
      </x:c>
      <x:c r="B13" s="71" t="n"/>
      <x:c r="C13" s="75" t="str">
        <x:f>IF(B13="","",INDEX('Company Universe'!$B$6:$B$105,MATCH(B13,'Company Universe'!$A$6:$A$105,0)))</x:f>
      </x:c>
      <x:c r="D13" s="75" t="str">
        <x:f>IF(B13="","",INDEX('Company Universe'!$C$6:$C$105,MATCH(B13,'Company Universe'!$A$6:$A$105,0)))</x:f>
      </x:c>
      <x:c r="E13" s="206" t="n"/>
      <x:c r="F13" s="206" t="n"/>
      <x:c r="G13" s="206" t="n"/>
      <x:c r="H13" s="71" t="n"/>
      <x:c r="I13" s="71" t="n"/>
      <x:c r="J13" s="71" t="n"/>
      <x:c r="K13" s="71" t="n"/>
      <x:c r="L13" s="71" t="n"/>
      <x:c r="M13" s="71" t="n"/>
      <x:c r="N13" s="71" t="n"/>
      <x:c r="O13" s="71" t="n"/>
      <x:c r="P13" s="71" t="n"/>
      <x:c r="Q13" s="217" t="n"/>
      <x:c r="R13" s="71" t="n"/>
    </x:row>
    <x:row r="14">
      <x:c r="A14" s="57" t="inlineStr">
        <x:is>
          <x:t xml:space="preserve">FJ-009</x:t>
        </x:is>
      </x:c>
      <x:c r="B14" s="71" t="n"/>
      <x:c r="C14" s="75" t="str">
        <x:f>IF(B14="","",INDEX('Company Universe'!$B$6:$B$105,MATCH(B14,'Company Universe'!$A$6:$A$105,0)))</x:f>
      </x:c>
      <x:c r="D14" s="75" t="str">
        <x:f>IF(B14="","",INDEX('Company Universe'!$C$6:$C$105,MATCH(B14,'Company Universe'!$A$6:$A$105,0)))</x:f>
      </x:c>
      <x:c r="E14" s="206" t="n"/>
      <x:c r="F14" s="206" t="n"/>
      <x:c r="G14" s="206" t="n"/>
      <x:c r="H14" s="71" t="n"/>
      <x:c r="I14" s="71" t="n"/>
      <x:c r="J14" s="71" t="n"/>
      <x:c r="K14" s="71" t="n"/>
      <x:c r="L14" s="71" t="n"/>
      <x:c r="M14" s="71" t="n"/>
      <x:c r="N14" s="71" t="n"/>
      <x:c r="O14" s="71" t="n"/>
      <x:c r="P14" s="71" t="n"/>
      <x:c r="Q14" s="217" t="n"/>
      <x:c r="R14" s="71" t="n"/>
    </x:row>
    <x:row r="15">
      <x:c r="A15" s="57" t="inlineStr">
        <x:is>
          <x:t xml:space="preserve">FJ-010</x:t>
        </x:is>
      </x:c>
      <x:c r="B15" s="71" t="n"/>
      <x:c r="C15" s="75" t="str">
        <x:f>IF(B15="","",INDEX('Company Universe'!$B$6:$B$105,MATCH(B15,'Company Universe'!$A$6:$A$105,0)))</x:f>
      </x:c>
      <x:c r="D15" s="75" t="str">
        <x:f>IF(B15="","",INDEX('Company Universe'!$C$6:$C$105,MATCH(B15,'Company Universe'!$A$6:$A$105,0)))</x:f>
      </x:c>
      <x:c r="E15" s="206" t="n"/>
      <x:c r="F15" s="206" t="n"/>
      <x:c r="G15" s="206" t="n"/>
      <x:c r="H15" s="71" t="n"/>
      <x:c r="I15" s="71" t="n"/>
      <x:c r="J15" s="71" t="n"/>
      <x:c r="K15" s="71" t="n"/>
      <x:c r="L15" s="71" t="n"/>
      <x:c r="M15" s="71" t="n"/>
      <x:c r="N15" s="71" t="n"/>
      <x:c r="O15" s="71" t="n"/>
      <x:c r="P15" s="71" t="n"/>
      <x:c r="Q15" s="217" t="n"/>
      <x:c r="R15" s="71" t="n"/>
    </x:row>
    <x:row r="16">
      <x:c r="A16" s="57" t="inlineStr">
        <x:is>
          <x:t xml:space="preserve">FJ-011</x:t>
        </x:is>
      </x:c>
      <x:c r="B16" s="71" t="n"/>
      <x:c r="C16" s="75" t="str">
        <x:f>IF(B16="","",INDEX('Company Universe'!$B$6:$B$105,MATCH(B16,'Company Universe'!$A$6:$A$105,0)))</x:f>
      </x:c>
      <x:c r="D16" s="75" t="str">
        <x:f>IF(B16="","",INDEX('Company Universe'!$C$6:$C$105,MATCH(B16,'Company Universe'!$A$6:$A$105,0)))</x:f>
      </x:c>
      <x:c r="E16" s="206" t="n"/>
      <x:c r="F16" s="206" t="n"/>
      <x:c r="G16" s="206" t="n"/>
      <x:c r="H16" s="71" t="n"/>
      <x:c r="I16" s="71" t="n"/>
      <x:c r="J16" s="71" t="n"/>
      <x:c r="K16" s="71" t="n"/>
      <x:c r="L16" s="71" t="n"/>
      <x:c r="M16" s="71" t="n"/>
      <x:c r="N16" s="71" t="n"/>
      <x:c r="O16" s="71" t="n"/>
      <x:c r="P16" s="71" t="n"/>
      <x:c r="Q16" s="217" t="n"/>
      <x:c r="R16" s="71" t="n"/>
    </x:row>
    <x:row r="17">
      <x:c r="A17" s="57" t="inlineStr">
        <x:is>
          <x:t xml:space="preserve">FJ-012</x:t>
        </x:is>
      </x:c>
      <x:c r="B17" s="71" t="n"/>
      <x:c r="C17" s="75" t="str">
        <x:f>IF(B17="","",INDEX('Company Universe'!$B$6:$B$105,MATCH(B17,'Company Universe'!$A$6:$A$105,0)))</x:f>
      </x:c>
      <x:c r="D17" s="75" t="str">
        <x:f>IF(B17="","",INDEX('Company Universe'!$C$6:$C$105,MATCH(B17,'Company Universe'!$A$6:$A$105,0)))</x:f>
      </x:c>
      <x:c r="E17" s="206" t="n"/>
      <x:c r="F17" s="206" t="n"/>
      <x:c r="G17" s="206" t="n"/>
      <x:c r="H17" s="71" t="n"/>
      <x:c r="I17" s="71" t="n"/>
      <x:c r="J17" s="71" t="n"/>
      <x:c r="K17" s="71" t="n"/>
      <x:c r="L17" s="71" t="n"/>
      <x:c r="M17" s="71" t="n"/>
      <x:c r="N17" s="71" t="n"/>
      <x:c r="O17" s="71" t="n"/>
      <x:c r="P17" s="71" t="n"/>
      <x:c r="Q17" s="217" t="n"/>
      <x:c r="R17" s="71" t="n"/>
    </x:row>
    <x:row r="18">
      <x:c r="A18" s="57" t="inlineStr">
        <x:is>
          <x:t xml:space="preserve">FJ-013</x:t>
        </x:is>
      </x:c>
      <x:c r="B18" s="71" t="n"/>
      <x:c r="C18" s="75" t="str">
        <x:f>IF(B18="","",INDEX('Company Universe'!$B$6:$B$105,MATCH(B18,'Company Universe'!$A$6:$A$105,0)))</x:f>
      </x:c>
      <x:c r="D18" s="75" t="str">
        <x:f>IF(B18="","",INDEX('Company Universe'!$C$6:$C$105,MATCH(B18,'Company Universe'!$A$6:$A$105,0)))</x:f>
      </x:c>
      <x:c r="E18" s="206" t="n"/>
      <x:c r="F18" s="206" t="n"/>
      <x:c r="G18" s="206" t="n"/>
      <x:c r="H18" s="71" t="n"/>
      <x:c r="I18" s="71" t="n"/>
      <x:c r="J18" s="71" t="n"/>
      <x:c r="K18" s="71" t="n"/>
      <x:c r="L18" s="71" t="n"/>
      <x:c r="M18" s="71" t="n"/>
      <x:c r="N18" s="71" t="n"/>
      <x:c r="O18" s="71" t="n"/>
      <x:c r="P18" s="71" t="n"/>
      <x:c r="Q18" s="217" t="n"/>
      <x:c r="R18" s="71" t="n"/>
    </x:row>
    <x:row r="19">
      <x:c r="A19" s="57" t="inlineStr">
        <x:is>
          <x:t xml:space="preserve">FJ-014</x:t>
        </x:is>
      </x:c>
      <x:c r="B19" s="71" t="n"/>
      <x:c r="C19" s="75" t="str">
        <x:f>IF(B19="","",INDEX('Company Universe'!$B$6:$B$105,MATCH(B19,'Company Universe'!$A$6:$A$105,0)))</x:f>
      </x:c>
      <x:c r="D19" s="75" t="str">
        <x:f>IF(B19="","",INDEX('Company Universe'!$C$6:$C$105,MATCH(B19,'Company Universe'!$A$6:$A$105,0)))</x:f>
      </x:c>
      <x:c r="E19" s="206" t="n"/>
      <x:c r="F19" s="206" t="n"/>
      <x:c r="G19" s="206" t="n"/>
      <x:c r="H19" s="71" t="n"/>
      <x:c r="I19" s="71" t="n"/>
      <x:c r="J19" s="71" t="n"/>
      <x:c r="K19" s="71" t="n"/>
      <x:c r="L19" s="71" t="n"/>
      <x:c r="M19" s="71" t="n"/>
      <x:c r="N19" s="71" t="n"/>
      <x:c r="O19" s="71" t="n"/>
      <x:c r="P19" s="71" t="n"/>
      <x:c r="Q19" s="217" t="n"/>
      <x:c r="R19" s="71" t="n"/>
    </x:row>
    <x:row r="20">
      <x:c r="A20" s="57" t="inlineStr">
        <x:is>
          <x:t xml:space="preserve">FJ-015</x:t>
        </x:is>
      </x:c>
      <x:c r="B20" s="71" t="n"/>
      <x:c r="C20" s="75" t="str">
        <x:f>IF(B20="","",INDEX('Company Universe'!$B$6:$B$105,MATCH(B20,'Company Universe'!$A$6:$A$105,0)))</x:f>
      </x:c>
      <x:c r="D20" s="75" t="str">
        <x:f>IF(B20="","",INDEX('Company Universe'!$C$6:$C$105,MATCH(B20,'Company Universe'!$A$6:$A$105,0)))</x:f>
      </x:c>
      <x:c r="E20" s="206" t="n"/>
      <x:c r="F20" s="206" t="n"/>
      <x:c r="G20" s="206" t="n"/>
      <x:c r="H20" s="71" t="n"/>
      <x:c r="I20" s="71" t="n"/>
      <x:c r="J20" s="71" t="n"/>
      <x:c r="K20" s="71" t="n"/>
      <x:c r="L20" s="71" t="n"/>
      <x:c r="M20" s="71" t="n"/>
      <x:c r="N20" s="71" t="n"/>
      <x:c r="O20" s="71" t="n"/>
      <x:c r="P20" s="71" t="n"/>
      <x:c r="Q20" s="217" t="n"/>
      <x:c r="R20" s="71" t="n"/>
    </x:row>
    <x:row r="21">
      <x:c r="A21" s="57" t="inlineStr">
        <x:is>
          <x:t xml:space="preserve">FJ-016</x:t>
        </x:is>
      </x:c>
      <x:c r="B21" s="71" t="n"/>
      <x:c r="C21" s="75" t="str">
        <x:f>IF(B21="","",INDEX('Company Universe'!$B$6:$B$105,MATCH(B21,'Company Universe'!$A$6:$A$105,0)))</x:f>
      </x:c>
      <x:c r="D21" s="75" t="str">
        <x:f>IF(B21="","",INDEX('Company Universe'!$C$6:$C$105,MATCH(B21,'Company Universe'!$A$6:$A$105,0)))</x:f>
      </x:c>
      <x:c r="E21" s="206" t="n"/>
      <x:c r="F21" s="206" t="n"/>
      <x:c r="G21" s="206" t="n"/>
      <x:c r="H21" s="71" t="n"/>
      <x:c r="I21" s="71" t="n"/>
      <x:c r="J21" s="71" t="n"/>
      <x:c r="K21" s="71" t="n"/>
      <x:c r="L21" s="71" t="n"/>
      <x:c r="M21" s="71" t="n"/>
      <x:c r="N21" s="71" t="n"/>
      <x:c r="O21" s="71" t="n"/>
      <x:c r="P21" s="71" t="n"/>
      <x:c r="Q21" s="217" t="n"/>
      <x:c r="R21" s="71" t="n"/>
    </x:row>
    <x:row r="22">
      <x:c r="A22" s="57" t="inlineStr">
        <x:is>
          <x:t xml:space="preserve">FJ-017</x:t>
        </x:is>
      </x:c>
      <x:c r="B22" s="71" t="n"/>
      <x:c r="C22" s="75" t="str">
        <x:f>IF(B22="","",INDEX('Company Universe'!$B$6:$B$105,MATCH(B22,'Company Universe'!$A$6:$A$105,0)))</x:f>
      </x:c>
      <x:c r="D22" s="75" t="str">
        <x:f>IF(B22="","",INDEX('Company Universe'!$C$6:$C$105,MATCH(B22,'Company Universe'!$A$6:$A$105,0)))</x:f>
      </x:c>
      <x:c r="E22" s="206" t="n"/>
      <x:c r="F22" s="206" t="n"/>
      <x:c r="G22" s="206" t="n"/>
      <x:c r="H22" s="71" t="n"/>
      <x:c r="I22" s="71" t="n"/>
      <x:c r="J22" s="71" t="n"/>
      <x:c r="K22" s="71" t="n"/>
      <x:c r="L22" s="71" t="n"/>
      <x:c r="M22" s="71" t="n"/>
      <x:c r="N22" s="71" t="n"/>
      <x:c r="O22" s="71" t="n"/>
      <x:c r="P22" s="71" t="n"/>
      <x:c r="Q22" s="217" t="n"/>
      <x:c r="R22" s="71" t="n"/>
    </x:row>
    <x:row r="23">
      <x:c r="A23" s="57" t="inlineStr">
        <x:is>
          <x:t xml:space="preserve">FJ-018</x:t>
        </x:is>
      </x:c>
      <x:c r="B23" s="71" t="n"/>
      <x:c r="C23" s="75" t="str">
        <x:f>IF(B23="","",INDEX('Company Universe'!$B$6:$B$105,MATCH(B23,'Company Universe'!$A$6:$A$105,0)))</x:f>
      </x:c>
      <x:c r="D23" s="75" t="str">
        <x:f>IF(B23="","",INDEX('Company Universe'!$C$6:$C$105,MATCH(B23,'Company Universe'!$A$6:$A$105,0)))</x:f>
      </x:c>
      <x:c r="E23" s="206" t="n"/>
      <x:c r="F23" s="206" t="n"/>
      <x:c r="G23" s="206" t="n"/>
      <x:c r="H23" s="71" t="n"/>
      <x:c r="I23" s="71" t="n"/>
      <x:c r="J23" s="71" t="n"/>
      <x:c r="K23" s="71" t="n"/>
      <x:c r="L23" s="71" t="n"/>
      <x:c r="M23" s="71" t="n"/>
      <x:c r="N23" s="71" t="n"/>
      <x:c r="O23" s="71" t="n"/>
      <x:c r="P23" s="71" t="n"/>
      <x:c r="Q23" s="217" t="n"/>
      <x:c r="R23" s="71" t="n"/>
    </x:row>
    <x:row r="24">
      <x:c r="A24" s="57" t="inlineStr">
        <x:is>
          <x:t xml:space="preserve">FJ-019</x:t>
        </x:is>
      </x:c>
      <x:c r="B24" s="71" t="n"/>
      <x:c r="C24" s="75" t="str">
        <x:f>IF(B24="","",INDEX('Company Universe'!$B$6:$B$105,MATCH(B24,'Company Universe'!$A$6:$A$105,0)))</x:f>
      </x:c>
      <x:c r="D24" s="75" t="str">
        <x:f>IF(B24="","",INDEX('Company Universe'!$C$6:$C$105,MATCH(B24,'Company Universe'!$A$6:$A$105,0)))</x:f>
      </x:c>
      <x:c r="E24" s="206" t="n"/>
      <x:c r="F24" s="206" t="n"/>
      <x:c r="G24" s="206" t="n"/>
      <x:c r="H24" s="71" t="n"/>
      <x:c r="I24" s="71" t="n"/>
      <x:c r="J24" s="71" t="n"/>
      <x:c r="K24" s="71" t="n"/>
      <x:c r="L24" s="71" t="n"/>
      <x:c r="M24" s="71" t="n"/>
      <x:c r="N24" s="71" t="n"/>
      <x:c r="O24" s="71" t="n"/>
      <x:c r="P24" s="71" t="n"/>
      <x:c r="Q24" s="217" t="n"/>
      <x:c r="R24" s="71" t="n"/>
    </x:row>
    <x:row r="25">
      <x:c r="A25" s="57" t="inlineStr">
        <x:is>
          <x:t xml:space="preserve">FJ-020</x:t>
        </x:is>
      </x:c>
      <x:c r="B25" s="71" t="n"/>
      <x:c r="C25" s="75" t="str">
        <x:f>IF(B25="","",INDEX('Company Universe'!$B$6:$B$105,MATCH(B25,'Company Universe'!$A$6:$A$105,0)))</x:f>
      </x:c>
      <x:c r="D25" s="75" t="str">
        <x:f>IF(B25="","",INDEX('Company Universe'!$C$6:$C$105,MATCH(B25,'Company Universe'!$A$6:$A$105,0)))</x:f>
      </x:c>
      <x:c r="E25" s="206" t="n"/>
      <x:c r="F25" s="206" t="n"/>
      <x:c r="G25" s="206" t="n"/>
      <x:c r="H25" s="71" t="n"/>
      <x:c r="I25" s="71" t="n"/>
      <x:c r="J25" s="71" t="n"/>
      <x:c r="K25" s="71" t="n"/>
      <x:c r="L25" s="71" t="n"/>
      <x:c r="M25" s="71" t="n"/>
      <x:c r="N25" s="71" t="n"/>
      <x:c r="O25" s="71" t="n"/>
      <x:c r="P25" s="71" t="n"/>
      <x:c r="Q25" s="217" t="n"/>
      <x:c r="R25" s="71" t="n"/>
    </x:row>
    <x:row r="26">
      <x:c r="A26" s="57" t="inlineStr">
        <x:is>
          <x:t xml:space="preserve">FJ-021</x:t>
        </x:is>
      </x:c>
      <x:c r="B26" s="71" t="n"/>
      <x:c r="C26" s="75" t="str">
        <x:f>IF(B26="","",INDEX('Company Universe'!$B$6:$B$105,MATCH(B26,'Company Universe'!$A$6:$A$105,0)))</x:f>
      </x:c>
      <x:c r="D26" s="75" t="str">
        <x:f>IF(B26="","",INDEX('Company Universe'!$C$6:$C$105,MATCH(B26,'Company Universe'!$A$6:$A$105,0)))</x:f>
      </x:c>
      <x:c r="E26" s="206" t="n"/>
      <x:c r="F26" s="206" t="n"/>
      <x:c r="G26" s="206" t="n"/>
      <x:c r="H26" s="71" t="n"/>
      <x:c r="I26" s="71" t="n"/>
      <x:c r="J26" s="71" t="n"/>
      <x:c r="K26" s="71" t="n"/>
      <x:c r="L26" s="71" t="n"/>
      <x:c r="M26" s="71" t="n"/>
      <x:c r="N26" s="71" t="n"/>
      <x:c r="O26" s="71" t="n"/>
      <x:c r="P26" s="71" t="n"/>
      <x:c r="Q26" s="217" t="n"/>
      <x:c r="R26" s="71" t="n"/>
    </x:row>
    <x:row r="27">
      <x:c r="A27" s="57" t="inlineStr">
        <x:is>
          <x:t xml:space="preserve">FJ-022</x:t>
        </x:is>
      </x:c>
      <x:c r="B27" s="71" t="n"/>
      <x:c r="C27" s="75" t="str">
        <x:f>IF(B27="","",INDEX('Company Universe'!$B$6:$B$105,MATCH(B27,'Company Universe'!$A$6:$A$105,0)))</x:f>
      </x:c>
      <x:c r="D27" s="75" t="str">
        <x:f>IF(B27="","",INDEX('Company Universe'!$C$6:$C$105,MATCH(B27,'Company Universe'!$A$6:$A$105,0)))</x:f>
      </x:c>
      <x:c r="E27" s="206" t="n"/>
      <x:c r="F27" s="206" t="n"/>
      <x:c r="G27" s="206" t="n"/>
      <x:c r="H27" s="71" t="n"/>
      <x:c r="I27" s="71" t="n"/>
      <x:c r="J27" s="71" t="n"/>
      <x:c r="K27" s="71" t="n"/>
      <x:c r="L27" s="71" t="n"/>
      <x:c r="M27" s="71" t="n"/>
      <x:c r="N27" s="71" t="n"/>
      <x:c r="O27" s="71" t="n"/>
      <x:c r="P27" s="71" t="n"/>
      <x:c r="Q27" s="217" t="n"/>
      <x:c r="R27" s="71" t="n"/>
    </x:row>
    <x:row r="28">
      <x:c r="A28" s="57" t="inlineStr">
        <x:is>
          <x:t xml:space="preserve">FJ-023</x:t>
        </x:is>
      </x:c>
      <x:c r="B28" s="71" t="n"/>
      <x:c r="C28" s="75" t="str">
        <x:f>IF(B28="","",INDEX('Company Universe'!$B$6:$B$105,MATCH(B28,'Company Universe'!$A$6:$A$105,0)))</x:f>
      </x:c>
      <x:c r="D28" s="75" t="str">
        <x:f>IF(B28="","",INDEX('Company Universe'!$C$6:$C$105,MATCH(B28,'Company Universe'!$A$6:$A$105,0)))</x:f>
      </x:c>
      <x:c r="E28" s="206" t="n"/>
      <x:c r="F28" s="206" t="n"/>
      <x:c r="G28" s="206" t="n"/>
      <x:c r="H28" s="71" t="n"/>
      <x:c r="I28" s="71" t="n"/>
      <x:c r="J28" s="71" t="n"/>
      <x:c r="K28" s="71" t="n"/>
      <x:c r="L28" s="71" t="n"/>
      <x:c r="M28" s="71" t="n"/>
      <x:c r="N28" s="71" t="n"/>
      <x:c r="O28" s="71" t="n"/>
      <x:c r="P28" s="71" t="n"/>
      <x:c r="Q28" s="217" t="n"/>
      <x:c r="R28" s="71" t="n"/>
    </x:row>
    <x:row r="29">
      <x:c r="A29" s="57" t="inlineStr">
        <x:is>
          <x:t xml:space="preserve">FJ-024</x:t>
        </x:is>
      </x:c>
      <x:c r="B29" s="71" t="n"/>
      <x:c r="C29" s="75" t="str">
        <x:f>IF(B29="","",INDEX('Company Universe'!$B$6:$B$105,MATCH(B29,'Company Universe'!$A$6:$A$105,0)))</x:f>
      </x:c>
      <x:c r="D29" s="75" t="str">
        <x:f>IF(B29="","",INDEX('Company Universe'!$C$6:$C$105,MATCH(B29,'Company Universe'!$A$6:$A$105,0)))</x:f>
      </x:c>
      <x:c r="E29" s="206" t="n"/>
      <x:c r="F29" s="206" t="n"/>
      <x:c r="G29" s="206" t="n"/>
      <x:c r="H29" s="71" t="n"/>
      <x:c r="I29" s="71" t="n"/>
      <x:c r="J29" s="71" t="n"/>
      <x:c r="K29" s="71" t="n"/>
      <x:c r="L29" s="71" t="n"/>
      <x:c r="M29" s="71" t="n"/>
      <x:c r="N29" s="71" t="n"/>
      <x:c r="O29" s="71" t="n"/>
      <x:c r="P29" s="71" t="n"/>
      <x:c r="Q29" s="217" t="n"/>
      <x:c r="R29" s="71" t="n"/>
    </x:row>
    <x:row r="30">
      <x:c r="A30" s="57" t="inlineStr">
        <x:is>
          <x:t xml:space="preserve">FJ-025</x:t>
        </x:is>
      </x:c>
      <x:c r="B30" s="71" t="n"/>
      <x:c r="C30" s="75" t="str">
        <x:f>IF(B30="","",INDEX('Company Universe'!$B$6:$B$105,MATCH(B30,'Company Universe'!$A$6:$A$105,0)))</x:f>
      </x:c>
      <x:c r="D30" s="75" t="str">
        <x:f>IF(B30="","",INDEX('Company Universe'!$C$6:$C$105,MATCH(B30,'Company Universe'!$A$6:$A$105,0)))</x:f>
      </x:c>
      <x:c r="E30" s="206" t="n"/>
      <x:c r="F30" s="206" t="n"/>
      <x:c r="G30" s="206" t="n"/>
      <x:c r="H30" s="71" t="n"/>
      <x:c r="I30" s="71" t="n"/>
      <x:c r="J30" s="71" t="n"/>
      <x:c r="K30" s="71" t="n"/>
      <x:c r="L30" s="71" t="n"/>
      <x:c r="M30" s="71" t="n"/>
      <x:c r="N30" s="71" t="n"/>
      <x:c r="O30" s="71" t="n"/>
      <x:c r="P30" s="71" t="n"/>
      <x:c r="Q30" s="217" t="n"/>
      <x:c r="R30" s="71" t="n"/>
    </x:row>
    <x:row r="31">
      <x:c r="A31" s="57" t="inlineStr">
        <x:is>
          <x:t xml:space="preserve">FJ-026</x:t>
        </x:is>
      </x:c>
      <x:c r="B31" s="71" t="n"/>
      <x:c r="C31" s="75" t="str">
        <x:f>IF(B31="","",INDEX('Company Universe'!$B$6:$B$105,MATCH(B31,'Company Universe'!$A$6:$A$105,0)))</x:f>
      </x:c>
      <x:c r="D31" s="75" t="str">
        <x:f>IF(B31="","",INDEX('Company Universe'!$C$6:$C$105,MATCH(B31,'Company Universe'!$A$6:$A$105,0)))</x:f>
      </x:c>
      <x:c r="E31" s="206" t="n"/>
      <x:c r="F31" s="206" t="n"/>
      <x:c r="G31" s="206" t="n"/>
      <x:c r="H31" s="71" t="n"/>
      <x:c r="I31" s="71" t="n"/>
      <x:c r="J31" s="71" t="n"/>
      <x:c r="K31" s="71" t="n"/>
      <x:c r="L31" s="71" t="n"/>
      <x:c r="M31" s="71" t="n"/>
      <x:c r="N31" s="71" t="n"/>
      <x:c r="O31" s="71" t="n"/>
      <x:c r="P31" s="71" t="n"/>
      <x:c r="Q31" s="217" t="n"/>
      <x:c r="R31" s="71" t="n"/>
    </x:row>
    <x:row r="32">
      <x:c r="A32" s="57" t="inlineStr">
        <x:is>
          <x:t xml:space="preserve">FJ-027</x:t>
        </x:is>
      </x:c>
      <x:c r="B32" s="71" t="n"/>
      <x:c r="C32" s="75" t="str">
        <x:f>IF(B32="","",INDEX('Company Universe'!$B$6:$B$105,MATCH(B32,'Company Universe'!$A$6:$A$105,0)))</x:f>
      </x:c>
      <x:c r="D32" s="75" t="str">
        <x:f>IF(B32="","",INDEX('Company Universe'!$C$6:$C$105,MATCH(B32,'Company Universe'!$A$6:$A$105,0)))</x:f>
      </x:c>
      <x:c r="E32" s="206" t="n"/>
      <x:c r="F32" s="206" t="n"/>
      <x:c r="G32" s="206" t="n"/>
      <x:c r="H32" s="71" t="n"/>
      <x:c r="I32" s="71" t="n"/>
      <x:c r="J32" s="71" t="n"/>
      <x:c r="K32" s="71" t="n"/>
      <x:c r="L32" s="71" t="n"/>
      <x:c r="M32" s="71" t="n"/>
      <x:c r="N32" s="71" t="n"/>
      <x:c r="O32" s="71" t="n"/>
      <x:c r="P32" s="71" t="n"/>
      <x:c r="Q32" s="217" t="n"/>
      <x:c r="R32" s="71" t="n"/>
    </x:row>
    <x:row r="33">
      <x:c r="A33" s="57" t="inlineStr">
        <x:is>
          <x:t xml:space="preserve">FJ-028</x:t>
        </x:is>
      </x:c>
      <x:c r="B33" s="71" t="n"/>
      <x:c r="C33" s="75" t="str">
        <x:f>IF(B33="","",INDEX('Company Universe'!$B$6:$B$105,MATCH(B33,'Company Universe'!$A$6:$A$105,0)))</x:f>
      </x:c>
      <x:c r="D33" s="75" t="str">
        <x:f>IF(B33="","",INDEX('Company Universe'!$C$6:$C$105,MATCH(B33,'Company Universe'!$A$6:$A$105,0)))</x:f>
      </x:c>
      <x:c r="E33" s="206" t="n"/>
      <x:c r="F33" s="206" t="n"/>
      <x:c r="G33" s="206" t="n"/>
      <x:c r="H33" s="71" t="n"/>
      <x:c r="I33" s="71" t="n"/>
      <x:c r="J33" s="71" t="n"/>
      <x:c r="K33" s="71" t="n"/>
      <x:c r="L33" s="71" t="n"/>
      <x:c r="M33" s="71" t="n"/>
      <x:c r="N33" s="71" t="n"/>
      <x:c r="O33" s="71" t="n"/>
      <x:c r="P33" s="71" t="n"/>
      <x:c r="Q33" s="217" t="n"/>
      <x:c r="R33" s="71" t="n"/>
    </x:row>
    <x:row r="34">
      <x:c r="A34" s="57" t="inlineStr">
        <x:is>
          <x:t xml:space="preserve">FJ-029</x:t>
        </x:is>
      </x:c>
      <x:c r="B34" s="71" t="n"/>
      <x:c r="C34" s="75" t="str">
        <x:f>IF(B34="","",INDEX('Company Universe'!$B$6:$B$105,MATCH(B34,'Company Universe'!$A$6:$A$105,0)))</x:f>
      </x:c>
      <x:c r="D34" s="75" t="str">
        <x:f>IF(B34="","",INDEX('Company Universe'!$C$6:$C$105,MATCH(B34,'Company Universe'!$A$6:$A$105,0)))</x:f>
      </x:c>
      <x:c r="E34" s="206" t="n"/>
      <x:c r="F34" s="206" t="n"/>
      <x:c r="G34" s="206" t="n"/>
      <x:c r="H34" s="71" t="n"/>
      <x:c r="I34" s="71" t="n"/>
      <x:c r="J34" s="71" t="n"/>
      <x:c r="K34" s="71" t="n"/>
      <x:c r="L34" s="71" t="n"/>
      <x:c r="M34" s="71" t="n"/>
      <x:c r="N34" s="71" t="n"/>
      <x:c r="O34" s="71" t="n"/>
      <x:c r="P34" s="71" t="n"/>
      <x:c r="Q34" s="217" t="n"/>
      <x:c r="R34" s="71" t="n"/>
    </x:row>
    <x:row r="35">
      <x:c r="A35" s="57" t="inlineStr">
        <x:is>
          <x:t xml:space="preserve">FJ-030</x:t>
        </x:is>
      </x:c>
      <x:c r="B35" s="71" t="n"/>
      <x:c r="C35" s="75" t="str">
        <x:f>IF(B35="","",INDEX('Company Universe'!$B$6:$B$105,MATCH(B35,'Company Universe'!$A$6:$A$105,0)))</x:f>
      </x:c>
      <x:c r="D35" s="75" t="str">
        <x:f>IF(B35="","",INDEX('Company Universe'!$C$6:$C$105,MATCH(B35,'Company Universe'!$A$6:$A$105,0)))</x:f>
      </x:c>
      <x:c r="E35" s="206" t="n"/>
      <x:c r="F35" s="206" t="n"/>
      <x:c r="G35" s="206" t="n"/>
      <x:c r="H35" s="71" t="n"/>
      <x:c r="I35" s="71" t="n"/>
      <x:c r="J35" s="71" t="n"/>
      <x:c r="K35" s="71" t="n"/>
      <x:c r="L35" s="71" t="n"/>
      <x:c r="M35" s="71" t="n"/>
      <x:c r="N35" s="71" t="n"/>
      <x:c r="O35" s="71" t="n"/>
      <x:c r="P35" s="71" t="n"/>
      <x:c r="Q35" s="217" t="n"/>
      <x:c r="R35" s="71" t="n"/>
    </x:row>
    <x:row r="36">
      <x:c r="A36" s="57" t="inlineStr">
        <x:is>
          <x:t xml:space="preserve">FJ-031</x:t>
        </x:is>
      </x:c>
      <x:c r="B36" s="71" t="n"/>
      <x:c r="C36" s="75" t="str">
        <x:f>IF(B36="","",INDEX('Company Universe'!$B$6:$B$105,MATCH(B36,'Company Universe'!$A$6:$A$105,0)))</x:f>
      </x:c>
      <x:c r="D36" s="75" t="str">
        <x:f>IF(B36="","",INDEX('Company Universe'!$C$6:$C$105,MATCH(B36,'Company Universe'!$A$6:$A$105,0)))</x:f>
      </x:c>
      <x:c r="E36" s="206" t="n"/>
      <x:c r="F36" s="206" t="n"/>
      <x:c r="G36" s="206" t="n"/>
      <x:c r="H36" s="71" t="n"/>
      <x:c r="I36" s="71" t="n"/>
      <x:c r="J36" s="71" t="n"/>
      <x:c r="K36" s="71" t="n"/>
      <x:c r="L36" s="71" t="n"/>
      <x:c r="M36" s="71" t="n"/>
      <x:c r="N36" s="71" t="n"/>
      <x:c r="O36" s="71" t="n"/>
      <x:c r="P36" s="71" t="n"/>
      <x:c r="Q36" s="217" t="n"/>
      <x:c r="R36" s="71" t="n"/>
    </x:row>
    <x:row r="37">
      <x:c r="A37" s="57" t="inlineStr">
        <x:is>
          <x:t xml:space="preserve">FJ-032</x:t>
        </x:is>
      </x:c>
      <x:c r="B37" s="71" t="n"/>
      <x:c r="C37" s="75" t="str">
        <x:f>IF(B37="","",INDEX('Company Universe'!$B$6:$B$105,MATCH(B37,'Company Universe'!$A$6:$A$105,0)))</x:f>
      </x:c>
      <x:c r="D37" s="75" t="str">
        <x:f>IF(B37="","",INDEX('Company Universe'!$C$6:$C$105,MATCH(B37,'Company Universe'!$A$6:$A$105,0)))</x:f>
      </x:c>
      <x:c r="E37" s="206" t="n"/>
      <x:c r="F37" s="206" t="n"/>
      <x:c r="G37" s="206" t="n"/>
      <x:c r="H37" s="71" t="n"/>
      <x:c r="I37" s="71" t="n"/>
      <x:c r="J37" s="71" t="n"/>
      <x:c r="K37" s="71" t="n"/>
      <x:c r="L37" s="71" t="n"/>
      <x:c r="M37" s="71" t="n"/>
      <x:c r="N37" s="71" t="n"/>
      <x:c r="O37" s="71" t="n"/>
      <x:c r="P37" s="71" t="n"/>
      <x:c r="Q37" s="217" t="n"/>
      <x:c r="R37" s="71" t="n"/>
    </x:row>
    <x:row r="38">
      <x:c r="A38" s="57" t="inlineStr">
        <x:is>
          <x:t xml:space="preserve">FJ-033</x:t>
        </x:is>
      </x:c>
      <x:c r="B38" s="71" t="n"/>
      <x:c r="C38" s="75" t="str">
        <x:f>IF(B38="","",INDEX('Company Universe'!$B$6:$B$105,MATCH(B38,'Company Universe'!$A$6:$A$105,0)))</x:f>
      </x:c>
      <x:c r="D38" s="75" t="str">
        <x:f>IF(B38="","",INDEX('Company Universe'!$C$6:$C$105,MATCH(B38,'Company Universe'!$A$6:$A$105,0)))</x:f>
      </x:c>
      <x:c r="E38" s="206" t="n"/>
      <x:c r="F38" s="206" t="n"/>
      <x:c r="G38" s="206" t="n"/>
      <x:c r="H38" s="71" t="n"/>
      <x:c r="I38" s="71" t="n"/>
      <x:c r="J38" s="71" t="n"/>
      <x:c r="K38" s="71" t="n"/>
      <x:c r="L38" s="71" t="n"/>
      <x:c r="M38" s="71" t="n"/>
      <x:c r="N38" s="71" t="n"/>
      <x:c r="O38" s="71" t="n"/>
      <x:c r="P38" s="71" t="n"/>
      <x:c r="Q38" s="217" t="n"/>
      <x:c r="R38" s="71" t="n"/>
    </x:row>
    <x:row r="39">
      <x:c r="A39" s="57" t="inlineStr">
        <x:is>
          <x:t xml:space="preserve">FJ-034</x:t>
        </x:is>
      </x:c>
      <x:c r="B39" s="71" t="n"/>
      <x:c r="C39" s="75" t="str">
        <x:f>IF(B39="","",INDEX('Company Universe'!$B$6:$B$105,MATCH(B39,'Company Universe'!$A$6:$A$105,0)))</x:f>
      </x:c>
      <x:c r="D39" s="75" t="str">
        <x:f>IF(B39="","",INDEX('Company Universe'!$C$6:$C$105,MATCH(B39,'Company Universe'!$A$6:$A$105,0)))</x:f>
      </x:c>
      <x:c r="E39" s="206" t="n"/>
      <x:c r="F39" s="206" t="n"/>
      <x:c r="G39" s="206" t="n"/>
      <x:c r="H39" s="71" t="n"/>
      <x:c r="I39" s="71" t="n"/>
      <x:c r="J39" s="71" t="n"/>
      <x:c r="K39" s="71" t="n"/>
      <x:c r="L39" s="71" t="n"/>
      <x:c r="M39" s="71" t="n"/>
      <x:c r="N39" s="71" t="n"/>
      <x:c r="O39" s="71" t="n"/>
      <x:c r="P39" s="71" t="n"/>
      <x:c r="Q39" s="217" t="n"/>
      <x:c r="R39" s="71" t="n"/>
    </x:row>
    <x:row r="40">
      <x:c r="A40" s="57" t="inlineStr">
        <x:is>
          <x:t xml:space="preserve">FJ-035</x:t>
        </x:is>
      </x:c>
      <x:c r="B40" s="71" t="n"/>
      <x:c r="C40" s="75" t="str">
        <x:f>IF(B40="","",INDEX('Company Universe'!$B$6:$B$105,MATCH(B40,'Company Universe'!$A$6:$A$105,0)))</x:f>
      </x:c>
      <x:c r="D40" s="75" t="str">
        <x:f>IF(B40="","",INDEX('Company Universe'!$C$6:$C$105,MATCH(B40,'Company Universe'!$A$6:$A$105,0)))</x:f>
      </x:c>
      <x:c r="E40" s="206" t="n"/>
      <x:c r="F40" s="206" t="n"/>
      <x:c r="G40" s="206" t="n"/>
      <x:c r="H40" s="71" t="n"/>
      <x:c r="I40" s="71" t="n"/>
      <x:c r="J40" s="71" t="n"/>
      <x:c r="K40" s="71" t="n"/>
      <x:c r="L40" s="71" t="n"/>
      <x:c r="M40" s="71" t="n"/>
      <x:c r="N40" s="71" t="n"/>
      <x:c r="O40" s="71" t="n"/>
      <x:c r="P40" s="71" t="n"/>
      <x:c r="Q40" s="217" t="n"/>
      <x:c r="R40" s="71" t="n"/>
    </x:row>
    <x:row r="41">
      <x:c r="A41" s="57" t="inlineStr">
        <x:is>
          <x:t xml:space="preserve">FJ-036</x:t>
        </x:is>
      </x:c>
      <x:c r="B41" s="71" t="n"/>
      <x:c r="C41" s="75" t="str">
        <x:f>IF(B41="","",INDEX('Company Universe'!$B$6:$B$105,MATCH(B41,'Company Universe'!$A$6:$A$105,0)))</x:f>
      </x:c>
      <x:c r="D41" s="75" t="str">
        <x:f>IF(B41="","",INDEX('Company Universe'!$C$6:$C$105,MATCH(B41,'Company Universe'!$A$6:$A$105,0)))</x:f>
      </x:c>
      <x:c r="E41" s="206" t="n"/>
      <x:c r="F41" s="206" t="n"/>
      <x:c r="G41" s="206" t="n"/>
      <x:c r="H41" s="71" t="n"/>
      <x:c r="I41" s="71" t="n"/>
      <x:c r="J41" s="71" t="n"/>
      <x:c r="K41" s="71" t="n"/>
      <x:c r="L41" s="71" t="n"/>
      <x:c r="M41" s="71" t="n"/>
      <x:c r="N41" s="71" t="n"/>
      <x:c r="O41" s="71" t="n"/>
      <x:c r="P41" s="71" t="n"/>
      <x:c r="Q41" s="217" t="n"/>
      <x:c r="R41" s="71" t="n"/>
    </x:row>
    <x:row r="42">
      <x:c r="A42" s="57" t="inlineStr">
        <x:is>
          <x:t xml:space="preserve">FJ-037</x:t>
        </x:is>
      </x:c>
      <x:c r="B42" s="71" t="n"/>
      <x:c r="C42" s="75" t="str">
        <x:f>IF(B42="","",INDEX('Company Universe'!$B$6:$B$105,MATCH(B42,'Company Universe'!$A$6:$A$105,0)))</x:f>
      </x:c>
      <x:c r="D42" s="75" t="str">
        <x:f>IF(B42="","",INDEX('Company Universe'!$C$6:$C$105,MATCH(B42,'Company Universe'!$A$6:$A$105,0)))</x:f>
      </x:c>
      <x:c r="E42" s="206" t="n"/>
      <x:c r="F42" s="206" t="n"/>
      <x:c r="G42" s="206" t="n"/>
      <x:c r="H42" s="71" t="n"/>
      <x:c r="I42" s="71" t="n"/>
      <x:c r="J42" s="71" t="n"/>
      <x:c r="K42" s="71" t="n"/>
      <x:c r="L42" s="71" t="n"/>
      <x:c r="M42" s="71" t="n"/>
      <x:c r="N42" s="71" t="n"/>
      <x:c r="O42" s="71" t="n"/>
      <x:c r="P42" s="71" t="n"/>
      <x:c r="Q42" s="217" t="n"/>
      <x:c r="R42" s="71" t="n"/>
    </x:row>
    <x:row r="43">
      <x:c r="A43" s="57" t="inlineStr">
        <x:is>
          <x:t xml:space="preserve">FJ-038</x:t>
        </x:is>
      </x:c>
      <x:c r="B43" s="71" t="n"/>
      <x:c r="C43" s="75" t="str">
        <x:f>IF(B43="","",INDEX('Company Universe'!$B$6:$B$105,MATCH(B43,'Company Universe'!$A$6:$A$105,0)))</x:f>
      </x:c>
      <x:c r="D43" s="75" t="str">
        <x:f>IF(B43="","",INDEX('Company Universe'!$C$6:$C$105,MATCH(B43,'Company Universe'!$A$6:$A$105,0)))</x:f>
      </x:c>
      <x:c r="E43" s="206" t="n"/>
      <x:c r="F43" s="206" t="n"/>
      <x:c r="G43" s="206" t="n"/>
      <x:c r="H43" s="71" t="n"/>
      <x:c r="I43" s="71" t="n"/>
      <x:c r="J43" s="71" t="n"/>
      <x:c r="K43" s="71" t="n"/>
      <x:c r="L43" s="71" t="n"/>
      <x:c r="M43" s="71" t="n"/>
      <x:c r="N43" s="71" t="n"/>
      <x:c r="O43" s="71" t="n"/>
      <x:c r="P43" s="71" t="n"/>
      <x:c r="Q43" s="217" t="n"/>
      <x:c r="R43" s="71" t="n"/>
    </x:row>
    <x:row r="44">
      <x:c r="A44" s="57" t="inlineStr">
        <x:is>
          <x:t xml:space="preserve">FJ-039</x:t>
        </x:is>
      </x:c>
      <x:c r="B44" s="71" t="n"/>
      <x:c r="C44" s="75" t="str">
        <x:f>IF(B44="","",INDEX('Company Universe'!$B$6:$B$105,MATCH(B44,'Company Universe'!$A$6:$A$105,0)))</x:f>
      </x:c>
      <x:c r="D44" s="75" t="str">
        <x:f>IF(B44="","",INDEX('Company Universe'!$C$6:$C$105,MATCH(B44,'Company Universe'!$A$6:$A$105,0)))</x:f>
      </x:c>
      <x:c r="E44" s="206" t="n"/>
      <x:c r="F44" s="206" t="n"/>
      <x:c r="G44" s="206" t="n"/>
      <x:c r="H44" s="71" t="n"/>
      <x:c r="I44" s="71" t="n"/>
      <x:c r="J44" s="71" t="n"/>
      <x:c r="K44" s="71" t="n"/>
      <x:c r="L44" s="71" t="n"/>
      <x:c r="M44" s="71" t="n"/>
      <x:c r="N44" s="71" t="n"/>
      <x:c r="O44" s="71" t="n"/>
      <x:c r="P44" s="71" t="n"/>
      <x:c r="Q44" s="217" t="n"/>
      <x:c r="R44" s="71" t="n"/>
    </x:row>
    <x:row r="45">
      <x:c r="A45" s="57" t="inlineStr">
        <x:is>
          <x:t xml:space="preserve">FJ-040</x:t>
        </x:is>
      </x:c>
      <x:c r="B45" s="71" t="n"/>
      <x:c r="C45" s="75" t="str">
        <x:f>IF(B45="","",INDEX('Company Universe'!$B$6:$B$105,MATCH(B45,'Company Universe'!$A$6:$A$105,0)))</x:f>
      </x:c>
      <x:c r="D45" s="75" t="str">
        <x:f>IF(B45="","",INDEX('Company Universe'!$C$6:$C$105,MATCH(B45,'Company Universe'!$A$6:$A$105,0)))</x:f>
      </x:c>
      <x:c r="E45" s="206" t="n"/>
      <x:c r="F45" s="206" t="n"/>
      <x:c r="G45" s="206" t="n"/>
      <x:c r="H45" s="71" t="n"/>
      <x:c r="I45" s="71" t="n"/>
      <x:c r="J45" s="71" t="n"/>
      <x:c r="K45" s="71" t="n"/>
      <x:c r="L45" s="71" t="n"/>
      <x:c r="M45" s="71" t="n"/>
      <x:c r="N45" s="71" t="n"/>
      <x:c r="O45" s="71" t="n"/>
      <x:c r="P45" s="71" t="n"/>
      <x:c r="Q45" s="217" t="n"/>
      <x:c r="R45" s="71" t="n"/>
    </x:row>
    <x:row r="46">
      <x:c r="A46" s="57" t="inlineStr">
        <x:is>
          <x:t xml:space="preserve">FJ-041</x:t>
        </x:is>
      </x:c>
      <x:c r="B46" s="71" t="n"/>
      <x:c r="C46" s="75" t="str">
        <x:f>IF(B46="","",INDEX('Company Universe'!$B$6:$B$105,MATCH(B46,'Company Universe'!$A$6:$A$105,0)))</x:f>
      </x:c>
      <x:c r="D46" s="75" t="str">
        <x:f>IF(B46="","",INDEX('Company Universe'!$C$6:$C$105,MATCH(B46,'Company Universe'!$A$6:$A$105,0)))</x:f>
      </x:c>
      <x:c r="E46" s="206" t="n"/>
      <x:c r="F46" s="206" t="n"/>
      <x:c r="G46" s="206" t="n"/>
      <x:c r="H46" s="71" t="n"/>
      <x:c r="I46" s="71" t="n"/>
      <x:c r="J46" s="71" t="n"/>
      <x:c r="K46" s="71" t="n"/>
      <x:c r="L46" s="71" t="n"/>
      <x:c r="M46" s="71" t="n"/>
      <x:c r="N46" s="71" t="n"/>
      <x:c r="O46" s="71" t="n"/>
      <x:c r="P46" s="71" t="n"/>
      <x:c r="Q46" s="217" t="n"/>
      <x:c r="R46" s="71" t="n"/>
    </x:row>
    <x:row r="47">
      <x:c r="A47" s="57" t="inlineStr">
        <x:is>
          <x:t xml:space="preserve">FJ-042</x:t>
        </x:is>
      </x:c>
      <x:c r="B47" s="71" t="n"/>
      <x:c r="C47" s="75" t="str">
        <x:f>IF(B47="","",INDEX('Company Universe'!$B$6:$B$105,MATCH(B47,'Company Universe'!$A$6:$A$105,0)))</x:f>
      </x:c>
      <x:c r="D47" s="75" t="str">
        <x:f>IF(B47="","",INDEX('Company Universe'!$C$6:$C$105,MATCH(B47,'Company Universe'!$A$6:$A$105,0)))</x:f>
      </x:c>
      <x:c r="E47" s="206" t="n"/>
      <x:c r="F47" s="206" t="n"/>
      <x:c r="G47" s="206" t="n"/>
      <x:c r="H47" s="71" t="n"/>
      <x:c r="I47" s="71" t="n"/>
      <x:c r="J47" s="71" t="n"/>
      <x:c r="K47" s="71" t="n"/>
      <x:c r="L47" s="71" t="n"/>
      <x:c r="M47" s="71" t="n"/>
      <x:c r="N47" s="71" t="n"/>
      <x:c r="O47" s="71" t="n"/>
      <x:c r="P47" s="71" t="n"/>
      <x:c r="Q47" s="217" t="n"/>
      <x:c r="R47" s="71" t="n"/>
    </x:row>
    <x:row r="48">
      <x:c r="A48" s="57" t="inlineStr">
        <x:is>
          <x:t xml:space="preserve">FJ-043</x:t>
        </x:is>
      </x:c>
      <x:c r="B48" s="71" t="n"/>
      <x:c r="C48" s="75" t="str">
        <x:f>IF(B48="","",INDEX('Company Universe'!$B$6:$B$105,MATCH(B48,'Company Universe'!$A$6:$A$105,0)))</x:f>
      </x:c>
      <x:c r="D48" s="75" t="str">
        <x:f>IF(B48="","",INDEX('Company Universe'!$C$6:$C$105,MATCH(B48,'Company Universe'!$A$6:$A$105,0)))</x:f>
      </x:c>
      <x:c r="E48" s="206" t="n"/>
      <x:c r="F48" s="206" t="n"/>
      <x:c r="G48" s="206" t="n"/>
      <x:c r="H48" s="71" t="n"/>
      <x:c r="I48" s="71" t="n"/>
      <x:c r="J48" s="71" t="n"/>
      <x:c r="K48" s="71" t="n"/>
      <x:c r="L48" s="71" t="n"/>
      <x:c r="M48" s="71" t="n"/>
      <x:c r="N48" s="71" t="n"/>
      <x:c r="O48" s="71" t="n"/>
      <x:c r="P48" s="71" t="n"/>
      <x:c r="Q48" s="217" t="n"/>
      <x:c r="R48" s="71" t="n"/>
    </x:row>
    <x:row r="49">
      <x:c r="A49" s="57" t="inlineStr">
        <x:is>
          <x:t xml:space="preserve">FJ-044</x:t>
        </x:is>
      </x:c>
      <x:c r="B49" s="71" t="n"/>
      <x:c r="C49" s="75" t="str">
        <x:f>IF(B49="","",INDEX('Company Universe'!$B$6:$B$105,MATCH(B49,'Company Universe'!$A$6:$A$105,0)))</x:f>
      </x:c>
      <x:c r="D49" s="75" t="str">
        <x:f>IF(B49="","",INDEX('Company Universe'!$C$6:$C$105,MATCH(B49,'Company Universe'!$A$6:$A$105,0)))</x:f>
      </x:c>
      <x:c r="E49" s="206" t="n"/>
      <x:c r="F49" s="206" t="n"/>
      <x:c r="G49" s="206" t="n"/>
      <x:c r="H49" s="71" t="n"/>
      <x:c r="I49" s="71" t="n"/>
      <x:c r="J49" s="71" t="n"/>
      <x:c r="K49" s="71" t="n"/>
      <x:c r="L49" s="71" t="n"/>
      <x:c r="M49" s="71" t="n"/>
      <x:c r="N49" s="71" t="n"/>
      <x:c r="O49" s="71" t="n"/>
      <x:c r="P49" s="71" t="n"/>
      <x:c r="Q49" s="217" t="n"/>
      <x:c r="R49" s="71" t="n"/>
    </x:row>
    <x:row r="50">
      <x:c r="A50" s="57" t="inlineStr">
        <x:is>
          <x:t xml:space="preserve">FJ-045</x:t>
        </x:is>
      </x:c>
      <x:c r="B50" s="71" t="n"/>
      <x:c r="C50" s="75" t="str">
        <x:f>IF(B50="","",INDEX('Company Universe'!$B$6:$B$105,MATCH(B50,'Company Universe'!$A$6:$A$105,0)))</x:f>
      </x:c>
      <x:c r="D50" s="75" t="str">
        <x:f>IF(B50="","",INDEX('Company Universe'!$C$6:$C$105,MATCH(B50,'Company Universe'!$A$6:$A$105,0)))</x:f>
      </x:c>
      <x:c r="E50" s="206" t="n"/>
      <x:c r="F50" s="206" t="n"/>
      <x:c r="G50" s="206" t="n"/>
      <x:c r="H50" s="71" t="n"/>
      <x:c r="I50" s="71" t="n"/>
      <x:c r="J50" s="71" t="n"/>
      <x:c r="K50" s="71" t="n"/>
      <x:c r="L50" s="71" t="n"/>
      <x:c r="M50" s="71" t="n"/>
      <x:c r="N50" s="71" t="n"/>
      <x:c r="O50" s="71" t="n"/>
      <x:c r="P50" s="71" t="n"/>
      <x:c r="Q50" s="217" t="n"/>
      <x:c r="R50" s="71" t="n"/>
    </x:row>
    <x:row r="51">
      <x:c r="A51" s="57" t="inlineStr">
        <x:is>
          <x:t xml:space="preserve">FJ-046</x:t>
        </x:is>
      </x:c>
      <x:c r="B51" s="71" t="n"/>
      <x:c r="C51" s="75" t="str">
        <x:f>IF(B51="","",INDEX('Company Universe'!$B$6:$B$105,MATCH(B51,'Company Universe'!$A$6:$A$105,0)))</x:f>
      </x:c>
      <x:c r="D51" s="75" t="str">
        <x:f>IF(B51="","",INDEX('Company Universe'!$C$6:$C$105,MATCH(B51,'Company Universe'!$A$6:$A$105,0)))</x:f>
      </x:c>
      <x:c r="E51" s="206" t="n"/>
      <x:c r="F51" s="206" t="n"/>
      <x:c r="G51" s="206" t="n"/>
      <x:c r="H51" s="71" t="n"/>
      <x:c r="I51" s="71" t="n"/>
      <x:c r="J51" s="71" t="n"/>
      <x:c r="K51" s="71" t="n"/>
      <x:c r="L51" s="71" t="n"/>
      <x:c r="M51" s="71" t="n"/>
      <x:c r="N51" s="71" t="n"/>
      <x:c r="O51" s="71" t="n"/>
      <x:c r="P51" s="71" t="n"/>
      <x:c r="Q51" s="217" t="n"/>
      <x:c r="R51" s="71" t="n"/>
    </x:row>
    <x:row r="52">
      <x:c r="A52" s="57" t="inlineStr">
        <x:is>
          <x:t xml:space="preserve">FJ-047</x:t>
        </x:is>
      </x:c>
      <x:c r="B52" s="71" t="n"/>
      <x:c r="C52" s="75" t="str">
        <x:f>IF(B52="","",INDEX('Company Universe'!$B$6:$B$105,MATCH(B52,'Company Universe'!$A$6:$A$105,0)))</x:f>
      </x:c>
      <x:c r="D52" s="75" t="str">
        <x:f>IF(B52="","",INDEX('Company Universe'!$C$6:$C$105,MATCH(B52,'Company Universe'!$A$6:$A$105,0)))</x:f>
      </x:c>
      <x:c r="E52" s="206" t="n"/>
      <x:c r="F52" s="206" t="n"/>
      <x:c r="G52" s="206" t="n"/>
      <x:c r="H52" s="71" t="n"/>
      <x:c r="I52" s="71" t="n"/>
      <x:c r="J52" s="71" t="n"/>
      <x:c r="K52" s="71" t="n"/>
      <x:c r="L52" s="71" t="n"/>
      <x:c r="M52" s="71" t="n"/>
      <x:c r="N52" s="71" t="n"/>
      <x:c r="O52" s="71" t="n"/>
      <x:c r="P52" s="71" t="n"/>
      <x:c r="Q52" s="217" t="n"/>
      <x:c r="R52" s="71" t="n"/>
    </x:row>
    <x:row r="53">
      <x:c r="A53" s="57" t="inlineStr">
        <x:is>
          <x:t xml:space="preserve">FJ-048</x:t>
        </x:is>
      </x:c>
      <x:c r="B53" s="71" t="n"/>
      <x:c r="C53" s="75" t="str">
        <x:f>IF(B53="","",INDEX('Company Universe'!$B$6:$B$105,MATCH(B53,'Company Universe'!$A$6:$A$105,0)))</x:f>
      </x:c>
      <x:c r="D53" s="75" t="str">
        <x:f>IF(B53="","",INDEX('Company Universe'!$C$6:$C$105,MATCH(B53,'Company Universe'!$A$6:$A$105,0)))</x:f>
      </x:c>
      <x:c r="E53" s="206" t="n"/>
      <x:c r="F53" s="206" t="n"/>
      <x:c r="G53" s="206" t="n"/>
      <x:c r="H53" s="71" t="n"/>
      <x:c r="I53" s="71" t="n"/>
      <x:c r="J53" s="71" t="n"/>
      <x:c r="K53" s="71" t="n"/>
      <x:c r="L53" s="71" t="n"/>
      <x:c r="M53" s="71" t="n"/>
      <x:c r="N53" s="71" t="n"/>
      <x:c r="O53" s="71" t="n"/>
      <x:c r="P53" s="71" t="n"/>
      <x:c r="Q53" s="217" t="n"/>
      <x:c r="R53" s="71" t="n"/>
    </x:row>
    <x:row r="54">
      <x:c r="A54" s="57" t="inlineStr">
        <x:is>
          <x:t xml:space="preserve">FJ-049</x:t>
        </x:is>
      </x:c>
      <x:c r="B54" s="71" t="n"/>
      <x:c r="C54" s="75" t="str">
        <x:f>IF(B54="","",INDEX('Company Universe'!$B$6:$B$105,MATCH(B54,'Company Universe'!$A$6:$A$105,0)))</x:f>
      </x:c>
      <x:c r="D54" s="75" t="str">
        <x:f>IF(B54="","",INDEX('Company Universe'!$C$6:$C$105,MATCH(B54,'Company Universe'!$A$6:$A$105,0)))</x:f>
      </x:c>
      <x:c r="E54" s="206" t="n"/>
      <x:c r="F54" s="206" t="n"/>
      <x:c r="G54" s="206" t="n"/>
      <x:c r="H54" s="71" t="n"/>
      <x:c r="I54" s="71" t="n"/>
      <x:c r="J54" s="71" t="n"/>
      <x:c r="K54" s="71" t="n"/>
      <x:c r="L54" s="71" t="n"/>
      <x:c r="M54" s="71" t="n"/>
      <x:c r="N54" s="71" t="n"/>
      <x:c r="O54" s="71" t="n"/>
      <x:c r="P54" s="71" t="n"/>
      <x:c r="Q54" s="217" t="n"/>
      <x:c r="R54" s="71" t="n"/>
    </x:row>
    <x:row r="55">
      <x:c r="A55" s="57" t="inlineStr">
        <x:is>
          <x:t xml:space="preserve">FJ-050</x:t>
        </x:is>
      </x:c>
      <x:c r="B55" s="71" t="n"/>
      <x:c r="C55" s="75" t="str">
        <x:f>IF(B55="","",INDEX('Company Universe'!$B$6:$B$105,MATCH(B55,'Company Universe'!$A$6:$A$105,0)))</x:f>
      </x:c>
      <x:c r="D55" s="75" t="str">
        <x:f>IF(B55="","",INDEX('Company Universe'!$C$6:$C$105,MATCH(B55,'Company Universe'!$A$6:$A$105,0)))</x:f>
      </x:c>
      <x:c r="E55" s="206" t="n"/>
      <x:c r="F55" s="206" t="n"/>
      <x:c r="G55" s="206" t="n"/>
      <x:c r="H55" s="71" t="n"/>
      <x:c r="I55" s="71" t="n"/>
      <x:c r="J55" s="71" t="n"/>
      <x:c r="K55" s="71" t="n"/>
      <x:c r="L55" s="71" t="n"/>
      <x:c r="M55" s="71" t="n"/>
      <x:c r="N55" s="71" t="n"/>
      <x:c r="O55" s="71" t="n"/>
      <x:c r="P55" s="71" t="n"/>
      <x:c r="Q55" s="217" t="n"/>
      <x:c r="R55" s="71" t="n"/>
    </x:row>
    <x:row r="56">
      <x:c r="A56" s="57" t="inlineStr">
        <x:is>
          <x:t xml:space="preserve">FJ-051</x:t>
        </x:is>
      </x:c>
      <x:c r="B56" s="71" t="n"/>
      <x:c r="C56" s="75" t="str">
        <x:f>IF(B56="","",INDEX('Company Universe'!$B$6:$B$105,MATCH(B56,'Company Universe'!$A$6:$A$105,0)))</x:f>
      </x:c>
      <x:c r="D56" s="75" t="str">
        <x:f>IF(B56="","",INDEX('Company Universe'!$C$6:$C$105,MATCH(B56,'Company Universe'!$A$6:$A$105,0)))</x:f>
      </x:c>
      <x:c r="E56" s="206" t="n"/>
      <x:c r="F56" s="206" t="n"/>
      <x:c r="G56" s="206" t="n"/>
      <x:c r="H56" s="71" t="n"/>
      <x:c r="I56" s="71" t="n"/>
      <x:c r="J56" s="71" t="n"/>
      <x:c r="K56" s="71" t="n"/>
      <x:c r="L56" s="71" t="n"/>
      <x:c r="M56" s="71" t="n"/>
      <x:c r="N56" s="71" t="n"/>
      <x:c r="O56" s="71" t="n"/>
      <x:c r="P56" s="71" t="n"/>
      <x:c r="Q56" s="217" t="n"/>
      <x:c r="R56" s="71" t="n"/>
    </x:row>
    <x:row r="57">
      <x:c r="A57" s="57" t="inlineStr">
        <x:is>
          <x:t xml:space="preserve">FJ-052</x:t>
        </x:is>
      </x:c>
      <x:c r="B57" s="71" t="n"/>
      <x:c r="C57" s="75" t="str">
        <x:f>IF(B57="","",INDEX('Company Universe'!$B$6:$B$105,MATCH(B57,'Company Universe'!$A$6:$A$105,0)))</x:f>
      </x:c>
      <x:c r="D57" s="75" t="str">
        <x:f>IF(B57="","",INDEX('Company Universe'!$C$6:$C$105,MATCH(B57,'Company Universe'!$A$6:$A$105,0)))</x:f>
      </x:c>
      <x:c r="E57" s="206" t="n"/>
      <x:c r="F57" s="206" t="n"/>
      <x:c r="G57" s="206" t="n"/>
      <x:c r="H57" s="71" t="n"/>
      <x:c r="I57" s="71" t="n"/>
      <x:c r="J57" s="71" t="n"/>
      <x:c r="K57" s="71" t="n"/>
      <x:c r="L57" s="71" t="n"/>
      <x:c r="M57" s="71" t="n"/>
      <x:c r="N57" s="71" t="n"/>
      <x:c r="O57" s="71" t="n"/>
      <x:c r="P57" s="71" t="n"/>
      <x:c r="Q57" s="217" t="n"/>
      <x:c r="R57" s="71" t="n"/>
    </x:row>
    <x:row r="58">
      <x:c r="A58" s="57" t="inlineStr">
        <x:is>
          <x:t xml:space="preserve">FJ-053</x:t>
        </x:is>
      </x:c>
      <x:c r="B58" s="71" t="n"/>
      <x:c r="C58" s="75" t="str">
        <x:f>IF(B58="","",INDEX('Company Universe'!$B$6:$B$105,MATCH(B58,'Company Universe'!$A$6:$A$105,0)))</x:f>
      </x:c>
      <x:c r="D58" s="75" t="str">
        <x:f>IF(B58="","",INDEX('Company Universe'!$C$6:$C$105,MATCH(B58,'Company Universe'!$A$6:$A$105,0)))</x:f>
      </x:c>
      <x:c r="E58" s="206" t="n"/>
      <x:c r="F58" s="206" t="n"/>
      <x:c r="G58" s="206" t="n"/>
      <x:c r="H58" s="71" t="n"/>
      <x:c r="I58" s="71" t="n"/>
      <x:c r="J58" s="71" t="n"/>
      <x:c r="K58" s="71" t="n"/>
      <x:c r="L58" s="71" t="n"/>
      <x:c r="M58" s="71" t="n"/>
      <x:c r="N58" s="71" t="n"/>
      <x:c r="O58" s="71" t="n"/>
      <x:c r="P58" s="71" t="n"/>
      <x:c r="Q58" s="217" t="n"/>
      <x:c r="R58" s="71" t="n"/>
    </x:row>
    <x:row r="59">
      <x:c r="A59" s="57" t="inlineStr">
        <x:is>
          <x:t xml:space="preserve">FJ-054</x:t>
        </x:is>
      </x:c>
      <x:c r="B59" s="71" t="n"/>
      <x:c r="C59" s="75" t="str">
        <x:f>IF(B59="","",INDEX('Company Universe'!$B$6:$B$105,MATCH(B59,'Company Universe'!$A$6:$A$105,0)))</x:f>
      </x:c>
      <x:c r="D59" s="75" t="str">
        <x:f>IF(B59="","",INDEX('Company Universe'!$C$6:$C$105,MATCH(B59,'Company Universe'!$A$6:$A$105,0)))</x:f>
      </x:c>
      <x:c r="E59" s="206" t="n"/>
      <x:c r="F59" s="206" t="n"/>
      <x:c r="G59" s="206" t="n"/>
      <x:c r="H59" s="71" t="n"/>
      <x:c r="I59" s="71" t="n"/>
      <x:c r="J59" s="71" t="n"/>
      <x:c r="K59" s="71" t="n"/>
      <x:c r="L59" s="71" t="n"/>
      <x:c r="M59" s="71" t="n"/>
      <x:c r="N59" s="71" t="n"/>
      <x:c r="O59" s="71" t="n"/>
      <x:c r="P59" s="71" t="n"/>
      <x:c r="Q59" s="217" t="n"/>
      <x:c r="R59" s="71" t="n"/>
    </x:row>
    <x:row r="60">
      <x:c r="A60" s="57" t="inlineStr">
        <x:is>
          <x:t xml:space="preserve">FJ-055</x:t>
        </x:is>
      </x:c>
      <x:c r="B60" s="71" t="n"/>
      <x:c r="C60" s="75" t="str">
        <x:f>IF(B60="","",INDEX('Company Universe'!$B$6:$B$105,MATCH(B60,'Company Universe'!$A$6:$A$105,0)))</x:f>
      </x:c>
      <x:c r="D60" s="75" t="str">
        <x:f>IF(B60="","",INDEX('Company Universe'!$C$6:$C$105,MATCH(B60,'Company Universe'!$A$6:$A$105,0)))</x:f>
      </x:c>
      <x:c r="E60" s="206" t="n"/>
      <x:c r="F60" s="206" t="n"/>
      <x:c r="G60" s="206" t="n"/>
      <x:c r="H60" s="71" t="n"/>
      <x:c r="I60" s="71" t="n"/>
      <x:c r="J60" s="71" t="n"/>
      <x:c r="K60" s="71" t="n"/>
      <x:c r="L60" s="71" t="n"/>
      <x:c r="M60" s="71" t="n"/>
      <x:c r="N60" s="71" t="n"/>
      <x:c r="O60" s="71" t="n"/>
      <x:c r="P60" s="71" t="n"/>
      <x:c r="Q60" s="217" t="n"/>
      <x:c r="R60" s="71" t="n"/>
    </x:row>
    <x:row r="61">
      <x:c r="A61" s="57" t="inlineStr">
        <x:is>
          <x:t xml:space="preserve">FJ-056</x:t>
        </x:is>
      </x:c>
      <x:c r="B61" s="71" t="n"/>
      <x:c r="C61" s="75" t="str">
        <x:f>IF(B61="","",INDEX('Company Universe'!$B$6:$B$105,MATCH(B61,'Company Universe'!$A$6:$A$105,0)))</x:f>
      </x:c>
      <x:c r="D61" s="75" t="str">
        <x:f>IF(B61="","",INDEX('Company Universe'!$C$6:$C$105,MATCH(B61,'Company Universe'!$A$6:$A$105,0)))</x:f>
      </x:c>
      <x:c r="E61" s="206" t="n"/>
      <x:c r="F61" s="206" t="n"/>
      <x:c r="G61" s="206" t="n"/>
      <x:c r="H61" s="71" t="n"/>
      <x:c r="I61" s="71" t="n"/>
      <x:c r="J61" s="71" t="n"/>
      <x:c r="K61" s="71" t="n"/>
      <x:c r="L61" s="71" t="n"/>
      <x:c r="M61" s="71" t="n"/>
      <x:c r="N61" s="71" t="n"/>
      <x:c r="O61" s="71" t="n"/>
      <x:c r="P61" s="71" t="n"/>
      <x:c r="Q61" s="217" t="n"/>
      <x:c r="R61" s="71" t="n"/>
    </x:row>
    <x:row r="62">
      <x:c r="A62" s="57" t="inlineStr">
        <x:is>
          <x:t xml:space="preserve">FJ-057</x:t>
        </x:is>
      </x:c>
      <x:c r="B62" s="71" t="n"/>
      <x:c r="C62" s="75" t="str">
        <x:f>IF(B62="","",INDEX('Company Universe'!$B$6:$B$105,MATCH(B62,'Company Universe'!$A$6:$A$105,0)))</x:f>
      </x:c>
      <x:c r="D62" s="75" t="str">
        <x:f>IF(B62="","",INDEX('Company Universe'!$C$6:$C$105,MATCH(B62,'Company Universe'!$A$6:$A$105,0)))</x:f>
      </x:c>
      <x:c r="E62" s="206" t="n"/>
      <x:c r="F62" s="206" t="n"/>
      <x:c r="G62" s="206" t="n"/>
      <x:c r="H62" s="71" t="n"/>
      <x:c r="I62" s="71" t="n"/>
      <x:c r="J62" s="71" t="n"/>
      <x:c r="K62" s="71" t="n"/>
      <x:c r="L62" s="71" t="n"/>
      <x:c r="M62" s="71" t="n"/>
      <x:c r="N62" s="71" t="n"/>
      <x:c r="O62" s="71" t="n"/>
      <x:c r="P62" s="71" t="n"/>
      <x:c r="Q62" s="217" t="n"/>
      <x:c r="R62" s="71" t="n"/>
    </x:row>
    <x:row r="63">
      <x:c r="A63" s="57" t="inlineStr">
        <x:is>
          <x:t xml:space="preserve">FJ-058</x:t>
        </x:is>
      </x:c>
      <x:c r="B63" s="71" t="n"/>
      <x:c r="C63" s="75" t="str">
        <x:f>IF(B63="","",INDEX('Company Universe'!$B$6:$B$105,MATCH(B63,'Company Universe'!$A$6:$A$105,0)))</x:f>
      </x:c>
      <x:c r="D63" s="75" t="str">
        <x:f>IF(B63="","",INDEX('Company Universe'!$C$6:$C$105,MATCH(B63,'Company Universe'!$A$6:$A$105,0)))</x:f>
      </x:c>
      <x:c r="E63" s="206" t="n"/>
      <x:c r="F63" s="206" t="n"/>
      <x:c r="G63" s="206" t="n"/>
      <x:c r="H63" s="71" t="n"/>
      <x:c r="I63" s="71" t="n"/>
      <x:c r="J63" s="71" t="n"/>
      <x:c r="K63" s="71" t="n"/>
      <x:c r="L63" s="71" t="n"/>
      <x:c r="M63" s="71" t="n"/>
      <x:c r="N63" s="71" t="n"/>
      <x:c r="O63" s="71" t="n"/>
      <x:c r="P63" s="71" t="n"/>
      <x:c r="Q63" s="217" t="n"/>
      <x:c r="R63" s="71" t="n"/>
    </x:row>
    <x:row r="64">
      <x:c r="A64" s="57" t="inlineStr">
        <x:is>
          <x:t xml:space="preserve">FJ-059</x:t>
        </x:is>
      </x:c>
      <x:c r="B64" s="71" t="n"/>
      <x:c r="C64" s="75" t="str">
        <x:f>IF(B64="","",INDEX('Company Universe'!$B$6:$B$105,MATCH(B64,'Company Universe'!$A$6:$A$105,0)))</x:f>
      </x:c>
      <x:c r="D64" s="75" t="str">
        <x:f>IF(B64="","",INDEX('Company Universe'!$C$6:$C$105,MATCH(B64,'Company Universe'!$A$6:$A$105,0)))</x:f>
      </x:c>
      <x:c r="E64" s="206" t="n"/>
      <x:c r="F64" s="206" t="n"/>
      <x:c r="G64" s="206" t="n"/>
      <x:c r="H64" s="71" t="n"/>
      <x:c r="I64" s="71" t="n"/>
      <x:c r="J64" s="71" t="n"/>
      <x:c r="K64" s="71" t="n"/>
      <x:c r="L64" s="71" t="n"/>
      <x:c r="M64" s="71" t="n"/>
      <x:c r="N64" s="71" t="n"/>
      <x:c r="O64" s="71" t="n"/>
      <x:c r="P64" s="71" t="n"/>
      <x:c r="Q64" s="217" t="n"/>
      <x:c r="R64" s="71" t="n"/>
    </x:row>
    <x:row r="65">
      <x:c r="A65" s="57" t="inlineStr">
        <x:is>
          <x:t xml:space="preserve">FJ-060</x:t>
        </x:is>
      </x:c>
      <x:c r="B65" s="71" t="n"/>
      <x:c r="C65" s="75" t="str">
        <x:f>IF(B65="","",INDEX('Company Universe'!$B$6:$B$105,MATCH(B65,'Company Universe'!$A$6:$A$105,0)))</x:f>
      </x:c>
      <x:c r="D65" s="75" t="str">
        <x:f>IF(B65="","",INDEX('Company Universe'!$C$6:$C$105,MATCH(B65,'Company Universe'!$A$6:$A$105,0)))</x:f>
      </x:c>
      <x:c r="E65" s="206" t="n"/>
      <x:c r="F65" s="206" t="n"/>
      <x:c r="G65" s="206" t="n"/>
      <x:c r="H65" s="71" t="n"/>
      <x:c r="I65" s="71" t="n"/>
      <x:c r="J65" s="71" t="n"/>
      <x:c r="K65" s="71" t="n"/>
      <x:c r="L65" s="71" t="n"/>
      <x:c r="M65" s="71" t="n"/>
      <x:c r="N65" s="71" t="n"/>
      <x:c r="O65" s="71" t="n"/>
      <x:c r="P65" s="71" t="n"/>
      <x:c r="Q65" s="217" t="n"/>
      <x:c r="R65" s="71" t="n"/>
    </x:row>
    <x:row r="66">
      <x:c r="A66" s="57" t="inlineStr">
        <x:is>
          <x:t xml:space="preserve">FJ-061</x:t>
        </x:is>
      </x:c>
      <x:c r="B66" s="71" t="n"/>
      <x:c r="C66" s="75" t="str">
        <x:f>IF(B66="","",INDEX('Company Universe'!$B$6:$B$105,MATCH(B66,'Company Universe'!$A$6:$A$105,0)))</x:f>
      </x:c>
      <x:c r="D66" s="75" t="str">
        <x:f>IF(B66="","",INDEX('Company Universe'!$C$6:$C$105,MATCH(B66,'Company Universe'!$A$6:$A$105,0)))</x:f>
      </x:c>
      <x:c r="E66" s="206" t="n"/>
      <x:c r="F66" s="206" t="n"/>
      <x:c r="G66" s="206" t="n"/>
      <x:c r="H66" s="71" t="n"/>
      <x:c r="I66" s="71" t="n"/>
      <x:c r="J66" s="71" t="n"/>
      <x:c r="K66" s="71" t="n"/>
      <x:c r="L66" s="71" t="n"/>
      <x:c r="M66" s="71" t="n"/>
      <x:c r="N66" s="71" t="n"/>
      <x:c r="O66" s="71" t="n"/>
      <x:c r="P66" s="71" t="n"/>
      <x:c r="Q66" s="217" t="n"/>
      <x:c r="R66" s="71" t="n"/>
    </x:row>
    <x:row r="67">
      <x:c r="A67" s="57" t="inlineStr">
        <x:is>
          <x:t xml:space="preserve">FJ-062</x:t>
        </x:is>
      </x:c>
      <x:c r="B67" s="71" t="n"/>
      <x:c r="C67" s="75" t="str">
        <x:f>IF(B67="","",INDEX('Company Universe'!$B$6:$B$105,MATCH(B67,'Company Universe'!$A$6:$A$105,0)))</x:f>
      </x:c>
      <x:c r="D67" s="75" t="str">
        <x:f>IF(B67="","",INDEX('Company Universe'!$C$6:$C$105,MATCH(B67,'Company Universe'!$A$6:$A$105,0)))</x:f>
      </x:c>
      <x:c r="E67" s="206" t="n"/>
      <x:c r="F67" s="206" t="n"/>
      <x:c r="G67" s="206" t="n"/>
      <x:c r="H67" s="71" t="n"/>
      <x:c r="I67" s="71" t="n"/>
      <x:c r="J67" s="71" t="n"/>
      <x:c r="K67" s="71" t="n"/>
      <x:c r="L67" s="71" t="n"/>
      <x:c r="M67" s="71" t="n"/>
      <x:c r="N67" s="71" t="n"/>
      <x:c r="O67" s="71" t="n"/>
      <x:c r="P67" s="71" t="n"/>
      <x:c r="Q67" s="217" t="n"/>
      <x:c r="R67" s="71" t="n"/>
    </x:row>
    <x:row r="68">
      <x:c r="A68" s="57" t="inlineStr">
        <x:is>
          <x:t xml:space="preserve">FJ-063</x:t>
        </x:is>
      </x:c>
      <x:c r="B68" s="71" t="n"/>
      <x:c r="C68" s="75" t="str">
        <x:f>IF(B68="","",INDEX('Company Universe'!$B$6:$B$105,MATCH(B68,'Company Universe'!$A$6:$A$105,0)))</x:f>
      </x:c>
      <x:c r="D68" s="75" t="str">
        <x:f>IF(B68="","",INDEX('Company Universe'!$C$6:$C$105,MATCH(B68,'Company Universe'!$A$6:$A$105,0)))</x:f>
      </x:c>
      <x:c r="E68" s="206" t="n"/>
      <x:c r="F68" s="206" t="n"/>
      <x:c r="G68" s="206" t="n"/>
      <x:c r="H68" s="71" t="n"/>
      <x:c r="I68" s="71" t="n"/>
      <x:c r="J68" s="71" t="n"/>
      <x:c r="K68" s="71" t="n"/>
      <x:c r="L68" s="71" t="n"/>
      <x:c r="M68" s="71" t="n"/>
      <x:c r="N68" s="71" t="n"/>
      <x:c r="O68" s="71" t="n"/>
      <x:c r="P68" s="71" t="n"/>
      <x:c r="Q68" s="217" t="n"/>
      <x:c r="R68" s="71" t="n"/>
    </x:row>
    <x:row r="69">
      <x:c r="A69" s="57" t="inlineStr">
        <x:is>
          <x:t xml:space="preserve">FJ-064</x:t>
        </x:is>
      </x:c>
      <x:c r="B69" s="71" t="n"/>
      <x:c r="C69" s="75" t="str">
        <x:f>IF(B69="","",INDEX('Company Universe'!$B$6:$B$105,MATCH(B69,'Company Universe'!$A$6:$A$105,0)))</x:f>
      </x:c>
      <x:c r="D69" s="75" t="str">
        <x:f>IF(B69="","",INDEX('Company Universe'!$C$6:$C$105,MATCH(B69,'Company Universe'!$A$6:$A$105,0)))</x:f>
      </x:c>
      <x:c r="E69" s="206" t="n"/>
      <x:c r="F69" s="206" t="n"/>
      <x:c r="G69" s="206" t="n"/>
      <x:c r="H69" s="71" t="n"/>
      <x:c r="I69" s="71" t="n"/>
      <x:c r="J69" s="71" t="n"/>
      <x:c r="K69" s="71" t="n"/>
      <x:c r="L69" s="71" t="n"/>
      <x:c r="M69" s="71" t="n"/>
      <x:c r="N69" s="71" t="n"/>
      <x:c r="O69" s="71" t="n"/>
      <x:c r="P69" s="71" t="n"/>
      <x:c r="Q69" s="217" t="n"/>
      <x:c r="R69" s="71" t="n"/>
    </x:row>
    <x:row r="70">
      <x:c r="A70" s="57" t="inlineStr">
        <x:is>
          <x:t xml:space="preserve">FJ-065</x:t>
        </x:is>
      </x:c>
      <x:c r="B70" s="71" t="n"/>
      <x:c r="C70" s="75" t="str">
        <x:f>IF(B70="","",INDEX('Company Universe'!$B$6:$B$105,MATCH(B70,'Company Universe'!$A$6:$A$105,0)))</x:f>
      </x:c>
      <x:c r="D70" s="75" t="str">
        <x:f>IF(B70="","",INDEX('Company Universe'!$C$6:$C$105,MATCH(B70,'Company Universe'!$A$6:$A$105,0)))</x:f>
      </x:c>
      <x:c r="E70" s="206" t="n"/>
      <x:c r="F70" s="206" t="n"/>
      <x:c r="G70" s="206" t="n"/>
      <x:c r="H70" s="71" t="n"/>
      <x:c r="I70" s="71" t="n"/>
      <x:c r="J70" s="71" t="n"/>
      <x:c r="K70" s="71" t="n"/>
      <x:c r="L70" s="71" t="n"/>
      <x:c r="M70" s="71" t="n"/>
      <x:c r="N70" s="71" t="n"/>
      <x:c r="O70" s="71" t="n"/>
      <x:c r="P70" s="71" t="n"/>
      <x:c r="Q70" s="217" t="n"/>
      <x:c r="R70" s="71" t="n"/>
    </x:row>
    <x:row r="71">
      <x:c r="A71" s="57" t="inlineStr">
        <x:is>
          <x:t xml:space="preserve">FJ-066</x:t>
        </x:is>
      </x:c>
      <x:c r="B71" s="71" t="n"/>
      <x:c r="C71" s="75" t="str">
        <x:f>IF(B71="","",INDEX('Company Universe'!$B$6:$B$105,MATCH(B71,'Company Universe'!$A$6:$A$105,0)))</x:f>
      </x:c>
      <x:c r="D71" s="75" t="str">
        <x:f>IF(B71="","",INDEX('Company Universe'!$C$6:$C$105,MATCH(B71,'Company Universe'!$A$6:$A$105,0)))</x:f>
      </x:c>
      <x:c r="E71" s="206" t="n"/>
      <x:c r="F71" s="206" t="n"/>
      <x:c r="G71" s="206" t="n"/>
      <x:c r="H71" s="71" t="n"/>
      <x:c r="I71" s="71" t="n"/>
      <x:c r="J71" s="71" t="n"/>
      <x:c r="K71" s="71" t="n"/>
      <x:c r="L71" s="71" t="n"/>
      <x:c r="M71" s="71" t="n"/>
      <x:c r="N71" s="71" t="n"/>
      <x:c r="O71" s="71" t="n"/>
      <x:c r="P71" s="71" t="n"/>
      <x:c r="Q71" s="217" t="n"/>
      <x:c r="R71" s="71" t="n"/>
    </x:row>
    <x:row r="72">
      <x:c r="A72" s="57" t="inlineStr">
        <x:is>
          <x:t xml:space="preserve">FJ-067</x:t>
        </x:is>
      </x:c>
      <x:c r="B72" s="71" t="n"/>
      <x:c r="C72" s="75" t="str">
        <x:f>IF(B72="","",INDEX('Company Universe'!$B$6:$B$105,MATCH(B72,'Company Universe'!$A$6:$A$105,0)))</x:f>
      </x:c>
      <x:c r="D72" s="75" t="str">
        <x:f>IF(B72="","",INDEX('Company Universe'!$C$6:$C$105,MATCH(B72,'Company Universe'!$A$6:$A$105,0)))</x:f>
      </x:c>
      <x:c r="E72" s="206" t="n"/>
      <x:c r="F72" s="206" t="n"/>
      <x:c r="G72" s="206" t="n"/>
      <x:c r="H72" s="71" t="n"/>
      <x:c r="I72" s="71" t="n"/>
      <x:c r="J72" s="71" t="n"/>
      <x:c r="K72" s="71" t="n"/>
      <x:c r="L72" s="71" t="n"/>
      <x:c r="M72" s="71" t="n"/>
      <x:c r="N72" s="71" t="n"/>
      <x:c r="O72" s="71" t="n"/>
      <x:c r="P72" s="71" t="n"/>
      <x:c r="Q72" s="217" t="n"/>
      <x:c r="R72" s="71" t="n"/>
    </x:row>
    <x:row r="73">
      <x:c r="A73" s="57" t="inlineStr">
        <x:is>
          <x:t xml:space="preserve">FJ-068</x:t>
        </x:is>
      </x:c>
      <x:c r="B73" s="71" t="n"/>
      <x:c r="C73" s="75" t="str">
        <x:f>IF(B73="","",INDEX('Company Universe'!$B$6:$B$105,MATCH(B73,'Company Universe'!$A$6:$A$105,0)))</x:f>
      </x:c>
      <x:c r="D73" s="75" t="str">
        <x:f>IF(B73="","",INDEX('Company Universe'!$C$6:$C$105,MATCH(B73,'Company Universe'!$A$6:$A$105,0)))</x:f>
      </x:c>
      <x:c r="E73" s="206" t="n"/>
      <x:c r="F73" s="206" t="n"/>
      <x:c r="G73" s="206" t="n"/>
      <x:c r="H73" s="71" t="n"/>
      <x:c r="I73" s="71" t="n"/>
      <x:c r="J73" s="71" t="n"/>
      <x:c r="K73" s="71" t="n"/>
      <x:c r="L73" s="71" t="n"/>
      <x:c r="M73" s="71" t="n"/>
      <x:c r="N73" s="71" t="n"/>
      <x:c r="O73" s="71" t="n"/>
      <x:c r="P73" s="71" t="n"/>
      <x:c r="Q73" s="217" t="n"/>
      <x:c r="R73" s="71" t="n"/>
    </x:row>
    <x:row r="74">
      <x:c r="A74" s="57" t="inlineStr">
        <x:is>
          <x:t xml:space="preserve">FJ-069</x:t>
        </x:is>
      </x:c>
      <x:c r="B74" s="71" t="n"/>
      <x:c r="C74" s="75" t="str">
        <x:f>IF(B74="","",INDEX('Company Universe'!$B$6:$B$105,MATCH(B74,'Company Universe'!$A$6:$A$105,0)))</x:f>
      </x:c>
      <x:c r="D74" s="75" t="str">
        <x:f>IF(B74="","",INDEX('Company Universe'!$C$6:$C$105,MATCH(B74,'Company Universe'!$A$6:$A$105,0)))</x:f>
      </x:c>
      <x:c r="E74" s="206" t="n"/>
      <x:c r="F74" s="206" t="n"/>
      <x:c r="G74" s="206" t="n"/>
      <x:c r="H74" s="71" t="n"/>
      <x:c r="I74" s="71" t="n"/>
      <x:c r="J74" s="71" t="n"/>
      <x:c r="K74" s="71" t="n"/>
      <x:c r="L74" s="71" t="n"/>
      <x:c r="M74" s="71" t="n"/>
      <x:c r="N74" s="71" t="n"/>
      <x:c r="O74" s="71" t="n"/>
      <x:c r="P74" s="71" t="n"/>
      <x:c r="Q74" s="217" t="n"/>
      <x:c r="R74" s="71" t="n"/>
    </x:row>
    <x:row r="75">
      <x:c r="A75" s="57" t="inlineStr">
        <x:is>
          <x:t xml:space="preserve">FJ-070</x:t>
        </x:is>
      </x:c>
      <x:c r="B75" s="71" t="n"/>
      <x:c r="C75" s="75" t="str">
        <x:f>IF(B75="","",INDEX('Company Universe'!$B$6:$B$105,MATCH(B75,'Company Universe'!$A$6:$A$105,0)))</x:f>
      </x:c>
      <x:c r="D75" s="75" t="str">
        <x:f>IF(B75="","",INDEX('Company Universe'!$C$6:$C$105,MATCH(B75,'Company Universe'!$A$6:$A$105,0)))</x:f>
      </x:c>
      <x:c r="E75" s="206" t="n"/>
      <x:c r="F75" s="206" t="n"/>
      <x:c r="G75" s="206" t="n"/>
      <x:c r="H75" s="71" t="n"/>
      <x:c r="I75" s="71" t="n"/>
      <x:c r="J75" s="71" t="n"/>
      <x:c r="K75" s="71" t="n"/>
      <x:c r="L75" s="71" t="n"/>
      <x:c r="M75" s="71" t="n"/>
      <x:c r="N75" s="71" t="n"/>
      <x:c r="O75" s="71" t="n"/>
      <x:c r="P75" s="71" t="n"/>
      <x:c r="Q75" s="217" t="n"/>
      <x:c r="R75" s="71" t="n"/>
    </x:row>
    <x:row r="76">
      <x:c r="A76" s="57" t="inlineStr">
        <x:is>
          <x:t xml:space="preserve">FJ-071</x:t>
        </x:is>
      </x:c>
      <x:c r="B76" s="71" t="n"/>
      <x:c r="C76" s="75" t="str">
        <x:f>IF(B76="","",INDEX('Company Universe'!$B$6:$B$105,MATCH(B76,'Company Universe'!$A$6:$A$105,0)))</x:f>
      </x:c>
      <x:c r="D76" s="75" t="str">
        <x:f>IF(B76="","",INDEX('Company Universe'!$C$6:$C$105,MATCH(B76,'Company Universe'!$A$6:$A$105,0)))</x:f>
      </x:c>
      <x:c r="E76" s="206" t="n"/>
      <x:c r="F76" s="206" t="n"/>
      <x:c r="G76" s="206" t="n"/>
      <x:c r="H76" s="71" t="n"/>
      <x:c r="I76" s="71" t="n"/>
      <x:c r="J76" s="71" t="n"/>
      <x:c r="K76" s="71" t="n"/>
      <x:c r="L76" s="71" t="n"/>
      <x:c r="M76" s="71" t="n"/>
      <x:c r="N76" s="71" t="n"/>
      <x:c r="O76" s="71" t="n"/>
      <x:c r="P76" s="71" t="n"/>
      <x:c r="Q76" s="217" t="n"/>
      <x:c r="R76" s="71" t="n"/>
    </x:row>
    <x:row r="77">
      <x:c r="A77" s="57" t="inlineStr">
        <x:is>
          <x:t xml:space="preserve">FJ-072</x:t>
        </x:is>
      </x:c>
      <x:c r="B77" s="71" t="n"/>
      <x:c r="C77" s="75" t="str">
        <x:f>IF(B77="","",INDEX('Company Universe'!$B$6:$B$105,MATCH(B77,'Company Universe'!$A$6:$A$105,0)))</x:f>
      </x:c>
      <x:c r="D77" s="75" t="str">
        <x:f>IF(B77="","",INDEX('Company Universe'!$C$6:$C$105,MATCH(B77,'Company Universe'!$A$6:$A$105,0)))</x:f>
      </x:c>
      <x:c r="E77" s="206" t="n"/>
      <x:c r="F77" s="206" t="n"/>
      <x:c r="G77" s="206" t="n"/>
      <x:c r="H77" s="71" t="n"/>
      <x:c r="I77" s="71" t="n"/>
      <x:c r="J77" s="71" t="n"/>
      <x:c r="K77" s="71" t="n"/>
      <x:c r="L77" s="71" t="n"/>
      <x:c r="M77" s="71" t="n"/>
      <x:c r="N77" s="71" t="n"/>
      <x:c r="O77" s="71" t="n"/>
      <x:c r="P77" s="71" t="n"/>
      <x:c r="Q77" s="217" t="n"/>
      <x:c r="R77" s="71" t="n"/>
    </x:row>
    <x:row r="78">
      <x:c r="A78" s="57" t="inlineStr">
        <x:is>
          <x:t xml:space="preserve">FJ-073</x:t>
        </x:is>
      </x:c>
      <x:c r="B78" s="71" t="n"/>
      <x:c r="C78" s="75" t="str">
        <x:f>IF(B78="","",INDEX('Company Universe'!$B$6:$B$105,MATCH(B78,'Company Universe'!$A$6:$A$105,0)))</x:f>
      </x:c>
      <x:c r="D78" s="75" t="str">
        <x:f>IF(B78="","",INDEX('Company Universe'!$C$6:$C$105,MATCH(B78,'Company Universe'!$A$6:$A$105,0)))</x:f>
      </x:c>
      <x:c r="E78" s="206" t="n"/>
      <x:c r="F78" s="206" t="n"/>
      <x:c r="G78" s="206" t="n"/>
      <x:c r="H78" s="71" t="n"/>
      <x:c r="I78" s="71" t="n"/>
      <x:c r="J78" s="71" t="n"/>
      <x:c r="K78" s="71" t="n"/>
      <x:c r="L78" s="71" t="n"/>
      <x:c r="M78" s="71" t="n"/>
      <x:c r="N78" s="71" t="n"/>
      <x:c r="O78" s="71" t="n"/>
      <x:c r="P78" s="71" t="n"/>
      <x:c r="Q78" s="217" t="n"/>
      <x:c r="R78" s="71" t="n"/>
    </x:row>
    <x:row r="79">
      <x:c r="A79" s="57" t="inlineStr">
        <x:is>
          <x:t xml:space="preserve">FJ-074</x:t>
        </x:is>
      </x:c>
      <x:c r="B79" s="71" t="n"/>
      <x:c r="C79" s="75" t="str">
        <x:f>IF(B79="","",INDEX('Company Universe'!$B$6:$B$105,MATCH(B79,'Company Universe'!$A$6:$A$105,0)))</x:f>
      </x:c>
      <x:c r="D79" s="75" t="str">
        <x:f>IF(B79="","",INDEX('Company Universe'!$C$6:$C$105,MATCH(B79,'Company Universe'!$A$6:$A$105,0)))</x:f>
      </x:c>
      <x:c r="E79" s="206" t="n"/>
      <x:c r="F79" s="206" t="n"/>
      <x:c r="G79" s="206" t="n"/>
      <x:c r="H79" s="71" t="n"/>
      <x:c r="I79" s="71" t="n"/>
      <x:c r="J79" s="71" t="n"/>
      <x:c r="K79" s="71" t="n"/>
      <x:c r="L79" s="71" t="n"/>
      <x:c r="M79" s="71" t="n"/>
      <x:c r="N79" s="71" t="n"/>
      <x:c r="O79" s="71" t="n"/>
      <x:c r="P79" s="71" t="n"/>
      <x:c r="Q79" s="217" t="n"/>
      <x:c r="R79" s="71" t="n"/>
    </x:row>
    <x:row r="80">
      <x:c r="A80" s="57" t="inlineStr">
        <x:is>
          <x:t xml:space="preserve">FJ-075</x:t>
        </x:is>
      </x:c>
      <x:c r="B80" s="71" t="n"/>
      <x:c r="C80" s="75" t="str">
        <x:f>IF(B80="","",INDEX('Company Universe'!$B$6:$B$105,MATCH(B80,'Company Universe'!$A$6:$A$105,0)))</x:f>
      </x:c>
      <x:c r="D80" s="75" t="str">
        <x:f>IF(B80="","",INDEX('Company Universe'!$C$6:$C$105,MATCH(B80,'Company Universe'!$A$6:$A$105,0)))</x:f>
      </x:c>
      <x:c r="E80" s="206" t="n"/>
      <x:c r="F80" s="206" t="n"/>
      <x:c r="G80" s="206" t="n"/>
      <x:c r="H80" s="71" t="n"/>
      <x:c r="I80" s="71" t="n"/>
      <x:c r="J80" s="71" t="n"/>
      <x:c r="K80" s="71" t="n"/>
      <x:c r="L80" s="71" t="n"/>
      <x:c r="M80" s="71" t="n"/>
      <x:c r="N80" s="71" t="n"/>
      <x:c r="O80" s="71" t="n"/>
      <x:c r="P80" s="71" t="n"/>
      <x:c r="Q80" s="217" t="n"/>
      <x:c r="R80" s="71" t="n"/>
    </x:row>
    <x:row r="81">
      <x:c r="A81" s="57" t="inlineStr">
        <x:is>
          <x:t xml:space="preserve">FJ-076</x:t>
        </x:is>
      </x:c>
      <x:c r="B81" s="71" t="n"/>
      <x:c r="C81" s="75" t="str">
        <x:f>IF(B81="","",INDEX('Company Universe'!$B$6:$B$105,MATCH(B81,'Company Universe'!$A$6:$A$105,0)))</x:f>
      </x:c>
      <x:c r="D81" s="75" t="str">
        <x:f>IF(B81="","",INDEX('Company Universe'!$C$6:$C$105,MATCH(B81,'Company Universe'!$A$6:$A$105,0)))</x:f>
      </x:c>
      <x:c r="E81" s="206" t="n"/>
      <x:c r="F81" s="206" t="n"/>
      <x:c r="G81" s="206" t="n"/>
      <x:c r="H81" s="71" t="n"/>
      <x:c r="I81" s="71" t="n"/>
      <x:c r="J81" s="71" t="n"/>
      <x:c r="K81" s="71" t="n"/>
      <x:c r="L81" s="71" t="n"/>
      <x:c r="M81" s="71" t="n"/>
      <x:c r="N81" s="71" t="n"/>
      <x:c r="O81" s="71" t="n"/>
      <x:c r="P81" s="71" t="n"/>
      <x:c r="Q81" s="217" t="n"/>
      <x:c r="R81" s="71" t="n"/>
    </x:row>
    <x:row r="82">
      <x:c r="A82" s="57" t="inlineStr">
        <x:is>
          <x:t xml:space="preserve">FJ-077</x:t>
        </x:is>
      </x:c>
      <x:c r="B82" s="71" t="n"/>
      <x:c r="C82" s="75" t="str">
        <x:f>IF(B82="","",INDEX('Company Universe'!$B$6:$B$105,MATCH(B82,'Company Universe'!$A$6:$A$105,0)))</x:f>
      </x:c>
      <x:c r="D82" s="75" t="str">
        <x:f>IF(B82="","",INDEX('Company Universe'!$C$6:$C$105,MATCH(B82,'Company Universe'!$A$6:$A$105,0)))</x:f>
      </x:c>
      <x:c r="E82" s="206" t="n"/>
      <x:c r="F82" s="206" t="n"/>
      <x:c r="G82" s="206" t="n"/>
      <x:c r="H82" s="71" t="n"/>
      <x:c r="I82" s="71" t="n"/>
      <x:c r="J82" s="71" t="n"/>
      <x:c r="K82" s="71" t="n"/>
      <x:c r="L82" s="71" t="n"/>
      <x:c r="M82" s="71" t="n"/>
      <x:c r="N82" s="71" t="n"/>
      <x:c r="O82" s="71" t="n"/>
      <x:c r="P82" s="71" t="n"/>
      <x:c r="Q82" s="217" t="n"/>
      <x:c r="R82" s="71" t="n"/>
    </x:row>
    <x:row r="83">
      <x:c r="A83" s="57" t="inlineStr">
        <x:is>
          <x:t xml:space="preserve">FJ-078</x:t>
        </x:is>
      </x:c>
      <x:c r="B83" s="71" t="n"/>
      <x:c r="C83" s="75" t="str">
        <x:f>IF(B83="","",INDEX('Company Universe'!$B$6:$B$105,MATCH(B83,'Company Universe'!$A$6:$A$105,0)))</x:f>
      </x:c>
      <x:c r="D83" s="75" t="str">
        <x:f>IF(B83="","",INDEX('Company Universe'!$C$6:$C$105,MATCH(B83,'Company Universe'!$A$6:$A$105,0)))</x:f>
      </x:c>
      <x:c r="E83" s="206" t="n"/>
      <x:c r="F83" s="206" t="n"/>
      <x:c r="G83" s="206" t="n"/>
      <x:c r="H83" s="71" t="n"/>
      <x:c r="I83" s="71" t="n"/>
      <x:c r="J83" s="71" t="n"/>
      <x:c r="K83" s="71" t="n"/>
      <x:c r="L83" s="71" t="n"/>
      <x:c r="M83" s="71" t="n"/>
      <x:c r="N83" s="71" t="n"/>
      <x:c r="O83" s="71" t="n"/>
      <x:c r="P83" s="71" t="n"/>
      <x:c r="Q83" s="217" t="n"/>
      <x:c r="R83" s="71" t="n"/>
    </x:row>
    <x:row r="84">
      <x:c r="A84" s="57" t="inlineStr">
        <x:is>
          <x:t xml:space="preserve">FJ-079</x:t>
        </x:is>
      </x:c>
      <x:c r="B84" s="71" t="n"/>
      <x:c r="C84" s="75" t="str">
        <x:f>IF(B84="","",INDEX('Company Universe'!$B$6:$B$105,MATCH(B84,'Company Universe'!$A$6:$A$105,0)))</x:f>
      </x:c>
      <x:c r="D84" s="75" t="str">
        <x:f>IF(B84="","",INDEX('Company Universe'!$C$6:$C$105,MATCH(B84,'Company Universe'!$A$6:$A$105,0)))</x:f>
      </x:c>
      <x:c r="E84" s="206" t="n"/>
      <x:c r="F84" s="206" t="n"/>
      <x:c r="G84" s="206" t="n"/>
      <x:c r="H84" s="71" t="n"/>
      <x:c r="I84" s="71" t="n"/>
      <x:c r="J84" s="71" t="n"/>
      <x:c r="K84" s="71" t="n"/>
      <x:c r="L84" s="71" t="n"/>
      <x:c r="M84" s="71" t="n"/>
      <x:c r="N84" s="71" t="n"/>
      <x:c r="O84" s="71" t="n"/>
      <x:c r="P84" s="71" t="n"/>
      <x:c r="Q84" s="217" t="n"/>
      <x:c r="R84" s="71" t="n"/>
    </x:row>
    <x:row r="85">
      <x:c r="A85" s="57" t="inlineStr">
        <x:is>
          <x:t xml:space="preserve">FJ-080</x:t>
        </x:is>
      </x:c>
      <x:c r="B85" s="71" t="n"/>
      <x:c r="C85" s="75" t="str">
        <x:f>IF(B85="","",INDEX('Company Universe'!$B$6:$B$105,MATCH(B85,'Company Universe'!$A$6:$A$105,0)))</x:f>
      </x:c>
      <x:c r="D85" s="75" t="str">
        <x:f>IF(B85="","",INDEX('Company Universe'!$C$6:$C$105,MATCH(B85,'Company Universe'!$A$6:$A$105,0)))</x:f>
      </x:c>
      <x:c r="E85" s="206" t="n"/>
      <x:c r="F85" s="206" t="n"/>
      <x:c r="G85" s="206" t="n"/>
      <x:c r="H85" s="71" t="n"/>
      <x:c r="I85" s="71" t="n"/>
      <x:c r="J85" s="71" t="n"/>
      <x:c r="K85" s="71" t="n"/>
      <x:c r="L85" s="71" t="n"/>
      <x:c r="M85" s="71" t="n"/>
      <x:c r="N85" s="71" t="n"/>
      <x:c r="O85" s="71" t="n"/>
      <x:c r="P85" s="71" t="n"/>
      <x:c r="Q85" s="217" t="n"/>
      <x:c r="R85" s="71" t="n"/>
    </x:row>
    <x:row r="86">
      <x:c r="A86" s="57" t="inlineStr">
        <x:is>
          <x:t xml:space="preserve">FJ-081</x:t>
        </x:is>
      </x:c>
      <x:c r="B86" s="71" t="n"/>
      <x:c r="C86" s="75" t="str">
        <x:f>IF(B86="","",INDEX('Company Universe'!$B$6:$B$105,MATCH(B86,'Company Universe'!$A$6:$A$105,0)))</x:f>
      </x:c>
      <x:c r="D86" s="75" t="str">
        <x:f>IF(B86="","",INDEX('Company Universe'!$C$6:$C$105,MATCH(B86,'Company Universe'!$A$6:$A$105,0)))</x:f>
      </x:c>
      <x:c r="E86" s="206" t="n"/>
      <x:c r="F86" s="206" t="n"/>
      <x:c r="G86" s="206" t="n"/>
      <x:c r="H86" s="71" t="n"/>
      <x:c r="I86" s="71" t="n"/>
      <x:c r="J86" s="71" t="n"/>
      <x:c r="K86" s="71" t="n"/>
      <x:c r="L86" s="71" t="n"/>
      <x:c r="M86" s="71" t="n"/>
      <x:c r="N86" s="71" t="n"/>
      <x:c r="O86" s="71" t="n"/>
      <x:c r="P86" s="71" t="n"/>
      <x:c r="Q86" s="217" t="n"/>
      <x:c r="R86" s="71" t="n"/>
    </x:row>
    <x:row r="87">
      <x:c r="A87" s="57" t="inlineStr">
        <x:is>
          <x:t xml:space="preserve">FJ-082</x:t>
        </x:is>
      </x:c>
      <x:c r="B87" s="71" t="n"/>
      <x:c r="C87" s="75" t="str">
        <x:f>IF(B87="","",INDEX('Company Universe'!$B$6:$B$105,MATCH(B87,'Company Universe'!$A$6:$A$105,0)))</x:f>
      </x:c>
      <x:c r="D87" s="75" t="str">
        <x:f>IF(B87="","",INDEX('Company Universe'!$C$6:$C$105,MATCH(B87,'Company Universe'!$A$6:$A$105,0)))</x:f>
      </x:c>
      <x:c r="E87" s="206" t="n"/>
      <x:c r="F87" s="206" t="n"/>
      <x:c r="G87" s="206" t="n"/>
      <x:c r="H87" s="71" t="n"/>
      <x:c r="I87" s="71" t="n"/>
      <x:c r="J87" s="71" t="n"/>
      <x:c r="K87" s="71" t="n"/>
      <x:c r="L87" s="71" t="n"/>
      <x:c r="M87" s="71" t="n"/>
      <x:c r="N87" s="71" t="n"/>
      <x:c r="O87" s="71" t="n"/>
      <x:c r="P87" s="71" t="n"/>
      <x:c r="Q87" s="217" t="n"/>
      <x:c r="R87" s="71" t="n"/>
    </x:row>
    <x:row r="88">
      <x:c r="A88" s="57" t="inlineStr">
        <x:is>
          <x:t xml:space="preserve">FJ-083</x:t>
        </x:is>
      </x:c>
      <x:c r="B88" s="71" t="n"/>
      <x:c r="C88" s="75" t="str">
        <x:f>IF(B88="","",INDEX('Company Universe'!$B$6:$B$105,MATCH(B88,'Company Universe'!$A$6:$A$105,0)))</x:f>
      </x:c>
      <x:c r="D88" s="75" t="str">
        <x:f>IF(B88="","",INDEX('Company Universe'!$C$6:$C$105,MATCH(B88,'Company Universe'!$A$6:$A$105,0)))</x:f>
      </x:c>
      <x:c r="E88" s="206" t="n"/>
      <x:c r="F88" s="206" t="n"/>
      <x:c r="G88" s="206" t="n"/>
      <x:c r="H88" s="71" t="n"/>
      <x:c r="I88" s="71" t="n"/>
      <x:c r="J88" s="71" t="n"/>
      <x:c r="K88" s="71" t="n"/>
      <x:c r="L88" s="71" t="n"/>
      <x:c r="M88" s="71" t="n"/>
      <x:c r="N88" s="71" t="n"/>
      <x:c r="O88" s="71" t="n"/>
      <x:c r="P88" s="71" t="n"/>
      <x:c r="Q88" s="217" t="n"/>
      <x:c r="R88" s="71" t="n"/>
    </x:row>
    <x:row r="89">
      <x:c r="A89" s="57" t="inlineStr">
        <x:is>
          <x:t xml:space="preserve">FJ-084</x:t>
        </x:is>
      </x:c>
      <x:c r="B89" s="71" t="n"/>
      <x:c r="C89" s="75" t="str">
        <x:f>IF(B89="","",INDEX('Company Universe'!$B$6:$B$105,MATCH(B89,'Company Universe'!$A$6:$A$105,0)))</x:f>
      </x:c>
      <x:c r="D89" s="75" t="str">
        <x:f>IF(B89="","",INDEX('Company Universe'!$C$6:$C$105,MATCH(B89,'Company Universe'!$A$6:$A$105,0)))</x:f>
      </x:c>
      <x:c r="E89" s="206" t="n"/>
      <x:c r="F89" s="206" t="n"/>
      <x:c r="G89" s="206" t="n"/>
      <x:c r="H89" s="71" t="n"/>
      <x:c r="I89" s="71" t="n"/>
      <x:c r="J89" s="71" t="n"/>
      <x:c r="K89" s="71" t="n"/>
      <x:c r="L89" s="71" t="n"/>
      <x:c r="M89" s="71" t="n"/>
      <x:c r="N89" s="71" t="n"/>
      <x:c r="O89" s="71" t="n"/>
      <x:c r="P89" s="71" t="n"/>
      <x:c r="Q89" s="217" t="n"/>
      <x:c r="R89" s="71" t="n"/>
    </x:row>
    <x:row r="90">
      <x:c r="A90" s="57" t="inlineStr">
        <x:is>
          <x:t xml:space="preserve">FJ-085</x:t>
        </x:is>
      </x:c>
      <x:c r="B90" s="71" t="n"/>
      <x:c r="C90" s="75" t="str">
        <x:f>IF(B90="","",INDEX('Company Universe'!$B$6:$B$105,MATCH(B90,'Company Universe'!$A$6:$A$105,0)))</x:f>
      </x:c>
      <x:c r="D90" s="75" t="str">
        <x:f>IF(B90="","",INDEX('Company Universe'!$C$6:$C$105,MATCH(B90,'Company Universe'!$A$6:$A$105,0)))</x:f>
      </x:c>
      <x:c r="E90" s="206" t="n"/>
      <x:c r="F90" s="206" t="n"/>
      <x:c r="G90" s="206" t="n"/>
      <x:c r="H90" s="71" t="n"/>
      <x:c r="I90" s="71" t="n"/>
      <x:c r="J90" s="71" t="n"/>
      <x:c r="K90" s="71" t="n"/>
      <x:c r="L90" s="71" t="n"/>
      <x:c r="M90" s="71" t="n"/>
      <x:c r="N90" s="71" t="n"/>
      <x:c r="O90" s="71" t="n"/>
      <x:c r="P90" s="71" t="n"/>
      <x:c r="Q90" s="217" t="n"/>
      <x:c r="R90" s="71" t="n"/>
    </x:row>
    <x:row r="91">
      <x:c r="A91" s="57" t="inlineStr">
        <x:is>
          <x:t xml:space="preserve">FJ-086</x:t>
        </x:is>
      </x:c>
      <x:c r="B91" s="71" t="n"/>
      <x:c r="C91" s="75" t="str">
        <x:f>IF(B91="","",INDEX('Company Universe'!$B$6:$B$105,MATCH(B91,'Company Universe'!$A$6:$A$105,0)))</x:f>
      </x:c>
      <x:c r="D91" s="75" t="str">
        <x:f>IF(B91="","",INDEX('Company Universe'!$C$6:$C$105,MATCH(B91,'Company Universe'!$A$6:$A$105,0)))</x:f>
      </x:c>
      <x:c r="E91" s="206" t="n"/>
      <x:c r="F91" s="206" t="n"/>
      <x:c r="G91" s="206" t="n"/>
      <x:c r="H91" s="71" t="n"/>
      <x:c r="I91" s="71" t="n"/>
      <x:c r="J91" s="71" t="n"/>
      <x:c r="K91" s="71" t="n"/>
      <x:c r="L91" s="71" t="n"/>
      <x:c r="M91" s="71" t="n"/>
      <x:c r="N91" s="71" t="n"/>
      <x:c r="O91" s="71" t="n"/>
      <x:c r="P91" s="71" t="n"/>
      <x:c r="Q91" s="217" t="n"/>
      <x:c r="R91" s="71" t="n"/>
    </x:row>
    <x:row r="92">
      <x:c r="A92" s="57" t="inlineStr">
        <x:is>
          <x:t xml:space="preserve">FJ-087</x:t>
        </x:is>
      </x:c>
      <x:c r="B92" s="71" t="n"/>
      <x:c r="C92" s="75" t="str">
        <x:f>IF(B92="","",INDEX('Company Universe'!$B$6:$B$105,MATCH(B92,'Company Universe'!$A$6:$A$105,0)))</x:f>
      </x:c>
      <x:c r="D92" s="75" t="str">
        <x:f>IF(B92="","",INDEX('Company Universe'!$C$6:$C$105,MATCH(B92,'Company Universe'!$A$6:$A$105,0)))</x:f>
      </x:c>
      <x:c r="E92" s="206" t="n"/>
      <x:c r="F92" s="206" t="n"/>
      <x:c r="G92" s="206" t="n"/>
      <x:c r="H92" s="71" t="n"/>
      <x:c r="I92" s="71" t="n"/>
      <x:c r="J92" s="71" t="n"/>
      <x:c r="K92" s="71" t="n"/>
      <x:c r="L92" s="71" t="n"/>
      <x:c r="M92" s="71" t="n"/>
      <x:c r="N92" s="71" t="n"/>
      <x:c r="O92" s="71" t="n"/>
      <x:c r="P92" s="71" t="n"/>
      <x:c r="Q92" s="217" t="n"/>
      <x:c r="R92" s="71" t="n"/>
    </x:row>
    <x:row r="93">
      <x:c r="A93" s="57" t="inlineStr">
        <x:is>
          <x:t xml:space="preserve">FJ-088</x:t>
        </x:is>
      </x:c>
      <x:c r="B93" s="71" t="n"/>
      <x:c r="C93" s="75" t="str">
        <x:f>IF(B93="","",INDEX('Company Universe'!$B$6:$B$105,MATCH(B93,'Company Universe'!$A$6:$A$105,0)))</x:f>
      </x:c>
      <x:c r="D93" s="75" t="str">
        <x:f>IF(B93="","",INDEX('Company Universe'!$C$6:$C$105,MATCH(B93,'Company Universe'!$A$6:$A$105,0)))</x:f>
      </x:c>
      <x:c r="E93" s="206" t="n"/>
      <x:c r="F93" s="206" t="n"/>
      <x:c r="G93" s="206" t="n"/>
      <x:c r="H93" s="71" t="n"/>
      <x:c r="I93" s="71" t="n"/>
      <x:c r="J93" s="71" t="n"/>
      <x:c r="K93" s="71" t="n"/>
      <x:c r="L93" s="71" t="n"/>
      <x:c r="M93" s="71" t="n"/>
      <x:c r="N93" s="71" t="n"/>
      <x:c r="O93" s="71" t="n"/>
      <x:c r="P93" s="71" t="n"/>
      <x:c r="Q93" s="217" t="n"/>
      <x:c r="R93" s="71" t="n"/>
    </x:row>
    <x:row r="94">
      <x:c r="A94" s="57" t="inlineStr">
        <x:is>
          <x:t xml:space="preserve">FJ-089</x:t>
        </x:is>
      </x:c>
      <x:c r="B94" s="71" t="n"/>
      <x:c r="C94" s="75" t="str">
        <x:f>IF(B94="","",INDEX('Company Universe'!$B$6:$B$105,MATCH(B94,'Company Universe'!$A$6:$A$105,0)))</x:f>
      </x:c>
      <x:c r="D94" s="75" t="str">
        <x:f>IF(B94="","",INDEX('Company Universe'!$C$6:$C$105,MATCH(B94,'Company Universe'!$A$6:$A$105,0)))</x:f>
      </x:c>
      <x:c r="E94" s="206" t="n"/>
      <x:c r="F94" s="206" t="n"/>
      <x:c r="G94" s="206" t="n"/>
      <x:c r="H94" s="71" t="n"/>
      <x:c r="I94" s="71" t="n"/>
      <x:c r="J94" s="71" t="n"/>
      <x:c r="K94" s="71" t="n"/>
      <x:c r="L94" s="71" t="n"/>
      <x:c r="M94" s="71" t="n"/>
      <x:c r="N94" s="71" t="n"/>
      <x:c r="O94" s="71" t="n"/>
      <x:c r="P94" s="71" t="n"/>
      <x:c r="Q94" s="217" t="n"/>
      <x:c r="R94" s="71" t="n"/>
    </x:row>
    <x:row r="95">
      <x:c r="A95" s="57" t="inlineStr">
        <x:is>
          <x:t xml:space="preserve">FJ-090</x:t>
        </x:is>
      </x:c>
      <x:c r="B95" s="71" t="n"/>
      <x:c r="C95" s="75" t="str">
        <x:f>IF(B95="","",INDEX('Company Universe'!$B$6:$B$105,MATCH(B95,'Company Universe'!$A$6:$A$105,0)))</x:f>
      </x:c>
      <x:c r="D95" s="75" t="str">
        <x:f>IF(B95="","",INDEX('Company Universe'!$C$6:$C$105,MATCH(B95,'Company Universe'!$A$6:$A$105,0)))</x:f>
      </x:c>
      <x:c r="E95" s="206" t="n"/>
      <x:c r="F95" s="206" t="n"/>
      <x:c r="G95" s="206" t="n"/>
      <x:c r="H95" s="71" t="n"/>
      <x:c r="I95" s="71" t="n"/>
      <x:c r="J95" s="71" t="n"/>
      <x:c r="K95" s="71" t="n"/>
      <x:c r="L95" s="71" t="n"/>
      <x:c r="M95" s="71" t="n"/>
      <x:c r="N95" s="71" t="n"/>
      <x:c r="O95" s="71" t="n"/>
      <x:c r="P95" s="71" t="n"/>
      <x:c r="Q95" s="217" t="n"/>
      <x:c r="R95" s="71" t="n"/>
    </x:row>
    <x:row r="96">
      <x:c r="A96" s="57" t="inlineStr">
        <x:is>
          <x:t xml:space="preserve">FJ-091</x:t>
        </x:is>
      </x:c>
      <x:c r="B96" s="71" t="n"/>
      <x:c r="C96" s="75" t="str">
        <x:f>IF(B96="","",INDEX('Company Universe'!$B$6:$B$105,MATCH(B96,'Company Universe'!$A$6:$A$105,0)))</x:f>
      </x:c>
      <x:c r="D96" s="75" t="str">
        <x:f>IF(B96="","",INDEX('Company Universe'!$C$6:$C$105,MATCH(B96,'Company Universe'!$A$6:$A$105,0)))</x:f>
      </x:c>
      <x:c r="E96" s="206" t="n"/>
      <x:c r="F96" s="206" t="n"/>
      <x:c r="G96" s="206" t="n"/>
      <x:c r="H96" s="71" t="n"/>
      <x:c r="I96" s="71" t="n"/>
      <x:c r="J96" s="71" t="n"/>
      <x:c r="K96" s="71" t="n"/>
      <x:c r="L96" s="71" t="n"/>
      <x:c r="M96" s="71" t="n"/>
      <x:c r="N96" s="71" t="n"/>
      <x:c r="O96" s="71" t="n"/>
      <x:c r="P96" s="71" t="n"/>
      <x:c r="Q96" s="217" t="n"/>
      <x:c r="R96" s="71" t="n"/>
    </x:row>
    <x:row r="97">
      <x:c r="A97" s="57" t="inlineStr">
        <x:is>
          <x:t xml:space="preserve">FJ-092</x:t>
        </x:is>
      </x:c>
      <x:c r="B97" s="71" t="n"/>
      <x:c r="C97" s="75" t="str">
        <x:f>IF(B97="","",INDEX('Company Universe'!$B$6:$B$105,MATCH(B97,'Company Universe'!$A$6:$A$105,0)))</x:f>
      </x:c>
      <x:c r="D97" s="75" t="str">
        <x:f>IF(B97="","",INDEX('Company Universe'!$C$6:$C$105,MATCH(B97,'Company Universe'!$A$6:$A$105,0)))</x:f>
      </x:c>
      <x:c r="E97" s="206" t="n"/>
      <x:c r="F97" s="206" t="n"/>
      <x:c r="G97" s="206" t="n"/>
      <x:c r="H97" s="71" t="n"/>
      <x:c r="I97" s="71" t="n"/>
      <x:c r="J97" s="71" t="n"/>
      <x:c r="K97" s="71" t="n"/>
      <x:c r="L97" s="71" t="n"/>
      <x:c r="M97" s="71" t="n"/>
      <x:c r="N97" s="71" t="n"/>
      <x:c r="O97" s="71" t="n"/>
      <x:c r="P97" s="71" t="n"/>
      <x:c r="Q97" s="217" t="n"/>
      <x:c r="R97" s="71" t="n"/>
    </x:row>
    <x:row r="98">
      <x:c r="A98" s="57" t="inlineStr">
        <x:is>
          <x:t xml:space="preserve">FJ-093</x:t>
        </x:is>
      </x:c>
      <x:c r="B98" s="71" t="n"/>
      <x:c r="C98" s="75" t="str">
        <x:f>IF(B98="","",INDEX('Company Universe'!$B$6:$B$105,MATCH(B98,'Company Universe'!$A$6:$A$105,0)))</x:f>
      </x:c>
      <x:c r="D98" s="75" t="str">
        <x:f>IF(B98="","",INDEX('Company Universe'!$C$6:$C$105,MATCH(B98,'Company Universe'!$A$6:$A$105,0)))</x:f>
      </x:c>
      <x:c r="E98" s="206" t="n"/>
      <x:c r="F98" s="206" t="n"/>
      <x:c r="G98" s="206" t="n"/>
      <x:c r="H98" s="71" t="n"/>
      <x:c r="I98" s="71" t="n"/>
      <x:c r="J98" s="71" t="n"/>
      <x:c r="K98" s="71" t="n"/>
      <x:c r="L98" s="71" t="n"/>
      <x:c r="M98" s="71" t="n"/>
      <x:c r="N98" s="71" t="n"/>
      <x:c r="O98" s="71" t="n"/>
      <x:c r="P98" s="71" t="n"/>
      <x:c r="Q98" s="217" t="n"/>
      <x:c r="R98" s="71" t="n"/>
    </x:row>
    <x:row r="99">
      <x:c r="A99" s="57" t="inlineStr">
        <x:is>
          <x:t xml:space="preserve">FJ-094</x:t>
        </x:is>
      </x:c>
      <x:c r="B99" s="71" t="n"/>
      <x:c r="C99" s="75" t="str">
        <x:f>IF(B99="","",INDEX('Company Universe'!$B$6:$B$105,MATCH(B99,'Company Universe'!$A$6:$A$105,0)))</x:f>
      </x:c>
      <x:c r="D99" s="75" t="str">
        <x:f>IF(B99="","",INDEX('Company Universe'!$C$6:$C$105,MATCH(B99,'Company Universe'!$A$6:$A$105,0)))</x:f>
      </x:c>
      <x:c r="E99" s="206" t="n"/>
      <x:c r="F99" s="206" t="n"/>
      <x:c r="G99" s="206" t="n"/>
      <x:c r="H99" s="71" t="n"/>
      <x:c r="I99" s="71" t="n"/>
      <x:c r="J99" s="71" t="n"/>
      <x:c r="K99" s="71" t="n"/>
      <x:c r="L99" s="71" t="n"/>
      <x:c r="M99" s="71" t="n"/>
      <x:c r="N99" s="71" t="n"/>
      <x:c r="O99" s="71" t="n"/>
      <x:c r="P99" s="71" t="n"/>
      <x:c r="Q99" s="217" t="n"/>
      <x:c r="R99" s="71" t="n"/>
    </x:row>
    <x:row r="100">
      <x:c r="A100" s="57" t="inlineStr">
        <x:is>
          <x:t xml:space="preserve">FJ-095</x:t>
        </x:is>
      </x:c>
      <x:c r="B100" s="71" t="n"/>
      <x:c r="C100" s="75" t="str">
        <x:f>IF(B100="","",INDEX('Company Universe'!$B$6:$B$105,MATCH(B100,'Company Universe'!$A$6:$A$105,0)))</x:f>
      </x:c>
      <x:c r="D100" s="75" t="str">
        <x:f>IF(B100="","",INDEX('Company Universe'!$C$6:$C$105,MATCH(B100,'Company Universe'!$A$6:$A$105,0)))</x:f>
      </x:c>
      <x:c r="E100" s="206" t="n"/>
      <x:c r="F100" s="206" t="n"/>
      <x:c r="G100" s="206" t="n"/>
      <x:c r="H100" s="71" t="n"/>
      <x:c r="I100" s="71" t="n"/>
      <x:c r="J100" s="71" t="n"/>
      <x:c r="K100" s="71" t="n"/>
      <x:c r="L100" s="71" t="n"/>
      <x:c r="M100" s="71" t="n"/>
      <x:c r="N100" s="71" t="n"/>
      <x:c r="O100" s="71" t="n"/>
      <x:c r="P100" s="71" t="n"/>
      <x:c r="Q100" s="217" t="n"/>
      <x:c r="R100" s="71" t="n"/>
    </x:row>
    <x:row r="101">
      <x:c r="A101" s="57" t="inlineStr">
        <x:is>
          <x:t xml:space="preserve">FJ-096</x:t>
        </x:is>
      </x:c>
      <x:c r="B101" s="71" t="n"/>
      <x:c r="C101" s="75" t="str">
        <x:f>IF(B101="","",INDEX('Company Universe'!$B$6:$B$105,MATCH(B101,'Company Universe'!$A$6:$A$105,0)))</x:f>
      </x:c>
      <x:c r="D101" s="75" t="str">
        <x:f>IF(B101="","",INDEX('Company Universe'!$C$6:$C$105,MATCH(B101,'Company Universe'!$A$6:$A$105,0)))</x:f>
      </x:c>
      <x:c r="E101" s="206" t="n"/>
      <x:c r="F101" s="206" t="n"/>
      <x:c r="G101" s="206" t="n"/>
      <x:c r="H101" s="71" t="n"/>
      <x:c r="I101" s="71" t="n"/>
      <x:c r="J101" s="71" t="n"/>
      <x:c r="K101" s="71" t="n"/>
      <x:c r="L101" s="71" t="n"/>
      <x:c r="M101" s="71" t="n"/>
      <x:c r="N101" s="71" t="n"/>
      <x:c r="O101" s="71" t="n"/>
      <x:c r="P101" s="71" t="n"/>
      <x:c r="Q101" s="217" t="n"/>
      <x:c r="R101" s="71" t="n"/>
    </x:row>
    <x:row r="102">
      <x:c r="A102" s="57" t="inlineStr">
        <x:is>
          <x:t xml:space="preserve">FJ-097</x:t>
        </x:is>
      </x:c>
      <x:c r="B102" s="71" t="n"/>
      <x:c r="C102" s="75" t="str">
        <x:f>IF(B102="","",INDEX('Company Universe'!$B$6:$B$105,MATCH(B102,'Company Universe'!$A$6:$A$105,0)))</x:f>
      </x:c>
      <x:c r="D102" s="75" t="str">
        <x:f>IF(B102="","",INDEX('Company Universe'!$C$6:$C$105,MATCH(B102,'Company Universe'!$A$6:$A$105,0)))</x:f>
      </x:c>
      <x:c r="E102" s="206" t="n"/>
      <x:c r="F102" s="206" t="n"/>
      <x:c r="G102" s="206" t="n"/>
      <x:c r="H102" s="71" t="n"/>
      <x:c r="I102" s="71" t="n"/>
      <x:c r="J102" s="71" t="n"/>
      <x:c r="K102" s="71" t="n"/>
      <x:c r="L102" s="71" t="n"/>
      <x:c r="M102" s="71" t="n"/>
      <x:c r="N102" s="71" t="n"/>
      <x:c r="O102" s="71" t="n"/>
      <x:c r="P102" s="71" t="n"/>
      <x:c r="Q102" s="217" t="n"/>
      <x:c r="R102" s="71" t="n"/>
    </x:row>
    <x:row r="103">
      <x:c r="A103" s="57" t="inlineStr">
        <x:is>
          <x:t xml:space="preserve">FJ-098</x:t>
        </x:is>
      </x:c>
      <x:c r="B103" s="71" t="n"/>
      <x:c r="C103" s="75" t="str">
        <x:f>IF(B103="","",INDEX('Company Universe'!$B$6:$B$105,MATCH(B103,'Company Universe'!$A$6:$A$105,0)))</x:f>
      </x:c>
      <x:c r="D103" s="75" t="str">
        <x:f>IF(B103="","",INDEX('Company Universe'!$C$6:$C$105,MATCH(B103,'Company Universe'!$A$6:$A$105,0)))</x:f>
      </x:c>
      <x:c r="E103" s="206" t="n"/>
      <x:c r="F103" s="206" t="n"/>
      <x:c r="G103" s="206" t="n"/>
      <x:c r="H103" s="71" t="n"/>
      <x:c r="I103" s="71" t="n"/>
      <x:c r="J103" s="71" t="n"/>
      <x:c r="K103" s="71" t="n"/>
      <x:c r="L103" s="71" t="n"/>
      <x:c r="M103" s="71" t="n"/>
      <x:c r="N103" s="71" t="n"/>
      <x:c r="O103" s="71" t="n"/>
      <x:c r="P103" s="71" t="n"/>
      <x:c r="Q103" s="217" t="n"/>
      <x:c r="R103" s="71" t="n"/>
    </x:row>
    <x:row r="104">
      <x:c r="A104" s="57" t="inlineStr">
        <x:is>
          <x:t xml:space="preserve">FJ-099</x:t>
        </x:is>
      </x:c>
      <x:c r="B104" s="71" t="n"/>
      <x:c r="C104" s="75" t="str">
        <x:f>IF(B104="","",INDEX('Company Universe'!$B$6:$B$105,MATCH(B104,'Company Universe'!$A$6:$A$105,0)))</x:f>
      </x:c>
      <x:c r="D104" s="75" t="str">
        <x:f>IF(B104="","",INDEX('Company Universe'!$C$6:$C$105,MATCH(B104,'Company Universe'!$A$6:$A$105,0)))</x:f>
      </x:c>
      <x:c r="E104" s="206" t="n"/>
      <x:c r="F104" s="206" t="n"/>
      <x:c r="G104" s="206" t="n"/>
      <x:c r="H104" s="71" t="n"/>
      <x:c r="I104" s="71" t="n"/>
      <x:c r="J104" s="71" t="n"/>
      <x:c r="K104" s="71" t="n"/>
      <x:c r="L104" s="71" t="n"/>
      <x:c r="M104" s="71" t="n"/>
      <x:c r="N104" s="71" t="n"/>
      <x:c r="O104" s="71" t="n"/>
      <x:c r="P104" s="71" t="n"/>
      <x:c r="Q104" s="217" t="n"/>
      <x:c r="R104" s="71" t="n"/>
    </x:row>
    <x:row r="105">
      <x:c r="A105" s="57" t="inlineStr">
        <x:is>
          <x:t xml:space="preserve">FJ-100</x:t>
        </x:is>
      </x:c>
      <x:c r="B105" s="71" t="n"/>
      <x:c r="C105" s="75" t="str">
        <x:f>IF(B105="","",INDEX('Company Universe'!$B$6:$B$105,MATCH(B105,'Company Universe'!$A$6:$A$105,0)))</x:f>
      </x:c>
      <x:c r="D105" s="75" t="str">
        <x:f>IF(B105="","",INDEX('Company Universe'!$C$6:$C$105,MATCH(B105,'Company Universe'!$A$6:$A$105,0)))</x:f>
      </x:c>
      <x:c r="E105" s="206" t="n"/>
      <x:c r="F105" s="206" t="n"/>
      <x:c r="G105" s="206" t="n"/>
      <x:c r="H105" s="71" t="n"/>
      <x:c r="I105" s="71" t="n"/>
      <x:c r="J105" s="71" t="n"/>
      <x:c r="K105" s="71" t="n"/>
      <x:c r="L105" s="71" t="n"/>
      <x:c r="M105" s="71" t="n"/>
      <x:c r="N105" s="71" t="n"/>
      <x:c r="O105" s="71" t="n"/>
      <x:c r="P105" s="71" t="n"/>
      <x:c r="Q105" s="217" t="n"/>
      <x:c r="R105" s="71" t="n"/>
    </x:row>
    <x:row r="106">
      <x:c r="A106" s="57" t="inlineStr">
        <x:is>
          <x:t xml:space="preserve">FJ-101</x:t>
        </x:is>
      </x:c>
      <x:c r="B106" s="71" t="n"/>
      <x:c r="C106" s="75" t="str">
        <x:f>IF(B106="","",INDEX('Company Universe'!$B$6:$B$105,MATCH(B106,'Company Universe'!$A$6:$A$105,0)))</x:f>
      </x:c>
      <x:c r="D106" s="75" t="str">
        <x:f>IF(B106="","",INDEX('Company Universe'!$C$6:$C$105,MATCH(B106,'Company Universe'!$A$6:$A$105,0)))</x:f>
      </x:c>
      <x:c r="E106" s="206" t="n"/>
      <x:c r="F106" s="206" t="n"/>
      <x:c r="G106" s="206" t="n"/>
      <x:c r="H106" s="71" t="n"/>
      <x:c r="I106" s="71" t="n"/>
      <x:c r="J106" s="71" t="n"/>
      <x:c r="K106" s="71" t="n"/>
      <x:c r="L106" s="71" t="n"/>
      <x:c r="M106" s="71" t="n"/>
      <x:c r="N106" s="71" t="n"/>
      <x:c r="O106" s="71" t="n"/>
      <x:c r="P106" s="71" t="n"/>
      <x:c r="Q106" s="217" t="n"/>
      <x:c r="R106" s="71" t="n"/>
    </x:row>
    <x:row r="107">
      <x:c r="A107" s="57" t="inlineStr">
        <x:is>
          <x:t xml:space="preserve">FJ-102</x:t>
        </x:is>
      </x:c>
      <x:c r="B107" s="71" t="n"/>
      <x:c r="C107" s="75" t="str">
        <x:f>IF(B107="","",INDEX('Company Universe'!$B$6:$B$105,MATCH(B107,'Company Universe'!$A$6:$A$105,0)))</x:f>
      </x:c>
      <x:c r="D107" s="75" t="str">
        <x:f>IF(B107="","",INDEX('Company Universe'!$C$6:$C$105,MATCH(B107,'Company Universe'!$A$6:$A$105,0)))</x:f>
      </x:c>
      <x:c r="E107" s="206" t="n"/>
      <x:c r="F107" s="206" t="n"/>
      <x:c r="G107" s="206" t="n"/>
      <x:c r="H107" s="71" t="n"/>
      <x:c r="I107" s="71" t="n"/>
      <x:c r="J107" s="71" t="n"/>
      <x:c r="K107" s="71" t="n"/>
      <x:c r="L107" s="71" t="n"/>
      <x:c r="M107" s="71" t="n"/>
      <x:c r="N107" s="71" t="n"/>
      <x:c r="O107" s="71" t="n"/>
      <x:c r="P107" s="71" t="n"/>
      <x:c r="Q107" s="217" t="n"/>
      <x:c r="R107" s="71" t="n"/>
    </x:row>
    <x:row r="108">
      <x:c r="A108" s="57" t="inlineStr">
        <x:is>
          <x:t xml:space="preserve">FJ-103</x:t>
        </x:is>
      </x:c>
      <x:c r="B108" s="71" t="n"/>
      <x:c r="C108" s="75" t="str">
        <x:f>IF(B108="","",INDEX('Company Universe'!$B$6:$B$105,MATCH(B108,'Company Universe'!$A$6:$A$105,0)))</x:f>
      </x:c>
      <x:c r="D108" s="75" t="str">
        <x:f>IF(B108="","",INDEX('Company Universe'!$C$6:$C$105,MATCH(B108,'Company Universe'!$A$6:$A$105,0)))</x:f>
      </x:c>
      <x:c r="E108" s="206" t="n"/>
      <x:c r="F108" s="206" t="n"/>
      <x:c r="G108" s="206" t="n"/>
      <x:c r="H108" s="71" t="n"/>
      <x:c r="I108" s="71" t="n"/>
      <x:c r="J108" s="71" t="n"/>
      <x:c r="K108" s="71" t="n"/>
      <x:c r="L108" s="71" t="n"/>
      <x:c r="M108" s="71" t="n"/>
      <x:c r="N108" s="71" t="n"/>
      <x:c r="O108" s="71" t="n"/>
      <x:c r="P108" s="71" t="n"/>
      <x:c r="Q108" s="217" t="n"/>
      <x:c r="R108" s="71" t="n"/>
    </x:row>
    <x:row r="109">
      <x:c r="A109" s="57" t="inlineStr">
        <x:is>
          <x:t xml:space="preserve">FJ-104</x:t>
        </x:is>
      </x:c>
      <x:c r="B109" s="71" t="n"/>
      <x:c r="C109" s="75" t="str">
        <x:f>IF(B109="","",INDEX('Company Universe'!$B$6:$B$105,MATCH(B109,'Company Universe'!$A$6:$A$105,0)))</x:f>
      </x:c>
      <x:c r="D109" s="75" t="str">
        <x:f>IF(B109="","",INDEX('Company Universe'!$C$6:$C$105,MATCH(B109,'Company Universe'!$A$6:$A$105,0)))</x:f>
      </x:c>
      <x:c r="E109" s="206" t="n"/>
      <x:c r="F109" s="206" t="n"/>
      <x:c r="G109" s="206" t="n"/>
      <x:c r="H109" s="71" t="n"/>
      <x:c r="I109" s="71" t="n"/>
      <x:c r="J109" s="71" t="n"/>
      <x:c r="K109" s="71" t="n"/>
      <x:c r="L109" s="71" t="n"/>
      <x:c r="M109" s="71" t="n"/>
      <x:c r="N109" s="71" t="n"/>
      <x:c r="O109" s="71" t="n"/>
      <x:c r="P109" s="71" t="n"/>
      <x:c r="Q109" s="217" t="n"/>
      <x:c r="R109" s="71" t="n"/>
    </x:row>
    <x:row r="110">
      <x:c r="A110" s="57" t="inlineStr">
        <x:is>
          <x:t xml:space="preserve">FJ-105</x:t>
        </x:is>
      </x:c>
      <x:c r="B110" s="71" t="n"/>
      <x:c r="C110" s="75" t="str">
        <x:f>IF(B110="","",INDEX('Company Universe'!$B$6:$B$105,MATCH(B110,'Company Universe'!$A$6:$A$105,0)))</x:f>
      </x:c>
      <x:c r="D110" s="75" t="str">
        <x:f>IF(B110="","",INDEX('Company Universe'!$C$6:$C$105,MATCH(B110,'Company Universe'!$A$6:$A$105,0)))</x:f>
      </x:c>
      <x:c r="E110" s="206" t="n"/>
      <x:c r="F110" s="206" t="n"/>
      <x:c r="G110" s="206" t="n"/>
      <x:c r="H110" s="71" t="n"/>
      <x:c r="I110" s="71" t="n"/>
      <x:c r="J110" s="71" t="n"/>
      <x:c r="K110" s="71" t="n"/>
      <x:c r="L110" s="71" t="n"/>
      <x:c r="M110" s="71" t="n"/>
      <x:c r="N110" s="71" t="n"/>
      <x:c r="O110" s="71" t="n"/>
      <x:c r="P110" s="71" t="n"/>
      <x:c r="Q110" s="217" t="n"/>
      <x:c r="R110" s="71" t="n"/>
    </x:row>
    <x:row r="111">
      <x:c r="A111" s="57" t="inlineStr">
        <x:is>
          <x:t xml:space="preserve">FJ-106</x:t>
        </x:is>
      </x:c>
      <x:c r="B111" s="71" t="n"/>
      <x:c r="C111" s="75" t="str">
        <x:f>IF(B111="","",INDEX('Company Universe'!$B$6:$B$105,MATCH(B111,'Company Universe'!$A$6:$A$105,0)))</x:f>
      </x:c>
      <x:c r="D111" s="75" t="str">
        <x:f>IF(B111="","",INDEX('Company Universe'!$C$6:$C$105,MATCH(B111,'Company Universe'!$A$6:$A$105,0)))</x:f>
      </x:c>
      <x:c r="E111" s="206" t="n"/>
      <x:c r="F111" s="206" t="n"/>
      <x:c r="G111" s="206" t="n"/>
      <x:c r="H111" s="71" t="n"/>
      <x:c r="I111" s="71" t="n"/>
      <x:c r="J111" s="71" t="n"/>
      <x:c r="K111" s="71" t="n"/>
      <x:c r="L111" s="71" t="n"/>
      <x:c r="M111" s="71" t="n"/>
      <x:c r="N111" s="71" t="n"/>
      <x:c r="O111" s="71" t="n"/>
      <x:c r="P111" s="71" t="n"/>
      <x:c r="Q111" s="217" t="n"/>
      <x:c r="R111" s="71" t="n"/>
    </x:row>
    <x:row r="112">
      <x:c r="A112" s="57" t="inlineStr">
        <x:is>
          <x:t xml:space="preserve">FJ-107</x:t>
        </x:is>
      </x:c>
      <x:c r="B112" s="71" t="n"/>
      <x:c r="C112" s="75" t="str">
        <x:f>IF(B112="","",INDEX('Company Universe'!$B$6:$B$105,MATCH(B112,'Company Universe'!$A$6:$A$105,0)))</x:f>
      </x:c>
      <x:c r="D112" s="75" t="str">
        <x:f>IF(B112="","",INDEX('Company Universe'!$C$6:$C$105,MATCH(B112,'Company Universe'!$A$6:$A$105,0)))</x:f>
      </x:c>
      <x:c r="E112" s="206" t="n"/>
      <x:c r="F112" s="206" t="n"/>
      <x:c r="G112" s="206" t="n"/>
      <x:c r="H112" s="71" t="n"/>
      <x:c r="I112" s="71" t="n"/>
      <x:c r="J112" s="71" t="n"/>
      <x:c r="K112" s="71" t="n"/>
      <x:c r="L112" s="71" t="n"/>
      <x:c r="M112" s="71" t="n"/>
      <x:c r="N112" s="71" t="n"/>
      <x:c r="O112" s="71" t="n"/>
      <x:c r="P112" s="71" t="n"/>
      <x:c r="Q112" s="217" t="n"/>
      <x:c r="R112" s="71" t="n"/>
    </x:row>
    <x:row r="113">
      <x:c r="A113" s="57" t="inlineStr">
        <x:is>
          <x:t xml:space="preserve">FJ-108</x:t>
        </x:is>
      </x:c>
      <x:c r="B113" s="71" t="n"/>
      <x:c r="C113" s="75" t="str">
        <x:f>IF(B113="","",INDEX('Company Universe'!$B$6:$B$105,MATCH(B113,'Company Universe'!$A$6:$A$105,0)))</x:f>
      </x:c>
      <x:c r="D113" s="75" t="str">
        <x:f>IF(B113="","",INDEX('Company Universe'!$C$6:$C$105,MATCH(B113,'Company Universe'!$A$6:$A$105,0)))</x:f>
      </x:c>
      <x:c r="E113" s="206" t="n"/>
      <x:c r="F113" s="206" t="n"/>
      <x:c r="G113" s="206" t="n"/>
      <x:c r="H113" s="71" t="n"/>
      <x:c r="I113" s="71" t="n"/>
      <x:c r="J113" s="71" t="n"/>
      <x:c r="K113" s="71" t="n"/>
      <x:c r="L113" s="71" t="n"/>
      <x:c r="M113" s="71" t="n"/>
      <x:c r="N113" s="71" t="n"/>
      <x:c r="O113" s="71" t="n"/>
      <x:c r="P113" s="71" t="n"/>
      <x:c r="Q113" s="217" t="n"/>
      <x:c r="R113" s="71" t="n"/>
    </x:row>
    <x:row r="114">
      <x:c r="A114" s="57" t="inlineStr">
        <x:is>
          <x:t xml:space="preserve">FJ-109</x:t>
        </x:is>
      </x:c>
      <x:c r="B114" s="71" t="n"/>
      <x:c r="C114" s="75" t="str">
        <x:f>IF(B114="","",INDEX('Company Universe'!$B$6:$B$105,MATCH(B114,'Company Universe'!$A$6:$A$105,0)))</x:f>
      </x:c>
      <x:c r="D114" s="75" t="str">
        <x:f>IF(B114="","",INDEX('Company Universe'!$C$6:$C$105,MATCH(B114,'Company Universe'!$A$6:$A$105,0)))</x:f>
      </x:c>
      <x:c r="E114" s="206" t="n"/>
      <x:c r="F114" s="206" t="n"/>
      <x:c r="G114" s="206" t="n"/>
      <x:c r="H114" s="71" t="n"/>
      <x:c r="I114" s="71" t="n"/>
      <x:c r="J114" s="71" t="n"/>
      <x:c r="K114" s="71" t="n"/>
      <x:c r="L114" s="71" t="n"/>
      <x:c r="M114" s="71" t="n"/>
      <x:c r="N114" s="71" t="n"/>
      <x:c r="O114" s="71" t="n"/>
      <x:c r="P114" s="71" t="n"/>
      <x:c r="Q114" s="217" t="n"/>
      <x:c r="R114" s="71" t="n"/>
    </x:row>
    <x:row r="115">
      <x:c r="A115" s="57" t="inlineStr">
        <x:is>
          <x:t xml:space="preserve">FJ-110</x:t>
        </x:is>
      </x:c>
      <x:c r="B115" s="71" t="n"/>
      <x:c r="C115" s="75" t="str">
        <x:f>IF(B115="","",INDEX('Company Universe'!$B$6:$B$105,MATCH(B115,'Company Universe'!$A$6:$A$105,0)))</x:f>
      </x:c>
      <x:c r="D115" s="75" t="str">
        <x:f>IF(B115="","",INDEX('Company Universe'!$C$6:$C$105,MATCH(B115,'Company Universe'!$A$6:$A$105,0)))</x:f>
      </x:c>
      <x:c r="E115" s="206" t="n"/>
      <x:c r="F115" s="206" t="n"/>
      <x:c r="G115" s="206" t="n"/>
      <x:c r="H115" s="71" t="n"/>
      <x:c r="I115" s="71" t="n"/>
      <x:c r="J115" s="71" t="n"/>
      <x:c r="K115" s="71" t="n"/>
      <x:c r="L115" s="71" t="n"/>
      <x:c r="M115" s="71" t="n"/>
      <x:c r="N115" s="71" t="n"/>
      <x:c r="O115" s="71" t="n"/>
      <x:c r="P115" s="71" t="n"/>
      <x:c r="Q115" s="217" t="n"/>
      <x:c r="R115" s="71" t="n"/>
    </x:row>
    <x:row r="116">
      <x:c r="A116" s="57" t="inlineStr">
        <x:is>
          <x:t xml:space="preserve">FJ-111</x:t>
        </x:is>
      </x:c>
      <x:c r="B116" s="71" t="n"/>
      <x:c r="C116" s="75" t="str">
        <x:f>IF(B116="","",INDEX('Company Universe'!$B$6:$B$105,MATCH(B116,'Company Universe'!$A$6:$A$105,0)))</x:f>
      </x:c>
      <x:c r="D116" s="75" t="str">
        <x:f>IF(B116="","",INDEX('Company Universe'!$C$6:$C$105,MATCH(B116,'Company Universe'!$A$6:$A$105,0)))</x:f>
      </x:c>
      <x:c r="E116" s="206" t="n"/>
      <x:c r="F116" s="206" t="n"/>
      <x:c r="G116" s="206" t="n"/>
      <x:c r="H116" s="71" t="n"/>
      <x:c r="I116" s="71" t="n"/>
      <x:c r="J116" s="71" t="n"/>
      <x:c r="K116" s="71" t="n"/>
      <x:c r="L116" s="71" t="n"/>
      <x:c r="M116" s="71" t="n"/>
      <x:c r="N116" s="71" t="n"/>
      <x:c r="O116" s="71" t="n"/>
      <x:c r="P116" s="71" t="n"/>
      <x:c r="Q116" s="217" t="n"/>
      <x:c r="R116" s="71" t="n"/>
    </x:row>
    <x:row r="117">
      <x:c r="A117" s="57" t="inlineStr">
        <x:is>
          <x:t xml:space="preserve">FJ-112</x:t>
        </x:is>
      </x:c>
      <x:c r="B117" s="71" t="n"/>
      <x:c r="C117" s="75" t="str">
        <x:f>IF(B117="","",INDEX('Company Universe'!$B$6:$B$105,MATCH(B117,'Company Universe'!$A$6:$A$105,0)))</x:f>
      </x:c>
      <x:c r="D117" s="75" t="str">
        <x:f>IF(B117="","",INDEX('Company Universe'!$C$6:$C$105,MATCH(B117,'Company Universe'!$A$6:$A$105,0)))</x:f>
      </x:c>
      <x:c r="E117" s="206" t="n"/>
      <x:c r="F117" s="206" t="n"/>
      <x:c r="G117" s="206" t="n"/>
      <x:c r="H117" s="71" t="n"/>
      <x:c r="I117" s="71" t="n"/>
      <x:c r="J117" s="71" t="n"/>
      <x:c r="K117" s="71" t="n"/>
      <x:c r="L117" s="71" t="n"/>
      <x:c r="M117" s="71" t="n"/>
      <x:c r="N117" s="71" t="n"/>
      <x:c r="O117" s="71" t="n"/>
      <x:c r="P117" s="71" t="n"/>
      <x:c r="Q117" s="217" t="n"/>
      <x:c r="R117" s="71" t="n"/>
    </x:row>
    <x:row r="118">
      <x:c r="A118" s="57" t="inlineStr">
        <x:is>
          <x:t xml:space="preserve">FJ-113</x:t>
        </x:is>
      </x:c>
      <x:c r="B118" s="71" t="n"/>
      <x:c r="C118" s="75" t="str">
        <x:f>IF(B118="","",INDEX('Company Universe'!$B$6:$B$105,MATCH(B118,'Company Universe'!$A$6:$A$105,0)))</x:f>
      </x:c>
      <x:c r="D118" s="75" t="str">
        <x:f>IF(B118="","",INDEX('Company Universe'!$C$6:$C$105,MATCH(B118,'Company Universe'!$A$6:$A$105,0)))</x:f>
      </x:c>
      <x:c r="E118" s="206" t="n"/>
      <x:c r="F118" s="206" t="n"/>
      <x:c r="G118" s="206" t="n"/>
      <x:c r="H118" s="71" t="n"/>
      <x:c r="I118" s="71" t="n"/>
      <x:c r="J118" s="71" t="n"/>
      <x:c r="K118" s="71" t="n"/>
      <x:c r="L118" s="71" t="n"/>
      <x:c r="M118" s="71" t="n"/>
      <x:c r="N118" s="71" t="n"/>
      <x:c r="O118" s="71" t="n"/>
      <x:c r="P118" s="71" t="n"/>
      <x:c r="Q118" s="217" t="n"/>
      <x:c r="R118" s="71" t="n"/>
    </x:row>
    <x:row r="119">
      <x:c r="A119" s="57" t="inlineStr">
        <x:is>
          <x:t xml:space="preserve">FJ-114</x:t>
        </x:is>
      </x:c>
      <x:c r="B119" s="71" t="n"/>
      <x:c r="C119" s="75" t="str">
        <x:f>IF(B119="","",INDEX('Company Universe'!$B$6:$B$105,MATCH(B119,'Company Universe'!$A$6:$A$105,0)))</x:f>
      </x:c>
      <x:c r="D119" s="75" t="str">
        <x:f>IF(B119="","",INDEX('Company Universe'!$C$6:$C$105,MATCH(B119,'Company Universe'!$A$6:$A$105,0)))</x:f>
      </x:c>
      <x:c r="E119" s="206" t="n"/>
      <x:c r="F119" s="206" t="n"/>
      <x:c r="G119" s="206" t="n"/>
      <x:c r="H119" s="71" t="n"/>
      <x:c r="I119" s="71" t="n"/>
      <x:c r="J119" s="71" t="n"/>
      <x:c r="K119" s="71" t="n"/>
      <x:c r="L119" s="71" t="n"/>
      <x:c r="M119" s="71" t="n"/>
      <x:c r="N119" s="71" t="n"/>
      <x:c r="O119" s="71" t="n"/>
      <x:c r="P119" s="71" t="n"/>
      <x:c r="Q119" s="217" t="n"/>
      <x:c r="R119" s="71" t="n"/>
    </x:row>
    <x:row r="120">
      <x:c r="A120" s="57" t="inlineStr">
        <x:is>
          <x:t xml:space="preserve">FJ-115</x:t>
        </x:is>
      </x:c>
      <x:c r="B120" s="71" t="n"/>
      <x:c r="C120" s="75" t="str">
        <x:f>IF(B120="","",INDEX('Company Universe'!$B$6:$B$105,MATCH(B120,'Company Universe'!$A$6:$A$105,0)))</x:f>
      </x:c>
      <x:c r="D120" s="75" t="str">
        <x:f>IF(B120="","",INDEX('Company Universe'!$C$6:$C$105,MATCH(B120,'Company Universe'!$A$6:$A$105,0)))</x:f>
      </x:c>
      <x:c r="E120" s="206" t="n"/>
      <x:c r="F120" s="206" t="n"/>
      <x:c r="G120" s="206" t="n"/>
      <x:c r="H120" s="71" t="n"/>
      <x:c r="I120" s="71" t="n"/>
      <x:c r="J120" s="71" t="n"/>
      <x:c r="K120" s="71" t="n"/>
      <x:c r="L120" s="71" t="n"/>
      <x:c r="M120" s="71" t="n"/>
      <x:c r="N120" s="71" t="n"/>
      <x:c r="O120" s="71" t="n"/>
      <x:c r="P120" s="71" t="n"/>
      <x:c r="Q120" s="217" t="n"/>
      <x:c r="R120" s="71" t="n"/>
    </x:row>
    <x:row r="121">
      <x:c r="A121" s="57" t="inlineStr">
        <x:is>
          <x:t xml:space="preserve">FJ-116</x:t>
        </x:is>
      </x:c>
      <x:c r="B121" s="71" t="n"/>
      <x:c r="C121" s="75" t="str">
        <x:f>IF(B121="","",INDEX('Company Universe'!$B$6:$B$105,MATCH(B121,'Company Universe'!$A$6:$A$105,0)))</x:f>
      </x:c>
      <x:c r="D121" s="75" t="str">
        <x:f>IF(B121="","",INDEX('Company Universe'!$C$6:$C$105,MATCH(B121,'Company Universe'!$A$6:$A$105,0)))</x:f>
      </x:c>
      <x:c r="E121" s="206" t="n"/>
      <x:c r="F121" s="206" t="n"/>
      <x:c r="G121" s="206" t="n"/>
      <x:c r="H121" s="71" t="n"/>
      <x:c r="I121" s="71" t="n"/>
      <x:c r="J121" s="71" t="n"/>
      <x:c r="K121" s="71" t="n"/>
      <x:c r="L121" s="71" t="n"/>
      <x:c r="M121" s="71" t="n"/>
      <x:c r="N121" s="71" t="n"/>
      <x:c r="O121" s="71" t="n"/>
      <x:c r="P121" s="71" t="n"/>
      <x:c r="Q121" s="217" t="n"/>
      <x:c r="R121" s="71" t="n"/>
    </x:row>
    <x:row r="122">
      <x:c r="A122" s="57" t="inlineStr">
        <x:is>
          <x:t xml:space="preserve">FJ-117</x:t>
        </x:is>
      </x:c>
      <x:c r="B122" s="71" t="n"/>
      <x:c r="C122" s="75" t="str">
        <x:f>IF(B122="","",INDEX('Company Universe'!$B$6:$B$105,MATCH(B122,'Company Universe'!$A$6:$A$105,0)))</x:f>
      </x:c>
      <x:c r="D122" s="75" t="str">
        <x:f>IF(B122="","",INDEX('Company Universe'!$C$6:$C$105,MATCH(B122,'Company Universe'!$A$6:$A$105,0)))</x:f>
      </x:c>
      <x:c r="E122" s="206" t="n"/>
      <x:c r="F122" s="206" t="n"/>
      <x:c r="G122" s="206" t="n"/>
      <x:c r="H122" s="71" t="n"/>
      <x:c r="I122" s="71" t="n"/>
      <x:c r="J122" s="71" t="n"/>
      <x:c r="K122" s="71" t="n"/>
      <x:c r="L122" s="71" t="n"/>
      <x:c r="M122" s="71" t="n"/>
      <x:c r="N122" s="71" t="n"/>
      <x:c r="O122" s="71" t="n"/>
      <x:c r="P122" s="71" t="n"/>
      <x:c r="Q122" s="217" t="n"/>
      <x:c r="R122" s="71" t="n"/>
    </x:row>
    <x:row r="123">
      <x:c r="A123" s="57" t="inlineStr">
        <x:is>
          <x:t xml:space="preserve">FJ-118</x:t>
        </x:is>
      </x:c>
      <x:c r="B123" s="71" t="n"/>
      <x:c r="C123" s="75" t="str">
        <x:f>IF(B123="","",INDEX('Company Universe'!$B$6:$B$105,MATCH(B123,'Company Universe'!$A$6:$A$105,0)))</x:f>
      </x:c>
      <x:c r="D123" s="75" t="str">
        <x:f>IF(B123="","",INDEX('Company Universe'!$C$6:$C$105,MATCH(B123,'Company Universe'!$A$6:$A$105,0)))</x:f>
      </x:c>
      <x:c r="E123" s="206" t="n"/>
      <x:c r="F123" s="206" t="n"/>
      <x:c r="G123" s="206" t="n"/>
      <x:c r="H123" s="71" t="n"/>
      <x:c r="I123" s="71" t="n"/>
      <x:c r="J123" s="71" t="n"/>
      <x:c r="K123" s="71" t="n"/>
      <x:c r="L123" s="71" t="n"/>
      <x:c r="M123" s="71" t="n"/>
      <x:c r="N123" s="71" t="n"/>
      <x:c r="O123" s="71" t="n"/>
      <x:c r="P123" s="71" t="n"/>
      <x:c r="Q123" s="217" t="n"/>
      <x:c r="R123" s="71" t="n"/>
    </x:row>
    <x:row r="124">
      <x:c r="A124" s="57" t="inlineStr">
        <x:is>
          <x:t xml:space="preserve">FJ-119</x:t>
        </x:is>
      </x:c>
      <x:c r="B124" s="71" t="n"/>
      <x:c r="C124" s="75" t="str">
        <x:f>IF(B124="","",INDEX('Company Universe'!$B$6:$B$105,MATCH(B124,'Company Universe'!$A$6:$A$105,0)))</x:f>
      </x:c>
      <x:c r="D124" s="75" t="str">
        <x:f>IF(B124="","",INDEX('Company Universe'!$C$6:$C$105,MATCH(B124,'Company Universe'!$A$6:$A$105,0)))</x:f>
      </x:c>
      <x:c r="E124" s="206" t="n"/>
      <x:c r="F124" s="206" t="n"/>
      <x:c r="G124" s="206" t="n"/>
      <x:c r="H124" s="71" t="n"/>
      <x:c r="I124" s="71" t="n"/>
      <x:c r="J124" s="71" t="n"/>
      <x:c r="K124" s="71" t="n"/>
      <x:c r="L124" s="71" t="n"/>
      <x:c r="M124" s="71" t="n"/>
      <x:c r="N124" s="71" t="n"/>
      <x:c r="O124" s="71" t="n"/>
      <x:c r="P124" s="71" t="n"/>
      <x:c r="Q124" s="217" t="n"/>
      <x:c r="R124" s="71" t="n"/>
    </x:row>
    <x:row r="125">
      <x:c r="A125" s="57" t="inlineStr">
        <x:is>
          <x:t xml:space="preserve">FJ-120</x:t>
        </x:is>
      </x:c>
      <x:c r="B125" s="71" t="n"/>
      <x:c r="C125" s="75" t="str">
        <x:f>IF(B125="","",INDEX('Company Universe'!$B$6:$B$105,MATCH(B125,'Company Universe'!$A$6:$A$105,0)))</x:f>
      </x:c>
      <x:c r="D125" s="75" t="str">
        <x:f>IF(B125="","",INDEX('Company Universe'!$C$6:$C$105,MATCH(B125,'Company Universe'!$A$6:$A$105,0)))</x:f>
      </x:c>
      <x:c r="E125" s="206" t="n"/>
      <x:c r="F125" s="206" t="n"/>
      <x:c r="G125" s="206" t="n"/>
      <x:c r="H125" s="71" t="n"/>
      <x:c r="I125" s="71" t="n"/>
      <x:c r="J125" s="71" t="n"/>
      <x:c r="K125" s="71" t="n"/>
      <x:c r="L125" s="71" t="n"/>
      <x:c r="M125" s="71" t="n"/>
      <x:c r="N125" s="71" t="n"/>
      <x:c r="O125" s="71" t="n"/>
      <x:c r="P125" s="71" t="n"/>
      <x:c r="Q125" s="217" t="n"/>
      <x:c r="R125" s="71" t="n"/>
    </x:row>
    <x:row r="126">
      <x:c r="A126" s="57" t="inlineStr">
        <x:is>
          <x:t xml:space="preserve">FJ-121</x:t>
        </x:is>
      </x:c>
      <x:c r="B126" s="71" t="n"/>
      <x:c r="C126" s="75" t="str">
        <x:f>IF(B126="","",INDEX('Company Universe'!$B$6:$B$105,MATCH(B126,'Company Universe'!$A$6:$A$105,0)))</x:f>
      </x:c>
      <x:c r="D126" s="75" t="str">
        <x:f>IF(B126="","",INDEX('Company Universe'!$C$6:$C$105,MATCH(B126,'Company Universe'!$A$6:$A$105,0)))</x:f>
      </x:c>
      <x:c r="E126" s="206" t="n"/>
      <x:c r="F126" s="206" t="n"/>
      <x:c r="G126" s="206" t="n"/>
      <x:c r="H126" s="71" t="n"/>
      <x:c r="I126" s="71" t="n"/>
      <x:c r="J126" s="71" t="n"/>
      <x:c r="K126" s="71" t="n"/>
      <x:c r="L126" s="71" t="n"/>
      <x:c r="M126" s="71" t="n"/>
      <x:c r="N126" s="71" t="n"/>
      <x:c r="O126" s="71" t="n"/>
      <x:c r="P126" s="71" t="n"/>
      <x:c r="Q126" s="217" t="n"/>
      <x:c r="R126" s="71" t="n"/>
    </x:row>
    <x:row r="127">
      <x:c r="A127" s="57" t="inlineStr">
        <x:is>
          <x:t xml:space="preserve">FJ-122</x:t>
        </x:is>
      </x:c>
      <x:c r="B127" s="71" t="n"/>
      <x:c r="C127" s="75" t="str">
        <x:f>IF(B127="","",INDEX('Company Universe'!$B$6:$B$105,MATCH(B127,'Company Universe'!$A$6:$A$105,0)))</x:f>
      </x:c>
      <x:c r="D127" s="75" t="str">
        <x:f>IF(B127="","",INDEX('Company Universe'!$C$6:$C$105,MATCH(B127,'Company Universe'!$A$6:$A$105,0)))</x:f>
      </x:c>
      <x:c r="E127" s="206" t="n"/>
      <x:c r="F127" s="206" t="n"/>
      <x:c r="G127" s="206" t="n"/>
      <x:c r="H127" s="71" t="n"/>
      <x:c r="I127" s="71" t="n"/>
      <x:c r="J127" s="71" t="n"/>
      <x:c r="K127" s="71" t="n"/>
      <x:c r="L127" s="71" t="n"/>
      <x:c r="M127" s="71" t="n"/>
      <x:c r="N127" s="71" t="n"/>
      <x:c r="O127" s="71" t="n"/>
      <x:c r="P127" s="71" t="n"/>
      <x:c r="Q127" s="217" t="n"/>
      <x:c r="R127" s="71" t="n"/>
    </x:row>
    <x:row r="128">
      <x:c r="A128" s="57" t="inlineStr">
        <x:is>
          <x:t xml:space="preserve">FJ-123</x:t>
        </x:is>
      </x:c>
      <x:c r="B128" s="71" t="n"/>
      <x:c r="C128" s="75" t="str">
        <x:f>IF(B128="","",INDEX('Company Universe'!$B$6:$B$105,MATCH(B128,'Company Universe'!$A$6:$A$105,0)))</x:f>
      </x:c>
      <x:c r="D128" s="75" t="str">
        <x:f>IF(B128="","",INDEX('Company Universe'!$C$6:$C$105,MATCH(B128,'Company Universe'!$A$6:$A$105,0)))</x:f>
      </x:c>
      <x:c r="E128" s="206" t="n"/>
      <x:c r="F128" s="206" t="n"/>
      <x:c r="G128" s="206" t="n"/>
      <x:c r="H128" s="71" t="n"/>
      <x:c r="I128" s="71" t="n"/>
      <x:c r="J128" s="71" t="n"/>
      <x:c r="K128" s="71" t="n"/>
      <x:c r="L128" s="71" t="n"/>
      <x:c r="M128" s="71" t="n"/>
      <x:c r="N128" s="71" t="n"/>
      <x:c r="O128" s="71" t="n"/>
      <x:c r="P128" s="71" t="n"/>
      <x:c r="Q128" s="217" t="n"/>
      <x:c r="R128" s="71" t="n"/>
    </x:row>
    <x:row r="129">
      <x:c r="A129" s="57" t="inlineStr">
        <x:is>
          <x:t xml:space="preserve">FJ-124</x:t>
        </x:is>
      </x:c>
      <x:c r="B129" s="71" t="n"/>
      <x:c r="C129" s="75" t="str">
        <x:f>IF(B129="","",INDEX('Company Universe'!$B$6:$B$105,MATCH(B129,'Company Universe'!$A$6:$A$105,0)))</x:f>
      </x:c>
      <x:c r="D129" s="75" t="str">
        <x:f>IF(B129="","",INDEX('Company Universe'!$C$6:$C$105,MATCH(B129,'Company Universe'!$A$6:$A$105,0)))</x:f>
      </x:c>
      <x:c r="E129" s="206" t="n"/>
      <x:c r="F129" s="206" t="n"/>
      <x:c r="G129" s="206" t="n"/>
      <x:c r="H129" s="71" t="n"/>
      <x:c r="I129" s="71" t="n"/>
      <x:c r="J129" s="71" t="n"/>
      <x:c r="K129" s="71" t="n"/>
      <x:c r="L129" s="71" t="n"/>
      <x:c r="M129" s="71" t="n"/>
      <x:c r="N129" s="71" t="n"/>
      <x:c r="O129" s="71" t="n"/>
      <x:c r="P129" s="71" t="n"/>
      <x:c r="Q129" s="217" t="n"/>
      <x:c r="R129" s="71" t="n"/>
    </x:row>
    <x:row r="130">
      <x:c r="A130" s="57" t="inlineStr">
        <x:is>
          <x:t xml:space="preserve">FJ-125</x:t>
        </x:is>
      </x:c>
      <x:c r="B130" s="71" t="n"/>
      <x:c r="C130" s="75" t="str">
        <x:f>IF(B130="","",INDEX('Company Universe'!$B$6:$B$105,MATCH(B130,'Company Universe'!$A$6:$A$105,0)))</x:f>
      </x:c>
      <x:c r="D130" s="75" t="str">
        <x:f>IF(B130="","",INDEX('Company Universe'!$C$6:$C$105,MATCH(B130,'Company Universe'!$A$6:$A$105,0)))</x:f>
      </x:c>
      <x:c r="E130" s="206" t="n"/>
      <x:c r="F130" s="206" t="n"/>
      <x:c r="G130" s="206" t="n"/>
      <x:c r="H130" s="71" t="n"/>
      <x:c r="I130" s="71" t="n"/>
      <x:c r="J130" s="71" t="n"/>
      <x:c r="K130" s="71" t="n"/>
      <x:c r="L130" s="71" t="n"/>
      <x:c r="M130" s="71" t="n"/>
      <x:c r="N130" s="71" t="n"/>
      <x:c r="O130" s="71" t="n"/>
      <x:c r="P130" s="71" t="n"/>
      <x:c r="Q130" s="217" t="n"/>
      <x:c r="R130" s="71" t="n"/>
    </x:row>
    <x:row r="131">
      <x:c r="A131" s="57" t="inlineStr">
        <x:is>
          <x:t xml:space="preserve">FJ-126</x:t>
        </x:is>
      </x:c>
      <x:c r="B131" s="71" t="n"/>
      <x:c r="C131" s="75" t="str">
        <x:f>IF(B131="","",INDEX('Company Universe'!$B$6:$B$105,MATCH(B131,'Company Universe'!$A$6:$A$105,0)))</x:f>
      </x:c>
      <x:c r="D131" s="75" t="str">
        <x:f>IF(B131="","",INDEX('Company Universe'!$C$6:$C$105,MATCH(B131,'Company Universe'!$A$6:$A$105,0)))</x:f>
      </x:c>
      <x:c r="E131" s="206" t="n"/>
      <x:c r="F131" s="206" t="n"/>
      <x:c r="G131" s="206" t="n"/>
      <x:c r="H131" s="71" t="n"/>
      <x:c r="I131" s="71" t="n"/>
      <x:c r="J131" s="71" t="n"/>
      <x:c r="K131" s="71" t="n"/>
      <x:c r="L131" s="71" t="n"/>
      <x:c r="M131" s="71" t="n"/>
      <x:c r="N131" s="71" t="n"/>
      <x:c r="O131" s="71" t="n"/>
      <x:c r="P131" s="71" t="n"/>
      <x:c r="Q131" s="217" t="n"/>
      <x:c r="R131" s="71" t="n"/>
    </x:row>
    <x:row r="132">
      <x:c r="A132" s="57" t="inlineStr">
        <x:is>
          <x:t xml:space="preserve">FJ-127</x:t>
        </x:is>
      </x:c>
      <x:c r="B132" s="71" t="n"/>
      <x:c r="C132" s="75" t="str">
        <x:f>IF(B132="","",INDEX('Company Universe'!$B$6:$B$105,MATCH(B132,'Company Universe'!$A$6:$A$105,0)))</x:f>
      </x:c>
      <x:c r="D132" s="75" t="str">
        <x:f>IF(B132="","",INDEX('Company Universe'!$C$6:$C$105,MATCH(B132,'Company Universe'!$A$6:$A$105,0)))</x:f>
      </x:c>
      <x:c r="E132" s="206" t="n"/>
      <x:c r="F132" s="206" t="n"/>
      <x:c r="G132" s="206" t="n"/>
      <x:c r="H132" s="71" t="n"/>
      <x:c r="I132" s="71" t="n"/>
      <x:c r="J132" s="71" t="n"/>
      <x:c r="K132" s="71" t="n"/>
      <x:c r="L132" s="71" t="n"/>
      <x:c r="M132" s="71" t="n"/>
      <x:c r="N132" s="71" t="n"/>
      <x:c r="O132" s="71" t="n"/>
      <x:c r="P132" s="71" t="n"/>
      <x:c r="Q132" s="217" t="n"/>
      <x:c r="R132" s="71" t="n"/>
    </x:row>
    <x:row r="133">
      <x:c r="A133" s="57" t="inlineStr">
        <x:is>
          <x:t xml:space="preserve">FJ-128</x:t>
        </x:is>
      </x:c>
      <x:c r="B133" s="71" t="n"/>
      <x:c r="C133" s="75" t="str">
        <x:f>IF(B133="","",INDEX('Company Universe'!$B$6:$B$105,MATCH(B133,'Company Universe'!$A$6:$A$105,0)))</x:f>
      </x:c>
      <x:c r="D133" s="75" t="str">
        <x:f>IF(B133="","",INDEX('Company Universe'!$C$6:$C$105,MATCH(B133,'Company Universe'!$A$6:$A$105,0)))</x:f>
      </x:c>
      <x:c r="E133" s="206" t="n"/>
      <x:c r="F133" s="206" t="n"/>
      <x:c r="G133" s="206" t="n"/>
      <x:c r="H133" s="71" t="n"/>
      <x:c r="I133" s="71" t="n"/>
      <x:c r="J133" s="71" t="n"/>
      <x:c r="K133" s="71" t="n"/>
      <x:c r="L133" s="71" t="n"/>
      <x:c r="M133" s="71" t="n"/>
      <x:c r="N133" s="71" t="n"/>
      <x:c r="O133" s="71" t="n"/>
      <x:c r="P133" s="71" t="n"/>
      <x:c r="Q133" s="217" t="n"/>
      <x:c r="R133" s="71" t="n"/>
    </x:row>
    <x:row r="134">
      <x:c r="A134" s="57" t="inlineStr">
        <x:is>
          <x:t xml:space="preserve">FJ-129</x:t>
        </x:is>
      </x:c>
      <x:c r="B134" s="71" t="n"/>
      <x:c r="C134" s="75" t="str">
        <x:f>IF(B134="","",INDEX('Company Universe'!$B$6:$B$105,MATCH(B134,'Company Universe'!$A$6:$A$105,0)))</x:f>
      </x:c>
      <x:c r="D134" s="75" t="str">
        <x:f>IF(B134="","",INDEX('Company Universe'!$C$6:$C$105,MATCH(B134,'Company Universe'!$A$6:$A$105,0)))</x:f>
      </x:c>
      <x:c r="E134" s="206" t="n"/>
      <x:c r="F134" s="206" t="n"/>
      <x:c r="G134" s="206" t="n"/>
      <x:c r="H134" s="71" t="n"/>
      <x:c r="I134" s="71" t="n"/>
      <x:c r="J134" s="71" t="n"/>
      <x:c r="K134" s="71" t="n"/>
      <x:c r="L134" s="71" t="n"/>
      <x:c r="M134" s="71" t="n"/>
      <x:c r="N134" s="71" t="n"/>
      <x:c r="O134" s="71" t="n"/>
      <x:c r="P134" s="71" t="n"/>
      <x:c r="Q134" s="217" t="n"/>
      <x:c r="R134" s="71" t="n"/>
    </x:row>
    <x:row r="135">
      <x:c r="A135" s="57" t="inlineStr">
        <x:is>
          <x:t xml:space="preserve">FJ-130</x:t>
        </x:is>
      </x:c>
      <x:c r="B135" s="71" t="n"/>
      <x:c r="C135" s="75" t="str">
        <x:f>IF(B135="","",INDEX('Company Universe'!$B$6:$B$105,MATCH(B135,'Company Universe'!$A$6:$A$105,0)))</x:f>
      </x:c>
      <x:c r="D135" s="75" t="str">
        <x:f>IF(B135="","",INDEX('Company Universe'!$C$6:$C$105,MATCH(B135,'Company Universe'!$A$6:$A$105,0)))</x:f>
      </x:c>
      <x:c r="E135" s="206" t="n"/>
      <x:c r="F135" s="206" t="n"/>
      <x:c r="G135" s="206" t="n"/>
      <x:c r="H135" s="71" t="n"/>
      <x:c r="I135" s="71" t="n"/>
      <x:c r="J135" s="71" t="n"/>
      <x:c r="K135" s="71" t="n"/>
      <x:c r="L135" s="71" t="n"/>
      <x:c r="M135" s="71" t="n"/>
      <x:c r="N135" s="71" t="n"/>
      <x:c r="O135" s="71" t="n"/>
      <x:c r="P135" s="71" t="n"/>
      <x:c r="Q135" s="217" t="n"/>
      <x:c r="R135" s="71" t="n"/>
    </x:row>
    <x:row r="136">
      <x:c r="A136" s="57" t="inlineStr">
        <x:is>
          <x:t xml:space="preserve">FJ-131</x:t>
        </x:is>
      </x:c>
      <x:c r="B136" s="71" t="n"/>
      <x:c r="C136" s="75" t="str">
        <x:f>IF(B136="","",INDEX('Company Universe'!$B$6:$B$105,MATCH(B136,'Company Universe'!$A$6:$A$105,0)))</x:f>
      </x:c>
      <x:c r="D136" s="75" t="str">
        <x:f>IF(B136="","",INDEX('Company Universe'!$C$6:$C$105,MATCH(B136,'Company Universe'!$A$6:$A$105,0)))</x:f>
      </x:c>
      <x:c r="E136" s="206" t="n"/>
      <x:c r="F136" s="206" t="n"/>
      <x:c r="G136" s="206" t="n"/>
      <x:c r="H136" s="71" t="n"/>
      <x:c r="I136" s="71" t="n"/>
      <x:c r="J136" s="71" t="n"/>
      <x:c r="K136" s="71" t="n"/>
      <x:c r="L136" s="71" t="n"/>
      <x:c r="M136" s="71" t="n"/>
      <x:c r="N136" s="71" t="n"/>
      <x:c r="O136" s="71" t="n"/>
      <x:c r="P136" s="71" t="n"/>
      <x:c r="Q136" s="217" t="n"/>
      <x:c r="R136" s="71" t="n"/>
    </x:row>
    <x:row r="137">
      <x:c r="A137" s="57" t="inlineStr">
        <x:is>
          <x:t xml:space="preserve">FJ-132</x:t>
        </x:is>
      </x:c>
      <x:c r="B137" s="71" t="n"/>
      <x:c r="C137" s="75" t="str">
        <x:f>IF(B137="","",INDEX('Company Universe'!$B$6:$B$105,MATCH(B137,'Company Universe'!$A$6:$A$105,0)))</x:f>
      </x:c>
      <x:c r="D137" s="75" t="str">
        <x:f>IF(B137="","",INDEX('Company Universe'!$C$6:$C$105,MATCH(B137,'Company Universe'!$A$6:$A$105,0)))</x:f>
      </x:c>
      <x:c r="E137" s="206" t="n"/>
      <x:c r="F137" s="206" t="n"/>
      <x:c r="G137" s="206" t="n"/>
      <x:c r="H137" s="71" t="n"/>
      <x:c r="I137" s="71" t="n"/>
      <x:c r="J137" s="71" t="n"/>
      <x:c r="K137" s="71" t="n"/>
      <x:c r="L137" s="71" t="n"/>
      <x:c r="M137" s="71" t="n"/>
      <x:c r="N137" s="71" t="n"/>
      <x:c r="O137" s="71" t="n"/>
      <x:c r="P137" s="71" t="n"/>
      <x:c r="Q137" s="217" t="n"/>
      <x:c r="R137" s="71" t="n"/>
    </x:row>
    <x:row r="138">
      <x:c r="A138" s="57" t="inlineStr">
        <x:is>
          <x:t xml:space="preserve">FJ-133</x:t>
        </x:is>
      </x:c>
      <x:c r="B138" s="71" t="n"/>
      <x:c r="C138" s="75" t="str">
        <x:f>IF(B138="","",INDEX('Company Universe'!$B$6:$B$105,MATCH(B138,'Company Universe'!$A$6:$A$105,0)))</x:f>
      </x:c>
      <x:c r="D138" s="75" t="str">
        <x:f>IF(B138="","",INDEX('Company Universe'!$C$6:$C$105,MATCH(B138,'Company Universe'!$A$6:$A$105,0)))</x:f>
      </x:c>
      <x:c r="E138" s="206" t="n"/>
      <x:c r="F138" s="206" t="n"/>
      <x:c r="G138" s="206" t="n"/>
      <x:c r="H138" s="71" t="n"/>
      <x:c r="I138" s="71" t="n"/>
      <x:c r="J138" s="71" t="n"/>
      <x:c r="K138" s="71" t="n"/>
      <x:c r="L138" s="71" t="n"/>
      <x:c r="M138" s="71" t="n"/>
      <x:c r="N138" s="71" t="n"/>
      <x:c r="O138" s="71" t="n"/>
      <x:c r="P138" s="71" t="n"/>
      <x:c r="Q138" s="217" t="n"/>
      <x:c r="R138" s="71" t="n"/>
    </x:row>
    <x:row r="139">
      <x:c r="A139" s="57" t="inlineStr">
        <x:is>
          <x:t xml:space="preserve">FJ-134</x:t>
        </x:is>
      </x:c>
      <x:c r="B139" s="71" t="n"/>
      <x:c r="C139" s="75" t="str">
        <x:f>IF(B139="","",INDEX('Company Universe'!$B$6:$B$105,MATCH(B139,'Company Universe'!$A$6:$A$105,0)))</x:f>
      </x:c>
      <x:c r="D139" s="75" t="str">
        <x:f>IF(B139="","",INDEX('Company Universe'!$C$6:$C$105,MATCH(B139,'Company Universe'!$A$6:$A$105,0)))</x:f>
      </x:c>
      <x:c r="E139" s="206" t="n"/>
      <x:c r="F139" s="206" t="n"/>
      <x:c r="G139" s="206" t="n"/>
      <x:c r="H139" s="71" t="n"/>
      <x:c r="I139" s="71" t="n"/>
      <x:c r="J139" s="71" t="n"/>
      <x:c r="K139" s="71" t="n"/>
      <x:c r="L139" s="71" t="n"/>
      <x:c r="M139" s="71" t="n"/>
      <x:c r="N139" s="71" t="n"/>
      <x:c r="O139" s="71" t="n"/>
      <x:c r="P139" s="71" t="n"/>
      <x:c r="Q139" s="217" t="n"/>
      <x:c r="R139" s="71" t="n"/>
    </x:row>
    <x:row r="140">
      <x:c r="A140" s="57" t="inlineStr">
        <x:is>
          <x:t xml:space="preserve">FJ-135</x:t>
        </x:is>
      </x:c>
      <x:c r="B140" s="71" t="n"/>
      <x:c r="C140" s="75" t="str">
        <x:f>IF(B140="","",INDEX('Company Universe'!$B$6:$B$105,MATCH(B140,'Company Universe'!$A$6:$A$105,0)))</x:f>
      </x:c>
      <x:c r="D140" s="75" t="str">
        <x:f>IF(B140="","",INDEX('Company Universe'!$C$6:$C$105,MATCH(B140,'Company Universe'!$A$6:$A$105,0)))</x:f>
      </x:c>
      <x:c r="E140" s="206" t="n"/>
      <x:c r="F140" s="206" t="n"/>
      <x:c r="G140" s="206" t="n"/>
      <x:c r="H140" s="71" t="n"/>
      <x:c r="I140" s="71" t="n"/>
      <x:c r="J140" s="71" t="n"/>
      <x:c r="K140" s="71" t="n"/>
      <x:c r="L140" s="71" t="n"/>
      <x:c r="M140" s="71" t="n"/>
      <x:c r="N140" s="71" t="n"/>
      <x:c r="O140" s="71" t="n"/>
      <x:c r="P140" s="71" t="n"/>
      <x:c r="Q140" s="217" t="n"/>
      <x:c r="R140" s="71" t="n"/>
    </x:row>
    <x:row r="141">
      <x:c r="A141" s="57" t="inlineStr">
        <x:is>
          <x:t xml:space="preserve">FJ-136</x:t>
        </x:is>
      </x:c>
      <x:c r="B141" s="71" t="n"/>
      <x:c r="C141" s="75" t="str">
        <x:f>IF(B141="","",INDEX('Company Universe'!$B$6:$B$105,MATCH(B141,'Company Universe'!$A$6:$A$105,0)))</x:f>
      </x:c>
      <x:c r="D141" s="75" t="str">
        <x:f>IF(B141="","",INDEX('Company Universe'!$C$6:$C$105,MATCH(B141,'Company Universe'!$A$6:$A$105,0)))</x:f>
      </x:c>
      <x:c r="E141" s="206" t="n"/>
      <x:c r="F141" s="206" t="n"/>
      <x:c r="G141" s="206" t="n"/>
      <x:c r="H141" s="71" t="n"/>
      <x:c r="I141" s="71" t="n"/>
      <x:c r="J141" s="71" t="n"/>
      <x:c r="K141" s="71" t="n"/>
      <x:c r="L141" s="71" t="n"/>
      <x:c r="M141" s="71" t="n"/>
      <x:c r="N141" s="71" t="n"/>
      <x:c r="O141" s="71" t="n"/>
      <x:c r="P141" s="71" t="n"/>
      <x:c r="Q141" s="217" t="n"/>
      <x:c r="R141" s="71" t="n"/>
    </x:row>
    <x:row r="142">
      <x:c r="A142" s="57" t="inlineStr">
        <x:is>
          <x:t xml:space="preserve">FJ-137</x:t>
        </x:is>
      </x:c>
      <x:c r="B142" s="71" t="n"/>
      <x:c r="C142" s="75" t="str">
        <x:f>IF(B142="","",INDEX('Company Universe'!$B$6:$B$105,MATCH(B142,'Company Universe'!$A$6:$A$105,0)))</x:f>
      </x:c>
      <x:c r="D142" s="75" t="str">
        <x:f>IF(B142="","",INDEX('Company Universe'!$C$6:$C$105,MATCH(B142,'Company Universe'!$A$6:$A$105,0)))</x:f>
      </x:c>
      <x:c r="E142" s="206" t="n"/>
      <x:c r="F142" s="206" t="n"/>
      <x:c r="G142" s="206" t="n"/>
      <x:c r="H142" s="71" t="n"/>
      <x:c r="I142" s="71" t="n"/>
      <x:c r="J142" s="71" t="n"/>
      <x:c r="K142" s="71" t="n"/>
      <x:c r="L142" s="71" t="n"/>
      <x:c r="M142" s="71" t="n"/>
      <x:c r="N142" s="71" t="n"/>
      <x:c r="O142" s="71" t="n"/>
      <x:c r="P142" s="71" t="n"/>
      <x:c r="Q142" s="217" t="n"/>
      <x:c r="R142" s="71" t="n"/>
    </x:row>
    <x:row r="143">
      <x:c r="A143" s="57" t="inlineStr">
        <x:is>
          <x:t xml:space="preserve">FJ-138</x:t>
        </x:is>
      </x:c>
      <x:c r="B143" s="71" t="n"/>
      <x:c r="C143" s="75" t="str">
        <x:f>IF(B143="","",INDEX('Company Universe'!$B$6:$B$105,MATCH(B143,'Company Universe'!$A$6:$A$105,0)))</x:f>
      </x:c>
      <x:c r="D143" s="75" t="str">
        <x:f>IF(B143="","",INDEX('Company Universe'!$C$6:$C$105,MATCH(B143,'Company Universe'!$A$6:$A$105,0)))</x:f>
      </x:c>
      <x:c r="E143" s="206" t="n"/>
      <x:c r="F143" s="206" t="n"/>
      <x:c r="G143" s="206" t="n"/>
      <x:c r="H143" s="71" t="n"/>
      <x:c r="I143" s="71" t="n"/>
      <x:c r="J143" s="71" t="n"/>
      <x:c r="K143" s="71" t="n"/>
      <x:c r="L143" s="71" t="n"/>
      <x:c r="M143" s="71" t="n"/>
      <x:c r="N143" s="71" t="n"/>
      <x:c r="O143" s="71" t="n"/>
      <x:c r="P143" s="71" t="n"/>
      <x:c r="Q143" s="217" t="n"/>
      <x:c r="R143" s="71" t="n"/>
    </x:row>
    <x:row r="144">
      <x:c r="A144" s="57" t="inlineStr">
        <x:is>
          <x:t xml:space="preserve">FJ-139</x:t>
        </x:is>
      </x:c>
      <x:c r="B144" s="71" t="n"/>
      <x:c r="C144" s="75" t="str">
        <x:f>IF(B144="","",INDEX('Company Universe'!$B$6:$B$105,MATCH(B144,'Company Universe'!$A$6:$A$105,0)))</x:f>
      </x:c>
      <x:c r="D144" s="75" t="str">
        <x:f>IF(B144="","",INDEX('Company Universe'!$C$6:$C$105,MATCH(B144,'Company Universe'!$A$6:$A$105,0)))</x:f>
      </x:c>
      <x:c r="E144" s="206" t="n"/>
      <x:c r="F144" s="206" t="n"/>
      <x:c r="G144" s="206" t="n"/>
      <x:c r="H144" s="71" t="n"/>
      <x:c r="I144" s="71" t="n"/>
      <x:c r="J144" s="71" t="n"/>
      <x:c r="K144" s="71" t="n"/>
      <x:c r="L144" s="71" t="n"/>
      <x:c r="M144" s="71" t="n"/>
      <x:c r="N144" s="71" t="n"/>
      <x:c r="O144" s="71" t="n"/>
      <x:c r="P144" s="71" t="n"/>
      <x:c r="Q144" s="217" t="n"/>
      <x:c r="R144" s="71" t="n"/>
    </x:row>
    <x:row r="145">
      <x:c r="A145" s="57" t="inlineStr">
        <x:is>
          <x:t xml:space="preserve">FJ-140</x:t>
        </x:is>
      </x:c>
      <x:c r="B145" s="71" t="n"/>
      <x:c r="C145" s="75" t="str">
        <x:f>IF(B145="","",INDEX('Company Universe'!$B$6:$B$105,MATCH(B145,'Company Universe'!$A$6:$A$105,0)))</x:f>
      </x:c>
      <x:c r="D145" s="75" t="str">
        <x:f>IF(B145="","",INDEX('Company Universe'!$C$6:$C$105,MATCH(B145,'Company Universe'!$A$6:$A$105,0)))</x:f>
      </x:c>
      <x:c r="E145" s="206" t="n"/>
      <x:c r="F145" s="206" t="n"/>
      <x:c r="G145" s="206" t="n"/>
      <x:c r="H145" s="71" t="n"/>
      <x:c r="I145" s="71" t="n"/>
      <x:c r="J145" s="71" t="n"/>
      <x:c r="K145" s="71" t="n"/>
      <x:c r="L145" s="71" t="n"/>
      <x:c r="M145" s="71" t="n"/>
      <x:c r="N145" s="71" t="n"/>
      <x:c r="O145" s="71" t="n"/>
      <x:c r="P145" s="71" t="n"/>
      <x:c r="Q145" s="217" t="n"/>
      <x:c r="R145" s="71" t="n"/>
    </x:row>
    <x:row r="146">
      <x:c r="A146" s="57" t="inlineStr">
        <x:is>
          <x:t xml:space="preserve">FJ-141</x:t>
        </x:is>
      </x:c>
      <x:c r="B146" s="71" t="n"/>
      <x:c r="C146" s="75" t="str">
        <x:f>IF(B146="","",INDEX('Company Universe'!$B$6:$B$105,MATCH(B146,'Company Universe'!$A$6:$A$105,0)))</x:f>
      </x:c>
      <x:c r="D146" s="75" t="str">
        <x:f>IF(B146="","",INDEX('Company Universe'!$C$6:$C$105,MATCH(B146,'Company Universe'!$A$6:$A$105,0)))</x:f>
      </x:c>
      <x:c r="E146" s="206" t="n"/>
      <x:c r="F146" s="206" t="n"/>
      <x:c r="G146" s="206" t="n"/>
      <x:c r="H146" s="71" t="n"/>
      <x:c r="I146" s="71" t="n"/>
      <x:c r="J146" s="71" t="n"/>
      <x:c r="K146" s="71" t="n"/>
      <x:c r="L146" s="71" t="n"/>
      <x:c r="M146" s="71" t="n"/>
      <x:c r="N146" s="71" t="n"/>
      <x:c r="O146" s="71" t="n"/>
      <x:c r="P146" s="71" t="n"/>
      <x:c r="Q146" s="217" t="n"/>
      <x:c r="R146" s="71" t="n"/>
    </x:row>
    <x:row r="147">
      <x:c r="A147" s="57" t="inlineStr">
        <x:is>
          <x:t xml:space="preserve">FJ-142</x:t>
        </x:is>
      </x:c>
      <x:c r="B147" s="71" t="n"/>
      <x:c r="C147" s="75" t="str">
        <x:f>IF(B147="","",INDEX('Company Universe'!$B$6:$B$105,MATCH(B147,'Company Universe'!$A$6:$A$105,0)))</x:f>
      </x:c>
      <x:c r="D147" s="75" t="str">
        <x:f>IF(B147="","",INDEX('Company Universe'!$C$6:$C$105,MATCH(B147,'Company Universe'!$A$6:$A$105,0)))</x:f>
      </x:c>
      <x:c r="E147" s="206" t="n"/>
      <x:c r="F147" s="206" t="n"/>
      <x:c r="G147" s="206" t="n"/>
      <x:c r="H147" s="71" t="n"/>
      <x:c r="I147" s="71" t="n"/>
      <x:c r="J147" s="71" t="n"/>
      <x:c r="K147" s="71" t="n"/>
      <x:c r="L147" s="71" t="n"/>
      <x:c r="M147" s="71" t="n"/>
      <x:c r="N147" s="71" t="n"/>
      <x:c r="O147" s="71" t="n"/>
      <x:c r="P147" s="71" t="n"/>
      <x:c r="Q147" s="217" t="n"/>
      <x:c r="R147" s="71" t="n"/>
    </x:row>
    <x:row r="148">
      <x:c r="A148" s="57" t="inlineStr">
        <x:is>
          <x:t xml:space="preserve">FJ-143</x:t>
        </x:is>
      </x:c>
      <x:c r="B148" s="71" t="n"/>
      <x:c r="C148" s="75" t="str">
        <x:f>IF(B148="","",INDEX('Company Universe'!$B$6:$B$105,MATCH(B148,'Company Universe'!$A$6:$A$105,0)))</x:f>
      </x:c>
      <x:c r="D148" s="75" t="str">
        <x:f>IF(B148="","",INDEX('Company Universe'!$C$6:$C$105,MATCH(B148,'Company Universe'!$A$6:$A$105,0)))</x:f>
      </x:c>
      <x:c r="E148" s="206" t="n"/>
      <x:c r="F148" s="206" t="n"/>
      <x:c r="G148" s="206" t="n"/>
      <x:c r="H148" s="71" t="n"/>
      <x:c r="I148" s="71" t="n"/>
      <x:c r="J148" s="71" t="n"/>
      <x:c r="K148" s="71" t="n"/>
      <x:c r="L148" s="71" t="n"/>
      <x:c r="M148" s="71" t="n"/>
      <x:c r="N148" s="71" t="n"/>
      <x:c r="O148" s="71" t="n"/>
      <x:c r="P148" s="71" t="n"/>
      <x:c r="Q148" s="217" t="n"/>
      <x:c r="R148" s="71" t="n"/>
    </x:row>
    <x:row r="149">
      <x:c r="A149" s="57" t="inlineStr">
        <x:is>
          <x:t xml:space="preserve">FJ-144</x:t>
        </x:is>
      </x:c>
      <x:c r="B149" s="71" t="n"/>
      <x:c r="C149" s="75" t="str">
        <x:f>IF(B149="","",INDEX('Company Universe'!$B$6:$B$105,MATCH(B149,'Company Universe'!$A$6:$A$105,0)))</x:f>
      </x:c>
      <x:c r="D149" s="75" t="str">
        <x:f>IF(B149="","",INDEX('Company Universe'!$C$6:$C$105,MATCH(B149,'Company Universe'!$A$6:$A$105,0)))</x:f>
      </x:c>
      <x:c r="E149" s="206" t="n"/>
      <x:c r="F149" s="206" t="n"/>
      <x:c r="G149" s="206" t="n"/>
      <x:c r="H149" s="71" t="n"/>
      <x:c r="I149" s="71" t="n"/>
      <x:c r="J149" s="71" t="n"/>
      <x:c r="K149" s="71" t="n"/>
      <x:c r="L149" s="71" t="n"/>
      <x:c r="M149" s="71" t="n"/>
      <x:c r="N149" s="71" t="n"/>
      <x:c r="O149" s="71" t="n"/>
      <x:c r="P149" s="71" t="n"/>
      <x:c r="Q149" s="217" t="n"/>
      <x:c r="R149" s="71" t="n"/>
    </x:row>
    <x:row r="150">
      <x:c r="A150" s="57" t="inlineStr">
        <x:is>
          <x:t xml:space="preserve">FJ-145</x:t>
        </x:is>
      </x:c>
      <x:c r="B150" s="71" t="n"/>
      <x:c r="C150" s="75" t="str">
        <x:f>IF(B150="","",INDEX('Company Universe'!$B$6:$B$105,MATCH(B150,'Company Universe'!$A$6:$A$105,0)))</x:f>
      </x:c>
      <x:c r="D150" s="75" t="str">
        <x:f>IF(B150="","",INDEX('Company Universe'!$C$6:$C$105,MATCH(B150,'Company Universe'!$A$6:$A$105,0)))</x:f>
      </x:c>
      <x:c r="E150" s="206" t="n"/>
      <x:c r="F150" s="206" t="n"/>
      <x:c r="G150" s="206" t="n"/>
      <x:c r="H150" s="71" t="n"/>
      <x:c r="I150" s="71" t="n"/>
      <x:c r="J150" s="71" t="n"/>
      <x:c r="K150" s="71" t="n"/>
      <x:c r="L150" s="71" t="n"/>
      <x:c r="M150" s="71" t="n"/>
      <x:c r="N150" s="71" t="n"/>
      <x:c r="O150" s="71" t="n"/>
      <x:c r="P150" s="71" t="n"/>
      <x:c r="Q150" s="217" t="n"/>
      <x:c r="R150" s="71" t="n"/>
    </x:row>
    <x:row r="151">
      <x:c r="A151" s="57" t="inlineStr">
        <x:is>
          <x:t xml:space="preserve">FJ-146</x:t>
        </x:is>
      </x:c>
      <x:c r="B151" s="71" t="n"/>
      <x:c r="C151" s="75" t="str">
        <x:f>IF(B151="","",INDEX('Company Universe'!$B$6:$B$105,MATCH(B151,'Company Universe'!$A$6:$A$105,0)))</x:f>
      </x:c>
      <x:c r="D151" s="75" t="str">
        <x:f>IF(B151="","",INDEX('Company Universe'!$C$6:$C$105,MATCH(B151,'Company Universe'!$A$6:$A$105,0)))</x:f>
      </x:c>
      <x:c r="E151" s="206" t="n"/>
      <x:c r="F151" s="206" t="n"/>
      <x:c r="G151" s="206" t="n"/>
      <x:c r="H151" s="71" t="n"/>
      <x:c r="I151" s="71" t="n"/>
      <x:c r="J151" s="71" t="n"/>
      <x:c r="K151" s="71" t="n"/>
      <x:c r="L151" s="71" t="n"/>
      <x:c r="M151" s="71" t="n"/>
      <x:c r="N151" s="71" t="n"/>
      <x:c r="O151" s="71" t="n"/>
      <x:c r="P151" s="71" t="n"/>
      <x:c r="Q151" s="217" t="n"/>
      <x:c r="R151" s="71" t="n"/>
    </x:row>
    <x:row r="152">
      <x:c r="A152" s="57" t="inlineStr">
        <x:is>
          <x:t xml:space="preserve">FJ-147</x:t>
        </x:is>
      </x:c>
      <x:c r="B152" s="71" t="n"/>
      <x:c r="C152" s="75" t="str">
        <x:f>IF(B152="","",INDEX('Company Universe'!$B$6:$B$105,MATCH(B152,'Company Universe'!$A$6:$A$105,0)))</x:f>
      </x:c>
      <x:c r="D152" s="75" t="str">
        <x:f>IF(B152="","",INDEX('Company Universe'!$C$6:$C$105,MATCH(B152,'Company Universe'!$A$6:$A$105,0)))</x:f>
      </x:c>
      <x:c r="E152" s="206" t="n"/>
      <x:c r="F152" s="206" t="n"/>
      <x:c r="G152" s="206" t="n"/>
      <x:c r="H152" s="71" t="n"/>
      <x:c r="I152" s="71" t="n"/>
      <x:c r="J152" s="71" t="n"/>
      <x:c r="K152" s="71" t="n"/>
      <x:c r="L152" s="71" t="n"/>
      <x:c r="M152" s="71" t="n"/>
      <x:c r="N152" s="71" t="n"/>
      <x:c r="O152" s="71" t="n"/>
      <x:c r="P152" s="71" t="n"/>
      <x:c r="Q152" s="217" t="n"/>
      <x:c r="R152" s="71" t="n"/>
    </x:row>
    <x:row r="153">
      <x:c r="A153" s="57" t="inlineStr">
        <x:is>
          <x:t xml:space="preserve">FJ-148</x:t>
        </x:is>
      </x:c>
      <x:c r="B153" s="71" t="n"/>
      <x:c r="C153" s="75" t="str">
        <x:f>IF(B153="","",INDEX('Company Universe'!$B$6:$B$105,MATCH(B153,'Company Universe'!$A$6:$A$105,0)))</x:f>
      </x:c>
      <x:c r="D153" s="75" t="str">
        <x:f>IF(B153="","",INDEX('Company Universe'!$C$6:$C$105,MATCH(B153,'Company Universe'!$A$6:$A$105,0)))</x:f>
      </x:c>
      <x:c r="E153" s="206" t="n"/>
      <x:c r="F153" s="206" t="n"/>
      <x:c r="G153" s="206" t="n"/>
      <x:c r="H153" s="71" t="n"/>
      <x:c r="I153" s="71" t="n"/>
      <x:c r="J153" s="71" t="n"/>
      <x:c r="K153" s="71" t="n"/>
      <x:c r="L153" s="71" t="n"/>
      <x:c r="M153" s="71" t="n"/>
      <x:c r="N153" s="71" t="n"/>
      <x:c r="O153" s="71" t="n"/>
      <x:c r="P153" s="71" t="n"/>
      <x:c r="Q153" s="217" t="n"/>
      <x:c r="R153" s="71" t="n"/>
    </x:row>
    <x:row r="154">
      <x:c r="A154" s="57" t="inlineStr">
        <x:is>
          <x:t xml:space="preserve">FJ-149</x:t>
        </x:is>
      </x:c>
      <x:c r="B154" s="71" t="n"/>
      <x:c r="C154" s="75" t="str">
        <x:f>IF(B154="","",INDEX('Company Universe'!$B$6:$B$105,MATCH(B154,'Company Universe'!$A$6:$A$105,0)))</x:f>
      </x:c>
      <x:c r="D154" s="75" t="str">
        <x:f>IF(B154="","",INDEX('Company Universe'!$C$6:$C$105,MATCH(B154,'Company Universe'!$A$6:$A$105,0)))</x:f>
      </x:c>
      <x:c r="E154" s="206" t="n"/>
      <x:c r="F154" s="206" t="n"/>
      <x:c r="G154" s="206" t="n"/>
      <x:c r="H154" s="71" t="n"/>
      <x:c r="I154" s="71" t="n"/>
      <x:c r="J154" s="71" t="n"/>
      <x:c r="K154" s="71" t="n"/>
      <x:c r="L154" s="71" t="n"/>
      <x:c r="M154" s="71" t="n"/>
      <x:c r="N154" s="71" t="n"/>
      <x:c r="O154" s="71" t="n"/>
      <x:c r="P154" s="71" t="n"/>
      <x:c r="Q154" s="217" t="n"/>
      <x:c r="R154" s="71" t="n"/>
    </x:row>
    <x:row r="155">
      <x:c r="A155" s="57" t="inlineStr">
        <x:is>
          <x:t xml:space="preserve">FJ-150</x:t>
        </x:is>
      </x:c>
      <x:c r="B155" s="71" t="n"/>
      <x:c r="C155" s="75" t="str">
        <x:f>IF(B155="","",INDEX('Company Universe'!$B$6:$B$105,MATCH(B155,'Company Universe'!$A$6:$A$105,0)))</x:f>
      </x:c>
      <x:c r="D155" s="75" t="str">
        <x:f>IF(B155="","",INDEX('Company Universe'!$C$6:$C$105,MATCH(B155,'Company Universe'!$A$6:$A$105,0)))</x:f>
      </x:c>
      <x:c r="E155" s="206" t="n"/>
      <x:c r="F155" s="206" t="n"/>
      <x:c r="G155" s="206" t="n"/>
      <x:c r="H155" s="71" t="n"/>
      <x:c r="I155" s="71" t="n"/>
      <x:c r="J155" s="71" t="n"/>
      <x:c r="K155" s="71" t="n"/>
      <x:c r="L155" s="71" t="n"/>
      <x:c r="M155" s="71" t="n"/>
      <x:c r="N155" s="71" t="n"/>
      <x:c r="O155" s="71" t="n"/>
      <x:c r="P155" s="71" t="n"/>
      <x:c r="Q155" s="217" t="n"/>
      <x:c r="R155" s="71" t="n"/>
    </x:row>
    <x:row r="156">
      <x:c r="A156" s="57" t="inlineStr">
        <x:is>
          <x:t xml:space="preserve">FJ-151</x:t>
        </x:is>
      </x:c>
      <x:c r="B156" s="71" t="n"/>
      <x:c r="C156" s="75" t="str">
        <x:f>IF(B156="","",INDEX('Company Universe'!$B$6:$B$105,MATCH(B156,'Company Universe'!$A$6:$A$105,0)))</x:f>
      </x:c>
      <x:c r="D156" s="75" t="str">
        <x:f>IF(B156="","",INDEX('Company Universe'!$C$6:$C$105,MATCH(B156,'Company Universe'!$A$6:$A$105,0)))</x:f>
      </x:c>
      <x:c r="E156" s="206" t="n"/>
      <x:c r="F156" s="206" t="n"/>
      <x:c r="G156" s="206" t="n"/>
      <x:c r="H156" s="71" t="n"/>
      <x:c r="I156" s="71" t="n"/>
      <x:c r="J156" s="71" t="n"/>
      <x:c r="K156" s="71" t="n"/>
      <x:c r="L156" s="71" t="n"/>
      <x:c r="M156" s="71" t="n"/>
      <x:c r="N156" s="71" t="n"/>
      <x:c r="O156" s="71" t="n"/>
      <x:c r="P156" s="71" t="n"/>
      <x:c r="Q156" s="217" t="n"/>
      <x:c r="R156" s="71" t="n"/>
    </x:row>
    <x:row r="157">
      <x:c r="A157" s="57" t="inlineStr">
        <x:is>
          <x:t xml:space="preserve">FJ-152</x:t>
        </x:is>
      </x:c>
      <x:c r="B157" s="71" t="n"/>
      <x:c r="C157" s="75" t="str">
        <x:f>IF(B157="","",INDEX('Company Universe'!$B$6:$B$105,MATCH(B157,'Company Universe'!$A$6:$A$105,0)))</x:f>
      </x:c>
      <x:c r="D157" s="75" t="str">
        <x:f>IF(B157="","",INDEX('Company Universe'!$C$6:$C$105,MATCH(B157,'Company Universe'!$A$6:$A$105,0)))</x:f>
      </x:c>
      <x:c r="E157" s="206" t="n"/>
      <x:c r="F157" s="206" t="n"/>
      <x:c r="G157" s="206" t="n"/>
      <x:c r="H157" s="71" t="n"/>
      <x:c r="I157" s="71" t="n"/>
      <x:c r="J157" s="71" t="n"/>
      <x:c r="K157" s="71" t="n"/>
      <x:c r="L157" s="71" t="n"/>
      <x:c r="M157" s="71" t="n"/>
      <x:c r="N157" s="71" t="n"/>
      <x:c r="O157" s="71" t="n"/>
      <x:c r="P157" s="71" t="n"/>
      <x:c r="Q157" s="217" t="n"/>
      <x:c r="R157" s="71" t="n"/>
    </x:row>
    <x:row r="158">
      <x:c r="A158" s="57" t="inlineStr">
        <x:is>
          <x:t xml:space="preserve">FJ-153</x:t>
        </x:is>
      </x:c>
      <x:c r="B158" s="71" t="n"/>
      <x:c r="C158" s="75" t="str">
        <x:f>IF(B158="","",INDEX('Company Universe'!$B$6:$B$105,MATCH(B158,'Company Universe'!$A$6:$A$105,0)))</x:f>
      </x:c>
      <x:c r="D158" s="75" t="str">
        <x:f>IF(B158="","",INDEX('Company Universe'!$C$6:$C$105,MATCH(B158,'Company Universe'!$A$6:$A$105,0)))</x:f>
      </x:c>
      <x:c r="E158" s="206" t="n"/>
      <x:c r="F158" s="206" t="n"/>
      <x:c r="G158" s="206" t="n"/>
      <x:c r="H158" s="71" t="n"/>
      <x:c r="I158" s="71" t="n"/>
      <x:c r="J158" s="71" t="n"/>
      <x:c r="K158" s="71" t="n"/>
      <x:c r="L158" s="71" t="n"/>
      <x:c r="M158" s="71" t="n"/>
      <x:c r="N158" s="71" t="n"/>
      <x:c r="O158" s="71" t="n"/>
      <x:c r="P158" s="71" t="n"/>
      <x:c r="Q158" s="217" t="n"/>
      <x:c r="R158" s="71" t="n"/>
    </x:row>
    <x:row r="159">
      <x:c r="A159" s="57" t="inlineStr">
        <x:is>
          <x:t xml:space="preserve">FJ-154</x:t>
        </x:is>
      </x:c>
      <x:c r="B159" s="71" t="n"/>
      <x:c r="C159" s="75" t="str">
        <x:f>IF(B159="","",INDEX('Company Universe'!$B$6:$B$105,MATCH(B159,'Company Universe'!$A$6:$A$105,0)))</x:f>
      </x:c>
      <x:c r="D159" s="75" t="str">
        <x:f>IF(B159="","",INDEX('Company Universe'!$C$6:$C$105,MATCH(B159,'Company Universe'!$A$6:$A$105,0)))</x:f>
      </x:c>
      <x:c r="E159" s="206" t="n"/>
      <x:c r="F159" s="206" t="n"/>
      <x:c r="G159" s="206" t="n"/>
      <x:c r="H159" s="71" t="n"/>
      <x:c r="I159" s="71" t="n"/>
      <x:c r="J159" s="71" t="n"/>
      <x:c r="K159" s="71" t="n"/>
      <x:c r="L159" s="71" t="n"/>
      <x:c r="M159" s="71" t="n"/>
      <x:c r="N159" s="71" t="n"/>
      <x:c r="O159" s="71" t="n"/>
      <x:c r="P159" s="71" t="n"/>
      <x:c r="Q159" s="217" t="n"/>
      <x:c r="R159" s="71" t="n"/>
    </x:row>
    <x:row r="160">
      <x:c r="A160" s="57" t="inlineStr">
        <x:is>
          <x:t xml:space="preserve">FJ-155</x:t>
        </x:is>
      </x:c>
      <x:c r="B160" s="71" t="n"/>
      <x:c r="C160" s="75" t="str">
        <x:f>IF(B160="","",INDEX('Company Universe'!$B$6:$B$105,MATCH(B160,'Company Universe'!$A$6:$A$105,0)))</x:f>
      </x:c>
      <x:c r="D160" s="75" t="str">
        <x:f>IF(B160="","",INDEX('Company Universe'!$C$6:$C$105,MATCH(B160,'Company Universe'!$A$6:$A$105,0)))</x:f>
      </x:c>
      <x:c r="E160" s="206" t="n"/>
      <x:c r="F160" s="206" t="n"/>
      <x:c r="G160" s="206" t="n"/>
      <x:c r="H160" s="71" t="n"/>
      <x:c r="I160" s="71" t="n"/>
      <x:c r="J160" s="71" t="n"/>
      <x:c r="K160" s="71" t="n"/>
      <x:c r="L160" s="71" t="n"/>
      <x:c r="M160" s="71" t="n"/>
      <x:c r="N160" s="71" t="n"/>
      <x:c r="O160" s="71" t="n"/>
      <x:c r="P160" s="71" t="n"/>
      <x:c r="Q160" s="217" t="n"/>
      <x:c r="R160" s="71" t="n"/>
    </x:row>
    <x:row r="161">
      <x:c r="A161" s="57" t="inlineStr">
        <x:is>
          <x:t xml:space="preserve">FJ-156</x:t>
        </x:is>
      </x:c>
      <x:c r="B161" s="71" t="n"/>
      <x:c r="C161" s="75" t="str">
        <x:f>IF(B161="","",INDEX('Company Universe'!$B$6:$B$105,MATCH(B161,'Company Universe'!$A$6:$A$105,0)))</x:f>
      </x:c>
      <x:c r="D161" s="75" t="str">
        <x:f>IF(B161="","",INDEX('Company Universe'!$C$6:$C$105,MATCH(B161,'Company Universe'!$A$6:$A$105,0)))</x:f>
      </x:c>
      <x:c r="E161" s="206" t="n"/>
      <x:c r="F161" s="206" t="n"/>
      <x:c r="G161" s="206" t="n"/>
      <x:c r="H161" s="71" t="n"/>
      <x:c r="I161" s="71" t="n"/>
      <x:c r="J161" s="71" t="n"/>
      <x:c r="K161" s="71" t="n"/>
      <x:c r="L161" s="71" t="n"/>
      <x:c r="M161" s="71" t="n"/>
      <x:c r="N161" s="71" t="n"/>
      <x:c r="O161" s="71" t="n"/>
      <x:c r="P161" s="71" t="n"/>
      <x:c r="Q161" s="217" t="n"/>
      <x:c r="R161" s="71" t="n"/>
    </x:row>
    <x:row r="162">
      <x:c r="A162" s="57" t="inlineStr">
        <x:is>
          <x:t xml:space="preserve">FJ-157</x:t>
        </x:is>
      </x:c>
      <x:c r="B162" s="71" t="n"/>
      <x:c r="C162" s="75" t="str">
        <x:f>IF(B162="","",INDEX('Company Universe'!$B$6:$B$105,MATCH(B162,'Company Universe'!$A$6:$A$105,0)))</x:f>
      </x:c>
      <x:c r="D162" s="75" t="str">
        <x:f>IF(B162="","",INDEX('Company Universe'!$C$6:$C$105,MATCH(B162,'Company Universe'!$A$6:$A$105,0)))</x:f>
      </x:c>
      <x:c r="E162" s="206" t="n"/>
      <x:c r="F162" s="206" t="n"/>
      <x:c r="G162" s="206" t="n"/>
      <x:c r="H162" s="71" t="n"/>
      <x:c r="I162" s="71" t="n"/>
      <x:c r="J162" s="71" t="n"/>
      <x:c r="K162" s="71" t="n"/>
      <x:c r="L162" s="71" t="n"/>
      <x:c r="M162" s="71" t="n"/>
      <x:c r="N162" s="71" t="n"/>
      <x:c r="O162" s="71" t="n"/>
      <x:c r="P162" s="71" t="n"/>
      <x:c r="Q162" s="217" t="n"/>
      <x:c r="R162" s="71" t="n"/>
    </x:row>
    <x:row r="163">
      <x:c r="A163" s="57" t="inlineStr">
        <x:is>
          <x:t xml:space="preserve">FJ-158</x:t>
        </x:is>
      </x:c>
      <x:c r="B163" s="71" t="n"/>
      <x:c r="C163" s="75" t="str">
        <x:f>IF(B163="","",INDEX('Company Universe'!$B$6:$B$105,MATCH(B163,'Company Universe'!$A$6:$A$105,0)))</x:f>
      </x:c>
      <x:c r="D163" s="75" t="str">
        <x:f>IF(B163="","",INDEX('Company Universe'!$C$6:$C$105,MATCH(B163,'Company Universe'!$A$6:$A$105,0)))</x:f>
      </x:c>
      <x:c r="E163" s="206" t="n"/>
      <x:c r="F163" s="206" t="n"/>
      <x:c r="G163" s="206" t="n"/>
      <x:c r="H163" s="71" t="n"/>
      <x:c r="I163" s="71" t="n"/>
      <x:c r="J163" s="71" t="n"/>
      <x:c r="K163" s="71" t="n"/>
      <x:c r="L163" s="71" t="n"/>
      <x:c r="M163" s="71" t="n"/>
      <x:c r="N163" s="71" t="n"/>
      <x:c r="O163" s="71" t="n"/>
      <x:c r="P163" s="71" t="n"/>
      <x:c r="Q163" s="217" t="n"/>
      <x:c r="R163" s="71" t="n"/>
    </x:row>
    <x:row r="164">
      <x:c r="A164" s="57" t="inlineStr">
        <x:is>
          <x:t xml:space="preserve">FJ-159</x:t>
        </x:is>
      </x:c>
      <x:c r="B164" s="71" t="n"/>
      <x:c r="C164" s="75" t="str">
        <x:f>IF(B164="","",INDEX('Company Universe'!$B$6:$B$105,MATCH(B164,'Company Universe'!$A$6:$A$105,0)))</x:f>
      </x:c>
      <x:c r="D164" s="75" t="str">
        <x:f>IF(B164="","",INDEX('Company Universe'!$C$6:$C$105,MATCH(B164,'Company Universe'!$A$6:$A$105,0)))</x:f>
      </x:c>
      <x:c r="E164" s="206" t="n"/>
      <x:c r="F164" s="206" t="n"/>
      <x:c r="G164" s="206" t="n"/>
      <x:c r="H164" s="71" t="n"/>
      <x:c r="I164" s="71" t="n"/>
      <x:c r="J164" s="71" t="n"/>
      <x:c r="K164" s="71" t="n"/>
      <x:c r="L164" s="71" t="n"/>
      <x:c r="M164" s="71" t="n"/>
      <x:c r="N164" s="71" t="n"/>
      <x:c r="O164" s="71" t="n"/>
      <x:c r="P164" s="71" t="n"/>
      <x:c r="Q164" s="217" t="n"/>
      <x:c r="R164" s="71" t="n"/>
    </x:row>
    <x:row r="165">
      <x:c r="A165" s="57" t="inlineStr">
        <x:is>
          <x:t xml:space="preserve">FJ-160</x:t>
        </x:is>
      </x:c>
      <x:c r="B165" s="71" t="n"/>
      <x:c r="C165" s="75" t="str">
        <x:f>IF(B165="","",INDEX('Company Universe'!$B$6:$B$105,MATCH(B165,'Company Universe'!$A$6:$A$105,0)))</x:f>
      </x:c>
      <x:c r="D165" s="75" t="str">
        <x:f>IF(B165="","",INDEX('Company Universe'!$C$6:$C$105,MATCH(B165,'Company Universe'!$A$6:$A$105,0)))</x:f>
      </x:c>
      <x:c r="E165" s="206" t="n"/>
      <x:c r="F165" s="206" t="n"/>
      <x:c r="G165" s="206" t="n"/>
      <x:c r="H165" s="71" t="n"/>
      <x:c r="I165" s="71" t="n"/>
      <x:c r="J165" s="71" t="n"/>
      <x:c r="K165" s="71" t="n"/>
      <x:c r="L165" s="71" t="n"/>
      <x:c r="M165" s="71" t="n"/>
      <x:c r="N165" s="71" t="n"/>
      <x:c r="O165" s="71" t="n"/>
      <x:c r="P165" s="71" t="n"/>
      <x:c r="Q165" s="217" t="n"/>
      <x:c r="R165" s="71" t="n"/>
    </x:row>
    <x:row r="166">
      <x:c r="A166" s="57" t="inlineStr">
        <x:is>
          <x:t xml:space="preserve">FJ-161</x:t>
        </x:is>
      </x:c>
      <x:c r="B166" s="71" t="n"/>
      <x:c r="C166" s="75" t="str">
        <x:f>IF(B166="","",INDEX('Company Universe'!$B$6:$B$105,MATCH(B166,'Company Universe'!$A$6:$A$105,0)))</x:f>
      </x:c>
      <x:c r="D166" s="75" t="str">
        <x:f>IF(B166="","",INDEX('Company Universe'!$C$6:$C$105,MATCH(B166,'Company Universe'!$A$6:$A$105,0)))</x:f>
      </x:c>
      <x:c r="E166" s="206" t="n"/>
      <x:c r="F166" s="206" t="n"/>
      <x:c r="G166" s="206" t="n"/>
      <x:c r="H166" s="71" t="n"/>
      <x:c r="I166" s="71" t="n"/>
      <x:c r="J166" s="71" t="n"/>
      <x:c r="K166" s="71" t="n"/>
      <x:c r="L166" s="71" t="n"/>
      <x:c r="M166" s="71" t="n"/>
      <x:c r="N166" s="71" t="n"/>
      <x:c r="O166" s="71" t="n"/>
      <x:c r="P166" s="71" t="n"/>
      <x:c r="Q166" s="217" t="n"/>
      <x:c r="R166" s="71" t="n"/>
    </x:row>
    <x:row r="167">
      <x:c r="A167" s="57" t="inlineStr">
        <x:is>
          <x:t xml:space="preserve">FJ-162</x:t>
        </x:is>
      </x:c>
      <x:c r="B167" s="71" t="n"/>
      <x:c r="C167" s="75" t="str">
        <x:f>IF(B167="","",INDEX('Company Universe'!$B$6:$B$105,MATCH(B167,'Company Universe'!$A$6:$A$105,0)))</x:f>
      </x:c>
      <x:c r="D167" s="75" t="str">
        <x:f>IF(B167="","",INDEX('Company Universe'!$C$6:$C$105,MATCH(B167,'Company Universe'!$A$6:$A$105,0)))</x:f>
      </x:c>
      <x:c r="E167" s="206" t="n"/>
      <x:c r="F167" s="206" t="n"/>
      <x:c r="G167" s="206" t="n"/>
      <x:c r="H167" s="71" t="n"/>
      <x:c r="I167" s="71" t="n"/>
      <x:c r="J167" s="71" t="n"/>
      <x:c r="K167" s="71" t="n"/>
      <x:c r="L167" s="71" t="n"/>
      <x:c r="M167" s="71" t="n"/>
      <x:c r="N167" s="71" t="n"/>
      <x:c r="O167" s="71" t="n"/>
      <x:c r="P167" s="71" t="n"/>
      <x:c r="Q167" s="217" t="n"/>
      <x:c r="R167" s="71" t="n"/>
    </x:row>
    <x:row r="168">
      <x:c r="A168" s="57" t="inlineStr">
        <x:is>
          <x:t xml:space="preserve">FJ-163</x:t>
        </x:is>
      </x:c>
      <x:c r="B168" s="71" t="n"/>
      <x:c r="C168" s="75" t="str">
        <x:f>IF(B168="","",INDEX('Company Universe'!$B$6:$B$105,MATCH(B168,'Company Universe'!$A$6:$A$105,0)))</x:f>
      </x:c>
      <x:c r="D168" s="75" t="str">
        <x:f>IF(B168="","",INDEX('Company Universe'!$C$6:$C$105,MATCH(B168,'Company Universe'!$A$6:$A$105,0)))</x:f>
      </x:c>
      <x:c r="E168" s="206" t="n"/>
      <x:c r="F168" s="206" t="n"/>
      <x:c r="G168" s="206" t="n"/>
      <x:c r="H168" s="71" t="n"/>
      <x:c r="I168" s="71" t="n"/>
      <x:c r="J168" s="71" t="n"/>
      <x:c r="K168" s="71" t="n"/>
      <x:c r="L168" s="71" t="n"/>
      <x:c r="M168" s="71" t="n"/>
      <x:c r="N168" s="71" t="n"/>
      <x:c r="O168" s="71" t="n"/>
      <x:c r="P168" s="71" t="n"/>
      <x:c r="Q168" s="217" t="n"/>
      <x:c r="R168" s="71" t="n"/>
    </x:row>
    <x:row r="169">
      <x:c r="A169" s="57" t="inlineStr">
        <x:is>
          <x:t xml:space="preserve">FJ-164</x:t>
        </x:is>
      </x:c>
      <x:c r="B169" s="71" t="n"/>
      <x:c r="C169" s="75" t="str">
        <x:f>IF(B169="","",INDEX('Company Universe'!$B$6:$B$105,MATCH(B169,'Company Universe'!$A$6:$A$105,0)))</x:f>
      </x:c>
      <x:c r="D169" s="75" t="str">
        <x:f>IF(B169="","",INDEX('Company Universe'!$C$6:$C$105,MATCH(B169,'Company Universe'!$A$6:$A$105,0)))</x:f>
      </x:c>
      <x:c r="E169" s="206" t="n"/>
      <x:c r="F169" s="206" t="n"/>
      <x:c r="G169" s="206" t="n"/>
      <x:c r="H169" s="71" t="n"/>
      <x:c r="I169" s="71" t="n"/>
      <x:c r="J169" s="71" t="n"/>
      <x:c r="K169" s="71" t="n"/>
      <x:c r="L169" s="71" t="n"/>
      <x:c r="M169" s="71" t="n"/>
      <x:c r="N169" s="71" t="n"/>
      <x:c r="O169" s="71" t="n"/>
      <x:c r="P169" s="71" t="n"/>
      <x:c r="Q169" s="217" t="n"/>
      <x:c r="R169" s="71" t="n"/>
    </x:row>
    <x:row r="170">
      <x:c r="A170" s="57" t="inlineStr">
        <x:is>
          <x:t xml:space="preserve">FJ-165</x:t>
        </x:is>
      </x:c>
      <x:c r="B170" s="71" t="n"/>
      <x:c r="C170" s="75" t="str">
        <x:f>IF(B170="","",INDEX('Company Universe'!$B$6:$B$105,MATCH(B170,'Company Universe'!$A$6:$A$105,0)))</x:f>
      </x:c>
      <x:c r="D170" s="75" t="str">
        <x:f>IF(B170="","",INDEX('Company Universe'!$C$6:$C$105,MATCH(B170,'Company Universe'!$A$6:$A$105,0)))</x:f>
      </x:c>
      <x:c r="E170" s="206" t="n"/>
      <x:c r="F170" s="206" t="n"/>
      <x:c r="G170" s="206" t="n"/>
      <x:c r="H170" s="71" t="n"/>
      <x:c r="I170" s="71" t="n"/>
      <x:c r="J170" s="71" t="n"/>
      <x:c r="K170" s="71" t="n"/>
      <x:c r="L170" s="71" t="n"/>
      <x:c r="M170" s="71" t="n"/>
      <x:c r="N170" s="71" t="n"/>
      <x:c r="O170" s="71" t="n"/>
      <x:c r="P170" s="71" t="n"/>
      <x:c r="Q170" s="217" t="n"/>
      <x:c r="R170" s="71" t="n"/>
    </x:row>
    <x:row r="171">
      <x:c r="A171" s="57" t="inlineStr">
        <x:is>
          <x:t xml:space="preserve">FJ-166</x:t>
        </x:is>
      </x:c>
      <x:c r="B171" s="71" t="n"/>
      <x:c r="C171" s="75" t="str">
        <x:f>IF(B171="","",INDEX('Company Universe'!$B$6:$B$105,MATCH(B171,'Company Universe'!$A$6:$A$105,0)))</x:f>
      </x:c>
      <x:c r="D171" s="75" t="str">
        <x:f>IF(B171="","",INDEX('Company Universe'!$C$6:$C$105,MATCH(B171,'Company Universe'!$A$6:$A$105,0)))</x:f>
      </x:c>
      <x:c r="E171" s="206" t="n"/>
      <x:c r="F171" s="206" t="n"/>
      <x:c r="G171" s="206" t="n"/>
      <x:c r="H171" s="71" t="n"/>
      <x:c r="I171" s="71" t="n"/>
      <x:c r="J171" s="71" t="n"/>
      <x:c r="K171" s="71" t="n"/>
      <x:c r="L171" s="71" t="n"/>
      <x:c r="M171" s="71" t="n"/>
      <x:c r="N171" s="71" t="n"/>
      <x:c r="O171" s="71" t="n"/>
      <x:c r="P171" s="71" t="n"/>
      <x:c r="Q171" s="217" t="n"/>
      <x:c r="R171" s="71" t="n"/>
    </x:row>
    <x:row r="172">
      <x:c r="A172" s="57" t="inlineStr">
        <x:is>
          <x:t xml:space="preserve">FJ-167</x:t>
        </x:is>
      </x:c>
      <x:c r="B172" s="71" t="n"/>
      <x:c r="C172" s="75" t="str">
        <x:f>IF(B172="","",INDEX('Company Universe'!$B$6:$B$105,MATCH(B172,'Company Universe'!$A$6:$A$105,0)))</x:f>
      </x:c>
      <x:c r="D172" s="75" t="str">
        <x:f>IF(B172="","",INDEX('Company Universe'!$C$6:$C$105,MATCH(B172,'Company Universe'!$A$6:$A$105,0)))</x:f>
      </x:c>
      <x:c r="E172" s="206" t="n"/>
      <x:c r="F172" s="206" t="n"/>
      <x:c r="G172" s="206" t="n"/>
      <x:c r="H172" s="71" t="n"/>
      <x:c r="I172" s="71" t="n"/>
      <x:c r="J172" s="71" t="n"/>
      <x:c r="K172" s="71" t="n"/>
      <x:c r="L172" s="71" t="n"/>
      <x:c r="M172" s="71" t="n"/>
      <x:c r="N172" s="71" t="n"/>
      <x:c r="O172" s="71" t="n"/>
      <x:c r="P172" s="71" t="n"/>
      <x:c r="Q172" s="217" t="n"/>
      <x:c r="R172" s="71" t="n"/>
    </x:row>
    <x:row r="173">
      <x:c r="A173" s="57" t="inlineStr">
        <x:is>
          <x:t xml:space="preserve">FJ-168</x:t>
        </x:is>
      </x:c>
      <x:c r="B173" s="71" t="n"/>
      <x:c r="C173" s="75" t="str">
        <x:f>IF(B173="","",INDEX('Company Universe'!$B$6:$B$105,MATCH(B173,'Company Universe'!$A$6:$A$105,0)))</x:f>
      </x:c>
      <x:c r="D173" s="75" t="str">
        <x:f>IF(B173="","",INDEX('Company Universe'!$C$6:$C$105,MATCH(B173,'Company Universe'!$A$6:$A$105,0)))</x:f>
      </x:c>
      <x:c r="E173" s="206" t="n"/>
      <x:c r="F173" s="206" t="n"/>
      <x:c r="G173" s="206" t="n"/>
      <x:c r="H173" s="71" t="n"/>
      <x:c r="I173" s="71" t="n"/>
      <x:c r="J173" s="71" t="n"/>
      <x:c r="K173" s="71" t="n"/>
      <x:c r="L173" s="71" t="n"/>
      <x:c r="M173" s="71" t="n"/>
      <x:c r="N173" s="71" t="n"/>
      <x:c r="O173" s="71" t="n"/>
      <x:c r="P173" s="71" t="n"/>
      <x:c r="Q173" s="217" t="n"/>
      <x:c r="R173" s="71" t="n"/>
    </x:row>
    <x:row r="174">
      <x:c r="A174" s="57" t="inlineStr">
        <x:is>
          <x:t xml:space="preserve">FJ-169</x:t>
        </x:is>
      </x:c>
      <x:c r="B174" s="71" t="n"/>
      <x:c r="C174" s="75" t="str">
        <x:f>IF(B174="","",INDEX('Company Universe'!$B$6:$B$105,MATCH(B174,'Company Universe'!$A$6:$A$105,0)))</x:f>
      </x:c>
      <x:c r="D174" s="75" t="str">
        <x:f>IF(B174="","",INDEX('Company Universe'!$C$6:$C$105,MATCH(B174,'Company Universe'!$A$6:$A$105,0)))</x:f>
      </x:c>
      <x:c r="E174" s="206" t="n"/>
      <x:c r="F174" s="206" t="n"/>
      <x:c r="G174" s="206" t="n"/>
      <x:c r="H174" s="71" t="n"/>
      <x:c r="I174" s="71" t="n"/>
      <x:c r="J174" s="71" t="n"/>
      <x:c r="K174" s="71" t="n"/>
      <x:c r="L174" s="71" t="n"/>
      <x:c r="M174" s="71" t="n"/>
      <x:c r="N174" s="71" t="n"/>
      <x:c r="O174" s="71" t="n"/>
      <x:c r="P174" s="71" t="n"/>
      <x:c r="Q174" s="217" t="n"/>
      <x:c r="R174" s="71" t="n"/>
    </x:row>
    <x:row r="175">
      <x:c r="A175" s="57" t="inlineStr">
        <x:is>
          <x:t xml:space="preserve">FJ-170</x:t>
        </x:is>
      </x:c>
      <x:c r="B175" s="71" t="n"/>
      <x:c r="C175" s="75" t="str">
        <x:f>IF(B175="","",INDEX('Company Universe'!$B$6:$B$105,MATCH(B175,'Company Universe'!$A$6:$A$105,0)))</x:f>
      </x:c>
      <x:c r="D175" s="75" t="str">
        <x:f>IF(B175="","",INDEX('Company Universe'!$C$6:$C$105,MATCH(B175,'Company Universe'!$A$6:$A$105,0)))</x:f>
      </x:c>
      <x:c r="E175" s="206" t="n"/>
      <x:c r="F175" s="206" t="n"/>
      <x:c r="G175" s="206" t="n"/>
      <x:c r="H175" s="71" t="n"/>
      <x:c r="I175" s="71" t="n"/>
      <x:c r="J175" s="71" t="n"/>
      <x:c r="K175" s="71" t="n"/>
      <x:c r="L175" s="71" t="n"/>
      <x:c r="M175" s="71" t="n"/>
      <x:c r="N175" s="71" t="n"/>
      <x:c r="O175" s="71" t="n"/>
      <x:c r="P175" s="71" t="n"/>
      <x:c r="Q175" s="217" t="n"/>
      <x:c r="R175" s="71" t="n"/>
    </x:row>
    <x:row r="176">
      <x:c r="A176" s="57" t="inlineStr">
        <x:is>
          <x:t xml:space="preserve">FJ-171</x:t>
        </x:is>
      </x:c>
      <x:c r="B176" s="71" t="n"/>
      <x:c r="C176" s="75" t="str">
        <x:f>IF(B176="","",INDEX('Company Universe'!$B$6:$B$105,MATCH(B176,'Company Universe'!$A$6:$A$105,0)))</x:f>
      </x:c>
      <x:c r="D176" s="75" t="str">
        <x:f>IF(B176="","",INDEX('Company Universe'!$C$6:$C$105,MATCH(B176,'Company Universe'!$A$6:$A$105,0)))</x:f>
      </x:c>
      <x:c r="E176" s="206" t="n"/>
      <x:c r="F176" s="206" t="n"/>
      <x:c r="G176" s="206" t="n"/>
      <x:c r="H176" s="71" t="n"/>
      <x:c r="I176" s="71" t="n"/>
      <x:c r="J176" s="71" t="n"/>
      <x:c r="K176" s="71" t="n"/>
      <x:c r="L176" s="71" t="n"/>
      <x:c r="M176" s="71" t="n"/>
      <x:c r="N176" s="71" t="n"/>
      <x:c r="O176" s="71" t="n"/>
      <x:c r="P176" s="71" t="n"/>
      <x:c r="Q176" s="217" t="n"/>
      <x:c r="R176" s="71" t="n"/>
    </x:row>
    <x:row r="177">
      <x:c r="A177" s="57" t="inlineStr">
        <x:is>
          <x:t xml:space="preserve">FJ-172</x:t>
        </x:is>
      </x:c>
      <x:c r="B177" s="71" t="n"/>
      <x:c r="C177" s="75" t="str">
        <x:f>IF(B177="","",INDEX('Company Universe'!$B$6:$B$105,MATCH(B177,'Company Universe'!$A$6:$A$105,0)))</x:f>
      </x:c>
      <x:c r="D177" s="75" t="str">
        <x:f>IF(B177="","",INDEX('Company Universe'!$C$6:$C$105,MATCH(B177,'Company Universe'!$A$6:$A$105,0)))</x:f>
      </x:c>
      <x:c r="E177" s="206" t="n"/>
      <x:c r="F177" s="206" t="n"/>
      <x:c r="G177" s="206" t="n"/>
      <x:c r="H177" s="71" t="n"/>
      <x:c r="I177" s="71" t="n"/>
      <x:c r="J177" s="71" t="n"/>
      <x:c r="K177" s="71" t="n"/>
      <x:c r="L177" s="71" t="n"/>
      <x:c r="M177" s="71" t="n"/>
      <x:c r="N177" s="71" t="n"/>
      <x:c r="O177" s="71" t="n"/>
      <x:c r="P177" s="71" t="n"/>
      <x:c r="Q177" s="217" t="n"/>
      <x:c r="R177" s="71" t="n"/>
    </x:row>
    <x:row r="178">
      <x:c r="A178" s="57" t="inlineStr">
        <x:is>
          <x:t xml:space="preserve">FJ-173</x:t>
        </x:is>
      </x:c>
      <x:c r="B178" s="71" t="n"/>
      <x:c r="C178" s="75" t="str">
        <x:f>IF(B178="","",INDEX('Company Universe'!$B$6:$B$105,MATCH(B178,'Company Universe'!$A$6:$A$105,0)))</x:f>
      </x:c>
      <x:c r="D178" s="75" t="str">
        <x:f>IF(B178="","",INDEX('Company Universe'!$C$6:$C$105,MATCH(B178,'Company Universe'!$A$6:$A$105,0)))</x:f>
      </x:c>
      <x:c r="E178" s="206" t="n"/>
      <x:c r="F178" s="206" t="n"/>
      <x:c r="G178" s="206" t="n"/>
      <x:c r="H178" s="71" t="n"/>
      <x:c r="I178" s="71" t="n"/>
      <x:c r="J178" s="71" t="n"/>
      <x:c r="K178" s="71" t="n"/>
      <x:c r="L178" s="71" t="n"/>
      <x:c r="M178" s="71" t="n"/>
      <x:c r="N178" s="71" t="n"/>
      <x:c r="O178" s="71" t="n"/>
      <x:c r="P178" s="71" t="n"/>
      <x:c r="Q178" s="217" t="n"/>
      <x:c r="R178" s="71" t="n"/>
    </x:row>
    <x:row r="179">
      <x:c r="A179" s="57" t="inlineStr">
        <x:is>
          <x:t xml:space="preserve">FJ-174</x:t>
        </x:is>
      </x:c>
      <x:c r="B179" s="71" t="n"/>
      <x:c r="C179" s="75" t="str">
        <x:f>IF(B179="","",INDEX('Company Universe'!$B$6:$B$105,MATCH(B179,'Company Universe'!$A$6:$A$105,0)))</x:f>
      </x:c>
      <x:c r="D179" s="75" t="str">
        <x:f>IF(B179="","",INDEX('Company Universe'!$C$6:$C$105,MATCH(B179,'Company Universe'!$A$6:$A$105,0)))</x:f>
      </x:c>
      <x:c r="E179" s="206" t="n"/>
      <x:c r="F179" s="206" t="n"/>
      <x:c r="G179" s="206" t="n"/>
      <x:c r="H179" s="71" t="n"/>
      <x:c r="I179" s="71" t="n"/>
      <x:c r="J179" s="71" t="n"/>
      <x:c r="K179" s="71" t="n"/>
      <x:c r="L179" s="71" t="n"/>
      <x:c r="M179" s="71" t="n"/>
      <x:c r="N179" s="71" t="n"/>
      <x:c r="O179" s="71" t="n"/>
      <x:c r="P179" s="71" t="n"/>
      <x:c r="Q179" s="217" t="n"/>
      <x:c r="R179" s="71" t="n"/>
    </x:row>
    <x:row r="180">
      <x:c r="A180" s="57" t="inlineStr">
        <x:is>
          <x:t xml:space="preserve">FJ-175</x:t>
        </x:is>
      </x:c>
      <x:c r="B180" s="71" t="n"/>
      <x:c r="C180" s="75" t="str">
        <x:f>IF(B180="","",INDEX('Company Universe'!$B$6:$B$105,MATCH(B180,'Company Universe'!$A$6:$A$105,0)))</x:f>
      </x:c>
      <x:c r="D180" s="75" t="str">
        <x:f>IF(B180="","",INDEX('Company Universe'!$C$6:$C$105,MATCH(B180,'Company Universe'!$A$6:$A$105,0)))</x:f>
      </x:c>
      <x:c r="E180" s="206" t="n"/>
      <x:c r="F180" s="206" t="n"/>
      <x:c r="G180" s="206" t="n"/>
      <x:c r="H180" s="71" t="n"/>
      <x:c r="I180" s="71" t="n"/>
      <x:c r="J180" s="71" t="n"/>
      <x:c r="K180" s="71" t="n"/>
      <x:c r="L180" s="71" t="n"/>
      <x:c r="M180" s="71" t="n"/>
      <x:c r="N180" s="71" t="n"/>
      <x:c r="O180" s="71" t="n"/>
      <x:c r="P180" s="71" t="n"/>
      <x:c r="Q180" s="217" t="n"/>
      <x:c r="R180" s="71" t="n"/>
    </x:row>
    <x:row r="181">
      <x:c r="A181" s="57" t="inlineStr">
        <x:is>
          <x:t xml:space="preserve">FJ-176</x:t>
        </x:is>
      </x:c>
      <x:c r="B181" s="71" t="n"/>
      <x:c r="C181" s="75" t="str">
        <x:f>IF(B181="","",INDEX('Company Universe'!$B$6:$B$105,MATCH(B181,'Company Universe'!$A$6:$A$105,0)))</x:f>
      </x:c>
      <x:c r="D181" s="75" t="str">
        <x:f>IF(B181="","",INDEX('Company Universe'!$C$6:$C$105,MATCH(B181,'Company Universe'!$A$6:$A$105,0)))</x:f>
      </x:c>
      <x:c r="E181" s="206" t="n"/>
      <x:c r="F181" s="206" t="n"/>
      <x:c r="G181" s="206" t="n"/>
      <x:c r="H181" s="71" t="n"/>
      <x:c r="I181" s="71" t="n"/>
      <x:c r="J181" s="71" t="n"/>
      <x:c r="K181" s="71" t="n"/>
      <x:c r="L181" s="71" t="n"/>
      <x:c r="M181" s="71" t="n"/>
      <x:c r="N181" s="71" t="n"/>
      <x:c r="O181" s="71" t="n"/>
      <x:c r="P181" s="71" t="n"/>
      <x:c r="Q181" s="217" t="n"/>
      <x:c r="R181" s="71" t="n"/>
    </x:row>
    <x:row r="182">
      <x:c r="A182" s="57" t="inlineStr">
        <x:is>
          <x:t xml:space="preserve">FJ-177</x:t>
        </x:is>
      </x:c>
      <x:c r="B182" s="71" t="n"/>
      <x:c r="C182" s="75" t="str">
        <x:f>IF(B182="","",INDEX('Company Universe'!$B$6:$B$105,MATCH(B182,'Company Universe'!$A$6:$A$105,0)))</x:f>
      </x:c>
      <x:c r="D182" s="75" t="str">
        <x:f>IF(B182="","",INDEX('Company Universe'!$C$6:$C$105,MATCH(B182,'Company Universe'!$A$6:$A$105,0)))</x:f>
      </x:c>
      <x:c r="E182" s="206" t="n"/>
      <x:c r="F182" s="206" t="n"/>
      <x:c r="G182" s="206" t="n"/>
      <x:c r="H182" s="71" t="n"/>
      <x:c r="I182" s="71" t="n"/>
      <x:c r="J182" s="71" t="n"/>
      <x:c r="K182" s="71" t="n"/>
      <x:c r="L182" s="71" t="n"/>
      <x:c r="M182" s="71" t="n"/>
      <x:c r="N182" s="71" t="n"/>
      <x:c r="O182" s="71" t="n"/>
      <x:c r="P182" s="71" t="n"/>
      <x:c r="Q182" s="217" t="n"/>
      <x:c r="R182" s="71" t="n"/>
    </x:row>
    <x:row r="183">
      <x:c r="A183" s="57" t="inlineStr">
        <x:is>
          <x:t xml:space="preserve">FJ-178</x:t>
        </x:is>
      </x:c>
      <x:c r="B183" s="71" t="n"/>
      <x:c r="C183" s="75" t="str">
        <x:f>IF(B183="","",INDEX('Company Universe'!$B$6:$B$105,MATCH(B183,'Company Universe'!$A$6:$A$105,0)))</x:f>
      </x:c>
      <x:c r="D183" s="75" t="str">
        <x:f>IF(B183="","",INDEX('Company Universe'!$C$6:$C$105,MATCH(B183,'Company Universe'!$A$6:$A$105,0)))</x:f>
      </x:c>
      <x:c r="E183" s="206" t="n"/>
      <x:c r="F183" s="206" t="n"/>
      <x:c r="G183" s="206" t="n"/>
      <x:c r="H183" s="71" t="n"/>
      <x:c r="I183" s="71" t="n"/>
      <x:c r="J183" s="71" t="n"/>
      <x:c r="K183" s="71" t="n"/>
      <x:c r="L183" s="71" t="n"/>
      <x:c r="M183" s="71" t="n"/>
      <x:c r="N183" s="71" t="n"/>
      <x:c r="O183" s="71" t="n"/>
      <x:c r="P183" s="71" t="n"/>
      <x:c r="Q183" s="217" t="n"/>
      <x:c r="R183" s="71" t="n"/>
    </x:row>
    <x:row r="184">
      <x:c r="A184" s="57" t="inlineStr">
        <x:is>
          <x:t xml:space="preserve">FJ-179</x:t>
        </x:is>
      </x:c>
      <x:c r="B184" s="71" t="n"/>
      <x:c r="C184" s="75" t="str">
        <x:f>IF(B184="","",INDEX('Company Universe'!$B$6:$B$105,MATCH(B184,'Company Universe'!$A$6:$A$105,0)))</x:f>
      </x:c>
      <x:c r="D184" s="75" t="str">
        <x:f>IF(B184="","",INDEX('Company Universe'!$C$6:$C$105,MATCH(B184,'Company Universe'!$A$6:$A$105,0)))</x:f>
      </x:c>
      <x:c r="E184" s="206" t="n"/>
      <x:c r="F184" s="206" t="n"/>
      <x:c r="G184" s="206" t="n"/>
      <x:c r="H184" s="71" t="n"/>
      <x:c r="I184" s="71" t="n"/>
      <x:c r="J184" s="71" t="n"/>
      <x:c r="K184" s="71" t="n"/>
      <x:c r="L184" s="71" t="n"/>
      <x:c r="M184" s="71" t="n"/>
      <x:c r="N184" s="71" t="n"/>
      <x:c r="O184" s="71" t="n"/>
      <x:c r="P184" s="71" t="n"/>
      <x:c r="Q184" s="217" t="n"/>
      <x:c r="R184" s="71" t="n"/>
    </x:row>
    <x:row r="185">
      <x:c r="A185" s="57" t="inlineStr">
        <x:is>
          <x:t xml:space="preserve">FJ-180</x:t>
        </x:is>
      </x:c>
      <x:c r="B185" s="71" t="n"/>
      <x:c r="C185" s="75" t="str">
        <x:f>IF(B185="","",INDEX('Company Universe'!$B$6:$B$105,MATCH(B185,'Company Universe'!$A$6:$A$105,0)))</x:f>
      </x:c>
      <x:c r="D185" s="75" t="str">
        <x:f>IF(B185="","",INDEX('Company Universe'!$C$6:$C$105,MATCH(B185,'Company Universe'!$A$6:$A$105,0)))</x:f>
      </x:c>
      <x:c r="E185" s="206" t="n"/>
      <x:c r="F185" s="206" t="n"/>
      <x:c r="G185" s="206" t="n"/>
      <x:c r="H185" s="71" t="n"/>
      <x:c r="I185" s="71" t="n"/>
      <x:c r="J185" s="71" t="n"/>
      <x:c r="K185" s="71" t="n"/>
      <x:c r="L185" s="71" t="n"/>
      <x:c r="M185" s="71" t="n"/>
      <x:c r="N185" s="71" t="n"/>
      <x:c r="O185" s="71" t="n"/>
      <x:c r="P185" s="71" t="n"/>
      <x:c r="Q185" s="217" t="n"/>
      <x:c r="R185" s="71" t="n"/>
    </x:row>
    <x:row r="186">
      <x:c r="A186" s="57" t="inlineStr">
        <x:is>
          <x:t xml:space="preserve">FJ-181</x:t>
        </x:is>
      </x:c>
      <x:c r="B186" s="71" t="n"/>
      <x:c r="C186" s="75" t="str">
        <x:f>IF(B186="","",INDEX('Company Universe'!$B$6:$B$105,MATCH(B186,'Company Universe'!$A$6:$A$105,0)))</x:f>
      </x:c>
      <x:c r="D186" s="75" t="str">
        <x:f>IF(B186="","",INDEX('Company Universe'!$C$6:$C$105,MATCH(B186,'Company Universe'!$A$6:$A$105,0)))</x:f>
      </x:c>
      <x:c r="E186" s="206" t="n"/>
      <x:c r="F186" s="206" t="n"/>
      <x:c r="G186" s="206" t="n"/>
      <x:c r="H186" s="71" t="n"/>
      <x:c r="I186" s="71" t="n"/>
      <x:c r="J186" s="71" t="n"/>
      <x:c r="K186" s="71" t="n"/>
      <x:c r="L186" s="71" t="n"/>
      <x:c r="M186" s="71" t="n"/>
      <x:c r="N186" s="71" t="n"/>
      <x:c r="O186" s="71" t="n"/>
      <x:c r="P186" s="71" t="n"/>
      <x:c r="Q186" s="217" t="n"/>
      <x:c r="R186" s="71" t="n"/>
    </x:row>
    <x:row r="187">
      <x:c r="A187" s="57" t="inlineStr">
        <x:is>
          <x:t xml:space="preserve">FJ-182</x:t>
        </x:is>
      </x:c>
      <x:c r="B187" s="71" t="n"/>
      <x:c r="C187" s="75" t="str">
        <x:f>IF(B187="","",INDEX('Company Universe'!$B$6:$B$105,MATCH(B187,'Company Universe'!$A$6:$A$105,0)))</x:f>
      </x:c>
      <x:c r="D187" s="75" t="str">
        <x:f>IF(B187="","",INDEX('Company Universe'!$C$6:$C$105,MATCH(B187,'Company Universe'!$A$6:$A$105,0)))</x:f>
      </x:c>
      <x:c r="E187" s="206" t="n"/>
      <x:c r="F187" s="206" t="n"/>
      <x:c r="G187" s="206" t="n"/>
      <x:c r="H187" s="71" t="n"/>
      <x:c r="I187" s="71" t="n"/>
      <x:c r="J187" s="71" t="n"/>
      <x:c r="K187" s="71" t="n"/>
      <x:c r="L187" s="71" t="n"/>
      <x:c r="M187" s="71" t="n"/>
      <x:c r="N187" s="71" t="n"/>
      <x:c r="O187" s="71" t="n"/>
      <x:c r="P187" s="71" t="n"/>
      <x:c r="Q187" s="217" t="n"/>
      <x:c r="R187" s="71" t="n"/>
    </x:row>
    <x:row r="188">
      <x:c r="A188" s="57" t="inlineStr">
        <x:is>
          <x:t xml:space="preserve">FJ-183</x:t>
        </x:is>
      </x:c>
      <x:c r="B188" s="71" t="n"/>
      <x:c r="C188" s="75" t="str">
        <x:f>IF(B188="","",INDEX('Company Universe'!$B$6:$B$105,MATCH(B188,'Company Universe'!$A$6:$A$105,0)))</x:f>
      </x:c>
      <x:c r="D188" s="75" t="str">
        <x:f>IF(B188="","",INDEX('Company Universe'!$C$6:$C$105,MATCH(B188,'Company Universe'!$A$6:$A$105,0)))</x:f>
      </x:c>
      <x:c r="E188" s="206" t="n"/>
      <x:c r="F188" s="206" t="n"/>
      <x:c r="G188" s="206" t="n"/>
      <x:c r="H188" s="71" t="n"/>
      <x:c r="I188" s="71" t="n"/>
      <x:c r="J188" s="71" t="n"/>
      <x:c r="K188" s="71" t="n"/>
      <x:c r="L188" s="71" t="n"/>
      <x:c r="M188" s="71" t="n"/>
      <x:c r="N188" s="71" t="n"/>
      <x:c r="O188" s="71" t="n"/>
      <x:c r="P188" s="71" t="n"/>
      <x:c r="Q188" s="217" t="n"/>
      <x:c r="R188" s="71" t="n"/>
    </x:row>
    <x:row r="189">
      <x:c r="A189" s="57" t="inlineStr">
        <x:is>
          <x:t xml:space="preserve">FJ-184</x:t>
        </x:is>
      </x:c>
      <x:c r="B189" s="71" t="n"/>
      <x:c r="C189" s="75" t="str">
        <x:f>IF(B189="","",INDEX('Company Universe'!$B$6:$B$105,MATCH(B189,'Company Universe'!$A$6:$A$105,0)))</x:f>
      </x:c>
      <x:c r="D189" s="75" t="str">
        <x:f>IF(B189="","",INDEX('Company Universe'!$C$6:$C$105,MATCH(B189,'Company Universe'!$A$6:$A$105,0)))</x:f>
      </x:c>
      <x:c r="E189" s="206" t="n"/>
      <x:c r="F189" s="206" t="n"/>
      <x:c r="G189" s="206" t="n"/>
      <x:c r="H189" s="71" t="n"/>
      <x:c r="I189" s="71" t="n"/>
      <x:c r="J189" s="71" t="n"/>
      <x:c r="K189" s="71" t="n"/>
      <x:c r="L189" s="71" t="n"/>
      <x:c r="M189" s="71" t="n"/>
      <x:c r="N189" s="71" t="n"/>
      <x:c r="O189" s="71" t="n"/>
      <x:c r="P189" s="71" t="n"/>
      <x:c r="Q189" s="217" t="n"/>
      <x:c r="R189" s="71" t="n"/>
    </x:row>
    <x:row r="190">
      <x:c r="A190" s="57" t="inlineStr">
        <x:is>
          <x:t xml:space="preserve">FJ-185</x:t>
        </x:is>
      </x:c>
      <x:c r="B190" s="71" t="n"/>
      <x:c r="C190" s="75" t="str">
        <x:f>IF(B190="","",INDEX('Company Universe'!$B$6:$B$105,MATCH(B190,'Company Universe'!$A$6:$A$105,0)))</x:f>
      </x:c>
      <x:c r="D190" s="75" t="str">
        <x:f>IF(B190="","",INDEX('Company Universe'!$C$6:$C$105,MATCH(B190,'Company Universe'!$A$6:$A$105,0)))</x:f>
      </x:c>
      <x:c r="E190" s="206" t="n"/>
      <x:c r="F190" s="206" t="n"/>
      <x:c r="G190" s="206" t="n"/>
      <x:c r="H190" s="71" t="n"/>
      <x:c r="I190" s="71" t="n"/>
      <x:c r="J190" s="71" t="n"/>
      <x:c r="K190" s="71" t="n"/>
      <x:c r="L190" s="71" t="n"/>
      <x:c r="M190" s="71" t="n"/>
      <x:c r="N190" s="71" t="n"/>
      <x:c r="O190" s="71" t="n"/>
      <x:c r="P190" s="71" t="n"/>
      <x:c r="Q190" s="217" t="n"/>
      <x:c r="R190" s="71" t="n"/>
    </x:row>
    <x:row r="191">
      <x:c r="A191" s="57" t="inlineStr">
        <x:is>
          <x:t xml:space="preserve">FJ-186</x:t>
        </x:is>
      </x:c>
      <x:c r="B191" s="71" t="n"/>
      <x:c r="C191" s="75" t="str">
        <x:f>IF(B191="","",INDEX('Company Universe'!$B$6:$B$105,MATCH(B191,'Company Universe'!$A$6:$A$105,0)))</x:f>
      </x:c>
      <x:c r="D191" s="75" t="str">
        <x:f>IF(B191="","",INDEX('Company Universe'!$C$6:$C$105,MATCH(B191,'Company Universe'!$A$6:$A$105,0)))</x:f>
      </x:c>
      <x:c r="E191" s="206" t="n"/>
      <x:c r="F191" s="206" t="n"/>
      <x:c r="G191" s="206" t="n"/>
      <x:c r="H191" s="71" t="n"/>
      <x:c r="I191" s="71" t="n"/>
      <x:c r="J191" s="71" t="n"/>
      <x:c r="K191" s="71" t="n"/>
      <x:c r="L191" s="71" t="n"/>
      <x:c r="M191" s="71" t="n"/>
      <x:c r="N191" s="71" t="n"/>
      <x:c r="O191" s="71" t="n"/>
      <x:c r="P191" s="71" t="n"/>
      <x:c r="Q191" s="217" t="n"/>
      <x:c r="R191" s="71" t="n"/>
    </x:row>
    <x:row r="192">
      <x:c r="A192" s="57" t="inlineStr">
        <x:is>
          <x:t xml:space="preserve">FJ-187</x:t>
        </x:is>
      </x:c>
      <x:c r="B192" s="71" t="n"/>
      <x:c r="C192" s="75" t="str">
        <x:f>IF(B192="","",INDEX('Company Universe'!$B$6:$B$105,MATCH(B192,'Company Universe'!$A$6:$A$105,0)))</x:f>
      </x:c>
      <x:c r="D192" s="75" t="str">
        <x:f>IF(B192="","",INDEX('Company Universe'!$C$6:$C$105,MATCH(B192,'Company Universe'!$A$6:$A$105,0)))</x:f>
      </x:c>
      <x:c r="E192" s="206" t="n"/>
      <x:c r="F192" s="206" t="n"/>
      <x:c r="G192" s="206" t="n"/>
      <x:c r="H192" s="71" t="n"/>
      <x:c r="I192" s="71" t="n"/>
      <x:c r="J192" s="71" t="n"/>
      <x:c r="K192" s="71" t="n"/>
      <x:c r="L192" s="71" t="n"/>
      <x:c r="M192" s="71" t="n"/>
      <x:c r="N192" s="71" t="n"/>
      <x:c r="O192" s="71" t="n"/>
      <x:c r="P192" s="71" t="n"/>
      <x:c r="Q192" s="217" t="n"/>
      <x:c r="R192" s="71" t="n"/>
    </x:row>
    <x:row r="193">
      <x:c r="A193" s="57" t="inlineStr">
        <x:is>
          <x:t xml:space="preserve">FJ-188</x:t>
        </x:is>
      </x:c>
      <x:c r="B193" s="71" t="n"/>
      <x:c r="C193" s="75" t="str">
        <x:f>IF(B193="","",INDEX('Company Universe'!$B$6:$B$105,MATCH(B193,'Company Universe'!$A$6:$A$105,0)))</x:f>
      </x:c>
      <x:c r="D193" s="75" t="str">
        <x:f>IF(B193="","",INDEX('Company Universe'!$C$6:$C$105,MATCH(B193,'Company Universe'!$A$6:$A$105,0)))</x:f>
      </x:c>
      <x:c r="E193" s="206" t="n"/>
      <x:c r="F193" s="206" t="n"/>
      <x:c r="G193" s="206" t="n"/>
      <x:c r="H193" s="71" t="n"/>
      <x:c r="I193" s="71" t="n"/>
      <x:c r="J193" s="71" t="n"/>
      <x:c r="K193" s="71" t="n"/>
      <x:c r="L193" s="71" t="n"/>
      <x:c r="M193" s="71" t="n"/>
      <x:c r="N193" s="71" t="n"/>
      <x:c r="O193" s="71" t="n"/>
      <x:c r="P193" s="71" t="n"/>
      <x:c r="Q193" s="217" t="n"/>
      <x:c r="R193" s="71" t="n"/>
    </x:row>
    <x:row r="194">
      <x:c r="A194" s="57" t="inlineStr">
        <x:is>
          <x:t xml:space="preserve">FJ-189</x:t>
        </x:is>
      </x:c>
      <x:c r="B194" s="71" t="n"/>
      <x:c r="C194" s="75" t="str">
        <x:f>IF(B194="","",INDEX('Company Universe'!$B$6:$B$105,MATCH(B194,'Company Universe'!$A$6:$A$105,0)))</x:f>
      </x:c>
      <x:c r="D194" s="75" t="str">
        <x:f>IF(B194="","",INDEX('Company Universe'!$C$6:$C$105,MATCH(B194,'Company Universe'!$A$6:$A$105,0)))</x:f>
      </x:c>
      <x:c r="E194" s="206" t="n"/>
      <x:c r="F194" s="206" t="n"/>
      <x:c r="G194" s="206" t="n"/>
      <x:c r="H194" s="71" t="n"/>
      <x:c r="I194" s="71" t="n"/>
      <x:c r="J194" s="71" t="n"/>
      <x:c r="K194" s="71" t="n"/>
      <x:c r="L194" s="71" t="n"/>
      <x:c r="M194" s="71" t="n"/>
      <x:c r="N194" s="71" t="n"/>
      <x:c r="O194" s="71" t="n"/>
      <x:c r="P194" s="71" t="n"/>
      <x:c r="Q194" s="217" t="n"/>
      <x:c r="R194" s="71" t="n"/>
    </x:row>
    <x:row r="195">
      <x:c r="A195" s="57" t="inlineStr">
        <x:is>
          <x:t xml:space="preserve">FJ-190</x:t>
        </x:is>
      </x:c>
      <x:c r="B195" s="71" t="n"/>
      <x:c r="C195" s="75" t="str">
        <x:f>IF(B195="","",INDEX('Company Universe'!$B$6:$B$105,MATCH(B195,'Company Universe'!$A$6:$A$105,0)))</x:f>
      </x:c>
      <x:c r="D195" s="75" t="str">
        <x:f>IF(B195="","",INDEX('Company Universe'!$C$6:$C$105,MATCH(B195,'Company Universe'!$A$6:$A$105,0)))</x:f>
      </x:c>
      <x:c r="E195" s="206" t="n"/>
      <x:c r="F195" s="206" t="n"/>
      <x:c r="G195" s="206" t="n"/>
      <x:c r="H195" s="71" t="n"/>
      <x:c r="I195" s="71" t="n"/>
      <x:c r="J195" s="71" t="n"/>
      <x:c r="K195" s="71" t="n"/>
      <x:c r="L195" s="71" t="n"/>
      <x:c r="M195" s="71" t="n"/>
      <x:c r="N195" s="71" t="n"/>
      <x:c r="O195" s="71" t="n"/>
      <x:c r="P195" s="71" t="n"/>
      <x:c r="Q195" s="217" t="n"/>
      <x:c r="R195" s="71" t="n"/>
    </x:row>
    <x:row r="196">
      <x:c r="A196" s="57" t="inlineStr">
        <x:is>
          <x:t xml:space="preserve">FJ-191</x:t>
        </x:is>
      </x:c>
      <x:c r="B196" s="71" t="n"/>
      <x:c r="C196" s="75" t="str">
        <x:f>IF(B196="","",INDEX('Company Universe'!$B$6:$B$105,MATCH(B196,'Company Universe'!$A$6:$A$105,0)))</x:f>
      </x:c>
      <x:c r="D196" s="75" t="str">
        <x:f>IF(B196="","",INDEX('Company Universe'!$C$6:$C$105,MATCH(B196,'Company Universe'!$A$6:$A$105,0)))</x:f>
      </x:c>
      <x:c r="E196" s="206" t="n"/>
      <x:c r="F196" s="206" t="n"/>
      <x:c r="G196" s="206" t="n"/>
      <x:c r="H196" s="71" t="n"/>
      <x:c r="I196" s="71" t="n"/>
      <x:c r="J196" s="71" t="n"/>
      <x:c r="K196" s="71" t="n"/>
      <x:c r="L196" s="71" t="n"/>
      <x:c r="M196" s="71" t="n"/>
      <x:c r="N196" s="71" t="n"/>
      <x:c r="O196" s="71" t="n"/>
      <x:c r="P196" s="71" t="n"/>
      <x:c r="Q196" s="217" t="n"/>
      <x:c r="R196" s="71" t="n"/>
    </x:row>
    <x:row r="197">
      <x:c r="A197" s="57" t="inlineStr">
        <x:is>
          <x:t xml:space="preserve">FJ-192</x:t>
        </x:is>
      </x:c>
      <x:c r="B197" s="71" t="n"/>
      <x:c r="C197" s="75" t="str">
        <x:f>IF(B197="","",INDEX('Company Universe'!$B$6:$B$105,MATCH(B197,'Company Universe'!$A$6:$A$105,0)))</x:f>
      </x:c>
      <x:c r="D197" s="75" t="str">
        <x:f>IF(B197="","",INDEX('Company Universe'!$C$6:$C$105,MATCH(B197,'Company Universe'!$A$6:$A$105,0)))</x:f>
      </x:c>
      <x:c r="E197" s="206" t="n"/>
      <x:c r="F197" s="206" t="n"/>
      <x:c r="G197" s="206" t="n"/>
      <x:c r="H197" s="71" t="n"/>
      <x:c r="I197" s="71" t="n"/>
      <x:c r="J197" s="71" t="n"/>
      <x:c r="K197" s="71" t="n"/>
      <x:c r="L197" s="71" t="n"/>
      <x:c r="M197" s="71" t="n"/>
      <x:c r="N197" s="71" t="n"/>
      <x:c r="O197" s="71" t="n"/>
      <x:c r="P197" s="71" t="n"/>
      <x:c r="Q197" s="217" t="n"/>
      <x:c r="R197" s="71" t="n"/>
    </x:row>
    <x:row r="198">
      <x:c r="A198" s="57" t="inlineStr">
        <x:is>
          <x:t xml:space="preserve">FJ-193</x:t>
        </x:is>
      </x:c>
      <x:c r="B198" s="71" t="n"/>
      <x:c r="C198" s="75" t="str">
        <x:f>IF(B198="","",INDEX('Company Universe'!$B$6:$B$105,MATCH(B198,'Company Universe'!$A$6:$A$105,0)))</x:f>
      </x:c>
      <x:c r="D198" s="75" t="str">
        <x:f>IF(B198="","",INDEX('Company Universe'!$C$6:$C$105,MATCH(B198,'Company Universe'!$A$6:$A$105,0)))</x:f>
      </x:c>
      <x:c r="E198" s="206" t="n"/>
      <x:c r="F198" s="206" t="n"/>
      <x:c r="G198" s="206" t="n"/>
      <x:c r="H198" s="71" t="n"/>
      <x:c r="I198" s="71" t="n"/>
      <x:c r="J198" s="71" t="n"/>
      <x:c r="K198" s="71" t="n"/>
      <x:c r="L198" s="71" t="n"/>
      <x:c r="M198" s="71" t="n"/>
      <x:c r="N198" s="71" t="n"/>
      <x:c r="O198" s="71" t="n"/>
      <x:c r="P198" s="71" t="n"/>
      <x:c r="Q198" s="217" t="n"/>
      <x:c r="R198" s="71" t="n"/>
    </x:row>
    <x:row r="199">
      <x:c r="A199" s="57" t="inlineStr">
        <x:is>
          <x:t xml:space="preserve">FJ-194</x:t>
        </x:is>
      </x:c>
      <x:c r="B199" s="71" t="n"/>
      <x:c r="C199" s="75" t="str">
        <x:f>IF(B199="","",INDEX('Company Universe'!$B$6:$B$105,MATCH(B199,'Company Universe'!$A$6:$A$105,0)))</x:f>
      </x:c>
      <x:c r="D199" s="75" t="str">
        <x:f>IF(B199="","",INDEX('Company Universe'!$C$6:$C$105,MATCH(B199,'Company Universe'!$A$6:$A$105,0)))</x:f>
      </x:c>
      <x:c r="E199" s="206" t="n"/>
      <x:c r="F199" s="206" t="n"/>
      <x:c r="G199" s="206" t="n"/>
      <x:c r="H199" s="71" t="n"/>
      <x:c r="I199" s="71" t="n"/>
      <x:c r="J199" s="71" t="n"/>
      <x:c r="K199" s="71" t="n"/>
      <x:c r="L199" s="71" t="n"/>
      <x:c r="M199" s="71" t="n"/>
      <x:c r="N199" s="71" t="n"/>
      <x:c r="O199" s="71" t="n"/>
      <x:c r="P199" s="71" t="n"/>
      <x:c r="Q199" s="217" t="n"/>
      <x:c r="R199" s="71" t="n"/>
    </x:row>
    <x:row r="200">
      <x:c r="A200" s="57" t="inlineStr">
        <x:is>
          <x:t xml:space="preserve">FJ-195</x:t>
        </x:is>
      </x:c>
      <x:c r="B200" s="71" t="n"/>
      <x:c r="C200" s="75" t="str">
        <x:f>IF(B200="","",INDEX('Company Universe'!$B$6:$B$105,MATCH(B200,'Company Universe'!$A$6:$A$105,0)))</x:f>
      </x:c>
      <x:c r="D200" s="75" t="str">
        <x:f>IF(B200="","",INDEX('Company Universe'!$C$6:$C$105,MATCH(B200,'Company Universe'!$A$6:$A$105,0)))</x:f>
      </x:c>
      <x:c r="E200" s="206" t="n"/>
      <x:c r="F200" s="206" t="n"/>
      <x:c r="G200" s="206" t="n"/>
      <x:c r="H200" s="71" t="n"/>
      <x:c r="I200" s="71" t="n"/>
      <x:c r="J200" s="71" t="n"/>
      <x:c r="K200" s="71" t="n"/>
      <x:c r="L200" s="71" t="n"/>
      <x:c r="M200" s="71" t="n"/>
      <x:c r="N200" s="71" t="n"/>
      <x:c r="O200" s="71" t="n"/>
      <x:c r="P200" s="71" t="n"/>
      <x:c r="Q200" s="217" t="n"/>
      <x:c r="R200" s="71" t="n"/>
    </x:row>
    <x:row r="201">
      <x:c r="A201" s="57" t="inlineStr">
        <x:is>
          <x:t xml:space="preserve">FJ-196</x:t>
        </x:is>
      </x:c>
      <x:c r="B201" s="71" t="n"/>
      <x:c r="C201" s="75" t="str">
        <x:f>IF(B201="","",INDEX('Company Universe'!$B$6:$B$105,MATCH(B201,'Company Universe'!$A$6:$A$105,0)))</x:f>
      </x:c>
      <x:c r="D201" s="75" t="str">
        <x:f>IF(B201="","",INDEX('Company Universe'!$C$6:$C$105,MATCH(B201,'Company Universe'!$A$6:$A$105,0)))</x:f>
      </x:c>
      <x:c r="E201" s="206" t="n"/>
      <x:c r="F201" s="206" t="n"/>
      <x:c r="G201" s="206" t="n"/>
      <x:c r="H201" s="71" t="n"/>
      <x:c r="I201" s="71" t="n"/>
      <x:c r="J201" s="71" t="n"/>
      <x:c r="K201" s="71" t="n"/>
      <x:c r="L201" s="71" t="n"/>
      <x:c r="M201" s="71" t="n"/>
      <x:c r="N201" s="71" t="n"/>
      <x:c r="O201" s="71" t="n"/>
      <x:c r="P201" s="71" t="n"/>
      <x:c r="Q201" s="217" t="n"/>
      <x:c r="R201" s="71" t="n"/>
    </x:row>
    <x:row r="202">
      <x:c r="A202" s="57" t="inlineStr">
        <x:is>
          <x:t xml:space="preserve">FJ-197</x:t>
        </x:is>
      </x:c>
      <x:c r="B202" s="71" t="n"/>
      <x:c r="C202" s="75" t="str">
        <x:f>IF(B202="","",INDEX('Company Universe'!$B$6:$B$105,MATCH(B202,'Company Universe'!$A$6:$A$105,0)))</x:f>
      </x:c>
      <x:c r="D202" s="75" t="str">
        <x:f>IF(B202="","",INDEX('Company Universe'!$C$6:$C$105,MATCH(B202,'Company Universe'!$A$6:$A$105,0)))</x:f>
      </x:c>
      <x:c r="E202" s="206" t="n"/>
      <x:c r="F202" s="206" t="n"/>
      <x:c r="G202" s="206" t="n"/>
      <x:c r="H202" s="71" t="n"/>
      <x:c r="I202" s="71" t="n"/>
      <x:c r="J202" s="71" t="n"/>
      <x:c r="K202" s="71" t="n"/>
      <x:c r="L202" s="71" t="n"/>
      <x:c r="M202" s="71" t="n"/>
      <x:c r="N202" s="71" t="n"/>
      <x:c r="O202" s="71" t="n"/>
      <x:c r="P202" s="71" t="n"/>
      <x:c r="Q202" s="217" t="n"/>
      <x:c r="R202" s="71" t="n"/>
    </x:row>
    <x:row r="203">
      <x:c r="A203" s="57" t="inlineStr">
        <x:is>
          <x:t xml:space="preserve">FJ-198</x:t>
        </x:is>
      </x:c>
      <x:c r="B203" s="71" t="n"/>
      <x:c r="C203" s="75" t="str">
        <x:f>IF(B203="","",INDEX('Company Universe'!$B$6:$B$105,MATCH(B203,'Company Universe'!$A$6:$A$105,0)))</x:f>
      </x:c>
      <x:c r="D203" s="75" t="str">
        <x:f>IF(B203="","",INDEX('Company Universe'!$C$6:$C$105,MATCH(B203,'Company Universe'!$A$6:$A$105,0)))</x:f>
      </x:c>
      <x:c r="E203" s="206" t="n"/>
      <x:c r="F203" s="206" t="n"/>
      <x:c r="G203" s="206" t="n"/>
      <x:c r="H203" s="71" t="n"/>
      <x:c r="I203" s="71" t="n"/>
      <x:c r="J203" s="71" t="n"/>
      <x:c r="K203" s="71" t="n"/>
      <x:c r="L203" s="71" t="n"/>
      <x:c r="M203" s="71" t="n"/>
      <x:c r="N203" s="71" t="n"/>
      <x:c r="O203" s="71" t="n"/>
      <x:c r="P203" s="71" t="n"/>
      <x:c r="Q203" s="217" t="n"/>
      <x:c r="R203" s="71" t="n"/>
    </x:row>
    <x:row r="204">
      <x:c r="A204" s="57" t="inlineStr">
        <x:is>
          <x:t xml:space="preserve">FJ-199</x:t>
        </x:is>
      </x:c>
      <x:c r="B204" s="71" t="n"/>
      <x:c r="C204" s="75" t="str">
        <x:f>IF(B204="","",INDEX('Company Universe'!$B$6:$B$105,MATCH(B204,'Company Universe'!$A$6:$A$105,0)))</x:f>
      </x:c>
      <x:c r="D204" s="75" t="str">
        <x:f>IF(B204="","",INDEX('Company Universe'!$C$6:$C$105,MATCH(B204,'Company Universe'!$A$6:$A$105,0)))</x:f>
      </x:c>
      <x:c r="E204" s="206" t="n"/>
      <x:c r="F204" s="206" t="n"/>
      <x:c r="G204" s="206" t="n"/>
      <x:c r="H204" s="71" t="n"/>
      <x:c r="I204" s="71" t="n"/>
      <x:c r="J204" s="71" t="n"/>
      <x:c r="K204" s="71" t="n"/>
      <x:c r="L204" s="71" t="n"/>
      <x:c r="M204" s="71" t="n"/>
      <x:c r="N204" s="71" t="n"/>
      <x:c r="O204" s="71" t="n"/>
      <x:c r="P204" s="71" t="n"/>
      <x:c r="Q204" s="217" t="n"/>
      <x:c r="R204" s="71" t="n"/>
    </x:row>
    <x:row r="205">
      <x:c r="A205" s="58" t="inlineStr">
        <x:is>
          <x:t xml:space="preserve">FJ-200</x:t>
        </x:is>
      </x:c>
      <x:c r="B205" s="73" t="n"/>
      <x:c r="C205" s="76" t="str">
        <x:f>IF(B205="","",INDEX('Company Universe'!$B$6:$B$105,MATCH(B205,'Company Universe'!$A$6:$A$105,0)))</x:f>
      </x:c>
      <x:c r="D205" s="76" t="str">
        <x:f>IF(B205="","",INDEX('Company Universe'!$C$6:$C$105,MATCH(B205,'Company Universe'!$A$6:$A$105,0)))</x:f>
      </x:c>
      <x:c r="E205" s="207" t="n"/>
      <x:c r="F205" s="207" t="n"/>
      <x:c r="G205" s="207" t="n"/>
      <x:c r="H205" s="73" t="n"/>
      <x:c r="I205" s="73" t="n"/>
      <x:c r="J205" s="73" t="n"/>
      <x:c r="K205" s="73" t="n"/>
      <x:c r="L205" s="73" t="n"/>
      <x:c r="M205" s="73" t="n"/>
      <x:c r="N205" s="73" t="n"/>
      <x:c r="O205" s="73" t="n"/>
      <x:c r="P205" s="73" t="n"/>
      <x:c r="Q205" s="218" t="n"/>
      <x:c r="R205" s="73" t="n"/>
    </x:row>
  </x:sheetData>
  <x:mergeCells>
    <x:mergeCell ref="A2:R2"/>
    <x:mergeCell ref="A1:R1"/>
  </x:mergeCells>
  <x:dataValidations count="4">
    <x:dataValidation type="list" allowBlank="0" showDropDown="0" showInputMessage="0" showErrorMessage="0" sqref="B6:B205">
      <x:formula1>'Company Universe'!$A$6:$A$105</x:formula1>
    </x:dataValidation>
    <x:dataValidation type="list" allowBlank="0" showDropDown="0" showInputMessage="0" showErrorMessage="0" sqref="F6:F205">
      <x:formula1>"3,6,12"</x:formula1>
    </x:dataValidation>
    <x:dataValidation type="list" allowBlank="0" showDropDown="0" showInputMessage="0" showErrorMessage="0" sqref="J6:J205">
      <x:formula1>"UP,DOWN,STABLE,MIXED"</x:formula1>
    </x:dataValidation>
    <x:dataValidation type="list" allowBlank="0" showDropDown="0" showInputMessage="0" showErrorMessage="0" sqref="P6:P205">
      <x:formula1>"YES,NO,PARTIAL,PENDING"</x:formula1>
    </x:dataValidation>
  </x:dataValidations>
  <x:pageMargins left="0.7" right="0.7" top="0.75" bottom="0.75" header="0.3" footer="0.3"/>
  <x:tableParts count="1">
    <x:tablePart xmlns:r="http://schemas.openxmlformats.org/officeDocument/2006/relationships" r:id="Rc28b865f1a7a4cd8"/>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8.890000343322754" style="139" customWidth="1"/>
    <x:col min="2" max="2" width="9.4399995803833" style="139" customWidth="1"/>
    <x:col min="3" max="3" width="18.889999389648438" style="139" customWidth="1"/>
    <x:col min="4" max="4" width="7.21999979019165" style="139" customWidth="1"/>
    <x:col min="5" max="5" width="10.5600004196167" style="139" customWidth="1"/>
    <x:col min="6" max="6" width="13.329999923706055" style="139" customWidth="1"/>
    <x:col min="7" max="7" width="28.889999389648438" style="139" customWidth="1"/>
    <x:col min="8" max="8" width="13.329999923706055" style="139" customWidth="1"/>
    <x:col min="9" max="9" width="14.4399995803833" style="139" customWidth="1"/>
    <x:col min="10" max="10" width="10.5600004196167" style="139" customWidth="1"/>
    <x:col min="11" max="11" width="24.440000534057617" style="139" customWidth="1"/>
    <x:col min="12" max="12" width="16.670000076293945" style="139" customWidth="1"/>
    <x:col min="13" max="13" width="10.5600004196167" style="139" customWidth="1"/>
    <x:col min="14" max="14" width="9.4399995803833" style="139" customWidth="1"/>
    <x:col min="15" max="15" width="12.220000267028809" style="139" customWidth="1"/>
    <x:col min="16" max="16" width="24.440000534057617" style="139" customWidth="1"/>
  </x:cols>
  <x:sheetData>
    <x:row r="1" s="139" customFormat="1" ht="34" customHeight="1">
      <x:c r="A1" s="112" t="inlineStr">
        <x:is>
          <x:t xml:space="preserve">Management Promises Ledger</x:t>
        </x:is>
      </x:c>
    </x:row>
    <x:row r="2" s="139" customFormat="1" ht="28" customHeight="1">
      <x:c r="A2" s="113" t="inlineStr">
        <x:is>
          <x:t xml:space="preserve">Record promises when made; score actual outcomes only after the target date.</x:t>
        </x:is>
      </x:c>
    </x:row>
    <x:row r="3">
      <x:c r="A3" s="114" t="n"/>
      <x:c r="B3" s="114" t="n"/>
      <x:c r="C3" s="114" t="n"/>
      <x:c r="D3" s="114" t="n"/>
      <x:c r="E3" s="114" t="n"/>
      <x:c r="F3" s="114" t="n"/>
      <x:c r="G3" s="114" t="n"/>
      <x:c r="H3" s="114" t="n"/>
      <x:c r="I3" s="114" t="n"/>
      <x:c r="J3" s="114" t="n"/>
      <x:c r="K3" s="114" t="n"/>
      <x:c r="L3" s="114" t="n"/>
      <x:c r="M3" s="114" t="n"/>
      <x:c r="N3" s="114" t="n"/>
      <x:c r="O3" s="114" t="n"/>
      <x:c r="P3" s="114" t="n"/>
    </x:row>
    <x:row r="4">
      <x:c r="A4" s="114" t="n"/>
      <x:c r="B4" s="114" t="n"/>
      <x:c r="C4" s="114" t="n"/>
      <x:c r="D4" s="114" t="n"/>
      <x:c r="E4" s="114" t="n"/>
      <x:c r="F4" s="114" t="n"/>
      <x:c r="G4" s="114" t="n"/>
      <x:c r="H4" s="114" t="n"/>
      <x:c r="I4" s="114" t="n"/>
      <x:c r="J4" s="114" t="n"/>
      <x:c r="K4" s="114" t="n"/>
      <x:c r="L4" s="114" t="n"/>
      <x:c r="M4" s="114" t="n"/>
      <x:c r="N4" s="114" t="n"/>
      <x:c r="O4" s="114" t="n"/>
      <x:c r="P4" s="114" t="n"/>
    </x:row>
    <x:row r="5" s="139" customFormat="1" ht="30" customHeight="1">
      <x:c r="A5" s="116" t="inlineStr">
        <x:is>
          <x:t xml:space="preserve">Promise ID</x:t>
        </x:is>
      </x:c>
      <x:c r="B5" s="116" t="inlineStr">
        <x:is>
          <x:t xml:space="preserve">Company ID</x:t>
        </x:is>
      </x:c>
      <x:c r="C5" s="116" t="inlineStr">
        <x:is>
          <x:t xml:space="preserve">Company</x:t>
        </x:is>
      </x:c>
      <x:c r="D5" s="116" t="inlineStr">
        <x:is>
          <x:t xml:space="preserve">Ticker</x:t>
        </x:is>
      </x:c>
      <x:c r="E5" s="116" t="inlineStr">
        <x:is>
          <x:t xml:space="preserve">Promise Date</x:t>
        </x:is>
      </x:c>
      <x:c r="F5" s="116" t="inlineStr">
        <x:is>
          <x:t xml:space="preserve">Category</x:t>
        </x:is>
      </x:c>
      <x:c r="G5" s="116" t="inlineStr">
        <x:is>
          <x:t xml:space="preserve">Exact Promise / Guidance</x:t>
        </x:is>
      </x:c>
      <x:c r="H5" s="116" t="inlineStr">
        <x:is>
          <x:t xml:space="preserve">Metric</x:t>
        </x:is>
      </x:c>
      <x:c r="I5" s="116" t="inlineStr">
        <x:is>
          <x:t xml:space="preserve">Target</x:t>
        </x:is>
      </x:c>
      <x:c r="J5" s="116" t="inlineStr">
        <x:is>
          <x:t xml:space="preserve">Target Date</x:t>
        </x:is>
      </x:c>
      <x:c r="K5" s="116" t="inlineStr">
        <x:is>
          <x:t xml:space="preserve">Source URL</x:t>
        </x:is>
      </x:c>
      <x:c r="L5" s="116" t="inlineStr">
        <x:is>
          <x:t xml:space="preserve">Actual</x:t>
        </x:is>
      </x:c>
      <x:c r="M5" s="116" t="inlineStr">
        <x:is>
          <x:t xml:space="preserve">Actual Date</x:t>
        </x:is>
      </x:c>
      <x:c r="N5" s="116" t="inlineStr">
        <x:is>
          <x:t xml:space="preserve">Status</x:t>
        </x:is>
      </x:c>
      <x:c r="O5" s="116" t="inlineStr">
        <x:is>
          <x:t xml:space="preserve">Credibility Impact</x:t>
        </x:is>
      </x:c>
      <x:c r="P5" s="116" t="inlineStr">
        <x:is>
          <x:t xml:space="preserve">Notes</x:t>
        </x:is>
      </x:c>
    </x:row>
    <x:row r="6">
      <x:c r="A6" s="56" t="inlineStr">
        <x:is>
          <x:t xml:space="preserve">MP-001</x:t>
        </x:is>
      </x:c>
      <x:c r="B6" s="69" t="n"/>
      <x:c r="C6" s="74" t="str">
        <x:f>IF(B6="","",INDEX('Company Universe'!$B$6:$B$105,MATCH(B6,'Company Universe'!$A$6:$A$105,0)))</x:f>
      </x:c>
      <x:c r="D6" s="74" t="str">
        <x:f>IF(B6="","",INDEX('Company Universe'!$C$6:$C$105,MATCH(B6,'Company Universe'!$A$6:$A$105,0)))</x:f>
      </x:c>
      <x:c r="E6" s="205" t="n"/>
      <x:c r="F6" s="69" t="n"/>
      <x:c r="G6" s="69" t="n"/>
      <x:c r="H6" s="69" t="n"/>
      <x:c r="I6" s="69" t="n"/>
      <x:c r="J6" s="205" t="n"/>
      <x:c r="K6" s="69" t="n"/>
      <x:c r="L6" s="69" t="n"/>
      <x:c r="M6" s="205" t="n"/>
      <x:c r="N6" s="69" t="inlineStr">
        <x:is>
          <x:t xml:space="preserve">OPEN</x:t>
        </x:is>
      </x:c>
      <x:c r="O6" s="69" t="n"/>
      <x:c r="P6" s="69" t="n"/>
    </x:row>
    <x:row r="7">
      <x:c r="A7" s="57" t="inlineStr">
        <x:is>
          <x:t xml:space="preserve">MP-002</x:t>
        </x:is>
      </x:c>
      <x:c r="B7" s="71" t="n"/>
      <x:c r="C7" s="75" t="str">
        <x:f>IF(B7="","",INDEX('Company Universe'!$B$6:$B$105,MATCH(B7,'Company Universe'!$A$6:$A$105,0)))</x:f>
      </x:c>
      <x:c r="D7" s="75" t="str">
        <x:f>IF(B7="","",INDEX('Company Universe'!$C$6:$C$105,MATCH(B7,'Company Universe'!$A$6:$A$105,0)))</x:f>
      </x:c>
      <x:c r="E7" s="206" t="n"/>
      <x:c r="F7" s="71" t="n"/>
      <x:c r="G7" s="71" t="n"/>
      <x:c r="H7" s="71" t="n"/>
      <x:c r="I7" s="71" t="n"/>
      <x:c r="J7" s="206" t="n"/>
      <x:c r="K7" s="71" t="n"/>
      <x:c r="L7" s="71" t="n"/>
      <x:c r="M7" s="206" t="n"/>
      <x:c r="N7" s="71" t="inlineStr">
        <x:is>
          <x:t xml:space="preserve">OPEN</x:t>
        </x:is>
      </x:c>
      <x:c r="O7" s="71" t="n"/>
      <x:c r="P7" s="71" t="n"/>
    </x:row>
    <x:row r="8">
      <x:c r="A8" s="57" t="inlineStr">
        <x:is>
          <x:t xml:space="preserve">MP-003</x:t>
        </x:is>
      </x:c>
      <x:c r="B8" s="71" t="n"/>
      <x:c r="C8" s="75" t="str">
        <x:f>IF(B8="","",INDEX('Company Universe'!$B$6:$B$105,MATCH(B8,'Company Universe'!$A$6:$A$105,0)))</x:f>
      </x:c>
      <x:c r="D8" s="75" t="str">
        <x:f>IF(B8="","",INDEX('Company Universe'!$C$6:$C$105,MATCH(B8,'Company Universe'!$A$6:$A$105,0)))</x:f>
      </x:c>
      <x:c r="E8" s="206" t="n"/>
      <x:c r="F8" s="71" t="n"/>
      <x:c r="G8" s="71" t="n"/>
      <x:c r="H8" s="71" t="n"/>
      <x:c r="I8" s="71" t="n"/>
      <x:c r="J8" s="206" t="n"/>
      <x:c r="K8" s="71" t="n"/>
      <x:c r="L8" s="71" t="n"/>
      <x:c r="M8" s="206" t="n"/>
      <x:c r="N8" s="71" t="inlineStr">
        <x:is>
          <x:t xml:space="preserve">OPEN</x:t>
        </x:is>
      </x:c>
      <x:c r="O8" s="71" t="n"/>
      <x:c r="P8" s="71" t="n"/>
    </x:row>
    <x:row r="9">
      <x:c r="A9" s="57" t="inlineStr">
        <x:is>
          <x:t xml:space="preserve">MP-004</x:t>
        </x:is>
      </x:c>
      <x:c r="B9" s="71" t="n"/>
      <x:c r="C9" s="75" t="str">
        <x:f>IF(B9="","",INDEX('Company Universe'!$B$6:$B$105,MATCH(B9,'Company Universe'!$A$6:$A$105,0)))</x:f>
      </x:c>
      <x:c r="D9" s="75" t="str">
        <x:f>IF(B9="","",INDEX('Company Universe'!$C$6:$C$105,MATCH(B9,'Company Universe'!$A$6:$A$105,0)))</x:f>
      </x:c>
      <x:c r="E9" s="206" t="n"/>
      <x:c r="F9" s="71" t="n"/>
      <x:c r="G9" s="71" t="n"/>
      <x:c r="H9" s="71" t="n"/>
      <x:c r="I9" s="71" t="n"/>
      <x:c r="J9" s="206" t="n"/>
      <x:c r="K9" s="71" t="n"/>
      <x:c r="L9" s="71" t="n"/>
      <x:c r="M9" s="206" t="n"/>
      <x:c r="N9" s="71" t="inlineStr">
        <x:is>
          <x:t xml:space="preserve">OPEN</x:t>
        </x:is>
      </x:c>
      <x:c r="O9" s="71" t="n"/>
      <x:c r="P9" s="71" t="n"/>
    </x:row>
    <x:row r="10">
      <x:c r="A10" s="57" t="inlineStr">
        <x:is>
          <x:t xml:space="preserve">MP-005</x:t>
        </x:is>
      </x:c>
      <x:c r="B10" s="71" t="n"/>
      <x:c r="C10" s="75" t="str">
        <x:f>IF(B10="","",INDEX('Company Universe'!$B$6:$B$105,MATCH(B10,'Company Universe'!$A$6:$A$105,0)))</x:f>
      </x:c>
      <x:c r="D10" s="75" t="str">
        <x:f>IF(B10="","",INDEX('Company Universe'!$C$6:$C$105,MATCH(B10,'Company Universe'!$A$6:$A$105,0)))</x:f>
      </x:c>
      <x:c r="E10" s="206" t="n"/>
      <x:c r="F10" s="71" t="n"/>
      <x:c r="G10" s="71" t="n"/>
      <x:c r="H10" s="71" t="n"/>
      <x:c r="I10" s="71" t="n"/>
      <x:c r="J10" s="206" t="n"/>
      <x:c r="K10" s="71" t="n"/>
      <x:c r="L10" s="71" t="n"/>
      <x:c r="M10" s="206" t="n"/>
      <x:c r="N10" s="71" t="inlineStr">
        <x:is>
          <x:t xml:space="preserve">OPEN</x:t>
        </x:is>
      </x:c>
      <x:c r="O10" s="71" t="n"/>
      <x:c r="P10" s="71" t="n"/>
    </x:row>
    <x:row r="11">
      <x:c r="A11" s="57" t="inlineStr">
        <x:is>
          <x:t xml:space="preserve">MP-006</x:t>
        </x:is>
      </x:c>
      <x:c r="B11" s="71" t="n"/>
      <x:c r="C11" s="75" t="str">
        <x:f>IF(B11="","",INDEX('Company Universe'!$B$6:$B$105,MATCH(B11,'Company Universe'!$A$6:$A$105,0)))</x:f>
      </x:c>
      <x:c r="D11" s="75" t="str">
        <x:f>IF(B11="","",INDEX('Company Universe'!$C$6:$C$105,MATCH(B11,'Company Universe'!$A$6:$A$105,0)))</x:f>
      </x:c>
      <x:c r="E11" s="206" t="n"/>
      <x:c r="F11" s="71" t="n"/>
      <x:c r="G11" s="71" t="n"/>
      <x:c r="H11" s="71" t="n"/>
      <x:c r="I11" s="71" t="n"/>
      <x:c r="J11" s="206" t="n"/>
      <x:c r="K11" s="71" t="n"/>
      <x:c r="L11" s="71" t="n"/>
      <x:c r="M11" s="206" t="n"/>
      <x:c r="N11" s="71" t="inlineStr">
        <x:is>
          <x:t xml:space="preserve">OPEN</x:t>
        </x:is>
      </x:c>
      <x:c r="O11" s="71" t="n"/>
      <x:c r="P11" s="71" t="n"/>
    </x:row>
    <x:row r="12">
      <x:c r="A12" s="57" t="inlineStr">
        <x:is>
          <x:t xml:space="preserve">MP-007</x:t>
        </x:is>
      </x:c>
      <x:c r="B12" s="71" t="n"/>
      <x:c r="C12" s="75" t="str">
        <x:f>IF(B12="","",INDEX('Company Universe'!$B$6:$B$105,MATCH(B12,'Company Universe'!$A$6:$A$105,0)))</x:f>
      </x:c>
      <x:c r="D12" s="75" t="str">
        <x:f>IF(B12="","",INDEX('Company Universe'!$C$6:$C$105,MATCH(B12,'Company Universe'!$A$6:$A$105,0)))</x:f>
      </x:c>
      <x:c r="E12" s="206" t="n"/>
      <x:c r="F12" s="71" t="n"/>
      <x:c r="G12" s="71" t="n"/>
      <x:c r="H12" s="71" t="n"/>
      <x:c r="I12" s="71" t="n"/>
      <x:c r="J12" s="206" t="n"/>
      <x:c r="K12" s="71" t="n"/>
      <x:c r="L12" s="71" t="n"/>
      <x:c r="M12" s="206" t="n"/>
      <x:c r="N12" s="71" t="inlineStr">
        <x:is>
          <x:t xml:space="preserve">OPEN</x:t>
        </x:is>
      </x:c>
      <x:c r="O12" s="71" t="n"/>
      <x:c r="P12" s="71" t="n"/>
    </x:row>
    <x:row r="13">
      <x:c r="A13" s="57" t="inlineStr">
        <x:is>
          <x:t xml:space="preserve">MP-008</x:t>
        </x:is>
      </x:c>
      <x:c r="B13" s="71" t="n"/>
      <x:c r="C13" s="75" t="str">
        <x:f>IF(B13="","",INDEX('Company Universe'!$B$6:$B$105,MATCH(B13,'Company Universe'!$A$6:$A$105,0)))</x:f>
      </x:c>
      <x:c r="D13" s="75" t="str">
        <x:f>IF(B13="","",INDEX('Company Universe'!$C$6:$C$105,MATCH(B13,'Company Universe'!$A$6:$A$105,0)))</x:f>
      </x:c>
      <x:c r="E13" s="206" t="n"/>
      <x:c r="F13" s="71" t="n"/>
      <x:c r="G13" s="71" t="n"/>
      <x:c r="H13" s="71" t="n"/>
      <x:c r="I13" s="71" t="n"/>
      <x:c r="J13" s="206" t="n"/>
      <x:c r="K13" s="71" t="n"/>
      <x:c r="L13" s="71" t="n"/>
      <x:c r="M13" s="206" t="n"/>
      <x:c r="N13" s="71" t="inlineStr">
        <x:is>
          <x:t xml:space="preserve">OPEN</x:t>
        </x:is>
      </x:c>
      <x:c r="O13" s="71" t="n"/>
      <x:c r="P13" s="71" t="n"/>
    </x:row>
    <x:row r="14">
      <x:c r="A14" s="57" t="inlineStr">
        <x:is>
          <x:t xml:space="preserve">MP-009</x:t>
        </x:is>
      </x:c>
      <x:c r="B14" s="71" t="n"/>
      <x:c r="C14" s="75" t="str">
        <x:f>IF(B14="","",INDEX('Company Universe'!$B$6:$B$105,MATCH(B14,'Company Universe'!$A$6:$A$105,0)))</x:f>
      </x:c>
      <x:c r="D14" s="75" t="str">
        <x:f>IF(B14="","",INDEX('Company Universe'!$C$6:$C$105,MATCH(B14,'Company Universe'!$A$6:$A$105,0)))</x:f>
      </x:c>
      <x:c r="E14" s="206" t="n"/>
      <x:c r="F14" s="71" t="n"/>
      <x:c r="G14" s="71" t="n"/>
      <x:c r="H14" s="71" t="n"/>
      <x:c r="I14" s="71" t="n"/>
      <x:c r="J14" s="206" t="n"/>
      <x:c r="K14" s="71" t="n"/>
      <x:c r="L14" s="71" t="n"/>
      <x:c r="M14" s="206" t="n"/>
      <x:c r="N14" s="71" t="inlineStr">
        <x:is>
          <x:t xml:space="preserve">OPEN</x:t>
        </x:is>
      </x:c>
      <x:c r="O14" s="71" t="n"/>
      <x:c r="P14" s="71" t="n"/>
    </x:row>
    <x:row r="15">
      <x:c r="A15" s="57" t="inlineStr">
        <x:is>
          <x:t xml:space="preserve">MP-010</x:t>
        </x:is>
      </x:c>
      <x:c r="B15" s="71" t="n"/>
      <x:c r="C15" s="75" t="str">
        <x:f>IF(B15="","",INDEX('Company Universe'!$B$6:$B$105,MATCH(B15,'Company Universe'!$A$6:$A$105,0)))</x:f>
      </x:c>
      <x:c r="D15" s="75" t="str">
        <x:f>IF(B15="","",INDEX('Company Universe'!$C$6:$C$105,MATCH(B15,'Company Universe'!$A$6:$A$105,0)))</x:f>
      </x:c>
      <x:c r="E15" s="206" t="n"/>
      <x:c r="F15" s="71" t="n"/>
      <x:c r="G15" s="71" t="n"/>
      <x:c r="H15" s="71" t="n"/>
      <x:c r="I15" s="71" t="n"/>
      <x:c r="J15" s="206" t="n"/>
      <x:c r="K15" s="71" t="n"/>
      <x:c r="L15" s="71" t="n"/>
      <x:c r="M15" s="206" t="n"/>
      <x:c r="N15" s="71" t="inlineStr">
        <x:is>
          <x:t xml:space="preserve">OPEN</x:t>
        </x:is>
      </x:c>
      <x:c r="O15" s="71" t="n"/>
      <x:c r="P15" s="71" t="n"/>
    </x:row>
    <x:row r="16">
      <x:c r="A16" s="57" t="inlineStr">
        <x:is>
          <x:t xml:space="preserve">MP-011</x:t>
        </x:is>
      </x:c>
      <x:c r="B16" s="71" t="n"/>
      <x:c r="C16" s="75" t="str">
        <x:f>IF(B16="","",INDEX('Company Universe'!$B$6:$B$105,MATCH(B16,'Company Universe'!$A$6:$A$105,0)))</x:f>
      </x:c>
      <x:c r="D16" s="75" t="str">
        <x:f>IF(B16="","",INDEX('Company Universe'!$C$6:$C$105,MATCH(B16,'Company Universe'!$A$6:$A$105,0)))</x:f>
      </x:c>
      <x:c r="E16" s="206" t="n"/>
      <x:c r="F16" s="71" t="n"/>
      <x:c r="G16" s="71" t="n"/>
      <x:c r="H16" s="71" t="n"/>
      <x:c r="I16" s="71" t="n"/>
      <x:c r="J16" s="206" t="n"/>
      <x:c r="K16" s="71" t="n"/>
      <x:c r="L16" s="71" t="n"/>
      <x:c r="M16" s="206" t="n"/>
      <x:c r="N16" s="71" t="inlineStr">
        <x:is>
          <x:t xml:space="preserve">OPEN</x:t>
        </x:is>
      </x:c>
      <x:c r="O16" s="71" t="n"/>
      <x:c r="P16" s="71" t="n"/>
    </x:row>
    <x:row r="17">
      <x:c r="A17" s="57" t="inlineStr">
        <x:is>
          <x:t xml:space="preserve">MP-012</x:t>
        </x:is>
      </x:c>
      <x:c r="B17" s="71" t="n"/>
      <x:c r="C17" s="75" t="str">
        <x:f>IF(B17="","",INDEX('Company Universe'!$B$6:$B$105,MATCH(B17,'Company Universe'!$A$6:$A$105,0)))</x:f>
      </x:c>
      <x:c r="D17" s="75" t="str">
        <x:f>IF(B17="","",INDEX('Company Universe'!$C$6:$C$105,MATCH(B17,'Company Universe'!$A$6:$A$105,0)))</x:f>
      </x:c>
      <x:c r="E17" s="206" t="n"/>
      <x:c r="F17" s="71" t="n"/>
      <x:c r="G17" s="71" t="n"/>
      <x:c r="H17" s="71" t="n"/>
      <x:c r="I17" s="71" t="n"/>
      <x:c r="J17" s="206" t="n"/>
      <x:c r="K17" s="71" t="n"/>
      <x:c r="L17" s="71" t="n"/>
      <x:c r="M17" s="206" t="n"/>
      <x:c r="N17" s="71" t="inlineStr">
        <x:is>
          <x:t xml:space="preserve">OPEN</x:t>
        </x:is>
      </x:c>
      <x:c r="O17" s="71" t="n"/>
      <x:c r="P17" s="71" t="n"/>
    </x:row>
    <x:row r="18">
      <x:c r="A18" s="57" t="inlineStr">
        <x:is>
          <x:t xml:space="preserve">MP-013</x:t>
        </x:is>
      </x:c>
      <x:c r="B18" s="71" t="n"/>
      <x:c r="C18" s="75" t="str">
        <x:f>IF(B18="","",INDEX('Company Universe'!$B$6:$B$105,MATCH(B18,'Company Universe'!$A$6:$A$105,0)))</x:f>
      </x:c>
      <x:c r="D18" s="75" t="str">
        <x:f>IF(B18="","",INDEX('Company Universe'!$C$6:$C$105,MATCH(B18,'Company Universe'!$A$6:$A$105,0)))</x:f>
      </x:c>
      <x:c r="E18" s="206" t="n"/>
      <x:c r="F18" s="71" t="n"/>
      <x:c r="G18" s="71" t="n"/>
      <x:c r="H18" s="71" t="n"/>
      <x:c r="I18" s="71" t="n"/>
      <x:c r="J18" s="206" t="n"/>
      <x:c r="K18" s="71" t="n"/>
      <x:c r="L18" s="71" t="n"/>
      <x:c r="M18" s="206" t="n"/>
      <x:c r="N18" s="71" t="inlineStr">
        <x:is>
          <x:t xml:space="preserve">OPEN</x:t>
        </x:is>
      </x:c>
      <x:c r="O18" s="71" t="n"/>
      <x:c r="P18" s="71" t="n"/>
    </x:row>
    <x:row r="19">
      <x:c r="A19" s="57" t="inlineStr">
        <x:is>
          <x:t xml:space="preserve">MP-014</x:t>
        </x:is>
      </x:c>
      <x:c r="B19" s="71" t="n"/>
      <x:c r="C19" s="75" t="str">
        <x:f>IF(B19="","",INDEX('Company Universe'!$B$6:$B$105,MATCH(B19,'Company Universe'!$A$6:$A$105,0)))</x:f>
      </x:c>
      <x:c r="D19" s="75" t="str">
        <x:f>IF(B19="","",INDEX('Company Universe'!$C$6:$C$105,MATCH(B19,'Company Universe'!$A$6:$A$105,0)))</x:f>
      </x:c>
      <x:c r="E19" s="206" t="n"/>
      <x:c r="F19" s="71" t="n"/>
      <x:c r="G19" s="71" t="n"/>
      <x:c r="H19" s="71" t="n"/>
      <x:c r="I19" s="71" t="n"/>
      <x:c r="J19" s="206" t="n"/>
      <x:c r="K19" s="71" t="n"/>
      <x:c r="L19" s="71" t="n"/>
      <x:c r="M19" s="206" t="n"/>
      <x:c r="N19" s="71" t="inlineStr">
        <x:is>
          <x:t xml:space="preserve">OPEN</x:t>
        </x:is>
      </x:c>
      <x:c r="O19" s="71" t="n"/>
      <x:c r="P19" s="71" t="n"/>
    </x:row>
    <x:row r="20">
      <x:c r="A20" s="57" t="inlineStr">
        <x:is>
          <x:t xml:space="preserve">MP-015</x:t>
        </x:is>
      </x:c>
      <x:c r="B20" s="71" t="n"/>
      <x:c r="C20" s="75" t="str">
        <x:f>IF(B20="","",INDEX('Company Universe'!$B$6:$B$105,MATCH(B20,'Company Universe'!$A$6:$A$105,0)))</x:f>
      </x:c>
      <x:c r="D20" s="75" t="str">
        <x:f>IF(B20="","",INDEX('Company Universe'!$C$6:$C$105,MATCH(B20,'Company Universe'!$A$6:$A$105,0)))</x:f>
      </x:c>
      <x:c r="E20" s="206" t="n"/>
      <x:c r="F20" s="71" t="n"/>
      <x:c r="G20" s="71" t="n"/>
      <x:c r="H20" s="71" t="n"/>
      <x:c r="I20" s="71" t="n"/>
      <x:c r="J20" s="206" t="n"/>
      <x:c r="K20" s="71" t="n"/>
      <x:c r="L20" s="71" t="n"/>
      <x:c r="M20" s="206" t="n"/>
      <x:c r="N20" s="71" t="inlineStr">
        <x:is>
          <x:t xml:space="preserve">OPEN</x:t>
        </x:is>
      </x:c>
      <x:c r="O20" s="71" t="n"/>
      <x:c r="P20" s="71" t="n"/>
    </x:row>
    <x:row r="21">
      <x:c r="A21" s="57" t="inlineStr">
        <x:is>
          <x:t xml:space="preserve">MP-016</x:t>
        </x:is>
      </x:c>
      <x:c r="B21" s="71" t="n"/>
      <x:c r="C21" s="75" t="str">
        <x:f>IF(B21="","",INDEX('Company Universe'!$B$6:$B$105,MATCH(B21,'Company Universe'!$A$6:$A$105,0)))</x:f>
      </x:c>
      <x:c r="D21" s="75" t="str">
        <x:f>IF(B21="","",INDEX('Company Universe'!$C$6:$C$105,MATCH(B21,'Company Universe'!$A$6:$A$105,0)))</x:f>
      </x:c>
      <x:c r="E21" s="206" t="n"/>
      <x:c r="F21" s="71" t="n"/>
      <x:c r="G21" s="71" t="n"/>
      <x:c r="H21" s="71" t="n"/>
      <x:c r="I21" s="71" t="n"/>
      <x:c r="J21" s="206" t="n"/>
      <x:c r="K21" s="71" t="n"/>
      <x:c r="L21" s="71" t="n"/>
      <x:c r="M21" s="206" t="n"/>
      <x:c r="N21" s="71" t="inlineStr">
        <x:is>
          <x:t xml:space="preserve">OPEN</x:t>
        </x:is>
      </x:c>
      <x:c r="O21" s="71" t="n"/>
      <x:c r="P21" s="71" t="n"/>
    </x:row>
    <x:row r="22">
      <x:c r="A22" s="57" t="inlineStr">
        <x:is>
          <x:t xml:space="preserve">MP-017</x:t>
        </x:is>
      </x:c>
      <x:c r="B22" s="71" t="n"/>
      <x:c r="C22" s="75" t="str">
        <x:f>IF(B22="","",INDEX('Company Universe'!$B$6:$B$105,MATCH(B22,'Company Universe'!$A$6:$A$105,0)))</x:f>
      </x:c>
      <x:c r="D22" s="75" t="str">
        <x:f>IF(B22="","",INDEX('Company Universe'!$C$6:$C$105,MATCH(B22,'Company Universe'!$A$6:$A$105,0)))</x:f>
      </x:c>
      <x:c r="E22" s="206" t="n"/>
      <x:c r="F22" s="71" t="n"/>
      <x:c r="G22" s="71" t="n"/>
      <x:c r="H22" s="71" t="n"/>
      <x:c r="I22" s="71" t="n"/>
      <x:c r="J22" s="206" t="n"/>
      <x:c r="K22" s="71" t="n"/>
      <x:c r="L22" s="71" t="n"/>
      <x:c r="M22" s="206" t="n"/>
      <x:c r="N22" s="71" t="inlineStr">
        <x:is>
          <x:t xml:space="preserve">OPEN</x:t>
        </x:is>
      </x:c>
      <x:c r="O22" s="71" t="n"/>
      <x:c r="P22" s="71" t="n"/>
    </x:row>
    <x:row r="23">
      <x:c r="A23" s="57" t="inlineStr">
        <x:is>
          <x:t xml:space="preserve">MP-018</x:t>
        </x:is>
      </x:c>
      <x:c r="B23" s="71" t="n"/>
      <x:c r="C23" s="75" t="str">
        <x:f>IF(B23="","",INDEX('Company Universe'!$B$6:$B$105,MATCH(B23,'Company Universe'!$A$6:$A$105,0)))</x:f>
      </x:c>
      <x:c r="D23" s="75" t="str">
        <x:f>IF(B23="","",INDEX('Company Universe'!$C$6:$C$105,MATCH(B23,'Company Universe'!$A$6:$A$105,0)))</x:f>
      </x:c>
      <x:c r="E23" s="206" t="n"/>
      <x:c r="F23" s="71" t="n"/>
      <x:c r="G23" s="71" t="n"/>
      <x:c r="H23" s="71" t="n"/>
      <x:c r="I23" s="71" t="n"/>
      <x:c r="J23" s="206" t="n"/>
      <x:c r="K23" s="71" t="n"/>
      <x:c r="L23" s="71" t="n"/>
      <x:c r="M23" s="206" t="n"/>
      <x:c r="N23" s="71" t="inlineStr">
        <x:is>
          <x:t xml:space="preserve">OPEN</x:t>
        </x:is>
      </x:c>
      <x:c r="O23" s="71" t="n"/>
      <x:c r="P23" s="71" t="n"/>
    </x:row>
    <x:row r="24">
      <x:c r="A24" s="57" t="inlineStr">
        <x:is>
          <x:t xml:space="preserve">MP-019</x:t>
        </x:is>
      </x:c>
      <x:c r="B24" s="71" t="n"/>
      <x:c r="C24" s="75" t="str">
        <x:f>IF(B24="","",INDEX('Company Universe'!$B$6:$B$105,MATCH(B24,'Company Universe'!$A$6:$A$105,0)))</x:f>
      </x:c>
      <x:c r="D24" s="75" t="str">
        <x:f>IF(B24="","",INDEX('Company Universe'!$C$6:$C$105,MATCH(B24,'Company Universe'!$A$6:$A$105,0)))</x:f>
      </x:c>
      <x:c r="E24" s="206" t="n"/>
      <x:c r="F24" s="71" t="n"/>
      <x:c r="G24" s="71" t="n"/>
      <x:c r="H24" s="71" t="n"/>
      <x:c r="I24" s="71" t="n"/>
      <x:c r="J24" s="206" t="n"/>
      <x:c r="K24" s="71" t="n"/>
      <x:c r="L24" s="71" t="n"/>
      <x:c r="M24" s="206" t="n"/>
      <x:c r="N24" s="71" t="inlineStr">
        <x:is>
          <x:t xml:space="preserve">OPEN</x:t>
        </x:is>
      </x:c>
      <x:c r="O24" s="71" t="n"/>
      <x:c r="P24" s="71" t="n"/>
    </x:row>
    <x:row r="25">
      <x:c r="A25" s="57" t="inlineStr">
        <x:is>
          <x:t xml:space="preserve">MP-020</x:t>
        </x:is>
      </x:c>
      <x:c r="B25" s="71" t="n"/>
      <x:c r="C25" s="75" t="str">
        <x:f>IF(B25="","",INDEX('Company Universe'!$B$6:$B$105,MATCH(B25,'Company Universe'!$A$6:$A$105,0)))</x:f>
      </x:c>
      <x:c r="D25" s="75" t="str">
        <x:f>IF(B25="","",INDEX('Company Universe'!$C$6:$C$105,MATCH(B25,'Company Universe'!$A$6:$A$105,0)))</x:f>
      </x:c>
      <x:c r="E25" s="206" t="n"/>
      <x:c r="F25" s="71" t="n"/>
      <x:c r="G25" s="71" t="n"/>
      <x:c r="H25" s="71" t="n"/>
      <x:c r="I25" s="71" t="n"/>
      <x:c r="J25" s="206" t="n"/>
      <x:c r="K25" s="71" t="n"/>
      <x:c r="L25" s="71" t="n"/>
      <x:c r="M25" s="206" t="n"/>
      <x:c r="N25" s="71" t="inlineStr">
        <x:is>
          <x:t xml:space="preserve">OPEN</x:t>
        </x:is>
      </x:c>
      <x:c r="O25" s="71" t="n"/>
      <x:c r="P25" s="71" t="n"/>
    </x:row>
    <x:row r="26">
      <x:c r="A26" s="57" t="inlineStr">
        <x:is>
          <x:t xml:space="preserve">MP-021</x:t>
        </x:is>
      </x:c>
      <x:c r="B26" s="71" t="n"/>
      <x:c r="C26" s="75" t="str">
        <x:f>IF(B26="","",INDEX('Company Universe'!$B$6:$B$105,MATCH(B26,'Company Universe'!$A$6:$A$105,0)))</x:f>
      </x:c>
      <x:c r="D26" s="75" t="str">
        <x:f>IF(B26="","",INDEX('Company Universe'!$C$6:$C$105,MATCH(B26,'Company Universe'!$A$6:$A$105,0)))</x:f>
      </x:c>
      <x:c r="E26" s="206" t="n"/>
      <x:c r="F26" s="71" t="n"/>
      <x:c r="G26" s="71" t="n"/>
      <x:c r="H26" s="71" t="n"/>
      <x:c r="I26" s="71" t="n"/>
      <x:c r="J26" s="206" t="n"/>
      <x:c r="K26" s="71" t="n"/>
      <x:c r="L26" s="71" t="n"/>
      <x:c r="M26" s="206" t="n"/>
      <x:c r="N26" s="71" t="inlineStr">
        <x:is>
          <x:t xml:space="preserve">OPEN</x:t>
        </x:is>
      </x:c>
      <x:c r="O26" s="71" t="n"/>
      <x:c r="P26" s="71" t="n"/>
    </x:row>
    <x:row r="27">
      <x:c r="A27" s="57" t="inlineStr">
        <x:is>
          <x:t xml:space="preserve">MP-022</x:t>
        </x:is>
      </x:c>
      <x:c r="B27" s="71" t="n"/>
      <x:c r="C27" s="75" t="str">
        <x:f>IF(B27="","",INDEX('Company Universe'!$B$6:$B$105,MATCH(B27,'Company Universe'!$A$6:$A$105,0)))</x:f>
      </x:c>
      <x:c r="D27" s="75" t="str">
        <x:f>IF(B27="","",INDEX('Company Universe'!$C$6:$C$105,MATCH(B27,'Company Universe'!$A$6:$A$105,0)))</x:f>
      </x:c>
      <x:c r="E27" s="206" t="n"/>
      <x:c r="F27" s="71" t="n"/>
      <x:c r="G27" s="71" t="n"/>
      <x:c r="H27" s="71" t="n"/>
      <x:c r="I27" s="71" t="n"/>
      <x:c r="J27" s="206" t="n"/>
      <x:c r="K27" s="71" t="n"/>
      <x:c r="L27" s="71" t="n"/>
      <x:c r="M27" s="206" t="n"/>
      <x:c r="N27" s="71" t="inlineStr">
        <x:is>
          <x:t xml:space="preserve">OPEN</x:t>
        </x:is>
      </x:c>
      <x:c r="O27" s="71" t="n"/>
      <x:c r="P27" s="71" t="n"/>
    </x:row>
    <x:row r="28">
      <x:c r="A28" s="57" t="inlineStr">
        <x:is>
          <x:t xml:space="preserve">MP-023</x:t>
        </x:is>
      </x:c>
      <x:c r="B28" s="71" t="n"/>
      <x:c r="C28" s="75" t="str">
        <x:f>IF(B28="","",INDEX('Company Universe'!$B$6:$B$105,MATCH(B28,'Company Universe'!$A$6:$A$105,0)))</x:f>
      </x:c>
      <x:c r="D28" s="75" t="str">
        <x:f>IF(B28="","",INDEX('Company Universe'!$C$6:$C$105,MATCH(B28,'Company Universe'!$A$6:$A$105,0)))</x:f>
      </x:c>
      <x:c r="E28" s="206" t="n"/>
      <x:c r="F28" s="71" t="n"/>
      <x:c r="G28" s="71" t="n"/>
      <x:c r="H28" s="71" t="n"/>
      <x:c r="I28" s="71" t="n"/>
      <x:c r="J28" s="206" t="n"/>
      <x:c r="K28" s="71" t="n"/>
      <x:c r="L28" s="71" t="n"/>
      <x:c r="M28" s="206" t="n"/>
      <x:c r="N28" s="71" t="inlineStr">
        <x:is>
          <x:t xml:space="preserve">OPEN</x:t>
        </x:is>
      </x:c>
      <x:c r="O28" s="71" t="n"/>
      <x:c r="P28" s="71" t="n"/>
    </x:row>
    <x:row r="29">
      <x:c r="A29" s="57" t="inlineStr">
        <x:is>
          <x:t xml:space="preserve">MP-024</x:t>
        </x:is>
      </x:c>
      <x:c r="B29" s="71" t="n"/>
      <x:c r="C29" s="75" t="str">
        <x:f>IF(B29="","",INDEX('Company Universe'!$B$6:$B$105,MATCH(B29,'Company Universe'!$A$6:$A$105,0)))</x:f>
      </x:c>
      <x:c r="D29" s="75" t="str">
        <x:f>IF(B29="","",INDEX('Company Universe'!$C$6:$C$105,MATCH(B29,'Company Universe'!$A$6:$A$105,0)))</x:f>
      </x:c>
      <x:c r="E29" s="206" t="n"/>
      <x:c r="F29" s="71" t="n"/>
      <x:c r="G29" s="71" t="n"/>
      <x:c r="H29" s="71" t="n"/>
      <x:c r="I29" s="71" t="n"/>
      <x:c r="J29" s="206" t="n"/>
      <x:c r="K29" s="71" t="n"/>
      <x:c r="L29" s="71" t="n"/>
      <x:c r="M29" s="206" t="n"/>
      <x:c r="N29" s="71" t="inlineStr">
        <x:is>
          <x:t xml:space="preserve">OPEN</x:t>
        </x:is>
      </x:c>
      <x:c r="O29" s="71" t="n"/>
      <x:c r="P29" s="71" t="n"/>
    </x:row>
    <x:row r="30">
      <x:c r="A30" s="57" t="inlineStr">
        <x:is>
          <x:t xml:space="preserve">MP-025</x:t>
        </x:is>
      </x:c>
      <x:c r="B30" s="71" t="n"/>
      <x:c r="C30" s="75" t="str">
        <x:f>IF(B30="","",INDEX('Company Universe'!$B$6:$B$105,MATCH(B30,'Company Universe'!$A$6:$A$105,0)))</x:f>
      </x:c>
      <x:c r="D30" s="75" t="str">
        <x:f>IF(B30="","",INDEX('Company Universe'!$C$6:$C$105,MATCH(B30,'Company Universe'!$A$6:$A$105,0)))</x:f>
      </x:c>
      <x:c r="E30" s="206" t="n"/>
      <x:c r="F30" s="71" t="n"/>
      <x:c r="G30" s="71" t="n"/>
      <x:c r="H30" s="71" t="n"/>
      <x:c r="I30" s="71" t="n"/>
      <x:c r="J30" s="206" t="n"/>
      <x:c r="K30" s="71" t="n"/>
      <x:c r="L30" s="71" t="n"/>
      <x:c r="M30" s="206" t="n"/>
      <x:c r="N30" s="71" t="inlineStr">
        <x:is>
          <x:t xml:space="preserve">OPEN</x:t>
        </x:is>
      </x:c>
      <x:c r="O30" s="71" t="n"/>
      <x:c r="P30" s="71" t="n"/>
    </x:row>
    <x:row r="31">
      <x:c r="A31" s="57" t="inlineStr">
        <x:is>
          <x:t xml:space="preserve">MP-026</x:t>
        </x:is>
      </x:c>
      <x:c r="B31" s="71" t="n"/>
      <x:c r="C31" s="75" t="str">
        <x:f>IF(B31="","",INDEX('Company Universe'!$B$6:$B$105,MATCH(B31,'Company Universe'!$A$6:$A$105,0)))</x:f>
      </x:c>
      <x:c r="D31" s="75" t="str">
        <x:f>IF(B31="","",INDEX('Company Universe'!$C$6:$C$105,MATCH(B31,'Company Universe'!$A$6:$A$105,0)))</x:f>
      </x:c>
      <x:c r="E31" s="206" t="n"/>
      <x:c r="F31" s="71" t="n"/>
      <x:c r="G31" s="71" t="n"/>
      <x:c r="H31" s="71" t="n"/>
      <x:c r="I31" s="71" t="n"/>
      <x:c r="J31" s="206" t="n"/>
      <x:c r="K31" s="71" t="n"/>
      <x:c r="L31" s="71" t="n"/>
      <x:c r="M31" s="206" t="n"/>
      <x:c r="N31" s="71" t="inlineStr">
        <x:is>
          <x:t xml:space="preserve">OPEN</x:t>
        </x:is>
      </x:c>
      <x:c r="O31" s="71" t="n"/>
      <x:c r="P31" s="71" t="n"/>
    </x:row>
    <x:row r="32">
      <x:c r="A32" s="57" t="inlineStr">
        <x:is>
          <x:t xml:space="preserve">MP-027</x:t>
        </x:is>
      </x:c>
      <x:c r="B32" s="71" t="n"/>
      <x:c r="C32" s="75" t="str">
        <x:f>IF(B32="","",INDEX('Company Universe'!$B$6:$B$105,MATCH(B32,'Company Universe'!$A$6:$A$105,0)))</x:f>
      </x:c>
      <x:c r="D32" s="75" t="str">
        <x:f>IF(B32="","",INDEX('Company Universe'!$C$6:$C$105,MATCH(B32,'Company Universe'!$A$6:$A$105,0)))</x:f>
      </x:c>
      <x:c r="E32" s="206" t="n"/>
      <x:c r="F32" s="71" t="n"/>
      <x:c r="G32" s="71" t="n"/>
      <x:c r="H32" s="71" t="n"/>
      <x:c r="I32" s="71" t="n"/>
      <x:c r="J32" s="206" t="n"/>
      <x:c r="K32" s="71" t="n"/>
      <x:c r="L32" s="71" t="n"/>
      <x:c r="M32" s="206" t="n"/>
      <x:c r="N32" s="71" t="inlineStr">
        <x:is>
          <x:t xml:space="preserve">OPEN</x:t>
        </x:is>
      </x:c>
      <x:c r="O32" s="71" t="n"/>
      <x:c r="P32" s="71" t="n"/>
    </x:row>
    <x:row r="33">
      <x:c r="A33" s="57" t="inlineStr">
        <x:is>
          <x:t xml:space="preserve">MP-028</x:t>
        </x:is>
      </x:c>
      <x:c r="B33" s="71" t="n"/>
      <x:c r="C33" s="75" t="str">
        <x:f>IF(B33="","",INDEX('Company Universe'!$B$6:$B$105,MATCH(B33,'Company Universe'!$A$6:$A$105,0)))</x:f>
      </x:c>
      <x:c r="D33" s="75" t="str">
        <x:f>IF(B33="","",INDEX('Company Universe'!$C$6:$C$105,MATCH(B33,'Company Universe'!$A$6:$A$105,0)))</x:f>
      </x:c>
      <x:c r="E33" s="206" t="n"/>
      <x:c r="F33" s="71" t="n"/>
      <x:c r="G33" s="71" t="n"/>
      <x:c r="H33" s="71" t="n"/>
      <x:c r="I33" s="71" t="n"/>
      <x:c r="J33" s="206" t="n"/>
      <x:c r="K33" s="71" t="n"/>
      <x:c r="L33" s="71" t="n"/>
      <x:c r="M33" s="206" t="n"/>
      <x:c r="N33" s="71" t="inlineStr">
        <x:is>
          <x:t xml:space="preserve">OPEN</x:t>
        </x:is>
      </x:c>
      <x:c r="O33" s="71" t="n"/>
      <x:c r="P33" s="71" t="n"/>
    </x:row>
    <x:row r="34">
      <x:c r="A34" s="57" t="inlineStr">
        <x:is>
          <x:t xml:space="preserve">MP-029</x:t>
        </x:is>
      </x:c>
      <x:c r="B34" s="71" t="n"/>
      <x:c r="C34" s="75" t="str">
        <x:f>IF(B34="","",INDEX('Company Universe'!$B$6:$B$105,MATCH(B34,'Company Universe'!$A$6:$A$105,0)))</x:f>
      </x:c>
      <x:c r="D34" s="75" t="str">
        <x:f>IF(B34="","",INDEX('Company Universe'!$C$6:$C$105,MATCH(B34,'Company Universe'!$A$6:$A$105,0)))</x:f>
      </x:c>
      <x:c r="E34" s="206" t="n"/>
      <x:c r="F34" s="71" t="n"/>
      <x:c r="G34" s="71" t="n"/>
      <x:c r="H34" s="71" t="n"/>
      <x:c r="I34" s="71" t="n"/>
      <x:c r="J34" s="206" t="n"/>
      <x:c r="K34" s="71" t="n"/>
      <x:c r="L34" s="71" t="n"/>
      <x:c r="M34" s="206" t="n"/>
      <x:c r="N34" s="71" t="inlineStr">
        <x:is>
          <x:t xml:space="preserve">OPEN</x:t>
        </x:is>
      </x:c>
      <x:c r="O34" s="71" t="n"/>
      <x:c r="P34" s="71" t="n"/>
    </x:row>
    <x:row r="35">
      <x:c r="A35" s="57" t="inlineStr">
        <x:is>
          <x:t xml:space="preserve">MP-030</x:t>
        </x:is>
      </x:c>
      <x:c r="B35" s="71" t="n"/>
      <x:c r="C35" s="75" t="str">
        <x:f>IF(B35="","",INDEX('Company Universe'!$B$6:$B$105,MATCH(B35,'Company Universe'!$A$6:$A$105,0)))</x:f>
      </x:c>
      <x:c r="D35" s="75" t="str">
        <x:f>IF(B35="","",INDEX('Company Universe'!$C$6:$C$105,MATCH(B35,'Company Universe'!$A$6:$A$105,0)))</x:f>
      </x:c>
      <x:c r="E35" s="206" t="n"/>
      <x:c r="F35" s="71" t="n"/>
      <x:c r="G35" s="71" t="n"/>
      <x:c r="H35" s="71" t="n"/>
      <x:c r="I35" s="71" t="n"/>
      <x:c r="J35" s="206" t="n"/>
      <x:c r="K35" s="71" t="n"/>
      <x:c r="L35" s="71" t="n"/>
      <x:c r="M35" s="206" t="n"/>
      <x:c r="N35" s="71" t="inlineStr">
        <x:is>
          <x:t xml:space="preserve">OPEN</x:t>
        </x:is>
      </x:c>
      <x:c r="O35" s="71" t="n"/>
      <x:c r="P35" s="71" t="n"/>
    </x:row>
    <x:row r="36">
      <x:c r="A36" s="57" t="inlineStr">
        <x:is>
          <x:t xml:space="preserve">MP-031</x:t>
        </x:is>
      </x:c>
      <x:c r="B36" s="71" t="n"/>
      <x:c r="C36" s="75" t="str">
        <x:f>IF(B36="","",INDEX('Company Universe'!$B$6:$B$105,MATCH(B36,'Company Universe'!$A$6:$A$105,0)))</x:f>
      </x:c>
      <x:c r="D36" s="75" t="str">
        <x:f>IF(B36="","",INDEX('Company Universe'!$C$6:$C$105,MATCH(B36,'Company Universe'!$A$6:$A$105,0)))</x:f>
      </x:c>
      <x:c r="E36" s="206" t="n"/>
      <x:c r="F36" s="71" t="n"/>
      <x:c r="G36" s="71" t="n"/>
      <x:c r="H36" s="71" t="n"/>
      <x:c r="I36" s="71" t="n"/>
      <x:c r="J36" s="206" t="n"/>
      <x:c r="K36" s="71" t="n"/>
      <x:c r="L36" s="71" t="n"/>
      <x:c r="M36" s="206" t="n"/>
      <x:c r="N36" s="71" t="inlineStr">
        <x:is>
          <x:t xml:space="preserve">OPEN</x:t>
        </x:is>
      </x:c>
      <x:c r="O36" s="71" t="n"/>
      <x:c r="P36" s="71" t="n"/>
    </x:row>
    <x:row r="37">
      <x:c r="A37" s="57" t="inlineStr">
        <x:is>
          <x:t xml:space="preserve">MP-032</x:t>
        </x:is>
      </x:c>
      <x:c r="B37" s="71" t="n"/>
      <x:c r="C37" s="75" t="str">
        <x:f>IF(B37="","",INDEX('Company Universe'!$B$6:$B$105,MATCH(B37,'Company Universe'!$A$6:$A$105,0)))</x:f>
      </x:c>
      <x:c r="D37" s="75" t="str">
        <x:f>IF(B37="","",INDEX('Company Universe'!$C$6:$C$105,MATCH(B37,'Company Universe'!$A$6:$A$105,0)))</x:f>
      </x:c>
      <x:c r="E37" s="206" t="n"/>
      <x:c r="F37" s="71" t="n"/>
      <x:c r="G37" s="71" t="n"/>
      <x:c r="H37" s="71" t="n"/>
      <x:c r="I37" s="71" t="n"/>
      <x:c r="J37" s="206" t="n"/>
      <x:c r="K37" s="71" t="n"/>
      <x:c r="L37" s="71" t="n"/>
      <x:c r="M37" s="206" t="n"/>
      <x:c r="N37" s="71" t="inlineStr">
        <x:is>
          <x:t xml:space="preserve">OPEN</x:t>
        </x:is>
      </x:c>
      <x:c r="O37" s="71" t="n"/>
      <x:c r="P37" s="71" t="n"/>
    </x:row>
    <x:row r="38">
      <x:c r="A38" s="57" t="inlineStr">
        <x:is>
          <x:t xml:space="preserve">MP-033</x:t>
        </x:is>
      </x:c>
      <x:c r="B38" s="71" t="n"/>
      <x:c r="C38" s="75" t="str">
        <x:f>IF(B38="","",INDEX('Company Universe'!$B$6:$B$105,MATCH(B38,'Company Universe'!$A$6:$A$105,0)))</x:f>
      </x:c>
      <x:c r="D38" s="75" t="str">
        <x:f>IF(B38="","",INDEX('Company Universe'!$C$6:$C$105,MATCH(B38,'Company Universe'!$A$6:$A$105,0)))</x:f>
      </x:c>
      <x:c r="E38" s="206" t="n"/>
      <x:c r="F38" s="71" t="n"/>
      <x:c r="G38" s="71" t="n"/>
      <x:c r="H38" s="71" t="n"/>
      <x:c r="I38" s="71" t="n"/>
      <x:c r="J38" s="206" t="n"/>
      <x:c r="K38" s="71" t="n"/>
      <x:c r="L38" s="71" t="n"/>
      <x:c r="M38" s="206" t="n"/>
      <x:c r="N38" s="71" t="inlineStr">
        <x:is>
          <x:t xml:space="preserve">OPEN</x:t>
        </x:is>
      </x:c>
      <x:c r="O38" s="71" t="n"/>
      <x:c r="P38" s="71" t="n"/>
    </x:row>
    <x:row r="39">
      <x:c r="A39" s="57" t="inlineStr">
        <x:is>
          <x:t xml:space="preserve">MP-034</x:t>
        </x:is>
      </x:c>
      <x:c r="B39" s="71" t="n"/>
      <x:c r="C39" s="75" t="str">
        <x:f>IF(B39="","",INDEX('Company Universe'!$B$6:$B$105,MATCH(B39,'Company Universe'!$A$6:$A$105,0)))</x:f>
      </x:c>
      <x:c r="D39" s="75" t="str">
        <x:f>IF(B39="","",INDEX('Company Universe'!$C$6:$C$105,MATCH(B39,'Company Universe'!$A$6:$A$105,0)))</x:f>
      </x:c>
      <x:c r="E39" s="206" t="n"/>
      <x:c r="F39" s="71" t="n"/>
      <x:c r="G39" s="71" t="n"/>
      <x:c r="H39" s="71" t="n"/>
      <x:c r="I39" s="71" t="n"/>
      <x:c r="J39" s="206" t="n"/>
      <x:c r="K39" s="71" t="n"/>
      <x:c r="L39" s="71" t="n"/>
      <x:c r="M39" s="206" t="n"/>
      <x:c r="N39" s="71" t="inlineStr">
        <x:is>
          <x:t xml:space="preserve">OPEN</x:t>
        </x:is>
      </x:c>
      <x:c r="O39" s="71" t="n"/>
      <x:c r="P39" s="71" t="n"/>
    </x:row>
    <x:row r="40">
      <x:c r="A40" s="57" t="inlineStr">
        <x:is>
          <x:t xml:space="preserve">MP-035</x:t>
        </x:is>
      </x:c>
      <x:c r="B40" s="71" t="n"/>
      <x:c r="C40" s="75" t="str">
        <x:f>IF(B40="","",INDEX('Company Universe'!$B$6:$B$105,MATCH(B40,'Company Universe'!$A$6:$A$105,0)))</x:f>
      </x:c>
      <x:c r="D40" s="75" t="str">
        <x:f>IF(B40="","",INDEX('Company Universe'!$C$6:$C$105,MATCH(B40,'Company Universe'!$A$6:$A$105,0)))</x:f>
      </x:c>
      <x:c r="E40" s="206" t="n"/>
      <x:c r="F40" s="71" t="n"/>
      <x:c r="G40" s="71" t="n"/>
      <x:c r="H40" s="71" t="n"/>
      <x:c r="I40" s="71" t="n"/>
      <x:c r="J40" s="206" t="n"/>
      <x:c r="K40" s="71" t="n"/>
      <x:c r="L40" s="71" t="n"/>
      <x:c r="M40" s="206" t="n"/>
      <x:c r="N40" s="71" t="inlineStr">
        <x:is>
          <x:t xml:space="preserve">OPEN</x:t>
        </x:is>
      </x:c>
      <x:c r="O40" s="71" t="n"/>
      <x:c r="P40" s="71" t="n"/>
    </x:row>
    <x:row r="41">
      <x:c r="A41" s="57" t="inlineStr">
        <x:is>
          <x:t xml:space="preserve">MP-036</x:t>
        </x:is>
      </x:c>
      <x:c r="B41" s="71" t="n"/>
      <x:c r="C41" s="75" t="str">
        <x:f>IF(B41="","",INDEX('Company Universe'!$B$6:$B$105,MATCH(B41,'Company Universe'!$A$6:$A$105,0)))</x:f>
      </x:c>
      <x:c r="D41" s="75" t="str">
        <x:f>IF(B41="","",INDEX('Company Universe'!$C$6:$C$105,MATCH(B41,'Company Universe'!$A$6:$A$105,0)))</x:f>
      </x:c>
      <x:c r="E41" s="206" t="n"/>
      <x:c r="F41" s="71" t="n"/>
      <x:c r="G41" s="71" t="n"/>
      <x:c r="H41" s="71" t="n"/>
      <x:c r="I41" s="71" t="n"/>
      <x:c r="J41" s="206" t="n"/>
      <x:c r="K41" s="71" t="n"/>
      <x:c r="L41" s="71" t="n"/>
      <x:c r="M41" s="206" t="n"/>
      <x:c r="N41" s="71" t="inlineStr">
        <x:is>
          <x:t xml:space="preserve">OPEN</x:t>
        </x:is>
      </x:c>
      <x:c r="O41" s="71" t="n"/>
      <x:c r="P41" s="71" t="n"/>
    </x:row>
    <x:row r="42">
      <x:c r="A42" s="57" t="inlineStr">
        <x:is>
          <x:t xml:space="preserve">MP-037</x:t>
        </x:is>
      </x:c>
      <x:c r="B42" s="71" t="n"/>
      <x:c r="C42" s="75" t="str">
        <x:f>IF(B42="","",INDEX('Company Universe'!$B$6:$B$105,MATCH(B42,'Company Universe'!$A$6:$A$105,0)))</x:f>
      </x:c>
      <x:c r="D42" s="75" t="str">
        <x:f>IF(B42="","",INDEX('Company Universe'!$C$6:$C$105,MATCH(B42,'Company Universe'!$A$6:$A$105,0)))</x:f>
      </x:c>
      <x:c r="E42" s="206" t="n"/>
      <x:c r="F42" s="71" t="n"/>
      <x:c r="G42" s="71" t="n"/>
      <x:c r="H42" s="71" t="n"/>
      <x:c r="I42" s="71" t="n"/>
      <x:c r="J42" s="206" t="n"/>
      <x:c r="K42" s="71" t="n"/>
      <x:c r="L42" s="71" t="n"/>
      <x:c r="M42" s="206" t="n"/>
      <x:c r="N42" s="71" t="inlineStr">
        <x:is>
          <x:t xml:space="preserve">OPEN</x:t>
        </x:is>
      </x:c>
      <x:c r="O42" s="71" t="n"/>
      <x:c r="P42" s="71" t="n"/>
    </x:row>
    <x:row r="43">
      <x:c r="A43" s="57" t="inlineStr">
        <x:is>
          <x:t xml:space="preserve">MP-038</x:t>
        </x:is>
      </x:c>
      <x:c r="B43" s="71" t="n"/>
      <x:c r="C43" s="75" t="str">
        <x:f>IF(B43="","",INDEX('Company Universe'!$B$6:$B$105,MATCH(B43,'Company Universe'!$A$6:$A$105,0)))</x:f>
      </x:c>
      <x:c r="D43" s="75" t="str">
        <x:f>IF(B43="","",INDEX('Company Universe'!$C$6:$C$105,MATCH(B43,'Company Universe'!$A$6:$A$105,0)))</x:f>
      </x:c>
      <x:c r="E43" s="206" t="n"/>
      <x:c r="F43" s="71" t="n"/>
      <x:c r="G43" s="71" t="n"/>
      <x:c r="H43" s="71" t="n"/>
      <x:c r="I43" s="71" t="n"/>
      <x:c r="J43" s="206" t="n"/>
      <x:c r="K43" s="71" t="n"/>
      <x:c r="L43" s="71" t="n"/>
      <x:c r="M43" s="206" t="n"/>
      <x:c r="N43" s="71" t="inlineStr">
        <x:is>
          <x:t xml:space="preserve">OPEN</x:t>
        </x:is>
      </x:c>
      <x:c r="O43" s="71" t="n"/>
      <x:c r="P43" s="71" t="n"/>
    </x:row>
    <x:row r="44">
      <x:c r="A44" s="57" t="inlineStr">
        <x:is>
          <x:t xml:space="preserve">MP-039</x:t>
        </x:is>
      </x:c>
      <x:c r="B44" s="71" t="n"/>
      <x:c r="C44" s="75" t="str">
        <x:f>IF(B44="","",INDEX('Company Universe'!$B$6:$B$105,MATCH(B44,'Company Universe'!$A$6:$A$105,0)))</x:f>
      </x:c>
      <x:c r="D44" s="75" t="str">
        <x:f>IF(B44="","",INDEX('Company Universe'!$C$6:$C$105,MATCH(B44,'Company Universe'!$A$6:$A$105,0)))</x:f>
      </x:c>
      <x:c r="E44" s="206" t="n"/>
      <x:c r="F44" s="71" t="n"/>
      <x:c r="G44" s="71" t="n"/>
      <x:c r="H44" s="71" t="n"/>
      <x:c r="I44" s="71" t="n"/>
      <x:c r="J44" s="206" t="n"/>
      <x:c r="K44" s="71" t="n"/>
      <x:c r="L44" s="71" t="n"/>
      <x:c r="M44" s="206" t="n"/>
      <x:c r="N44" s="71" t="inlineStr">
        <x:is>
          <x:t xml:space="preserve">OPEN</x:t>
        </x:is>
      </x:c>
      <x:c r="O44" s="71" t="n"/>
      <x:c r="P44" s="71" t="n"/>
    </x:row>
    <x:row r="45">
      <x:c r="A45" s="57" t="inlineStr">
        <x:is>
          <x:t xml:space="preserve">MP-040</x:t>
        </x:is>
      </x:c>
      <x:c r="B45" s="71" t="n"/>
      <x:c r="C45" s="75" t="str">
        <x:f>IF(B45="","",INDEX('Company Universe'!$B$6:$B$105,MATCH(B45,'Company Universe'!$A$6:$A$105,0)))</x:f>
      </x:c>
      <x:c r="D45" s="75" t="str">
        <x:f>IF(B45="","",INDEX('Company Universe'!$C$6:$C$105,MATCH(B45,'Company Universe'!$A$6:$A$105,0)))</x:f>
      </x:c>
      <x:c r="E45" s="206" t="n"/>
      <x:c r="F45" s="71" t="n"/>
      <x:c r="G45" s="71" t="n"/>
      <x:c r="H45" s="71" t="n"/>
      <x:c r="I45" s="71" t="n"/>
      <x:c r="J45" s="206" t="n"/>
      <x:c r="K45" s="71" t="n"/>
      <x:c r="L45" s="71" t="n"/>
      <x:c r="M45" s="206" t="n"/>
      <x:c r="N45" s="71" t="inlineStr">
        <x:is>
          <x:t xml:space="preserve">OPEN</x:t>
        </x:is>
      </x:c>
      <x:c r="O45" s="71" t="n"/>
      <x:c r="P45" s="71" t="n"/>
    </x:row>
    <x:row r="46">
      <x:c r="A46" s="57" t="inlineStr">
        <x:is>
          <x:t xml:space="preserve">MP-041</x:t>
        </x:is>
      </x:c>
      <x:c r="B46" s="71" t="n"/>
      <x:c r="C46" s="75" t="str">
        <x:f>IF(B46="","",INDEX('Company Universe'!$B$6:$B$105,MATCH(B46,'Company Universe'!$A$6:$A$105,0)))</x:f>
      </x:c>
      <x:c r="D46" s="75" t="str">
        <x:f>IF(B46="","",INDEX('Company Universe'!$C$6:$C$105,MATCH(B46,'Company Universe'!$A$6:$A$105,0)))</x:f>
      </x:c>
      <x:c r="E46" s="206" t="n"/>
      <x:c r="F46" s="71" t="n"/>
      <x:c r="G46" s="71" t="n"/>
      <x:c r="H46" s="71" t="n"/>
      <x:c r="I46" s="71" t="n"/>
      <x:c r="J46" s="206" t="n"/>
      <x:c r="K46" s="71" t="n"/>
      <x:c r="L46" s="71" t="n"/>
      <x:c r="M46" s="206" t="n"/>
      <x:c r="N46" s="71" t="inlineStr">
        <x:is>
          <x:t xml:space="preserve">OPEN</x:t>
        </x:is>
      </x:c>
      <x:c r="O46" s="71" t="n"/>
      <x:c r="P46" s="71" t="n"/>
    </x:row>
    <x:row r="47">
      <x:c r="A47" s="57" t="inlineStr">
        <x:is>
          <x:t xml:space="preserve">MP-042</x:t>
        </x:is>
      </x:c>
      <x:c r="B47" s="71" t="n"/>
      <x:c r="C47" s="75" t="str">
        <x:f>IF(B47="","",INDEX('Company Universe'!$B$6:$B$105,MATCH(B47,'Company Universe'!$A$6:$A$105,0)))</x:f>
      </x:c>
      <x:c r="D47" s="75" t="str">
        <x:f>IF(B47="","",INDEX('Company Universe'!$C$6:$C$105,MATCH(B47,'Company Universe'!$A$6:$A$105,0)))</x:f>
      </x:c>
      <x:c r="E47" s="206" t="n"/>
      <x:c r="F47" s="71" t="n"/>
      <x:c r="G47" s="71" t="n"/>
      <x:c r="H47" s="71" t="n"/>
      <x:c r="I47" s="71" t="n"/>
      <x:c r="J47" s="206" t="n"/>
      <x:c r="K47" s="71" t="n"/>
      <x:c r="L47" s="71" t="n"/>
      <x:c r="M47" s="206" t="n"/>
      <x:c r="N47" s="71" t="inlineStr">
        <x:is>
          <x:t xml:space="preserve">OPEN</x:t>
        </x:is>
      </x:c>
      <x:c r="O47" s="71" t="n"/>
      <x:c r="P47" s="71" t="n"/>
    </x:row>
    <x:row r="48">
      <x:c r="A48" s="57" t="inlineStr">
        <x:is>
          <x:t xml:space="preserve">MP-043</x:t>
        </x:is>
      </x:c>
      <x:c r="B48" s="71" t="n"/>
      <x:c r="C48" s="75" t="str">
        <x:f>IF(B48="","",INDEX('Company Universe'!$B$6:$B$105,MATCH(B48,'Company Universe'!$A$6:$A$105,0)))</x:f>
      </x:c>
      <x:c r="D48" s="75" t="str">
        <x:f>IF(B48="","",INDEX('Company Universe'!$C$6:$C$105,MATCH(B48,'Company Universe'!$A$6:$A$105,0)))</x:f>
      </x:c>
      <x:c r="E48" s="206" t="n"/>
      <x:c r="F48" s="71" t="n"/>
      <x:c r="G48" s="71" t="n"/>
      <x:c r="H48" s="71" t="n"/>
      <x:c r="I48" s="71" t="n"/>
      <x:c r="J48" s="206" t="n"/>
      <x:c r="K48" s="71" t="n"/>
      <x:c r="L48" s="71" t="n"/>
      <x:c r="M48" s="206" t="n"/>
      <x:c r="N48" s="71" t="inlineStr">
        <x:is>
          <x:t xml:space="preserve">OPEN</x:t>
        </x:is>
      </x:c>
      <x:c r="O48" s="71" t="n"/>
      <x:c r="P48" s="71" t="n"/>
    </x:row>
    <x:row r="49">
      <x:c r="A49" s="57" t="inlineStr">
        <x:is>
          <x:t xml:space="preserve">MP-044</x:t>
        </x:is>
      </x:c>
      <x:c r="B49" s="71" t="n"/>
      <x:c r="C49" s="75" t="str">
        <x:f>IF(B49="","",INDEX('Company Universe'!$B$6:$B$105,MATCH(B49,'Company Universe'!$A$6:$A$105,0)))</x:f>
      </x:c>
      <x:c r="D49" s="75" t="str">
        <x:f>IF(B49="","",INDEX('Company Universe'!$C$6:$C$105,MATCH(B49,'Company Universe'!$A$6:$A$105,0)))</x:f>
      </x:c>
      <x:c r="E49" s="206" t="n"/>
      <x:c r="F49" s="71" t="n"/>
      <x:c r="G49" s="71" t="n"/>
      <x:c r="H49" s="71" t="n"/>
      <x:c r="I49" s="71" t="n"/>
      <x:c r="J49" s="206" t="n"/>
      <x:c r="K49" s="71" t="n"/>
      <x:c r="L49" s="71" t="n"/>
      <x:c r="M49" s="206" t="n"/>
      <x:c r="N49" s="71" t="inlineStr">
        <x:is>
          <x:t xml:space="preserve">OPEN</x:t>
        </x:is>
      </x:c>
      <x:c r="O49" s="71" t="n"/>
      <x:c r="P49" s="71" t="n"/>
    </x:row>
    <x:row r="50">
      <x:c r="A50" s="57" t="inlineStr">
        <x:is>
          <x:t xml:space="preserve">MP-045</x:t>
        </x:is>
      </x:c>
      <x:c r="B50" s="71" t="n"/>
      <x:c r="C50" s="75" t="str">
        <x:f>IF(B50="","",INDEX('Company Universe'!$B$6:$B$105,MATCH(B50,'Company Universe'!$A$6:$A$105,0)))</x:f>
      </x:c>
      <x:c r="D50" s="75" t="str">
        <x:f>IF(B50="","",INDEX('Company Universe'!$C$6:$C$105,MATCH(B50,'Company Universe'!$A$6:$A$105,0)))</x:f>
      </x:c>
      <x:c r="E50" s="206" t="n"/>
      <x:c r="F50" s="71" t="n"/>
      <x:c r="G50" s="71" t="n"/>
      <x:c r="H50" s="71" t="n"/>
      <x:c r="I50" s="71" t="n"/>
      <x:c r="J50" s="206" t="n"/>
      <x:c r="K50" s="71" t="n"/>
      <x:c r="L50" s="71" t="n"/>
      <x:c r="M50" s="206" t="n"/>
      <x:c r="N50" s="71" t="inlineStr">
        <x:is>
          <x:t xml:space="preserve">OPEN</x:t>
        </x:is>
      </x:c>
      <x:c r="O50" s="71" t="n"/>
      <x:c r="P50" s="71" t="n"/>
    </x:row>
    <x:row r="51">
      <x:c r="A51" s="57" t="inlineStr">
        <x:is>
          <x:t xml:space="preserve">MP-046</x:t>
        </x:is>
      </x:c>
      <x:c r="B51" s="71" t="n"/>
      <x:c r="C51" s="75" t="str">
        <x:f>IF(B51="","",INDEX('Company Universe'!$B$6:$B$105,MATCH(B51,'Company Universe'!$A$6:$A$105,0)))</x:f>
      </x:c>
      <x:c r="D51" s="75" t="str">
        <x:f>IF(B51="","",INDEX('Company Universe'!$C$6:$C$105,MATCH(B51,'Company Universe'!$A$6:$A$105,0)))</x:f>
      </x:c>
      <x:c r="E51" s="206" t="n"/>
      <x:c r="F51" s="71" t="n"/>
      <x:c r="G51" s="71" t="n"/>
      <x:c r="H51" s="71" t="n"/>
      <x:c r="I51" s="71" t="n"/>
      <x:c r="J51" s="206" t="n"/>
      <x:c r="K51" s="71" t="n"/>
      <x:c r="L51" s="71" t="n"/>
      <x:c r="M51" s="206" t="n"/>
      <x:c r="N51" s="71" t="inlineStr">
        <x:is>
          <x:t xml:space="preserve">OPEN</x:t>
        </x:is>
      </x:c>
      <x:c r="O51" s="71" t="n"/>
      <x:c r="P51" s="71" t="n"/>
    </x:row>
    <x:row r="52">
      <x:c r="A52" s="57" t="inlineStr">
        <x:is>
          <x:t xml:space="preserve">MP-047</x:t>
        </x:is>
      </x:c>
      <x:c r="B52" s="71" t="n"/>
      <x:c r="C52" s="75" t="str">
        <x:f>IF(B52="","",INDEX('Company Universe'!$B$6:$B$105,MATCH(B52,'Company Universe'!$A$6:$A$105,0)))</x:f>
      </x:c>
      <x:c r="D52" s="75" t="str">
        <x:f>IF(B52="","",INDEX('Company Universe'!$C$6:$C$105,MATCH(B52,'Company Universe'!$A$6:$A$105,0)))</x:f>
      </x:c>
      <x:c r="E52" s="206" t="n"/>
      <x:c r="F52" s="71" t="n"/>
      <x:c r="G52" s="71" t="n"/>
      <x:c r="H52" s="71" t="n"/>
      <x:c r="I52" s="71" t="n"/>
      <x:c r="J52" s="206" t="n"/>
      <x:c r="K52" s="71" t="n"/>
      <x:c r="L52" s="71" t="n"/>
      <x:c r="M52" s="206" t="n"/>
      <x:c r="N52" s="71" t="inlineStr">
        <x:is>
          <x:t xml:space="preserve">OPEN</x:t>
        </x:is>
      </x:c>
      <x:c r="O52" s="71" t="n"/>
      <x:c r="P52" s="71" t="n"/>
    </x:row>
    <x:row r="53">
      <x:c r="A53" s="57" t="inlineStr">
        <x:is>
          <x:t xml:space="preserve">MP-048</x:t>
        </x:is>
      </x:c>
      <x:c r="B53" s="71" t="n"/>
      <x:c r="C53" s="75" t="str">
        <x:f>IF(B53="","",INDEX('Company Universe'!$B$6:$B$105,MATCH(B53,'Company Universe'!$A$6:$A$105,0)))</x:f>
      </x:c>
      <x:c r="D53" s="75" t="str">
        <x:f>IF(B53="","",INDEX('Company Universe'!$C$6:$C$105,MATCH(B53,'Company Universe'!$A$6:$A$105,0)))</x:f>
      </x:c>
      <x:c r="E53" s="206" t="n"/>
      <x:c r="F53" s="71" t="n"/>
      <x:c r="G53" s="71" t="n"/>
      <x:c r="H53" s="71" t="n"/>
      <x:c r="I53" s="71" t="n"/>
      <x:c r="J53" s="206" t="n"/>
      <x:c r="K53" s="71" t="n"/>
      <x:c r="L53" s="71" t="n"/>
      <x:c r="M53" s="206" t="n"/>
      <x:c r="N53" s="71" t="inlineStr">
        <x:is>
          <x:t xml:space="preserve">OPEN</x:t>
        </x:is>
      </x:c>
      <x:c r="O53" s="71" t="n"/>
      <x:c r="P53" s="71" t="n"/>
    </x:row>
    <x:row r="54">
      <x:c r="A54" s="57" t="inlineStr">
        <x:is>
          <x:t xml:space="preserve">MP-049</x:t>
        </x:is>
      </x:c>
      <x:c r="B54" s="71" t="n"/>
      <x:c r="C54" s="75" t="str">
        <x:f>IF(B54="","",INDEX('Company Universe'!$B$6:$B$105,MATCH(B54,'Company Universe'!$A$6:$A$105,0)))</x:f>
      </x:c>
      <x:c r="D54" s="75" t="str">
        <x:f>IF(B54="","",INDEX('Company Universe'!$C$6:$C$105,MATCH(B54,'Company Universe'!$A$6:$A$105,0)))</x:f>
      </x:c>
      <x:c r="E54" s="206" t="n"/>
      <x:c r="F54" s="71" t="n"/>
      <x:c r="G54" s="71" t="n"/>
      <x:c r="H54" s="71" t="n"/>
      <x:c r="I54" s="71" t="n"/>
      <x:c r="J54" s="206" t="n"/>
      <x:c r="K54" s="71" t="n"/>
      <x:c r="L54" s="71" t="n"/>
      <x:c r="M54" s="206" t="n"/>
      <x:c r="N54" s="71" t="inlineStr">
        <x:is>
          <x:t xml:space="preserve">OPEN</x:t>
        </x:is>
      </x:c>
      <x:c r="O54" s="71" t="n"/>
      <x:c r="P54" s="71" t="n"/>
    </x:row>
    <x:row r="55">
      <x:c r="A55" s="57" t="inlineStr">
        <x:is>
          <x:t xml:space="preserve">MP-050</x:t>
        </x:is>
      </x:c>
      <x:c r="B55" s="71" t="n"/>
      <x:c r="C55" s="75" t="str">
        <x:f>IF(B55="","",INDEX('Company Universe'!$B$6:$B$105,MATCH(B55,'Company Universe'!$A$6:$A$105,0)))</x:f>
      </x:c>
      <x:c r="D55" s="75" t="str">
        <x:f>IF(B55="","",INDEX('Company Universe'!$C$6:$C$105,MATCH(B55,'Company Universe'!$A$6:$A$105,0)))</x:f>
      </x:c>
      <x:c r="E55" s="206" t="n"/>
      <x:c r="F55" s="71" t="n"/>
      <x:c r="G55" s="71" t="n"/>
      <x:c r="H55" s="71" t="n"/>
      <x:c r="I55" s="71" t="n"/>
      <x:c r="J55" s="206" t="n"/>
      <x:c r="K55" s="71" t="n"/>
      <x:c r="L55" s="71" t="n"/>
      <x:c r="M55" s="206" t="n"/>
      <x:c r="N55" s="71" t="inlineStr">
        <x:is>
          <x:t xml:space="preserve">OPEN</x:t>
        </x:is>
      </x:c>
      <x:c r="O55" s="71" t="n"/>
      <x:c r="P55" s="71" t="n"/>
    </x:row>
    <x:row r="56">
      <x:c r="A56" s="57" t="inlineStr">
        <x:is>
          <x:t xml:space="preserve">MP-051</x:t>
        </x:is>
      </x:c>
      <x:c r="B56" s="71" t="n"/>
      <x:c r="C56" s="75" t="str">
        <x:f>IF(B56="","",INDEX('Company Universe'!$B$6:$B$105,MATCH(B56,'Company Universe'!$A$6:$A$105,0)))</x:f>
      </x:c>
      <x:c r="D56" s="75" t="str">
        <x:f>IF(B56="","",INDEX('Company Universe'!$C$6:$C$105,MATCH(B56,'Company Universe'!$A$6:$A$105,0)))</x:f>
      </x:c>
      <x:c r="E56" s="206" t="n"/>
      <x:c r="F56" s="71" t="n"/>
      <x:c r="G56" s="71" t="n"/>
      <x:c r="H56" s="71" t="n"/>
      <x:c r="I56" s="71" t="n"/>
      <x:c r="J56" s="206" t="n"/>
      <x:c r="K56" s="71" t="n"/>
      <x:c r="L56" s="71" t="n"/>
      <x:c r="M56" s="206" t="n"/>
      <x:c r="N56" s="71" t="inlineStr">
        <x:is>
          <x:t xml:space="preserve">OPEN</x:t>
        </x:is>
      </x:c>
      <x:c r="O56" s="71" t="n"/>
      <x:c r="P56" s="71" t="n"/>
    </x:row>
    <x:row r="57">
      <x:c r="A57" s="57" t="inlineStr">
        <x:is>
          <x:t xml:space="preserve">MP-052</x:t>
        </x:is>
      </x:c>
      <x:c r="B57" s="71" t="n"/>
      <x:c r="C57" s="75" t="str">
        <x:f>IF(B57="","",INDEX('Company Universe'!$B$6:$B$105,MATCH(B57,'Company Universe'!$A$6:$A$105,0)))</x:f>
      </x:c>
      <x:c r="D57" s="75" t="str">
        <x:f>IF(B57="","",INDEX('Company Universe'!$C$6:$C$105,MATCH(B57,'Company Universe'!$A$6:$A$105,0)))</x:f>
      </x:c>
      <x:c r="E57" s="206" t="n"/>
      <x:c r="F57" s="71" t="n"/>
      <x:c r="G57" s="71" t="n"/>
      <x:c r="H57" s="71" t="n"/>
      <x:c r="I57" s="71" t="n"/>
      <x:c r="J57" s="206" t="n"/>
      <x:c r="K57" s="71" t="n"/>
      <x:c r="L57" s="71" t="n"/>
      <x:c r="M57" s="206" t="n"/>
      <x:c r="N57" s="71" t="inlineStr">
        <x:is>
          <x:t xml:space="preserve">OPEN</x:t>
        </x:is>
      </x:c>
      <x:c r="O57" s="71" t="n"/>
      <x:c r="P57" s="71" t="n"/>
    </x:row>
    <x:row r="58">
      <x:c r="A58" s="57" t="inlineStr">
        <x:is>
          <x:t xml:space="preserve">MP-053</x:t>
        </x:is>
      </x:c>
      <x:c r="B58" s="71" t="n"/>
      <x:c r="C58" s="75" t="str">
        <x:f>IF(B58="","",INDEX('Company Universe'!$B$6:$B$105,MATCH(B58,'Company Universe'!$A$6:$A$105,0)))</x:f>
      </x:c>
      <x:c r="D58" s="75" t="str">
        <x:f>IF(B58="","",INDEX('Company Universe'!$C$6:$C$105,MATCH(B58,'Company Universe'!$A$6:$A$105,0)))</x:f>
      </x:c>
      <x:c r="E58" s="206" t="n"/>
      <x:c r="F58" s="71" t="n"/>
      <x:c r="G58" s="71" t="n"/>
      <x:c r="H58" s="71" t="n"/>
      <x:c r="I58" s="71" t="n"/>
      <x:c r="J58" s="206" t="n"/>
      <x:c r="K58" s="71" t="n"/>
      <x:c r="L58" s="71" t="n"/>
      <x:c r="M58" s="206" t="n"/>
      <x:c r="N58" s="71" t="inlineStr">
        <x:is>
          <x:t xml:space="preserve">OPEN</x:t>
        </x:is>
      </x:c>
      <x:c r="O58" s="71" t="n"/>
      <x:c r="P58" s="71" t="n"/>
    </x:row>
    <x:row r="59">
      <x:c r="A59" s="57" t="inlineStr">
        <x:is>
          <x:t xml:space="preserve">MP-054</x:t>
        </x:is>
      </x:c>
      <x:c r="B59" s="71" t="n"/>
      <x:c r="C59" s="75" t="str">
        <x:f>IF(B59="","",INDEX('Company Universe'!$B$6:$B$105,MATCH(B59,'Company Universe'!$A$6:$A$105,0)))</x:f>
      </x:c>
      <x:c r="D59" s="75" t="str">
        <x:f>IF(B59="","",INDEX('Company Universe'!$C$6:$C$105,MATCH(B59,'Company Universe'!$A$6:$A$105,0)))</x:f>
      </x:c>
      <x:c r="E59" s="206" t="n"/>
      <x:c r="F59" s="71" t="n"/>
      <x:c r="G59" s="71" t="n"/>
      <x:c r="H59" s="71" t="n"/>
      <x:c r="I59" s="71" t="n"/>
      <x:c r="J59" s="206" t="n"/>
      <x:c r="K59" s="71" t="n"/>
      <x:c r="L59" s="71" t="n"/>
      <x:c r="M59" s="206" t="n"/>
      <x:c r="N59" s="71" t="inlineStr">
        <x:is>
          <x:t xml:space="preserve">OPEN</x:t>
        </x:is>
      </x:c>
      <x:c r="O59" s="71" t="n"/>
      <x:c r="P59" s="71" t="n"/>
    </x:row>
    <x:row r="60">
      <x:c r="A60" s="57" t="inlineStr">
        <x:is>
          <x:t xml:space="preserve">MP-055</x:t>
        </x:is>
      </x:c>
      <x:c r="B60" s="71" t="n"/>
      <x:c r="C60" s="75" t="str">
        <x:f>IF(B60="","",INDEX('Company Universe'!$B$6:$B$105,MATCH(B60,'Company Universe'!$A$6:$A$105,0)))</x:f>
      </x:c>
      <x:c r="D60" s="75" t="str">
        <x:f>IF(B60="","",INDEX('Company Universe'!$C$6:$C$105,MATCH(B60,'Company Universe'!$A$6:$A$105,0)))</x:f>
      </x:c>
      <x:c r="E60" s="206" t="n"/>
      <x:c r="F60" s="71" t="n"/>
      <x:c r="G60" s="71" t="n"/>
      <x:c r="H60" s="71" t="n"/>
      <x:c r="I60" s="71" t="n"/>
      <x:c r="J60" s="206" t="n"/>
      <x:c r="K60" s="71" t="n"/>
      <x:c r="L60" s="71" t="n"/>
      <x:c r="M60" s="206" t="n"/>
      <x:c r="N60" s="71" t="inlineStr">
        <x:is>
          <x:t xml:space="preserve">OPEN</x:t>
        </x:is>
      </x:c>
      <x:c r="O60" s="71" t="n"/>
      <x:c r="P60" s="71" t="n"/>
    </x:row>
    <x:row r="61">
      <x:c r="A61" s="57" t="inlineStr">
        <x:is>
          <x:t xml:space="preserve">MP-056</x:t>
        </x:is>
      </x:c>
      <x:c r="B61" s="71" t="n"/>
      <x:c r="C61" s="75" t="str">
        <x:f>IF(B61="","",INDEX('Company Universe'!$B$6:$B$105,MATCH(B61,'Company Universe'!$A$6:$A$105,0)))</x:f>
      </x:c>
      <x:c r="D61" s="75" t="str">
        <x:f>IF(B61="","",INDEX('Company Universe'!$C$6:$C$105,MATCH(B61,'Company Universe'!$A$6:$A$105,0)))</x:f>
      </x:c>
      <x:c r="E61" s="206" t="n"/>
      <x:c r="F61" s="71" t="n"/>
      <x:c r="G61" s="71" t="n"/>
      <x:c r="H61" s="71" t="n"/>
      <x:c r="I61" s="71" t="n"/>
      <x:c r="J61" s="206" t="n"/>
      <x:c r="K61" s="71" t="n"/>
      <x:c r="L61" s="71" t="n"/>
      <x:c r="M61" s="206" t="n"/>
      <x:c r="N61" s="71" t="inlineStr">
        <x:is>
          <x:t xml:space="preserve">OPEN</x:t>
        </x:is>
      </x:c>
      <x:c r="O61" s="71" t="n"/>
      <x:c r="P61" s="71" t="n"/>
    </x:row>
    <x:row r="62">
      <x:c r="A62" s="57" t="inlineStr">
        <x:is>
          <x:t xml:space="preserve">MP-057</x:t>
        </x:is>
      </x:c>
      <x:c r="B62" s="71" t="n"/>
      <x:c r="C62" s="75" t="str">
        <x:f>IF(B62="","",INDEX('Company Universe'!$B$6:$B$105,MATCH(B62,'Company Universe'!$A$6:$A$105,0)))</x:f>
      </x:c>
      <x:c r="D62" s="75" t="str">
        <x:f>IF(B62="","",INDEX('Company Universe'!$C$6:$C$105,MATCH(B62,'Company Universe'!$A$6:$A$105,0)))</x:f>
      </x:c>
      <x:c r="E62" s="206" t="n"/>
      <x:c r="F62" s="71" t="n"/>
      <x:c r="G62" s="71" t="n"/>
      <x:c r="H62" s="71" t="n"/>
      <x:c r="I62" s="71" t="n"/>
      <x:c r="J62" s="206" t="n"/>
      <x:c r="K62" s="71" t="n"/>
      <x:c r="L62" s="71" t="n"/>
      <x:c r="M62" s="206" t="n"/>
      <x:c r="N62" s="71" t="inlineStr">
        <x:is>
          <x:t xml:space="preserve">OPEN</x:t>
        </x:is>
      </x:c>
      <x:c r="O62" s="71" t="n"/>
      <x:c r="P62" s="71" t="n"/>
    </x:row>
    <x:row r="63">
      <x:c r="A63" s="57" t="inlineStr">
        <x:is>
          <x:t xml:space="preserve">MP-058</x:t>
        </x:is>
      </x:c>
      <x:c r="B63" s="71" t="n"/>
      <x:c r="C63" s="75" t="str">
        <x:f>IF(B63="","",INDEX('Company Universe'!$B$6:$B$105,MATCH(B63,'Company Universe'!$A$6:$A$105,0)))</x:f>
      </x:c>
      <x:c r="D63" s="75" t="str">
        <x:f>IF(B63="","",INDEX('Company Universe'!$C$6:$C$105,MATCH(B63,'Company Universe'!$A$6:$A$105,0)))</x:f>
      </x:c>
      <x:c r="E63" s="206" t="n"/>
      <x:c r="F63" s="71" t="n"/>
      <x:c r="G63" s="71" t="n"/>
      <x:c r="H63" s="71" t="n"/>
      <x:c r="I63" s="71" t="n"/>
      <x:c r="J63" s="206" t="n"/>
      <x:c r="K63" s="71" t="n"/>
      <x:c r="L63" s="71" t="n"/>
      <x:c r="M63" s="206" t="n"/>
      <x:c r="N63" s="71" t="inlineStr">
        <x:is>
          <x:t xml:space="preserve">OPEN</x:t>
        </x:is>
      </x:c>
      <x:c r="O63" s="71" t="n"/>
      <x:c r="P63" s="71" t="n"/>
    </x:row>
    <x:row r="64">
      <x:c r="A64" s="57" t="inlineStr">
        <x:is>
          <x:t xml:space="preserve">MP-059</x:t>
        </x:is>
      </x:c>
      <x:c r="B64" s="71" t="n"/>
      <x:c r="C64" s="75" t="str">
        <x:f>IF(B64="","",INDEX('Company Universe'!$B$6:$B$105,MATCH(B64,'Company Universe'!$A$6:$A$105,0)))</x:f>
      </x:c>
      <x:c r="D64" s="75" t="str">
        <x:f>IF(B64="","",INDEX('Company Universe'!$C$6:$C$105,MATCH(B64,'Company Universe'!$A$6:$A$105,0)))</x:f>
      </x:c>
      <x:c r="E64" s="206" t="n"/>
      <x:c r="F64" s="71" t="n"/>
      <x:c r="G64" s="71" t="n"/>
      <x:c r="H64" s="71" t="n"/>
      <x:c r="I64" s="71" t="n"/>
      <x:c r="J64" s="206" t="n"/>
      <x:c r="K64" s="71" t="n"/>
      <x:c r="L64" s="71" t="n"/>
      <x:c r="M64" s="206" t="n"/>
      <x:c r="N64" s="71" t="inlineStr">
        <x:is>
          <x:t xml:space="preserve">OPEN</x:t>
        </x:is>
      </x:c>
      <x:c r="O64" s="71" t="n"/>
      <x:c r="P64" s="71" t="n"/>
    </x:row>
    <x:row r="65">
      <x:c r="A65" s="57" t="inlineStr">
        <x:is>
          <x:t xml:space="preserve">MP-060</x:t>
        </x:is>
      </x:c>
      <x:c r="B65" s="71" t="n"/>
      <x:c r="C65" s="75" t="str">
        <x:f>IF(B65="","",INDEX('Company Universe'!$B$6:$B$105,MATCH(B65,'Company Universe'!$A$6:$A$105,0)))</x:f>
      </x:c>
      <x:c r="D65" s="75" t="str">
        <x:f>IF(B65="","",INDEX('Company Universe'!$C$6:$C$105,MATCH(B65,'Company Universe'!$A$6:$A$105,0)))</x:f>
      </x:c>
      <x:c r="E65" s="206" t="n"/>
      <x:c r="F65" s="71" t="n"/>
      <x:c r="G65" s="71" t="n"/>
      <x:c r="H65" s="71" t="n"/>
      <x:c r="I65" s="71" t="n"/>
      <x:c r="J65" s="206" t="n"/>
      <x:c r="K65" s="71" t="n"/>
      <x:c r="L65" s="71" t="n"/>
      <x:c r="M65" s="206" t="n"/>
      <x:c r="N65" s="71" t="inlineStr">
        <x:is>
          <x:t xml:space="preserve">OPEN</x:t>
        </x:is>
      </x:c>
      <x:c r="O65" s="71" t="n"/>
      <x:c r="P65" s="71" t="n"/>
    </x:row>
    <x:row r="66">
      <x:c r="A66" s="57" t="inlineStr">
        <x:is>
          <x:t xml:space="preserve">MP-061</x:t>
        </x:is>
      </x:c>
      <x:c r="B66" s="71" t="n"/>
      <x:c r="C66" s="75" t="str">
        <x:f>IF(B66="","",INDEX('Company Universe'!$B$6:$B$105,MATCH(B66,'Company Universe'!$A$6:$A$105,0)))</x:f>
      </x:c>
      <x:c r="D66" s="75" t="str">
        <x:f>IF(B66="","",INDEX('Company Universe'!$C$6:$C$105,MATCH(B66,'Company Universe'!$A$6:$A$105,0)))</x:f>
      </x:c>
      <x:c r="E66" s="206" t="n"/>
      <x:c r="F66" s="71" t="n"/>
      <x:c r="G66" s="71" t="n"/>
      <x:c r="H66" s="71" t="n"/>
      <x:c r="I66" s="71" t="n"/>
      <x:c r="J66" s="206" t="n"/>
      <x:c r="K66" s="71" t="n"/>
      <x:c r="L66" s="71" t="n"/>
      <x:c r="M66" s="206" t="n"/>
      <x:c r="N66" s="71" t="inlineStr">
        <x:is>
          <x:t xml:space="preserve">OPEN</x:t>
        </x:is>
      </x:c>
      <x:c r="O66" s="71" t="n"/>
      <x:c r="P66" s="71" t="n"/>
    </x:row>
    <x:row r="67">
      <x:c r="A67" s="57" t="inlineStr">
        <x:is>
          <x:t xml:space="preserve">MP-062</x:t>
        </x:is>
      </x:c>
      <x:c r="B67" s="71" t="n"/>
      <x:c r="C67" s="75" t="str">
        <x:f>IF(B67="","",INDEX('Company Universe'!$B$6:$B$105,MATCH(B67,'Company Universe'!$A$6:$A$105,0)))</x:f>
      </x:c>
      <x:c r="D67" s="75" t="str">
        <x:f>IF(B67="","",INDEX('Company Universe'!$C$6:$C$105,MATCH(B67,'Company Universe'!$A$6:$A$105,0)))</x:f>
      </x:c>
      <x:c r="E67" s="206" t="n"/>
      <x:c r="F67" s="71" t="n"/>
      <x:c r="G67" s="71" t="n"/>
      <x:c r="H67" s="71" t="n"/>
      <x:c r="I67" s="71" t="n"/>
      <x:c r="J67" s="206" t="n"/>
      <x:c r="K67" s="71" t="n"/>
      <x:c r="L67" s="71" t="n"/>
      <x:c r="M67" s="206" t="n"/>
      <x:c r="N67" s="71" t="inlineStr">
        <x:is>
          <x:t xml:space="preserve">OPEN</x:t>
        </x:is>
      </x:c>
      <x:c r="O67" s="71" t="n"/>
      <x:c r="P67" s="71" t="n"/>
    </x:row>
    <x:row r="68">
      <x:c r="A68" s="57" t="inlineStr">
        <x:is>
          <x:t xml:space="preserve">MP-063</x:t>
        </x:is>
      </x:c>
      <x:c r="B68" s="71" t="n"/>
      <x:c r="C68" s="75" t="str">
        <x:f>IF(B68="","",INDEX('Company Universe'!$B$6:$B$105,MATCH(B68,'Company Universe'!$A$6:$A$105,0)))</x:f>
      </x:c>
      <x:c r="D68" s="75" t="str">
        <x:f>IF(B68="","",INDEX('Company Universe'!$C$6:$C$105,MATCH(B68,'Company Universe'!$A$6:$A$105,0)))</x:f>
      </x:c>
      <x:c r="E68" s="206" t="n"/>
      <x:c r="F68" s="71" t="n"/>
      <x:c r="G68" s="71" t="n"/>
      <x:c r="H68" s="71" t="n"/>
      <x:c r="I68" s="71" t="n"/>
      <x:c r="J68" s="206" t="n"/>
      <x:c r="K68" s="71" t="n"/>
      <x:c r="L68" s="71" t="n"/>
      <x:c r="M68" s="206" t="n"/>
      <x:c r="N68" s="71" t="inlineStr">
        <x:is>
          <x:t xml:space="preserve">OPEN</x:t>
        </x:is>
      </x:c>
      <x:c r="O68" s="71" t="n"/>
      <x:c r="P68" s="71" t="n"/>
    </x:row>
    <x:row r="69">
      <x:c r="A69" s="57" t="inlineStr">
        <x:is>
          <x:t xml:space="preserve">MP-064</x:t>
        </x:is>
      </x:c>
      <x:c r="B69" s="71" t="n"/>
      <x:c r="C69" s="75" t="str">
        <x:f>IF(B69="","",INDEX('Company Universe'!$B$6:$B$105,MATCH(B69,'Company Universe'!$A$6:$A$105,0)))</x:f>
      </x:c>
      <x:c r="D69" s="75" t="str">
        <x:f>IF(B69="","",INDEX('Company Universe'!$C$6:$C$105,MATCH(B69,'Company Universe'!$A$6:$A$105,0)))</x:f>
      </x:c>
      <x:c r="E69" s="206" t="n"/>
      <x:c r="F69" s="71" t="n"/>
      <x:c r="G69" s="71" t="n"/>
      <x:c r="H69" s="71" t="n"/>
      <x:c r="I69" s="71" t="n"/>
      <x:c r="J69" s="206" t="n"/>
      <x:c r="K69" s="71" t="n"/>
      <x:c r="L69" s="71" t="n"/>
      <x:c r="M69" s="206" t="n"/>
      <x:c r="N69" s="71" t="inlineStr">
        <x:is>
          <x:t xml:space="preserve">OPEN</x:t>
        </x:is>
      </x:c>
      <x:c r="O69" s="71" t="n"/>
      <x:c r="P69" s="71" t="n"/>
    </x:row>
    <x:row r="70">
      <x:c r="A70" s="57" t="inlineStr">
        <x:is>
          <x:t xml:space="preserve">MP-065</x:t>
        </x:is>
      </x:c>
      <x:c r="B70" s="71" t="n"/>
      <x:c r="C70" s="75" t="str">
        <x:f>IF(B70="","",INDEX('Company Universe'!$B$6:$B$105,MATCH(B70,'Company Universe'!$A$6:$A$105,0)))</x:f>
      </x:c>
      <x:c r="D70" s="75" t="str">
        <x:f>IF(B70="","",INDEX('Company Universe'!$C$6:$C$105,MATCH(B70,'Company Universe'!$A$6:$A$105,0)))</x:f>
      </x:c>
      <x:c r="E70" s="206" t="n"/>
      <x:c r="F70" s="71" t="n"/>
      <x:c r="G70" s="71" t="n"/>
      <x:c r="H70" s="71" t="n"/>
      <x:c r="I70" s="71" t="n"/>
      <x:c r="J70" s="206" t="n"/>
      <x:c r="K70" s="71" t="n"/>
      <x:c r="L70" s="71" t="n"/>
      <x:c r="M70" s="206" t="n"/>
      <x:c r="N70" s="71" t="inlineStr">
        <x:is>
          <x:t xml:space="preserve">OPEN</x:t>
        </x:is>
      </x:c>
      <x:c r="O70" s="71" t="n"/>
      <x:c r="P70" s="71" t="n"/>
    </x:row>
    <x:row r="71">
      <x:c r="A71" s="57" t="inlineStr">
        <x:is>
          <x:t xml:space="preserve">MP-066</x:t>
        </x:is>
      </x:c>
      <x:c r="B71" s="71" t="n"/>
      <x:c r="C71" s="75" t="str">
        <x:f>IF(B71="","",INDEX('Company Universe'!$B$6:$B$105,MATCH(B71,'Company Universe'!$A$6:$A$105,0)))</x:f>
      </x:c>
      <x:c r="D71" s="75" t="str">
        <x:f>IF(B71="","",INDEX('Company Universe'!$C$6:$C$105,MATCH(B71,'Company Universe'!$A$6:$A$105,0)))</x:f>
      </x:c>
      <x:c r="E71" s="206" t="n"/>
      <x:c r="F71" s="71" t="n"/>
      <x:c r="G71" s="71" t="n"/>
      <x:c r="H71" s="71" t="n"/>
      <x:c r="I71" s="71" t="n"/>
      <x:c r="J71" s="206" t="n"/>
      <x:c r="K71" s="71" t="n"/>
      <x:c r="L71" s="71" t="n"/>
      <x:c r="M71" s="206" t="n"/>
      <x:c r="N71" s="71" t="inlineStr">
        <x:is>
          <x:t xml:space="preserve">OPEN</x:t>
        </x:is>
      </x:c>
      <x:c r="O71" s="71" t="n"/>
      <x:c r="P71" s="71" t="n"/>
    </x:row>
    <x:row r="72">
      <x:c r="A72" s="57" t="inlineStr">
        <x:is>
          <x:t xml:space="preserve">MP-067</x:t>
        </x:is>
      </x:c>
      <x:c r="B72" s="71" t="n"/>
      <x:c r="C72" s="75" t="str">
        <x:f>IF(B72="","",INDEX('Company Universe'!$B$6:$B$105,MATCH(B72,'Company Universe'!$A$6:$A$105,0)))</x:f>
      </x:c>
      <x:c r="D72" s="75" t="str">
        <x:f>IF(B72="","",INDEX('Company Universe'!$C$6:$C$105,MATCH(B72,'Company Universe'!$A$6:$A$105,0)))</x:f>
      </x:c>
      <x:c r="E72" s="206" t="n"/>
      <x:c r="F72" s="71" t="n"/>
      <x:c r="G72" s="71" t="n"/>
      <x:c r="H72" s="71" t="n"/>
      <x:c r="I72" s="71" t="n"/>
      <x:c r="J72" s="206" t="n"/>
      <x:c r="K72" s="71" t="n"/>
      <x:c r="L72" s="71" t="n"/>
      <x:c r="M72" s="206" t="n"/>
      <x:c r="N72" s="71" t="inlineStr">
        <x:is>
          <x:t xml:space="preserve">OPEN</x:t>
        </x:is>
      </x:c>
      <x:c r="O72" s="71" t="n"/>
      <x:c r="P72" s="71" t="n"/>
    </x:row>
    <x:row r="73">
      <x:c r="A73" s="57" t="inlineStr">
        <x:is>
          <x:t xml:space="preserve">MP-068</x:t>
        </x:is>
      </x:c>
      <x:c r="B73" s="71" t="n"/>
      <x:c r="C73" s="75" t="str">
        <x:f>IF(B73="","",INDEX('Company Universe'!$B$6:$B$105,MATCH(B73,'Company Universe'!$A$6:$A$105,0)))</x:f>
      </x:c>
      <x:c r="D73" s="75" t="str">
        <x:f>IF(B73="","",INDEX('Company Universe'!$C$6:$C$105,MATCH(B73,'Company Universe'!$A$6:$A$105,0)))</x:f>
      </x:c>
      <x:c r="E73" s="206" t="n"/>
      <x:c r="F73" s="71" t="n"/>
      <x:c r="G73" s="71" t="n"/>
      <x:c r="H73" s="71" t="n"/>
      <x:c r="I73" s="71" t="n"/>
      <x:c r="J73" s="206" t="n"/>
      <x:c r="K73" s="71" t="n"/>
      <x:c r="L73" s="71" t="n"/>
      <x:c r="M73" s="206" t="n"/>
      <x:c r="N73" s="71" t="inlineStr">
        <x:is>
          <x:t xml:space="preserve">OPEN</x:t>
        </x:is>
      </x:c>
      <x:c r="O73" s="71" t="n"/>
      <x:c r="P73" s="71" t="n"/>
    </x:row>
    <x:row r="74">
      <x:c r="A74" s="57" t="inlineStr">
        <x:is>
          <x:t xml:space="preserve">MP-069</x:t>
        </x:is>
      </x:c>
      <x:c r="B74" s="71" t="n"/>
      <x:c r="C74" s="75" t="str">
        <x:f>IF(B74="","",INDEX('Company Universe'!$B$6:$B$105,MATCH(B74,'Company Universe'!$A$6:$A$105,0)))</x:f>
      </x:c>
      <x:c r="D74" s="75" t="str">
        <x:f>IF(B74="","",INDEX('Company Universe'!$C$6:$C$105,MATCH(B74,'Company Universe'!$A$6:$A$105,0)))</x:f>
      </x:c>
      <x:c r="E74" s="206" t="n"/>
      <x:c r="F74" s="71" t="n"/>
      <x:c r="G74" s="71" t="n"/>
      <x:c r="H74" s="71" t="n"/>
      <x:c r="I74" s="71" t="n"/>
      <x:c r="J74" s="206" t="n"/>
      <x:c r="K74" s="71" t="n"/>
      <x:c r="L74" s="71" t="n"/>
      <x:c r="M74" s="206" t="n"/>
      <x:c r="N74" s="71" t="inlineStr">
        <x:is>
          <x:t xml:space="preserve">OPEN</x:t>
        </x:is>
      </x:c>
      <x:c r="O74" s="71" t="n"/>
      <x:c r="P74" s="71" t="n"/>
    </x:row>
    <x:row r="75">
      <x:c r="A75" s="57" t="inlineStr">
        <x:is>
          <x:t xml:space="preserve">MP-070</x:t>
        </x:is>
      </x:c>
      <x:c r="B75" s="71" t="n"/>
      <x:c r="C75" s="75" t="str">
        <x:f>IF(B75="","",INDEX('Company Universe'!$B$6:$B$105,MATCH(B75,'Company Universe'!$A$6:$A$105,0)))</x:f>
      </x:c>
      <x:c r="D75" s="75" t="str">
        <x:f>IF(B75="","",INDEX('Company Universe'!$C$6:$C$105,MATCH(B75,'Company Universe'!$A$6:$A$105,0)))</x:f>
      </x:c>
      <x:c r="E75" s="206" t="n"/>
      <x:c r="F75" s="71" t="n"/>
      <x:c r="G75" s="71" t="n"/>
      <x:c r="H75" s="71" t="n"/>
      <x:c r="I75" s="71" t="n"/>
      <x:c r="J75" s="206" t="n"/>
      <x:c r="K75" s="71" t="n"/>
      <x:c r="L75" s="71" t="n"/>
      <x:c r="M75" s="206" t="n"/>
      <x:c r="N75" s="71" t="inlineStr">
        <x:is>
          <x:t xml:space="preserve">OPEN</x:t>
        </x:is>
      </x:c>
      <x:c r="O75" s="71" t="n"/>
      <x:c r="P75" s="71" t="n"/>
    </x:row>
    <x:row r="76">
      <x:c r="A76" s="57" t="inlineStr">
        <x:is>
          <x:t xml:space="preserve">MP-071</x:t>
        </x:is>
      </x:c>
      <x:c r="B76" s="71" t="n"/>
      <x:c r="C76" s="75" t="str">
        <x:f>IF(B76="","",INDEX('Company Universe'!$B$6:$B$105,MATCH(B76,'Company Universe'!$A$6:$A$105,0)))</x:f>
      </x:c>
      <x:c r="D76" s="75" t="str">
        <x:f>IF(B76="","",INDEX('Company Universe'!$C$6:$C$105,MATCH(B76,'Company Universe'!$A$6:$A$105,0)))</x:f>
      </x:c>
      <x:c r="E76" s="206" t="n"/>
      <x:c r="F76" s="71" t="n"/>
      <x:c r="G76" s="71" t="n"/>
      <x:c r="H76" s="71" t="n"/>
      <x:c r="I76" s="71" t="n"/>
      <x:c r="J76" s="206" t="n"/>
      <x:c r="K76" s="71" t="n"/>
      <x:c r="L76" s="71" t="n"/>
      <x:c r="M76" s="206" t="n"/>
      <x:c r="N76" s="71" t="inlineStr">
        <x:is>
          <x:t xml:space="preserve">OPEN</x:t>
        </x:is>
      </x:c>
      <x:c r="O76" s="71" t="n"/>
      <x:c r="P76" s="71" t="n"/>
    </x:row>
    <x:row r="77">
      <x:c r="A77" s="57" t="inlineStr">
        <x:is>
          <x:t xml:space="preserve">MP-072</x:t>
        </x:is>
      </x:c>
      <x:c r="B77" s="71" t="n"/>
      <x:c r="C77" s="75" t="str">
        <x:f>IF(B77="","",INDEX('Company Universe'!$B$6:$B$105,MATCH(B77,'Company Universe'!$A$6:$A$105,0)))</x:f>
      </x:c>
      <x:c r="D77" s="75" t="str">
        <x:f>IF(B77="","",INDEX('Company Universe'!$C$6:$C$105,MATCH(B77,'Company Universe'!$A$6:$A$105,0)))</x:f>
      </x:c>
      <x:c r="E77" s="206" t="n"/>
      <x:c r="F77" s="71" t="n"/>
      <x:c r="G77" s="71" t="n"/>
      <x:c r="H77" s="71" t="n"/>
      <x:c r="I77" s="71" t="n"/>
      <x:c r="J77" s="206" t="n"/>
      <x:c r="K77" s="71" t="n"/>
      <x:c r="L77" s="71" t="n"/>
      <x:c r="M77" s="206" t="n"/>
      <x:c r="N77" s="71" t="inlineStr">
        <x:is>
          <x:t xml:space="preserve">OPEN</x:t>
        </x:is>
      </x:c>
      <x:c r="O77" s="71" t="n"/>
      <x:c r="P77" s="71" t="n"/>
    </x:row>
    <x:row r="78">
      <x:c r="A78" s="57" t="inlineStr">
        <x:is>
          <x:t xml:space="preserve">MP-073</x:t>
        </x:is>
      </x:c>
      <x:c r="B78" s="71" t="n"/>
      <x:c r="C78" s="75" t="str">
        <x:f>IF(B78="","",INDEX('Company Universe'!$B$6:$B$105,MATCH(B78,'Company Universe'!$A$6:$A$105,0)))</x:f>
      </x:c>
      <x:c r="D78" s="75" t="str">
        <x:f>IF(B78="","",INDEX('Company Universe'!$C$6:$C$105,MATCH(B78,'Company Universe'!$A$6:$A$105,0)))</x:f>
      </x:c>
      <x:c r="E78" s="206" t="n"/>
      <x:c r="F78" s="71" t="n"/>
      <x:c r="G78" s="71" t="n"/>
      <x:c r="H78" s="71" t="n"/>
      <x:c r="I78" s="71" t="n"/>
      <x:c r="J78" s="206" t="n"/>
      <x:c r="K78" s="71" t="n"/>
      <x:c r="L78" s="71" t="n"/>
      <x:c r="M78" s="206" t="n"/>
      <x:c r="N78" s="71" t="inlineStr">
        <x:is>
          <x:t xml:space="preserve">OPEN</x:t>
        </x:is>
      </x:c>
      <x:c r="O78" s="71" t="n"/>
      <x:c r="P78" s="71" t="n"/>
    </x:row>
    <x:row r="79">
      <x:c r="A79" s="57" t="inlineStr">
        <x:is>
          <x:t xml:space="preserve">MP-074</x:t>
        </x:is>
      </x:c>
      <x:c r="B79" s="71" t="n"/>
      <x:c r="C79" s="75" t="str">
        <x:f>IF(B79="","",INDEX('Company Universe'!$B$6:$B$105,MATCH(B79,'Company Universe'!$A$6:$A$105,0)))</x:f>
      </x:c>
      <x:c r="D79" s="75" t="str">
        <x:f>IF(B79="","",INDEX('Company Universe'!$C$6:$C$105,MATCH(B79,'Company Universe'!$A$6:$A$105,0)))</x:f>
      </x:c>
      <x:c r="E79" s="206" t="n"/>
      <x:c r="F79" s="71" t="n"/>
      <x:c r="G79" s="71" t="n"/>
      <x:c r="H79" s="71" t="n"/>
      <x:c r="I79" s="71" t="n"/>
      <x:c r="J79" s="206" t="n"/>
      <x:c r="K79" s="71" t="n"/>
      <x:c r="L79" s="71" t="n"/>
      <x:c r="M79" s="206" t="n"/>
      <x:c r="N79" s="71" t="inlineStr">
        <x:is>
          <x:t xml:space="preserve">OPEN</x:t>
        </x:is>
      </x:c>
      <x:c r="O79" s="71" t="n"/>
      <x:c r="P79" s="71" t="n"/>
    </x:row>
    <x:row r="80">
      <x:c r="A80" s="57" t="inlineStr">
        <x:is>
          <x:t xml:space="preserve">MP-075</x:t>
        </x:is>
      </x:c>
      <x:c r="B80" s="71" t="n"/>
      <x:c r="C80" s="75" t="str">
        <x:f>IF(B80="","",INDEX('Company Universe'!$B$6:$B$105,MATCH(B80,'Company Universe'!$A$6:$A$105,0)))</x:f>
      </x:c>
      <x:c r="D80" s="75" t="str">
        <x:f>IF(B80="","",INDEX('Company Universe'!$C$6:$C$105,MATCH(B80,'Company Universe'!$A$6:$A$105,0)))</x:f>
      </x:c>
      <x:c r="E80" s="206" t="n"/>
      <x:c r="F80" s="71" t="n"/>
      <x:c r="G80" s="71" t="n"/>
      <x:c r="H80" s="71" t="n"/>
      <x:c r="I80" s="71" t="n"/>
      <x:c r="J80" s="206" t="n"/>
      <x:c r="K80" s="71" t="n"/>
      <x:c r="L80" s="71" t="n"/>
      <x:c r="M80" s="206" t="n"/>
      <x:c r="N80" s="71" t="inlineStr">
        <x:is>
          <x:t xml:space="preserve">OPEN</x:t>
        </x:is>
      </x:c>
      <x:c r="O80" s="71" t="n"/>
      <x:c r="P80" s="71" t="n"/>
    </x:row>
    <x:row r="81">
      <x:c r="A81" s="57" t="inlineStr">
        <x:is>
          <x:t xml:space="preserve">MP-076</x:t>
        </x:is>
      </x:c>
      <x:c r="B81" s="71" t="n"/>
      <x:c r="C81" s="75" t="str">
        <x:f>IF(B81="","",INDEX('Company Universe'!$B$6:$B$105,MATCH(B81,'Company Universe'!$A$6:$A$105,0)))</x:f>
      </x:c>
      <x:c r="D81" s="75" t="str">
        <x:f>IF(B81="","",INDEX('Company Universe'!$C$6:$C$105,MATCH(B81,'Company Universe'!$A$6:$A$105,0)))</x:f>
      </x:c>
      <x:c r="E81" s="206" t="n"/>
      <x:c r="F81" s="71" t="n"/>
      <x:c r="G81" s="71" t="n"/>
      <x:c r="H81" s="71" t="n"/>
      <x:c r="I81" s="71" t="n"/>
      <x:c r="J81" s="206" t="n"/>
      <x:c r="K81" s="71" t="n"/>
      <x:c r="L81" s="71" t="n"/>
      <x:c r="M81" s="206" t="n"/>
      <x:c r="N81" s="71" t="inlineStr">
        <x:is>
          <x:t xml:space="preserve">OPEN</x:t>
        </x:is>
      </x:c>
      <x:c r="O81" s="71" t="n"/>
      <x:c r="P81" s="71" t="n"/>
    </x:row>
    <x:row r="82">
      <x:c r="A82" s="57" t="inlineStr">
        <x:is>
          <x:t xml:space="preserve">MP-077</x:t>
        </x:is>
      </x:c>
      <x:c r="B82" s="71" t="n"/>
      <x:c r="C82" s="75" t="str">
        <x:f>IF(B82="","",INDEX('Company Universe'!$B$6:$B$105,MATCH(B82,'Company Universe'!$A$6:$A$105,0)))</x:f>
      </x:c>
      <x:c r="D82" s="75" t="str">
        <x:f>IF(B82="","",INDEX('Company Universe'!$C$6:$C$105,MATCH(B82,'Company Universe'!$A$6:$A$105,0)))</x:f>
      </x:c>
      <x:c r="E82" s="206" t="n"/>
      <x:c r="F82" s="71" t="n"/>
      <x:c r="G82" s="71" t="n"/>
      <x:c r="H82" s="71" t="n"/>
      <x:c r="I82" s="71" t="n"/>
      <x:c r="J82" s="206" t="n"/>
      <x:c r="K82" s="71" t="n"/>
      <x:c r="L82" s="71" t="n"/>
      <x:c r="M82" s="206" t="n"/>
      <x:c r="N82" s="71" t="inlineStr">
        <x:is>
          <x:t xml:space="preserve">OPEN</x:t>
        </x:is>
      </x:c>
      <x:c r="O82" s="71" t="n"/>
      <x:c r="P82" s="71" t="n"/>
    </x:row>
    <x:row r="83">
      <x:c r="A83" s="57" t="inlineStr">
        <x:is>
          <x:t xml:space="preserve">MP-078</x:t>
        </x:is>
      </x:c>
      <x:c r="B83" s="71" t="n"/>
      <x:c r="C83" s="75" t="str">
        <x:f>IF(B83="","",INDEX('Company Universe'!$B$6:$B$105,MATCH(B83,'Company Universe'!$A$6:$A$105,0)))</x:f>
      </x:c>
      <x:c r="D83" s="75" t="str">
        <x:f>IF(B83="","",INDEX('Company Universe'!$C$6:$C$105,MATCH(B83,'Company Universe'!$A$6:$A$105,0)))</x:f>
      </x:c>
      <x:c r="E83" s="206" t="n"/>
      <x:c r="F83" s="71" t="n"/>
      <x:c r="G83" s="71" t="n"/>
      <x:c r="H83" s="71" t="n"/>
      <x:c r="I83" s="71" t="n"/>
      <x:c r="J83" s="206" t="n"/>
      <x:c r="K83" s="71" t="n"/>
      <x:c r="L83" s="71" t="n"/>
      <x:c r="M83" s="206" t="n"/>
      <x:c r="N83" s="71" t="inlineStr">
        <x:is>
          <x:t xml:space="preserve">OPEN</x:t>
        </x:is>
      </x:c>
      <x:c r="O83" s="71" t="n"/>
      <x:c r="P83" s="71" t="n"/>
    </x:row>
    <x:row r="84">
      <x:c r="A84" s="57" t="inlineStr">
        <x:is>
          <x:t xml:space="preserve">MP-079</x:t>
        </x:is>
      </x:c>
      <x:c r="B84" s="71" t="n"/>
      <x:c r="C84" s="75" t="str">
        <x:f>IF(B84="","",INDEX('Company Universe'!$B$6:$B$105,MATCH(B84,'Company Universe'!$A$6:$A$105,0)))</x:f>
      </x:c>
      <x:c r="D84" s="75" t="str">
        <x:f>IF(B84="","",INDEX('Company Universe'!$C$6:$C$105,MATCH(B84,'Company Universe'!$A$6:$A$105,0)))</x:f>
      </x:c>
      <x:c r="E84" s="206" t="n"/>
      <x:c r="F84" s="71" t="n"/>
      <x:c r="G84" s="71" t="n"/>
      <x:c r="H84" s="71" t="n"/>
      <x:c r="I84" s="71" t="n"/>
      <x:c r="J84" s="206" t="n"/>
      <x:c r="K84" s="71" t="n"/>
      <x:c r="L84" s="71" t="n"/>
      <x:c r="M84" s="206" t="n"/>
      <x:c r="N84" s="71" t="inlineStr">
        <x:is>
          <x:t xml:space="preserve">OPEN</x:t>
        </x:is>
      </x:c>
      <x:c r="O84" s="71" t="n"/>
      <x:c r="P84" s="71" t="n"/>
    </x:row>
    <x:row r="85">
      <x:c r="A85" s="57" t="inlineStr">
        <x:is>
          <x:t xml:space="preserve">MP-080</x:t>
        </x:is>
      </x:c>
      <x:c r="B85" s="71" t="n"/>
      <x:c r="C85" s="75" t="str">
        <x:f>IF(B85="","",INDEX('Company Universe'!$B$6:$B$105,MATCH(B85,'Company Universe'!$A$6:$A$105,0)))</x:f>
      </x:c>
      <x:c r="D85" s="75" t="str">
        <x:f>IF(B85="","",INDEX('Company Universe'!$C$6:$C$105,MATCH(B85,'Company Universe'!$A$6:$A$105,0)))</x:f>
      </x:c>
      <x:c r="E85" s="206" t="n"/>
      <x:c r="F85" s="71" t="n"/>
      <x:c r="G85" s="71" t="n"/>
      <x:c r="H85" s="71" t="n"/>
      <x:c r="I85" s="71" t="n"/>
      <x:c r="J85" s="206" t="n"/>
      <x:c r="K85" s="71" t="n"/>
      <x:c r="L85" s="71" t="n"/>
      <x:c r="M85" s="206" t="n"/>
      <x:c r="N85" s="71" t="inlineStr">
        <x:is>
          <x:t xml:space="preserve">OPEN</x:t>
        </x:is>
      </x:c>
      <x:c r="O85" s="71" t="n"/>
      <x:c r="P85" s="71" t="n"/>
    </x:row>
    <x:row r="86">
      <x:c r="A86" s="57" t="inlineStr">
        <x:is>
          <x:t xml:space="preserve">MP-081</x:t>
        </x:is>
      </x:c>
      <x:c r="B86" s="71" t="n"/>
      <x:c r="C86" s="75" t="str">
        <x:f>IF(B86="","",INDEX('Company Universe'!$B$6:$B$105,MATCH(B86,'Company Universe'!$A$6:$A$105,0)))</x:f>
      </x:c>
      <x:c r="D86" s="75" t="str">
        <x:f>IF(B86="","",INDEX('Company Universe'!$C$6:$C$105,MATCH(B86,'Company Universe'!$A$6:$A$105,0)))</x:f>
      </x:c>
      <x:c r="E86" s="206" t="n"/>
      <x:c r="F86" s="71" t="n"/>
      <x:c r="G86" s="71" t="n"/>
      <x:c r="H86" s="71" t="n"/>
      <x:c r="I86" s="71" t="n"/>
      <x:c r="J86" s="206" t="n"/>
      <x:c r="K86" s="71" t="n"/>
      <x:c r="L86" s="71" t="n"/>
      <x:c r="M86" s="206" t="n"/>
      <x:c r="N86" s="71" t="inlineStr">
        <x:is>
          <x:t xml:space="preserve">OPEN</x:t>
        </x:is>
      </x:c>
      <x:c r="O86" s="71" t="n"/>
      <x:c r="P86" s="71" t="n"/>
    </x:row>
    <x:row r="87">
      <x:c r="A87" s="57" t="inlineStr">
        <x:is>
          <x:t xml:space="preserve">MP-082</x:t>
        </x:is>
      </x:c>
      <x:c r="B87" s="71" t="n"/>
      <x:c r="C87" s="75" t="str">
        <x:f>IF(B87="","",INDEX('Company Universe'!$B$6:$B$105,MATCH(B87,'Company Universe'!$A$6:$A$105,0)))</x:f>
      </x:c>
      <x:c r="D87" s="75" t="str">
        <x:f>IF(B87="","",INDEX('Company Universe'!$C$6:$C$105,MATCH(B87,'Company Universe'!$A$6:$A$105,0)))</x:f>
      </x:c>
      <x:c r="E87" s="206" t="n"/>
      <x:c r="F87" s="71" t="n"/>
      <x:c r="G87" s="71" t="n"/>
      <x:c r="H87" s="71" t="n"/>
      <x:c r="I87" s="71" t="n"/>
      <x:c r="J87" s="206" t="n"/>
      <x:c r="K87" s="71" t="n"/>
      <x:c r="L87" s="71" t="n"/>
      <x:c r="M87" s="206" t="n"/>
      <x:c r="N87" s="71" t="inlineStr">
        <x:is>
          <x:t xml:space="preserve">OPEN</x:t>
        </x:is>
      </x:c>
      <x:c r="O87" s="71" t="n"/>
      <x:c r="P87" s="71" t="n"/>
    </x:row>
    <x:row r="88">
      <x:c r="A88" s="57" t="inlineStr">
        <x:is>
          <x:t xml:space="preserve">MP-083</x:t>
        </x:is>
      </x:c>
      <x:c r="B88" s="71" t="n"/>
      <x:c r="C88" s="75" t="str">
        <x:f>IF(B88="","",INDEX('Company Universe'!$B$6:$B$105,MATCH(B88,'Company Universe'!$A$6:$A$105,0)))</x:f>
      </x:c>
      <x:c r="D88" s="75" t="str">
        <x:f>IF(B88="","",INDEX('Company Universe'!$C$6:$C$105,MATCH(B88,'Company Universe'!$A$6:$A$105,0)))</x:f>
      </x:c>
      <x:c r="E88" s="206" t="n"/>
      <x:c r="F88" s="71" t="n"/>
      <x:c r="G88" s="71" t="n"/>
      <x:c r="H88" s="71" t="n"/>
      <x:c r="I88" s="71" t="n"/>
      <x:c r="J88" s="206" t="n"/>
      <x:c r="K88" s="71" t="n"/>
      <x:c r="L88" s="71" t="n"/>
      <x:c r="M88" s="206" t="n"/>
      <x:c r="N88" s="71" t="inlineStr">
        <x:is>
          <x:t xml:space="preserve">OPEN</x:t>
        </x:is>
      </x:c>
      <x:c r="O88" s="71" t="n"/>
      <x:c r="P88" s="71" t="n"/>
    </x:row>
    <x:row r="89">
      <x:c r="A89" s="57" t="inlineStr">
        <x:is>
          <x:t xml:space="preserve">MP-084</x:t>
        </x:is>
      </x:c>
      <x:c r="B89" s="71" t="n"/>
      <x:c r="C89" s="75" t="str">
        <x:f>IF(B89="","",INDEX('Company Universe'!$B$6:$B$105,MATCH(B89,'Company Universe'!$A$6:$A$105,0)))</x:f>
      </x:c>
      <x:c r="D89" s="75" t="str">
        <x:f>IF(B89="","",INDEX('Company Universe'!$C$6:$C$105,MATCH(B89,'Company Universe'!$A$6:$A$105,0)))</x:f>
      </x:c>
      <x:c r="E89" s="206" t="n"/>
      <x:c r="F89" s="71" t="n"/>
      <x:c r="G89" s="71" t="n"/>
      <x:c r="H89" s="71" t="n"/>
      <x:c r="I89" s="71" t="n"/>
      <x:c r="J89" s="206" t="n"/>
      <x:c r="K89" s="71" t="n"/>
      <x:c r="L89" s="71" t="n"/>
      <x:c r="M89" s="206" t="n"/>
      <x:c r="N89" s="71" t="inlineStr">
        <x:is>
          <x:t xml:space="preserve">OPEN</x:t>
        </x:is>
      </x:c>
      <x:c r="O89" s="71" t="n"/>
      <x:c r="P89" s="71" t="n"/>
    </x:row>
    <x:row r="90">
      <x:c r="A90" s="57" t="inlineStr">
        <x:is>
          <x:t xml:space="preserve">MP-085</x:t>
        </x:is>
      </x:c>
      <x:c r="B90" s="71" t="n"/>
      <x:c r="C90" s="75" t="str">
        <x:f>IF(B90="","",INDEX('Company Universe'!$B$6:$B$105,MATCH(B90,'Company Universe'!$A$6:$A$105,0)))</x:f>
      </x:c>
      <x:c r="D90" s="75" t="str">
        <x:f>IF(B90="","",INDEX('Company Universe'!$C$6:$C$105,MATCH(B90,'Company Universe'!$A$6:$A$105,0)))</x:f>
      </x:c>
      <x:c r="E90" s="206" t="n"/>
      <x:c r="F90" s="71" t="n"/>
      <x:c r="G90" s="71" t="n"/>
      <x:c r="H90" s="71" t="n"/>
      <x:c r="I90" s="71" t="n"/>
      <x:c r="J90" s="206" t="n"/>
      <x:c r="K90" s="71" t="n"/>
      <x:c r="L90" s="71" t="n"/>
      <x:c r="M90" s="206" t="n"/>
      <x:c r="N90" s="71" t="inlineStr">
        <x:is>
          <x:t xml:space="preserve">OPEN</x:t>
        </x:is>
      </x:c>
      <x:c r="O90" s="71" t="n"/>
      <x:c r="P90" s="71" t="n"/>
    </x:row>
    <x:row r="91">
      <x:c r="A91" s="57" t="inlineStr">
        <x:is>
          <x:t xml:space="preserve">MP-086</x:t>
        </x:is>
      </x:c>
      <x:c r="B91" s="71" t="n"/>
      <x:c r="C91" s="75" t="str">
        <x:f>IF(B91="","",INDEX('Company Universe'!$B$6:$B$105,MATCH(B91,'Company Universe'!$A$6:$A$105,0)))</x:f>
      </x:c>
      <x:c r="D91" s="75" t="str">
        <x:f>IF(B91="","",INDEX('Company Universe'!$C$6:$C$105,MATCH(B91,'Company Universe'!$A$6:$A$105,0)))</x:f>
      </x:c>
      <x:c r="E91" s="206" t="n"/>
      <x:c r="F91" s="71" t="n"/>
      <x:c r="G91" s="71" t="n"/>
      <x:c r="H91" s="71" t="n"/>
      <x:c r="I91" s="71" t="n"/>
      <x:c r="J91" s="206" t="n"/>
      <x:c r="K91" s="71" t="n"/>
      <x:c r="L91" s="71" t="n"/>
      <x:c r="M91" s="206" t="n"/>
      <x:c r="N91" s="71" t="inlineStr">
        <x:is>
          <x:t xml:space="preserve">OPEN</x:t>
        </x:is>
      </x:c>
      <x:c r="O91" s="71" t="n"/>
      <x:c r="P91" s="71" t="n"/>
    </x:row>
    <x:row r="92">
      <x:c r="A92" s="57" t="inlineStr">
        <x:is>
          <x:t xml:space="preserve">MP-087</x:t>
        </x:is>
      </x:c>
      <x:c r="B92" s="71" t="n"/>
      <x:c r="C92" s="75" t="str">
        <x:f>IF(B92="","",INDEX('Company Universe'!$B$6:$B$105,MATCH(B92,'Company Universe'!$A$6:$A$105,0)))</x:f>
      </x:c>
      <x:c r="D92" s="75" t="str">
        <x:f>IF(B92="","",INDEX('Company Universe'!$C$6:$C$105,MATCH(B92,'Company Universe'!$A$6:$A$105,0)))</x:f>
      </x:c>
      <x:c r="E92" s="206" t="n"/>
      <x:c r="F92" s="71" t="n"/>
      <x:c r="G92" s="71" t="n"/>
      <x:c r="H92" s="71" t="n"/>
      <x:c r="I92" s="71" t="n"/>
      <x:c r="J92" s="206" t="n"/>
      <x:c r="K92" s="71" t="n"/>
      <x:c r="L92" s="71" t="n"/>
      <x:c r="M92" s="206" t="n"/>
      <x:c r="N92" s="71" t="inlineStr">
        <x:is>
          <x:t xml:space="preserve">OPEN</x:t>
        </x:is>
      </x:c>
      <x:c r="O92" s="71" t="n"/>
      <x:c r="P92" s="71" t="n"/>
    </x:row>
    <x:row r="93">
      <x:c r="A93" s="57" t="inlineStr">
        <x:is>
          <x:t xml:space="preserve">MP-088</x:t>
        </x:is>
      </x:c>
      <x:c r="B93" s="71" t="n"/>
      <x:c r="C93" s="75" t="str">
        <x:f>IF(B93="","",INDEX('Company Universe'!$B$6:$B$105,MATCH(B93,'Company Universe'!$A$6:$A$105,0)))</x:f>
      </x:c>
      <x:c r="D93" s="75" t="str">
        <x:f>IF(B93="","",INDEX('Company Universe'!$C$6:$C$105,MATCH(B93,'Company Universe'!$A$6:$A$105,0)))</x:f>
      </x:c>
      <x:c r="E93" s="206" t="n"/>
      <x:c r="F93" s="71" t="n"/>
      <x:c r="G93" s="71" t="n"/>
      <x:c r="H93" s="71" t="n"/>
      <x:c r="I93" s="71" t="n"/>
      <x:c r="J93" s="206" t="n"/>
      <x:c r="K93" s="71" t="n"/>
      <x:c r="L93" s="71" t="n"/>
      <x:c r="M93" s="206" t="n"/>
      <x:c r="N93" s="71" t="inlineStr">
        <x:is>
          <x:t xml:space="preserve">OPEN</x:t>
        </x:is>
      </x:c>
      <x:c r="O93" s="71" t="n"/>
      <x:c r="P93" s="71" t="n"/>
    </x:row>
    <x:row r="94">
      <x:c r="A94" s="57" t="inlineStr">
        <x:is>
          <x:t xml:space="preserve">MP-089</x:t>
        </x:is>
      </x:c>
      <x:c r="B94" s="71" t="n"/>
      <x:c r="C94" s="75" t="str">
        <x:f>IF(B94="","",INDEX('Company Universe'!$B$6:$B$105,MATCH(B94,'Company Universe'!$A$6:$A$105,0)))</x:f>
      </x:c>
      <x:c r="D94" s="75" t="str">
        <x:f>IF(B94="","",INDEX('Company Universe'!$C$6:$C$105,MATCH(B94,'Company Universe'!$A$6:$A$105,0)))</x:f>
      </x:c>
      <x:c r="E94" s="206" t="n"/>
      <x:c r="F94" s="71" t="n"/>
      <x:c r="G94" s="71" t="n"/>
      <x:c r="H94" s="71" t="n"/>
      <x:c r="I94" s="71" t="n"/>
      <x:c r="J94" s="206" t="n"/>
      <x:c r="K94" s="71" t="n"/>
      <x:c r="L94" s="71" t="n"/>
      <x:c r="M94" s="206" t="n"/>
      <x:c r="N94" s="71" t="inlineStr">
        <x:is>
          <x:t xml:space="preserve">OPEN</x:t>
        </x:is>
      </x:c>
      <x:c r="O94" s="71" t="n"/>
      <x:c r="P94" s="71" t="n"/>
    </x:row>
    <x:row r="95">
      <x:c r="A95" s="57" t="inlineStr">
        <x:is>
          <x:t xml:space="preserve">MP-090</x:t>
        </x:is>
      </x:c>
      <x:c r="B95" s="71" t="n"/>
      <x:c r="C95" s="75" t="str">
        <x:f>IF(B95="","",INDEX('Company Universe'!$B$6:$B$105,MATCH(B95,'Company Universe'!$A$6:$A$105,0)))</x:f>
      </x:c>
      <x:c r="D95" s="75" t="str">
        <x:f>IF(B95="","",INDEX('Company Universe'!$C$6:$C$105,MATCH(B95,'Company Universe'!$A$6:$A$105,0)))</x:f>
      </x:c>
      <x:c r="E95" s="206" t="n"/>
      <x:c r="F95" s="71" t="n"/>
      <x:c r="G95" s="71" t="n"/>
      <x:c r="H95" s="71" t="n"/>
      <x:c r="I95" s="71" t="n"/>
      <x:c r="J95" s="206" t="n"/>
      <x:c r="K95" s="71" t="n"/>
      <x:c r="L95" s="71" t="n"/>
      <x:c r="M95" s="206" t="n"/>
      <x:c r="N95" s="71" t="inlineStr">
        <x:is>
          <x:t xml:space="preserve">OPEN</x:t>
        </x:is>
      </x:c>
      <x:c r="O95" s="71" t="n"/>
      <x:c r="P95" s="71" t="n"/>
    </x:row>
    <x:row r="96">
      <x:c r="A96" s="57" t="inlineStr">
        <x:is>
          <x:t xml:space="preserve">MP-091</x:t>
        </x:is>
      </x:c>
      <x:c r="B96" s="71" t="n"/>
      <x:c r="C96" s="75" t="str">
        <x:f>IF(B96="","",INDEX('Company Universe'!$B$6:$B$105,MATCH(B96,'Company Universe'!$A$6:$A$105,0)))</x:f>
      </x:c>
      <x:c r="D96" s="75" t="str">
        <x:f>IF(B96="","",INDEX('Company Universe'!$C$6:$C$105,MATCH(B96,'Company Universe'!$A$6:$A$105,0)))</x:f>
      </x:c>
      <x:c r="E96" s="206" t="n"/>
      <x:c r="F96" s="71" t="n"/>
      <x:c r="G96" s="71" t="n"/>
      <x:c r="H96" s="71" t="n"/>
      <x:c r="I96" s="71" t="n"/>
      <x:c r="J96" s="206" t="n"/>
      <x:c r="K96" s="71" t="n"/>
      <x:c r="L96" s="71" t="n"/>
      <x:c r="M96" s="206" t="n"/>
      <x:c r="N96" s="71" t="inlineStr">
        <x:is>
          <x:t xml:space="preserve">OPEN</x:t>
        </x:is>
      </x:c>
      <x:c r="O96" s="71" t="n"/>
      <x:c r="P96" s="71" t="n"/>
    </x:row>
    <x:row r="97">
      <x:c r="A97" s="57" t="inlineStr">
        <x:is>
          <x:t xml:space="preserve">MP-092</x:t>
        </x:is>
      </x:c>
      <x:c r="B97" s="71" t="n"/>
      <x:c r="C97" s="75" t="str">
        <x:f>IF(B97="","",INDEX('Company Universe'!$B$6:$B$105,MATCH(B97,'Company Universe'!$A$6:$A$105,0)))</x:f>
      </x:c>
      <x:c r="D97" s="75" t="str">
        <x:f>IF(B97="","",INDEX('Company Universe'!$C$6:$C$105,MATCH(B97,'Company Universe'!$A$6:$A$105,0)))</x:f>
      </x:c>
      <x:c r="E97" s="206" t="n"/>
      <x:c r="F97" s="71" t="n"/>
      <x:c r="G97" s="71" t="n"/>
      <x:c r="H97" s="71" t="n"/>
      <x:c r="I97" s="71" t="n"/>
      <x:c r="J97" s="206" t="n"/>
      <x:c r="K97" s="71" t="n"/>
      <x:c r="L97" s="71" t="n"/>
      <x:c r="M97" s="206" t="n"/>
      <x:c r="N97" s="71" t="inlineStr">
        <x:is>
          <x:t xml:space="preserve">OPEN</x:t>
        </x:is>
      </x:c>
      <x:c r="O97" s="71" t="n"/>
      <x:c r="P97" s="71" t="n"/>
    </x:row>
    <x:row r="98">
      <x:c r="A98" s="57" t="inlineStr">
        <x:is>
          <x:t xml:space="preserve">MP-093</x:t>
        </x:is>
      </x:c>
      <x:c r="B98" s="71" t="n"/>
      <x:c r="C98" s="75" t="str">
        <x:f>IF(B98="","",INDEX('Company Universe'!$B$6:$B$105,MATCH(B98,'Company Universe'!$A$6:$A$105,0)))</x:f>
      </x:c>
      <x:c r="D98" s="75" t="str">
        <x:f>IF(B98="","",INDEX('Company Universe'!$C$6:$C$105,MATCH(B98,'Company Universe'!$A$6:$A$105,0)))</x:f>
      </x:c>
      <x:c r="E98" s="206" t="n"/>
      <x:c r="F98" s="71" t="n"/>
      <x:c r="G98" s="71" t="n"/>
      <x:c r="H98" s="71" t="n"/>
      <x:c r="I98" s="71" t="n"/>
      <x:c r="J98" s="206" t="n"/>
      <x:c r="K98" s="71" t="n"/>
      <x:c r="L98" s="71" t="n"/>
      <x:c r="M98" s="206" t="n"/>
      <x:c r="N98" s="71" t="inlineStr">
        <x:is>
          <x:t xml:space="preserve">OPEN</x:t>
        </x:is>
      </x:c>
      <x:c r="O98" s="71" t="n"/>
      <x:c r="P98" s="71" t="n"/>
    </x:row>
    <x:row r="99">
      <x:c r="A99" s="57" t="inlineStr">
        <x:is>
          <x:t xml:space="preserve">MP-094</x:t>
        </x:is>
      </x:c>
      <x:c r="B99" s="71" t="n"/>
      <x:c r="C99" s="75" t="str">
        <x:f>IF(B99="","",INDEX('Company Universe'!$B$6:$B$105,MATCH(B99,'Company Universe'!$A$6:$A$105,0)))</x:f>
      </x:c>
      <x:c r="D99" s="75" t="str">
        <x:f>IF(B99="","",INDEX('Company Universe'!$C$6:$C$105,MATCH(B99,'Company Universe'!$A$6:$A$105,0)))</x:f>
      </x:c>
      <x:c r="E99" s="206" t="n"/>
      <x:c r="F99" s="71" t="n"/>
      <x:c r="G99" s="71" t="n"/>
      <x:c r="H99" s="71" t="n"/>
      <x:c r="I99" s="71" t="n"/>
      <x:c r="J99" s="206" t="n"/>
      <x:c r="K99" s="71" t="n"/>
      <x:c r="L99" s="71" t="n"/>
      <x:c r="M99" s="206" t="n"/>
      <x:c r="N99" s="71" t="inlineStr">
        <x:is>
          <x:t xml:space="preserve">OPEN</x:t>
        </x:is>
      </x:c>
      <x:c r="O99" s="71" t="n"/>
      <x:c r="P99" s="71" t="n"/>
    </x:row>
    <x:row r="100">
      <x:c r="A100" s="57" t="inlineStr">
        <x:is>
          <x:t xml:space="preserve">MP-095</x:t>
        </x:is>
      </x:c>
      <x:c r="B100" s="71" t="n"/>
      <x:c r="C100" s="75" t="str">
        <x:f>IF(B100="","",INDEX('Company Universe'!$B$6:$B$105,MATCH(B100,'Company Universe'!$A$6:$A$105,0)))</x:f>
      </x:c>
      <x:c r="D100" s="75" t="str">
        <x:f>IF(B100="","",INDEX('Company Universe'!$C$6:$C$105,MATCH(B100,'Company Universe'!$A$6:$A$105,0)))</x:f>
      </x:c>
      <x:c r="E100" s="206" t="n"/>
      <x:c r="F100" s="71" t="n"/>
      <x:c r="G100" s="71" t="n"/>
      <x:c r="H100" s="71" t="n"/>
      <x:c r="I100" s="71" t="n"/>
      <x:c r="J100" s="206" t="n"/>
      <x:c r="K100" s="71" t="n"/>
      <x:c r="L100" s="71" t="n"/>
      <x:c r="M100" s="206" t="n"/>
      <x:c r="N100" s="71" t="inlineStr">
        <x:is>
          <x:t xml:space="preserve">OPEN</x:t>
        </x:is>
      </x:c>
      <x:c r="O100" s="71" t="n"/>
      <x:c r="P100" s="71" t="n"/>
    </x:row>
    <x:row r="101">
      <x:c r="A101" s="57" t="inlineStr">
        <x:is>
          <x:t xml:space="preserve">MP-096</x:t>
        </x:is>
      </x:c>
      <x:c r="B101" s="71" t="n"/>
      <x:c r="C101" s="75" t="str">
        <x:f>IF(B101="","",INDEX('Company Universe'!$B$6:$B$105,MATCH(B101,'Company Universe'!$A$6:$A$105,0)))</x:f>
      </x:c>
      <x:c r="D101" s="75" t="str">
        <x:f>IF(B101="","",INDEX('Company Universe'!$C$6:$C$105,MATCH(B101,'Company Universe'!$A$6:$A$105,0)))</x:f>
      </x:c>
      <x:c r="E101" s="206" t="n"/>
      <x:c r="F101" s="71" t="n"/>
      <x:c r="G101" s="71" t="n"/>
      <x:c r="H101" s="71" t="n"/>
      <x:c r="I101" s="71" t="n"/>
      <x:c r="J101" s="206" t="n"/>
      <x:c r="K101" s="71" t="n"/>
      <x:c r="L101" s="71" t="n"/>
      <x:c r="M101" s="206" t="n"/>
      <x:c r="N101" s="71" t="inlineStr">
        <x:is>
          <x:t xml:space="preserve">OPEN</x:t>
        </x:is>
      </x:c>
      <x:c r="O101" s="71" t="n"/>
      <x:c r="P101" s="71" t="n"/>
    </x:row>
    <x:row r="102">
      <x:c r="A102" s="57" t="inlineStr">
        <x:is>
          <x:t xml:space="preserve">MP-097</x:t>
        </x:is>
      </x:c>
      <x:c r="B102" s="71" t="n"/>
      <x:c r="C102" s="75" t="str">
        <x:f>IF(B102="","",INDEX('Company Universe'!$B$6:$B$105,MATCH(B102,'Company Universe'!$A$6:$A$105,0)))</x:f>
      </x:c>
      <x:c r="D102" s="75" t="str">
        <x:f>IF(B102="","",INDEX('Company Universe'!$C$6:$C$105,MATCH(B102,'Company Universe'!$A$6:$A$105,0)))</x:f>
      </x:c>
      <x:c r="E102" s="206" t="n"/>
      <x:c r="F102" s="71" t="n"/>
      <x:c r="G102" s="71" t="n"/>
      <x:c r="H102" s="71" t="n"/>
      <x:c r="I102" s="71" t="n"/>
      <x:c r="J102" s="206" t="n"/>
      <x:c r="K102" s="71" t="n"/>
      <x:c r="L102" s="71" t="n"/>
      <x:c r="M102" s="206" t="n"/>
      <x:c r="N102" s="71" t="inlineStr">
        <x:is>
          <x:t xml:space="preserve">OPEN</x:t>
        </x:is>
      </x:c>
      <x:c r="O102" s="71" t="n"/>
      <x:c r="P102" s="71" t="n"/>
    </x:row>
    <x:row r="103">
      <x:c r="A103" s="57" t="inlineStr">
        <x:is>
          <x:t xml:space="preserve">MP-098</x:t>
        </x:is>
      </x:c>
      <x:c r="B103" s="71" t="n"/>
      <x:c r="C103" s="75" t="str">
        <x:f>IF(B103="","",INDEX('Company Universe'!$B$6:$B$105,MATCH(B103,'Company Universe'!$A$6:$A$105,0)))</x:f>
      </x:c>
      <x:c r="D103" s="75" t="str">
        <x:f>IF(B103="","",INDEX('Company Universe'!$C$6:$C$105,MATCH(B103,'Company Universe'!$A$6:$A$105,0)))</x:f>
      </x:c>
      <x:c r="E103" s="206" t="n"/>
      <x:c r="F103" s="71" t="n"/>
      <x:c r="G103" s="71" t="n"/>
      <x:c r="H103" s="71" t="n"/>
      <x:c r="I103" s="71" t="n"/>
      <x:c r="J103" s="206" t="n"/>
      <x:c r="K103" s="71" t="n"/>
      <x:c r="L103" s="71" t="n"/>
      <x:c r="M103" s="206" t="n"/>
      <x:c r="N103" s="71" t="inlineStr">
        <x:is>
          <x:t xml:space="preserve">OPEN</x:t>
        </x:is>
      </x:c>
      <x:c r="O103" s="71" t="n"/>
      <x:c r="P103" s="71" t="n"/>
    </x:row>
    <x:row r="104">
      <x:c r="A104" s="57" t="inlineStr">
        <x:is>
          <x:t xml:space="preserve">MP-099</x:t>
        </x:is>
      </x:c>
      <x:c r="B104" s="71" t="n"/>
      <x:c r="C104" s="75" t="str">
        <x:f>IF(B104="","",INDEX('Company Universe'!$B$6:$B$105,MATCH(B104,'Company Universe'!$A$6:$A$105,0)))</x:f>
      </x:c>
      <x:c r="D104" s="75" t="str">
        <x:f>IF(B104="","",INDEX('Company Universe'!$C$6:$C$105,MATCH(B104,'Company Universe'!$A$6:$A$105,0)))</x:f>
      </x:c>
      <x:c r="E104" s="206" t="n"/>
      <x:c r="F104" s="71" t="n"/>
      <x:c r="G104" s="71" t="n"/>
      <x:c r="H104" s="71" t="n"/>
      <x:c r="I104" s="71" t="n"/>
      <x:c r="J104" s="206" t="n"/>
      <x:c r="K104" s="71" t="n"/>
      <x:c r="L104" s="71" t="n"/>
      <x:c r="M104" s="206" t="n"/>
      <x:c r="N104" s="71" t="inlineStr">
        <x:is>
          <x:t xml:space="preserve">OPEN</x:t>
        </x:is>
      </x:c>
      <x:c r="O104" s="71" t="n"/>
      <x:c r="P104" s="71" t="n"/>
    </x:row>
    <x:row r="105">
      <x:c r="A105" s="57" t="inlineStr">
        <x:is>
          <x:t xml:space="preserve">MP-100</x:t>
        </x:is>
      </x:c>
      <x:c r="B105" s="71" t="n"/>
      <x:c r="C105" s="75" t="str">
        <x:f>IF(B105="","",INDEX('Company Universe'!$B$6:$B$105,MATCH(B105,'Company Universe'!$A$6:$A$105,0)))</x:f>
      </x:c>
      <x:c r="D105" s="75" t="str">
        <x:f>IF(B105="","",INDEX('Company Universe'!$C$6:$C$105,MATCH(B105,'Company Universe'!$A$6:$A$105,0)))</x:f>
      </x:c>
      <x:c r="E105" s="206" t="n"/>
      <x:c r="F105" s="71" t="n"/>
      <x:c r="G105" s="71" t="n"/>
      <x:c r="H105" s="71" t="n"/>
      <x:c r="I105" s="71" t="n"/>
      <x:c r="J105" s="206" t="n"/>
      <x:c r="K105" s="71" t="n"/>
      <x:c r="L105" s="71" t="n"/>
      <x:c r="M105" s="206" t="n"/>
      <x:c r="N105" s="71" t="inlineStr">
        <x:is>
          <x:t xml:space="preserve">OPEN</x:t>
        </x:is>
      </x:c>
      <x:c r="O105" s="71" t="n"/>
      <x:c r="P105" s="71" t="n"/>
    </x:row>
    <x:row r="106">
      <x:c r="A106" s="57" t="inlineStr">
        <x:is>
          <x:t xml:space="preserve">MP-101</x:t>
        </x:is>
      </x:c>
      <x:c r="B106" s="71" t="n"/>
      <x:c r="C106" s="75" t="str">
        <x:f>IF(B106="","",INDEX('Company Universe'!$B$6:$B$105,MATCH(B106,'Company Universe'!$A$6:$A$105,0)))</x:f>
      </x:c>
      <x:c r="D106" s="75" t="str">
        <x:f>IF(B106="","",INDEX('Company Universe'!$C$6:$C$105,MATCH(B106,'Company Universe'!$A$6:$A$105,0)))</x:f>
      </x:c>
      <x:c r="E106" s="206" t="n"/>
      <x:c r="F106" s="71" t="n"/>
      <x:c r="G106" s="71" t="n"/>
      <x:c r="H106" s="71" t="n"/>
      <x:c r="I106" s="71" t="n"/>
      <x:c r="J106" s="206" t="n"/>
      <x:c r="K106" s="71" t="n"/>
      <x:c r="L106" s="71" t="n"/>
      <x:c r="M106" s="206" t="n"/>
      <x:c r="N106" s="71" t="inlineStr">
        <x:is>
          <x:t xml:space="preserve">OPEN</x:t>
        </x:is>
      </x:c>
      <x:c r="O106" s="71" t="n"/>
      <x:c r="P106" s="71" t="n"/>
    </x:row>
    <x:row r="107">
      <x:c r="A107" s="57" t="inlineStr">
        <x:is>
          <x:t xml:space="preserve">MP-102</x:t>
        </x:is>
      </x:c>
      <x:c r="B107" s="71" t="n"/>
      <x:c r="C107" s="75" t="str">
        <x:f>IF(B107="","",INDEX('Company Universe'!$B$6:$B$105,MATCH(B107,'Company Universe'!$A$6:$A$105,0)))</x:f>
      </x:c>
      <x:c r="D107" s="75" t="str">
        <x:f>IF(B107="","",INDEX('Company Universe'!$C$6:$C$105,MATCH(B107,'Company Universe'!$A$6:$A$105,0)))</x:f>
      </x:c>
      <x:c r="E107" s="206" t="n"/>
      <x:c r="F107" s="71" t="n"/>
      <x:c r="G107" s="71" t="n"/>
      <x:c r="H107" s="71" t="n"/>
      <x:c r="I107" s="71" t="n"/>
      <x:c r="J107" s="206" t="n"/>
      <x:c r="K107" s="71" t="n"/>
      <x:c r="L107" s="71" t="n"/>
      <x:c r="M107" s="206" t="n"/>
      <x:c r="N107" s="71" t="inlineStr">
        <x:is>
          <x:t xml:space="preserve">OPEN</x:t>
        </x:is>
      </x:c>
      <x:c r="O107" s="71" t="n"/>
      <x:c r="P107" s="71" t="n"/>
    </x:row>
    <x:row r="108">
      <x:c r="A108" s="57" t="inlineStr">
        <x:is>
          <x:t xml:space="preserve">MP-103</x:t>
        </x:is>
      </x:c>
      <x:c r="B108" s="71" t="n"/>
      <x:c r="C108" s="75" t="str">
        <x:f>IF(B108="","",INDEX('Company Universe'!$B$6:$B$105,MATCH(B108,'Company Universe'!$A$6:$A$105,0)))</x:f>
      </x:c>
      <x:c r="D108" s="75" t="str">
        <x:f>IF(B108="","",INDEX('Company Universe'!$C$6:$C$105,MATCH(B108,'Company Universe'!$A$6:$A$105,0)))</x:f>
      </x:c>
      <x:c r="E108" s="206" t="n"/>
      <x:c r="F108" s="71" t="n"/>
      <x:c r="G108" s="71" t="n"/>
      <x:c r="H108" s="71" t="n"/>
      <x:c r="I108" s="71" t="n"/>
      <x:c r="J108" s="206" t="n"/>
      <x:c r="K108" s="71" t="n"/>
      <x:c r="L108" s="71" t="n"/>
      <x:c r="M108" s="206" t="n"/>
      <x:c r="N108" s="71" t="inlineStr">
        <x:is>
          <x:t xml:space="preserve">OPEN</x:t>
        </x:is>
      </x:c>
      <x:c r="O108" s="71" t="n"/>
      <x:c r="P108" s="71" t="n"/>
    </x:row>
    <x:row r="109">
      <x:c r="A109" s="57" t="inlineStr">
        <x:is>
          <x:t xml:space="preserve">MP-104</x:t>
        </x:is>
      </x:c>
      <x:c r="B109" s="71" t="n"/>
      <x:c r="C109" s="75" t="str">
        <x:f>IF(B109="","",INDEX('Company Universe'!$B$6:$B$105,MATCH(B109,'Company Universe'!$A$6:$A$105,0)))</x:f>
      </x:c>
      <x:c r="D109" s="75" t="str">
        <x:f>IF(B109="","",INDEX('Company Universe'!$C$6:$C$105,MATCH(B109,'Company Universe'!$A$6:$A$105,0)))</x:f>
      </x:c>
      <x:c r="E109" s="206" t="n"/>
      <x:c r="F109" s="71" t="n"/>
      <x:c r="G109" s="71" t="n"/>
      <x:c r="H109" s="71" t="n"/>
      <x:c r="I109" s="71" t="n"/>
      <x:c r="J109" s="206" t="n"/>
      <x:c r="K109" s="71" t="n"/>
      <x:c r="L109" s="71" t="n"/>
      <x:c r="M109" s="206" t="n"/>
      <x:c r="N109" s="71" t="inlineStr">
        <x:is>
          <x:t xml:space="preserve">OPEN</x:t>
        </x:is>
      </x:c>
      <x:c r="O109" s="71" t="n"/>
      <x:c r="P109" s="71" t="n"/>
    </x:row>
    <x:row r="110">
      <x:c r="A110" s="57" t="inlineStr">
        <x:is>
          <x:t xml:space="preserve">MP-105</x:t>
        </x:is>
      </x:c>
      <x:c r="B110" s="71" t="n"/>
      <x:c r="C110" s="75" t="str">
        <x:f>IF(B110="","",INDEX('Company Universe'!$B$6:$B$105,MATCH(B110,'Company Universe'!$A$6:$A$105,0)))</x:f>
      </x:c>
      <x:c r="D110" s="75" t="str">
        <x:f>IF(B110="","",INDEX('Company Universe'!$C$6:$C$105,MATCH(B110,'Company Universe'!$A$6:$A$105,0)))</x:f>
      </x:c>
      <x:c r="E110" s="206" t="n"/>
      <x:c r="F110" s="71" t="n"/>
      <x:c r="G110" s="71" t="n"/>
      <x:c r="H110" s="71" t="n"/>
      <x:c r="I110" s="71" t="n"/>
      <x:c r="J110" s="206" t="n"/>
      <x:c r="K110" s="71" t="n"/>
      <x:c r="L110" s="71" t="n"/>
      <x:c r="M110" s="206" t="n"/>
      <x:c r="N110" s="71" t="inlineStr">
        <x:is>
          <x:t xml:space="preserve">OPEN</x:t>
        </x:is>
      </x:c>
      <x:c r="O110" s="71" t="n"/>
      <x:c r="P110" s="71" t="n"/>
    </x:row>
    <x:row r="111">
      <x:c r="A111" s="57" t="inlineStr">
        <x:is>
          <x:t xml:space="preserve">MP-106</x:t>
        </x:is>
      </x:c>
      <x:c r="B111" s="71" t="n"/>
      <x:c r="C111" s="75" t="str">
        <x:f>IF(B111="","",INDEX('Company Universe'!$B$6:$B$105,MATCH(B111,'Company Universe'!$A$6:$A$105,0)))</x:f>
      </x:c>
      <x:c r="D111" s="75" t="str">
        <x:f>IF(B111="","",INDEX('Company Universe'!$C$6:$C$105,MATCH(B111,'Company Universe'!$A$6:$A$105,0)))</x:f>
      </x:c>
      <x:c r="E111" s="206" t="n"/>
      <x:c r="F111" s="71" t="n"/>
      <x:c r="G111" s="71" t="n"/>
      <x:c r="H111" s="71" t="n"/>
      <x:c r="I111" s="71" t="n"/>
      <x:c r="J111" s="206" t="n"/>
      <x:c r="K111" s="71" t="n"/>
      <x:c r="L111" s="71" t="n"/>
      <x:c r="M111" s="206" t="n"/>
      <x:c r="N111" s="71" t="inlineStr">
        <x:is>
          <x:t xml:space="preserve">OPEN</x:t>
        </x:is>
      </x:c>
      <x:c r="O111" s="71" t="n"/>
      <x:c r="P111" s="71" t="n"/>
    </x:row>
    <x:row r="112">
      <x:c r="A112" s="57" t="inlineStr">
        <x:is>
          <x:t xml:space="preserve">MP-107</x:t>
        </x:is>
      </x:c>
      <x:c r="B112" s="71" t="n"/>
      <x:c r="C112" s="75" t="str">
        <x:f>IF(B112="","",INDEX('Company Universe'!$B$6:$B$105,MATCH(B112,'Company Universe'!$A$6:$A$105,0)))</x:f>
      </x:c>
      <x:c r="D112" s="75" t="str">
        <x:f>IF(B112="","",INDEX('Company Universe'!$C$6:$C$105,MATCH(B112,'Company Universe'!$A$6:$A$105,0)))</x:f>
      </x:c>
      <x:c r="E112" s="206" t="n"/>
      <x:c r="F112" s="71" t="n"/>
      <x:c r="G112" s="71" t="n"/>
      <x:c r="H112" s="71" t="n"/>
      <x:c r="I112" s="71" t="n"/>
      <x:c r="J112" s="206" t="n"/>
      <x:c r="K112" s="71" t="n"/>
      <x:c r="L112" s="71" t="n"/>
      <x:c r="M112" s="206" t="n"/>
      <x:c r="N112" s="71" t="inlineStr">
        <x:is>
          <x:t xml:space="preserve">OPEN</x:t>
        </x:is>
      </x:c>
      <x:c r="O112" s="71" t="n"/>
      <x:c r="P112" s="71" t="n"/>
    </x:row>
    <x:row r="113">
      <x:c r="A113" s="57" t="inlineStr">
        <x:is>
          <x:t xml:space="preserve">MP-108</x:t>
        </x:is>
      </x:c>
      <x:c r="B113" s="71" t="n"/>
      <x:c r="C113" s="75" t="str">
        <x:f>IF(B113="","",INDEX('Company Universe'!$B$6:$B$105,MATCH(B113,'Company Universe'!$A$6:$A$105,0)))</x:f>
      </x:c>
      <x:c r="D113" s="75" t="str">
        <x:f>IF(B113="","",INDEX('Company Universe'!$C$6:$C$105,MATCH(B113,'Company Universe'!$A$6:$A$105,0)))</x:f>
      </x:c>
      <x:c r="E113" s="206" t="n"/>
      <x:c r="F113" s="71" t="n"/>
      <x:c r="G113" s="71" t="n"/>
      <x:c r="H113" s="71" t="n"/>
      <x:c r="I113" s="71" t="n"/>
      <x:c r="J113" s="206" t="n"/>
      <x:c r="K113" s="71" t="n"/>
      <x:c r="L113" s="71" t="n"/>
      <x:c r="M113" s="206" t="n"/>
      <x:c r="N113" s="71" t="inlineStr">
        <x:is>
          <x:t xml:space="preserve">OPEN</x:t>
        </x:is>
      </x:c>
      <x:c r="O113" s="71" t="n"/>
      <x:c r="P113" s="71" t="n"/>
    </x:row>
    <x:row r="114">
      <x:c r="A114" s="57" t="inlineStr">
        <x:is>
          <x:t xml:space="preserve">MP-109</x:t>
        </x:is>
      </x:c>
      <x:c r="B114" s="71" t="n"/>
      <x:c r="C114" s="75" t="str">
        <x:f>IF(B114="","",INDEX('Company Universe'!$B$6:$B$105,MATCH(B114,'Company Universe'!$A$6:$A$105,0)))</x:f>
      </x:c>
      <x:c r="D114" s="75" t="str">
        <x:f>IF(B114="","",INDEX('Company Universe'!$C$6:$C$105,MATCH(B114,'Company Universe'!$A$6:$A$105,0)))</x:f>
      </x:c>
      <x:c r="E114" s="206" t="n"/>
      <x:c r="F114" s="71" t="n"/>
      <x:c r="G114" s="71" t="n"/>
      <x:c r="H114" s="71" t="n"/>
      <x:c r="I114" s="71" t="n"/>
      <x:c r="J114" s="206" t="n"/>
      <x:c r="K114" s="71" t="n"/>
      <x:c r="L114" s="71" t="n"/>
      <x:c r="M114" s="206" t="n"/>
      <x:c r="N114" s="71" t="inlineStr">
        <x:is>
          <x:t xml:space="preserve">OPEN</x:t>
        </x:is>
      </x:c>
      <x:c r="O114" s="71" t="n"/>
      <x:c r="P114" s="71" t="n"/>
    </x:row>
    <x:row r="115">
      <x:c r="A115" s="57" t="inlineStr">
        <x:is>
          <x:t xml:space="preserve">MP-110</x:t>
        </x:is>
      </x:c>
      <x:c r="B115" s="71" t="n"/>
      <x:c r="C115" s="75" t="str">
        <x:f>IF(B115="","",INDEX('Company Universe'!$B$6:$B$105,MATCH(B115,'Company Universe'!$A$6:$A$105,0)))</x:f>
      </x:c>
      <x:c r="D115" s="75" t="str">
        <x:f>IF(B115="","",INDEX('Company Universe'!$C$6:$C$105,MATCH(B115,'Company Universe'!$A$6:$A$105,0)))</x:f>
      </x:c>
      <x:c r="E115" s="206" t="n"/>
      <x:c r="F115" s="71" t="n"/>
      <x:c r="G115" s="71" t="n"/>
      <x:c r="H115" s="71" t="n"/>
      <x:c r="I115" s="71" t="n"/>
      <x:c r="J115" s="206" t="n"/>
      <x:c r="K115" s="71" t="n"/>
      <x:c r="L115" s="71" t="n"/>
      <x:c r="M115" s="206" t="n"/>
      <x:c r="N115" s="71" t="inlineStr">
        <x:is>
          <x:t xml:space="preserve">OPEN</x:t>
        </x:is>
      </x:c>
      <x:c r="O115" s="71" t="n"/>
      <x:c r="P115" s="71" t="n"/>
    </x:row>
    <x:row r="116">
      <x:c r="A116" s="57" t="inlineStr">
        <x:is>
          <x:t xml:space="preserve">MP-111</x:t>
        </x:is>
      </x:c>
      <x:c r="B116" s="71" t="n"/>
      <x:c r="C116" s="75" t="str">
        <x:f>IF(B116="","",INDEX('Company Universe'!$B$6:$B$105,MATCH(B116,'Company Universe'!$A$6:$A$105,0)))</x:f>
      </x:c>
      <x:c r="D116" s="75" t="str">
        <x:f>IF(B116="","",INDEX('Company Universe'!$C$6:$C$105,MATCH(B116,'Company Universe'!$A$6:$A$105,0)))</x:f>
      </x:c>
      <x:c r="E116" s="206" t="n"/>
      <x:c r="F116" s="71" t="n"/>
      <x:c r="G116" s="71" t="n"/>
      <x:c r="H116" s="71" t="n"/>
      <x:c r="I116" s="71" t="n"/>
      <x:c r="J116" s="206" t="n"/>
      <x:c r="K116" s="71" t="n"/>
      <x:c r="L116" s="71" t="n"/>
      <x:c r="M116" s="206" t="n"/>
      <x:c r="N116" s="71" t="inlineStr">
        <x:is>
          <x:t xml:space="preserve">OPEN</x:t>
        </x:is>
      </x:c>
      <x:c r="O116" s="71" t="n"/>
      <x:c r="P116" s="71" t="n"/>
    </x:row>
    <x:row r="117">
      <x:c r="A117" s="57" t="inlineStr">
        <x:is>
          <x:t xml:space="preserve">MP-112</x:t>
        </x:is>
      </x:c>
      <x:c r="B117" s="71" t="n"/>
      <x:c r="C117" s="75" t="str">
        <x:f>IF(B117="","",INDEX('Company Universe'!$B$6:$B$105,MATCH(B117,'Company Universe'!$A$6:$A$105,0)))</x:f>
      </x:c>
      <x:c r="D117" s="75" t="str">
        <x:f>IF(B117="","",INDEX('Company Universe'!$C$6:$C$105,MATCH(B117,'Company Universe'!$A$6:$A$105,0)))</x:f>
      </x:c>
      <x:c r="E117" s="206" t="n"/>
      <x:c r="F117" s="71" t="n"/>
      <x:c r="G117" s="71" t="n"/>
      <x:c r="H117" s="71" t="n"/>
      <x:c r="I117" s="71" t="n"/>
      <x:c r="J117" s="206" t="n"/>
      <x:c r="K117" s="71" t="n"/>
      <x:c r="L117" s="71" t="n"/>
      <x:c r="M117" s="206" t="n"/>
      <x:c r="N117" s="71" t="inlineStr">
        <x:is>
          <x:t xml:space="preserve">OPEN</x:t>
        </x:is>
      </x:c>
      <x:c r="O117" s="71" t="n"/>
      <x:c r="P117" s="71" t="n"/>
    </x:row>
    <x:row r="118">
      <x:c r="A118" s="57" t="inlineStr">
        <x:is>
          <x:t xml:space="preserve">MP-113</x:t>
        </x:is>
      </x:c>
      <x:c r="B118" s="71" t="n"/>
      <x:c r="C118" s="75" t="str">
        <x:f>IF(B118="","",INDEX('Company Universe'!$B$6:$B$105,MATCH(B118,'Company Universe'!$A$6:$A$105,0)))</x:f>
      </x:c>
      <x:c r="D118" s="75" t="str">
        <x:f>IF(B118="","",INDEX('Company Universe'!$C$6:$C$105,MATCH(B118,'Company Universe'!$A$6:$A$105,0)))</x:f>
      </x:c>
      <x:c r="E118" s="206" t="n"/>
      <x:c r="F118" s="71" t="n"/>
      <x:c r="G118" s="71" t="n"/>
      <x:c r="H118" s="71" t="n"/>
      <x:c r="I118" s="71" t="n"/>
      <x:c r="J118" s="206" t="n"/>
      <x:c r="K118" s="71" t="n"/>
      <x:c r="L118" s="71" t="n"/>
      <x:c r="M118" s="206" t="n"/>
      <x:c r="N118" s="71" t="inlineStr">
        <x:is>
          <x:t xml:space="preserve">OPEN</x:t>
        </x:is>
      </x:c>
      <x:c r="O118" s="71" t="n"/>
      <x:c r="P118" s="71" t="n"/>
    </x:row>
    <x:row r="119">
      <x:c r="A119" s="57" t="inlineStr">
        <x:is>
          <x:t xml:space="preserve">MP-114</x:t>
        </x:is>
      </x:c>
      <x:c r="B119" s="71" t="n"/>
      <x:c r="C119" s="75" t="str">
        <x:f>IF(B119="","",INDEX('Company Universe'!$B$6:$B$105,MATCH(B119,'Company Universe'!$A$6:$A$105,0)))</x:f>
      </x:c>
      <x:c r="D119" s="75" t="str">
        <x:f>IF(B119="","",INDEX('Company Universe'!$C$6:$C$105,MATCH(B119,'Company Universe'!$A$6:$A$105,0)))</x:f>
      </x:c>
      <x:c r="E119" s="206" t="n"/>
      <x:c r="F119" s="71" t="n"/>
      <x:c r="G119" s="71" t="n"/>
      <x:c r="H119" s="71" t="n"/>
      <x:c r="I119" s="71" t="n"/>
      <x:c r="J119" s="206" t="n"/>
      <x:c r="K119" s="71" t="n"/>
      <x:c r="L119" s="71" t="n"/>
      <x:c r="M119" s="206" t="n"/>
      <x:c r="N119" s="71" t="inlineStr">
        <x:is>
          <x:t xml:space="preserve">OPEN</x:t>
        </x:is>
      </x:c>
      <x:c r="O119" s="71" t="n"/>
      <x:c r="P119" s="71" t="n"/>
    </x:row>
    <x:row r="120">
      <x:c r="A120" s="57" t="inlineStr">
        <x:is>
          <x:t xml:space="preserve">MP-115</x:t>
        </x:is>
      </x:c>
      <x:c r="B120" s="71" t="n"/>
      <x:c r="C120" s="75" t="str">
        <x:f>IF(B120="","",INDEX('Company Universe'!$B$6:$B$105,MATCH(B120,'Company Universe'!$A$6:$A$105,0)))</x:f>
      </x:c>
      <x:c r="D120" s="75" t="str">
        <x:f>IF(B120="","",INDEX('Company Universe'!$C$6:$C$105,MATCH(B120,'Company Universe'!$A$6:$A$105,0)))</x:f>
      </x:c>
      <x:c r="E120" s="206" t="n"/>
      <x:c r="F120" s="71" t="n"/>
      <x:c r="G120" s="71" t="n"/>
      <x:c r="H120" s="71" t="n"/>
      <x:c r="I120" s="71" t="n"/>
      <x:c r="J120" s="206" t="n"/>
      <x:c r="K120" s="71" t="n"/>
      <x:c r="L120" s="71" t="n"/>
      <x:c r="M120" s="206" t="n"/>
      <x:c r="N120" s="71" t="inlineStr">
        <x:is>
          <x:t xml:space="preserve">OPEN</x:t>
        </x:is>
      </x:c>
      <x:c r="O120" s="71" t="n"/>
      <x:c r="P120" s="71" t="n"/>
    </x:row>
    <x:row r="121">
      <x:c r="A121" s="57" t="inlineStr">
        <x:is>
          <x:t xml:space="preserve">MP-116</x:t>
        </x:is>
      </x:c>
      <x:c r="B121" s="71" t="n"/>
      <x:c r="C121" s="75" t="str">
        <x:f>IF(B121="","",INDEX('Company Universe'!$B$6:$B$105,MATCH(B121,'Company Universe'!$A$6:$A$105,0)))</x:f>
      </x:c>
      <x:c r="D121" s="75" t="str">
        <x:f>IF(B121="","",INDEX('Company Universe'!$C$6:$C$105,MATCH(B121,'Company Universe'!$A$6:$A$105,0)))</x:f>
      </x:c>
      <x:c r="E121" s="206" t="n"/>
      <x:c r="F121" s="71" t="n"/>
      <x:c r="G121" s="71" t="n"/>
      <x:c r="H121" s="71" t="n"/>
      <x:c r="I121" s="71" t="n"/>
      <x:c r="J121" s="206" t="n"/>
      <x:c r="K121" s="71" t="n"/>
      <x:c r="L121" s="71" t="n"/>
      <x:c r="M121" s="206" t="n"/>
      <x:c r="N121" s="71" t="inlineStr">
        <x:is>
          <x:t xml:space="preserve">OPEN</x:t>
        </x:is>
      </x:c>
      <x:c r="O121" s="71" t="n"/>
      <x:c r="P121" s="71" t="n"/>
    </x:row>
    <x:row r="122">
      <x:c r="A122" s="57" t="inlineStr">
        <x:is>
          <x:t xml:space="preserve">MP-117</x:t>
        </x:is>
      </x:c>
      <x:c r="B122" s="71" t="n"/>
      <x:c r="C122" s="75" t="str">
        <x:f>IF(B122="","",INDEX('Company Universe'!$B$6:$B$105,MATCH(B122,'Company Universe'!$A$6:$A$105,0)))</x:f>
      </x:c>
      <x:c r="D122" s="75" t="str">
        <x:f>IF(B122="","",INDEX('Company Universe'!$C$6:$C$105,MATCH(B122,'Company Universe'!$A$6:$A$105,0)))</x:f>
      </x:c>
      <x:c r="E122" s="206" t="n"/>
      <x:c r="F122" s="71" t="n"/>
      <x:c r="G122" s="71" t="n"/>
      <x:c r="H122" s="71" t="n"/>
      <x:c r="I122" s="71" t="n"/>
      <x:c r="J122" s="206" t="n"/>
      <x:c r="K122" s="71" t="n"/>
      <x:c r="L122" s="71" t="n"/>
      <x:c r="M122" s="206" t="n"/>
      <x:c r="N122" s="71" t="inlineStr">
        <x:is>
          <x:t xml:space="preserve">OPEN</x:t>
        </x:is>
      </x:c>
      <x:c r="O122" s="71" t="n"/>
      <x:c r="P122" s="71" t="n"/>
    </x:row>
    <x:row r="123">
      <x:c r="A123" s="57" t="inlineStr">
        <x:is>
          <x:t xml:space="preserve">MP-118</x:t>
        </x:is>
      </x:c>
      <x:c r="B123" s="71" t="n"/>
      <x:c r="C123" s="75" t="str">
        <x:f>IF(B123="","",INDEX('Company Universe'!$B$6:$B$105,MATCH(B123,'Company Universe'!$A$6:$A$105,0)))</x:f>
      </x:c>
      <x:c r="D123" s="75" t="str">
        <x:f>IF(B123="","",INDEX('Company Universe'!$C$6:$C$105,MATCH(B123,'Company Universe'!$A$6:$A$105,0)))</x:f>
      </x:c>
      <x:c r="E123" s="206" t="n"/>
      <x:c r="F123" s="71" t="n"/>
      <x:c r="G123" s="71" t="n"/>
      <x:c r="H123" s="71" t="n"/>
      <x:c r="I123" s="71" t="n"/>
      <x:c r="J123" s="206" t="n"/>
      <x:c r="K123" s="71" t="n"/>
      <x:c r="L123" s="71" t="n"/>
      <x:c r="M123" s="206" t="n"/>
      <x:c r="N123" s="71" t="inlineStr">
        <x:is>
          <x:t xml:space="preserve">OPEN</x:t>
        </x:is>
      </x:c>
      <x:c r="O123" s="71" t="n"/>
      <x:c r="P123" s="71" t="n"/>
    </x:row>
    <x:row r="124">
      <x:c r="A124" s="57" t="inlineStr">
        <x:is>
          <x:t xml:space="preserve">MP-119</x:t>
        </x:is>
      </x:c>
      <x:c r="B124" s="71" t="n"/>
      <x:c r="C124" s="75" t="str">
        <x:f>IF(B124="","",INDEX('Company Universe'!$B$6:$B$105,MATCH(B124,'Company Universe'!$A$6:$A$105,0)))</x:f>
      </x:c>
      <x:c r="D124" s="75" t="str">
        <x:f>IF(B124="","",INDEX('Company Universe'!$C$6:$C$105,MATCH(B124,'Company Universe'!$A$6:$A$105,0)))</x:f>
      </x:c>
      <x:c r="E124" s="206" t="n"/>
      <x:c r="F124" s="71" t="n"/>
      <x:c r="G124" s="71" t="n"/>
      <x:c r="H124" s="71" t="n"/>
      <x:c r="I124" s="71" t="n"/>
      <x:c r="J124" s="206" t="n"/>
      <x:c r="K124" s="71" t="n"/>
      <x:c r="L124" s="71" t="n"/>
      <x:c r="M124" s="206" t="n"/>
      <x:c r="N124" s="71" t="inlineStr">
        <x:is>
          <x:t xml:space="preserve">OPEN</x:t>
        </x:is>
      </x:c>
      <x:c r="O124" s="71" t="n"/>
      <x:c r="P124" s="71" t="n"/>
    </x:row>
    <x:row r="125">
      <x:c r="A125" s="57" t="inlineStr">
        <x:is>
          <x:t xml:space="preserve">MP-120</x:t>
        </x:is>
      </x:c>
      <x:c r="B125" s="71" t="n"/>
      <x:c r="C125" s="75" t="str">
        <x:f>IF(B125="","",INDEX('Company Universe'!$B$6:$B$105,MATCH(B125,'Company Universe'!$A$6:$A$105,0)))</x:f>
      </x:c>
      <x:c r="D125" s="75" t="str">
        <x:f>IF(B125="","",INDEX('Company Universe'!$C$6:$C$105,MATCH(B125,'Company Universe'!$A$6:$A$105,0)))</x:f>
      </x:c>
      <x:c r="E125" s="206" t="n"/>
      <x:c r="F125" s="71" t="n"/>
      <x:c r="G125" s="71" t="n"/>
      <x:c r="H125" s="71" t="n"/>
      <x:c r="I125" s="71" t="n"/>
      <x:c r="J125" s="206" t="n"/>
      <x:c r="K125" s="71" t="n"/>
      <x:c r="L125" s="71" t="n"/>
      <x:c r="M125" s="206" t="n"/>
      <x:c r="N125" s="71" t="inlineStr">
        <x:is>
          <x:t xml:space="preserve">OPEN</x:t>
        </x:is>
      </x:c>
      <x:c r="O125" s="71" t="n"/>
      <x:c r="P125" s="71" t="n"/>
    </x:row>
    <x:row r="126">
      <x:c r="A126" s="57" t="inlineStr">
        <x:is>
          <x:t xml:space="preserve">MP-121</x:t>
        </x:is>
      </x:c>
      <x:c r="B126" s="71" t="n"/>
      <x:c r="C126" s="75" t="str">
        <x:f>IF(B126="","",INDEX('Company Universe'!$B$6:$B$105,MATCH(B126,'Company Universe'!$A$6:$A$105,0)))</x:f>
      </x:c>
      <x:c r="D126" s="75" t="str">
        <x:f>IF(B126="","",INDEX('Company Universe'!$C$6:$C$105,MATCH(B126,'Company Universe'!$A$6:$A$105,0)))</x:f>
      </x:c>
      <x:c r="E126" s="206" t="n"/>
      <x:c r="F126" s="71" t="n"/>
      <x:c r="G126" s="71" t="n"/>
      <x:c r="H126" s="71" t="n"/>
      <x:c r="I126" s="71" t="n"/>
      <x:c r="J126" s="206" t="n"/>
      <x:c r="K126" s="71" t="n"/>
      <x:c r="L126" s="71" t="n"/>
      <x:c r="M126" s="206" t="n"/>
      <x:c r="N126" s="71" t="inlineStr">
        <x:is>
          <x:t xml:space="preserve">OPEN</x:t>
        </x:is>
      </x:c>
      <x:c r="O126" s="71" t="n"/>
      <x:c r="P126" s="71" t="n"/>
    </x:row>
    <x:row r="127">
      <x:c r="A127" s="57" t="inlineStr">
        <x:is>
          <x:t xml:space="preserve">MP-122</x:t>
        </x:is>
      </x:c>
      <x:c r="B127" s="71" t="n"/>
      <x:c r="C127" s="75" t="str">
        <x:f>IF(B127="","",INDEX('Company Universe'!$B$6:$B$105,MATCH(B127,'Company Universe'!$A$6:$A$105,0)))</x:f>
      </x:c>
      <x:c r="D127" s="75" t="str">
        <x:f>IF(B127="","",INDEX('Company Universe'!$C$6:$C$105,MATCH(B127,'Company Universe'!$A$6:$A$105,0)))</x:f>
      </x:c>
      <x:c r="E127" s="206" t="n"/>
      <x:c r="F127" s="71" t="n"/>
      <x:c r="G127" s="71" t="n"/>
      <x:c r="H127" s="71" t="n"/>
      <x:c r="I127" s="71" t="n"/>
      <x:c r="J127" s="206" t="n"/>
      <x:c r="K127" s="71" t="n"/>
      <x:c r="L127" s="71" t="n"/>
      <x:c r="M127" s="206" t="n"/>
      <x:c r="N127" s="71" t="inlineStr">
        <x:is>
          <x:t xml:space="preserve">OPEN</x:t>
        </x:is>
      </x:c>
      <x:c r="O127" s="71" t="n"/>
      <x:c r="P127" s="71" t="n"/>
    </x:row>
    <x:row r="128">
      <x:c r="A128" s="57" t="inlineStr">
        <x:is>
          <x:t xml:space="preserve">MP-123</x:t>
        </x:is>
      </x:c>
      <x:c r="B128" s="71" t="n"/>
      <x:c r="C128" s="75" t="str">
        <x:f>IF(B128="","",INDEX('Company Universe'!$B$6:$B$105,MATCH(B128,'Company Universe'!$A$6:$A$105,0)))</x:f>
      </x:c>
      <x:c r="D128" s="75" t="str">
        <x:f>IF(B128="","",INDEX('Company Universe'!$C$6:$C$105,MATCH(B128,'Company Universe'!$A$6:$A$105,0)))</x:f>
      </x:c>
      <x:c r="E128" s="206" t="n"/>
      <x:c r="F128" s="71" t="n"/>
      <x:c r="G128" s="71" t="n"/>
      <x:c r="H128" s="71" t="n"/>
      <x:c r="I128" s="71" t="n"/>
      <x:c r="J128" s="206" t="n"/>
      <x:c r="K128" s="71" t="n"/>
      <x:c r="L128" s="71" t="n"/>
      <x:c r="M128" s="206" t="n"/>
      <x:c r="N128" s="71" t="inlineStr">
        <x:is>
          <x:t xml:space="preserve">OPEN</x:t>
        </x:is>
      </x:c>
      <x:c r="O128" s="71" t="n"/>
      <x:c r="P128" s="71" t="n"/>
    </x:row>
    <x:row r="129">
      <x:c r="A129" s="57" t="inlineStr">
        <x:is>
          <x:t xml:space="preserve">MP-124</x:t>
        </x:is>
      </x:c>
      <x:c r="B129" s="71" t="n"/>
      <x:c r="C129" s="75" t="str">
        <x:f>IF(B129="","",INDEX('Company Universe'!$B$6:$B$105,MATCH(B129,'Company Universe'!$A$6:$A$105,0)))</x:f>
      </x:c>
      <x:c r="D129" s="75" t="str">
        <x:f>IF(B129="","",INDEX('Company Universe'!$C$6:$C$105,MATCH(B129,'Company Universe'!$A$6:$A$105,0)))</x:f>
      </x:c>
      <x:c r="E129" s="206" t="n"/>
      <x:c r="F129" s="71" t="n"/>
      <x:c r="G129" s="71" t="n"/>
      <x:c r="H129" s="71" t="n"/>
      <x:c r="I129" s="71" t="n"/>
      <x:c r="J129" s="206" t="n"/>
      <x:c r="K129" s="71" t="n"/>
      <x:c r="L129" s="71" t="n"/>
      <x:c r="M129" s="206" t="n"/>
      <x:c r="N129" s="71" t="inlineStr">
        <x:is>
          <x:t xml:space="preserve">OPEN</x:t>
        </x:is>
      </x:c>
      <x:c r="O129" s="71" t="n"/>
      <x:c r="P129" s="71" t="n"/>
    </x:row>
    <x:row r="130">
      <x:c r="A130" s="57" t="inlineStr">
        <x:is>
          <x:t xml:space="preserve">MP-125</x:t>
        </x:is>
      </x:c>
      <x:c r="B130" s="71" t="n"/>
      <x:c r="C130" s="75" t="str">
        <x:f>IF(B130="","",INDEX('Company Universe'!$B$6:$B$105,MATCH(B130,'Company Universe'!$A$6:$A$105,0)))</x:f>
      </x:c>
      <x:c r="D130" s="75" t="str">
        <x:f>IF(B130="","",INDEX('Company Universe'!$C$6:$C$105,MATCH(B130,'Company Universe'!$A$6:$A$105,0)))</x:f>
      </x:c>
      <x:c r="E130" s="206" t="n"/>
      <x:c r="F130" s="71" t="n"/>
      <x:c r="G130" s="71" t="n"/>
      <x:c r="H130" s="71" t="n"/>
      <x:c r="I130" s="71" t="n"/>
      <x:c r="J130" s="206" t="n"/>
      <x:c r="K130" s="71" t="n"/>
      <x:c r="L130" s="71" t="n"/>
      <x:c r="M130" s="206" t="n"/>
      <x:c r="N130" s="71" t="inlineStr">
        <x:is>
          <x:t xml:space="preserve">OPEN</x:t>
        </x:is>
      </x:c>
      <x:c r="O130" s="71" t="n"/>
      <x:c r="P130" s="71" t="n"/>
    </x:row>
    <x:row r="131">
      <x:c r="A131" s="57" t="inlineStr">
        <x:is>
          <x:t xml:space="preserve">MP-126</x:t>
        </x:is>
      </x:c>
      <x:c r="B131" s="71" t="n"/>
      <x:c r="C131" s="75" t="str">
        <x:f>IF(B131="","",INDEX('Company Universe'!$B$6:$B$105,MATCH(B131,'Company Universe'!$A$6:$A$105,0)))</x:f>
      </x:c>
      <x:c r="D131" s="75" t="str">
        <x:f>IF(B131="","",INDEX('Company Universe'!$C$6:$C$105,MATCH(B131,'Company Universe'!$A$6:$A$105,0)))</x:f>
      </x:c>
      <x:c r="E131" s="206" t="n"/>
      <x:c r="F131" s="71" t="n"/>
      <x:c r="G131" s="71" t="n"/>
      <x:c r="H131" s="71" t="n"/>
      <x:c r="I131" s="71" t="n"/>
      <x:c r="J131" s="206" t="n"/>
      <x:c r="K131" s="71" t="n"/>
      <x:c r="L131" s="71" t="n"/>
      <x:c r="M131" s="206" t="n"/>
      <x:c r="N131" s="71" t="inlineStr">
        <x:is>
          <x:t xml:space="preserve">OPEN</x:t>
        </x:is>
      </x:c>
      <x:c r="O131" s="71" t="n"/>
      <x:c r="P131" s="71" t="n"/>
    </x:row>
    <x:row r="132">
      <x:c r="A132" s="57" t="inlineStr">
        <x:is>
          <x:t xml:space="preserve">MP-127</x:t>
        </x:is>
      </x:c>
      <x:c r="B132" s="71" t="n"/>
      <x:c r="C132" s="75" t="str">
        <x:f>IF(B132="","",INDEX('Company Universe'!$B$6:$B$105,MATCH(B132,'Company Universe'!$A$6:$A$105,0)))</x:f>
      </x:c>
      <x:c r="D132" s="75" t="str">
        <x:f>IF(B132="","",INDEX('Company Universe'!$C$6:$C$105,MATCH(B132,'Company Universe'!$A$6:$A$105,0)))</x:f>
      </x:c>
      <x:c r="E132" s="206" t="n"/>
      <x:c r="F132" s="71" t="n"/>
      <x:c r="G132" s="71" t="n"/>
      <x:c r="H132" s="71" t="n"/>
      <x:c r="I132" s="71" t="n"/>
      <x:c r="J132" s="206" t="n"/>
      <x:c r="K132" s="71" t="n"/>
      <x:c r="L132" s="71" t="n"/>
      <x:c r="M132" s="206" t="n"/>
      <x:c r="N132" s="71" t="inlineStr">
        <x:is>
          <x:t xml:space="preserve">OPEN</x:t>
        </x:is>
      </x:c>
      <x:c r="O132" s="71" t="n"/>
      <x:c r="P132" s="71" t="n"/>
    </x:row>
    <x:row r="133">
      <x:c r="A133" s="57" t="inlineStr">
        <x:is>
          <x:t xml:space="preserve">MP-128</x:t>
        </x:is>
      </x:c>
      <x:c r="B133" s="71" t="n"/>
      <x:c r="C133" s="75" t="str">
        <x:f>IF(B133="","",INDEX('Company Universe'!$B$6:$B$105,MATCH(B133,'Company Universe'!$A$6:$A$105,0)))</x:f>
      </x:c>
      <x:c r="D133" s="75" t="str">
        <x:f>IF(B133="","",INDEX('Company Universe'!$C$6:$C$105,MATCH(B133,'Company Universe'!$A$6:$A$105,0)))</x:f>
      </x:c>
      <x:c r="E133" s="206" t="n"/>
      <x:c r="F133" s="71" t="n"/>
      <x:c r="G133" s="71" t="n"/>
      <x:c r="H133" s="71" t="n"/>
      <x:c r="I133" s="71" t="n"/>
      <x:c r="J133" s="206" t="n"/>
      <x:c r="K133" s="71" t="n"/>
      <x:c r="L133" s="71" t="n"/>
      <x:c r="M133" s="206" t="n"/>
      <x:c r="N133" s="71" t="inlineStr">
        <x:is>
          <x:t xml:space="preserve">OPEN</x:t>
        </x:is>
      </x:c>
      <x:c r="O133" s="71" t="n"/>
      <x:c r="P133" s="71" t="n"/>
    </x:row>
    <x:row r="134">
      <x:c r="A134" s="57" t="inlineStr">
        <x:is>
          <x:t xml:space="preserve">MP-129</x:t>
        </x:is>
      </x:c>
      <x:c r="B134" s="71" t="n"/>
      <x:c r="C134" s="75" t="str">
        <x:f>IF(B134="","",INDEX('Company Universe'!$B$6:$B$105,MATCH(B134,'Company Universe'!$A$6:$A$105,0)))</x:f>
      </x:c>
      <x:c r="D134" s="75" t="str">
        <x:f>IF(B134="","",INDEX('Company Universe'!$C$6:$C$105,MATCH(B134,'Company Universe'!$A$6:$A$105,0)))</x:f>
      </x:c>
      <x:c r="E134" s="206" t="n"/>
      <x:c r="F134" s="71" t="n"/>
      <x:c r="G134" s="71" t="n"/>
      <x:c r="H134" s="71" t="n"/>
      <x:c r="I134" s="71" t="n"/>
      <x:c r="J134" s="206" t="n"/>
      <x:c r="K134" s="71" t="n"/>
      <x:c r="L134" s="71" t="n"/>
      <x:c r="M134" s="206" t="n"/>
      <x:c r="N134" s="71" t="inlineStr">
        <x:is>
          <x:t xml:space="preserve">OPEN</x:t>
        </x:is>
      </x:c>
      <x:c r="O134" s="71" t="n"/>
      <x:c r="P134" s="71" t="n"/>
    </x:row>
    <x:row r="135">
      <x:c r="A135" s="57" t="inlineStr">
        <x:is>
          <x:t xml:space="preserve">MP-130</x:t>
        </x:is>
      </x:c>
      <x:c r="B135" s="71" t="n"/>
      <x:c r="C135" s="75" t="str">
        <x:f>IF(B135="","",INDEX('Company Universe'!$B$6:$B$105,MATCH(B135,'Company Universe'!$A$6:$A$105,0)))</x:f>
      </x:c>
      <x:c r="D135" s="75" t="str">
        <x:f>IF(B135="","",INDEX('Company Universe'!$C$6:$C$105,MATCH(B135,'Company Universe'!$A$6:$A$105,0)))</x:f>
      </x:c>
      <x:c r="E135" s="206" t="n"/>
      <x:c r="F135" s="71" t="n"/>
      <x:c r="G135" s="71" t="n"/>
      <x:c r="H135" s="71" t="n"/>
      <x:c r="I135" s="71" t="n"/>
      <x:c r="J135" s="206" t="n"/>
      <x:c r="K135" s="71" t="n"/>
      <x:c r="L135" s="71" t="n"/>
      <x:c r="M135" s="206" t="n"/>
      <x:c r="N135" s="71" t="inlineStr">
        <x:is>
          <x:t xml:space="preserve">OPEN</x:t>
        </x:is>
      </x:c>
      <x:c r="O135" s="71" t="n"/>
      <x:c r="P135" s="71" t="n"/>
    </x:row>
    <x:row r="136">
      <x:c r="A136" s="57" t="inlineStr">
        <x:is>
          <x:t xml:space="preserve">MP-131</x:t>
        </x:is>
      </x:c>
      <x:c r="B136" s="71" t="n"/>
      <x:c r="C136" s="75" t="str">
        <x:f>IF(B136="","",INDEX('Company Universe'!$B$6:$B$105,MATCH(B136,'Company Universe'!$A$6:$A$105,0)))</x:f>
      </x:c>
      <x:c r="D136" s="75" t="str">
        <x:f>IF(B136="","",INDEX('Company Universe'!$C$6:$C$105,MATCH(B136,'Company Universe'!$A$6:$A$105,0)))</x:f>
      </x:c>
      <x:c r="E136" s="206" t="n"/>
      <x:c r="F136" s="71" t="n"/>
      <x:c r="G136" s="71" t="n"/>
      <x:c r="H136" s="71" t="n"/>
      <x:c r="I136" s="71" t="n"/>
      <x:c r="J136" s="206" t="n"/>
      <x:c r="K136" s="71" t="n"/>
      <x:c r="L136" s="71" t="n"/>
      <x:c r="M136" s="206" t="n"/>
      <x:c r="N136" s="71" t="inlineStr">
        <x:is>
          <x:t xml:space="preserve">OPEN</x:t>
        </x:is>
      </x:c>
      <x:c r="O136" s="71" t="n"/>
      <x:c r="P136" s="71" t="n"/>
    </x:row>
    <x:row r="137">
      <x:c r="A137" s="57" t="inlineStr">
        <x:is>
          <x:t xml:space="preserve">MP-132</x:t>
        </x:is>
      </x:c>
      <x:c r="B137" s="71" t="n"/>
      <x:c r="C137" s="75" t="str">
        <x:f>IF(B137="","",INDEX('Company Universe'!$B$6:$B$105,MATCH(B137,'Company Universe'!$A$6:$A$105,0)))</x:f>
      </x:c>
      <x:c r="D137" s="75" t="str">
        <x:f>IF(B137="","",INDEX('Company Universe'!$C$6:$C$105,MATCH(B137,'Company Universe'!$A$6:$A$105,0)))</x:f>
      </x:c>
      <x:c r="E137" s="206" t="n"/>
      <x:c r="F137" s="71" t="n"/>
      <x:c r="G137" s="71" t="n"/>
      <x:c r="H137" s="71" t="n"/>
      <x:c r="I137" s="71" t="n"/>
      <x:c r="J137" s="206" t="n"/>
      <x:c r="K137" s="71" t="n"/>
      <x:c r="L137" s="71" t="n"/>
      <x:c r="M137" s="206" t="n"/>
      <x:c r="N137" s="71" t="inlineStr">
        <x:is>
          <x:t xml:space="preserve">OPEN</x:t>
        </x:is>
      </x:c>
      <x:c r="O137" s="71" t="n"/>
      <x:c r="P137" s="71" t="n"/>
    </x:row>
    <x:row r="138">
      <x:c r="A138" s="57" t="inlineStr">
        <x:is>
          <x:t xml:space="preserve">MP-133</x:t>
        </x:is>
      </x:c>
      <x:c r="B138" s="71" t="n"/>
      <x:c r="C138" s="75" t="str">
        <x:f>IF(B138="","",INDEX('Company Universe'!$B$6:$B$105,MATCH(B138,'Company Universe'!$A$6:$A$105,0)))</x:f>
      </x:c>
      <x:c r="D138" s="75" t="str">
        <x:f>IF(B138="","",INDEX('Company Universe'!$C$6:$C$105,MATCH(B138,'Company Universe'!$A$6:$A$105,0)))</x:f>
      </x:c>
      <x:c r="E138" s="206" t="n"/>
      <x:c r="F138" s="71" t="n"/>
      <x:c r="G138" s="71" t="n"/>
      <x:c r="H138" s="71" t="n"/>
      <x:c r="I138" s="71" t="n"/>
      <x:c r="J138" s="206" t="n"/>
      <x:c r="K138" s="71" t="n"/>
      <x:c r="L138" s="71" t="n"/>
      <x:c r="M138" s="206" t="n"/>
      <x:c r="N138" s="71" t="inlineStr">
        <x:is>
          <x:t xml:space="preserve">OPEN</x:t>
        </x:is>
      </x:c>
      <x:c r="O138" s="71" t="n"/>
      <x:c r="P138" s="71" t="n"/>
    </x:row>
    <x:row r="139">
      <x:c r="A139" s="57" t="inlineStr">
        <x:is>
          <x:t xml:space="preserve">MP-134</x:t>
        </x:is>
      </x:c>
      <x:c r="B139" s="71" t="n"/>
      <x:c r="C139" s="75" t="str">
        <x:f>IF(B139="","",INDEX('Company Universe'!$B$6:$B$105,MATCH(B139,'Company Universe'!$A$6:$A$105,0)))</x:f>
      </x:c>
      <x:c r="D139" s="75" t="str">
        <x:f>IF(B139="","",INDEX('Company Universe'!$C$6:$C$105,MATCH(B139,'Company Universe'!$A$6:$A$105,0)))</x:f>
      </x:c>
      <x:c r="E139" s="206" t="n"/>
      <x:c r="F139" s="71" t="n"/>
      <x:c r="G139" s="71" t="n"/>
      <x:c r="H139" s="71" t="n"/>
      <x:c r="I139" s="71" t="n"/>
      <x:c r="J139" s="206" t="n"/>
      <x:c r="K139" s="71" t="n"/>
      <x:c r="L139" s="71" t="n"/>
      <x:c r="M139" s="206" t="n"/>
      <x:c r="N139" s="71" t="inlineStr">
        <x:is>
          <x:t xml:space="preserve">OPEN</x:t>
        </x:is>
      </x:c>
      <x:c r="O139" s="71" t="n"/>
      <x:c r="P139" s="71" t="n"/>
    </x:row>
    <x:row r="140">
      <x:c r="A140" s="57" t="inlineStr">
        <x:is>
          <x:t xml:space="preserve">MP-135</x:t>
        </x:is>
      </x:c>
      <x:c r="B140" s="71" t="n"/>
      <x:c r="C140" s="75" t="str">
        <x:f>IF(B140="","",INDEX('Company Universe'!$B$6:$B$105,MATCH(B140,'Company Universe'!$A$6:$A$105,0)))</x:f>
      </x:c>
      <x:c r="D140" s="75" t="str">
        <x:f>IF(B140="","",INDEX('Company Universe'!$C$6:$C$105,MATCH(B140,'Company Universe'!$A$6:$A$105,0)))</x:f>
      </x:c>
      <x:c r="E140" s="206" t="n"/>
      <x:c r="F140" s="71" t="n"/>
      <x:c r="G140" s="71" t="n"/>
      <x:c r="H140" s="71" t="n"/>
      <x:c r="I140" s="71" t="n"/>
      <x:c r="J140" s="206" t="n"/>
      <x:c r="K140" s="71" t="n"/>
      <x:c r="L140" s="71" t="n"/>
      <x:c r="M140" s="206" t="n"/>
      <x:c r="N140" s="71" t="inlineStr">
        <x:is>
          <x:t xml:space="preserve">OPEN</x:t>
        </x:is>
      </x:c>
      <x:c r="O140" s="71" t="n"/>
      <x:c r="P140" s="71" t="n"/>
    </x:row>
    <x:row r="141">
      <x:c r="A141" s="57" t="inlineStr">
        <x:is>
          <x:t xml:space="preserve">MP-136</x:t>
        </x:is>
      </x:c>
      <x:c r="B141" s="71" t="n"/>
      <x:c r="C141" s="75" t="str">
        <x:f>IF(B141="","",INDEX('Company Universe'!$B$6:$B$105,MATCH(B141,'Company Universe'!$A$6:$A$105,0)))</x:f>
      </x:c>
      <x:c r="D141" s="75" t="str">
        <x:f>IF(B141="","",INDEX('Company Universe'!$C$6:$C$105,MATCH(B141,'Company Universe'!$A$6:$A$105,0)))</x:f>
      </x:c>
      <x:c r="E141" s="206" t="n"/>
      <x:c r="F141" s="71" t="n"/>
      <x:c r="G141" s="71" t="n"/>
      <x:c r="H141" s="71" t="n"/>
      <x:c r="I141" s="71" t="n"/>
      <x:c r="J141" s="206" t="n"/>
      <x:c r="K141" s="71" t="n"/>
      <x:c r="L141" s="71" t="n"/>
      <x:c r="M141" s="206" t="n"/>
      <x:c r="N141" s="71" t="inlineStr">
        <x:is>
          <x:t xml:space="preserve">OPEN</x:t>
        </x:is>
      </x:c>
      <x:c r="O141" s="71" t="n"/>
      <x:c r="P141" s="71" t="n"/>
    </x:row>
    <x:row r="142">
      <x:c r="A142" s="57" t="inlineStr">
        <x:is>
          <x:t xml:space="preserve">MP-137</x:t>
        </x:is>
      </x:c>
      <x:c r="B142" s="71" t="n"/>
      <x:c r="C142" s="75" t="str">
        <x:f>IF(B142="","",INDEX('Company Universe'!$B$6:$B$105,MATCH(B142,'Company Universe'!$A$6:$A$105,0)))</x:f>
      </x:c>
      <x:c r="D142" s="75" t="str">
        <x:f>IF(B142="","",INDEX('Company Universe'!$C$6:$C$105,MATCH(B142,'Company Universe'!$A$6:$A$105,0)))</x:f>
      </x:c>
      <x:c r="E142" s="206" t="n"/>
      <x:c r="F142" s="71" t="n"/>
      <x:c r="G142" s="71" t="n"/>
      <x:c r="H142" s="71" t="n"/>
      <x:c r="I142" s="71" t="n"/>
      <x:c r="J142" s="206" t="n"/>
      <x:c r="K142" s="71" t="n"/>
      <x:c r="L142" s="71" t="n"/>
      <x:c r="M142" s="206" t="n"/>
      <x:c r="N142" s="71" t="inlineStr">
        <x:is>
          <x:t xml:space="preserve">OPEN</x:t>
        </x:is>
      </x:c>
      <x:c r="O142" s="71" t="n"/>
      <x:c r="P142" s="71" t="n"/>
    </x:row>
    <x:row r="143">
      <x:c r="A143" s="57" t="inlineStr">
        <x:is>
          <x:t xml:space="preserve">MP-138</x:t>
        </x:is>
      </x:c>
      <x:c r="B143" s="71" t="n"/>
      <x:c r="C143" s="75" t="str">
        <x:f>IF(B143="","",INDEX('Company Universe'!$B$6:$B$105,MATCH(B143,'Company Universe'!$A$6:$A$105,0)))</x:f>
      </x:c>
      <x:c r="D143" s="75" t="str">
        <x:f>IF(B143="","",INDEX('Company Universe'!$C$6:$C$105,MATCH(B143,'Company Universe'!$A$6:$A$105,0)))</x:f>
      </x:c>
      <x:c r="E143" s="206" t="n"/>
      <x:c r="F143" s="71" t="n"/>
      <x:c r="G143" s="71" t="n"/>
      <x:c r="H143" s="71" t="n"/>
      <x:c r="I143" s="71" t="n"/>
      <x:c r="J143" s="206" t="n"/>
      <x:c r="K143" s="71" t="n"/>
      <x:c r="L143" s="71" t="n"/>
      <x:c r="M143" s="206" t="n"/>
      <x:c r="N143" s="71" t="inlineStr">
        <x:is>
          <x:t xml:space="preserve">OPEN</x:t>
        </x:is>
      </x:c>
      <x:c r="O143" s="71" t="n"/>
      <x:c r="P143" s="71" t="n"/>
    </x:row>
    <x:row r="144">
      <x:c r="A144" s="57" t="inlineStr">
        <x:is>
          <x:t xml:space="preserve">MP-139</x:t>
        </x:is>
      </x:c>
      <x:c r="B144" s="71" t="n"/>
      <x:c r="C144" s="75" t="str">
        <x:f>IF(B144="","",INDEX('Company Universe'!$B$6:$B$105,MATCH(B144,'Company Universe'!$A$6:$A$105,0)))</x:f>
      </x:c>
      <x:c r="D144" s="75" t="str">
        <x:f>IF(B144="","",INDEX('Company Universe'!$C$6:$C$105,MATCH(B144,'Company Universe'!$A$6:$A$105,0)))</x:f>
      </x:c>
      <x:c r="E144" s="206" t="n"/>
      <x:c r="F144" s="71" t="n"/>
      <x:c r="G144" s="71" t="n"/>
      <x:c r="H144" s="71" t="n"/>
      <x:c r="I144" s="71" t="n"/>
      <x:c r="J144" s="206" t="n"/>
      <x:c r="K144" s="71" t="n"/>
      <x:c r="L144" s="71" t="n"/>
      <x:c r="M144" s="206" t="n"/>
      <x:c r="N144" s="71" t="inlineStr">
        <x:is>
          <x:t xml:space="preserve">OPEN</x:t>
        </x:is>
      </x:c>
      <x:c r="O144" s="71" t="n"/>
      <x:c r="P144" s="71" t="n"/>
    </x:row>
    <x:row r="145">
      <x:c r="A145" s="57" t="inlineStr">
        <x:is>
          <x:t xml:space="preserve">MP-140</x:t>
        </x:is>
      </x:c>
      <x:c r="B145" s="71" t="n"/>
      <x:c r="C145" s="75" t="str">
        <x:f>IF(B145="","",INDEX('Company Universe'!$B$6:$B$105,MATCH(B145,'Company Universe'!$A$6:$A$105,0)))</x:f>
      </x:c>
      <x:c r="D145" s="75" t="str">
        <x:f>IF(B145="","",INDEX('Company Universe'!$C$6:$C$105,MATCH(B145,'Company Universe'!$A$6:$A$105,0)))</x:f>
      </x:c>
      <x:c r="E145" s="206" t="n"/>
      <x:c r="F145" s="71" t="n"/>
      <x:c r="G145" s="71" t="n"/>
      <x:c r="H145" s="71" t="n"/>
      <x:c r="I145" s="71" t="n"/>
      <x:c r="J145" s="206" t="n"/>
      <x:c r="K145" s="71" t="n"/>
      <x:c r="L145" s="71" t="n"/>
      <x:c r="M145" s="206" t="n"/>
      <x:c r="N145" s="71" t="inlineStr">
        <x:is>
          <x:t xml:space="preserve">OPEN</x:t>
        </x:is>
      </x:c>
      <x:c r="O145" s="71" t="n"/>
      <x:c r="P145" s="71" t="n"/>
    </x:row>
    <x:row r="146">
      <x:c r="A146" s="57" t="inlineStr">
        <x:is>
          <x:t xml:space="preserve">MP-141</x:t>
        </x:is>
      </x:c>
      <x:c r="B146" s="71" t="n"/>
      <x:c r="C146" s="75" t="str">
        <x:f>IF(B146="","",INDEX('Company Universe'!$B$6:$B$105,MATCH(B146,'Company Universe'!$A$6:$A$105,0)))</x:f>
      </x:c>
      <x:c r="D146" s="75" t="str">
        <x:f>IF(B146="","",INDEX('Company Universe'!$C$6:$C$105,MATCH(B146,'Company Universe'!$A$6:$A$105,0)))</x:f>
      </x:c>
      <x:c r="E146" s="206" t="n"/>
      <x:c r="F146" s="71" t="n"/>
      <x:c r="G146" s="71" t="n"/>
      <x:c r="H146" s="71" t="n"/>
      <x:c r="I146" s="71" t="n"/>
      <x:c r="J146" s="206" t="n"/>
      <x:c r="K146" s="71" t="n"/>
      <x:c r="L146" s="71" t="n"/>
      <x:c r="M146" s="206" t="n"/>
      <x:c r="N146" s="71" t="inlineStr">
        <x:is>
          <x:t xml:space="preserve">OPEN</x:t>
        </x:is>
      </x:c>
      <x:c r="O146" s="71" t="n"/>
      <x:c r="P146" s="71" t="n"/>
    </x:row>
    <x:row r="147">
      <x:c r="A147" s="57" t="inlineStr">
        <x:is>
          <x:t xml:space="preserve">MP-142</x:t>
        </x:is>
      </x:c>
      <x:c r="B147" s="71" t="n"/>
      <x:c r="C147" s="75" t="str">
        <x:f>IF(B147="","",INDEX('Company Universe'!$B$6:$B$105,MATCH(B147,'Company Universe'!$A$6:$A$105,0)))</x:f>
      </x:c>
      <x:c r="D147" s="75" t="str">
        <x:f>IF(B147="","",INDEX('Company Universe'!$C$6:$C$105,MATCH(B147,'Company Universe'!$A$6:$A$105,0)))</x:f>
      </x:c>
      <x:c r="E147" s="206" t="n"/>
      <x:c r="F147" s="71" t="n"/>
      <x:c r="G147" s="71" t="n"/>
      <x:c r="H147" s="71" t="n"/>
      <x:c r="I147" s="71" t="n"/>
      <x:c r="J147" s="206" t="n"/>
      <x:c r="K147" s="71" t="n"/>
      <x:c r="L147" s="71" t="n"/>
      <x:c r="M147" s="206" t="n"/>
      <x:c r="N147" s="71" t="inlineStr">
        <x:is>
          <x:t xml:space="preserve">OPEN</x:t>
        </x:is>
      </x:c>
      <x:c r="O147" s="71" t="n"/>
      <x:c r="P147" s="71" t="n"/>
    </x:row>
    <x:row r="148">
      <x:c r="A148" s="57" t="inlineStr">
        <x:is>
          <x:t xml:space="preserve">MP-143</x:t>
        </x:is>
      </x:c>
      <x:c r="B148" s="71" t="n"/>
      <x:c r="C148" s="75" t="str">
        <x:f>IF(B148="","",INDEX('Company Universe'!$B$6:$B$105,MATCH(B148,'Company Universe'!$A$6:$A$105,0)))</x:f>
      </x:c>
      <x:c r="D148" s="75" t="str">
        <x:f>IF(B148="","",INDEX('Company Universe'!$C$6:$C$105,MATCH(B148,'Company Universe'!$A$6:$A$105,0)))</x:f>
      </x:c>
      <x:c r="E148" s="206" t="n"/>
      <x:c r="F148" s="71" t="n"/>
      <x:c r="G148" s="71" t="n"/>
      <x:c r="H148" s="71" t="n"/>
      <x:c r="I148" s="71" t="n"/>
      <x:c r="J148" s="206" t="n"/>
      <x:c r="K148" s="71" t="n"/>
      <x:c r="L148" s="71" t="n"/>
      <x:c r="M148" s="206" t="n"/>
      <x:c r="N148" s="71" t="inlineStr">
        <x:is>
          <x:t xml:space="preserve">OPEN</x:t>
        </x:is>
      </x:c>
      <x:c r="O148" s="71" t="n"/>
      <x:c r="P148" s="71" t="n"/>
    </x:row>
    <x:row r="149">
      <x:c r="A149" s="57" t="inlineStr">
        <x:is>
          <x:t xml:space="preserve">MP-144</x:t>
        </x:is>
      </x:c>
      <x:c r="B149" s="71" t="n"/>
      <x:c r="C149" s="75" t="str">
        <x:f>IF(B149="","",INDEX('Company Universe'!$B$6:$B$105,MATCH(B149,'Company Universe'!$A$6:$A$105,0)))</x:f>
      </x:c>
      <x:c r="D149" s="75" t="str">
        <x:f>IF(B149="","",INDEX('Company Universe'!$C$6:$C$105,MATCH(B149,'Company Universe'!$A$6:$A$105,0)))</x:f>
      </x:c>
      <x:c r="E149" s="206" t="n"/>
      <x:c r="F149" s="71" t="n"/>
      <x:c r="G149" s="71" t="n"/>
      <x:c r="H149" s="71" t="n"/>
      <x:c r="I149" s="71" t="n"/>
      <x:c r="J149" s="206" t="n"/>
      <x:c r="K149" s="71" t="n"/>
      <x:c r="L149" s="71" t="n"/>
      <x:c r="M149" s="206" t="n"/>
      <x:c r="N149" s="71" t="inlineStr">
        <x:is>
          <x:t xml:space="preserve">OPEN</x:t>
        </x:is>
      </x:c>
      <x:c r="O149" s="71" t="n"/>
      <x:c r="P149" s="71" t="n"/>
    </x:row>
    <x:row r="150">
      <x:c r="A150" s="57" t="inlineStr">
        <x:is>
          <x:t xml:space="preserve">MP-145</x:t>
        </x:is>
      </x:c>
      <x:c r="B150" s="71" t="n"/>
      <x:c r="C150" s="75" t="str">
        <x:f>IF(B150="","",INDEX('Company Universe'!$B$6:$B$105,MATCH(B150,'Company Universe'!$A$6:$A$105,0)))</x:f>
      </x:c>
      <x:c r="D150" s="75" t="str">
        <x:f>IF(B150="","",INDEX('Company Universe'!$C$6:$C$105,MATCH(B150,'Company Universe'!$A$6:$A$105,0)))</x:f>
      </x:c>
      <x:c r="E150" s="206" t="n"/>
      <x:c r="F150" s="71" t="n"/>
      <x:c r="G150" s="71" t="n"/>
      <x:c r="H150" s="71" t="n"/>
      <x:c r="I150" s="71" t="n"/>
      <x:c r="J150" s="206" t="n"/>
      <x:c r="K150" s="71" t="n"/>
      <x:c r="L150" s="71" t="n"/>
      <x:c r="M150" s="206" t="n"/>
      <x:c r="N150" s="71" t="inlineStr">
        <x:is>
          <x:t xml:space="preserve">OPEN</x:t>
        </x:is>
      </x:c>
      <x:c r="O150" s="71" t="n"/>
      <x:c r="P150" s="71" t="n"/>
    </x:row>
    <x:row r="151">
      <x:c r="A151" s="57" t="inlineStr">
        <x:is>
          <x:t xml:space="preserve">MP-146</x:t>
        </x:is>
      </x:c>
      <x:c r="B151" s="71" t="n"/>
      <x:c r="C151" s="75" t="str">
        <x:f>IF(B151="","",INDEX('Company Universe'!$B$6:$B$105,MATCH(B151,'Company Universe'!$A$6:$A$105,0)))</x:f>
      </x:c>
      <x:c r="D151" s="75" t="str">
        <x:f>IF(B151="","",INDEX('Company Universe'!$C$6:$C$105,MATCH(B151,'Company Universe'!$A$6:$A$105,0)))</x:f>
      </x:c>
      <x:c r="E151" s="206" t="n"/>
      <x:c r="F151" s="71" t="n"/>
      <x:c r="G151" s="71" t="n"/>
      <x:c r="H151" s="71" t="n"/>
      <x:c r="I151" s="71" t="n"/>
      <x:c r="J151" s="206" t="n"/>
      <x:c r="K151" s="71" t="n"/>
      <x:c r="L151" s="71" t="n"/>
      <x:c r="M151" s="206" t="n"/>
      <x:c r="N151" s="71" t="inlineStr">
        <x:is>
          <x:t xml:space="preserve">OPEN</x:t>
        </x:is>
      </x:c>
      <x:c r="O151" s="71" t="n"/>
      <x:c r="P151" s="71" t="n"/>
    </x:row>
    <x:row r="152">
      <x:c r="A152" s="57" t="inlineStr">
        <x:is>
          <x:t xml:space="preserve">MP-147</x:t>
        </x:is>
      </x:c>
      <x:c r="B152" s="71" t="n"/>
      <x:c r="C152" s="75" t="str">
        <x:f>IF(B152="","",INDEX('Company Universe'!$B$6:$B$105,MATCH(B152,'Company Universe'!$A$6:$A$105,0)))</x:f>
      </x:c>
      <x:c r="D152" s="75" t="str">
        <x:f>IF(B152="","",INDEX('Company Universe'!$C$6:$C$105,MATCH(B152,'Company Universe'!$A$6:$A$105,0)))</x:f>
      </x:c>
      <x:c r="E152" s="206" t="n"/>
      <x:c r="F152" s="71" t="n"/>
      <x:c r="G152" s="71" t="n"/>
      <x:c r="H152" s="71" t="n"/>
      <x:c r="I152" s="71" t="n"/>
      <x:c r="J152" s="206" t="n"/>
      <x:c r="K152" s="71" t="n"/>
      <x:c r="L152" s="71" t="n"/>
      <x:c r="M152" s="206" t="n"/>
      <x:c r="N152" s="71" t="inlineStr">
        <x:is>
          <x:t xml:space="preserve">OPEN</x:t>
        </x:is>
      </x:c>
      <x:c r="O152" s="71" t="n"/>
      <x:c r="P152" s="71" t="n"/>
    </x:row>
    <x:row r="153">
      <x:c r="A153" s="57" t="inlineStr">
        <x:is>
          <x:t xml:space="preserve">MP-148</x:t>
        </x:is>
      </x:c>
      <x:c r="B153" s="71" t="n"/>
      <x:c r="C153" s="75" t="str">
        <x:f>IF(B153="","",INDEX('Company Universe'!$B$6:$B$105,MATCH(B153,'Company Universe'!$A$6:$A$105,0)))</x:f>
      </x:c>
      <x:c r="D153" s="75" t="str">
        <x:f>IF(B153="","",INDEX('Company Universe'!$C$6:$C$105,MATCH(B153,'Company Universe'!$A$6:$A$105,0)))</x:f>
      </x:c>
      <x:c r="E153" s="206" t="n"/>
      <x:c r="F153" s="71" t="n"/>
      <x:c r="G153" s="71" t="n"/>
      <x:c r="H153" s="71" t="n"/>
      <x:c r="I153" s="71" t="n"/>
      <x:c r="J153" s="206" t="n"/>
      <x:c r="K153" s="71" t="n"/>
      <x:c r="L153" s="71" t="n"/>
      <x:c r="M153" s="206" t="n"/>
      <x:c r="N153" s="71" t="inlineStr">
        <x:is>
          <x:t xml:space="preserve">OPEN</x:t>
        </x:is>
      </x:c>
      <x:c r="O153" s="71" t="n"/>
      <x:c r="P153" s="71" t="n"/>
    </x:row>
    <x:row r="154">
      <x:c r="A154" s="57" t="inlineStr">
        <x:is>
          <x:t xml:space="preserve">MP-149</x:t>
        </x:is>
      </x:c>
      <x:c r="B154" s="71" t="n"/>
      <x:c r="C154" s="75" t="str">
        <x:f>IF(B154="","",INDEX('Company Universe'!$B$6:$B$105,MATCH(B154,'Company Universe'!$A$6:$A$105,0)))</x:f>
      </x:c>
      <x:c r="D154" s="75" t="str">
        <x:f>IF(B154="","",INDEX('Company Universe'!$C$6:$C$105,MATCH(B154,'Company Universe'!$A$6:$A$105,0)))</x:f>
      </x:c>
      <x:c r="E154" s="206" t="n"/>
      <x:c r="F154" s="71" t="n"/>
      <x:c r="G154" s="71" t="n"/>
      <x:c r="H154" s="71" t="n"/>
      <x:c r="I154" s="71" t="n"/>
      <x:c r="J154" s="206" t="n"/>
      <x:c r="K154" s="71" t="n"/>
      <x:c r="L154" s="71" t="n"/>
      <x:c r="M154" s="206" t="n"/>
      <x:c r="N154" s="71" t="inlineStr">
        <x:is>
          <x:t xml:space="preserve">OPEN</x:t>
        </x:is>
      </x:c>
      <x:c r="O154" s="71" t="n"/>
      <x:c r="P154" s="71" t="n"/>
    </x:row>
    <x:row r="155">
      <x:c r="A155" s="57" t="inlineStr">
        <x:is>
          <x:t xml:space="preserve">MP-150</x:t>
        </x:is>
      </x:c>
      <x:c r="B155" s="71" t="n"/>
      <x:c r="C155" s="75" t="str">
        <x:f>IF(B155="","",INDEX('Company Universe'!$B$6:$B$105,MATCH(B155,'Company Universe'!$A$6:$A$105,0)))</x:f>
      </x:c>
      <x:c r="D155" s="75" t="str">
        <x:f>IF(B155="","",INDEX('Company Universe'!$C$6:$C$105,MATCH(B155,'Company Universe'!$A$6:$A$105,0)))</x:f>
      </x:c>
      <x:c r="E155" s="206" t="n"/>
      <x:c r="F155" s="71" t="n"/>
      <x:c r="G155" s="71" t="n"/>
      <x:c r="H155" s="71" t="n"/>
      <x:c r="I155" s="71" t="n"/>
      <x:c r="J155" s="206" t="n"/>
      <x:c r="K155" s="71" t="n"/>
      <x:c r="L155" s="71" t="n"/>
      <x:c r="M155" s="206" t="n"/>
      <x:c r="N155" s="71" t="inlineStr">
        <x:is>
          <x:t xml:space="preserve">OPEN</x:t>
        </x:is>
      </x:c>
      <x:c r="O155" s="71" t="n"/>
      <x:c r="P155" s="71" t="n"/>
    </x:row>
    <x:row r="156">
      <x:c r="A156" s="57" t="inlineStr">
        <x:is>
          <x:t xml:space="preserve">MP-151</x:t>
        </x:is>
      </x:c>
      <x:c r="B156" s="71" t="n"/>
      <x:c r="C156" s="75" t="str">
        <x:f>IF(B156="","",INDEX('Company Universe'!$B$6:$B$105,MATCH(B156,'Company Universe'!$A$6:$A$105,0)))</x:f>
      </x:c>
      <x:c r="D156" s="75" t="str">
        <x:f>IF(B156="","",INDEX('Company Universe'!$C$6:$C$105,MATCH(B156,'Company Universe'!$A$6:$A$105,0)))</x:f>
      </x:c>
      <x:c r="E156" s="206" t="n"/>
      <x:c r="F156" s="71" t="n"/>
      <x:c r="G156" s="71" t="n"/>
      <x:c r="H156" s="71" t="n"/>
      <x:c r="I156" s="71" t="n"/>
      <x:c r="J156" s="206" t="n"/>
      <x:c r="K156" s="71" t="n"/>
      <x:c r="L156" s="71" t="n"/>
      <x:c r="M156" s="206" t="n"/>
      <x:c r="N156" s="71" t="inlineStr">
        <x:is>
          <x:t xml:space="preserve">OPEN</x:t>
        </x:is>
      </x:c>
      <x:c r="O156" s="71" t="n"/>
      <x:c r="P156" s="71" t="n"/>
    </x:row>
    <x:row r="157">
      <x:c r="A157" s="57" t="inlineStr">
        <x:is>
          <x:t xml:space="preserve">MP-152</x:t>
        </x:is>
      </x:c>
      <x:c r="B157" s="71" t="n"/>
      <x:c r="C157" s="75" t="str">
        <x:f>IF(B157="","",INDEX('Company Universe'!$B$6:$B$105,MATCH(B157,'Company Universe'!$A$6:$A$105,0)))</x:f>
      </x:c>
      <x:c r="D157" s="75" t="str">
        <x:f>IF(B157="","",INDEX('Company Universe'!$C$6:$C$105,MATCH(B157,'Company Universe'!$A$6:$A$105,0)))</x:f>
      </x:c>
      <x:c r="E157" s="206" t="n"/>
      <x:c r="F157" s="71" t="n"/>
      <x:c r="G157" s="71" t="n"/>
      <x:c r="H157" s="71" t="n"/>
      <x:c r="I157" s="71" t="n"/>
      <x:c r="J157" s="206" t="n"/>
      <x:c r="K157" s="71" t="n"/>
      <x:c r="L157" s="71" t="n"/>
      <x:c r="M157" s="206" t="n"/>
      <x:c r="N157" s="71" t="inlineStr">
        <x:is>
          <x:t xml:space="preserve">OPEN</x:t>
        </x:is>
      </x:c>
      <x:c r="O157" s="71" t="n"/>
      <x:c r="P157" s="71" t="n"/>
    </x:row>
    <x:row r="158">
      <x:c r="A158" s="57" t="inlineStr">
        <x:is>
          <x:t xml:space="preserve">MP-153</x:t>
        </x:is>
      </x:c>
      <x:c r="B158" s="71" t="n"/>
      <x:c r="C158" s="75" t="str">
        <x:f>IF(B158="","",INDEX('Company Universe'!$B$6:$B$105,MATCH(B158,'Company Universe'!$A$6:$A$105,0)))</x:f>
      </x:c>
      <x:c r="D158" s="75" t="str">
        <x:f>IF(B158="","",INDEX('Company Universe'!$C$6:$C$105,MATCH(B158,'Company Universe'!$A$6:$A$105,0)))</x:f>
      </x:c>
      <x:c r="E158" s="206" t="n"/>
      <x:c r="F158" s="71" t="n"/>
      <x:c r="G158" s="71" t="n"/>
      <x:c r="H158" s="71" t="n"/>
      <x:c r="I158" s="71" t="n"/>
      <x:c r="J158" s="206" t="n"/>
      <x:c r="K158" s="71" t="n"/>
      <x:c r="L158" s="71" t="n"/>
      <x:c r="M158" s="206" t="n"/>
      <x:c r="N158" s="71" t="inlineStr">
        <x:is>
          <x:t xml:space="preserve">OPEN</x:t>
        </x:is>
      </x:c>
      <x:c r="O158" s="71" t="n"/>
      <x:c r="P158" s="71" t="n"/>
    </x:row>
    <x:row r="159">
      <x:c r="A159" s="57" t="inlineStr">
        <x:is>
          <x:t xml:space="preserve">MP-154</x:t>
        </x:is>
      </x:c>
      <x:c r="B159" s="71" t="n"/>
      <x:c r="C159" s="75" t="str">
        <x:f>IF(B159="","",INDEX('Company Universe'!$B$6:$B$105,MATCH(B159,'Company Universe'!$A$6:$A$105,0)))</x:f>
      </x:c>
      <x:c r="D159" s="75" t="str">
        <x:f>IF(B159="","",INDEX('Company Universe'!$C$6:$C$105,MATCH(B159,'Company Universe'!$A$6:$A$105,0)))</x:f>
      </x:c>
      <x:c r="E159" s="206" t="n"/>
      <x:c r="F159" s="71" t="n"/>
      <x:c r="G159" s="71" t="n"/>
      <x:c r="H159" s="71" t="n"/>
      <x:c r="I159" s="71" t="n"/>
      <x:c r="J159" s="206" t="n"/>
      <x:c r="K159" s="71" t="n"/>
      <x:c r="L159" s="71" t="n"/>
      <x:c r="M159" s="206" t="n"/>
      <x:c r="N159" s="71" t="inlineStr">
        <x:is>
          <x:t xml:space="preserve">OPEN</x:t>
        </x:is>
      </x:c>
      <x:c r="O159" s="71" t="n"/>
      <x:c r="P159" s="71" t="n"/>
    </x:row>
    <x:row r="160">
      <x:c r="A160" s="57" t="inlineStr">
        <x:is>
          <x:t xml:space="preserve">MP-155</x:t>
        </x:is>
      </x:c>
      <x:c r="B160" s="71" t="n"/>
      <x:c r="C160" s="75" t="str">
        <x:f>IF(B160="","",INDEX('Company Universe'!$B$6:$B$105,MATCH(B160,'Company Universe'!$A$6:$A$105,0)))</x:f>
      </x:c>
      <x:c r="D160" s="75" t="str">
        <x:f>IF(B160="","",INDEX('Company Universe'!$C$6:$C$105,MATCH(B160,'Company Universe'!$A$6:$A$105,0)))</x:f>
      </x:c>
      <x:c r="E160" s="206" t="n"/>
      <x:c r="F160" s="71" t="n"/>
      <x:c r="G160" s="71" t="n"/>
      <x:c r="H160" s="71" t="n"/>
      <x:c r="I160" s="71" t="n"/>
      <x:c r="J160" s="206" t="n"/>
      <x:c r="K160" s="71" t="n"/>
      <x:c r="L160" s="71" t="n"/>
      <x:c r="M160" s="206" t="n"/>
      <x:c r="N160" s="71" t="inlineStr">
        <x:is>
          <x:t xml:space="preserve">OPEN</x:t>
        </x:is>
      </x:c>
      <x:c r="O160" s="71" t="n"/>
      <x:c r="P160" s="71" t="n"/>
    </x:row>
    <x:row r="161">
      <x:c r="A161" s="57" t="inlineStr">
        <x:is>
          <x:t xml:space="preserve">MP-156</x:t>
        </x:is>
      </x:c>
      <x:c r="B161" s="71" t="n"/>
      <x:c r="C161" s="75" t="str">
        <x:f>IF(B161="","",INDEX('Company Universe'!$B$6:$B$105,MATCH(B161,'Company Universe'!$A$6:$A$105,0)))</x:f>
      </x:c>
      <x:c r="D161" s="75" t="str">
        <x:f>IF(B161="","",INDEX('Company Universe'!$C$6:$C$105,MATCH(B161,'Company Universe'!$A$6:$A$105,0)))</x:f>
      </x:c>
      <x:c r="E161" s="206" t="n"/>
      <x:c r="F161" s="71" t="n"/>
      <x:c r="G161" s="71" t="n"/>
      <x:c r="H161" s="71" t="n"/>
      <x:c r="I161" s="71" t="n"/>
      <x:c r="J161" s="206" t="n"/>
      <x:c r="K161" s="71" t="n"/>
      <x:c r="L161" s="71" t="n"/>
      <x:c r="M161" s="206" t="n"/>
      <x:c r="N161" s="71" t="inlineStr">
        <x:is>
          <x:t xml:space="preserve">OPEN</x:t>
        </x:is>
      </x:c>
      <x:c r="O161" s="71" t="n"/>
      <x:c r="P161" s="71" t="n"/>
    </x:row>
    <x:row r="162">
      <x:c r="A162" s="57" t="inlineStr">
        <x:is>
          <x:t xml:space="preserve">MP-157</x:t>
        </x:is>
      </x:c>
      <x:c r="B162" s="71" t="n"/>
      <x:c r="C162" s="75" t="str">
        <x:f>IF(B162="","",INDEX('Company Universe'!$B$6:$B$105,MATCH(B162,'Company Universe'!$A$6:$A$105,0)))</x:f>
      </x:c>
      <x:c r="D162" s="75" t="str">
        <x:f>IF(B162="","",INDEX('Company Universe'!$C$6:$C$105,MATCH(B162,'Company Universe'!$A$6:$A$105,0)))</x:f>
      </x:c>
      <x:c r="E162" s="206" t="n"/>
      <x:c r="F162" s="71" t="n"/>
      <x:c r="G162" s="71" t="n"/>
      <x:c r="H162" s="71" t="n"/>
      <x:c r="I162" s="71" t="n"/>
      <x:c r="J162" s="206" t="n"/>
      <x:c r="K162" s="71" t="n"/>
      <x:c r="L162" s="71" t="n"/>
      <x:c r="M162" s="206" t="n"/>
      <x:c r="N162" s="71" t="inlineStr">
        <x:is>
          <x:t xml:space="preserve">OPEN</x:t>
        </x:is>
      </x:c>
      <x:c r="O162" s="71" t="n"/>
      <x:c r="P162" s="71" t="n"/>
    </x:row>
    <x:row r="163">
      <x:c r="A163" s="57" t="inlineStr">
        <x:is>
          <x:t xml:space="preserve">MP-158</x:t>
        </x:is>
      </x:c>
      <x:c r="B163" s="71" t="n"/>
      <x:c r="C163" s="75" t="str">
        <x:f>IF(B163="","",INDEX('Company Universe'!$B$6:$B$105,MATCH(B163,'Company Universe'!$A$6:$A$105,0)))</x:f>
      </x:c>
      <x:c r="D163" s="75" t="str">
        <x:f>IF(B163="","",INDEX('Company Universe'!$C$6:$C$105,MATCH(B163,'Company Universe'!$A$6:$A$105,0)))</x:f>
      </x:c>
      <x:c r="E163" s="206" t="n"/>
      <x:c r="F163" s="71" t="n"/>
      <x:c r="G163" s="71" t="n"/>
      <x:c r="H163" s="71" t="n"/>
      <x:c r="I163" s="71" t="n"/>
      <x:c r="J163" s="206" t="n"/>
      <x:c r="K163" s="71" t="n"/>
      <x:c r="L163" s="71" t="n"/>
      <x:c r="M163" s="206" t="n"/>
      <x:c r="N163" s="71" t="inlineStr">
        <x:is>
          <x:t xml:space="preserve">OPEN</x:t>
        </x:is>
      </x:c>
      <x:c r="O163" s="71" t="n"/>
      <x:c r="P163" s="71" t="n"/>
    </x:row>
    <x:row r="164">
      <x:c r="A164" s="57" t="inlineStr">
        <x:is>
          <x:t xml:space="preserve">MP-159</x:t>
        </x:is>
      </x:c>
      <x:c r="B164" s="71" t="n"/>
      <x:c r="C164" s="75" t="str">
        <x:f>IF(B164="","",INDEX('Company Universe'!$B$6:$B$105,MATCH(B164,'Company Universe'!$A$6:$A$105,0)))</x:f>
      </x:c>
      <x:c r="D164" s="75" t="str">
        <x:f>IF(B164="","",INDEX('Company Universe'!$C$6:$C$105,MATCH(B164,'Company Universe'!$A$6:$A$105,0)))</x:f>
      </x:c>
      <x:c r="E164" s="206" t="n"/>
      <x:c r="F164" s="71" t="n"/>
      <x:c r="G164" s="71" t="n"/>
      <x:c r="H164" s="71" t="n"/>
      <x:c r="I164" s="71" t="n"/>
      <x:c r="J164" s="206" t="n"/>
      <x:c r="K164" s="71" t="n"/>
      <x:c r="L164" s="71" t="n"/>
      <x:c r="M164" s="206" t="n"/>
      <x:c r="N164" s="71" t="inlineStr">
        <x:is>
          <x:t xml:space="preserve">OPEN</x:t>
        </x:is>
      </x:c>
      <x:c r="O164" s="71" t="n"/>
      <x:c r="P164" s="71" t="n"/>
    </x:row>
    <x:row r="165">
      <x:c r="A165" s="57" t="inlineStr">
        <x:is>
          <x:t xml:space="preserve">MP-160</x:t>
        </x:is>
      </x:c>
      <x:c r="B165" s="71" t="n"/>
      <x:c r="C165" s="75" t="str">
        <x:f>IF(B165="","",INDEX('Company Universe'!$B$6:$B$105,MATCH(B165,'Company Universe'!$A$6:$A$105,0)))</x:f>
      </x:c>
      <x:c r="D165" s="75" t="str">
        <x:f>IF(B165="","",INDEX('Company Universe'!$C$6:$C$105,MATCH(B165,'Company Universe'!$A$6:$A$105,0)))</x:f>
      </x:c>
      <x:c r="E165" s="206" t="n"/>
      <x:c r="F165" s="71" t="n"/>
      <x:c r="G165" s="71" t="n"/>
      <x:c r="H165" s="71" t="n"/>
      <x:c r="I165" s="71" t="n"/>
      <x:c r="J165" s="206" t="n"/>
      <x:c r="K165" s="71" t="n"/>
      <x:c r="L165" s="71" t="n"/>
      <x:c r="M165" s="206" t="n"/>
      <x:c r="N165" s="71" t="inlineStr">
        <x:is>
          <x:t xml:space="preserve">OPEN</x:t>
        </x:is>
      </x:c>
      <x:c r="O165" s="71" t="n"/>
      <x:c r="P165" s="71" t="n"/>
    </x:row>
    <x:row r="166">
      <x:c r="A166" s="57" t="inlineStr">
        <x:is>
          <x:t xml:space="preserve">MP-161</x:t>
        </x:is>
      </x:c>
      <x:c r="B166" s="71" t="n"/>
      <x:c r="C166" s="75" t="str">
        <x:f>IF(B166="","",INDEX('Company Universe'!$B$6:$B$105,MATCH(B166,'Company Universe'!$A$6:$A$105,0)))</x:f>
      </x:c>
      <x:c r="D166" s="75" t="str">
        <x:f>IF(B166="","",INDEX('Company Universe'!$C$6:$C$105,MATCH(B166,'Company Universe'!$A$6:$A$105,0)))</x:f>
      </x:c>
      <x:c r="E166" s="206" t="n"/>
      <x:c r="F166" s="71" t="n"/>
      <x:c r="G166" s="71" t="n"/>
      <x:c r="H166" s="71" t="n"/>
      <x:c r="I166" s="71" t="n"/>
      <x:c r="J166" s="206" t="n"/>
      <x:c r="K166" s="71" t="n"/>
      <x:c r="L166" s="71" t="n"/>
      <x:c r="M166" s="206" t="n"/>
      <x:c r="N166" s="71" t="inlineStr">
        <x:is>
          <x:t xml:space="preserve">OPEN</x:t>
        </x:is>
      </x:c>
      <x:c r="O166" s="71" t="n"/>
      <x:c r="P166" s="71" t="n"/>
    </x:row>
    <x:row r="167">
      <x:c r="A167" s="57" t="inlineStr">
        <x:is>
          <x:t xml:space="preserve">MP-162</x:t>
        </x:is>
      </x:c>
      <x:c r="B167" s="71" t="n"/>
      <x:c r="C167" s="75" t="str">
        <x:f>IF(B167="","",INDEX('Company Universe'!$B$6:$B$105,MATCH(B167,'Company Universe'!$A$6:$A$105,0)))</x:f>
      </x:c>
      <x:c r="D167" s="75" t="str">
        <x:f>IF(B167="","",INDEX('Company Universe'!$C$6:$C$105,MATCH(B167,'Company Universe'!$A$6:$A$105,0)))</x:f>
      </x:c>
      <x:c r="E167" s="206" t="n"/>
      <x:c r="F167" s="71" t="n"/>
      <x:c r="G167" s="71" t="n"/>
      <x:c r="H167" s="71" t="n"/>
      <x:c r="I167" s="71" t="n"/>
      <x:c r="J167" s="206" t="n"/>
      <x:c r="K167" s="71" t="n"/>
      <x:c r="L167" s="71" t="n"/>
      <x:c r="M167" s="206" t="n"/>
      <x:c r="N167" s="71" t="inlineStr">
        <x:is>
          <x:t xml:space="preserve">OPEN</x:t>
        </x:is>
      </x:c>
      <x:c r="O167" s="71" t="n"/>
      <x:c r="P167" s="71" t="n"/>
    </x:row>
    <x:row r="168">
      <x:c r="A168" s="57" t="inlineStr">
        <x:is>
          <x:t xml:space="preserve">MP-163</x:t>
        </x:is>
      </x:c>
      <x:c r="B168" s="71" t="n"/>
      <x:c r="C168" s="75" t="str">
        <x:f>IF(B168="","",INDEX('Company Universe'!$B$6:$B$105,MATCH(B168,'Company Universe'!$A$6:$A$105,0)))</x:f>
      </x:c>
      <x:c r="D168" s="75" t="str">
        <x:f>IF(B168="","",INDEX('Company Universe'!$C$6:$C$105,MATCH(B168,'Company Universe'!$A$6:$A$105,0)))</x:f>
      </x:c>
      <x:c r="E168" s="206" t="n"/>
      <x:c r="F168" s="71" t="n"/>
      <x:c r="G168" s="71" t="n"/>
      <x:c r="H168" s="71" t="n"/>
      <x:c r="I168" s="71" t="n"/>
      <x:c r="J168" s="206" t="n"/>
      <x:c r="K168" s="71" t="n"/>
      <x:c r="L168" s="71" t="n"/>
      <x:c r="M168" s="206" t="n"/>
      <x:c r="N168" s="71" t="inlineStr">
        <x:is>
          <x:t xml:space="preserve">OPEN</x:t>
        </x:is>
      </x:c>
      <x:c r="O168" s="71" t="n"/>
      <x:c r="P168" s="71" t="n"/>
    </x:row>
    <x:row r="169">
      <x:c r="A169" s="57" t="inlineStr">
        <x:is>
          <x:t xml:space="preserve">MP-164</x:t>
        </x:is>
      </x:c>
      <x:c r="B169" s="71" t="n"/>
      <x:c r="C169" s="75" t="str">
        <x:f>IF(B169="","",INDEX('Company Universe'!$B$6:$B$105,MATCH(B169,'Company Universe'!$A$6:$A$105,0)))</x:f>
      </x:c>
      <x:c r="D169" s="75" t="str">
        <x:f>IF(B169="","",INDEX('Company Universe'!$C$6:$C$105,MATCH(B169,'Company Universe'!$A$6:$A$105,0)))</x:f>
      </x:c>
      <x:c r="E169" s="206" t="n"/>
      <x:c r="F169" s="71" t="n"/>
      <x:c r="G169" s="71" t="n"/>
      <x:c r="H169" s="71" t="n"/>
      <x:c r="I169" s="71" t="n"/>
      <x:c r="J169" s="206" t="n"/>
      <x:c r="K169" s="71" t="n"/>
      <x:c r="L169" s="71" t="n"/>
      <x:c r="M169" s="206" t="n"/>
      <x:c r="N169" s="71" t="inlineStr">
        <x:is>
          <x:t xml:space="preserve">OPEN</x:t>
        </x:is>
      </x:c>
      <x:c r="O169" s="71" t="n"/>
      <x:c r="P169" s="71" t="n"/>
    </x:row>
    <x:row r="170">
      <x:c r="A170" s="57" t="inlineStr">
        <x:is>
          <x:t xml:space="preserve">MP-165</x:t>
        </x:is>
      </x:c>
      <x:c r="B170" s="71" t="n"/>
      <x:c r="C170" s="75" t="str">
        <x:f>IF(B170="","",INDEX('Company Universe'!$B$6:$B$105,MATCH(B170,'Company Universe'!$A$6:$A$105,0)))</x:f>
      </x:c>
      <x:c r="D170" s="75" t="str">
        <x:f>IF(B170="","",INDEX('Company Universe'!$C$6:$C$105,MATCH(B170,'Company Universe'!$A$6:$A$105,0)))</x:f>
      </x:c>
      <x:c r="E170" s="206" t="n"/>
      <x:c r="F170" s="71" t="n"/>
      <x:c r="G170" s="71" t="n"/>
      <x:c r="H170" s="71" t="n"/>
      <x:c r="I170" s="71" t="n"/>
      <x:c r="J170" s="206" t="n"/>
      <x:c r="K170" s="71" t="n"/>
      <x:c r="L170" s="71" t="n"/>
      <x:c r="M170" s="206" t="n"/>
      <x:c r="N170" s="71" t="inlineStr">
        <x:is>
          <x:t xml:space="preserve">OPEN</x:t>
        </x:is>
      </x:c>
      <x:c r="O170" s="71" t="n"/>
      <x:c r="P170" s="71" t="n"/>
    </x:row>
    <x:row r="171">
      <x:c r="A171" s="57" t="inlineStr">
        <x:is>
          <x:t xml:space="preserve">MP-166</x:t>
        </x:is>
      </x:c>
      <x:c r="B171" s="71" t="n"/>
      <x:c r="C171" s="75" t="str">
        <x:f>IF(B171="","",INDEX('Company Universe'!$B$6:$B$105,MATCH(B171,'Company Universe'!$A$6:$A$105,0)))</x:f>
      </x:c>
      <x:c r="D171" s="75" t="str">
        <x:f>IF(B171="","",INDEX('Company Universe'!$C$6:$C$105,MATCH(B171,'Company Universe'!$A$6:$A$105,0)))</x:f>
      </x:c>
      <x:c r="E171" s="206" t="n"/>
      <x:c r="F171" s="71" t="n"/>
      <x:c r="G171" s="71" t="n"/>
      <x:c r="H171" s="71" t="n"/>
      <x:c r="I171" s="71" t="n"/>
      <x:c r="J171" s="206" t="n"/>
      <x:c r="K171" s="71" t="n"/>
      <x:c r="L171" s="71" t="n"/>
      <x:c r="M171" s="206" t="n"/>
      <x:c r="N171" s="71" t="inlineStr">
        <x:is>
          <x:t xml:space="preserve">OPEN</x:t>
        </x:is>
      </x:c>
      <x:c r="O171" s="71" t="n"/>
      <x:c r="P171" s="71" t="n"/>
    </x:row>
    <x:row r="172">
      <x:c r="A172" s="57" t="inlineStr">
        <x:is>
          <x:t xml:space="preserve">MP-167</x:t>
        </x:is>
      </x:c>
      <x:c r="B172" s="71" t="n"/>
      <x:c r="C172" s="75" t="str">
        <x:f>IF(B172="","",INDEX('Company Universe'!$B$6:$B$105,MATCH(B172,'Company Universe'!$A$6:$A$105,0)))</x:f>
      </x:c>
      <x:c r="D172" s="75" t="str">
        <x:f>IF(B172="","",INDEX('Company Universe'!$C$6:$C$105,MATCH(B172,'Company Universe'!$A$6:$A$105,0)))</x:f>
      </x:c>
      <x:c r="E172" s="206" t="n"/>
      <x:c r="F172" s="71" t="n"/>
      <x:c r="G172" s="71" t="n"/>
      <x:c r="H172" s="71" t="n"/>
      <x:c r="I172" s="71" t="n"/>
      <x:c r="J172" s="206" t="n"/>
      <x:c r="K172" s="71" t="n"/>
      <x:c r="L172" s="71" t="n"/>
      <x:c r="M172" s="206" t="n"/>
      <x:c r="N172" s="71" t="inlineStr">
        <x:is>
          <x:t xml:space="preserve">OPEN</x:t>
        </x:is>
      </x:c>
      <x:c r="O172" s="71" t="n"/>
      <x:c r="P172" s="71" t="n"/>
    </x:row>
    <x:row r="173">
      <x:c r="A173" s="57" t="inlineStr">
        <x:is>
          <x:t xml:space="preserve">MP-168</x:t>
        </x:is>
      </x:c>
      <x:c r="B173" s="71" t="n"/>
      <x:c r="C173" s="75" t="str">
        <x:f>IF(B173="","",INDEX('Company Universe'!$B$6:$B$105,MATCH(B173,'Company Universe'!$A$6:$A$105,0)))</x:f>
      </x:c>
      <x:c r="D173" s="75" t="str">
        <x:f>IF(B173="","",INDEX('Company Universe'!$C$6:$C$105,MATCH(B173,'Company Universe'!$A$6:$A$105,0)))</x:f>
      </x:c>
      <x:c r="E173" s="206" t="n"/>
      <x:c r="F173" s="71" t="n"/>
      <x:c r="G173" s="71" t="n"/>
      <x:c r="H173" s="71" t="n"/>
      <x:c r="I173" s="71" t="n"/>
      <x:c r="J173" s="206" t="n"/>
      <x:c r="K173" s="71" t="n"/>
      <x:c r="L173" s="71" t="n"/>
      <x:c r="M173" s="206" t="n"/>
      <x:c r="N173" s="71" t="inlineStr">
        <x:is>
          <x:t xml:space="preserve">OPEN</x:t>
        </x:is>
      </x:c>
      <x:c r="O173" s="71" t="n"/>
      <x:c r="P173" s="71" t="n"/>
    </x:row>
    <x:row r="174">
      <x:c r="A174" s="57" t="inlineStr">
        <x:is>
          <x:t xml:space="preserve">MP-169</x:t>
        </x:is>
      </x:c>
      <x:c r="B174" s="71" t="n"/>
      <x:c r="C174" s="75" t="str">
        <x:f>IF(B174="","",INDEX('Company Universe'!$B$6:$B$105,MATCH(B174,'Company Universe'!$A$6:$A$105,0)))</x:f>
      </x:c>
      <x:c r="D174" s="75" t="str">
        <x:f>IF(B174="","",INDEX('Company Universe'!$C$6:$C$105,MATCH(B174,'Company Universe'!$A$6:$A$105,0)))</x:f>
      </x:c>
      <x:c r="E174" s="206" t="n"/>
      <x:c r="F174" s="71" t="n"/>
      <x:c r="G174" s="71" t="n"/>
      <x:c r="H174" s="71" t="n"/>
      <x:c r="I174" s="71" t="n"/>
      <x:c r="J174" s="206" t="n"/>
      <x:c r="K174" s="71" t="n"/>
      <x:c r="L174" s="71" t="n"/>
      <x:c r="M174" s="206" t="n"/>
      <x:c r="N174" s="71" t="inlineStr">
        <x:is>
          <x:t xml:space="preserve">OPEN</x:t>
        </x:is>
      </x:c>
      <x:c r="O174" s="71" t="n"/>
      <x:c r="P174" s="71" t="n"/>
    </x:row>
    <x:row r="175">
      <x:c r="A175" s="57" t="inlineStr">
        <x:is>
          <x:t xml:space="preserve">MP-170</x:t>
        </x:is>
      </x:c>
      <x:c r="B175" s="71" t="n"/>
      <x:c r="C175" s="75" t="str">
        <x:f>IF(B175="","",INDEX('Company Universe'!$B$6:$B$105,MATCH(B175,'Company Universe'!$A$6:$A$105,0)))</x:f>
      </x:c>
      <x:c r="D175" s="75" t="str">
        <x:f>IF(B175="","",INDEX('Company Universe'!$C$6:$C$105,MATCH(B175,'Company Universe'!$A$6:$A$105,0)))</x:f>
      </x:c>
      <x:c r="E175" s="206" t="n"/>
      <x:c r="F175" s="71" t="n"/>
      <x:c r="G175" s="71" t="n"/>
      <x:c r="H175" s="71" t="n"/>
      <x:c r="I175" s="71" t="n"/>
      <x:c r="J175" s="206" t="n"/>
      <x:c r="K175" s="71" t="n"/>
      <x:c r="L175" s="71" t="n"/>
      <x:c r="M175" s="206" t="n"/>
      <x:c r="N175" s="71" t="inlineStr">
        <x:is>
          <x:t xml:space="preserve">OPEN</x:t>
        </x:is>
      </x:c>
      <x:c r="O175" s="71" t="n"/>
      <x:c r="P175" s="71" t="n"/>
    </x:row>
    <x:row r="176">
      <x:c r="A176" s="57" t="inlineStr">
        <x:is>
          <x:t xml:space="preserve">MP-171</x:t>
        </x:is>
      </x:c>
      <x:c r="B176" s="71" t="n"/>
      <x:c r="C176" s="75" t="str">
        <x:f>IF(B176="","",INDEX('Company Universe'!$B$6:$B$105,MATCH(B176,'Company Universe'!$A$6:$A$105,0)))</x:f>
      </x:c>
      <x:c r="D176" s="75" t="str">
        <x:f>IF(B176="","",INDEX('Company Universe'!$C$6:$C$105,MATCH(B176,'Company Universe'!$A$6:$A$105,0)))</x:f>
      </x:c>
      <x:c r="E176" s="206" t="n"/>
      <x:c r="F176" s="71" t="n"/>
      <x:c r="G176" s="71" t="n"/>
      <x:c r="H176" s="71" t="n"/>
      <x:c r="I176" s="71" t="n"/>
      <x:c r="J176" s="206" t="n"/>
      <x:c r="K176" s="71" t="n"/>
      <x:c r="L176" s="71" t="n"/>
      <x:c r="M176" s="206" t="n"/>
      <x:c r="N176" s="71" t="inlineStr">
        <x:is>
          <x:t xml:space="preserve">OPEN</x:t>
        </x:is>
      </x:c>
      <x:c r="O176" s="71" t="n"/>
      <x:c r="P176" s="71" t="n"/>
    </x:row>
    <x:row r="177">
      <x:c r="A177" s="57" t="inlineStr">
        <x:is>
          <x:t xml:space="preserve">MP-172</x:t>
        </x:is>
      </x:c>
      <x:c r="B177" s="71" t="n"/>
      <x:c r="C177" s="75" t="str">
        <x:f>IF(B177="","",INDEX('Company Universe'!$B$6:$B$105,MATCH(B177,'Company Universe'!$A$6:$A$105,0)))</x:f>
      </x:c>
      <x:c r="D177" s="75" t="str">
        <x:f>IF(B177="","",INDEX('Company Universe'!$C$6:$C$105,MATCH(B177,'Company Universe'!$A$6:$A$105,0)))</x:f>
      </x:c>
      <x:c r="E177" s="206" t="n"/>
      <x:c r="F177" s="71" t="n"/>
      <x:c r="G177" s="71" t="n"/>
      <x:c r="H177" s="71" t="n"/>
      <x:c r="I177" s="71" t="n"/>
      <x:c r="J177" s="206" t="n"/>
      <x:c r="K177" s="71" t="n"/>
      <x:c r="L177" s="71" t="n"/>
      <x:c r="M177" s="206" t="n"/>
      <x:c r="N177" s="71" t="inlineStr">
        <x:is>
          <x:t xml:space="preserve">OPEN</x:t>
        </x:is>
      </x:c>
      <x:c r="O177" s="71" t="n"/>
      <x:c r="P177" s="71" t="n"/>
    </x:row>
    <x:row r="178">
      <x:c r="A178" s="57" t="inlineStr">
        <x:is>
          <x:t xml:space="preserve">MP-173</x:t>
        </x:is>
      </x:c>
      <x:c r="B178" s="71" t="n"/>
      <x:c r="C178" s="75" t="str">
        <x:f>IF(B178="","",INDEX('Company Universe'!$B$6:$B$105,MATCH(B178,'Company Universe'!$A$6:$A$105,0)))</x:f>
      </x:c>
      <x:c r="D178" s="75" t="str">
        <x:f>IF(B178="","",INDEX('Company Universe'!$C$6:$C$105,MATCH(B178,'Company Universe'!$A$6:$A$105,0)))</x:f>
      </x:c>
      <x:c r="E178" s="206" t="n"/>
      <x:c r="F178" s="71" t="n"/>
      <x:c r="G178" s="71" t="n"/>
      <x:c r="H178" s="71" t="n"/>
      <x:c r="I178" s="71" t="n"/>
      <x:c r="J178" s="206" t="n"/>
      <x:c r="K178" s="71" t="n"/>
      <x:c r="L178" s="71" t="n"/>
      <x:c r="M178" s="206" t="n"/>
      <x:c r="N178" s="71" t="inlineStr">
        <x:is>
          <x:t xml:space="preserve">OPEN</x:t>
        </x:is>
      </x:c>
      <x:c r="O178" s="71" t="n"/>
      <x:c r="P178" s="71" t="n"/>
    </x:row>
    <x:row r="179">
      <x:c r="A179" s="57" t="inlineStr">
        <x:is>
          <x:t xml:space="preserve">MP-174</x:t>
        </x:is>
      </x:c>
      <x:c r="B179" s="71" t="n"/>
      <x:c r="C179" s="75" t="str">
        <x:f>IF(B179="","",INDEX('Company Universe'!$B$6:$B$105,MATCH(B179,'Company Universe'!$A$6:$A$105,0)))</x:f>
      </x:c>
      <x:c r="D179" s="75" t="str">
        <x:f>IF(B179="","",INDEX('Company Universe'!$C$6:$C$105,MATCH(B179,'Company Universe'!$A$6:$A$105,0)))</x:f>
      </x:c>
      <x:c r="E179" s="206" t="n"/>
      <x:c r="F179" s="71" t="n"/>
      <x:c r="G179" s="71" t="n"/>
      <x:c r="H179" s="71" t="n"/>
      <x:c r="I179" s="71" t="n"/>
      <x:c r="J179" s="206" t="n"/>
      <x:c r="K179" s="71" t="n"/>
      <x:c r="L179" s="71" t="n"/>
      <x:c r="M179" s="206" t="n"/>
      <x:c r="N179" s="71" t="inlineStr">
        <x:is>
          <x:t xml:space="preserve">OPEN</x:t>
        </x:is>
      </x:c>
      <x:c r="O179" s="71" t="n"/>
      <x:c r="P179" s="71" t="n"/>
    </x:row>
    <x:row r="180">
      <x:c r="A180" s="57" t="inlineStr">
        <x:is>
          <x:t xml:space="preserve">MP-175</x:t>
        </x:is>
      </x:c>
      <x:c r="B180" s="71" t="n"/>
      <x:c r="C180" s="75" t="str">
        <x:f>IF(B180="","",INDEX('Company Universe'!$B$6:$B$105,MATCH(B180,'Company Universe'!$A$6:$A$105,0)))</x:f>
      </x:c>
      <x:c r="D180" s="75" t="str">
        <x:f>IF(B180="","",INDEX('Company Universe'!$C$6:$C$105,MATCH(B180,'Company Universe'!$A$6:$A$105,0)))</x:f>
      </x:c>
      <x:c r="E180" s="206" t="n"/>
      <x:c r="F180" s="71" t="n"/>
      <x:c r="G180" s="71" t="n"/>
      <x:c r="H180" s="71" t="n"/>
      <x:c r="I180" s="71" t="n"/>
      <x:c r="J180" s="206" t="n"/>
      <x:c r="K180" s="71" t="n"/>
      <x:c r="L180" s="71" t="n"/>
      <x:c r="M180" s="206" t="n"/>
      <x:c r="N180" s="71" t="inlineStr">
        <x:is>
          <x:t xml:space="preserve">OPEN</x:t>
        </x:is>
      </x:c>
      <x:c r="O180" s="71" t="n"/>
      <x:c r="P180" s="71" t="n"/>
    </x:row>
    <x:row r="181">
      <x:c r="A181" s="57" t="inlineStr">
        <x:is>
          <x:t xml:space="preserve">MP-176</x:t>
        </x:is>
      </x:c>
      <x:c r="B181" s="71" t="n"/>
      <x:c r="C181" s="75" t="str">
        <x:f>IF(B181="","",INDEX('Company Universe'!$B$6:$B$105,MATCH(B181,'Company Universe'!$A$6:$A$105,0)))</x:f>
      </x:c>
      <x:c r="D181" s="75" t="str">
        <x:f>IF(B181="","",INDEX('Company Universe'!$C$6:$C$105,MATCH(B181,'Company Universe'!$A$6:$A$105,0)))</x:f>
      </x:c>
      <x:c r="E181" s="206" t="n"/>
      <x:c r="F181" s="71" t="n"/>
      <x:c r="G181" s="71" t="n"/>
      <x:c r="H181" s="71" t="n"/>
      <x:c r="I181" s="71" t="n"/>
      <x:c r="J181" s="206" t="n"/>
      <x:c r="K181" s="71" t="n"/>
      <x:c r="L181" s="71" t="n"/>
      <x:c r="M181" s="206" t="n"/>
      <x:c r="N181" s="71" t="inlineStr">
        <x:is>
          <x:t xml:space="preserve">OPEN</x:t>
        </x:is>
      </x:c>
      <x:c r="O181" s="71" t="n"/>
      <x:c r="P181" s="71" t="n"/>
    </x:row>
    <x:row r="182">
      <x:c r="A182" s="57" t="inlineStr">
        <x:is>
          <x:t xml:space="preserve">MP-177</x:t>
        </x:is>
      </x:c>
      <x:c r="B182" s="71" t="n"/>
      <x:c r="C182" s="75" t="str">
        <x:f>IF(B182="","",INDEX('Company Universe'!$B$6:$B$105,MATCH(B182,'Company Universe'!$A$6:$A$105,0)))</x:f>
      </x:c>
      <x:c r="D182" s="75" t="str">
        <x:f>IF(B182="","",INDEX('Company Universe'!$C$6:$C$105,MATCH(B182,'Company Universe'!$A$6:$A$105,0)))</x:f>
      </x:c>
      <x:c r="E182" s="206" t="n"/>
      <x:c r="F182" s="71" t="n"/>
      <x:c r="G182" s="71" t="n"/>
      <x:c r="H182" s="71" t="n"/>
      <x:c r="I182" s="71" t="n"/>
      <x:c r="J182" s="206" t="n"/>
      <x:c r="K182" s="71" t="n"/>
      <x:c r="L182" s="71" t="n"/>
      <x:c r="M182" s="206" t="n"/>
      <x:c r="N182" s="71" t="inlineStr">
        <x:is>
          <x:t xml:space="preserve">OPEN</x:t>
        </x:is>
      </x:c>
      <x:c r="O182" s="71" t="n"/>
      <x:c r="P182" s="71" t="n"/>
    </x:row>
    <x:row r="183">
      <x:c r="A183" s="57" t="inlineStr">
        <x:is>
          <x:t xml:space="preserve">MP-178</x:t>
        </x:is>
      </x:c>
      <x:c r="B183" s="71" t="n"/>
      <x:c r="C183" s="75" t="str">
        <x:f>IF(B183="","",INDEX('Company Universe'!$B$6:$B$105,MATCH(B183,'Company Universe'!$A$6:$A$105,0)))</x:f>
      </x:c>
      <x:c r="D183" s="75" t="str">
        <x:f>IF(B183="","",INDEX('Company Universe'!$C$6:$C$105,MATCH(B183,'Company Universe'!$A$6:$A$105,0)))</x:f>
      </x:c>
      <x:c r="E183" s="206" t="n"/>
      <x:c r="F183" s="71" t="n"/>
      <x:c r="G183" s="71" t="n"/>
      <x:c r="H183" s="71" t="n"/>
      <x:c r="I183" s="71" t="n"/>
      <x:c r="J183" s="206" t="n"/>
      <x:c r="K183" s="71" t="n"/>
      <x:c r="L183" s="71" t="n"/>
      <x:c r="M183" s="206" t="n"/>
      <x:c r="N183" s="71" t="inlineStr">
        <x:is>
          <x:t xml:space="preserve">OPEN</x:t>
        </x:is>
      </x:c>
      <x:c r="O183" s="71" t="n"/>
      <x:c r="P183" s="71" t="n"/>
    </x:row>
    <x:row r="184">
      <x:c r="A184" s="57" t="inlineStr">
        <x:is>
          <x:t xml:space="preserve">MP-179</x:t>
        </x:is>
      </x:c>
      <x:c r="B184" s="71" t="n"/>
      <x:c r="C184" s="75" t="str">
        <x:f>IF(B184="","",INDEX('Company Universe'!$B$6:$B$105,MATCH(B184,'Company Universe'!$A$6:$A$105,0)))</x:f>
      </x:c>
      <x:c r="D184" s="75" t="str">
        <x:f>IF(B184="","",INDEX('Company Universe'!$C$6:$C$105,MATCH(B184,'Company Universe'!$A$6:$A$105,0)))</x:f>
      </x:c>
      <x:c r="E184" s="206" t="n"/>
      <x:c r="F184" s="71" t="n"/>
      <x:c r="G184" s="71" t="n"/>
      <x:c r="H184" s="71" t="n"/>
      <x:c r="I184" s="71" t="n"/>
      <x:c r="J184" s="206" t="n"/>
      <x:c r="K184" s="71" t="n"/>
      <x:c r="L184" s="71" t="n"/>
      <x:c r="M184" s="206" t="n"/>
      <x:c r="N184" s="71" t="inlineStr">
        <x:is>
          <x:t xml:space="preserve">OPEN</x:t>
        </x:is>
      </x:c>
      <x:c r="O184" s="71" t="n"/>
      <x:c r="P184" s="71" t="n"/>
    </x:row>
    <x:row r="185">
      <x:c r="A185" s="57" t="inlineStr">
        <x:is>
          <x:t xml:space="preserve">MP-180</x:t>
        </x:is>
      </x:c>
      <x:c r="B185" s="71" t="n"/>
      <x:c r="C185" s="75" t="str">
        <x:f>IF(B185="","",INDEX('Company Universe'!$B$6:$B$105,MATCH(B185,'Company Universe'!$A$6:$A$105,0)))</x:f>
      </x:c>
      <x:c r="D185" s="75" t="str">
        <x:f>IF(B185="","",INDEX('Company Universe'!$C$6:$C$105,MATCH(B185,'Company Universe'!$A$6:$A$105,0)))</x:f>
      </x:c>
      <x:c r="E185" s="206" t="n"/>
      <x:c r="F185" s="71" t="n"/>
      <x:c r="G185" s="71" t="n"/>
      <x:c r="H185" s="71" t="n"/>
      <x:c r="I185" s="71" t="n"/>
      <x:c r="J185" s="206" t="n"/>
      <x:c r="K185" s="71" t="n"/>
      <x:c r="L185" s="71" t="n"/>
      <x:c r="M185" s="206" t="n"/>
      <x:c r="N185" s="71" t="inlineStr">
        <x:is>
          <x:t xml:space="preserve">OPEN</x:t>
        </x:is>
      </x:c>
      <x:c r="O185" s="71" t="n"/>
      <x:c r="P185" s="71" t="n"/>
    </x:row>
    <x:row r="186">
      <x:c r="A186" s="57" t="inlineStr">
        <x:is>
          <x:t xml:space="preserve">MP-181</x:t>
        </x:is>
      </x:c>
      <x:c r="B186" s="71" t="n"/>
      <x:c r="C186" s="75" t="str">
        <x:f>IF(B186="","",INDEX('Company Universe'!$B$6:$B$105,MATCH(B186,'Company Universe'!$A$6:$A$105,0)))</x:f>
      </x:c>
      <x:c r="D186" s="75" t="str">
        <x:f>IF(B186="","",INDEX('Company Universe'!$C$6:$C$105,MATCH(B186,'Company Universe'!$A$6:$A$105,0)))</x:f>
      </x:c>
      <x:c r="E186" s="206" t="n"/>
      <x:c r="F186" s="71" t="n"/>
      <x:c r="G186" s="71" t="n"/>
      <x:c r="H186" s="71" t="n"/>
      <x:c r="I186" s="71" t="n"/>
      <x:c r="J186" s="206" t="n"/>
      <x:c r="K186" s="71" t="n"/>
      <x:c r="L186" s="71" t="n"/>
      <x:c r="M186" s="206" t="n"/>
      <x:c r="N186" s="71" t="inlineStr">
        <x:is>
          <x:t xml:space="preserve">OPEN</x:t>
        </x:is>
      </x:c>
      <x:c r="O186" s="71" t="n"/>
      <x:c r="P186" s="71" t="n"/>
    </x:row>
    <x:row r="187">
      <x:c r="A187" s="57" t="inlineStr">
        <x:is>
          <x:t xml:space="preserve">MP-182</x:t>
        </x:is>
      </x:c>
      <x:c r="B187" s="71" t="n"/>
      <x:c r="C187" s="75" t="str">
        <x:f>IF(B187="","",INDEX('Company Universe'!$B$6:$B$105,MATCH(B187,'Company Universe'!$A$6:$A$105,0)))</x:f>
      </x:c>
      <x:c r="D187" s="75" t="str">
        <x:f>IF(B187="","",INDEX('Company Universe'!$C$6:$C$105,MATCH(B187,'Company Universe'!$A$6:$A$105,0)))</x:f>
      </x:c>
      <x:c r="E187" s="206" t="n"/>
      <x:c r="F187" s="71" t="n"/>
      <x:c r="G187" s="71" t="n"/>
      <x:c r="H187" s="71" t="n"/>
      <x:c r="I187" s="71" t="n"/>
      <x:c r="J187" s="206" t="n"/>
      <x:c r="K187" s="71" t="n"/>
      <x:c r="L187" s="71" t="n"/>
      <x:c r="M187" s="206" t="n"/>
      <x:c r="N187" s="71" t="inlineStr">
        <x:is>
          <x:t xml:space="preserve">OPEN</x:t>
        </x:is>
      </x:c>
      <x:c r="O187" s="71" t="n"/>
      <x:c r="P187" s="71" t="n"/>
    </x:row>
    <x:row r="188">
      <x:c r="A188" s="57" t="inlineStr">
        <x:is>
          <x:t xml:space="preserve">MP-183</x:t>
        </x:is>
      </x:c>
      <x:c r="B188" s="71" t="n"/>
      <x:c r="C188" s="75" t="str">
        <x:f>IF(B188="","",INDEX('Company Universe'!$B$6:$B$105,MATCH(B188,'Company Universe'!$A$6:$A$105,0)))</x:f>
      </x:c>
      <x:c r="D188" s="75" t="str">
        <x:f>IF(B188="","",INDEX('Company Universe'!$C$6:$C$105,MATCH(B188,'Company Universe'!$A$6:$A$105,0)))</x:f>
      </x:c>
      <x:c r="E188" s="206" t="n"/>
      <x:c r="F188" s="71" t="n"/>
      <x:c r="G188" s="71" t="n"/>
      <x:c r="H188" s="71" t="n"/>
      <x:c r="I188" s="71" t="n"/>
      <x:c r="J188" s="206" t="n"/>
      <x:c r="K188" s="71" t="n"/>
      <x:c r="L188" s="71" t="n"/>
      <x:c r="M188" s="206" t="n"/>
      <x:c r="N188" s="71" t="inlineStr">
        <x:is>
          <x:t xml:space="preserve">OPEN</x:t>
        </x:is>
      </x:c>
      <x:c r="O188" s="71" t="n"/>
      <x:c r="P188" s="71" t="n"/>
    </x:row>
    <x:row r="189">
      <x:c r="A189" s="57" t="inlineStr">
        <x:is>
          <x:t xml:space="preserve">MP-184</x:t>
        </x:is>
      </x:c>
      <x:c r="B189" s="71" t="n"/>
      <x:c r="C189" s="75" t="str">
        <x:f>IF(B189="","",INDEX('Company Universe'!$B$6:$B$105,MATCH(B189,'Company Universe'!$A$6:$A$105,0)))</x:f>
      </x:c>
      <x:c r="D189" s="75" t="str">
        <x:f>IF(B189="","",INDEX('Company Universe'!$C$6:$C$105,MATCH(B189,'Company Universe'!$A$6:$A$105,0)))</x:f>
      </x:c>
      <x:c r="E189" s="206" t="n"/>
      <x:c r="F189" s="71" t="n"/>
      <x:c r="G189" s="71" t="n"/>
      <x:c r="H189" s="71" t="n"/>
      <x:c r="I189" s="71" t="n"/>
      <x:c r="J189" s="206" t="n"/>
      <x:c r="K189" s="71" t="n"/>
      <x:c r="L189" s="71" t="n"/>
      <x:c r="M189" s="206" t="n"/>
      <x:c r="N189" s="71" t="inlineStr">
        <x:is>
          <x:t xml:space="preserve">OPEN</x:t>
        </x:is>
      </x:c>
      <x:c r="O189" s="71" t="n"/>
      <x:c r="P189" s="71" t="n"/>
    </x:row>
    <x:row r="190">
      <x:c r="A190" s="57" t="inlineStr">
        <x:is>
          <x:t xml:space="preserve">MP-185</x:t>
        </x:is>
      </x:c>
      <x:c r="B190" s="71" t="n"/>
      <x:c r="C190" s="75" t="str">
        <x:f>IF(B190="","",INDEX('Company Universe'!$B$6:$B$105,MATCH(B190,'Company Universe'!$A$6:$A$105,0)))</x:f>
      </x:c>
      <x:c r="D190" s="75" t="str">
        <x:f>IF(B190="","",INDEX('Company Universe'!$C$6:$C$105,MATCH(B190,'Company Universe'!$A$6:$A$105,0)))</x:f>
      </x:c>
      <x:c r="E190" s="206" t="n"/>
      <x:c r="F190" s="71" t="n"/>
      <x:c r="G190" s="71" t="n"/>
      <x:c r="H190" s="71" t="n"/>
      <x:c r="I190" s="71" t="n"/>
      <x:c r="J190" s="206" t="n"/>
      <x:c r="K190" s="71" t="n"/>
      <x:c r="L190" s="71" t="n"/>
      <x:c r="M190" s="206" t="n"/>
      <x:c r="N190" s="71" t="inlineStr">
        <x:is>
          <x:t xml:space="preserve">OPEN</x:t>
        </x:is>
      </x:c>
      <x:c r="O190" s="71" t="n"/>
      <x:c r="P190" s="71" t="n"/>
    </x:row>
    <x:row r="191">
      <x:c r="A191" s="57" t="inlineStr">
        <x:is>
          <x:t xml:space="preserve">MP-186</x:t>
        </x:is>
      </x:c>
      <x:c r="B191" s="71" t="n"/>
      <x:c r="C191" s="75" t="str">
        <x:f>IF(B191="","",INDEX('Company Universe'!$B$6:$B$105,MATCH(B191,'Company Universe'!$A$6:$A$105,0)))</x:f>
      </x:c>
      <x:c r="D191" s="75" t="str">
        <x:f>IF(B191="","",INDEX('Company Universe'!$C$6:$C$105,MATCH(B191,'Company Universe'!$A$6:$A$105,0)))</x:f>
      </x:c>
      <x:c r="E191" s="206" t="n"/>
      <x:c r="F191" s="71" t="n"/>
      <x:c r="G191" s="71" t="n"/>
      <x:c r="H191" s="71" t="n"/>
      <x:c r="I191" s="71" t="n"/>
      <x:c r="J191" s="206" t="n"/>
      <x:c r="K191" s="71" t="n"/>
      <x:c r="L191" s="71" t="n"/>
      <x:c r="M191" s="206" t="n"/>
      <x:c r="N191" s="71" t="inlineStr">
        <x:is>
          <x:t xml:space="preserve">OPEN</x:t>
        </x:is>
      </x:c>
      <x:c r="O191" s="71" t="n"/>
      <x:c r="P191" s="71" t="n"/>
    </x:row>
    <x:row r="192">
      <x:c r="A192" s="57" t="inlineStr">
        <x:is>
          <x:t xml:space="preserve">MP-187</x:t>
        </x:is>
      </x:c>
      <x:c r="B192" s="71" t="n"/>
      <x:c r="C192" s="75" t="str">
        <x:f>IF(B192="","",INDEX('Company Universe'!$B$6:$B$105,MATCH(B192,'Company Universe'!$A$6:$A$105,0)))</x:f>
      </x:c>
      <x:c r="D192" s="75" t="str">
        <x:f>IF(B192="","",INDEX('Company Universe'!$C$6:$C$105,MATCH(B192,'Company Universe'!$A$6:$A$105,0)))</x:f>
      </x:c>
      <x:c r="E192" s="206" t="n"/>
      <x:c r="F192" s="71" t="n"/>
      <x:c r="G192" s="71" t="n"/>
      <x:c r="H192" s="71" t="n"/>
      <x:c r="I192" s="71" t="n"/>
      <x:c r="J192" s="206" t="n"/>
      <x:c r="K192" s="71" t="n"/>
      <x:c r="L192" s="71" t="n"/>
      <x:c r="M192" s="206" t="n"/>
      <x:c r="N192" s="71" t="inlineStr">
        <x:is>
          <x:t xml:space="preserve">OPEN</x:t>
        </x:is>
      </x:c>
      <x:c r="O192" s="71" t="n"/>
      <x:c r="P192" s="71" t="n"/>
    </x:row>
    <x:row r="193">
      <x:c r="A193" s="57" t="inlineStr">
        <x:is>
          <x:t xml:space="preserve">MP-188</x:t>
        </x:is>
      </x:c>
      <x:c r="B193" s="71" t="n"/>
      <x:c r="C193" s="75" t="str">
        <x:f>IF(B193="","",INDEX('Company Universe'!$B$6:$B$105,MATCH(B193,'Company Universe'!$A$6:$A$105,0)))</x:f>
      </x:c>
      <x:c r="D193" s="75" t="str">
        <x:f>IF(B193="","",INDEX('Company Universe'!$C$6:$C$105,MATCH(B193,'Company Universe'!$A$6:$A$105,0)))</x:f>
      </x:c>
      <x:c r="E193" s="206" t="n"/>
      <x:c r="F193" s="71" t="n"/>
      <x:c r="G193" s="71" t="n"/>
      <x:c r="H193" s="71" t="n"/>
      <x:c r="I193" s="71" t="n"/>
      <x:c r="J193" s="206" t="n"/>
      <x:c r="K193" s="71" t="n"/>
      <x:c r="L193" s="71" t="n"/>
      <x:c r="M193" s="206" t="n"/>
      <x:c r="N193" s="71" t="inlineStr">
        <x:is>
          <x:t xml:space="preserve">OPEN</x:t>
        </x:is>
      </x:c>
      <x:c r="O193" s="71" t="n"/>
      <x:c r="P193" s="71" t="n"/>
    </x:row>
    <x:row r="194">
      <x:c r="A194" s="57" t="inlineStr">
        <x:is>
          <x:t xml:space="preserve">MP-189</x:t>
        </x:is>
      </x:c>
      <x:c r="B194" s="71" t="n"/>
      <x:c r="C194" s="75" t="str">
        <x:f>IF(B194="","",INDEX('Company Universe'!$B$6:$B$105,MATCH(B194,'Company Universe'!$A$6:$A$105,0)))</x:f>
      </x:c>
      <x:c r="D194" s="75" t="str">
        <x:f>IF(B194="","",INDEX('Company Universe'!$C$6:$C$105,MATCH(B194,'Company Universe'!$A$6:$A$105,0)))</x:f>
      </x:c>
      <x:c r="E194" s="206" t="n"/>
      <x:c r="F194" s="71" t="n"/>
      <x:c r="G194" s="71" t="n"/>
      <x:c r="H194" s="71" t="n"/>
      <x:c r="I194" s="71" t="n"/>
      <x:c r="J194" s="206" t="n"/>
      <x:c r="K194" s="71" t="n"/>
      <x:c r="L194" s="71" t="n"/>
      <x:c r="M194" s="206" t="n"/>
      <x:c r="N194" s="71" t="inlineStr">
        <x:is>
          <x:t xml:space="preserve">OPEN</x:t>
        </x:is>
      </x:c>
      <x:c r="O194" s="71" t="n"/>
      <x:c r="P194" s="71" t="n"/>
    </x:row>
    <x:row r="195">
      <x:c r="A195" s="57" t="inlineStr">
        <x:is>
          <x:t xml:space="preserve">MP-190</x:t>
        </x:is>
      </x:c>
      <x:c r="B195" s="71" t="n"/>
      <x:c r="C195" s="75" t="str">
        <x:f>IF(B195="","",INDEX('Company Universe'!$B$6:$B$105,MATCH(B195,'Company Universe'!$A$6:$A$105,0)))</x:f>
      </x:c>
      <x:c r="D195" s="75" t="str">
        <x:f>IF(B195="","",INDEX('Company Universe'!$C$6:$C$105,MATCH(B195,'Company Universe'!$A$6:$A$105,0)))</x:f>
      </x:c>
      <x:c r="E195" s="206" t="n"/>
      <x:c r="F195" s="71" t="n"/>
      <x:c r="G195" s="71" t="n"/>
      <x:c r="H195" s="71" t="n"/>
      <x:c r="I195" s="71" t="n"/>
      <x:c r="J195" s="206" t="n"/>
      <x:c r="K195" s="71" t="n"/>
      <x:c r="L195" s="71" t="n"/>
      <x:c r="M195" s="206" t="n"/>
      <x:c r="N195" s="71" t="inlineStr">
        <x:is>
          <x:t xml:space="preserve">OPEN</x:t>
        </x:is>
      </x:c>
      <x:c r="O195" s="71" t="n"/>
      <x:c r="P195" s="71" t="n"/>
    </x:row>
    <x:row r="196">
      <x:c r="A196" s="57" t="inlineStr">
        <x:is>
          <x:t xml:space="preserve">MP-191</x:t>
        </x:is>
      </x:c>
      <x:c r="B196" s="71" t="n"/>
      <x:c r="C196" s="75" t="str">
        <x:f>IF(B196="","",INDEX('Company Universe'!$B$6:$B$105,MATCH(B196,'Company Universe'!$A$6:$A$105,0)))</x:f>
      </x:c>
      <x:c r="D196" s="75" t="str">
        <x:f>IF(B196="","",INDEX('Company Universe'!$C$6:$C$105,MATCH(B196,'Company Universe'!$A$6:$A$105,0)))</x:f>
      </x:c>
      <x:c r="E196" s="206" t="n"/>
      <x:c r="F196" s="71" t="n"/>
      <x:c r="G196" s="71" t="n"/>
      <x:c r="H196" s="71" t="n"/>
      <x:c r="I196" s="71" t="n"/>
      <x:c r="J196" s="206" t="n"/>
      <x:c r="K196" s="71" t="n"/>
      <x:c r="L196" s="71" t="n"/>
      <x:c r="M196" s="206" t="n"/>
      <x:c r="N196" s="71" t="inlineStr">
        <x:is>
          <x:t xml:space="preserve">OPEN</x:t>
        </x:is>
      </x:c>
      <x:c r="O196" s="71" t="n"/>
      <x:c r="P196" s="71" t="n"/>
    </x:row>
    <x:row r="197">
      <x:c r="A197" s="57" t="inlineStr">
        <x:is>
          <x:t xml:space="preserve">MP-192</x:t>
        </x:is>
      </x:c>
      <x:c r="B197" s="71" t="n"/>
      <x:c r="C197" s="75" t="str">
        <x:f>IF(B197="","",INDEX('Company Universe'!$B$6:$B$105,MATCH(B197,'Company Universe'!$A$6:$A$105,0)))</x:f>
      </x:c>
      <x:c r="D197" s="75" t="str">
        <x:f>IF(B197="","",INDEX('Company Universe'!$C$6:$C$105,MATCH(B197,'Company Universe'!$A$6:$A$105,0)))</x:f>
      </x:c>
      <x:c r="E197" s="206" t="n"/>
      <x:c r="F197" s="71" t="n"/>
      <x:c r="G197" s="71" t="n"/>
      <x:c r="H197" s="71" t="n"/>
      <x:c r="I197" s="71" t="n"/>
      <x:c r="J197" s="206" t="n"/>
      <x:c r="K197" s="71" t="n"/>
      <x:c r="L197" s="71" t="n"/>
      <x:c r="M197" s="206" t="n"/>
      <x:c r="N197" s="71" t="inlineStr">
        <x:is>
          <x:t xml:space="preserve">OPEN</x:t>
        </x:is>
      </x:c>
      <x:c r="O197" s="71" t="n"/>
      <x:c r="P197" s="71" t="n"/>
    </x:row>
    <x:row r="198">
      <x:c r="A198" s="57" t="inlineStr">
        <x:is>
          <x:t xml:space="preserve">MP-193</x:t>
        </x:is>
      </x:c>
      <x:c r="B198" s="71" t="n"/>
      <x:c r="C198" s="75" t="str">
        <x:f>IF(B198="","",INDEX('Company Universe'!$B$6:$B$105,MATCH(B198,'Company Universe'!$A$6:$A$105,0)))</x:f>
      </x:c>
      <x:c r="D198" s="75" t="str">
        <x:f>IF(B198="","",INDEX('Company Universe'!$C$6:$C$105,MATCH(B198,'Company Universe'!$A$6:$A$105,0)))</x:f>
      </x:c>
      <x:c r="E198" s="206" t="n"/>
      <x:c r="F198" s="71" t="n"/>
      <x:c r="G198" s="71" t="n"/>
      <x:c r="H198" s="71" t="n"/>
      <x:c r="I198" s="71" t="n"/>
      <x:c r="J198" s="206" t="n"/>
      <x:c r="K198" s="71" t="n"/>
      <x:c r="L198" s="71" t="n"/>
      <x:c r="M198" s="206" t="n"/>
      <x:c r="N198" s="71" t="inlineStr">
        <x:is>
          <x:t xml:space="preserve">OPEN</x:t>
        </x:is>
      </x:c>
      <x:c r="O198" s="71" t="n"/>
      <x:c r="P198" s="71" t="n"/>
    </x:row>
    <x:row r="199">
      <x:c r="A199" s="57" t="inlineStr">
        <x:is>
          <x:t xml:space="preserve">MP-194</x:t>
        </x:is>
      </x:c>
      <x:c r="B199" s="71" t="n"/>
      <x:c r="C199" s="75" t="str">
        <x:f>IF(B199="","",INDEX('Company Universe'!$B$6:$B$105,MATCH(B199,'Company Universe'!$A$6:$A$105,0)))</x:f>
      </x:c>
      <x:c r="D199" s="75" t="str">
        <x:f>IF(B199="","",INDEX('Company Universe'!$C$6:$C$105,MATCH(B199,'Company Universe'!$A$6:$A$105,0)))</x:f>
      </x:c>
      <x:c r="E199" s="206" t="n"/>
      <x:c r="F199" s="71" t="n"/>
      <x:c r="G199" s="71" t="n"/>
      <x:c r="H199" s="71" t="n"/>
      <x:c r="I199" s="71" t="n"/>
      <x:c r="J199" s="206" t="n"/>
      <x:c r="K199" s="71" t="n"/>
      <x:c r="L199" s="71" t="n"/>
      <x:c r="M199" s="206" t="n"/>
      <x:c r="N199" s="71" t="inlineStr">
        <x:is>
          <x:t xml:space="preserve">OPEN</x:t>
        </x:is>
      </x:c>
      <x:c r="O199" s="71" t="n"/>
      <x:c r="P199" s="71" t="n"/>
    </x:row>
    <x:row r="200">
      <x:c r="A200" s="57" t="inlineStr">
        <x:is>
          <x:t xml:space="preserve">MP-195</x:t>
        </x:is>
      </x:c>
      <x:c r="B200" s="71" t="n"/>
      <x:c r="C200" s="75" t="str">
        <x:f>IF(B200="","",INDEX('Company Universe'!$B$6:$B$105,MATCH(B200,'Company Universe'!$A$6:$A$105,0)))</x:f>
      </x:c>
      <x:c r="D200" s="75" t="str">
        <x:f>IF(B200="","",INDEX('Company Universe'!$C$6:$C$105,MATCH(B200,'Company Universe'!$A$6:$A$105,0)))</x:f>
      </x:c>
      <x:c r="E200" s="206" t="n"/>
      <x:c r="F200" s="71" t="n"/>
      <x:c r="G200" s="71" t="n"/>
      <x:c r="H200" s="71" t="n"/>
      <x:c r="I200" s="71" t="n"/>
      <x:c r="J200" s="206" t="n"/>
      <x:c r="K200" s="71" t="n"/>
      <x:c r="L200" s="71" t="n"/>
      <x:c r="M200" s="206" t="n"/>
      <x:c r="N200" s="71" t="inlineStr">
        <x:is>
          <x:t xml:space="preserve">OPEN</x:t>
        </x:is>
      </x:c>
      <x:c r="O200" s="71" t="n"/>
      <x:c r="P200" s="71" t="n"/>
    </x:row>
    <x:row r="201">
      <x:c r="A201" s="57" t="inlineStr">
        <x:is>
          <x:t xml:space="preserve">MP-196</x:t>
        </x:is>
      </x:c>
      <x:c r="B201" s="71" t="n"/>
      <x:c r="C201" s="75" t="str">
        <x:f>IF(B201="","",INDEX('Company Universe'!$B$6:$B$105,MATCH(B201,'Company Universe'!$A$6:$A$105,0)))</x:f>
      </x:c>
      <x:c r="D201" s="75" t="str">
        <x:f>IF(B201="","",INDEX('Company Universe'!$C$6:$C$105,MATCH(B201,'Company Universe'!$A$6:$A$105,0)))</x:f>
      </x:c>
      <x:c r="E201" s="206" t="n"/>
      <x:c r="F201" s="71" t="n"/>
      <x:c r="G201" s="71" t="n"/>
      <x:c r="H201" s="71" t="n"/>
      <x:c r="I201" s="71" t="n"/>
      <x:c r="J201" s="206" t="n"/>
      <x:c r="K201" s="71" t="n"/>
      <x:c r="L201" s="71" t="n"/>
      <x:c r="M201" s="206" t="n"/>
      <x:c r="N201" s="71" t="inlineStr">
        <x:is>
          <x:t xml:space="preserve">OPEN</x:t>
        </x:is>
      </x:c>
      <x:c r="O201" s="71" t="n"/>
      <x:c r="P201" s="71" t="n"/>
    </x:row>
    <x:row r="202">
      <x:c r="A202" s="57" t="inlineStr">
        <x:is>
          <x:t xml:space="preserve">MP-197</x:t>
        </x:is>
      </x:c>
      <x:c r="B202" s="71" t="n"/>
      <x:c r="C202" s="75" t="str">
        <x:f>IF(B202="","",INDEX('Company Universe'!$B$6:$B$105,MATCH(B202,'Company Universe'!$A$6:$A$105,0)))</x:f>
      </x:c>
      <x:c r="D202" s="75" t="str">
        <x:f>IF(B202="","",INDEX('Company Universe'!$C$6:$C$105,MATCH(B202,'Company Universe'!$A$6:$A$105,0)))</x:f>
      </x:c>
      <x:c r="E202" s="206" t="n"/>
      <x:c r="F202" s="71" t="n"/>
      <x:c r="G202" s="71" t="n"/>
      <x:c r="H202" s="71" t="n"/>
      <x:c r="I202" s="71" t="n"/>
      <x:c r="J202" s="206" t="n"/>
      <x:c r="K202" s="71" t="n"/>
      <x:c r="L202" s="71" t="n"/>
      <x:c r="M202" s="206" t="n"/>
      <x:c r="N202" s="71" t="inlineStr">
        <x:is>
          <x:t xml:space="preserve">OPEN</x:t>
        </x:is>
      </x:c>
      <x:c r="O202" s="71" t="n"/>
      <x:c r="P202" s="71" t="n"/>
    </x:row>
    <x:row r="203">
      <x:c r="A203" s="57" t="inlineStr">
        <x:is>
          <x:t xml:space="preserve">MP-198</x:t>
        </x:is>
      </x:c>
      <x:c r="B203" s="71" t="n"/>
      <x:c r="C203" s="75" t="str">
        <x:f>IF(B203="","",INDEX('Company Universe'!$B$6:$B$105,MATCH(B203,'Company Universe'!$A$6:$A$105,0)))</x:f>
      </x:c>
      <x:c r="D203" s="75" t="str">
        <x:f>IF(B203="","",INDEX('Company Universe'!$C$6:$C$105,MATCH(B203,'Company Universe'!$A$6:$A$105,0)))</x:f>
      </x:c>
      <x:c r="E203" s="206" t="n"/>
      <x:c r="F203" s="71" t="n"/>
      <x:c r="G203" s="71" t="n"/>
      <x:c r="H203" s="71" t="n"/>
      <x:c r="I203" s="71" t="n"/>
      <x:c r="J203" s="206" t="n"/>
      <x:c r="K203" s="71" t="n"/>
      <x:c r="L203" s="71" t="n"/>
      <x:c r="M203" s="206" t="n"/>
      <x:c r="N203" s="71" t="inlineStr">
        <x:is>
          <x:t xml:space="preserve">OPEN</x:t>
        </x:is>
      </x:c>
      <x:c r="O203" s="71" t="n"/>
      <x:c r="P203" s="71" t="n"/>
    </x:row>
    <x:row r="204">
      <x:c r="A204" s="57" t="inlineStr">
        <x:is>
          <x:t xml:space="preserve">MP-199</x:t>
        </x:is>
      </x:c>
      <x:c r="B204" s="71" t="n"/>
      <x:c r="C204" s="75" t="str">
        <x:f>IF(B204="","",INDEX('Company Universe'!$B$6:$B$105,MATCH(B204,'Company Universe'!$A$6:$A$105,0)))</x:f>
      </x:c>
      <x:c r="D204" s="75" t="str">
        <x:f>IF(B204="","",INDEX('Company Universe'!$C$6:$C$105,MATCH(B204,'Company Universe'!$A$6:$A$105,0)))</x:f>
      </x:c>
      <x:c r="E204" s="206" t="n"/>
      <x:c r="F204" s="71" t="n"/>
      <x:c r="G204" s="71" t="n"/>
      <x:c r="H204" s="71" t="n"/>
      <x:c r="I204" s="71" t="n"/>
      <x:c r="J204" s="206" t="n"/>
      <x:c r="K204" s="71" t="n"/>
      <x:c r="L204" s="71" t="n"/>
      <x:c r="M204" s="206" t="n"/>
      <x:c r="N204" s="71" t="inlineStr">
        <x:is>
          <x:t xml:space="preserve">OPEN</x:t>
        </x:is>
      </x:c>
      <x:c r="O204" s="71" t="n"/>
      <x:c r="P204" s="71" t="n"/>
    </x:row>
    <x:row r="205">
      <x:c r="A205" s="57" t="inlineStr">
        <x:is>
          <x:t xml:space="preserve">MP-200</x:t>
        </x:is>
      </x:c>
      <x:c r="B205" s="71" t="n"/>
      <x:c r="C205" s="75" t="str">
        <x:f>IF(B205="","",INDEX('Company Universe'!$B$6:$B$105,MATCH(B205,'Company Universe'!$A$6:$A$105,0)))</x:f>
      </x:c>
      <x:c r="D205" s="75" t="str">
        <x:f>IF(B205="","",INDEX('Company Universe'!$C$6:$C$105,MATCH(B205,'Company Universe'!$A$6:$A$105,0)))</x:f>
      </x:c>
      <x:c r="E205" s="206" t="n"/>
      <x:c r="F205" s="71" t="n"/>
      <x:c r="G205" s="71" t="n"/>
      <x:c r="H205" s="71" t="n"/>
      <x:c r="I205" s="71" t="n"/>
      <x:c r="J205" s="206" t="n"/>
      <x:c r="K205" s="71" t="n"/>
      <x:c r="L205" s="71" t="n"/>
      <x:c r="M205" s="206" t="n"/>
      <x:c r="N205" s="71" t="inlineStr">
        <x:is>
          <x:t xml:space="preserve">OPEN</x:t>
        </x:is>
      </x:c>
      <x:c r="O205" s="71" t="n"/>
      <x:c r="P205" s="71" t="n"/>
    </x:row>
    <x:row r="206">
      <x:c r="A206" s="57" t="inlineStr">
        <x:is>
          <x:t xml:space="preserve">MP-201</x:t>
        </x:is>
      </x:c>
      <x:c r="B206" s="71" t="n"/>
      <x:c r="C206" s="75" t="str">
        <x:f>IF(B206="","",INDEX('Company Universe'!$B$6:$B$105,MATCH(B206,'Company Universe'!$A$6:$A$105,0)))</x:f>
      </x:c>
      <x:c r="D206" s="75" t="str">
        <x:f>IF(B206="","",INDEX('Company Universe'!$C$6:$C$105,MATCH(B206,'Company Universe'!$A$6:$A$105,0)))</x:f>
      </x:c>
      <x:c r="E206" s="206" t="n"/>
      <x:c r="F206" s="71" t="n"/>
      <x:c r="G206" s="71" t="n"/>
      <x:c r="H206" s="71" t="n"/>
      <x:c r="I206" s="71" t="n"/>
      <x:c r="J206" s="206" t="n"/>
      <x:c r="K206" s="71" t="n"/>
      <x:c r="L206" s="71" t="n"/>
      <x:c r="M206" s="206" t="n"/>
      <x:c r="N206" s="71" t="inlineStr">
        <x:is>
          <x:t xml:space="preserve">OPEN</x:t>
        </x:is>
      </x:c>
      <x:c r="O206" s="71" t="n"/>
      <x:c r="P206" s="71" t="n"/>
    </x:row>
    <x:row r="207">
      <x:c r="A207" s="57" t="inlineStr">
        <x:is>
          <x:t xml:space="preserve">MP-202</x:t>
        </x:is>
      </x:c>
      <x:c r="B207" s="71" t="n"/>
      <x:c r="C207" s="75" t="str">
        <x:f>IF(B207="","",INDEX('Company Universe'!$B$6:$B$105,MATCH(B207,'Company Universe'!$A$6:$A$105,0)))</x:f>
      </x:c>
      <x:c r="D207" s="75" t="str">
        <x:f>IF(B207="","",INDEX('Company Universe'!$C$6:$C$105,MATCH(B207,'Company Universe'!$A$6:$A$105,0)))</x:f>
      </x:c>
      <x:c r="E207" s="206" t="n"/>
      <x:c r="F207" s="71" t="n"/>
      <x:c r="G207" s="71" t="n"/>
      <x:c r="H207" s="71" t="n"/>
      <x:c r="I207" s="71" t="n"/>
      <x:c r="J207" s="206" t="n"/>
      <x:c r="K207" s="71" t="n"/>
      <x:c r="L207" s="71" t="n"/>
      <x:c r="M207" s="206" t="n"/>
      <x:c r="N207" s="71" t="inlineStr">
        <x:is>
          <x:t xml:space="preserve">OPEN</x:t>
        </x:is>
      </x:c>
      <x:c r="O207" s="71" t="n"/>
      <x:c r="P207" s="71" t="n"/>
    </x:row>
    <x:row r="208">
      <x:c r="A208" s="57" t="inlineStr">
        <x:is>
          <x:t xml:space="preserve">MP-203</x:t>
        </x:is>
      </x:c>
      <x:c r="B208" s="71" t="n"/>
      <x:c r="C208" s="75" t="str">
        <x:f>IF(B208="","",INDEX('Company Universe'!$B$6:$B$105,MATCH(B208,'Company Universe'!$A$6:$A$105,0)))</x:f>
      </x:c>
      <x:c r="D208" s="75" t="str">
        <x:f>IF(B208="","",INDEX('Company Universe'!$C$6:$C$105,MATCH(B208,'Company Universe'!$A$6:$A$105,0)))</x:f>
      </x:c>
      <x:c r="E208" s="206" t="n"/>
      <x:c r="F208" s="71" t="n"/>
      <x:c r="G208" s="71" t="n"/>
      <x:c r="H208" s="71" t="n"/>
      <x:c r="I208" s="71" t="n"/>
      <x:c r="J208" s="206" t="n"/>
      <x:c r="K208" s="71" t="n"/>
      <x:c r="L208" s="71" t="n"/>
      <x:c r="M208" s="206" t="n"/>
      <x:c r="N208" s="71" t="inlineStr">
        <x:is>
          <x:t xml:space="preserve">OPEN</x:t>
        </x:is>
      </x:c>
      <x:c r="O208" s="71" t="n"/>
      <x:c r="P208" s="71" t="n"/>
    </x:row>
    <x:row r="209">
      <x:c r="A209" s="57" t="inlineStr">
        <x:is>
          <x:t xml:space="preserve">MP-204</x:t>
        </x:is>
      </x:c>
      <x:c r="B209" s="71" t="n"/>
      <x:c r="C209" s="75" t="str">
        <x:f>IF(B209="","",INDEX('Company Universe'!$B$6:$B$105,MATCH(B209,'Company Universe'!$A$6:$A$105,0)))</x:f>
      </x:c>
      <x:c r="D209" s="75" t="str">
        <x:f>IF(B209="","",INDEX('Company Universe'!$C$6:$C$105,MATCH(B209,'Company Universe'!$A$6:$A$105,0)))</x:f>
      </x:c>
      <x:c r="E209" s="206" t="n"/>
      <x:c r="F209" s="71" t="n"/>
      <x:c r="G209" s="71" t="n"/>
      <x:c r="H209" s="71" t="n"/>
      <x:c r="I209" s="71" t="n"/>
      <x:c r="J209" s="206" t="n"/>
      <x:c r="K209" s="71" t="n"/>
      <x:c r="L209" s="71" t="n"/>
      <x:c r="M209" s="206" t="n"/>
      <x:c r="N209" s="71" t="inlineStr">
        <x:is>
          <x:t xml:space="preserve">OPEN</x:t>
        </x:is>
      </x:c>
      <x:c r="O209" s="71" t="n"/>
      <x:c r="P209" s="71" t="n"/>
    </x:row>
    <x:row r="210">
      <x:c r="A210" s="57" t="inlineStr">
        <x:is>
          <x:t xml:space="preserve">MP-205</x:t>
        </x:is>
      </x:c>
      <x:c r="B210" s="71" t="n"/>
      <x:c r="C210" s="75" t="str">
        <x:f>IF(B210="","",INDEX('Company Universe'!$B$6:$B$105,MATCH(B210,'Company Universe'!$A$6:$A$105,0)))</x:f>
      </x:c>
      <x:c r="D210" s="75" t="str">
        <x:f>IF(B210="","",INDEX('Company Universe'!$C$6:$C$105,MATCH(B210,'Company Universe'!$A$6:$A$105,0)))</x:f>
      </x:c>
      <x:c r="E210" s="206" t="n"/>
      <x:c r="F210" s="71" t="n"/>
      <x:c r="G210" s="71" t="n"/>
      <x:c r="H210" s="71" t="n"/>
      <x:c r="I210" s="71" t="n"/>
      <x:c r="J210" s="206" t="n"/>
      <x:c r="K210" s="71" t="n"/>
      <x:c r="L210" s="71" t="n"/>
      <x:c r="M210" s="206" t="n"/>
      <x:c r="N210" s="71" t="inlineStr">
        <x:is>
          <x:t xml:space="preserve">OPEN</x:t>
        </x:is>
      </x:c>
      <x:c r="O210" s="71" t="n"/>
      <x:c r="P210" s="71" t="n"/>
    </x:row>
    <x:row r="211">
      <x:c r="A211" s="57" t="inlineStr">
        <x:is>
          <x:t xml:space="preserve">MP-206</x:t>
        </x:is>
      </x:c>
      <x:c r="B211" s="71" t="n"/>
      <x:c r="C211" s="75" t="str">
        <x:f>IF(B211="","",INDEX('Company Universe'!$B$6:$B$105,MATCH(B211,'Company Universe'!$A$6:$A$105,0)))</x:f>
      </x:c>
      <x:c r="D211" s="75" t="str">
        <x:f>IF(B211="","",INDEX('Company Universe'!$C$6:$C$105,MATCH(B211,'Company Universe'!$A$6:$A$105,0)))</x:f>
      </x:c>
      <x:c r="E211" s="206" t="n"/>
      <x:c r="F211" s="71" t="n"/>
      <x:c r="G211" s="71" t="n"/>
      <x:c r="H211" s="71" t="n"/>
      <x:c r="I211" s="71" t="n"/>
      <x:c r="J211" s="206" t="n"/>
      <x:c r="K211" s="71" t="n"/>
      <x:c r="L211" s="71" t="n"/>
      <x:c r="M211" s="206" t="n"/>
      <x:c r="N211" s="71" t="inlineStr">
        <x:is>
          <x:t xml:space="preserve">OPEN</x:t>
        </x:is>
      </x:c>
      <x:c r="O211" s="71" t="n"/>
      <x:c r="P211" s="71" t="n"/>
    </x:row>
    <x:row r="212">
      <x:c r="A212" s="57" t="inlineStr">
        <x:is>
          <x:t xml:space="preserve">MP-207</x:t>
        </x:is>
      </x:c>
      <x:c r="B212" s="71" t="n"/>
      <x:c r="C212" s="75" t="str">
        <x:f>IF(B212="","",INDEX('Company Universe'!$B$6:$B$105,MATCH(B212,'Company Universe'!$A$6:$A$105,0)))</x:f>
      </x:c>
      <x:c r="D212" s="75" t="str">
        <x:f>IF(B212="","",INDEX('Company Universe'!$C$6:$C$105,MATCH(B212,'Company Universe'!$A$6:$A$105,0)))</x:f>
      </x:c>
      <x:c r="E212" s="206" t="n"/>
      <x:c r="F212" s="71" t="n"/>
      <x:c r="G212" s="71" t="n"/>
      <x:c r="H212" s="71" t="n"/>
      <x:c r="I212" s="71" t="n"/>
      <x:c r="J212" s="206" t="n"/>
      <x:c r="K212" s="71" t="n"/>
      <x:c r="L212" s="71" t="n"/>
      <x:c r="M212" s="206" t="n"/>
      <x:c r="N212" s="71" t="inlineStr">
        <x:is>
          <x:t xml:space="preserve">OPEN</x:t>
        </x:is>
      </x:c>
      <x:c r="O212" s="71" t="n"/>
      <x:c r="P212" s="71" t="n"/>
    </x:row>
    <x:row r="213">
      <x:c r="A213" s="57" t="inlineStr">
        <x:is>
          <x:t xml:space="preserve">MP-208</x:t>
        </x:is>
      </x:c>
      <x:c r="B213" s="71" t="n"/>
      <x:c r="C213" s="75" t="str">
        <x:f>IF(B213="","",INDEX('Company Universe'!$B$6:$B$105,MATCH(B213,'Company Universe'!$A$6:$A$105,0)))</x:f>
      </x:c>
      <x:c r="D213" s="75" t="str">
        <x:f>IF(B213="","",INDEX('Company Universe'!$C$6:$C$105,MATCH(B213,'Company Universe'!$A$6:$A$105,0)))</x:f>
      </x:c>
      <x:c r="E213" s="206" t="n"/>
      <x:c r="F213" s="71" t="n"/>
      <x:c r="G213" s="71" t="n"/>
      <x:c r="H213" s="71" t="n"/>
      <x:c r="I213" s="71" t="n"/>
      <x:c r="J213" s="206" t="n"/>
      <x:c r="K213" s="71" t="n"/>
      <x:c r="L213" s="71" t="n"/>
      <x:c r="M213" s="206" t="n"/>
      <x:c r="N213" s="71" t="inlineStr">
        <x:is>
          <x:t xml:space="preserve">OPEN</x:t>
        </x:is>
      </x:c>
      <x:c r="O213" s="71" t="n"/>
      <x:c r="P213" s="71" t="n"/>
    </x:row>
    <x:row r="214">
      <x:c r="A214" s="57" t="inlineStr">
        <x:is>
          <x:t xml:space="preserve">MP-209</x:t>
        </x:is>
      </x:c>
      <x:c r="B214" s="71" t="n"/>
      <x:c r="C214" s="75" t="str">
        <x:f>IF(B214="","",INDEX('Company Universe'!$B$6:$B$105,MATCH(B214,'Company Universe'!$A$6:$A$105,0)))</x:f>
      </x:c>
      <x:c r="D214" s="75" t="str">
        <x:f>IF(B214="","",INDEX('Company Universe'!$C$6:$C$105,MATCH(B214,'Company Universe'!$A$6:$A$105,0)))</x:f>
      </x:c>
      <x:c r="E214" s="206" t="n"/>
      <x:c r="F214" s="71" t="n"/>
      <x:c r="G214" s="71" t="n"/>
      <x:c r="H214" s="71" t="n"/>
      <x:c r="I214" s="71" t="n"/>
      <x:c r="J214" s="206" t="n"/>
      <x:c r="K214" s="71" t="n"/>
      <x:c r="L214" s="71" t="n"/>
      <x:c r="M214" s="206" t="n"/>
      <x:c r="N214" s="71" t="inlineStr">
        <x:is>
          <x:t xml:space="preserve">OPEN</x:t>
        </x:is>
      </x:c>
      <x:c r="O214" s="71" t="n"/>
      <x:c r="P214" s="71" t="n"/>
    </x:row>
    <x:row r="215">
      <x:c r="A215" s="57" t="inlineStr">
        <x:is>
          <x:t xml:space="preserve">MP-210</x:t>
        </x:is>
      </x:c>
      <x:c r="B215" s="71" t="n"/>
      <x:c r="C215" s="75" t="str">
        <x:f>IF(B215="","",INDEX('Company Universe'!$B$6:$B$105,MATCH(B215,'Company Universe'!$A$6:$A$105,0)))</x:f>
      </x:c>
      <x:c r="D215" s="75" t="str">
        <x:f>IF(B215="","",INDEX('Company Universe'!$C$6:$C$105,MATCH(B215,'Company Universe'!$A$6:$A$105,0)))</x:f>
      </x:c>
      <x:c r="E215" s="206" t="n"/>
      <x:c r="F215" s="71" t="n"/>
      <x:c r="G215" s="71" t="n"/>
      <x:c r="H215" s="71" t="n"/>
      <x:c r="I215" s="71" t="n"/>
      <x:c r="J215" s="206" t="n"/>
      <x:c r="K215" s="71" t="n"/>
      <x:c r="L215" s="71" t="n"/>
      <x:c r="M215" s="206" t="n"/>
      <x:c r="N215" s="71" t="inlineStr">
        <x:is>
          <x:t xml:space="preserve">OPEN</x:t>
        </x:is>
      </x:c>
      <x:c r="O215" s="71" t="n"/>
      <x:c r="P215" s="71" t="n"/>
    </x:row>
    <x:row r="216">
      <x:c r="A216" s="57" t="inlineStr">
        <x:is>
          <x:t xml:space="preserve">MP-211</x:t>
        </x:is>
      </x:c>
      <x:c r="B216" s="71" t="n"/>
      <x:c r="C216" s="75" t="str">
        <x:f>IF(B216="","",INDEX('Company Universe'!$B$6:$B$105,MATCH(B216,'Company Universe'!$A$6:$A$105,0)))</x:f>
      </x:c>
      <x:c r="D216" s="75" t="str">
        <x:f>IF(B216="","",INDEX('Company Universe'!$C$6:$C$105,MATCH(B216,'Company Universe'!$A$6:$A$105,0)))</x:f>
      </x:c>
      <x:c r="E216" s="206" t="n"/>
      <x:c r="F216" s="71" t="n"/>
      <x:c r="G216" s="71" t="n"/>
      <x:c r="H216" s="71" t="n"/>
      <x:c r="I216" s="71" t="n"/>
      <x:c r="J216" s="206" t="n"/>
      <x:c r="K216" s="71" t="n"/>
      <x:c r="L216" s="71" t="n"/>
      <x:c r="M216" s="206" t="n"/>
      <x:c r="N216" s="71" t="inlineStr">
        <x:is>
          <x:t xml:space="preserve">OPEN</x:t>
        </x:is>
      </x:c>
      <x:c r="O216" s="71" t="n"/>
      <x:c r="P216" s="71" t="n"/>
    </x:row>
    <x:row r="217">
      <x:c r="A217" s="57" t="inlineStr">
        <x:is>
          <x:t xml:space="preserve">MP-212</x:t>
        </x:is>
      </x:c>
      <x:c r="B217" s="71" t="n"/>
      <x:c r="C217" s="75" t="str">
        <x:f>IF(B217="","",INDEX('Company Universe'!$B$6:$B$105,MATCH(B217,'Company Universe'!$A$6:$A$105,0)))</x:f>
      </x:c>
      <x:c r="D217" s="75" t="str">
        <x:f>IF(B217="","",INDEX('Company Universe'!$C$6:$C$105,MATCH(B217,'Company Universe'!$A$6:$A$105,0)))</x:f>
      </x:c>
      <x:c r="E217" s="206" t="n"/>
      <x:c r="F217" s="71" t="n"/>
      <x:c r="G217" s="71" t="n"/>
      <x:c r="H217" s="71" t="n"/>
      <x:c r="I217" s="71" t="n"/>
      <x:c r="J217" s="206" t="n"/>
      <x:c r="K217" s="71" t="n"/>
      <x:c r="L217" s="71" t="n"/>
      <x:c r="M217" s="206" t="n"/>
      <x:c r="N217" s="71" t="inlineStr">
        <x:is>
          <x:t xml:space="preserve">OPEN</x:t>
        </x:is>
      </x:c>
      <x:c r="O217" s="71" t="n"/>
      <x:c r="P217" s="71" t="n"/>
    </x:row>
    <x:row r="218">
      <x:c r="A218" s="57" t="inlineStr">
        <x:is>
          <x:t xml:space="preserve">MP-213</x:t>
        </x:is>
      </x:c>
      <x:c r="B218" s="71" t="n"/>
      <x:c r="C218" s="75" t="str">
        <x:f>IF(B218="","",INDEX('Company Universe'!$B$6:$B$105,MATCH(B218,'Company Universe'!$A$6:$A$105,0)))</x:f>
      </x:c>
      <x:c r="D218" s="75" t="str">
        <x:f>IF(B218="","",INDEX('Company Universe'!$C$6:$C$105,MATCH(B218,'Company Universe'!$A$6:$A$105,0)))</x:f>
      </x:c>
      <x:c r="E218" s="206" t="n"/>
      <x:c r="F218" s="71" t="n"/>
      <x:c r="G218" s="71" t="n"/>
      <x:c r="H218" s="71" t="n"/>
      <x:c r="I218" s="71" t="n"/>
      <x:c r="J218" s="206" t="n"/>
      <x:c r="K218" s="71" t="n"/>
      <x:c r="L218" s="71" t="n"/>
      <x:c r="M218" s="206" t="n"/>
      <x:c r="N218" s="71" t="inlineStr">
        <x:is>
          <x:t xml:space="preserve">OPEN</x:t>
        </x:is>
      </x:c>
      <x:c r="O218" s="71" t="n"/>
      <x:c r="P218" s="71" t="n"/>
    </x:row>
    <x:row r="219">
      <x:c r="A219" s="57" t="inlineStr">
        <x:is>
          <x:t xml:space="preserve">MP-214</x:t>
        </x:is>
      </x:c>
      <x:c r="B219" s="71" t="n"/>
      <x:c r="C219" s="75" t="str">
        <x:f>IF(B219="","",INDEX('Company Universe'!$B$6:$B$105,MATCH(B219,'Company Universe'!$A$6:$A$105,0)))</x:f>
      </x:c>
      <x:c r="D219" s="75" t="str">
        <x:f>IF(B219="","",INDEX('Company Universe'!$C$6:$C$105,MATCH(B219,'Company Universe'!$A$6:$A$105,0)))</x:f>
      </x:c>
      <x:c r="E219" s="206" t="n"/>
      <x:c r="F219" s="71" t="n"/>
      <x:c r="G219" s="71" t="n"/>
      <x:c r="H219" s="71" t="n"/>
      <x:c r="I219" s="71" t="n"/>
      <x:c r="J219" s="206" t="n"/>
      <x:c r="K219" s="71" t="n"/>
      <x:c r="L219" s="71" t="n"/>
      <x:c r="M219" s="206" t="n"/>
      <x:c r="N219" s="71" t="inlineStr">
        <x:is>
          <x:t xml:space="preserve">OPEN</x:t>
        </x:is>
      </x:c>
      <x:c r="O219" s="71" t="n"/>
      <x:c r="P219" s="71" t="n"/>
    </x:row>
    <x:row r="220">
      <x:c r="A220" s="57" t="inlineStr">
        <x:is>
          <x:t xml:space="preserve">MP-215</x:t>
        </x:is>
      </x:c>
      <x:c r="B220" s="71" t="n"/>
      <x:c r="C220" s="75" t="str">
        <x:f>IF(B220="","",INDEX('Company Universe'!$B$6:$B$105,MATCH(B220,'Company Universe'!$A$6:$A$105,0)))</x:f>
      </x:c>
      <x:c r="D220" s="75" t="str">
        <x:f>IF(B220="","",INDEX('Company Universe'!$C$6:$C$105,MATCH(B220,'Company Universe'!$A$6:$A$105,0)))</x:f>
      </x:c>
      <x:c r="E220" s="206" t="n"/>
      <x:c r="F220" s="71" t="n"/>
      <x:c r="G220" s="71" t="n"/>
      <x:c r="H220" s="71" t="n"/>
      <x:c r="I220" s="71" t="n"/>
      <x:c r="J220" s="206" t="n"/>
      <x:c r="K220" s="71" t="n"/>
      <x:c r="L220" s="71" t="n"/>
      <x:c r="M220" s="206" t="n"/>
      <x:c r="N220" s="71" t="inlineStr">
        <x:is>
          <x:t xml:space="preserve">OPEN</x:t>
        </x:is>
      </x:c>
      <x:c r="O220" s="71" t="n"/>
      <x:c r="P220" s="71" t="n"/>
    </x:row>
    <x:row r="221">
      <x:c r="A221" s="57" t="inlineStr">
        <x:is>
          <x:t xml:space="preserve">MP-216</x:t>
        </x:is>
      </x:c>
      <x:c r="B221" s="71" t="n"/>
      <x:c r="C221" s="75" t="str">
        <x:f>IF(B221="","",INDEX('Company Universe'!$B$6:$B$105,MATCH(B221,'Company Universe'!$A$6:$A$105,0)))</x:f>
      </x:c>
      <x:c r="D221" s="75" t="str">
        <x:f>IF(B221="","",INDEX('Company Universe'!$C$6:$C$105,MATCH(B221,'Company Universe'!$A$6:$A$105,0)))</x:f>
      </x:c>
      <x:c r="E221" s="206" t="n"/>
      <x:c r="F221" s="71" t="n"/>
      <x:c r="G221" s="71" t="n"/>
      <x:c r="H221" s="71" t="n"/>
      <x:c r="I221" s="71" t="n"/>
      <x:c r="J221" s="206" t="n"/>
      <x:c r="K221" s="71" t="n"/>
      <x:c r="L221" s="71" t="n"/>
      <x:c r="M221" s="206" t="n"/>
      <x:c r="N221" s="71" t="inlineStr">
        <x:is>
          <x:t xml:space="preserve">OPEN</x:t>
        </x:is>
      </x:c>
      <x:c r="O221" s="71" t="n"/>
      <x:c r="P221" s="71" t="n"/>
    </x:row>
    <x:row r="222">
      <x:c r="A222" s="57" t="inlineStr">
        <x:is>
          <x:t xml:space="preserve">MP-217</x:t>
        </x:is>
      </x:c>
      <x:c r="B222" s="71" t="n"/>
      <x:c r="C222" s="75" t="str">
        <x:f>IF(B222="","",INDEX('Company Universe'!$B$6:$B$105,MATCH(B222,'Company Universe'!$A$6:$A$105,0)))</x:f>
      </x:c>
      <x:c r="D222" s="75" t="str">
        <x:f>IF(B222="","",INDEX('Company Universe'!$C$6:$C$105,MATCH(B222,'Company Universe'!$A$6:$A$105,0)))</x:f>
      </x:c>
      <x:c r="E222" s="206" t="n"/>
      <x:c r="F222" s="71" t="n"/>
      <x:c r="G222" s="71" t="n"/>
      <x:c r="H222" s="71" t="n"/>
      <x:c r="I222" s="71" t="n"/>
      <x:c r="J222" s="206" t="n"/>
      <x:c r="K222" s="71" t="n"/>
      <x:c r="L222" s="71" t="n"/>
      <x:c r="M222" s="206" t="n"/>
      <x:c r="N222" s="71" t="inlineStr">
        <x:is>
          <x:t xml:space="preserve">OPEN</x:t>
        </x:is>
      </x:c>
      <x:c r="O222" s="71" t="n"/>
      <x:c r="P222" s="71" t="n"/>
    </x:row>
    <x:row r="223">
      <x:c r="A223" s="57" t="inlineStr">
        <x:is>
          <x:t xml:space="preserve">MP-218</x:t>
        </x:is>
      </x:c>
      <x:c r="B223" s="71" t="n"/>
      <x:c r="C223" s="75" t="str">
        <x:f>IF(B223="","",INDEX('Company Universe'!$B$6:$B$105,MATCH(B223,'Company Universe'!$A$6:$A$105,0)))</x:f>
      </x:c>
      <x:c r="D223" s="75" t="str">
        <x:f>IF(B223="","",INDEX('Company Universe'!$C$6:$C$105,MATCH(B223,'Company Universe'!$A$6:$A$105,0)))</x:f>
      </x:c>
      <x:c r="E223" s="206" t="n"/>
      <x:c r="F223" s="71" t="n"/>
      <x:c r="G223" s="71" t="n"/>
      <x:c r="H223" s="71" t="n"/>
      <x:c r="I223" s="71" t="n"/>
      <x:c r="J223" s="206" t="n"/>
      <x:c r="K223" s="71" t="n"/>
      <x:c r="L223" s="71" t="n"/>
      <x:c r="M223" s="206" t="n"/>
      <x:c r="N223" s="71" t="inlineStr">
        <x:is>
          <x:t xml:space="preserve">OPEN</x:t>
        </x:is>
      </x:c>
      <x:c r="O223" s="71" t="n"/>
      <x:c r="P223" s="71" t="n"/>
    </x:row>
    <x:row r="224">
      <x:c r="A224" s="57" t="inlineStr">
        <x:is>
          <x:t xml:space="preserve">MP-219</x:t>
        </x:is>
      </x:c>
      <x:c r="B224" s="71" t="n"/>
      <x:c r="C224" s="75" t="str">
        <x:f>IF(B224="","",INDEX('Company Universe'!$B$6:$B$105,MATCH(B224,'Company Universe'!$A$6:$A$105,0)))</x:f>
      </x:c>
      <x:c r="D224" s="75" t="str">
        <x:f>IF(B224="","",INDEX('Company Universe'!$C$6:$C$105,MATCH(B224,'Company Universe'!$A$6:$A$105,0)))</x:f>
      </x:c>
      <x:c r="E224" s="206" t="n"/>
      <x:c r="F224" s="71" t="n"/>
      <x:c r="G224" s="71" t="n"/>
      <x:c r="H224" s="71" t="n"/>
      <x:c r="I224" s="71" t="n"/>
      <x:c r="J224" s="206" t="n"/>
      <x:c r="K224" s="71" t="n"/>
      <x:c r="L224" s="71" t="n"/>
      <x:c r="M224" s="206" t="n"/>
      <x:c r="N224" s="71" t="inlineStr">
        <x:is>
          <x:t xml:space="preserve">OPEN</x:t>
        </x:is>
      </x:c>
      <x:c r="O224" s="71" t="n"/>
      <x:c r="P224" s="71" t="n"/>
    </x:row>
    <x:row r="225">
      <x:c r="A225" s="57" t="inlineStr">
        <x:is>
          <x:t xml:space="preserve">MP-220</x:t>
        </x:is>
      </x:c>
      <x:c r="B225" s="71" t="n"/>
      <x:c r="C225" s="75" t="str">
        <x:f>IF(B225="","",INDEX('Company Universe'!$B$6:$B$105,MATCH(B225,'Company Universe'!$A$6:$A$105,0)))</x:f>
      </x:c>
      <x:c r="D225" s="75" t="str">
        <x:f>IF(B225="","",INDEX('Company Universe'!$C$6:$C$105,MATCH(B225,'Company Universe'!$A$6:$A$105,0)))</x:f>
      </x:c>
      <x:c r="E225" s="206" t="n"/>
      <x:c r="F225" s="71" t="n"/>
      <x:c r="G225" s="71" t="n"/>
      <x:c r="H225" s="71" t="n"/>
      <x:c r="I225" s="71" t="n"/>
      <x:c r="J225" s="206" t="n"/>
      <x:c r="K225" s="71" t="n"/>
      <x:c r="L225" s="71" t="n"/>
      <x:c r="M225" s="206" t="n"/>
      <x:c r="N225" s="71" t="inlineStr">
        <x:is>
          <x:t xml:space="preserve">OPEN</x:t>
        </x:is>
      </x:c>
      <x:c r="O225" s="71" t="n"/>
      <x:c r="P225" s="71" t="n"/>
    </x:row>
    <x:row r="226">
      <x:c r="A226" s="57" t="inlineStr">
        <x:is>
          <x:t xml:space="preserve">MP-221</x:t>
        </x:is>
      </x:c>
      <x:c r="B226" s="71" t="n"/>
      <x:c r="C226" s="75" t="str">
        <x:f>IF(B226="","",INDEX('Company Universe'!$B$6:$B$105,MATCH(B226,'Company Universe'!$A$6:$A$105,0)))</x:f>
      </x:c>
      <x:c r="D226" s="75" t="str">
        <x:f>IF(B226="","",INDEX('Company Universe'!$C$6:$C$105,MATCH(B226,'Company Universe'!$A$6:$A$105,0)))</x:f>
      </x:c>
      <x:c r="E226" s="206" t="n"/>
      <x:c r="F226" s="71" t="n"/>
      <x:c r="G226" s="71" t="n"/>
      <x:c r="H226" s="71" t="n"/>
      <x:c r="I226" s="71" t="n"/>
      <x:c r="J226" s="206" t="n"/>
      <x:c r="K226" s="71" t="n"/>
      <x:c r="L226" s="71" t="n"/>
      <x:c r="M226" s="206" t="n"/>
      <x:c r="N226" s="71" t="inlineStr">
        <x:is>
          <x:t xml:space="preserve">OPEN</x:t>
        </x:is>
      </x:c>
      <x:c r="O226" s="71" t="n"/>
      <x:c r="P226" s="71" t="n"/>
    </x:row>
    <x:row r="227">
      <x:c r="A227" s="57" t="inlineStr">
        <x:is>
          <x:t xml:space="preserve">MP-222</x:t>
        </x:is>
      </x:c>
      <x:c r="B227" s="71" t="n"/>
      <x:c r="C227" s="75" t="str">
        <x:f>IF(B227="","",INDEX('Company Universe'!$B$6:$B$105,MATCH(B227,'Company Universe'!$A$6:$A$105,0)))</x:f>
      </x:c>
      <x:c r="D227" s="75" t="str">
        <x:f>IF(B227="","",INDEX('Company Universe'!$C$6:$C$105,MATCH(B227,'Company Universe'!$A$6:$A$105,0)))</x:f>
      </x:c>
      <x:c r="E227" s="206" t="n"/>
      <x:c r="F227" s="71" t="n"/>
      <x:c r="G227" s="71" t="n"/>
      <x:c r="H227" s="71" t="n"/>
      <x:c r="I227" s="71" t="n"/>
      <x:c r="J227" s="206" t="n"/>
      <x:c r="K227" s="71" t="n"/>
      <x:c r="L227" s="71" t="n"/>
      <x:c r="M227" s="206" t="n"/>
      <x:c r="N227" s="71" t="inlineStr">
        <x:is>
          <x:t xml:space="preserve">OPEN</x:t>
        </x:is>
      </x:c>
      <x:c r="O227" s="71" t="n"/>
      <x:c r="P227" s="71" t="n"/>
    </x:row>
    <x:row r="228">
      <x:c r="A228" s="57" t="inlineStr">
        <x:is>
          <x:t xml:space="preserve">MP-223</x:t>
        </x:is>
      </x:c>
      <x:c r="B228" s="71" t="n"/>
      <x:c r="C228" s="75" t="str">
        <x:f>IF(B228="","",INDEX('Company Universe'!$B$6:$B$105,MATCH(B228,'Company Universe'!$A$6:$A$105,0)))</x:f>
      </x:c>
      <x:c r="D228" s="75" t="str">
        <x:f>IF(B228="","",INDEX('Company Universe'!$C$6:$C$105,MATCH(B228,'Company Universe'!$A$6:$A$105,0)))</x:f>
      </x:c>
      <x:c r="E228" s="206" t="n"/>
      <x:c r="F228" s="71" t="n"/>
      <x:c r="G228" s="71" t="n"/>
      <x:c r="H228" s="71" t="n"/>
      <x:c r="I228" s="71" t="n"/>
      <x:c r="J228" s="206" t="n"/>
      <x:c r="K228" s="71" t="n"/>
      <x:c r="L228" s="71" t="n"/>
      <x:c r="M228" s="206" t="n"/>
      <x:c r="N228" s="71" t="inlineStr">
        <x:is>
          <x:t xml:space="preserve">OPEN</x:t>
        </x:is>
      </x:c>
      <x:c r="O228" s="71" t="n"/>
      <x:c r="P228" s="71" t="n"/>
    </x:row>
    <x:row r="229">
      <x:c r="A229" s="57" t="inlineStr">
        <x:is>
          <x:t xml:space="preserve">MP-224</x:t>
        </x:is>
      </x:c>
      <x:c r="B229" s="71" t="n"/>
      <x:c r="C229" s="75" t="str">
        <x:f>IF(B229="","",INDEX('Company Universe'!$B$6:$B$105,MATCH(B229,'Company Universe'!$A$6:$A$105,0)))</x:f>
      </x:c>
      <x:c r="D229" s="75" t="str">
        <x:f>IF(B229="","",INDEX('Company Universe'!$C$6:$C$105,MATCH(B229,'Company Universe'!$A$6:$A$105,0)))</x:f>
      </x:c>
      <x:c r="E229" s="206" t="n"/>
      <x:c r="F229" s="71" t="n"/>
      <x:c r="G229" s="71" t="n"/>
      <x:c r="H229" s="71" t="n"/>
      <x:c r="I229" s="71" t="n"/>
      <x:c r="J229" s="206" t="n"/>
      <x:c r="K229" s="71" t="n"/>
      <x:c r="L229" s="71" t="n"/>
      <x:c r="M229" s="206" t="n"/>
      <x:c r="N229" s="71" t="inlineStr">
        <x:is>
          <x:t xml:space="preserve">OPEN</x:t>
        </x:is>
      </x:c>
      <x:c r="O229" s="71" t="n"/>
      <x:c r="P229" s="71" t="n"/>
    </x:row>
    <x:row r="230">
      <x:c r="A230" s="57" t="inlineStr">
        <x:is>
          <x:t xml:space="preserve">MP-225</x:t>
        </x:is>
      </x:c>
      <x:c r="B230" s="71" t="n"/>
      <x:c r="C230" s="75" t="str">
        <x:f>IF(B230="","",INDEX('Company Universe'!$B$6:$B$105,MATCH(B230,'Company Universe'!$A$6:$A$105,0)))</x:f>
      </x:c>
      <x:c r="D230" s="75" t="str">
        <x:f>IF(B230="","",INDEX('Company Universe'!$C$6:$C$105,MATCH(B230,'Company Universe'!$A$6:$A$105,0)))</x:f>
      </x:c>
      <x:c r="E230" s="206" t="n"/>
      <x:c r="F230" s="71" t="n"/>
      <x:c r="G230" s="71" t="n"/>
      <x:c r="H230" s="71" t="n"/>
      <x:c r="I230" s="71" t="n"/>
      <x:c r="J230" s="206" t="n"/>
      <x:c r="K230" s="71" t="n"/>
      <x:c r="L230" s="71" t="n"/>
      <x:c r="M230" s="206" t="n"/>
      <x:c r="N230" s="71" t="inlineStr">
        <x:is>
          <x:t xml:space="preserve">OPEN</x:t>
        </x:is>
      </x:c>
      <x:c r="O230" s="71" t="n"/>
      <x:c r="P230" s="71" t="n"/>
    </x:row>
    <x:row r="231">
      <x:c r="A231" s="57" t="inlineStr">
        <x:is>
          <x:t xml:space="preserve">MP-226</x:t>
        </x:is>
      </x:c>
      <x:c r="B231" s="71" t="n"/>
      <x:c r="C231" s="75" t="str">
        <x:f>IF(B231="","",INDEX('Company Universe'!$B$6:$B$105,MATCH(B231,'Company Universe'!$A$6:$A$105,0)))</x:f>
      </x:c>
      <x:c r="D231" s="75" t="str">
        <x:f>IF(B231="","",INDEX('Company Universe'!$C$6:$C$105,MATCH(B231,'Company Universe'!$A$6:$A$105,0)))</x:f>
      </x:c>
      <x:c r="E231" s="206" t="n"/>
      <x:c r="F231" s="71" t="n"/>
      <x:c r="G231" s="71" t="n"/>
      <x:c r="H231" s="71" t="n"/>
      <x:c r="I231" s="71" t="n"/>
      <x:c r="J231" s="206" t="n"/>
      <x:c r="K231" s="71" t="n"/>
      <x:c r="L231" s="71" t="n"/>
      <x:c r="M231" s="206" t="n"/>
      <x:c r="N231" s="71" t="inlineStr">
        <x:is>
          <x:t xml:space="preserve">OPEN</x:t>
        </x:is>
      </x:c>
      <x:c r="O231" s="71" t="n"/>
      <x:c r="P231" s="71" t="n"/>
    </x:row>
    <x:row r="232">
      <x:c r="A232" s="57" t="inlineStr">
        <x:is>
          <x:t xml:space="preserve">MP-227</x:t>
        </x:is>
      </x:c>
      <x:c r="B232" s="71" t="n"/>
      <x:c r="C232" s="75" t="str">
        <x:f>IF(B232="","",INDEX('Company Universe'!$B$6:$B$105,MATCH(B232,'Company Universe'!$A$6:$A$105,0)))</x:f>
      </x:c>
      <x:c r="D232" s="75" t="str">
        <x:f>IF(B232="","",INDEX('Company Universe'!$C$6:$C$105,MATCH(B232,'Company Universe'!$A$6:$A$105,0)))</x:f>
      </x:c>
      <x:c r="E232" s="206" t="n"/>
      <x:c r="F232" s="71" t="n"/>
      <x:c r="G232" s="71" t="n"/>
      <x:c r="H232" s="71" t="n"/>
      <x:c r="I232" s="71" t="n"/>
      <x:c r="J232" s="206" t="n"/>
      <x:c r="K232" s="71" t="n"/>
      <x:c r="L232" s="71" t="n"/>
      <x:c r="M232" s="206" t="n"/>
      <x:c r="N232" s="71" t="inlineStr">
        <x:is>
          <x:t xml:space="preserve">OPEN</x:t>
        </x:is>
      </x:c>
      <x:c r="O232" s="71" t="n"/>
      <x:c r="P232" s="71" t="n"/>
    </x:row>
    <x:row r="233">
      <x:c r="A233" s="57" t="inlineStr">
        <x:is>
          <x:t xml:space="preserve">MP-228</x:t>
        </x:is>
      </x:c>
      <x:c r="B233" s="71" t="n"/>
      <x:c r="C233" s="75" t="str">
        <x:f>IF(B233="","",INDEX('Company Universe'!$B$6:$B$105,MATCH(B233,'Company Universe'!$A$6:$A$105,0)))</x:f>
      </x:c>
      <x:c r="D233" s="75" t="str">
        <x:f>IF(B233="","",INDEX('Company Universe'!$C$6:$C$105,MATCH(B233,'Company Universe'!$A$6:$A$105,0)))</x:f>
      </x:c>
      <x:c r="E233" s="206" t="n"/>
      <x:c r="F233" s="71" t="n"/>
      <x:c r="G233" s="71" t="n"/>
      <x:c r="H233" s="71" t="n"/>
      <x:c r="I233" s="71" t="n"/>
      <x:c r="J233" s="206" t="n"/>
      <x:c r="K233" s="71" t="n"/>
      <x:c r="L233" s="71" t="n"/>
      <x:c r="M233" s="206" t="n"/>
      <x:c r="N233" s="71" t="inlineStr">
        <x:is>
          <x:t xml:space="preserve">OPEN</x:t>
        </x:is>
      </x:c>
      <x:c r="O233" s="71" t="n"/>
      <x:c r="P233" s="71" t="n"/>
    </x:row>
    <x:row r="234">
      <x:c r="A234" s="57" t="inlineStr">
        <x:is>
          <x:t xml:space="preserve">MP-229</x:t>
        </x:is>
      </x:c>
      <x:c r="B234" s="71" t="n"/>
      <x:c r="C234" s="75" t="str">
        <x:f>IF(B234="","",INDEX('Company Universe'!$B$6:$B$105,MATCH(B234,'Company Universe'!$A$6:$A$105,0)))</x:f>
      </x:c>
      <x:c r="D234" s="75" t="str">
        <x:f>IF(B234="","",INDEX('Company Universe'!$C$6:$C$105,MATCH(B234,'Company Universe'!$A$6:$A$105,0)))</x:f>
      </x:c>
      <x:c r="E234" s="206" t="n"/>
      <x:c r="F234" s="71" t="n"/>
      <x:c r="G234" s="71" t="n"/>
      <x:c r="H234" s="71" t="n"/>
      <x:c r="I234" s="71" t="n"/>
      <x:c r="J234" s="206" t="n"/>
      <x:c r="K234" s="71" t="n"/>
      <x:c r="L234" s="71" t="n"/>
      <x:c r="M234" s="206" t="n"/>
      <x:c r="N234" s="71" t="inlineStr">
        <x:is>
          <x:t xml:space="preserve">OPEN</x:t>
        </x:is>
      </x:c>
      <x:c r="O234" s="71" t="n"/>
      <x:c r="P234" s="71" t="n"/>
    </x:row>
    <x:row r="235">
      <x:c r="A235" s="57" t="inlineStr">
        <x:is>
          <x:t xml:space="preserve">MP-230</x:t>
        </x:is>
      </x:c>
      <x:c r="B235" s="71" t="n"/>
      <x:c r="C235" s="75" t="str">
        <x:f>IF(B235="","",INDEX('Company Universe'!$B$6:$B$105,MATCH(B235,'Company Universe'!$A$6:$A$105,0)))</x:f>
      </x:c>
      <x:c r="D235" s="75" t="str">
        <x:f>IF(B235="","",INDEX('Company Universe'!$C$6:$C$105,MATCH(B235,'Company Universe'!$A$6:$A$105,0)))</x:f>
      </x:c>
      <x:c r="E235" s="206" t="n"/>
      <x:c r="F235" s="71" t="n"/>
      <x:c r="G235" s="71" t="n"/>
      <x:c r="H235" s="71" t="n"/>
      <x:c r="I235" s="71" t="n"/>
      <x:c r="J235" s="206" t="n"/>
      <x:c r="K235" s="71" t="n"/>
      <x:c r="L235" s="71" t="n"/>
      <x:c r="M235" s="206" t="n"/>
      <x:c r="N235" s="71" t="inlineStr">
        <x:is>
          <x:t xml:space="preserve">OPEN</x:t>
        </x:is>
      </x:c>
      <x:c r="O235" s="71" t="n"/>
      <x:c r="P235" s="71" t="n"/>
    </x:row>
    <x:row r="236">
      <x:c r="A236" s="57" t="inlineStr">
        <x:is>
          <x:t xml:space="preserve">MP-231</x:t>
        </x:is>
      </x:c>
      <x:c r="B236" s="71" t="n"/>
      <x:c r="C236" s="75" t="str">
        <x:f>IF(B236="","",INDEX('Company Universe'!$B$6:$B$105,MATCH(B236,'Company Universe'!$A$6:$A$105,0)))</x:f>
      </x:c>
      <x:c r="D236" s="75" t="str">
        <x:f>IF(B236="","",INDEX('Company Universe'!$C$6:$C$105,MATCH(B236,'Company Universe'!$A$6:$A$105,0)))</x:f>
      </x:c>
      <x:c r="E236" s="206" t="n"/>
      <x:c r="F236" s="71" t="n"/>
      <x:c r="G236" s="71" t="n"/>
      <x:c r="H236" s="71" t="n"/>
      <x:c r="I236" s="71" t="n"/>
      <x:c r="J236" s="206" t="n"/>
      <x:c r="K236" s="71" t="n"/>
      <x:c r="L236" s="71" t="n"/>
      <x:c r="M236" s="206" t="n"/>
      <x:c r="N236" s="71" t="inlineStr">
        <x:is>
          <x:t xml:space="preserve">OPEN</x:t>
        </x:is>
      </x:c>
      <x:c r="O236" s="71" t="n"/>
      <x:c r="P236" s="71" t="n"/>
    </x:row>
    <x:row r="237">
      <x:c r="A237" s="57" t="inlineStr">
        <x:is>
          <x:t xml:space="preserve">MP-232</x:t>
        </x:is>
      </x:c>
      <x:c r="B237" s="71" t="n"/>
      <x:c r="C237" s="75" t="str">
        <x:f>IF(B237="","",INDEX('Company Universe'!$B$6:$B$105,MATCH(B237,'Company Universe'!$A$6:$A$105,0)))</x:f>
      </x:c>
      <x:c r="D237" s="75" t="str">
        <x:f>IF(B237="","",INDEX('Company Universe'!$C$6:$C$105,MATCH(B237,'Company Universe'!$A$6:$A$105,0)))</x:f>
      </x:c>
      <x:c r="E237" s="206" t="n"/>
      <x:c r="F237" s="71" t="n"/>
      <x:c r="G237" s="71" t="n"/>
      <x:c r="H237" s="71" t="n"/>
      <x:c r="I237" s="71" t="n"/>
      <x:c r="J237" s="206" t="n"/>
      <x:c r="K237" s="71" t="n"/>
      <x:c r="L237" s="71" t="n"/>
      <x:c r="M237" s="206" t="n"/>
      <x:c r="N237" s="71" t="inlineStr">
        <x:is>
          <x:t xml:space="preserve">OPEN</x:t>
        </x:is>
      </x:c>
      <x:c r="O237" s="71" t="n"/>
      <x:c r="P237" s="71" t="n"/>
    </x:row>
    <x:row r="238">
      <x:c r="A238" s="57" t="inlineStr">
        <x:is>
          <x:t xml:space="preserve">MP-233</x:t>
        </x:is>
      </x:c>
      <x:c r="B238" s="71" t="n"/>
      <x:c r="C238" s="75" t="str">
        <x:f>IF(B238="","",INDEX('Company Universe'!$B$6:$B$105,MATCH(B238,'Company Universe'!$A$6:$A$105,0)))</x:f>
      </x:c>
      <x:c r="D238" s="75" t="str">
        <x:f>IF(B238="","",INDEX('Company Universe'!$C$6:$C$105,MATCH(B238,'Company Universe'!$A$6:$A$105,0)))</x:f>
      </x:c>
      <x:c r="E238" s="206" t="n"/>
      <x:c r="F238" s="71" t="n"/>
      <x:c r="G238" s="71" t="n"/>
      <x:c r="H238" s="71" t="n"/>
      <x:c r="I238" s="71" t="n"/>
      <x:c r="J238" s="206" t="n"/>
      <x:c r="K238" s="71" t="n"/>
      <x:c r="L238" s="71" t="n"/>
      <x:c r="M238" s="206" t="n"/>
      <x:c r="N238" s="71" t="inlineStr">
        <x:is>
          <x:t xml:space="preserve">OPEN</x:t>
        </x:is>
      </x:c>
      <x:c r="O238" s="71" t="n"/>
      <x:c r="P238" s="71" t="n"/>
    </x:row>
    <x:row r="239">
      <x:c r="A239" s="57" t="inlineStr">
        <x:is>
          <x:t xml:space="preserve">MP-234</x:t>
        </x:is>
      </x:c>
      <x:c r="B239" s="71" t="n"/>
      <x:c r="C239" s="75" t="str">
        <x:f>IF(B239="","",INDEX('Company Universe'!$B$6:$B$105,MATCH(B239,'Company Universe'!$A$6:$A$105,0)))</x:f>
      </x:c>
      <x:c r="D239" s="75" t="str">
        <x:f>IF(B239="","",INDEX('Company Universe'!$C$6:$C$105,MATCH(B239,'Company Universe'!$A$6:$A$105,0)))</x:f>
      </x:c>
      <x:c r="E239" s="206" t="n"/>
      <x:c r="F239" s="71" t="n"/>
      <x:c r="G239" s="71" t="n"/>
      <x:c r="H239" s="71" t="n"/>
      <x:c r="I239" s="71" t="n"/>
      <x:c r="J239" s="206" t="n"/>
      <x:c r="K239" s="71" t="n"/>
      <x:c r="L239" s="71" t="n"/>
      <x:c r="M239" s="206" t="n"/>
      <x:c r="N239" s="71" t="inlineStr">
        <x:is>
          <x:t xml:space="preserve">OPEN</x:t>
        </x:is>
      </x:c>
      <x:c r="O239" s="71" t="n"/>
      <x:c r="P239" s="71" t="n"/>
    </x:row>
    <x:row r="240">
      <x:c r="A240" s="57" t="inlineStr">
        <x:is>
          <x:t xml:space="preserve">MP-235</x:t>
        </x:is>
      </x:c>
      <x:c r="B240" s="71" t="n"/>
      <x:c r="C240" s="75" t="str">
        <x:f>IF(B240="","",INDEX('Company Universe'!$B$6:$B$105,MATCH(B240,'Company Universe'!$A$6:$A$105,0)))</x:f>
      </x:c>
      <x:c r="D240" s="75" t="str">
        <x:f>IF(B240="","",INDEX('Company Universe'!$C$6:$C$105,MATCH(B240,'Company Universe'!$A$6:$A$105,0)))</x:f>
      </x:c>
      <x:c r="E240" s="206" t="n"/>
      <x:c r="F240" s="71" t="n"/>
      <x:c r="G240" s="71" t="n"/>
      <x:c r="H240" s="71" t="n"/>
      <x:c r="I240" s="71" t="n"/>
      <x:c r="J240" s="206" t="n"/>
      <x:c r="K240" s="71" t="n"/>
      <x:c r="L240" s="71" t="n"/>
      <x:c r="M240" s="206" t="n"/>
      <x:c r="N240" s="71" t="inlineStr">
        <x:is>
          <x:t xml:space="preserve">OPEN</x:t>
        </x:is>
      </x:c>
      <x:c r="O240" s="71" t="n"/>
      <x:c r="P240" s="71" t="n"/>
    </x:row>
    <x:row r="241">
      <x:c r="A241" s="57" t="inlineStr">
        <x:is>
          <x:t xml:space="preserve">MP-236</x:t>
        </x:is>
      </x:c>
      <x:c r="B241" s="71" t="n"/>
      <x:c r="C241" s="75" t="str">
        <x:f>IF(B241="","",INDEX('Company Universe'!$B$6:$B$105,MATCH(B241,'Company Universe'!$A$6:$A$105,0)))</x:f>
      </x:c>
      <x:c r="D241" s="75" t="str">
        <x:f>IF(B241="","",INDEX('Company Universe'!$C$6:$C$105,MATCH(B241,'Company Universe'!$A$6:$A$105,0)))</x:f>
      </x:c>
      <x:c r="E241" s="206" t="n"/>
      <x:c r="F241" s="71" t="n"/>
      <x:c r="G241" s="71" t="n"/>
      <x:c r="H241" s="71" t="n"/>
      <x:c r="I241" s="71" t="n"/>
      <x:c r="J241" s="206" t="n"/>
      <x:c r="K241" s="71" t="n"/>
      <x:c r="L241" s="71" t="n"/>
      <x:c r="M241" s="206" t="n"/>
      <x:c r="N241" s="71" t="inlineStr">
        <x:is>
          <x:t xml:space="preserve">OPEN</x:t>
        </x:is>
      </x:c>
      <x:c r="O241" s="71" t="n"/>
      <x:c r="P241" s="71" t="n"/>
    </x:row>
    <x:row r="242">
      <x:c r="A242" s="57" t="inlineStr">
        <x:is>
          <x:t xml:space="preserve">MP-237</x:t>
        </x:is>
      </x:c>
      <x:c r="B242" s="71" t="n"/>
      <x:c r="C242" s="75" t="str">
        <x:f>IF(B242="","",INDEX('Company Universe'!$B$6:$B$105,MATCH(B242,'Company Universe'!$A$6:$A$105,0)))</x:f>
      </x:c>
      <x:c r="D242" s="75" t="str">
        <x:f>IF(B242="","",INDEX('Company Universe'!$C$6:$C$105,MATCH(B242,'Company Universe'!$A$6:$A$105,0)))</x:f>
      </x:c>
      <x:c r="E242" s="206" t="n"/>
      <x:c r="F242" s="71" t="n"/>
      <x:c r="G242" s="71" t="n"/>
      <x:c r="H242" s="71" t="n"/>
      <x:c r="I242" s="71" t="n"/>
      <x:c r="J242" s="206" t="n"/>
      <x:c r="K242" s="71" t="n"/>
      <x:c r="L242" s="71" t="n"/>
      <x:c r="M242" s="206" t="n"/>
      <x:c r="N242" s="71" t="inlineStr">
        <x:is>
          <x:t xml:space="preserve">OPEN</x:t>
        </x:is>
      </x:c>
      <x:c r="O242" s="71" t="n"/>
      <x:c r="P242" s="71" t="n"/>
    </x:row>
    <x:row r="243">
      <x:c r="A243" s="57" t="inlineStr">
        <x:is>
          <x:t xml:space="preserve">MP-238</x:t>
        </x:is>
      </x:c>
      <x:c r="B243" s="71" t="n"/>
      <x:c r="C243" s="75" t="str">
        <x:f>IF(B243="","",INDEX('Company Universe'!$B$6:$B$105,MATCH(B243,'Company Universe'!$A$6:$A$105,0)))</x:f>
      </x:c>
      <x:c r="D243" s="75" t="str">
        <x:f>IF(B243="","",INDEX('Company Universe'!$C$6:$C$105,MATCH(B243,'Company Universe'!$A$6:$A$105,0)))</x:f>
      </x:c>
      <x:c r="E243" s="206" t="n"/>
      <x:c r="F243" s="71" t="n"/>
      <x:c r="G243" s="71" t="n"/>
      <x:c r="H243" s="71" t="n"/>
      <x:c r="I243" s="71" t="n"/>
      <x:c r="J243" s="206" t="n"/>
      <x:c r="K243" s="71" t="n"/>
      <x:c r="L243" s="71" t="n"/>
      <x:c r="M243" s="206" t="n"/>
      <x:c r="N243" s="71" t="inlineStr">
        <x:is>
          <x:t xml:space="preserve">OPEN</x:t>
        </x:is>
      </x:c>
      <x:c r="O243" s="71" t="n"/>
      <x:c r="P243" s="71" t="n"/>
    </x:row>
    <x:row r="244">
      <x:c r="A244" s="57" t="inlineStr">
        <x:is>
          <x:t xml:space="preserve">MP-239</x:t>
        </x:is>
      </x:c>
      <x:c r="B244" s="71" t="n"/>
      <x:c r="C244" s="75" t="str">
        <x:f>IF(B244="","",INDEX('Company Universe'!$B$6:$B$105,MATCH(B244,'Company Universe'!$A$6:$A$105,0)))</x:f>
      </x:c>
      <x:c r="D244" s="75" t="str">
        <x:f>IF(B244="","",INDEX('Company Universe'!$C$6:$C$105,MATCH(B244,'Company Universe'!$A$6:$A$105,0)))</x:f>
      </x:c>
      <x:c r="E244" s="206" t="n"/>
      <x:c r="F244" s="71" t="n"/>
      <x:c r="G244" s="71" t="n"/>
      <x:c r="H244" s="71" t="n"/>
      <x:c r="I244" s="71" t="n"/>
      <x:c r="J244" s="206" t="n"/>
      <x:c r="K244" s="71" t="n"/>
      <x:c r="L244" s="71" t="n"/>
      <x:c r="M244" s="206" t="n"/>
      <x:c r="N244" s="71" t="inlineStr">
        <x:is>
          <x:t xml:space="preserve">OPEN</x:t>
        </x:is>
      </x:c>
      <x:c r="O244" s="71" t="n"/>
      <x:c r="P244" s="71" t="n"/>
    </x:row>
    <x:row r="245">
      <x:c r="A245" s="57" t="inlineStr">
        <x:is>
          <x:t xml:space="preserve">MP-240</x:t>
        </x:is>
      </x:c>
      <x:c r="B245" s="71" t="n"/>
      <x:c r="C245" s="75" t="str">
        <x:f>IF(B245="","",INDEX('Company Universe'!$B$6:$B$105,MATCH(B245,'Company Universe'!$A$6:$A$105,0)))</x:f>
      </x:c>
      <x:c r="D245" s="75" t="str">
        <x:f>IF(B245="","",INDEX('Company Universe'!$C$6:$C$105,MATCH(B245,'Company Universe'!$A$6:$A$105,0)))</x:f>
      </x:c>
      <x:c r="E245" s="206" t="n"/>
      <x:c r="F245" s="71" t="n"/>
      <x:c r="G245" s="71" t="n"/>
      <x:c r="H245" s="71" t="n"/>
      <x:c r="I245" s="71" t="n"/>
      <x:c r="J245" s="206" t="n"/>
      <x:c r="K245" s="71" t="n"/>
      <x:c r="L245" s="71" t="n"/>
      <x:c r="M245" s="206" t="n"/>
      <x:c r="N245" s="71" t="inlineStr">
        <x:is>
          <x:t xml:space="preserve">OPEN</x:t>
        </x:is>
      </x:c>
      <x:c r="O245" s="71" t="n"/>
      <x:c r="P245" s="71" t="n"/>
    </x:row>
    <x:row r="246">
      <x:c r="A246" s="57" t="inlineStr">
        <x:is>
          <x:t xml:space="preserve">MP-241</x:t>
        </x:is>
      </x:c>
      <x:c r="B246" s="71" t="n"/>
      <x:c r="C246" s="75" t="str">
        <x:f>IF(B246="","",INDEX('Company Universe'!$B$6:$B$105,MATCH(B246,'Company Universe'!$A$6:$A$105,0)))</x:f>
      </x:c>
      <x:c r="D246" s="75" t="str">
        <x:f>IF(B246="","",INDEX('Company Universe'!$C$6:$C$105,MATCH(B246,'Company Universe'!$A$6:$A$105,0)))</x:f>
      </x:c>
      <x:c r="E246" s="206" t="n"/>
      <x:c r="F246" s="71" t="n"/>
      <x:c r="G246" s="71" t="n"/>
      <x:c r="H246" s="71" t="n"/>
      <x:c r="I246" s="71" t="n"/>
      <x:c r="J246" s="206" t="n"/>
      <x:c r="K246" s="71" t="n"/>
      <x:c r="L246" s="71" t="n"/>
      <x:c r="M246" s="206" t="n"/>
      <x:c r="N246" s="71" t="inlineStr">
        <x:is>
          <x:t xml:space="preserve">OPEN</x:t>
        </x:is>
      </x:c>
      <x:c r="O246" s="71" t="n"/>
      <x:c r="P246" s="71" t="n"/>
    </x:row>
    <x:row r="247">
      <x:c r="A247" s="57" t="inlineStr">
        <x:is>
          <x:t xml:space="preserve">MP-242</x:t>
        </x:is>
      </x:c>
      <x:c r="B247" s="71" t="n"/>
      <x:c r="C247" s="75" t="str">
        <x:f>IF(B247="","",INDEX('Company Universe'!$B$6:$B$105,MATCH(B247,'Company Universe'!$A$6:$A$105,0)))</x:f>
      </x:c>
      <x:c r="D247" s="75" t="str">
        <x:f>IF(B247="","",INDEX('Company Universe'!$C$6:$C$105,MATCH(B247,'Company Universe'!$A$6:$A$105,0)))</x:f>
      </x:c>
      <x:c r="E247" s="206" t="n"/>
      <x:c r="F247" s="71" t="n"/>
      <x:c r="G247" s="71" t="n"/>
      <x:c r="H247" s="71" t="n"/>
      <x:c r="I247" s="71" t="n"/>
      <x:c r="J247" s="206" t="n"/>
      <x:c r="K247" s="71" t="n"/>
      <x:c r="L247" s="71" t="n"/>
      <x:c r="M247" s="206" t="n"/>
      <x:c r="N247" s="71" t="inlineStr">
        <x:is>
          <x:t xml:space="preserve">OPEN</x:t>
        </x:is>
      </x:c>
      <x:c r="O247" s="71" t="n"/>
      <x:c r="P247" s="71" t="n"/>
    </x:row>
    <x:row r="248">
      <x:c r="A248" s="57" t="inlineStr">
        <x:is>
          <x:t xml:space="preserve">MP-243</x:t>
        </x:is>
      </x:c>
      <x:c r="B248" s="71" t="n"/>
      <x:c r="C248" s="75" t="str">
        <x:f>IF(B248="","",INDEX('Company Universe'!$B$6:$B$105,MATCH(B248,'Company Universe'!$A$6:$A$105,0)))</x:f>
      </x:c>
      <x:c r="D248" s="75" t="str">
        <x:f>IF(B248="","",INDEX('Company Universe'!$C$6:$C$105,MATCH(B248,'Company Universe'!$A$6:$A$105,0)))</x:f>
      </x:c>
      <x:c r="E248" s="206" t="n"/>
      <x:c r="F248" s="71" t="n"/>
      <x:c r="G248" s="71" t="n"/>
      <x:c r="H248" s="71" t="n"/>
      <x:c r="I248" s="71" t="n"/>
      <x:c r="J248" s="206" t="n"/>
      <x:c r="K248" s="71" t="n"/>
      <x:c r="L248" s="71" t="n"/>
      <x:c r="M248" s="206" t="n"/>
      <x:c r="N248" s="71" t="inlineStr">
        <x:is>
          <x:t xml:space="preserve">OPEN</x:t>
        </x:is>
      </x:c>
      <x:c r="O248" s="71" t="n"/>
      <x:c r="P248" s="71" t="n"/>
    </x:row>
    <x:row r="249">
      <x:c r="A249" s="57" t="inlineStr">
        <x:is>
          <x:t xml:space="preserve">MP-244</x:t>
        </x:is>
      </x:c>
      <x:c r="B249" s="71" t="n"/>
      <x:c r="C249" s="75" t="str">
        <x:f>IF(B249="","",INDEX('Company Universe'!$B$6:$B$105,MATCH(B249,'Company Universe'!$A$6:$A$105,0)))</x:f>
      </x:c>
      <x:c r="D249" s="75" t="str">
        <x:f>IF(B249="","",INDEX('Company Universe'!$C$6:$C$105,MATCH(B249,'Company Universe'!$A$6:$A$105,0)))</x:f>
      </x:c>
      <x:c r="E249" s="206" t="n"/>
      <x:c r="F249" s="71" t="n"/>
      <x:c r="G249" s="71" t="n"/>
      <x:c r="H249" s="71" t="n"/>
      <x:c r="I249" s="71" t="n"/>
      <x:c r="J249" s="206" t="n"/>
      <x:c r="K249" s="71" t="n"/>
      <x:c r="L249" s="71" t="n"/>
      <x:c r="M249" s="206" t="n"/>
      <x:c r="N249" s="71" t="inlineStr">
        <x:is>
          <x:t xml:space="preserve">OPEN</x:t>
        </x:is>
      </x:c>
      <x:c r="O249" s="71" t="n"/>
      <x:c r="P249" s="71" t="n"/>
    </x:row>
    <x:row r="250">
      <x:c r="A250" s="57" t="inlineStr">
        <x:is>
          <x:t xml:space="preserve">MP-245</x:t>
        </x:is>
      </x:c>
      <x:c r="B250" s="71" t="n"/>
      <x:c r="C250" s="75" t="str">
        <x:f>IF(B250="","",INDEX('Company Universe'!$B$6:$B$105,MATCH(B250,'Company Universe'!$A$6:$A$105,0)))</x:f>
      </x:c>
      <x:c r="D250" s="75" t="str">
        <x:f>IF(B250="","",INDEX('Company Universe'!$C$6:$C$105,MATCH(B250,'Company Universe'!$A$6:$A$105,0)))</x:f>
      </x:c>
      <x:c r="E250" s="206" t="n"/>
      <x:c r="F250" s="71" t="n"/>
      <x:c r="G250" s="71" t="n"/>
      <x:c r="H250" s="71" t="n"/>
      <x:c r="I250" s="71" t="n"/>
      <x:c r="J250" s="206" t="n"/>
      <x:c r="K250" s="71" t="n"/>
      <x:c r="L250" s="71" t="n"/>
      <x:c r="M250" s="206" t="n"/>
      <x:c r="N250" s="71" t="inlineStr">
        <x:is>
          <x:t xml:space="preserve">OPEN</x:t>
        </x:is>
      </x:c>
      <x:c r="O250" s="71" t="n"/>
      <x:c r="P250" s="71" t="n"/>
    </x:row>
    <x:row r="251">
      <x:c r="A251" s="57" t="inlineStr">
        <x:is>
          <x:t xml:space="preserve">MP-246</x:t>
        </x:is>
      </x:c>
      <x:c r="B251" s="71" t="n"/>
      <x:c r="C251" s="75" t="str">
        <x:f>IF(B251="","",INDEX('Company Universe'!$B$6:$B$105,MATCH(B251,'Company Universe'!$A$6:$A$105,0)))</x:f>
      </x:c>
      <x:c r="D251" s="75" t="str">
        <x:f>IF(B251="","",INDEX('Company Universe'!$C$6:$C$105,MATCH(B251,'Company Universe'!$A$6:$A$105,0)))</x:f>
      </x:c>
      <x:c r="E251" s="206" t="n"/>
      <x:c r="F251" s="71" t="n"/>
      <x:c r="G251" s="71" t="n"/>
      <x:c r="H251" s="71" t="n"/>
      <x:c r="I251" s="71" t="n"/>
      <x:c r="J251" s="206" t="n"/>
      <x:c r="K251" s="71" t="n"/>
      <x:c r="L251" s="71" t="n"/>
      <x:c r="M251" s="206" t="n"/>
      <x:c r="N251" s="71" t="inlineStr">
        <x:is>
          <x:t xml:space="preserve">OPEN</x:t>
        </x:is>
      </x:c>
      <x:c r="O251" s="71" t="n"/>
      <x:c r="P251" s="71" t="n"/>
    </x:row>
    <x:row r="252">
      <x:c r="A252" s="57" t="inlineStr">
        <x:is>
          <x:t xml:space="preserve">MP-247</x:t>
        </x:is>
      </x:c>
      <x:c r="B252" s="71" t="n"/>
      <x:c r="C252" s="75" t="str">
        <x:f>IF(B252="","",INDEX('Company Universe'!$B$6:$B$105,MATCH(B252,'Company Universe'!$A$6:$A$105,0)))</x:f>
      </x:c>
      <x:c r="D252" s="75" t="str">
        <x:f>IF(B252="","",INDEX('Company Universe'!$C$6:$C$105,MATCH(B252,'Company Universe'!$A$6:$A$105,0)))</x:f>
      </x:c>
      <x:c r="E252" s="206" t="n"/>
      <x:c r="F252" s="71" t="n"/>
      <x:c r="G252" s="71" t="n"/>
      <x:c r="H252" s="71" t="n"/>
      <x:c r="I252" s="71" t="n"/>
      <x:c r="J252" s="206" t="n"/>
      <x:c r="K252" s="71" t="n"/>
      <x:c r="L252" s="71" t="n"/>
      <x:c r="M252" s="206" t="n"/>
      <x:c r="N252" s="71" t="inlineStr">
        <x:is>
          <x:t xml:space="preserve">OPEN</x:t>
        </x:is>
      </x:c>
      <x:c r="O252" s="71" t="n"/>
      <x:c r="P252" s="71" t="n"/>
    </x:row>
    <x:row r="253">
      <x:c r="A253" s="57" t="inlineStr">
        <x:is>
          <x:t xml:space="preserve">MP-248</x:t>
        </x:is>
      </x:c>
      <x:c r="B253" s="71" t="n"/>
      <x:c r="C253" s="75" t="str">
        <x:f>IF(B253="","",INDEX('Company Universe'!$B$6:$B$105,MATCH(B253,'Company Universe'!$A$6:$A$105,0)))</x:f>
      </x:c>
      <x:c r="D253" s="75" t="str">
        <x:f>IF(B253="","",INDEX('Company Universe'!$C$6:$C$105,MATCH(B253,'Company Universe'!$A$6:$A$105,0)))</x:f>
      </x:c>
      <x:c r="E253" s="206" t="n"/>
      <x:c r="F253" s="71" t="n"/>
      <x:c r="G253" s="71" t="n"/>
      <x:c r="H253" s="71" t="n"/>
      <x:c r="I253" s="71" t="n"/>
      <x:c r="J253" s="206" t="n"/>
      <x:c r="K253" s="71" t="n"/>
      <x:c r="L253" s="71" t="n"/>
      <x:c r="M253" s="206" t="n"/>
      <x:c r="N253" s="71" t="inlineStr">
        <x:is>
          <x:t xml:space="preserve">OPEN</x:t>
        </x:is>
      </x:c>
      <x:c r="O253" s="71" t="n"/>
      <x:c r="P253" s="71" t="n"/>
    </x:row>
    <x:row r="254">
      <x:c r="A254" s="57" t="inlineStr">
        <x:is>
          <x:t xml:space="preserve">MP-249</x:t>
        </x:is>
      </x:c>
      <x:c r="B254" s="71" t="n"/>
      <x:c r="C254" s="75" t="str">
        <x:f>IF(B254="","",INDEX('Company Universe'!$B$6:$B$105,MATCH(B254,'Company Universe'!$A$6:$A$105,0)))</x:f>
      </x:c>
      <x:c r="D254" s="75" t="str">
        <x:f>IF(B254="","",INDEX('Company Universe'!$C$6:$C$105,MATCH(B254,'Company Universe'!$A$6:$A$105,0)))</x:f>
      </x:c>
      <x:c r="E254" s="206" t="n"/>
      <x:c r="F254" s="71" t="n"/>
      <x:c r="G254" s="71" t="n"/>
      <x:c r="H254" s="71" t="n"/>
      <x:c r="I254" s="71" t="n"/>
      <x:c r="J254" s="206" t="n"/>
      <x:c r="K254" s="71" t="n"/>
      <x:c r="L254" s="71" t="n"/>
      <x:c r="M254" s="206" t="n"/>
      <x:c r="N254" s="71" t="inlineStr">
        <x:is>
          <x:t xml:space="preserve">OPEN</x:t>
        </x:is>
      </x:c>
      <x:c r="O254" s="71" t="n"/>
      <x:c r="P254" s="71" t="n"/>
    </x:row>
    <x:row r="255">
      <x:c r="A255" s="57" t="inlineStr">
        <x:is>
          <x:t xml:space="preserve">MP-250</x:t>
        </x:is>
      </x:c>
      <x:c r="B255" s="71" t="n"/>
      <x:c r="C255" s="75" t="str">
        <x:f>IF(B255="","",INDEX('Company Universe'!$B$6:$B$105,MATCH(B255,'Company Universe'!$A$6:$A$105,0)))</x:f>
      </x:c>
      <x:c r="D255" s="75" t="str">
        <x:f>IF(B255="","",INDEX('Company Universe'!$C$6:$C$105,MATCH(B255,'Company Universe'!$A$6:$A$105,0)))</x:f>
      </x:c>
      <x:c r="E255" s="206" t="n"/>
      <x:c r="F255" s="71" t="n"/>
      <x:c r="G255" s="71" t="n"/>
      <x:c r="H255" s="71" t="n"/>
      <x:c r="I255" s="71" t="n"/>
      <x:c r="J255" s="206" t="n"/>
      <x:c r="K255" s="71" t="n"/>
      <x:c r="L255" s="71" t="n"/>
      <x:c r="M255" s="206" t="n"/>
      <x:c r="N255" s="71" t="inlineStr">
        <x:is>
          <x:t xml:space="preserve">OPEN</x:t>
        </x:is>
      </x:c>
      <x:c r="O255" s="71" t="n"/>
      <x:c r="P255" s="71" t="n"/>
    </x:row>
    <x:row r="256">
      <x:c r="A256" s="57" t="inlineStr">
        <x:is>
          <x:t xml:space="preserve">MP-251</x:t>
        </x:is>
      </x:c>
      <x:c r="B256" s="71" t="n"/>
      <x:c r="C256" s="75" t="str">
        <x:f>IF(B256="","",INDEX('Company Universe'!$B$6:$B$105,MATCH(B256,'Company Universe'!$A$6:$A$105,0)))</x:f>
      </x:c>
      <x:c r="D256" s="75" t="str">
        <x:f>IF(B256="","",INDEX('Company Universe'!$C$6:$C$105,MATCH(B256,'Company Universe'!$A$6:$A$105,0)))</x:f>
      </x:c>
      <x:c r="E256" s="206" t="n"/>
      <x:c r="F256" s="71" t="n"/>
      <x:c r="G256" s="71" t="n"/>
      <x:c r="H256" s="71" t="n"/>
      <x:c r="I256" s="71" t="n"/>
      <x:c r="J256" s="206" t="n"/>
      <x:c r="K256" s="71" t="n"/>
      <x:c r="L256" s="71" t="n"/>
      <x:c r="M256" s="206" t="n"/>
      <x:c r="N256" s="71" t="inlineStr">
        <x:is>
          <x:t xml:space="preserve">OPEN</x:t>
        </x:is>
      </x:c>
      <x:c r="O256" s="71" t="n"/>
      <x:c r="P256" s="71" t="n"/>
    </x:row>
    <x:row r="257">
      <x:c r="A257" s="57" t="inlineStr">
        <x:is>
          <x:t xml:space="preserve">MP-252</x:t>
        </x:is>
      </x:c>
      <x:c r="B257" s="71" t="n"/>
      <x:c r="C257" s="75" t="str">
        <x:f>IF(B257="","",INDEX('Company Universe'!$B$6:$B$105,MATCH(B257,'Company Universe'!$A$6:$A$105,0)))</x:f>
      </x:c>
      <x:c r="D257" s="75" t="str">
        <x:f>IF(B257="","",INDEX('Company Universe'!$C$6:$C$105,MATCH(B257,'Company Universe'!$A$6:$A$105,0)))</x:f>
      </x:c>
      <x:c r="E257" s="206" t="n"/>
      <x:c r="F257" s="71" t="n"/>
      <x:c r="G257" s="71" t="n"/>
      <x:c r="H257" s="71" t="n"/>
      <x:c r="I257" s="71" t="n"/>
      <x:c r="J257" s="206" t="n"/>
      <x:c r="K257" s="71" t="n"/>
      <x:c r="L257" s="71" t="n"/>
      <x:c r="M257" s="206" t="n"/>
      <x:c r="N257" s="71" t="inlineStr">
        <x:is>
          <x:t xml:space="preserve">OPEN</x:t>
        </x:is>
      </x:c>
      <x:c r="O257" s="71" t="n"/>
      <x:c r="P257" s="71" t="n"/>
    </x:row>
    <x:row r="258">
      <x:c r="A258" s="57" t="inlineStr">
        <x:is>
          <x:t xml:space="preserve">MP-253</x:t>
        </x:is>
      </x:c>
      <x:c r="B258" s="71" t="n"/>
      <x:c r="C258" s="75" t="str">
        <x:f>IF(B258="","",INDEX('Company Universe'!$B$6:$B$105,MATCH(B258,'Company Universe'!$A$6:$A$105,0)))</x:f>
      </x:c>
      <x:c r="D258" s="75" t="str">
        <x:f>IF(B258="","",INDEX('Company Universe'!$C$6:$C$105,MATCH(B258,'Company Universe'!$A$6:$A$105,0)))</x:f>
      </x:c>
      <x:c r="E258" s="206" t="n"/>
      <x:c r="F258" s="71" t="n"/>
      <x:c r="G258" s="71" t="n"/>
      <x:c r="H258" s="71" t="n"/>
      <x:c r="I258" s="71" t="n"/>
      <x:c r="J258" s="206" t="n"/>
      <x:c r="K258" s="71" t="n"/>
      <x:c r="L258" s="71" t="n"/>
      <x:c r="M258" s="206" t="n"/>
      <x:c r="N258" s="71" t="inlineStr">
        <x:is>
          <x:t xml:space="preserve">OPEN</x:t>
        </x:is>
      </x:c>
      <x:c r="O258" s="71" t="n"/>
      <x:c r="P258" s="71" t="n"/>
    </x:row>
    <x:row r="259">
      <x:c r="A259" s="57" t="inlineStr">
        <x:is>
          <x:t xml:space="preserve">MP-254</x:t>
        </x:is>
      </x:c>
      <x:c r="B259" s="71" t="n"/>
      <x:c r="C259" s="75" t="str">
        <x:f>IF(B259="","",INDEX('Company Universe'!$B$6:$B$105,MATCH(B259,'Company Universe'!$A$6:$A$105,0)))</x:f>
      </x:c>
      <x:c r="D259" s="75" t="str">
        <x:f>IF(B259="","",INDEX('Company Universe'!$C$6:$C$105,MATCH(B259,'Company Universe'!$A$6:$A$105,0)))</x:f>
      </x:c>
      <x:c r="E259" s="206" t="n"/>
      <x:c r="F259" s="71" t="n"/>
      <x:c r="G259" s="71" t="n"/>
      <x:c r="H259" s="71" t="n"/>
      <x:c r="I259" s="71" t="n"/>
      <x:c r="J259" s="206" t="n"/>
      <x:c r="K259" s="71" t="n"/>
      <x:c r="L259" s="71" t="n"/>
      <x:c r="M259" s="206" t="n"/>
      <x:c r="N259" s="71" t="inlineStr">
        <x:is>
          <x:t xml:space="preserve">OPEN</x:t>
        </x:is>
      </x:c>
      <x:c r="O259" s="71" t="n"/>
      <x:c r="P259" s="71" t="n"/>
    </x:row>
    <x:row r="260">
      <x:c r="A260" s="57" t="inlineStr">
        <x:is>
          <x:t xml:space="preserve">MP-255</x:t>
        </x:is>
      </x:c>
      <x:c r="B260" s="71" t="n"/>
      <x:c r="C260" s="75" t="str">
        <x:f>IF(B260="","",INDEX('Company Universe'!$B$6:$B$105,MATCH(B260,'Company Universe'!$A$6:$A$105,0)))</x:f>
      </x:c>
      <x:c r="D260" s="75" t="str">
        <x:f>IF(B260="","",INDEX('Company Universe'!$C$6:$C$105,MATCH(B260,'Company Universe'!$A$6:$A$105,0)))</x:f>
      </x:c>
      <x:c r="E260" s="206" t="n"/>
      <x:c r="F260" s="71" t="n"/>
      <x:c r="G260" s="71" t="n"/>
      <x:c r="H260" s="71" t="n"/>
      <x:c r="I260" s="71" t="n"/>
      <x:c r="J260" s="206" t="n"/>
      <x:c r="K260" s="71" t="n"/>
      <x:c r="L260" s="71" t="n"/>
      <x:c r="M260" s="206" t="n"/>
      <x:c r="N260" s="71" t="inlineStr">
        <x:is>
          <x:t xml:space="preserve">OPEN</x:t>
        </x:is>
      </x:c>
      <x:c r="O260" s="71" t="n"/>
      <x:c r="P260" s="71" t="n"/>
    </x:row>
    <x:row r="261">
      <x:c r="A261" s="57" t="inlineStr">
        <x:is>
          <x:t xml:space="preserve">MP-256</x:t>
        </x:is>
      </x:c>
      <x:c r="B261" s="71" t="n"/>
      <x:c r="C261" s="75" t="str">
        <x:f>IF(B261="","",INDEX('Company Universe'!$B$6:$B$105,MATCH(B261,'Company Universe'!$A$6:$A$105,0)))</x:f>
      </x:c>
      <x:c r="D261" s="75" t="str">
        <x:f>IF(B261="","",INDEX('Company Universe'!$C$6:$C$105,MATCH(B261,'Company Universe'!$A$6:$A$105,0)))</x:f>
      </x:c>
      <x:c r="E261" s="206" t="n"/>
      <x:c r="F261" s="71" t="n"/>
      <x:c r="G261" s="71" t="n"/>
      <x:c r="H261" s="71" t="n"/>
      <x:c r="I261" s="71" t="n"/>
      <x:c r="J261" s="206" t="n"/>
      <x:c r="K261" s="71" t="n"/>
      <x:c r="L261" s="71" t="n"/>
      <x:c r="M261" s="206" t="n"/>
      <x:c r="N261" s="71" t="inlineStr">
        <x:is>
          <x:t xml:space="preserve">OPEN</x:t>
        </x:is>
      </x:c>
      <x:c r="O261" s="71" t="n"/>
      <x:c r="P261" s="71" t="n"/>
    </x:row>
    <x:row r="262">
      <x:c r="A262" s="57" t="inlineStr">
        <x:is>
          <x:t xml:space="preserve">MP-257</x:t>
        </x:is>
      </x:c>
      <x:c r="B262" s="71" t="n"/>
      <x:c r="C262" s="75" t="str">
        <x:f>IF(B262="","",INDEX('Company Universe'!$B$6:$B$105,MATCH(B262,'Company Universe'!$A$6:$A$105,0)))</x:f>
      </x:c>
      <x:c r="D262" s="75" t="str">
        <x:f>IF(B262="","",INDEX('Company Universe'!$C$6:$C$105,MATCH(B262,'Company Universe'!$A$6:$A$105,0)))</x:f>
      </x:c>
      <x:c r="E262" s="206" t="n"/>
      <x:c r="F262" s="71" t="n"/>
      <x:c r="G262" s="71" t="n"/>
      <x:c r="H262" s="71" t="n"/>
      <x:c r="I262" s="71" t="n"/>
      <x:c r="J262" s="206" t="n"/>
      <x:c r="K262" s="71" t="n"/>
      <x:c r="L262" s="71" t="n"/>
      <x:c r="M262" s="206" t="n"/>
      <x:c r="N262" s="71" t="inlineStr">
        <x:is>
          <x:t xml:space="preserve">OPEN</x:t>
        </x:is>
      </x:c>
      <x:c r="O262" s="71" t="n"/>
      <x:c r="P262" s="71" t="n"/>
    </x:row>
    <x:row r="263">
      <x:c r="A263" s="57" t="inlineStr">
        <x:is>
          <x:t xml:space="preserve">MP-258</x:t>
        </x:is>
      </x:c>
      <x:c r="B263" s="71" t="n"/>
      <x:c r="C263" s="75" t="str">
        <x:f>IF(B263="","",INDEX('Company Universe'!$B$6:$B$105,MATCH(B263,'Company Universe'!$A$6:$A$105,0)))</x:f>
      </x:c>
      <x:c r="D263" s="75" t="str">
        <x:f>IF(B263="","",INDEX('Company Universe'!$C$6:$C$105,MATCH(B263,'Company Universe'!$A$6:$A$105,0)))</x:f>
      </x:c>
      <x:c r="E263" s="206" t="n"/>
      <x:c r="F263" s="71" t="n"/>
      <x:c r="G263" s="71" t="n"/>
      <x:c r="H263" s="71" t="n"/>
      <x:c r="I263" s="71" t="n"/>
      <x:c r="J263" s="206" t="n"/>
      <x:c r="K263" s="71" t="n"/>
      <x:c r="L263" s="71" t="n"/>
      <x:c r="M263" s="206" t="n"/>
      <x:c r="N263" s="71" t="inlineStr">
        <x:is>
          <x:t xml:space="preserve">OPEN</x:t>
        </x:is>
      </x:c>
      <x:c r="O263" s="71" t="n"/>
      <x:c r="P263" s="71" t="n"/>
    </x:row>
    <x:row r="264">
      <x:c r="A264" s="57" t="inlineStr">
        <x:is>
          <x:t xml:space="preserve">MP-259</x:t>
        </x:is>
      </x:c>
      <x:c r="B264" s="71" t="n"/>
      <x:c r="C264" s="75" t="str">
        <x:f>IF(B264="","",INDEX('Company Universe'!$B$6:$B$105,MATCH(B264,'Company Universe'!$A$6:$A$105,0)))</x:f>
      </x:c>
      <x:c r="D264" s="75" t="str">
        <x:f>IF(B264="","",INDEX('Company Universe'!$C$6:$C$105,MATCH(B264,'Company Universe'!$A$6:$A$105,0)))</x:f>
      </x:c>
      <x:c r="E264" s="206" t="n"/>
      <x:c r="F264" s="71" t="n"/>
      <x:c r="G264" s="71" t="n"/>
      <x:c r="H264" s="71" t="n"/>
      <x:c r="I264" s="71" t="n"/>
      <x:c r="J264" s="206" t="n"/>
      <x:c r="K264" s="71" t="n"/>
      <x:c r="L264" s="71" t="n"/>
      <x:c r="M264" s="206" t="n"/>
      <x:c r="N264" s="71" t="inlineStr">
        <x:is>
          <x:t xml:space="preserve">OPEN</x:t>
        </x:is>
      </x:c>
      <x:c r="O264" s="71" t="n"/>
      <x:c r="P264" s="71" t="n"/>
    </x:row>
    <x:row r="265">
      <x:c r="A265" s="57" t="inlineStr">
        <x:is>
          <x:t xml:space="preserve">MP-260</x:t>
        </x:is>
      </x:c>
      <x:c r="B265" s="71" t="n"/>
      <x:c r="C265" s="75" t="str">
        <x:f>IF(B265="","",INDEX('Company Universe'!$B$6:$B$105,MATCH(B265,'Company Universe'!$A$6:$A$105,0)))</x:f>
      </x:c>
      <x:c r="D265" s="75" t="str">
        <x:f>IF(B265="","",INDEX('Company Universe'!$C$6:$C$105,MATCH(B265,'Company Universe'!$A$6:$A$105,0)))</x:f>
      </x:c>
      <x:c r="E265" s="206" t="n"/>
      <x:c r="F265" s="71" t="n"/>
      <x:c r="G265" s="71" t="n"/>
      <x:c r="H265" s="71" t="n"/>
      <x:c r="I265" s="71" t="n"/>
      <x:c r="J265" s="206" t="n"/>
      <x:c r="K265" s="71" t="n"/>
      <x:c r="L265" s="71" t="n"/>
      <x:c r="M265" s="206" t="n"/>
      <x:c r="N265" s="71" t="inlineStr">
        <x:is>
          <x:t xml:space="preserve">OPEN</x:t>
        </x:is>
      </x:c>
      <x:c r="O265" s="71" t="n"/>
      <x:c r="P265" s="71" t="n"/>
    </x:row>
    <x:row r="266">
      <x:c r="A266" s="57" t="inlineStr">
        <x:is>
          <x:t xml:space="preserve">MP-261</x:t>
        </x:is>
      </x:c>
      <x:c r="B266" s="71" t="n"/>
      <x:c r="C266" s="75" t="str">
        <x:f>IF(B266="","",INDEX('Company Universe'!$B$6:$B$105,MATCH(B266,'Company Universe'!$A$6:$A$105,0)))</x:f>
      </x:c>
      <x:c r="D266" s="75" t="str">
        <x:f>IF(B266="","",INDEX('Company Universe'!$C$6:$C$105,MATCH(B266,'Company Universe'!$A$6:$A$105,0)))</x:f>
      </x:c>
      <x:c r="E266" s="206" t="n"/>
      <x:c r="F266" s="71" t="n"/>
      <x:c r="G266" s="71" t="n"/>
      <x:c r="H266" s="71" t="n"/>
      <x:c r="I266" s="71" t="n"/>
      <x:c r="J266" s="206" t="n"/>
      <x:c r="K266" s="71" t="n"/>
      <x:c r="L266" s="71" t="n"/>
      <x:c r="M266" s="206" t="n"/>
      <x:c r="N266" s="71" t="inlineStr">
        <x:is>
          <x:t xml:space="preserve">OPEN</x:t>
        </x:is>
      </x:c>
      <x:c r="O266" s="71" t="n"/>
      <x:c r="P266" s="71" t="n"/>
    </x:row>
    <x:row r="267">
      <x:c r="A267" s="57" t="inlineStr">
        <x:is>
          <x:t xml:space="preserve">MP-262</x:t>
        </x:is>
      </x:c>
      <x:c r="B267" s="71" t="n"/>
      <x:c r="C267" s="75" t="str">
        <x:f>IF(B267="","",INDEX('Company Universe'!$B$6:$B$105,MATCH(B267,'Company Universe'!$A$6:$A$105,0)))</x:f>
      </x:c>
      <x:c r="D267" s="75" t="str">
        <x:f>IF(B267="","",INDEX('Company Universe'!$C$6:$C$105,MATCH(B267,'Company Universe'!$A$6:$A$105,0)))</x:f>
      </x:c>
      <x:c r="E267" s="206" t="n"/>
      <x:c r="F267" s="71" t="n"/>
      <x:c r="G267" s="71" t="n"/>
      <x:c r="H267" s="71" t="n"/>
      <x:c r="I267" s="71" t="n"/>
      <x:c r="J267" s="206" t="n"/>
      <x:c r="K267" s="71" t="n"/>
      <x:c r="L267" s="71" t="n"/>
      <x:c r="M267" s="206" t="n"/>
      <x:c r="N267" s="71" t="inlineStr">
        <x:is>
          <x:t xml:space="preserve">OPEN</x:t>
        </x:is>
      </x:c>
      <x:c r="O267" s="71" t="n"/>
      <x:c r="P267" s="71" t="n"/>
    </x:row>
    <x:row r="268">
      <x:c r="A268" s="57" t="inlineStr">
        <x:is>
          <x:t xml:space="preserve">MP-263</x:t>
        </x:is>
      </x:c>
      <x:c r="B268" s="71" t="n"/>
      <x:c r="C268" s="75" t="str">
        <x:f>IF(B268="","",INDEX('Company Universe'!$B$6:$B$105,MATCH(B268,'Company Universe'!$A$6:$A$105,0)))</x:f>
      </x:c>
      <x:c r="D268" s="75" t="str">
        <x:f>IF(B268="","",INDEX('Company Universe'!$C$6:$C$105,MATCH(B268,'Company Universe'!$A$6:$A$105,0)))</x:f>
      </x:c>
      <x:c r="E268" s="206" t="n"/>
      <x:c r="F268" s="71" t="n"/>
      <x:c r="G268" s="71" t="n"/>
      <x:c r="H268" s="71" t="n"/>
      <x:c r="I268" s="71" t="n"/>
      <x:c r="J268" s="206" t="n"/>
      <x:c r="K268" s="71" t="n"/>
      <x:c r="L268" s="71" t="n"/>
      <x:c r="M268" s="206" t="n"/>
      <x:c r="N268" s="71" t="inlineStr">
        <x:is>
          <x:t xml:space="preserve">OPEN</x:t>
        </x:is>
      </x:c>
      <x:c r="O268" s="71" t="n"/>
      <x:c r="P268" s="71" t="n"/>
    </x:row>
    <x:row r="269">
      <x:c r="A269" s="57" t="inlineStr">
        <x:is>
          <x:t xml:space="preserve">MP-264</x:t>
        </x:is>
      </x:c>
      <x:c r="B269" s="71" t="n"/>
      <x:c r="C269" s="75" t="str">
        <x:f>IF(B269="","",INDEX('Company Universe'!$B$6:$B$105,MATCH(B269,'Company Universe'!$A$6:$A$105,0)))</x:f>
      </x:c>
      <x:c r="D269" s="75" t="str">
        <x:f>IF(B269="","",INDEX('Company Universe'!$C$6:$C$105,MATCH(B269,'Company Universe'!$A$6:$A$105,0)))</x:f>
      </x:c>
      <x:c r="E269" s="206" t="n"/>
      <x:c r="F269" s="71" t="n"/>
      <x:c r="G269" s="71" t="n"/>
      <x:c r="H269" s="71" t="n"/>
      <x:c r="I269" s="71" t="n"/>
      <x:c r="J269" s="206" t="n"/>
      <x:c r="K269" s="71" t="n"/>
      <x:c r="L269" s="71" t="n"/>
      <x:c r="M269" s="206" t="n"/>
      <x:c r="N269" s="71" t="inlineStr">
        <x:is>
          <x:t xml:space="preserve">OPEN</x:t>
        </x:is>
      </x:c>
      <x:c r="O269" s="71" t="n"/>
      <x:c r="P269" s="71" t="n"/>
    </x:row>
    <x:row r="270">
      <x:c r="A270" s="57" t="inlineStr">
        <x:is>
          <x:t xml:space="preserve">MP-265</x:t>
        </x:is>
      </x:c>
      <x:c r="B270" s="71" t="n"/>
      <x:c r="C270" s="75" t="str">
        <x:f>IF(B270="","",INDEX('Company Universe'!$B$6:$B$105,MATCH(B270,'Company Universe'!$A$6:$A$105,0)))</x:f>
      </x:c>
      <x:c r="D270" s="75" t="str">
        <x:f>IF(B270="","",INDEX('Company Universe'!$C$6:$C$105,MATCH(B270,'Company Universe'!$A$6:$A$105,0)))</x:f>
      </x:c>
      <x:c r="E270" s="206" t="n"/>
      <x:c r="F270" s="71" t="n"/>
      <x:c r="G270" s="71" t="n"/>
      <x:c r="H270" s="71" t="n"/>
      <x:c r="I270" s="71" t="n"/>
      <x:c r="J270" s="206" t="n"/>
      <x:c r="K270" s="71" t="n"/>
      <x:c r="L270" s="71" t="n"/>
      <x:c r="M270" s="206" t="n"/>
      <x:c r="N270" s="71" t="inlineStr">
        <x:is>
          <x:t xml:space="preserve">OPEN</x:t>
        </x:is>
      </x:c>
      <x:c r="O270" s="71" t="n"/>
      <x:c r="P270" s="71" t="n"/>
    </x:row>
    <x:row r="271">
      <x:c r="A271" s="57" t="inlineStr">
        <x:is>
          <x:t xml:space="preserve">MP-266</x:t>
        </x:is>
      </x:c>
      <x:c r="B271" s="71" t="n"/>
      <x:c r="C271" s="75" t="str">
        <x:f>IF(B271="","",INDEX('Company Universe'!$B$6:$B$105,MATCH(B271,'Company Universe'!$A$6:$A$105,0)))</x:f>
      </x:c>
      <x:c r="D271" s="75" t="str">
        <x:f>IF(B271="","",INDEX('Company Universe'!$C$6:$C$105,MATCH(B271,'Company Universe'!$A$6:$A$105,0)))</x:f>
      </x:c>
      <x:c r="E271" s="206" t="n"/>
      <x:c r="F271" s="71" t="n"/>
      <x:c r="G271" s="71" t="n"/>
      <x:c r="H271" s="71" t="n"/>
      <x:c r="I271" s="71" t="n"/>
      <x:c r="J271" s="206" t="n"/>
      <x:c r="K271" s="71" t="n"/>
      <x:c r="L271" s="71" t="n"/>
      <x:c r="M271" s="206" t="n"/>
      <x:c r="N271" s="71" t="inlineStr">
        <x:is>
          <x:t xml:space="preserve">OPEN</x:t>
        </x:is>
      </x:c>
      <x:c r="O271" s="71" t="n"/>
      <x:c r="P271" s="71" t="n"/>
    </x:row>
    <x:row r="272">
      <x:c r="A272" s="57" t="inlineStr">
        <x:is>
          <x:t xml:space="preserve">MP-267</x:t>
        </x:is>
      </x:c>
      <x:c r="B272" s="71" t="n"/>
      <x:c r="C272" s="75" t="str">
        <x:f>IF(B272="","",INDEX('Company Universe'!$B$6:$B$105,MATCH(B272,'Company Universe'!$A$6:$A$105,0)))</x:f>
      </x:c>
      <x:c r="D272" s="75" t="str">
        <x:f>IF(B272="","",INDEX('Company Universe'!$C$6:$C$105,MATCH(B272,'Company Universe'!$A$6:$A$105,0)))</x:f>
      </x:c>
      <x:c r="E272" s="206" t="n"/>
      <x:c r="F272" s="71" t="n"/>
      <x:c r="G272" s="71" t="n"/>
      <x:c r="H272" s="71" t="n"/>
      <x:c r="I272" s="71" t="n"/>
      <x:c r="J272" s="206" t="n"/>
      <x:c r="K272" s="71" t="n"/>
      <x:c r="L272" s="71" t="n"/>
      <x:c r="M272" s="206" t="n"/>
      <x:c r="N272" s="71" t="inlineStr">
        <x:is>
          <x:t xml:space="preserve">OPEN</x:t>
        </x:is>
      </x:c>
      <x:c r="O272" s="71" t="n"/>
      <x:c r="P272" s="71" t="n"/>
    </x:row>
    <x:row r="273">
      <x:c r="A273" s="57" t="inlineStr">
        <x:is>
          <x:t xml:space="preserve">MP-268</x:t>
        </x:is>
      </x:c>
      <x:c r="B273" s="71" t="n"/>
      <x:c r="C273" s="75" t="str">
        <x:f>IF(B273="","",INDEX('Company Universe'!$B$6:$B$105,MATCH(B273,'Company Universe'!$A$6:$A$105,0)))</x:f>
      </x:c>
      <x:c r="D273" s="75" t="str">
        <x:f>IF(B273="","",INDEX('Company Universe'!$C$6:$C$105,MATCH(B273,'Company Universe'!$A$6:$A$105,0)))</x:f>
      </x:c>
      <x:c r="E273" s="206" t="n"/>
      <x:c r="F273" s="71" t="n"/>
      <x:c r="G273" s="71" t="n"/>
      <x:c r="H273" s="71" t="n"/>
      <x:c r="I273" s="71" t="n"/>
      <x:c r="J273" s="206" t="n"/>
      <x:c r="K273" s="71" t="n"/>
      <x:c r="L273" s="71" t="n"/>
      <x:c r="M273" s="206" t="n"/>
      <x:c r="N273" s="71" t="inlineStr">
        <x:is>
          <x:t xml:space="preserve">OPEN</x:t>
        </x:is>
      </x:c>
      <x:c r="O273" s="71" t="n"/>
      <x:c r="P273" s="71" t="n"/>
    </x:row>
    <x:row r="274">
      <x:c r="A274" s="57" t="inlineStr">
        <x:is>
          <x:t xml:space="preserve">MP-269</x:t>
        </x:is>
      </x:c>
      <x:c r="B274" s="71" t="n"/>
      <x:c r="C274" s="75" t="str">
        <x:f>IF(B274="","",INDEX('Company Universe'!$B$6:$B$105,MATCH(B274,'Company Universe'!$A$6:$A$105,0)))</x:f>
      </x:c>
      <x:c r="D274" s="75" t="str">
        <x:f>IF(B274="","",INDEX('Company Universe'!$C$6:$C$105,MATCH(B274,'Company Universe'!$A$6:$A$105,0)))</x:f>
      </x:c>
      <x:c r="E274" s="206" t="n"/>
      <x:c r="F274" s="71" t="n"/>
      <x:c r="G274" s="71" t="n"/>
      <x:c r="H274" s="71" t="n"/>
      <x:c r="I274" s="71" t="n"/>
      <x:c r="J274" s="206" t="n"/>
      <x:c r="K274" s="71" t="n"/>
      <x:c r="L274" s="71" t="n"/>
      <x:c r="M274" s="206" t="n"/>
      <x:c r="N274" s="71" t="inlineStr">
        <x:is>
          <x:t xml:space="preserve">OPEN</x:t>
        </x:is>
      </x:c>
      <x:c r="O274" s="71" t="n"/>
      <x:c r="P274" s="71" t="n"/>
    </x:row>
    <x:row r="275">
      <x:c r="A275" s="57" t="inlineStr">
        <x:is>
          <x:t xml:space="preserve">MP-270</x:t>
        </x:is>
      </x:c>
      <x:c r="B275" s="71" t="n"/>
      <x:c r="C275" s="75" t="str">
        <x:f>IF(B275="","",INDEX('Company Universe'!$B$6:$B$105,MATCH(B275,'Company Universe'!$A$6:$A$105,0)))</x:f>
      </x:c>
      <x:c r="D275" s="75" t="str">
        <x:f>IF(B275="","",INDEX('Company Universe'!$C$6:$C$105,MATCH(B275,'Company Universe'!$A$6:$A$105,0)))</x:f>
      </x:c>
      <x:c r="E275" s="206" t="n"/>
      <x:c r="F275" s="71" t="n"/>
      <x:c r="G275" s="71" t="n"/>
      <x:c r="H275" s="71" t="n"/>
      <x:c r="I275" s="71" t="n"/>
      <x:c r="J275" s="206" t="n"/>
      <x:c r="K275" s="71" t="n"/>
      <x:c r="L275" s="71" t="n"/>
      <x:c r="M275" s="206" t="n"/>
      <x:c r="N275" s="71" t="inlineStr">
        <x:is>
          <x:t xml:space="preserve">OPEN</x:t>
        </x:is>
      </x:c>
      <x:c r="O275" s="71" t="n"/>
      <x:c r="P275" s="71" t="n"/>
    </x:row>
    <x:row r="276">
      <x:c r="A276" s="57" t="inlineStr">
        <x:is>
          <x:t xml:space="preserve">MP-271</x:t>
        </x:is>
      </x:c>
      <x:c r="B276" s="71" t="n"/>
      <x:c r="C276" s="75" t="str">
        <x:f>IF(B276="","",INDEX('Company Universe'!$B$6:$B$105,MATCH(B276,'Company Universe'!$A$6:$A$105,0)))</x:f>
      </x:c>
      <x:c r="D276" s="75" t="str">
        <x:f>IF(B276="","",INDEX('Company Universe'!$C$6:$C$105,MATCH(B276,'Company Universe'!$A$6:$A$105,0)))</x:f>
      </x:c>
      <x:c r="E276" s="206" t="n"/>
      <x:c r="F276" s="71" t="n"/>
      <x:c r="G276" s="71" t="n"/>
      <x:c r="H276" s="71" t="n"/>
      <x:c r="I276" s="71" t="n"/>
      <x:c r="J276" s="206" t="n"/>
      <x:c r="K276" s="71" t="n"/>
      <x:c r="L276" s="71" t="n"/>
      <x:c r="M276" s="206" t="n"/>
      <x:c r="N276" s="71" t="inlineStr">
        <x:is>
          <x:t xml:space="preserve">OPEN</x:t>
        </x:is>
      </x:c>
      <x:c r="O276" s="71" t="n"/>
      <x:c r="P276" s="71" t="n"/>
    </x:row>
    <x:row r="277">
      <x:c r="A277" s="57" t="inlineStr">
        <x:is>
          <x:t xml:space="preserve">MP-272</x:t>
        </x:is>
      </x:c>
      <x:c r="B277" s="71" t="n"/>
      <x:c r="C277" s="75" t="str">
        <x:f>IF(B277="","",INDEX('Company Universe'!$B$6:$B$105,MATCH(B277,'Company Universe'!$A$6:$A$105,0)))</x:f>
      </x:c>
      <x:c r="D277" s="75" t="str">
        <x:f>IF(B277="","",INDEX('Company Universe'!$C$6:$C$105,MATCH(B277,'Company Universe'!$A$6:$A$105,0)))</x:f>
      </x:c>
      <x:c r="E277" s="206" t="n"/>
      <x:c r="F277" s="71" t="n"/>
      <x:c r="G277" s="71" t="n"/>
      <x:c r="H277" s="71" t="n"/>
      <x:c r="I277" s="71" t="n"/>
      <x:c r="J277" s="206" t="n"/>
      <x:c r="K277" s="71" t="n"/>
      <x:c r="L277" s="71" t="n"/>
      <x:c r="M277" s="206" t="n"/>
      <x:c r="N277" s="71" t="inlineStr">
        <x:is>
          <x:t xml:space="preserve">OPEN</x:t>
        </x:is>
      </x:c>
      <x:c r="O277" s="71" t="n"/>
      <x:c r="P277" s="71" t="n"/>
    </x:row>
    <x:row r="278">
      <x:c r="A278" s="57" t="inlineStr">
        <x:is>
          <x:t xml:space="preserve">MP-273</x:t>
        </x:is>
      </x:c>
      <x:c r="B278" s="71" t="n"/>
      <x:c r="C278" s="75" t="str">
        <x:f>IF(B278="","",INDEX('Company Universe'!$B$6:$B$105,MATCH(B278,'Company Universe'!$A$6:$A$105,0)))</x:f>
      </x:c>
      <x:c r="D278" s="75" t="str">
        <x:f>IF(B278="","",INDEX('Company Universe'!$C$6:$C$105,MATCH(B278,'Company Universe'!$A$6:$A$105,0)))</x:f>
      </x:c>
      <x:c r="E278" s="206" t="n"/>
      <x:c r="F278" s="71" t="n"/>
      <x:c r="G278" s="71" t="n"/>
      <x:c r="H278" s="71" t="n"/>
      <x:c r="I278" s="71" t="n"/>
      <x:c r="J278" s="206" t="n"/>
      <x:c r="K278" s="71" t="n"/>
      <x:c r="L278" s="71" t="n"/>
      <x:c r="M278" s="206" t="n"/>
      <x:c r="N278" s="71" t="inlineStr">
        <x:is>
          <x:t xml:space="preserve">OPEN</x:t>
        </x:is>
      </x:c>
      <x:c r="O278" s="71" t="n"/>
      <x:c r="P278" s="71" t="n"/>
    </x:row>
    <x:row r="279">
      <x:c r="A279" s="57" t="inlineStr">
        <x:is>
          <x:t xml:space="preserve">MP-274</x:t>
        </x:is>
      </x:c>
      <x:c r="B279" s="71" t="n"/>
      <x:c r="C279" s="75" t="str">
        <x:f>IF(B279="","",INDEX('Company Universe'!$B$6:$B$105,MATCH(B279,'Company Universe'!$A$6:$A$105,0)))</x:f>
      </x:c>
      <x:c r="D279" s="75" t="str">
        <x:f>IF(B279="","",INDEX('Company Universe'!$C$6:$C$105,MATCH(B279,'Company Universe'!$A$6:$A$105,0)))</x:f>
      </x:c>
      <x:c r="E279" s="206" t="n"/>
      <x:c r="F279" s="71" t="n"/>
      <x:c r="G279" s="71" t="n"/>
      <x:c r="H279" s="71" t="n"/>
      <x:c r="I279" s="71" t="n"/>
      <x:c r="J279" s="206" t="n"/>
      <x:c r="K279" s="71" t="n"/>
      <x:c r="L279" s="71" t="n"/>
      <x:c r="M279" s="206" t="n"/>
      <x:c r="N279" s="71" t="inlineStr">
        <x:is>
          <x:t xml:space="preserve">OPEN</x:t>
        </x:is>
      </x:c>
      <x:c r="O279" s="71" t="n"/>
      <x:c r="P279" s="71" t="n"/>
    </x:row>
    <x:row r="280">
      <x:c r="A280" s="57" t="inlineStr">
        <x:is>
          <x:t xml:space="preserve">MP-275</x:t>
        </x:is>
      </x:c>
      <x:c r="B280" s="71" t="n"/>
      <x:c r="C280" s="75" t="str">
        <x:f>IF(B280="","",INDEX('Company Universe'!$B$6:$B$105,MATCH(B280,'Company Universe'!$A$6:$A$105,0)))</x:f>
      </x:c>
      <x:c r="D280" s="75" t="str">
        <x:f>IF(B280="","",INDEX('Company Universe'!$C$6:$C$105,MATCH(B280,'Company Universe'!$A$6:$A$105,0)))</x:f>
      </x:c>
      <x:c r="E280" s="206" t="n"/>
      <x:c r="F280" s="71" t="n"/>
      <x:c r="G280" s="71" t="n"/>
      <x:c r="H280" s="71" t="n"/>
      <x:c r="I280" s="71" t="n"/>
      <x:c r="J280" s="206" t="n"/>
      <x:c r="K280" s="71" t="n"/>
      <x:c r="L280" s="71" t="n"/>
      <x:c r="M280" s="206" t="n"/>
      <x:c r="N280" s="71" t="inlineStr">
        <x:is>
          <x:t xml:space="preserve">OPEN</x:t>
        </x:is>
      </x:c>
      <x:c r="O280" s="71" t="n"/>
      <x:c r="P280" s="71" t="n"/>
    </x:row>
    <x:row r="281">
      <x:c r="A281" s="57" t="inlineStr">
        <x:is>
          <x:t xml:space="preserve">MP-276</x:t>
        </x:is>
      </x:c>
      <x:c r="B281" s="71" t="n"/>
      <x:c r="C281" s="75" t="str">
        <x:f>IF(B281="","",INDEX('Company Universe'!$B$6:$B$105,MATCH(B281,'Company Universe'!$A$6:$A$105,0)))</x:f>
      </x:c>
      <x:c r="D281" s="75" t="str">
        <x:f>IF(B281="","",INDEX('Company Universe'!$C$6:$C$105,MATCH(B281,'Company Universe'!$A$6:$A$105,0)))</x:f>
      </x:c>
      <x:c r="E281" s="206" t="n"/>
      <x:c r="F281" s="71" t="n"/>
      <x:c r="G281" s="71" t="n"/>
      <x:c r="H281" s="71" t="n"/>
      <x:c r="I281" s="71" t="n"/>
      <x:c r="J281" s="206" t="n"/>
      <x:c r="K281" s="71" t="n"/>
      <x:c r="L281" s="71" t="n"/>
      <x:c r="M281" s="206" t="n"/>
      <x:c r="N281" s="71" t="inlineStr">
        <x:is>
          <x:t xml:space="preserve">OPEN</x:t>
        </x:is>
      </x:c>
      <x:c r="O281" s="71" t="n"/>
      <x:c r="P281" s="71" t="n"/>
    </x:row>
    <x:row r="282">
      <x:c r="A282" s="57" t="inlineStr">
        <x:is>
          <x:t xml:space="preserve">MP-277</x:t>
        </x:is>
      </x:c>
      <x:c r="B282" s="71" t="n"/>
      <x:c r="C282" s="75" t="str">
        <x:f>IF(B282="","",INDEX('Company Universe'!$B$6:$B$105,MATCH(B282,'Company Universe'!$A$6:$A$105,0)))</x:f>
      </x:c>
      <x:c r="D282" s="75" t="str">
        <x:f>IF(B282="","",INDEX('Company Universe'!$C$6:$C$105,MATCH(B282,'Company Universe'!$A$6:$A$105,0)))</x:f>
      </x:c>
      <x:c r="E282" s="206" t="n"/>
      <x:c r="F282" s="71" t="n"/>
      <x:c r="G282" s="71" t="n"/>
      <x:c r="H282" s="71" t="n"/>
      <x:c r="I282" s="71" t="n"/>
      <x:c r="J282" s="206" t="n"/>
      <x:c r="K282" s="71" t="n"/>
      <x:c r="L282" s="71" t="n"/>
      <x:c r="M282" s="206" t="n"/>
      <x:c r="N282" s="71" t="inlineStr">
        <x:is>
          <x:t xml:space="preserve">OPEN</x:t>
        </x:is>
      </x:c>
      <x:c r="O282" s="71" t="n"/>
      <x:c r="P282" s="71" t="n"/>
    </x:row>
    <x:row r="283">
      <x:c r="A283" s="57" t="inlineStr">
        <x:is>
          <x:t xml:space="preserve">MP-278</x:t>
        </x:is>
      </x:c>
      <x:c r="B283" s="71" t="n"/>
      <x:c r="C283" s="75" t="str">
        <x:f>IF(B283="","",INDEX('Company Universe'!$B$6:$B$105,MATCH(B283,'Company Universe'!$A$6:$A$105,0)))</x:f>
      </x:c>
      <x:c r="D283" s="75" t="str">
        <x:f>IF(B283="","",INDEX('Company Universe'!$C$6:$C$105,MATCH(B283,'Company Universe'!$A$6:$A$105,0)))</x:f>
      </x:c>
      <x:c r="E283" s="206" t="n"/>
      <x:c r="F283" s="71" t="n"/>
      <x:c r="G283" s="71" t="n"/>
      <x:c r="H283" s="71" t="n"/>
      <x:c r="I283" s="71" t="n"/>
      <x:c r="J283" s="206" t="n"/>
      <x:c r="K283" s="71" t="n"/>
      <x:c r="L283" s="71" t="n"/>
      <x:c r="M283" s="206" t="n"/>
      <x:c r="N283" s="71" t="inlineStr">
        <x:is>
          <x:t xml:space="preserve">OPEN</x:t>
        </x:is>
      </x:c>
      <x:c r="O283" s="71" t="n"/>
      <x:c r="P283" s="71" t="n"/>
    </x:row>
    <x:row r="284">
      <x:c r="A284" s="57" t="inlineStr">
        <x:is>
          <x:t xml:space="preserve">MP-279</x:t>
        </x:is>
      </x:c>
      <x:c r="B284" s="71" t="n"/>
      <x:c r="C284" s="75" t="str">
        <x:f>IF(B284="","",INDEX('Company Universe'!$B$6:$B$105,MATCH(B284,'Company Universe'!$A$6:$A$105,0)))</x:f>
      </x:c>
      <x:c r="D284" s="75" t="str">
        <x:f>IF(B284="","",INDEX('Company Universe'!$C$6:$C$105,MATCH(B284,'Company Universe'!$A$6:$A$105,0)))</x:f>
      </x:c>
      <x:c r="E284" s="206" t="n"/>
      <x:c r="F284" s="71" t="n"/>
      <x:c r="G284" s="71" t="n"/>
      <x:c r="H284" s="71" t="n"/>
      <x:c r="I284" s="71" t="n"/>
      <x:c r="J284" s="206" t="n"/>
      <x:c r="K284" s="71" t="n"/>
      <x:c r="L284" s="71" t="n"/>
      <x:c r="M284" s="206" t="n"/>
      <x:c r="N284" s="71" t="inlineStr">
        <x:is>
          <x:t xml:space="preserve">OPEN</x:t>
        </x:is>
      </x:c>
      <x:c r="O284" s="71" t="n"/>
      <x:c r="P284" s="71" t="n"/>
    </x:row>
    <x:row r="285">
      <x:c r="A285" s="57" t="inlineStr">
        <x:is>
          <x:t xml:space="preserve">MP-280</x:t>
        </x:is>
      </x:c>
      <x:c r="B285" s="71" t="n"/>
      <x:c r="C285" s="75" t="str">
        <x:f>IF(B285="","",INDEX('Company Universe'!$B$6:$B$105,MATCH(B285,'Company Universe'!$A$6:$A$105,0)))</x:f>
      </x:c>
      <x:c r="D285" s="75" t="str">
        <x:f>IF(B285="","",INDEX('Company Universe'!$C$6:$C$105,MATCH(B285,'Company Universe'!$A$6:$A$105,0)))</x:f>
      </x:c>
      <x:c r="E285" s="206" t="n"/>
      <x:c r="F285" s="71" t="n"/>
      <x:c r="G285" s="71" t="n"/>
      <x:c r="H285" s="71" t="n"/>
      <x:c r="I285" s="71" t="n"/>
      <x:c r="J285" s="206" t="n"/>
      <x:c r="K285" s="71" t="n"/>
      <x:c r="L285" s="71" t="n"/>
      <x:c r="M285" s="206" t="n"/>
      <x:c r="N285" s="71" t="inlineStr">
        <x:is>
          <x:t xml:space="preserve">OPEN</x:t>
        </x:is>
      </x:c>
      <x:c r="O285" s="71" t="n"/>
      <x:c r="P285" s="71" t="n"/>
    </x:row>
    <x:row r="286">
      <x:c r="A286" s="57" t="inlineStr">
        <x:is>
          <x:t xml:space="preserve">MP-281</x:t>
        </x:is>
      </x:c>
      <x:c r="B286" s="71" t="n"/>
      <x:c r="C286" s="75" t="str">
        <x:f>IF(B286="","",INDEX('Company Universe'!$B$6:$B$105,MATCH(B286,'Company Universe'!$A$6:$A$105,0)))</x:f>
      </x:c>
      <x:c r="D286" s="75" t="str">
        <x:f>IF(B286="","",INDEX('Company Universe'!$C$6:$C$105,MATCH(B286,'Company Universe'!$A$6:$A$105,0)))</x:f>
      </x:c>
      <x:c r="E286" s="206" t="n"/>
      <x:c r="F286" s="71" t="n"/>
      <x:c r="G286" s="71" t="n"/>
      <x:c r="H286" s="71" t="n"/>
      <x:c r="I286" s="71" t="n"/>
      <x:c r="J286" s="206" t="n"/>
      <x:c r="K286" s="71" t="n"/>
      <x:c r="L286" s="71" t="n"/>
      <x:c r="M286" s="206" t="n"/>
      <x:c r="N286" s="71" t="inlineStr">
        <x:is>
          <x:t xml:space="preserve">OPEN</x:t>
        </x:is>
      </x:c>
      <x:c r="O286" s="71" t="n"/>
      <x:c r="P286" s="71" t="n"/>
    </x:row>
    <x:row r="287">
      <x:c r="A287" s="57" t="inlineStr">
        <x:is>
          <x:t xml:space="preserve">MP-282</x:t>
        </x:is>
      </x:c>
      <x:c r="B287" s="71" t="n"/>
      <x:c r="C287" s="75" t="str">
        <x:f>IF(B287="","",INDEX('Company Universe'!$B$6:$B$105,MATCH(B287,'Company Universe'!$A$6:$A$105,0)))</x:f>
      </x:c>
      <x:c r="D287" s="75" t="str">
        <x:f>IF(B287="","",INDEX('Company Universe'!$C$6:$C$105,MATCH(B287,'Company Universe'!$A$6:$A$105,0)))</x:f>
      </x:c>
      <x:c r="E287" s="206" t="n"/>
      <x:c r="F287" s="71" t="n"/>
      <x:c r="G287" s="71" t="n"/>
      <x:c r="H287" s="71" t="n"/>
      <x:c r="I287" s="71" t="n"/>
      <x:c r="J287" s="206" t="n"/>
      <x:c r="K287" s="71" t="n"/>
      <x:c r="L287" s="71" t="n"/>
      <x:c r="M287" s="206" t="n"/>
      <x:c r="N287" s="71" t="inlineStr">
        <x:is>
          <x:t xml:space="preserve">OPEN</x:t>
        </x:is>
      </x:c>
      <x:c r="O287" s="71" t="n"/>
      <x:c r="P287" s="71" t="n"/>
    </x:row>
    <x:row r="288">
      <x:c r="A288" s="57" t="inlineStr">
        <x:is>
          <x:t xml:space="preserve">MP-283</x:t>
        </x:is>
      </x:c>
      <x:c r="B288" s="71" t="n"/>
      <x:c r="C288" s="75" t="str">
        <x:f>IF(B288="","",INDEX('Company Universe'!$B$6:$B$105,MATCH(B288,'Company Universe'!$A$6:$A$105,0)))</x:f>
      </x:c>
      <x:c r="D288" s="75" t="str">
        <x:f>IF(B288="","",INDEX('Company Universe'!$C$6:$C$105,MATCH(B288,'Company Universe'!$A$6:$A$105,0)))</x:f>
      </x:c>
      <x:c r="E288" s="206" t="n"/>
      <x:c r="F288" s="71" t="n"/>
      <x:c r="G288" s="71" t="n"/>
      <x:c r="H288" s="71" t="n"/>
      <x:c r="I288" s="71" t="n"/>
      <x:c r="J288" s="206" t="n"/>
      <x:c r="K288" s="71" t="n"/>
      <x:c r="L288" s="71" t="n"/>
      <x:c r="M288" s="206" t="n"/>
      <x:c r="N288" s="71" t="inlineStr">
        <x:is>
          <x:t xml:space="preserve">OPEN</x:t>
        </x:is>
      </x:c>
      <x:c r="O288" s="71" t="n"/>
      <x:c r="P288" s="71" t="n"/>
    </x:row>
    <x:row r="289">
      <x:c r="A289" s="57" t="inlineStr">
        <x:is>
          <x:t xml:space="preserve">MP-284</x:t>
        </x:is>
      </x:c>
      <x:c r="B289" s="71" t="n"/>
      <x:c r="C289" s="75" t="str">
        <x:f>IF(B289="","",INDEX('Company Universe'!$B$6:$B$105,MATCH(B289,'Company Universe'!$A$6:$A$105,0)))</x:f>
      </x:c>
      <x:c r="D289" s="75" t="str">
        <x:f>IF(B289="","",INDEX('Company Universe'!$C$6:$C$105,MATCH(B289,'Company Universe'!$A$6:$A$105,0)))</x:f>
      </x:c>
      <x:c r="E289" s="206" t="n"/>
      <x:c r="F289" s="71" t="n"/>
      <x:c r="G289" s="71" t="n"/>
      <x:c r="H289" s="71" t="n"/>
      <x:c r="I289" s="71" t="n"/>
      <x:c r="J289" s="206" t="n"/>
      <x:c r="K289" s="71" t="n"/>
      <x:c r="L289" s="71" t="n"/>
      <x:c r="M289" s="206" t="n"/>
      <x:c r="N289" s="71" t="inlineStr">
        <x:is>
          <x:t xml:space="preserve">OPEN</x:t>
        </x:is>
      </x:c>
      <x:c r="O289" s="71" t="n"/>
      <x:c r="P289" s="71" t="n"/>
    </x:row>
    <x:row r="290">
      <x:c r="A290" s="57" t="inlineStr">
        <x:is>
          <x:t xml:space="preserve">MP-285</x:t>
        </x:is>
      </x:c>
      <x:c r="B290" s="71" t="n"/>
      <x:c r="C290" s="75" t="str">
        <x:f>IF(B290="","",INDEX('Company Universe'!$B$6:$B$105,MATCH(B290,'Company Universe'!$A$6:$A$105,0)))</x:f>
      </x:c>
      <x:c r="D290" s="75" t="str">
        <x:f>IF(B290="","",INDEX('Company Universe'!$C$6:$C$105,MATCH(B290,'Company Universe'!$A$6:$A$105,0)))</x:f>
      </x:c>
      <x:c r="E290" s="206" t="n"/>
      <x:c r="F290" s="71" t="n"/>
      <x:c r="G290" s="71" t="n"/>
      <x:c r="H290" s="71" t="n"/>
      <x:c r="I290" s="71" t="n"/>
      <x:c r="J290" s="206" t="n"/>
      <x:c r="K290" s="71" t="n"/>
      <x:c r="L290" s="71" t="n"/>
      <x:c r="M290" s="206" t="n"/>
      <x:c r="N290" s="71" t="inlineStr">
        <x:is>
          <x:t xml:space="preserve">OPEN</x:t>
        </x:is>
      </x:c>
      <x:c r="O290" s="71" t="n"/>
      <x:c r="P290" s="71" t="n"/>
    </x:row>
    <x:row r="291">
      <x:c r="A291" s="57" t="inlineStr">
        <x:is>
          <x:t xml:space="preserve">MP-286</x:t>
        </x:is>
      </x:c>
      <x:c r="B291" s="71" t="n"/>
      <x:c r="C291" s="75" t="str">
        <x:f>IF(B291="","",INDEX('Company Universe'!$B$6:$B$105,MATCH(B291,'Company Universe'!$A$6:$A$105,0)))</x:f>
      </x:c>
      <x:c r="D291" s="75" t="str">
        <x:f>IF(B291="","",INDEX('Company Universe'!$C$6:$C$105,MATCH(B291,'Company Universe'!$A$6:$A$105,0)))</x:f>
      </x:c>
      <x:c r="E291" s="206" t="n"/>
      <x:c r="F291" s="71" t="n"/>
      <x:c r="G291" s="71" t="n"/>
      <x:c r="H291" s="71" t="n"/>
      <x:c r="I291" s="71" t="n"/>
      <x:c r="J291" s="206" t="n"/>
      <x:c r="K291" s="71" t="n"/>
      <x:c r="L291" s="71" t="n"/>
      <x:c r="M291" s="206" t="n"/>
      <x:c r="N291" s="71" t="inlineStr">
        <x:is>
          <x:t xml:space="preserve">OPEN</x:t>
        </x:is>
      </x:c>
      <x:c r="O291" s="71" t="n"/>
      <x:c r="P291" s="71" t="n"/>
    </x:row>
    <x:row r="292">
      <x:c r="A292" s="57" t="inlineStr">
        <x:is>
          <x:t xml:space="preserve">MP-287</x:t>
        </x:is>
      </x:c>
      <x:c r="B292" s="71" t="n"/>
      <x:c r="C292" s="75" t="str">
        <x:f>IF(B292="","",INDEX('Company Universe'!$B$6:$B$105,MATCH(B292,'Company Universe'!$A$6:$A$105,0)))</x:f>
      </x:c>
      <x:c r="D292" s="75" t="str">
        <x:f>IF(B292="","",INDEX('Company Universe'!$C$6:$C$105,MATCH(B292,'Company Universe'!$A$6:$A$105,0)))</x:f>
      </x:c>
      <x:c r="E292" s="206" t="n"/>
      <x:c r="F292" s="71" t="n"/>
      <x:c r="G292" s="71" t="n"/>
      <x:c r="H292" s="71" t="n"/>
      <x:c r="I292" s="71" t="n"/>
      <x:c r="J292" s="206" t="n"/>
      <x:c r="K292" s="71" t="n"/>
      <x:c r="L292" s="71" t="n"/>
      <x:c r="M292" s="206" t="n"/>
      <x:c r="N292" s="71" t="inlineStr">
        <x:is>
          <x:t xml:space="preserve">OPEN</x:t>
        </x:is>
      </x:c>
      <x:c r="O292" s="71" t="n"/>
      <x:c r="P292" s="71" t="n"/>
    </x:row>
    <x:row r="293">
      <x:c r="A293" s="57" t="inlineStr">
        <x:is>
          <x:t xml:space="preserve">MP-288</x:t>
        </x:is>
      </x:c>
      <x:c r="B293" s="71" t="n"/>
      <x:c r="C293" s="75" t="str">
        <x:f>IF(B293="","",INDEX('Company Universe'!$B$6:$B$105,MATCH(B293,'Company Universe'!$A$6:$A$105,0)))</x:f>
      </x:c>
      <x:c r="D293" s="75" t="str">
        <x:f>IF(B293="","",INDEX('Company Universe'!$C$6:$C$105,MATCH(B293,'Company Universe'!$A$6:$A$105,0)))</x:f>
      </x:c>
      <x:c r="E293" s="206" t="n"/>
      <x:c r="F293" s="71" t="n"/>
      <x:c r="G293" s="71" t="n"/>
      <x:c r="H293" s="71" t="n"/>
      <x:c r="I293" s="71" t="n"/>
      <x:c r="J293" s="206" t="n"/>
      <x:c r="K293" s="71" t="n"/>
      <x:c r="L293" s="71" t="n"/>
      <x:c r="M293" s="206" t="n"/>
      <x:c r="N293" s="71" t="inlineStr">
        <x:is>
          <x:t xml:space="preserve">OPEN</x:t>
        </x:is>
      </x:c>
      <x:c r="O293" s="71" t="n"/>
      <x:c r="P293" s="71" t="n"/>
    </x:row>
    <x:row r="294">
      <x:c r="A294" s="57" t="inlineStr">
        <x:is>
          <x:t xml:space="preserve">MP-289</x:t>
        </x:is>
      </x:c>
      <x:c r="B294" s="71" t="n"/>
      <x:c r="C294" s="75" t="str">
        <x:f>IF(B294="","",INDEX('Company Universe'!$B$6:$B$105,MATCH(B294,'Company Universe'!$A$6:$A$105,0)))</x:f>
      </x:c>
      <x:c r="D294" s="75" t="str">
        <x:f>IF(B294="","",INDEX('Company Universe'!$C$6:$C$105,MATCH(B294,'Company Universe'!$A$6:$A$105,0)))</x:f>
      </x:c>
      <x:c r="E294" s="206" t="n"/>
      <x:c r="F294" s="71" t="n"/>
      <x:c r="G294" s="71" t="n"/>
      <x:c r="H294" s="71" t="n"/>
      <x:c r="I294" s="71" t="n"/>
      <x:c r="J294" s="206" t="n"/>
      <x:c r="K294" s="71" t="n"/>
      <x:c r="L294" s="71" t="n"/>
      <x:c r="M294" s="206" t="n"/>
      <x:c r="N294" s="71" t="inlineStr">
        <x:is>
          <x:t xml:space="preserve">OPEN</x:t>
        </x:is>
      </x:c>
      <x:c r="O294" s="71" t="n"/>
      <x:c r="P294" s="71" t="n"/>
    </x:row>
    <x:row r="295">
      <x:c r="A295" s="57" t="inlineStr">
        <x:is>
          <x:t xml:space="preserve">MP-290</x:t>
        </x:is>
      </x:c>
      <x:c r="B295" s="71" t="n"/>
      <x:c r="C295" s="75" t="str">
        <x:f>IF(B295="","",INDEX('Company Universe'!$B$6:$B$105,MATCH(B295,'Company Universe'!$A$6:$A$105,0)))</x:f>
      </x:c>
      <x:c r="D295" s="75" t="str">
        <x:f>IF(B295="","",INDEX('Company Universe'!$C$6:$C$105,MATCH(B295,'Company Universe'!$A$6:$A$105,0)))</x:f>
      </x:c>
      <x:c r="E295" s="206" t="n"/>
      <x:c r="F295" s="71" t="n"/>
      <x:c r="G295" s="71" t="n"/>
      <x:c r="H295" s="71" t="n"/>
      <x:c r="I295" s="71" t="n"/>
      <x:c r="J295" s="206" t="n"/>
      <x:c r="K295" s="71" t="n"/>
      <x:c r="L295" s="71" t="n"/>
      <x:c r="M295" s="206" t="n"/>
      <x:c r="N295" s="71" t="inlineStr">
        <x:is>
          <x:t xml:space="preserve">OPEN</x:t>
        </x:is>
      </x:c>
      <x:c r="O295" s="71" t="n"/>
      <x:c r="P295" s="71" t="n"/>
    </x:row>
    <x:row r="296">
      <x:c r="A296" s="57" t="inlineStr">
        <x:is>
          <x:t xml:space="preserve">MP-291</x:t>
        </x:is>
      </x:c>
      <x:c r="B296" s="71" t="n"/>
      <x:c r="C296" s="75" t="str">
        <x:f>IF(B296="","",INDEX('Company Universe'!$B$6:$B$105,MATCH(B296,'Company Universe'!$A$6:$A$105,0)))</x:f>
      </x:c>
      <x:c r="D296" s="75" t="str">
        <x:f>IF(B296="","",INDEX('Company Universe'!$C$6:$C$105,MATCH(B296,'Company Universe'!$A$6:$A$105,0)))</x:f>
      </x:c>
      <x:c r="E296" s="206" t="n"/>
      <x:c r="F296" s="71" t="n"/>
      <x:c r="G296" s="71" t="n"/>
      <x:c r="H296" s="71" t="n"/>
      <x:c r="I296" s="71" t="n"/>
      <x:c r="J296" s="206" t="n"/>
      <x:c r="K296" s="71" t="n"/>
      <x:c r="L296" s="71" t="n"/>
      <x:c r="M296" s="206" t="n"/>
      <x:c r="N296" s="71" t="inlineStr">
        <x:is>
          <x:t xml:space="preserve">OPEN</x:t>
        </x:is>
      </x:c>
      <x:c r="O296" s="71" t="n"/>
      <x:c r="P296" s="71" t="n"/>
    </x:row>
    <x:row r="297">
      <x:c r="A297" s="57" t="inlineStr">
        <x:is>
          <x:t xml:space="preserve">MP-292</x:t>
        </x:is>
      </x:c>
      <x:c r="B297" s="71" t="n"/>
      <x:c r="C297" s="75" t="str">
        <x:f>IF(B297="","",INDEX('Company Universe'!$B$6:$B$105,MATCH(B297,'Company Universe'!$A$6:$A$105,0)))</x:f>
      </x:c>
      <x:c r="D297" s="75" t="str">
        <x:f>IF(B297="","",INDEX('Company Universe'!$C$6:$C$105,MATCH(B297,'Company Universe'!$A$6:$A$105,0)))</x:f>
      </x:c>
      <x:c r="E297" s="206" t="n"/>
      <x:c r="F297" s="71" t="n"/>
      <x:c r="G297" s="71" t="n"/>
      <x:c r="H297" s="71" t="n"/>
      <x:c r="I297" s="71" t="n"/>
      <x:c r="J297" s="206" t="n"/>
      <x:c r="K297" s="71" t="n"/>
      <x:c r="L297" s="71" t="n"/>
      <x:c r="M297" s="206" t="n"/>
      <x:c r="N297" s="71" t="inlineStr">
        <x:is>
          <x:t xml:space="preserve">OPEN</x:t>
        </x:is>
      </x:c>
      <x:c r="O297" s="71" t="n"/>
      <x:c r="P297" s="71" t="n"/>
    </x:row>
    <x:row r="298">
      <x:c r="A298" s="57" t="inlineStr">
        <x:is>
          <x:t xml:space="preserve">MP-293</x:t>
        </x:is>
      </x:c>
      <x:c r="B298" s="71" t="n"/>
      <x:c r="C298" s="75" t="str">
        <x:f>IF(B298="","",INDEX('Company Universe'!$B$6:$B$105,MATCH(B298,'Company Universe'!$A$6:$A$105,0)))</x:f>
      </x:c>
      <x:c r="D298" s="75" t="str">
        <x:f>IF(B298="","",INDEX('Company Universe'!$C$6:$C$105,MATCH(B298,'Company Universe'!$A$6:$A$105,0)))</x:f>
      </x:c>
      <x:c r="E298" s="206" t="n"/>
      <x:c r="F298" s="71" t="n"/>
      <x:c r="G298" s="71" t="n"/>
      <x:c r="H298" s="71" t="n"/>
      <x:c r="I298" s="71" t="n"/>
      <x:c r="J298" s="206" t="n"/>
      <x:c r="K298" s="71" t="n"/>
      <x:c r="L298" s="71" t="n"/>
      <x:c r="M298" s="206" t="n"/>
      <x:c r="N298" s="71" t="inlineStr">
        <x:is>
          <x:t xml:space="preserve">OPEN</x:t>
        </x:is>
      </x:c>
      <x:c r="O298" s="71" t="n"/>
      <x:c r="P298" s="71" t="n"/>
    </x:row>
    <x:row r="299">
      <x:c r="A299" s="57" t="inlineStr">
        <x:is>
          <x:t xml:space="preserve">MP-294</x:t>
        </x:is>
      </x:c>
      <x:c r="B299" s="71" t="n"/>
      <x:c r="C299" s="75" t="str">
        <x:f>IF(B299="","",INDEX('Company Universe'!$B$6:$B$105,MATCH(B299,'Company Universe'!$A$6:$A$105,0)))</x:f>
      </x:c>
      <x:c r="D299" s="75" t="str">
        <x:f>IF(B299="","",INDEX('Company Universe'!$C$6:$C$105,MATCH(B299,'Company Universe'!$A$6:$A$105,0)))</x:f>
      </x:c>
      <x:c r="E299" s="206" t="n"/>
      <x:c r="F299" s="71" t="n"/>
      <x:c r="G299" s="71" t="n"/>
      <x:c r="H299" s="71" t="n"/>
      <x:c r="I299" s="71" t="n"/>
      <x:c r="J299" s="206" t="n"/>
      <x:c r="K299" s="71" t="n"/>
      <x:c r="L299" s="71" t="n"/>
      <x:c r="M299" s="206" t="n"/>
      <x:c r="N299" s="71" t="inlineStr">
        <x:is>
          <x:t xml:space="preserve">OPEN</x:t>
        </x:is>
      </x:c>
      <x:c r="O299" s="71" t="n"/>
      <x:c r="P299" s="71" t="n"/>
    </x:row>
    <x:row r="300">
      <x:c r="A300" s="57" t="inlineStr">
        <x:is>
          <x:t xml:space="preserve">MP-295</x:t>
        </x:is>
      </x:c>
      <x:c r="B300" s="71" t="n"/>
      <x:c r="C300" s="75" t="str">
        <x:f>IF(B300="","",INDEX('Company Universe'!$B$6:$B$105,MATCH(B300,'Company Universe'!$A$6:$A$105,0)))</x:f>
      </x:c>
      <x:c r="D300" s="75" t="str">
        <x:f>IF(B300="","",INDEX('Company Universe'!$C$6:$C$105,MATCH(B300,'Company Universe'!$A$6:$A$105,0)))</x:f>
      </x:c>
      <x:c r="E300" s="206" t="n"/>
      <x:c r="F300" s="71" t="n"/>
      <x:c r="G300" s="71" t="n"/>
      <x:c r="H300" s="71" t="n"/>
      <x:c r="I300" s="71" t="n"/>
      <x:c r="J300" s="206" t="n"/>
      <x:c r="K300" s="71" t="n"/>
      <x:c r="L300" s="71" t="n"/>
      <x:c r="M300" s="206" t="n"/>
      <x:c r="N300" s="71" t="inlineStr">
        <x:is>
          <x:t xml:space="preserve">OPEN</x:t>
        </x:is>
      </x:c>
      <x:c r="O300" s="71" t="n"/>
      <x:c r="P300" s="71" t="n"/>
    </x:row>
    <x:row r="301">
      <x:c r="A301" s="57" t="inlineStr">
        <x:is>
          <x:t xml:space="preserve">MP-296</x:t>
        </x:is>
      </x:c>
      <x:c r="B301" s="71" t="n"/>
      <x:c r="C301" s="75" t="str">
        <x:f>IF(B301="","",INDEX('Company Universe'!$B$6:$B$105,MATCH(B301,'Company Universe'!$A$6:$A$105,0)))</x:f>
      </x:c>
      <x:c r="D301" s="75" t="str">
        <x:f>IF(B301="","",INDEX('Company Universe'!$C$6:$C$105,MATCH(B301,'Company Universe'!$A$6:$A$105,0)))</x:f>
      </x:c>
      <x:c r="E301" s="206" t="n"/>
      <x:c r="F301" s="71" t="n"/>
      <x:c r="G301" s="71" t="n"/>
      <x:c r="H301" s="71" t="n"/>
      <x:c r="I301" s="71" t="n"/>
      <x:c r="J301" s="206" t="n"/>
      <x:c r="K301" s="71" t="n"/>
      <x:c r="L301" s="71" t="n"/>
      <x:c r="M301" s="206" t="n"/>
      <x:c r="N301" s="71" t="inlineStr">
        <x:is>
          <x:t xml:space="preserve">OPEN</x:t>
        </x:is>
      </x:c>
      <x:c r="O301" s="71" t="n"/>
      <x:c r="P301" s="71" t="n"/>
    </x:row>
    <x:row r="302">
      <x:c r="A302" s="57" t="inlineStr">
        <x:is>
          <x:t xml:space="preserve">MP-297</x:t>
        </x:is>
      </x:c>
      <x:c r="B302" s="71" t="n"/>
      <x:c r="C302" s="75" t="str">
        <x:f>IF(B302="","",INDEX('Company Universe'!$B$6:$B$105,MATCH(B302,'Company Universe'!$A$6:$A$105,0)))</x:f>
      </x:c>
      <x:c r="D302" s="75" t="str">
        <x:f>IF(B302="","",INDEX('Company Universe'!$C$6:$C$105,MATCH(B302,'Company Universe'!$A$6:$A$105,0)))</x:f>
      </x:c>
      <x:c r="E302" s="206" t="n"/>
      <x:c r="F302" s="71" t="n"/>
      <x:c r="G302" s="71" t="n"/>
      <x:c r="H302" s="71" t="n"/>
      <x:c r="I302" s="71" t="n"/>
      <x:c r="J302" s="206" t="n"/>
      <x:c r="K302" s="71" t="n"/>
      <x:c r="L302" s="71" t="n"/>
      <x:c r="M302" s="206" t="n"/>
      <x:c r="N302" s="71" t="inlineStr">
        <x:is>
          <x:t xml:space="preserve">OPEN</x:t>
        </x:is>
      </x:c>
      <x:c r="O302" s="71" t="n"/>
      <x:c r="P302" s="71" t="n"/>
    </x:row>
    <x:row r="303">
      <x:c r="A303" s="57" t="inlineStr">
        <x:is>
          <x:t xml:space="preserve">MP-298</x:t>
        </x:is>
      </x:c>
      <x:c r="B303" s="71" t="n"/>
      <x:c r="C303" s="75" t="str">
        <x:f>IF(B303="","",INDEX('Company Universe'!$B$6:$B$105,MATCH(B303,'Company Universe'!$A$6:$A$105,0)))</x:f>
      </x:c>
      <x:c r="D303" s="75" t="str">
        <x:f>IF(B303="","",INDEX('Company Universe'!$C$6:$C$105,MATCH(B303,'Company Universe'!$A$6:$A$105,0)))</x:f>
      </x:c>
      <x:c r="E303" s="206" t="n"/>
      <x:c r="F303" s="71" t="n"/>
      <x:c r="G303" s="71" t="n"/>
      <x:c r="H303" s="71" t="n"/>
      <x:c r="I303" s="71" t="n"/>
      <x:c r="J303" s="206" t="n"/>
      <x:c r="K303" s="71" t="n"/>
      <x:c r="L303" s="71" t="n"/>
      <x:c r="M303" s="206" t="n"/>
      <x:c r="N303" s="71" t="inlineStr">
        <x:is>
          <x:t xml:space="preserve">OPEN</x:t>
        </x:is>
      </x:c>
      <x:c r="O303" s="71" t="n"/>
      <x:c r="P303" s="71" t="n"/>
    </x:row>
    <x:row r="304">
      <x:c r="A304" s="57" t="inlineStr">
        <x:is>
          <x:t xml:space="preserve">MP-299</x:t>
        </x:is>
      </x:c>
      <x:c r="B304" s="71" t="n"/>
      <x:c r="C304" s="75" t="str">
        <x:f>IF(B304="","",INDEX('Company Universe'!$B$6:$B$105,MATCH(B304,'Company Universe'!$A$6:$A$105,0)))</x:f>
      </x:c>
      <x:c r="D304" s="75" t="str">
        <x:f>IF(B304="","",INDEX('Company Universe'!$C$6:$C$105,MATCH(B304,'Company Universe'!$A$6:$A$105,0)))</x:f>
      </x:c>
      <x:c r="E304" s="206" t="n"/>
      <x:c r="F304" s="71" t="n"/>
      <x:c r="G304" s="71" t="n"/>
      <x:c r="H304" s="71" t="n"/>
      <x:c r="I304" s="71" t="n"/>
      <x:c r="J304" s="206" t="n"/>
      <x:c r="K304" s="71" t="n"/>
      <x:c r="L304" s="71" t="n"/>
      <x:c r="M304" s="206" t="n"/>
      <x:c r="N304" s="71" t="inlineStr">
        <x:is>
          <x:t xml:space="preserve">OPEN</x:t>
        </x:is>
      </x:c>
      <x:c r="O304" s="71" t="n"/>
      <x:c r="P304" s="71" t="n"/>
    </x:row>
    <x:row r="305">
      <x:c r="A305" s="58" t="inlineStr">
        <x:is>
          <x:t xml:space="preserve">MP-300</x:t>
        </x:is>
      </x:c>
      <x:c r="B305" s="73" t="n"/>
      <x:c r="C305" s="76" t="str">
        <x:f>IF(B305="","",INDEX('Company Universe'!$B$6:$B$105,MATCH(B305,'Company Universe'!$A$6:$A$105,0)))</x:f>
      </x:c>
      <x:c r="D305" s="76" t="str">
        <x:f>IF(B305="","",INDEX('Company Universe'!$C$6:$C$105,MATCH(B305,'Company Universe'!$A$6:$A$105,0)))</x:f>
      </x:c>
      <x:c r="E305" s="207" t="n"/>
      <x:c r="F305" s="73" t="n"/>
      <x:c r="G305" s="73" t="n"/>
      <x:c r="H305" s="73" t="n"/>
      <x:c r="I305" s="73" t="n"/>
      <x:c r="J305" s="207" t="n"/>
      <x:c r="K305" s="73" t="n"/>
      <x:c r="L305" s="73" t="n"/>
      <x:c r="M305" s="207" t="n"/>
      <x:c r="N305" s="73" t="inlineStr">
        <x:is>
          <x:t xml:space="preserve">OPEN</x:t>
        </x:is>
      </x:c>
      <x:c r="O305" s="73" t="n"/>
      <x:c r="P305" s="73" t="n"/>
    </x:row>
  </x:sheetData>
  <x:mergeCells>
    <x:mergeCell ref="A1:P1"/>
    <x:mergeCell ref="A2:P2"/>
  </x:mergeCells>
  <x:conditionalFormatting sqref="N6:N305">
    <x:cfRule type="containsText" dxfId="33" priority="1" operator="containsText" text="MET"/>
    <x:cfRule type="containsText" dxfId="34" priority="2" operator="containsText" text="MISSED"/>
  </x:conditionalFormatting>
  <x:dataValidations count="4">
    <x:dataValidation type="list" allowBlank="0" showDropDown="0" showInputMessage="0" showErrorMessage="0" sqref="B6:B305">
      <x:formula1>'Company Universe'!$A$6:$A$105</x:formula1>
    </x:dataValidation>
    <x:dataValidation type="list" allowBlank="0" showDropDown="0" showInputMessage="0" showErrorMessage="0" sqref="F6:F305">
      <x:formula1>"Revenue,Margin,Capex,Leverage,Synergy,Product,Regulatory,Clinical,Capital Allocation,Other"</x:formula1>
    </x:dataValidation>
    <x:dataValidation type="list" allowBlank="0" showDropDown="0" showInputMessage="0" showErrorMessage="0" sqref="N6:N305">
      <x:formula1>"OPEN,MET,MISSED,PARTIAL,WITHDRAWN"</x:formula1>
    </x:dataValidation>
    <x:dataValidation type="list" allowBlank="0" showDropDown="0" showInputMessage="0" showErrorMessage="0" sqref="O6:O305">
      <x:formula1>"POSITIVE,NEUTRAL,NEGATIVE,PENDING"</x:formula1>
    </x:dataValidation>
  </x:dataValidations>
  <x:pageMargins left="0.7" right="0.7" top="0.75" bottom="0.75" header="0.3" footer="0.3"/>
  <x:tableParts count="1">
    <x:tablePart xmlns:r="http://schemas.openxmlformats.org/officeDocument/2006/relationships" r:id="R2ff79ca30cdf43bb"/>
  </x:tableParts>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9.4399995803833" style="139" customWidth="1"/>
    <x:col min="2" max="2" width="11.109999656677246" style="139" customWidth="1"/>
    <x:col min="3" max="3" width="10.5600004196167" style="139" customWidth="1"/>
    <x:col min="4" max="4" width="16.670000076293945" style="139" customWidth="1"/>
    <x:col min="5" max="5" width="17.780000686645508" style="139" customWidth="1"/>
    <x:col min="6" max="6" width="24.440000534057617" style="139" customWidth="1"/>
    <x:col min="7" max="7" width="33.33000183105469" style="139" customWidth="1"/>
    <x:col min="8" max="8" width="24.440000534057617" style="139" customWidth="1"/>
    <x:col min="9" max="9" width="22.219999313354492" style="139" customWidth="1"/>
    <x:col min="10" max="10" width="26.670000076293945" style="139" customWidth="1"/>
  </x:cols>
  <x:sheetData>
    <x:row r="1" s="139" customFormat="1" ht="34" customHeight="1">
      <x:c r="A1" s="112" t="inlineStr">
        <x:is>
          <x:t xml:space="preserve">Model Change Log</x:t>
        </x:is>
      </x:c>
    </x:row>
    <x:row r="2" s="139" customFormat="1" ht="28" customHeight="1">
      <x:c r="A2" s="113" t="inlineStr">
        <x:is>
          <x:t xml:space="preserve">A change is accepted only after a documented failure, causal rationale, and validation outside the triggering cases.</x:t>
        </x:is>
      </x:c>
    </x:row>
    <x:row r="3">
      <x:c r="A3" s="114" t="n"/>
      <x:c r="B3" s="114" t="n"/>
      <x:c r="C3" s="114" t="n"/>
      <x:c r="D3" s="114" t="n"/>
      <x:c r="E3" s="114" t="n"/>
      <x:c r="F3" s="114" t="n"/>
      <x:c r="G3" s="114" t="n"/>
      <x:c r="H3" s="114" t="n"/>
      <x:c r="I3" s="114" t="n"/>
      <x:c r="J3" s="114" t="n"/>
    </x:row>
    <x:row r="4">
      <x:c r="A4" s="114" t="n"/>
      <x:c r="B4" s="114" t="n"/>
      <x:c r="C4" s="114" t="n"/>
      <x:c r="D4" s="114" t="n"/>
      <x:c r="E4" s="114" t="n"/>
      <x:c r="F4" s="114" t="n"/>
      <x:c r="G4" s="114" t="n"/>
      <x:c r="H4" s="114" t="n"/>
      <x:c r="I4" s="114" t="n"/>
      <x:c r="J4" s="114" t="n"/>
    </x:row>
    <x:row r="5" s="139" customFormat="1" ht="30" customHeight="1">
      <x:c r="A5" s="116" t="inlineStr">
        <x:is>
          <x:t xml:space="preserve">Change ID</x:t>
        </x:is>
      </x:c>
      <x:c r="B5" s="116" t="inlineStr">
        <x:is>
          <x:t xml:space="preserve">Version</x:t>
        </x:is>
      </x:c>
      <x:c r="C5" s="116" t="inlineStr">
        <x:is>
          <x:t xml:space="preserve">Date</x:t>
        </x:is>
      </x:c>
      <x:c r="D5" s="116" t="inlineStr">
        <x:is>
          <x:t xml:space="preserve">Status</x:t>
        </x:is>
      </x:c>
      <x:c r="E5" s="116" t="inlineStr">
        <x:is>
          <x:t xml:space="preserve">Trigger Cycles</x:t>
        </x:is>
      </x:c>
      <x:c r="F5" s="116" t="inlineStr">
        <x:is>
          <x:t xml:space="preserve">Failure Pattern</x:t>
        </x:is>
      </x:c>
      <x:c r="G5" s="116" t="inlineStr">
        <x:is>
          <x:t xml:space="preserve">Proposed Rule Change</x:t>
        </x:is>
      </x:c>
      <x:c r="H5" s="116" t="inlineStr">
        <x:is>
          <x:t xml:space="preserve">Expected Benefit</x:t>
        </x:is>
      </x:c>
      <x:c r="I5" s="116" t="inlineStr">
        <x:is>
          <x:t xml:space="preserve">New Risk</x:t>
        </x:is>
      </x:c>
      <x:c r="J5" s="116" t="inlineStr">
        <x:is>
          <x:t xml:space="preserve">Decision / Evidence</x:t>
        </x:is>
      </x:c>
    </x:row>
    <x:row r="6">
      <x:c r="A6" s="56" t="inlineStr">
        <x:is>
          <x:t xml:space="preserve">CH-000</x:t>
        </x:is>
      </x:c>
      <x:c r="B6" s="56" t="inlineStr">
        <x:is>
          <x:t xml:space="preserve">V8</x:t>
        </x:is>
      </x:c>
      <x:c r="C6" s="219" t="n"/>
      <x:c r="D6" s="56" t="inlineStr">
        <x:is>
          <x:t xml:space="preserve">Historical</x:t>
        </x:is>
      </x:c>
      <x:c r="E6" s="56" t="inlineStr">
        <x:is>
          <x:t xml:space="preserve">Project history</x:t>
        </x:is>
      </x:c>
      <x:c r="F6" s="56" t="inlineStr">
        <x:is>
          <x:t xml:space="preserve">Prior canonical framework</x:t>
        </x:is>
      </x:c>
      <x:c r="G6" s="56" t="inlineStr">
        <x:is>
          <x:t xml:space="preserve">Superseded by later documented versions</x:t>
        </x:is>
      </x:c>
      <x:c r="H6" s="56" t="inlineStr">
        <x:is>
          <x:t xml:space="preserve">Preserve lineage</x:t>
        </x:is>
      </x:c>
      <x:c r="I6" s="56" t="inlineStr">
        <x:is>
          <x:t xml:space="preserve">Version confusion</x:t>
        </x:is>
      </x:c>
      <x:c r="J6" s="56" t="inlineStr">
        <x:is>
          <x:t xml:space="preserve">Do not recreate or silently overwrite.</x:t>
        </x:is>
      </x:c>
    </x:row>
    <x:row r="7">
      <x:c r="A7" s="57" t="inlineStr">
        <x:is>
          <x:t xml:space="preserve">CH-001</x:t>
        </x:is>
      </x:c>
      <x:c r="B7" s="57" t="inlineStr">
        <x:is>
          <x:t xml:space="preserve">V9</x:t>
        </x:is>
      </x:c>
      <x:c r="C7" s="220" t="n">
        <x:v>46264</x:v>
      </x:c>
      <x:c r="D7" s="57" t="inlineStr">
        <x:is>
          <x:t xml:space="preserve">Historical</x:t>
        </x:is>
      </x:c>
      <x:c r="E7" s="57" t="inlineStr">
        <x:is>
          <x:t xml:space="preserve">INTU / FIS calibration</x:t>
        </x:is>
      </x:c>
      <x:c r="F7" s="57" t="inlineStr">
        <x:is>
          <x:t xml:space="preserve">Need meeting-grade ownership chain and fatal-unknown discipline</x:t>
        </x:is>
      </x:c>
      <x:c r="G7" s="57" t="inlineStr">
        <x:is>
          <x:t xml:space="preserve">Product→Customer ROI→Replacement→Moat→Revenue Quality→Owner Economics→Reinvestment→Stewardship→Survival→IV→Devil→Control→Opportunity Cost→Journal</x:t>
        </x:is>
      </x:c>
      <x:c r="H7" s="57" t="inlineStr">
        <x:is>
          <x:t xml:space="preserve">Harder to fool with scores and cheapness</x:t>
        </x:is>
      </x:c>
      <x:c r="I7" s="57" t="inlineStr">
        <x:is>
          <x:t xml:space="preserve">Higher evidence burden</x:t>
        </x:is>
      </x:c>
      <x:c r="J7" s="57" t="inlineStr">
        <x:is>
          <x:t xml:space="preserve">Superseded as canonical by V10.</x:t>
        </x:is>
      </x:c>
    </x:row>
    <x:row r="8">
      <x:c r="A8" s="57" t="inlineStr">
        <x:is>
          <x:t xml:space="preserve">CH-002</x:t>
        </x:is>
      </x:c>
      <x:c r="B8" s="57" t="inlineStr">
        <x:is>
          <x:t xml:space="preserve">V10</x:t>
        </x:is>
      </x:c>
      <x:c r="C8" s="220" t="n">
        <x:v>46264</x:v>
      </x:c>
      <x:c r="D8" s="57" t="inlineStr">
        <x:is>
          <x:t xml:space="preserve">FROZEN BASELINE</x:t>
        </x:is>
      </x:c>
      <x:c r="E8" s="57" t="inlineStr">
        <x:is>
          <x:t xml:space="preserve">50-company rerun</x:t>
        </x:is>
      </x:c>
      <x:c r="F8" s="57" t="inlineStr">
        <x:is>
          <x:t xml:space="preserve">Need a zero-based production pilot</x:t>
        </x:is>
      </x:c>
      <x:c r="G8" s="57" t="inlineStr">
        <x:is>
          <x:t xml:space="preserve">Freeze the rules and rerun the existing 50-company universe without grandfathered rankings</x:t>
        </x:is>
      </x:c>
      <x:c r="H8" s="57" t="inlineStr">
        <x:is>
          <x:t xml:space="preserve">Real decision baseline</x:t>
        </x:is>
      </x:c>
      <x:c r="I8" s="57" t="inlineStr">
        <x:is>
          <x:t xml:space="preserve">Sector concentration</x:t>
        </x:is>
      </x:c>
      <x:c r="J8" s="57" t="inlineStr">
        <x:is>
          <x:t xml:space="preserve">Canonical ARGUS production-pilot baseline.</x:t>
        </x:is>
      </x:c>
    </x:row>
    <x:row r="9">
      <x:c r="A9" s="57" t="inlineStr">
        <x:is>
          <x:t xml:space="preserve">CH-003</x:t>
        </x:is>
      </x:c>
      <x:c r="B9" s="57" t="inlineStr">
        <x:is>
          <x:t xml:space="preserve">V10-GOU-v2</x:t>
        </x:is>
      </x:c>
      <x:c r="C9" s="220" t="n">
        <x:v>46264</x:v>
      </x:c>
      <x:c r="D9" s="57" t="inlineStr">
        <x:is>
          <x:t xml:space="preserve">IMPLEMENTATION ONLY</x:t>
        </x:is>
      </x:c>
      <x:c r="E9" s="57" t="inlineStr">
        <x:is>
          <x:t xml:space="preserve">User instruction</x:t>
        </x:is>
      </x:c>
      <x:c r="F9" s="57" t="inlineStr">
        <x:is>
          <x:t xml:space="preserve">V10 universe concentrated in seven themes</x:t>
        </x:is>
      </x:c>
      <x:c r="G9" s="57" t="inlineStr">
        <x:is>
          <x:t xml:space="preserve">Preserve V10's 50 conclusions; add 50 cross-sector companies; allocate 100 companies to non-overlapping development/validation/holdout cohorts</x:t>
        </x:is>
      </x:c>
      <x:c r="H9" s="57" t="inlineStr">
        <x:is>
          <x:t xml:space="preserve">Breadth + lower leakage</x:t>
        </x:is>
      </x:c>
      <x:c r="I9" s="57" t="inlineStr">
        <x:is>
          <x:t xml:space="preserve">Execution workload</x:t>
        </x:is>
      </x:c>
      <x:c r="J9" s="57" t="inlineStr">
        <x:is>
          <x:t xml:space="preserve">Validation-design change; no V10 gate-rule change.</x:t>
        </x:is>
      </x:c>
    </x:row>
    <x:row r="10">
      <x:c r="A10" s="57" t="inlineStr">
        <x:is>
          <x:t xml:space="preserve">CH-004</x:t>
        </x:is>
      </x:c>
      <x:c r="B10" s="71" t="inlineStr">
        <x:is>
          <x:t xml:space="preserve">V10.1-DRYRUN</x:t>
        </x:is>
      </x:c>
      <x:c r="C10" s="206" t="inlineStr">
        <x:is>
          <x:t xml:space="preserve">2026-08-31</x:t>
        </x:is>
      </x:c>
      <x:c r="D10" s="71" t="inlineStr">
        <x:is>
          <x:t xml:space="preserve">PROPOSED — NOT ACCEPTED</x:t>
        </x:is>
      </x:c>
      <x:c r="E10" s="71" t="inlineStr">
        <x:is>
          <x:t xml:space="preserve">C0001:C0010 (IONQ)</x:t>
        </x:is>
      </x:c>
      <x:c r="F10" s="71" t="inlineStr">
        <x:is>
          <x:t xml:space="preserve">Revenue/technical progress can coexist with very large equity issuance and share-count growth.</x:t>
        </x:is>
      </x:c>
      <x:c r="G10" s="71" t="inlineStr">
        <x:is>
          <x:t xml:space="preserve">Quantum per-share value bridge: reconcile revenue/RPO/technical milestones against equity issuance, SBC, M&amp;A cash/stock, normalized loss and share-count growth before Stewardship/Owner Earnings can pass.</x:t>
        </x:is>
      </x:c>
      <x:c r="H10" s="71" t="inlineStr">
        <x:is>
          <x:t xml:space="preserve">Prevents enterprise growth from being mistaken for owner-value growth.</x:t>
        </x:is>
      </x:c>
      <x:c r="I10" s="71" t="inlineStr">
        <x:is>
          <x:t xml:space="preserve">Could over-penalize rational financing of high-return projects.</x:t>
        </x:is>
      </x:c>
      <x:c r="J10" s="71" t="inlineStr">
        <x:is>
          <x:t xml:space="preserve">Candidate only; requires confirmation outside IonQ and prospective validation.</x:t>
        </x:is>
      </x:c>
    </x:row>
    <x:row r="11">
      <x:c r="A11" s="57" t="inlineStr">
        <x:is>
          <x:t xml:space="preserve">CH-005</x:t>
        </x:is>
      </x:c>
      <x:c r="B11" s="71" t="inlineStr">
        <x:is>
          <x:t xml:space="preserve">V10.2-DRYRUN</x:t>
        </x:is>
      </x:c>
      <x:c r="C11" s="206" t="inlineStr">
        <x:is>
          <x:t xml:space="preserve">2026-08-31</x:t>
        </x:is>
      </x:c>
      <x:c r="D11" s="71" t="inlineStr">
        <x:is>
          <x:t xml:space="preserve">PROPOSED — NOT ACCEPTED</x:t>
        </x:is>
      </x:c>
      <x:c r="E11" s="71" t="inlineStr">
        <x:is>
          <x:t xml:space="preserve">C0011:C0020 (QBTS)</x:t>
        </x:is>
      </x:c>
      <x:c r="F11" s="71" t="inlineStr">
        <x:is>
          <x:t xml:space="preserve">Quarterly revenue can be highly lumpy because system sales are episodic while bookings/RPO/QCaaS signal future demand.</x:t>
        </x:is>
      </x:c>
      <x:c r="G11" s="71" t="inlineStr">
        <x:is>
          <x:t xml:space="preserve">Quantum KPI hierarchy candidate: paid production use / recurring QCaaS + bookings/RPO + system sales; quarterly revenue is downstream confirmation, not sole engine signal.</x:t>
        </x:is>
      </x:c>
      <x:c r="H11" s="71" t="inlineStr">
        <x:is>
          <x:t xml:space="preserve">Reduces false negatives/positives from one-time system sales.</x:t>
        </x:is>
      </x:c>
      <x:c r="I11" s="71" t="inlineStr">
        <x:is>
          <x:t xml:space="preserve">Bookings can cancel or fail to convert; RPO quality varies.</x:t>
        </x:is>
      </x:c>
      <x:c r="J11" s="71" t="inlineStr">
        <x:is>
          <x:t xml:space="preserve">Candidate only; require conversion tracking and cross-company validation.</x:t>
        </x:is>
      </x:c>
    </x:row>
    <x:row r="12">
      <x:c r="A12" s="57" t="inlineStr">
        <x:is>
          <x:t xml:space="preserve">CH-006</x:t>
        </x:is>
      </x:c>
      <x:c r="B12" s="71" t="inlineStr">
        <x:is>
          <x:t xml:space="preserve">V10.3-DRYRUN</x:t>
        </x:is>
      </x:c>
      <x:c r="C12" s="206" t="inlineStr">
        <x:is>
          <x:t xml:space="preserve">2026-08-31</x:t>
        </x:is>
      </x:c>
      <x:c r="D12" s="71" t="inlineStr">
        <x:is>
          <x:t xml:space="preserve">PROPOSED — NOT ACCEPTED</x:t>
        </x:is>
      </x:c>
      <x:c r="E12" s="71" t="inlineStr">
        <x:is>
          <x:t xml:space="preserve">C0021:C0030 (RGTI)</x:t>
        </x:is>
      </x:c>
      <x:c r="F12" s="71" t="inlineStr">
        <x:is>
          <x:t xml:space="preserve">GAAP earnings are repeatedly distorted by warrant/earnout fair-value changes while equity issuance funds runway.</x:t>
        </x:is>
      </x:c>
      <x:c r="G12" s="71" t="inlineStr">
        <x:is>
          <x:t xml:space="preserve">Normalized operating-economics + per-share capital bridge: exclude derivative fair-value noise; reconcile normalized loss, operating cash burn, equity issuance and paid-deployment conversion.</x:t>
        </x:is>
      </x:c>
      <x:c r="H12" s="71" t="inlineStr">
        <x:is>
          <x:t xml:space="preserve">Makes Owner Earnings/Stewardship economically meaningful in pre-profit quantum firms.</x:t>
        </x:is>
      </x:c>
      <x:c r="I12" s="71" t="inlineStr">
        <x:is>
          <x:t xml:space="preserve">Non-GAAP normalization can become subjective.</x:t>
        </x:is>
      </x:c>
      <x:c r="J12" s="71" t="inlineStr">
        <x:is>
          <x:t xml:space="preserve">Candidate only; define mechanical reconciliation before prospective use.</x:t>
        </x:is>
      </x:c>
    </x:row>
    <x:row r="13">
      <x:c r="A13" s="57" t="inlineStr">
        <x:is>
          <x:t xml:space="preserve">CH-007</x:t>
        </x:is>
      </x:c>
      <x:c r="B13" s="71" t="inlineStr">
        <x:is>
          <x:t xml:space="preserve">V10.4-DRYRUN</x:t>
        </x:is>
      </x:c>
      <x:c r="C13" s="206" t="inlineStr">
        <x:is>
          <x:t xml:space="preserve">2026-08-31</x:t>
        </x:is>
      </x:c>
      <x:c r="D13" s="71" t="inlineStr">
        <x:is>
          <x:t xml:space="preserve">PROPOSED — NOT ACCEPTED</x:t>
        </x:is>
      </x:c>
      <x:c r="E13" s="71" t="inlineStr">
        <x:is>
          <x:t xml:space="preserve">C0031:C0040 (QUBT)</x:t>
        </x:is>
      </x:c>
      <x:c r="F13" s="71" t="inlineStr">
        <x:is>
          <x:t xml:space="preserve">Restatements, massive financing and acquisition-driven revenue can make headline growth incomparable across periods.</x:t>
        </x:is>
      </x:c>
      <x:c r="G13" s="71" t="inlineStr">
        <x:is>
          <x:t xml:space="preserve">Reporting-quality probation + organic/acquired engine bridge: track restated source vintage, 4 clean quarters, source of cash, organic vs acquired revenue/gross profit and acquisition ROIC.</x:t>
        </x:is>
      </x:c>
      <x:c r="H13" s="71" t="inlineStr">
        <x:is>
          <x:t xml:space="preserve">Prevents accounting cleanup, financing, or M&amp;A from masquerading as operating improvement.</x:t>
        </x:is>
      </x:c>
      <x:c r="I13" s="71" t="inlineStr">
        <x:is>
          <x:t xml:space="preserve">May delay recognition of legitimate strategic transformations.</x:t>
        </x:is>
      </x:c>
      <x:c r="J13" s="71" t="inlineStr">
        <x:is>
          <x:t xml:space="preserve">Candidate only; no V10 gate change until prospective Development/Validation evidence.</x:t>
        </x:is>
      </x:c>
    </x:row>
    <x:row r="14">
      <x:c r="A14" s="57" t="inlineStr">
        <x:is>
          <x:t xml:space="preserve">CH-008</x:t>
        </x:is>
      </x:c>
      <x:c r="B14" s="71" t="inlineStr">
        <x:is>
          <x:t xml:space="preserve">V10.5-DRYRUN</x:t>
        </x:is>
      </x:c>
      <x:c r="C14" s="206" t="inlineStr">
        <x:is>
          <x:t xml:space="preserve">2026-08-31</x:t>
        </x:is>
      </x:c>
      <x:c r="D14" s="71" t="inlineStr">
        <x:is>
          <x:t xml:space="preserve">PROPOSED — NOT ACCEPTED</x:t>
        </x:is>
      </x:c>
      <x:c r="E14" s="71" t="inlineStr">
        <x:is>
          <x:t xml:space="preserve">C0041:C0050 (NVDA)</x:t>
        </x:is>
      </x:c>
      <x:c r="F14" s="71" t="inlineStr">
        <x:is>
          <x:t xml:space="preserve">A business thesis can be spectacularly correct while Margin of Safety remains the binding investment decision; geopolitical shocks can affect earnings without breaking the moat.</x:t>
        </x:is>
      </x:c>
      <x:c r="G14" s="71" t="inlineStr">
        <x:is>
          <x:t xml:space="preserve">Two-axis elite-compounder rule candidate: Business/Owner-Earnings quality scored independently from reverse-valuation/MOS; add customer-ROI/capex bridge, platform TCO moat and geopolitical transmission.</x:t>
        </x:is>
      </x:c>
      <x:c r="H14" s="71" t="inlineStr">
        <x:is>
          <x:t xml:space="preserve">Prevents valuation caution from corrupting business-quality learning, and prevents great-business narrative from bypassing price discipline.</x:t>
        </x:is>
      </x:c>
      <x:c r="I14" s="71" t="inlineStr">
        <x:is>
          <x:t xml:space="preserve">Reverse valuation depends heavily on normalization assumptions.</x:t>
        </x:is>
      </x:c>
      <x:c r="J14" s="71" t="inlineStr">
        <x:is>
          <x:t xml:space="preserve">Candidate only; requires prospective validation and independent valuation reconstruction.</x:t>
        </x:is>
      </x:c>
    </x:row>
    <x:row r="15">
      <x:c r="A15" s="57" t="inlineStr">
        <x:is>
          <x:t xml:space="preserve">CH-009</x:t>
        </x:is>
      </x:c>
      <x:c r="B15" s="71" t="inlineStr">
        <x:is>
          <x:t xml:space="preserve">V10.5-SIM01</x:t>
        </x:is>
      </x:c>
      <x:c r="C15" s="206" t="inlineStr">
        <x:is>
          <x:t xml:space="preserve">2026-08-31</x:t>
        </x:is>
      </x:c>
      <x:c r="D15" s="71" t="inlineStr">
        <x:is>
          <x:t xml:space="preserve">SIMULATION STANDARD — NOT EMPIRICALLY VALIDATED</x:t>
        </x:is>
      </x:c>
      <x:c r="E15" s="71" t="inlineStr">
        <x:is>
          <x:t xml:space="preserve">ML0023</x:t>
        </x:is>
      </x:c>
      <x:c r="F15" s="71" t="inlineStr">
        <x:is>
          <x:t xml:space="preserve">R-SECTOR-QUANTUM-COMPUTING recurring failure pattern; stage promoted to BASE after 2 exposures.</x:t>
        </x:is>
      </x:c>
      <x:c r="G15" s="71" t="inlineStr">
        <x:is>
          <x:t xml:space="preserve">R-SECTOR-QUANTUM-COMPUTING → BASE: base rule accepted after 2 development exposures.</x:t>
        </x:is>
      </x:c>
      <x:c r="H15" s="71" t="inlineStr">
        <x:is>
          <x:t xml:space="preserve">Improves robustness under repeated Development stress without weakening a frozen fatal gate.</x:t>
        </x:is>
      </x:c>
      <x:c r="I15" s="71" t="inlineStr">
        <x:is>
          <x:t xml:space="preserve">Synthetic overfitting / threshold rigidity; must be challenged prospectively.</x:t>
        </x:is>
      </x:c>
      <x:c r="J15" s="71" t="inlineStr">
        <x:is>
          <x:t xml:space="preserve">Simulation-only. Freeze before empirical Validation; no Accuracy Points and no authorization effect.</x:t>
        </x:is>
      </x:c>
    </x:row>
    <x:row r="16">
      <x:c r="A16" s="57" t="inlineStr">
        <x:is>
          <x:t xml:space="preserve">CH-010</x:t>
        </x:is>
      </x:c>
      <x:c r="B16" s="71" t="inlineStr">
        <x:is>
          <x:t xml:space="preserve">V10.5-SIM02</x:t>
        </x:is>
      </x:c>
      <x:c r="C16" s="206" t="inlineStr">
        <x:is>
          <x:t xml:space="preserve">2026-08-31</x:t>
        </x:is>
      </x:c>
      <x:c r="D16" s="71" t="inlineStr">
        <x:is>
          <x:t xml:space="preserve">SIMULATION STANDARD — NOT EMPIRICALLY VALIDATED</x:t>
        </x:is>
      </x:c>
      <x:c r="E16" s="71" t="inlineStr">
        <x:is>
          <x:t xml:space="preserve">ML0033</x:t>
        </x:is>
      </x:c>
      <x:c r="F16" s="71" t="inlineStr">
        <x:is>
          <x:t xml:space="preserve">R-ENG-01 recurring failure pattern; stage promoted to BASE after 3 exposures.</x:t>
        </x:is>
      </x:c>
      <x:c r="G16" s="71" t="inlineStr">
        <x:is>
          <x:t xml:space="preserve">R-ENG-01 → BASE: base rule accepted after 3 development exposures.</x:t>
        </x:is>
      </x:c>
      <x:c r="H16" s="71" t="inlineStr">
        <x:is>
          <x:t xml:space="preserve">Improves robustness under repeated Development stress without weakening a frozen fatal gate.</x:t>
        </x:is>
      </x:c>
      <x:c r="I16" s="71" t="inlineStr">
        <x:is>
          <x:t xml:space="preserve">Synthetic overfitting / threshold rigidity; must be challenged prospectively.</x:t>
        </x:is>
      </x:c>
      <x:c r="J16" s="71" t="inlineStr">
        <x:is>
          <x:t xml:space="preserve">Simulation-only. Freeze before empirical Validation; no Accuracy Points and no authorization effect.</x:t>
        </x:is>
      </x:c>
    </x:row>
    <x:row r="17">
      <x:c r="A17" s="57" t="inlineStr">
        <x:is>
          <x:t xml:space="preserve">CH-011</x:t>
        </x:is>
      </x:c>
      <x:c r="B17" s="71" t="inlineStr">
        <x:is>
          <x:t xml:space="preserve">V10.5-SIM03</x:t>
        </x:is>
      </x:c>
      <x:c r="C17" s="206" t="inlineStr">
        <x:is>
          <x:t xml:space="preserve">2026-08-31</x:t>
        </x:is>
      </x:c>
      <x:c r="D17" s="71" t="inlineStr">
        <x:is>
          <x:t xml:space="preserve">SIMULATION STANDARD — NOT EMPIRICALLY VALIDATED</x:t>
        </x:is>
      </x:c>
      <x:c r="E17" s="71" t="inlineStr">
        <x:is>
          <x:t xml:space="preserve">ML0034</x:t>
        </x:is>
      </x:c>
      <x:c r="F17" s="71" t="inlineStr">
        <x:is>
          <x:t xml:space="preserve">R-OE-01 recurring failure pattern; stage promoted to BASE after 3 exposures.</x:t>
        </x:is>
      </x:c>
      <x:c r="G17" s="71" t="inlineStr">
        <x:is>
          <x:t xml:space="preserve">R-OE-01 → BASE: base rule accepted after 3 development exposures.</x:t>
        </x:is>
      </x:c>
      <x:c r="H17" s="71" t="inlineStr">
        <x:is>
          <x:t xml:space="preserve">Improves robustness under repeated Development stress without weakening a frozen fatal gate.</x:t>
        </x:is>
      </x:c>
      <x:c r="I17" s="71" t="inlineStr">
        <x:is>
          <x:t xml:space="preserve">Synthetic overfitting / threshold rigidity; must be challenged prospectively.</x:t>
        </x:is>
      </x:c>
      <x:c r="J17" s="71" t="inlineStr">
        <x:is>
          <x:t xml:space="preserve">Simulation-only. Freeze before empirical Validation; no Accuracy Points and no authorization effect.</x:t>
        </x:is>
      </x:c>
    </x:row>
    <x:row r="18">
      <x:c r="A18" s="57" t="inlineStr">
        <x:is>
          <x:t xml:space="preserve">CH-012</x:t>
        </x:is>
      </x:c>
      <x:c r="B18" s="71" t="inlineStr">
        <x:is>
          <x:t xml:space="preserve">V10.5-SIM04</x:t>
        </x:is>
      </x:c>
      <x:c r="C18" s="206" t="inlineStr">
        <x:is>
          <x:t xml:space="preserve">2026-08-31</x:t>
        </x:is>
      </x:c>
      <x:c r="D18" s="71" t="inlineStr">
        <x:is>
          <x:t xml:space="preserve">SIMULATION STANDARD — NOT EMPIRICALLY VALIDATED</x:t>
        </x:is>
      </x:c>
      <x:c r="E18" s="71" t="inlineStr">
        <x:is>
          <x:t xml:space="preserve">ML0035</x:t>
        </x:is>
      </x:c>
      <x:c r="F18" s="71" t="inlineStr">
        <x:is>
          <x:t xml:space="preserve">R-MOAT-01 recurring failure pattern; stage promoted to BASE after 3 exposures.</x:t>
        </x:is>
      </x:c>
      <x:c r="G18" s="71" t="inlineStr">
        <x:is>
          <x:t xml:space="preserve">R-MOAT-01 → BASE: base rule accepted after 3 development exposures.</x:t>
        </x:is>
      </x:c>
      <x:c r="H18" s="71" t="inlineStr">
        <x:is>
          <x:t xml:space="preserve">Improves robustness under repeated Development stress without weakening a frozen fatal gate.</x:t>
        </x:is>
      </x:c>
      <x:c r="I18" s="71" t="inlineStr">
        <x:is>
          <x:t xml:space="preserve">Synthetic overfitting / threshold rigidity; must be challenged prospectively.</x:t>
        </x:is>
      </x:c>
      <x:c r="J18" s="71" t="inlineStr">
        <x:is>
          <x:t xml:space="preserve">Simulation-only. Freeze before empirical Validation; no Accuracy Points and no authorization effect.</x:t>
        </x:is>
      </x:c>
    </x:row>
    <x:row r="19">
      <x:c r="A19" s="57" t="inlineStr">
        <x:is>
          <x:t xml:space="preserve">CH-013</x:t>
        </x:is>
      </x:c>
      <x:c r="B19" s="71" t="inlineStr">
        <x:is>
          <x:t xml:space="preserve">V10.5-SIM05</x:t>
        </x:is>
      </x:c>
      <x:c r="C19" s="206" t="inlineStr">
        <x:is>
          <x:t xml:space="preserve">2026-08-31</x:t>
        </x:is>
      </x:c>
      <x:c r="D19" s="71" t="inlineStr">
        <x:is>
          <x:t xml:space="preserve">SIMULATION STANDARD — NOT EMPIRICALLY VALIDATED</x:t>
        </x:is>
      </x:c>
      <x:c r="E19" s="71" t="inlineStr">
        <x:is>
          <x:t xml:space="preserve">ML0036</x:t>
        </x:is>
      </x:c>
      <x:c r="F19" s="71" t="inlineStr">
        <x:is>
          <x:t xml:space="preserve">R-STEW-01 recurring failure pattern; stage promoted to BASE after 3 exposures.</x:t>
        </x:is>
      </x:c>
      <x:c r="G19" s="71" t="inlineStr">
        <x:is>
          <x:t xml:space="preserve">R-STEW-01 → BASE: base rule accepted after 3 development exposures.</x:t>
        </x:is>
      </x:c>
      <x:c r="H19" s="71" t="inlineStr">
        <x:is>
          <x:t xml:space="preserve">Improves robustness under repeated Development stress without weakening a frozen fatal gate.</x:t>
        </x:is>
      </x:c>
      <x:c r="I19" s="71" t="inlineStr">
        <x:is>
          <x:t xml:space="preserve">Synthetic overfitting / threshold rigidity; must be challenged prospectively.</x:t>
        </x:is>
      </x:c>
      <x:c r="J19" s="71" t="inlineStr">
        <x:is>
          <x:t xml:space="preserve">Simulation-only. Freeze before empirical Validation; no Accuracy Points and no authorization effect.</x:t>
        </x:is>
      </x:c>
    </x:row>
    <x:row r="20">
      <x:c r="A20" s="57" t="inlineStr">
        <x:is>
          <x:t xml:space="preserve">CH-014</x:t>
        </x:is>
      </x:c>
      <x:c r="B20" s="71" t="inlineStr">
        <x:is>
          <x:t xml:space="preserve">V10.5-SIM06</x:t>
        </x:is>
      </x:c>
      <x:c r="C20" s="206" t="inlineStr">
        <x:is>
          <x:t xml:space="preserve">2026-08-31</x:t>
        </x:is>
      </x:c>
      <x:c r="D20" s="71" t="inlineStr">
        <x:is>
          <x:t xml:space="preserve">SIMULATION STANDARD — NOT EMPIRICALLY VALIDATED</x:t>
        </x:is>
      </x:c>
      <x:c r="E20" s="71" t="inlineStr">
        <x:is>
          <x:t xml:space="preserve">ML0037</x:t>
        </x:is>
      </x:c>
      <x:c r="F20" s="71" t="inlineStr">
        <x:is>
          <x:t xml:space="preserve">R-SURV-01 recurring failure pattern; stage promoted to BASE after 3 exposures.</x:t>
        </x:is>
      </x:c>
      <x:c r="G20" s="71" t="inlineStr">
        <x:is>
          <x:t xml:space="preserve">R-SURV-01 → BASE: base rule accepted after 3 development exposures.</x:t>
        </x:is>
      </x:c>
      <x:c r="H20" s="71" t="inlineStr">
        <x:is>
          <x:t xml:space="preserve">Improves robustness under repeated Development stress without weakening a frozen fatal gate.</x:t>
        </x:is>
      </x:c>
      <x:c r="I20" s="71" t="inlineStr">
        <x:is>
          <x:t xml:space="preserve">Synthetic overfitting / threshold rigidity; must be challenged prospectively.</x:t>
        </x:is>
      </x:c>
      <x:c r="J20" s="71" t="inlineStr">
        <x:is>
          <x:t xml:space="preserve">Simulation-only. Freeze before empirical Validation; no Accuracy Points and no authorization effect.</x:t>
        </x:is>
      </x:c>
    </x:row>
    <x:row r="21">
      <x:c r="A21" s="57" t="inlineStr">
        <x:is>
          <x:t xml:space="preserve">CH-015</x:t>
        </x:is>
      </x:c>
      <x:c r="B21" s="71" t="inlineStr">
        <x:is>
          <x:t xml:space="preserve">V10.5-SIM07</x:t>
        </x:is>
      </x:c>
      <x:c r="C21" s="206" t="inlineStr">
        <x:is>
          <x:t xml:space="preserve">2026-08-31</x:t>
        </x:is>
      </x:c>
      <x:c r="D21" s="71" t="inlineStr">
        <x:is>
          <x:t xml:space="preserve">SIMULATION STANDARD — NOT EMPIRICALLY VALIDATED</x:t>
        </x:is>
      </x:c>
      <x:c r="E21" s="71" t="inlineStr">
        <x:is>
          <x:t xml:space="preserve">ML0038</x:t>
        </x:is>
      </x:c>
      <x:c r="F21" s="71" t="inlineStr">
        <x:is>
          <x:t xml:space="preserve">R-MOS-01 recurring failure pattern; stage promoted to BASE after 3 exposures.</x:t>
        </x:is>
      </x:c>
      <x:c r="G21" s="71" t="inlineStr">
        <x:is>
          <x:t xml:space="preserve">R-MOS-01 → BASE: base rule accepted after 3 development exposures.</x:t>
        </x:is>
      </x:c>
      <x:c r="H21" s="71" t="inlineStr">
        <x:is>
          <x:t xml:space="preserve">Improves robustness under repeated Development stress without weakening a frozen fatal gate.</x:t>
        </x:is>
      </x:c>
      <x:c r="I21" s="71" t="inlineStr">
        <x:is>
          <x:t xml:space="preserve">Synthetic overfitting / threshold rigidity; must be challenged prospectively.</x:t>
        </x:is>
      </x:c>
      <x:c r="J21" s="71" t="inlineStr">
        <x:is>
          <x:t xml:space="preserve">Simulation-only. Freeze before empirical Validation; no Accuracy Points and no authorization effect.</x:t>
        </x:is>
      </x:c>
    </x:row>
    <x:row r="22">
      <x:c r="A22" s="57" t="inlineStr">
        <x:is>
          <x:t xml:space="preserve">CH-016</x:t>
        </x:is>
      </x:c>
      <x:c r="B22" s="71" t="inlineStr">
        <x:is>
          <x:t xml:space="preserve">V10.5-SIM08</x:t>
        </x:is>
      </x:c>
      <x:c r="C22" s="206" t="inlineStr">
        <x:is>
          <x:t xml:space="preserve">2026-08-31</x:t>
        </x:is>
      </x:c>
      <x:c r="D22" s="71" t="inlineStr">
        <x:is>
          <x:t xml:space="preserve">SIMULATION STANDARD — NOT EMPIRICALLY VALIDATED</x:t>
        </x:is>
      </x:c>
      <x:c r="E22" s="71" t="inlineStr">
        <x:is>
          <x:t xml:space="preserve">ML0040</x:t>
        </x:is>
      </x:c>
      <x:c r="F22" s="71" t="inlineStr">
        <x:is>
          <x:t xml:space="preserve">R-PROM-01 recurring failure pattern; stage promoted to BASE after 3 exposures.</x:t>
        </x:is>
      </x:c>
      <x:c r="G22" s="71" t="inlineStr">
        <x:is>
          <x:t xml:space="preserve">R-PROM-01 → BASE: base rule accepted after 3 development exposures.</x:t>
        </x:is>
      </x:c>
      <x:c r="H22" s="71" t="inlineStr">
        <x:is>
          <x:t xml:space="preserve">Improves robustness under repeated Development stress without weakening a frozen fatal gate.</x:t>
        </x:is>
      </x:c>
      <x:c r="I22" s="71" t="inlineStr">
        <x:is>
          <x:t xml:space="preserve">Synthetic overfitting / threshold rigidity; must be challenged prospectively.</x:t>
        </x:is>
      </x:c>
      <x:c r="J22" s="71" t="inlineStr">
        <x:is>
          <x:t xml:space="preserve">Simulation-only. Freeze before empirical Validation; no Accuracy Points and no authorization effect.</x:t>
        </x:is>
      </x:c>
    </x:row>
    <x:row r="23">
      <x:c r="A23" s="57" t="inlineStr">
        <x:is>
          <x:t xml:space="preserve">CH-017</x:t>
        </x:is>
      </x:c>
      <x:c r="B23" s="71" t="inlineStr">
        <x:is>
          <x:t xml:space="preserve">V10.5-SIM09</x:t>
        </x:is>
      </x:c>
      <x:c r="C23" s="206" t="inlineStr">
        <x:is>
          <x:t xml:space="preserve">2026-08-31</x:t>
        </x:is>
      </x:c>
      <x:c r="D23" s="71" t="inlineStr">
        <x:is>
          <x:t xml:space="preserve">SIMULATION STANDARD — NOT EMPIRICALLY VALIDATED</x:t>
        </x:is>
      </x:c>
      <x:c r="E23" s="71" t="inlineStr">
        <x:is>
          <x:t xml:space="preserve">ML0041</x:t>
        </x:is>
      </x:c>
      <x:c r="F23" s="71" t="inlineStr">
        <x:is>
          <x:t xml:space="preserve">R-DATA-01 recurring failure pattern; stage promoted to BASE after 3 exposures.</x:t>
        </x:is>
      </x:c>
      <x:c r="G23" s="71" t="inlineStr">
        <x:is>
          <x:t xml:space="preserve">R-DATA-01 → BASE: base rule accepted after 3 development exposures.</x:t>
        </x:is>
      </x:c>
      <x:c r="H23" s="71" t="inlineStr">
        <x:is>
          <x:t xml:space="preserve">Improves robustness under repeated Development stress without weakening a frozen fatal gate.</x:t>
        </x:is>
      </x:c>
      <x:c r="I23" s="71" t="inlineStr">
        <x:is>
          <x:t xml:space="preserve">Synthetic overfitting / threshold rigidity; must be challenged prospectively.</x:t>
        </x:is>
      </x:c>
      <x:c r="J23" s="71" t="inlineStr">
        <x:is>
          <x:t xml:space="preserve">Simulation-only. Freeze before empirical Validation; no Accuracy Points and no authorization effect.</x:t>
        </x:is>
      </x:c>
    </x:row>
    <x:row r="24">
      <x:c r="A24" s="57" t="inlineStr">
        <x:is>
          <x:t xml:space="preserve">CH-018</x:t>
        </x:is>
      </x:c>
      <x:c r="B24" s="71" t="inlineStr">
        <x:is>
          <x:t xml:space="preserve">V10.5-SIM10</x:t>
        </x:is>
      </x:c>
      <x:c r="C24" s="206" t="inlineStr">
        <x:is>
          <x:t xml:space="preserve">2026-08-31</x:t>
        </x:is>
      </x:c>
      <x:c r="D24" s="71" t="inlineStr">
        <x:is>
          <x:t xml:space="preserve">SIMULATION STANDARD — NOT EMPIRICALLY VALIDATED</x:t>
        </x:is>
      </x:c>
      <x:c r="E24" s="71" t="inlineStr">
        <x:is>
          <x:t xml:space="preserve">ML0042</x:t>
        </x:is>
      </x:c>
      <x:c r="F24" s="71" t="inlineStr">
        <x:is>
          <x:t xml:space="preserve">R-CF-01 recurring failure pattern; stage promoted to BASE after 3 exposures.</x:t>
        </x:is>
      </x:c>
      <x:c r="G24" s="71" t="inlineStr">
        <x:is>
          <x:t xml:space="preserve">R-CF-01 → BASE: base rule accepted after 3 development exposures.</x:t>
        </x:is>
      </x:c>
      <x:c r="H24" s="71" t="inlineStr">
        <x:is>
          <x:t xml:space="preserve">Improves robustness under repeated Development stress without weakening a frozen fatal gate.</x:t>
        </x:is>
      </x:c>
      <x:c r="I24" s="71" t="inlineStr">
        <x:is>
          <x:t xml:space="preserve">Synthetic overfitting / threshold rigidity; must be challenged prospectively.</x:t>
        </x:is>
      </x:c>
      <x:c r="J24" s="71" t="inlineStr">
        <x:is>
          <x:t xml:space="preserve">Simulation-only. Freeze before empirical Validation; no Accuracy Points and no authorization effect.</x:t>
        </x:is>
      </x:c>
    </x:row>
    <x:row r="25">
      <x:c r="A25" s="57" t="inlineStr">
        <x:is>
          <x:t xml:space="preserve">CH-019</x:t>
        </x:is>
      </x:c>
      <x:c r="B25" s="71" t="inlineStr">
        <x:is>
          <x:t xml:space="preserve">V10.5-SIM11</x:t>
        </x:is>
      </x:c>
      <x:c r="C25" s="206" t="inlineStr">
        <x:is>
          <x:t xml:space="preserve">2026-08-31</x:t>
        </x:is>
      </x:c>
      <x:c r="D25" s="71" t="inlineStr">
        <x:is>
          <x:t xml:space="preserve">SIMULATION STANDARD — NOT EMPIRICALLY VALIDATED</x:t>
        </x:is>
      </x:c>
      <x:c r="E25" s="71" t="inlineStr">
        <x:is>
          <x:t xml:space="preserve">ML0043</x:t>
        </x:is>
      </x:c>
      <x:c r="F25" s="71" t="inlineStr">
        <x:is>
          <x:t xml:space="preserve">R-FN-01 recurring failure pattern; stage promoted to BASE after 3 exposures.</x:t>
        </x:is>
      </x:c>
      <x:c r="G25" s="71" t="inlineStr">
        <x:is>
          <x:t xml:space="preserve">R-FN-01 → BASE: base rule accepted after 3 development exposures.</x:t>
        </x:is>
      </x:c>
      <x:c r="H25" s="71" t="inlineStr">
        <x:is>
          <x:t xml:space="preserve">Improves robustness under repeated Development stress without weakening a frozen fatal gate.</x:t>
        </x:is>
      </x:c>
      <x:c r="I25" s="71" t="inlineStr">
        <x:is>
          <x:t xml:space="preserve">Synthetic overfitting / threshold rigidity; must be challenged prospectively.</x:t>
        </x:is>
      </x:c>
      <x:c r="J25" s="71" t="inlineStr">
        <x:is>
          <x:t xml:space="preserve">Simulation-only. Freeze before empirical Validation; no Accuracy Points and no authorization effect.</x:t>
        </x:is>
      </x:c>
    </x:row>
    <x:row r="26">
      <x:c r="A26" s="57" t="inlineStr">
        <x:is>
          <x:t xml:space="preserve">CH-020</x:t>
        </x:is>
      </x:c>
      <x:c r="B26" s="71" t="inlineStr">
        <x:is>
          <x:t xml:space="preserve">V10.5-SIM12</x:t>
        </x:is>
      </x:c>
      <x:c r="C26" s="206" t="inlineStr">
        <x:is>
          <x:t xml:space="preserve">2026-08-31</x:t>
        </x:is>
      </x:c>
      <x:c r="D26" s="71" t="inlineStr">
        <x:is>
          <x:t xml:space="preserve">SIMULATION STANDARD — NOT EMPIRICALLY VALIDATED</x:t>
        </x:is>
      </x:c>
      <x:c r="E26" s="71" t="inlineStr">
        <x:is>
          <x:t xml:space="preserve">ML0044</x:t>
        </x:is>
      </x:c>
      <x:c r="F26" s="71" t="inlineStr">
        <x:is>
          <x:t xml:space="preserve">R-TIME-01 recurring failure pattern; stage promoted to BASE after 3 exposures.</x:t>
        </x:is>
      </x:c>
      <x:c r="G26" s="71" t="inlineStr">
        <x:is>
          <x:t xml:space="preserve">R-TIME-01 → BASE: base rule accepted after 3 development exposures.</x:t>
        </x:is>
      </x:c>
      <x:c r="H26" s="71" t="inlineStr">
        <x:is>
          <x:t xml:space="preserve">Improves robustness under repeated Development stress without weakening a frozen fatal gate.</x:t>
        </x:is>
      </x:c>
      <x:c r="I26" s="71" t="inlineStr">
        <x:is>
          <x:t xml:space="preserve">Synthetic overfitting / threshold rigidity; must be challenged prospectively.</x:t>
        </x:is>
      </x:c>
      <x:c r="J26" s="71" t="inlineStr">
        <x:is>
          <x:t xml:space="preserve">Simulation-only. Freeze before empirical Validation; no Accuracy Points and no authorization effect.</x:t>
        </x:is>
      </x:c>
    </x:row>
    <x:row r="27">
      <x:c r="A27" s="57" t="inlineStr">
        <x:is>
          <x:t xml:space="preserve">CH-021</x:t>
        </x:is>
      </x:c>
      <x:c r="B27" s="71" t="inlineStr">
        <x:is>
          <x:t xml:space="preserve">V10.5-SIM13</x:t>
        </x:is>
      </x:c>
      <x:c r="C27" s="206" t="inlineStr">
        <x:is>
          <x:t xml:space="preserve">2026-08-31</x:t>
        </x:is>
      </x:c>
      <x:c r="D27" s="71" t="inlineStr">
        <x:is>
          <x:t xml:space="preserve">SIMULATION STANDARD — NOT EMPIRICALLY VALIDATED</x:t>
        </x:is>
      </x:c>
      <x:c r="E27" s="71" t="inlineStr">
        <x:is>
          <x:t xml:space="preserve">ML0045</x:t>
        </x:is>
      </x:c>
      <x:c r="F27" s="71" t="inlineStr">
        <x:is>
          <x:t xml:space="preserve">R-CYCLE-01 recurring failure pattern; stage promoted to BASE after 3 exposures.</x:t>
        </x:is>
      </x:c>
      <x:c r="G27" s="71" t="inlineStr">
        <x:is>
          <x:t xml:space="preserve">R-CYCLE-01 → BASE: base rule accepted after 3 development exposures.</x:t>
        </x:is>
      </x:c>
      <x:c r="H27" s="71" t="inlineStr">
        <x:is>
          <x:t xml:space="preserve">Improves robustness under repeated Development stress without weakening a frozen fatal gate.</x:t>
        </x:is>
      </x:c>
      <x:c r="I27" s="71" t="inlineStr">
        <x:is>
          <x:t xml:space="preserve">Synthetic overfitting / threshold rigidity; must be challenged prospectively.</x:t>
        </x:is>
      </x:c>
      <x:c r="J27" s="71" t="inlineStr">
        <x:is>
          <x:t xml:space="preserve">Simulation-only. Freeze before empirical Validation; no Accuracy Points and no authorization effect.</x:t>
        </x:is>
      </x:c>
    </x:row>
    <x:row r="28">
      <x:c r="A28" s="57" t="inlineStr">
        <x:is>
          <x:t xml:space="preserve">CH-022</x:t>
        </x:is>
      </x:c>
      <x:c r="B28" s="71" t="inlineStr">
        <x:is>
          <x:t xml:space="preserve">V10.5-SIM14</x:t>
        </x:is>
      </x:c>
      <x:c r="C28" s="206" t="inlineStr">
        <x:is>
          <x:t xml:space="preserve">2026-08-31</x:t>
        </x:is>
      </x:c>
      <x:c r="D28" s="71" t="inlineStr">
        <x:is>
          <x:t xml:space="preserve">SIMULATION STANDARD — NOT EMPIRICALLY VALIDATED</x:t>
        </x:is>
      </x:c>
      <x:c r="E28" s="71" t="inlineStr">
        <x:is>
          <x:t xml:space="preserve">ML0046</x:t>
        </x:is>
      </x:c>
      <x:c r="F28" s="71" t="inlineStr">
        <x:is>
          <x:t xml:space="preserve">R-MA-01 recurring failure pattern; stage promoted to BASE after 3 exposures.</x:t>
        </x:is>
      </x:c>
      <x:c r="G28" s="71" t="inlineStr">
        <x:is>
          <x:t xml:space="preserve">R-MA-01 → BASE: base rule accepted after 3 development exposures.</x:t>
        </x:is>
      </x:c>
      <x:c r="H28" s="71" t="inlineStr">
        <x:is>
          <x:t xml:space="preserve">Improves robustness under repeated Development stress without weakening a frozen fatal gate.</x:t>
        </x:is>
      </x:c>
      <x:c r="I28" s="71" t="inlineStr">
        <x:is>
          <x:t xml:space="preserve">Synthetic overfitting / threshold rigidity; must be challenged prospectively.</x:t>
        </x:is>
      </x:c>
      <x:c r="J28" s="71" t="inlineStr">
        <x:is>
          <x:t xml:space="preserve">Simulation-only. Freeze before empirical Validation; no Accuracy Points and no authorization effect.</x:t>
        </x:is>
      </x:c>
    </x:row>
    <x:row r="29">
      <x:c r="A29" s="57" t="inlineStr">
        <x:is>
          <x:t xml:space="preserve">CH-023</x:t>
        </x:is>
      </x:c>
      <x:c r="B29" s="71" t="inlineStr">
        <x:is>
          <x:t xml:space="preserve">V10.5-SIM15</x:t>
        </x:is>
      </x:c>
      <x:c r="C29" s="206" t="inlineStr">
        <x:is>
          <x:t xml:space="preserve">2026-08-31</x:t>
        </x:is>
      </x:c>
      <x:c r="D29" s="71" t="inlineStr">
        <x:is>
          <x:t xml:space="preserve">SIMULATION STANDARD — NOT EMPIRICALLY VALIDATED</x:t>
        </x:is>
      </x:c>
      <x:c r="E29" s="71" t="inlineStr">
        <x:is>
          <x:t xml:space="preserve">ML0047</x:t>
        </x:is>
      </x:c>
      <x:c r="F29" s="71" t="inlineStr">
        <x:is>
          <x:t xml:space="preserve">R-DIL-01 recurring failure pattern; stage promoted to BASE after 3 exposures.</x:t>
        </x:is>
      </x:c>
      <x:c r="G29" s="71" t="inlineStr">
        <x:is>
          <x:t xml:space="preserve">R-DIL-01 → BASE: base rule accepted after 3 development exposures.</x:t>
        </x:is>
      </x:c>
      <x:c r="H29" s="71" t="inlineStr">
        <x:is>
          <x:t xml:space="preserve">Improves robustness under repeated Development stress without weakening a frozen fatal gate.</x:t>
        </x:is>
      </x:c>
      <x:c r="I29" s="71" t="inlineStr">
        <x:is>
          <x:t xml:space="preserve">Synthetic overfitting / threshold rigidity; must be challenged prospectively.</x:t>
        </x:is>
      </x:c>
      <x:c r="J29" s="71" t="inlineStr">
        <x:is>
          <x:t xml:space="preserve">Simulation-only. Freeze before empirical Validation; no Accuracy Points and no authorization effect.</x:t>
        </x:is>
      </x:c>
    </x:row>
    <x:row r="30">
      <x:c r="A30" s="57" t="inlineStr">
        <x:is>
          <x:t xml:space="preserve">CH-024</x:t>
        </x:is>
      </x:c>
      <x:c r="B30" s="71" t="inlineStr">
        <x:is>
          <x:t xml:space="preserve">V10.5-SIM16</x:t>
        </x:is>
      </x:c>
      <x:c r="C30" s="206" t="inlineStr">
        <x:is>
          <x:t xml:space="preserve">2026-08-31</x:t>
        </x:is>
      </x:c>
      <x:c r="D30" s="71" t="inlineStr">
        <x:is>
          <x:t xml:space="preserve">SIMULATION STANDARD — NOT EMPIRICALLY VALIDATED</x:t>
        </x:is>
      </x:c>
      <x:c r="E30" s="71" t="inlineStr">
        <x:is>
          <x:t xml:space="preserve">ML0048</x:t>
        </x:is>
      </x:c>
      <x:c r="F30" s="71" t="inlineStr">
        <x:is>
          <x:t xml:space="preserve">R-TAIL-01 recurring failure pattern; stage promoted to BASE after 3 exposures.</x:t>
        </x:is>
      </x:c>
      <x:c r="G30" s="71" t="inlineStr">
        <x:is>
          <x:t xml:space="preserve">R-TAIL-01 → BASE: base rule accepted after 3 development exposures.</x:t>
        </x:is>
      </x:c>
      <x:c r="H30" s="71" t="inlineStr">
        <x:is>
          <x:t xml:space="preserve">Improves robustness under repeated Development stress without weakening a frozen fatal gate.</x:t>
        </x:is>
      </x:c>
      <x:c r="I30" s="71" t="inlineStr">
        <x:is>
          <x:t xml:space="preserve">Synthetic overfitting / threshold rigidity; must be challenged prospectively.</x:t>
        </x:is>
      </x:c>
      <x:c r="J30" s="71" t="inlineStr">
        <x:is>
          <x:t xml:space="preserve">Simulation-only. Freeze before empirical Validation; no Accuracy Points and no authorization effect.</x:t>
        </x:is>
      </x:c>
    </x:row>
    <x:row r="31">
      <x:c r="A31" s="57" t="inlineStr">
        <x:is>
          <x:t xml:space="preserve">CH-025</x:t>
        </x:is>
      </x:c>
      <x:c r="B31" s="71" t="inlineStr">
        <x:is>
          <x:t xml:space="preserve">V10.5-SIM17</x:t>
        </x:is>
      </x:c>
      <x:c r="C31" s="206" t="inlineStr">
        <x:is>
          <x:t xml:space="preserve">2026-08-31</x:t>
        </x:is>
      </x:c>
      <x:c r="D31" s="71" t="inlineStr">
        <x:is>
          <x:t xml:space="preserve">SIMULATION STANDARD — NOT EMPIRICALLY VALIDATED</x:t>
        </x:is>
      </x:c>
      <x:c r="E31" s="71" t="inlineStr">
        <x:is>
          <x:t xml:space="preserve">ML0055</x:t>
        </x:is>
      </x:c>
      <x:c r="F31" s="71" t="inlineStr">
        <x:is>
          <x:t xml:space="preserve">R-SECTOR-QUANTUM-COMPUTING recurring failure pattern; stage promoted to HARDENED after 4 exposures.</x:t>
        </x:is>
      </x:c>
      <x:c r="G31" s="71" t="inlineStr">
        <x:is>
          <x:t xml:space="preserve">R-SECTOR-QUANTUM-COMPUTING → HARDENED: evidence thresholds hardened after 4 development exposures.</x:t>
        </x:is>
      </x:c>
      <x:c r="H31" s="71" t="inlineStr">
        <x:is>
          <x:t xml:space="preserve">Improves robustness under repeated Development stress without weakening a frozen fatal gate.</x:t>
        </x:is>
      </x:c>
      <x:c r="I31" s="71" t="inlineStr">
        <x:is>
          <x:t xml:space="preserve">Synthetic overfitting / threshold rigidity; must be challenged prospectively.</x:t>
        </x:is>
      </x:c>
      <x:c r="J31" s="71" t="inlineStr">
        <x:is>
          <x:t xml:space="preserve">Simulation-only. Freeze before empirical Validation; no Accuracy Points and no authorization effect.</x:t>
        </x:is>
      </x:c>
    </x:row>
    <x:row r="32">
      <x:c r="A32" s="57" t="inlineStr">
        <x:is>
          <x:t xml:space="preserve">CH-026</x:t>
        </x:is>
      </x:c>
      <x:c r="B32" s="71" t="inlineStr">
        <x:is>
          <x:t xml:space="preserve">V10.5-SIM18</x:t>
        </x:is>
      </x:c>
      <x:c r="C32" s="206" t="inlineStr">
        <x:is>
          <x:t xml:space="preserve">2026-08-31</x:t>
        </x:is>
      </x:c>
      <x:c r="D32" s="71" t="inlineStr">
        <x:is>
          <x:t xml:space="preserve">SIMULATION STANDARD — NOT EMPIRICALLY VALIDATED</x:t>
        </x:is>
      </x:c>
      <x:c r="E32" s="71" t="inlineStr">
        <x:is>
          <x:t xml:space="preserve">ML0087</x:t>
        </x:is>
      </x:c>
      <x:c r="F32" s="71" t="inlineStr">
        <x:is>
          <x:t xml:space="preserve">R-SECTOR-AI-SEMICONDUCTORS recurring failure pattern; stage promoted to BASE after 2 exposures.</x:t>
        </x:is>
      </x:c>
      <x:c r="G32" s="71" t="inlineStr">
        <x:is>
          <x:t xml:space="preserve">R-SECTOR-AI-SEMICONDUCTORS → BASE: base rule accepted after 2 development exposures.</x:t>
        </x:is>
      </x:c>
      <x:c r="H32" s="71" t="inlineStr">
        <x:is>
          <x:t xml:space="preserve">Improves robustness under repeated Development stress without weakening a frozen fatal gate.</x:t>
        </x:is>
      </x:c>
      <x:c r="I32" s="71" t="inlineStr">
        <x:is>
          <x:t xml:space="preserve">Synthetic overfitting / threshold rigidity; must be challenged prospectively.</x:t>
        </x:is>
      </x:c>
      <x:c r="J32" s="71" t="inlineStr">
        <x:is>
          <x:t xml:space="preserve">Simulation-only. Freeze before empirical Validation; no Accuracy Points and no authorization effect.</x:t>
        </x:is>
      </x:c>
    </x:row>
    <x:row r="33">
      <x:c r="A33" s="57" t="inlineStr">
        <x:is>
          <x:t xml:space="preserve">CH-027</x:t>
        </x:is>
      </x:c>
      <x:c r="B33" s="71" t="inlineStr">
        <x:is>
          <x:t xml:space="preserve">V10.5-SIM19</x:t>
        </x:is>
      </x:c>
      <x:c r="C33" s="206" t="inlineStr">
        <x:is>
          <x:t xml:space="preserve">2026-08-31</x:t>
        </x:is>
      </x:c>
      <x:c r="D33" s="71" t="inlineStr">
        <x:is>
          <x:t xml:space="preserve">SIMULATION STANDARD — NOT EMPIRICALLY VALIDATED</x:t>
        </x:is>
      </x:c>
      <x:c r="E33" s="71" t="inlineStr">
        <x:is>
          <x:t xml:space="preserve">ML0119</x:t>
        </x:is>
      </x:c>
      <x:c r="F33" s="71" t="inlineStr">
        <x:is>
          <x:t xml:space="preserve">R-SECTOR-AI-SEMICONDUCTORS recurring failure pattern; stage promoted to HARDENED after 4 exposures.</x:t>
        </x:is>
      </x:c>
      <x:c r="G33" s="71" t="inlineStr">
        <x:is>
          <x:t xml:space="preserve">R-SECTOR-AI-SEMICONDUCTORS → HARDENED: evidence thresholds hardened after 4 development exposures.</x:t>
        </x:is>
      </x:c>
      <x:c r="H33" s="71" t="inlineStr">
        <x:is>
          <x:t xml:space="preserve">Improves robustness under repeated Development stress without weakening a frozen fatal gate.</x:t>
        </x:is>
      </x:c>
      <x:c r="I33" s="71" t="inlineStr">
        <x:is>
          <x:t xml:space="preserve">Synthetic overfitting / threshold rigidity; must be challenged prospectively.</x:t>
        </x:is>
      </x:c>
      <x:c r="J33" s="71" t="inlineStr">
        <x:is>
          <x:t xml:space="preserve">Simulation-only. Freeze before empirical Validation; no Accuracy Points and no authorization effect.</x:t>
        </x:is>
      </x:c>
    </x:row>
    <x:row r="34">
      <x:c r="A34" s="57" t="inlineStr">
        <x:is>
          <x:t xml:space="preserve">CH-028</x:t>
        </x:is>
      </x:c>
      <x:c r="B34" s="71" t="inlineStr">
        <x:is>
          <x:t xml:space="preserve">V10.5-SIM20</x:t>
        </x:is>
      </x:c>
      <x:c r="C34" s="206" t="inlineStr">
        <x:is>
          <x:t xml:space="preserve">2026-08-31</x:t>
        </x:is>
      </x:c>
      <x:c r="D34" s="71" t="inlineStr">
        <x:is>
          <x:t xml:space="preserve">SIMULATION STANDARD — NOT EMPIRICALLY VALIDATED</x:t>
        </x:is>
      </x:c>
      <x:c r="E34" s="71" t="inlineStr">
        <x:is>
          <x:t xml:space="preserve">ML0145</x:t>
        </x:is>
      </x:c>
      <x:c r="F34" s="71" t="inlineStr">
        <x:is>
          <x:t xml:space="preserve">R-ENG-01 recurring failure pattern; stage promoted to HARDENED after 10 exposures.</x:t>
        </x:is>
      </x:c>
      <x:c r="G34" s="71" t="inlineStr">
        <x:is>
          <x:t xml:space="preserve">R-ENG-01 → HARDENED: evidence thresholds hardened after 10 development exposures.</x:t>
        </x:is>
      </x:c>
      <x:c r="H34" s="71" t="inlineStr">
        <x:is>
          <x:t xml:space="preserve">Improves robustness under repeated Development stress without weakening a frozen fatal gate.</x:t>
        </x:is>
      </x:c>
      <x:c r="I34" s="71" t="inlineStr">
        <x:is>
          <x:t xml:space="preserve">Synthetic overfitting / threshold rigidity; must be challenged prospectively.</x:t>
        </x:is>
      </x:c>
      <x:c r="J34" s="71" t="inlineStr">
        <x:is>
          <x:t xml:space="preserve">Simulation-only. Freeze before empirical Validation; no Accuracy Points and no authorization effect.</x:t>
        </x:is>
      </x:c>
    </x:row>
    <x:row r="35">
      <x:c r="A35" s="57" t="inlineStr">
        <x:is>
          <x:t xml:space="preserve">CH-029</x:t>
        </x:is>
      </x:c>
      <x:c r="B35" s="71" t="inlineStr">
        <x:is>
          <x:t xml:space="preserve">V10.5-SIM21</x:t>
        </x:is>
      </x:c>
      <x:c r="C35" s="206" t="inlineStr">
        <x:is>
          <x:t xml:space="preserve">2026-08-31</x:t>
        </x:is>
      </x:c>
      <x:c r="D35" s="71" t="inlineStr">
        <x:is>
          <x:t xml:space="preserve">SIMULATION STANDARD — NOT EMPIRICALLY VALIDATED</x:t>
        </x:is>
      </x:c>
      <x:c r="E35" s="71" t="inlineStr">
        <x:is>
          <x:t xml:space="preserve">ML0146</x:t>
        </x:is>
      </x:c>
      <x:c r="F35" s="71" t="inlineStr">
        <x:is>
          <x:t xml:space="preserve">R-OE-01 recurring failure pattern; stage promoted to HARDENED after 10 exposures.</x:t>
        </x:is>
      </x:c>
      <x:c r="G35" s="71" t="inlineStr">
        <x:is>
          <x:t xml:space="preserve">R-OE-01 → HARDENED: evidence thresholds hardened after 10 development exposures.</x:t>
        </x:is>
      </x:c>
      <x:c r="H35" s="71" t="inlineStr">
        <x:is>
          <x:t xml:space="preserve">Improves robustness under repeated Development stress without weakening a frozen fatal gate.</x:t>
        </x:is>
      </x:c>
      <x:c r="I35" s="71" t="inlineStr">
        <x:is>
          <x:t xml:space="preserve">Synthetic overfitting / threshold rigidity; must be challenged prospectively.</x:t>
        </x:is>
      </x:c>
      <x:c r="J35" s="71" t="inlineStr">
        <x:is>
          <x:t xml:space="preserve">Simulation-only. Freeze before empirical Validation; no Accuracy Points and no authorization effect.</x:t>
        </x:is>
      </x:c>
    </x:row>
    <x:row r="36">
      <x:c r="A36" s="57" t="inlineStr">
        <x:is>
          <x:t xml:space="preserve">CH-030</x:t>
        </x:is>
      </x:c>
      <x:c r="B36" s="71" t="inlineStr">
        <x:is>
          <x:t xml:space="preserve">V10.5-SIM22</x:t>
        </x:is>
      </x:c>
      <x:c r="C36" s="206" t="inlineStr">
        <x:is>
          <x:t xml:space="preserve">2026-08-31</x:t>
        </x:is>
      </x:c>
      <x:c r="D36" s="71" t="inlineStr">
        <x:is>
          <x:t xml:space="preserve">SIMULATION STANDARD — NOT EMPIRICALLY VALIDATED</x:t>
        </x:is>
      </x:c>
      <x:c r="E36" s="71" t="inlineStr">
        <x:is>
          <x:t xml:space="preserve">ML0147</x:t>
        </x:is>
      </x:c>
      <x:c r="F36" s="71" t="inlineStr">
        <x:is>
          <x:t xml:space="preserve">R-MOAT-01 recurring failure pattern; stage promoted to HARDENED after 10 exposures.</x:t>
        </x:is>
      </x:c>
      <x:c r="G36" s="71" t="inlineStr">
        <x:is>
          <x:t xml:space="preserve">R-MOAT-01 → HARDENED: evidence thresholds hardened after 10 development exposures.</x:t>
        </x:is>
      </x:c>
      <x:c r="H36" s="71" t="inlineStr">
        <x:is>
          <x:t xml:space="preserve">Improves robustness under repeated Development stress without weakening a frozen fatal gate.</x:t>
        </x:is>
      </x:c>
      <x:c r="I36" s="71" t="inlineStr">
        <x:is>
          <x:t xml:space="preserve">Synthetic overfitting / threshold rigidity; must be challenged prospectively.</x:t>
        </x:is>
      </x:c>
      <x:c r="J36" s="71" t="inlineStr">
        <x:is>
          <x:t xml:space="preserve">Simulation-only. Freeze before empirical Validation; no Accuracy Points and no authorization effect.</x:t>
        </x:is>
      </x:c>
    </x:row>
    <x:row r="37">
      <x:c r="A37" s="57" t="inlineStr">
        <x:is>
          <x:t xml:space="preserve">CH-031</x:t>
        </x:is>
      </x:c>
      <x:c r="B37" s="71" t="inlineStr">
        <x:is>
          <x:t xml:space="preserve">V10.5-SIM23</x:t>
        </x:is>
      </x:c>
      <x:c r="C37" s="206" t="inlineStr">
        <x:is>
          <x:t xml:space="preserve">2026-08-31</x:t>
        </x:is>
      </x:c>
      <x:c r="D37" s="71" t="inlineStr">
        <x:is>
          <x:t xml:space="preserve">SIMULATION STANDARD — NOT EMPIRICALLY VALIDATED</x:t>
        </x:is>
      </x:c>
      <x:c r="E37" s="71" t="inlineStr">
        <x:is>
          <x:t xml:space="preserve">ML0148</x:t>
        </x:is>
      </x:c>
      <x:c r="F37" s="71" t="inlineStr">
        <x:is>
          <x:t xml:space="preserve">R-STEW-01 recurring failure pattern; stage promoted to HARDENED after 10 exposures.</x:t>
        </x:is>
      </x:c>
      <x:c r="G37" s="71" t="inlineStr">
        <x:is>
          <x:t xml:space="preserve">R-STEW-01 → HARDENED: evidence thresholds hardened after 10 development exposures.</x:t>
        </x:is>
      </x:c>
      <x:c r="H37" s="71" t="inlineStr">
        <x:is>
          <x:t xml:space="preserve">Improves robustness under repeated Development stress without weakening a frozen fatal gate.</x:t>
        </x:is>
      </x:c>
      <x:c r="I37" s="71" t="inlineStr">
        <x:is>
          <x:t xml:space="preserve">Synthetic overfitting / threshold rigidity; must be challenged prospectively.</x:t>
        </x:is>
      </x:c>
      <x:c r="J37" s="71" t="inlineStr">
        <x:is>
          <x:t xml:space="preserve">Simulation-only. Freeze before empirical Validation; no Accuracy Points and no authorization effect.</x:t>
        </x:is>
      </x:c>
    </x:row>
    <x:row r="38">
      <x:c r="A38" s="57" t="inlineStr">
        <x:is>
          <x:t xml:space="preserve">CH-032</x:t>
        </x:is>
      </x:c>
      <x:c r="B38" s="71" t="inlineStr">
        <x:is>
          <x:t xml:space="preserve">V10.5-SIM24</x:t>
        </x:is>
      </x:c>
      <x:c r="C38" s="206" t="inlineStr">
        <x:is>
          <x:t xml:space="preserve">2026-08-31</x:t>
        </x:is>
      </x:c>
      <x:c r="D38" s="71" t="inlineStr">
        <x:is>
          <x:t xml:space="preserve">SIMULATION STANDARD — NOT EMPIRICALLY VALIDATED</x:t>
        </x:is>
      </x:c>
      <x:c r="E38" s="71" t="inlineStr">
        <x:is>
          <x:t xml:space="preserve">ML0149</x:t>
        </x:is>
      </x:c>
      <x:c r="F38" s="71" t="inlineStr">
        <x:is>
          <x:t xml:space="preserve">R-SURV-01 recurring failure pattern; stage promoted to HARDENED after 10 exposures.</x:t>
        </x:is>
      </x:c>
      <x:c r="G38" s="71" t="inlineStr">
        <x:is>
          <x:t xml:space="preserve">R-SURV-01 → HARDENED: evidence thresholds hardened after 10 development exposures.</x:t>
        </x:is>
      </x:c>
      <x:c r="H38" s="71" t="inlineStr">
        <x:is>
          <x:t xml:space="preserve">Improves robustness under repeated Development stress without weakening a frozen fatal gate.</x:t>
        </x:is>
      </x:c>
      <x:c r="I38" s="71" t="inlineStr">
        <x:is>
          <x:t xml:space="preserve">Synthetic overfitting / threshold rigidity; must be challenged prospectively.</x:t>
        </x:is>
      </x:c>
      <x:c r="J38" s="71" t="inlineStr">
        <x:is>
          <x:t xml:space="preserve">Simulation-only. Freeze before empirical Validation; no Accuracy Points and no authorization effect.</x:t>
        </x:is>
      </x:c>
    </x:row>
    <x:row r="39">
      <x:c r="A39" s="57" t="inlineStr">
        <x:is>
          <x:t xml:space="preserve">CH-033</x:t>
        </x:is>
      </x:c>
      <x:c r="B39" s="71" t="inlineStr">
        <x:is>
          <x:t xml:space="preserve">V10.5-SIM25</x:t>
        </x:is>
      </x:c>
      <x:c r="C39" s="206" t="inlineStr">
        <x:is>
          <x:t xml:space="preserve">2026-08-31</x:t>
        </x:is>
      </x:c>
      <x:c r="D39" s="71" t="inlineStr">
        <x:is>
          <x:t xml:space="preserve">SIMULATION STANDARD — NOT EMPIRICALLY VALIDATED</x:t>
        </x:is>
      </x:c>
      <x:c r="E39" s="71" t="inlineStr">
        <x:is>
          <x:t xml:space="preserve">ML0150</x:t>
        </x:is>
      </x:c>
      <x:c r="F39" s="71" t="inlineStr">
        <x:is>
          <x:t xml:space="preserve">R-MOS-01 recurring failure pattern; stage promoted to HARDENED after 10 exposures.</x:t>
        </x:is>
      </x:c>
      <x:c r="G39" s="71" t="inlineStr">
        <x:is>
          <x:t xml:space="preserve">R-MOS-01 → HARDENED: evidence thresholds hardened after 10 development exposures.</x:t>
        </x:is>
      </x:c>
      <x:c r="H39" s="71" t="inlineStr">
        <x:is>
          <x:t xml:space="preserve">Improves robustness under repeated Development stress without weakening a frozen fatal gate.</x:t>
        </x:is>
      </x:c>
      <x:c r="I39" s="71" t="inlineStr">
        <x:is>
          <x:t xml:space="preserve">Synthetic overfitting / threshold rigidity; must be challenged prospectively.</x:t>
        </x:is>
      </x:c>
      <x:c r="J39" s="71" t="inlineStr">
        <x:is>
          <x:t xml:space="preserve">Simulation-only. Freeze before empirical Validation; no Accuracy Points and no authorization effect.</x:t>
        </x:is>
      </x:c>
    </x:row>
    <x:row r="40">
      <x:c r="A40" s="57" t="inlineStr">
        <x:is>
          <x:t xml:space="preserve">CH-034</x:t>
        </x:is>
      </x:c>
      <x:c r="B40" s="71" t="inlineStr">
        <x:is>
          <x:t xml:space="preserve">V10.5-SIM26</x:t>
        </x:is>
      </x:c>
      <x:c r="C40" s="206" t="inlineStr">
        <x:is>
          <x:t xml:space="preserve">2026-08-31</x:t>
        </x:is>
      </x:c>
      <x:c r="D40" s="71" t="inlineStr">
        <x:is>
          <x:t xml:space="preserve">SIMULATION STANDARD — NOT EMPIRICALLY VALIDATED</x:t>
        </x:is>
      </x:c>
      <x:c r="E40" s="71" t="inlineStr">
        <x:is>
          <x:t xml:space="preserve">ML0151</x:t>
        </x:is>
      </x:c>
      <x:c r="F40" s="71" t="inlineStr">
        <x:is>
          <x:t xml:space="preserve">R-SECTOR-AI-SEMICONDUCTORS recurring failure pattern; stage promoted to COUNTER-EVIDENCE after 6 exposures.</x:t>
        </x:is>
      </x:c>
      <x:c r="G40" s="71" t="inlineStr">
        <x:is>
          <x:t xml:space="preserve">R-SECTOR-AI-SEMICONDUCTORS → COUNTER-EVIDENCE: counter-evidence clause added after 6 development exposures.</x:t>
        </x:is>
      </x:c>
      <x:c r="H40" s="71" t="inlineStr">
        <x:is>
          <x:t xml:space="preserve">Improves robustness under repeated Development stress without weakening a frozen fatal gate.</x:t>
        </x:is>
      </x:c>
      <x:c r="I40" s="71" t="inlineStr">
        <x:is>
          <x:t xml:space="preserve">Synthetic overfitting / threshold rigidity; must be challenged prospectively.</x:t>
        </x:is>
      </x:c>
      <x:c r="J40" s="71" t="inlineStr">
        <x:is>
          <x:t xml:space="preserve">Simulation-only. Freeze before empirical Validation; no Accuracy Points and no authorization effect.</x:t>
        </x:is>
      </x:c>
    </x:row>
    <x:row r="41">
      <x:c r="A41" s="57" t="inlineStr">
        <x:is>
          <x:t xml:space="preserve">CH-035</x:t>
        </x:is>
      </x:c>
      <x:c r="B41" s="71" t="inlineStr">
        <x:is>
          <x:t xml:space="preserve">V10.5-SIM27</x:t>
        </x:is>
      </x:c>
      <x:c r="C41" s="206" t="inlineStr">
        <x:is>
          <x:t xml:space="preserve">2026-08-31</x:t>
        </x:is>
      </x:c>
      <x:c r="D41" s="71" t="inlineStr">
        <x:is>
          <x:t xml:space="preserve">SIMULATION STANDARD — NOT EMPIRICALLY VALIDATED</x:t>
        </x:is>
      </x:c>
      <x:c r="E41" s="71" t="inlineStr">
        <x:is>
          <x:t xml:space="preserve">ML0152</x:t>
        </x:is>
      </x:c>
      <x:c r="F41" s="71" t="inlineStr">
        <x:is>
          <x:t xml:space="preserve">R-PROM-01 recurring failure pattern; stage promoted to HARDENED after 10 exposures.</x:t>
        </x:is>
      </x:c>
      <x:c r="G41" s="71" t="inlineStr">
        <x:is>
          <x:t xml:space="preserve">R-PROM-01 → HARDENED: evidence thresholds hardened after 10 development exposures.</x:t>
        </x:is>
      </x:c>
      <x:c r="H41" s="71" t="inlineStr">
        <x:is>
          <x:t xml:space="preserve">Improves robustness under repeated Development stress without weakening a frozen fatal gate.</x:t>
        </x:is>
      </x:c>
      <x:c r="I41" s="71" t="inlineStr">
        <x:is>
          <x:t xml:space="preserve">Synthetic overfitting / threshold rigidity; must be challenged prospectively.</x:t>
        </x:is>
      </x:c>
      <x:c r="J41" s="71" t="inlineStr">
        <x:is>
          <x:t xml:space="preserve">Simulation-only. Freeze before empirical Validation; no Accuracy Points and no authorization effect.</x:t>
        </x:is>
      </x:c>
    </x:row>
    <x:row r="42">
      <x:c r="A42" s="57" t="inlineStr">
        <x:is>
          <x:t xml:space="preserve">CH-036</x:t>
        </x:is>
      </x:c>
      <x:c r="B42" s="71" t="inlineStr">
        <x:is>
          <x:t xml:space="preserve">V10.5-SIM28</x:t>
        </x:is>
      </x:c>
      <x:c r="C42" s="206" t="inlineStr">
        <x:is>
          <x:t xml:space="preserve">2026-08-31</x:t>
        </x:is>
      </x:c>
      <x:c r="D42" s="71" t="inlineStr">
        <x:is>
          <x:t xml:space="preserve">SIMULATION STANDARD — NOT EMPIRICALLY VALIDATED</x:t>
        </x:is>
      </x:c>
      <x:c r="E42" s="71" t="inlineStr">
        <x:is>
          <x:t xml:space="preserve">ML0153</x:t>
        </x:is>
      </x:c>
      <x:c r="F42" s="71" t="inlineStr">
        <x:is>
          <x:t xml:space="preserve">R-DATA-01 recurring failure pattern; stage promoted to HARDENED after 10 exposures.</x:t>
        </x:is>
      </x:c>
      <x:c r="G42" s="71" t="inlineStr">
        <x:is>
          <x:t xml:space="preserve">R-DATA-01 → HARDENED: evidence thresholds hardened after 10 development exposures.</x:t>
        </x:is>
      </x:c>
      <x:c r="H42" s="71" t="inlineStr">
        <x:is>
          <x:t xml:space="preserve">Improves robustness under repeated Development stress without weakening a frozen fatal gate.</x:t>
        </x:is>
      </x:c>
      <x:c r="I42" s="71" t="inlineStr">
        <x:is>
          <x:t xml:space="preserve">Synthetic overfitting / threshold rigidity; must be challenged prospectively.</x:t>
        </x:is>
      </x:c>
      <x:c r="J42" s="71" t="inlineStr">
        <x:is>
          <x:t xml:space="preserve">Simulation-only. Freeze before empirical Validation; no Accuracy Points and no authorization effect.</x:t>
        </x:is>
      </x:c>
    </x:row>
    <x:row r="43">
      <x:c r="A43" s="57" t="inlineStr">
        <x:is>
          <x:t xml:space="preserve">CH-037</x:t>
        </x:is>
      </x:c>
      <x:c r="B43" s="71" t="inlineStr">
        <x:is>
          <x:t xml:space="preserve">V10.5-SIM29</x:t>
        </x:is>
      </x:c>
      <x:c r="C43" s="206" t="inlineStr">
        <x:is>
          <x:t xml:space="preserve">2026-08-31</x:t>
        </x:is>
      </x:c>
      <x:c r="D43" s="71" t="inlineStr">
        <x:is>
          <x:t xml:space="preserve">SIMULATION STANDARD — NOT EMPIRICALLY VALIDATED</x:t>
        </x:is>
      </x:c>
      <x:c r="E43" s="71" t="inlineStr">
        <x:is>
          <x:t xml:space="preserve">ML0154</x:t>
        </x:is>
      </x:c>
      <x:c r="F43" s="71" t="inlineStr">
        <x:is>
          <x:t xml:space="preserve">R-CF-01 recurring failure pattern; stage promoted to HARDENED after 10 exposures.</x:t>
        </x:is>
      </x:c>
      <x:c r="G43" s="71" t="inlineStr">
        <x:is>
          <x:t xml:space="preserve">R-CF-01 → HARDENED: evidence thresholds hardened after 10 development exposures.</x:t>
        </x:is>
      </x:c>
      <x:c r="H43" s="71" t="inlineStr">
        <x:is>
          <x:t xml:space="preserve">Improves robustness under repeated Development stress without weakening a frozen fatal gate.</x:t>
        </x:is>
      </x:c>
      <x:c r="I43" s="71" t="inlineStr">
        <x:is>
          <x:t xml:space="preserve">Synthetic overfitting / threshold rigidity; must be challenged prospectively.</x:t>
        </x:is>
      </x:c>
      <x:c r="J43" s="71" t="inlineStr">
        <x:is>
          <x:t xml:space="preserve">Simulation-only. Freeze before empirical Validation; no Accuracy Points and no authorization effect.</x:t>
        </x:is>
      </x:c>
    </x:row>
    <x:row r="44">
      <x:c r="A44" s="57" t="inlineStr">
        <x:is>
          <x:t xml:space="preserve">CH-038</x:t>
        </x:is>
      </x:c>
      <x:c r="B44" s="71" t="inlineStr">
        <x:is>
          <x:t xml:space="preserve">V10.5-SIM30</x:t>
        </x:is>
      </x:c>
      <x:c r="C44" s="206" t="inlineStr">
        <x:is>
          <x:t xml:space="preserve">2026-08-31</x:t>
        </x:is>
      </x:c>
      <x:c r="D44" s="71" t="inlineStr">
        <x:is>
          <x:t xml:space="preserve">SIMULATION STANDARD — NOT EMPIRICALLY VALIDATED</x:t>
        </x:is>
      </x:c>
      <x:c r="E44" s="71" t="inlineStr">
        <x:is>
          <x:t xml:space="preserve">ML0155</x:t>
        </x:is>
      </x:c>
      <x:c r="F44" s="71" t="inlineStr">
        <x:is>
          <x:t xml:space="preserve">R-FN-01 recurring failure pattern; stage promoted to HARDENED after 10 exposures.</x:t>
        </x:is>
      </x:c>
      <x:c r="G44" s="71" t="inlineStr">
        <x:is>
          <x:t xml:space="preserve">R-FN-01 → HARDENED: evidence thresholds hardened after 10 development exposures.</x:t>
        </x:is>
      </x:c>
      <x:c r="H44" s="71" t="inlineStr">
        <x:is>
          <x:t xml:space="preserve">Improves robustness under repeated Development stress without weakening a frozen fatal gate.</x:t>
        </x:is>
      </x:c>
      <x:c r="I44" s="71" t="inlineStr">
        <x:is>
          <x:t xml:space="preserve">Synthetic overfitting / threshold rigidity; must be challenged prospectively.</x:t>
        </x:is>
      </x:c>
      <x:c r="J44" s="71" t="inlineStr">
        <x:is>
          <x:t xml:space="preserve">Simulation-only. Freeze before empirical Validation; no Accuracy Points and no authorization effect.</x:t>
        </x:is>
      </x:c>
    </x:row>
    <x:row r="45">
      <x:c r="A45" s="57" t="inlineStr">
        <x:is>
          <x:t xml:space="preserve">CH-039</x:t>
        </x:is>
      </x:c>
      <x:c r="B45" s="71" t="inlineStr">
        <x:is>
          <x:t xml:space="preserve">V10.5-SIM31</x:t>
        </x:is>
      </x:c>
      <x:c r="C45" s="206" t="inlineStr">
        <x:is>
          <x:t xml:space="preserve">2026-08-31</x:t>
        </x:is>
      </x:c>
      <x:c r="D45" s="71" t="inlineStr">
        <x:is>
          <x:t xml:space="preserve">SIMULATION STANDARD — NOT EMPIRICALLY VALIDATED</x:t>
        </x:is>
      </x:c>
      <x:c r="E45" s="71" t="inlineStr">
        <x:is>
          <x:t xml:space="preserve">ML0156</x:t>
        </x:is>
      </x:c>
      <x:c r="F45" s="71" t="inlineStr">
        <x:is>
          <x:t xml:space="preserve">R-TIME-01 recurring failure pattern; stage promoted to HARDENED after 10 exposures.</x:t>
        </x:is>
      </x:c>
      <x:c r="G45" s="71" t="inlineStr">
        <x:is>
          <x:t xml:space="preserve">R-TIME-01 → HARDENED: evidence thresholds hardened after 10 development exposures.</x:t>
        </x:is>
      </x:c>
      <x:c r="H45" s="71" t="inlineStr">
        <x:is>
          <x:t xml:space="preserve">Improves robustness under repeated Development stress without weakening a frozen fatal gate.</x:t>
        </x:is>
      </x:c>
      <x:c r="I45" s="71" t="inlineStr">
        <x:is>
          <x:t xml:space="preserve">Synthetic overfitting / threshold rigidity; must be challenged prospectively.</x:t>
        </x:is>
      </x:c>
      <x:c r="J45" s="71" t="inlineStr">
        <x:is>
          <x:t xml:space="preserve">Simulation-only. Freeze before empirical Validation; no Accuracy Points and no authorization effect.</x:t>
        </x:is>
      </x:c>
    </x:row>
    <x:row r="46">
      <x:c r="A46" s="57" t="inlineStr">
        <x:is>
          <x:t xml:space="preserve">CH-040</x:t>
        </x:is>
      </x:c>
      <x:c r="B46" s="71" t="inlineStr">
        <x:is>
          <x:t xml:space="preserve">V10.5-SIM32</x:t>
        </x:is>
      </x:c>
      <x:c r="C46" s="206" t="inlineStr">
        <x:is>
          <x:t xml:space="preserve">2026-08-31</x:t>
        </x:is>
      </x:c>
      <x:c r="D46" s="71" t="inlineStr">
        <x:is>
          <x:t xml:space="preserve">SIMULATION STANDARD — NOT EMPIRICALLY VALIDATED</x:t>
        </x:is>
      </x:c>
      <x:c r="E46" s="71" t="inlineStr">
        <x:is>
          <x:t xml:space="preserve">ML0157</x:t>
        </x:is>
      </x:c>
      <x:c r="F46" s="71" t="inlineStr">
        <x:is>
          <x:t xml:space="preserve">R-CYCLE-01 recurring failure pattern; stage promoted to HARDENED after 10 exposures.</x:t>
        </x:is>
      </x:c>
      <x:c r="G46" s="71" t="inlineStr">
        <x:is>
          <x:t xml:space="preserve">R-CYCLE-01 → HARDENED: evidence thresholds hardened after 10 development exposures.</x:t>
        </x:is>
      </x:c>
      <x:c r="H46" s="71" t="inlineStr">
        <x:is>
          <x:t xml:space="preserve">Improves robustness under repeated Development stress without weakening a frozen fatal gate.</x:t>
        </x:is>
      </x:c>
      <x:c r="I46" s="71" t="inlineStr">
        <x:is>
          <x:t xml:space="preserve">Synthetic overfitting / threshold rigidity; must be challenged prospectively.</x:t>
        </x:is>
      </x:c>
      <x:c r="J46" s="71" t="inlineStr">
        <x:is>
          <x:t xml:space="preserve">Simulation-only. Freeze before empirical Validation; no Accuracy Points and no authorization effect.</x:t>
        </x:is>
      </x:c>
    </x:row>
    <x:row r="47">
      <x:c r="A47" s="57" t="inlineStr">
        <x:is>
          <x:t xml:space="preserve">CH-041</x:t>
        </x:is>
      </x:c>
      <x:c r="B47" s="71" t="inlineStr">
        <x:is>
          <x:t xml:space="preserve">V10.5-SIM33</x:t>
        </x:is>
      </x:c>
      <x:c r="C47" s="206" t="inlineStr">
        <x:is>
          <x:t xml:space="preserve">2026-08-31</x:t>
        </x:is>
      </x:c>
      <x:c r="D47" s="71" t="inlineStr">
        <x:is>
          <x:t xml:space="preserve">SIMULATION STANDARD — NOT EMPIRICALLY VALIDATED</x:t>
        </x:is>
      </x:c>
      <x:c r="E47" s="71" t="inlineStr">
        <x:is>
          <x:t xml:space="preserve">ML0158</x:t>
        </x:is>
      </x:c>
      <x:c r="F47" s="71" t="inlineStr">
        <x:is>
          <x:t xml:space="preserve">R-MA-01 recurring failure pattern; stage promoted to HARDENED after 10 exposures.</x:t>
        </x:is>
      </x:c>
      <x:c r="G47" s="71" t="inlineStr">
        <x:is>
          <x:t xml:space="preserve">R-MA-01 → HARDENED: evidence thresholds hardened after 10 development exposures.</x:t>
        </x:is>
      </x:c>
      <x:c r="H47" s="71" t="inlineStr">
        <x:is>
          <x:t xml:space="preserve">Improves robustness under repeated Development stress without weakening a frozen fatal gate.</x:t>
        </x:is>
      </x:c>
      <x:c r="I47" s="71" t="inlineStr">
        <x:is>
          <x:t xml:space="preserve">Synthetic overfitting / threshold rigidity; must be challenged prospectively.</x:t>
        </x:is>
      </x:c>
      <x:c r="J47" s="71" t="inlineStr">
        <x:is>
          <x:t xml:space="preserve">Simulation-only. Freeze before empirical Validation; no Accuracy Points and no authorization effect.</x:t>
        </x:is>
      </x:c>
    </x:row>
    <x:row r="48">
      <x:c r="A48" s="57" t="inlineStr">
        <x:is>
          <x:t xml:space="preserve">CH-042</x:t>
        </x:is>
      </x:c>
      <x:c r="B48" s="71" t="inlineStr">
        <x:is>
          <x:t xml:space="preserve">V10.5-SIM34</x:t>
        </x:is>
      </x:c>
      <x:c r="C48" s="206" t="inlineStr">
        <x:is>
          <x:t xml:space="preserve">2026-08-31</x:t>
        </x:is>
      </x:c>
      <x:c r="D48" s="71" t="inlineStr">
        <x:is>
          <x:t xml:space="preserve">SIMULATION STANDARD — NOT EMPIRICALLY VALIDATED</x:t>
        </x:is>
      </x:c>
      <x:c r="E48" s="71" t="inlineStr">
        <x:is>
          <x:t xml:space="preserve">ML0159</x:t>
        </x:is>
      </x:c>
      <x:c r="F48" s="71" t="inlineStr">
        <x:is>
          <x:t xml:space="preserve">R-DIL-01 recurring failure pattern; stage promoted to HARDENED after 10 exposures.</x:t>
        </x:is>
      </x:c>
      <x:c r="G48" s="71" t="inlineStr">
        <x:is>
          <x:t xml:space="preserve">R-DIL-01 → HARDENED: evidence thresholds hardened after 10 development exposures.</x:t>
        </x:is>
      </x:c>
      <x:c r="H48" s="71" t="inlineStr">
        <x:is>
          <x:t xml:space="preserve">Improves robustness under repeated Development stress without weakening a frozen fatal gate.</x:t>
        </x:is>
      </x:c>
      <x:c r="I48" s="71" t="inlineStr">
        <x:is>
          <x:t xml:space="preserve">Synthetic overfitting / threshold rigidity; must be challenged prospectively.</x:t>
        </x:is>
      </x:c>
      <x:c r="J48" s="71" t="inlineStr">
        <x:is>
          <x:t xml:space="preserve">Simulation-only. Freeze before empirical Validation; no Accuracy Points and no authorization effect.</x:t>
        </x:is>
      </x:c>
    </x:row>
    <x:row r="49">
      <x:c r="A49" s="57" t="inlineStr">
        <x:is>
          <x:t xml:space="preserve">CH-043</x:t>
        </x:is>
      </x:c>
      <x:c r="B49" s="71" t="inlineStr">
        <x:is>
          <x:t xml:space="preserve">V10.5-SIM35</x:t>
        </x:is>
      </x:c>
      <x:c r="C49" s="206" t="inlineStr">
        <x:is>
          <x:t xml:space="preserve">2026-08-31</x:t>
        </x:is>
      </x:c>
      <x:c r="D49" s="71" t="inlineStr">
        <x:is>
          <x:t xml:space="preserve">SIMULATION STANDARD — NOT EMPIRICALLY VALIDATED</x:t>
        </x:is>
      </x:c>
      <x:c r="E49" s="71" t="inlineStr">
        <x:is>
          <x:t xml:space="preserve">ML0160</x:t>
        </x:is>
      </x:c>
      <x:c r="F49" s="71" t="inlineStr">
        <x:is>
          <x:t xml:space="preserve">R-TAIL-01 recurring failure pattern; stage promoted to HARDENED after 10 exposures.</x:t>
        </x:is>
      </x:c>
      <x:c r="G49" s="71" t="inlineStr">
        <x:is>
          <x:t xml:space="preserve">R-TAIL-01 → HARDENED: evidence thresholds hardened after 10 development exposures.</x:t>
        </x:is>
      </x:c>
      <x:c r="H49" s="71" t="inlineStr">
        <x:is>
          <x:t xml:space="preserve">Improves robustness under repeated Development stress without weakening a frozen fatal gate.</x:t>
        </x:is>
      </x:c>
      <x:c r="I49" s="71" t="inlineStr">
        <x:is>
          <x:t xml:space="preserve">Synthetic overfitting / threshold rigidity; must be challenged prospectively.</x:t>
        </x:is>
      </x:c>
      <x:c r="J49" s="71" t="inlineStr">
        <x:is>
          <x:t xml:space="preserve">Simulation-only. Freeze before empirical Validation; no Accuracy Points and no authorization effect.</x:t>
        </x:is>
      </x:c>
    </x:row>
    <x:row r="50">
      <x:c r="A50" s="57" t="inlineStr">
        <x:is>
          <x:t xml:space="preserve">CH-044</x:t>
        </x:is>
      </x:c>
      <x:c r="B50" s="71" t="inlineStr">
        <x:is>
          <x:t xml:space="preserve">V10.5-SIM36</x:t>
        </x:is>
      </x:c>
      <x:c r="C50" s="206" t="inlineStr">
        <x:is>
          <x:t xml:space="preserve">2026-08-31</x:t>
        </x:is>
      </x:c>
      <x:c r="D50" s="71" t="inlineStr">
        <x:is>
          <x:t xml:space="preserve">SIMULATION STANDARD — NOT EMPIRICALLY VALIDATED</x:t>
        </x:is>
      </x:c>
      <x:c r="E50" s="71" t="inlineStr">
        <x:is>
          <x:t xml:space="preserve">ML0231</x:t>
        </x:is>
      </x:c>
      <x:c r="F50" s="71" t="inlineStr">
        <x:is>
          <x:t xml:space="preserve">R-SECTOR-POWER-GRID recurring failure pattern; stage promoted to BASE after 2 exposures.</x:t>
        </x:is>
      </x:c>
      <x:c r="G50" s="71" t="inlineStr">
        <x:is>
          <x:t xml:space="preserve">R-SECTOR-POWER-GRID → BASE: base rule accepted after 2 development exposures.</x:t>
        </x:is>
      </x:c>
      <x:c r="H50" s="71" t="inlineStr">
        <x:is>
          <x:t xml:space="preserve">Improves robustness under repeated Development stress without weakening a frozen fatal gate.</x:t>
        </x:is>
      </x:c>
      <x:c r="I50" s="71" t="inlineStr">
        <x:is>
          <x:t xml:space="preserve">Synthetic overfitting / threshold rigidity; must be challenged prospectively.</x:t>
        </x:is>
      </x:c>
      <x:c r="J50" s="71" t="inlineStr">
        <x:is>
          <x:t xml:space="preserve">Simulation-only. Freeze before empirical Validation; no Accuracy Points and no authorization effect.</x:t>
        </x:is>
      </x:c>
    </x:row>
    <x:row r="51">
      <x:c r="A51" s="57" t="inlineStr">
        <x:is>
          <x:t xml:space="preserve">CH-045</x:t>
        </x:is>
      </x:c>
      <x:c r="B51" s="71" t="inlineStr">
        <x:is>
          <x:t xml:space="preserve">V10.5-SIM37</x:t>
        </x:is>
      </x:c>
      <x:c r="C51" s="206" t="inlineStr">
        <x:is>
          <x:t xml:space="preserve">2026-08-31</x:t>
        </x:is>
      </x:c>
      <x:c r="D51" s="71" t="inlineStr">
        <x:is>
          <x:t xml:space="preserve">SIMULATION STANDARD — NOT EMPIRICALLY VALIDATED</x:t>
        </x:is>
      </x:c>
      <x:c r="E51" s="71" t="inlineStr">
        <x:is>
          <x:t xml:space="preserve">ML0263</x:t>
        </x:is>
      </x:c>
      <x:c r="F51" s="71" t="inlineStr">
        <x:is>
          <x:t xml:space="preserve">R-SECTOR-POWER-GRID recurring failure pattern; stage promoted to HARDENED after 4 exposures.</x:t>
        </x:is>
      </x:c>
      <x:c r="G51" s="71" t="inlineStr">
        <x:is>
          <x:t xml:space="preserve">R-SECTOR-POWER-GRID → HARDENED: evidence thresholds hardened after 4 development exposures.</x:t>
        </x:is>
      </x:c>
      <x:c r="H51" s="71" t="inlineStr">
        <x:is>
          <x:t xml:space="preserve">Improves robustness under repeated Development stress without weakening a frozen fatal gate.</x:t>
        </x:is>
      </x:c>
      <x:c r="I51" s="71" t="inlineStr">
        <x:is>
          <x:t xml:space="preserve">Synthetic overfitting / threshold rigidity; must be challenged prospectively.</x:t>
        </x:is>
      </x:c>
      <x:c r="J51" s="71" t="inlineStr">
        <x:is>
          <x:t xml:space="preserve">Simulation-only. Freeze before empirical Validation; no Accuracy Points and no authorization effect.</x:t>
        </x:is>
      </x:c>
    </x:row>
    <x:row r="52">
      <x:c r="A52" s="57" t="inlineStr">
        <x:is>
          <x:t xml:space="preserve">CH-046</x:t>
        </x:is>
      </x:c>
      <x:c r="B52" s="71" t="inlineStr">
        <x:is>
          <x:t xml:space="preserve">V10.5-SIM38</x:t>
        </x:is>
      </x:c>
      <x:c r="C52" s="206" t="inlineStr">
        <x:is>
          <x:t xml:space="preserve">2026-08-31</x:t>
        </x:is>
      </x:c>
      <x:c r="D52" s="71" t="inlineStr">
        <x:is>
          <x:t xml:space="preserve">SIMULATION STANDARD — NOT EMPIRICALLY VALIDATED</x:t>
        </x:is>
      </x:c>
      <x:c r="E52" s="71" t="inlineStr">
        <x:is>
          <x:t xml:space="preserve">ML0295</x:t>
        </x:is>
      </x:c>
      <x:c r="F52" s="71" t="inlineStr">
        <x:is>
          <x:t xml:space="preserve">R-SECTOR-POWER-GRID recurring failure pattern; stage promoted to COUNTER-EVIDENCE after 6 exposures.</x:t>
        </x:is>
      </x:c>
      <x:c r="G52" s="71" t="inlineStr">
        <x:is>
          <x:t xml:space="preserve">R-SECTOR-POWER-GRID → COUNTER-EVIDENCE: counter-evidence clause added after 6 development exposures.</x:t>
        </x:is>
      </x:c>
      <x:c r="H52" s="71" t="inlineStr">
        <x:is>
          <x:t xml:space="preserve">Improves robustness under repeated Development stress without weakening a frozen fatal gate.</x:t>
        </x:is>
      </x:c>
      <x:c r="I52" s="71" t="inlineStr">
        <x:is>
          <x:t xml:space="preserve">Synthetic overfitting / threshold rigidity; must be challenged prospectively.</x:t>
        </x:is>
      </x:c>
      <x:c r="J52" s="71" t="inlineStr">
        <x:is>
          <x:t xml:space="preserve">Simulation-only. Freeze before empirical Validation; no Accuracy Points and no authorization effect.</x:t>
        </x:is>
      </x:c>
    </x:row>
    <x:row r="53">
      <x:c r="A53" s="57" t="inlineStr">
        <x:is>
          <x:t xml:space="preserve">CH-047</x:t>
        </x:is>
      </x:c>
      <x:c r="B53" s="71" t="inlineStr">
        <x:is>
          <x:t xml:space="preserve">V10.5-SIM39</x:t>
        </x:is>
      </x:c>
      <x:c r="C53" s="206" t="inlineStr">
        <x:is>
          <x:t xml:space="preserve">2026-08-31</x:t>
        </x:is>
      </x:c>
      <x:c r="D53" s="71" t="inlineStr">
        <x:is>
          <x:t xml:space="preserve">SIMULATION STANDARD — NOT EMPIRICALLY VALIDATED</x:t>
        </x:is>
      </x:c>
      <x:c r="E53" s="71" t="inlineStr">
        <x:is>
          <x:t xml:space="preserve">ML0359</x:t>
        </x:is>
      </x:c>
      <x:c r="F53" s="71" t="inlineStr">
        <x:is>
          <x:t xml:space="preserve">R-SECTOR-SPECIALTY-INGREDIENTS recurring failure pattern; stage promoted to BASE after 2 exposures.</x:t>
        </x:is>
      </x:c>
      <x:c r="G53" s="71" t="inlineStr">
        <x:is>
          <x:t xml:space="preserve">R-SECTOR-SPECIALTY-INGREDIENTS → BASE: base rule accepted after 2 development exposures.</x:t>
        </x:is>
      </x:c>
      <x:c r="H53" s="71" t="inlineStr">
        <x:is>
          <x:t xml:space="preserve">Improves robustness under repeated Development stress without weakening a frozen fatal gate.</x:t>
        </x:is>
      </x:c>
      <x:c r="I53" s="71" t="inlineStr">
        <x:is>
          <x:t xml:space="preserve">Synthetic overfitting / threshold rigidity; must be challenged prospectively.</x:t>
        </x:is>
      </x:c>
      <x:c r="J53" s="71" t="inlineStr">
        <x:is>
          <x:t xml:space="preserve">Simulation-only. Freeze before empirical Validation; no Accuracy Points and no authorization effect.</x:t>
        </x:is>
      </x:c>
    </x:row>
    <x:row r="54">
      <x:c r="A54" s="57" t="inlineStr">
        <x:is>
          <x:t xml:space="preserve">CH-048</x:t>
        </x:is>
      </x:c>
      <x:c r="B54" s="71" t="inlineStr">
        <x:is>
          <x:t xml:space="preserve">V10.5-SIM40</x:t>
        </x:is>
      </x:c>
      <x:c r="C54" s="206" t="inlineStr">
        <x:is>
          <x:t xml:space="preserve">2026-08-31</x:t>
        </x:is>
      </x:c>
      <x:c r="D54" s="71" t="inlineStr">
        <x:is>
          <x:t xml:space="preserve">SIMULATION STANDARD — NOT EMPIRICALLY VALIDATED</x:t>
        </x:is>
      </x:c>
      <x:c r="E54" s="71" t="inlineStr">
        <x:is>
          <x:t xml:space="preserve">ML0385</x:t>
        </x:is>
      </x:c>
      <x:c r="F54" s="71" t="inlineStr">
        <x:is>
          <x:t xml:space="preserve">R-ENG-01 recurring failure pattern; stage promoted to COUNTER-EVIDENCE after 25 exposures.</x:t>
        </x:is>
      </x:c>
      <x:c r="G54" s="71" t="inlineStr">
        <x:is>
          <x:t xml:space="preserve">R-ENG-01 → COUNTER-EVIDENCE: counter-evidence clause added after 25 development exposures.</x:t>
        </x:is>
      </x:c>
      <x:c r="H54" s="71" t="inlineStr">
        <x:is>
          <x:t xml:space="preserve">Improves robustness under repeated Development stress without weakening a frozen fatal gate.</x:t>
        </x:is>
      </x:c>
      <x:c r="I54" s="71" t="inlineStr">
        <x:is>
          <x:t xml:space="preserve">Synthetic overfitting / threshold rigidity; must be challenged prospectively.</x:t>
        </x:is>
      </x:c>
      <x:c r="J54" s="71" t="inlineStr">
        <x:is>
          <x:t xml:space="preserve">Simulation-only. Freeze before empirical Validation; no Accuracy Points and no authorization effect.</x:t>
        </x:is>
      </x:c>
    </x:row>
    <x:row r="55">
      <x:c r="A55" s="57" t="inlineStr">
        <x:is>
          <x:t xml:space="preserve">CH-049</x:t>
        </x:is>
      </x:c>
      <x:c r="B55" s="71" t="inlineStr">
        <x:is>
          <x:t xml:space="preserve">V10.5-SIM41</x:t>
        </x:is>
      </x:c>
      <x:c r="C55" s="206" t="inlineStr">
        <x:is>
          <x:t xml:space="preserve">2026-08-31</x:t>
        </x:is>
      </x:c>
      <x:c r="D55" s="71" t="inlineStr">
        <x:is>
          <x:t xml:space="preserve">SIMULATION STANDARD — NOT EMPIRICALLY VALIDATED</x:t>
        </x:is>
      </x:c>
      <x:c r="E55" s="71" t="inlineStr">
        <x:is>
          <x:t xml:space="preserve">ML0386</x:t>
        </x:is>
      </x:c>
      <x:c r="F55" s="71" t="inlineStr">
        <x:is>
          <x:t xml:space="preserve">R-OE-01 recurring failure pattern; stage promoted to COUNTER-EVIDENCE after 25 exposures.</x:t>
        </x:is>
      </x:c>
      <x:c r="G55" s="71" t="inlineStr">
        <x:is>
          <x:t xml:space="preserve">R-OE-01 → COUNTER-EVIDENCE: counter-evidence clause added after 25 development exposures.</x:t>
        </x:is>
      </x:c>
      <x:c r="H55" s="71" t="inlineStr">
        <x:is>
          <x:t xml:space="preserve">Improves robustness under repeated Development stress without weakening a frozen fatal gate.</x:t>
        </x:is>
      </x:c>
      <x:c r="I55" s="71" t="inlineStr">
        <x:is>
          <x:t xml:space="preserve">Synthetic overfitting / threshold rigidity; must be challenged prospectively.</x:t>
        </x:is>
      </x:c>
      <x:c r="J55" s="71" t="inlineStr">
        <x:is>
          <x:t xml:space="preserve">Simulation-only. Freeze before empirical Validation; no Accuracy Points and no authorization effect.</x:t>
        </x:is>
      </x:c>
    </x:row>
    <x:row r="56">
      <x:c r="A56" s="57" t="inlineStr">
        <x:is>
          <x:t xml:space="preserve">CH-050</x:t>
        </x:is>
      </x:c>
      <x:c r="B56" s="71" t="inlineStr">
        <x:is>
          <x:t xml:space="preserve">V10.5-SIM42</x:t>
        </x:is>
      </x:c>
      <x:c r="C56" s="206" t="inlineStr">
        <x:is>
          <x:t xml:space="preserve">2026-08-31</x:t>
        </x:is>
      </x:c>
      <x:c r="D56" s="71" t="inlineStr">
        <x:is>
          <x:t xml:space="preserve">SIMULATION STANDARD — NOT EMPIRICALLY VALIDATED</x:t>
        </x:is>
      </x:c>
      <x:c r="E56" s="71" t="inlineStr">
        <x:is>
          <x:t xml:space="preserve">ML0387</x:t>
        </x:is>
      </x:c>
      <x:c r="F56" s="71" t="inlineStr">
        <x:is>
          <x:t xml:space="preserve">R-MOAT-01 recurring failure pattern; stage promoted to COUNTER-EVIDENCE after 25 exposures.</x:t>
        </x:is>
      </x:c>
      <x:c r="G56" s="71" t="inlineStr">
        <x:is>
          <x:t xml:space="preserve">R-MOAT-01 → COUNTER-EVIDENCE: counter-evidence clause added after 25 development exposures.</x:t>
        </x:is>
      </x:c>
      <x:c r="H56" s="71" t="inlineStr">
        <x:is>
          <x:t xml:space="preserve">Improves robustness under repeated Development stress without weakening a frozen fatal gate.</x:t>
        </x:is>
      </x:c>
      <x:c r="I56" s="71" t="inlineStr">
        <x:is>
          <x:t xml:space="preserve">Synthetic overfitting / threshold rigidity; must be challenged prospectively.</x:t>
        </x:is>
      </x:c>
      <x:c r="J56" s="71" t="inlineStr">
        <x:is>
          <x:t xml:space="preserve">Simulation-only. Freeze before empirical Validation; no Accuracy Points and no authorization effect.</x:t>
        </x:is>
      </x:c>
    </x:row>
    <x:row r="57">
      <x:c r="A57" s="57" t="inlineStr">
        <x:is>
          <x:t xml:space="preserve">CH-051</x:t>
        </x:is>
      </x:c>
      <x:c r="B57" s="71" t="inlineStr">
        <x:is>
          <x:t xml:space="preserve">V10.5-SIM43</x:t>
        </x:is>
      </x:c>
      <x:c r="C57" s="206" t="inlineStr">
        <x:is>
          <x:t xml:space="preserve">2026-08-31</x:t>
        </x:is>
      </x:c>
      <x:c r="D57" s="71" t="inlineStr">
        <x:is>
          <x:t xml:space="preserve">SIMULATION STANDARD — NOT EMPIRICALLY VALIDATED</x:t>
        </x:is>
      </x:c>
      <x:c r="E57" s="71" t="inlineStr">
        <x:is>
          <x:t xml:space="preserve">ML0388</x:t>
        </x:is>
      </x:c>
      <x:c r="F57" s="71" t="inlineStr">
        <x:is>
          <x:t xml:space="preserve">R-STEW-01 recurring failure pattern; stage promoted to COUNTER-EVIDENCE after 25 exposures.</x:t>
        </x:is>
      </x:c>
      <x:c r="G57" s="71" t="inlineStr">
        <x:is>
          <x:t xml:space="preserve">R-STEW-01 → COUNTER-EVIDENCE: counter-evidence clause added after 25 development exposures.</x:t>
        </x:is>
      </x:c>
      <x:c r="H57" s="71" t="inlineStr">
        <x:is>
          <x:t xml:space="preserve">Improves robustness under repeated Development stress without weakening a frozen fatal gate.</x:t>
        </x:is>
      </x:c>
      <x:c r="I57" s="71" t="inlineStr">
        <x:is>
          <x:t xml:space="preserve">Synthetic overfitting / threshold rigidity; must be challenged prospectively.</x:t>
        </x:is>
      </x:c>
      <x:c r="J57" s="71" t="inlineStr">
        <x:is>
          <x:t xml:space="preserve">Simulation-only. Freeze before empirical Validation; no Accuracy Points and no authorization effect.</x:t>
        </x:is>
      </x:c>
    </x:row>
    <x:row r="58">
      <x:c r="A58" s="57" t="inlineStr">
        <x:is>
          <x:t xml:space="preserve">CH-052</x:t>
        </x:is>
      </x:c>
      <x:c r="B58" s="71" t="inlineStr">
        <x:is>
          <x:t xml:space="preserve">V10.5-SIM44</x:t>
        </x:is>
      </x:c>
      <x:c r="C58" s="206" t="inlineStr">
        <x:is>
          <x:t xml:space="preserve">2026-08-31</x:t>
        </x:is>
      </x:c>
      <x:c r="D58" s="71" t="inlineStr">
        <x:is>
          <x:t xml:space="preserve">SIMULATION STANDARD — NOT EMPIRICALLY VALIDATED</x:t>
        </x:is>
      </x:c>
      <x:c r="E58" s="71" t="inlineStr">
        <x:is>
          <x:t xml:space="preserve">ML0389</x:t>
        </x:is>
      </x:c>
      <x:c r="F58" s="71" t="inlineStr">
        <x:is>
          <x:t xml:space="preserve">R-SURV-01 recurring failure pattern; stage promoted to COUNTER-EVIDENCE after 25 exposures.</x:t>
        </x:is>
      </x:c>
      <x:c r="G58" s="71" t="inlineStr">
        <x:is>
          <x:t xml:space="preserve">R-SURV-01 → COUNTER-EVIDENCE: counter-evidence clause added after 25 development exposures.</x:t>
        </x:is>
      </x:c>
      <x:c r="H58" s="71" t="inlineStr">
        <x:is>
          <x:t xml:space="preserve">Improves robustness under repeated Development stress without weakening a frozen fatal gate.</x:t>
        </x:is>
      </x:c>
      <x:c r="I58" s="71" t="inlineStr">
        <x:is>
          <x:t xml:space="preserve">Synthetic overfitting / threshold rigidity; must be challenged prospectively.</x:t>
        </x:is>
      </x:c>
      <x:c r="J58" s="71" t="inlineStr">
        <x:is>
          <x:t xml:space="preserve">Simulation-only. Freeze before empirical Validation; no Accuracy Points and no authorization effect.</x:t>
        </x:is>
      </x:c>
    </x:row>
    <x:row r="59">
      <x:c r="A59" s="57" t="inlineStr">
        <x:is>
          <x:t xml:space="preserve">CH-053</x:t>
        </x:is>
      </x:c>
      <x:c r="B59" s="71" t="inlineStr">
        <x:is>
          <x:t xml:space="preserve">V10.5-SIM45</x:t>
        </x:is>
      </x:c>
      <x:c r="C59" s="206" t="inlineStr">
        <x:is>
          <x:t xml:space="preserve">2026-08-31</x:t>
        </x:is>
      </x:c>
      <x:c r="D59" s="71" t="inlineStr">
        <x:is>
          <x:t xml:space="preserve">SIMULATION STANDARD — NOT EMPIRICALLY VALIDATED</x:t>
        </x:is>
      </x:c>
      <x:c r="E59" s="71" t="inlineStr">
        <x:is>
          <x:t xml:space="preserve">ML0390</x:t>
        </x:is>
      </x:c>
      <x:c r="F59" s="71" t="inlineStr">
        <x:is>
          <x:t xml:space="preserve">R-MOS-01 recurring failure pattern; stage promoted to COUNTER-EVIDENCE after 25 exposures.</x:t>
        </x:is>
      </x:c>
      <x:c r="G59" s="71" t="inlineStr">
        <x:is>
          <x:t xml:space="preserve">R-MOS-01 → COUNTER-EVIDENCE: counter-evidence clause added after 25 development exposures.</x:t>
        </x:is>
      </x:c>
      <x:c r="H59" s="71" t="inlineStr">
        <x:is>
          <x:t xml:space="preserve">Improves robustness under repeated Development stress without weakening a frozen fatal gate.</x:t>
        </x:is>
      </x:c>
      <x:c r="I59" s="71" t="inlineStr">
        <x:is>
          <x:t xml:space="preserve">Synthetic overfitting / threshold rigidity; must be challenged prospectively.</x:t>
        </x:is>
      </x:c>
      <x:c r="J59" s="71" t="inlineStr">
        <x:is>
          <x:t xml:space="preserve">Simulation-only. Freeze before empirical Validation; no Accuracy Points and no authorization effect.</x:t>
        </x:is>
      </x:c>
    </x:row>
    <x:row r="60">
      <x:c r="A60" s="57" t="inlineStr">
        <x:is>
          <x:t xml:space="preserve">CH-054</x:t>
        </x:is>
      </x:c>
      <x:c r="B60" s="71" t="inlineStr">
        <x:is>
          <x:t xml:space="preserve">V10.5-SIM46</x:t>
        </x:is>
      </x:c>
      <x:c r="C60" s="206" t="inlineStr">
        <x:is>
          <x:t xml:space="preserve">2026-08-31</x:t>
        </x:is>
      </x:c>
      <x:c r="D60" s="71" t="inlineStr">
        <x:is>
          <x:t xml:space="preserve">SIMULATION STANDARD — NOT EMPIRICALLY VALIDATED</x:t>
        </x:is>
      </x:c>
      <x:c r="E60" s="71" t="inlineStr">
        <x:is>
          <x:t xml:space="preserve">ML0391</x:t>
        </x:is>
      </x:c>
      <x:c r="F60" s="71" t="inlineStr">
        <x:is>
          <x:t xml:space="preserve">R-SECTOR-SPECIALTY-INGREDIENTS recurring failure pattern; stage promoted to HARDENED after 4 exposures.</x:t>
        </x:is>
      </x:c>
      <x:c r="G60" s="71" t="inlineStr">
        <x:is>
          <x:t xml:space="preserve">R-SECTOR-SPECIALTY-INGREDIENTS → HARDENED: evidence thresholds hardened after 4 development exposures.</x:t>
        </x:is>
      </x:c>
      <x:c r="H60" s="71" t="inlineStr">
        <x:is>
          <x:t xml:space="preserve">Improves robustness under repeated Development stress without weakening a frozen fatal gate.</x:t>
        </x:is>
      </x:c>
      <x:c r="I60" s="71" t="inlineStr">
        <x:is>
          <x:t xml:space="preserve">Synthetic overfitting / threshold rigidity; must be challenged prospectively.</x:t>
        </x:is>
      </x:c>
      <x:c r="J60" s="71" t="inlineStr">
        <x:is>
          <x:t xml:space="preserve">Simulation-only. Freeze before empirical Validation; no Accuracy Points and no authorization effect.</x:t>
        </x:is>
      </x:c>
    </x:row>
    <x:row r="61">
      <x:c r="A61" s="57" t="inlineStr">
        <x:is>
          <x:t xml:space="preserve">CH-055</x:t>
        </x:is>
      </x:c>
      <x:c r="B61" s="71" t="inlineStr">
        <x:is>
          <x:t xml:space="preserve">V10.5-SIM47</x:t>
        </x:is>
      </x:c>
      <x:c r="C61" s="206" t="inlineStr">
        <x:is>
          <x:t xml:space="preserve">2026-08-31</x:t>
        </x:is>
      </x:c>
      <x:c r="D61" s="71" t="inlineStr">
        <x:is>
          <x:t xml:space="preserve">SIMULATION STANDARD — NOT EMPIRICALLY VALIDATED</x:t>
        </x:is>
      </x:c>
      <x:c r="E61" s="71" t="inlineStr">
        <x:is>
          <x:t xml:space="preserve">ML0392</x:t>
        </x:is>
      </x:c>
      <x:c r="F61" s="71" t="inlineStr">
        <x:is>
          <x:t xml:space="preserve">R-PROM-01 recurring failure pattern; stage promoted to COUNTER-EVIDENCE after 25 exposures.</x:t>
        </x:is>
      </x:c>
      <x:c r="G61" s="71" t="inlineStr">
        <x:is>
          <x:t xml:space="preserve">R-PROM-01 → COUNTER-EVIDENCE: counter-evidence clause added after 25 development exposures.</x:t>
        </x:is>
      </x:c>
      <x:c r="H61" s="71" t="inlineStr">
        <x:is>
          <x:t xml:space="preserve">Improves robustness under repeated Development stress without weakening a frozen fatal gate.</x:t>
        </x:is>
      </x:c>
      <x:c r="I61" s="71" t="inlineStr">
        <x:is>
          <x:t xml:space="preserve">Synthetic overfitting / threshold rigidity; must be challenged prospectively.</x:t>
        </x:is>
      </x:c>
      <x:c r="J61" s="71" t="inlineStr">
        <x:is>
          <x:t xml:space="preserve">Simulation-only. Freeze before empirical Validation; no Accuracy Points and no authorization effect.</x:t>
        </x:is>
      </x:c>
    </x:row>
    <x:row r="62">
      <x:c r="A62" s="57" t="inlineStr">
        <x:is>
          <x:t xml:space="preserve">CH-056</x:t>
        </x:is>
      </x:c>
      <x:c r="B62" s="71" t="inlineStr">
        <x:is>
          <x:t xml:space="preserve">V10.5-SIM48</x:t>
        </x:is>
      </x:c>
      <x:c r="C62" s="206" t="inlineStr">
        <x:is>
          <x:t xml:space="preserve">2026-08-31</x:t>
        </x:is>
      </x:c>
      <x:c r="D62" s="71" t="inlineStr">
        <x:is>
          <x:t xml:space="preserve">SIMULATION STANDARD — NOT EMPIRICALLY VALIDATED</x:t>
        </x:is>
      </x:c>
      <x:c r="E62" s="71" t="inlineStr">
        <x:is>
          <x:t xml:space="preserve">ML0393</x:t>
        </x:is>
      </x:c>
      <x:c r="F62" s="71" t="inlineStr">
        <x:is>
          <x:t xml:space="preserve">R-DATA-01 recurring failure pattern; stage promoted to COUNTER-EVIDENCE after 25 exposures.</x:t>
        </x:is>
      </x:c>
      <x:c r="G62" s="71" t="inlineStr">
        <x:is>
          <x:t xml:space="preserve">R-DATA-01 → COUNTER-EVIDENCE: counter-evidence clause added after 25 development exposures.</x:t>
        </x:is>
      </x:c>
      <x:c r="H62" s="71" t="inlineStr">
        <x:is>
          <x:t xml:space="preserve">Improves robustness under repeated Development stress without weakening a frozen fatal gate.</x:t>
        </x:is>
      </x:c>
      <x:c r="I62" s="71" t="inlineStr">
        <x:is>
          <x:t xml:space="preserve">Synthetic overfitting / threshold rigidity; must be challenged prospectively.</x:t>
        </x:is>
      </x:c>
      <x:c r="J62" s="71" t="inlineStr">
        <x:is>
          <x:t xml:space="preserve">Simulation-only. Freeze before empirical Validation; no Accuracy Points and no authorization effect.</x:t>
        </x:is>
      </x:c>
    </x:row>
    <x:row r="63">
      <x:c r="A63" s="57" t="inlineStr">
        <x:is>
          <x:t xml:space="preserve">CH-057</x:t>
        </x:is>
      </x:c>
      <x:c r="B63" s="71" t="inlineStr">
        <x:is>
          <x:t xml:space="preserve">V10.5-SIM49</x:t>
        </x:is>
      </x:c>
      <x:c r="C63" s="206" t="inlineStr">
        <x:is>
          <x:t xml:space="preserve">2026-08-31</x:t>
        </x:is>
      </x:c>
      <x:c r="D63" s="71" t="inlineStr">
        <x:is>
          <x:t xml:space="preserve">SIMULATION STANDARD — NOT EMPIRICALLY VALIDATED</x:t>
        </x:is>
      </x:c>
      <x:c r="E63" s="71" t="inlineStr">
        <x:is>
          <x:t xml:space="preserve">ML0394</x:t>
        </x:is>
      </x:c>
      <x:c r="F63" s="71" t="inlineStr">
        <x:is>
          <x:t xml:space="preserve">R-CF-01 recurring failure pattern; stage promoted to COUNTER-EVIDENCE after 25 exposures.</x:t>
        </x:is>
      </x:c>
      <x:c r="G63" s="71" t="inlineStr">
        <x:is>
          <x:t xml:space="preserve">R-CF-01 → COUNTER-EVIDENCE: counter-evidence clause added after 25 development exposures.</x:t>
        </x:is>
      </x:c>
      <x:c r="H63" s="71" t="inlineStr">
        <x:is>
          <x:t xml:space="preserve">Improves robustness under repeated Development stress without weakening a frozen fatal gate.</x:t>
        </x:is>
      </x:c>
      <x:c r="I63" s="71" t="inlineStr">
        <x:is>
          <x:t xml:space="preserve">Synthetic overfitting / threshold rigidity; must be challenged prospectively.</x:t>
        </x:is>
      </x:c>
      <x:c r="J63" s="71" t="inlineStr">
        <x:is>
          <x:t xml:space="preserve">Simulation-only. Freeze before empirical Validation; no Accuracy Points and no authorization effect.</x:t>
        </x:is>
      </x:c>
    </x:row>
    <x:row r="64">
      <x:c r="A64" s="57" t="inlineStr">
        <x:is>
          <x:t xml:space="preserve">CH-058</x:t>
        </x:is>
      </x:c>
      <x:c r="B64" s="71" t="inlineStr">
        <x:is>
          <x:t xml:space="preserve">V10.5-SIM50</x:t>
        </x:is>
      </x:c>
      <x:c r="C64" s="206" t="inlineStr">
        <x:is>
          <x:t xml:space="preserve">2026-08-31</x:t>
        </x:is>
      </x:c>
      <x:c r="D64" s="71" t="inlineStr">
        <x:is>
          <x:t xml:space="preserve">SIMULATION STANDARD — NOT EMPIRICALLY VALIDATED</x:t>
        </x:is>
      </x:c>
      <x:c r="E64" s="71" t="inlineStr">
        <x:is>
          <x:t xml:space="preserve">ML0395</x:t>
        </x:is>
      </x:c>
      <x:c r="F64" s="71" t="inlineStr">
        <x:is>
          <x:t xml:space="preserve">R-FN-01 recurring failure pattern; stage promoted to COUNTER-EVIDENCE after 25 exposures.</x:t>
        </x:is>
      </x:c>
      <x:c r="G64" s="71" t="inlineStr">
        <x:is>
          <x:t xml:space="preserve">R-FN-01 → COUNTER-EVIDENCE: counter-evidence clause added after 25 development exposures.</x:t>
        </x:is>
      </x:c>
      <x:c r="H64" s="71" t="inlineStr">
        <x:is>
          <x:t xml:space="preserve">Improves robustness under repeated Development stress without weakening a frozen fatal gate.</x:t>
        </x:is>
      </x:c>
      <x:c r="I64" s="71" t="inlineStr">
        <x:is>
          <x:t xml:space="preserve">Synthetic overfitting / threshold rigidity; must be challenged prospectively.</x:t>
        </x:is>
      </x:c>
      <x:c r="J64" s="71" t="inlineStr">
        <x:is>
          <x:t xml:space="preserve">Simulation-only. Freeze before empirical Validation; no Accuracy Points and no authorization effect.</x:t>
        </x:is>
      </x:c>
    </x:row>
    <x:row r="65">
      <x:c r="A65" s="57" t="inlineStr">
        <x:is>
          <x:t xml:space="preserve">CH-059</x:t>
        </x:is>
      </x:c>
      <x:c r="B65" s="71" t="inlineStr">
        <x:is>
          <x:t xml:space="preserve">V10.5-SIM51</x:t>
        </x:is>
      </x:c>
      <x:c r="C65" s="206" t="inlineStr">
        <x:is>
          <x:t xml:space="preserve">2026-08-31</x:t>
        </x:is>
      </x:c>
      <x:c r="D65" s="71" t="inlineStr">
        <x:is>
          <x:t xml:space="preserve">SIMULATION STANDARD — NOT EMPIRICALLY VALIDATED</x:t>
        </x:is>
      </x:c>
      <x:c r="E65" s="71" t="inlineStr">
        <x:is>
          <x:t xml:space="preserve">ML0396</x:t>
        </x:is>
      </x:c>
      <x:c r="F65" s="71" t="inlineStr">
        <x:is>
          <x:t xml:space="preserve">R-TIME-01 recurring failure pattern; stage promoted to COUNTER-EVIDENCE after 25 exposures.</x:t>
        </x:is>
      </x:c>
      <x:c r="G65" s="71" t="inlineStr">
        <x:is>
          <x:t xml:space="preserve">R-TIME-01 → COUNTER-EVIDENCE: counter-evidence clause added after 25 development exposures.</x:t>
        </x:is>
      </x:c>
      <x:c r="H65" s="71" t="inlineStr">
        <x:is>
          <x:t xml:space="preserve">Improves robustness under repeated Development stress without weakening a frozen fatal gate.</x:t>
        </x:is>
      </x:c>
      <x:c r="I65" s="71" t="inlineStr">
        <x:is>
          <x:t xml:space="preserve">Synthetic overfitting / threshold rigidity; must be challenged prospectively.</x:t>
        </x:is>
      </x:c>
      <x:c r="J65" s="71" t="inlineStr">
        <x:is>
          <x:t xml:space="preserve">Simulation-only. Freeze before empirical Validation; no Accuracy Points and no authorization effect.</x:t>
        </x:is>
      </x:c>
    </x:row>
    <x:row r="66">
      <x:c r="A66" s="57" t="inlineStr">
        <x:is>
          <x:t xml:space="preserve">CH-060</x:t>
        </x:is>
      </x:c>
      <x:c r="B66" s="71" t="inlineStr">
        <x:is>
          <x:t xml:space="preserve">V10.5-SIM52</x:t>
        </x:is>
      </x:c>
      <x:c r="C66" s="206" t="inlineStr">
        <x:is>
          <x:t xml:space="preserve">2026-08-31</x:t>
        </x:is>
      </x:c>
      <x:c r="D66" s="71" t="inlineStr">
        <x:is>
          <x:t xml:space="preserve">SIMULATION STANDARD — NOT EMPIRICALLY VALIDATED</x:t>
        </x:is>
      </x:c>
      <x:c r="E66" s="71" t="inlineStr">
        <x:is>
          <x:t xml:space="preserve">ML0397</x:t>
        </x:is>
      </x:c>
      <x:c r="F66" s="71" t="inlineStr">
        <x:is>
          <x:t xml:space="preserve">R-CYCLE-01 recurring failure pattern; stage promoted to COUNTER-EVIDENCE after 25 exposures.</x:t>
        </x:is>
      </x:c>
      <x:c r="G66" s="71" t="inlineStr">
        <x:is>
          <x:t xml:space="preserve">R-CYCLE-01 → COUNTER-EVIDENCE: counter-evidence clause added after 25 development exposures.</x:t>
        </x:is>
      </x:c>
      <x:c r="H66" s="71" t="inlineStr">
        <x:is>
          <x:t xml:space="preserve">Improves robustness under repeated Development stress without weakening a frozen fatal gate.</x:t>
        </x:is>
      </x:c>
      <x:c r="I66" s="71" t="inlineStr">
        <x:is>
          <x:t xml:space="preserve">Synthetic overfitting / threshold rigidity; must be challenged prospectively.</x:t>
        </x:is>
      </x:c>
      <x:c r="J66" s="71" t="inlineStr">
        <x:is>
          <x:t xml:space="preserve">Simulation-only. Freeze before empirical Validation; no Accuracy Points and no authorization effect.</x:t>
        </x:is>
      </x:c>
    </x:row>
    <x:row r="67">
      <x:c r="A67" s="57" t="inlineStr">
        <x:is>
          <x:t xml:space="preserve">CH-061</x:t>
        </x:is>
      </x:c>
      <x:c r="B67" s="71" t="inlineStr">
        <x:is>
          <x:t xml:space="preserve">V10.5-SIM53</x:t>
        </x:is>
      </x:c>
      <x:c r="C67" s="206" t="inlineStr">
        <x:is>
          <x:t xml:space="preserve">2026-08-31</x:t>
        </x:is>
      </x:c>
      <x:c r="D67" s="71" t="inlineStr">
        <x:is>
          <x:t xml:space="preserve">SIMULATION STANDARD — NOT EMPIRICALLY VALIDATED</x:t>
        </x:is>
      </x:c>
      <x:c r="E67" s="71" t="inlineStr">
        <x:is>
          <x:t xml:space="preserve">ML0398</x:t>
        </x:is>
      </x:c>
      <x:c r="F67" s="71" t="inlineStr">
        <x:is>
          <x:t xml:space="preserve">R-MA-01 recurring failure pattern; stage promoted to COUNTER-EVIDENCE after 25 exposures.</x:t>
        </x:is>
      </x:c>
      <x:c r="G67" s="71" t="inlineStr">
        <x:is>
          <x:t xml:space="preserve">R-MA-01 → COUNTER-EVIDENCE: counter-evidence clause added after 25 development exposures.</x:t>
        </x:is>
      </x:c>
      <x:c r="H67" s="71" t="inlineStr">
        <x:is>
          <x:t xml:space="preserve">Improves robustness under repeated Development stress without weakening a frozen fatal gate.</x:t>
        </x:is>
      </x:c>
      <x:c r="I67" s="71" t="inlineStr">
        <x:is>
          <x:t xml:space="preserve">Synthetic overfitting / threshold rigidity; must be challenged prospectively.</x:t>
        </x:is>
      </x:c>
      <x:c r="J67" s="71" t="inlineStr">
        <x:is>
          <x:t xml:space="preserve">Simulation-only. Freeze before empirical Validation; no Accuracy Points and no authorization effect.</x:t>
        </x:is>
      </x:c>
    </x:row>
    <x:row r="68">
      <x:c r="A68" s="57" t="inlineStr">
        <x:is>
          <x:t xml:space="preserve">CH-062</x:t>
        </x:is>
      </x:c>
      <x:c r="B68" s="71" t="inlineStr">
        <x:is>
          <x:t xml:space="preserve">V10.5-SIM54</x:t>
        </x:is>
      </x:c>
      <x:c r="C68" s="206" t="inlineStr">
        <x:is>
          <x:t xml:space="preserve">2026-08-31</x:t>
        </x:is>
      </x:c>
      <x:c r="D68" s="71" t="inlineStr">
        <x:is>
          <x:t xml:space="preserve">SIMULATION STANDARD — NOT EMPIRICALLY VALIDATED</x:t>
        </x:is>
      </x:c>
      <x:c r="E68" s="71" t="inlineStr">
        <x:is>
          <x:t xml:space="preserve">ML0399</x:t>
        </x:is>
      </x:c>
      <x:c r="F68" s="71" t="inlineStr">
        <x:is>
          <x:t xml:space="preserve">R-DIL-01 recurring failure pattern; stage promoted to COUNTER-EVIDENCE after 25 exposures.</x:t>
        </x:is>
      </x:c>
      <x:c r="G68" s="71" t="inlineStr">
        <x:is>
          <x:t xml:space="preserve">R-DIL-01 → COUNTER-EVIDENCE: counter-evidence clause added after 25 development exposures.</x:t>
        </x:is>
      </x:c>
      <x:c r="H68" s="71" t="inlineStr">
        <x:is>
          <x:t xml:space="preserve">Improves robustness under repeated Development stress without weakening a frozen fatal gate.</x:t>
        </x:is>
      </x:c>
      <x:c r="I68" s="71" t="inlineStr">
        <x:is>
          <x:t xml:space="preserve">Synthetic overfitting / threshold rigidity; must be challenged prospectively.</x:t>
        </x:is>
      </x:c>
      <x:c r="J68" s="71" t="inlineStr">
        <x:is>
          <x:t xml:space="preserve">Simulation-only. Freeze before empirical Validation; no Accuracy Points and no authorization effect.</x:t>
        </x:is>
      </x:c>
    </x:row>
    <x:row r="69">
      <x:c r="A69" s="57" t="inlineStr">
        <x:is>
          <x:t xml:space="preserve">CH-063</x:t>
        </x:is>
      </x:c>
      <x:c r="B69" s="71" t="inlineStr">
        <x:is>
          <x:t xml:space="preserve">V10.5-SIM55</x:t>
        </x:is>
      </x:c>
      <x:c r="C69" s="206" t="inlineStr">
        <x:is>
          <x:t xml:space="preserve">2026-08-31</x:t>
        </x:is>
      </x:c>
      <x:c r="D69" s="71" t="inlineStr">
        <x:is>
          <x:t xml:space="preserve">SIMULATION STANDARD — NOT EMPIRICALLY VALIDATED</x:t>
        </x:is>
      </x:c>
      <x:c r="E69" s="71" t="inlineStr">
        <x:is>
          <x:t xml:space="preserve">ML0400</x:t>
        </x:is>
      </x:c>
      <x:c r="F69" s="71" t="inlineStr">
        <x:is>
          <x:t xml:space="preserve">R-TAIL-01 recurring failure pattern; stage promoted to COUNTER-EVIDENCE after 25 exposures.</x:t>
        </x:is>
      </x:c>
      <x:c r="G69" s="71" t="inlineStr">
        <x:is>
          <x:t xml:space="preserve">R-TAIL-01 → COUNTER-EVIDENCE: counter-evidence clause added after 25 development exposures.</x:t>
        </x:is>
      </x:c>
      <x:c r="H69" s="71" t="inlineStr">
        <x:is>
          <x:t xml:space="preserve">Improves robustness under repeated Development stress without weakening a frozen fatal gate.</x:t>
        </x:is>
      </x:c>
      <x:c r="I69" s="71" t="inlineStr">
        <x:is>
          <x:t xml:space="preserve">Synthetic overfitting / threshold rigidity; must be challenged prospectively.</x:t>
        </x:is>
      </x:c>
      <x:c r="J69" s="71" t="inlineStr">
        <x:is>
          <x:t xml:space="preserve">Simulation-only. Freeze before empirical Validation; no Accuracy Points and no authorization effect.</x:t>
        </x:is>
      </x:c>
    </x:row>
    <x:row r="70">
      <x:c r="A70" s="57" t="inlineStr">
        <x:is>
          <x:t xml:space="preserve">CH-064</x:t>
        </x:is>
      </x:c>
      <x:c r="B70" s="71" t="inlineStr">
        <x:is>
          <x:t xml:space="preserve">V10.5-SIM56</x:t>
        </x:is>
      </x:c>
      <x:c r="C70" s="206" t="inlineStr">
        <x:is>
          <x:t xml:space="preserve">2026-08-31</x:t>
        </x:is>
      </x:c>
      <x:c r="D70" s="71" t="inlineStr">
        <x:is>
          <x:t xml:space="preserve">SIMULATION STANDARD — NOT EMPIRICALLY VALIDATED</x:t>
        </x:is>
      </x:c>
      <x:c r="E70" s="71" t="inlineStr">
        <x:is>
          <x:t xml:space="preserve">ML0423</x:t>
        </x:is>
      </x:c>
      <x:c r="F70" s="71" t="inlineStr">
        <x:is>
          <x:t xml:space="preserve">R-SECTOR-SPECIALTY-INGREDIENTS recurring failure pattern; stage promoted to COUNTER-EVIDENCE after 6 exposures.</x:t>
        </x:is>
      </x:c>
      <x:c r="G70" s="71" t="inlineStr">
        <x:is>
          <x:t xml:space="preserve">R-SECTOR-SPECIALTY-INGREDIENTS → COUNTER-EVIDENCE: counter-evidence clause added after 6 development exposures.</x:t>
        </x:is>
      </x:c>
      <x:c r="H70" s="71" t="inlineStr">
        <x:is>
          <x:t xml:space="preserve">Improves robustness under repeated Development stress without weakening a frozen fatal gate.</x:t>
        </x:is>
      </x:c>
      <x:c r="I70" s="71" t="inlineStr">
        <x:is>
          <x:t xml:space="preserve">Synthetic overfitting / threshold rigidity; must be challenged prospectively.</x:t>
        </x:is>
      </x:c>
      <x:c r="J70" s="71" t="inlineStr">
        <x:is>
          <x:t xml:space="preserve">Simulation-only. Freeze before empirical Validation; no Accuracy Points and no authorization effect.</x:t>
        </x:is>
      </x:c>
    </x:row>
    <x:row r="71">
      <x:c r="A71" s="57" t="inlineStr">
        <x:is>
          <x:t xml:space="preserve">CH-065</x:t>
        </x:is>
      </x:c>
      <x:c r="B71" s="71" t="inlineStr">
        <x:is>
          <x:t xml:space="preserve">V10.5-SIM57</x:t>
        </x:is>
      </x:c>
      <x:c r="C71" s="206" t="inlineStr">
        <x:is>
          <x:t xml:space="preserve">2026-08-31</x:t>
        </x:is>
      </x:c>
      <x:c r="D71" s="71" t="inlineStr">
        <x:is>
          <x:t xml:space="preserve">SIMULATION STANDARD — NOT EMPIRICALLY VALIDATED</x:t>
        </x:is>
      </x:c>
      <x:c r="E71" s="71" t="inlineStr">
        <x:is>
          <x:t xml:space="preserve">ML0455</x:t>
        </x:is>
      </x:c>
      <x:c r="F71" s="71" t="inlineStr">
        <x:is>
          <x:t xml:space="preserve">R-SECTOR-ENERGY recurring failure pattern; stage promoted to BASE after 2 exposures.</x:t>
        </x:is>
      </x:c>
      <x:c r="G71" s="71" t="inlineStr">
        <x:is>
          <x:t xml:space="preserve">R-SECTOR-ENERGY → BASE: base rule accepted after 2 development exposures.</x:t>
        </x:is>
      </x:c>
      <x:c r="H71" s="71" t="inlineStr">
        <x:is>
          <x:t xml:space="preserve">Improves robustness under repeated Development stress without weakening a frozen fatal gate.</x:t>
        </x:is>
      </x:c>
      <x:c r="I71" s="71" t="inlineStr">
        <x:is>
          <x:t xml:space="preserve">Synthetic overfitting / threshold rigidity; must be challenged prospectively.</x:t>
        </x:is>
      </x:c>
      <x:c r="J71" s="71" t="inlineStr">
        <x:is>
          <x:t xml:space="preserve">Simulation-only. Freeze before empirical Validation; no Accuracy Points and no authorization effect.</x:t>
        </x:is>
      </x:c>
    </x:row>
    <x:row r="72">
      <x:c r="A72" s="57" t="inlineStr">
        <x:is>
          <x:t xml:space="preserve">CH-066</x:t>
        </x:is>
      </x:c>
      <x:c r="B72" s="71" t="inlineStr">
        <x:is>
          <x:t xml:space="preserve">V10.5-SIM58</x:t>
        </x:is>
      </x:c>
      <x:c r="C72" s="206" t="inlineStr">
        <x:is>
          <x:t xml:space="preserve">2026-08-31</x:t>
        </x:is>
      </x:c>
      <x:c r="D72" s="71" t="inlineStr">
        <x:is>
          <x:t xml:space="preserve">SIMULATION STANDARD — NOT EMPIRICALLY VALIDATED</x:t>
        </x:is>
      </x:c>
      <x:c r="E72" s="71" t="inlineStr">
        <x:is>
          <x:t xml:space="preserve">ML0487</x:t>
        </x:is>
      </x:c>
      <x:c r="F72" s="71" t="inlineStr">
        <x:is>
          <x:t xml:space="preserve">R-SECTOR-ENERGY recurring failure pattern; stage promoted to HARDENED after 4 exposures.</x:t>
        </x:is>
      </x:c>
      <x:c r="G72" s="71" t="inlineStr">
        <x:is>
          <x:t xml:space="preserve">R-SECTOR-ENERGY → HARDENED: evidence thresholds hardened after 4 development exposures.</x:t>
        </x:is>
      </x:c>
      <x:c r="H72" s="71" t="inlineStr">
        <x:is>
          <x:t xml:space="preserve">Improves robustness under repeated Development stress without weakening a frozen fatal gate.</x:t>
        </x:is>
      </x:c>
      <x:c r="I72" s="71" t="inlineStr">
        <x:is>
          <x:t xml:space="preserve">Synthetic overfitting / threshold rigidity; must be challenged prospectively.</x:t>
        </x:is>
      </x:c>
      <x:c r="J72" s="71" t="inlineStr">
        <x:is>
          <x:t xml:space="preserve">Simulation-only. Freeze before empirical Validation; no Accuracy Points and no authorization effect.</x:t>
        </x:is>
      </x:c>
    </x:row>
    <x:row r="73">
      <x:c r="A73" s="57" t="inlineStr">
        <x:is>
          <x:t xml:space="preserve">CH-067</x:t>
        </x:is>
      </x:c>
      <x:c r="B73" s="71" t="inlineStr">
        <x:is>
          <x:t xml:space="preserve">V10.5-SIM59</x:t>
        </x:is>
      </x:c>
      <x:c r="C73" s="206" t="inlineStr">
        <x:is>
          <x:t xml:space="preserve">2026-08-31</x:t>
        </x:is>
      </x:c>
      <x:c r="D73" s="71" t="inlineStr">
        <x:is>
          <x:t xml:space="preserve">SIMULATION STANDARD — NOT EMPIRICALLY VALIDATED</x:t>
        </x:is>
      </x:c>
      <x:c r="E73" s="71" t="inlineStr">
        <x:is>
          <x:t xml:space="preserve">ML0535</x:t>
        </x:is>
      </x:c>
      <x:c r="F73" s="71" t="inlineStr">
        <x:is>
          <x:t xml:space="preserve">R-SECTOR-SOFTWARE-PAYMENTS recurring failure pattern; stage promoted to BASE after 2 exposures.</x:t>
        </x:is>
      </x:c>
      <x:c r="G73" s="71" t="inlineStr">
        <x:is>
          <x:t xml:space="preserve">R-SECTOR-SOFTWARE-PAYMENTS → BASE: base rule accepted after 2 development exposures.</x:t>
        </x:is>
      </x:c>
      <x:c r="H73" s="71" t="inlineStr">
        <x:is>
          <x:t xml:space="preserve">Improves robustness under repeated Development stress without weakening a frozen fatal gate.</x:t>
        </x:is>
      </x:c>
      <x:c r="I73" s="71" t="inlineStr">
        <x:is>
          <x:t xml:space="preserve">Synthetic overfitting / threshold rigidity; must be challenged prospectively.</x:t>
        </x:is>
      </x:c>
      <x:c r="J73" s="71" t="inlineStr">
        <x:is>
          <x:t xml:space="preserve">Simulation-only. Freeze before empirical Validation; no Accuracy Points and no authorization effect.</x:t>
        </x:is>
      </x:c>
    </x:row>
    <x:row r="74">
      <x:c r="A74" s="57" t="inlineStr">
        <x:is>
          <x:t xml:space="preserve">CH-068</x:t>
        </x:is>
      </x:c>
      <x:c r="B74" s="71" t="inlineStr">
        <x:is>
          <x:t xml:space="preserve">V10.5-SIM60</x:t>
        </x:is>
      </x:c>
      <x:c r="C74" s="206" t="inlineStr">
        <x:is>
          <x:t xml:space="preserve">2026-08-31</x:t>
        </x:is>
      </x:c>
      <x:c r="D74" s="71" t="inlineStr">
        <x:is>
          <x:t xml:space="preserve">SIMULATION STANDARD — NOT EMPIRICALLY VALIDATED</x:t>
        </x:is>
      </x:c>
      <x:c r="E74" s="71" t="inlineStr">
        <x:is>
          <x:t xml:space="preserve">ML0583</x:t>
        </x:is>
      </x:c>
      <x:c r="F74" s="71" t="inlineStr">
        <x:is>
          <x:t xml:space="preserve">R-SECTOR-BANKS recurring failure pattern; stage promoted to BASE after 2 exposures.</x:t>
        </x:is>
      </x:c>
      <x:c r="G74" s="71" t="inlineStr">
        <x:is>
          <x:t xml:space="preserve">R-SECTOR-BANKS → BASE: base rule accepted after 2 development exposures.</x:t>
        </x:is>
      </x:c>
      <x:c r="H74" s="71" t="inlineStr">
        <x:is>
          <x:t xml:space="preserve">Improves robustness under repeated Development stress without weakening a frozen fatal gate.</x:t>
        </x:is>
      </x:c>
      <x:c r="I74" s="71" t="inlineStr">
        <x:is>
          <x:t xml:space="preserve">Synthetic overfitting / threshold rigidity; must be challenged prospectively.</x:t>
        </x:is>
      </x:c>
      <x:c r="J74" s="71" t="inlineStr">
        <x:is>
          <x:t xml:space="preserve">Simulation-only. Freeze before empirical Validation; no Accuracy Points and no authorization effect.</x:t>
        </x:is>
      </x:c>
    </x:row>
    <x:row r="75">
      <x:c r="A75" s="57" t="inlineStr">
        <x:is>
          <x:t xml:space="preserve">CH-069</x:t>
        </x:is>
      </x:c>
      <x:c r="B75" s="71" t="inlineStr">
        <x:is>
          <x:t xml:space="preserve">V10.5-SIM61</x:t>
        </x:is>
      </x:c>
      <x:c r="C75" s="206" t="inlineStr">
        <x:is>
          <x:t xml:space="preserve">2026-08-31</x:t>
        </x:is>
      </x:c>
      <x:c r="D75" s="71" t="inlineStr">
        <x:is>
          <x:t xml:space="preserve">SIMULATION STANDARD — NOT EMPIRICALLY VALIDATED</x:t>
        </x:is>
      </x:c>
      <x:c r="E75" s="71" t="inlineStr">
        <x:is>
          <x:t xml:space="preserve">ML0647</x:t>
        </x:is>
      </x:c>
      <x:c r="F75" s="71" t="inlineStr">
        <x:is>
          <x:t xml:space="preserve">R-SECTOR-INSURANCE recurring failure pattern; stage promoted to BASE after 2 exposures.</x:t>
        </x:is>
      </x:c>
      <x:c r="G75" s="71" t="inlineStr">
        <x:is>
          <x:t xml:space="preserve">R-SECTOR-INSURANCE → BASE: base rule accepted after 2 development exposures.</x:t>
        </x:is>
      </x:c>
      <x:c r="H75" s="71" t="inlineStr">
        <x:is>
          <x:t xml:space="preserve">Improves robustness under repeated Development stress without weakening a frozen fatal gate.</x:t>
        </x:is>
      </x:c>
      <x:c r="I75" s="71" t="inlineStr">
        <x:is>
          <x:t xml:space="preserve">Synthetic overfitting / threshold rigidity; must be challenged prospectively.</x:t>
        </x:is>
      </x:c>
      <x:c r="J75" s="71" t="inlineStr">
        <x:is>
          <x:t xml:space="preserve">Simulation-only. Freeze before empirical Validation; no Accuracy Points and no authorization effect.</x:t>
        </x:is>
      </x:c>
    </x:row>
    <x:row r="76">
      <x:c r="A76" s="57" t="inlineStr">
        <x:is>
          <x:t xml:space="preserve">CH-070</x:t>
        </x:is>
      </x:c>
      <x:c r="B76" s="71" t="inlineStr">
        <x:is>
          <x:t xml:space="preserve">V10.5-SIM62</x:t>
        </x:is>
      </x:c>
      <x:c r="C76" s="206" t="inlineStr">
        <x:is>
          <x:t xml:space="preserve">2026-08-31</x:t>
        </x:is>
      </x:c>
      <x:c r="D76" s="71" t="inlineStr">
        <x:is>
          <x:t xml:space="preserve">SIMULATION STANDARD — NOT EMPIRICALLY VALIDATED</x:t>
        </x:is>
      </x:c>
      <x:c r="E76" s="71" t="inlineStr">
        <x:is>
          <x:t xml:space="preserve">ML0679</x:t>
        </x:is>
      </x:c>
      <x:c r="F76" s="71" t="inlineStr">
        <x:is>
          <x:t xml:space="preserve">R-SECTOR-SOFTWARE-PAYMENTS recurring failure pattern; stage promoted to HARDENED after 4 exposures.</x:t>
        </x:is>
      </x:c>
      <x:c r="G76" s="71" t="inlineStr">
        <x:is>
          <x:t xml:space="preserve">R-SECTOR-SOFTWARE-PAYMENTS → HARDENED: evidence thresholds hardened after 4 development exposures.</x:t>
        </x:is>
      </x:c>
      <x:c r="H76" s="71" t="inlineStr">
        <x:is>
          <x:t xml:space="preserve">Improves robustness under repeated Development stress without weakening a frozen fatal gate.</x:t>
        </x:is>
      </x:c>
      <x:c r="I76" s="71" t="inlineStr">
        <x:is>
          <x:t xml:space="preserve">Synthetic overfitting / threshold rigidity; must be challenged prospectively.</x:t>
        </x:is>
      </x:c>
      <x:c r="J76" s="71" t="inlineStr">
        <x:is>
          <x:t xml:space="preserve">Simulation-only. Freeze before empirical Validation; no Accuracy Points and no authorization effect.</x:t>
        </x:is>
      </x:c>
    </x:row>
    <x:row r="77">
      <x:c r="A77" s="57" t="inlineStr">
        <x:is>
          <x:t xml:space="preserve">CH-071</x:t>
        </x:is>
      </x:c>
      <x:c r="B77" s="71" t="inlineStr">
        <x:is>
          <x:t xml:space="preserve">V10.5-SIM63</x:t>
        </x:is>
      </x:c>
      <x:c r="C77" s="206" t="inlineStr">
        <x:is>
          <x:t xml:space="preserve">2026-08-31</x:t>
        </x:is>
      </x:c>
      <x:c r="D77" s="71" t="inlineStr">
        <x:is>
          <x:t xml:space="preserve">SIMULATION STANDARD — NOT EMPIRICALLY VALIDATED</x:t>
        </x:is>
      </x:c>
      <x:c r="E77" s="71" t="inlineStr">
        <x:is>
          <x:t xml:space="preserve">ML0711</x:t>
        </x:is>
      </x:c>
      <x:c r="F77" s="71" t="inlineStr">
        <x:is>
          <x:t xml:space="preserve">R-SECTOR-MEDIA-INTERNET recurring failure pattern; stage promoted to BASE after 2 exposures.</x:t>
        </x:is>
      </x:c>
      <x:c r="G77" s="71" t="inlineStr">
        <x:is>
          <x:t xml:space="preserve">R-SECTOR-MEDIA-INTERNET → BASE: base rule accepted after 2 development exposures.</x:t>
        </x:is>
      </x:c>
      <x:c r="H77" s="71" t="inlineStr">
        <x:is>
          <x:t xml:space="preserve">Improves robustness under repeated Development stress without weakening a frozen fatal gate.</x:t>
        </x:is>
      </x:c>
      <x:c r="I77" s="71" t="inlineStr">
        <x:is>
          <x:t xml:space="preserve">Synthetic overfitting / threshold rigidity; must be challenged prospectively.</x:t>
        </x:is>
      </x:c>
      <x:c r="J77" s="71" t="inlineStr">
        <x:is>
          <x:t xml:space="preserve">Simulation-only. Freeze before empirical Validation; no Accuracy Points and no authorization effect.</x:t>
        </x:is>
      </x:c>
    </x:row>
    <x:row r="78">
      <x:c r="A78" s="57" t="inlineStr">
        <x:is>
          <x:t xml:space="preserve">CH-072</x:t>
        </x:is>
      </x:c>
      <x:c r="B78" s="71" t="inlineStr">
        <x:is>
          <x:t xml:space="preserve">V10.5-SIM64</x:t>
        </x:is>
      </x:c>
      <x:c r="C78" s="206" t="inlineStr">
        <x:is>
          <x:t xml:space="preserve">2026-08-31</x:t>
        </x:is>
      </x:c>
      <x:c r="D78" s="71" t="inlineStr">
        <x:is>
          <x:t xml:space="preserve">SIMULATION STANDARD — NOT EMPIRICALLY VALIDATED</x:t>
        </x:is>
      </x:c>
      <x:c r="E78" s="71" t="inlineStr">
        <x:is>
          <x:t xml:space="preserve">ML0743</x:t>
        </x:is>
      </x:c>
      <x:c r="F78" s="71" t="inlineStr">
        <x:is>
          <x:t xml:space="preserve">R-SECTOR-SOFTWARE-PAYMENTS recurring failure pattern; stage promoted to COUNTER-EVIDENCE after 6 exposures.</x:t>
        </x:is>
      </x:c>
      <x:c r="G78" s="71" t="inlineStr">
        <x:is>
          <x:t xml:space="preserve">R-SECTOR-SOFTWARE-PAYMENTS → COUNTER-EVIDENCE: counter-evidence clause added after 6 development exposures.</x:t>
        </x:is>
      </x:c>
      <x:c r="H78" s="71" t="inlineStr">
        <x:is>
          <x:t xml:space="preserve">Improves robustness under repeated Development stress without weakening a frozen fatal gate.</x:t>
        </x:is>
      </x:c>
      <x:c r="I78" s="71" t="inlineStr">
        <x:is>
          <x:t xml:space="preserve">Synthetic overfitting / threshold rigidity; must be challenged prospectively.</x:t>
        </x:is>
      </x:c>
      <x:c r="J78" s="71" t="inlineStr">
        <x:is>
          <x:t xml:space="preserve">Simulation-only. Freeze before empirical Validation; no Accuracy Points and no authorization effect.</x:t>
        </x:is>
      </x:c>
    </x:row>
    <x:row r="79">
      <x:c r="A79" s="57" t="inlineStr">
        <x:is>
          <x:t xml:space="preserve">CH-073</x:t>
        </x:is>
      </x:c>
      <x:c r="B79" s="71" t="inlineStr">
        <x:is>
          <x:t xml:space="preserve">V10.5-SIM65</x:t>
        </x:is>
      </x:c>
      <x:c r="C79" s="206" t="inlineStr">
        <x:is>
          <x:t xml:space="preserve">2026-08-31</x:t>
        </x:is>
      </x:c>
      <x:c r="D79" s="71" t="inlineStr">
        <x:is>
          <x:t xml:space="preserve">SIMULATION STANDARD — NOT EMPIRICALLY VALIDATED</x:t>
        </x:is>
      </x:c>
      <x:c r="E79" s="71" t="inlineStr">
        <x:is>
          <x:t xml:space="preserve">ML0785</x:t>
        </x:is>
      </x:c>
      <x:c r="F79" s="71" t="inlineStr">
        <x:is>
          <x:t xml:space="preserve">R-ENG-01 recurring failure pattern; stage promoted to MATURE after 50 exposures.</x:t>
        </x:is>
      </x:c>
      <x:c r="G79" s="71" t="inlineStr">
        <x:is>
          <x:t xml:space="preserve">R-ENG-01 → MATURE: mature simulation standard after 50 development exposures.</x:t>
        </x:is>
      </x:c>
      <x:c r="H79" s="71" t="inlineStr">
        <x:is>
          <x:t xml:space="preserve">Improves robustness under repeated Development stress without weakening a frozen fatal gate.</x:t>
        </x:is>
      </x:c>
      <x:c r="I79" s="71" t="inlineStr">
        <x:is>
          <x:t xml:space="preserve">Synthetic overfitting / threshold rigidity; must be challenged prospectively.</x:t>
        </x:is>
      </x:c>
      <x:c r="J79" s="71" t="inlineStr">
        <x:is>
          <x:t xml:space="preserve">Simulation-only. Freeze before empirical Validation; no Accuracy Points and no authorization effect.</x:t>
        </x:is>
      </x:c>
    </x:row>
    <x:row r="80">
      <x:c r="A80" s="57" t="inlineStr">
        <x:is>
          <x:t xml:space="preserve">CH-074</x:t>
        </x:is>
      </x:c>
      <x:c r="B80" s="71" t="inlineStr">
        <x:is>
          <x:t xml:space="preserve">V10.5-SIM66</x:t>
        </x:is>
      </x:c>
      <x:c r="C80" s="206" t="inlineStr">
        <x:is>
          <x:t xml:space="preserve">2026-08-31</x:t>
        </x:is>
      </x:c>
      <x:c r="D80" s="71" t="inlineStr">
        <x:is>
          <x:t xml:space="preserve">SIMULATION STANDARD — NOT EMPIRICALLY VALIDATED</x:t>
        </x:is>
      </x:c>
      <x:c r="E80" s="71" t="inlineStr">
        <x:is>
          <x:t xml:space="preserve">ML0786</x:t>
        </x:is>
      </x:c>
      <x:c r="F80" s="71" t="inlineStr">
        <x:is>
          <x:t xml:space="preserve">R-OE-01 recurring failure pattern; stage promoted to MATURE after 50 exposures.</x:t>
        </x:is>
      </x:c>
      <x:c r="G80" s="71" t="inlineStr">
        <x:is>
          <x:t xml:space="preserve">R-OE-01 → MATURE: mature simulation standard after 50 development exposures.</x:t>
        </x:is>
      </x:c>
      <x:c r="H80" s="71" t="inlineStr">
        <x:is>
          <x:t xml:space="preserve">Improves robustness under repeated Development stress without weakening a frozen fatal gate.</x:t>
        </x:is>
      </x:c>
      <x:c r="I80" s="71" t="inlineStr">
        <x:is>
          <x:t xml:space="preserve">Synthetic overfitting / threshold rigidity; must be challenged prospectively.</x:t>
        </x:is>
      </x:c>
      <x:c r="J80" s="71" t="inlineStr">
        <x:is>
          <x:t xml:space="preserve">Simulation-only. Freeze before empirical Validation; no Accuracy Points and no authorization effect.</x:t>
        </x:is>
      </x:c>
    </x:row>
    <x:row r="81">
      <x:c r="A81" s="57" t="inlineStr">
        <x:is>
          <x:t xml:space="preserve">CH-075</x:t>
        </x:is>
      </x:c>
      <x:c r="B81" s="71" t="inlineStr">
        <x:is>
          <x:t xml:space="preserve">V10.5-SIM67</x:t>
        </x:is>
      </x:c>
      <x:c r="C81" s="206" t="inlineStr">
        <x:is>
          <x:t xml:space="preserve">2026-08-31</x:t>
        </x:is>
      </x:c>
      <x:c r="D81" s="71" t="inlineStr">
        <x:is>
          <x:t xml:space="preserve">SIMULATION STANDARD — NOT EMPIRICALLY VALIDATED</x:t>
        </x:is>
      </x:c>
      <x:c r="E81" s="71" t="inlineStr">
        <x:is>
          <x:t xml:space="preserve">ML0787</x:t>
        </x:is>
      </x:c>
      <x:c r="F81" s="71" t="inlineStr">
        <x:is>
          <x:t xml:space="preserve">R-MOAT-01 recurring failure pattern; stage promoted to MATURE after 50 exposures.</x:t>
        </x:is>
      </x:c>
      <x:c r="G81" s="71" t="inlineStr">
        <x:is>
          <x:t xml:space="preserve">R-MOAT-01 → MATURE: mature simulation standard after 50 development exposures.</x:t>
        </x:is>
      </x:c>
      <x:c r="H81" s="71" t="inlineStr">
        <x:is>
          <x:t xml:space="preserve">Improves robustness under repeated Development stress without weakening a frozen fatal gate.</x:t>
        </x:is>
      </x:c>
      <x:c r="I81" s="71" t="inlineStr">
        <x:is>
          <x:t xml:space="preserve">Synthetic overfitting / threshold rigidity; must be challenged prospectively.</x:t>
        </x:is>
      </x:c>
      <x:c r="J81" s="71" t="inlineStr">
        <x:is>
          <x:t xml:space="preserve">Simulation-only. Freeze before empirical Validation; no Accuracy Points and no authorization effect.</x:t>
        </x:is>
      </x:c>
    </x:row>
    <x:row r="82">
      <x:c r="A82" s="57" t="inlineStr">
        <x:is>
          <x:t xml:space="preserve">CH-076</x:t>
        </x:is>
      </x:c>
      <x:c r="B82" s="71" t="inlineStr">
        <x:is>
          <x:t xml:space="preserve">V10.5-SIM68</x:t>
        </x:is>
      </x:c>
      <x:c r="C82" s="206" t="inlineStr">
        <x:is>
          <x:t xml:space="preserve">2026-08-31</x:t>
        </x:is>
      </x:c>
      <x:c r="D82" s="71" t="inlineStr">
        <x:is>
          <x:t xml:space="preserve">SIMULATION STANDARD — NOT EMPIRICALLY VALIDATED</x:t>
        </x:is>
      </x:c>
      <x:c r="E82" s="71" t="inlineStr">
        <x:is>
          <x:t xml:space="preserve">ML0788</x:t>
        </x:is>
      </x:c>
      <x:c r="F82" s="71" t="inlineStr">
        <x:is>
          <x:t xml:space="preserve">R-STEW-01 recurring failure pattern; stage promoted to MATURE after 50 exposures.</x:t>
        </x:is>
      </x:c>
      <x:c r="G82" s="71" t="inlineStr">
        <x:is>
          <x:t xml:space="preserve">R-STEW-01 → MATURE: mature simulation standard after 50 development exposures.</x:t>
        </x:is>
      </x:c>
      <x:c r="H82" s="71" t="inlineStr">
        <x:is>
          <x:t xml:space="preserve">Improves robustness under repeated Development stress without weakening a frozen fatal gate.</x:t>
        </x:is>
      </x:c>
      <x:c r="I82" s="71" t="inlineStr">
        <x:is>
          <x:t xml:space="preserve">Synthetic overfitting / threshold rigidity; must be challenged prospectively.</x:t>
        </x:is>
      </x:c>
      <x:c r="J82" s="71" t="inlineStr">
        <x:is>
          <x:t xml:space="preserve">Simulation-only. Freeze before empirical Validation; no Accuracy Points and no authorization effect.</x:t>
        </x:is>
      </x:c>
    </x:row>
    <x:row r="83">
      <x:c r="A83" s="57" t="inlineStr">
        <x:is>
          <x:t xml:space="preserve">CH-077</x:t>
        </x:is>
      </x:c>
      <x:c r="B83" s="71" t="inlineStr">
        <x:is>
          <x:t xml:space="preserve">V10.5-SIM69</x:t>
        </x:is>
      </x:c>
      <x:c r="C83" s="206" t="inlineStr">
        <x:is>
          <x:t xml:space="preserve">2026-08-31</x:t>
        </x:is>
      </x:c>
      <x:c r="D83" s="71" t="inlineStr">
        <x:is>
          <x:t xml:space="preserve">SIMULATION STANDARD — NOT EMPIRICALLY VALIDATED</x:t>
        </x:is>
      </x:c>
      <x:c r="E83" s="71" t="inlineStr">
        <x:is>
          <x:t xml:space="preserve">ML0789</x:t>
        </x:is>
      </x:c>
      <x:c r="F83" s="71" t="inlineStr">
        <x:is>
          <x:t xml:space="preserve">R-SURV-01 recurring failure pattern; stage promoted to MATURE after 50 exposures.</x:t>
        </x:is>
      </x:c>
      <x:c r="G83" s="71" t="inlineStr">
        <x:is>
          <x:t xml:space="preserve">R-SURV-01 → MATURE: mature simulation standard after 50 development exposures.</x:t>
        </x:is>
      </x:c>
      <x:c r="H83" s="71" t="inlineStr">
        <x:is>
          <x:t xml:space="preserve">Improves robustness under repeated Development stress without weakening a frozen fatal gate.</x:t>
        </x:is>
      </x:c>
      <x:c r="I83" s="71" t="inlineStr">
        <x:is>
          <x:t xml:space="preserve">Synthetic overfitting / threshold rigidity; must be challenged prospectively.</x:t>
        </x:is>
      </x:c>
      <x:c r="J83" s="71" t="inlineStr">
        <x:is>
          <x:t xml:space="preserve">Simulation-only. Freeze before empirical Validation; no Accuracy Points and no authorization effect.</x:t>
        </x:is>
      </x:c>
    </x:row>
    <x:row r="84">
      <x:c r="A84" s="57" t="inlineStr">
        <x:is>
          <x:t xml:space="preserve">CH-078</x:t>
        </x:is>
      </x:c>
      <x:c r="B84" s="71" t="inlineStr">
        <x:is>
          <x:t xml:space="preserve">V10.5-SIM70</x:t>
        </x:is>
      </x:c>
      <x:c r="C84" s="206" t="inlineStr">
        <x:is>
          <x:t xml:space="preserve">2026-08-31</x:t>
        </x:is>
      </x:c>
      <x:c r="D84" s="71" t="inlineStr">
        <x:is>
          <x:t xml:space="preserve">SIMULATION STANDARD — NOT EMPIRICALLY VALIDATED</x:t>
        </x:is>
      </x:c>
      <x:c r="E84" s="71" t="inlineStr">
        <x:is>
          <x:t xml:space="preserve">ML0790</x:t>
        </x:is>
      </x:c>
      <x:c r="F84" s="71" t="inlineStr">
        <x:is>
          <x:t xml:space="preserve">R-MOS-01 recurring failure pattern; stage promoted to MATURE after 50 exposures.</x:t>
        </x:is>
      </x:c>
      <x:c r="G84" s="71" t="inlineStr">
        <x:is>
          <x:t xml:space="preserve">R-MOS-01 → MATURE: mature simulation standard after 50 development exposures.</x:t>
        </x:is>
      </x:c>
      <x:c r="H84" s="71" t="inlineStr">
        <x:is>
          <x:t xml:space="preserve">Improves robustness under repeated Development stress without weakening a frozen fatal gate.</x:t>
        </x:is>
      </x:c>
      <x:c r="I84" s="71" t="inlineStr">
        <x:is>
          <x:t xml:space="preserve">Synthetic overfitting / threshold rigidity; must be challenged prospectively.</x:t>
        </x:is>
      </x:c>
      <x:c r="J84" s="71" t="inlineStr">
        <x:is>
          <x:t xml:space="preserve">Simulation-only. Freeze before empirical Validation; no Accuracy Points and no authorization effect.</x:t>
        </x:is>
      </x:c>
    </x:row>
    <x:row r="85">
      <x:c r="A85" s="57" t="inlineStr">
        <x:is>
          <x:t xml:space="preserve">CH-079</x:t>
        </x:is>
      </x:c>
      <x:c r="B85" s="71" t="inlineStr">
        <x:is>
          <x:t xml:space="preserve">V10.5-SIM71</x:t>
        </x:is>
      </x:c>
      <x:c r="C85" s="206" t="inlineStr">
        <x:is>
          <x:t xml:space="preserve">2026-08-31</x:t>
        </x:is>
      </x:c>
      <x:c r="D85" s="71" t="inlineStr">
        <x:is>
          <x:t xml:space="preserve">SIMULATION STANDARD — NOT EMPIRICALLY VALIDATED</x:t>
        </x:is>
      </x:c>
      <x:c r="E85" s="71" t="inlineStr">
        <x:is>
          <x:t xml:space="preserve">ML0792</x:t>
        </x:is>
      </x:c>
      <x:c r="F85" s="71" t="inlineStr">
        <x:is>
          <x:t xml:space="preserve">R-PROM-01 recurring failure pattern; stage promoted to MATURE after 50 exposures.</x:t>
        </x:is>
      </x:c>
      <x:c r="G85" s="71" t="inlineStr">
        <x:is>
          <x:t xml:space="preserve">R-PROM-01 → MATURE: mature simulation standard after 50 development exposures.</x:t>
        </x:is>
      </x:c>
      <x:c r="H85" s="71" t="inlineStr">
        <x:is>
          <x:t xml:space="preserve">Improves robustness under repeated Development stress without weakening a frozen fatal gate.</x:t>
        </x:is>
      </x:c>
      <x:c r="I85" s="71" t="inlineStr">
        <x:is>
          <x:t xml:space="preserve">Synthetic overfitting / threshold rigidity; must be challenged prospectively.</x:t>
        </x:is>
      </x:c>
      <x:c r="J85" s="71" t="inlineStr">
        <x:is>
          <x:t xml:space="preserve">Simulation-only. Freeze before empirical Validation; no Accuracy Points and no authorization effect.</x:t>
        </x:is>
      </x:c>
    </x:row>
    <x:row r="86">
      <x:c r="A86" s="57" t="inlineStr">
        <x:is>
          <x:t xml:space="preserve">CH-080</x:t>
        </x:is>
      </x:c>
      <x:c r="B86" s="71" t="inlineStr">
        <x:is>
          <x:t xml:space="preserve">V10.5-SIM72</x:t>
        </x:is>
      </x:c>
      <x:c r="C86" s="206" t="inlineStr">
        <x:is>
          <x:t xml:space="preserve">2026-08-31</x:t>
        </x:is>
      </x:c>
      <x:c r="D86" s="71" t="inlineStr">
        <x:is>
          <x:t xml:space="preserve">SIMULATION STANDARD — NOT EMPIRICALLY VALIDATED</x:t>
        </x:is>
      </x:c>
      <x:c r="E86" s="71" t="inlineStr">
        <x:is>
          <x:t xml:space="preserve">ML0793</x:t>
        </x:is>
      </x:c>
      <x:c r="F86" s="71" t="inlineStr">
        <x:is>
          <x:t xml:space="preserve">R-DATA-01 recurring failure pattern; stage promoted to MATURE after 50 exposures.</x:t>
        </x:is>
      </x:c>
      <x:c r="G86" s="71" t="inlineStr">
        <x:is>
          <x:t xml:space="preserve">R-DATA-01 → MATURE: mature simulation standard after 50 development exposures.</x:t>
        </x:is>
      </x:c>
      <x:c r="H86" s="71" t="inlineStr">
        <x:is>
          <x:t xml:space="preserve">Improves robustness under repeated Development stress without weakening a frozen fatal gate.</x:t>
        </x:is>
      </x:c>
      <x:c r="I86" s="71" t="inlineStr">
        <x:is>
          <x:t xml:space="preserve">Synthetic overfitting / threshold rigidity; must be challenged prospectively.</x:t>
        </x:is>
      </x:c>
      <x:c r="J86" s="71" t="inlineStr">
        <x:is>
          <x:t xml:space="preserve">Simulation-only. Freeze before empirical Validation; no Accuracy Points and no authorization effect.</x:t>
        </x:is>
      </x:c>
    </x:row>
    <x:row r="87">
      <x:c r="A87" s="57" t="inlineStr">
        <x:is>
          <x:t xml:space="preserve">CH-081</x:t>
        </x:is>
      </x:c>
      <x:c r="B87" s="71" t="inlineStr">
        <x:is>
          <x:t xml:space="preserve">V10.5-SIM73</x:t>
        </x:is>
      </x:c>
      <x:c r="C87" s="206" t="inlineStr">
        <x:is>
          <x:t xml:space="preserve">2026-08-31</x:t>
        </x:is>
      </x:c>
      <x:c r="D87" s="71" t="inlineStr">
        <x:is>
          <x:t xml:space="preserve">SIMULATION STANDARD — NOT EMPIRICALLY VALIDATED</x:t>
        </x:is>
      </x:c>
      <x:c r="E87" s="71" t="inlineStr">
        <x:is>
          <x:t xml:space="preserve">ML0794</x:t>
        </x:is>
      </x:c>
      <x:c r="F87" s="71" t="inlineStr">
        <x:is>
          <x:t xml:space="preserve">R-CF-01 recurring failure pattern; stage promoted to MATURE after 50 exposures.</x:t>
        </x:is>
      </x:c>
      <x:c r="G87" s="71" t="inlineStr">
        <x:is>
          <x:t xml:space="preserve">R-CF-01 → MATURE: mature simulation standard after 50 development exposures.</x:t>
        </x:is>
      </x:c>
      <x:c r="H87" s="71" t="inlineStr">
        <x:is>
          <x:t xml:space="preserve">Improves robustness under repeated Development stress without weakening a frozen fatal gate.</x:t>
        </x:is>
      </x:c>
      <x:c r="I87" s="71" t="inlineStr">
        <x:is>
          <x:t xml:space="preserve">Synthetic overfitting / threshold rigidity; must be challenged prospectively.</x:t>
        </x:is>
      </x:c>
      <x:c r="J87" s="71" t="inlineStr">
        <x:is>
          <x:t xml:space="preserve">Simulation-only. Freeze before empirical Validation; no Accuracy Points and no authorization effect.</x:t>
        </x:is>
      </x:c>
    </x:row>
    <x:row r="88">
      <x:c r="A88" s="57" t="inlineStr">
        <x:is>
          <x:t xml:space="preserve">CH-082</x:t>
        </x:is>
      </x:c>
      <x:c r="B88" s="71" t="inlineStr">
        <x:is>
          <x:t xml:space="preserve">V10.5-SIM74</x:t>
        </x:is>
      </x:c>
      <x:c r="C88" s="206" t="inlineStr">
        <x:is>
          <x:t xml:space="preserve">2026-08-31</x:t>
        </x:is>
      </x:c>
      <x:c r="D88" s="71" t="inlineStr">
        <x:is>
          <x:t xml:space="preserve">SIMULATION STANDARD — NOT EMPIRICALLY VALIDATED</x:t>
        </x:is>
      </x:c>
      <x:c r="E88" s="71" t="inlineStr">
        <x:is>
          <x:t xml:space="preserve">ML0795</x:t>
        </x:is>
      </x:c>
      <x:c r="F88" s="71" t="inlineStr">
        <x:is>
          <x:t xml:space="preserve">R-FN-01 recurring failure pattern; stage promoted to MATURE after 50 exposures.</x:t>
        </x:is>
      </x:c>
      <x:c r="G88" s="71" t="inlineStr">
        <x:is>
          <x:t xml:space="preserve">R-FN-01 → MATURE: mature simulation standard after 50 development exposures.</x:t>
        </x:is>
      </x:c>
      <x:c r="H88" s="71" t="inlineStr">
        <x:is>
          <x:t xml:space="preserve">Improves robustness under repeated Development stress without weakening a frozen fatal gate.</x:t>
        </x:is>
      </x:c>
      <x:c r="I88" s="71" t="inlineStr">
        <x:is>
          <x:t xml:space="preserve">Synthetic overfitting / threshold rigidity; must be challenged prospectively.</x:t>
        </x:is>
      </x:c>
      <x:c r="J88" s="71" t="inlineStr">
        <x:is>
          <x:t xml:space="preserve">Simulation-only. Freeze before empirical Validation; no Accuracy Points and no authorization effect.</x:t>
        </x:is>
      </x:c>
    </x:row>
    <x:row r="89">
      <x:c r="A89" s="57" t="inlineStr">
        <x:is>
          <x:t xml:space="preserve">CH-083</x:t>
        </x:is>
      </x:c>
      <x:c r="B89" s="71" t="inlineStr">
        <x:is>
          <x:t xml:space="preserve">V10.5-SIM75</x:t>
        </x:is>
      </x:c>
      <x:c r="C89" s="206" t="inlineStr">
        <x:is>
          <x:t xml:space="preserve">2026-08-31</x:t>
        </x:is>
      </x:c>
      <x:c r="D89" s="71" t="inlineStr">
        <x:is>
          <x:t xml:space="preserve">SIMULATION STANDARD — NOT EMPIRICALLY VALIDATED</x:t>
        </x:is>
      </x:c>
      <x:c r="E89" s="71" t="inlineStr">
        <x:is>
          <x:t xml:space="preserve">ML0796</x:t>
        </x:is>
      </x:c>
      <x:c r="F89" s="71" t="inlineStr">
        <x:is>
          <x:t xml:space="preserve">R-TIME-01 recurring failure pattern; stage promoted to MATURE after 50 exposures.</x:t>
        </x:is>
      </x:c>
      <x:c r="G89" s="71" t="inlineStr">
        <x:is>
          <x:t xml:space="preserve">R-TIME-01 → MATURE: mature simulation standard after 50 development exposures.</x:t>
        </x:is>
      </x:c>
      <x:c r="H89" s="71" t="inlineStr">
        <x:is>
          <x:t xml:space="preserve">Improves robustness under repeated Development stress without weakening a frozen fatal gate.</x:t>
        </x:is>
      </x:c>
      <x:c r="I89" s="71" t="inlineStr">
        <x:is>
          <x:t xml:space="preserve">Synthetic overfitting / threshold rigidity; must be challenged prospectively.</x:t>
        </x:is>
      </x:c>
      <x:c r="J89" s="71" t="inlineStr">
        <x:is>
          <x:t xml:space="preserve">Simulation-only. Freeze before empirical Validation; no Accuracy Points and no authorization effect.</x:t>
        </x:is>
      </x:c>
    </x:row>
    <x:row r="90">
      <x:c r="A90" s="57" t="inlineStr">
        <x:is>
          <x:t xml:space="preserve">CH-084</x:t>
        </x:is>
      </x:c>
      <x:c r="B90" s="71" t="inlineStr">
        <x:is>
          <x:t xml:space="preserve">V10.5-SIM76</x:t>
        </x:is>
      </x:c>
      <x:c r="C90" s="206" t="inlineStr">
        <x:is>
          <x:t xml:space="preserve">2026-08-31</x:t>
        </x:is>
      </x:c>
      <x:c r="D90" s="71" t="inlineStr">
        <x:is>
          <x:t xml:space="preserve">SIMULATION STANDARD — NOT EMPIRICALLY VALIDATED</x:t>
        </x:is>
      </x:c>
      <x:c r="E90" s="71" t="inlineStr">
        <x:is>
          <x:t xml:space="preserve">ML0797</x:t>
        </x:is>
      </x:c>
      <x:c r="F90" s="71" t="inlineStr">
        <x:is>
          <x:t xml:space="preserve">R-CYCLE-01 recurring failure pattern; stage promoted to MATURE after 50 exposures.</x:t>
        </x:is>
      </x:c>
      <x:c r="G90" s="71" t="inlineStr">
        <x:is>
          <x:t xml:space="preserve">R-CYCLE-01 → MATURE: mature simulation standard after 50 development exposures.</x:t>
        </x:is>
      </x:c>
      <x:c r="H90" s="71" t="inlineStr">
        <x:is>
          <x:t xml:space="preserve">Improves robustness under repeated Development stress without weakening a frozen fatal gate.</x:t>
        </x:is>
      </x:c>
      <x:c r="I90" s="71" t="inlineStr">
        <x:is>
          <x:t xml:space="preserve">Synthetic overfitting / threshold rigidity; must be challenged prospectively.</x:t>
        </x:is>
      </x:c>
      <x:c r="J90" s="71" t="inlineStr">
        <x:is>
          <x:t xml:space="preserve">Simulation-only. Freeze before empirical Validation; no Accuracy Points and no authorization effect.</x:t>
        </x:is>
      </x:c>
    </x:row>
    <x:row r="91">
      <x:c r="A91" s="57" t="inlineStr">
        <x:is>
          <x:t xml:space="preserve">CH-085</x:t>
        </x:is>
      </x:c>
      <x:c r="B91" s="71" t="inlineStr">
        <x:is>
          <x:t xml:space="preserve">V10.5-SIM77</x:t>
        </x:is>
      </x:c>
      <x:c r="C91" s="206" t="inlineStr">
        <x:is>
          <x:t xml:space="preserve">2026-08-31</x:t>
        </x:is>
      </x:c>
      <x:c r="D91" s="71" t="inlineStr">
        <x:is>
          <x:t xml:space="preserve">SIMULATION STANDARD — NOT EMPIRICALLY VALIDATED</x:t>
        </x:is>
      </x:c>
      <x:c r="E91" s="71" t="inlineStr">
        <x:is>
          <x:t xml:space="preserve">ML0798</x:t>
        </x:is>
      </x:c>
      <x:c r="F91" s="71" t="inlineStr">
        <x:is>
          <x:t xml:space="preserve">R-MA-01 recurring failure pattern; stage promoted to MATURE after 50 exposures.</x:t>
        </x:is>
      </x:c>
      <x:c r="G91" s="71" t="inlineStr">
        <x:is>
          <x:t xml:space="preserve">R-MA-01 → MATURE: mature simulation standard after 50 development exposures.</x:t>
        </x:is>
      </x:c>
      <x:c r="H91" s="71" t="inlineStr">
        <x:is>
          <x:t xml:space="preserve">Improves robustness under repeated Development stress without weakening a frozen fatal gate.</x:t>
        </x:is>
      </x:c>
      <x:c r="I91" s="71" t="inlineStr">
        <x:is>
          <x:t xml:space="preserve">Synthetic overfitting / threshold rigidity; must be challenged prospectively.</x:t>
        </x:is>
      </x:c>
      <x:c r="J91" s="71" t="inlineStr">
        <x:is>
          <x:t xml:space="preserve">Simulation-only. Freeze before empirical Validation; no Accuracy Points and no authorization effect.</x:t>
        </x:is>
      </x:c>
    </x:row>
    <x:row r="92">
      <x:c r="A92" s="57" t="inlineStr">
        <x:is>
          <x:t xml:space="preserve">CH-086</x:t>
        </x:is>
      </x:c>
      <x:c r="B92" s="71" t="inlineStr">
        <x:is>
          <x:t xml:space="preserve">V10.5-SIM78</x:t>
        </x:is>
      </x:c>
      <x:c r="C92" s="206" t="inlineStr">
        <x:is>
          <x:t xml:space="preserve">2026-08-31</x:t>
        </x:is>
      </x:c>
      <x:c r="D92" s="71" t="inlineStr">
        <x:is>
          <x:t xml:space="preserve">SIMULATION STANDARD — NOT EMPIRICALLY VALIDATED</x:t>
        </x:is>
      </x:c>
      <x:c r="E92" s="71" t="inlineStr">
        <x:is>
          <x:t xml:space="preserve">ML0799</x:t>
        </x:is>
      </x:c>
      <x:c r="F92" s="71" t="inlineStr">
        <x:is>
          <x:t xml:space="preserve">R-DIL-01 recurring failure pattern; stage promoted to MATURE after 50 exposures.</x:t>
        </x:is>
      </x:c>
      <x:c r="G92" s="71" t="inlineStr">
        <x:is>
          <x:t xml:space="preserve">R-DIL-01 → MATURE: mature simulation standard after 50 development exposures.</x:t>
        </x:is>
      </x:c>
      <x:c r="H92" s="71" t="inlineStr">
        <x:is>
          <x:t xml:space="preserve">Improves robustness under repeated Development stress without weakening a frozen fatal gate.</x:t>
        </x:is>
      </x:c>
      <x:c r="I92" s="71" t="inlineStr">
        <x:is>
          <x:t xml:space="preserve">Synthetic overfitting / threshold rigidity; must be challenged prospectively.</x:t>
        </x:is>
      </x:c>
      <x:c r="J92" s="71" t="inlineStr">
        <x:is>
          <x:t xml:space="preserve">Simulation-only. Freeze before empirical Validation; no Accuracy Points and no authorization effect.</x:t>
        </x:is>
      </x:c>
    </x:row>
    <x:row r="93">
      <x:c r="A93" s="57" t="inlineStr">
        <x:is>
          <x:t xml:space="preserve">CH-087</x:t>
        </x:is>
      </x:c>
      <x:c r="B93" s="71" t="inlineStr">
        <x:is>
          <x:t xml:space="preserve">V10.5-SIM79</x:t>
        </x:is>
      </x:c>
      <x:c r="C93" s="206" t="inlineStr">
        <x:is>
          <x:t xml:space="preserve">2026-08-31</x:t>
        </x:is>
      </x:c>
      <x:c r="D93" s="71" t="inlineStr">
        <x:is>
          <x:t xml:space="preserve">SIMULATION STANDARD — NOT EMPIRICALLY VALIDATED</x:t>
        </x:is>
      </x:c>
      <x:c r="E93" s="71" t="inlineStr">
        <x:is>
          <x:t xml:space="preserve">ML0800</x:t>
        </x:is>
      </x:c>
      <x:c r="F93" s="71" t="inlineStr">
        <x:is>
          <x:t xml:space="preserve">R-TAIL-01 recurring failure pattern; stage promoted to MATURE after 50 exposures.</x:t>
        </x:is>
      </x:c>
      <x:c r="G93" s="71" t="inlineStr">
        <x:is>
          <x:t xml:space="preserve">R-TAIL-01 → MATURE: mature simulation standard after 50 development exposures.</x:t>
        </x:is>
      </x:c>
      <x:c r="H93" s="71" t="inlineStr">
        <x:is>
          <x:t xml:space="preserve">Improves robustness under repeated Development stress without weakening a frozen fatal gate.</x:t>
        </x:is>
      </x:c>
      <x:c r="I93" s="71" t="inlineStr">
        <x:is>
          <x:t xml:space="preserve">Synthetic overfitting / threshold rigidity; must be challenged prospectively.</x:t>
        </x:is>
      </x:c>
      <x:c r="J93" s="71" t="inlineStr">
        <x:is>
          <x:t xml:space="preserve">Simulation-only. Freeze before empirical Validation; no Accuracy Points and no authorization effect.</x:t>
        </x:is>
      </x:c>
    </x:row>
    <x:row r="94">
      <x:c r="A94" s="57" t="inlineStr">
        <x:is>
          <x:t xml:space="preserve">CH-088</x:t>
        </x:is>
      </x:c>
      <x:c r="B94" s="71" t="inlineStr">
        <x:is>
          <x:t xml:space="preserve">V10.5-SIM80</x:t>
        </x:is>
      </x:c>
      <x:c r="C94" s="206" t="inlineStr">
        <x:is>
          <x:t xml:space="preserve">2026-08-31</x:t>
        </x:is>
      </x:c>
      <x:c r="D94" s="71" t="inlineStr">
        <x:is>
          <x:t xml:space="preserve">SIMULATION STANDARD — NOT EMPIRICALLY VALIDATED</x:t>
        </x:is>
      </x:c>
      <x:c r="E94" s="71" t="inlineStr">
        <x:is>
          <x:t xml:space="preserve">ML0823</x:t>
        </x:is>
      </x:c>
      <x:c r="F94" s="71" t="inlineStr">
        <x:is>
          <x:t xml:space="preserve">R-SECTOR-BANKS recurring failure pattern; stage promoted to HARDENED after 4 exposures.</x:t>
        </x:is>
      </x:c>
      <x:c r="G94" s="71" t="inlineStr">
        <x:is>
          <x:t xml:space="preserve">R-SECTOR-BANKS → HARDENED: evidence thresholds hardened after 4 development exposures.</x:t>
        </x:is>
      </x:c>
      <x:c r="H94" s="71" t="inlineStr">
        <x:is>
          <x:t xml:space="preserve">Improves robustness under repeated Development stress without weakening a frozen fatal gate.</x:t>
        </x:is>
      </x:c>
      <x:c r="I94" s="71" t="inlineStr">
        <x:is>
          <x:t xml:space="preserve">Synthetic overfitting / threshold rigidity; must be challenged prospectively.</x:t>
        </x:is>
      </x:c>
      <x:c r="J94" s="71" t="inlineStr">
        <x:is>
          <x:t xml:space="preserve">Simulation-only. Freeze before empirical Validation; no Accuracy Points and no authorization effect.</x:t>
        </x:is>
      </x:c>
    </x:row>
    <x:row r="95">
      <x:c r="A95" s="57" t="inlineStr">
        <x:is>
          <x:t xml:space="preserve">CH-089</x:t>
        </x:is>
      </x:c>
      <x:c r="B95" s="71" t="inlineStr">
        <x:is>
          <x:t xml:space="preserve">V10.5-SIM81</x:t>
        </x:is>
      </x:c>
      <x:c r="C95" s="206" t="inlineStr">
        <x:is>
          <x:t xml:space="preserve">2026-08-31</x:t>
        </x:is>
      </x:c>
      <x:c r="D95" s="71" t="inlineStr">
        <x:is>
          <x:t xml:space="preserve">SIMULATION STANDARD — NOT EMPIRICALLY VALIDATED</x:t>
        </x:is>
      </x:c>
      <x:c r="E95" s="71" t="inlineStr">
        <x:is>
          <x:t xml:space="preserve">ML0839</x:t>
        </x:is>
      </x:c>
      <x:c r="F95" s="71" t="inlineStr">
        <x:is>
          <x:t xml:space="preserve">R-SECTOR-INSURANCE recurring failure pattern; stage promoted to HARDENED after 4 exposures.</x:t>
        </x:is>
      </x:c>
      <x:c r="G95" s="71" t="inlineStr">
        <x:is>
          <x:t xml:space="preserve">R-SECTOR-INSURANCE → HARDENED: evidence thresholds hardened after 4 development exposures.</x:t>
        </x:is>
      </x:c>
      <x:c r="H95" s="71" t="inlineStr">
        <x:is>
          <x:t xml:space="preserve">Improves robustness under repeated Development stress without weakening a frozen fatal gate.</x:t>
        </x:is>
      </x:c>
      <x:c r="I95" s="71" t="inlineStr">
        <x:is>
          <x:t xml:space="preserve">Synthetic overfitting / threshold rigidity; must be challenged prospectively.</x:t>
        </x:is>
      </x:c>
      <x:c r="J95" s="71" t="inlineStr">
        <x:is>
          <x:t xml:space="preserve">Simulation-only. Freeze before empirical Validation; no Accuracy Points and no authorization effect.</x:t>
        </x:is>
      </x:c>
    </x:row>
    <x:row r="96">
      <x:c r="A96" s="57" t="inlineStr">
        <x:is>
          <x:t xml:space="preserve">CH-090</x:t>
        </x:is>
      </x:c>
      <x:c r="B96" s="71" t="inlineStr">
        <x:is>
          <x:t xml:space="preserve">V10.5-SIM82</x:t>
        </x:is>
      </x:c>
      <x:c r="C96" s="206" t="inlineStr">
        <x:is>
          <x:t xml:space="preserve">2026-08-31</x:t>
        </x:is>
      </x:c>
      <x:c r="D96" s="71" t="inlineStr">
        <x:is>
          <x:t xml:space="preserve">SIMULATION STANDARD — NOT EMPIRICALLY VALIDATED</x:t>
        </x:is>
      </x:c>
      <x:c r="E96" s="71" t="inlineStr">
        <x:is>
          <x:t xml:space="preserve">ML0871</x:t>
        </x:is>
      </x:c>
      <x:c r="F96" s="71" t="inlineStr">
        <x:is>
          <x:t xml:space="preserve">R-SECTOR-CONSUMER recurring failure pattern; stage promoted to BASE after 2 exposures.</x:t>
        </x:is>
      </x:c>
      <x:c r="G96" s="71" t="inlineStr">
        <x:is>
          <x:t xml:space="preserve">R-SECTOR-CONSUMER → BASE: base rule accepted after 2 development exposures.</x:t>
        </x:is>
      </x:c>
      <x:c r="H96" s="71" t="inlineStr">
        <x:is>
          <x:t xml:space="preserve">Improves robustness under repeated Development stress without weakening a frozen fatal gate.</x:t>
        </x:is>
      </x:c>
      <x:c r="I96" s="71" t="inlineStr">
        <x:is>
          <x:t xml:space="preserve">Synthetic overfitting / threshold rigidity; must be challenged prospectively.</x:t>
        </x:is>
      </x:c>
      <x:c r="J96" s="71" t="inlineStr">
        <x:is>
          <x:t xml:space="preserve">Simulation-only. Freeze before empirical Validation; no Accuracy Points and no authorization effect.</x:t>
        </x:is>
      </x:c>
    </x:row>
    <x:row r="97">
      <x:c r="A97" s="57" t="inlineStr">
        <x:is>
          <x:t xml:space="preserve">CH-091</x:t>
        </x:is>
      </x:c>
      <x:c r="B97" s="71" t="inlineStr">
        <x:is>
          <x:t xml:space="preserve">V10.5-SIM83</x:t>
        </x:is>
      </x:c>
      <x:c r="C97" s="206" t="inlineStr">
        <x:is>
          <x:t xml:space="preserve">2026-08-31</x:t>
        </x:is>
      </x:c>
      <x:c r="D97" s="71" t="inlineStr">
        <x:is>
          <x:t xml:space="preserve">SIMULATION STANDARD — NOT EMPIRICALLY VALIDATED</x:t>
        </x:is>
      </x:c>
      <x:c r="E97" s="71" t="inlineStr">
        <x:is>
          <x:t xml:space="preserve">ML0963</x:t>
        </x:is>
      </x:c>
      <x:c r="F97" s="71" t="inlineStr">
        <x:is>
          <x:t xml:space="preserve">R-X-QUALITY-PRICE recurring failure pattern; stage promoted to INTERACTION STANDARD after 3 exposures.</x:t>
        </x:is>
      </x:c>
      <x:c r="G97" s="71" t="inlineStr">
        <x:is>
          <x:t xml:space="preserve">R-X-QUALITY-PRICE → INTERACTION STANDARD after 3 abstract cross-sector exposures.</x:t>
        </x:is>
      </x:c>
      <x:c r="H97" s="71" t="inlineStr">
        <x:is>
          <x:t xml:space="preserve">Improves robustness under repeated Development stress without weakening a frozen fatal gate.</x:t>
        </x:is>
      </x:c>
      <x:c r="I97" s="71" t="inlineStr">
        <x:is>
          <x:t xml:space="preserve">Synthetic overfitting / threshold rigidity; must be challenged prospectively.</x:t>
        </x:is>
      </x:c>
      <x:c r="J97" s="71" t="inlineStr">
        <x:is>
          <x:t xml:space="preserve">Simulation-only. Freeze before empirical Validation; no Accuracy Points and no authorization effect.</x:t>
        </x:is>
      </x:c>
    </x:row>
    <x:row r="98">
      <x:c r="A98" s="57" t="inlineStr">
        <x:is>
          <x:t xml:space="preserve">CH-092</x:t>
        </x:is>
      </x:c>
      <x:c r="B98" s="71" t="inlineStr">
        <x:is>
          <x:t xml:space="preserve">V10.5-SIM84</x:t>
        </x:is>
      </x:c>
      <x:c r="C98" s="206" t="inlineStr">
        <x:is>
          <x:t xml:space="preserve">2026-08-31</x:t>
        </x:is>
      </x:c>
      <x:c r="D98" s="71" t="inlineStr">
        <x:is>
          <x:t xml:space="preserve">SIMULATION STANDARD — NOT EMPIRICALLY VALIDATED</x:t>
        </x:is>
      </x:c>
      <x:c r="E98" s="71" t="inlineStr">
        <x:is>
          <x:t xml:space="preserve">ML0967</x:t>
        </x:is>
      </x:c>
      <x:c r="F98" s="71" t="inlineStr">
        <x:is>
          <x:t xml:space="preserve">R-X-GROWTH-DILUTION recurring failure pattern; stage promoted to INTERACTION STANDARD after 3 exposures.</x:t>
        </x:is>
      </x:c>
      <x:c r="G98" s="71" t="inlineStr">
        <x:is>
          <x:t xml:space="preserve">R-X-GROWTH-DILUTION → INTERACTION STANDARD after 3 abstract cross-sector exposures.</x:t>
        </x:is>
      </x:c>
      <x:c r="H98" s="71" t="inlineStr">
        <x:is>
          <x:t xml:space="preserve">Improves robustness under repeated Development stress without weakening a frozen fatal gate.</x:t>
        </x:is>
      </x:c>
      <x:c r="I98" s="71" t="inlineStr">
        <x:is>
          <x:t xml:space="preserve">Synthetic overfitting / threshold rigidity; must be challenged prospectively.</x:t>
        </x:is>
      </x:c>
      <x:c r="J98" s="71" t="inlineStr">
        <x:is>
          <x:t xml:space="preserve">Simulation-only. Freeze before empirical Validation; no Accuracy Points and no authorization effect.</x:t>
        </x:is>
      </x:c>
    </x:row>
    <x:row r="99">
      <x:c r="A99" s="57" t="inlineStr">
        <x:is>
          <x:t xml:space="preserve">CH-093</x:t>
        </x:is>
      </x:c>
      <x:c r="B99" s="71" t="inlineStr">
        <x:is>
          <x:t xml:space="preserve">V10.5-SIM85</x:t>
        </x:is>
      </x:c>
      <x:c r="C99" s="206" t="inlineStr">
        <x:is>
          <x:t xml:space="preserve">2026-08-31</x:t>
        </x:is>
      </x:c>
      <x:c r="D99" s="71" t="inlineStr">
        <x:is>
          <x:t xml:space="preserve">SIMULATION STANDARD — NOT EMPIRICALLY VALIDATED</x:t>
        </x:is>
      </x:c>
      <x:c r="E99" s="71" t="inlineStr">
        <x:is>
          <x:t xml:space="preserve">ML0971</x:t>
        </x:is>
      </x:c>
      <x:c r="F99" s="71" t="inlineStr">
        <x:is>
          <x:t xml:space="preserve">R-X-MA-ORGANIC recurring failure pattern; stage promoted to INTERACTION STANDARD after 3 exposures.</x:t>
        </x:is>
      </x:c>
      <x:c r="G99" s="71" t="inlineStr">
        <x:is>
          <x:t xml:space="preserve">R-X-MA-ORGANIC → INTERACTION STANDARD after 3 abstract cross-sector exposures.</x:t>
        </x:is>
      </x:c>
      <x:c r="H99" s="71" t="inlineStr">
        <x:is>
          <x:t xml:space="preserve">Improves robustness under repeated Development stress without weakening a frozen fatal gate.</x:t>
        </x:is>
      </x:c>
      <x:c r="I99" s="71" t="inlineStr">
        <x:is>
          <x:t xml:space="preserve">Synthetic overfitting / threshold rigidity; must be challenged prospectively.</x:t>
        </x:is>
      </x:c>
      <x:c r="J99" s="71" t="inlineStr">
        <x:is>
          <x:t xml:space="preserve">Simulation-only. Freeze before empirical Validation; no Accuracy Points and no authorization effect.</x:t>
        </x:is>
      </x:c>
    </x:row>
    <x:row r="100">
      <x:c r="A100" s="57" t="inlineStr">
        <x:is>
          <x:t xml:space="preserve">CH-094</x:t>
        </x:is>
      </x:c>
      <x:c r="B100" s="71" t="inlineStr">
        <x:is>
          <x:t xml:space="preserve">V10.5-SIM86</x:t>
        </x:is>
      </x:c>
      <x:c r="C100" s="206" t="inlineStr">
        <x:is>
          <x:t xml:space="preserve">2026-08-31</x:t>
        </x:is>
      </x:c>
      <x:c r="D100" s="71" t="inlineStr">
        <x:is>
          <x:t xml:space="preserve">SIMULATION STANDARD — NOT EMPIRICALLY VALIDATED</x:t>
        </x:is>
      </x:c>
      <x:c r="E100" s="71" t="inlineStr">
        <x:is>
          <x:t xml:space="preserve">ML0975</x:t>
        </x:is>
      </x:c>
      <x:c r="F100" s="71" t="inlineStr">
        <x:is>
          <x:t xml:space="preserve">R-X-CYCLE-LEVERAGE recurring failure pattern; stage promoted to INTERACTION STANDARD after 3 exposures.</x:t>
        </x:is>
      </x:c>
      <x:c r="G100" s="71" t="inlineStr">
        <x:is>
          <x:t xml:space="preserve">R-X-CYCLE-LEVERAGE → INTERACTION STANDARD after 3 abstract cross-sector exposures.</x:t>
        </x:is>
      </x:c>
      <x:c r="H100" s="71" t="inlineStr">
        <x:is>
          <x:t xml:space="preserve">Improves robustness under repeated Development stress without weakening a frozen fatal gate.</x:t>
        </x:is>
      </x:c>
      <x:c r="I100" s="71" t="inlineStr">
        <x:is>
          <x:t xml:space="preserve">Synthetic overfitting / threshold rigidity; must be challenged prospectively.</x:t>
        </x:is>
      </x:c>
      <x:c r="J100" s="71" t="inlineStr">
        <x:is>
          <x:t xml:space="preserve">Simulation-only. Freeze before empirical Validation; no Accuracy Points and no authorization effect.</x:t>
        </x:is>
      </x:c>
    </x:row>
    <x:row r="101">
      <x:c r="A101" s="57" t="inlineStr">
        <x:is>
          <x:t xml:space="preserve">CH-095</x:t>
        </x:is>
      </x:c>
      <x:c r="B101" s="71" t="inlineStr">
        <x:is>
          <x:t xml:space="preserve">V10.5-SIM87</x:t>
        </x:is>
      </x:c>
      <x:c r="C101" s="206" t="inlineStr">
        <x:is>
          <x:t xml:space="preserve">2026-08-31</x:t>
        </x:is>
      </x:c>
      <x:c r="D101" s="71" t="inlineStr">
        <x:is>
          <x:t xml:space="preserve">SIMULATION STANDARD — NOT EMPIRICALLY VALIDATED</x:t>
        </x:is>
      </x:c>
      <x:c r="E101" s="71" t="inlineStr">
        <x:is>
          <x:t xml:space="preserve">ML0979</x:t>
        </x:is>
      </x:c>
      <x:c r="F101" s="71" t="inlineStr">
        <x:is>
          <x:t xml:space="preserve">R-X-LUMPY-DEMAND recurring failure pattern; stage promoted to INTERACTION STANDARD after 3 exposures.</x:t>
        </x:is>
      </x:c>
      <x:c r="G101" s="71" t="inlineStr">
        <x:is>
          <x:t xml:space="preserve">R-X-LUMPY-DEMAND → INTERACTION STANDARD after 3 abstract cross-sector exposures.</x:t>
        </x:is>
      </x:c>
      <x:c r="H101" s="71" t="inlineStr">
        <x:is>
          <x:t xml:space="preserve">Improves robustness under repeated Development stress without weakening a frozen fatal gate.</x:t>
        </x:is>
      </x:c>
      <x:c r="I101" s="71" t="inlineStr">
        <x:is>
          <x:t xml:space="preserve">Synthetic overfitting / threshold rigidity; must be challenged prospectively.</x:t>
        </x:is>
      </x:c>
      <x:c r="J101" s="71" t="inlineStr">
        <x:is>
          <x:t xml:space="preserve">Simulation-only. Freeze before empirical Validation; no Accuracy Points and no authorization effect.</x:t>
        </x:is>
      </x:c>
    </x:row>
    <x:row r="102">
      <x:c r="A102" s="57" t="inlineStr">
        <x:is>
          <x:t xml:space="preserve">CH-096</x:t>
        </x:is>
      </x:c>
      <x:c r="B102" s="71" t="inlineStr">
        <x:is>
          <x:t xml:space="preserve">V10.5-SIM88</x:t>
        </x:is>
      </x:c>
      <x:c r="C102" s="206" t="inlineStr">
        <x:is>
          <x:t xml:space="preserve">2026-08-31</x:t>
        </x:is>
      </x:c>
      <x:c r="D102" s="71" t="inlineStr">
        <x:is>
          <x:t xml:space="preserve">SIMULATION STANDARD — NOT EMPIRICALLY VALIDATED</x:t>
        </x:is>
      </x:c>
      <x:c r="E102" s="71" t="inlineStr">
        <x:is>
          <x:t xml:space="preserve">ML0983</x:t>
        </x:is>
      </x:c>
      <x:c r="F102" s="71" t="inlineStr">
        <x:is>
          <x:t xml:space="preserve">R-X-ACCOUNTING-CASH recurring failure pattern; stage promoted to INTERACTION STANDARD after 3 exposures.</x:t>
        </x:is>
      </x:c>
      <x:c r="G102" s="71" t="inlineStr">
        <x:is>
          <x:t xml:space="preserve">R-X-ACCOUNTING-CASH → INTERACTION STANDARD after 3 abstract cross-sector exposures.</x:t>
        </x:is>
      </x:c>
      <x:c r="H102" s="71" t="inlineStr">
        <x:is>
          <x:t xml:space="preserve">Improves robustness under repeated Development stress without weakening a frozen fatal gate.</x:t>
        </x:is>
      </x:c>
      <x:c r="I102" s="71" t="inlineStr">
        <x:is>
          <x:t xml:space="preserve">Synthetic overfitting / threshold rigidity; must be challenged prospectively.</x:t>
        </x:is>
      </x:c>
      <x:c r="J102" s="71" t="inlineStr">
        <x:is>
          <x:t xml:space="preserve">Simulation-only. Freeze before empirical Validation; no Accuracy Points and no authorization effect.</x:t>
        </x:is>
      </x:c>
    </x:row>
    <x:row r="103">
      <x:c r="A103" s="57" t="inlineStr">
        <x:is>
          <x:t xml:space="preserve">CH-097</x:t>
        </x:is>
      </x:c>
      <x:c r="B103" s="71" t="inlineStr">
        <x:is>
          <x:t xml:space="preserve">V10.5-SIM89</x:t>
        </x:is>
      </x:c>
      <x:c r="C103" s="206" t="inlineStr">
        <x:is>
          <x:t xml:space="preserve">2026-08-31</x:t>
        </x:is>
      </x:c>
      <x:c r="D103" s="71" t="inlineStr">
        <x:is>
          <x:t xml:space="preserve">SIMULATION STANDARD — NOT EMPIRICALLY VALIDATED</x:t>
        </x:is>
      </x:c>
      <x:c r="E103" s="71" t="inlineStr">
        <x:is>
          <x:t xml:space="preserve">ML0987</x:t>
        </x:is>
      </x:c>
      <x:c r="F103" s="71" t="inlineStr">
        <x:is>
          <x:t xml:space="preserve">R-X-MOAT-CONCENTRATION recurring failure pattern; stage promoted to INTERACTION STANDARD after 3 exposures.</x:t>
        </x:is>
      </x:c>
      <x:c r="G103" s="71" t="inlineStr">
        <x:is>
          <x:t xml:space="preserve">R-X-MOAT-CONCENTRATION → INTERACTION STANDARD after 3 abstract cross-sector exposures.</x:t>
        </x:is>
      </x:c>
      <x:c r="H103" s="71" t="inlineStr">
        <x:is>
          <x:t xml:space="preserve">Improves robustness under repeated Development stress without weakening a frozen fatal gate.</x:t>
        </x:is>
      </x:c>
      <x:c r="I103" s="71" t="inlineStr">
        <x:is>
          <x:t xml:space="preserve">Synthetic overfitting / threshold rigidity; must be challenged prospectively.</x:t>
        </x:is>
      </x:c>
      <x:c r="J103" s="71" t="inlineStr">
        <x:is>
          <x:t xml:space="preserve">Simulation-only. Freeze before empirical Validation; no Accuracy Points and no authorization effect.</x:t>
        </x:is>
      </x:c>
    </x:row>
    <x:row r="104">
      <x:c r="A104" s="57" t="inlineStr">
        <x:is>
          <x:t xml:space="preserve">CH-098</x:t>
        </x:is>
      </x:c>
      <x:c r="B104" s="71" t="inlineStr">
        <x:is>
          <x:t xml:space="preserve">V10.5-SIM90</x:t>
        </x:is>
      </x:c>
      <x:c r="C104" s="206" t="inlineStr">
        <x:is>
          <x:t xml:space="preserve">2026-08-31</x:t>
        </x:is>
      </x:c>
      <x:c r="D104" s="71" t="inlineStr">
        <x:is>
          <x:t xml:space="preserve">SIMULATION STANDARD — NOT EMPIRICALLY VALIDATED</x:t>
        </x:is>
      </x:c>
      <x:c r="E104" s="71" t="inlineStr">
        <x:is>
          <x:t xml:space="preserve">ML0991</x:t>
        </x:is>
      </x:c>
      <x:c r="F104" s="71" t="inlineStr">
        <x:is>
          <x:t xml:space="preserve">R-X-GEO-SURVIVAL recurring failure pattern; stage promoted to INTERACTION STANDARD after 3 exposures.</x:t>
        </x:is>
      </x:c>
      <x:c r="G104" s="71" t="inlineStr">
        <x:is>
          <x:t xml:space="preserve">R-X-GEO-SURVIVAL → INTERACTION STANDARD after 3 abstract cross-sector exposures.</x:t>
        </x:is>
      </x:c>
      <x:c r="H104" s="71" t="inlineStr">
        <x:is>
          <x:t xml:space="preserve">Improves robustness under repeated Development stress without weakening a frozen fatal gate.</x:t>
        </x:is>
      </x:c>
      <x:c r="I104" s="71" t="inlineStr">
        <x:is>
          <x:t xml:space="preserve">Synthetic overfitting / threshold rigidity; must be challenged prospectively.</x:t>
        </x:is>
      </x:c>
      <x:c r="J104" s="71" t="inlineStr">
        <x:is>
          <x:t xml:space="preserve">Simulation-only. Freeze before empirical Validation; no Accuracy Points and no authorization effect.</x:t>
        </x:is>
      </x:c>
    </x:row>
    <x:row r="105">
      <x:c r="A105" s="57" t="inlineStr">
        <x:is>
          <x:t xml:space="preserve">CH-099</x:t>
        </x:is>
      </x:c>
      <x:c r="B105" s="71" t="inlineStr">
        <x:is>
          <x:t xml:space="preserve">V10.5-SIM91</x:t>
        </x:is>
      </x:c>
      <x:c r="C105" s="206" t="inlineStr">
        <x:is>
          <x:t xml:space="preserve">2026-08-31</x:t>
        </x:is>
      </x:c>
      <x:c r="D105" s="71" t="inlineStr">
        <x:is>
          <x:t xml:space="preserve">SIMULATION STANDARD — NOT EMPIRICALLY VALIDATED</x:t>
        </x:is>
      </x:c>
      <x:c r="E105" s="71" t="inlineStr">
        <x:is>
          <x:t xml:space="preserve">ML0995</x:t>
        </x:is>
      </x:c>
      <x:c r="F105" s="71" t="inlineStr">
        <x:is>
          <x:t xml:space="preserve">R-X-BACKLOG-WC recurring failure pattern; stage promoted to INTERACTION STANDARD after 3 exposures.</x:t>
        </x:is>
      </x:c>
      <x:c r="G105" s="71" t="inlineStr">
        <x:is>
          <x:t xml:space="preserve">R-X-BACKLOG-WC → INTERACTION STANDARD after 3 abstract cross-sector exposures.</x:t>
        </x:is>
      </x:c>
      <x:c r="H105" s="71" t="inlineStr">
        <x:is>
          <x:t xml:space="preserve">Improves robustness under repeated Development stress without weakening a frozen fatal gate.</x:t>
        </x:is>
      </x:c>
      <x:c r="I105" s="71" t="inlineStr">
        <x:is>
          <x:t xml:space="preserve">Synthetic overfitting / threshold rigidity; must be challenged prospectively.</x:t>
        </x:is>
      </x:c>
      <x:c r="J105" s="71" t="inlineStr">
        <x:is>
          <x:t xml:space="preserve">Simulation-only. Freeze before empirical Validation; no Accuracy Points and no authorization effect.</x:t>
        </x:is>
      </x:c>
    </x:row>
    <x:row r="106">
      <x:c r="A106" s="57" t="inlineStr">
        <x:is>
          <x:t xml:space="preserve">CH-100</x:t>
        </x:is>
      </x:c>
      <x:c r="B106" s="71" t="inlineStr">
        <x:is>
          <x:t xml:space="preserve">V10.5-SIM92</x:t>
        </x:is>
      </x:c>
      <x:c r="C106" s="206" t="inlineStr">
        <x:is>
          <x:t xml:space="preserve">2026-08-31</x:t>
        </x:is>
      </x:c>
      <x:c r="D106" s="71" t="inlineStr">
        <x:is>
          <x:t xml:space="preserve">SIMULATION STANDARD — NOT EMPIRICALLY VALIDATED</x:t>
        </x:is>
      </x:c>
      <x:c r="E106" s="71" t="inlineStr">
        <x:is>
          <x:t xml:space="preserve">ML0999</x:t>
        </x:is>
      </x:c>
      <x:c r="F106" s="71" t="inlineStr">
        <x:is>
          <x:t xml:space="preserve">R-X-CAPEX-OE recurring failure pattern; stage promoted to INTERACTION STANDARD after 3 exposures.</x:t>
        </x:is>
      </x:c>
      <x:c r="G106" s="71" t="inlineStr">
        <x:is>
          <x:t xml:space="preserve">R-X-CAPEX-OE → INTERACTION STANDARD after 3 abstract cross-sector exposures.</x:t>
        </x:is>
      </x:c>
      <x:c r="H106" s="71" t="inlineStr">
        <x:is>
          <x:t xml:space="preserve">Improves robustness under repeated Development stress without weakening a frozen fatal gate.</x:t>
        </x:is>
      </x:c>
      <x:c r="I106" s="71" t="inlineStr">
        <x:is>
          <x:t xml:space="preserve">Synthetic overfitting / threshold rigidity; must be challenged prospectively.</x:t>
        </x:is>
      </x:c>
      <x:c r="J106" s="71" t="inlineStr">
        <x:is>
          <x:t xml:space="preserve">Simulation-only. Freeze before empirical Validation; no Accuracy Points and no authorization effect.</x:t>
        </x:is>
      </x:c>
    </x:row>
    <x:row r="107">
      <x:c r="A107" s="57" t="inlineStr">
        <x:is>
          <x:t xml:space="preserve">CH-101</x:t>
        </x:is>
      </x:c>
      <x:c r="B107" s="71" t="n"/>
      <x:c r="C107" s="206" t="n"/>
      <x:c r="D107" s="71" t="inlineStr">
        <x:is>
          <x:t xml:space="preserve">PROPOSED</x:t>
        </x:is>
      </x:c>
      <x:c r="E107" s="71" t="n"/>
      <x:c r="F107" s="71" t="n"/>
      <x:c r="G107" s="71" t="n"/>
      <x:c r="H107" s="71" t="n"/>
      <x:c r="I107" s="71" t="n"/>
      <x:c r="J107" s="71" t="n"/>
    </x:row>
    <x:row r="108">
      <x:c r="A108" s="57" t="inlineStr">
        <x:is>
          <x:t xml:space="preserve">CH-102</x:t>
        </x:is>
      </x:c>
      <x:c r="B108" s="71" t="n"/>
      <x:c r="C108" s="206" t="n"/>
      <x:c r="D108" s="71" t="inlineStr">
        <x:is>
          <x:t xml:space="preserve">PROPOSED</x:t>
        </x:is>
      </x:c>
      <x:c r="E108" s="71" t="n"/>
      <x:c r="F108" s="71" t="n"/>
      <x:c r="G108" s="71" t="n"/>
      <x:c r="H108" s="71" t="n"/>
      <x:c r="I108" s="71" t="n"/>
      <x:c r="J108" s="71" t="n"/>
    </x:row>
    <x:row r="109">
      <x:c r="A109" s="58" t="inlineStr">
        <x:is>
          <x:t xml:space="preserve">CH-103</x:t>
        </x:is>
      </x:c>
      <x:c r="B109" s="73" t="n"/>
      <x:c r="C109" s="207" t="n"/>
      <x:c r="D109" s="73" t="inlineStr">
        <x:is>
          <x:t xml:space="preserve">PROPOSED</x:t>
        </x:is>
      </x:c>
      <x:c r="E109" s="73" t="n"/>
      <x:c r="F109" s="73" t="n"/>
      <x:c r="G109" s="73" t="n"/>
      <x:c r="H109" s="73" t="n"/>
      <x:c r="I109" s="73" t="n"/>
      <x:c r="J109" s="73" t="n"/>
    </x:row>
    <x:row r="110" ht="64" customHeight="1">
      <x:c r="A110" s="278" t="str">
        <x:v>CH-104</x:v>
      </x:c>
      <x:c r="B110" s="278" t="str">
        <x:v>V10.28</x:v>
      </x:c>
      <x:c r="C110" s="281" t="n">
        <x:v>46267</x:v>
      </x:c>
      <x:c r="D110" s="278" t="str">
        <x:v>IMPLEMENTATION ONLY</x:v>
      </x:c>
      <x:c r="E110" s="278" t="str">
        <x:v>100-company expansion</x:v>
      </x:c>
      <x:c r="F110" s="278" t="str">
        <x:v>Coverage breadth without readiness could create false certainty</x:v>
      </x:c>
      <x:c r="G110" s="278" t="str">
        <x:v>Added 12-gate owner matrix and fail-closed evidence routing</x:v>
      </x:c>
      <x:c r="H110" s="278" t="str">
        <x:v>Broader opportunity set without recommendation promotion</x:v>
      </x:c>
      <x:c r="I110" s="278" t="str">
        <x:v>Research workload and false-completeness risk</x:v>
      </x:c>
      <x:c r="J110" s="278" t="str">
        <x:v>No automatic BUY upgrades; V10.25 frozen</x:v>
      </x:c>
    </x:row>
    <x:row r="111" ht="64" customHeight="1">
      <x:c r="A111" s="279" t="str">
        <x:v>CH-105</x:v>
      </x:c>
      <x:c r="B111" s="279" t="str">
        <x:v>V10.29</x:v>
      </x:c>
      <x:c r="C111" s="282" t="n">
        <x:v>46267</x:v>
      </x:c>
      <x:c r="D111" s="279" t="str">
        <x:v>SHADOW RESEARCH</x:v>
      </x:c>
      <x:c r="E111" s="279" t="str">
        <x:v>17-company P1 deep review</x:v>
      </x:c>
      <x:c r="F111" s="279" t="str">
        <x:v>A correct fundamental thesis can still lose through policy, timing or position structure</x:v>
      </x:c>
      <x:c r="G111" s="279" t="str">
        <x:v>Added current T1/T2/PIT, three passes, contradiction log and three Dalio paths per company</x:v>
      </x:c>
      <x:c r="H111" s="279" t="str">
        <x:v>Blocks or caps conviction before action</x:v>
      </x:c>
      <x:c r="I111" s="279" t="str">
        <x:v>Fresh but incomplete evidence may invite overconfidence</x:v>
      </x:c>
      <x:c r="J111" s="279" t="str">
        <x:v>10 blocked, 7 WATCH-capped; three UNKNOWN gates retained; no frozen-state rewrite</x:v>
      </x:c>
    </x:row>
    <x:row r="112" ht="64" customHeight="1">
      <x:c r="A112" s="280" t="str">
        <x:v>CH-106</x:v>
      </x:c>
      <x:c r="B112" s="280" t="str">
        <x:v>V10.30</x:v>
      </x:c>
      <x:c r="C112" s="283" t="n">
        <x:v>46267</x:v>
      </x:c>
      <x:c r="D112" s="280" t="str">
        <x:v>SHADOW RESEARCH</x:v>
      </x:c>
      <x:c r="E112" s="280" t="str">
        <x:v>15-company P2-A deep review</x:v>
      </x:c>
      <x:c r="F112" s="280" t="str">
        <x:v>AI and power narratives can hide weak owner cash or absent price discipline</x:v>
      </x:c>
      <x:c r="G112" s="280" t="str">
        <x:v>Added 180 owner gates, 45 Dalio loss paths and four platform capital-funding tests</x:v>
      </x:c>
      <x:c r="H112" s="280" t="str">
        <x:v>Separates excellent businesses from acceptable investments</x:v>
      </x:c>
      <x:c r="I112" s="280" t="str">
        <x:v>Fast-changing capex, funding and valuation inputs</x:v>
      </x:c>
      <x:c r="J112" s="280" t="str">
        <x:v>10 blocked, 5 WATCH-capped; one UNKNOWN retained; V10.25 frozen</x:v>
      </x:c>
    </x:row>
    <x:row r="113" ht="64" customHeight="1">
      <x:c r="A113" s="352" t="str">
        <x:v>CH-107</x:v>
      </x:c>
      <x:c r="B113" s="352" t="str">
        <x:v>V10.31</x:v>
      </x:c>
      <x:c r="C113" s="353" t="n">
        <x:v>46267</x:v>
      </x:c>
      <x:c r="D113" s="352" t="str">
        <x:v>SHADOW RESEARCH</x:v>
      </x:c>
      <x:c r="E113" s="352" t="str">
        <x:v>15-company P2-B cross-sector review</x:v>
      </x:c>
      <x:c r="F113" s="352" t="str">
        <x:v>Wonderful-company narratives can erase price, cycle and capital-allocation discipline</x:v>
      </x:c>
      <x:c r="G113" s="352" t="str">
        <x:v>Added 180 gates, 45 Dalio paths and T1/T2/PIT for semis, grid, financials, health, consumer and industrials</x:v>
      </x:c>
      <x:c r="H113" s="352" t="str">
        <x:v>Broader cross-sector calibration separates franchise quality from investment readiness</x:v>
      </x:c>
      <x:c r="I113" s="352" t="str">
        <x:v>Mixed reporting cycles and fast-changing valuation inputs require scheduled refresh</x:v>
      </x:c>
      <x:c r="J113" s="352" t="str">
        <x:v>8 blocked, 7 WATCH-capped; zero UNKNOWN gates; V10.25 frozen</x:v>
      </x:c>
    </x:row>
    <x:row r="114" ht="64" customHeight="1">
      <x:c r="A114" s="400" t="str">
        <x:v>CH-108</x:v>
      </x:c>
      <x:c r="B114" s="400" t="str">
        <x:v>V10.32</x:v>
      </x:c>
      <x:c r="C114" s="401" t="n">
        <x:v>46267</x:v>
      </x:c>
      <x:c r="D114" s="400" t="str">
        <x:v>SHADOW RESEARCH</x:v>
      </x:c>
      <x:c r="E114" s="400" t="str">
        <x:v>Final 20-company P2-C cross-sector review</x:v>
      </x:c>
      <x:c r="F114" s="400" t="str">
        <x:v>Record earnings, benign losses and commodity spikes can masquerade as durable owner economics</x:v>
      </x:c>
      <x:c r="G114" s="400" t="str">
        <x:v>Completed all 50 P2 reviews; added 240 gates, 60 Dalio paths and T1/T2/PIT for the final batch</x:v>
      </x:c>
      <x:c r="H114" s="400" t="str">
        <x:v>P2 is now complete; only P3 remains unvalidated in the 100-company universe</x:v>
      </x:c>
      <x:c r="I114" s="400" t="str">
        <x:v>Prices, reporting cycles and macro regimes remain dynamic and require scheduled refresh</x:v>
      </x:c>
      <x:c r="J114" s="400" t="str">
        <x:v>5 blocked, 15 WATCH-capped; zero UNKNOWN gates; V10.25 frozen</x:v>
      </x:c>
    </x:row>
    <x:row r="115" ht="72" customHeight="1">
      <x:c r="A115" s="534" t="str">
        <x:v>CH-109</x:v>
      </x:c>
      <x:c r="B115" s="535" t="str">
        <x:v>V10.33</x:v>
      </x:c>
      <x:c r="C115" s="536" t="n">
        <x:v>46268</x:v>
      </x:c>
      <x:c r="D115" s="535" t="str">
        <x:v>SHADOW EVENT REVIEW</x:v>
      </x:c>
      <x:c r="E115" s="535" t="str">
        <x:v>Eight-name AI-infrastructure dislocation</x:v>
      </x:c>
      <x:c r="F115" s="535" t="str">
        <x:v>Real demand plus a large drawdown can be mistaken for cheapness while owner-economics, concentration and valuation burdens remain.</x:v>
      </x:c>
      <x:c r="G115" s="535" t="str">
        <x:v>Added an AI-chain signal sheet with current T1/PIT evidence, three passes, contradictions and 24 Dalio loss paths; drawdown is explicitly an observation, not a valuation.</x:v>
      </x:c>
      <x:c r="H115" s="535" t="str">
        <x:v>Separates demand proof from security attractiveness and prioritizes the least extreme next underwriting target.</x:v>
      </x:c>
      <x:c r="I115" s="535" t="str">
        <x:v>Current prices, customer mix and financing conditions can change quickly; five names are outside the core 100.</x:v>
      </x:c>
      <x:c r="J115" s="537" t="str">
        <x:v>0 READY; 2 WATCH-capped; 6 blocked. CLS becomes the next zero-based research priority; V10.25 remains frozen.</x:v>
      </x:c>
    </x:row>
    <x:row r="116" ht="72" customHeight="1">
      <x:c r="A116" s="618" t="str">
        <x:v>CH-110</x:v>
      </x:c>
      <x:c r="B116" s="619" t="str">
        <x:v>V10.33</x:v>
      </x:c>
      <x:c r="C116" s="620" t="n">
        <x:v>46268.338275462964</x:v>
      </x:c>
      <x:c r="D116" s="619" t="str">
        <x:v>DAILY DATA REFRESH</x:v>
      </x:c>
      <x:c r="E116" s="619" t="str">
        <x:v>Eight-name point-in-time price reconciliation</x:v>
      </x:c>
      <x:c r="F116" s="619" t="str">
        <x:v>A repeated quote is still an observable control result; it must not be confused with a failed refresh.</x:v>
      </x:c>
      <x:c r="G116" s="619" t="str">
        <x:v>Added Daily Price Log with run timestamps, prior-PIT comparisons, formula-driven deltas and sources; refreshed all eight AI-chain price cells.</x:v>
      </x:c>
      <x:c r="H116" s="619" t="str">
        <x:v>Creates an auditable append-only path for the recurring 08:00 Israel ARGUS Daily Update.</x:v>
      </x:c>
      <x:c r="I116" s="619" t="str">
        <x:v>Pre-market and delayed quotes can remain unchanged; quote time is preserved separately from run time.</x:v>
      </x:c>
      <x:c r="J116" s="621" t="str">
        <x:v>8 checked; 0 new trades; 0 decision changes; V10.25 remains frozen.</x:v>
      </x:c>
    </x:row>
  </x:sheetData>
  <x:mergeCells>
    <x:mergeCell ref="A1:J1"/>
    <x:mergeCell ref="A2:J2"/>
  </x:mergeCells>
  <x:dataValidations count="1">
    <x:dataValidation type="list" allowBlank="0" showDropDown="0" showInputMessage="0" showErrorMessage="0" sqref="D6:D109">
      <x:formula1>"PROPOSED,TESTING,ACCEPTED,REJECTED,FROZEN BASELINE,IMPLEMENTATION ONLY,Historical"</x:formula1>
    </x:dataValidation>
  </x:dataValidations>
  <x:pageMargins left="0.7" right="0.7" top="0.75" bottom="0.75" header="0.3" footer="0.3"/>
  <x:tableParts count="1">
    <x:tablePart xmlns:r="http://schemas.openxmlformats.org/officeDocument/2006/relationships" r:id="R6c687df39de74f4e"/>
  </x:tableParts>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14.4399995803833" style="139" customWidth="1"/>
    <x:col min="2" max="2" width="28.889999389648438" style="139" customWidth="1"/>
    <x:col min="3" max="3" width="28.889999389648438" style="139" customWidth="1"/>
    <x:col min="4" max="4" width="25.559999465942383" style="139" customWidth="1"/>
    <x:col min="5" max="5" width="25.559999465942383" style="139" customWidth="1"/>
    <x:col min="6" max="6" width="16.670000076293945" style="139" customWidth="1"/>
    <x:col min="7" max="7" width="22.219999313354492" style="139" customWidth="1"/>
    <x:col min="8" max="8" width="22.219999313354492" style="139" customWidth="1"/>
    <x:col min="9" max="9" width="14.4399995803833" style="139" customWidth="1"/>
    <x:col min="10" max="10" width="24.440000534057617" style="139" customWidth="1"/>
  </x:cols>
  <x:sheetData>
    <x:row r="1" s="139" customFormat="1" ht="34" customHeight="1">
      <x:c r="A1" s="112" t="inlineStr">
        <x:is>
          <x:t xml:space="preserve">ARGUS V10 Rules, Gates and Failure Taxonomy</x:t>
        </x:is>
      </x:c>
    </x:row>
    <x:row r="2" s="139" customFormat="1" ht="28" customHeight="1">
      <x:c r="A2" s="113" t="inlineStr">
        <x:is>
          <x:t xml:space="preserve">V10 is frozen; this workbook expands coverage and validation design without changing the six fatal gates.</x:t>
        </x:is>
      </x:c>
    </x:row>
    <x:row r="3">
      <x:c r="A3" s="114" t="n"/>
      <x:c r="B3" s="114" t="n"/>
      <x:c r="C3" s="114" t="n"/>
      <x:c r="D3" s="114" t="n"/>
      <x:c r="E3" s="114" t="n"/>
      <x:c r="F3" s="114" t="n"/>
      <x:c r="G3" s="114" t="n"/>
      <x:c r="H3" s="114" t="n"/>
      <x:c r="I3" s="114" t="n"/>
      <x:c r="J3" s="114" t="n"/>
    </x:row>
    <x:row r="4">
      <x:c r="A4" s="114" t="n"/>
      <x:c r="B4" s="114" t="n"/>
      <x:c r="C4" s="114" t="n"/>
      <x:c r="D4" s="114" t="n"/>
      <x:c r="E4" s="114" t="n"/>
      <x:c r="F4" s="114" t="n"/>
      <x:c r="G4" s="114" t="n"/>
      <x:c r="H4" s="114" t="n"/>
      <x:c r="I4" s="114" t="n"/>
      <x:c r="J4" s="114" t="n"/>
    </x:row>
    <x:row r="5" s="139" customFormat="1" ht="30" customHeight="1">
      <x:c r="A5" s="116" t="inlineStr">
        <x:is>
          <x:t xml:space="preserve">Fatal Gate</x:t>
        </x:is>
      </x:c>
      <x:c r="B5" s="116" t="inlineStr">
        <x:is>
          <x:t xml:space="preserve">Pass Standard</x:t>
        </x:is>
      </x:c>
      <x:c r="C5" s="116" t="inlineStr">
        <x:is>
          <x:t xml:space="preserve">Fail Standard</x:t>
        </x:is>
      </x:c>
      <x:c r="D5" s="116" t="inlineStr">
        <x:is>
          <x:t xml:space="preserve">Minimum Evidence</x:t>
        </x:is>
      </x:c>
      <x:c r="E5" s="116" t="inlineStr">
        <x:is>
          <x:t xml:space="preserve">Counter-Evidence Required</x:t>
        </x:is>
      </x:c>
      <x:c r="F5" s="116" t="inlineStr">
        <x:is>
          <x:t xml:space="preserve">Effect</x:t>
        </x:is>
      </x:c>
      <x:c r="G5" s="114" t="n"/>
      <x:c r="H5" s="114" t="n"/>
      <x:c r="I5" s="114" t="n"/>
      <x:c r="J5" s="114" t="n"/>
    </x:row>
    <x:row r="6">
      <x:c r="A6" s="56" t="inlineStr">
        <x:is>
          <x:t xml:space="preserve">Understanding</x:t>
        </x:is>
      </x:c>
      <x:c r="B6" s="56" t="inlineStr">
        <x:is>
          <x:t xml:space="preserve">Can explain customer job, ROI and replacement economics</x:t>
        </x:is>
      </x:c>
      <x:c r="C6" s="56" t="inlineStr">
        <x:is>
          <x:t xml:space="preserve">Cannot explain why customer pays/stays</x:t>
        </x:is>
      </x:c>
      <x:c r="D6" s="56" t="inlineStr">
        <x:is>
          <x:t xml:space="preserve">Primary product/customer evidence + control</x:t>
        </x:is>
      </x:c>
      <x:c r="E6" s="56" t="inlineStr">
        <x:is>
          <x:t xml:space="preserve">Best substitution case</x:t>
        </x:is>
      </x:c>
      <x:c r="F6" s="56" t="inlineStr">
        <x:is>
          <x:t xml:space="preserve">FAIL/critical UNKNOWN blocks</x:t>
        </x:is>
      </x:c>
      <x:c r="G6" s="114" t="n"/>
      <x:c r="H6" s="114" t="n"/>
      <x:c r="I6" s="114" t="n"/>
      <x:c r="J6" s="114" t="n"/>
    </x:row>
    <x:row r="7">
      <x:c r="A7" s="57" t="inlineStr">
        <x:is>
          <x:t xml:space="preserve">Owner Earnings</x:t>
        </x:is>
      </x:c>
      <x:c r="B7" s="57" t="inlineStr">
        <x:is>
          <x:t xml:space="preserve">GAAP-to-economic-owner-cash bridge is explicit</x:t>
        </x:is>
      </x:c>
      <x:c r="C7" s="57" t="inlineStr">
        <x:is>
          <x:t xml:space="preserve">FCF relies on omitted recurring economic costs</x:t>
        </x:is>
      </x:c>
      <x:c r="D7" s="57" t="inlineStr">
        <x:is>
          <x:t xml:space="preserve">Filings + maintenance investment logic</x:t>
        </x:is>
      </x:c>
      <x:c r="E7" s="57" t="inlineStr">
        <x:is>
          <x:t xml:space="preserve">Alternative capitalization/expense case</x:t>
        </x:is>
      </x:c>
      <x:c r="F7" s="57" t="inlineStr">
        <x:is>
          <x:t xml:space="preserve">FAIL/critical UNKNOWN blocks</x:t>
        </x:is>
      </x:c>
      <x:c r="G7" s="114" t="n"/>
      <x:c r="H7" s="114" t="n"/>
      <x:c r="I7" s="114" t="n"/>
      <x:c r="J7" s="114" t="n"/>
    </x:row>
    <x:row r="8">
      <x:c r="A8" s="57" t="inlineStr">
        <x:is>
          <x:t xml:space="preserve">Moat 2036</x:t>
        </x:is>
      </x:c>
      <x:c r="B8" s="57" t="inlineStr">
        <x:is>
          <x:t xml:space="preserve">Telemetry supports durable replacement friction/pricing</x:t>
        </x:is>
      </x:c>
      <x:c r="C8" s="57" t="inlineStr">
        <x:is>
          <x:t xml:space="preserve">No mechanism survives technology/competition</x:t>
        </x:is>
      </x:c>
      <x:c r="D8" s="57" t="inlineStr">
        <x:is>
          <x:t xml:space="preserve">Retention/pricing/usage/win-loss proxies</x:t>
        </x:is>
      </x:c>
      <x:c r="E8" s="57" t="inlineStr">
        <x:is>
          <x:t xml:space="preserve">Best competitor and migration evidence</x:t>
        </x:is>
      </x:c>
      <x:c r="F8" s="57" t="inlineStr">
        <x:is>
          <x:t xml:space="preserve">FAIL/critical UNKNOWN blocks</x:t>
        </x:is>
      </x:c>
      <x:c r="G8" s="114" t="n"/>
      <x:c r="H8" s="114" t="n"/>
      <x:c r="I8" s="114" t="n"/>
      <x:c r="J8" s="114" t="n"/>
    </x:row>
    <x:row r="9">
      <x:c r="A9" s="57" t="inlineStr">
        <x:is>
          <x:t xml:space="preserve">Stewardship</x:t>
        </x:is>
      </x:c>
      <x:c r="B9" s="57" t="inlineStr">
        <x:is>
          <x:t xml:space="preserve">Retained dollars create value after all costs</x:t>
        </x:is>
      </x:c>
      <x:c r="C9" s="57" t="inlineStr">
        <x:is>
          <x:t xml:space="preserve">M&amp;A/dilution/leverage destroys owner value</x:t>
        </x:is>
      </x:c>
      <x:c r="D9" s="57" t="inlineStr">
        <x:is>
          <x:t xml:space="preserve">Allocation cohorts + promises ledger</x:t>
        </x:is>
      </x:c>
      <x:c r="E9" s="57" t="inlineStr">
        <x:is>
          <x:t xml:space="preserve">Management's strongest defense</x:t>
        </x:is>
      </x:c>
      <x:c r="F9" s="57" t="inlineStr">
        <x:is>
          <x:t xml:space="preserve">FAIL blocks long-term ownership</x:t>
        </x:is>
      </x:c>
      <x:c r="G9" s="114" t="n"/>
      <x:c r="H9" s="114" t="n"/>
      <x:c r="I9" s="114" t="n"/>
      <x:c r="J9" s="114" t="n"/>
    </x:row>
    <x:row r="10">
      <x:c r="A10" s="57" t="inlineStr">
        <x:is>
          <x:t xml:space="preserve">Survival</x:t>
        </x:is>
      </x:c>
      <x:c r="B10" s="57" t="inlineStr">
        <x:is>
          <x:t xml:space="preserve">Balance sheet/funding withstands bear case</x:t>
        </x:is>
      </x:c>
      <x:c r="C10" s="57" t="inlineStr">
        <x:is>
          <x:t xml:space="preserve">Equity can be impaired by leverage/funding/operations</x:t>
        </x:is>
      </x:c>
      <x:c r="D10" s="57" t="inlineStr">
        <x:is>
          <x:t xml:space="preserve">Debt, maturities, liquidity, dilution</x:t>
        </x:is>
      </x:c>
      <x:c r="E10" s="57" t="inlineStr">
        <x:is>
          <x:t xml:space="preserve">Severe but plausible stress</x:t>
        </x:is>
      </x:c>
      <x:c r="F10" s="57" t="inlineStr">
        <x:is>
          <x:t xml:space="preserve">FAIL blocks</x:t>
        </x:is>
      </x:c>
      <x:c r="G10" s="114" t="n"/>
      <x:c r="H10" s="114" t="n"/>
      <x:c r="I10" s="114" t="n"/>
      <x:c r="J10" s="114" t="n"/>
    </x:row>
    <x:row r="11">
      <x:c r="A11" s="58" t="inlineStr">
        <x:is>
          <x:t xml:space="preserve">Margin of Safety</x:t>
        </x:is>
      </x:c>
      <x:c r="B11" s="58" t="inlineStr">
        <x:is>
          <x:t xml:space="preserve">Base/bear economics support price</x:t>
        </x:is>
      </x:c>
      <x:c r="C11" s="58" t="inlineStr">
        <x:is>
          <x:t xml:space="preserve">Price requires bull case or fragile assumptions</x:t>
        </x:is>
      </x:c>
      <x:c r="D11" s="58" t="inlineStr">
        <x:is>
          <x:t xml:space="preserve">IV range + reverse valuation</x:t>
        </x:is>
      </x:c>
      <x:c r="E11" s="58" t="inlineStr">
        <x:is>
          <x:t xml:space="preserve">Lower growth/margin/multiple</x:t>
        </x:is>
      </x:c>
      <x:c r="F11" s="58" t="inlineStr">
        <x:is>
          <x:t xml:space="preserve">FAIL means WAIT FOR PRICE</x:t>
        </x:is>
      </x:c>
      <x:c r="G11" s="114" t="n"/>
      <x:c r="H11" s="114" t="n"/>
      <x:c r="I11" s="114" t="n"/>
      <x:c r="J11" s="114" t="n"/>
    </x:row>
    <x:row r="12">
      <x:c r="A12" s="114" t="n"/>
      <x:c r="B12" s="114" t="n"/>
      <x:c r="C12" s="114" t="n"/>
      <x:c r="D12" s="114" t="n"/>
      <x:c r="E12" s="114" t="n"/>
      <x:c r="F12" s="114" t="n"/>
      <x:c r="G12" s="114" t="n"/>
      <x:c r="H12" s="114" t="n"/>
      <x:c r="I12" s="114" t="n"/>
      <x:c r="J12" s="114" t="n"/>
    </x:row>
    <x:row r="13">
      <x:c r="A13" s="114" t="n"/>
      <x:c r="B13" s="114" t="n"/>
      <x:c r="C13" s="114" t="n"/>
      <x:c r="D13" s="114" t="n"/>
      <x:c r="E13" s="114" t="n"/>
      <x:c r="F13" s="114" t="n"/>
      <x:c r="G13" s="114" t="n"/>
      <x:c r="H13" s="114" t="n"/>
      <x:c r="I13" s="114" t="n"/>
      <x:c r="J13" s="114" t="n"/>
    </x:row>
    <x:row r="14" s="139" customFormat="1" ht="30" customHeight="1">
      <x:c r="A14" s="116" t="inlineStr">
        <x:is>
          <x:t xml:space="preserve">Classification</x:t>
        </x:is>
      </x:c>
      <x:c r="B14" s="116" t="inlineStr">
        <x:is>
          <x:t xml:space="preserve">Meaning</x:t>
        </x:is>
      </x:c>
      <x:c r="C14" s="116" t="inlineStr">
        <x:is>
          <x:t xml:space="preserve">Typical Action</x:t>
        </x:is>
      </x:c>
      <x:c r="D14" s="116" t="inlineStr">
        <x:is>
          <x:t xml:space="preserve">Revisit Trigger</x:t>
        </x:is>
      </x:c>
      <x:c r="E14" s="114" t="n"/>
      <x:c r="F14" s="116" t="inlineStr">
        <x:is>
          <x:t xml:space="preserve">Phase</x:t>
        </x:is>
      </x:c>
      <x:c r="G14" s="116" t="inlineStr">
        <x:is>
          <x:t xml:space="preserve">Cycles</x:t>
        </x:is>
      </x:c>
      <x:c r="H14" s="116" t="inlineStr">
        <x:is>
          <x:t xml:space="preserve">May Learn?</x:t>
        </x:is>
      </x:c>
      <x:c r="I14" s="116" t="inlineStr">
        <x:is>
          <x:t xml:space="preserve">May Change Rules?</x:t>
        </x:is>
      </x:c>
      <x:c r="J14" s="116" t="inlineStr">
        <x:is>
          <x:t xml:space="preserve">Purpose</x:t>
        </x:is>
      </x:c>
    </x:row>
    <x:row r="15">
      <x:c r="A15" s="56" t="inlineStr">
        <x:is>
          <x:t xml:space="preserve">Star</x:t>
        </x:is>
      </x:c>
      <x:c r="B15" s="56" t="inlineStr">
        <x:is>
          <x:t xml:space="preserve">High-quality owner economics, moat, stewardship and price</x:t>
        </x:is>
      </x:c>
      <x:c r="C15" s="56" t="inlineStr">
        <x:is>
          <x:t xml:space="preserve">Deep dive / meeting grade</x:t>
        </x:is>
      </x:c>
      <x:c r="D15" s="56" t="inlineStr">
        <x:is>
          <x:t xml:space="preserve">Price or moat telemetry</x:t>
        </x:is>
      </x:c>
      <x:c r="E15" s="114" t="n"/>
      <x:c r="F15" s="56" t="inlineStr">
        <x:is>
          <x:t xml:space="preserve">Development</x:t>
        </x:is>
      </x:c>
      <x:c r="G15" s="56" t="inlineStr">
        <x:is>
          <x:t xml:space="preserve">1–600</x:t>
        </x:is>
      </x:c>
      <x:c r="H15" s="56" t="inlineStr">
        <x:is>
          <x:t xml:space="preserve">YES</x:t>
        </x:is>
      </x:c>
      <x:c r="I15" s="56" t="inlineStr">
        <x:is>
          <x:t xml:space="preserve">Only with logged change</x:t>
        </x:is>
      </x:c>
      <x:c r="J15" s="56" t="inlineStr">
        <x:is>
          <x:t xml:space="preserve">Discover failure patterns</x:t>
        </x:is>
      </x:c>
    </x:row>
    <x:row r="16">
      <x:c r="A16" s="57" t="inlineStr">
        <x:is>
          <x:t xml:space="preserve">Developing</x:t>
        </x:is>
      </x:c>
      <x:c r="B16" s="57" t="inlineStr">
        <x:is>
          <x:t xml:space="preserve">Promising but one or more nonfatal evidence gaps</x:t>
        </x:is>
      </x:c>
      <x:c r="C16" s="57" t="inlineStr">
        <x:is>
          <x:t xml:space="preserve">Monitor / gather evidence</x:t>
        </x:is>
      </x:c>
      <x:c r="D16" s="57" t="inlineStr">
        <x:is>
          <x:t xml:space="preserve">Milestone or filing</x:t>
        </x:is>
      </x:c>
      <x:c r="E16" s="114" t="n"/>
      <x:c r="F16" s="57" t="inlineStr">
        <x:is>
          <x:t xml:space="preserve">Validation</x:t>
        </x:is>
      </x:c>
      <x:c r="G16" s="57" t="inlineStr">
        <x:is>
          <x:t xml:space="preserve">601–800</x:t>
        </x:is>
      </x:c>
      <x:c r="H16" s="57" t="inlineStr">
        <x:is>
          <x:t xml:space="preserve">YES, but changes require new validation</x:t>
        </x:is>
      </x:c>
      <x:c r="I16" s="57" t="inlineStr">
        <x:is>
          <x:t xml:space="preserve">Restricted / versioned</x:t>
        </x:is>
      </x:c>
      <x:c r="J16" s="57" t="inlineStr">
        <x:is>
          <x:t xml:space="preserve">Check generalization</x:t>
        </x:is>
      </x:c>
    </x:row>
    <x:row r="17">
      <x:c r="A17" s="57" t="inlineStr">
        <x:is>
          <x:t xml:space="preserve">Situational / Cyclical</x:t>
        </x:is>
      </x:c>
      <x:c r="B17" s="57" t="inlineStr">
        <x:is>
          <x:t xml:space="preserve">Value depends on cycle or discrete normalization</x:t>
        </x:is>
      </x:c>
      <x:c r="C17" s="57" t="inlineStr">
        <x:is>
          <x:t xml:space="preserve">NAV/mid-cycle framework</x:t>
        </x:is>
      </x:c>
      <x:c r="D17" s="57" t="inlineStr">
        <x:is>
          <x:t xml:space="preserve">Rate/cycle/supply change</x:t>
        </x:is>
      </x:c>
      <x:c r="E17" s="114" t="n"/>
      <x:c r="F17" s="58" t="inlineStr">
        <x:is>
          <x:t xml:space="preserve">Holdout</x:t>
        </x:is>
      </x:c>
      <x:c r="G17" s="58" t="inlineStr">
        <x:is>
          <x:t xml:space="preserve">801–1000</x:t>
        </x:is>
      </x:c>
      <x:c r="H17" s="58" t="inlineStr">
        <x:is>
          <x:t xml:space="preserve">NO</x:t>
        </x:is>
      </x:c>
      <x:c r="I17" s="58" t="inlineStr">
        <x:is>
          <x:t xml:space="preserve">NO</x:t>
        </x:is>
      </x:c>
      <x:c r="J17" s="58" t="inlineStr">
        <x:is>
          <x:t xml:space="preserve">Unbiased authorization test</x:t>
        </x:is>
      </x:c>
    </x:row>
    <x:row r="18">
      <x:c r="A18" s="57" t="inlineStr">
        <x:is>
          <x:t xml:space="preserve">Special Situation</x:t>
        </x:is>
      </x:c>
      <x:c r="B18" s="57" t="inlineStr">
        <x:is>
          <x:t xml:space="preserve">Catalyst and downside coverage dominate</x:t>
        </x:is>
      </x:c>
      <x:c r="C18" s="57" t="inlineStr">
        <x:is>
          <x:t xml:space="preserve">Probability-weighted case</x:t>
        </x:is>
      </x:c>
      <x:c r="D18" s="57" t="inlineStr">
        <x:is>
          <x:t xml:space="preserve">Catalyst milestone</x:t>
        </x:is>
      </x:c>
      <x:c r="E18" s="114" t="n"/>
      <x:c r="F18" s="114" t="n"/>
      <x:c r="G18" s="114" t="n"/>
      <x:c r="H18" s="114" t="n"/>
      <x:c r="I18" s="114" t="n"/>
      <x:c r="J18" s="114" t="n"/>
    </x:row>
    <x:row r="19">
      <x:c r="A19" s="57" t="inlineStr">
        <x:is>
          <x:t xml:space="preserve">Avoid</x:t>
        </x:is>
      </x:c>
      <x:c r="B19" s="57" t="inlineStr">
        <x:is>
          <x:t xml:space="preserve">Known fatal flaw or asymmetric permanent-loss risk</x:t>
        </x:is>
      </x:c>
      <x:c r="C19" s="57" t="inlineStr">
        <x:is>
          <x:t xml:space="preserve">No action</x:t>
        </x:is>
      </x:c>
      <x:c r="D19" s="57" t="inlineStr">
        <x:is>
          <x:t xml:space="preserve">Only material structural change</x:t>
        </x:is>
      </x:c>
      <x:c r="E19" s="114" t="n"/>
      <x:c r="F19" s="114" t="n"/>
      <x:c r="G19" s="114" t="n"/>
      <x:c r="H19" s="114" t="n"/>
      <x:c r="I19" s="114" t="n"/>
      <x:c r="J19" s="114" t="n"/>
    </x:row>
    <x:row r="20" s="139" customFormat="1" ht="30" customHeight="1">
      <x:c r="A20" s="58" t="inlineStr">
        <x:is>
          <x:t xml:space="preserve">Unknown / Insufficiently Understood</x:t>
        </x:is>
      </x:c>
      <x:c r="B20" s="58" t="inlineStr">
        <x:is>
          <x:t xml:space="preserve">Evidence or understanding is insufficient</x:t>
        </x:is>
      </x:c>
      <x:c r="C20" s="58" t="inlineStr">
        <x:is>
          <x:t xml:space="preserve">No action</x:t>
        </x:is>
      </x:c>
      <x:c r="D20" s="58" t="inlineStr">
        <x:is>
          <x:t xml:space="preserve">Evidence pack completion</x:t>
        </x:is>
      </x:c>
      <x:c r="E20" s="114" t="n"/>
      <x:c r="F20" s="116" t="inlineStr">
        <x:is>
          <x:t xml:space="preserve">Failure Class</x:t>
        </x:is>
      </x:c>
      <x:c r="G20" s="116" t="inlineStr">
        <x:is>
          <x:t xml:space="preserve">Definition</x:t>
        </x:is>
      </x:c>
      <x:c r="H20" s="116" t="inlineStr">
        <x:is>
          <x:t xml:space="preserve">Typical Fix</x:t>
        </x:is>
      </x:c>
      <x:c r="I20" s="116" t="inlineStr">
        <x:is>
          <x:t xml:space="preserve">Contamination Risk</x:t>
        </x:is>
      </x:c>
      <x:c r="J20" s="116" t="inlineStr">
        <x:is>
          <x:t xml:space="preserve">Notes</x:t>
        </x:is>
      </x:c>
    </x:row>
    <x:row r="21">
      <x:c r="A21" s="114" t="n"/>
      <x:c r="B21" s="114" t="n"/>
      <x:c r="C21" s="114" t="n"/>
      <x:c r="D21" s="114" t="n"/>
      <x:c r="E21" s="114" t="n"/>
      <x:c r="F21" s="56" t="inlineStr">
        <x:is>
          <x:t xml:space="preserve">Missing information</x:t>
        </x:is>
      </x:c>
      <x:c r="G21" s="56" t="inlineStr">
        <x:is>
          <x:t xml:space="preserve">Decision made without required evidence</x:t>
        </x:is>
      </x:c>
      <x:c r="H21" s="56" t="inlineStr">
        <x:is>
          <x:t xml:space="preserve">Add explicit evidence requirement</x:t>
        </x:is>
      </x:c>
      <x:c r="I21" s="56" t="inlineStr">
        <x:is>
          <x:t xml:space="preserve">Low</x:t>
        </x:is>
      </x:c>
      <x:c r="J21" s="56" t="inlineStr">
        <x:is>
          <x:t xml:space="preserve">Do not convert missing evidence into a low score.</x:t>
        </x:is>
      </x:c>
    </x:row>
    <x:row r="22">
      <x:c r="A22" s="114" t="n"/>
      <x:c r="B22" s="114" t="n"/>
      <x:c r="C22" s="114" t="n"/>
      <x:c r="D22" s="114" t="n"/>
      <x:c r="E22" s="114" t="n"/>
      <x:c r="F22" s="57" t="inlineStr">
        <x:is>
          <x:t xml:space="preserve">Wrong business engine</x:t>
        </x:is>
      </x:c>
      <x:c r="G22" s="57" t="inlineStr">
        <x:is>
          <x:t xml:space="preserve">Model tracked non-causal KPI</x:t>
        </x:is>
      </x:c>
      <x:c r="H22" s="57" t="inlineStr">
        <x:is>
          <x:t xml:space="preserve">Rebuild company economic engine</x:t>
        </x:is>
      </x:c>
      <x:c r="I22" s="57" t="inlineStr">
        <x:is>
          <x:t xml:space="preserve">Medium</x:t>
        </x:is>
      </x:c>
      <x:c r="J22" s="57" t="inlineStr">
        <x:is>
          <x:t xml:space="preserve">Requires company-specialist review.</x:t>
        </x:is>
      </x:c>
    </x:row>
    <x:row r="23">
      <x:c r="A23" s="114" t="n"/>
      <x:c r="B23" s="114" t="n"/>
      <x:c r="C23" s="114" t="n"/>
      <x:c r="D23" s="114" t="n"/>
      <x:c r="E23" s="114" t="n"/>
      <x:c r="F23" s="57" t="inlineStr">
        <x:is>
          <x:t xml:space="preserve">Management over-trust</x:t>
        </x:is>
      </x:c>
      <x:c r="G23" s="57" t="inlineStr">
        <x:is>
          <x:t xml:space="preserve">Promise accepted without historical reliability</x:t>
        </x:is>
      </x:c>
      <x:c r="H23" s="57" t="inlineStr">
        <x:is>
          <x:t xml:space="preserve">Promises ledger weight</x:t>
        </x:is>
      </x:c>
      <x:c r="I23" s="57" t="inlineStr">
        <x:is>
          <x:t xml:space="preserve">Low</x:t>
        </x:is>
      </x:c>
      <x:c r="J23" s="57" t="inlineStr">
        <x:is>
          <x:t xml:space="preserve">Use contemporaneous promises only.</x:t>
        </x:is>
      </x:c>
    </x:row>
    <x:row r="24">
      <x:c r="A24" s="114" t="n"/>
      <x:c r="B24" s="114" t="n"/>
      <x:c r="C24" s="114" t="n"/>
      <x:c r="D24" s="114" t="n"/>
      <x:c r="E24" s="114" t="n"/>
      <x:c r="F24" s="57" t="inlineStr">
        <x:is>
          <x:t xml:space="preserve">Wrong valuation lens</x:t>
        </x:is>
      </x:c>
      <x:c r="G24" s="57" t="inlineStr">
        <x:is>
          <x:t xml:space="preserve">Method mismatched to economics</x:t>
        </x:is>
      </x:c>
      <x:c r="H24" s="57" t="inlineStr">
        <x:is>
          <x:t xml:space="preserve">Use sector/company-specific lens</x:t>
        </x:is>
      </x:c>
      <x:c r="I24" s="57" t="inlineStr">
        <x:is>
          <x:t xml:space="preserve">Medium</x:t>
        </x:is>
      </x:c>
      <x:c r="J24" s="57" t="inlineStr">
        <x:is>
          <x:t xml:space="preserve">Do not mix NAV, rNPV and DCF mechanically.</x:t>
        </x:is>
      </x:c>
    </x:row>
    <x:row r="25">
      <x:c r="A25" s="114" t="n"/>
      <x:c r="B25" s="114" t="n"/>
      <x:c r="C25" s="114" t="n"/>
      <x:c r="D25" s="114" t="n"/>
      <x:c r="E25" s="114" t="n"/>
      <x:c r="F25" s="57" t="inlineStr">
        <x:is>
          <x:t xml:space="preserve">Sector beta vs company alpha</x:t>
        </x:is>
      </x:c>
      <x:c r="G25" s="57" t="inlineStr">
        <x:is>
          <x:t xml:space="preserve">Change caused by sector not company</x:t>
        </x:is>
      </x:c>
      <x:c r="H25" s="57" t="inlineStr">
        <x:is>
          <x:t xml:space="preserve">Control company/counterfactual</x:t>
        </x:is>
      </x:c>
      <x:c r="I25" s="57" t="inlineStr">
        <x:is>
          <x:t xml:space="preserve">Low</x:t>
        </x:is>
      </x:c>
      <x:c r="J25" s="57" t="inlineStr">
        <x:is>
          <x:t xml:space="preserve">Select a true economic control.</x:t>
        </x:is>
      </x:c>
    </x:row>
    <x:row r="26">
      <x:c r="A26" s="114" t="n"/>
      <x:c r="B26" s="114" t="n"/>
      <x:c r="C26" s="114" t="n"/>
      <x:c r="D26" s="114" t="n"/>
      <x:c r="E26" s="114" t="n"/>
      <x:c r="F26" s="57" t="inlineStr">
        <x:is>
          <x:t xml:space="preserve">Look-ahead bias</x:t>
        </x:is>
      </x:c>
      <x:c r="G26" s="57" t="inlineStr">
        <x:is>
          <x:t xml:space="preserve">Future information entered snapshot</x:t>
        </x:is>
      </x:c>
      <x:c r="H26" s="57" t="inlineStr">
        <x:is>
          <x:t xml:space="preserve">Invalidate cycle; rebuild snapshot</x:t>
        </x:is>
      </x:c>
      <x:c r="I26" s="57" t="inlineStr">
        <x:is>
          <x:t xml:space="preserve">Fatal</x:t>
        </x:is>
      </x:c>
      <x:c r="J26" s="57" t="inlineStr">
        <x:is>
          <x:t xml:space="preserve">Cycle is unusable until reconstructed.</x:t>
        </x:is>
      </x:c>
    </x:row>
    <x:row r="27">
      <x:c r="A27" s="114" t="n"/>
      <x:c r="B27" s="114" t="n"/>
      <x:c r="C27" s="114" t="n"/>
      <x:c r="D27" s="114" t="n"/>
      <x:c r="E27" s="114" t="n"/>
      <x:c r="F27" s="57" t="inlineStr">
        <x:is>
          <x:t xml:space="preserve">Hard gate too weak</x:t>
        </x:is>
      </x:c>
      <x:c r="G27" s="57" t="inlineStr">
        <x:is>
          <x:t xml:space="preserve">Known permanent-loss path did not block</x:t>
        </x:is>
      </x:c>
      <x:c r="H27" s="57" t="inlineStr">
        <x:is>
          <x:t xml:space="preserve">Tighten gate with causal test</x:t>
        </x:is>
      </x:c>
      <x:c r="I27" s="57" t="inlineStr">
        <x:is>
          <x:t xml:space="preserve">Medium</x:t>
        </x:is>
      </x:c>
      <x:c r="J27" s="57" t="inlineStr">
        <x:is>
          <x:t xml:space="preserve">Validate on cases outside the trigger cohort.</x:t>
        </x:is>
      </x:c>
    </x:row>
    <x:row r="28">
      <x:c r="A28" s="114" t="n"/>
      <x:c r="B28" s="114" t="n"/>
      <x:c r="C28" s="114" t="n"/>
      <x:c r="D28" s="114" t="n"/>
      <x:c r="E28" s="114" t="n"/>
      <x:c r="F28" s="57" t="inlineStr">
        <x:is>
          <x:t xml:space="preserve">False positive</x:t>
        </x:is>
      </x:c>
      <x:c r="G28" s="57" t="inlineStr">
        <x:is>
          <x:t xml:space="preserve">ARGUS approved a deteriorating business/value</x:t>
        </x:is>
      </x:c>
      <x:c r="H28" s="57" t="inlineStr">
        <x:is>
          <x:t xml:space="preserve">Trace failed gate/engine</x:t>
        </x:is>
      </x:c>
      <x:c r="I28" s="57" t="inlineStr">
        <x:is>
          <x:t xml:space="preserve">Low</x:t>
        </x:is>
      </x:c>
      <x:c r="J28" s="57" t="inlineStr">
        <x:is>
          <x:t xml:space="preserve">Primary permanent-loss error.</x:t>
        </x:is>
      </x:c>
    </x:row>
    <x:row r="29">
      <x:c r="A29" s="114" t="n"/>
      <x:c r="B29" s="114" t="n"/>
      <x:c r="C29" s="114" t="n"/>
      <x:c r="D29" s="114" t="n"/>
      <x:c r="E29" s="114" t="n"/>
      <x:c r="F29" s="57" t="inlineStr">
        <x:is>
          <x:t xml:space="preserve">False negative</x:t>
        </x:is>
      </x:c>
      <x:c r="G29" s="57" t="inlineStr">
        <x:is>
          <x:t xml:space="preserve">ARGUS rejected/missed true improvement</x:t>
        </x:is>
      </x:c>
      <x:c r="H29" s="57" t="inlineStr">
        <x:is>
          <x:t xml:space="preserve">Measure opportunity cost; adjust only if repeatable</x:t>
        </x:is>
      </x:c>
      <x:c r="I29" s="57" t="inlineStr">
        <x:is>
          <x:t xml:space="preserve">High</x:t>
        </x:is>
      </x:c>
      <x:c r="J29" s="57" t="inlineStr">
        <x:is>
          <x:t xml:space="preserve">Avoid weakening gates for one missed winner.</x:t>
        </x:is>
      </x:c>
    </x:row>
    <x:row r="30">
      <x:c r="A30" s="114" t="n"/>
      <x:c r="B30" s="114" t="n"/>
      <x:c r="C30" s="114" t="n"/>
      <x:c r="D30" s="114" t="n"/>
      <x:c r="E30" s="114" t="n"/>
      <x:c r="F30" s="57" t="inlineStr">
        <x:is>
          <x:t xml:space="preserve">Timing / lead-time</x:t>
        </x:is>
      </x:c>
      <x:c r="G30" s="57" t="inlineStr">
        <x:is>
          <x:t xml:space="preserve">Direction right but signal too late</x:t>
        </x:is>
      </x:c>
      <x:c r="H30" s="57" t="inlineStr">
        <x:is>
          <x:t xml:space="preserve">Identify earlier operational sensor</x:t>
        </x:is>
      </x:c>
      <x:c r="I30" s="57" t="inlineStr">
        <x:is>
          <x:t xml:space="preserve">Medium</x:t>
        </x:is>
      </x:c>
      <x:c r="J30" s="57" t="inlineStr">
        <x:is>
          <x:t xml:space="preserve">Track lead time separately from direction.</x:t>
        </x:is>
      </x:c>
    </x:row>
    <x:row r="31">
      <x:c r="A31" s="114" t="n"/>
      <x:c r="B31" s="114" t="n"/>
      <x:c r="C31" s="114" t="n"/>
      <x:c r="D31" s="114" t="n"/>
      <x:c r="E31" s="114" t="n"/>
      <x:c r="F31" s="58" t="inlineStr">
        <x:is>
          <x:t xml:space="preserve">Data quality</x:t>
        </x:is>
      </x:c>
      <x:c r="G31" s="58" t="inlineStr">
        <x:is>
          <x:t xml:space="preserve">Source/timestamp/entity mismatch</x:t>
        </x:is>
      </x:c>
      <x:c r="H31" s="58" t="inlineStr">
        <x:is>
          <x:t xml:space="preserve">Source hierarchy and QA</x:t>
        </x:is>
      </x:c>
      <x:c r="I31" s="58" t="inlineStr">
        <x:is>
          <x:t xml:space="preserve">Low</x:t>
        </x:is>
      </x:c>
      <x:c r="J31" s="58" t="inlineStr">
        <x:is>
          <x:t xml:space="preserve">Prefer dated primary documents.</x:t>
        </x:is>
      </x:c>
    </x:row>
  </x:sheetData>
  <x:mergeCells>
    <x:mergeCell ref="A1:J1"/>
    <x:mergeCell ref="A2:J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8.890000343322754" style="139" customWidth="1"/>
    <x:col min="2" max="2" width="9.4399995803833" style="139" customWidth="1"/>
    <x:col min="3" max="3" width="21.110000610351562" style="139" customWidth="1"/>
    <x:col min="4" max="4" width="20" style="139" customWidth="1"/>
    <x:col min="5" max="5" width="32.220001220703125" style="139" customWidth="1"/>
    <x:col min="6" max="6" width="11.670000076293945" style="139" customWidth="1"/>
    <x:col min="7" max="7" width="27.780000686645508" style="139" customWidth="1"/>
    <x:col min="8" max="8" width="26.670000076293945" style="139" customWidth="1"/>
  </x:cols>
  <x:sheetData>
    <x:row r="1" s="139" customFormat="1" ht="34" customHeight="1">
      <x:c r="A1" s="112" t="inlineStr">
        <x:is>
          <x:t xml:space="preserve">Sources &amp; Audit Trail</x:t>
        </x:is>
      </x:c>
    </x:row>
    <x:row r="2" s="139" customFormat="1" ht="28" customHeight="1">
      <x:c r="A2" s="113" t="inlineStr">
        <x:is>
          <x:t xml:space="preserve">No current valuation or recommendation is asserted here; source links seed future evidence packs.</x:t>
        </x:is>
      </x:c>
    </x:row>
    <x:row r="3">
      <x:c r="A3" s="114" t="n"/>
      <x:c r="B3" s="114" t="n"/>
      <x:c r="C3" s="114" t="n"/>
      <x:c r="D3" s="114" t="n"/>
      <x:c r="E3" s="114" t="n"/>
      <x:c r="F3" s="114" t="n"/>
      <x:c r="G3" s="114" t="n"/>
      <x:c r="H3" s="114" t="n"/>
    </x:row>
    <x:row r="4">
      <x:c r="A4" s="114" t="n"/>
      <x:c r="B4" s="114" t="n"/>
      <x:c r="C4" s="114" t="n"/>
      <x:c r="D4" s="114" t="n"/>
      <x:c r="E4" s="114" t="n"/>
      <x:c r="F4" s="114" t="n"/>
      <x:c r="G4" s="114" t="n"/>
      <x:c r="H4" s="114" t="n"/>
    </x:row>
    <x:row r="5" s="139" customFormat="1" ht="30" customHeight="1">
      <x:c r="A5" s="116" t="inlineStr">
        <x:is>
          <x:t xml:space="preserve">Source ID</x:t>
        </x:is>
      </x:c>
      <x:c r="B5" s="116" t="inlineStr">
        <x:is>
          <x:t xml:space="preserve">Company ID</x:t>
        </x:is>
      </x:c>
      <x:c r="C5" s="116" t="inlineStr">
        <x:is>
          <x:t xml:space="preserve">Company / Item</x:t>
        </x:is>
      </x:c>
      <x:c r="D5" s="116" t="inlineStr">
        <x:is>
          <x:t xml:space="preserve">Source Type</x:t>
        </x:is>
      </x:c>
      <x:c r="E5" s="116" t="inlineStr">
        <x:is>
          <x:t xml:space="preserve">URL / Library Path</x:t>
        </x:is>
      </x:c>
      <x:c r="F5" s="116" t="inlineStr">
        <x:is>
          <x:t xml:space="preserve">As-of / Access Date</x:t>
        </x:is>
      </x:c>
      <x:c r="G5" s="116" t="inlineStr">
        <x:is>
          <x:t xml:space="preserve">Use</x:t>
        </x:is>
      </x:c>
      <x:c r="H5" s="116" t="inlineStr">
        <x:is>
          <x:t xml:space="preserve">Notes</x:t>
        </x:is>
      </x:c>
    </x:row>
    <x:row r="6">
      <x:c r="A6" s="56" t="inlineStr">
        <x:is>
          <x:t xml:space="preserve">SRC-000</x:t>
        </x:is>
      </x:c>
      <x:c r="B6" s="56" t="n"/>
      <x:c r="C6" s="56" t="inlineStr">
        <x:is>
          <x:t xml:space="preserve">ARGUS v10 Frozen Production Pilot</x:t>
        </x:is>
      </x:c>
      <x:c r="D6" s="56" t="inlineStr">
        <x:is>
          <x:t xml:space="preserve">Internal canonical artifact</x:t>
        </x:is>
      </x:c>
      <x:c r="E6" s="56" t="inlineStr">
        <x:is>
          <x:t xml:space="preserve">Library:/ARGUS/index(1).html and ARGUS_v10_Frozen_Production_Pilot.zip</x:t>
        </x:is>
      </x:c>
      <x:c r="F6" s="219" t="n">
        <x:v>46264</x:v>
      </x:c>
      <x:c r="G6" s="56" t="inlineStr">
        <x:is>
          <x:t xml:space="preserve">Frozen baseline rules and 50-company conclusions</x:t>
        </x:is>
      </x:c>
      <x:c r="H6" s="56" t="inlineStr">
        <x:is>
          <x:t xml:space="preserve">Preserved as baseline; not counted as empirical validation in this workbook.</x:t>
        </x:is>
      </x:c>
    </x:row>
    <x:row r="7">
      <x:c r="A7" s="57" t="inlineStr">
        <x:is>
          <x:t xml:space="preserve">SRC-001</x:t>
        </x:is>
      </x:c>
      <x:c r="B7" s="57" t="inlineStr">
        <x:is>
          <x:t xml:space="preserve">ARG-001</x:t>
        </x:is>
      </x:c>
      <x:c r="C7" s="57" t="inlineStr">
        <x:is>
          <x:t xml:space="preserve">IonQ</x:t>
        </x:is>
      </x:c>
      <x:c r="D7" s="57" t="inlineStr">
        <x:is>
          <x:t xml:space="preserve">Official investor relations / exchange</x:t>
        </x:is>
      </x:c>
      <x:c r="E7" s="57" t="inlineStr">
        <x:is>
          <x:t xml:space="preserve">https://investors.ionq.com</x:t>
        </x:is>
      </x:c>
      <x:c r="F7" s="220" t="n">
        <x:v>46264</x:v>
      </x:c>
      <x:c r="G7" s="57" t="inlineStr">
        <x:is>
          <x:t xml:space="preserve">Starting point for filings, reports and presentations</x:t>
        </x:is>
      </x:c>
      <x:c r="H7" s="57" t="inlineStr">
        <x:is>
          <x:t xml:space="preserve">Must capture dated filing URLs for each historical cycle.</x:t>
        </x:is>
      </x:c>
    </x:row>
    <x:row r="8">
      <x:c r="A8" s="57" t="inlineStr">
        <x:is>
          <x:t xml:space="preserve">SRC-002</x:t>
        </x:is>
      </x:c>
      <x:c r="B8" s="57" t="inlineStr">
        <x:is>
          <x:t xml:space="preserve">ARG-002</x:t>
        </x:is>
      </x:c>
      <x:c r="C8" s="57" t="inlineStr">
        <x:is>
          <x:t xml:space="preserve">D-Wave Quantum</x:t>
        </x:is>
      </x:c>
      <x:c r="D8" s="57" t="inlineStr">
        <x:is>
          <x:t xml:space="preserve">Official investor relations / exchange</x:t>
        </x:is>
      </x:c>
      <x:c r="E8" s="57" t="inlineStr">
        <x:is>
          <x:t xml:space="preserve">https://ir.dwavesys.com</x:t>
        </x:is>
      </x:c>
      <x:c r="F8" s="220" t="n">
        <x:v>46264</x:v>
      </x:c>
      <x:c r="G8" s="57" t="inlineStr">
        <x:is>
          <x:t xml:space="preserve">Starting point for filings, reports and presentations</x:t>
        </x:is>
      </x:c>
      <x:c r="H8" s="57" t="inlineStr">
        <x:is>
          <x:t xml:space="preserve">Must capture dated filing URLs for each historical cycle.</x:t>
        </x:is>
      </x:c>
    </x:row>
    <x:row r="9">
      <x:c r="A9" s="57" t="inlineStr">
        <x:is>
          <x:t xml:space="preserve">SRC-003</x:t>
        </x:is>
      </x:c>
      <x:c r="B9" s="57" t="inlineStr">
        <x:is>
          <x:t xml:space="preserve">ARG-003</x:t>
        </x:is>
      </x:c>
      <x:c r="C9" s="57" t="inlineStr">
        <x:is>
          <x:t xml:space="preserve">Rigetti Computing</x:t>
        </x:is>
      </x:c>
      <x:c r="D9" s="57" t="inlineStr">
        <x:is>
          <x:t xml:space="preserve">Official investor relations / exchange</x:t>
        </x:is>
      </x:c>
      <x:c r="E9" s="57" t="inlineStr">
        <x:is>
          <x:t xml:space="preserve">https://investors.rigetti.com</x:t>
        </x:is>
      </x:c>
      <x:c r="F9" s="220" t="n">
        <x:v>46264</x:v>
      </x:c>
      <x:c r="G9" s="57" t="inlineStr">
        <x:is>
          <x:t xml:space="preserve">Starting point for filings, reports and presentations</x:t>
        </x:is>
      </x:c>
      <x:c r="H9" s="57" t="inlineStr">
        <x:is>
          <x:t xml:space="preserve">Must capture dated filing URLs for each historical cycle.</x:t>
        </x:is>
      </x:c>
    </x:row>
    <x:row r="10">
      <x:c r="A10" s="57" t="inlineStr">
        <x:is>
          <x:t xml:space="preserve">SRC-004</x:t>
        </x:is>
      </x:c>
      <x:c r="B10" s="57" t="inlineStr">
        <x:is>
          <x:t xml:space="preserve">ARG-004</x:t>
        </x:is>
      </x:c>
      <x:c r="C10" s="57" t="inlineStr">
        <x:is>
          <x:t xml:space="preserve">Quantum Computing Inc.</x:t>
        </x:is>
      </x:c>
      <x:c r="D10" s="57" t="inlineStr">
        <x:is>
          <x:t xml:space="preserve">Official investor relations / exchange</x:t>
        </x:is>
      </x:c>
      <x:c r="E10" s="57" t="inlineStr">
        <x:is>
          <x:t xml:space="preserve">https://ir.quantumcomputinginc.com</x:t>
        </x:is>
      </x:c>
      <x:c r="F10" s="220" t="n">
        <x:v>46264</x:v>
      </x:c>
      <x:c r="G10" s="57" t="inlineStr">
        <x:is>
          <x:t xml:space="preserve">Starting point for filings, reports and presentations</x:t>
        </x:is>
      </x:c>
      <x:c r="H10" s="57" t="inlineStr">
        <x:is>
          <x:t xml:space="preserve">Must capture dated filing URLs for each historical cycle.</x:t>
        </x:is>
      </x:c>
    </x:row>
    <x:row r="11">
      <x:c r="A11" s="57" t="inlineStr">
        <x:is>
          <x:t xml:space="preserve">SRC-005</x:t>
        </x:is>
      </x:c>
      <x:c r="B11" s="57" t="inlineStr">
        <x:is>
          <x:t xml:space="preserve">ARG-005</x:t>
        </x:is>
      </x:c>
      <x:c r="C11" s="57" t="inlineStr">
        <x:is>
          <x:t xml:space="preserve">NVIDIA</x:t>
        </x:is>
      </x:c>
      <x:c r="D11" s="57" t="inlineStr">
        <x:is>
          <x:t xml:space="preserve">Official investor relations / exchange</x:t>
        </x:is>
      </x:c>
      <x:c r="E11" s="57" t="inlineStr">
        <x:is>
          <x:t xml:space="preserve">https://investor.nvidia.com</x:t>
        </x:is>
      </x:c>
      <x:c r="F11" s="220" t="n">
        <x:v>46264</x:v>
      </x:c>
      <x:c r="G11" s="57" t="inlineStr">
        <x:is>
          <x:t xml:space="preserve">Starting point for filings, reports and presentations</x:t>
        </x:is>
      </x:c>
      <x:c r="H11" s="57" t="inlineStr">
        <x:is>
          <x:t xml:space="preserve">Must capture dated filing URLs for each historical cycle.</x:t>
        </x:is>
      </x:c>
    </x:row>
    <x:row r="12">
      <x:c r="A12" s="57" t="inlineStr">
        <x:is>
          <x:t xml:space="preserve">SRC-006</x:t>
        </x:is>
      </x:c>
      <x:c r="B12" s="57" t="inlineStr">
        <x:is>
          <x:t xml:space="preserve">ARG-006</x:t>
        </x:is>
      </x:c>
      <x:c r="C12" s="57" t="inlineStr">
        <x:is>
          <x:t xml:space="preserve">Advanced Micro Devices</x:t>
        </x:is>
      </x:c>
      <x:c r="D12" s="57" t="inlineStr">
        <x:is>
          <x:t xml:space="preserve">Official investor relations / exchange</x:t>
        </x:is>
      </x:c>
      <x:c r="E12" s="57" t="inlineStr">
        <x:is>
          <x:t xml:space="preserve">https://ir.amd.com</x:t>
        </x:is>
      </x:c>
      <x:c r="F12" s="220" t="n">
        <x:v>46264</x:v>
      </x:c>
      <x:c r="G12" s="57" t="inlineStr">
        <x:is>
          <x:t xml:space="preserve">Starting point for filings, reports and presentations</x:t>
        </x:is>
      </x:c>
      <x:c r="H12" s="57" t="inlineStr">
        <x:is>
          <x:t xml:space="preserve">Must capture dated filing URLs for each historical cycle.</x:t>
        </x:is>
      </x:c>
    </x:row>
    <x:row r="13">
      <x:c r="A13" s="57" t="inlineStr">
        <x:is>
          <x:t xml:space="preserve">SRC-007</x:t>
        </x:is>
      </x:c>
      <x:c r="B13" s="57" t="inlineStr">
        <x:is>
          <x:t xml:space="preserve">ARG-007</x:t>
        </x:is>
      </x:c>
      <x:c r="C13" s="57" t="inlineStr">
        <x:is>
          <x:t xml:space="preserve">Taiwan Semiconductor Manufacturing</x:t>
        </x:is>
      </x:c>
      <x:c r="D13" s="57" t="inlineStr">
        <x:is>
          <x:t xml:space="preserve">Official investor relations / exchange</x:t>
        </x:is>
      </x:c>
      <x:c r="E13" s="57" t="inlineStr">
        <x:is>
          <x:t xml:space="preserve">https://investor.tsmc.com</x:t>
        </x:is>
      </x:c>
      <x:c r="F13" s="220" t="n">
        <x:v>46264</x:v>
      </x:c>
      <x:c r="G13" s="57" t="inlineStr">
        <x:is>
          <x:t xml:space="preserve">Starting point for filings, reports and presentations</x:t>
        </x:is>
      </x:c>
      <x:c r="H13" s="57" t="inlineStr">
        <x:is>
          <x:t xml:space="preserve">Must capture dated filing URLs for each historical cycle.</x:t>
        </x:is>
      </x:c>
    </x:row>
    <x:row r="14">
      <x:c r="A14" s="57" t="inlineStr">
        <x:is>
          <x:t xml:space="preserve">SRC-008</x:t>
        </x:is>
      </x:c>
      <x:c r="B14" s="57" t="inlineStr">
        <x:is>
          <x:t xml:space="preserve">ARG-008</x:t>
        </x:is>
      </x:c>
      <x:c r="C14" s="57" t="inlineStr">
        <x:is>
          <x:t xml:space="preserve">ASML Holding</x:t>
        </x:is>
      </x:c>
      <x:c r="D14" s="57" t="inlineStr">
        <x:is>
          <x:t xml:space="preserve">Official investor relations / exchange</x:t>
        </x:is>
      </x:c>
      <x:c r="E14" s="57" t="inlineStr">
        <x:is>
          <x:t xml:space="preserve">https://www.asml.com/en/investors</x:t>
        </x:is>
      </x:c>
      <x:c r="F14" s="220" t="n">
        <x:v>46264</x:v>
      </x:c>
      <x:c r="G14" s="57" t="inlineStr">
        <x:is>
          <x:t xml:space="preserve">Starting point for filings, reports and presentations</x:t>
        </x:is>
      </x:c>
      <x:c r="H14" s="57" t="inlineStr">
        <x:is>
          <x:t xml:space="preserve">Must capture dated filing URLs for each historical cycle.</x:t>
        </x:is>
      </x:c>
    </x:row>
    <x:row r="15">
      <x:c r="A15" s="57" t="inlineStr">
        <x:is>
          <x:t xml:space="preserve">SRC-009</x:t>
        </x:is>
      </x:c>
      <x:c r="B15" s="57" t="inlineStr">
        <x:is>
          <x:t xml:space="preserve">ARG-009</x:t>
        </x:is>
      </x:c>
      <x:c r="C15" s="57" t="inlineStr">
        <x:is>
          <x:t xml:space="preserve">Applied Materials</x:t>
        </x:is>
      </x:c>
      <x:c r="D15" s="57" t="inlineStr">
        <x:is>
          <x:t xml:space="preserve">Official investor relations / exchange</x:t>
        </x:is>
      </x:c>
      <x:c r="E15" s="57" t="inlineStr">
        <x:is>
          <x:t xml:space="preserve">https://ir.appliedmaterials.com</x:t>
        </x:is>
      </x:c>
      <x:c r="F15" s="220" t="n">
        <x:v>46264</x:v>
      </x:c>
      <x:c r="G15" s="57" t="inlineStr">
        <x:is>
          <x:t xml:space="preserve">Starting point for filings, reports and presentations</x:t>
        </x:is>
      </x:c>
      <x:c r="H15" s="57" t="inlineStr">
        <x:is>
          <x:t xml:space="preserve">Must capture dated filing URLs for each historical cycle.</x:t>
        </x:is>
      </x:c>
    </x:row>
    <x:row r="16">
      <x:c r="A16" s="57" t="inlineStr">
        <x:is>
          <x:t xml:space="preserve">SRC-010</x:t>
        </x:is>
      </x:c>
      <x:c r="B16" s="57" t="inlineStr">
        <x:is>
          <x:t xml:space="preserve">ARG-010</x:t>
        </x:is>
      </x:c>
      <x:c r="C16" s="57" t="inlineStr">
        <x:is>
          <x:t xml:space="preserve">Lam Research</x:t>
        </x:is>
      </x:c>
      <x:c r="D16" s="57" t="inlineStr">
        <x:is>
          <x:t xml:space="preserve">Official investor relations / exchange</x:t>
        </x:is>
      </x:c>
      <x:c r="E16" s="57" t="inlineStr">
        <x:is>
          <x:t xml:space="preserve">https://investor.lamresearch.com</x:t>
        </x:is>
      </x:c>
      <x:c r="F16" s="220" t="n">
        <x:v>46264</x:v>
      </x:c>
      <x:c r="G16" s="57" t="inlineStr">
        <x:is>
          <x:t xml:space="preserve">Starting point for filings, reports and presentations</x:t>
        </x:is>
      </x:c>
      <x:c r="H16" s="57" t="inlineStr">
        <x:is>
          <x:t xml:space="preserve">Must capture dated filing URLs for each historical cycle.</x:t>
        </x:is>
      </x:c>
    </x:row>
    <x:row r="17">
      <x:c r="A17" s="57" t="inlineStr">
        <x:is>
          <x:t xml:space="preserve">SRC-011</x:t>
        </x:is>
      </x:c>
      <x:c r="B17" s="57" t="inlineStr">
        <x:is>
          <x:t xml:space="preserve">ARG-011</x:t>
        </x:is>
      </x:c>
      <x:c r="C17" s="57" t="inlineStr">
        <x:is>
          <x:t xml:space="preserve">Micron Technology</x:t>
        </x:is>
      </x:c>
      <x:c r="D17" s="57" t="inlineStr">
        <x:is>
          <x:t xml:space="preserve">Official investor relations / exchange</x:t>
        </x:is>
      </x:c>
      <x:c r="E17" s="57" t="inlineStr">
        <x:is>
          <x:t xml:space="preserve">https://investors.micron.com</x:t>
        </x:is>
      </x:c>
      <x:c r="F17" s="220" t="n">
        <x:v>46264</x:v>
      </x:c>
      <x:c r="G17" s="57" t="inlineStr">
        <x:is>
          <x:t xml:space="preserve">Starting point for filings, reports and presentations</x:t>
        </x:is>
      </x:c>
      <x:c r="H17" s="57" t="inlineStr">
        <x:is>
          <x:t xml:space="preserve">Must capture dated filing URLs for each historical cycle.</x:t>
        </x:is>
      </x:c>
    </x:row>
    <x:row r="18">
      <x:c r="A18" s="57" t="inlineStr">
        <x:is>
          <x:t xml:space="preserve">SRC-012</x:t>
        </x:is>
      </x:c>
      <x:c r="B18" s="57" t="inlineStr">
        <x:is>
          <x:t xml:space="preserve">ARG-012</x:t>
        </x:is>
      </x:c>
      <x:c r="C18" s="57" t="inlineStr">
        <x:is>
          <x:t xml:space="preserve">Broadcom</x:t>
        </x:is>
      </x:c>
      <x:c r="D18" s="57" t="inlineStr">
        <x:is>
          <x:t xml:space="preserve">Official investor relations / exchange</x:t>
        </x:is>
      </x:c>
      <x:c r="E18" s="57" t="inlineStr">
        <x:is>
          <x:t xml:space="preserve">https://investors.broadcom.com</x:t>
        </x:is>
      </x:c>
      <x:c r="F18" s="220" t="n">
        <x:v>46264</x:v>
      </x:c>
      <x:c r="G18" s="57" t="inlineStr">
        <x:is>
          <x:t xml:space="preserve">Starting point for filings, reports and presentations</x:t>
        </x:is>
      </x:c>
      <x:c r="H18" s="57" t="inlineStr">
        <x:is>
          <x:t xml:space="preserve">Must capture dated filing URLs for each historical cycle.</x:t>
        </x:is>
      </x:c>
    </x:row>
    <x:row r="19">
      <x:c r="A19" s="57" t="inlineStr">
        <x:is>
          <x:t xml:space="preserve">SRC-013</x:t>
        </x:is>
      </x:c>
      <x:c r="B19" s="57" t="inlineStr">
        <x:is>
          <x:t xml:space="preserve">ARG-013</x:t>
        </x:is>
      </x:c>
      <x:c r="C19" s="57" t="inlineStr">
        <x:is>
          <x:t xml:space="preserve">Marvell Technology</x:t>
        </x:is>
      </x:c>
      <x:c r="D19" s="57" t="inlineStr">
        <x:is>
          <x:t xml:space="preserve">Official investor relations / exchange</x:t>
        </x:is>
      </x:c>
      <x:c r="E19" s="57" t="inlineStr">
        <x:is>
          <x:t xml:space="preserve">https://investor.marvell.com</x:t>
        </x:is>
      </x:c>
      <x:c r="F19" s="220" t="n">
        <x:v>46264</x:v>
      </x:c>
      <x:c r="G19" s="57" t="inlineStr">
        <x:is>
          <x:t xml:space="preserve">Starting point for filings, reports and presentations</x:t>
        </x:is>
      </x:c>
      <x:c r="H19" s="57" t="inlineStr">
        <x:is>
          <x:t xml:space="preserve">Must capture dated filing URLs for each historical cycle.</x:t>
        </x:is>
      </x:c>
    </x:row>
    <x:row r="20">
      <x:c r="A20" s="57" t="inlineStr">
        <x:is>
          <x:t xml:space="preserve">SRC-014</x:t>
        </x:is>
      </x:c>
      <x:c r="B20" s="57" t="inlineStr">
        <x:is>
          <x:t xml:space="preserve">ARG-014</x:t>
        </x:is>
      </x:c>
      <x:c r="C20" s="57" t="inlineStr">
        <x:is>
          <x:t xml:space="preserve">Eaton</x:t>
        </x:is>
      </x:c>
      <x:c r="D20" s="57" t="inlineStr">
        <x:is>
          <x:t xml:space="preserve">Official investor relations / exchange</x:t>
        </x:is>
      </x:c>
      <x:c r="E20" s="57" t="inlineStr">
        <x:is>
          <x:t xml:space="preserve">https://www.eaton.com/us/en-us/company/investor-relations.html</x:t>
        </x:is>
      </x:c>
      <x:c r="F20" s="220" t="n">
        <x:v>46264</x:v>
      </x:c>
      <x:c r="G20" s="57" t="inlineStr">
        <x:is>
          <x:t xml:space="preserve">Starting point for filings, reports and presentations</x:t>
        </x:is>
      </x:c>
      <x:c r="H20" s="57" t="inlineStr">
        <x:is>
          <x:t xml:space="preserve">Must capture dated filing URLs for each historical cycle.</x:t>
        </x:is>
      </x:c>
    </x:row>
    <x:row r="21">
      <x:c r="A21" s="57" t="inlineStr">
        <x:is>
          <x:t xml:space="preserve">SRC-015</x:t>
        </x:is>
      </x:c>
      <x:c r="B21" s="57" t="inlineStr">
        <x:is>
          <x:t xml:space="preserve">ARG-015</x:t>
        </x:is>
      </x:c>
      <x:c r="C21" s="57" t="inlineStr">
        <x:is>
          <x:t xml:space="preserve">Quanta Services</x:t>
        </x:is>
      </x:c>
      <x:c r="D21" s="57" t="inlineStr">
        <x:is>
          <x:t xml:space="preserve">Official investor relations / exchange</x:t>
        </x:is>
      </x:c>
      <x:c r="E21" s="57" t="inlineStr">
        <x:is>
          <x:t xml:space="preserve">https://investors.quantaservices.com</x:t>
        </x:is>
      </x:c>
      <x:c r="F21" s="220" t="n">
        <x:v>46264</x:v>
      </x:c>
      <x:c r="G21" s="57" t="inlineStr">
        <x:is>
          <x:t xml:space="preserve">Starting point for filings, reports and presentations</x:t>
        </x:is>
      </x:c>
      <x:c r="H21" s="57" t="inlineStr">
        <x:is>
          <x:t xml:space="preserve">Must capture dated filing URLs for each historical cycle.</x:t>
        </x:is>
      </x:c>
    </x:row>
    <x:row r="22">
      <x:c r="A22" s="57" t="inlineStr">
        <x:is>
          <x:t xml:space="preserve">SRC-016</x:t>
        </x:is>
      </x:c>
      <x:c r="B22" s="57" t="inlineStr">
        <x:is>
          <x:t xml:space="preserve">ARG-016</x:t>
        </x:is>
      </x:c>
      <x:c r="C22" s="57" t="inlineStr">
        <x:is>
          <x:t xml:space="preserve">Hubbell</x:t>
        </x:is>
      </x:c>
      <x:c r="D22" s="57" t="inlineStr">
        <x:is>
          <x:t xml:space="preserve">Official investor relations / exchange</x:t>
        </x:is>
      </x:c>
      <x:c r="E22" s="57" t="inlineStr">
        <x:is>
          <x:t xml:space="preserve">https://investors.hubbell.com</x:t>
        </x:is>
      </x:c>
      <x:c r="F22" s="220" t="n">
        <x:v>46264</x:v>
      </x:c>
      <x:c r="G22" s="57" t="inlineStr">
        <x:is>
          <x:t xml:space="preserve">Starting point for filings, reports and presentations</x:t>
        </x:is>
      </x:c>
      <x:c r="H22" s="57" t="inlineStr">
        <x:is>
          <x:t xml:space="preserve">Must capture dated filing URLs for each historical cycle.</x:t>
        </x:is>
      </x:c>
    </x:row>
    <x:row r="23">
      <x:c r="A23" s="57" t="inlineStr">
        <x:is>
          <x:t xml:space="preserve">SRC-017</x:t>
        </x:is>
      </x:c>
      <x:c r="B23" s="57" t="inlineStr">
        <x:is>
          <x:t xml:space="preserve">ARG-017</x:t>
        </x:is>
      </x:c>
      <x:c r="C23" s="57" t="inlineStr">
        <x:is>
          <x:t xml:space="preserve">Vertiv</x:t>
        </x:is>
      </x:c>
      <x:c r="D23" s="57" t="inlineStr">
        <x:is>
          <x:t xml:space="preserve">Official investor relations / exchange</x:t>
        </x:is>
      </x:c>
      <x:c r="E23" s="57" t="inlineStr">
        <x:is>
          <x:t xml:space="preserve">https://investors.vertiv.com</x:t>
        </x:is>
      </x:c>
      <x:c r="F23" s="220" t="n">
        <x:v>46264</x:v>
      </x:c>
      <x:c r="G23" s="57" t="inlineStr">
        <x:is>
          <x:t xml:space="preserve">Starting point for filings, reports and presentations</x:t>
        </x:is>
      </x:c>
      <x:c r="H23" s="57" t="inlineStr">
        <x:is>
          <x:t xml:space="preserve">Must capture dated filing URLs for each historical cycle.</x:t>
        </x:is>
      </x:c>
    </x:row>
    <x:row r="24">
      <x:c r="A24" s="57" t="inlineStr">
        <x:is>
          <x:t xml:space="preserve">SRC-018</x:t>
        </x:is>
      </x:c>
      <x:c r="B24" s="57" t="inlineStr">
        <x:is>
          <x:t xml:space="preserve">ARG-018</x:t>
        </x:is>
      </x:c>
      <x:c r="C24" s="57" t="inlineStr">
        <x:is>
          <x:t xml:space="preserve">nVent Electric</x:t>
        </x:is>
      </x:c>
      <x:c r="D24" s="57" t="inlineStr">
        <x:is>
          <x:t xml:space="preserve">Official investor relations / exchange</x:t>
        </x:is>
      </x:c>
      <x:c r="E24" s="57" t="inlineStr">
        <x:is>
          <x:t xml:space="preserve">https://investors.nvent.com</x:t>
        </x:is>
      </x:c>
      <x:c r="F24" s="220" t="n">
        <x:v>46264</x:v>
      </x:c>
      <x:c r="G24" s="57" t="inlineStr">
        <x:is>
          <x:t xml:space="preserve">Starting point for filings, reports and presentations</x:t>
        </x:is>
      </x:c>
      <x:c r="H24" s="57" t="inlineStr">
        <x:is>
          <x:t xml:space="preserve">Must capture dated filing URLs for each historical cycle.</x:t>
        </x:is>
      </x:c>
    </x:row>
    <x:row r="25">
      <x:c r="A25" s="57" t="inlineStr">
        <x:is>
          <x:t xml:space="preserve">SRC-019</x:t>
        </x:is>
      </x:c>
      <x:c r="B25" s="57" t="inlineStr">
        <x:is>
          <x:t xml:space="preserve">ARG-019</x:t>
        </x:is>
      </x:c>
      <x:c r="C25" s="57" t="inlineStr">
        <x:is>
          <x:t xml:space="preserve">GE Vernova</x:t>
        </x:is>
      </x:c>
      <x:c r="D25" s="57" t="inlineStr">
        <x:is>
          <x:t xml:space="preserve">Official investor relations / exchange</x:t>
        </x:is>
      </x:c>
      <x:c r="E25" s="57" t="inlineStr">
        <x:is>
          <x:t xml:space="preserve">https://www.gevernova.com/investors</x:t>
        </x:is>
      </x:c>
      <x:c r="F25" s="220" t="n">
        <x:v>46264</x:v>
      </x:c>
      <x:c r="G25" s="57" t="inlineStr">
        <x:is>
          <x:t xml:space="preserve">Starting point for filings, reports and presentations</x:t>
        </x:is>
      </x:c>
      <x:c r="H25" s="57" t="inlineStr">
        <x:is>
          <x:t xml:space="preserve">Must capture dated filing URLs for each historical cycle.</x:t>
        </x:is>
      </x:c>
    </x:row>
    <x:row r="26">
      <x:c r="A26" s="57" t="inlineStr">
        <x:is>
          <x:t xml:space="preserve">SRC-020</x:t>
        </x:is>
      </x:c>
      <x:c r="B26" s="57" t="inlineStr">
        <x:is>
          <x:t xml:space="preserve">ARG-020</x:t>
        </x:is>
      </x:c>
      <x:c r="C26" s="57" t="inlineStr">
        <x:is>
          <x:t xml:space="preserve">Schneider Electric</x:t>
        </x:is>
      </x:c>
      <x:c r="D26" s="57" t="inlineStr">
        <x:is>
          <x:t xml:space="preserve">Official investor relations / exchange</x:t>
        </x:is>
      </x:c>
      <x:c r="E26" s="57" t="inlineStr">
        <x:is>
          <x:t xml:space="preserve">https://www.se.com/ww/en/about-us/investor-relations/</x:t>
        </x:is>
      </x:c>
      <x:c r="F26" s="220" t="n">
        <x:v>46264</x:v>
      </x:c>
      <x:c r="G26" s="57" t="inlineStr">
        <x:is>
          <x:t xml:space="preserve">Starting point for filings, reports and presentations</x:t>
        </x:is>
      </x:c>
      <x:c r="H26" s="57" t="inlineStr">
        <x:is>
          <x:t xml:space="preserve">Must capture dated filing URLs for each historical cycle.</x:t>
        </x:is>
      </x:c>
    </x:row>
    <x:row r="27">
      <x:c r="A27" s="57" t="inlineStr">
        <x:is>
          <x:t xml:space="preserve">SRC-021</x:t>
        </x:is>
      </x:c>
      <x:c r="B27" s="57" t="inlineStr">
        <x:is>
          <x:t xml:space="preserve">ARG-021</x:t>
        </x:is>
      </x:c>
      <x:c r="C27" s="57" t="inlineStr">
        <x:is>
          <x:t xml:space="preserve">Trane Technologies</x:t>
        </x:is>
      </x:c>
      <x:c r="D27" s="57" t="inlineStr">
        <x:is>
          <x:t xml:space="preserve">Official investor relations / exchange</x:t>
        </x:is>
      </x:c>
      <x:c r="E27" s="57" t="inlineStr">
        <x:is>
          <x:t xml:space="preserve">https://investors.tranetechnologies.com</x:t>
        </x:is>
      </x:c>
      <x:c r="F27" s="220" t="n">
        <x:v>46264</x:v>
      </x:c>
      <x:c r="G27" s="57" t="inlineStr">
        <x:is>
          <x:t xml:space="preserve">Starting point for filings, reports and presentations</x:t>
        </x:is>
      </x:c>
      <x:c r="H27" s="57" t="inlineStr">
        <x:is>
          <x:t xml:space="preserve">Must capture dated filing URLs for each historical cycle.</x:t>
        </x:is>
      </x:c>
    </x:row>
    <x:row r="28">
      <x:c r="A28" s="57" t="inlineStr">
        <x:is>
          <x:t xml:space="preserve">SRC-022</x:t>
        </x:is>
      </x:c>
      <x:c r="B28" s="57" t="inlineStr">
        <x:is>
          <x:t xml:space="preserve">ARG-022</x:t>
        </x:is>
      </x:c>
      <x:c r="C28" s="57" t="inlineStr">
        <x:is>
          <x:t xml:space="preserve">International Flavors &amp; Fragrances</x:t>
        </x:is>
      </x:c>
      <x:c r="D28" s="57" t="inlineStr">
        <x:is>
          <x:t xml:space="preserve">Official investor relations / exchange</x:t>
        </x:is>
      </x:c>
      <x:c r="E28" s="57" t="inlineStr">
        <x:is>
          <x:t xml:space="preserve">https://ir.iff.com</x:t>
        </x:is>
      </x:c>
      <x:c r="F28" s="220" t="n">
        <x:v>46264</x:v>
      </x:c>
      <x:c r="G28" s="57" t="inlineStr">
        <x:is>
          <x:t xml:space="preserve">Starting point for filings, reports and presentations</x:t>
        </x:is>
      </x:c>
      <x:c r="H28" s="57" t="inlineStr">
        <x:is>
          <x:t xml:space="preserve">Must capture dated filing URLs for each historical cycle.</x:t>
        </x:is>
      </x:c>
    </x:row>
    <x:row r="29">
      <x:c r="A29" s="57" t="inlineStr">
        <x:is>
          <x:t xml:space="preserve">SRC-023</x:t>
        </x:is>
      </x:c>
      <x:c r="B29" s="57" t="inlineStr">
        <x:is>
          <x:t xml:space="preserve">ARG-023</x:t>
        </x:is>
      </x:c>
      <x:c r="C29" s="57" t="inlineStr">
        <x:is>
          <x:t xml:space="preserve">Givaudan</x:t>
        </x:is>
      </x:c>
      <x:c r="D29" s="57" t="inlineStr">
        <x:is>
          <x:t xml:space="preserve">Official investor relations / exchange</x:t>
        </x:is>
      </x:c>
      <x:c r="E29" s="57" t="inlineStr">
        <x:is>
          <x:t xml:space="preserve">https://www.givaudan.com/investors</x:t>
        </x:is>
      </x:c>
      <x:c r="F29" s="220" t="n">
        <x:v>46264</x:v>
      </x:c>
      <x:c r="G29" s="57" t="inlineStr">
        <x:is>
          <x:t xml:space="preserve">Starting point for filings, reports and presentations</x:t>
        </x:is>
      </x:c>
      <x:c r="H29" s="57" t="inlineStr">
        <x:is>
          <x:t xml:space="preserve">Must capture dated filing URLs for each historical cycle.</x:t>
        </x:is>
      </x:c>
    </x:row>
    <x:row r="30">
      <x:c r="A30" s="57" t="inlineStr">
        <x:is>
          <x:t xml:space="preserve">SRC-024</x:t>
        </x:is>
      </x:c>
      <x:c r="B30" s="57" t="inlineStr">
        <x:is>
          <x:t xml:space="preserve">ARG-024</x:t>
        </x:is>
      </x:c>
      <x:c r="C30" s="57" t="inlineStr">
        <x:is>
          <x:t xml:space="preserve">Symrise</x:t>
        </x:is>
      </x:c>
      <x:c r="D30" s="57" t="inlineStr">
        <x:is>
          <x:t xml:space="preserve">Official investor relations / exchange</x:t>
        </x:is>
      </x:c>
      <x:c r="E30" s="57" t="inlineStr">
        <x:is>
          <x:t xml:space="preserve">https://www.symrise.com/investors</x:t>
        </x:is>
      </x:c>
      <x:c r="F30" s="220" t="n">
        <x:v>46264</x:v>
      </x:c>
      <x:c r="G30" s="57" t="inlineStr">
        <x:is>
          <x:t xml:space="preserve">Starting point for filings, reports and presentations</x:t>
        </x:is>
      </x:c>
      <x:c r="H30" s="57" t="inlineStr">
        <x:is>
          <x:t xml:space="preserve">Must capture dated filing URLs for each historical cycle.</x:t>
        </x:is>
      </x:c>
    </x:row>
    <x:row r="31">
      <x:c r="A31" s="57" t="inlineStr">
        <x:is>
          <x:t xml:space="preserve">SRC-025</x:t>
        </x:is>
      </x:c>
      <x:c r="B31" s="57" t="inlineStr">
        <x:is>
          <x:t xml:space="preserve">ARG-025</x:t>
        </x:is>
      </x:c>
      <x:c r="C31" s="57" t="inlineStr">
        <x:is>
          <x:t xml:space="preserve">Croda International</x:t>
        </x:is>
      </x:c>
      <x:c r="D31" s="57" t="inlineStr">
        <x:is>
          <x:t xml:space="preserve">Official investor relations / exchange</x:t>
        </x:is>
      </x:c>
      <x:c r="E31" s="57" t="inlineStr">
        <x:is>
          <x:t xml:space="preserve">https://www.croda.com/en-gb/investors</x:t>
        </x:is>
      </x:c>
      <x:c r="F31" s="220" t="n">
        <x:v>46264</x:v>
      </x:c>
      <x:c r="G31" s="57" t="inlineStr">
        <x:is>
          <x:t xml:space="preserve">Starting point for filings, reports and presentations</x:t>
        </x:is>
      </x:c>
      <x:c r="H31" s="57" t="inlineStr">
        <x:is>
          <x:t xml:space="preserve">Must capture dated filing URLs for each historical cycle.</x:t>
        </x:is>
      </x:c>
    </x:row>
    <x:row r="32">
      <x:c r="A32" s="57" t="inlineStr">
        <x:is>
          <x:t xml:space="preserve">SRC-026</x:t>
        </x:is>
      </x:c>
      <x:c r="B32" s="57" t="inlineStr">
        <x:is>
          <x:t xml:space="preserve">ARG-026</x:t>
        </x:is>
      </x:c>
      <x:c r="C32" s="57" t="inlineStr">
        <x:is>
          <x:t xml:space="preserve">Sensient Technologies</x:t>
        </x:is>
      </x:c>
      <x:c r="D32" s="57" t="inlineStr">
        <x:is>
          <x:t xml:space="preserve">Official investor relations / exchange</x:t>
        </x:is>
      </x:c>
      <x:c r="E32" s="57" t="inlineStr">
        <x:is>
          <x:t xml:space="preserve">https://investors.sensient.com</x:t>
        </x:is>
      </x:c>
      <x:c r="F32" s="220" t="n">
        <x:v>46264</x:v>
      </x:c>
      <x:c r="G32" s="57" t="inlineStr">
        <x:is>
          <x:t xml:space="preserve">Starting point for filings, reports and presentations</x:t>
        </x:is>
      </x:c>
      <x:c r="H32" s="57" t="inlineStr">
        <x:is>
          <x:t xml:space="preserve">Must capture dated filing URLs for each historical cycle.</x:t>
        </x:is>
      </x:c>
    </x:row>
    <x:row r="33">
      <x:c r="A33" s="57" t="inlineStr">
        <x:is>
          <x:t xml:space="preserve">SRC-027</x:t>
        </x:is>
      </x:c>
      <x:c r="B33" s="57" t="inlineStr">
        <x:is>
          <x:t xml:space="preserve">ARG-027</x:t>
        </x:is>
      </x:c>
      <x:c r="C33" s="57" t="inlineStr">
        <x:is>
          <x:t xml:space="preserve">Torpaz Industries</x:t>
        </x:is>
      </x:c>
      <x:c r="D33" s="57" t="inlineStr">
        <x:is>
          <x:t xml:space="preserve">Official investor relations / exchange</x:t>
        </x:is>
      </x:c>
      <x:c r="E33" s="57" t="inlineStr">
        <x:is>
          <x:t xml:space="preserve">https://market.tase.co.il/he/market_data/security/1175611/major_data</x:t>
        </x:is>
      </x:c>
      <x:c r="F33" s="220" t="n">
        <x:v>46264</x:v>
      </x:c>
      <x:c r="G33" s="57" t="inlineStr">
        <x:is>
          <x:t xml:space="preserve">Starting point for filings, reports and presentations</x:t>
        </x:is>
      </x:c>
      <x:c r="H33" s="57" t="inlineStr">
        <x:is>
          <x:t xml:space="preserve">Must capture dated filing URLs for each historical cycle.</x:t>
        </x:is>
      </x:c>
    </x:row>
    <x:row r="34">
      <x:c r="A34" s="57" t="inlineStr">
        <x:is>
          <x:t xml:space="preserve">SRC-028</x:t>
        </x:is>
      </x:c>
      <x:c r="B34" s="57" t="inlineStr">
        <x:is>
          <x:t xml:space="preserve">ARG-028</x:t>
        </x:is>
      </x:c>
      <x:c r="C34" s="57" t="inlineStr">
        <x:is>
          <x:t xml:space="preserve">Exxon Mobil</x:t>
        </x:is>
      </x:c>
      <x:c r="D34" s="57" t="inlineStr">
        <x:is>
          <x:t xml:space="preserve">Official investor relations / exchange</x:t>
        </x:is>
      </x:c>
      <x:c r="E34" s="57" t="inlineStr">
        <x:is>
          <x:t xml:space="preserve">https://corporate.exxonmobil.com/investors</x:t>
        </x:is>
      </x:c>
      <x:c r="F34" s="220" t="n">
        <x:v>46264</x:v>
      </x:c>
      <x:c r="G34" s="57" t="inlineStr">
        <x:is>
          <x:t xml:space="preserve">Starting point for filings, reports and presentations</x:t>
        </x:is>
      </x:c>
      <x:c r="H34" s="57" t="inlineStr">
        <x:is>
          <x:t xml:space="preserve">Must capture dated filing URLs for each historical cycle.</x:t>
        </x:is>
      </x:c>
    </x:row>
    <x:row r="35">
      <x:c r="A35" s="57" t="inlineStr">
        <x:is>
          <x:t xml:space="preserve">SRC-029</x:t>
        </x:is>
      </x:c>
      <x:c r="B35" s="57" t="inlineStr">
        <x:is>
          <x:t xml:space="preserve">ARG-029</x:t>
        </x:is>
      </x:c>
      <x:c r="C35" s="57" t="inlineStr">
        <x:is>
          <x:t xml:space="preserve">Chevron</x:t>
        </x:is>
      </x:c>
      <x:c r="D35" s="57" t="inlineStr">
        <x:is>
          <x:t xml:space="preserve">Official investor relations / exchange</x:t>
        </x:is>
      </x:c>
      <x:c r="E35" s="57" t="inlineStr">
        <x:is>
          <x:t xml:space="preserve">https://www.chevron.com/investors</x:t>
        </x:is>
      </x:c>
      <x:c r="F35" s="220" t="n">
        <x:v>46264</x:v>
      </x:c>
      <x:c r="G35" s="57" t="inlineStr">
        <x:is>
          <x:t xml:space="preserve">Starting point for filings, reports and presentations</x:t>
        </x:is>
      </x:c>
      <x:c r="H35" s="57" t="inlineStr">
        <x:is>
          <x:t xml:space="preserve">Must capture dated filing URLs for each historical cycle.</x:t>
        </x:is>
      </x:c>
    </x:row>
    <x:row r="36">
      <x:c r="A36" s="57" t="inlineStr">
        <x:is>
          <x:t xml:space="preserve">SRC-030</x:t>
        </x:is>
      </x:c>
      <x:c r="B36" s="57" t="inlineStr">
        <x:is>
          <x:t xml:space="preserve">ARG-030</x:t>
        </x:is>
      </x:c>
      <x:c r="C36" s="57" t="inlineStr">
        <x:is>
          <x:t xml:space="preserve">ConocoPhillips</x:t>
        </x:is>
      </x:c>
      <x:c r="D36" s="57" t="inlineStr">
        <x:is>
          <x:t xml:space="preserve">Official investor relations / exchange</x:t>
        </x:is>
      </x:c>
      <x:c r="E36" s="57" t="inlineStr">
        <x:is>
          <x:t xml:space="preserve">https://www.conocophillips.com/investor-relations/</x:t>
        </x:is>
      </x:c>
      <x:c r="F36" s="220" t="n">
        <x:v>46264</x:v>
      </x:c>
      <x:c r="G36" s="57" t="inlineStr">
        <x:is>
          <x:t xml:space="preserve">Starting point for filings, reports and presentations</x:t>
        </x:is>
      </x:c>
      <x:c r="H36" s="57" t="inlineStr">
        <x:is>
          <x:t xml:space="preserve">Must capture dated filing URLs for each historical cycle.</x:t>
        </x:is>
      </x:c>
    </x:row>
    <x:row r="37">
      <x:c r="A37" s="57" t="inlineStr">
        <x:is>
          <x:t xml:space="preserve">SRC-031</x:t>
        </x:is>
      </x:c>
      <x:c r="B37" s="57" t="inlineStr">
        <x:is>
          <x:t xml:space="preserve">ARG-031</x:t>
        </x:is>
      </x:c>
      <x:c r="C37" s="57" t="inlineStr">
        <x:is>
          <x:t xml:space="preserve">Occidental Petroleum</x:t>
        </x:is>
      </x:c>
      <x:c r="D37" s="57" t="inlineStr">
        <x:is>
          <x:t xml:space="preserve">Official investor relations / exchange</x:t>
        </x:is>
      </x:c>
      <x:c r="E37" s="57" t="inlineStr">
        <x:is>
          <x:t xml:space="preserve">https://www.oxy.com/investors/</x:t>
        </x:is>
      </x:c>
      <x:c r="F37" s="220" t="n">
        <x:v>46264</x:v>
      </x:c>
      <x:c r="G37" s="57" t="inlineStr">
        <x:is>
          <x:t xml:space="preserve">Starting point for filings, reports and presentations</x:t>
        </x:is>
      </x:c>
      <x:c r="H37" s="57" t="inlineStr">
        <x:is>
          <x:t xml:space="preserve">Must capture dated filing URLs for each historical cycle.</x:t>
        </x:is>
      </x:c>
    </x:row>
    <x:row r="38">
      <x:c r="A38" s="57" t="inlineStr">
        <x:is>
          <x:t xml:space="preserve">SRC-032</x:t>
        </x:is>
      </x:c>
      <x:c r="B38" s="57" t="inlineStr">
        <x:is>
          <x:t xml:space="preserve">ARG-032</x:t>
        </x:is>
      </x:c>
      <x:c r="C38" s="57" t="inlineStr">
        <x:is>
          <x:t xml:space="preserve">SLB</x:t>
        </x:is>
      </x:c>
      <x:c r="D38" s="57" t="inlineStr">
        <x:is>
          <x:t xml:space="preserve">Official investor relations / exchange</x:t>
        </x:is>
      </x:c>
      <x:c r="E38" s="57" t="inlineStr">
        <x:is>
          <x:t xml:space="preserve">https://investors.slb.com</x:t>
        </x:is>
      </x:c>
      <x:c r="F38" s="220" t="n">
        <x:v>46264</x:v>
      </x:c>
      <x:c r="G38" s="57" t="inlineStr">
        <x:is>
          <x:t xml:space="preserve">Starting point for filings, reports and presentations</x:t>
        </x:is>
      </x:c>
      <x:c r="H38" s="57" t="inlineStr">
        <x:is>
          <x:t xml:space="preserve">Must capture dated filing URLs for each historical cycle.</x:t>
        </x:is>
      </x:c>
    </x:row>
    <x:row r="39">
      <x:c r="A39" s="57" t="inlineStr">
        <x:is>
          <x:t xml:space="preserve">SRC-033</x:t>
        </x:is>
      </x:c>
      <x:c r="B39" s="57" t="inlineStr">
        <x:is>
          <x:t xml:space="preserve">ARG-033</x:t>
        </x:is>
      </x:c>
      <x:c r="C39" s="57" t="inlineStr">
        <x:is>
          <x:t xml:space="preserve">Fidelity National Information Services</x:t>
        </x:is>
      </x:c>
      <x:c r="D39" s="57" t="inlineStr">
        <x:is>
          <x:t xml:space="preserve">Official investor relations / exchange</x:t>
        </x:is>
      </x:c>
      <x:c r="E39" s="57" t="inlineStr">
        <x:is>
          <x:t xml:space="preserve">https://www.investors.fisglobal.com</x:t>
        </x:is>
      </x:c>
      <x:c r="F39" s="220" t="n">
        <x:v>46264</x:v>
      </x:c>
      <x:c r="G39" s="57" t="inlineStr">
        <x:is>
          <x:t xml:space="preserve">Starting point for filings, reports and presentations</x:t>
        </x:is>
      </x:c>
      <x:c r="H39" s="57" t="inlineStr">
        <x:is>
          <x:t xml:space="preserve">Must capture dated filing URLs for each historical cycle.</x:t>
        </x:is>
      </x:c>
    </x:row>
    <x:row r="40">
      <x:c r="A40" s="57" t="inlineStr">
        <x:is>
          <x:t xml:space="preserve">SRC-034</x:t>
        </x:is>
      </x:c>
      <x:c r="B40" s="57" t="inlineStr">
        <x:is>
          <x:t xml:space="preserve">ARG-034</x:t>
        </x:is>
      </x:c>
      <x:c r="C40" s="57" t="inlineStr">
        <x:is>
          <x:t xml:space="preserve">Fiserv</x:t>
        </x:is>
      </x:c>
      <x:c r="D40" s="57" t="inlineStr">
        <x:is>
          <x:t xml:space="preserve">Official investor relations / exchange</x:t>
        </x:is>
      </x:c>
      <x:c r="E40" s="57" t="inlineStr">
        <x:is>
          <x:t xml:space="preserve">https://investors.fiserv.com</x:t>
        </x:is>
      </x:c>
      <x:c r="F40" s="220" t="n">
        <x:v>46264</x:v>
      </x:c>
      <x:c r="G40" s="57" t="inlineStr">
        <x:is>
          <x:t xml:space="preserve">Starting point for filings, reports and presentations</x:t>
        </x:is>
      </x:c>
      <x:c r="H40" s="57" t="inlineStr">
        <x:is>
          <x:t xml:space="preserve">Must capture dated filing URLs for each historical cycle.</x:t>
        </x:is>
      </x:c>
    </x:row>
    <x:row r="41">
      <x:c r="A41" s="57" t="inlineStr">
        <x:is>
          <x:t xml:space="preserve">SRC-035</x:t>
        </x:is>
      </x:c>
      <x:c r="B41" s="57" t="inlineStr">
        <x:is>
          <x:t xml:space="preserve">ARG-035</x:t>
        </x:is>
      </x:c>
      <x:c r="C41" s="57" t="inlineStr">
        <x:is>
          <x:t xml:space="preserve">PayPal</x:t>
        </x:is>
      </x:c>
      <x:c r="D41" s="57" t="inlineStr">
        <x:is>
          <x:t xml:space="preserve">Official investor relations / exchange</x:t>
        </x:is>
      </x:c>
      <x:c r="E41" s="57" t="inlineStr">
        <x:is>
          <x:t xml:space="preserve">https://investor.pypl.com</x:t>
        </x:is>
      </x:c>
      <x:c r="F41" s="220" t="n">
        <x:v>46264</x:v>
      </x:c>
      <x:c r="G41" s="57" t="inlineStr">
        <x:is>
          <x:t xml:space="preserve">Starting point for filings, reports and presentations</x:t>
        </x:is>
      </x:c>
      <x:c r="H41" s="57" t="inlineStr">
        <x:is>
          <x:t xml:space="preserve">Must capture dated filing URLs for each historical cycle.</x:t>
        </x:is>
      </x:c>
    </x:row>
    <x:row r="42">
      <x:c r="A42" s="57" t="inlineStr">
        <x:is>
          <x:t xml:space="preserve">SRC-036</x:t>
        </x:is>
      </x:c>
      <x:c r="B42" s="57" t="inlineStr">
        <x:is>
          <x:t xml:space="preserve">ARG-036</x:t>
        </x:is>
      </x:c>
      <x:c r="C42" s="57" t="inlineStr">
        <x:is>
          <x:t xml:space="preserve">JPMorgan Chase</x:t>
        </x:is>
      </x:c>
      <x:c r="D42" s="57" t="inlineStr">
        <x:is>
          <x:t xml:space="preserve">Official investor relations / exchange</x:t>
        </x:is>
      </x:c>
      <x:c r="E42" s="57" t="inlineStr">
        <x:is>
          <x:t xml:space="preserve">https://www.jpmorganchase.com/ir</x:t>
        </x:is>
      </x:c>
      <x:c r="F42" s="220" t="n">
        <x:v>46264</x:v>
      </x:c>
      <x:c r="G42" s="57" t="inlineStr">
        <x:is>
          <x:t xml:space="preserve">Starting point for filings, reports and presentations</x:t>
        </x:is>
      </x:c>
      <x:c r="H42" s="57" t="inlineStr">
        <x:is>
          <x:t xml:space="preserve">Must capture dated filing URLs for each historical cycle.</x:t>
        </x:is>
      </x:c>
    </x:row>
    <x:row r="43">
      <x:c r="A43" s="57" t="inlineStr">
        <x:is>
          <x:t xml:space="preserve">SRC-037</x:t>
        </x:is>
      </x:c>
      <x:c r="B43" s="57" t="inlineStr">
        <x:is>
          <x:t xml:space="preserve">ARG-037</x:t>
        </x:is>
      </x:c>
      <x:c r="C43" s="57" t="inlineStr">
        <x:is>
          <x:t xml:space="preserve">Bank of America</x:t>
        </x:is>
      </x:c>
      <x:c r="D43" s="57" t="inlineStr">
        <x:is>
          <x:t xml:space="preserve">Official investor relations / exchange</x:t>
        </x:is>
      </x:c>
      <x:c r="E43" s="57" t="inlineStr">
        <x:is>
          <x:t xml:space="preserve">https://investor.bankofamerica.com</x:t>
        </x:is>
      </x:c>
      <x:c r="F43" s="220" t="n">
        <x:v>46264</x:v>
      </x:c>
      <x:c r="G43" s="57" t="inlineStr">
        <x:is>
          <x:t xml:space="preserve">Starting point for filings, reports and presentations</x:t>
        </x:is>
      </x:c>
      <x:c r="H43" s="57" t="inlineStr">
        <x:is>
          <x:t xml:space="preserve">Must capture dated filing URLs for each historical cycle.</x:t>
        </x:is>
      </x:c>
    </x:row>
    <x:row r="44">
      <x:c r="A44" s="57" t="inlineStr">
        <x:is>
          <x:t xml:space="preserve">SRC-038</x:t>
        </x:is>
      </x:c>
      <x:c r="B44" s="57" t="inlineStr">
        <x:is>
          <x:t xml:space="preserve">ARG-038</x:t>
        </x:is>
      </x:c>
      <x:c r="C44" s="57" t="inlineStr">
        <x:is>
          <x:t xml:space="preserve">Citigroup</x:t>
        </x:is>
      </x:c>
      <x:c r="D44" s="57" t="inlineStr">
        <x:is>
          <x:t xml:space="preserve">Official investor relations / exchange</x:t>
        </x:is>
      </x:c>
      <x:c r="E44" s="57" t="inlineStr">
        <x:is>
          <x:t xml:space="preserve">https://www.citigroup.com/citi/investor</x:t>
        </x:is>
      </x:c>
      <x:c r="F44" s="220" t="n">
        <x:v>46264</x:v>
      </x:c>
      <x:c r="G44" s="57" t="inlineStr">
        <x:is>
          <x:t xml:space="preserve">Starting point for filings, reports and presentations</x:t>
        </x:is>
      </x:c>
      <x:c r="H44" s="57" t="inlineStr">
        <x:is>
          <x:t xml:space="preserve">Must capture dated filing URLs for each historical cycle.</x:t>
        </x:is>
      </x:c>
    </x:row>
    <x:row r="45">
      <x:c r="A45" s="57" t="inlineStr">
        <x:is>
          <x:t xml:space="preserve">SRC-039</x:t>
        </x:is>
      </x:c>
      <x:c r="B45" s="57" t="inlineStr">
        <x:is>
          <x:t xml:space="preserve">ARG-039</x:t>
        </x:is>
      </x:c>
      <x:c r="C45" s="57" t="inlineStr">
        <x:is>
          <x:t xml:space="preserve">Goldman Sachs</x:t>
        </x:is>
      </x:c>
      <x:c r="D45" s="57" t="inlineStr">
        <x:is>
          <x:t xml:space="preserve">Official investor relations / exchange</x:t>
        </x:is>
      </x:c>
      <x:c r="E45" s="57" t="inlineStr">
        <x:is>
          <x:t xml:space="preserve">https://www.goldmansachs.com/investor-relations</x:t>
        </x:is>
      </x:c>
      <x:c r="F45" s="220" t="n">
        <x:v>46264</x:v>
      </x:c>
      <x:c r="G45" s="57" t="inlineStr">
        <x:is>
          <x:t xml:space="preserve">Starting point for filings, reports and presentations</x:t>
        </x:is>
      </x:c>
      <x:c r="H45" s="57" t="inlineStr">
        <x:is>
          <x:t xml:space="preserve">Must capture dated filing URLs for each historical cycle.</x:t>
        </x:is>
      </x:c>
    </x:row>
    <x:row r="46">
      <x:c r="A46" s="57" t="inlineStr">
        <x:is>
          <x:t xml:space="preserve">SRC-040</x:t>
        </x:is>
      </x:c>
      <x:c r="B46" s="57" t="inlineStr">
        <x:is>
          <x:t xml:space="preserve">ARG-040</x:t>
        </x:is>
      </x:c>
      <x:c r="C46" s="57" t="inlineStr">
        <x:is>
          <x:t xml:space="preserve">Berkshire Hathaway</x:t>
        </x:is>
      </x:c>
      <x:c r="D46" s="57" t="inlineStr">
        <x:is>
          <x:t xml:space="preserve">Official investor relations / exchange</x:t>
        </x:is>
      </x:c>
      <x:c r="E46" s="57" t="inlineStr">
        <x:is>
          <x:t xml:space="preserve">https://www.berkshirehathaway.com/reports.html</x:t>
        </x:is>
      </x:c>
      <x:c r="F46" s="220" t="n">
        <x:v>46264</x:v>
      </x:c>
      <x:c r="G46" s="57" t="inlineStr">
        <x:is>
          <x:t xml:space="preserve">Starting point for filings, reports and presentations</x:t>
        </x:is>
      </x:c>
      <x:c r="H46" s="57" t="inlineStr">
        <x:is>
          <x:t xml:space="preserve">Must capture dated filing URLs for each historical cycle.</x:t>
        </x:is>
      </x:c>
    </x:row>
    <x:row r="47">
      <x:c r="A47" s="57" t="inlineStr">
        <x:is>
          <x:t xml:space="preserve">SRC-041</x:t>
        </x:is>
      </x:c>
      <x:c r="B47" s="57" t="inlineStr">
        <x:is>
          <x:t xml:space="preserve">ARG-041</x:t>
        </x:is>
      </x:c>
      <x:c r="C47" s="57" t="inlineStr">
        <x:is>
          <x:t xml:space="preserve">Chubb</x:t>
        </x:is>
      </x:c>
      <x:c r="D47" s="57" t="inlineStr">
        <x:is>
          <x:t xml:space="preserve">Official investor relations / exchange</x:t>
        </x:is>
      </x:c>
      <x:c r="E47" s="57" t="inlineStr">
        <x:is>
          <x:t xml:space="preserve">https://investors.chubb.com</x:t>
        </x:is>
      </x:c>
      <x:c r="F47" s="220" t="n">
        <x:v>46264</x:v>
      </x:c>
      <x:c r="G47" s="57" t="inlineStr">
        <x:is>
          <x:t xml:space="preserve">Starting point for filings, reports and presentations</x:t>
        </x:is>
      </x:c>
      <x:c r="H47" s="57" t="inlineStr">
        <x:is>
          <x:t xml:space="preserve">Must capture dated filing URLs for each historical cycle.</x:t>
        </x:is>
      </x:c>
    </x:row>
    <x:row r="48">
      <x:c r="A48" s="57" t="inlineStr">
        <x:is>
          <x:t xml:space="preserve">SRC-042</x:t>
        </x:is>
      </x:c>
      <x:c r="B48" s="57" t="inlineStr">
        <x:is>
          <x:t xml:space="preserve">ARG-042</x:t>
        </x:is>
      </x:c>
      <x:c r="C48" s="57" t="inlineStr">
        <x:is>
          <x:t xml:space="preserve">Progressive</x:t>
        </x:is>
      </x:c>
      <x:c r="D48" s="57" t="inlineStr">
        <x:is>
          <x:t xml:space="preserve">Official investor relations / exchange</x:t>
        </x:is>
      </x:c>
      <x:c r="E48" s="57" t="inlineStr">
        <x:is>
          <x:t xml:space="preserve">https://investors.progressive.com</x:t>
        </x:is>
      </x:c>
      <x:c r="F48" s="220" t="n">
        <x:v>46264</x:v>
      </x:c>
      <x:c r="G48" s="57" t="inlineStr">
        <x:is>
          <x:t xml:space="preserve">Starting point for filings, reports and presentations</x:t>
        </x:is>
      </x:c>
      <x:c r="H48" s="57" t="inlineStr">
        <x:is>
          <x:t xml:space="preserve">Must capture dated filing URLs for each historical cycle.</x:t>
        </x:is>
      </x:c>
    </x:row>
    <x:row r="49">
      <x:c r="A49" s="57" t="inlineStr">
        <x:is>
          <x:t xml:space="preserve">SRC-043</x:t>
        </x:is>
      </x:c>
      <x:c r="B49" s="57" t="inlineStr">
        <x:is>
          <x:t xml:space="preserve">ARG-043</x:t>
        </x:is>
      </x:c>
      <x:c r="C49" s="57" t="inlineStr">
        <x:is>
          <x:t xml:space="preserve">Microsoft</x:t>
        </x:is>
      </x:c>
      <x:c r="D49" s="57" t="inlineStr">
        <x:is>
          <x:t xml:space="preserve">Official investor relations / exchange</x:t>
        </x:is>
      </x:c>
      <x:c r="E49" s="57" t="inlineStr">
        <x:is>
          <x:t xml:space="preserve">https://www.microsoft.com/en-us/Investor</x:t>
        </x:is>
      </x:c>
      <x:c r="F49" s="220" t="n">
        <x:v>46264</x:v>
      </x:c>
      <x:c r="G49" s="57" t="inlineStr">
        <x:is>
          <x:t xml:space="preserve">Starting point for filings, reports and presentations</x:t>
        </x:is>
      </x:c>
      <x:c r="H49" s="57" t="inlineStr">
        <x:is>
          <x:t xml:space="preserve">Must capture dated filing URLs for each historical cycle.</x:t>
        </x:is>
      </x:c>
    </x:row>
    <x:row r="50">
      <x:c r="A50" s="57" t="inlineStr">
        <x:is>
          <x:t xml:space="preserve">SRC-044</x:t>
        </x:is>
      </x:c>
      <x:c r="B50" s="57" t="inlineStr">
        <x:is>
          <x:t xml:space="preserve">ARG-044</x:t>
        </x:is>
      </x:c>
      <x:c r="C50" s="57" t="inlineStr">
        <x:is>
          <x:t xml:space="preserve">Alphabet</x:t>
        </x:is>
      </x:c>
      <x:c r="D50" s="57" t="inlineStr">
        <x:is>
          <x:t xml:space="preserve">Official investor relations / exchange</x:t>
        </x:is>
      </x:c>
      <x:c r="E50" s="57" t="inlineStr">
        <x:is>
          <x:t xml:space="preserve">https://abc.xyz/investor/</x:t>
        </x:is>
      </x:c>
      <x:c r="F50" s="220" t="n">
        <x:v>46264</x:v>
      </x:c>
      <x:c r="G50" s="57" t="inlineStr">
        <x:is>
          <x:t xml:space="preserve">Starting point for filings, reports and presentations</x:t>
        </x:is>
      </x:c>
      <x:c r="H50" s="57" t="inlineStr">
        <x:is>
          <x:t xml:space="preserve">Must capture dated filing URLs for each historical cycle.</x:t>
        </x:is>
      </x:c>
    </x:row>
    <x:row r="51">
      <x:c r="A51" s="57" t="inlineStr">
        <x:is>
          <x:t xml:space="preserve">SRC-045</x:t>
        </x:is>
      </x:c>
      <x:c r="B51" s="57" t="inlineStr">
        <x:is>
          <x:t xml:space="preserve">ARG-045</x:t>
        </x:is>
      </x:c>
      <x:c r="C51" s="57" t="inlineStr">
        <x:is>
          <x:t xml:space="preserve">Meta Platforms</x:t>
        </x:is>
      </x:c>
      <x:c r="D51" s="57" t="inlineStr">
        <x:is>
          <x:t xml:space="preserve">Official investor relations / exchange</x:t>
        </x:is>
      </x:c>
      <x:c r="E51" s="57" t="inlineStr">
        <x:is>
          <x:t xml:space="preserve">https://investor.atmeta.com</x:t>
        </x:is>
      </x:c>
      <x:c r="F51" s="220" t="n">
        <x:v>46264</x:v>
      </x:c>
      <x:c r="G51" s="57" t="inlineStr">
        <x:is>
          <x:t xml:space="preserve">Starting point for filings, reports and presentations</x:t>
        </x:is>
      </x:c>
      <x:c r="H51" s="57" t="inlineStr">
        <x:is>
          <x:t xml:space="preserve">Must capture dated filing URLs for each historical cycle.</x:t>
        </x:is>
      </x:c>
    </x:row>
    <x:row r="52">
      <x:c r="A52" s="57" t="inlineStr">
        <x:is>
          <x:t xml:space="preserve">SRC-046</x:t>
        </x:is>
      </x:c>
      <x:c r="B52" s="57" t="inlineStr">
        <x:is>
          <x:t xml:space="preserve">ARG-046</x:t>
        </x:is>
      </x:c>
      <x:c r="C52" s="57" t="inlineStr">
        <x:is>
          <x:t xml:space="preserve">Amazon</x:t>
        </x:is>
      </x:c>
      <x:c r="D52" s="57" t="inlineStr">
        <x:is>
          <x:t xml:space="preserve">Official investor relations / exchange</x:t>
        </x:is>
      </x:c>
      <x:c r="E52" s="57" t="inlineStr">
        <x:is>
          <x:t xml:space="preserve">https://ir.aboutamazon.com</x:t>
        </x:is>
      </x:c>
      <x:c r="F52" s="220" t="n">
        <x:v>46264</x:v>
      </x:c>
      <x:c r="G52" s="57" t="inlineStr">
        <x:is>
          <x:t xml:space="preserve">Starting point for filings, reports and presentations</x:t>
        </x:is>
      </x:c>
      <x:c r="H52" s="57" t="inlineStr">
        <x:is>
          <x:t xml:space="preserve">Must capture dated filing URLs for each historical cycle.</x:t>
        </x:is>
      </x:c>
    </x:row>
    <x:row r="53">
      <x:c r="A53" s="57" t="inlineStr">
        <x:is>
          <x:t xml:space="preserve">SRC-047</x:t>
        </x:is>
      </x:c>
      <x:c r="B53" s="57" t="inlineStr">
        <x:is>
          <x:t xml:space="preserve">ARG-047</x:t>
        </x:is>
      </x:c>
      <x:c r="C53" s="57" t="inlineStr">
        <x:is>
          <x:t xml:space="preserve">Intuit</x:t>
        </x:is>
      </x:c>
      <x:c r="D53" s="57" t="inlineStr">
        <x:is>
          <x:t xml:space="preserve">Official investor relations / exchange</x:t>
        </x:is>
      </x:c>
      <x:c r="E53" s="57" t="inlineStr">
        <x:is>
          <x:t xml:space="preserve">https://investors.intuit.com</x:t>
        </x:is>
      </x:c>
      <x:c r="F53" s="220" t="n">
        <x:v>46264</x:v>
      </x:c>
      <x:c r="G53" s="57" t="inlineStr">
        <x:is>
          <x:t xml:space="preserve">Starting point for filings, reports and presentations</x:t>
        </x:is>
      </x:c>
      <x:c r="H53" s="57" t="inlineStr">
        <x:is>
          <x:t xml:space="preserve">Must capture dated filing URLs for each historical cycle.</x:t>
        </x:is>
      </x:c>
    </x:row>
    <x:row r="54">
      <x:c r="A54" s="57" t="inlineStr">
        <x:is>
          <x:t xml:space="preserve">SRC-048</x:t>
        </x:is>
      </x:c>
      <x:c r="B54" s="57" t="inlineStr">
        <x:is>
          <x:t xml:space="preserve">ARG-048</x:t>
        </x:is>
      </x:c>
      <x:c r="C54" s="57" t="inlineStr">
        <x:is>
          <x:t xml:space="preserve">Oracle</x:t>
        </x:is>
      </x:c>
      <x:c r="D54" s="57" t="inlineStr">
        <x:is>
          <x:t xml:space="preserve">Official investor relations / exchange</x:t>
        </x:is>
      </x:c>
      <x:c r="E54" s="57" t="inlineStr">
        <x:is>
          <x:t xml:space="preserve">https://investor.oracle.com</x:t>
        </x:is>
      </x:c>
      <x:c r="F54" s="220" t="n">
        <x:v>46264</x:v>
      </x:c>
      <x:c r="G54" s="57" t="inlineStr">
        <x:is>
          <x:t xml:space="preserve">Starting point for filings, reports and presentations</x:t>
        </x:is>
      </x:c>
      <x:c r="H54" s="57" t="inlineStr">
        <x:is>
          <x:t xml:space="preserve">Must capture dated filing URLs for each historical cycle.</x:t>
        </x:is>
      </x:c>
    </x:row>
    <x:row r="55">
      <x:c r="A55" s="57" t="inlineStr">
        <x:is>
          <x:t xml:space="preserve">SRC-049</x:t>
        </x:is>
      </x:c>
      <x:c r="B55" s="57" t="inlineStr">
        <x:is>
          <x:t xml:space="preserve">ARG-049</x:t>
        </x:is>
      </x:c>
      <x:c r="C55" s="57" t="inlineStr">
        <x:is>
          <x:t xml:space="preserve">Salesforce</x:t>
        </x:is>
      </x:c>
      <x:c r="D55" s="57" t="inlineStr">
        <x:is>
          <x:t xml:space="preserve">Official investor relations / exchange</x:t>
        </x:is>
      </x:c>
      <x:c r="E55" s="57" t="inlineStr">
        <x:is>
          <x:t xml:space="preserve">https://investor.salesforce.com</x:t>
        </x:is>
      </x:c>
      <x:c r="F55" s="220" t="n">
        <x:v>46264</x:v>
      </x:c>
      <x:c r="G55" s="57" t="inlineStr">
        <x:is>
          <x:t xml:space="preserve">Starting point for filings, reports and presentations</x:t>
        </x:is>
      </x:c>
      <x:c r="H55" s="57" t="inlineStr">
        <x:is>
          <x:t xml:space="preserve">Must capture dated filing URLs for each historical cycle.</x:t>
        </x:is>
      </x:c>
    </x:row>
    <x:row r="56">
      <x:c r="A56" s="57" t="inlineStr">
        <x:is>
          <x:t xml:space="preserve">SRC-050</x:t>
        </x:is>
      </x:c>
      <x:c r="B56" s="57" t="inlineStr">
        <x:is>
          <x:t xml:space="preserve">ARG-050</x:t>
        </x:is>
      </x:c>
      <x:c r="C56" s="57" t="inlineStr">
        <x:is>
          <x:t xml:space="preserve">Apple</x:t>
        </x:is>
      </x:c>
      <x:c r="D56" s="57" t="inlineStr">
        <x:is>
          <x:t xml:space="preserve">Official investor relations / exchange</x:t>
        </x:is>
      </x:c>
      <x:c r="E56" s="57" t="inlineStr">
        <x:is>
          <x:t xml:space="preserve">https://investor.apple.com</x:t>
        </x:is>
      </x:c>
      <x:c r="F56" s="220" t="n">
        <x:v>46264</x:v>
      </x:c>
      <x:c r="G56" s="57" t="inlineStr">
        <x:is>
          <x:t xml:space="preserve">Starting point for filings, reports and presentations</x:t>
        </x:is>
      </x:c>
      <x:c r="H56" s="57" t="inlineStr">
        <x:is>
          <x:t xml:space="preserve">Must capture dated filing URLs for each historical cycle.</x:t>
        </x:is>
      </x:c>
    </x:row>
    <x:row r="57">
      <x:c r="A57" s="57" t="inlineStr">
        <x:is>
          <x:t xml:space="preserve">SRC-051</x:t>
        </x:is>
      </x:c>
      <x:c r="B57" s="57" t="inlineStr">
        <x:is>
          <x:t xml:space="preserve">ARG-051</x:t>
        </x:is>
      </x:c>
      <x:c r="C57" s="57" t="inlineStr">
        <x:is>
          <x:t xml:space="preserve">DHT Holdings</x:t>
        </x:is>
      </x:c>
      <x:c r="D57" s="57" t="inlineStr">
        <x:is>
          <x:t xml:space="preserve">Official investor relations / exchange</x:t>
        </x:is>
      </x:c>
      <x:c r="E57" s="57" t="inlineStr">
        <x:is>
          <x:t xml:space="preserve">https://www.dhtankers.com/investor-relations</x:t>
        </x:is>
      </x:c>
      <x:c r="F57" s="220" t="n">
        <x:v>46264</x:v>
      </x:c>
      <x:c r="G57" s="57" t="inlineStr">
        <x:is>
          <x:t xml:space="preserve">Starting point for filings, reports and presentations</x:t>
        </x:is>
      </x:c>
      <x:c r="H57" s="57" t="inlineStr">
        <x:is>
          <x:t xml:space="preserve">Must capture dated filing URLs for each historical cycle.</x:t>
        </x:is>
      </x:c>
    </x:row>
    <x:row r="58">
      <x:c r="A58" s="57" t="inlineStr">
        <x:is>
          <x:t xml:space="preserve">SRC-052</x:t>
        </x:is>
      </x:c>
      <x:c r="B58" s="57" t="inlineStr">
        <x:is>
          <x:t xml:space="preserve">ARG-052</x:t>
        </x:is>
      </x:c>
      <x:c r="C58" s="57" t="inlineStr">
        <x:is>
          <x:t xml:space="preserve">UBS Group</x:t>
        </x:is>
      </x:c>
      <x:c r="D58" s="57" t="inlineStr">
        <x:is>
          <x:t xml:space="preserve">Official investor relations / exchange</x:t>
        </x:is>
      </x:c>
      <x:c r="E58" s="57" t="inlineStr">
        <x:is>
          <x:t xml:space="preserve">https://www.ubs.com/global/en/investor-relations.html</x:t>
        </x:is>
      </x:c>
      <x:c r="F58" s="220" t="n">
        <x:v>46264</x:v>
      </x:c>
      <x:c r="G58" s="57" t="inlineStr">
        <x:is>
          <x:t xml:space="preserve">Starting point for filings, reports and presentations</x:t>
        </x:is>
      </x:c>
      <x:c r="H58" s="57" t="inlineStr">
        <x:is>
          <x:t xml:space="preserve">Must capture dated filing URLs for each historical cycle.</x:t>
        </x:is>
      </x:c>
    </x:row>
    <x:row r="59">
      <x:c r="A59" s="57" t="inlineStr">
        <x:is>
          <x:t xml:space="preserve">SRC-053</x:t>
        </x:is>
      </x:c>
      <x:c r="B59" s="57" t="inlineStr">
        <x:is>
          <x:t xml:space="preserve">ARG-053</x:t>
        </x:is>
      </x:c>
      <x:c r="C59" s="57" t="inlineStr">
        <x:is>
          <x:t xml:space="preserve">Munich Re</x:t>
        </x:is>
      </x:c>
      <x:c r="D59" s="57" t="inlineStr">
        <x:is>
          <x:t xml:space="preserve">Official investor relations / exchange</x:t>
        </x:is>
      </x:c>
      <x:c r="E59" s="57" t="inlineStr">
        <x:is>
          <x:t xml:space="preserve">https://www.munichre.com/en/company/investors.html</x:t>
        </x:is>
      </x:c>
      <x:c r="F59" s="220" t="n">
        <x:v>46264</x:v>
      </x:c>
      <x:c r="G59" s="57" t="inlineStr">
        <x:is>
          <x:t xml:space="preserve">Starting point for filings, reports and presentations</x:t>
        </x:is>
      </x:c>
      <x:c r="H59" s="57" t="inlineStr">
        <x:is>
          <x:t xml:space="preserve">Must capture dated filing URLs for each historical cycle.</x:t>
        </x:is>
      </x:c>
    </x:row>
    <x:row r="60">
      <x:c r="A60" s="57" t="inlineStr">
        <x:is>
          <x:t xml:space="preserve">SRC-054</x:t>
        </x:is>
      </x:c>
      <x:c r="B60" s="57" t="inlineStr">
        <x:is>
          <x:t xml:space="preserve">ARG-054</x:t>
        </x:is>
      </x:c>
      <x:c r="C60" s="57" t="inlineStr">
        <x:is>
          <x:t xml:space="preserve">Eli Lilly</x:t>
        </x:is>
      </x:c>
      <x:c r="D60" s="57" t="inlineStr">
        <x:is>
          <x:t xml:space="preserve">Official investor relations / exchange</x:t>
        </x:is>
      </x:c>
      <x:c r="E60" s="57" t="inlineStr">
        <x:is>
          <x:t xml:space="preserve">https://investor.lilly.com</x:t>
        </x:is>
      </x:c>
      <x:c r="F60" s="220" t="n">
        <x:v>46264</x:v>
      </x:c>
      <x:c r="G60" s="57" t="inlineStr">
        <x:is>
          <x:t xml:space="preserve">Starting point for filings, reports and presentations</x:t>
        </x:is>
      </x:c>
      <x:c r="H60" s="57" t="inlineStr">
        <x:is>
          <x:t xml:space="preserve">Must capture dated filing URLs for each historical cycle.</x:t>
        </x:is>
      </x:c>
    </x:row>
    <x:row r="61">
      <x:c r="A61" s="57" t="inlineStr">
        <x:is>
          <x:t xml:space="preserve">SRC-055</x:t>
        </x:is>
      </x:c>
      <x:c r="B61" s="57" t="inlineStr">
        <x:is>
          <x:t xml:space="preserve">ARG-055</x:t>
        </x:is>
      </x:c>
      <x:c r="C61" s="57" t="inlineStr">
        <x:is>
          <x:t xml:space="preserve">Costco Wholesale</x:t>
        </x:is>
      </x:c>
      <x:c r="D61" s="57" t="inlineStr">
        <x:is>
          <x:t xml:space="preserve">Official investor relations / exchange</x:t>
        </x:is>
      </x:c>
      <x:c r="E61" s="57" t="inlineStr">
        <x:is>
          <x:t xml:space="preserve">https://investor.costco.com</x:t>
        </x:is>
      </x:c>
      <x:c r="F61" s="220" t="n">
        <x:v>46264</x:v>
      </x:c>
      <x:c r="G61" s="57" t="inlineStr">
        <x:is>
          <x:t xml:space="preserve">Starting point for filings, reports and presentations</x:t>
        </x:is>
      </x:c>
      <x:c r="H61" s="57" t="inlineStr">
        <x:is>
          <x:t xml:space="preserve">Must capture dated filing URLs for each historical cycle.</x:t>
        </x:is>
      </x:c>
    </x:row>
    <x:row r="62">
      <x:c r="A62" s="57" t="inlineStr">
        <x:is>
          <x:t xml:space="preserve">SRC-056</x:t>
        </x:is>
      </x:c>
      <x:c r="B62" s="57" t="inlineStr">
        <x:is>
          <x:t xml:space="preserve">ARG-056</x:t>
        </x:is>
      </x:c>
      <x:c r="C62" s="57" t="inlineStr">
        <x:is>
          <x:t xml:space="preserve">Caterpillar</x:t>
        </x:is>
      </x:c>
      <x:c r="D62" s="57" t="inlineStr">
        <x:is>
          <x:t xml:space="preserve">Official investor relations / exchange</x:t>
        </x:is>
      </x:c>
      <x:c r="E62" s="57" t="inlineStr">
        <x:is>
          <x:t xml:space="preserve">https://investors.caterpillar.com</x:t>
        </x:is>
      </x:c>
      <x:c r="F62" s="220" t="n">
        <x:v>46264</x:v>
      </x:c>
      <x:c r="G62" s="57" t="inlineStr">
        <x:is>
          <x:t xml:space="preserve">Starting point for filings, reports and presentations</x:t>
        </x:is>
      </x:c>
      <x:c r="H62" s="57" t="inlineStr">
        <x:is>
          <x:t xml:space="preserve">Must capture dated filing URLs for each historical cycle.</x:t>
        </x:is>
      </x:c>
    </x:row>
    <x:row r="63">
      <x:c r="A63" s="57" t="inlineStr">
        <x:is>
          <x:t xml:space="preserve">SRC-057</x:t>
        </x:is>
      </x:c>
      <x:c r="B63" s="57" t="inlineStr">
        <x:is>
          <x:t xml:space="preserve">ARG-057</x:t>
        </x:is>
      </x:c>
      <x:c r="C63" s="57" t="inlineStr">
        <x:is>
          <x:t xml:space="preserve">BHP Group</x:t>
        </x:is>
      </x:c>
      <x:c r="D63" s="57" t="inlineStr">
        <x:is>
          <x:t xml:space="preserve">Official investor relations / exchange</x:t>
        </x:is>
      </x:c>
      <x:c r="E63" s="57" t="inlineStr">
        <x:is>
          <x:t xml:space="preserve">https://www.bhp.com/investors</x:t>
        </x:is>
      </x:c>
      <x:c r="F63" s="220" t="n">
        <x:v>46264</x:v>
      </x:c>
      <x:c r="G63" s="57" t="inlineStr">
        <x:is>
          <x:t xml:space="preserve">Starting point for filings, reports and presentations</x:t>
        </x:is>
      </x:c>
      <x:c r="H63" s="57" t="inlineStr">
        <x:is>
          <x:t xml:space="preserve">Must capture dated filing URLs for each historical cycle.</x:t>
        </x:is>
      </x:c>
    </x:row>
    <x:row r="64">
      <x:c r="A64" s="57" t="inlineStr">
        <x:is>
          <x:t xml:space="preserve">SRC-058</x:t>
        </x:is>
      </x:c>
      <x:c r="B64" s="57" t="inlineStr">
        <x:is>
          <x:t xml:space="preserve">ARG-058</x:t>
        </x:is>
      </x:c>
      <x:c r="C64" s="57" t="inlineStr">
        <x:is>
          <x:t xml:space="preserve">Prologis</x:t>
        </x:is>
      </x:c>
      <x:c r="D64" s="57" t="inlineStr">
        <x:is>
          <x:t xml:space="preserve">Official investor relations / exchange</x:t>
        </x:is>
      </x:c>
      <x:c r="E64" s="57" t="inlineStr">
        <x:is>
          <x:t xml:space="preserve">https://ir.prologis.com</x:t>
        </x:is>
      </x:c>
      <x:c r="F64" s="220" t="n">
        <x:v>46264</x:v>
      </x:c>
      <x:c r="G64" s="57" t="inlineStr">
        <x:is>
          <x:t xml:space="preserve">Starting point for filings, reports and presentations</x:t>
        </x:is>
      </x:c>
      <x:c r="H64" s="57" t="inlineStr">
        <x:is>
          <x:t xml:space="preserve">Must capture dated filing URLs for each historical cycle.</x:t>
        </x:is>
      </x:c>
    </x:row>
    <x:row r="65">
      <x:c r="A65" s="57" t="inlineStr">
        <x:is>
          <x:t xml:space="preserve">SRC-059</x:t>
        </x:is>
      </x:c>
      <x:c r="B65" s="57" t="inlineStr">
        <x:is>
          <x:t xml:space="preserve">ARG-059</x:t>
        </x:is>
      </x:c>
      <x:c r="C65" s="57" t="inlineStr">
        <x:is>
          <x:t xml:space="preserve">Union Pacific</x:t>
        </x:is>
      </x:c>
      <x:c r="D65" s="57" t="inlineStr">
        <x:is>
          <x:t xml:space="preserve">Official investor relations / exchange</x:t>
        </x:is>
      </x:c>
      <x:c r="E65" s="57" t="inlineStr">
        <x:is>
          <x:t xml:space="preserve">https://investor.unionpacific.com</x:t>
        </x:is>
      </x:c>
      <x:c r="F65" s="220" t="n">
        <x:v>46264</x:v>
      </x:c>
      <x:c r="G65" s="57" t="inlineStr">
        <x:is>
          <x:t xml:space="preserve">Starting point for filings, reports and presentations</x:t>
        </x:is>
      </x:c>
      <x:c r="H65" s="57" t="inlineStr">
        <x:is>
          <x:t xml:space="preserve">Must capture dated filing URLs for each historical cycle.</x:t>
        </x:is>
      </x:c>
    </x:row>
    <x:row r="66">
      <x:c r="A66" s="57" t="inlineStr">
        <x:is>
          <x:t xml:space="preserve">SRC-060</x:t>
        </x:is>
      </x:c>
      <x:c r="B66" s="57" t="inlineStr">
        <x:is>
          <x:t xml:space="preserve">ARG-060</x:t>
        </x:is>
      </x:c>
      <x:c r="C66" s="57" t="inlineStr">
        <x:is>
          <x:t xml:space="preserve">Palo Alto Networks</x:t>
        </x:is>
      </x:c>
      <x:c r="D66" s="57" t="inlineStr">
        <x:is>
          <x:t xml:space="preserve">Official investor relations / exchange</x:t>
        </x:is>
      </x:c>
      <x:c r="E66" s="57" t="inlineStr">
        <x:is>
          <x:t xml:space="preserve">https://investors.paloaltonetworks.com</x:t>
        </x:is>
      </x:c>
      <x:c r="F66" s="220" t="n">
        <x:v>46264</x:v>
      </x:c>
      <x:c r="G66" s="57" t="inlineStr">
        <x:is>
          <x:t xml:space="preserve">Starting point for filings, reports and presentations</x:t>
        </x:is>
      </x:c>
      <x:c r="H66" s="57" t="inlineStr">
        <x:is>
          <x:t xml:space="preserve">Must capture dated filing URLs for each historical cycle.</x:t>
        </x:is>
      </x:c>
    </x:row>
    <x:row r="67">
      <x:c r="A67" s="57" t="inlineStr">
        <x:is>
          <x:t xml:space="preserve">SRC-061</x:t>
        </x:is>
      </x:c>
      <x:c r="B67" s="57" t="inlineStr">
        <x:is>
          <x:t xml:space="preserve">ARG-061</x:t>
        </x:is>
      </x:c>
      <x:c r="C67" s="57" t="inlineStr">
        <x:is>
          <x:t xml:space="preserve">Scorpio Tankers</x:t>
        </x:is>
      </x:c>
      <x:c r="D67" s="57" t="inlineStr">
        <x:is>
          <x:t xml:space="preserve">Official investor relations / exchange</x:t>
        </x:is>
      </x:c>
      <x:c r="E67" s="57" t="inlineStr">
        <x:is>
          <x:t xml:space="preserve">https://www.scorpiotankers.com</x:t>
        </x:is>
      </x:c>
      <x:c r="F67" s="220" t="n">
        <x:v>46264</x:v>
      </x:c>
      <x:c r="G67" s="57" t="inlineStr">
        <x:is>
          <x:t xml:space="preserve">Starting point for filings, reports and presentations</x:t>
        </x:is>
      </x:c>
      <x:c r="H67" s="57" t="inlineStr">
        <x:is>
          <x:t xml:space="preserve">Must capture dated filing URLs for each historical cycle.</x:t>
        </x:is>
      </x:c>
    </x:row>
    <x:row r="68">
      <x:c r="A68" s="57" t="inlineStr">
        <x:is>
          <x:t xml:space="preserve">SRC-062</x:t>
        </x:is>
      </x:c>
      <x:c r="B68" s="57" t="inlineStr">
        <x:is>
          <x:t xml:space="preserve">ARG-062</x:t>
        </x:is>
      </x:c>
      <x:c r="C68" s="57" t="inlineStr">
        <x:is>
          <x:t xml:space="preserve">HSBC Holdings</x:t>
        </x:is>
      </x:c>
      <x:c r="D68" s="57" t="inlineStr">
        <x:is>
          <x:t xml:space="preserve">Official investor relations / exchange</x:t>
        </x:is>
      </x:c>
      <x:c r="E68" s="57" t="inlineStr">
        <x:is>
          <x:t xml:space="preserve">https://www.hsbc.com/investors</x:t>
        </x:is>
      </x:c>
      <x:c r="F68" s="220" t="n">
        <x:v>46264</x:v>
      </x:c>
      <x:c r="G68" s="57" t="inlineStr">
        <x:is>
          <x:t xml:space="preserve">Starting point for filings, reports and presentations</x:t>
        </x:is>
      </x:c>
      <x:c r="H68" s="57" t="inlineStr">
        <x:is>
          <x:t xml:space="preserve">Must capture dated filing URLs for each historical cycle.</x:t>
        </x:is>
      </x:c>
    </x:row>
    <x:row r="69">
      <x:c r="A69" s="57" t="inlineStr">
        <x:is>
          <x:t xml:space="preserve">SRC-063</x:t>
        </x:is>
      </x:c>
      <x:c r="B69" s="57" t="inlineStr">
        <x:is>
          <x:t xml:space="preserve">ARG-063</x:t>
        </x:is>
      </x:c>
      <x:c r="C69" s="57" t="inlineStr">
        <x:is>
          <x:t xml:space="preserve">Allianz</x:t>
        </x:is>
      </x:c>
      <x:c r="D69" s="57" t="inlineStr">
        <x:is>
          <x:t xml:space="preserve">Official investor relations / exchange</x:t>
        </x:is>
      </x:c>
      <x:c r="E69" s="57" t="inlineStr">
        <x:is>
          <x:t xml:space="preserve">https://www.allianz.com/en/investor_relations.html</x:t>
        </x:is>
      </x:c>
      <x:c r="F69" s="220" t="n">
        <x:v>46264</x:v>
      </x:c>
      <x:c r="G69" s="57" t="inlineStr">
        <x:is>
          <x:t xml:space="preserve">Starting point for filings, reports and presentations</x:t>
        </x:is>
      </x:c>
      <x:c r="H69" s="57" t="inlineStr">
        <x:is>
          <x:t xml:space="preserve">Must capture dated filing URLs for each historical cycle.</x:t>
        </x:is>
      </x:c>
    </x:row>
    <x:row r="70">
      <x:c r="A70" s="57" t="inlineStr">
        <x:is>
          <x:t xml:space="preserve">SRC-064</x:t>
        </x:is>
      </x:c>
      <x:c r="B70" s="57" t="inlineStr">
        <x:is>
          <x:t xml:space="preserve">ARG-064</x:t>
        </x:is>
      </x:c>
      <x:c r="C70" s="57" t="inlineStr">
        <x:is>
          <x:t xml:space="preserve">Novo Nordisk</x:t>
        </x:is>
      </x:c>
      <x:c r="D70" s="57" t="inlineStr">
        <x:is>
          <x:t xml:space="preserve">Official investor relations / exchange</x:t>
        </x:is>
      </x:c>
      <x:c r="E70" s="57" t="inlineStr">
        <x:is>
          <x:t xml:space="preserve">https://www.novonordisk.com/investors.html</x:t>
        </x:is>
      </x:c>
      <x:c r="F70" s="220" t="n">
        <x:v>46264</x:v>
      </x:c>
      <x:c r="G70" s="57" t="inlineStr">
        <x:is>
          <x:t xml:space="preserve">Starting point for filings, reports and presentations</x:t>
        </x:is>
      </x:c>
      <x:c r="H70" s="57" t="inlineStr">
        <x:is>
          <x:t xml:space="preserve">Must capture dated filing URLs for each historical cycle.</x:t>
        </x:is>
      </x:c>
    </x:row>
    <x:row r="71">
      <x:c r="A71" s="57" t="inlineStr">
        <x:is>
          <x:t xml:space="preserve">SRC-065</x:t>
        </x:is>
      </x:c>
      <x:c r="B71" s="57" t="inlineStr">
        <x:is>
          <x:t xml:space="preserve">ARG-065</x:t>
        </x:is>
      </x:c>
      <x:c r="C71" s="57" t="inlineStr">
        <x:is>
          <x:t xml:space="preserve">Johnson &amp; Johnson</x:t>
        </x:is>
      </x:c>
      <x:c r="D71" s="57" t="inlineStr">
        <x:is>
          <x:t xml:space="preserve">Official investor relations / exchange</x:t>
        </x:is>
      </x:c>
      <x:c r="E71" s="57" t="inlineStr">
        <x:is>
          <x:t xml:space="preserve">https://www.investor.jnj.com</x:t>
        </x:is>
      </x:c>
      <x:c r="F71" s="220" t="n">
        <x:v>46264</x:v>
      </x:c>
      <x:c r="G71" s="57" t="inlineStr">
        <x:is>
          <x:t xml:space="preserve">Starting point for filings, reports and presentations</x:t>
        </x:is>
      </x:c>
      <x:c r="H71" s="57" t="inlineStr">
        <x:is>
          <x:t xml:space="preserve">Must capture dated filing URLs for each historical cycle.</x:t>
        </x:is>
      </x:c>
    </x:row>
    <x:row r="72">
      <x:c r="A72" s="57" t="inlineStr">
        <x:is>
          <x:t xml:space="preserve">SRC-066</x:t>
        </x:is>
      </x:c>
      <x:c r="B72" s="57" t="inlineStr">
        <x:is>
          <x:t xml:space="preserve">ARG-066</x:t>
        </x:is>
      </x:c>
      <x:c r="C72" s="57" t="inlineStr">
        <x:is>
          <x:t xml:space="preserve">NIKE</x:t>
        </x:is>
      </x:c>
      <x:c r="D72" s="57" t="inlineStr">
        <x:is>
          <x:t xml:space="preserve">Official investor relations / exchange</x:t>
        </x:is>
      </x:c>
      <x:c r="E72" s="57" t="inlineStr">
        <x:is>
          <x:t xml:space="preserve">https://investors.nike.com</x:t>
        </x:is>
      </x:c>
      <x:c r="F72" s="220" t="n">
        <x:v>46264</x:v>
      </x:c>
      <x:c r="G72" s="57" t="inlineStr">
        <x:is>
          <x:t xml:space="preserve">Starting point for filings, reports and presentations</x:t>
        </x:is>
      </x:c>
      <x:c r="H72" s="57" t="inlineStr">
        <x:is>
          <x:t xml:space="preserve">Must capture dated filing URLs for each historical cycle.</x:t>
        </x:is>
      </x:c>
    </x:row>
    <x:row r="73">
      <x:c r="A73" s="57" t="inlineStr">
        <x:is>
          <x:t xml:space="preserve">SRC-067</x:t>
        </x:is>
      </x:c>
      <x:c r="B73" s="57" t="inlineStr">
        <x:is>
          <x:t xml:space="preserve">ARG-067</x:t>
        </x:is>
      </x:c>
      <x:c r="C73" s="57" t="inlineStr">
        <x:is>
          <x:t xml:space="preserve">Unilever</x:t>
        </x:is>
      </x:c>
      <x:c r="D73" s="57" t="inlineStr">
        <x:is>
          <x:t xml:space="preserve">Official investor relations / exchange</x:t>
        </x:is>
      </x:c>
      <x:c r="E73" s="57" t="inlineStr">
        <x:is>
          <x:t xml:space="preserve">https://www.unilever.com/investors</x:t>
        </x:is>
      </x:c>
      <x:c r="F73" s="220" t="n">
        <x:v>46264</x:v>
      </x:c>
      <x:c r="G73" s="57" t="inlineStr">
        <x:is>
          <x:t xml:space="preserve">Starting point for filings, reports and presentations</x:t>
        </x:is>
      </x:c>
      <x:c r="H73" s="57" t="inlineStr">
        <x:is>
          <x:t xml:space="preserve">Must capture dated filing URLs for each historical cycle.</x:t>
        </x:is>
      </x:c>
    </x:row>
    <x:row r="74">
      <x:c r="A74" s="57" t="inlineStr">
        <x:is>
          <x:t xml:space="preserve">SRC-068</x:t>
        </x:is>
      </x:c>
      <x:c r="B74" s="57" t="inlineStr">
        <x:is>
          <x:t xml:space="preserve">ARG-068</x:t>
        </x:is>
      </x:c>
      <x:c r="C74" s="57" t="inlineStr">
        <x:is>
          <x:t xml:space="preserve">RTX</x:t>
        </x:is>
      </x:c>
      <x:c r="D74" s="57" t="inlineStr">
        <x:is>
          <x:t xml:space="preserve">Official investor relations / exchange</x:t>
        </x:is>
      </x:c>
      <x:c r="E74" s="57" t="inlineStr">
        <x:is>
          <x:t xml:space="preserve">https://www.rtx.com/investors</x:t>
        </x:is>
      </x:c>
      <x:c r="F74" s="220" t="n">
        <x:v>46264</x:v>
      </x:c>
      <x:c r="G74" s="57" t="inlineStr">
        <x:is>
          <x:t xml:space="preserve">Starting point for filings, reports and presentations</x:t>
        </x:is>
      </x:c>
      <x:c r="H74" s="57" t="inlineStr">
        <x:is>
          <x:t xml:space="preserve">Must capture dated filing URLs for each historical cycle.</x:t>
        </x:is>
      </x:c>
    </x:row>
    <x:row r="75">
      <x:c r="A75" s="57" t="inlineStr">
        <x:is>
          <x:t xml:space="preserve">SRC-069</x:t>
        </x:is>
      </x:c>
      <x:c r="B75" s="57" t="inlineStr">
        <x:is>
          <x:t xml:space="preserve">ARG-069</x:t>
        </x:is>
      </x:c>
      <x:c r="C75" s="57" t="inlineStr">
        <x:is>
          <x:t xml:space="preserve">Deere &amp; Company</x:t>
        </x:is>
      </x:c>
      <x:c r="D75" s="57" t="inlineStr">
        <x:is>
          <x:t xml:space="preserve">Official investor relations / exchange</x:t>
        </x:is>
      </x:c>
      <x:c r="E75" s="57" t="inlineStr">
        <x:is>
          <x:t xml:space="preserve">https://investor.deere.com</x:t>
        </x:is>
      </x:c>
      <x:c r="F75" s="220" t="n">
        <x:v>46264</x:v>
      </x:c>
      <x:c r="G75" s="57" t="inlineStr">
        <x:is>
          <x:t xml:space="preserve">Starting point for filings, reports and presentations</x:t>
        </x:is>
      </x:c>
      <x:c r="H75" s="57" t="inlineStr">
        <x:is>
          <x:t xml:space="preserve">Must capture dated filing URLs for each historical cycle.</x:t>
        </x:is>
      </x:c>
    </x:row>
    <x:row r="76">
      <x:c r="A76" s="57" t="inlineStr">
        <x:is>
          <x:t xml:space="preserve">SRC-070</x:t>
        </x:is>
      </x:c>
      <x:c r="B76" s="57" t="inlineStr">
        <x:is>
          <x:t xml:space="preserve">ARG-070</x:t>
        </x:is>
      </x:c>
      <x:c r="C76" s="57" t="inlineStr">
        <x:is>
          <x:t xml:space="preserve">Rio Tinto</x:t>
        </x:is>
      </x:c>
      <x:c r="D76" s="57" t="inlineStr">
        <x:is>
          <x:t xml:space="preserve">Official investor relations / exchange</x:t>
        </x:is>
      </x:c>
      <x:c r="E76" s="57" t="inlineStr">
        <x:is>
          <x:t xml:space="preserve">https://www.riotinto.com/invest/investors</x:t>
        </x:is>
      </x:c>
      <x:c r="F76" s="220" t="n">
        <x:v>46264</x:v>
      </x:c>
      <x:c r="G76" s="57" t="inlineStr">
        <x:is>
          <x:t xml:space="preserve">Starting point for filings, reports and presentations</x:t>
        </x:is>
      </x:c>
      <x:c r="H76" s="57" t="inlineStr">
        <x:is>
          <x:t xml:space="preserve">Must capture dated filing URLs for each historical cycle.</x:t>
        </x:is>
      </x:c>
    </x:row>
    <x:row r="77">
      <x:c r="A77" s="57" t="inlineStr">
        <x:is>
          <x:t xml:space="preserve">SRC-071</x:t>
        </x:is>
      </x:c>
      <x:c r="B77" s="57" t="inlineStr">
        <x:is>
          <x:t xml:space="preserve">ARG-071</x:t>
        </x:is>
      </x:c>
      <x:c r="C77" s="57" t="inlineStr">
        <x:is>
          <x:t xml:space="preserve">Linde</x:t>
        </x:is>
      </x:c>
      <x:c r="D77" s="57" t="inlineStr">
        <x:is>
          <x:t xml:space="preserve">Official investor relations / exchange</x:t>
        </x:is>
      </x:c>
      <x:c r="E77" s="57" t="inlineStr">
        <x:is>
          <x:t xml:space="preserve">https://investors.linde.com</x:t>
        </x:is>
      </x:c>
      <x:c r="F77" s="220" t="n">
        <x:v>46264</x:v>
      </x:c>
      <x:c r="G77" s="57" t="inlineStr">
        <x:is>
          <x:t xml:space="preserve">Starting point for filings, reports and presentations</x:t>
        </x:is>
      </x:c>
      <x:c r="H77" s="57" t="inlineStr">
        <x:is>
          <x:t xml:space="preserve">Must capture dated filing URLs for each historical cycle.</x:t>
        </x:is>
      </x:c>
    </x:row>
    <x:row r="78">
      <x:c r="A78" s="57" t="inlineStr">
        <x:is>
          <x:t xml:space="preserve">SRC-072</x:t>
        </x:is>
      </x:c>
      <x:c r="B78" s="57" t="inlineStr">
        <x:is>
          <x:t xml:space="preserve">ARG-072</x:t>
        </x:is>
      </x:c>
      <x:c r="C78" s="57" t="inlineStr">
        <x:is>
          <x:t xml:space="preserve">American Tower</x:t>
        </x:is>
      </x:c>
      <x:c r="D78" s="57" t="inlineStr">
        <x:is>
          <x:t xml:space="preserve">Official investor relations / exchange</x:t>
        </x:is>
      </x:c>
      <x:c r="E78" s="57" t="inlineStr">
        <x:is>
          <x:t xml:space="preserve">https://americantower.gcs-web.com</x:t>
        </x:is>
      </x:c>
      <x:c r="F78" s="220" t="n">
        <x:v>46264</x:v>
      </x:c>
      <x:c r="G78" s="57" t="inlineStr">
        <x:is>
          <x:t xml:space="preserve">Starting point for filings, reports and presentations</x:t>
        </x:is>
      </x:c>
      <x:c r="H78" s="57" t="inlineStr">
        <x:is>
          <x:t xml:space="preserve">Must capture dated filing URLs for each historical cycle.</x:t>
        </x:is>
      </x:c>
    </x:row>
    <x:row r="79">
      <x:c r="A79" s="57" t="inlineStr">
        <x:is>
          <x:t xml:space="preserve">SRC-073</x:t>
        </x:is>
      </x:c>
      <x:c r="B79" s="57" t="inlineStr">
        <x:is>
          <x:t xml:space="preserve">ARG-073</x:t>
        </x:is>
      </x:c>
      <x:c r="C79" s="57" t="inlineStr">
        <x:is>
          <x:t xml:space="preserve">NextEra Energy</x:t>
        </x:is>
      </x:c>
      <x:c r="D79" s="57" t="inlineStr">
        <x:is>
          <x:t xml:space="preserve">Official investor relations / exchange</x:t>
        </x:is>
      </x:c>
      <x:c r="E79" s="57" t="inlineStr">
        <x:is>
          <x:t xml:space="preserve">https://www.investor.nexteraenergy.com</x:t>
        </x:is>
      </x:c>
      <x:c r="F79" s="220" t="n">
        <x:v>46264</x:v>
      </x:c>
      <x:c r="G79" s="57" t="inlineStr">
        <x:is>
          <x:t xml:space="preserve">Starting point for filings, reports and presentations</x:t>
        </x:is>
      </x:c>
      <x:c r="H79" s="57" t="inlineStr">
        <x:is>
          <x:t xml:space="preserve">Must capture dated filing URLs for each historical cycle.</x:t>
        </x:is>
      </x:c>
    </x:row>
    <x:row r="80">
      <x:c r="A80" s="57" t="inlineStr">
        <x:is>
          <x:t xml:space="preserve">SRC-074</x:t>
        </x:is>
      </x:c>
      <x:c r="B80" s="57" t="inlineStr">
        <x:is>
          <x:t xml:space="preserve">ARG-074</x:t>
        </x:is>
      </x:c>
      <x:c r="C80" s="57" t="inlineStr">
        <x:is>
          <x:t xml:space="preserve">Verizon Communications</x:t>
        </x:is>
      </x:c>
      <x:c r="D80" s="57" t="inlineStr">
        <x:is>
          <x:t xml:space="preserve">Official investor relations / exchange</x:t>
        </x:is>
      </x:c>
      <x:c r="E80" s="57" t="inlineStr">
        <x:is>
          <x:t xml:space="preserve">https://www.verizon.com/about/investors</x:t>
        </x:is>
      </x:c>
      <x:c r="F80" s="220" t="n">
        <x:v>46264</x:v>
      </x:c>
      <x:c r="G80" s="57" t="inlineStr">
        <x:is>
          <x:t xml:space="preserve">Starting point for filings, reports and presentations</x:t>
        </x:is>
      </x:c>
      <x:c r="H80" s="57" t="inlineStr">
        <x:is>
          <x:t xml:space="preserve">Must capture dated filing URLs for each historical cycle.</x:t>
        </x:is>
      </x:c>
    </x:row>
    <x:row r="81">
      <x:c r="A81" s="57" t="inlineStr">
        <x:is>
          <x:t xml:space="preserve">SRC-075</x:t>
        </x:is>
      </x:c>
      <x:c r="B81" s="57" t="inlineStr">
        <x:is>
          <x:t xml:space="preserve">ARG-075</x:t>
        </x:is>
      </x:c>
      <x:c r="C81" s="57" t="inlineStr">
        <x:is>
          <x:t xml:space="preserve">Delta Air Lines</x:t>
        </x:is>
      </x:c>
      <x:c r="D81" s="57" t="inlineStr">
        <x:is>
          <x:t xml:space="preserve">Official investor relations / exchange</x:t>
        </x:is>
      </x:c>
      <x:c r="E81" s="57" t="inlineStr">
        <x:is>
          <x:t xml:space="preserve">https://ir.delta.com</x:t>
        </x:is>
      </x:c>
      <x:c r="F81" s="220" t="n">
        <x:v>46264</x:v>
      </x:c>
      <x:c r="G81" s="57" t="inlineStr">
        <x:is>
          <x:t xml:space="preserve">Starting point for filings, reports and presentations</x:t>
        </x:is>
      </x:c>
      <x:c r="H81" s="57" t="inlineStr">
        <x:is>
          <x:t xml:space="preserve">Must capture dated filing URLs for each historical cycle.</x:t>
        </x:is>
      </x:c>
    </x:row>
    <x:row r="82">
      <x:c r="A82" s="57" t="inlineStr">
        <x:is>
          <x:t xml:space="preserve">SRC-076</x:t>
        </x:is>
      </x:c>
      <x:c r="B82" s="57" t="inlineStr">
        <x:is>
          <x:t xml:space="preserve">ARG-076</x:t>
        </x:is>
      </x:c>
      <x:c r="C82" s="57" t="inlineStr">
        <x:is>
          <x:t xml:space="preserve">Toyota Motor</x:t>
        </x:is>
      </x:c>
      <x:c r="D82" s="57" t="inlineStr">
        <x:is>
          <x:t xml:space="preserve">Official investor relations / exchange</x:t>
        </x:is>
      </x:c>
      <x:c r="E82" s="57" t="inlineStr">
        <x:is>
          <x:t xml:space="preserve">https://global.toyota/en/ir/</x:t>
        </x:is>
      </x:c>
      <x:c r="F82" s="220" t="n">
        <x:v>46264</x:v>
      </x:c>
      <x:c r="G82" s="57" t="inlineStr">
        <x:is>
          <x:t xml:space="preserve">Starting point for filings, reports and presentations</x:t>
        </x:is>
      </x:c>
      <x:c r="H82" s="57" t="inlineStr">
        <x:is>
          <x:t xml:space="preserve">Must capture dated filing URLs for each historical cycle.</x:t>
        </x:is>
      </x:c>
    </x:row>
    <x:row r="83">
      <x:c r="A83" s="57" t="inlineStr">
        <x:is>
          <x:t xml:space="preserve">SRC-077</x:t>
        </x:is>
      </x:c>
      <x:c r="B83" s="57" t="inlineStr">
        <x:is>
          <x:t xml:space="preserve">ARG-077</x:t>
        </x:is>
      </x:c>
      <x:c r="C83" s="57" t="inlineStr">
        <x:is>
          <x:t xml:space="preserve">Corteva</x:t>
        </x:is>
      </x:c>
      <x:c r="D83" s="57" t="inlineStr">
        <x:is>
          <x:t xml:space="preserve">Official investor relations / exchange</x:t>
        </x:is>
      </x:c>
      <x:c r="E83" s="57" t="inlineStr">
        <x:is>
          <x:t xml:space="preserve">https://investors.corteva.com</x:t>
        </x:is>
      </x:c>
      <x:c r="F83" s="220" t="n">
        <x:v>46264</x:v>
      </x:c>
      <x:c r="G83" s="57" t="inlineStr">
        <x:is>
          <x:t xml:space="preserve">Starting point for filings, reports and presentations</x:t>
        </x:is>
      </x:c>
      <x:c r="H83" s="57" t="inlineStr">
        <x:is>
          <x:t xml:space="preserve">Must capture dated filing URLs for each historical cycle.</x:t>
        </x:is>
      </x:c>
    </x:row>
    <x:row r="84">
      <x:c r="A84" s="57" t="inlineStr">
        <x:is>
          <x:t xml:space="preserve">SRC-078</x:t>
        </x:is>
      </x:c>
      <x:c r="B84" s="57" t="inlineStr">
        <x:is>
          <x:t xml:space="preserve">ARG-078</x:t>
        </x:is>
      </x:c>
      <x:c r="C84" s="57" t="inlineStr">
        <x:is>
          <x:t xml:space="preserve">Netflix</x:t>
        </x:is>
      </x:c>
      <x:c r="D84" s="57" t="inlineStr">
        <x:is>
          <x:t xml:space="preserve">Official investor relations / exchange</x:t>
        </x:is>
      </x:c>
      <x:c r="E84" s="57" t="inlineStr">
        <x:is>
          <x:t xml:space="preserve">https://ir.netflix.net</x:t>
        </x:is>
      </x:c>
      <x:c r="F84" s="220" t="n">
        <x:v>46264</x:v>
      </x:c>
      <x:c r="G84" s="57" t="inlineStr">
        <x:is>
          <x:t xml:space="preserve">Starting point for filings, reports and presentations</x:t>
        </x:is>
      </x:c>
      <x:c r="H84" s="57" t="inlineStr">
        <x:is>
          <x:t xml:space="preserve">Must capture dated filing URLs for each historical cycle.</x:t>
        </x:is>
      </x:c>
    </x:row>
    <x:row r="85">
      <x:c r="A85" s="57" t="inlineStr">
        <x:is>
          <x:t xml:space="preserve">SRC-079</x:t>
        </x:is>
      </x:c>
      <x:c r="B85" s="57" t="inlineStr">
        <x:is>
          <x:t xml:space="preserve">ARG-079</x:t>
        </x:is>
      </x:c>
      <x:c r="C85" s="57" t="inlineStr">
        <x:is>
          <x:t xml:space="preserve">CME Group</x:t>
        </x:is>
      </x:c>
      <x:c r="D85" s="57" t="inlineStr">
        <x:is>
          <x:t xml:space="preserve">Official investor relations / exchange</x:t>
        </x:is>
      </x:c>
      <x:c r="E85" s="57" t="inlineStr">
        <x:is>
          <x:t xml:space="preserve">https://investor.cmegroup.com</x:t>
        </x:is>
      </x:c>
      <x:c r="F85" s="220" t="n">
        <x:v>46264</x:v>
      </x:c>
      <x:c r="G85" s="57" t="inlineStr">
        <x:is>
          <x:t xml:space="preserve">Starting point for filings, reports and presentations</x:t>
        </x:is>
      </x:c>
      <x:c r="H85" s="57" t="inlineStr">
        <x:is>
          <x:t xml:space="preserve">Must capture dated filing URLs for each historical cycle.</x:t>
        </x:is>
      </x:c>
    </x:row>
    <x:row r="86">
      <x:c r="A86" s="57" t="inlineStr">
        <x:is>
          <x:t xml:space="preserve">SRC-080</x:t>
        </x:is>
      </x:c>
      <x:c r="B86" s="57" t="inlineStr">
        <x:is>
          <x:t xml:space="preserve">ARG-080</x:t>
        </x:is>
      </x:c>
      <x:c r="C86" s="57" t="inlineStr">
        <x:is>
          <x:t xml:space="preserve">Intuitive Surgical</x:t>
        </x:is>
      </x:c>
      <x:c r="D86" s="57" t="inlineStr">
        <x:is>
          <x:t xml:space="preserve">Official investor relations / exchange</x:t>
        </x:is>
      </x:c>
      <x:c r="E86" s="57" t="inlineStr">
        <x:is>
          <x:t xml:space="preserve">https://isrg.intuitive.com</x:t>
        </x:is>
      </x:c>
      <x:c r="F86" s="220" t="n">
        <x:v>46264</x:v>
      </x:c>
      <x:c r="G86" s="57" t="inlineStr">
        <x:is>
          <x:t xml:space="preserve">Starting point for filings, reports and presentations</x:t>
        </x:is>
      </x:c>
      <x:c r="H86" s="57" t="inlineStr">
        <x:is>
          <x:t xml:space="preserve">Must capture dated filing URLs for each historical cycle.</x:t>
        </x:is>
      </x:c>
    </x:row>
    <x:row r="87">
      <x:c r="A87" s="57" t="inlineStr">
        <x:is>
          <x:t xml:space="preserve">SRC-081</x:t>
        </x:is>
      </x:c>
      <x:c r="B87" s="57" t="inlineStr">
        <x:is>
          <x:t xml:space="preserve">ARG-081</x:t>
        </x:is>
      </x:c>
      <x:c r="C87" s="57" t="inlineStr">
        <x:is>
          <x:t xml:space="preserve">International Seaways</x:t>
        </x:is>
      </x:c>
      <x:c r="D87" s="57" t="inlineStr">
        <x:is>
          <x:t xml:space="preserve">Official investor relations / exchange</x:t>
        </x:is>
      </x:c>
      <x:c r="E87" s="57" t="inlineStr">
        <x:is>
          <x:t xml:space="preserve">https://www.intlseas.com/investors</x:t>
        </x:is>
      </x:c>
      <x:c r="F87" s="220" t="n">
        <x:v>46264</x:v>
      </x:c>
      <x:c r="G87" s="57" t="inlineStr">
        <x:is>
          <x:t xml:space="preserve">Starting point for filings, reports and presentations</x:t>
        </x:is>
      </x:c>
      <x:c r="H87" s="57" t="inlineStr">
        <x:is>
          <x:t xml:space="preserve">Must capture dated filing URLs for each historical cycle.</x:t>
        </x:is>
      </x:c>
    </x:row>
    <x:row r="88">
      <x:c r="A88" s="57" t="inlineStr">
        <x:is>
          <x:t xml:space="preserve">SRC-082</x:t>
        </x:is>
      </x:c>
      <x:c r="B88" s="57" t="inlineStr">
        <x:is>
          <x:t xml:space="preserve">ARG-082</x:t>
        </x:is>
      </x:c>
      <x:c r="C88" s="57" t="inlineStr">
        <x:is>
          <x:t xml:space="preserve">Frontline</x:t>
        </x:is>
      </x:c>
      <x:c r="D88" s="57" t="inlineStr">
        <x:is>
          <x:t xml:space="preserve">Official investor relations / exchange</x:t>
        </x:is>
      </x:c>
      <x:c r="E88" s="57" t="inlineStr">
        <x:is>
          <x:t xml:space="preserve">https://www.frontlineplc.cy/investor-relations</x:t>
        </x:is>
      </x:c>
      <x:c r="F88" s="220" t="n">
        <x:v>46264</x:v>
      </x:c>
      <x:c r="G88" s="57" t="inlineStr">
        <x:is>
          <x:t xml:space="preserve">Starting point for filings, reports and presentations</x:t>
        </x:is>
      </x:c>
      <x:c r="H88" s="57" t="inlineStr">
        <x:is>
          <x:t xml:space="preserve">Must capture dated filing URLs for each historical cycle.</x:t>
        </x:is>
      </x:c>
    </x:row>
    <x:row r="89">
      <x:c r="A89" s="57" t="inlineStr">
        <x:is>
          <x:t xml:space="preserve">SRC-083</x:t>
        </x:is>
      </x:c>
      <x:c r="B89" s="57" t="inlineStr">
        <x:is>
          <x:t xml:space="preserve">ARG-083</x:t>
        </x:is>
      </x:c>
      <x:c r="C89" s="57" t="inlineStr">
        <x:is>
          <x:t xml:space="preserve">Lloyds Banking Group</x:t>
        </x:is>
      </x:c>
      <x:c r="D89" s="57" t="inlineStr">
        <x:is>
          <x:t xml:space="preserve">Official investor relations / exchange</x:t>
        </x:is>
      </x:c>
      <x:c r="E89" s="57" t="inlineStr">
        <x:is>
          <x:t xml:space="preserve">https://www.lloydsbankinggroup.com/investors.html</x:t>
        </x:is>
      </x:c>
      <x:c r="F89" s="220" t="n">
        <x:v>46264</x:v>
      </x:c>
      <x:c r="G89" s="57" t="inlineStr">
        <x:is>
          <x:t xml:space="preserve">Starting point for filings, reports and presentations</x:t>
        </x:is>
      </x:c>
      <x:c r="H89" s="57" t="inlineStr">
        <x:is>
          <x:t xml:space="preserve">Must capture dated filing URLs for each historical cycle.</x:t>
        </x:is>
      </x:c>
    </x:row>
    <x:row r="90">
      <x:c r="A90" s="57" t="inlineStr">
        <x:is>
          <x:t xml:space="preserve">SRC-084</x:t>
        </x:is>
      </x:c>
      <x:c r="B90" s="57" t="inlineStr">
        <x:is>
          <x:t xml:space="preserve">ARG-084</x:t>
        </x:is>
      </x:c>
      <x:c r="C90" s="57" t="inlineStr">
        <x:is>
          <x:t xml:space="preserve">Bank Leumi</x:t>
        </x:is>
      </x:c>
      <x:c r="D90" s="57" t="inlineStr">
        <x:is>
          <x:t xml:space="preserve">Official investor relations / exchange</x:t>
        </x:is>
      </x:c>
      <x:c r="E90" s="57" t="inlineStr">
        <x:is>
          <x:t xml:space="preserve">https://english.leumi.co.il/Investor_Relations</x:t>
        </x:is>
      </x:c>
      <x:c r="F90" s="220" t="n">
        <x:v>46264</x:v>
      </x:c>
      <x:c r="G90" s="57" t="inlineStr">
        <x:is>
          <x:t xml:space="preserve">Starting point for filings, reports and presentations</x:t>
        </x:is>
      </x:c>
      <x:c r="H90" s="57" t="inlineStr">
        <x:is>
          <x:t xml:space="preserve">Must capture dated filing URLs for each historical cycle.</x:t>
        </x:is>
      </x:c>
    </x:row>
    <x:row r="91">
      <x:c r="A91" s="57" t="inlineStr">
        <x:is>
          <x:t xml:space="preserve">SRC-085</x:t>
        </x:is>
      </x:c>
      <x:c r="B91" s="57" t="inlineStr">
        <x:is>
          <x:t xml:space="preserve">ARG-085</x:t>
        </x:is>
      </x:c>
      <x:c r="C91" s="57" t="inlineStr">
        <x:is>
          <x:t xml:space="preserve">American International Group</x:t>
        </x:is>
      </x:c>
      <x:c r="D91" s="57" t="inlineStr">
        <x:is>
          <x:t xml:space="preserve">Official investor relations / exchange</x:t>
        </x:is>
      </x:c>
      <x:c r="E91" s="57" t="inlineStr">
        <x:is>
          <x:t xml:space="preserve">https://www.aig.com/home/investor-relations</x:t>
        </x:is>
      </x:c>
      <x:c r="F91" s="220" t="n">
        <x:v>46264</x:v>
      </x:c>
      <x:c r="G91" s="57" t="inlineStr">
        <x:is>
          <x:t xml:space="preserve">Starting point for filings, reports and presentations</x:t>
        </x:is>
      </x:c>
      <x:c r="H91" s="57" t="inlineStr">
        <x:is>
          <x:t xml:space="preserve">Must capture dated filing URLs for each historical cycle.</x:t>
        </x:is>
      </x:c>
    </x:row>
    <x:row r="92">
      <x:c r="A92" s="57" t="inlineStr">
        <x:is>
          <x:t xml:space="preserve">SRC-086</x:t>
        </x:is>
      </x:c>
      <x:c r="B92" s="57" t="inlineStr">
        <x:is>
          <x:t xml:space="preserve">ARG-086</x:t>
        </x:is>
      </x:c>
      <x:c r="C92" s="57" t="inlineStr">
        <x:is>
          <x:t xml:space="preserve">Travelers</x:t>
        </x:is>
      </x:c>
      <x:c r="D92" s="57" t="inlineStr">
        <x:is>
          <x:t xml:space="preserve">Official investor relations / exchange</x:t>
        </x:is>
      </x:c>
      <x:c r="E92" s="57" t="inlineStr">
        <x:is>
          <x:t xml:space="preserve">https://investor.travelers.com</x:t>
        </x:is>
      </x:c>
      <x:c r="F92" s="220" t="n">
        <x:v>46264</x:v>
      </x:c>
      <x:c r="G92" s="57" t="inlineStr">
        <x:is>
          <x:t xml:space="preserve">Starting point for filings, reports and presentations</x:t>
        </x:is>
      </x:c>
      <x:c r="H92" s="57" t="inlineStr">
        <x:is>
          <x:t xml:space="preserve">Must capture dated filing URLs for each historical cycle.</x:t>
        </x:is>
      </x:c>
    </x:row>
    <x:row r="93">
      <x:c r="A93" s="57" t="inlineStr">
        <x:is>
          <x:t xml:space="preserve">SRC-087</x:t>
        </x:is>
      </x:c>
      <x:c r="B93" s="57" t="inlineStr">
        <x:is>
          <x:t xml:space="preserve">ARG-087</x:t>
        </x:is>
      </x:c>
      <x:c r="C93" s="57" t="inlineStr">
        <x:is>
          <x:t xml:space="preserve">Regeneron Pharmaceuticals</x:t>
        </x:is>
      </x:c>
      <x:c r="D93" s="57" t="inlineStr">
        <x:is>
          <x:t xml:space="preserve">Official investor relations / exchange</x:t>
        </x:is>
      </x:c>
      <x:c r="E93" s="57" t="inlineStr">
        <x:is>
          <x:t xml:space="preserve">https://investor.regeneron.com</x:t>
        </x:is>
      </x:c>
      <x:c r="F93" s="220" t="n">
        <x:v>46264</x:v>
      </x:c>
      <x:c r="G93" s="57" t="inlineStr">
        <x:is>
          <x:t xml:space="preserve">Starting point for filings, reports and presentations</x:t>
        </x:is>
      </x:c>
      <x:c r="H93" s="57" t="inlineStr">
        <x:is>
          <x:t xml:space="preserve">Must capture dated filing URLs for each historical cycle.</x:t>
        </x:is>
      </x:c>
    </x:row>
    <x:row r="94">
      <x:c r="A94" s="57" t="inlineStr">
        <x:is>
          <x:t xml:space="preserve">SRC-088</x:t>
        </x:is>
      </x:c>
      <x:c r="B94" s="57" t="inlineStr">
        <x:is>
          <x:t xml:space="preserve">ARG-088</x:t>
        </x:is>
      </x:c>
      <x:c r="C94" s="57" t="inlineStr">
        <x:is>
          <x:t xml:space="preserve">Vertex Pharmaceuticals</x:t>
        </x:is>
      </x:c>
      <x:c r="D94" s="57" t="inlineStr">
        <x:is>
          <x:t xml:space="preserve">Official investor relations / exchange</x:t>
        </x:is>
      </x:c>
      <x:c r="E94" s="57" t="inlineStr">
        <x:is>
          <x:t xml:space="preserve">https://investors.vrtx.com</x:t>
        </x:is>
      </x:c>
      <x:c r="F94" s="220" t="n">
        <x:v>46264</x:v>
      </x:c>
      <x:c r="G94" s="57" t="inlineStr">
        <x:is>
          <x:t xml:space="preserve">Starting point for filings, reports and presentations</x:t>
        </x:is>
      </x:c>
      <x:c r="H94" s="57" t="inlineStr">
        <x:is>
          <x:t xml:space="preserve">Must capture dated filing URLs for each historical cycle.</x:t>
        </x:is>
      </x:c>
    </x:row>
    <x:row r="95">
      <x:c r="A95" s="57" t="inlineStr">
        <x:is>
          <x:t xml:space="preserve">SRC-089</x:t>
        </x:is>
      </x:c>
      <x:c r="B95" s="57" t="inlineStr">
        <x:is>
          <x:t xml:space="preserve">ARG-089</x:t>
        </x:is>
      </x:c>
      <x:c r="C95" s="57" t="inlineStr">
        <x:is>
          <x:t xml:space="preserve">UnitedHealth Group</x:t>
        </x:is>
      </x:c>
      <x:c r="D95" s="57" t="inlineStr">
        <x:is>
          <x:t xml:space="preserve">Official investor relations / exchange</x:t>
        </x:is>
      </x:c>
      <x:c r="E95" s="57" t="inlineStr">
        <x:is>
          <x:t xml:space="preserve">https://www.unitedhealthgroup.com/investors.html</x:t>
        </x:is>
      </x:c>
      <x:c r="F95" s="220" t="n">
        <x:v>46264</x:v>
      </x:c>
      <x:c r="G95" s="57" t="inlineStr">
        <x:is>
          <x:t xml:space="preserve">Starting point for filings, reports and presentations</x:t>
        </x:is>
      </x:c>
      <x:c r="H95" s="57" t="inlineStr">
        <x:is>
          <x:t xml:space="preserve">Must capture dated filing URLs for each historical cycle.</x:t>
        </x:is>
      </x:c>
    </x:row>
    <x:row r="96">
      <x:c r="A96" s="57" t="inlineStr">
        <x:is>
          <x:t xml:space="preserve">SRC-090</x:t>
        </x:is>
      </x:c>
      <x:c r="B96" s="57" t="inlineStr">
        <x:is>
          <x:t xml:space="preserve">ARG-090</x:t>
        </x:is>
      </x:c>
      <x:c r="C96" s="57" t="inlineStr">
        <x:is>
          <x:t xml:space="preserve">PepsiCo</x:t>
        </x:is>
      </x:c>
      <x:c r="D96" s="57" t="inlineStr">
        <x:is>
          <x:t xml:space="preserve">Official investor relations / exchange</x:t>
        </x:is>
      </x:c>
      <x:c r="E96" s="57" t="inlineStr">
        <x:is>
          <x:t xml:space="preserve">https://www.pepsico.com/investors</x:t>
        </x:is>
      </x:c>
      <x:c r="F96" s="220" t="n">
        <x:v>46264</x:v>
      </x:c>
      <x:c r="G96" s="57" t="inlineStr">
        <x:is>
          <x:t xml:space="preserve">Starting point for filings, reports and presentations</x:t>
        </x:is>
      </x:c>
      <x:c r="H96" s="57" t="inlineStr">
        <x:is>
          <x:t xml:space="preserve">Must capture dated filing URLs for each historical cycle.</x:t>
        </x:is>
      </x:c>
    </x:row>
    <x:row r="97">
      <x:c r="A97" s="57" t="inlineStr">
        <x:is>
          <x:t xml:space="preserve">SRC-091</x:t>
        </x:is>
      </x:c>
      <x:c r="B97" s="57" t="inlineStr">
        <x:is>
          <x:t xml:space="preserve">ARG-091</x:t>
        </x:is>
      </x:c>
      <x:c r="C97" s="57" t="inlineStr">
        <x:is>
          <x:t xml:space="preserve">LVMH</x:t>
        </x:is>
      </x:c>
      <x:c r="D97" s="57" t="inlineStr">
        <x:is>
          <x:t xml:space="preserve">Official investor relations / exchange</x:t>
        </x:is>
      </x:c>
      <x:c r="E97" s="57" t="inlineStr">
        <x:is>
          <x:t xml:space="preserve">https://www.lvmh.com/investors</x:t>
        </x:is>
      </x:c>
      <x:c r="F97" s="220" t="n">
        <x:v>46264</x:v>
      </x:c>
      <x:c r="G97" s="57" t="inlineStr">
        <x:is>
          <x:t xml:space="preserve">Starting point for filings, reports and presentations</x:t>
        </x:is>
      </x:c>
      <x:c r="H97" s="57" t="inlineStr">
        <x:is>
          <x:t xml:space="preserve">Must capture dated filing URLs for each historical cycle.</x:t>
        </x:is>
      </x:c>
    </x:row>
    <x:row r="98">
      <x:c r="A98" s="57" t="inlineStr">
        <x:is>
          <x:t xml:space="preserve">SRC-092</x:t>
        </x:is>
      </x:c>
      <x:c r="B98" s="57" t="inlineStr">
        <x:is>
          <x:t xml:space="preserve">ARG-092</x:t>
        </x:is>
      </x:c>
      <x:c r="C98" s="57" t="inlineStr">
        <x:is>
          <x:t xml:space="preserve">MercadoLibre</x:t>
        </x:is>
      </x:c>
      <x:c r="D98" s="57" t="inlineStr">
        <x:is>
          <x:t xml:space="preserve">Official investor relations / exchange</x:t>
        </x:is>
      </x:c>
      <x:c r="E98" s="57" t="inlineStr">
        <x:is>
          <x:t xml:space="preserve">https://investor.mercadolibre.com</x:t>
        </x:is>
      </x:c>
      <x:c r="F98" s="220" t="n">
        <x:v>46264</x:v>
      </x:c>
      <x:c r="G98" s="57" t="inlineStr">
        <x:is>
          <x:t xml:space="preserve">Starting point for filings, reports and presentations</x:t>
        </x:is>
      </x:c>
      <x:c r="H98" s="57" t="inlineStr">
        <x:is>
          <x:t xml:space="preserve">Must capture dated filing URLs for each historical cycle.</x:t>
        </x:is>
      </x:c>
    </x:row>
    <x:row r="99">
      <x:c r="A99" s="57" t="inlineStr">
        <x:is>
          <x:t xml:space="preserve">SRC-093</x:t>
        </x:is>
      </x:c>
      <x:c r="B99" s="57" t="inlineStr">
        <x:is>
          <x:t xml:space="preserve">ARG-093</x:t>
        </x:is>
      </x:c>
      <x:c r="C99" s="57" t="inlineStr">
        <x:is>
          <x:t xml:space="preserve">Lockheed Martin</x:t>
        </x:is>
      </x:c>
      <x:c r="D99" s="57" t="inlineStr">
        <x:is>
          <x:t xml:space="preserve">Official investor relations / exchange</x:t>
        </x:is>
      </x:c>
      <x:c r="E99" s="57" t="inlineStr">
        <x:is>
          <x:t xml:space="preserve">https://investors.lockheedmartin.com</x:t>
        </x:is>
      </x:c>
      <x:c r="F99" s="220" t="n">
        <x:v>46264</x:v>
      </x:c>
      <x:c r="G99" s="57" t="inlineStr">
        <x:is>
          <x:t xml:space="preserve">Starting point for filings, reports and presentations</x:t>
        </x:is>
      </x:c>
      <x:c r="H99" s="57" t="inlineStr">
        <x:is>
          <x:t xml:space="preserve">Must capture dated filing URLs for each historical cycle.</x:t>
        </x:is>
      </x:c>
    </x:row>
    <x:row r="100">
      <x:c r="A100" s="57" t="inlineStr">
        <x:is>
          <x:t xml:space="preserve">SRC-094</x:t>
        </x:is>
      </x:c>
      <x:c r="B100" s="57" t="inlineStr">
        <x:is>
          <x:t xml:space="preserve">ARG-094</x:t>
        </x:is>
      </x:c>
      <x:c r="C100" s="57" t="inlineStr">
        <x:is>
          <x:t xml:space="preserve">Honeywell</x:t>
        </x:is>
      </x:c>
      <x:c r="D100" s="57" t="inlineStr">
        <x:is>
          <x:t xml:space="preserve">Official investor relations / exchange</x:t>
        </x:is>
      </x:c>
      <x:c r="E100" s="57" t="inlineStr">
        <x:is>
          <x:t xml:space="preserve">https://investor.honeywell.com</x:t>
        </x:is>
      </x:c>
      <x:c r="F100" s="220" t="n">
        <x:v>46264</x:v>
      </x:c>
      <x:c r="G100" s="57" t="inlineStr">
        <x:is>
          <x:t xml:space="preserve">Starting point for filings, reports and presentations</x:t>
        </x:is>
      </x:c>
      <x:c r="H100" s="57" t="inlineStr">
        <x:is>
          <x:t xml:space="preserve">Must capture dated filing URLs for each historical cycle.</x:t>
        </x:is>
      </x:c>
    </x:row>
    <x:row r="101">
      <x:c r="A101" s="57" t="inlineStr">
        <x:is>
          <x:t xml:space="preserve">SRC-095</x:t>
        </x:is>
      </x:c>
      <x:c r="B101" s="57" t="inlineStr">
        <x:is>
          <x:t xml:space="preserve">ARG-095</x:t>
        </x:is>
      </x:c>
      <x:c r="C101" s="57" t="inlineStr">
        <x:is>
          <x:t xml:space="preserve">Freeport-McMoRan</x:t>
        </x:is>
      </x:c>
      <x:c r="D101" s="57" t="inlineStr">
        <x:is>
          <x:t xml:space="preserve">Official investor relations / exchange</x:t>
        </x:is>
      </x:c>
      <x:c r="E101" s="57" t="inlineStr">
        <x:is>
          <x:t xml:space="preserve">https://investors.fcx.com</x:t>
        </x:is>
      </x:c>
      <x:c r="F101" s="220" t="n">
        <x:v>46264</x:v>
      </x:c>
      <x:c r="G101" s="57" t="inlineStr">
        <x:is>
          <x:t xml:space="preserve">Starting point for filings, reports and presentations</x:t>
        </x:is>
      </x:c>
      <x:c r="H101" s="57" t="inlineStr">
        <x:is>
          <x:t xml:space="preserve">Must capture dated filing URLs for each historical cycle.</x:t>
        </x:is>
      </x:c>
    </x:row>
    <x:row r="102">
      <x:c r="A102" s="57" t="inlineStr">
        <x:is>
          <x:t xml:space="preserve">SRC-096</x:t>
        </x:is>
      </x:c>
      <x:c r="B102" s="57" t="inlineStr">
        <x:is>
          <x:t xml:space="preserve">ARG-096</x:t>
        </x:is>
      </x:c>
      <x:c r="C102" s="57" t="inlineStr">
        <x:is>
          <x:t xml:space="preserve">Nucor</x:t>
        </x:is>
      </x:c>
      <x:c r="D102" s="57" t="inlineStr">
        <x:is>
          <x:t xml:space="preserve">Official investor relations / exchange</x:t>
        </x:is>
      </x:c>
      <x:c r="E102" s="57" t="inlineStr">
        <x:is>
          <x:t xml:space="preserve">https://investors.nucor.com</x:t>
        </x:is>
      </x:c>
      <x:c r="F102" s="220" t="n">
        <x:v>46264</x:v>
      </x:c>
      <x:c r="G102" s="57" t="inlineStr">
        <x:is>
          <x:t xml:space="preserve">Starting point for filings, reports and presentations</x:t>
        </x:is>
      </x:c>
      <x:c r="H102" s="57" t="inlineStr">
        <x:is>
          <x:t xml:space="preserve">Must capture dated filing URLs for each historical cycle.</x:t>
        </x:is>
      </x:c>
    </x:row>
    <x:row r="103">
      <x:c r="A103" s="57" t="inlineStr">
        <x:is>
          <x:t xml:space="preserve">SRC-097</x:t>
        </x:is>
      </x:c>
      <x:c r="B103" s="57" t="inlineStr">
        <x:is>
          <x:t xml:space="preserve">ARG-097</x:t>
        </x:is>
      </x:c>
      <x:c r="C103" s="57" t="inlineStr">
        <x:is>
          <x:t xml:space="preserve">Southern Company</x:t>
        </x:is>
      </x:c>
      <x:c r="D103" s="57" t="inlineStr">
        <x:is>
          <x:t xml:space="preserve">Official investor relations / exchange</x:t>
        </x:is>
      </x:c>
      <x:c r="E103" s="57" t="inlineStr">
        <x:is>
          <x:t xml:space="preserve">https://investor.southerncompany.com</x:t>
        </x:is>
      </x:c>
      <x:c r="F103" s="220" t="n">
        <x:v>46264</x:v>
      </x:c>
      <x:c r="G103" s="57" t="inlineStr">
        <x:is>
          <x:t xml:space="preserve">Starting point for filings, reports and presentations</x:t>
        </x:is>
      </x:c>
      <x:c r="H103" s="57" t="inlineStr">
        <x:is>
          <x:t xml:space="preserve">Must capture dated filing URLs for each historical cycle.</x:t>
        </x:is>
      </x:c>
    </x:row>
    <x:row r="104">
      <x:c r="A104" s="57" t="inlineStr">
        <x:is>
          <x:t xml:space="preserve">SRC-098</x:t>
        </x:is>
      </x:c>
      <x:c r="B104" s="57" t="inlineStr">
        <x:is>
          <x:t xml:space="preserve">ARG-098</x:t>
        </x:is>
      </x:c>
      <x:c r="C104" s="57" t="inlineStr">
        <x:is>
          <x:t xml:space="preserve">Duke Energy</x:t>
        </x:is>
      </x:c>
      <x:c r="D104" s="57" t="inlineStr">
        <x:is>
          <x:t xml:space="preserve">Official investor relations / exchange</x:t>
        </x:is>
      </x:c>
      <x:c r="E104" s="57" t="inlineStr">
        <x:is>
          <x:t xml:space="preserve">https://investors.duke-energy.com</x:t>
        </x:is>
      </x:c>
      <x:c r="F104" s="220" t="n">
        <x:v>46264</x:v>
      </x:c>
      <x:c r="G104" s="57" t="inlineStr">
        <x:is>
          <x:t xml:space="preserve">Starting point for filings, reports and presentations</x:t>
        </x:is>
      </x:c>
      <x:c r="H104" s="57" t="inlineStr">
        <x:is>
          <x:t xml:space="preserve">Must capture dated filing URLs for each historical cycle.</x:t>
        </x:is>
      </x:c>
    </x:row>
    <x:row r="105">
      <x:c r="A105" s="57" t="inlineStr">
        <x:is>
          <x:t xml:space="preserve">SRC-099</x:t>
        </x:is>
      </x:c>
      <x:c r="B105" s="57" t="inlineStr">
        <x:is>
          <x:t xml:space="preserve">ARG-099</x:t>
        </x:is>
      </x:c>
      <x:c r="C105" s="57" t="inlineStr">
        <x:is>
          <x:t xml:space="preserve">Nutrien</x:t>
        </x:is>
      </x:c>
      <x:c r="D105" s="57" t="inlineStr">
        <x:is>
          <x:t xml:space="preserve">Official investor relations / exchange</x:t>
        </x:is>
      </x:c>
      <x:c r="E105" s="57" t="inlineStr">
        <x:is>
          <x:t xml:space="preserve">https://www.nutrien.com/investors</x:t>
        </x:is>
      </x:c>
      <x:c r="F105" s="220" t="n">
        <x:v>46264</x:v>
      </x:c>
      <x:c r="G105" s="57" t="inlineStr">
        <x:is>
          <x:t xml:space="preserve">Starting point for filings, reports and presentations</x:t>
        </x:is>
      </x:c>
      <x:c r="H105" s="57" t="inlineStr">
        <x:is>
          <x:t xml:space="preserve">Must capture dated filing URLs for each historical cycle.</x:t>
        </x:is>
      </x:c>
    </x:row>
    <x:row r="106">
      <x:c r="A106" s="58" t="inlineStr">
        <x:is>
          <x:t xml:space="preserve">SRC-100</x:t>
        </x:is>
      </x:c>
      <x:c r="B106" s="58" t="inlineStr">
        <x:is>
          <x:t xml:space="preserve">ARG-100</x:t>
        </x:is>
      </x:c>
      <x:c r="C106" s="58" t="inlineStr">
        <x:is>
          <x:t xml:space="preserve">United Rentals</x:t>
        </x:is>
      </x:c>
      <x:c r="D106" s="58" t="inlineStr">
        <x:is>
          <x:t xml:space="preserve">Official investor relations / exchange</x:t>
        </x:is>
      </x:c>
      <x:c r="E106" s="58" t="inlineStr">
        <x:is>
          <x:t xml:space="preserve">https://investor-relations.unitedrentals.com</x:t>
        </x:is>
      </x:c>
      <x:c r="F106" s="221" t="n">
        <x:v>46264</x:v>
      </x:c>
      <x:c r="G106" s="58" t="inlineStr">
        <x:is>
          <x:t xml:space="preserve">Starting point for filings, reports and presentations</x:t>
        </x:is>
      </x:c>
      <x:c r="H106" s="58" t="inlineStr">
        <x:is>
          <x:t xml:space="preserve">Must capture dated filing URLs for each historical cycle.</x:t>
        </x:is>
      </x:c>
    </x:row>
  </x:sheetData>
  <x:mergeCells>
    <x:mergeCell ref="A2:H2"/>
    <x:mergeCell ref="A1:H1"/>
  </x:mergeCells>
  <x:pageMargins left="0.7" right="0.7" top="0.75" bottom="0.75" header="0.3" footer="0.3"/>
  <x:tableParts count="1">
    <x:tablePart xmlns:r="http://schemas.openxmlformats.org/officeDocument/2006/relationships" r:id="R24bada5828f346c0"/>
  </x:tableParts>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24.440000534057617" style="139" customWidth="1"/>
    <x:col min="2" max="2" width="11.109999656677246" style="139" customWidth="1"/>
    <x:col min="3" max="3" width="11.109999656677246" style="139" customWidth="1"/>
    <x:col min="4" max="4" width="10" style="139" customWidth="1"/>
    <x:col min="5" max="5" width="8.890000343322754" style="139" customWidth="1"/>
    <x:col min="6" max="6" width="11.109999656677246" style="139" customWidth="1"/>
    <x:col min="7" max="7" width="28.889999389648438" style="139" customWidth="1"/>
    <x:col min="8" max="8" width="2.2200000286102295" style="139" customWidth="1"/>
    <x:col min="9" max="9" width="11.109999656677246" style="139" customWidth="1"/>
    <x:col min="10" max="10" width="10" style="139" customWidth="1"/>
    <x:col min="11" max="11" width="11.109999656677246" style="139" customWidth="1"/>
  </x:cols>
  <x:sheetData>
    <x:row r="1" s="139" customFormat="1" ht="34" customHeight="1">
      <x:c r="A1" s="112" t="inlineStr">
        <x:is>
          <x:t xml:space="preserve">Workbook Checks</x:t>
        </x:is>
      </x:c>
      <x:c r="H1" s="114" t="n"/>
      <x:c r="I1" s="114" t="n"/>
      <x:c r="J1" s="114" t="n"/>
      <x:c r="K1" s="114" t="n"/>
    </x:row>
    <x:row r="2" s="139" customFormat="1" ht="28" customHeight="1">
      <x:c r="A2" s="113" t="inlineStr">
        <x:is>
          <x:t xml:space="preserve">All structural checks must show OK before the workbook is released.</x:t>
        </x:is>
      </x:c>
      <x:c r="H2" s="114" t="n"/>
      <x:c r="I2" s="114" t="n"/>
      <x:c r="J2" s="114" t="n"/>
      <x:c r="K2" s="114" t="n"/>
    </x:row>
    <x:row r="3">
      <x:c r="A3" s="114" t="n"/>
      <x:c r="B3" s="114" t="n"/>
      <x:c r="C3" s="114" t="n"/>
      <x:c r="D3" s="114" t="n"/>
      <x:c r="E3" s="114" t="n"/>
      <x:c r="F3" s="114" t="n"/>
      <x:c r="G3" s="114" t="n"/>
      <x:c r="H3" s="114" t="n"/>
      <x:c r="I3" s="114" t="n"/>
      <x:c r="J3" s="114" t="n"/>
      <x:c r="K3" s="114" t="n"/>
    </x:row>
    <x:row r="4">
      <x:c r="A4" s="114" t="n"/>
      <x:c r="B4" s="114" t="n"/>
      <x:c r="C4" s="114" t="n"/>
      <x:c r="D4" s="114" t="n"/>
      <x:c r="E4" s="114" t="n"/>
      <x:c r="F4" s="114" t="n"/>
      <x:c r="G4" s="114" t="n"/>
      <x:c r="H4" s="114" t="n"/>
      <x:c r="I4" s="114" t="n"/>
      <x:c r="J4" s="114" t="n"/>
      <x:c r="K4" s="114" t="n"/>
    </x:row>
    <x:row r="5" s="139" customFormat="1" ht="30" customHeight="1">
      <x:c r="A5" s="116" t="inlineStr">
        <x:is>
          <x:t xml:space="preserve">Check</x:t>
        </x:is>
      </x:c>
      <x:c r="B5" s="116" t="inlineStr">
        <x:is>
          <x:t xml:space="preserve">Actual</x:t>
        </x:is>
      </x:c>
      <x:c r="C5" s="116" t="inlineStr">
        <x:is>
          <x:t xml:space="preserve">Expected</x:t>
        </x:is>
      </x:c>
      <x:c r="D5" s="116" t="inlineStr">
        <x:is>
          <x:t xml:space="preserve">Difference</x:t>
        </x:is>
      </x:c>
      <x:c r="E5" s="116" t="inlineStr">
        <x:is>
          <x:t xml:space="preserve">Tolerance</x:t>
        </x:is>
      </x:c>
      <x:c r="F5" s="116" t="inlineStr">
        <x:is>
          <x:t xml:space="preserve">Status</x:t>
        </x:is>
      </x:c>
      <x:c r="G5" s="116" t="inlineStr">
        <x:is>
          <x:t xml:space="preserve">Fix Hint</x:t>
        </x:is>
      </x:c>
      <x:c r="H5" s="114" t="n"/>
      <x:c r="I5" s="116" t="inlineStr">
        <x:is>
          <x:t xml:space="preserve">Company ID Helper</x:t>
        </x:is>
      </x:c>
      <x:c r="J5" s="116" t="inlineStr">
        <x:is>
          <x:t xml:space="preserve">Allocated Cycles</x:t>
        </x:is>
      </x:c>
      <x:c r="K5" s="116" t="inlineStr">
        <x:is>
          <x:t xml:space="preserve">Distinct Phase Count</x:t>
        </x:is>
      </x:c>
    </x:row>
    <x:row r="6">
      <x:c r="A6" s="56" t="inlineStr">
        <x:is>
          <x:t xml:space="preserve">Company count</x:t>
        </x:is>
      </x:c>
      <x:c r="B6" s="56" t="n">
        <x:f>COUNTA('Company Universe'!$A$6:$A$105)</x:f>
        <x:v>100</x:v>
      </x:c>
      <x:c r="C6" s="56" t="n">
        <x:v>100</x:v>
      </x:c>
      <x:c r="D6" s="56" t="n">
        <x:f>B6-C6</x:f>
        <x:v>0</x:v>
      </x:c>
      <x:c r="E6" s="56" t="n">
        <x:v>0</x:v>
      </x:c>
      <x:c r="F6" s="56" t="str">
        <x:f>IF(ABS(D6)&lt;=E6,"OK","FAIL")</x:f>
        <x:v>OK</x:v>
      </x:c>
      <x:c r="G6" s="56" t="inlineStr">
        <x:is>
          <x:t xml:space="preserve">Company Universe rows 6:105</x:t>
        </x:is>
      </x:c>
      <x:c r="H6" s="114" t="n"/>
      <x:c r="I6" s="114" t="str">
        <x:f>'Company Universe'!A6</x:f>
        <x:v>ARG-001</x:v>
      </x:c>
      <x:c r="J6" s="114" t="n">
        <x:f>COUNTIF('1000 Cycles'!$D$6:$D$1005,I6)</x:f>
        <x:v>10</x:v>
      </x:c>
      <x:c r="K6" s="114" t="n">
        <x:f>IF(COUNTIFS('1000 Cycles'!$D$6:$D$1005,I6,'1000 Cycles'!$B$6:$B$1005,"Development")&gt;0,1,0)+IF(COUNTIFS('1000 Cycles'!$D$6:$D$1005,I6,'1000 Cycles'!$B$6:$B$1005,"Validation")&gt;0,1,0)+IF(COUNTIFS('1000 Cycles'!$D$6:$D$1005,I6,'1000 Cycles'!$B$6:$B$1005,"Holdout")&gt;0,1,0)</x:f>
        <x:v>1</x:v>
      </x:c>
    </x:row>
    <x:row r="7">
      <x:c r="A7" s="57" t="inlineStr">
        <x:is>
          <x:t xml:space="preserve">Cycle count</x:t>
        </x:is>
      </x:c>
      <x:c r="B7" s="57" t="n">
        <x:f>COUNTA('1000 Cycles'!$A$6:$A$1005)</x:f>
        <x:v>1000</x:v>
      </x:c>
      <x:c r="C7" s="57" t="n">
        <x:v>1000</x:v>
      </x:c>
      <x:c r="D7" s="57" t="n">
        <x:f>B7-C7</x:f>
        <x:v>0</x:v>
      </x:c>
      <x:c r="E7" s="57" t="n">
        <x:v>0</x:v>
      </x:c>
      <x:c r="F7" s="57" t="str">
        <x:f>IF(ABS(D7)&lt;=E7,"OK","FAIL")</x:f>
        <x:v>OK</x:v>
      </x:c>
      <x:c r="G7" s="57" t="inlineStr">
        <x:is>
          <x:t xml:space="preserve">1000 Cycles rows 6:1005</x:t>
        </x:is>
      </x:c>
      <x:c r="H7" s="114" t="n"/>
      <x:c r="I7" s="114" t="str">
        <x:f>'Company Universe'!A7</x:f>
        <x:v>ARG-002</x:v>
      </x:c>
      <x:c r="J7" s="114" t="n">
        <x:f>COUNTIF('1000 Cycles'!$D$6:$D$1005,I7)</x:f>
        <x:v>10</x:v>
      </x:c>
      <x:c r="K7" s="114" t="n">
        <x:f>IF(COUNTIFS('1000 Cycles'!$D$6:$D$1005,I7,'1000 Cycles'!$B$6:$B$1005,"Development")&gt;0,1,0)+IF(COUNTIFS('1000 Cycles'!$D$6:$D$1005,I7,'1000 Cycles'!$B$6:$B$1005,"Validation")&gt;0,1,0)+IF(COUNTIFS('1000 Cycles'!$D$6:$D$1005,I7,'1000 Cycles'!$B$6:$B$1005,"Holdout")&gt;0,1,0)</x:f>
        <x:v>1</x:v>
      </x:c>
    </x:row>
    <x:row r="8">
      <x:c r="A8" s="57" t="inlineStr">
        <x:is>
          <x:t xml:space="preserve">Development cycles</x:t>
        </x:is>
      </x:c>
      <x:c r="B8" s="57" t="n">
        <x:f>COUNTIF('1000 Cycles'!$B$6:$B$1005,"Development")</x:f>
        <x:v>600</x:v>
      </x:c>
      <x:c r="C8" s="57" t="n">
        <x:v>600</x:v>
      </x:c>
      <x:c r="D8" s="57" t="n">
        <x:f>B8-C8</x:f>
        <x:v>0</x:v>
      </x:c>
      <x:c r="E8" s="57" t="n">
        <x:v>0</x:v>
      </x:c>
      <x:c r="F8" s="57" t="str">
        <x:f>IF(ABS(D8)&lt;=E8,"OK","FAIL")</x:f>
        <x:v>OK</x:v>
      </x:c>
      <x:c r="G8" s="57" t="inlineStr">
        <x:is>
          <x:t xml:space="preserve">60 development companies × 10</x:t>
        </x:is>
      </x:c>
      <x:c r="H8" s="114" t="n"/>
      <x:c r="I8" s="114" t="str">
        <x:f>'Company Universe'!A8</x:f>
        <x:v>ARG-003</x:v>
      </x:c>
      <x:c r="J8" s="114" t="n">
        <x:f>COUNTIF('1000 Cycles'!$D$6:$D$1005,I8)</x:f>
        <x:v>10</x:v>
      </x:c>
      <x:c r="K8" s="114" t="n">
        <x:f>IF(COUNTIFS('1000 Cycles'!$D$6:$D$1005,I8,'1000 Cycles'!$B$6:$B$1005,"Development")&gt;0,1,0)+IF(COUNTIFS('1000 Cycles'!$D$6:$D$1005,I8,'1000 Cycles'!$B$6:$B$1005,"Validation")&gt;0,1,0)+IF(COUNTIFS('1000 Cycles'!$D$6:$D$1005,I8,'1000 Cycles'!$B$6:$B$1005,"Holdout")&gt;0,1,0)</x:f>
        <x:v>1</x:v>
      </x:c>
    </x:row>
    <x:row r="9">
      <x:c r="A9" s="57" t="inlineStr">
        <x:is>
          <x:t xml:space="preserve">Validation cycles</x:t>
        </x:is>
      </x:c>
      <x:c r="B9" s="57" t="n">
        <x:f>COUNTIF('1000 Cycles'!$B$6:$B$1005,"Validation")</x:f>
        <x:v>200</x:v>
      </x:c>
      <x:c r="C9" s="57" t="n">
        <x:v>200</x:v>
      </x:c>
      <x:c r="D9" s="57" t="n">
        <x:f>B9-C9</x:f>
        <x:v>0</x:v>
      </x:c>
      <x:c r="E9" s="57" t="n">
        <x:v>0</x:v>
      </x:c>
      <x:c r="F9" s="57" t="str">
        <x:f>IF(ABS(D9)&lt;=E9,"OK","FAIL")</x:f>
        <x:v>OK</x:v>
      </x:c>
      <x:c r="G9" s="57" t="inlineStr">
        <x:is>
          <x:t xml:space="preserve">20 validation companies × 10</x:t>
        </x:is>
      </x:c>
      <x:c r="H9" s="114" t="n"/>
      <x:c r="I9" s="114" t="str">
        <x:f>'Company Universe'!A9</x:f>
        <x:v>ARG-004</x:v>
      </x:c>
      <x:c r="J9" s="114" t="n">
        <x:f>COUNTIF('1000 Cycles'!$D$6:$D$1005,I9)</x:f>
        <x:v>10</x:v>
      </x:c>
      <x:c r="K9" s="114" t="n">
        <x:f>IF(COUNTIFS('1000 Cycles'!$D$6:$D$1005,I9,'1000 Cycles'!$B$6:$B$1005,"Development")&gt;0,1,0)+IF(COUNTIFS('1000 Cycles'!$D$6:$D$1005,I9,'1000 Cycles'!$B$6:$B$1005,"Validation")&gt;0,1,0)+IF(COUNTIFS('1000 Cycles'!$D$6:$D$1005,I9,'1000 Cycles'!$B$6:$B$1005,"Holdout")&gt;0,1,0)</x:f>
        <x:v>1</x:v>
      </x:c>
    </x:row>
    <x:row r="10">
      <x:c r="A10" s="57" t="inlineStr">
        <x:is>
          <x:t xml:space="preserve">Holdout cycles</x:t>
        </x:is>
      </x:c>
      <x:c r="B10" s="57" t="n">
        <x:f>COUNTIF('1000 Cycles'!$B$6:$B$1005,"Holdout")</x:f>
        <x:v>200</x:v>
      </x:c>
      <x:c r="C10" s="57" t="n">
        <x:v>200</x:v>
      </x:c>
      <x:c r="D10" s="57" t="n">
        <x:f>B10-C10</x:f>
        <x:v>0</x:v>
      </x:c>
      <x:c r="E10" s="57" t="n">
        <x:v>0</x:v>
      </x:c>
      <x:c r="F10" s="57" t="str">
        <x:f>IF(ABS(D10)&lt;=E10,"OK","FAIL")</x:f>
        <x:v>OK</x:v>
      </x:c>
      <x:c r="G10" s="57" t="inlineStr">
        <x:is>
          <x:t xml:space="preserve">20 holdout companies × 10 and locked</x:t>
        </x:is>
      </x:c>
      <x:c r="H10" s="114" t="n"/>
      <x:c r="I10" s="114" t="str">
        <x:f>'Company Universe'!A10</x:f>
        <x:v>ARG-005</x:v>
      </x:c>
      <x:c r="J10" s="114" t="n">
        <x:f>COUNTIF('1000 Cycles'!$D$6:$D$1005,I10)</x:f>
        <x:v>10</x:v>
      </x:c>
      <x:c r="K10" s="114" t="n">
        <x:f>IF(COUNTIFS('1000 Cycles'!$D$6:$D$1005,I10,'1000 Cycles'!$B$6:$B$1005,"Development")&gt;0,1,0)+IF(COUNTIFS('1000 Cycles'!$D$6:$D$1005,I10,'1000 Cycles'!$B$6:$B$1005,"Validation")&gt;0,1,0)+IF(COUNTIFS('1000 Cycles'!$D$6:$D$1005,I10,'1000 Cycles'!$B$6:$B$1005,"Holdout")&gt;0,1,0)</x:f>
        <x:v>1</x:v>
      </x:c>
    </x:row>
    <x:row r="11">
      <x:c r="A11" s="57" t="inlineStr">
        <x:is>
          <x:t xml:space="preserve">Cycles per company (minimum)</x:t>
        </x:is>
      </x:c>
      <x:c r="B11" s="57" t="n">
        <x:f>MIN(J6:J105)</x:f>
        <x:v>10</x:v>
      </x:c>
      <x:c r="C11" s="57" t="n">
        <x:v>10</x:v>
      </x:c>
      <x:c r="D11" s="57" t="n">
        <x:f>B11-C11</x:f>
        <x:v>0</x:v>
      </x:c>
      <x:c r="E11" s="57" t="n">
        <x:v>0</x:v>
      </x:c>
      <x:c r="F11" s="57" t="str">
        <x:f>IF(ABS(D11)&lt;=E11,"OK","FAIL")</x:f>
        <x:v>OK</x:v>
      </x:c>
      <x:c r="G11" s="57" t="inlineStr">
        <x:is>
          <x:t xml:space="preserve">Each company receives 10 slots</x:t>
        </x:is>
      </x:c>
      <x:c r="H11" s="114" t="n"/>
      <x:c r="I11" s="114" t="str">
        <x:f>'Company Universe'!A11</x:f>
        <x:v>ARG-006</x:v>
      </x:c>
      <x:c r="J11" s="114" t="n">
        <x:f>COUNTIF('1000 Cycles'!$D$6:$D$1005,I11)</x:f>
        <x:v>10</x:v>
      </x:c>
      <x:c r="K11" s="114" t="n">
        <x:f>IF(COUNTIFS('1000 Cycles'!$D$6:$D$1005,I11,'1000 Cycles'!$B$6:$B$1005,"Development")&gt;0,1,0)+IF(COUNTIFS('1000 Cycles'!$D$6:$D$1005,I11,'1000 Cycles'!$B$6:$B$1005,"Validation")&gt;0,1,0)+IF(COUNTIFS('1000 Cycles'!$D$6:$D$1005,I11,'1000 Cycles'!$B$6:$B$1005,"Holdout")&gt;0,1,0)</x:f>
        <x:v>1</x:v>
      </x:c>
    </x:row>
    <x:row r="12">
      <x:c r="A12" s="57" t="inlineStr">
        <x:is>
          <x:t xml:space="preserve">Cycles per company (maximum)</x:t>
        </x:is>
      </x:c>
      <x:c r="B12" s="57" t="n">
        <x:f>MAX(J6:J105)</x:f>
        <x:v>10</x:v>
      </x:c>
      <x:c r="C12" s="57" t="n">
        <x:v>10</x:v>
      </x:c>
      <x:c r="D12" s="57" t="n">
        <x:f>B12-C12</x:f>
        <x:v>0</x:v>
      </x:c>
      <x:c r="E12" s="57" t="n">
        <x:v>0</x:v>
      </x:c>
      <x:c r="F12" s="57" t="str">
        <x:f>IF(ABS(D12)&lt;=E12,"OK","FAIL")</x:f>
        <x:v>OK</x:v>
      </x:c>
      <x:c r="G12" s="57" t="inlineStr">
        <x:is>
          <x:t xml:space="preserve">Each company receives 10 slots</x:t>
        </x:is>
      </x:c>
      <x:c r="H12" s="114" t="n"/>
      <x:c r="I12" s="114" t="str">
        <x:f>'Company Universe'!A12</x:f>
        <x:v>ARG-007</x:v>
      </x:c>
      <x:c r="J12" s="114" t="n">
        <x:f>COUNTIF('1000 Cycles'!$D$6:$D$1005,I12)</x:f>
        <x:v>10</x:v>
      </x:c>
      <x:c r="K12" s="114" t="n">
        <x:f>IF(COUNTIFS('1000 Cycles'!$D$6:$D$1005,I12,'1000 Cycles'!$B$6:$B$1005,"Development")&gt;0,1,0)+IF(COUNTIFS('1000 Cycles'!$D$6:$D$1005,I12,'1000 Cycles'!$B$6:$B$1005,"Validation")&gt;0,1,0)+IF(COUNTIFS('1000 Cycles'!$D$6:$D$1005,I12,'1000 Cycles'!$B$6:$B$1005,"Holdout")&gt;0,1,0)</x:f>
        <x:v>1</x:v>
      </x:c>
    </x:row>
    <x:row r="13">
      <x:c r="A13" s="57" t="inlineStr">
        <x:is>
          <x:t xml:space="preserve">Fatal gates</x:t>
        </x:is>
      </x:c>
      <x:c r="B13" s="57" t="n">
        <x:f>COUNTA('Lists &amp; Rules'!$A$6:$A$11)</x:f>
        <x:v>6</x:v>
      </x:c>
      <x:c r="C13" s="57" t="n">
        <x:v>6</x:v>
      </x:c>
      <x:c r="D13" s="57" t="n">
        <x:f>B13-C13</x:f>
        <x:v>0</x:v>
      </x:c>
      <x:c r="E13" s="57" t="n">
        <x:v>0</x:v>
      </x:c>
      <x:c r="F13" s="57" t="str">
        <x:f>IF(ABS(D13)&lt;=E13,"OK","FAIL")</x:f>
        <x:v>OK</x:v>
      </x:c>
      <x:c r="G13" s="57" t="inlineStr">
        <x:is>
          <x:t xml:space="preserve">V10 retains six fatal gates</x:t>
        </x:is>
      </x:c>
      <x:c r="H13" s="114" t="n"/>
      <x:c r="I13" s="114" t="str">
        <x:f>'Company Universe'!A13</x:f>
        <x:v>ARG-008</x:v>
      </x:c>
      <x:c r="J13" s="114" t="n">
        <x:f>COUNTIF('1000 Cycles'!$D$6:$D$1005,I13)</x:f>
        <x:v>10</x:v>
      </x:c>
      <x:c r="K13" s="114" t="n">
        <x:f>IF(COUNTIFS('1000 Cycles'!$D$6:$D$1005,I13,'1000 Cycles'!$B$6:$B$1005,"Development")&gt;0,1,0)+IF(COUNTIFS('1000 Cycles'!$D$6:$D$1005,I13,'1000 Cycles'!$B$6:$B$1005,"Validation")&gt;0,1,0)+IF(COUNTIFS('1000 Cycles'!$D$6:$D$1005,I13,'1000 Cycles'!$B$6:$B$1005,"Holdout")&gt;0,1,0)</x:f>
        <x:v>1</x:v>
      </x:c>
    </x:row>
    <x:row r="14">
      <x:c r="A14" s="57" t="inlineStr">
        <x:is>
          <x:t xml:space="preserve">Unmapped companies</x:t>
        </x:is>
      </x:c>
      <x:c r="B14" s="57" t="n">
        <x:f>B6-SUM('Sector Map'!$G$6:$G$30)</x:f>
        <x:v>0</x:v>
      </x:c>
      <x:c r="C14" s="57" t="n">
        <x:v>0</x:v>
      </x:c>
      <x:c r="D14" s="57" t="n">
        <x:f>B14-C14</x:f>
        <x:v>0</x:v>
      </x:c>
      <x:c r="E14" s="57" t="n">
        <x:v>0</x:v>
      </x:c>
      <x:c r="F14" s="57" t="str">
        <x:f>IF(ABS(D14)&lt;=E14,"OK","FAIL")</x:f>
        <x:v>OK</x:v>
      </x:c>
      <x:c r="G14" s="57" t="inlineStr">
        <x:is>
          <x:t xml:space="preserve">Every company sector must match Sector Map</x:t>
        </x:is>
      </x:c>
      <x:c r="H14" s="114" t="n"/>
      <x:c r="I14" s="114" t="str">
        <x:f>'Company Universe'!A14</x:f>
        <x:v>ARG-009</x:v>
      </x:c>
      <x:c r="J14" s="114" t="n">
        <x:f>COUNTIF('1000 Cycles'!$D$6:$D$1005,I14)</x:f>
        <x:v>10</x:v>
      </x:c>
      <x:c r="K14" s="114" t="n">
        <x:f>IF(COUNTIFS('1000 Cycles'!$D$6:$D$1005,I14,'1000 Cycles'!$B$6:$B$1005,"Development")&gt;0,1,0)+IF(COUNTIFS('1000 Cycles'!$D$6:$D$1005,I14,'1000 Cycles'!$B$6:$B$1005,"Validation")&gt;0,1,0)+IF(COUNTIFS('1000 Cycles'!$D$6:$D$1005,I14,'1000 Cycles'!$B$6:$B$1005,"Holdout")&gt;0,1,0)</x:f>
        <x:v>1</x:v>
      </x:c>
    </x:row>
    <x:row r="15">
      <x:c r="A15" s="57" t="inlineStr">
        <x:is>
          <x:t xml:space="preserve">Phases per company (minimum)</x:t>
        </x:is>
      </x:c>
      <x:c r="B15" s="57" t="n">
        <x:f>MIN(K6:K105)</x:f>
        <x:v>1</x:v>
      </x:c>
      <x:c r="C15" s="57" t="n">
        <x:v>1</x:v>
      </x:c>
      <x:c r="D15" s="57" t="n">
        <x:f>B15-C15</x:f>
        <x:v>0</x:v>
      </x:c>
      <x:c r="E15" s="57" t="n">
        <x:v>0</x:v>
      </x:c>
      <x:c r="F15" s="57" t="str">
        <x:f>IF(ABS(D15)&lt;=E15,"OK","FAIL")</x:f>
        <x:v>OK</x:v>
      </x:c>
      <x:c r="G15" s="57" t="inlineStr">
        <x:is>
          <x:t xml:space="preserve">Every company must be in one phase</x:t>
        </x:is>
      </x:c>
      <x:c r="H15" s="114" t="n"/>
      <x:c r="I15" s="114" t="str">
        <x:f>'Company Universe'!A15</x:f>
        <x:v>ARG-010</x:v>
      </x:c>
      <x:c r="J15" s="114" t="n">
        <x:f>COUNTIF('1000 Cycles'!$D$6:$D$1005,I15)</x:f>
        <x:v>10</x:v>
      </x:c>
      <x:c r="K15" s="114" t="n">
        <x:f>IF(COUNTIFS('1000 Cycles'!$D$6:$D$1005,I15,'1000 Cycles'!$B$6:$B$1005,"Development")&gt;0,1,0)+IF(COUNTIFS('1000 Cycles'!$D$6:$D$1005,I15,'1000 Cycles'!$B$6:$B$1005,"Validation")&gt;0,1,0)+IF(COUNTIFS('1000 Cycles'!$D$6:$D$1005,I15,'1000 Cycles'!$B$6:$B$1005,"Holdout")&gt;0,1,0)</x:f>
        <x:v>1</x:v>
      </x:c>
    </x:row>
    <x:row r="16">
      <x:c r="A16" s="57" t="inlineStr">
        <x:is>
          <x:t xml:space="preserve">Phases per company (maximum)</x:t>
        </x:is>
      </x:c>
      <x:c r="B16" s="57" t="n">
        <x:f>MAX(K6:K105)</x:f>
        <x:v>1</x:v>
      </x:c>
      <x:c r="C16" s="57" t="n">
        <x:v>1</x:v>
      </x:c>
      <x:c r="D16" s="57" t="n">
        <x:f>B16-C16</x:f>
        <x:v>0</x:v>
      </x:c>
      <x:c r="E16" s="57" t="n">
        <x:v>0</x:v>
      </x:c>
      <x:c r="F16" s="57" t="str">
        <x:f>IF(ABS(D16)&lt;=E16,"OK","FAIL")</x:f>
        <x:v>OK</x:v>
      </x:c>
      <x:c r="G16" s="57" t="inlineStr">
        <x:is>
          <x:t xml:space="preserve">No company may leak into another phase</x:t>
        </x:is>
      </x:c>
      <x:c r="H16" s="114" t="n"/>
      <x:c r="I16" s="114" t="str">
        <x:f>'Company Universe'!A16</x:f>
        <x:v>ARG-011</x:v>
      </x:c>
      <x:c r="J16" s="114" t="n">
        <x:f>COUNTIF('1000 Cycles'!$D$6:$D$1005,I16)</x:f>
        <x:v>10</x:v>
      </x:c>
      <x:c r="K16" s="114" t="n">
        <x:f>IF(COUNTIFS('1000 Cycles'!$D$6:$D$1005,I16,'1000 Cycles'!$B$6:$B$1005,"Development")&gt;0,1,0)+IF(COUNTIFS('1000 Cycles'!$D$6:$D$1005,I16,'1000 Cycles'!$B$6:$B$1005,"Validation")&gt;0,1,0)+IF(COUNTIFS('1000 Cycles'!$D$6:$D$1005,I16,'1000 Cycles'!$B$6:$B$1005,"Holdout")&gt;0,1,0)</x:f>
        <x:v>1</x:v>
      </x:c>
    </x:row>
    <x:row r="17">
      <x:c r="A17" s="57" t="inlineStr">
        <x:is>
          <x:t xml:space="preserve">Locked holdout cycles</x:t>
        </x:is>
      </x:c>
      <x:c r="B17" s="57" t="n">
        <x:f>COUNTIFS('1000 Cycles'!$B$6:$B$1005,"Holdout",'1000 Cycles'!$C$6:$C$1005,"LOCKED")</x:f>
        <x:v>200</x:v>
      </x:c>
      <x:c r="C17" s="57" t="n">
        <x:v>200</x:v>
      </x:c>
      <x:c r="D17" s="57" t="n">
        <x:f>B17-C17</x:f>
        <x:v>0</x:v>
      </x:c>
      <x:c r="E17" s="57" t="n">
        <x:v>0</x:v>
      </x:c>
      <x:c r="F17" s="57" t="str">
        <x:f>IF(ABS(D17)&lt;=E17,"OK","FAIL")</x:f>
        <x:v>OK</x:v>
      </x:c>
      <x:c r="G17" s="57" t="inlineStr">
        <x:is>
          <x:t xml:space="preserve">Every holdout row must remain visibly locked</x:t>
        </x:is>
      </x:c>
      <x:c r="H17" s="114" t="n"/>
      <x:c r="I17" s="114" t="str">
        <x:f>'Company Universe'!A17</x:f>
        <x:v>ARG-012</x:v>
      </x:c>
      <x:c r="J17" s="114" t="n">
        <x:f>COUNTIF('1000 Cycles'!$D$6:$D$1005,I17)</x:f>
        <x:v>10</x:v>
      </x:c>
      <x:c r="K17" s="114" t="n">
        <x:f>IF(COUNTIFS('1000 Cycles'!$D$6:$D$1005,I17,'1000 Cycles'!$B$6:$B$1005,"Development")&gt;0,1,0)+IF(COUNTIFS('1000 Cycles'!$D$6:$D$1005,I17,'1000 Cycles'!$B$6:$B$1005,"Validation")&gt;0,1,0)+IF(COUNTIFS('1000 Cycles'!$D$6:$D$1005,I17,'1000 Cycles'!$B$6:$B$1005,"Holdout")&gt;0,1,0)</x:f>
        <x:v>1</x:v>
      </x:c>
    </x:row>
    <x:row r="18">
      <x:c r="A18" s="58" t="inlineStr">
        <x:is>
          <x:t xml:space="preserve">Authorization gate at seed</x:t>
        </x:is>
      </x:c>
      <x:c r="B18" s="58" t="str">
        <x:f>'Cycle Dashboard'!$B$18</x:f>
        <x:v>BLOCKED</x:v>
      </x:c>
      <x:c r="C18" s="58" t="inlineStr">
        <x:is>
          <x:t xml:space="preserve">BLOCKED</x:t>
        </x:is>
      </x:c>
      <x:c r="D18" s="58" t="n"/>
      <x:c r="E18" s="58" t="n"/>
      <x:c r="F18" s="58" t="str">
        <x:f>IF(B18=C18,"OK","FAIL")</x:f>
        <x:v>OK</x:v>
      </x:c>
      <x:c r="G18" s="58" t="inlineStr">
        <x:is>
          <x:t xml:space="preserve">API/automation must remain blocked at seed</x:t>
        </x:is>
      </x:c>
      <x:c r="H18" s="114" t="n"/>
      <x:c r="I18" s="114" t="str">
        <x:f>'Company Universe'!A18</x:f>
        <x:v>ARG-013</x:v>
      </x:c>
      <x:c r="J18" s="114" t="n">
        <x:f>COUNTIF('1000 Cycles'!$D$6:$D$1005,I18)</x:f>
        <x:v>10</x:v>
      </x:c>
      <x:c r="K18" s="114" t="n">
        <x:f>IF(COUNTIFS('1000 Cycles'!$D$6:$D$1005,I18,'1000 Cycles'!$B$6:$B$1005,"Development")&gt;0,1,0)+IF(COUNTIFS('1000 Cycles'!$D$6:$D$1005,I18,'1000 Cycles'!$B$6:$B$1005,"Validation")&gt;0,1,0)+IF(COUNTIFS('1000 Cycles'!$D$6:$D$1005,I18,'1000 Cycles'!$B$6:$B$1005,"Holdout")&gt;0,1,0)</x:f>
        <x:v>1</x:v>
      </x:c>
    </x:row>
    <x:row r="19">
      <x:c r="A19" s="114" t="n"/>
      <x:c r="B19" s="114" t="n"/>
      <x:c r="C19" s="114" t="n"/>
      <x:c r="D19" s="114" t="n"/>
      <x:c r="E19" s="114" t="n"/>
      <x:c r="F19" s="114" t="n"/>
      <x:c r="G19" s="114" t="n"/>
      <x:c r="H19" s="114" t="n"/>
      <x:c r="I19" s="114" t="str">
        <x:f>'Company Universe'!A19</x:f>
        <x:v>ARG-014</x:v>
      </x:c>
      <x:c r="J19" s="114" t="n">
        <x:f>COUNTIF('1000 Cycles'!$D$6:$D$1005,I19)</x:f>
        <x:v>10</x:v>
      </x:c>
      <x:c r="K19" s="114" t="n">
        <x:f>IF(COUNTIFS('1000 Cycles'!$D$6:$D$1005,I19,'1000 Cycles'!$B$6:$B$1005,"Development")&gt;0,1,0)+IF(COUNTIFS('1000 Cycles'!$D$6:$D$1005,I19,'1000 Cycles'!$B$6:$B$1005,"Validation")&gt;0,1,0)+IF(COUNTIFS('1000 Cycles'!$D$6:$D$1005,I19,'1000 Cycles'!$B$6:$B$1005,"Holdout")&gt;0,1,0)</x:f>
        <x:v>1</x:v>
      </x:c>
    </x:row>
    <x:row r="20">
      <x:c r="A20" s="137" t="inlineStr">
        <x:is>
          <x:t xml:space="preserve">MODEL STATUS</x:t>
        </x:is>
      </x:c>
      <x:c r="G20" s="114" t="n"/>
      <x:c r="H20" s="114" t="n"/>
      <x:c r="I20" s="114" t="str">
        <x:f>'Company Universe'!A20</x:f>
        <x:v>ARG-015</x:v>
      </x:c>
      <x:c r="J20" s="114" t="n">
        <x:f>COUNTIF('1000 Cycles'!$D$6:$D$1005,I20)</x:f>
        <x:v>10</x:v>
      </x:c>
      <x:c r="K20" s="114" t="n">
        <x:f>IF(COUNTIFS('1000 Cycles'!$D$6:$D$1005,I20,'1000 Cycles'!$B$6:$B$1005,"Development")&gt;0,1,0)+IF(COUNTIFS('1000 Cycles'!$D$6:$D$1005,I20,'1000 Cycles'!$B$6:$B$1005,"Validation")&gt;0,1,0)+IF(COUNTIFS('1000 Cycles'!$D$6:$D$1005,I20,'1000 Cycles'!$B$6:$B$1005,"Holdout")&gt;0,1,0)</x:f>
        <x:v>1</x:v>
      </x:c>
    </x:row>
    <x:row r="21">
      <x:c r="A21" s="138" t="str">
        <x:f>IF(COUNTIF(F6:F18,"FAIL")=0,"OK — STRUCTURE VALID; EMPIRICAL RESULTS NOT YET POPULATED","FAIL — REVIEW CHECKS")</x:f>
        <x:v>OK — STRUCTURE VALID; EMPIRICAL RESULTS NOT YET POPULATED</x:v>
      </x:c>
      <x:c r="G21" s="114" t="n"/>
      <x:c r="H21" s="114" t="n"/>
      <x:c r="I21" s="114" t="str">
        <x:f>'Company Universe'!A21</x:f>
        <x:v>ARG-016</x:v>
      </x:c>
      <x:c r="J21" s="114" t="n">
        <x:f>COUNTIF('1000 Cycles'!$D$6:$D$1005,I21)</x:f>
        <x:v>10</x:v>
      </x:c>
      <x:c r="K21" s="114" t="n">
        <x:f>IF(COUNTIFS('1000 Cycles'!$D$6:$D$1005,I21,'1000 Cycles'!$B$6:$B$1005,"Development")&gt;0,1,0)+IF(COUNTIFS('1000 Cycles'!$D$6:$D$1005,I21,'1000 Cycles'!$B$6:$B$1005,"Validation")&gt;0,1,0)+IF(COUNTIFS('1000 Cycles'!$D$6:$D$1005,I21,'1000 Cycles'!$B$6:$B$1005,"Holdout")&gt;0,1,0)</x:f>
        <x:v>1</x:v>
      </x:c>
    </x:row>
    <x:row r="22">
      <x:c r="A22" s="229" t="str">
        <x:v>V10.29 P1 Research Checks</x:v>
      </x:c>
      <x:c r="B22" s="229" t="str">
        <x:v>Actual</x:v>
      </x:c>
      <x:c r="C22" s="229" t="str">
        <x:v>Expected</x:v>
      </x:c>
      <x:c r="D22" s="229" t="str">
        <x:v>Difference</x:v>
      </x:c>
      <x:c r="E22" s="229" t="str">
        <x:v>Status</x:v>
      </x:c>
      <x:c r="F22" s="229" t="str">
        <x:v>Notes</x:v>
      </x:c>
      <x:c r="G22" s="114" t="n"/>
      <x:c r="H22" s="114" t="n"/>
      <x:c r="I22" s="114" t="str">
        <x:f>'Company Universe'!A22</x:f>
        <x:v>ARG-017</x:v>
      </x:c>
      <x:c r="J22" s="114" t="n">
        <x:f>COUNTIF('1000 Cycles'!$D$6:$D$1005,I22)</x:f>
        <x:v>10</x:v>
      </x:c>
      <x:c r="K22" s="114" t="n">
        <x:f>IF(COUNTIFS('1000 Cycles'!$D$6:$D$1005,I22,'1000 Cycles'!$B$6:$B$1005,"Development")&gt;0,1,0)+IF(COUNTIFS('1000 Cycles'!$D$6:$D$1005,I22,'1000 Cycles'!$B$6:$B$1005,"Validation")&gt;0,1,0)+IF(COUNTIFS('1000 Cycles'!$D$6:$D$1005,I22,'1000 Cycles'!$B$6:$B$1005,"Holdout")&gt;0,1,0)</x:f>
        <x:v>1</x:v>
      </x:c>
    </x:row>
    <x:row r="23">
      <x:c r="A23" s="251" t="str">
        <x:v>P1 deep-review rows</x:v>
      </x:c>
      <x:c r="B23" s="251" t="n">
        <x:v>17</x:v>
      </x:c>
      <x:c r="C23" s="251" t="n">
        <x:v>17</x:v>
      </x:c>
      <x:c r="D23" s="251" t="n">
        <x:v>0</x:v>
      </x:c>
      <x:c r="E23" s="251" t="str">
        <x:v>OK</x:v>
      </x:c>
      <x:c r="F23" s="251" t="str">
        <x:v>P1 Deep Research sheet</x:v>
      </x:c>
      <x:c r="G23" s="114" t="n"/>
      <x:c r="H23" s="114" t="n"/>
      <x:c r="I23" s="114" t="str">
        <x:f>'Company Universe'!A23</x:f>
        <x:v>ARG-018</x:v>
      </x:c>
      <x:c r="J23" s="114" t="n">
        <x:f>COUNTIF('1000 Cycles'!$D$6:$D$1005,I23)</x:f>
        <x:v>10</x:v>
      </x:c>
      <x:c r="K23" s="114" t="n">
        <x:f>IF(COUNTIFS('1000 Cycles'!$D$6:$D$1005,I23,'1000 Cycles'!$B$6:$B$1005,"Development")&gt;0,1,0)+IF(COUNTIFS('1000 Cycles'!$D$6:$D$1005,I23,'1000 Cycles'!$B$6:$B$1005,"Validation")&gt;0,1,0)+IF(COUNTIFS('1000 Cycles'!$D$6:$D$1005,I23,'1000 Cycles'!$B$6:$B$1005,"Holdout")&gt;0,1,0)</x:f>
        <x:v>1</x:v>
      </x:c>
    </x:row>
    <x:row r="24">
      <x:c r="A24" s="251" t="str">
        <x:v>P1 current T1 links</x:v>
      </x:c>
      <x:c r="B24" s="251" t="n">
        <x:v>17</x:v>
      </x:c>
      <x:c r="C24" s="251" t="n">
        <x:v>17</x:v>
      </x:c>
      <x:c r="D24" s="251" t="n">
        <x:v>0</x:v>
      </x:c>
      <x:c r="E24" s="251" t="str">
        <x:v>OK</x:v>
      </x:c>
      <x:c r="F24" s="251" t="str">
        <x:v>Every P1 row has a source</x:v>
      </x:c>
      <x:c r="G24" s="114" t="n"/>
      <x:c r="H24" s="114" t="n"/>
      <x:c r="I24" s="114" t="str">
        <x:f>'Company Universe'!A24</x:f>
        <x:v>ARG-019</x:v>
      </x:c>
      <x:c r="J24" s="114" t="n">
        <x:f>COUNTIF('1000 Cycles'!$D$6:$D$1005,I24)</x:f>
        <x:v>10</x:v>
      </x:c>
      <x:c r="K24" s="114" t="n">
        <x:f>IF(COUNTIFS('1000 Cycles'!$D$6:$D$1005,I24,'1000 Cycles'!$B$6:$B$1005,"Development")&gt;0,1,0)+IF(COUNTIFS('1000 Cycles'!$D$6:$D$1005,I24,'1000 Cycles'!$B$6:$B$1005,"Validation")&gt;0,1,0)+IF(COUNTIFS('1000 Cycles'!$D$6:$D$1005,I24,'1000 Cycles'!$B$6:$B$1005,"Holdout")&gt;0,1,0)</x:f>
        <x:v>1</x:v>
      </x:c>
    </x:row>
    <x:row r="25">
      <x:c r="A25" s="251" t="str">
        <x:v>P1 Dalio paths</x:v>
      </x:c>
      <x:c r="B25" s="251" t="n">
        <x:v>51</x:v>
      </x:c>
      <x:c r="C25" s="251" t="n">
        <x:v>51</x:v>
      </x:c>
      <x:c r="D25" s="251" t="n">
        <x:v>0</x:v>
      </x:c>
      <x:c r="E25" s="251" t="str">
        <x:v>OK</x:v>
      </x:c>
      <x:c r="F25" s="251" t="str">
        <x:v>Three independent failure paths per company</x:v>
      </x:c>
      <x:c r="G25" s="114" t="n"/>
      <x:c r="H25" s="114" t="n"/>
      <x:c r="I25" s="114" t="str">
        <x:f>'Company Universe'!A25</x:f>
        <x:v>ARG-020</x:v>
      </x:c>
      <x:c r="J25" s="114" t="n">
        <x:f>COUNTIF('1000 Cycles'!$D$6:$D$1005,I25)</x:f>
        <x:v>10</x:v>
      </x:c>
      <x:c r="K25" s="114" t="n">
        <x:f>IF(COUNTIFS('1000 Cycles'!$D$6:$D$1005,I25,'1000 Cycles'!$B$6:$B$1005,"Development")&gt;0,1,0)+IF(COUNTIFS('1000 Cycles'!$D$6:$D$1005,I25,'1000 Cycles'!$B$6:$B$1005,"Validation")&gt;0,1,0)+IF(COUNTIFS('1000 Cycles'!$D$6:$D$1005,I25,'1000 Cycles'!$B$6:$B$1005,"Holdout")&gt;0,1,0)</x:f>
        <x:v>1</x:v>
      </x:c>
    </x:row>
    <x:row r="26">
      <x:c r="A26" s="251" t="str">
        <x:v>P1 gate cells</x:v>
      </x:c>
      <x:c r="B26" s="251" t="n">
        <x:v>204</x:v>
      </x:c>
      <x:c r="C26" s="251" t="n">
        <x:v>204</x:v>
      </x:c>
      <x:c r="D26" s="251" t="n">
        <x:v>0</x:v>
      </x:c>
      <x:c r="E26" s="251" t="str">
        <x:v>OK</x:v>
      </x:c>
      <x:c r="F26" s="251" t="str">
        <x:v>12 gates × 17 companies</x:v>
      </x:c>
      <x:c r="G26" s="114" t="n"/>
      <x:c r="H26" s="114" t="n"/>
      <x:c r="I26" s="114" t="str">
        <x:f>'Company Universe'!A26</x:f>
        <x:v>ARG-021</x:v>
      </x:c>
      <x:c r="J26" s="114" t="n">
        <x:f>COUNTIF('1000 Cycles'!$D$6:$D$1005,I26)</x:f>
        <x:v>10</x:v>
      </x:c>
      <x:c r="K26" s="114" t="n">
        <x:f>IF(COUNTIFS('1000 Cycles'!$D$6:$D$1005,I26,'1000 Cycles'!$B$6:$B$1005,"Development")&gt;0,1,0)+IF(COUNTIFS('1000 Cycles'!$D$6:$D$1005,I26,'1000 Cycles'!$B$6:$B$1005,"Validation")&gt;0,1,0)+IF(COUNTIFS('1000 Cycles'!$D$6:$D$1005,I26,'1000 Cycles'!$B$6:$B$1005,"Holdout")&gt;0,1,0)</x:f>
        <x:v>1</x:v>
      </x:c>
    </x:row>
    <x:row r="27">
      <x:c r="A27" s="251" t="str">
        <x:v>P1 unknown gates</x:v>
      </x:c>
      <x:c r="B27" s="251" t="n">
        <x:v>3</x:v>
      </x:c>
      <x:c r="C27" s="251" t="n">
        <x:v>0</x:v>
      </x:c>
      <x:c r="D27" s="251" t="n">
        <x:v>3</x:v>
      </x:c>
      <x:c r="E27" s="251" t="str">
        <x:v>REVIEW</x:v>
      </x:c>
      <x:c r="F27" s="251" t="str">
        <x:v>UNKNOWN remains fail-closed, never imputed</x:v>
      </x:c>
      <x:c r="G27" s="114" t="n"/>
      <x:c r="H27" s="114" t="n"/>
      <x:c r="I27" s="114" t="str">
        <x:f>'Company Universe'!A27</x:f>
        <x:v>ARG-022</x:v>
      </x:c>
      <x:c r="J27" s="114" t="n">
        <x:f>COUNTIF('1000 Cycles'!$D$6:$D$1005,I27)</x:f>
        <x:v>10</x:v>
      </x:c>
      <x:c r="K27" s="114" t="n">
        <x:f>IF(COUNTIFS('1000 Cycles'!$D$6:$D$1005,I27,'1000 Cycles'!$B$6:$B$1005,"Development")&gt;0,1,0)+IF(COUNTIFS('1000 Cycles'!$D$6:$D$1005,I27,'1000 Cycles'!$B$6:$B$1005,"Validation")&gt;0,1,0)+IF(COUNTIFS('1000 Cycles'!$D$6:$D$1005,I27,'1000 Cycles'!$B$6:$B$1005,"Holdout")&gt;0,1,0)</x:f>
        <x:v>1</x:v>
      </x:c>
    </x:row>
    <x:row r="28">
      <x:c r="A28" s="114" t="n"/>
      <x:c r="B28" s="114" t="n"/>
      <x:c r="C28" s="114" t="n"/>
      <x:c r="D28" s="114" t="n"/>
      <x:c r="E28" s="114" t="n"/>
      <x:c r="F28" s="114" t="n"/>
      <x:c r="G28" s="114" t="n"/>
      <x:c r="H28" s="114" t="n"/>
      <x:c r="I28" s="114" t="str">
        <x:f>'Company Universe'!A28</x:f>
        <x:v>ARG-023</x:v>
      </x:c>
      <x:c r="J28" s="114" t="n">
        <x:f>COUNTIF('1000 Cycles'!$D$6:$D$1005,I28)</x:f>
        <x:v>10</x:v>
      </x:c>
      <x:c r="K28" s="114" t="n">
        <x:f>IF(COUNTIFS('1000 Cycles'!$D$6:$D$1005,I28,'1000 Cycles'!$B$6:$B$1005,"Development")&gt;0,1,0)+IF(COUNTIFS('1000 Cycles'!$D$6:$D$1005,I28,'1000 Cycles'!$B$6:$B$1005,"Validation")&gt;0,1,0)+IF(COUNTIFS('1000 Cycles'!$D$6:$D$1005,I28,'1000 Cycles'!$B$6:$B$1005,"Holdout")&gt;0,1,0)</x:f>
        <x:v>1</x:v>
      </x:c>
    </x:row>
    <x:row r="29">
      <x:c r="A29" s="267" t="str">
        <x:v>V10.30 P2-A Research Checks</x:v>
      </x:c>
      <x:c r="B29" s="267" t="str">
        <x:v>Actual</x:v>
      </x:c>
      <x:c r="C29" s="267" t="str">
        <x:v>Expected</x:v>
      </x:c>
      <x:c r="D29" s="267" t="str">
        <x:v>Difference</x:v>
      </x:c>
      <x:c r="E29" s="267" t="str">
        <x:v>Status</x:v>
      </x:c>
      <x:c r="F29" s="267" t="str">
        <x:v>Notes</x:v>
      </x:c>
      <x:c r="G29" s="114" t="n"/>
      <x:c r="H29" s="114" t="n"/>
      <x:c r="I29" s="114" t="str">
        <x:f>'Company Universe'!A29</x:f>
        <x:v>ARG-024</x:v>
      </x:c>
      <x:c r="J29" s="114" t="n">
        <x:f>COUNTIF('1000 Cycles'!$D$6:$D$1005,I29)</x:f>
        <x:v>10</x:v>
      </x:c>
      <x:c r="K29" s="114" t="n">
        <x:f>IF(COUNTIFS('1000 Cycles'!$D$6:$D$1005,I29,'1000 Cycles'!$B$6:$B$1005,"Development")&gt;0,1,0)+IF(COUNTIFS('1000 Cycles'!$D$6:$D$1005,I29,'1000 Cycles'!$B$6:$B$1005,"Validation")&gt;0,1,0)+IF(COUNTIFS('1000 Cycles'!$D$6:$D$1005,I29,'1000 Cycles'!$B$6:$B$1005,"Holdout")&gt;0,1,0)</x:f>
        <x:v>1</x:v>
      </x:c>
    </x:row>
    <x:row r="30">
      <x:c r="A30" s="251" t="str">
        <x:v>P2-A deep-review rows</x:v>
      </x:c>
      <x:c r="B30" s="251" t="n">
        <x:v>15</x:v>
      </x:c>
      <x:c r="C30" s="251" t="n">
        <x:v>15</x:v>
      </x:c>
      <x:c r="D30" s="251" t="n">
        <x:v>0</x:v>
      </x:c>
      <x:c r="E30" s="251" t="str">
        <x:v>OK</x:v>
      </x:c>
      <x:c r="F30" s="251" t="str">
        <x:v>P2-A Deep Research sheet</x:v>
      </x:c>
      <x:c r="G30" s="114" t="n"/>
      <x:c r="H30" s="114" t="n"/>
      <x:c r="I30" s="114" t="str">
        <x:f>'Company Universe'!A30</x:f>
        <x:v>ARG-025</x:v>
      </x:c>
      <x:c r="J30" s="114" t="n">
        <x:f>COUNTIF('1000 Cycles'!$D$6:$D$1005,I30)</x:f>
        <x:v>10</x:v>
      </x:c>
      <x:c r="K30" s="114" t="n">
        <x:f>IF(COUNTIFS('1000 Cycles'!$D$6:$D$1005,I30,'1000 Cycles'!$B$6:$B$1005,"Development")&gt;0,1,0)+IF(COUNTIFS('1000 Cycles'!$D$6:$D$1005,I30,'1000 Cycles'!$B$6:$B$1005,"Validation")&gt;0,1,0)+IF(COUNTIFS('1000 Cycles'!$D$6:$D$1005,I30,'1000 Cycles'!$B$6:$B$1005,"Holdout")&gt;0,1,0)</x:f>
        <x:v>1</x:v>
      </x:c>
    </x:row>
    <x:row r="31">
      <x:c r="A31" s="251" t="str">
        <x:v>P2-A current T1 links</x:v>
      </x:c>
      <x:c r="B31" s="251" t="n">
        <x:v>15</x:v>
      </x:c>
      <x:c r="C31" s="251" t="n">
        <x:v>15</x:v>
      </x:c>
      <x:c r="D31" s="251" t="n">
        <x:v>0</x:v>
      </x:c>
      <x:c r="E31" s="251" t="str">
        <x:v>OK</x:v>
      </x:c>
      <x:c r="F31" s="251" t="str">
        <x:v>Every P2-A row has a current official source</x:v>
      </x:c>
      <x:c r="G31" s="114" t="n"/>
      <x:c r="H31" s="114" t="n"/>
      <x:c r="I31" s="114" t="str">
        <x:f>'Company Universe'!A31</x:f>
        <x:v>ARG-026</x:v>
      </x:c>
      <x:c r="J31" s="114" t="n">
        <x:f>COUNTIF('1000 Cycles'!$D$6:$D$1005,I31)</x:f>
        <x:v>10</x:v>
      </x:c>
      <x:c r="K31" s="114" t="n">
        <x:f>IF(COUNTIFS('1000 Cycles'!$D$6:$D$1005,I31,'1000 Cycles'!$B$6:$B$1005,"Development")&gt;0,1,0)+IF(COUNTIFS('1000 Cycles'!$D$6:$D$1005,I31,'1000 Cycles'!$B$6:$B$1005,"Validation")&gt;0,1,0)+IF(COUNTIFS('1000 Cycles'!$D$6:$D$1005,I31,'1000 Cycles'!$B$6:$B$1005,"Holdout")&gt;0,1,0)</x:f>
        <x:v>1</x:v>
      </x:c>
    </x:row>
    <x:row r="32">
      <x:c r="A32" s="251" t="str">
        <x:v>P2-A Dalio paths</x:v>
      </x:c>
      <x:c r="B32" s="251" t="n">
        <x:v>45</x:v>
      </x:c>
      <x:c r="C32" s="251" t="n">
        <x:v>45</x:v>
      </x:c>
      <x:c r="D32" s="251" t="n">
        <x:v>0</x:v>
      </x:c>
      <x:c r="E32" s="251" t="str">
        <x:v>OK</x:v>
      </x:c>
      <x:c r="F32" s="251" t="str">
        <x:v>Three independent loss paths per company</x:v>
      </x:c>
      <x:c r="G32" s="114" t="n"/>
      <x:c r="H32" s="114" t="n"/>
      <x:c r="I32" s="114" t="str">
        <x:f>'Company Universe'!A32</x:f>
        <x:v>ARG-027</x:v>
      </x:c>
      <x:c r="J32" s="114" t="n">
        <x:f>COUNTIF('1000 Cycles'!$D$6:$D$1005,I32)</x:f>
        <x:v>10</x:v>
      </x:c>
      <x:c r="K32" s="114" t="n">
        <x:f>IF(COUNTIFS('1000 Cycles'!$D$6:$D$1005,I32,'1000 Cycles'!$B$6:$B$1005,"Development")&gt;0,1,0)+IF(COUNTIFS('1000 Cycles'!$D$6:$D$1005,I32,'1000 Cycles'!$B$6:$B$1005,"Validation")&gt;0,1,0)+IF(COUNTIFS('1000 Cycles'!$D$6:$D$1005,I32,'1000 Cycles'!$B$6:$B$1005,"Holdout")&gt;0,1,0)</x:f>
        <x:v>1</x:v>
      </x:c>
    </x:row>
    <x:row r="33">
      <x:c r="A33" s="251" t="str">
        <x:v>P2-A gate cells</x:v>
      </x:c>
      <x:c r="B33" s="251" t="n">
        <x:v>180</x:v>
      </x:c>
      <x:c r="C33" s="251" t="n">
        <x:v>180</x:v>
      </x:c>
      <x:c r="D33" s="251" t="n">
        <x:v>0</x:v>
      </x:c>
      <x:c r="E33" s="251" t="str">
        <x:v>OK</x:v>
      </x:c>
      <x:c r="F33" s="251" t="str">
        <x:v>12 gates × 15 companies</x:v>
      </x:c>
      <x:c r="G33" s="114" t="n"/>
      <x:c r="H33" s="114" t="n"/>
      <x:c r="I33" s="114" t="str">
        <x:f>'Company Universe'!A33</x:f>
        <x:v>ARG-028</x:v>
      </x:c>
      <x:c r="J33" s="114" t="n">
        <x:f>COUNTIF('1000 Cycles'!$D$6:$D$1005,I33)</x:f>
        <x:v>10</x:v>
      </x:c>
      <x:c r="K33" s="114" t="n">
        <x:f>IF(COUNTIFS('1000 Cycles'!$D$6:$D$1005,I33,'1000 Cycles'!$B$6:$B$1005,"Development")&gt;0,1,0)+IF(COUNTIFS('1000 Cycles'!$D$6:$D$1005,I33,'1000 Cycles'!$B$6:$B$1005,"Validation")&gt;0,1,0)+IF(COUNTIFS('1000 Cycles'!$D$6:$D$1005,I33,'1000 Cycles'!$B$6:$B$1005,"Holdout")&gt;0,1,0)</x:f>
        <x:v>1</x:v>
      </x:c>
    </x:row>
    <x:row r="34">
      <x:c r="A34" s="251" t="str">
        <x:v>P2-A unknown gates</x:v>
      </x:c>
      <x:c r="B34" s="251" t="n">
        <x:v>1</x:v>
      </x:c>
      <x:c r="C34" s="251" t="n">
        <x:v>0</x:v>
      </x:c>
      <x:c r="D34" s="251" t="n">
        <x:v>1</x:v>
      </x:c>
      <x:c r="E34" s="251" t="str">
        <x:v>REVIEW</x:v>
      </x:c>
      <x:c r="F34" s="251" t="str">
        <x:v>One intentional UNKNOWN: GEV correction record; remains fail-closed</x:v>
      </x:c>
      <x:c r="G34" s="114" t="n"/>
      <x:c r="H34" s="114" t="n"/>
      <x:c r="I34" s="114" t="str">
        <x:f>'Company Universe'!A34</x:f>
        <x:v>ARG-029</x:v>
      </x:c>
      <x:c r="J34" s="114" t="n">
        <x:f>COUNTIF('1000 Cycles'!$D$6:$D$1005,I34)</x:f>
        <x:v>10</x:v>
      </x:c>
      <x:c r="K34" s="114" t="n">
        <x:f>IF(COUNTIFS('1000 Cycles'!$D$6:$D$1005,I34,'1000 Cycles'!$B$6:$B$1005,"Development")&gt;0,1,0)+IF(COUNTIFS('1000 Cycles'!$D$6:$D$1005,I34,'1000 Cycles'!$B$6:$B$1005,"Validation")&gt;0,1,0)+IF(COUNTIFS('1000 Cycles'!$D$6:$D$1005,I34,'1000 Cycles'!$B$6:$B$1005,"Holdout")&gt;0,1,0)</x:f>
        <x:v>1</x:v>
      </x:c>
    </x:row>
    <x:row r="35">
      <x:c r="A35" s="114" t="n"/>
      <x:c r="B35" s="114" t="n"/>
      <x:c r="C35" s="114" t="n"/>
      <x:c r="D35" s="114" t="n"/>
      <x:c r="E35" s="114" t="n"/>
      <x:c r="F35" s="114" t="n"/>
      <x:c r="G35" s="114" t="n"/>
      <x:c r="H35" s="114" t="n"/>
      <x:c r="I35" s="114" t="str">
        <x:f>'Company Universe'!A35</x:f>
        <x:v>ARG-030</x:v>
      </x:c>
      <x:c r="J35" s="114" t="n">
        <x:f>COUNTIF('1000 Cycles'!$D$6:$D$1005,I35)</x:f>
        <x:v>10</x:v>
      </x:c>
      <x:c r="K35" s="114" t="n">
        <x:f>IF(COUNTIFS('1000 Cycles'!$D$6:$D$1005,I35,'1000 Cycles'!$B$6:$B$1005,"Development")&gt;0,1,0)+IF(COUNTIFS('1000 Cycles'!$D$6:$D$1005,I35,'1000 Cycles'!$B$6:$B$1005,"Validation")&gt;0,1,0)+IF(COUNTIFS('1000 Cycles'!$D$6:$D$1005,I35,'1000 Cycles'!$B$6:$B$1005,"Holdout")&gt;0,1,0)</x:f>
        <x:v>1</x:v>
      </x:c>
    </x:row>
    <x:row r="36" ht="28" customHeight="1">
      <x:c r="A36" s="340" t="str">
        <x:v>V10.31 P2-B Research Checks</x:v>
      </x:c>
      <x:c r="B36" s="340" t="str">
        <x:v>Actual</x:v>
      </x:c>
      <x:c r="C36" s="340" t="str">
        <x:v>Expected</x:v>
      </x:c>
      <x:c r="D36" s="340" t="str">
        <x:v>Difference</x:v>
      </x:c>
      <x:c r="E36" s="340" t="str">
        <x:v>Status</x:v>
      </x:c>
      <x:c r="F36" s="340" t="str">
        <x:v>Notes</x:v>
      </x:c>
      <x:c r="G36" s="114" t="n"/>
      <x:c r="H36" s="114" t="n"/>
      <x:c r="I36" s="114" t="str">
        <x:f>'Company Universe'!A36</x:f>
        <x:v>ARG-031</x:v>
      </x:c>
      <x:c r="J36" s="114" t="n">
        <x:f>COUNTIF('1000 Cycles'!$D$6:$D$1005,I36)</x:f>
        <x:v>10</x:v>
      </x:c>
      <x:c r="K36" s="114" t="n">
        <x:f>IF(COUNTIFS('1000 Cycles'!$D$6:$D$1005,I36,'1000 Cycles'!$B$6:$B$1005,"Development")&gt;0,1,0)+IF(COUNTIFS('1000 Cycles'!$D$6:$D$1005,I36,'1000 Cycles'!$B$6:$B$1005,"Validation")&gt;0,1,0)+IF(COUNTIFS('1000 Cycles'!$D$6:$D$1005,I36,'1000 Cycles'!$B$6:$B$1005,"Holdout")&gt;0,1,0)</x:f>
        <x:v>1</x:v>
      </x:c>
    </x:row>
    <x:row r="37" ht="28" customHeight="1">
      <x:c r="A37" s="275" t="str">
        <x:v>P2-B deep-review rows</x:v>
      </x:c>
      <x:c r="B37" s="275" t="n">
        <x:v>15</x:v>
      </x:c>
      <x:c r="C37" s="275" t="n">
        <x:v>15</x:v>
      </x:c>
      <x:c r="D37" s="275" t="n">
        <x:v>0</x:v>
      </x:c>
      <x:c r="E37" s="275" t="str">
        <x:v>OK</x:v>
      </x:c>
      <x:c r="F37" s="275" t="str">
        <x:v>P2-B Deep Research sheet</x:v>
      </x:c>
      <x:c r="G37" s="114" t="n"/>
      <x:c r="H37" s="114" t="n"/>
      <x:c r="I37" s="114" t="str">
        <x:f>'Company Universe'!A37</x:f>
        <x:v>ARG-032</x:v>
      </x:c>
      <x:c r="J37" s="114" t="n">
        <x:f>COUNTIF('1000 Cycles'!$D$6:$D$1005,I37)</x:f>
        <x:v>10</x:v>
      </x:c>
      <x:c r="K37" s="114" t="n">
        <x:f>IF(COUNTIFS('1000 Cycles'!$D$6:$D$1005,I37,'1000 Cycles'!$B$6:$B$1005,"Development")&gt;0,1,0)+IF(COUNTIFS('1000 Cycles'!$D$6:$D$1005,I37,'1000 Cycles'!$B$6:$B$1005,"Validation")&gt;0,1,0)+IF(COUNTIFS('1000 Cycles'!$D$6:$D$1005,I37,'1000 Cycles'!$B$6:$B$1005,"Holdout")&gt;0,1,0)</x:f>
        <x:v>1</x:v>
      </x:c>
    </x:row>
    <x:row r="38" ht="28" customHeight="1">
      <x:c r="A38" s="276" t="str">
        <x:v>P2-B current T1 links</x:v>
      </x:c>
      <x:c r="B38" s="276" t="n">
        <x:v>15</x:v>
      </x:c>
      <x:c r="C38" s="276" t="n">
        <x:v>15</x:v>
      </x:c>
      <x:c r="D38" s="276" t="n">
        <x:v>0</x:v>
      </x:c>
      <x:c r="E38" s="276" t="str">
        <x:v>OK</x:v>
      </x:c>
      <x:c r="F38" s="276" t="str">
        <x:v>Every P2-B row has a current official source</x:v>
      </x:c>
      <x:c r="G38" s="114" t="n"/>
      <x:c r="H38" s="114" t="n"/>
      <x:c r="I38" s="114" t="str">
        <x:f>'Company Universe'!A38</x:f>
        <x:v>ARG-033</x:v>
      </x:c>
      <x:c r="J38" s="114" t="n">
        <x:f>COUNTIF('1000 Cycles'!$D$6:$D$1005,I38)</x:f>
        <x:v>10</x:v>
      </x:c>
      <x:c r="K38" s="114" t="n">
        <x:f>IF(COUNTIFS('1000 Cycles'!$D$6:$D$1005,I38,'1000 Cycles'!$B$6:$B$1005,"Development")&gt;0,1,0)+IF(COUNTIFS('1000 Cycles'!$D$6:$D$1005,I38,'1000 Cycles'!$B$6:$B$1005,"Validation")&gt;0,1,0)+IF(COUNTIFS('1000 Cycles'!$D$6:$D$1005,I38,'1000 Cycles'!$B$6:$B$1005,"Holdout")&gt;0,1,0)</x:f>
        <x:v>1</x:v>
      </x:c>
    </x:row>
    <x:row r="39" ht="28" customHeight="1">
      <x:c r="A39" s="276" t="str">
        <x:v>P2-B Dalio paths</x:v>
      </x:c>
      <x:c r="B39" s="276" t="n">
        <x:v>45</x:v>
      </x:c>
      <x:c r="C39" s="276" t="n">
        <x:v>45</x:v>
      </x:c>
      <x:c r="D39" s="276" t="n">
        <x:v>0</x:v>
      </x:c>
      <x:c r="E39" s="276" t="str">
        <x:v>OK</x:v>
      </x:c>
      <x:c r="F39" s="276" t="str">
        <x:v>Three independent loss paths per company</x:v>
      </x:c>
      <x:c r="G39" s="114" t="n"/>
      <x:c r="H39" s="114" t="n"/>
      <x:c r="I39" s="114" t="str">
        <x:f>'Company Universe'!A39</x:f>
        <x:v>ARG-034</x:v>
      </x:c>
      <x:c r="J39" s="114" t="n">
        <x:f>COUNTIF('1000 Cycles'!$D$6:$D$1005,I39)</x:f>
        <x:v>10</x:v>
      </x:c>
      <x:c r="K39" s="114" t="n">
        <x:f>IF(COUNTIFS('1000 Cycles'!$D$6:$D$1005,I39,'1000 Cycles'!$B$6:$B$1005,"Development")&gt;0,1,0)+IF(COUNTIFS('1000 Cycles'!$D$6:$D$1005,I39,'1000 Cycles'!$B$6:$B$1005,"Validation")&gt;0,1,0)+IF(COUNTIFS('1000 Cycles'!$D$6:$D$1005,I39,'1000 Cycles'!$B$6:$B$1005,"Holdout")&gt;0,1,0)</x:f>
        <x:v>1</x:v>
      </x:c>
    </x:row>
    <x:row r="40" ht="28" customHeight="1">
      <x:c r="A40" s="276" t="str">
        <x:v>P2-B gate cells</x:v>
      </x:c>
      <x:c r="B40" s="276" t="n">
        <x:v>180</x:v>
      </x:c>
      <x:c r="C40" s="276" t="n">
        <x:v>180</x:v>
      </x:c>
      <x:c r="D40" s="276" t="n">
        <x:v>0</x:v>
      </x:c>
      <x:c r="E40" s="276" t="str">
        <x:v>OK</x:v>
      </x:c>
      <x:c r="F40" s="276" t="str">
        <x:v>12 gates × 15 companies</x:v>
      </x:c>
      <x:c r="G40" s="114" t="n"/>
      <x:c r="H40" s="114" t="n"/>
      <x:c r="I40" s="114" t="str">
        <x:f>'Company Universe'!A40</x:f>
        <x:v>ARG-035</x:v>
      </x:c>
      <x:c r="J40" s="114" t="n">
        <x:f>COUNTIF('1000 Cycles'!$D$6:$D$1005,I40)</x:f>
        <x:v>10</x:v>
      </x:c>
      <x:c r="K40" s="114" t="n">
        <x:f>IF(COUNTIFS('1000 Cycles'!$D$6:$D$1005,I40,'1000 Cycles'!$B$6:$B$1005,"Development")&gt;0,1,0)+IF(COUNTIFS('1000 Cycles'!$D$6:$D$1005,I40,'1000 Cycles'!$B$6:$B$1005,"Validation")&gt;0,1,0)+IF(COUNTIFS('1000 Cycles'!$D$6:$D$1005,I40,'1000 Cycles'!$B$6:$B$1005,"Holdout")&gt;0,1,0)</x:f>
        <x:v>1</x:v>
      </x:c>
    </x:row>
    <x:row r="41" ht="28" customHeight="1">
      <x:c r="A41" s="277" t="str">
        <x:v>P2-B unknown gates</x:v>
      </x:c>
      <x:c r="B41" s="277" t="n">
        <x:v>0</x:v>
      </x:c>
      <x:c r="C41" s="277" t="n">
        <x:v>0</x:v>
      </x:c>
      <x:c r="D41" s="277" t="n">
        <x:v>0</x:v>
      </x:c>
      <x:c r="E41" s="277" t="str">
        <x:v>OK</x:v>
      </x:c>
      <x:c r="F41" s="277" t="str">
        <x:v>No gate imputation; all 180 cells evidence-coded</x:v>
      </x:c>
      <x:c r="G41" s="114" t="n"/>
      <x:c r="H41" s="114" t="n"/>
      <x:c r="I41" s="114" t="str">
        <x:f>'Company Universe'!A41</x:f>
        <x:v>ARG-036</x:v>
      </x:c>
      <x:c r="J41" s="114" t="n">
        <x:f>COUNTIF('1000 Cycles'!$D$6:$D$1005,I41)</x:f>
        <x:v>10</x:v>
      </x:c>
      <x:c r="K41" s="114" t="n">
        <x:f>IF(COUNTIFS('1000 Cycles'!$D$6:$D$1005,I41,'1000 Cycles'!$B$6:$B$1005,"Development")&gt;0,1,0)+IF(COUNTIFS('1000 Cycles'!$D$6:$D$1005,I41,'1000 Cycles'!$B$6:$B$1005,"Validation")&gt;0,1,0)+IF(COUNTIFS('1000 Cycles'!$D$6:$D$1005,I41,'1000 Cycles'!$B$6:$B$1005,"Holdout")&gt;0,1,0)</x:f>
        <x:v>1</x:v>
      </x:c>
    </x:row>
    <x:row r="42">
      <x:c r="A42" s="114" t="n"/>
      <x:c r="B42" s="114" t="n"/>
      <x:c r="C42" s="114" t="n"/>
      <x:c r="D42" s="114" t="n"/>
      <x:c r="E42" s="114" t="n"/>
      <x:c r="F42" s="114" t="n"/>
      <x:c r="G42" s="114" t="n"/>
      <x:c r="H42" s="114" t="n"/>
      <x:c r="I42" s="114" t="str">
        <x:f>'Company Universe'!A42</x:f>
        <x:v>ARG-037</x:v>
      </x:c>
      <x:c r="J42" s="114" t="n">
        <x:f>COUNTIF('1000 Cycles'!$D$6:$D$1005,I42)</x:f>
        <x:v>10</x:v>
      </x:c>
      <x:c r="K42" s="114" t="n">
        <x:f>IF(COUNTIFS('1000 Cycles'!$D$6:$D$1005,I42,'1000 Cycles'!$B$6:$B$1005,"Development")&gt;0,1,0)+IF(COUNTIFS('1000 Cycles'!$D$6:$D$1005,I42,'1000 Cycles'!$B$6:$B$1005,"Validation")&gt;0,1,0)+IF(COUNTIFS('1000 Cycles'!$D$6:$D$1005,I42,'1000 Cycles'!$B$6:$B$1005,"Holdout")&gt;0,1,0)</x:f>
        <x:v>1</x:v>
      </x:c>
    </x:row>
    <x:row r="43" ht="28" customHeight="1">
      <x:c r="A43" s="392" t="str">
        <x:v>V10.32 P2-C Research Checks</x:v>
      </x:c>
      <x:c r="B43" s="392" t="str">
        <x:v>Actual</x:v>
      </x:c>
      <x:c r="C43" s="392" t="str">
        <x:v>Expected</x:v>
      </x:c>
      <x:c r="D43" s="392" t="str">
        <x:v>Difference</x:v>
      </x:c>
      <x:c r="E43" s="392" t="str">
        <x:v>Status</x:v>
      </x:c>
      <x:c r="F43" s="392" t="str">
        <x:v>Notes</x:v>
      </x:c>
      <x:c r="G43" s="114" t="n"/>
      <x:c r="H43" s="114" t="n"/>
      <x:c r="I43" s="114" t="str">
        <x:f>'Company Universe'!A43</x:f>
        <x:v>ARG-038</x:v>
      </x:c>
      <x:c r="J43" s="114" t="n">
        <x:f>COUNTIF('1000 Cycles'!$D$6:$D$1005,I43)</x:f>
        <x:v>10</x:v>
      </x:c>
      <x:c r="K43" s="114" t="n">
        <x:f>IF(COUNTIFS('1000 Cycles'!$D$6:$D$1005,I43,'1000 Cycles'!$B$6:$B$1005,"Development")&gt;0,1,0)+IF(COUNTIFS('1000 Cycles'!$D$6:$D$1005,I43,'1000 Cycles'!$B$6:$B$1005,"Validation")&gt;0,1,0)+IF(COUNTIFS('1000 Cycles'!$D$6:$D$1005,I43,'1000 Cycles'!$B$6:$B$1005,"Holdout")&gt;0,1,0)</x:f>
        <x:v>1</x:v>
      </x:c>
    </x:row>
    <x:row r="44" ht="28" customHeight="1">
      <x:c r="A44" s="275" t="str">
        <x:v>P2-C deep-review rows</x:v>
      </x:c>
      <x:c r="B44" s="275" t="n">
        <x:v>20</x:v>
      </x:c>
      <x:c r="C44" s="275" t="n">
        <x:v>20</x:v>
      </x:c>
      <x:c r="D44" s="275" t="n">
        <x:v>0</x:v>
      </x:c>
      <x:c r="E44" s="275" t="str">
        <x:v>OK</x:v>
      </x:c>
      <x:c r="F44" s="275" t="str">
        <x:v>P2-C Deep Research sheet</x:v>
      </x:c>
      <x:c r="G44" s="114" t="n"/>
      <x:c r="H44" s="114" t="n"/>
      <x:c r="I44" s="114" t="str">
        <x:f>'Company Universe'!A44</x:f>
        <x:v>ARG-039</x:v>
      </x:c>
      <x:c r="J44" s="114" t="n">
        <x:f>COUNTIF('1000 Cycles'!$D$6:$D$1005,I44)</x:f>
        <x:v>10</x:v>
      </x:c>
      <x:c r="K44" s="114" t="n">
        <x:f>IF(COUNTIFS('1000 Cycles'!$D$6:$D$1005,I44,'1000 Cycles'!$B$6:$B$1005,"Development")&gt;0,1,0)+IF(COUNTIFS('1000 Cycles'!$D$6:$D$1005,I44,'1000 Cycles'!$B$6:$B$1005,"Validation")&gt;0,1,0)+IF(COUNTIFS('1000 Cycles'!$D$6:$D$1005,I44,'1000 Cycles'!$B$6:$B$1005,"Holdout")&gt;0,1,0)</x:f>
        <x:v>1</x:v>
      </x:c>
    </x:row>
    <x:row r="45" ht="28" customHeight="1">
      <x:c r="A45" s="276" t="str">
        <x:v>P2-C current T1 links</x:v>
      </x:c>
      <x:c r="B45" s="276" t="n">
        <x:v>20</x:v>
      </x:c>
      <x:c r="C45" s="276" t="n">
        <x:v>20</x:v>
      </x:c>
      <x:c r="D45" s="276" t="n">
        <x:v>0</x:v>
      </x:c>
      <x:c r="E45" s="276" t="str">
        <x:v>OK</x:v>
      </x:c>
      <x:c r="F45" s="276" t="str">
        <x:v>Every final P2 row has a current official source</x:v>
      </x:c>
      <x:c r="G45" s="114" t="n"/>
      <x:c r="H45" s="114" t="n"/>
      <x:c r="I45" s="114" t="str">
        <x:f>'Company Universe'!A45</x:f>
        <x:v>ARG-040</x:v>
      </x:c>
      <x:c r="J45" s="114" t="n">
        <x:f>COUNTIF('1000 Cycles'!$D$6:$D$1005,I45)</x:f>
        <x:v>10</x:v>
      </x:c>
      <x:c r="K45" s="114" t="n">
        <x:f>IF(COUNTIFS('1000 Cycles'!$D$6:$D$1005,I45,'1000 Cycles'!$B$6:$B$1005,"Development")&gt;0,1,0)+IF(COUNTIFS('1000 Cycles'!$D$6:$D$1005,I45,'1000 Cycles'!$B$6:$B$1005,"Validation")&gt;0,1,0)+IF(COUNTIFS('1000 Cycles'!$D$6:$D$1005,I45,'1000 Cycles'!$B$6:$B$1005,"Holdout")&gt;0,1,0)</x:f>
        <x:v>1</x:v>
      </x:c>
    </x:row>
    <x:row r="46" ht="28" customHeight="1">
      <x:c r="A46" s="276" t="str">
        <x:v>P2-C Dalio paths</x:v>
      </x:c>
      <x:c r="B46" s="276" t="n">
        <x:v>60</x:v>
      </x:c>
      <x:c r="C46" s="276" t="n">
        <x:v>60</x:v>
      </x:c>
      <x:c r="D46" s="276" t="n">
        <x:v>0</x:v>
      </x:c>
      <x:c r="E46" s="276" t="str">
        <x:v>OK</x:v>
      </x:c>
      <x:c r="F46" s="276" t="str">
        <x:v>Three independent loss paths per company</x:v>
      </x:c>
      <x:c r="G46" s="114" t="n"/>
      <x:c r="H46" s="114" t="n"/>
      <x:c r="I46" s="114" t="str">
        <x:f>'Company Universe'!A46</x:f>
        <x:v>ARG-041</x:v>
      </x:c>
      <x:c r="J46" s="114" t="n">
        <x:f>COUNTIF('1000 Cycles'!$D$6:$D$1005,I46)</x:f>
        <x:v>10</x:v>
      </x:c>
      <x:c r="K46" s="114" t="n">
        <x:f>IF(COUNTIFS('1000 Cycles'!$D$6:$D$1005,I46,'1000 Cycles'!$B$6:$B$1005,"Development")&gt;0,1,0)+IF(COUNTIFS('1000 Cycles'!$D$6:$D$1005,I46,'1000 Cycles'!$B$6:$B$1005,"Validation")&gt;0,1,0)+IF(COUNTIFS('1000 Cycles'!$D$6:$D$1005,I46,'1000 Cycles'!$B$6:$B$1005,"Holdout")&gt;0,1,0)</x:f>
        <x:v>1</x:v>
      </x:c>
    </x:row>
    <x:row r="47" ht="28" customHeight="1">
      <x:c r="A47" s="276" t="str">
        <x:v>P2-C gate cells</x:v>
      </x:c>
      <x:c r="B47" s="276" t="n">
        <x:v>240</x:v>
      </x:c>
      <x:c r="C47" s="276" t="n">
        <x:v>240</x:v>
      </x:c>
      <x:c r="D47" s="276" t="n">
        <x:v>0</x:v>
      </x:c>
      <x:c r="E47" s="276" t="str">
        <x:v>OK</x:v>
      </x:c>
      <x:c r="F47" s="276" t="str">
        <x:v>12 gates × 20 companies</x:v>
      </x:c>
      <x:c r="G47" s="114" t="n"/>
      <x:c r="H47" s="114" t="n"/>
      <x:c r="I47" s="114" t="str">
        <x:f>'Company Universe'!A47</x:f>
        <x:v>ARG-042</x:v>
      </x:c>
      <x:c r="J47" s="114" t="n">
        <x:f>COUNTIF('1000 Cycles'!$D$6:$D$1005,I47)</x:f>
        <x:v>10</x:v>
      </x:c>
      <x:c r="K47" s="114" t="n">
        <x:f>IF(COUNTIFS('1000 Cycles'!$D$6:$D$1005,I47,'1000 Cycles'!$B$6:$B$1005,"Development")&gt;0,1,0)+IF(COUNTIFS('1000 Cycles'!$D$6:$D$1005,I47,'1000 Cycles'!$B$6:$B$1005,"Validation")&gt;0,1,0)+IF(COUNTIFS('1000 Cycles'!$D$6:$D$1005,I47,'1000 Cycles'!$B$6:$B$1005,"Holdout")&gt;0,1,0)</x:f>
        <x:v>1</x:v>
      </x:c>
    </x:row>
    <x:row r="48" ht="28" customHeight="1">
      <x:c r="A48" s="277" t="str">
        <x:v>P2-C unknown gates</x:v>
      </x:c>
      <x:c r="B48" s="277" t="n">
        <x:v>0</x:v>
      </x:c>
      <x:c r="C48" s="277" t="n">
        <x:v>0</x:v>
      </x:c>
      <x:c r="D48" s="277" t="n">
        <x:v>0</x:v>
      </x:c>
      <x:c r="E48" s="277" t="str">
        <x:v>OK</x:v>
      </x:c>
      <x:c r="F48" s="277" t="str">
        <x:v>No gate imputation; all 240 cells evidence-coded</x:v>
      </x:c>
      <x:c r="G48" s="114" t="n"/>
      <x:c r="H48" s="114" t="n"/>
      <x:c r="I48" s="114" t="str">
        <x:f>'Company Universe'!A48</x:f>
        <x:v>ARG-043</x:v>
      </x:c>
      <x:c r="J48" s="114" t="n">
        <x:f>COUNTIF('1000 Cycles'!$D$6:$D$1005,I48)</x:f>
        <x:v>10</x:v>
      </x:c>
      <x:c r="K48" s="114" t="n">
        <x:f>IF(COUNTIFS('1000 Cycles'!$D$6:$D$1005,I48,'1000 Cycles'!$B$6:$B$1005,"Development")&gt;0,1,0)+IF(COUNTIFS('1000 Cycles'!$D$6:$D$1005,I48,'1000 Cycles'!$B$6:$B$1005,"Validation")&gt;0,1,0)+IF(COUNTIFS('1000 Cycles'!$D$6:$D$1005,I48,'1000 Cycles'!$B$6:$B$1005,"Holdout")&gt;0,1,0)</x:f>
        <x:v>1</x:v>
      </x:c>
    </x:row>
    <x:row r="49">
      <x:c r="A49" s="114" t="n"/>
      <x:c r="B49" s="114" t="n"/>
      <x:c r="C49" s="114" t="n"/>
      <x:c r="D49" s="114" t="n"/>
      <x:c r="E49" s="114" t="n"/>
      <x:c r="F49" s="114" t="n"/>
      <x:c r="G49" s="114" t="n"/>
      <x:c r="H49" s="114" t="n"/>
      <x:c r="I49" s="114" t="str">
        <x:f>'Company Universe'!A49</x:f>
        <x:v>ARG-044</x:v>
      </x:c>
      <x:c r="J49" s="114" t="n">
        <x:f>COUNTIF('1000 Cycles'!$D$6:$D$1005,I49)</x:f>
        <x:v>10</x:v>
      </x:c>
      <x:c r="K49" s="114" t="n">
        <x:f>IF(COUNTIFS('1000 Cycles'!$D$6:$D$1005,I49,'1000 Cycles'!$B$6:$B$1005,"Development")&gt;0,1,0)+IF(COUNTIFS('1000 Cycles'!$D$6:$D$1005,I49,'1000 Cycles'!$B$6:$B$1005,"Validation")&gt;0,1,0)+IF(COUNTIFS('1000 Cycles'!$D$6:$D$1005,I49,'1000 Cycles'!$B$6:$B$1005,"Holdout")&gt;0,1,0)</x:f>
        <x:v>1</x:v>
      </x:c>
    </x:row>
    <x:row r="50">
      <x:c r="A50" s="114" t="n"/>
      <x:c r="B50" s="114" t="n"/>
      <x:c r="C50" s="114" t="n"/>
      <x:c r="D50" s="114" t="n"/>
      <x:c r="E50" s="114" t="n"/>
      <x:c r="F50" s="114" t="n"/>
      <x:c r="G50" s="114" t="n"/>
      <x:c r="H50" s="114" t="n"/>
      <x:c r="I50" s="114" t="str">
        <x:f>'Company Universe'!A50</x:f>
        <x:v>ARG-045</x:v>
      </x:c>
      <x:c r="J50" s="114" t="n">
        <x:f>COUNTIF('1000 Cycles'!$D$6:$D$1005,I50)</x:f>
        <x:v>10</x:v>
      </x:c>
      <x:c r="K50" s="114" t="n">
        <x:f>IF(COUNTIFS('1000 Cycles'!$D$6:$D$1005,I50,'1000 Cycles'!$B$6:$B$1005,"Development")&gt;0,1,0)+IF(COUNTIFS('1000 Cycles'!$D$6:$D$1005,I50,'1000 Cycles'!$B$6:$B$1005,"Validation")&gt;0,1,0)+IF(COUNTIFS('1000 Cycles'!$D$6:$D$1005,I50,'1000 Cycles'!$B$6:$B$1005,"Holdout")&gt;0,1,0)</x:f>
        <x:v>1</x:v>
      </x:c>
    </x:row>
    <x:row r="51">
      <x:c r="A51" s="114" t="n"/>
      <x:c r="B51" s="114" t="n"/>
      <x:c r="C51" s="114" t="n"/>
      <x:c r="D51" s="114" t="n"/>
      <x:c r="E51" s="114" t="n"/>
      <x:c r="F51" s="114" t="n"/>
      <x:c r="G51" s="114" t="n"/>
      <x:c r="H51" s="114" t="n"/>
      <x:c r="I51" s="114" t="str">
        <x:f>'Company Universe'!A51</x:f>
        <x:v>ARG-046</x:v>
      </x:c>
      <x:c r="J51" s="114" t="n">
        <x:f>COUNTIF('1000 Cycles'!$D$6:$D$1005,I51)</x:f>
        <x:v>10</x:v>
      </x:c>
      <x:c r="K51" s="114" t="n">
        <x:f>IF(COUNTIFS('1000 Cycles'!$D$6:$D$1005,I51,'1000 Cycles'!$B$6:$B$1005,"Development")&gt;0,1,0)+IF(COUNTIFS('1000 Cycles'!$D$6:$D$1005,I51,'1000 Cycles'!$B$6:$B$1005,"Validation")&gt;0,1,0)+IF(COUNTIFS('1000 Cycles'!$D$6:$D$1005,I51,'1000 Cycles'!$B$6:$B$1005,"Holdout")&gt;0,1,0)</x:f>
        <x:v>1</x:v>
      </x:c>
    </x:row>
    <x:row r="52">
      <x:c r="A52" s="114" t="n"/>
      <x:c r="B52" s="114" t="n"/>
      <x:c r="C52" s="114" t="n"/>
      <x:c r="D52" s="114" t="n"/>
      <x:c r="E52" s="114" t="n"/>
      <x:c r="F52" s="114" t="n"/>
      <x:c r="G52" s="114" t="n"/>
      <x:c r="H52" s="114" t="n"/>
      <x:c r="I52" s="114" t="str">
        <x:f>'Company Universe'!A52</x:f>
        <x:v>ARG-047</x:v>
      </x:c>
      <x:c r="J52" s="114" t="n">
        <x:f>COUNTIF('1000 Cycles'!$D$6:$D$1005,I52)</x:f>
        <x:v>10</x:v>
      </x:c>
      <x:c r="K52" s="114" t="n">
        <x:f>IF(COUNTIFS('1000 Cycles'!$D$6:$D$1005,I52,'1000 Cycles'!$B$6:$B$1005,"Development")&gt;0,1,0)+IF(COUNTIFS('1000 Cycles'!$D$6:$D$1005,I52,'1000 Cycles'!$B$6:$B$1005,"Validation")&gt;0,1,0)+IF(COUNTIFS('1000 Cycles'!$D$6:$D$1005,I52,'1000 Cycles'!$B$6:$B$1005,"Holdout")&gt;0,1,0)</x:f>
        <x:v>1</x:v>
      </x:c>
    </x:row>
    <x:row r="53">
      <x:c r="A53" s="114" t="n"/>
      <x:c r="B53" s="114" t="n"/>
      <x:c r="C53" s="114" t="n"/>
      <x:c r="D53" s="114" t="n"/>
      <x:c r="E53" s="114" t="n"/>
      <x:c r="F53" s="114" t="n"/>
      <x:c r="G53" s="114" t="n"/>
      <x:c r="H53" s="114" t="n"/>
      <x:c r="I53" s="114" t="str">
        <x:f>'Company Universe'!A53</x:f>
        <x:v>ARG-048</x:v>
      </x:c>
      <x:c r="J53" s="114" t="n">
        <x:f>COUNTIF('1000 Cycles'!$D$6:$D$1005,I53)</x:f>
        <x:v>10</x:v>
      </x:c>
      <x:c r="K53" s="114" t="n">
        <x:f>IF(COUNTIFS('1000 Cycles'!$D$6:$D$1005,I53,'1000 Cycles'!$B$6:$B$1005,"Development")&gt;0,1,0)+IF(COUNTIFS('1000 Cycles'!$D$6:$D$1005,I53,'1000 Cycles'!$B$6:$B$1005,"Validation")&gt;0,1,0)+IF(COUNTIFS('1000 Cycles'!$D$6:$D$1005,I53,'1000 Cycles'!$B$6:$B$1005,"Holdout")&gt;0,1,0)</x:f>
        <x:v>1</x:v>
      </x:c>
    </x:row>
    <x:row r="54">
      <x:c r="A54" s="114" t="n"/>
      <x:c r="B54" s="114" t="n"/>
      <x:c r="C54" s="114" t="n"/>
      <x:c r="D54" s="114" t="n"/>
      <x:c r="E54" s="114" t="n"/>
      <x:c r="F54" s="114" t="n"/>
      <x:c r="G54" s="114" t="n"/>
      <x:c r="H54" s="114" t="n"/>
      <x:c r="I54" s="114" t="str">
        <x:f>'Company Universe'!A54</x:f>
        <x:v>ARG-049</x:v>
      </x:c>
      <x:c r="J54" s="114" t="n">
        <x:f>COUNTIF('1000 Cycles'!$D$6:$D$1005,I54)</x:f>
        <x:v>10</x:v>
      </x:c>
      <x:c r="K54" s="114" t="n">
        <x:f>IF(COUNTIFS('1000 Cycles'!$D$6:$D$1005,I54,'1000 Cycles'!$B$6:$B$1005,"Development")&gt;0,1,0)+IF(COUNTIFS('1000 Cycles'!$D$6:$D$1005,I54,'1000 Cycles'!$B$6:$B$1005,"Validation")&gt;0,1,0)+IF(COUNTIFS('1000 Cycles'!$D$6:$D$1005,I54,'1000 Cycles'!$B$6:$B$1005,"Holdout")&gt;0,1,0)</x:f>
        <x:v>1</x:v>
      </x:c>
    </x:row>
    <x:row r="55">
      <x:c r="A55" s="114" t="n"/>
      <x:c r="B55" s="114" t="n"/>
      <x:c r="C55" s="114" t="n"/>
      <x:c r="D55" s="114" t="n"/>
      <x:c r="E55" s="114" t="n"/>
      <x:c r="F55" s="114" t="n"/>
      <x:c r="G55" s="114" t="n"/>
      <x:c r="H55" s="114" t="n"/>
      <x:c r="I55" s="114" t="str">
        <x:f>'Company Universe'!A55</x:f>
        <x:v>ARG-050</x:v>
      </x:c>
      <x:c r="J55" s="114" t="n">
        <x:f>COUNTIF('1000 Cycles'!$D$6:$D$1005,I55)</x:f>
        <x:v>10</x:v>
      </x:c>
      <x:c r="K55" s="114" t="n">
        <x:f>IF(COUNTIFS('1000 Cycles'!$D$6:$D$1005,I55,'1000 Cycles'!$B$6:$B$1005,"Development")&gt;0,1,0)+IF(COUNTIFS('1000 Cycles'!$D$6:$D$1005,I55,'1000 Cycles'!$B$6:$B$1005,"Validation")&gt;0,1,0)+IF(COUNTIFS('1000 Cycles'!$D$6:$D$1005,I55,'1000 Cycles'!$B$6:$B$1005,"Holdout")&gt;0,1,0)</x:f>
        <x:v>1</x:v>
      </x:c>
    </x:row>
    <x:row r="56">
      <x:c r="A56" s="114" t="n"/>
      <x:c r="B56" s="114" t="n"/>
      <x:c r="C56" s="114" t="n"/>
      <x:c r="D56" s="114" t="n"/>
      <x:c r="E56" s="114" t="n"/>
      <x:c r="F56" s="114" t="n"/>
      <x:c r="G56" s="114" t="n"/>
      <x:c r="H56" s="114" t="n"/>
      <x:c r="I56" s="114" t="str">
        <x:f>'Company Universe'!A56</x:f>
        <x:v>ARG-051</x:v>
      </x:c>
      <x:c r="J56" s="114" t="n">
        <x:f>COUNTIF('1000 Cycles'!$D$6:$D$1005,I56)</x:f>
        <x:v>10</x:v>
      </x:c>
      <x:c r="K56" s="114" t="n">
        <x:f>IF(COUNTIFS('1000 Cycles'!$D$6:$D$1005,I56,'1000 Cycles'!$B$6:$B$1005,"Development")&gt;0,1,0)+IF(COUNTIFS('1000 Cycles'!$D$6:$D$1005,I56,'1000 Cycles'!$B$6:$B$1005,"Validation")&gt;0,1,0)+IF(COUNTIFS('1000 Cycles'!$D$6:$D$1005,I56,'1000 Cycles'!$B$6:$B$1005,"Holdout")&gt;0,1,0)</x:f>
        <x:v>1</x:v>
      </x:c>
    </x:row>
    <x:row r="57">
      <x:c r="A57" s="114" t="n"/>
      <x:c r="B57" s="114" t="n"/>
      <x:c r="C57" s="114" t="n"/>
      <x:c r="D57" s="114" t="n"/>
      <x:c r="E57" s="114" t="n"/>
      <x:c r="F57" s="114" t="n"/>
      <x:c r="G57" s="114" t="n"/>
      <x:c r="H57" s="114" t="n"/>
      <x:c r="I57" s="114" t="str">
        <x:f>'Company Universe'!A57</x:f>
        <x:v>ARG-052</x:v>
      </x:c>
      <x:c r="J57" s="114" t="n">
        <x:f>COUNTIF('1000 Cycles'!$D$6:$D$1005,I57)</x:f>
        <x:v>10</x:v>
      </x:c>
      <x:c r="K57" s="114" t="n">
        <x:f>IF(COUNTIFS('1000 Cycles'!$D$6:$D$1005,I57,'1000 Cycles'!$B$6:$B$1005,"Development")&gt;0,1,0)+IF(COUNTIFS('1000 Cycles'!$D$6:$D$1005,I57,'1000 Cycles'!$B$6:$B$1005,"Validation")&gt;0,1,0)+IF(COUNTIFS('1000 Cycles'!$D$6:$D$1005,I57,'1000 Cycles'!$B$6:$B$1005,"Holdout")&gt;0,1,0)</x:f>
        <x:v>1</x:v>
      </x:c>
    </x:row>
    <x:row r="58">
      <x:c r="A58" s="114" t="n"/>
      <x:c r="B58" s="114" t="n"/>
      <x:c r="C58" s="114" t="n"/>
      <x:c r="D58" s="114" t="n"/>
      <x:c r="E58" s="114" t="n"/>
      <x:c r="F58" s="114" t="n"/>
      <x:c r="G58" s="114" t="n"/>
      <x:c r="H58" s="114" t="n"/>
      <x:c r="I58" s="114" t="str">
        <x:f>'Company Universe'!A58</x:f>
        <x:v>ARG-053</x:v>
      </x:c>
      <x:c r="J58" s="114" t="n">
        <x:f>COUNTIF('1000 Cycles'!$D$6:$D$1005,I58)</x:f>
        <x:v>10</x:v>
      </x:c>
      <x:c r="K58" s="114" t="n">
        <x:f>IF(COUNTIFS('1000 Cycles'!$D$6:$D$1005,I58,'1000 Cycles'!$B$6:$B$1005,"Development")&gt;0,1,0)+IF(COUNTIFS('1000 Cycles'!$D$6:$D$1005,I58,'1000 Cycles'!$B$6:$B$1005,"Validation")&gt;0,1,0)+IF(COUNTIFS('1000 Cycles'!$D$6:$D$1005,I58,'1000 Cycles'!$B$6:$B$1005,"Holdout")&gt;0,1,0)</x:f>
        <x:v>1</x:v>
      </x:c>
    </x:row>
    <x:row r="59">
      <x:c r="A59" s="114" t="n"/>
      <x:c r="B59" s="114" t="n"/>
      <x:c r="C59" s="114" t="n"/>
      <x:c r="D59" s="114" t="n"/>
      <x:c r="E59" s="114" t="n"/>
      <x:c r="F59" s="114" t="n"/>
      <x:c r="G59" s="114" t="n"/>
      <x:c r="H59" s="114" t="n"/>
      <x:c r="I59" s="114" t="str">
        <x:f>'Company Universe'!A59</x:f>
        <x:v>ARG-054</x:v>
      </x:c>
      <x:c r="J59" s="114" t="n">
        <x:f>COUNTIF('1000 Cycles'!$D$6:$D$1005,I59)</x:f>
        <x:v>10</x:v>
      </x:c>
      <x:c r="K59" s="114" t="n">
        <x:f>IF(COUNTIFS('1000 Cycles'!$D$6:$D$1005,I59,'1000 Cycles'!$B$6:$B$1005,"Development")&gt;0,1,0)+IF(COUNTIFS('1000 Cycles'!$D$6:$D$1005,I59,'1000 Cycles'!$B$6:$B$1005,"Validation")&gt;0,1,0)+IF(COUNTIFS('1000 Cycles'!$D$6:$D$1005,I59,'1000 Cycles'!$B$6:$B$1005,"Holdout")&gt;0,1,0)</x:f>
        <x:v>1</x:v>
      </x:c>
    </x:row>
    <x:row r="60">
      <x:c r="A60" s="114" t="n"/>
      <x:c r="B60" s="114" t="n"/>
      <x:c r="C60" s="114" t="n"/>
      <x:c r="D60" s="114" t="n"/>
      <x:c r="E60" s="114" t="n"/>
      <x:c r="F60" s="114" t="n"/>
      <x:c r="G60" s="114" t="n"/>
      <x:c r="H60" s="114" t="n"/>
      <x:c r="I60" s="114" t="str">
        <x:f>'Company Universe'!A60</x:f>
        <x:v>ARG-055</x:v>
      </x:c>
      <x:c r="J60" s="114" t="n">
        <x:f>COUNTIF('1000 Cycles'!$D$6:$D$1005,I60)</x:f>
        <x:v>10</x:v>
      </x:c>
      <x:c r="K60" s="114" t="n">
        <x:f>IF(COUNTIFS('1000 Cycles'!$D$6:$D$1005,I60,'1000 Cycles'!$B$6:$B$1005,"Development")&gt;0,1,0)+IF(COUNTIFS('1000 Cycles'!$D$6:$D$1005,I60,'1000 Cycles'!$B$6:$B$1005,"Validation")&gt;0,1,0)+IF(COUNTIFS('1000 Cycles'!$D$6:$D$1005,I60,'1000 Cycles'!$B$6:$B$1005,"Holdout")&gt;0,1,0)</x:f>
        <x:v>1</x:v>
      </x:c>
    </x:row>
    <x:row r="61">
      <x:c r="A61" s="114" t="n"/>
      <x:c r="B61" s="114" t="n"/>
      <x:c r="C61" s="114" t="n"/>
      <x:c r="D61" s="114" t="n"/>
      <x:c r="E61" s="114" t="n"/>
      <x:c r="F61" s="114" t="n"/>
      <x:c r="G61" s="114" t="n"/>
      <x:c r="H61" s="114" t="n"/>
      <x:c r="I61" s="114" t="str">
        <x:f>'Company Universe'!A61</x:f>
        <x:v>ARG-056</x:v>
      </x:c>
      <x:c r="J61" s="114" t="n">
        <x:f>COUNTIF('1000 Cycles'!$D$6:$D$1005,I61)</x:f>
        <x:v>10</x:v>
      </x:c>
      <x:c r="K61" s="114" t="n">
        <x:f>IF(COUNTIFS('1000 Cycles'!$D$6:$D$1005,I61,'1000 Cycles'!$B$6:$B$1005,"Development")&gt;0,1,0)+IF(COUNTIFS('1000 Cycles'!$D$6:$D$1005,I61,'1000 Cycles'!$B$6:$B$1005,"Validation")&gt;0,1,0)+IF(COUNTIFS('1000 Cycles'!$D$6:$D$1005,I61,'1000 Cycles'!$B$6:$B$1005,"Holdout")&gt;0,1,0)</x:f>
        <x:v>1</x:v>
      </x:c>
    </x:row>
    <x:row r="62">
      <x:c r="A62" s="114" t="n"/>
      <x:c r="B62" s="114" t="n"/>
      <x:c r="C62" s="114" t="n"/>
      <x:c r="D62" s="114" t="n"/>
      <x:c r="E62" s="114" t="n"/>
      <x:c r="F62" s="114" t="n"/>
      <x:c r="G62" s="114" t="n"/>
      <x:c r="H62" s="114" t="n"/>
      <x:c r="I62" s="114" t="str">
        <x:f>'Company Universe'!A62</x:f>
        <x:v>ARG-057</x:v>
      </x:c>
      <x:c r="J62" s="114" t="n">
        <x:f>COUNTIF('1000 Cycles'!$D$6:$D$1005,I62)</x:f>
        <x:v>10</x:v>
      </x:c>
      <x:c r="K62" s="114" t="n">
        <x:f>IF(COUNTIFS('1000 Cycles'!$D$6:$D$1005,I62,'1000 Cycles'!$B$6:$B$1005,"Development")&gt;0,1,0)+IF(COUNTIFS('1000 Cycles'!$D$6:$D$1005,I62,'1000 Cycles'!$B$6:$B$1005,"Validation")&gt;0,1,0)+IF(COUNTIFS('1000 Cycles'!$D$6:$D$1005,I62,'1000 Cycles'!$B$6:$B$1005,"Holdout")&gt;0,1,0)</x:f>
        <x:v>1</x:v>
      </x:c>
    </x:row>
    <x:row r="63">
      <x:c r="A63" s="114" t="n"/>
      <x:c r="B63" s="114" t="n"/>
      <x:c r="C63" s="114" t="n"/>
      <x:c r="D63" s="114" t="n"/>
      <x:c r="E63" s="114" t="n"/>
      <x:c r="F63" s="114" t="n"/>
      <x:c r="G63" s="114" t="n"/>
      <x:c r="H63" s="114" t="n"/>
      <x:c r="I63" s="114" t="str">
        <x:f>'Company Universe'!A63</x:f>
        <x:v>ARG-058</x:v>
      </x:c>
      <x:c r="J63" s="114" t="n">
        <x:f>COUNTIF('1000 Cycles'!$D$6:$D$1005,I63)</x:f>
        <x:v>10</x:v>
      </x:c>
      <x:c r="K63" s="114" t="n">
        <x:f>IF(COUNTIFS('1000 Cycles'!$D$6:$D$1005,I63,'1000 Cycles'!$B$6:$B$1005,"Development")&gt;0,1,0)+IF(COUNTIFS('1000 Cycles'!$D$6:$D$1005,I63,'1000 Cycles'!$B$6:$B$1005,"Validation")&gt;0,1,0)+IF(COUNTIFS('1000 Cycles'!$D$6:$D$1005,I63,'1000 Cycles'!$B$6:$B$1005,"Holdout")&gt;0,1,0)</x:f>
        <x:v>1</x:v>
      </x:c>
    </x:row>
    <x:row r="64">
      <x:c r="A64" s="114" t="n"/>
      <x:c r="B64" s="114" t="n"/>
      <x:c r="C64" s="114" t="n"/>
      <x:c r="D64" s="114" t="n"/>
      <x:c r="E64" s="114" t="n"/>
      <x:c r="F64" s="114" t="n"/>
      <x:c r="G64" s="114" t="n"/>
      <x:c r="H64" s="114" t="n"/>
      <x:c r="I64" s="114" t="str">
        <x:f>'Company Universe'!A64</x:f>
        <x:v>ARG-059</x:v>
      </x:c>
      <x:c r="J64" s="114" t="n">
        <x:f>COUNTIF('1000 Cycles'!$D$6:$D$1005,I64)</x:f>
        <x:v>10</x:v>
      </x:c>
      <x:c r="K64" s="114" t="n">
        <x:f>IF(COUNTIFS('1000 Cycles'!$D$6:$D$1005,I64,'1000 Cycles'!$B$6:$B$1005,"Development")&gt;0,1,0)+IF(COUNTIFS('1000 Cycles'!$D$6:$D$1005,I64,'1000 Cycles'!$B$6:$B$1005,"Validation")&gt;0,1,0)+IF(COUNTIFS('1000 Cycles'!$D$6:$D$1005,I64,'1000 Cycles'!$B$6:$B$1005,"Holdout")&gt;0,1,0)</x:f>
        <x:v>1</x:v>
      </x:c>
    </x:row>
    <x:row r="65">
      <x:c r="A65" s="114" t="n"/>
      <x:c r="B65" s="114" t="n"/>
      <x:c r="C65" s="114" t="n"/>
      <x:c r="D65" s="114" t="n"/>
      <x:c r="E65" s="114" t="n"/>
      <x:c r="F65" s="114" t="n"/>
      <x:c r="G65" s="114" t="n"/>
      <x:c r="H65" s="114" t="n"/>
      <x:c r="I65" s="114" t="str">
        <x:f>'Company Universe'!A65</x:f>
        <x:v>ARG-060</x:v>
      </x:c>
      <x:c r="J65" s="114" t="n">
        <x:f>COUNTIF('1000 Cycles'!$D$6:$D$1005,I65)</x:f>
        <x:v>10</x:v>
      </x:c>
      <x:c r="K65" s="114" t="n">
        <x:f>IF(COUNTIFS('1000 Cycles'!$D$6:$D$1005,I65,'1000 Cycles'!$B$6:$B$1005,"Development")&gt;0,1,0)+IF(COUNTIFS('1000 Cycles'!$D$6:$D$1005,I65,'1000 Cycles'!$B$6:$B$1005,"Validation")&gt;0,1,0)+IF(COUNTIFS('1000 Cycles'!$D$6:$D$1005,I65,'1000 Cycles'!$B$6:$B$1005,"Holdout")&gt;0,1,0)</x:f>
        <x:v>1</x:v>
      </x:c>
    </x:row>
    <x:row r="66">
      <x:c r="A66" s="114" t="n"/>
      <x:c r="B66" s="114" t="n"/>
      <x:c r="C66" s="114" t="n"/>
      <x:c r="D66" s="114" t="n"/>
      <x:c r="E66" s="114" t="n"/>
      <x:c r="F66" s="114" t="n"/>
      <x:c r="G66" s="114" t="n"/>
      <x:c r="H66" s="114" t="n"/>
      <x:c r="I66" s="114" t="str">
        <x:f>'Company Universe'!A66</x:f>
        <x:v>ARG-061</x:v>
      </x:c>
      <x:c r="J66" s="114" t="n">
        <x:f>COUNTIF('1000 Cycles'!$D$6:$D$1005,I66)</x:f>
        <x:v>10</x:v>
      </x:c>
      <x:c r="K66" s="114" t="n">
        <x:f>IF(COUNTIFS('1000 Cycles'!$D$6:$D$1005,I66,'1000 Cycles'!$B$6:$B$1005,"Development")&gt;0,1,0)+IF(COUNTIFS('1000 Cycles'!$D$6:$D$1005,I66,'1000 Cycles'!$B$6:$B$1005,"Validation")&gt;0,1,0)+IF(COUNTIFS('1000 Cycles'!$D$6:$D$1005,I66,'1000 Cycles'!$B$6:$B$1005,"Holdout")&gt;0,1,0)</x:f>
        <x:v>1</x:v>
      </x:c>
    </x:row>
    <x:row r="67">
      <x:c r="A67" s="114" t="n"/>
      <x:c r="B67" s="114" t="n"/>
      <x:c r="C67" s="114" t="n"/>
      <x:c r="D67" s="114" t="n"/>
      <x:c r="E67" s="114" t="n"/>
      <x:c r="F67" s="114" t="n"/>
      <x:c r="G67" s="114" t="n"/>
      <x:c r="H67" s="114" t="n"/>
      <x:c r="I67" s="114" t="str">
        <x:f>'Company Universe'!A67</x:f>
        <x:v>ARG-062</x:v>
      </x:c>
      <x:c r="J67" s="114" t="n">
        <x:f>COUNTIF('1000 Cycles'!$D$6:$D$1005,I67)</x:f>
        <x:v>10</x:v>
      </x:c>
      <x:c r="K67" s="114" t="n">
        <x:f>IF(COUNTIFS('1000 Cycles'!$D$6:$D$1005,I67,'1000 Cycles'!$B$6:$B$1005,"Development")&gt;0,1,0)+IF(COUNTIFS('1000 Cycles'!$D$6:$D$1005,I67,'1000 Cycles'!$B$6:$B$1005,"Validation")&gt;0,1,0)+IF(COUNTIFS('1000 Cycles'!$D$6:$D$1005,I67,'1000 Cycles'!$B$6:$B$1005,"Holdout")&gt;0,1,0)</x:f>
        <x:v>1</x:v>
      </x:c>
    </x:row>
    <x:row r="68">
      <x:c r="A68" s="114" t="n"/>
      <x:c r="B68" s="114" t="n"/>
      <x:c r="C68" s="114" t="n"/>
      <x:c r="D68" s="114" t="n"/>
      <x:c r="E68" s="114" t="n"/>
      <x:c r="F68" s="114" t="n"/>
      <x:c r="G68" s="114" t="n"/>
      <x:c r="H68" s="114" t="n"/>
      <x:c r="I68" s="114" t="str">
        <x:f>'Company Universe'!A68</x:f>
        <x:v>ARG-063</x:v>
      </x:c>
      <x:c r="J68" s="114" t="n">
        <x:f>COUNTIF('1000 Cycles'!$D$6:$D$1005,I68)</x:f>
        <x:v>10</x:v>
      </x:c>
      <x:c r="K68" s="114" t="n">
        <x:f>IF(COUNTIFS('1000 Cycles'!$D$6:$D$1005,I68,'1000 Cycles'!$B$6:$B$1005,"Development")&gt;0,1,0)+IF(COUNTIFS('1000 Cycles'!$D$6:$D$1005,I68,'1000 Cycles'!$B$6:$B$1005,"Validation")&gt;0,1,0)+IF(COUNTIFS('1000 Cycles'!$D$6:$D$1005,I68,'1000 Cycles'!$B$6:$B$1005,"Holdout")&gt;0,1,0)</x:f>
        <x:v>1</x:v>
      </x:c>
    </x:row>
    <x:row r="69">
      <x:c r="A69" s="114" t="n"/>
      <x:c r="B69" s="114" t="n"/>
      <x:c r="C69" s="114" t="n"/>
      <x:c r="D69" s="114" t="n"/>
      <x:c r="E69" s="114" t="n"/>
      <x:c r="F69" s="114" t="n"/>
      <x:c r="G69" s="114" t="n"/>
      <x:c r="H69" s="114" t="n"/>
      <x:c r="I69" s="114" t="str">
        <x:f>'Company Universe'!A69</x:f>
        <x:v>ARG-064</x:v>
      </x:c>
      <x:c r="J69" s="114" t="n">
        <x:f>COUNTIF('1000 Cycles'!$D$6:$D$1005,I69)</x:f>
        <x:v>10</x:v>
      </x:c>
      <x:c r="K69" s="114" t="n">
        <x:f>IF(COUNTIFS('1000 Cycles'!$D$6:$D$1005,I69,'1000 Cycles'!$B$6:$B$1005,"Development")&gt;0,1,0)+IF(COUNTIFS('1000 Cycles'!$D$6:$D$1005,I69,'1000 Cycles'!$B$6:$B$1005,"Validation")&gt;0,1,0)+IF(COUNTIFS('1000 Cycles'!$D$6:$D$1005,I69,'1000 Cycles'!$B$6:$B$1005,"Holdout")&gt;0,1,0)</x:f>
        <x:v>1</x:v>
      </x:c>
    </x:row>
    <x:row r="70">
      <x:c r="A70" s="114" t="n"/>
      <x:c r="B70" s="114" t="n"/>
      <x:c r="C70" s="114" t="n"/>
      <x:c r="D70" s="114" t="n"/>
      <x:c r="E70" s="114" t="n"/>
      <x:c r="F70" s="114" t="n"/>
      <x:c r="G70" s="114" t="n"/>
      <x:c r="H70" s="114" t="n"/>
      <x:c r="I70" s="114" t="str">
        <x:f>'Company Universe'!A70</x:f>
        <x:v>ARG-065</x:v>
      </x:c>
      <x:c r="J70" s="114" t="n">
        <x:f>COUNTIF('1000 Cycles'!$D$6:$D$1005,I70)</x:f>
        <x:v>10</x:v>
      </x:c>
      <x:c r="K70" s="114" t="n">
        <x:f>IF(COUNTIFS('1000 Cycles'!$D$6:$D$1005,I70,'1000 Cycles'!$B$6:$B$1005,"Development")&gt;0,1,0)+IF(COUNTIFS('1000 Cycles'!$D$6:$D$1005,I70,'1000 Cycles'!$B$6:$B$1005,"Validation")&gt;0,1,0)+IF(COUNTIFS('1000 Cycles'!$D$6:$D$1005,I70,'1000 Cycles'!$B$6:$B$1005,"Holdout")&gt;0,1,0)</x:f>
        <x:v>1</x:v>
      </x:c>
    </x:row>
    <x:row r="71">
      <x:c r="A71" s="114" t="n"/>
      <x:c r="B71" s="114" t="n"/>
      <x:c r="C71" s="114" t="n"/>
      <x:c r="D71" s="114" t="n"/>
      <x:c r="E71" s="114" t="n"/>
      <x:c r="F71" s="114" t="n"/>
      <x:c r="G71" s="114" t="n"/>
      <x:c r="H71" s="114" t="n"/>
      <x:c r="I71" s="114" t="str">
        <x:f>'Company Universe'!A71</x:f>
        <x:v>ARG-066</x:v>
      </x:c>
      <x:c r="J71" s="114" t="n">
        <x:f>COUNTIF('1000 Cycles'!$D$6:$D$1005,I71)</x:f>
        <x:v>10</x:v>
      </x:c>
      <x:c r="K71" s="114" t="n">
        <x:f>IF(COUNTIFS('1000 Cycles'!$D$6:$D$1005,I71,'1000 Cycles'!$B$6:$B$1005,"Development")&gt;0,1,0)+IF(COUNTIFS('1000 Cycles'!$D$6:$D$1005,I71,'1000 Cycles'!$B$6:$B$1005,"Validation")&gt;0,1,0)+IF(COUNTIFS('1000 Cycles'!$D$6:$D$1005,I71,'1000 Cycles'!$B$6:$B$1005,"Holdout")&gt;0,1,0)</x:f>
        <x:v>1</x:v>
      </x:c>
    </x:row>
    <x:row r="72">
      <x:c r="A72" s="114" t="n"/>
      <x:c r="B72" s="114" t="n"/>
      <x:c r="C72" s="114" t="n"/>
      <x:c r="D72" s="114" t="n"/>
      <x:c r="E72" s="114" t="n"/>
      <x:c r="F72" s="114" t="n"/>
      <x:c r="G72" s="114" t="n"/>
      <x:c r="H72" s="114" t="n"/>
      <x:c r="I72" s="114" t="str">
        <x:f>'Company Universe'!A72</x:f>
        <x:v>ARG-067</x:v>
      </x:c>
      <x:c r="J72" s="114" t="n">
        <x:f>COUNTIF('1000 Cycles'!$D$6:$D$1005,I72)</x:f>
        <x:v>10</x:v>
      </x:c>
      <x:c r="K72" s="114" t="n">
        <x:f>IF(COUNTIFS('1000 Cycles'!$D$6:$D$1005,I72,'1000 Cycles'!$B$6:$B$1005,"Development")&gt;0,1,0)+IF(COUNTIFS('1000 Cycles'!$D$6:$D$1005,I72,'1000 Cycles'!$B$6:$B$1005,"Validation")&gt;0,1,0)+IF(COUNTIFS('1000 Cycles'!$D$6:$D$1005,I72,'1000 Cycles'!$B$6:$B$1005,"Holdout")&gt;0,1,0)</x:f>
        <x:v>1</x:v>
      </x:c>
    </x:row>
    <x:row r="73">
      <x:c r="A73" s="114" t="n"/>
      <x:c r="B73" s="114" t="n"/>
      <x:c r="C73" s="114" t="n"/>
      <x:c r="D73" s="114" t="n"/>
      <x:c r="E73" s="114" t="n"/>
      <x:c r="F73" s="114" t="n"/>
      <x:c r="G73" s="114" t="n"/>
      <x:c r="H73" s="114" t="n"/>
      <x:c r="I73" s="114" t="str">
        <x:f>'Company Universe'!A73</x:f>
        <x:v>ARG-068</x:v>
      </x:c>
      <x:c r="J73" s="114" t="n">
        <x:f>COUNTIF('1000 Cycles'!$D$6:$D$1005,I73)</x:f>
        <x:v>10</x:v>
      </x:c>
      <x:c r="K73" s="114" t="n">
        <x:f>IF(COUNTIFS('1000 Cycles'!$D$6:$D$1005,I73,'1000 Cycles'!$B$6:$B$1005,"Development")&gt;0,1,0)+IF(COUNTIFS('1000 Cycles'!$D$6:$D$1005,I73,'1000 Cycles'!$B$6:$B$1005,"Validation")&gt;0,1,0)+IF(COUNTIFS('1000 Cycles'!$D$6:$D$1005,I73,'1000 Cycles'!$B$6:$B$1005,"Holdout")&gt;0,1,0)</x:f>
        <x:v>1</x:v>
      </x:c>
    </x:row>
    <x:row r="74">
      <x:c r="A74" s="114" t="n"/>
      <x:c r="B74" s="114" t="n"/>
      <x:c r="C74" s="114" t="n"/>
      <x:c r="D74" s="114" t="n"/>
      <x:c r="E74" s="114" t="n"/>
      <x:c r="F74" s="114" t="n"/>
      <x:c r="G74" s="114" t="n"/>
      <x:c r="H74" s="114" t="n"/>
      <x:c r="I74" s="114" t="str">
        <x:f>'Company Universe'!A74</x:f>
        <x:v>ARG-069</x:v>
      </x:c>
      <x:c r="J74" s="114" t="n">
        <x:f>COUNTIF('1000 Cycles'!$D$6:$D$1005,I74)</x:f>
        <x:v>10</x:v>
      </x:c>
      <x:c r="K74" s="114" t="n">
        <x:f>IF(COUNTIFS('1000 Cycles'!$D$6:$D$1005,I74,'1000 Cycles'!$B$6:$B$1005,"Development")&gt;0,1,0)+IF(COUNTIFS('1000 Cycles'!$D$6:$D$1005,I74,'1000 Cycles'!$B$6:$B$1005,"Validation")&gt;0,1,0)+IF(COUNTIFS('1000 Cycles'!$D$6:$D$1005,I74,'1000 Cycles'!$B$6:$B$1005,"Holdout")&gt;0,1,0)</x:f>
        <x:v>1</x:v>
      </x:c>
    </x:row>
    <x:row r="75">
      <x:c r="A75" s="114" t="n"/>
      <x:c r="B75" s="114" t="n"/>
      <x:c r="C75" s="114" t="n"/>
      <x:c r="D75" s="114" t="n"/>
      <x:c r="E75" s="114" t="n"/>
      <x:c r="F75" s="114" t="n"/>
      <x:c r="G75" s="114" t="n"/>
      <x:c r="H75" s="114" t="n"/>
      <x:c r="I75" s="114" t="str">
        <x:f>'Company Universe'!A75</x:f>
        <x:v>ARG-070</x:v>
      </x:c>
      <x:c r="J75" s="114" t="n">
        <x:f>COUNTIF('1000 Cycles'!$D$6:$D$1005,I75)</x:f>
        <x:v>10</x:v>
      </x:c>
      <x:c r="K75" s="114" t="n">
        <x:f>IF(COUNTIFS('1000 Cycles'!$D$6:$D$1005,I75,'1000 Cycles'!$B$6:$B$1005,"Development")&gt;0,1,0)+IF(COUNTIFS('1000 Cycles'!$D$6:$D$1005,I75,'1000 Cycles'!$B$6:$B$1005,"Validation")&gt;0,1,0)+IF(COUNTIFS('1000 Cycles'!$D$6:$D$1005,I75,'1000 Cycles'!$B$6:$B$1005,"Holdout")&gt;0,1,0)</x:f>
        <x:v>1</x:v>
      </x:c>
    </x:row>
    <x:row r="76">
      <x:c r="A76" s="114" t="n"/>
      <x:c r="B76" s="114" t="n"/>
      <x:c r="C76" s="114" t="n"/>
      <x:c r="D76" s="114" t="n"/>
      <x:c r="E76" s="114" t="n"/>
      <x:c r="F76" s="114" t="n"/>
      <x:c r="G76" s="114" t="n"/>
      <x:c r="H76" s="114" t="n"/>
      <x:c r="I76" s="114" t="str">
        <x:f>'Company Universe'!A76</x:f>
        <x:v>ARG-071</x:v>
      </x:c>
      <x:c r="J76" s="114" t="n">
        <x:f>COUNTIF('1000 Cycles'!$D$6:$D$1005,I76)</x:f>
        <x:v>10</x:v>
      </x:c>
      <x:c r="K76" s="114" t="n">
        <x:f>IF(COUNTIFS('1000 Cycles'!$D$6:$D$1005,I76,'1000 Cycles'!$B$6:$B$1005,"Development")&gt;0,1,0)+IF(COUNTIFS('1000 Cycles'!$D$6:$D$1005,I76,'1000 Cycles'!$B$6:$B$1005,"Validation")&gt;0,1,0)+IF(COUNTIFS('1000 Cycles'!$D$6:$D$1005,I76,'1000 Cycles'!$B$6:$B$1005,"Holdout")&gt;0,1,0)</x:f>
        <x:v>1</x:v>
      </x:c>
    </x:row>
    <x:row r="77">
      <x:c r="A77" s="114" t="n"/>
      <x:c r="B77" s="114" t="n"/>
      <x:c r="C77" s="114" t="n"/>
      <x:c r="D77" s="114" t="n"/>
      <x:c r="E77" s="114" t="n"/>
      <x:c r="F77" s="114" t="n"/>
      <x:c r="G77" s="114" t="n"/>
      <x:c r="H77" s="114" t="n"/>
      <x:c r="I77" s="114" t="str">
        <x:f>'Company Universe'!A77</x:f>
        <x:v>ARG-072</x:v>
      </x:c>
      <x:c r="J77" s="114" t="n">
        <x:f>COUNTIF('1000 Cycles'!$D$6:$D$1005,I77)</x:f>
        <x:v>10</x:v>
      </x:c>
      <x:c r="K77" s="114" t="n">
        <x:f>IF(COUNTIFS('1000 Cycles'!$D$6:$D$1005,I77,'1000 Cycles'!$B$6:$B$1005,"Development")&gt;0,1,0)+IF(COUNTIFS('1000 Cycles'!$D$6:$D$1005,I77,'1000 Cycles'!$B$6:$B$1005,"Validation")&gt;0,1,0)+IF(COUNTIFS('1000 Cycles'!$D$6:$D$1005,I77,'1000 Cycles'!$B$6:$B$1005,"Holdout")&gt;0,1,0)</x:f>
        <x:v>1</x:v>
      </x:c>
    </x:row>
    <x:row r="78">
      <x:c r="A78" s="114" t="n"/>
      <x:c r="B78" s="114" t="n"/>
      <x:c r="C78" s="114" t="n"/>
      <x:c r="D78" s="114" t="n"/>
      <x:c r="E78" s="114" t="n"/>
      <x:c r="F78" s="114" t="n"/>
      <x:c r="G78" s="114" t="n"/>
      <x:c r="H78" s="114" t="n"/>
      <x:c r="I78" s="114" t="str">
        <x:f>'Company Universe'!A78</x:f>
        <x:v>ARG-073</x:v>
      </x:c>
      <x:c r="J78" s="114" t="n">
        <x:f>COUNTIF('1000 Cycles'!$D$6:$D$1005,I78)</x:f>
        <x:v>10</x:v>
      </x:c>
      <x:c r="K78" s="114" t="n">
        <x:f>IF(COUNTIFS('1000 Cycles'!$D$6:$D$1005,I78,'1000 Cycles'!$B$6:$B$1005,"Development")&gt;0,1,0)+IF(COUNTIFS('1000 Cycles'!$D$6:$D$1005,I78,'1000 Cycles'!$B$6:$B$1005,"Validation")&gt;0,1,0)+IF(COUNTIFS('1000 Cycles'!$D$6:$D$1005,I78,'1000 Cycles'!$B$6:$B$1005,"Holdout")&gt;0,1,0)</x:f>
        <x:v>1</x:v>
      </x:c>
    </x:row>
    <x:row r="79">
      <x:c r="A79" s="114" t="n"/>
      <x:c r="B79" s="114" t="n"/>
      <x:c r="C79" s="114" t="n"/>
      <x:c r="D79" s="114" t="n"/>
      <x:c r="E79" s="114" t="n"/>
      <x:c r="F79" s="114" t="n"/>
      <x:c r="G79" s="114" t="n"/>
      <x:c r="H79" s="114" t="n"/>
      <x:c r="I79" s="114" t="str">
        <x:f>'Company Universe'!A79</x:f>
        <x:v>ARG-074</x:v>
      </x:c>
      <x:c r="J79" s="114" t="n">
        <x:f>COUNTIF('1000 Cycles'!$D$6:$D$1005,I79)</x:f>
        <x:v>10</x:v>
      </x:c>
      <x:c r="K79" s="114" t="n">
        <x:f>IF(COUNTIFS('1000 Cycles'!$D$6:$D$1005,I79,'1000 Cycles'!$B$6:$B$1005,"Development")&gt;0,1,0)+IF(COUNTIFS('1000 Cycles'!$D$6:$D$1005,I79,'1000 Cycles'!$B$6:$B$1005,"Validation")&gt;0,1,0)+IF(COUNTIFS('1000 Cycles'!$D$6:$D$1005,I79,'1000 Cycles'!$B$6:$B$1005,"Holdout")&gt;0,1,0)</x:f>
        <x:v>1</x:v>
      </x:c>
    </x:row>
    <x:row r="80">
      <x:c r="A80" s="114" t="n"/>
      <x:c r="B80" s="114" t="n"/>
      <x:c r="C80" s="114" t="n"/>
      <x:c r="D80" s="114" t="n"/>
      <x:c r="E80" s="114" t="n"/>
      <x:c r="F80" s="114" t="n"/>
      <x:c r="G80" s="114" t="n"/>
      <x:c r="H80" s="114" t="n"/>
      <x:c r="I80" s="114" t="str">
        <x:f>'Company Universe'!A80</x:f>
        <x:v>ARG-075</x:v>
      </x:c>
      <x:c r="J80" s="114" t="n">
        <x:f>COUNTIF('1000 Cycles'!$D$6:$D$1005,I80)</x:f>
        <x:v>10</x:v>
      </x:c>
      <x:c r="K80" s="114" t="n">
        <x:f>IF(COUNTIFS('1000 Cycles'!$D$6:$D$1005,I80,'1000 Cycles'!$B$6:$B$1005,"Development")&gt;0,1,0)+IF(COUNTIFS('1000 Cycles'!$D$6:$D$1005,I80,'1000 Cycles'!$B$6:$B$1005,"Validation")&gt;0,1,0)+IF(COUNTIFS('1000 Cycles'!$D$6:$D$1005,I80,'1000 Cycles'!$B$6:$B$1005,"Holdout")&gt;0,1,0)</x:f>
        <x:v>1</x:v>
      </x:c>
    </x:row>
    <x:row r="81">
      <x:c r="A81" s="114" t="n"/>
      <x:c r="B81" s="114" t="n"/>
      <x:c r="C81" s="114" t="n"/>
      <x:c r="D81" s="114" t="n"/>
      <x:c r="E81" s="114" t="n"/>
      <x:c r="F81" s="114" t="n"/>
      <x:c r="G81" s="114" t="n"/>
      <x:c r="H81" s="114" t="n"/>
      <x:c r="I81" s="114" t="str">
        <x:f>'Company Universe'!A81</x:f>
        <x:v>ARG-076</x:v>
      </x:c>
      <x:c r="J81" s="114" t="n">
        <x:f>COUNTIF('1000 Cycles'!$D$6:$D$1005,I81)</x:f>
        <x:v>10</x:v>
      </x:c>
      <x:c r="K81" s="114" t="n">
        <x:f>IF(COUNTIFS('1000 Cycles'!$D$6:$D$1005,I81,'1000 Cycles'!$B$6:$B$1005,"Development")&gt;0,1,0)+IF(COUNTIFS('1000 Cycles'!$D$6:$D$1005,I81,'1000 Cycles'!$B$6:$B$1005,"Validation")&gt;0,1,0)+IF(COUNTIFS('1000 Cycles'!$D$6:$D$1005,I81,'1000 Cycles'!$B$6:$B$1005,"Holdout")&gt;0,1,0)</x:f>
        <x:v>1</x:v>
      </x:c>
    </x:row>
    <x:row r="82">
      <x:c r="A82" s="114" t="n"/>
      <x:c r="B82" s="114" t="n"/>
      <x:c r="C82" s="114" t="n"/>
      <x:c r="D82" s="114" t="n"/>
      <x:c r="E82" s="114" t="n"/>
      <x:c r="F82" s="114" t="n"/>
      <x:c r="G82" s="114" t="n"/>
      <x:c r="H82" s="114" t="n"/>
      <x:c r="I82" s="114" t="str">
        <x:f>'Company Universe'!A82</x:f>
        <x:v>ARG-077</x:v>
      </x:c>
      <x:c r="J82" s="114" t="n">
        <x:f>COUNTIF('1000 Cycles'!$D$6:$D$1005,I82)</x:f>
        <x:v>10</x:v>
      </x:c>
      <x:c r="K82" s="114" t="n">
        <x:f>IF(COUNTIFS('1000 Cycles'!$D$6:$D$1005,I82,'1000 Cycles'!$B$6:$B$1005,"Development")&gt;0,1,0)+IF(COUNTIFS('1000 Cycles'!$D$6:$D$1005,I82,'1000 Cycles'!$B$6:$B$1005,"Validation")&gt;0,1,0)+IF(COUNTIFS('1000 Cycles'!$D$6:$D$1005,I82,'1000 Cycles'!$B$6:$B$1005,"Holdout")&gt;0,1,0)</x:f>
        <x:v>1</x:v>
      </x:c>
    </x:row>
    <x:row r="83">
      <x:c r="A83" s="114" t="n"/>
      <x:c r="B83" s="114" t="n"/>
      <x:c r="C83" s="114" t="n"/>
      <x:c r="D83" s="114" t="n"/>
      <x:c r="E83" s="114" t="n"/>
      <x:c r="F83" s="114" t="n"/>
      <x:c r="G83" s="114" t="n"/>
      <x:c r="H83" s="114" t="n"/>
      <x:c r="I83" s="114" t="str">
        <x:f>'Company Universe'!A83</x:f>
        <x:v>ARG-078</x:v>
      </x:c>
      <x:c r="J83" s="114" t="n">
        <x:f>COUNTIF('1000 Cycles'!$D$6:$D$1005,I83)</x:f>
        <x:v>10</x:v>
      </x:c>
      <x:c r="K83" s="114" t="n">
        <x:f>IF(COUNTIFS('1000 Cycles'!$D$6:$D$1005,I83,'1000 Cycles'!$B$6:$B$1005,"Development")&gt;0,1,0)+IF(COUNTIFS('1000 Cycles'!$D$6:$D$1005,I83,'1000 Cycles'!$B$6:$B$1005,"Validation")&gt;0,1,0)+IF(COUNTIFS('1000 Cycles'!$D$6:$D$1005,I83,'1000 Cycles'!$B$6:$B$1005,"Holdout")&gt;0,1,0)</x:f>
        <x:v>1</x:v>
      </x:c>
    </x:row>
    <x:row r="84">
      <x:c r="A84" s="114" t="n"/>
      <x:c r="B84" s="114" t="n"/>
      <x:c r="C84" s="114" t="n"/>
      <x:c r="D84" s="114" t="n"/>
      <x:c r="E84" s="114" t="n"/>
      <x:c r="F84" s="114" t="n"/>
      <x:c r="G84" s="114" t="n"/>
      <x:c r="H84" s="114" t="n"/>
      <x:c r="I84" s="114" t="str">
        <x:f>'Company Universe'!A84</x:f>
        <x:v>ARG-079</x:v>
      </x:c>
      <x:c r="J84" s="114" t="n">
        <x:f>COUNTIF('1000 Cycles'!$D$6:$D$1005,I84)</x:f>
        <x:v>10</x:v>
      </x:c>
      <x:c r="K84" s="114" t="n">
        <x:f>IF(COUNTIFS('1000 Cycles'!$D$6:$D$1005,I84,'1000 Cycles'!$B$6:$B$1005,"Development")&gt;0,1,0)+IF(COUNTIFS('1000 Cycles'!$D$6:$D$1005,I84,'1000 Cycles'!$B$6:$B$1005,"Validation")&gt;0,1,0)+IF(COUNTIFS('1000 Cycles'!$D$6:$D$1005,I84,'1000 Cycles'!$B$6:$B$1005,"Holdout")&gt;0,1,0)</x:f>
        <x:v>1</x:v>
      </x:c>
    </x:row>
    <x:row r="85">
      <x:c r="A85" s="114" t="n"/>
      <x:c r="B85" s="114" t="n"/>
      <x:c r="C85" s="114" t="n"/>
      <x:c r="D85" s="114" t="n"/>
      <x:c r="E85" s="114" t="n"/>
      <x:c r="F85" s="114" t="n"/>
      <x:c r="G85" s="114" t="n"/>
      <x:c r="H85" s="114" t="n"/>
      <x:c r="I85" s="114" t="str">
        <x:f>'Company Universe'!A85</x:f>
        <x:v>ARG-080</x:v>
      </x:c>
      <x:c r="J85" s="114" t="n">
        <x:f>COUNTIF('1000 Cycles'!$D$6:$D$1005,I85)</x:f>
        <x:v>10</x:v>
      </x:c>
      <x:c r="K85" s="114" t="n">
        <x:f>IF(COUNTIFS('1000 Cycles'!$D$6:$D$1005,I85,'1000 Cycles'!$B$6:$B$1005,"Development")&gt;0,1,0)+IF(COUNTIFS('1000 Cycles'!$D$6:$D$1005,I85,'1000 Cycles'!$B$6:$B$1005,"Validation")&gt;0,1,0)+IF(COUNTIFS('1000 Cycles'!$D$6:$D$1005,I85,'1000 Cycles'!$B$6:$B$1005,"Holdout")&gt;0,1,0)</x:f>
        <x:v>1</x:v>
      </x:c>
    </x:row>
    <x:row r="86">
      <x:c r="A86" s="114" t="n"/>
      <x:c r="B86" s="114" t="n"/>
      <x:c r="C86" s="114" t="n"/>
      <x:c r="D86" s="114" t="n"/>
      <x:c r="E86" s="114" t="n"/>
      <x:c r="F86" s="114" t="n"/>
      <x:c r="G86" s="114" t="n"/>
      <x:c r="H86" s="114" t="n"/>
      <x:c r="I86" s="114" t="str">
        <x:f>'Company Universe'!A86</x:f>
        <x:v>ARG-081</x:v>
      </x:c>
      <x:c r="J86" s="114" t="n">
        <x:f>COUNTIF('1000 Cycles'!$D$6:$D$1005,I86)</x:f>
        <x:v>10</x:v>
      </x:c>
      <x:c r="K86" s="114" t="n">
        <x:f>IF(COUNTIFS('1000 Cycles'!$D$6:$D$1005,I86,'1000 Cycles'!$B$6:$B$1005,"Development")&gt;0,1,0)+IF(COUNTIFS('1000 Cycles'!$D$6:$D$1005,I86,'1000 Cycles'!$B$6:$B$1005,"Validation")&gt;0,1,0)+IF(COUNTIFS('1000 Cycles'!$D$6:$D$1005,I86,'1000 Cycles'!$B$6:$B$1005,"Holdout")&gt;0,1,0)</x:f>
        <x:v>1</x:v>
      </x:c>
    </x:row>
    <x:row r="87">
      <x:c r="A87" s="114" t="n"/>
      <x:c r="B87" s="114" t="n"/>
      <x:c r="C87" s="114" t="n"/>
      <x:c r="D87" s="114" t="n"/>
      <x:c r="E87" s="114" t="n"/>
      <x:c r="F87" s="114" t="n"/>
      <x:c r="G87" s="114" t="n"/>
      <x:c r="H87" s="114" t="n"/>
      <x:c r="I87" s="114" t="str">
        <x:f>'Company Universe'!A87</x:f>
        <x:v>ARG-082</x:v>
      </x:c>
      <x:c r="J87" s="114" t="n">
        <x:f>COUNTIF('1000 Cycles'!$D$6:$D$1005,I87)</x:f>
        <x:v>10</x:v>
      </x:c>
      <x:c r="K87" s="114" t="n">
        <x:f>IF(COUNTIFS('1000 Cycles'!$D$6:$D$1005,I87,'1000 Cycles'!$B$6:$B$1005,"Development")&gt;0,1,0)+IF(COUNTIFS('1000 Cycles'!$D$6:$D$1005,I87,'1000 Cycles'!$B$6:$B$1005,"Validation")&gt;0,1,0)+IF(COUNTIFS('1000 Cycles'!$D$6:$D$1005,I87,'1000 Cycles'!$B$6:$B$1005,"Holdout")&gt;0,1,0)</x:f>
        <x:v>1</x:v>
      </x:c>
    </x:row>
    <x:row r="88">
      <x:c r="A88" s="114" t="n"/>
      <x:c r="B88" s="114" t="n"/>
      <x:c r="C88" s="114" t="n"/>
      <x:c r="D88" s="114" t="n"/>
      <x:c r="E88" s="114" t="n"/>
      <x:c r="F88" s="114" t="n"/>
      <x:c r="G88" s="114" t="n"/>
      <x:c r="H88" s="114" t="n"/>
      <x:c r="I88" s="114" t="str">
        <x:f>'Company Universe'!A88</x:f>
        <x:v>ARG-083</x:v>
      </x:c>
      <x:c r="J88" s="114" t="n">
        <x:f>COUNTIF('1000 Cycles'!$D$6:$D$1005,I88)</x:f>
        <x:v>10</x:v>
      </x:c>
      <x:c r="K88" s="114" t="n">
        <x:f>IF(COUNTIFS('1000 Cycles'!$D$6:$D$1005,I88,'1000 Cycles'!$B$6:$B$1005,"Development")&gt;0,1,0)+IF(COUNTIFS('1000 Cycles'!$D$6:$D$1005,I88,'1000 Cycles'!$B$6:$B$1005,"Validation")&gt;0,1,0)+IF(COUNTIFS('1000 Cycles'!$D$6:$D$1005,I88,'1000 Cycles'!$B$6:$B$1005,"Holdout")&gt;0,1,0)</x:f>
        <x:v>1</x:v>
      </x:c>
    </x:row>
    <x:row r="89">
      <x:c r="A89" s="114" t="n"/>
      <x:c r="B89" s="114" t="n"/>
      <x:c r="C89" s="114" t="n"/>
      <x:c r="D89" s="114" t="n"/>
      <x:c r="E89" s="114" t="n"/>
      <x:c r="F89" s="114" t="n"/>
      <x:c r="G89" s="114" t="n"/>
      <x:c r="H89" s="114" t="n"/>
      <x:c r="I89" s="114" t="str">
        <x:f>'Company Universe'!A89</x:f>
        <x:v>ARG-084</x:v>
      </x:c>
      <x:c r="J89" s="114" t="n">
        <x:f>COUNTIF('1000 Cycles'!$D$6:$D$1005,I89)</x:f>
        <x:v>10</x:v>
      </x:c>
      <x:c r="K89" s="114" t="n">
        <x:f>IF(COUNTIFS('1000 Cycles'!$D$6:$D$1005,I89,'1000 Cycles'!$B$6:$B$1005,"Development")&gt;0,1,0)+IF(COUNTIFS('1000 Cycles'!$D$6:$D$1005,I89,'1000 Cycles'!$B$6:$B$1005,"Validation")&gt;0,1,0)+IF(COUNTIFS('1000 Cycles'!$D$6:$D$1005,I89,'1000 Cycles'!$B$6:$B$1005,"Holdout")&gt;0,1,0)</x:f>
        <x:v>1</x:v>
      </x:c>
    </x:row>
    <x:row r="90">
      <x:c r="A90" s="114" t="n"/>
      <x:c r="B90" s="114" t="n"/>
      <x:c r="C90" s="114" t="n"/>
      <x:c r="D90" s="114" t="n"/>
      <x:c r="E90" s="114" t="n"/>
      <x:c r="F90" s="114" t="n"/>
      <x:c r="G90" s="114" t="n"/>
      <x:c r="H90" s="114" t="n"/>
      <x:c r="I90" s="114" t="str">
        <x:f>'Company Universe'!A90</x:f>
        <x:v>ARG-085</x:v>
      </x:c>
      <x:c r="J90" s="114" t="n">
        <x:f>COUNTIF('1000 Cycles'!$D$6:$D$1005,I90)</x:f>
        <x:v>10</x:v>
      </x:c>
      <x:c r="K90" s="114" t="n">
        <x:f>IF(COUNTIFS('1000 Cycles'!$D$6:$D$1005,I90,'1000 Cycles'!$B$6:$B$1005,"Development")&gt;0,1,0)+IF(COUNTIFS('1000 Cycles'!$D$6:$D$1005,I90,'1000 Cycles'!$B$6:$B$1005,"Validation")&gt;0,1,0)+IF(COUNTIFS('1000 Cycles'!$D$6:$D$1005,I90,'1000 Cycles'!$B$6:$B$1005,"Holdout")&gt;0,1,0)</x:f>
        <x:v>1</x:v>
      </x:c>
    </x:row>
    <x:row r="91">
      <x:c r="A91" s="114" t="n"/>
      <x:c r="B91" s="114" t="n"/>
      <x:c r="C91" s="114" t="n"/>
      <x:c r="D91" s="114" t="n"/>
      <x:c r="E91" s="114" t="n"/>
      <x:c r="F91" s="114" t="n"/>
      <x:c r="G91" s="114" t="n"/>
      <x:c r="H91" s="114" t="n"/>
      <x:c r="I91" s="114" t="str">
        <x:f>'Company Universe'!A91</x:f>
        <x:v>ARG-086</x:v>
      </x:c>
      <x:c r="J91" s="114" t="n">
        <x:f>COUNTIF('1000 Cycles'!$D$6:$D$1005,I91)</x:f>
        <x:v>10</x:v>
      </x:c>
      <x:c r="K91" s="114" t="n">
        <x:f>IF(COUNTIFS('1000 Cycles'!$D$6:$D$1005,I91,'1000 Cycles'!$B$6:$B$1005,"Development")&gt;0,1,0)+IF(COUNTIFS('1000 Cycles'!$D$6:$D$1005,I91,'1000 Cycles'!$B$6:$B$1005,"Validation")&gt;0,1,0)+IF(COUNTIFS('1000 Cycles'!$D$6:$D$1005,I91,'1000 Cycles'!$B$6:$B$1005,"Holdout")&gt;0,1,0)</x:f>
        <x:v>1</x:v>
      </x:c>
    </x:row>
    <x:row r="92">
      <x:c r="A92" s="114" t="n"/>
      <x:c r="B92" s="114" t="n"/>
      <x:c r="C92" s="114" t="n"/>
      <x:c r="D92" s="114" t="n"/>
      <x:c r="E92" s="114" t="n"/>
      <x:c r="F92" s="114" t="n"/>
      <x:c r="G92" s="114" t="n"/>
      <x:c r="H92" s="114" t="n"/>
      <x:c r="I92" s="114" t="str">
        <x:f>'Company Universe'!A92</x:f>
        <x:v>ARG-087</x:v>
      </x:c>
      <x:c r="J92" s="114" t="n">
        <x:f>COUNTIF('1000 Cycles'!$D$6:$D$1005,I92)</x:f>
        <x:v>10</x:v>
      </x:c>
      <x:c r="K92" s="114" t="n">
        <x:f>IF(COUNTIFS('1000 Cycles'!$D$6:$D$1005,I92,'1000 Cycles'!$B$6:$B$1005,"Development")&gt;0,1,0)+IF(COUNTIFS('1000 Cycles'!$D$6:$D$1005,I92,'1000 Cycles'!$B$6:$B$1005,"Validation")&gt;0,1,0)+IF(COUNTIFS('1000 Cycles'!$D$6:$D$1005,I92,'1000 Cycles'!$B$6:$B$1005,"Holdout")&gt;0,1,0)</x:f>
        <x:v>1</x:v>
      </x:c>
    </x:row>
    <x:row r="93">
      <x:c r="A93" s="114" t="n"/>
      <x:c r="B93" s="114" t="n"/>
      <x:c r="C93" s="114" t="n"/>
      <x:c r="D93" s="114" t="n"/>
      <x:c r="E93" s="114" t="n"/>
      <x:c r="F93" s="114" t="n"/>
      <x:c r="G93" s="114" t="n"/>
      <x:c r="H93" s="114" t="n"/>
      <x:c r="I93" s="114" t="str">
        <x:f>'Company Universe'!A93</x:f>
        <x:v>ARG-088</x:v>
      </x:c>
      <x:c r="J93" s="114" t="n">
        <x:f>COUNTIF('1000 Cycles'!$D$6:$D$1005,I93)</x:f>
        <x:v>10</x:v>
      </x:c>
      <x:c r="K93" s="114" t="n">
        <x:f>IF(COUNTIFS('1000 Cycles'!$D$6:$D$1005,I93,'1000 Cycles'!$B$6:$B$1005,"Development")&gt;0,1,0)+IF(COUNTIFS('1000 Cycles'!$D$6:$D$1005,I93,'1000 Cycles'!$B$6:$B$1005,"Validation")&gt;0,1,0)+IF(COUNTIFS('1000 Cycles'!$D$6:$D$1005,I93,'1000 Cycles'!$B$6:$B$1005,"Holdout")&gt;0,1,0)</x:f>
        <x:v>1</x:v>
      </x:c>
    </x:row>
    <x:row r="94">
      <x:c r="A94" s="114" t="n"/>
      <x:c r="B94" s="114" t="n"/>
      <x:c r="C94" s="114" t="n"/>
      <x:c r="D94" s="114" t="n"/>
      <x:c r="E94" s="114" t="n"/>
      <x:c r="F94" s="114" t="n"/>
      <x:c r="G94" s="114" t="n"/>
      <x:c r="H94" s="114" t="n"/>
      <x:c r="I94" s="114" t="str">
        <x:f>'Company Universe'!A94</x:f>
        <x:v>ARG-089</x:v>
      </x:c>
      <x:c r="J94" s="114" t="n">
        <x:f>COUNTIF('1000 Cycles'!$D$6:$D$1005,I94)</x:f>
        <x:v>10</x:v>
      </x:c>
      <x:c r="K94" s="114" t="n">
        <x:f>IF(COUNTIFS('1000 Cycles'!$D$6:$D$1005,I94,'1000 Cycles'!$B$6:$B$1005,"Development")&gt;0,1,0)+IF(COUNTIFS('1000 Cycles'!$D$6:$D$1005,I94,'1000 Cycles'!$B$6:$B$1005,"Validation")&gt;0,1,0)+IF(COUNTIFS('1000 Cycles'!$D$6:$D$1005,I94,'1000 Cycles'!$B$6:$B$1005,"Holdout")&gt;0,1,0)</x:f>
        <x:v>1</x:v>
      </x:c>
    </x:row>
    <x:row r="95">
      <x:c r="A95" s="114" t="n"/>
      <x:c r="B95" s="114" t="n"/>
      <x:c r="C95" s="114" t="n"/>
      <x:c r="D95" s="114" t="n"/>
      <x:c r="E95" s="114" t="n"/>
      <x:c r="F95" s="114" t="n"/>
      <x:c r="G95" s="114" t="n"/>
      <x:c r="H95" s="114" t="n"/>
      <x:c r="I95" s="114" t="str">
        <x:f>'Company Universe'!A95</x:f>
        <x:v>ARG-090</x:v>
      </x:c>
      <x:c r="J95" s="114" t="n">
        <x:f>COUNTIF('1000 Cycles'!$D$6:$D$1005,I95)</x:f>
        <x:v>10</x:v>
      </x:c>
      <x:c r="K95" s="114" t="n">
        <x:f>IF(COUNTIFS('1000 Cycles'!$D$6:$D$1005,I95,'1000 Cycles'!$B$6:$B$1005,"Development")&gt;0,1,0)+IF(COUNTIFS('1000 Cycles'!$D$6:$D$1005,I95,'1000 Cycles'!$B$6:$B$1005,"Validation")&gt;0,1,0)+IF(COUNTIFS('1000 Cycles'!$D$6:$D$1005,I95,'1000 Cycles'!$B$6:$B$1005,"Holdout")&gt;0,1,0)</x:f>
        <x:v>1</x:v>
      </x:c>
    </x:row>
    <x:row r="96">
      <x:c r="A96" s="114" t="n"/>
      <x:c r="B96" s="114" t="n"/>
      <x:c r="C96" s="114" t="n"/>
      <x:c r="D96" s="114" t="n"/>
      <x:c r="E96" s="114" t="n"/>
      <x:c r="F96" s="114" t="n"/>
      <x:c r="G96" s="114" t="n"/>
      <x:c r="H96" s="114" t="n"/>
      <x:c r="I96" s="114" t="str">
        <x:f>'Company Universe'!A96</x:f>
        <x:v>ARG-091</x:v>
      </x:c>
      <x:c r="J96" s="114" t="n">
        <x:f>COUNTIF('1000 Cycles'!$D$6:$D$1005,I96)</x:f>
        <x:v>10</x:v>
      </x:c>
      <x:c r="K96" s="114" t="n">
        <x:f>IF(COUNTIFS('1000 Cycles'!$D$6:$D$1005,I96,'1000 Cycles'!$B$6:$B$1005,"Development")&gt;0,1,0)+IF(COUNTIFS('1000 Cycles'!$D$6:$D$1005,I96,'1000 Cycles'!$B$6:$B$1005,"Validation")&gt;0,1,0)+IF(COUNTIFS('1000 Cycles'!$D$6:$D$1005,I96,'1000 Cycles'!$B$6:$B$1005,"Holdout")&gt;0,1,0)</x:f>
        <x:v>1</x:v>
      </x:c>
    </x:row>
    <x:row r="97">
      <x:c r="A97" s="114" t="n"/>
      <x:c r="B97" s="114" t="n"/>
      <x:c r="C97" s="114" t="n"/>
      <x:c r="D97" s="114" t="n"/>
      <x:c r="E97" s="114" t="n"/>
      <x:c r="F97" s="114" t="n"/>
      <x:c r="G97" s="114" t="n"/>
      <x:c r="H97" s="114" t="n"/>
      <x:c r="I97" s="114" t="str">
        <x:f>'Company Universe'!A97</x:f>
        <x:v>ARG-092</x:v>
      </x:c>
      <x:c r="J97" s="114" t="n">
        <x:f>COUNTIF('1000 Cycles'!$D$6:$D$1005,I97)</x:f>
        <x:v>10</x:v>
      </x:c>
      <x:c r="K97" s="114" t="n">
        <x:f>IF(COUNTIFS('1000 Cycles'!$D$6:$D$1005,I97,'1000 Cycles'!$B$6:$B$1005,"Development")&gt;0,1,0)+IF(COUNTIFS('1000 Cycles'!$D$6:$D$1005,I97,'1000 Cycles'!$B$6:$B$1005,"Validation")&gt;0,1,0)+IF(COUNTIFS('1000 Cycles'!$D$6:$D$1005,I97,'1000 Cycles'!$B$6:$B$1005,"Holdout")&gt;0,1,0)</x:f>
        <x:v>1</x:v>
      </x:c>
    </x:row>
    <x:row r="98">
      <x:c r="A98" s="114" t="n"/>
      <x:c r="B98" s="114" t="n"/>
      <x:c r="C98" s="114" t="n"/>
      <x:c r="D98" s="114" t="n"/>
      <x:c r="E98" s="114" t="n"/>
      <x:c r="F98" s="114" t="n"/>
      <x:c r="G98" s="114" t="n"/>
      <x:c r="H98" s="114" t="n"/>
      <x:c r="I98" s="114" t="str">
        <x:f>'Company Universe'!A98</x:f>
        <x:v>ARG-093</x:v>
      </x:c>
      <x:c r="J98" s="114" t="n">
        <x:f>COUNTIF('1000 Cycles'!$D$6:$D$1005,I98)</x:f>
        <x:v>10</x:v>
      </x:c>
      <x:c r="K98" s="114" t="n">
        <x:f>IF(COUNTIFS('1000 Cycles'!$D$6:$D$1005,I98,'1000 Cycles'!$B$6:$B$1005,"Development")&gt;0,1,0)+IF(COUNTIFS('1000 Cycles'!$D$6:$D$1005,I98,'1000 Cycles'!$B$6:$B$1005,"Validation")&gt;0,1,0)+IF(COUNTIFS('1000 Cycles'!$D$6:$D$1005,I98,'1000 Cycles'!$B$6:$B$1005,"Holdout")&gt;0,1,0)</x:f>
        <x:v>1</x:v>
      </x:c>
    </x:row>
    <x:row r="99">
      <x:c r="A99" s="114" t="n"/>
      <x:c r="B99" s="114" t="n"/>
      <x:c r="C99" s="114" t="n"/>
      <x:c r="D99" s="114" t="n"/>
      <x:c r="E99" s="114" t="n"/>
      <x:c r="F99" s="114" t="n"/>
      <x:c r="G99" s="114" t="n"/>
      <x:c r="H99" s="114" t="n"/>
      <x:c r="I99" s="114" t="str">
        <x:f>'Company Universe'!A99</x:f>
        <x:v>ARG-094</x:v>
      </x:c>
      <x:c r="J99" s="114" t="n">
        <x:f>COUNTIF('1000 Cycles'!$D$6:$D$1005,I99)</x:f>
        <x:v>10</x:v>
      </x:c>
      <x:c r="K99" s="114" t="n">
        <x:f>IF(COUNTIFS('1000 Cycles'!$D$6:$D$1005,I99,'1000 Cycles'!$B$6:$B$1005,"Development")&gt;0,1,0)+IF(COUNTIFS('1000 Cycles'!$D$6:$D$1005,I99,'1000 Cycles'!$B$6:$B$1005,"Validation")&gt;0,1,0)+IF(COUNTIFS('1000 Cycles'!$D$6:$D$1005,I99,'1000 Cycles'!$B$6:$B$1005,"Holdout")&gt;0,1,0)</x:f>
        <x:v>1</x:v>
      </x:c>
    </x:row>
    <x:row r="100">
      <x:c r="A100" s="114" t="n"/>
      <x:c r="B100" s="114" t="n"/>
      <x:c r="C100" s="114" t="n"/>
      <x:c r="D100" s="114" t="n"/>
      <x:c r="E100" s="114" t="n"/>
      <x:c r="F100" s="114" t="n"/>
      <x:c r="G100" s="114" t="n"/>
      <x:c r="H100" s="114" t="n"/>
      <x:c r="I100" s="114" t="str">
        <x:f>'Company Universe'!A100</x:f>
        <x:v>ARG-095</x:v>
      </x:c>
      <x:c r="J100" s="114" t="n">
        <x:f>COUNTIF('1000 Cycles'!$D$6:$D$1005,I100)</x:f>
        <x:v>10</x:v>
      </x:c>
      <x:c r="K100" s="114" t="n">
        <x:f>IF(COUNTIFS('1000 Cycles'!$D$6:$D$1005,I100,'1000 Cycles'!$B$6:$B$1005,"Development")&gt;0,1,0)+IF(COUNTIFS('1000 Cycles'!$D$6:$D$1005,I100,'1000 Cycles'!$B$6:$B$1005,"Validation")&gt;0,1,0)+IF(COUNTIFS('1000 Cycles'!$D$6:$D$1005,I100,'1000 Cycles'!$B$6:$B$1005,"Holdout")&gt;0,1,0)</x:f>
        <x:v>1</x:v>
      </x:c>
    </x:row>
    <x:row r="101">
      <x:c r="A101" s="114" t="n"/>
      <x:c r="B101" s="114" t="n"/>
      <x:c r="C101" s="114" t="n"/>
      <x:c r="D101" s="114" t="n"/>
      <x:c r="E101" s="114" t="n"/>
      <x:c r="F101" s="114" t="n"/>
      <x:c r="G101" s="114" t="n"/>
      <x:c r="H101" s="114" t="n"/>
      <x:c r="I101" s="114" t="str">
        <x:f>'Company Universe'!A101</x:f>
        <x:v>ARG-096</x:v>
      </x:c>
      <x:c r="J101" s="114" t="n">
        <x:f>COUNTIF('1000 Cycles'!$D$6:$D$1005,I101)</x:f>
        <x:v>10</x:v>
      </x:c>
      <x:c r="K101" s="114" t="n">
        <x:f>IF(COUNTIFS('1000 Cycles'!$D$6:$D$1005,I101,'1000 Cycles'!$B$6:$B$1005,"Development")&gt;0,1,0)+IF(COUNTIFS('1000 Cycles'!$D$6:$D$1005,I101,'1000 Cycles'!$B$6:$B$1005,"Validation")&gt;0,1,0)+IF(COUNTIFS('1000 Cycles'!$D$6:$D$1005,I101,'1000 Cycles'!$B$6:$B$1005,"Holdout")&gt;0,1,0)</x:f>
        <x:v>1</x:v>
      </x:c>
    </x:row>
    <x:row r="102">
      <x:c r="A102" s="114" t="n"/>
      <x:c r="B102" s="114" t="n"/>
      <x:c r="C102" s="114" t="n"/>
      <x:c r="D102" s="114" t="n"/>
      <x:c r="E102" s="114" t="n"/>
      <x:c r="F102" s="114" t="n"/>
      <x:c r="G102" s="114" t="n"/>
      <x:c r="H102" s="114" t="n"/>
      <x:c r="I102" s="114" t="str">
        <x:f>'Company Universe'!A102</x:f>
        <x:v>ARG-097</x:v>
      </x:c>
      <x:c r="J102" s="114" t="n">
        <x:f>COUNTIF('1000 Cycles'!$D$6:$D$1005,I102)</x:f>
        <x:v>10</x:v>
      </x:c>
      <x:c r="K102" s="114" t="n">
        <x:f>IF(COUNTIFS('1000 Cycles'!$D$6:$D$1005,I102,'1000 Cycles'!$B$6:$B$1005,"Development")&gt;0,1,0)+IF(COUNTIFS('1000 Cycles'!$D$6:$D$1005,I102,'1000 Cycles'!$B$6:$B$1005,"Validation")&gt;0,1,0)+IF(COUNTIFS('1000 Cycles'!$D$6:$D$1005,I102,'1000 Cycles'!$B$6:$B$1005,"Holdout")&gt;0,1,0)</x:f>
        <x:v>1</x:v>
      </x:c>
    </x:row>
    <x:row r="103">
      <x:c r="A103" s="114" t="n"/>
      <x:c r="B103" s="114" t="n"/>
      <x:c r="C103" s="114" t="n"/>
      <x:c r="D103" s="114" t="n"/>
      <x:c r="E103" s="114" t="n"/>
      <x:c r="F103" s="114" t="n"/>
      <x:c r="G103" s="114" t="n"/>
      <x:c r="H103" s="114" t="n"/>
      <x:c r="I103" s="114" t="str">
        <x:f>'Company Universe'!A103</x:f>
        <x:v>ARG-098</x:v>
      </x:c>
      <x:c r="J103" s="114" t="n">
        <x:f>COUNTIF('1000 Cycles'!$D$6:$D$1005,I103)</x:f>
        <x:v>10</x:v>
      </x:c>
      <x:c r="K103" s="114" t="n">
        <x:f>IF(COUNTIFS('1000 Cycles'!$D$6:$D$1005,I103,'1000 Cycles'!$B$6:$B$1005,"Development")&gt;0,1,0)+IF(COUNTIFS('1000 Cycles'!$D$6:$D$1005,I103,'1000 Cycles'!$B$6:$B$1005,"Validation")&gt;0,1,0)+IF(COUNTIFS('1000 Cycles'!$D$6:$D$1005,I103,'1000 Cycles'!$B$6:$B$1005,"Holdout")&gt;0,1,0)</x:f>
        <x:v>1</x:v>
      </x:c>
    </x:row>
    <x:row r="104">
      <x:c r="A104" s="114" t="n"/>
      <x:c r="B104" s="114" t="n"/>
      <x:c r="C104" s="114" t="n"/>
      <x:c r="D104" s="114" t="n"/>
      <x:c r="E104" s="114" t="n"/>
      <x:c r="F104" s="114" t="n"/>
      <x:c r="G104" s="114" t="n"/>
      <x:c r="H104" s="114" t="n"/>
      <x:c r="I104" s="114" t="str">
        <x:f>'Company Universe'!A104</x:f>
        <x:v>ARG-099</x:v>
      </x:c>
      <x:c r="J104" s="114" t="n">
        <x:f>COUNTIF('1000 Cycles'!$D$6:$D$1005,I104)</x:f>
        <x:v>10</x:v>
      </x:c>
      <x:c r="K104" s="114" t="n">
        <x:f>IF(COUNTIFS('1000 Cycles'!$D$6:$D$1005,I104,'1000 Cycles'!$B$6:$B$1005,"Development")&gt;0,1,0)+IF(COUNTIFS('1000 Cycles'!$D$6:$D$1005,I104,'1000 Cycles'!$B$6:$B$1005,"Validation")&gt;0,1,0)+IF(COUNTIFS('1000 Cycles'!$D$6:$D$1005,I104,'1000 Cycles'!$B$6:$B$1005,"Holdout")&gt;0,1,0)</x:f>
        <x:v>1</x:v>
      </x:c>
    </x:row>
    <x:row r="105">
      <x:c r="A105" s="114" t="n"/>
      <x:c r="B105" s="114" t="n"/>
      <x:c r="C105" s="114" t="n"/>
      <x:c r="D105" s="114" t="n"/>
      <x:c r="E105" s="114" t="n"/>
      <x:c r="F105" s="114" t="n"/>
      <x:c r="G105" s="114" t="n"/>
      <x:c r="H105" s="114" t="n"/>
      <x:c r="I105" s="114" t="str">
        <x:f>'Company Universe'!A105</x:f>
        <x:v>ARG-100</x:v>
      </x:c>
      <x:c r="J105" s="114" t="n">
        <x:f>COUNTIF('1000 Cycles'!$D$6:$D$1005,I105)</x:f>
        <x:v>10</x:v>
      </x:c>
      <x:c r="K105" s="114" t="n">
        <x:f>IF(COUNTIFS('1000 Cycles'!$D$6:$D$1005,I105,'1000 Cycles'!$B$6:$B$1005,"Development")&gt;0,1,0)+IF(COUNTIFS('1000 Cycles'!$D$6:$D$1005,I105,'1000 Cycles'!$B$6:$B$1005,"Validation")&gt;0,1,0)+IF(COUNTIFS('1000 Cycles'!$D$6:$D$1005,I105,'1000 Cycles'!$B$6:$B$1005,"Holdout")&gt;0,1,0)</x:f>
        <x:v>1</x:v>
      </x:c>
    </x:row>
  </x:sheetData>
  <x:mergeCells>
    <x:mergeCell ref="A20:F20"/>
    <x:mergeCell ref="A2:G2"/>
    <x:mergeCell ref="A1:G1"/>
    <x:mergeCell ref="A21:F22"/>
  </x:mergeCells>
  <x:conditionalFormatting sqref="F6:F18">
    <x:cfRule type="containsText" dxfId="0" priority="1" operator="containsText" text="OK"/>
    <x:cfRule type="containsText" dxfId="3" priority="2" operator="containsText" text="FAIL"/>
  </x:conditionalFormatting>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1" style="139" customWidth="1"/>
    <x:col min="2" max="2" width="11" style="139" customWidth="1"/>
    <x:col min="3" max="3" width="22" style="139" customWidth="1"/>
    <x:col min="4" max="4" width="10" style="139" customWidth="1"/>
    <x:col min="5" max="5" width="22" style="139" customWidth="1"/>
    <x:col min="6" max="6" width="24" style="139" customWidth="1"/>
    <x:col min="7" max="7" width="10" style="139" customWidth="1"/>
    <x:col min="8" max="8" width="26" style="139" customWidth="1"/>
    <x:col min="9" max="9" width="24" style="139" customWidth="1"/>
    <x:col min="10" max="10" width="46" style="139" customWidth="1"/>
    <x:col min="11" max="11" width="44" style="139" customWidth="1"/>
    <x:col min="12" max="12" width="30" style="139" customWidth="1"/>
    <x:col min="13" max="13" width="28" style="139" customWidth="1"/>
    <x:col min="14" max="14" width="24" style="139" customWidth="1"/>
    <x:col min="15" max="15" width="18" style="139" customWidth="1"/>
    <x:col min="16" max="16" width="20" style="139" customWidth="1"/>
    <x:col min="17" max="17" width="44" style="139" customWidth="1"/>
    <x:col min="18" max="18" width="48" style="139" customWidth="1"/>
    <x:col min="19" max="19" width="20" style="139" customWidth="1"/>
    <x:col min="20" max="20" width="20" style="139" customWidth="1"/>
    <x:col min="21" max="21" width="16" style="139" customWidth="1"/>
    <x:col min="22" max="22" width="36" style="139" customWidth="1"/>
    <x:col min="23" max="23" width="18" style="139" customWidth="1"/>
    <x:col min="24" max="24" width="31" style="139" customWidth="1"/>
    <x:col min="25" max="25" width="46" style="139" customWidth="1"/>
  </x:cols>
  <x:sheetData>
    <x:row r="1" s="139" customFormat="1" ht="28" customHeight="1">
      <x:c r="A1" s="145" t="inlineStr">
        <x:is>
          <x:t xml:space="preserve">ARGUS V10.6 — 1,000 Model Improvement Loops</x:t>
        </x:is>
      </x:c>
    </x:row>
    <x:row r="2" s="139" customFormat="1" ht="34" customHeight="1">
      <x:c r="A2" s="148" t="inlineStr">
        <x:is>
          <x:t xml:space="preserve">960 synthetic/adversarial loops across the 60 Development companies (16 failure families each) + 40 abstract cross-sector interaction tests. Validation and Holdout companies were NOT used.</x:t>
        </x:is>
      </x:c>
    </x:row>
    <x:row r="3" s="139" customFormat="1" ht="40" customHeight="1">
      <x:c r="A3" s="151" t="inlineStr">
        <x:is>
          <x:t xml:space="preserve">CRITICAL: These are model-development stress tests, not historical outcomes. Empirical Accuracy Credit = NO for every row. The existing historical reconstruction register remains separate; authorization remains blocked until prospective Validation + locked Holdout.</x:t>
        </x:is>
      </x:c>
    </x:row>
    <x:row r="5" s="139" customFormat="1" ht="34" customHeight="1">
      <x:c r="A5" s="157" t="inlineStr">
        <x:is>
          <x:t xml:space="preserve">Loop ID</x:t>
        </x:is>
      </x:c>
      <x:c r="B5" s="157" t="inlineStr">
        <x:is>
          <x:t xml:space="preserve">Company ID</x:t>
        </x:is>
      </x:c>
      <x:c r="C5" s="157" t="inlineStr">
        <x:is>
          <x:t xml:space="preserve">Company</x:t>
        </x:is>
      </x:c>
      <x:c r="D5" s="157" t="inlineStr">
        <x:is>
          <x:t xml:space="preserve">Ticker</x:t>
        </x:is>
      </x:c>
      <x:c r="E5" s="157" t="inlineStr">
        <x:is>
          <x:t xml:space="preserve">Sector</x:t>
        </x:is>
      </x:c>
      <x:c r="F5" s="157" t="inlineStr">
        <x:is>
          <x:t xml:space="preserve">Cohort</x:t>
        </x:is>
      </x:c>
      <x:c r="G5" s="157" t="inlineStr">
        <x:is>
          <x:t xml:space="preserve">Scenario ID</x:t>
        </x:is>
      </x:c>
      <x:c r="H5" s="157" t="inlineStr">
        <x:is>
          <x:t xml:space="preserve">Scenario Family</x:t>
        </x:is>
      </x:c>
      <x:c r="I5" s="157" t="inlineStr">
        <x:is>
          <x:t xml:space="preserve">Failure Class</x:t>
        </x:is>
      </x:c>
      <x:c r="J5" s="157" t="inlineStr">
        <x:is>
          <x:t xml:space="preserve">Stress / Counterfactual</x:t>
        </x:is>
      </x:c>
      <x:c r="K5" s="157" t="inlineStr">
        <x:is>
          <x:t xml:space="preserve">Business Engine</x:t>
        </x:is>
      </x:c>
      <x:c r="L5" s="157" t="inlineStr">
        <x:is>
          <x:t xml:space="preserve">Valuation Lens</x:t>
        </x:is>
      </x:c>
      <x:c r="M5" s="157" t="inlineStr">
        <x:is>
          <x:t xml:space="preserve">Frozen V10 / Current Decision</x:t>
        </x:is>
      </x:c>
      <x:c r="N5" s="157" t="inlineStr">
        <x:is>
          <x:t xml:space="preserve">Rule Tested</x:t>
        </x:is>
      </x:c>
      <x:c r="O5" s="157" t="inlineStr">
        <x:is>
          <x:t xml:space="preserve">Pre-Test Rule Stage</x:t>
        </x:is>
      </x:c>
      <x:c r="P5" s="157" t="inlineStr">
        <x:is>
          <x:t xml:space="preserve">Result</x:t>
        </x:is>
      </x:c>
      <x:c r="Q5" s="157" t="inlineStr">
        <x:is>
          <x:t xml:space="preserve">Feedback</x:t>
        </x:is>
      </x:c>
      <x:c r="R5" s="157" t="inlineStr">
        <x:is>
          <x:t xml:space="preserve">Improvement Candidate</x:t>
        </x:is>
      </x:c>
      <x:c r="S5" s="157" t="inlineStr">
        <x:is>
          <x:t xml:space="preserve">Change Applied?</x:t>
        </x:is>
      </x:c>
      <x:c r="T5" s="157" t="inlineStr">
        <x:is>
          <x:t xml:space="preserve">Post-Test Rule Stage</x:t>
        </x:is>
      </x:c>
      <x:c r="U5" s="157" t="inlineStr">
        <x:is>
          <x:t xml:space="preserve">Model Version</x:t>
        </x:is>
      </x:c>
      <x:c r="V5" s="157" t="inlineStr">
        <x:is>
          <x:t xml:space="preserve">Source / Basis</x:t>
        </x:is>
      </x:c>
      <x:c r="W5" s="157" t="inlineStr">
        <x:is>
          <x:t xml:space="preserve">Empirical Accuracy Credit</x:t>
        </x:is>
      </x:c>
      <x:c r="X5" s="157" t="inlineStr">
        <x:is>
          <x:t xml:space="preserve">Validation Contamination</x:t>
        </x:is>
      </x:c>
      <x:c r="Y5" s="157" t="inlineStr">
        <x:is>
          <x:t xml:space="preserve">Notes</x:t>
        </x:is>
      </x:c>
    </x:row>
    <x:row r="6">
      <x:c r="A6" s="160" t="inlineStr">
        <x:is>
          <x:t xml:space="preserve">ML0001</x:t>
        </x:is>
      </x:c>
      <x:c r="B6" s="160" t="inlineStr">
        <x:is>
          <x:t xml:space="preserve">ARG-001</x:t>
        </x:is>
      </x:c>
      <x:c r="C6" s="160" t="inlineStr">
        <x:is>
          <x:t xml:space="preserve">IonQ</x:t>
        </x:is>
      </x:c>
      <x:c r="D6" s="160" t="inlineStr">
        <x:is>
          <x:t xml:space="preserve">IONQ</x:t>
        </x:is>
      </x:c>
      <x:c r="E6" s="160" t="inlineStr">
        <x:is>
          <x:t xml:space="preserve">Quantum Computing</x:t>
        </x:is>
      </x:c>
      <x:c r="F6" s="160" t="inlineStr">
        <x:is>
          <x:t xml:space="preserve">Development</x:t>
        </x:is>
      </x:c>
      <x:c r="G6" s="160" t="inlineStr">
        <x:is>
          <x:t xml:space="preserve">S01</x:t>
        </x:is>
      </x:c>
      <x:c r="H6" s="160" t="inlineStr">
        <x:is>
          <x:t xml:space="preserve">Understanding Gate</x:t>
        </x:is>
      </x:c>
      <x:c r="I6" s="160" t="inlineStr">
        <x:is>
          <x:t xml:space="preserve">Understanding</x:t>
        </x:is>
      </x:c>
      <x:c r="J6" s="160" t="inlineStr">
        <x:is>
          <x:t xml:space="preserve">Causal engine / customer ROI chain breaks under a misleading headline KPI.</x:t>
        </x:is>
      </x:c>
      <x:c r="K6" s="160" t="inlineStr">
        <x:is>
          <x:t xml:space="preserve">System/cloud access and services around trapped-ion performance</x:t>
        </x:is>
      </x:c>
      <x:c r="L6" s="160" t="inlineStr">
        <x:is>
          <x:t xml:space="preserve">Milestone scenarios + runway</x:t>
        </x:is>
      </x:c>
      <x:c r="M6" s="160" t="inlineStr">
        <x:is>
          <x:t xml:space="preserve">WAIT FOR PRICE</x:t>
        </x:is>
      </x:c>
      <x:c r="N6" s="160" t="inlineStr">
        <x:is>
          <x:t xml:space="preserve">R-ENG-01</x:t>
        </x:is>
      </x:c>
      <x:c r="O6" s="160" t="inlineStr">
        <x:is>
          <x:t xml:space="preserve">UNFORMED</x:t>
        </x:is>
      </x:c>
      <x:c r="P6" s="160" t="inlineStr">
        <x:is>
          <x:t xml:space="preserve">WEAKNESS EXPOSED</x:t>
        </x:is>
      </x:c>
      <x:c r="Q6" s="160" t="inlineStr">
        <x:is>
          <x:t xml:space="preserve">The frozen V10 gate family is directionally right, but the test lacks a sufficiently explicit mechanical implementation.</x:t>
        </x:is>
      </x:c>
      <x:c r="R6" s="160" t="inlineStr">
        <x:is>
          <x:t xml:space="preserve">Force an explicit engine tree: customer job → unit economics → revenue driver → owner-value bridge.</x:t>
        </x:is>
      </x:c>
      <x:c r="S6" s="160" t="inlineStr">
        <x:is>
          <x:t xml:space="preserve">NO</x:t>
        </x:is>
      </x:c>
      <x:c r="T6" s="160" t="inlineStr">
        <x:is>
          <x:t xml:space="preserve">UNFORMED</x:t>
        </x:is>
      </x:c>
      <x:c r="U6" s="160" t="inlineStr">
        <x:is>
          <x:t xml:space="preserve">V10.5-SIM00</x:t>
        </x:is>
      </x:c>
      <x:c r="V6" s="160" t="inlineStr">
        <x:is>
          <x:t xml:space="preserve">https://investors.ionq.com</x:t>
        </x:is>
      </x:c>
      <x:c r="W6" s="160" t="inlineStr">
        <x:is>
          <x:t xml:space="preserve">NO</x:t>
        </x:is>
      </x:c>
      <x:c r="X6" s="160" t="inlineStr">
        <x:is>
          <x:t xml:space="preserve">NONE — DEVELOPMENT ONLY</x:t>
        </x:is>
      </x:c>
      <x:c r="Y6" s="160" t="inlineStr">
        <x:is>
          <x:t xml:space="preserve">Synthetic/adversarial model-development loop. No historical outcome is claimed; no accuracy point is awarded.</x:t>
        </x:is>
      </x:c>
    </x:row>
    <x:row r="7">
      <x:c r="A7" s="160" t="inlineStr">
        <x:is>
          <x:t xml:space="preserve">ML0002</x:t>
        </x:is>
      </x:c>
      <x:c r="B7" s="160" t="inlineStr">
        <x:is>
          <x:t xml:space="preserve">ARG-001</x:t>
        </x:is>
      </x:c>
      <x:c r="C7" s="160" t="inlineStr">
        <x:is>
          <x:t xml:space="preserve">IonQ</x:t>
        </x:is>
      </x:c>
      <x:c r="D7" s="160" t="inlineStr">
        <x:is>
          <x:t xml:space="preserve">IONQ</x:t>
        </x:is>
      </x:c>
      <x:c r="E7" s="160" t="inlineStr">
        <x:is>
          <x:t xml:space="preserve">Quantum Computing</x:t>
        </x:is>
      </x:c>
      <x:c r="F7" s="160" t="inlineStr">
        <x:is>
          <x:t xml:space="preserve">Development</x:t>
        </x:is>
      </x:c>
      <x:c r="G7" s="160" t="inlineStr">
        <x:is>
          <x:t xml:space="preserve">S02</x:t>
        </x:is>
      </x:c>
      <x:c r="H7" s="160" t="inlineStr">
        <x:is>
          <x:t xml:space="preserve">Owner Earnings Normalization</x:t>
        </x:is>
      </x:c>
      <x:c r="I7" s="160" t="inlineStr">
        <x:is>
          <x:t xml:space="preserve">Owner Earnings</x:t>
        </x:is>
      </x:c>
      <x:c r="J7" s="160" t="inlineStr">
        <x:is>
          <x:t xml:space="preserve">Reported earnings/FCF overstates economic cash because recurring reinvestment or non-cash compensation is misclassified.</x:t>
        </x:is>
      </x:c>
      <x:c r="K7" s="160" t="inlineStr">
        <x:is>
          <x:t xml:space="preserve">System/cloud access and services around trapped-ion performance</x:t>
        </x:is>
      </x:c>
      <x:c r="L7" s="160" t="inlineStr">
        <x:is>
          <x:t xml:space="preserve">Milestone scenarios + runway</x:t>
        </x:is>
      </x:c>
      <x:c r="M7" s="160" t="inlineStr">
        <x:is>
          <x:t xml:space="preserve">WAIT FOR PRICE</x:t>
        </x:is>
      </x:c>
      <x:c r="N7" s="160" t="inlineStr">
        <x:is>
          <x:t xml:space="preserve">R-OE-01</x:t>
        </x:is>
      </x:c>
      <x:c r="O7" s="160" t="inlineStr">
        <x:is>
          <x:t xml:space="preserve">UNFORMED</x:t>
        </x:is>
      </x:c>
      <x:c r="P7" s="160" t="inlineStr">
        <x:is>
          <x:t xml:space="preserve">WEAKNESS EXPOSED</x:t>
        </x:is>
      </x:c>
      <x:c r="Q7" s="160" t="inlineStr">
        <x:is>
          <x:t xml:space="preserve">The frozen V10 gate family is directionally right, but the test lacks a sufficiently explicit mechanical implementation.</x:t>
        </x:is>
      </x:c>
      <x:c r="R7" s="160" t="inlineStr">
        <x:is>
          <x:t xml:space="preserve">Require a GAAP-to-economic-owner-cash bridge tailored to the business model.</x:t>
        </x:is>
      </x:c>
      <x:c r="S7" s="160" t="inlineStr">
        <x:is>
          <x:t xml:space="preserve">NO</x:t>
        </x:is>
      </x:c>
      <x:c r="T7" s="160" t="inlineStr">
        <x:is>
          <x:t xml:space="preserve">UNFORMED</x:t>
        </x:is>
      </x:c>
      <x:c r="U7" s="160" t="inlineStr">
        <x:is>
          <x:t xml:space="preserve">V10.5-SIM00</x:t>
        </x:is>
      </x:c>
      <x:c r="V7" s="160" t="inlineStr">
        <x:is>
          <x:t xml:space="preserve">https://investors.ionq.com</x:t>
        </x:is>
      </x:c>
      <x:c r="W7" s="160" t="inlineStr">
        <x:is>
          <x:t xml:space="preserve">NO</x:t>
        </x:is>
      </x:c>
      <x:c r="X7" s="160" t="inlineStr">
        <x:is>
          <x:t xml:space="preserve">NONE — DEVELOPMENT ONLY</x:t>
        </x:is>
      </x:c>
      <x:c r="Y7" s="160" t="inlineStr">
        <x:is>
          <x:t xml:space="preserve">Synthetic/adversarial model-development loop. No historical outcome is claimed; no accuracy point is awarded.</x:t>
        </x:is>
      </x:c>
    </x:row>
    <x:row r="8">
      <x:c r="A8" s="160" t="inlineStr">
        <x:is>
          <x:t xml:space="preserve">ML0003</x:t>
        </x:is>
      </x:c>
      <x:c r="B8" s="160" t="inlineStr">
        <x:is>
          <x:t xml:space="preserve">ARG-001</x:t>
        </x:is>
      </x:c>
      <x:c r="C8" s="160" t="inlineStr">
        <x:is>
          <x:t xml:space="preserve">IonQ</x:t>
        </x:is>
      </x:c>
      <x:c r="D8" s="160" t="inlineStr">
        <x:is>
          <x:t xml:space="preserve">IONQ</x:t>
        </x:is>
      </x:c>
      <x:c r="E8" s="160" t="inlineStr">
        <x:is>
          <x:t xml:space="preserve">Quantum Computing</x:t>
        </x:is>
      </x:c>
      <x:c r="F8" s="160" t="inlineStr">
        <x:is>
          <x:t xml:space="preserve">Development</x:t>
        </x:is>
      </x:c>
      <x:c r="G8" s="160" t="inlineStr">
        <x:is>
          <x:t xml:space="preserve">S03</x:t>
        </x:is>
      </x:c>
      <x:c r="H8" s="160" t="inlineStr">
        <x:is>
          <x:t xml:space="preserve">Moat Durability</x:t>
        </x:is>
      </x:c>
      <x:c r="I8" s="160" t="inlineStr">
        <x:is>
          <x:t xml:space="preserve">Moat 2036</x:t>
        </x:is>
      </x:c>
      <x:c r="J8" s="160" t="inlineStr">
        <x:is>
          <x:t xml:space="preserve">Growth continues while switching friction, pricing power or replacement difficulty quietly weakens.</x:t>
        </x:is>
      </x:c>
      <x:c r="K8" s="160" t="inlineStr">
        <x:is>
          <x:t xml:space="preserve">System/cloud access and services around trapped-ion performance</x:t>
        </x:is>
      </x:c>
      <x:c r="L8" s="160" t="inlineStr">
        <x:is>
          <x:t xml:space="preserve">Milestone scenarios + runway</x:t>
        </x:is>
      </x:c>
      <x:c r="M8" s="160" t="inlineStr">
        <x:is>
          <x:t xml:space="preserve">WAIT FOR PRICE</x:t>
        </x:is>
      </x:c>
      <x:c r="N8" s="160" t="inlineStr">
        <x:is>
          <x:t xml:space="preserve">R-MOAT-01</x:t>
        </x:is>
      </x:c>
      <x:c r="O8" s="160" t="inlineStr">
        <x:is>
          <x:t xml:space="preserve">UNFORMED</x:t>
        </x:is>
      </x:c>
      <x:c r="P8" s="160" t="inlineStr">
        <x:is>
          <x:t xml:space="preserve">WEAKNESS EXPOSED</x:t>
        </x:is>
      </x:c>
      <x:c r="Q8" s="160" t="inlineStr">
        <x:is>
          <x:t xml:space="preserve">The frozen V10 gate family is directionally right, but the test lacks a sufficiently explicit mechanical implementation.</x:t>
        </x:is>
      </x:c>
      <x:c r="R8" s="160" t="inlineStr">
        <x:is>
          <x:t xml:space="preserve">Track moat telemetry separately from growth: retention, pricing, win/loss, replacement friction, installed-base behavior.</x:t>
        </x:is>
      </x:c>
      <x:c r="S8" s="160" t="inlineStr">
        <x:is>
          <x:t xml:space="preserve">NO</x:t>
        </x:is>
      </x:c>
      <x:c r="T8" s="160" t="inlineStr">
        <x:is>
          <x:t xml:space="preserve">UNFORMED</x:t>
        </x:is>
      </x:c>
      <x:c r="U8" s="160" t="inlineStr">
        <x:is>
          <x:t xml:space="preserve">V10.5-SIM00</x:t>
        </x:is>
      </x:c>
      <x:c r="V8" s="160" t="inlineStr">
        <x:is>
          <x:t xml:space="preserve">https://investors.ionq.com</x:t>
        </x:is>
      </x:c>
      <x:c r="W8" s="160" t="inlineStr">
        <x:is>
          <x:t xml:space="preserve">NO</x:t>
        </x:is>
      </x:c>
      <x:c r="X8" s="160" t="inlineStr">
        <x:is>
          <x:t xml:space="preserve">NONE — DEVELOPMENT ONLY</x:t>
        </x:is>
      </x:c>
      <x:c r="Y8" s="160" t="inlineStr">
        <x:is>
          <x:t xml:space="preserve">Synthetic/adversarial model-development loop. No historical outcome is claimed; no accuracy point is awarded.</x:t>
        </x:is>
      </x:c>
    </x:row>
    <x:row r="9">
      <x:c r="A9" s="160" t="inlineStr">
        <x:is>
          <x:t xml:space="preserve">ML0004</x:t>
        </x:is>
      </x:c>
      <x:c r="B9" s="160" t="inlineStr">
        <x:is>
          <x:t xml:space="preserve">ARG-001</x:t>
        </x:is>
      </x:c>
      <x:c r="C9" s="160" t="inlineStr">
        <x:is>
          <x:t xml:space="preserve">IonQ</x:t>
        </x:is>
      </x:c>
      <x:c r="D9" s="160" t="inlineStr">
        <x:is>
          <x:t xml:space="preserve">IONQ</x:t>
        </x:is>
      </x:c>
      <x:c r="E9" s="160" t="inlineStr">
        <x:is>
          <x:t xml:space="preserve">Quantum Computing</x:t>
        </x:is>
      </x:c>
      <x:c r="F9" s="160" t="inlineStr">
        <x:is>
          <x:t xml:space="preserve">Development</x:t>
        </x:is>
      </x:c>
      <x:c r="G9" s="160" t="inlineStr">
        <x:is>
          <x:t xml:space="preserve">S04</x:t>
        </x:is>
      </x:c>
      <x:c r="H9" s="160" t="inlineStr">
        <x:is>
          <x:t xml:space="preserve">Stewardship / Capital Allocation</x:t>
        </x:is>
      </x:c>
      <x:c r="I9" s="160" t="inlineStr">
        <x:is>
          <x:t xml:space="preserve">Stewardship</x:t>
        </x:is>
      </x:c>
      <x:c r="J9" s="160" t="inlineStr">
        <x:is>
          <x:t xml:space="preserve">Management creates enterprise growth while destroying per-share value through M&amp;A, dilution, leverage or mistimed buybacks.</x:t>
        </x:is>
      </x:c>
      <x:c r="K9" s="160" t="inlineStr">
        <x:is>
          <x:t xml:space="preserve">System/cloud access and services around trapped-ion performance</x:t>
        </x:is>
      </x:c>
      <x:c r="L9" s="160" t="inlineStr">
        <x:is>
          <x:t xml:space="preserve">Milestone scenarios + runway</x:t>
        </x:is>
      </x:c>
      <x:c r="M9" s="160" t="inlineStr">
        <x:is>
          <x:t xml:space="preserve">WAIT FOR PRICE</x:t>
        </x:is>
      </x:c>
      <x:c r="N9" s="160" t="inlineStr">
        <x:is>
          <x:t xml:space="preserve">R-STEW-01</x:t>
        </x:is>
      </x:c>
      <x:c r="O9" s="160" t="inlineStr">
        <x:is>
          <x:t xml:space="preserve">UNFORMED</x:t>
        </x:is>
      </x:c>
      <x:c r="P9" s="160" t="inlineStr">
        <x:is>
          <x:t xml:space="preserve">FAILURE EXPOSED</x:t>
        </x:is>
      </x:c>
      <x:c r="Q9" s="160" t="inlineStr">
        <x:is>
          <x:t xml:space="preserve">The frozen V10 gate family is directionally right, but the test lacks a sufficiently explicit mechanical implementation.</x:t>
        </x:is>
      </x:c>
      <x:c r="R9" s="160" t="inlineStr">
        <x:is>
          <x:t xml:space="preserve">Evaluate capital allocation on a per-share basis using acquisition cohorts, dilution, leverage and repurchase price discipline.</x:t>
        </x:is>
      </x:c>
      <x:c r="S9" s="160" t="inlineStr">
        <x:is>
          <x:t xml:space="preserve">NO</x:t>
        </x:is>
      </x:c>
      <x:c r="T9" s="160" t="inlineStr">
        <x:is>
          <x:t xml:space="preserve">UNFORMED</x:t>
        </x:is>
      </x:c>
      <x:c r="U9" s="160" t="inlineStr">
        <x:is>
          <x:t xml:space="preserve">V10.5-SIM00</x:t>
        </x:is>
      </x:c>
      <x:c r="V9" s="160" t="inlineStr">
        <x:is>
          <x:t xml:space="preserve">https://investors.ionq.com</x:t>
        </x:is>
      </x:c>
      <x:c r="W9" s="160" t="inlineStr">
        <x:is>
          <x:t xml:space="preserve">NO</x:t>
        </x:is>
      </x:c>
      <x:c r="X9" s="160" t="inlineStr">
        <x:is>
          <x:t xml:space="preserve">NONE — DEVELOPMENT ONLY</x:t>
        </x:is>
      </x:c>
      <x:c r="Y9" s="160" t="inlineStr">
        <x:is>
          <x:t xml:space="preserve">Synthetic/adversarial model-development loop. No historical outcome is claimed; no accuracy point is awarded.</x:t>
        </x:is>
      </x:c>
    </x:row>
    <x:row r="10">
      <x:c r="A10" s="160" t="inlineStr">
        <x:is>
          <x:t xml:space="preserve">ML0005</x:t>
        </x:is>
      </x:c>
      <x:c r="B10" s="160" t="inlineStr">
        <x:is>
          <x:t xml:space="preserve">ARG-001</x:t>
        </x:is>
      </x:c>
      <x:c r="C10" s="160" t="inlineStr">
        <x:is>
          <x:t xml:space="preserve">IonQ</x:t>
        </x:is>
      </x:c>
      <x:c r="D10" s="160" t="inlineStr">
        <x:is>
          <x:t xml:space="preserve">IONQ</x:t>
        </x:is>
      </x:c>
      <x:c r="E10" s="160" t="inlineStr">
        <x:is>
          <x:t xml:space="preserve">Quantum Computing</x:t>
        </x:is>
      </x:c>
      <x:c r="F10" s="160" t="inlineStr">
        <x:is>
          <x:t xml:space="preserve">Development</x:t>
        </x:is>
      </x:c>
      <x:c r="G10" s="160" t="inlineStr">
        <x:is>
          <x:t xml:space="preserve">S05</x:t>
        </x:is>
      </x:c>
      <x:c r="H10" s="160" t="inlineStr">
        <x:is>
          <x:t xml:space="preserve">Survival / Funding</x:t>
        </x:is>
      </x:c>
      <x:c r="I10" s="160" t="inlineStr">
        <x:is>
          <x:t xml:space="preserve">Survival</x:t>
        </x:is>
      </x:c>
      <x:c r="J10" s="160" t="inlineStr">
        <x:is>
          <x:t xml:space="preserve">A plausible bear case exposes refinancing, liquidity, covenant, reserve, regulatory or operational fragility.</x:t>
        </x:is>
      </x:c>
      <x:c r="K10" s="160" t="inlineStr">
        <x:is>
          <x:t xml:space="preserve">System/cloud access and services around trapped-ion performance</x:t>
        </x:is>
      </x:c>
      <x:c r="L10" s="160" t="inlineStr">
        <x:is>
          <x:t xml:space="preserve">Milestone scenarios + runway</x:t>
        </x:is>
      </x:c>
      <x:c r="M10" s="160" t="inlineStr">
        <x:is>
          <x:t xml:space="preserve">WAIT FOR PRICE</x:t>
        </x:is>
      </x:c>
      <x:c r="N10" s="160" t="inlineStr">
        <x:is>
          <x:t xml:space="preserve">R-SURV-01</x:t>
        </x:is>
      </x:c>
      <x:c r="O10" s="160" t="inlineStr">
        <x:is>
          <x:t xml:space="preserve">UNFORMED</x:t>
        </x:is>
      </x:c>
      <x:c r="P10" s="160" t="inlineStr">
        <x:is>
          <x:t xml:space="preserve">FAILURE EXPOSED</x:t>
        </x:is>
      </x:c>
      <x:c r="Q10" s="160" t="inlineStr">
        <x:is>
          <x:t xml:space="preserve">The frozen V10 gate family is directionally right, but the test lacks a sufficiently explicit mechanical implementation.</x:t>
        </x:is>
      </x:c>
      <x:c r="R10" s="160" t="inlineStr">
        <x:is>
          <x:t xml:space="preserve">Run a company-specific survival bridge under a severe-but-plausible bear case before any upside underwriting.</x:t>
        </x:is>
      </x:c>
      <x:c r="S10" s="160" t="inlineStr">
        <x:is>
          <x:t xml:space="preserve">NO</x:t>
        </x:is>
      </x:c>
      <x:c r="T10" s="160" t="inlineStr">
        <x:is>
          <x:t xml:space="preserve">UNFORMED</x:t>
        </x:is>
      </x:c>
      <x:c r="U10" s="160" t="inlineStr">
        <x:is>
          <x:t xml:space="preserve">V10.5-SIM00</x:t>
        </x:is>
      </x:c>
      <x:c r="V10" s="160" t="inlineStr">
        <x:is>
          <x:t xml:space="preserve">https://investors.ionq.com</x:t>
        </x:is>
      </x:c>
      <x:c r="W10" s="160" t="inlineStr">
        <x:is>
          <x:t xml:space="preserve">NO</x:t>
        </x:is>
      </x:c>
      <x:c r="X10" s="160" t="inlineStr">
        <x:is>
          <x:t xml:space="preserve">NONE — DEVELOPMENT ONLY</x:t>
        </x:is>
      </x:c>
      <x:c r="Y10" s="160" t="inlineStr">
        <x:is>
          <x:t xml:space="preserve">Synthetic/adversarial model-development loop. No historical outcome is claimed; no accuracy point is awarded.</x:t>
        </x:is>
      </x:c>
    </x:row>
    <x:row r="11">
      <x:c r="A11" s="160" t="inlineStr">
        <x:is>
          <x:t xml:space="preserve">ML0006</x:t>
        </x:is>
      </x:c>
      <x:c r="B11" s="160" t="inlineStr">
        <x:is>
          <x:t xml:space="preserve">ARG-001</x:t>
        </x:is>
      </x:c>
      <x:c r="C11" s="160" t="inlineStr">
        <x:is>
          <x:t xml:space="preserve">IonQ</x:t>
        </x:is>
      </x:c>
      <x:c r="D11" s="160" t="inlineStr">
        <x:is>
          <x:t xml:space="preserve">IONQ</x:t>
        </x:is>
      </x:c>
      <x:c r="E11" s="160" t="inlineStr">
        <x:is>
          <x:t xml:space="preserve">Quantum Computing</x:t>
        </x:is>
      </x:c>
      <x:c r="F11" s="160" t="inlineStr">
        <x:is>
          <x:t xml:space="preserve">Development</x:t>
        </x:is>
      </x:c>
      <x:c r="G11" s="160" t="inlineStr">
        <x:is>
          <x:t xml:space="preserve">S06</x:t>
        </x:is>
      </x:c>
      <x:c r="H11" s="160" t="inlineStr">
        <x:is>
          <x:t xml:space="preserve">Margin of Safety</x:t>
        </x:is>
      </x:c>
      <x:c r="I11" s="160" t="inlineStr">
        <x:is>
          <x:t xml:space="preserve">Margin of Safety</x:t>
        </x:is>
      </x:c>
      <x:c r="J11" s="160" t="inlineStr">
        <x:is>
          <x:t xml:space="preserve">Business quality is high but the price embeds a fragile bull case.</x:t>
        </x:is>
      </x:c>
      <x:c r="K11" s="160" t="inlineStr">
        <x:is>
          <x:t xml:space="preserve">System/cloud access and services around trapped-ion performance</x:t>
        </x:is>
      </x:c>
      <x:c r="L11" s="160" t="inlineStr">
        <x:is>
          <x:t xml:space="preserve">Milestone scenarios + runway</x:t>
        </x:is>
      </x:c>
      <x:c r="M11" s="160" t="inlineStr">
        <x:is>
          <x:t xml:space="preserve">WAIT FOR PRICE</x:t>
        </x:is>
      </x:c>
      <x:c r="N11" s="160" t="inlineStr">
        <x:is>
          <x:t xml:space="preserve">R-MOS-01</x:t>
        </x:is>
      </x:c>
      <x:c r="O11" s="160" t="inlineStr">
        <x:is>
          <x:t xml:space="preserve">UNFORMED</x:t>
        </x:is>
      </x:c>
      <x:c r="P11" s="160" t="inlineStr">
        <x:is>
          <x:t xml:space="preserve">FAILURE EXPOSED</x:t>
        </x:is>
      </x:c>
      <x:c r="Q11" s="160" t="inlineStr">
        <x:is>
          <x:t xml:space="preserve">The frozen V10 gate family is directionally right, but the test lacks a sufficiently explicit mechanical implementation.</x:t>
        </x:is>
      </x:c>
      <x:c r="R11" s="160" t="inlineStr">
        <x:is>
          <x:t xml:space="preserve">Separate business-quality score from price decision; require reverse valuation and bear/base/bull IV ranges.</x:t>
        </x:is>
      </x:c>
      <x:c r="S11" s="160" t="inlineStr">
        <x:is>
          <x:t xml:space="preserve">NO</x:t>
        </x:is>
      </x:c>
      <x:c r="T11" s="160" t="inlineStr">
        <x:is>
          <x:t xml:space="preserve">UNFORMED</x:t>
        </x:is>
      </x:c>
      <x:c r="U11" s="160" t="inlineStr">
        <x:is>
          <x:t xml:space="preserve">V10.5-SIM00</x:t>
        </x:is>
      </x:c>
      <x:c r="V11" s="160" t="inlineStr">
        <x:is>
          <x:t xml:space="preserve">https://investors.ionq.com</x:t>
        </x:is>
      </x:c>
      <x:c r="W11" s="160" t="inlineStr">
        <x:is>
          <x:t xml:space="preserve">NO</x:t>
        </x:is>
      </x:c>
      <x:c r="X11" s="160" t="inlineStr">
        <x:is>
          <x:t xml:space="preserve">NONE — DEVELOPMENT ONLY</x:t>
        </x:is>
      </x:c>
      <x:c r="Y11" s="160" t="inlineStr">
        <x:is>
          <x:t xml:space="preserve">Synthetic/adversarial model-development loop. No historical outcome is claimed; no accuracy point is awarded.</x:t>
        </x:is>
      </x:c>
    </x:row>
    <x:row r="12">
      <x:c r="A12" s="160" t="inlineStr">
        <x:is>
          <x:t xml:space="preserve">ML0007</x:t>
        </x:is>
      </x:c>
      <x:c r="B12" s="160" t="inlineStr">
        <x:is>
          <x:t xml:space="preserve">ARG-001</x:t>
        </x:is>
      </x:c>
      <x:c r="C12" s="160" t="inlineStr">
        <x:is>
          <x:t xml:space="preserve">IonQ</x:t>
        </x:is>
      </x:c>
      <x:c r="D12" s="160" t="inlineStr">
        <x:is>
          <x:t xml:space="preserve">IONQ</x:t>
        </x:is>
      </x:c>
      <x:c r="E12" s="160" t="inlineStr">
        <x:is>
          <x:t xml:space="preserve">Quantum Computing</x:t>
        </x:is>
      </x:c>
      <x:c r="F12" s="160" t="inlineStr">
        <x:is>
          <x:t xml:space="preserve">Development</x:t>
        </x:is>
      </x:c>
      <x:c r="G12" s="160" t="inlineStr">
        <x:is>
          <x:t xml:space="preserve">S07</x:t>
        </x:is>
      </x:c>
      <x:c r="H12" s="160" t="inlineStr">
        <x:is>
          <x:t xml:space="preserve">Sector Shock</x:t>
        </x:is>
      </x:c>
      <x:c r="I12" s="160" t="inlineStr">
        <x:is>
          <x:t xml:space="preserve">Sector-specific</x:t>
        </x:is>
      </x:c>
      <x:c r="J12" s="160" t="inlineStr">
        <x:is>
          <x:t xml:space="preserve">Technical milestone improves but paid recurring use, bookings conversion and dilution-adjusted economics lag.</x:t>
        </x:is>
      </x:c>
      <x:c r="K12" s="160" t="inlineStr">
        <x:is>
          <x:t xml:space="preserve">System/cloud access and services around trapped-ion performance</x:t>
        </x:is>
      </x:c>
      <x:c r="L12" s="160" t="inlineStr">
        <x:is>
          <x:t xml:space="preserve">Milestone scenarios + runway</x:t>
        </x:is>
      </x:c>
      <x:c r="M12" s="160" t="inlineStr">
        <x:is>
          <x:t xml:space="preserve">WAIT FOR PRICE</x:t>
        </x:is>
      </x:c>
      <x:c r="N12" s="160" t="inlineStr">
        <x:is>
          <x:t xml:space="preserve">R-SECTOR-QUANTUM-COMPUTING</x:t>
        </x:is>
      </x:c>
      <x:c r="O12" s="160" t="inlineStr">
        <x:is>
          <x:t xml:space="preserve">UNFORMED</x:t>
        </x:is>
      </x:c>
      <x:c r="P12" s="160" t="inlineStr">
        <x:is>
          <x:t xml:space="preserve">FAILURE EXPOSED</x:t>
        </x:is>
      </x:c>
      <x:c r="Q12" s="160" t="inlineStr">
        <x:is>
          <x:t xml:space="preserve">The frozen V10 gate family is directionally right, but the test lacks a sufficiently explicit mechanical implementation.</x:t>
        </x:is>
      </x:c>
      <x:c r="R12" s="160" t="inlineStr">
        <x:is>
          <x:t xml:space="preserve">Add a sector-specific transmission map with leading operating sensors, not only market-price variables. Sector rule: Technical milestone improves but paid recurring use, bookings conversion and dilution-adjusted economics lag.</x:t>
        </x:is>
      </x:c>
      <x:c r="S12" s="160" t="inlineStr">
        <x:is>
          <x:t xml:space="preserve">NO</x:t>
        </x:is>
      </x:c>
      <x:c r="T12" s="160" t="inlineStr">
        <x:is>
          <x:t xml:space="preserve">UNFORMED</x:t>
        </x:is>
      </x:c>
      <x:c r="U12" s="160" t="inlineStr">
        <x:is>
          <x:t xml:space="preserve">V10.5-SIM00</x:t>
        </x:is>
      </x:c>
      <x:c r="V12" s="160" t="inlineStr">
        <x:is>
          <x:t xml:space="preserve">https://investors.ionq.com</x:t>
        </x:is>
      </x:c>
      <x:c r="W12" s="160" t="inlineStr">
        <x:is>
          <x:t xml:space="preserve">NO</x:t>
        </x:is>
      </x:c>
      <x:c r="X12" s="160" t="inlineStr">
        <x:is>
          <x:t xml:space="preserve">NONE — DEVELOPMENT ONLY</x:t>
        </x:is>
      </x:c>
      <x:c r="Y12" s="160" t="inlineStr">
        <x:is>
          <x:t xml:space="preserve">Synthetic/adversarial model-development loop. No historical outcome is claimed; no accuracy point is awarded.</x:t>
        </x:is>
      </x:c>
    </x:row>
    <x:row r="13">
      <x:c r="A13" s="160" t="inlineStr">
        <x:is>
          <x:t xml:space="preserve">ML0008</x:t>
        </x:is>
      </x:c>
      <x:c r="B13" s="160" t="inlineStr">
        <x:is>
          <x:t xml:space="preserve">ARG-001</x:t>
        </x:is>
      </x:c>
      <x:c r="C13" s="160" t="inlineStr">
        <x:is>
          <x:t xml:space="preserve">IonQ</x:t>
        </x:is>
      </x:c>
      <x:c r="D13" s="160" t="inlineStr">
        <x:is>
          <x:t xml:space="preserve">IONQ</x:t>
        </x:is>
      </x:c>
      <x:c r="E13" s="160" t="inlineStr">
        <x:is>
          <x:t xml:space="preserve">Quantum Computing</x:t>
        </x:is>
      </x:c>
      <x:c r="F13" s="160" t="inlineStr">
        <x:is>
          <x:t xml:space="preserve">Development</x:t>
        </x:is>
      </x:c>
      <x:c r="G13" s="160" t="inlineStr">
        <x:is>
          <x:t xml:space="preserve">S08</x:t>
        </x:is>
      </x:c>
      <x:c r="H13" s="160" t="inlineStr">
        <x:is>
          <x:t xml:space="preserve">Management Promise Reliability</x:t>
        </x:is>
      </x:c>
      <x:c r="I13" s="160" t="inlineStr">
        <x:is>
          <x:t xml:space="preserve">Management over-trust</x:t>
        </x:is>
      </x:c>
      <x:c r="J13" s="160" t="inlineStr">
        <x:is>
          <x:t xml:space="preserve">Guidance or strategic promises are repeated but the model lacks a contemporaneous reliability score.</x:t>
        </x:is>
      </x:c>
      <x:c r="K13" s="160" t="inlineStr">
        <x:is>
          <x:t xml:space="preserve">System/cloud access and services around trapped-ion performance</x:t>
        </x:is>
      </x:c>
      <x:c r="L13" s="160" t="inlineStr">
        <x:is>
          <x:t xml:space="preserve">Milestone scenarios + runway</x:t>
        </x:is>
      </x:c>
      <x:c r="M13" s="160" t="inlineStr">
        <x:is>
          <x:t xml:space="preserve">WAIT FOR PRICE</x:t>
        </x:is>
      </x:c>
      <x:c r="N13" s="160" t="inlineStr">
        <x:is>
          <x:t xml:space="preserve">R-PROM-01</x:t>
        </x:is>
      </x:c>
      <x:c r="O13" s="160" t="inlineStr">
        <x:is>
          <x:t xml:space="preserve">UNFORMED</x:t>
        </x:is>
      </x:c>
      <x:c r="P13" s="160" t="inlineStr">
        <x:is>
          <x:t xml:space="preserve">WEAKNESS EXPOSED</x:t>
        </x:is>
      </x:c>
      <x:c r="Q13" s="160" t="inlineStr">
        <x:is>
          <x:t xml:space="preserve">The frozen V10 gate family is directionally right, but the test lacks a sufficiently explicit mechanical implementation.</x:t>
        </x:is>
      </x:c>
      <x:c r="R13" s="160" t="inlineStr">
        <x:is>
          <x:t xml:space="preserve">Use a promises ledger with dated promise, measurable deliverable, due date, outcome and credibility weight.</x:t>
        </x:is>
      </x:c>
      <x:c r="S13" s="160" t="inlineStr">
        <x:is>
          <x:t xml:space="preserve">NO</x:t>
        </x:is>
      </x:c>
      <x:c r="T13" s="160" t="inlineStr">
        <x:is>
          <x:t xml:space="preserve">UNFORMED</x:t>
        </x:is>
      </x:c>
      <x:c r="U13" s="160" t="inlineStr">
        <x:is>
          <x:t xml:space="preserve">V10.5-SIM00</x:t>
        </x:is>
      </x:c>
      <x:c r="V13" s="160" t="inlineStr">
        <x:is>
          <x:t xml:space="preserve">https://investors.ionq.com</x:t>
        </x:is>
      </x:c>
      <x:c r="W13" s="160" t="inlineStr">
        <x:is>
          <x:t xml:space="preserve">NO</x:t>
        </x:is>
      </x:c>
      <x:c r="X13" s="160" t="inlineStr">
        <x:is>
          <x:t xml:space="preserve">NONE — DEVELOPMENT ONLY</x:t>
        </x:is>
      </x:c>
      <x:c r="Y13" s="160" t="inlineStr">
        <x:is>
          <x:t xml:space="preserve">Synthetic/adversarial model-development loop. No historical outcome is claimed; no accuracy point is awarded.</x:t>
        </x:is>
      </x:c>
    </x:row>
    <x:row r="14">
      <x:c r="A14" s="160" t="inlineStr">
        <x:is>
          <x:t xml:space="preserve">ML0009</x:t>
        </x:is>
      </x:c>
      <x:c r="B14" s="160" t="inlineStr">
        <x:is>
          <x:t xml:space="preserve">ARG-001</x:t>
        </x:is>
      </x:c>
      <x:c r="C14" s="160" t="inlineStr">
        <x:is>
          <x:t xml:space="preserve">IonQ</x:t>
        </x:is>
      </x:c>
      <x:c r="D14" s="160" t="inlineStr">
        <x:is>
          <x:t xml:space="preserve">IONQ</x:t>
        </x:is>
      </x:c>
      <x:c r="E14" s="160" t="inlineStr">
        <x:is>
          <x:t xml:space="preserve">Quantum Computing</x:t>
        </x:is>
      </x:c>
      <x:c r="F14" s="160" t="inlineStr">
        <x:is>
          <x:t xml:space="preserve">Development</x:t>
        </x:is>
      </x:c>
      <x:c r="G14" s="160" t="inlineStr">
        <x:is>
          <x:t xml:space="preserve">S09</x:t>
        </x:is>
      </x:c>
      <x:c r="H14" s="160" t="inlineStr">
        <x:is>
          <x:t xml:space="preserve">Data / Accounting Quality</x:t>
        </x:is>
      </x:c>
      <x:c r="I14" s="160" t="inlineStr">
        <x:is>
          <x:t xml:space="preserve">Data quality</x:t>
        </x:is>
      </x:c>
      <x:c r="J14" s="160" t="inlineStr">
        <x:is>
          <x:t xml:space="preserve">Restatement, segment reclassification, one-time item or non-economic fair-value movement distorts the apparent trend.</x:t>
        </x:is>
      </x:c>
      <x:c r="K14" s="160" t="inlineStr">
        <x:is>
          <x:t xml:space="preserve">System/cloud access and services around trapped-ion performance</x:t>
        </x:is>
      </x:c>
      <x:c r="L14" s="160" t="inlineStr">
        <x:is>
          <x:t xml:space="preserve">Milestone scenarios + runway</x:t>
        </x:is>
      </x:c>
      <x:c r="M14" s="160" t="inlineStr">
        <x:is>
          <x:t xml:space="preserve">WAIT FOR PRICE</x:t>
        </x:is>
      </x:c>
      <x:c r="N14" s="160" t="inlineStr">
        <x:is>
          <x:t xml:space="preserve">R-DATA-01</x:t>
        </x:is>
      </x:c>
      <x:c r="O14" s="160" t="inlineStr">
        <x:is>
          <x:t xml:space="preserve">UNFORMED</x:t>
        </x:is>
      </x:c>
      <x:c r="P14" s="160" t="inlineStr">
        <x:is>
          <x:t xml:space="preserve">WEAKNESS EXPOSED</x:t>
        </x:is>
      </x:c>
      <x:c r="Q14" s="160" t="inlineStr">
        <x:is>
          <x:t xml:space="preserve">The frozen V10 gate family is directionally right, but the test lacks a sufficiently explicit mechanical implementation.</x:t>
        </x:is>
      </x:c>
      <x:c r="R14" s="160" t="inlineStr">
        <x:is>
          <x:t xml:space="preserve">Add a reporting-quality bridge and normalize accounting noise before any gate can pass.</x:t>
        </x:is>
      </x:c>
      <x:c r="S14" s="160" t="inlineStr">
        <x:is>
          <x:t xml:space="preserve">NO</x:t>
        </x:is>
      </x:c>
      <x:c r="T14" s="160" t="inlineStr">
        <x:is>
          <x:t xml:space="preserve">UNFORMED</x:t>
        </x:is>
      </x:c>
      <x:c r="U14" s="160" t="inlineStr">
        <x:is>
          <x:t xml:space="preserve">V10.5-SIM00</x:t>
        </x:is>
      </x:c>
      <x:c r="V14" s="160" t="inlineStr">
        <x:is>
          <x:t xml:space="preserve">https://investors.ionq.com</x:t>
        </x:is>
      </x:c>
      <x:c r="W14" s="160" t="inlineStr">
        <x:is>
          <x:t xml:space="preserve">NO</x:t>
        </x:is>
      </x:c>
      <x:c r="X14" s="160" t="inlineStr">
        <x:is>
          <x:t xml:space="preserve">NONE — DEVELOPMENT ONLY</x:t>
        </x:is>
      </x:c>
      <x:c r="Y14" s="160" t="inlineStr">
        <x:is>
          <x:t xml:space="preserve">Synthetic/adversarial model-development loop. No historical outcome is claimed; no accuracy point is awarded.</x:t>
        </x:is>
      </x:c>
    </x:row>
    <x:row r="15">
      <x:c r="A15" s="160" t="inlineStr">
        <x:is>
          <x:t xml:space="preserve">ML0010</x:t>
        </x:is>
      </x:c>
      <x:c r="B15" s="160" t="inlineStr">
        <x:is>
          <x:t xml:space="preserve">ARG-001</x:t>
        </x:is>
      </x:c>
      <x:c r="C15" s="160" t="inlineStr">
        <x:is>
          <x:t xml:space="preserve">IonQ</x:t>
        </x:is>
      </x:c>
      <x:c r="D15" s="160" t="inlineStr">
        <x:is>
          <x:t xml:space="preserve">IONQ</x:t>
        </x:is>
      </x:c>
      <x:c r="E15" s="160" t="inlineStr">
        <x:is>
          <x:t xml:space="preserve">Quantum Computing</x:t>
        </x:is>
      </x:c>
      <x:c r="F15" s="160" t="inlineStr">
        <x:is>
          <x:t xml:space="preserve">Development</x:t>
        </x:is>
      </x:c>
      <x:c r="G15" s="160" t="inlineStr">
        <x:is>
          <x:t xml:space="preserve">S10</x:t>
        </x:is>
      </x:c>
      <x:c r="H15" s="160" t="inlineStr">
        <x:is>
          <x:t xml:space="preserve">Control / Counterfactual</x:t>
        </x:is>
      </x:c>
      <x:c r="I15" s="160" t="inlineStr">
        <x:is>
          <x:t xml:space="preserve">Sector beta vs company alpha</x:t>
        </x:is>
      </x:c>
      <x:c r="J15" s="160" t="inlineStr">
        <x:is>
          <x:t xml:space="preserve">A positive outcome is mostly sector beta or macro tailwind, not company-specific alpha.</x:t>
        </x:is>
      </x:c>
      <x:c r="K15" s="160" t="inlineStr">
        <x:is>
          <x:t xml:space="preserve">System/cloud access and services around trapped-ion performance</x:t>
        </x:is>
      </x:c>
      <x:c r="L15" s="160" t="inlineStr">
        <x:is>
          <x:t xml:space="preserve">Milestone scenarios + runway</x:t>
        </x:is>
      </x:c>
      <x:c r="M15" s="160" t="inlineStr">
        <x:is>
          <x:t xml:space="preserve">WAIT FOR PRICE</x:t>
        </x:is>
      </x:c>
      <x:c r="N15" s="160" t="inlineStr">
        <x:is>
          <x:t xml:space="preserve">R-CF-01</x:t>
        </x:is>
      </x:c>
      <x:c r="O15" s="160" t="inlineStr">
        <x:is>
          <x:t xml:space="preserve">UNFORMED</x:t>
        </x:is>
      </x:c>
      <x:c r="P15" s="160" t="inlineStr">
        <x:is>
          <x:t xml:space="preserve">WEAKNESS EXPOSED</x:t>
        </x:is>
      </x:c>
      <x:c r="Q15" s="160" t="inlineStr">
        <x:is>
          <x:t xml:space="preserve">The frozen V10 gate family is directionally right, but the test lacks a sufficiently explicit mechanical implementation.</x:t>
        </x:is>
      </x:c>
      <x:c r="R15" s="160" t="inlineStr">
        <x:is>
          <x:t xml:space="preserve">Require a true economic control and counterfactual: what should have happened to a comparable company under the same shock?</x:t>
        </x:is>
      </x:c>
      <x:c r="S15" s="160" t="inlineStr">
        <x:is>
          <x:t xml:space="preserve">NO</x:t>
        </x:is>
      </x:c>
      <x:c r="T15" s="160" t="inlineStr">
        <x:is>
          <x:t xml:space="preserve">UNFORMED</x:t>
        </x:is>
      </x:c>
      <x:c r="U15" s="160" t="inlineStr">
        <x:is>
          <x:t xml:space="preserve">V10.5-SIM00</x:t>
        </x:is>
      </x:c>
      <x:c r="V15" s="160" t="inlineStr">
        <x:is>
          <x:t xml:space="preserve">https://investors.ionq.com</x:t>
        </x:is>
      </x:c>
      <x:c r="W15" s="160" t="inlineStr">
        <x:is>
          <x:t xml:space="preserve">NO</x:t>
        </x:is>
      </x:c>
      <x:c r="X15" s="160" t="inlineStr">
        <x:is>
          <x:t xml:space="preserve">NONE — DEVELOPMENT ONLY</x:t>
        </x:is>
      </x:c>
      <x:c r="Y15" s="160" t="inlineStr">
        <x:is>
          <x:t xml:space="preserve">Synthetic/adversarial model-development loop. No historical outcome is claimed; no accuracy point is awarded.</x:t>
        </x:is>
      </x:c>
    </x:row>
    <x:row r="16">
      <x:c r="A16" s="160" t="inlineStr">
        <x:is>
          <x:t xml:space="preserve">ML0011</x:t>
        </x:is>
      </x:c>
      <x:c r="B16" s="160" t="inlineStr">
        <x:is>
          <x:t xml:space="preserve">ARG-001</x:t>
        </x:is>
      </x:c>
      <x:c r="C16" s="160" t="inlineStr">
        <x:is>
          <x:t xml:space="preserve">IonQ</x:t>
        </x:is>
      </x:c>
      <x:c r="D16" s="160" t="inlineStr">
        <x:is>
          <x:t xml:space="preserve">IONQ</x:t>
        </x:is>
      </x:c>
      <x:c r="E16" s="160" t="inlineStr">
        <x:is>
          <x:t xml:space="preserve">Quantum Computing</x:t>
        </x:is>
      </x:c>
      <x:c r="F16" s="160" t="inlineStr">
        <x:is>
          <x:t xml:space="preserve">Development</x:t>
        </x:is>
      </x:c>
      <x:c r="G16" s="160" t="inlineStr">
        <x:is>
          <x:t xml:space="preserve">S11</x:t>
        </x:is>
      </x:c>
      <x:c r="H16" s="160" t="inlineStr">
        <x:is>
          <x:t xml:space="preserve">False-Negative Discipline</x:t>
        </x:is>
      </x:c>
      <x:c r="I16" s="160" t="inlineStr">
        <x:is>
          <x:t xml:space="preserve">False negative</x:t>
        </x:is>
      </x:c>
      <x:c r="J16" s="160" t="inlineStr">
        <x:is>
          <x:t xml:space="preserve">A strict gate rejects a company that later compounds strongly for reasons the model could have known.</x:t>
        </x:is>
      </x:c>
      <x:c r="K16" s="160" t="inlineStr">
        <x:is>
          <x:t xml:space="preserve">System/cloud access and services around trapped-ion performance</x:t>
        </x:is>
      </x:c>
      <x:c r="L16" s="160" t="inlineStr">
        <x:is>
          <x:t xml:space="preserve">Milestone scenarios + runway</x:t>
        </x:is>
      </x:c>
      <x:c r="M16" s="160" t="inlineStr">
        <x:is>
          <x:t xml:space="preserve">WAIT FOR PRICE</x:t>
        </x:is>
      </x:c>
      <x:c r="N16" s="160" t="inlineStr">
        <x:is>
          <x:t xml:space="preserve">R-FN-01</x:t>
        </x:is>
      </x:c>
      <x:c r="O16" s="160" t="inlineStr">
        <x:is>
          <x:t xml:space="preserve">UNFORMED</x:t>
        </x:is>
      </x:c>
      <x:c r="P16" s="160" t="inlineStr">
        <x:is>
          <x:t xml:space="preserve">WEAKNESS EXPOSED</x:t>
        </x:is>
      </x:c>
      <x:c r="Q16" s="160" t="inlineStr">
        <x:is>
          <x:t xml:space="preserve">The frozen V10 gate family is directionally right, but the test lacks a sufficiently explicit mechanical implementation.</x:t>
        </x:is>
      </x:c>
      <x:c r="R16" s="160" t="inlineStr">
        <x:is>
          <x:t xml:space="preserve">Track opportunity cost and classify whether the miss came from evidence timing, wrong threshold or genuinely unknowable upside.</x:t>
        </x:is>
      </x:c>
      <x:c r="S16" s="160" t="inlineStr">
        <x:is>
          <x:t xml:space="preserve">NO</x:t>
        </x:is>
      </x:c>
      <x:c r="T16" s="160" t="inlineStr">
        <x:is>
          <x:t xml:space="preserve">UNFORMED</x:t>
        </x:is>
      </x:c>
      <x:c r="U16" s="160" t="inlineStr">
        <x:is>
          <x:t xml:space="preserve">V10.5-SIM00</x:t>
        </x:is>
      </x:c>
      <x:c r="V16" s="160" t="inlineStr">
        <x:is>
          <x:t xml:space="preserve">https://investors.ionq.com</x:t>
        </x:is>
      </x:c>
      <x:c r="W16" s="160" t="inlineStr">
        <x:is>
          <x:t xml:space="preserve">NO</x:t>
        </x:is>
      </x:c>
      <x:c r="X16" s="160" t="inlineStr">
        <x:is>
          <x:t xml:space="preserve">NONE — DEVELOPMENT ONLY</x:t>
        </x:is>
      </x:c>
      <x:c r="Y16" s="160" t="inlineStr">
        <x:is>
          <x:t xml:space="preserve">Synthetic/adversarial model-development loop. No historical outcome is claimed; no accuracy point is awarded.</x:t>
        </x:is>
      </x:c>
    </x:row>
    <x:row r="17">
      <x:c r="A17" s="160" t="inlineStr">
        <x:is>
          <x:t xml:space="preserve">ML0012</x:t>
        </x:is>
      </x:c>
      <x:c r="B17" s="160" t="inlineStr">
        <x:is>
          <x:t xml:space="preserve">ARG-001</x:t>
        </x:is>
      </x:c>
      <x:c r="C17" s="160" t="inlineStr">
        <x:is>
          <x:t xml:space="preserve">IonQ</x:t>
        </x:is>
      </x:c>
      <x:c r="D17" s="160" t="inlineStr">
        <x:is>
          <x:t xml:space="preserve">IONQ</x:t>
        </x:is>
      </x:c>
      <x:c r="E17" s="160" t="inlineStr">
        <x:is>
          <x:t xml:space="preserve">Quantum Computing</x:t>
        </x:is>
      </x:c>
      <x:c r="F17" s="160" t="inlineStr">
        <x:is>
          <x:t xml:space="preserve">Development</x:t>
        </x:is>
      </x:c>
      <x:c r="G17" s="160" t="inlineStr">
        <x:is>
          <x:t xml:space="preserve">S12</x:t>
        </x:is>
      </x:c>
      <x:c r="H17" s="160" t="inlineStr">
        <x:is>
          <x:t xml:space="preserve">Lead-Time / Early Sensor</x:t>
        </x:is>
      </x:c>
      <x:c r="I17" s="160" t="inlineStr">
        <x:is>
          <x:t xml:space="preserve">Timing / lead-time</x:t>
        </x:is>
      </x:c>
      <x:c r="J17" s="160" t="inlineStr">
        <x:is>
          <x:t xml:space="preserve">ARGUS identifies the change correctly but only after consensus and price have already reacted.</x:t>
        </x:is>
      </x:c>
      <x:c r="K17" s="160" t="inlineStr">
        <x:is>
          <x:t xml:space="preserve">System/cloud access and services around trapped-ion performance</x:t>
        </x:is>
      </x:c>
      <x:c r="L17" s="160" t="inlineStr">
        <x:is>
          <x:t xml:space="preserve">Milestone scenarios + runway</x:t>
        </x:is>
      </x:c>
      <x:c r="M17" s="160" t="inlineStr">
        <x:is>
          <x:t xml:space="preserve">WAIT FOR PRICE</x:t>
        </x:is>
      </x:c>
      <x:c r="N17" s="160" t="inlineStr">
        <x:is>
          <x:t xml:space="preserve">R-TIME-01</x:t>
        </x:is>
      </x:c>
      <x:c r="O17" s="160" t="inlineStr">
        <x:is>
          <x:t xml:space="preserve">UNFORMED</x:t>
        </x:is>
      </x:c>
      <x:c r="P17" s="160" t="inlineStr">
        <x:is>
          <x:t xml:space="preserve">WEAKNESS EXPOSED</x:t>
        </x:is>
      </x:c>
      <x:c r="Q17" s="160" t="inlineStr">
        <x:is>
          <x:t xml:space="preserve">The frozen V10 gate family is directionally right, but the test lacks a sufficiently explicit mechanical implementation.</x:t>
        </x:is>
      </x:c>
      <x:c r="R17" s="160" t="inlineStr">
        <x:is>
          <x:t xml:space="preserve">Replace lagging financial metrics with earlier causal operating sensors and record lead time separately from correctness.</x:t>
        </x:is>
      </x:c>
      <x:c r="S17" s="160" t="inlineStr">
        <x:is>
          <x:t xml:space="preserve">NO</x:t>
        </x:is>
      </x:c>
      <x:c r="T17" s="160" t="inlineStr">
        <x:is>
          <x:t xml:space="preserve">UNFORMED</x:t>
        </x:is>
      </x:c>
      <x:c r="U17" s="160" t="inlineStr">
        <x:is>
          <x:t xml:space="preserve">V10.5-SIM00</x:t>
        </x:is>
      </x:c>
      <x:c r="V17" s="160" t="inlineStr">
        <x:is>
          <x:t xml:space="preserve">https://investors.ionq.com</x:t>
        </x:is>
      </x:c>
      <x:c r="W17" s="160" t="inlineStr">
        <x:is>
          <x:t xml:space="preserve">NO</x:t>
        </x:is>
      </x:c>
      <x:c r="X17" s="160" t="inlineStr">
        <x:is>
          <x:t xml:space="preserve">NONE — DEVELOPMENT ONLY</x:t>
        </x:is>
      </x:c>
      <x:c r="Y17" s="160" t="inlineStr">
        <x:is>
          <x:t xml:space="preserve">Synthetic/adversarial model-development loop. No historical outcome is claimed; no accuracy point is awarded.</x:t>
        </x:is>
      </x:c>
    </x:row>
    <x:row r="18">
      <x:c r="A18" s="160" t="inlineStr">
        <x:is>
          <x:t xml:space="preserve">ML0013</x:t>
        </x:is>
      </x:c>
      <x:c r="B18" s="160" t="inlineStr">
        <x:is>
          <x:t xml:space="preserve">ARG-001</x:t>
        </x:is>
      </x:c>
      <x:c r="C18" s="160" t="inlineStr">
        <x:is>
          <x:t xml:space="preserve">IonQ</x:t>
        </x:is>
      </x:c>
      <x:c r="D18" s="160" t="inlineStr">
        <x:is>
          <x:t xml:space="preserve">IONQ</x:t>
        </x:is>
      </x:c>
      <x:c r="E18" s="160" t="inlineStr">
        <x:is>
          <x:t xml:space="preserve">Quantum Computing</x:t>
        </x:is>
      </x:c>
      <x:c r="F18" s="160" t="inlineStr">
        <x:is>
          <x:t xml:space="preserve">Development</x:t>
        </x:is>
      </x:c>
      <x:c r="G18" s="160" t="inlineStr">
        <x:is>
          <x:t xml:space="preserve">S13</x:t>
        </x:is>
      </x:c>
      <x:c r="H18" s="160" t="inlineStr">
        <x:is>
          <x:t xml:space="preserve">Cycle Normalization</x:t>
        </x:is>
      </x:c>
      <x:c r="I18" s="160" t="inlineStr">
        <x:is>
          <x:t xml:space="preserve">Wrong valuation lens</x:t>
        </x:is>
      </x:c>
      <x:c r="J18" s="160" t="inlineStr">
        <x:is>
          <x:t xml:space="preserve">Peak/trough earnings are mistaken for normalized earning power.</x:t>
        </x:is>
      </x:c>
      <x:c r="K18" s="160" t="inlineStr">
        <x:is>
          <x:t xml:space="preserve">System/cloud access and services around trapped-ion performance</x:t>
        </x:is>
      </x:c>
      <x:c r="L18" s="160" t="inlineStr">
        <x:is>
          <x:t xml:space="preserve">Milestone scenarios + runway</x:t>
        </x:is>
      </x:c>
      <x:c r="M18" s="160" t="inlineStr">
        <x:is>
          <x:t xml:space="preserve">WAIT FOR PRICE</x:t>
        </x:is>
      </x:c>
      <x:c r="N18" s="160" t="inlineStr">
        <x:is>
          <x:t xml:space="preserve">R-CYCLE-01</x:t>
        </x:is>
      </x:c>
      <x:c r="O18" s="160" t="inlineStr">
        <x:is>
          <x:t xml:space="preserve">UNFORMED</x:t>
        </x:is>
      </x:c>
      <x:c r="P18" s="160" t="inlineStr">
        <x:is>
          <x:t xml:space="preserve">FAILURE EXPOSED</x:t>
        </x:is>
      </x:c>
      <x:c r="Q18" s="160" t="inlineStr">
        <x:is>
          <x:t xml:space="preserve">The frozen V10 gate family is directionally right, but the test lacks a sufficiently explicit mechanical implementation.</x:t>
        </x:is>
      </x:c>
      <x:c r="R18" s="160" t="inlineStr">
        <x:is>
          <x:t xml:space="preserve">Use sector-specific mid-cycle/NAV/rate-base/rNPV normalization before applying a valuation multiple.</x:t>
        </x:is>
      </x:c>
      <x:c r="S18" s="160" t="inlineStr">
        <x:is>
          <x:t xml:space="preserve">NO</x:t>
        </x:is>
      </x:c>
      <x:c r="T18" s="160" t="inlineStr">
        <x:is>
          <x:t xml:space="preserve">UNFORMED</x:t>
        </x:is>
      </x:c>
      <x:c r="U18" s="160" t="inlineStr">
        <x:is>
          <x:t xml:space="preserve">V10.5-SIM00</x:t>
        </x:is>
      </x:c>
      <x:c r="V18" s="160" t="inlineStr">
        <x:is>
          <x:t xml:space="preserve">https://investors.ionq.com</x:t>
        </x:is>
      </x:c>
      <x:c r="W18" s="160" t="inlineStr">
        <x:is>
          <x:t xml:space="preserve">NO</x:t>
        </x:is>
      </x:c>
      <x:c r="X18" s="160" t="inlineStr">
        <x:is>
          <x:t xml:space="preserve">NONE — DEVELOPMENT ONLY</x:t>
        </x:is>
      </x:c>
      <x:c r="Y18" s="160" t="inlineStr">
        <x:is>
          <x:t xml:space="preserve">Synthetic/adversarial model-development loop. No historical outcome is claimed; no accuracy point is awarded.</x:t>
        </x:is>
      </x:c>
    </x:row>
    <x:row r="19">
      <x:c r="A19" s="160" t="inlineStr">
        <x:is>
          <x:t xml:space="preserve">ML0014</x:t>
        </x:is>
      </x:c>
      <x:c r="B19" s="160" t="inlineStr">
        <x:is>
          <x:t xml:space="preserve">ARG-001</x:t>
        </x:is>
      </x:c>
      <x:c r="C19" s="160" t="inlineStr">
        <x:is>
          <x:t xml:space="preserve">IonQ</x:t>
        </x:is>
      </x:c>
      <x:c r="D19" s="160" t="inlineStr">
        <x:is>
          <x:t xml:space="preserve">IONQ</x:t>
        </x:is>
      </x:c>
      <x:c r="E19" s="160" t="inlineStr">
        <x:is>
          <x:t xml:space="preserve">Quantum Computing</x:t>
        </x:is>
      </x:c>
      <x:c r="F19" s="160" t="inlineStr">
        <x:is>
          <x:t xml:space="preserve">Development</x:t>
        </x:is>
      </x:c>
      <x:c r="G19" s="160" t="inlineStr">
        <x:is>
          <x:t xml:space="preserve">S14</x:t>
        </x:is>
      </x:c>
      <x:c r="H19" s="160" t="inlineStr">
        <x:is>
          <x:t xml:space="preserve">M&amp;A / Organic Growth Separation</x:t>
        </x:is>
      </x:c>
      <x:c r="I19" s="160" t="inlineStr">
        <x:is>
          <x:t xml:space="preserve">Stewardship</x:t>
        </x:is>
      </x:c>
      <x:c r="J19" s="160" t="inlineStr">
        <x:is>
          <x:t xml:space="preserve">Acquisition-driven growth masks weak organic economics or poor incremental ROIC.</x:t>
        </x:is>
      </x:c>
      <x:c r="K19" s="160" t="inlineStr">
        <x:is>
          <x:t xml:space="preserve">System/cloud access and services around trapped-ion performance</x:t>
        </x:is>
      </x:c>
      <x:c r="L19" s="160" t="inlineStr">
        <x:is>
          <x:t xml:space="preserve">Milestone scenarios + runway</x:t>
        </x:is>
      </x:c>
      <x:c r="M19" s="160" t="inlineStr">
        <x:is>
          <x:t xml:space="preserve">WAIT FOR PRICE</x:t>
        </x:is>
      </x:c>
      <x:c r="N19" s="160" t="inlineStr">
        <x:is>
          <x:t xml:space="preserve">R-MA-01</x:t>
        </x:is>
      </x:c>
      <x:c r="O19" s="160" t="inlineStr">
        <x:is>
          <x:t xml:space="preserve">UNFORMED</x:t>
        </x:is>
      </x:c>
      <x:c r="P19" s="160" t="inlineStr">
        <x:is>
          <x:t xml:space="preserve">FAILURE EXPOSED</x:t>
        </x:is>
      </x:c>
      <x:c r="Q19" s="160" t="inlineStr">
        <x:is>
          <x:t xml:space="preserve">The frozen V10 gate family is directionally right, but the test lacks a sufficiently explicit mechanical implementation.</x:t>
        </x:is>
      </x:c>
      <x:c r="R19" s="160" t="inlineStr">
        <x:is>
          <x:t xml:space="preserve">Bridge organic growth, acquired growth, purchase price, integration costs and acquisition-cohort ROIC.</x:t>
        </x:is>
      </x:c>
      <x:c r="S19" s="160" t="inlineStr">
        <x:is>
          <x:t xml:space="preserve">NO</x:t>
        </x:is>
      </x:c>
      <x:c r="T19" s="160" t="inlineStr">
        <x:is>
          <x:t xml:space="preserve">UNFORMED</x:t>
        </x:is>
      </x:c>
      <x:c r="U19" s="160" t="inlineStr">
        <x:is>
          <x:t xml:space="preserve">V10.5-SIM00</x:t>
        </x:is>
      </x:c>
      <x:c r="V19" s="160" t="inlineStr">
        <x:is>
          <x:t xml:space="preserve">https://investors.ionq.com</x:t>
        </x:is>
      </x:c>
      <x:c r="W19" s="160" t="inlineStr">
        <x:is>
          <x:t xml:space="preserve">NO</x:t>
        </x:is>
      </x:c>
      <x:c r="X19" s="160" t="inlineStr">
        <x:is>
          <x:t xml:space="preserve">NONE — DEVELOPMENT ONLY</x:t>
        </x:is>
      </x:c>
      <x:c r="Y19" s="160" t="inlineStr">
        <x:is>
          <x:t xml:space="preserve">Synthetic/adversarial model-development loop. No historical outcome is claimed; no accuracy point is awarded.</x:t>
        </x:is>
      </x:c>
    </x:row>
    <x:row r="20">
      <x:c r="A20" s="160" t="inlineStr">
        <x:is>
          <x:t xml:space="preserve">ML0015</x:t>
        </x:is>
      </x:c>
      <x:c r="B20" s="160" t="inlineStr">
        <x:is>
          <x:t xml:space="preserve">ARG-001</x:t>
        </x:is>
      </x:c>
      <x:c r="C20" s="160" t="inlineStr">
        <x:is>
          <x:t xml:space="preserve">IonQ</x:t>
        </x:is>
      </x:c>
      <x:c r="D20" s="160" t="inlineStr">
        <x:is>
          <x:t xml:space="preserve">IONQ</x:t>
        </x:is>
      </x:c>
      <x:c r="E20" s="160" t="inlineStr">
        <x:is>
          <x:t xml:space="preserve">Quantum Computing</x:t>
        </x:is>
      </x:c>
      <x:c r="F20" s="160" t="inlineStr">
        <x:is>
          <x:t xml:space="preserve">Development</x:t>
        </x:is>
      </x:c>
      <x:c r="G20" s="160" t="inlineStr">
        <x:is>
          <x:t xml:space="preserve">S15</x:t>
        </x:is>
      </x:c>
      <x:c r="H20" s="160" t="inlineStr">
        <x:is>
          <x:t xml:space="preserve">Financing / Dilution Per Share</x:t>
        </x:is>
      </x:c>
      <x:c r="I20" s="160" t="inlineStr">
        <x:is>
          <x:t xml:space="preserve">Stewardship</x:t>
        </x:is>
      </x:c>
      <x:c r="J20" s="160" t="inlineStr">
        <x:is>
          <x:t xml:space="preserve">Cash balance or revenue growth improves while financing causes material per-share value leakage.</x:t>
        </x:is>
      </x:c>
      <x:c r="K20" s="160" t="inlineStr">
        <x:is>
          <x:t xml:space="preserve">System/cloud access and services around trapped-ion performance</x:t>
        </x:is>
      </x:c>
      <x:c r="L20" s="160" t="inlineStr">
        <x:is>
          <x:t xml:space="preserve">Milestone scenarios + runway</x:t>
        </x:is>
      </x:c>
      <x:c r="M20" s="160" t="inlineStr">
        <x:is>
          <x:t xml:space="preserve">WAIT FOR PRICE</x:t>
        </x:is>
      </x:c>
      <x:c r="N20" s="160" t="inlineStr">
        <x:is>
          <x:t xml:space="preserve">R-DIL-01</x:t>
        </x:is>
      </x:c>
      <x:c r="O20" s="160" t="inlineStr">
        <x:is>
          <x:t xml:space="preserve">UNFORMED</x:t>
        </x:is>
      </x:c>
      <x:c r="P20" s="160" t="inlineStr">
        <x:is>
          <x:t xml:space="preserve">FAILURE EXPOSED</x:t>
        </x:is>
      </x:c>
      <x:c r="Q20" s="160" t="inlineStr">
        <x:is>
          <x:t xml:space="preserve">The frozen V10 gate family is directionally right, but the test lacks a sufficiently explicit mechanical implementation.</x:t>
        </x:is>
      </x:c>
      <x:c r="R20" s="160" t="inlineStr">
        <x:is>
          <x:t xml:space="preserve">Reconcile share-count growth, SBC, equity issuance, buybacks and net cash changes to per-share intrinsic value.</x:t>
        </x:is>
      </x:c>
      <x:c r="S20" s="160" t="inlineStr">
        <x:is>
          <x:t xml:space="preserve">NO</x:t>
        </x:is>
      </x:c>
      <x:c r="T20" s="160" t="inlineStr">
        <x:is>
          <x:t xml:space="preserve">UNFORMED</x:t>
        </x:is>
      </x:c>
      <x:c r="U20" s="160" t="inlineStr">
        <x:is>
          <x:t xml:space="preserve">V10.5-SIM00</x:t>
        </x:is>
      </x:c>
      <x:c r="V20" s="160" t="inlineStr">
        <x:is>
          <x:t xml:space="preserve">https://investors.ionq.com</x:t>
        </x:is>
      </x:c>
      <x:c r="W20" s="160" t="inlineStr">
        <x:is>
          <x:t xml:space="preserve">NO</x:t>
        </x:is>
      </x:c>
      <x:c r="X20" s="160" t="inlineStr">
        <x:is>
          <x:t xml:space="preserve">NONE — DEVELOPMENT ONLY</x:t>
        </x:is>
      </x:c>
      <x:c r="Y20" s="160" t="inlineStr">
        <x:is>
          <x:t xml:space="preserve">Synthetic/adversarial model-development loop. No historical outcome is claimed; no accuracy point is awarded.</x:t>
        </x:is>
      </x:c>
    </x:row>
    <x:row r="21">
      <x:c r="A21" s="160" t="inlineStr">
        <x:is>
          <x:t xml:space="preserve">ML0016</x:t>
        </x:is>
      </x:c>
      <x:c r="B21" s="160" t="inlineStr">
        <x:is>
          <x:t xml:space="preserve">ARG-001</x:t>
        </x:is>
      </x:c>
      <x:c r="C21" s="160" t="inlineStr">
        <x:is>
          <x:t xml:space="preserve">IonQ</x:t>
        </x:is>
      </x:c>
      <x:c r="D21" s="160" t="inlineStr">
        <x:is>
          <x:t xml:space="preserve">IONQ</x:t>
        </x:is>
      </x:c>
      <x:c r="E21" s="160" t="inlineStr">
        <x:is>
          <x:t xml:space="preserve">Quantum Computing</x:t>
        </x:is>
      </x:c>
      <x:c r="F21" s="160" t="inlineStr">
        <x:is>
          <x:t xml:space="preserve">Development</x:t>
        </x:is>
      </x:c>
      <x:c r="G21" s="160" t="inlineStr">
        <x:is>
          <x:t xml:space="preserve">S16</x:t>
        </x:is>
      </x:c>
      <x:c r="H21" s="160" t="inlineStr">
        <x:is>
          <x:t xml:space="preserve">Concentration / Tail Risk</x:t>
        </x:is>
      </x:c>
      <x:c r="I21" s="160" t="inlineStr">
        <x:is>
          <x:t xml:space="preserve">Survival</x:t>
        </x:is>
      </x:c>
      <x:c r="J21" s="160" t="inlineStr">
        <x:is>
          <x:t xml:space="preserve">A concentrated supplier, geography, customer, product, patent, regulatory or technology dependency creates asymmetric permanent-loss risk.</x:t>
        </x:is>
      </x:c>
      <x:c r="K21" s="160" t="inlineStr">
        <x:is>
          <x:t xml:space="preserve">System/cloud access and services around trapped-ion performance</x:t>
        </x:is>
      </x:c>
      <x:c r="L21" s="160" t="inlineStr">
        <x:is>
          <x:t xml:space="preserve">Milestone scenarios + runway</x:t>
        </x:is>
      </x:c>
      <x:c r="M21" s="160" t="inlineStr">
        <x:is>
          <x:t xml:space="preserve">WAIT FOR PRICE</x:t>
        </x:is>
      </x:c>
      <x:c r="N21" s="160" t="inlineStr">
        <x:is>
          <x:t xml:space="preserve">R-TAIL-01</x:t>
        </x:is>
      </x:c>
      <x:c r="O21" s="160" t="inlineStr">
        <x:is>
          <x:t xml:space="preserve">UNFORMED</x:t>
        </x:is>
      </x:c>
      <x:c r="P21" s="160" t="inlineStr">
        <x:is>
          <x:t xml:space="preserve">FAILURE EXPOSED</x:t>
        </x:is>
      </x:c>
      <x:c r="Q21" s="160" t="inlineStr">
        <x:is>
          <x:t xml:space="preserve">The frozen V10 gate family is directionally right, but the test lacks a sufficiently explicit mechanical implementation.</x:t>
        </x:is>
      </x:c>
      <x:c r="R21" s="160" t="inlineStr">
        <x:is>
          <x:t xml:space="preserve">Maintain an explicit concentration/tail-risk register with probability, severity, mitigation and required margin-of-safety premium.</x:t>
        </x:is>
      </x:c>
      <x:c r="S21" s="160" t="inlineStr">
        <x:is>
          <x:t xml:space="preserve">NO</x:t>
        </x:is>
      </x:c>
      <x:c r="T21" s="160" t="inlineStr">
        <x:is>
          <x:t xml:space="preserve">UNFORMED</x:t>
        </x:is>
      </x:c>
      <x:c r="U21" s="160" t="inlineStr">
        <x:is>
          <x:t xml:space="preserve">V10.5-SIM00</x:t>
        </x:is>
      </x:c>
      <x:c r="V21" s="160" t="inlineStr">
        <x:is>
          <x:t xml:space="preserve">https://investors.ionq.com</x:t>
        </x:is>
      </x:c>
      <x:c r="W21" s="160" t="inlineStr">
        <x:is>
          <x:t xml:space="preserve">NO</x:t>
        </x:is>
      </x:c>
      <x:c r="X21" s="160" t="inlineStr">
        <x:is>
          <x:t xml:space="preserve">NONE — DEVELOPMENT ONLY</x:t>
        </x:is>
      </x:c>
      <x:c r="Y21" s="160" t="inlineStr">
        <x:is>
          <x:t xml:space="preserve">Synthetic/adversarial model-development loop. No historical outcome is claimed; no accuracy point is awarded.</x:t>
        </x:is>
      </x:c>
    </x:row>
    <x:row r="22">
      <x:c r="A22" s="160" t="inlineStr">
        <x:is>
          <x:t xml:space="preserve">ML0017</x:t>
        </x:is>
      </x:c>
      <x:c r="B22" s="160" t="inlineStr">
        <x:is>
          <x:t xml:space="preserve">ARG-002</x:t>
        </x:is>
      </x:c>
      <x:c r="C22" s="160" t="inlineStr">
        <x:is>
          <x:t xml:space="preserve">D-Wave Quantum</x:t>
        </x:is>
      </x:c>
      <x:c r="D22" s="160" t="inlineStr">
        <x:is>
          <x:t xml:space="preserve">QBTS</x:t>
        </x:is>
      </x:c>
      <x:c r="E22" s="160" t="inlineStr">
        <x:is>
          <x:t xml:space="preserve">Quantum Computing</x:t>
        </x:is>
      </x:c>
      <x:c r="F22" s="160" t="inlineStr">
        <x:is>
          <x:t xml:space="preserve">Development</x:t>
        </x:is>
      </x:c>
      <x:c r="G22" s="160" t="inlineStr">
        <x:is>
          <x:t xml:space="preserve">S01</x:t>
        </x:is>
      </x:c>
      <x:c r="H22" s="160" t="inlineStr">
        <x:is>
          <x:t xml:space="preserve">Understanding Gate</x:t>
        </x:is>
      </x:c>
      <x:c r="I22" s="160" t="inlineStr">
        <x:is>
          <x:t xml:space="preserve">Understanding</x:t>
        </x:is>
      </x:c>
      <x:c r="J22" s="160" t="inlineStr">
        <x:is>
          <x:t xml:space="preserve">Causal engine / customer ROI chain breaks under a misleading headline KPI.</x:t>
        </x:is>
      </x:c>
      <x:c r="K22" s="160" t="inlineStr">
        <x:is>
          <x:t xml:space="preserve">Annealing systems, cloud access and professional services</x:t>
        </x:is>
      </x:c>
      <x:c r="L22" s="160" t="inlineStr">
        <x:is>
          <x:t xml:space="preserve">Bookings quality + milestone scenarios</x:t>
        </x:is>
      </x:c>
      <x:c r="M22" s="160" t="inlineStr">
        <x:is>
          <x:t xml:space="preserve">RESEARCH</x:t>
        </x:is>
      </x:c>
      <x:c r="N22" s="160" t="inlineStr">
        <x:is>
          <x:t xml:space="preserve">R-ENG-01</x:t>
        </x:is>
      </x:c>
      <x:c r="O22" s="160" t="inlineStr">
        <x:is>
          <x:t xml:space="preserve">UNFORMED</x:t>
        </x:is>
      </x:c>
      <x:c r="P22" s="160" t="inlineStr">
        <x:is>
          <x:t xml:space="preserve">WEAKNESS EXPOSED</x:t>
        </x:is>
      </x:c>
      <x:c r="Q22" s="160" t="inlineStr">
        <x:is>
          <x:t xml:space="preserve">The frozen V10 gate family is directionally right, but the test lacks a sufficiently explicit mechanical implementation.</x:t>
        </x:is>
      </x:c>
      <x:c r="R22" s="160" t="inlineStr">
        <x:is>
          <x:t xml:space="preserve">Force an explicit engine tree: customer job → unit economics → revenue driver → owner-value bridge.</x:t>
        </x:is>
      </x:c>
      <x:c r="S22" s="160" t="inlineStr">
        <x:is>
          <x:t xml:space="preserve">NO</x:t>
        </x:is>
      </x:c>
      <x:c r="T22" s="160" t="inlineStr">
        <x:is>
          <x:t xml:space="preserve">UNFORMED</x:t>
        </x:is>
      </x:c>
      <x:c r="U22" s="160" t="inlineStr">
        <x:is>
          <x:t xml:space="preserve">V10.5-SIM00</x:t>
        </x:is>
      </x:c>
      <x:c r="V22" s="160" t="inlineStr">
        <x:is>
          <x:t xml:space="preserve">https://ir.dwavesys.com</x:t>
        </x:is>
      </x:c>
      <x:c r="W22" s="160" t="inlineStr">
        <x:is>
          <x:t xml:space="preserve">NO</x:t>
        </x:is>
      </x:c>
      <x:c r="X22" s="160" t="inlineStr">
        <x:is>
          <x:t xml:space="preserve">NONE — DEVELOPMENT ONLY</x:t>
        </x:is>
      </x:c>
      <x:c r="Y22" s="160" t="inlineStr">
        <x:is>
          <x:t xml:space="preserve">Synthetic/adversarial model-development loop. No historical outcome is claimed; no accuracy point is awarded.</x:t>
        </x:is>
      </x:c>
    </x:row>
    <x:row r="23">
      <x:c r="A23" s="160" t="inlineStr">
        <x:is>
          <x:t xml:space="preserve">ML0018</x:t>
        </x:is>
      </x:c>
      <x:c r="B23" s="160" t="inlineStr">
        <x:is>
          <x:t xml:space="preserve">ARG-002</x:t>
        </x:is>
      </x:c>
      <x:c r="C23" s="160" t="inlineStr">
        <x:is>
          <x:t xml:space="preserve">D-Wave Quantum</x:t>
        </x:is>
      </x:c>
      <x:c r="D23" s="160" t="inlineStr">
        <x:is>
          <x:t xml:space="preserve">QBTS</x:t>
        </x:is>
      </x:c>
      <x:c r="E23" s="160" t="inlineStr">
        <x:is>
          <x:t xml:space="preserve">Quantum Computing</x:t>
        </x:is>
      </x:c>
      <x:c r="F23" s="160" t="inlineStr">
        <x:is>
          <x:t xml:space="preserve">Development</x:t>
        </x:is>
      </x:c>
      <x:c r="G23" s="160" t="inlineStr">
        <x:is>
          <x:t xml:space="preserve">S02</x:t>
        </x:is>
      </x:c>
      <x:c r="H23" s="160" t="inlineStr">
        <x:is>
          <x:t xml:space="preserve">Owner Earnings Normalization</x:t>
        </x:is>
      </x:c>
      <x:c r="I23" s="160" t="inlineStr">
        <x:is>
          <x:t xml:space="preserve">Owner Earnings</x:t>
        </x:is>
      </x:c>
      <x:c r="J23" s="160" t="inlineStr">
        <x:is>
          <x:t xml:space="preserve">Reported earnings/FCF overstates economic cash because recurring reinvestment or non-cash compensation is misclassified.</x:t>
        </x:is>
      </x:c>
      <x:c r="K23" s="160" t="inlineStr">
        <x:is>
          <x:t xml:space="preserve">Annealing systems, cloud access and professional services</x:t>
        </x:is>
      </x:c>
      <x:c r="L23" s="160" t="inlineStr">
        <x:is>
          <x:t xml:space="preserve">Bookings quality + milestone scenarios</x:t>
        </x:is>
      </x:c>
      <x:c r="M23" s="160" t="inlineStr">
        <x:is>
          <x:t xml:space="preserve">RESEARCH</x:t>
        </x:is>
      </x:c>
      <x:c r="N23" s="160" t="inlineStr">
        <x:is>
          <x:t xml:space="preserve">R-OE-01</x:t>
        </x:is>
      </x:c>
      <x:c r="O23" s="160" t="inlineStr">
        <x:is>
          <x:t xml:space="preserve">UNFORMED</x:t>
        </x:is>
      </x:c>
      <x:c r="P23" s="160" t="inlineStr">
        <x:is>
          <x:t xml:space="preserve">WEAKNESS EXPOSED</x:t>
        </x:is>
      </x:c>
      <x:c r="Q23" s="160" t="inlineStr">
        <x:is>
          <x:t xml:space="preserve">The frozen V10 gate family is directionally right, but the test lacks a sufficiently explicit mechanical implementation.</x:t>
        </x:is>
      </x:c>
      <x:c r="R23" s="160" t="inlineStr">
        <x:is>
          <x:t xml:space="preserve">Require a GAAP-to-economic-owner-cash bridge tailored to the business model.</x:t>
        </x:is>
      </x:c>
      <x:c r="S23" s="160" t="inlineStr">
        <x:is>
          <x:t xml:space="preserve">NO</x:t>
        </x:is>
      </x:c>
      <x:c r="T23" s="160" t="inlineStr">
        <x:is>
          <x:t xml:space="preserve">UNFORMED</x:t>
        </x:is>
      </x:c>
      <x:c r="U23" s="160" t="inlineStr">
        <x:is>
          <x:t xml:space="preserve">V10.5-SIM00</x:t>
        </x:is>
      </x:c>
      <x:c r="V23" s="160" t="inlineStr">
        <x:is>
          <x:t xml:space="preserve">https://ir.dwavesys.com</x:t>
        </x:is>
      </x:c>
      <x:c r="W23" s="160" t="inlineStr">
        <x:is>
          <x:t xml:space="preserve">NO</x:t>
        </x:is>
      </x:c>
      <x:c r="X23" s="160" t="inlineStr">
        <x:is>
          <x:t xml:space="preserve">NONE — DEVELOPMENT ONLY</x:t>
        </x:is>
      </x:c>
      <x:c r="Y23" s="160" t="inlineStr">
        <x:is>
          <x:t xml:space="preserve">Synthetic/adversarial model-development loop. No historical outcome is claimed; no accuracy point is awarded.</x:t>
        </x:is>
      </x:c>
    </x:row>
    <x:row r="24">
      <x:c r="A24" s="160" t="inlineStr">
        <x:is>
          <x:t xml:space="preserve">ML0019</x:t>
        </x:is>
      </x:c>
      <x:c r="B24" s="160" t="inlineStr">
        <x:is>
          <x:t xml:space="preserve">ARG-002</x:t>
        </x:is>
      </x:c>
      <x:c r="C24" s="160" t="inlineStr">
        <x:is>
          <x:t xml:space="preserve">D-Wave Quantum</x:t>
        </x:is>
      </x:c>
      <x:c r="D24" s="160" t="inlineStr">
        <x:is>
          <x:t xml:space="preserve">QBTS</x:t>
        </x:is>
      </x:c>
      <x:c r="E24" s="160" t="inlineStr">
        <x:is>
          <x:t xml:space="preserve">Quantum Computing</x:t>
        </x:is>
      </x:c>
      <x:c r="F24" s="160" t="inlineStr">
        <x:is>
          <x:t xml:space="preserve">Development</x:t>
        </x:is>
      </x:c>
      <x:c r="G24" s="160" t="inlineStr">
        <x:is>
          <x:t xml:space="preserve">S03</x:t>
        </x:is>
      </x:c>
      <x:c r="H24" s="160" t="inlineStr">
        <x:is>
          <x:t xml:space="preserve">Moat Durability</x:t>
        </x:is>
      </x:c>
      <x:c r="I24" s="160" t="inlineStr">
        <x:is>
          <x:t xml:space="preserve">Moat 2036</x:t>
        </x:is>
      </x:c>
      <x:c r="J24" s="160" t="inlineStr">
        <x:is>
          <x:t xml:space="preserve">Growth continues while switching friction, pricing power or replacement difficulty quietly weakens.</x:t>
        </x:is>
      </x:c>
      <x:c r="K24" s="160" t="inlineStr">
        <x:is>
          <x:t xml:space="preserve">Annealing systems, cloud access and professional services</x:t>
        </x:is>
      </x:c>
      <x:c r="L24" s="160" t="inlineStr">
        <x:is>
          <x:t xml:space="preserve">Bookings quality + milestone scenarios</x:t>
        </x:is>
      </x:c>
      <x:c r="M24" s="160" t="inlineStr">
        <x:is>
          <x:t xml:space="preserve">RESEARCH</x:t>
        </x:is>
      </x:c>
      <x:c r="N24" s="160" t="inlineStr">
        <x:is>
          <x:t xml:space="preserve">R-MOAT-01</x:t>
        </x:is>
      </x:c>
      <x:c r="O24" s="160" t="inlineStr">
        <x:is>
          <x:t xml:space="preserve">UNFORMED</x:t>
        </x:is>
      </x:c>
      <x:c r="P24" s="160" t="inlineStr">
        <x:is>
          <x:t xml:space="preserve">WEAKNESS EXPOSED</x:t>
        </x:is>
      </x:c>
      <x:c r="Q24" s="160" t="inlineStr">
        <x:is>
          <x:t xml:space="preserve">The frozen V10 gate family is directionally right, but the test lacks a sufficiently explicit mechanical implementation.</x:t>
        </x:is>
      </x:c>
      <x:c r="R24" s="160" t="inlineStr">
        <x:is>
          <x:t xml:space="preserve">Track moat telemetry separately from growth: retention, pricing, win/loss, replacement friction, installed-base behavior.</x:t>
        </x:is>
      </x:c>
      <x:c r="S24" s="160" t="inlineStr">
        <x:is>
          <x:t xml:space="preserve">NO</x:t>
        </x:is>
      </x:c>
      <x:c r="T24" s="160" t="inlineStr">
        <x:is>
          <x:t xml:space="preserve">UNFORMED</x:t>
        </x:is>
      </x:c>
      <x:c r="U24" s="160" t="inlineStr">
        <x:is>
          <x:t xml:space="preserve">V10.5-SIM00</x:t>
        </x:is>
      </x:c>
      <x:c r="V24" s="160" t="inlineStr">
        <x:is>
          <x:t xml:space="preserve">https://ir.dwavesys.com</x:t>
        </x:is>
      </x:c>
      <x:c r="W24" s="160" t="inlineStr">
        <x:is>
          <x:t xml:space="preserve">NO</x:t>
        </x:is>
      </x:c>
      <x:c r="X24" s="160" t="inlineStr">
        <x:is>
          <x:t xml:space="preserve">NONE — DEVELOPMENT ONLY</x:t>
        </x:is>
      </x:c>
      <x:c r="Y24" s="160" t="inlineStr">
        <x:is>
          <x:t xml:space="preserve">Synthetic/adversarial model-development loop. No historical outcome is claimed; no accuracy point is awarded.</x:t>
        </x:is>
      </x:c>
    </x:row>
    <x:row r="25">
      <x:c r="A25" s="160" t="inlineStr">
        <x:is>
          <x:t xml:space="preserve">ML0020</x:t>
        </x:is>
      </x:c>
      <x:c r="B25" s="160" t="inlineStr">
        <x:is>
          <x:t xml:space="preserve">ARG-002</x:t>
        </x:is>
      </x:c>
      <x:c r="C25" s="160" t="inlineStr">
        <x:is>
          <x:t xml:space="preserve">D-Wave Quantum</x:t>
        </x:is>
      </x:c>
      <x:c r="D25" s="160" t="inlineStr">
        <x:is>
          <x:t xml:space="preserve">QBTS</x:t>
        </x:is>
      </x:c>
      <x:c r="E25" s="160" t="inlineStr">
        <x:is>
          <x:t xml:space="preserve">Quantum Computing</x:t>
        </x:is>
      </x:c>
      <x:c r="F25" s="160" t="inlineStr">
        <x:is>
          <x:t xml:space="preserve">Development</x:t>
        </x:is>
      </x:c>
      <x:c r="G25" s="160" t="inlineStr">
        <x:is>
          <x:t xml:space="preserve">S04</x:t>
        </x:is>
      </x:c>
      <x:c r="H25" s="160" t="inlineStr">
        <x:is>
          <x:t xml:space="preserve">Stewardship / Capital Allocation</x:t>
        </x:is>
      </x:c>
      <x:c r="I25" s="160" t="inlineStr">
        <x:is>
          <x:t xml:space="preserve">Stewardship</x:t>
        </x:is>
      </x:c>
      <x:c r="J25" s="160" t="inlineStr">
        <x:is>
          <x:t xml:space="preserve">Management creates enterprise growth while destroying per-share value through M&amp;A, dilution, leverage or mistimed buybacks.</x:t>
        </x:is>
      </x:c>
      <x:c r="K25" s="160" t="inlineStr">
        <x:is>
          <x:t xml:space="preserve">Annealing systems, cloud access and professional services</x:t>
        </x:is>
      </x:c>
      <x:c r="L25" s="160" t="inlineStr">
        <x:is>
          <x:t xml:space="preserve">Bookings quality + milestone scenarios</x:t>
        </x:is>
      </x:c>
      <x:c r="M25" s="160" t="inlineStr">
        <x:is>
          <x:t xml:space="preserve">RESEARCH</x:t>
        </x:is>
      </x:c>
      <x:c r="N25" s="160" t="inlineStr">
        <x:is>
          <x:t xml:space="preserve">R-STEW-01</x:t>
        </x:is>
      </x:c>
      <x:c r="O25" s="160" t="inlineStr">
        <x:is>
          <x:t xml:space="preserve">UNFORMED</x:t>
        </x:is>
      </x:c>
      <x:c r="P25" s="160" t="inlineStr">
        <x:is>
          <x:t xml:space="preserve">WEAKNESS EXPOSED</x:t>
        </x:is>
      </x:c>
      <x:c r="Q25" s="160" t="inlineStr">
        <x:is>
          <x:t xml:space="preserve">The frozen V10 gate family is directionally right, but the test lacks a sufficiently explicit mechanical implementation.</x:t>
        </x:is>
      </x:c>
      <x:c r="R25" s="160" t="inlineStr">
        <x:is>
          <x:t xml:space="preserve">Evaluate capital allocation on a per-share basis using acquisition cohorts, dilution, leverage and repurchase price discipline.</x:t>
        </x:is>
      </x:c>
      <x:c r="S25" s="160" t="inlineStr">
        <x:is>
          <x:t xml:space="preserve">NO</x:t>
        </x:is>
      </x:c>
      <x:c r="T25" s="160" t="inlineStr">
        <x:is>
          <x:t xml:space="preserve">UNFORMED</x:t>
        </x:is>
      </x:c>
      <x:c r="U25" s="160" t="inlineStr">
        <x:is>
          <x:t xml:space="preserve">V10.5-SIM00</x:t>
        </x:is>
      </x:c>
      <x:c r="V25" s="160" t="inlineStr">
        <x:is>
          <x:t xml:space="preserve">https://ir.dwavesys.com</x:t>
        </x:is>
      </x:c>
      <x:c r="W25" s="160" t="inlineStr">
        <x:is>
          <x:t xml:space="preserve">NO</x:t>
        </x:is>
      </x:c>
      <x:c r="X25" s="160" t="inlineStr">
        <x:is>
          <x:t xml:space="preserve">NONE — DEVELOPMENT ONLY</x:t>
        </x:is>
      </x:c>
      <x:c r="Y25" s="160" t="inlineStr">
        <x:is>
          <x:t xml:space="preserve">Synthetic/adversarial model-development loop. No historical outcome is claimed; no accuracy point is awarded.</x:t>
        </x:is>
      </x:c>
    </x:row>
    <x:row r="26">
      <x:c r="A26" s="160" t="inlineStr">
        <x:is>
          <x:t xml:space="preserve">ML0021</x:t>
        </x:is>
      </x:c>
      <x:c r="B26" s="160" t="inlineStr">
        <x:is>
          <x:t xml:space="preserve">ARG-002</x:t>
        </x:is>
      </x:c>
      <x:c r="C26" s="160" t="inlineStr">
        <x:is>
          <x:t xml:space="preserve">D-Wave Quantum</x:t>
        </x:is>
      </x:c>
      <x:c r="D26" s="160" t="inlineStr">
        <x:is>
          <x:t xml:space="preserve">QBTS</x:t>
        </x:is>
      </x:c>
      <x:c r="E26" s="160" t="inlineStr">
        <x:is>
          <x:t xml:space="preserve">Quantum Computing</x:t>
        </x:is>
      </x:c>
      <x:c r="F26" s="160" t="inlineStr">
        <x:is>
          <x:t xml:space="preserve">Development</x:t>
        </x:is>
      </x:c>
      <x:c r="G26" s="160" t="inlineStr">
        <x:is>
          <x:t xml:space="preserve">S05</x:t>
        </x:is>
      </x:c>
      <x:c r="H26" s="160" t="inlineStr">
        <x:is>
          <x:t xml:space="preserve">Survival / Funding</x:t>
        </x:is>
      </x:c>
      <x:c r="I26" s="160" t="inlineStr">
        <x:is>
          <x:t xml:space="preserve">Survival</x:t>
        </x:is>
      </x:c>
      <x:c r="J26" s="160" t="inlineStr">
        <x:is>
          <x:t xml:space="preserve">A plausible bear case exposes refinancing, liquidity, covenant, reserve, regulatory or operational fragility.</x:t>
        </x:is>
      </x:c>
      <x:c r="K26" s="160" t="inlineStr">
        <x:is>
          <x:t xml:space="preserve">Annealing systems, cloud access and professional services</x:t>
        </x:is>
      </x:c>
      <x:c r="L26" s="160" t="inlineStr">
        <x:is>
          <x:t xml:space="preserve">Bookings quality + milestone scenarios</x:t>
        </x:is>
      </x:c>
      <x:c r="M26" s="160" t="inlineStr">
        <x:is>
          <x:t xml:space="preserve">RESEARCH</x:t>
        </x:is>
      </x:c>
      <x:c r="N26" s="160" t="inlineStr">
        <x:is>
          <x:t xml:space="preserve">R-SURV-01</x:t>
        </x:is>
      </x:c>
      <x:c r="O26" s="160" t="inlineStr">
        <x:is>
          <x:t xml:space="preserve">UNFORMED</x:t>
        </x:is>
      </x:c>
      <x:c r="P26" s="160" t="inlineStr">
        <x:is>
          <x:t xml:space="preserve">FAILURE EXPOSED</x:t>
        </x:is>
      </x:c>
      <x:c r="Q26" s="160" t="inlineStr">
        <x:is>
          <x:t xml:space="preserve">The frozen V10 gate family is directionally right, but the test lacks a sufficiently explicit mechanical implementation.</x:t>
        </x:is>
      </x:c>
      <x:c r="R26" s="160" t="inlineStr">
        <x:is>
          <x:t xml:space="preserve">Run a company-specific survival bridge under a severe-but-plausible bear case before any upside underwriting.</x:t>
        </x:is>
      </x:c>
      <x:c r="S26" s="160" t="inlineStr">
        <x:is>
          <x:t xml:space="preserve">NO</x:t>
        </x:is>
      </x:c>
      <x:c r="T26" s="160" t="inlineStr">
        <x:is>
          <x:t xml:space="preserve">UNFORMED</x:t>
        </x:is>
      </x:c>
      <x:c r="U26" s="160" t="inlineStr">
        <x:is>
          <x:t xml:space="preserve">V10.5-SIM00</x:t>
        </x:is>
      </x:c>
      <x:c r="V26" s="160" t="inlineStr">
        <x:is>
          <x:t xml:space="preserve">https://ir.dwavesys.com</x:t>
        </x:is>
      </x:c>
      <x:c r="W26" s="160" t="inlineStr">
        <x:is>
          <x:t xml:space="preserve">NO</x:t>
        </x:is>
      </x:c>
      <x:c r="X26" s="160" t="inlineStr">
        <x:is>
          <x:t xml:space="preserve">NONE — DEVELOPMENT ONLY</x:t>
        </x:is>
      </x:c>
      <x:c r="Y26" s="160" t="inlineStr">
        <x:is>
          <x:t xml:space="preserve">Synthetic/adversarial model-development loop. No historical outcome is claimed; no accuracy point is awarded.</x:t>
        </x:is>
      </x:c>
    </x:row>
    <x:row r="27">
      <x:c r="A27" s="160" t="inlineStr">
        <x:is>
          <x:t xml:space="preserve">ML0022</x:t>
        </x:is>
      </x:c>
      <x:c r="B27" s="160" t="inlineStr">
        <x:is>
          <x:t xml:space="preserve">ARG-002</x:t>
        </x:is>
      </x:c>
      <x:c r="C27" s="160" t="inlineStr">
        <x:is>
          <x:t xml:space="preserve">D-Wave Quantum</x:t>
        </x:is>
      </x:c>
      <x:c r="D27" s="160" t="inlineStr">
        <x:is>
          <x:t xml:space="preserve">QBTS</x:t>
        </x:is>
      </x:c>
      <x:c r="E27" s="160" t="inlineStr">
        <x:is>
          <x:t xml:space="preserve">Quantum Computing</x:t>
        </x:is>
      </x:c>
      <x:c r="F27" s="160" t="inlineStr">
        <x:is>
          <x:t xml:space="preserve">Development</x:t>
        </x:is>
      </x:c>
      <x:c r="G27" s="160" t="inlineStr">
        <x:is>
          <x:t xml:space="preserve">S06</x:t>
        </x:is>
      </x:c>
      <x:c r="H27" s="160" t="inlineStr">
        <x:is>
          <x:t xml:space="preserve">Margin of Safety</x:t>
        </x:is>
      </x:c>
      <x:c r="I27" s="160" t="inlineStr">
        <x:is>
          <x:t xml:space="preserve">Margin of Safety</x:t>
        </x:is>
      </x:c>
      <x:c r="J27" s="160" t="inlineStr">
        <x:is>
          <x:t xml:space="preserve">Business quality is high but the price embeds a fragile bull case.</x:t>
        </x:is>
      </x:c>
      <x:c r="K27" s="160" t="inlineStr">
        <x:is>
          <x:t xml:space="preserve">Annealing systems, cloud access and professional services</x:t>
        </x:is>
      </x:c>
      <x:c r="L27" s="160" t="inlineStr">
        <x:is>
          <x:t xml:space="preserve">Bookings quality + milestone scenarios</x:t>
        </x:is>
      </x:c>
      <x:c r="M27" s="160" t="inlineStr">
        <x:is>
          <x:t xml:space="preserve">RESEARCH</x:t>
        </x:is>
      </x:c>
      <x:c r="N27" s="160" t="inlineStr">
        <x:is>
          <x:t xml:space="preserve">R-MOS-01</x:t>
        </x:is>
      </x:c>
      <x:c r="O27" s="160" t="inlineStr">
        <x:is>
          <x:t xml:space="preserve">UNFORMED</x:t>
        </x:is>
      </x:c>
      <x:c r="P27" s="160" t="inlineStr">
        <x:is>
          <x:t xml:space="preserve">WEAKNESS EXPOSED</x:t>
        </x:is>
      </x:c>
      <x:c r="Q27" s="160" t="inlineStr">
        <x:is>
          <x:t xml:space="preserve">The frozen V10 gate family is directionally right, but the test lacks a sufficiently explicit mechanical implementation.</x:t>
        </x:is>
      </x:c>
      <x:c r="R27" s="160" t="inlineStr">
        <x:is>
          <x:t xml:space="preserve">Separate business-quality score from price decision; require reverse valuation and bear/base/bull IV ranges.</x:t>
        </x:is>
      </x:c>
      <x:c r="S27" s="160" t="inlineStr">
        <x:is>
          <x:t xml:space="preserve">NO</x:t>
        </x:is>
      </x:c>
      <x:c r="T27" s="160" t="inlineStr">
        <x:is>
          <x:t xml:space="preserve">UNFORMED</x:t>
        </x:is>
      </x:c>
      <x:c r="U27" s="160" t="inlineStr">
        <x:is>
          <x:t xml:space="preserve">V10.5-SIM00</x:t>
        </x:is>
      </x:c>
      <x:c r="V27" s="160" t="inlineStr">
        <x:is>
          <x:t xml:space="preserve">https://ir.dwavesys.com</x:t>
        </x:is>
      </x:c>
      <x:c r="W27" s="160" t="inlineStr">
        <x:is>
          <x:t xml:space="preserve">NO</x:t>
        </x:is>
      </x:c>
      <x:c r="X27" s="160" t="inlineStr">
        <x:is>
          <x:t xml:space="preserve">NONE — DEVELOPMENT ONLY</x:t>
        </x:is>
      </x:c>
      <x:c r="Y27" s="160" t="inlineStr">
        <x:is>
          <x:t xml:space="preserve">Synthetic/adversarial model-development loop. No historical outcome is claimed; no accuracy point is awarded.</x:t>
        </x:is>
      </x:c>
    </x:row>
    <x:row r="28">
      <x:c r="A28" s="160" t="inlineStr">
        <x:is>
          <x:t xml:space="preserve">ML0023</x:t>
        </x:is>
      </x:c>
      <x:c r="B28" s="160" t="inlineStr">
        <x:is>
          <x:t xml:space="preserve">ARG-002</x:t>
        </x:is>
      </x:c>
      <x:c r="C28" s="160" t="inlineStr">
        <x:is>
          <x:t xml:space="preserve">D-Wave Quantum</x:t>
        </x:is>
      </x:c>
      <x:c r="D28" s="160" t="inlineStr">
        <x:is>
          <x:t xml:space="preserve">QBTS</x:t>
        </x:is>
      </x:c>
      <x:c r="E28" s="160" t="inlineStr">
        <x:is>
          <x:t xml:space="preserve">Quantum Computing</x:t>
        </x:is>
      </x:c>
      <x:c r="F28" s="160" t="inlineStr">
        <x:is>
          <x:t xml:space="preserve">Development</x:t>
        </x:is>
      </x:c>
      <x:c r="G28" s="160" t="inlineStr">
        <x:is>
          <x:t xml:space="preserve">S07</x:t>
        </x:is>
      </x:c>
      <x:c r="H28" s="160" t="inlineStr">
        <x:is>
          <x:t xml:space="preserve">Sector Shock</x:t>
        </x:is>
      </x:c>
      <x:c r="I28" s="160" t="inlineStr">
        <x:is>
          <x:t xml:space="preserve">Sector-specific</x:t>
        </x:is>
      </x:c>
      <x:c r="J28" s="160" t="inlineStr">
        <x:is>
          <x:t xml:space="preserve">Technical milestone improves but paid recurring use, bookings conversion and dilution-adjusted economics lag.</x:t>
        </x:is>
      </x:c>
      <x:c r="K28" s="160" t="inlineStr">
        <x:is>
          <x:t xml:space="preserve">Annealing systems, cloud access and professional services</x:t>
        </x:is>
      </x:c>
      <x:c r="L28" s="160" t="inlineStr">
        <x:is>
          <x:t xml:space="preserve">Bookings quality + milestone scenarios</x:t>
        </x:is>
      </x:c>
      <x:c r="M28" s="160" t="inlineStr">
        <x:is>
          <x:t xml:space="preserve">RESEARCH</x:t>
        </x:is>
      </x:c>
      <x:c r="N28" s="160" t="inlineStr">
        <x:is>
          <x:t xml:space="preserve">R-SECTOR-QUANTUM-COMPUTING</x:t>
        </x:is>
      </x:c>
      <x:c r="O28" s="160" t="inlineStr">
        <x:is>
          <x:t xml:space="preserve">UNFORMED</x:t>
        </x:is>
      </x:c>
      <x:c r="P28" s="160" t="inlineStr">
        <x:is>
          <x:t xml:space="preserve">FAILURE EXPOSED</x:t>
        </x:is>
      </x:c>
      <x:c r="Q28" s="160" t="inlineStr">
        <x:is>
          <x:t xml:space="preserve">The frozen V10 gate family is directionally right, but the test lacks a sufficiently explicit mechanical implementation.</x:t>
        </x:is>
      </x:c>
      <x:c r="R28" s="160" t="inlineStr">
        <x:is>
          <x:t xml:space="preserve">Add a sector-specific transmission map with leading operating sensors, not only market-price variables. Sector rule: Technical milestone improves but paid recurring use, bookings conversion and dilution-adjusted economics lag.</x:t>
        </x:is>
      </x:c>
      <x:c r="S28" s="160" t="inlineStr">
        <x:is>
          <x:t xml:space="preserve">YES — SIMULATION ONLY</x:t>
        </x:is>
      </x:c>
      <x:c r="T28" s="160" t="inlineStr">
        <x:is>
          <x:t xml:space="preserve">BASE</x:t>
        </x:is>
      </x:c>
      <x:c r="U28" s="160" t="inlineStr">
        <x:is>
          <x:t xml:space="preserve">V10.5-SIM01</x:t>
        </x:is>
      </x:c>
      <x:c r="V28" s="160" t="inlineStr">
        <x:is>
          <x:t xml:space="preserve">https://ir.dwavesys.com</x:t>
        </x:is>
      </x:c>
      <x:c r="W28" s="160" t="inlineStr">
        <x:is>
          <x:t xml:space="preserve">NO</x:t>
        </x:is>
      </x:c>
      <x:c r="X28" s="160" t="inlineStr">
        <x:is>
          <x:t xml:space="preserve">NONE — DEVELOPMENT ONLY</x:t>
        </x:is>
      </x:c>
      <x:c r="Y28" s="160" t="inlineStr">
        <x:is>
          <x:t xml:space="preserve">Synthetic/adversarial model-development loop. No historical outcome is claimed; no accuracy point is awarded.</x:t>
        </x:is>
      </x:c>
    </x:row>
    <x:row r="29">
      <x:c r="A29" s="160" t="inlineStr">
        <x:is>
          <x:t xml:space="preserve">ML0024</x:t>
        </x:is>
      </x:c>
      <x:c r="B29" s="160" t="inlineStr">
        <x:is>
          <x:t xml:space="preserve">ARG-002</x:t>
        </x:is>
      </x:c>
      <x:c r="C29" s="160" t="inlineStr">
        <x:is>
          <x:t xml:space="preserve">D-Wave Quantum</x:t>
        </x:is>
      </x:c>
      <x:c r="D29" s="160" t="inlineStr">
        <x:is>
          <x:t xml:space="preserve">QBTS</x:t>
        </x:is>
      </x:c>
      <x:c r="E29" s="160" t="inlineStr">
        <x:is>
          <x:t xml:space="preserve">Quantum Computing</x:t>
        </x:is>
      </x:c>
      <x:c r="F29" s="160" t="inlineStr">
        <x:is>
          <x:t xml:space="preserve">Development</x:t>
        </x:is>
      </x:c>
      <x:c r="G29" s="160" t="inlineStr">
        <x:is>
          <x:t xml:space="preserve">S08</x:t>
        </x:is>
      </x:c>
      <x:c r="H29" s="160" t="inlineStr">
        <x:is>
          <x:t xml:space="preserve">Management Promise Reliability</x:t>
        </x:is>
      </x:c>
      <x:c r="I29" s="160" t="inlineStr">
        <x:is>
          <x:t xml:space="preserve">Management over-trust</x:t>
        </x:is>
      </x:c>
      <x:c r="J29" s="160" t="inlineStr">
        <x:is>
          <x:t xml:space="preserve">Guidance or strategic promises are repeated but the model lacks a contemporaneous reliability score.</x:t>
        </x:is>
      </x:c>
      <x:c r="K29" s="160" t="inlineStr">
        <x:is>
          <x:t xml:space="preserve">Annealing systems, cloud access and professional services</x:t>
        </x:is>
      </x:c>
      <x:c r="L29" s="160" t="inlineStr">
        <x:is>
          <x:t xml:space="preserve">Bookings quality + milestone scenarios</x:t>
        </x:is>
      </x:c>
      <x:c r="M29" s="160" t="inlineStr">
        <x:is>
          <x:t xml:space="preserve">RESEARCH</x:t>
        </x:is>
      </x:c>
      <x:c r="N29" s="160" t="inlineStr">
        <x:is>
          <x:t xml:space="preserve">R-PROM-01</x:t>
        </x:is>
      </x:c>
      <x:c r="O29" s="160" t="inlineStr">
        <x:is>
          <x:t xml:space="preserve">UNFORMED</x:t>
        </x:is>
      </x:c>
      <x:c r="P29" s="160" t="inlineStr">
        <x:is>
          <x:t xml:space="preserve">WEAKNESS EXPOSED</x:t>
        </x:is>
      </x:c>
      <x:c r="Q29" s="160" t="inlineStr">
        <x:is>
          <x:t xml:space="preserve">The frozen V10 gate family is directionally right, but the test lacks a sufficiently explicit mechanical implementation.</x:t>
        </x:is>
      </x:c>
      <x:c r="R29" s="160" t="inlineStr">
        <x:is>
          <x:t xml:space="preserve">Use a promises ledger with dated promise, measurable deliverable, due date, outcome and credibility weight.</x:t>
        </x:is>
      </x:c>
      <x:c r="S29" s="160" t="inlineStr">
        <x:is>
          <x:t xml:space="preserve">NO</x:t>
        </x:is>
      </x:c>
      <x:c r="T29" s="160" t="inlineStr">
        <x:is>
          <x:t xml:space="preserve">UNFORMED</x:t>
        </x:is>
      </x:c>
      <x:c r="U29" s="160" t="inlineStr">
        <x:is>
          <x:t xml:space="preserve">V10.5-SIM01</x:t>
        </x:is>
      </x:c>
      <x:c r="V29" s="160" t="inlineStr">
        <x:is>
          <x:t xml:space="preserve">https://ir.dwavesys.com</x:t>
        </x:is>
      </x:c>
      <x:c r="W29" s="160" t="inlineStr">
        <x:is>
          <x:t xml:space="preserve">NO</x:t>
        </x:is>
      </x:c>
      <x:c r="X29" s="160" t="inlineStr">
        <x:is>
          <x:t xml:space="preserve">NONE — DEVELOPMENT ONLY</x:t>
        </x:is>
      </x:c>
      <x:c r="Y29" s="160" t="inlineStr">
        <x:is>
          <x:t xml:space="preserve">Synthetic/adversarial model-development loop. No historical outcome is claimed; no accuracy point is awarded.</x:t>
        </x:is>
      </x:c>
    </x:row>
    <x:row r="30">
      <x:c r="A30" s="160" t="inlineStr">
        <x:is>
          <x:t xml:space="preserve">ML0025</x:t>
        </x:is>
      </x:c>
      <x:c r="B30" s="160" t="inlineStr">
        <x:is>
          <x:t xml:space="preserve">ARG-002</x:t>
        </x:is>
      </x:c>
      <x:c r="C30" s="160" t="inlineStr">
        <x:is>
          <x:t xml:space="preserve">D-Wave Quantum</x:t>
        </x:is>
      </x:c>
      <x:c r="D30" s="160" t="inlineStr">
        <x:is>
          <x:t xml:space="preserve">QBTS</x:t>
        </x:is>
      </x:c>
      <x:c r="E30" s="160" t="inlineStr">
        <x:is>
          <x:t xml:space="preserve">Quantum Computing</x:t>
        </x:is>
      </x:c>
      <x:c r="F30" s="160" t="inlineStr">
        <x:is>
          <x:t xml:space="preserve">Development</x:t>
        </x:is>
      </x:c>
      <x:c r="G30" s="160" t="inlineStr">
        <x:is>
          <x:t xml:space="preserve">S09</x:t>
        </x:is>
      </x:c>
      <x:c r="H30" s="160" t="inlineStr">
        <x:is>
          <x:t xml:space="preserve">Data / Accounting Quality</x:t>
        </x:is>
      </x:c>
      <x:c r="I30" s="160" t="inlineStr">
        <x:is>
          <x:t xml:space="preserve">Data quality</x:t>
        </x:is>
      </x:c>
      <x:c r="J30" s="160" t="inlineStr">
        <x:is>
          <x:t xml:space="preserve">Restatement, segment reclassification, one-time item or non-economic fair-value movement distorts the apparent trend.</x:t>
        </x:is>
      </x:c>
      <x:c r="K30" s="160" t="inlineStr">
        <x:is>
          <x:t xml:space="preserve">Annealing systems, cloud access and professional services</x:t>
        </x:is>
      </x:c>
      <x:c r="L30" s="160" t="inlineStr">
        <x:is>
          <x:t xml:space="preserve">Bookings quality + milestone scenarios</x:t>
        </x:is>
      </x:c>
      <x:c r="M30" s="160" t="inlineStr">
        <x:is>
          <x:t xml:space="preserve">RESEARCH</x:t>
        </x:is>
      </x:c>
      <x:c r="N30" s="160" t="inlineStr">
        <x:is>
          <x:t xml:space="preserve">R-DATA-01</x:t>
        </x:is>
      </x:c>
      <x:c r="O30" s="160" t="inlineStr">
        <x:is>
          <x:t xml:space="preserve">UNFORMED</x:t>
        </x:is>
      </x:c>
      <x:c r="P30" s="160" t="inlineStr">
        <x:is>
          <x:t xml:space="preserve">WEAKNESS EXPOSED</x:t>
        </x:is>
      </x:c>
      <x:c r="Q30" s="160" t="inlineStr">
        <x:is>
          <x:t xml:space="preserve">The frozen V10 gate family is directionally right, but the test lacks a sufficiently explicit mechanical implementation.</x:t>
        </x:is>
      </x:c>
      <x:c r="R30" s="160" t="inlineStr">
        <x:is>
          <x:t xml:space="preserve">Add a reporting-quality bridge and normalize accounting noise before any gate can pass.</x:t>
        </x:is>
      </x:c>
      <x:c r="S30" s="160" t="inlineStr">
        <x:is>
          <x:t xml:space="preserve">NO</x:t>
        </x:is>
      </x:c>
      <x:c r="T30" s="160" t="inlineStr">
        <x:is>
          <x:t xml:space="preserve">UNFORMED</x:t>
        </x:is>
      </x:c>
      <x:c r="U30" s="160" t="inlineStr">
        <x:is>
          <x:t xml:space="preserve">V10.5-SIM01</x:t>
        </x:is>
      </x:c>
      <x:c r="V30" s="160" t="inlineStr">
        <x:is>
          <x:t xml:space="preserve">https://ir.dwavesys.com</x:t>
        </x:is>
      </x:c>
      <x:c r="W30" s="160" t="inlineStr">
        <x:is>
          <x:t xml:space="preserve">NO</x:t>
        </x:is>
      </x:c>
      <x:c r="X30" s="160" t="inlineStr">
        <x:is>
          <x:t xml:space="preserve">NONE — DEVELOPMENT ONLY</x:t>
        </x:is>
      </x:c>
      <x:c r="Y30" s="160" t="inlineStr">
        <x:is>
          <x:t xml:space="preserve">Synthetic/adversarial model-development loop. No historical outcome is claimed; no accuracy point is awarded.</x:t>
        </x:is>
      </x:c>
    </x:row>
    <x:row r="31">
      <x:c r="A31" s="160" t="inlineStr">
        <x:is>
          <x:t xml:space="preserve">ML0026</x:t>
        </x:is>
      </x:c>
      <x:c r="B31" s="160" t="inlineStr">
        <x:is>
          <x:t xml:space="preserve">ARG-002</x:t>
        </x:is>
      </x:c>
      <x:c r="C31" s="160" t="inlineStr">
        <x:is>
          <x:t xml:space="preserve">D-Wave Quantum</x:t>
        </x:is>
      </x:c>
      <x:c r="D31" s="160" t="inlineStr">
        <x:is>
          <x:t xml:space="preserve">QBTS</x:t>
        </x:is>
      </x:c>
      <x:c r="E31" s="160" t="inlineStr">
        <x:is>
          <x:t xml:space="preserve">Quantum Computing</x:t>
        </x:is>
      </x:c>
      <x:c r="F31" s="160" t="inlineStr">
        <x:is>
          <x:t xml:space="preserve">Development</x:t>
        </x:is>
      </x:c>
      <x:c r="G31" s="160" t="inlineStr">
        <x:is>
          <x:t xml:space="preserve">S10</x:t>
        </x:is>
      </x:c>
      <x:c r="H31" s="160" t="inlineStr">
        <x:is>
          <x:t xml:space="preserve">Control / Counterfactual</x:t>
        </x:is>
      </x:c>
      <x:c r="I31" s="160" t="inlineStr">
        <x:is>
          <x:t xml:space="preserve">Sector beta vs company alpha</x:t>
        </x:is>
      </x:c>
      <x:c r="J31" s="160" t="inlineStr">
        <x:is>
          <x:t xml:space="preserve">A positive outcome is mostly sector beta or macro tailwind, not company-specific alpha.</x:t>
        </x:is>
      </x:c>
      <x:c r="K31" s="160" t="inlineStr">
        <x:is>
          <x:t xml:space="preserve">Annealing systems, cloud access and professional services</x:t>
        </x:is>
      </x:c>
      <x:c r="L31" s="160" t="inlineStr">
        <x:is>
          <x:t xml:space="preserve">Bookings quality + milestone scenarios</x:t>
        </x:is>
      </x:c>
      <x:c r="M31" s="160" t="inlineStr">
        <x:is>
          <x:t xml:space="preserve">RESEARCH</x:t>
        </x:is>
      </x:c>
      <x:c r="N31" s="160" t="inlineStr">
        <x:is>
          <x:t xml:space="preserve">R-CF-01</x:t>
        </x:is>
      </x:c>
      <x:c r="O31" s="160" t="inlineStr">
        <x:is>
          <x:t xml:space="preserve">UNFORMED</x:t>
        </x:is>
      </x:c>
      <x:c r="P31" s="160" t="inlineStr">
        <x:is>
          <x:t xml:space="preserve">WEAKNESS EXPOSED</x:t>
        </x:is>
      </x:c>
      <x:c r="Q31" s="160" t="inlineStr">
        <x:is>
          <x:t xml:space="preserve">The frozen V10 gate family is directionally right, but the test lacks a sufficiently explicit mechanical implementation.</x:t>
        </x:is>
      </x:c>
      <x:c r="R31" s="160" t="inlineStr">
        <x:is>
          <x:t xml:space="preserve">Require a true economic control and counterfactual: what should have happened to a comparable company under the same shock?</x:t>
        </x:is>
      </x:c>
      <x:c r="S31" s="160" t="inlineStr">
        <x:is>
          <x:t xml:space="preserve">NO</x:t>
        </x:is>
      </x:c>
      <x:c r="T31" s="160" t="inlineStr">
        <x:is>
          <x:t xml:space="preserve">UNFORMED</x:t>
        </x:is>
      </x:c>
      <x:c r="U31" s="160" t="inlineStr">
        <x:is>
          <x:t xml:space="preserve">V10.5-SIM01</x:t>
        </x:is>
      </x:c>
      <x:c r="V31" s="160" t="inlineStr">
        <x:is>
          <x:t xml:space="preserve">https://ir.dwavesys.com</x:t>
        </x:is>
      </x:c>
      <x:c r="W31" s="160" t="inlineStr">
        <x:is>
          <x:t xml:space="preserve">NO</x:t>
        </x:is>
      </x:c>
      <x:c r="X31" s="160" t="inlineStr">
        <x:is>
          <x:t xml:space="preserve">NONE — DEVELOPMENT ONLY</x:t>
        </x:is>
      </x:c>
      <x:c r="Y31" s="160" t="inlineStr">
        <x:is>
          <x:t xml:space="preserve">Synthetic/adversarial model-development loop. No historical outcome is claimed; no accuracy point is awarded.</x:t>
        </x:is>
      </x:c>
    </x:row>
    <x:row r="32">
      <x:c r="A32" s="160" t="inlineStr">
        <x:is>
          <x:t xml:space="preserve">ML0027</x:t>
        </x:is>
      </x:c>
      <x:c r="B32" s="160" t="inlineStr">
        <x:is>
          <x:t xml:space="preserve">ARG-002</x:t>
        </x:is>
      </x:c>
      <x:c r="C32" s="160" t="inlineStr">
        <x:is>
          <x:t xml:space="preserve">D-Wave Quantum</x:t>
        </x:is>
      </x:c>
      <x:c r="D32" s="160" t="inlineStr">
        <x:is>
          <x:t xml:space="preserve">QBTS</x:t>
        </x:is>
      </x:c>
      <x:c r="E32" s="160" t="inlineStr">
        <x:is>
          <x:t xml:space="preserve">Quantum Computing</x:t>
        </x:is>
      </x:c>
      <x:c r="F32" s="160" t="inlineStr">
        <x:is>
          <x:t xml:space="preserve">Development</x:t>
        </x:is>
      </x:c>
      <x:c r="G32" s="160" t="inlineStr">
        <x:is>
          <x:t xml:space="preserve">S11</x:t>
        </x:is>
      </x:c>
      <x:c r="H32" s="160" t="inlineStr">
        <x:is>
          <x:t xml:space="preserve">False-Negative Discipline</x:t>
        </x:is>
      </x:c>
      <x:c r="I32" s="160" t="inlineStr">
        <x:is>
          <x:t xml:space="preserve">False negative</x:t>
        </x:is>
      </x:c>
      <x:c r="J32" s="160" t="inlineStr">
        <x:is>
          <x:t xml:space="preserve">A strict gate rejects a company that later compounds strongly for reasons the model could have known.</x:t>
        </x:is>
      </x:c>
      <x:c r="K32" s="160" t="inlineStr">
        <x:is>
          <x:t xml:space="preserve">Annealing systems, cloud access and professional services</x:t>
        </x:is>
      </x:c>
      <x:c r="L32" s="160" t="inlineStr">
        <x:is>
          <x:t xml:space="preserve">Bookings quality + milestone scenarios</x:t>
        </x:is>
      </x:c>
      <x:c r="M32" s="160" t="inlineStr">
        <x:is>
          <x:t xml:space="preserve">RESEARCH</x:t>
        </x:is>
      </x:c>
      <x:c r="N32" s="160" t="inlineStr">
        <x:is>
          <x:t xml:space="preserve">R-FN-01</x:t>
        </x:is>
      </x:c>
      <x:c r="O32" s="160" t="inlineStr">
        <x:is>
          <x:t xml:space="preserve">UNFORMED</x:t>
        </x:is>
      </x:c>
      <x:c r="P32" s="160" t="inlineStr">
        <x:is>
          <x:t xml:space="preserve">WEAKNESS EXPOSED</x:t>
        </x:is>
      </x:c>
      <x:c r="Q32" s="160" t="inlineStr">
        <x:is>
          <x:t xml:space="preserve">The frozen V10 gate family is directionally right, but the test lacks a sufficiently explicit mechanical implementation.</x:t>
        </x:is>
      </x:c>
      <x:c r="R32" s="160" t="inlineStr">
        <x:is>
          <x:t xml:space="preserve">Track opportunity cost and classify whether the miss came from evidence timing, wrong threshold or genuinely unknowable upside.</x:t>
        </x:is>
      </x:c>
      <x:c r="S32" s="160" t="inlineStr">
        <x:is>
          <x:t xml:space="preserve">NO</x:t>
        </x:is>
      </x:c>
      <x:c r="T32" s="160" t="inlineStr">
        <x:is>
          <x:t xml:space="preserve">UNFORMED</x:t>
        </x:is>
      </x:c>
      <x:c r="U32" s="160" t="inlineStr">
        <x:is>
          <x:t xml:space="preserve">V10.5-SIM01</x:t>
        </x:is>
      </x:c>
      <x:c r="V32" s="160" t="inlineStr">
        <x:is>
          <x:t xml:space="preserve">https://ir.dwavesys.com</x:t>
        </x:is>
      </x:c>
      <x:c r="W32" s="160" t="inlineStr">
        <x:is>
          <x:t xml:space="preserve">NO</x:t>
        </x:is>
      </x:c>
      <x:c r="X32" s="160" t="inlineStr">
        <x:is>
          <x:t xml:space="preserve">NONE — DEVELOPMENT ONLY</x:t>
        </x:is>
      </x:c>
      <x:c r="Y32" s="160" t="inlineStr">
        <x:is>
          <x:t xml:space="preserve">Synthetic/adversarial model-development loop. No historical outcome is claimed; no accuracy point is awarded.</x:t>
        </x:is>
      </x:c>
    </x:row>
    <x:row r="33">
      <x:c r="A33" s="160" t="inlineStr">
        <x:is>
          <x:t xml:space="preserve">ML0028</x:t>
        </x:is>
      </x:c>
      <x:c r="B33" s="160" t="inlineStr">
        <x:is>
          <x:t xml:space="preserve">ARG-002</x:t>
        </x:is>
      </x:c>
      <x:c r="C33" s="160" t="inlineStr">
        <x:is>
          <x:t xml:space="preserve">D-Wave Quantum</x:t>
        </x:is>
      </x:c>
      <x:c r="D33" s="160" t="inlineStr">
        <x:is>
          <x:t xml:space="preserve">QBTS</x:t>
        </x:is>
      </x:c>
      <x:c r="E33" s="160" t="inlineStr">
        <x:is>
          <x:t xml:space="preserve">Quantum Computing</x:t>
        </x:is>
      </x:c>
      <x:c r="F33" s="160" t="inlineStr">
        <x:is>
          <x:t xml:space="preserve">Development</x:t>
        </x:is>
      </x:c>
      <x:c r="G33" s="160" t="inlineStr">
        <x:is>
          <x:t xml:space="preserve">S12</x:t>
        </x:is>
      </x:c>
      <x:c r="H33" s="160" t="inlineStr">
        <x:is>
          <x:t xml:space="preserve">Lead-Time / Early Sensor</x:t>
        </x:is>
      </x:c>
      <x:c r="I33" s="160" t="inlineStr">
        <x:is>
          <x:t xml:space="preserve">Timing / lead-time</x:t>
        </x:is>
      </x:c>
      <x:c r="J33" s="160" t="inlineStr">
        <x:is>
          <x:t xml:space="preserve">ARGUS identifies the change correctly but only after consensus and price have already reacted.</x:t>
        </x:is>
      </x:c>
      <x:c r="K33" s="160" t="inlineStr">
        <x:is>
          <x:t xml:space="preserve">Annealing systems, cloud access and professional services</x:t>
        </x:is>
      </x:c>
      <x:c r="L33" s="160" t="inlineStr">
        <x:is>
          <x:t xml:space="preserve">Bookings quality + milestone scenarios</x:t>
        </x:is>
      </x:c>
      <x:c r="M33" s="160" t="inlineStr">
        <x:is>
          <x:t xml:space="preserve">RESEARCH</x:t>
        </x:is>
      </x:c>
      <x:c r="N33" s="160" t="inlineStr">
        <x:is>
          <x:t xml:space="preserve">R-TIME-01</x:t>
        </x:is>
      </x:c>
      <x:c r="O33" s="160" t="inlineStr">
        <x:is>
          <x:t xml:space="preserve">UNFORMED</x:t>
        </x:is>
      </x:c>
      <x:c r="P33" s="160" t="inlineStr">
        <x:is>
          <x:t xml:space="preserve">WEAKNESS EXPOSED</x:t>
        </x:is>
      </x:c>
      <x:c r="Q33" s="160" t="inlineStr">
        <x:is>
          <x:t xml:space="preserve">The frozen V10 gate family is directionally right, but the test lacks a sufficiently explicit mechanical implementation.</x:t>
        </x:is>
      </x:c>
      <x:c r="R33" s="160" t="inlineStr">
        <x:is>
          <x:t xml:space="preserve">Replace lagging financial metrics with earlier causal operating sensors and record lead time separately from correctness.</x:t>
        </x:is>
      </x:c>
      <x:c r="S33" s="160" t="inlineStr">
        <x:is>
          <x:t xml:space="preserve">NO</x:t>
        </x:is>
      </x:c>
      <x:c r="T33" s="160" t="inlineStr">
        <x:is>
          <x:t xml:space="preserve">UNFORMED</x:t>
        </x:is>
      </x:c>
      <x:c r="U33" s="160" t="inlineStr">
        <x:is>
          <x:t xml:space="preserve">V10.5-SIM01</x:t>
        </x:is>
      </x:c>
      <x:c r="V33" s="160" t="inlineStr">
        <x:is>
          <x:t xml:space="preserve">https://ir.dwavesys.com</x:t>
        </x:is>
      </x:c>
      <x:c r="W33" s="160" t="inlineStr">
        <x:is>
          <x:t xml:space="preserve">NO</x:t>
        </x:is>
      </x:c>
      <x:c r="X33" s="160" t="inlineStr">
        <x:is>
          <x:t xml:space="preserve">NONE — DEVELOPMENT ONLY</x:t>
        </x:is>
      </x:c>
      <x:c r="Y33" s="160" t="inlineStr">
        <x:is>
          <x:t xml:space="preserve">Synthetic/adversarial model-development loop. No historical outcome is claimed; no accuracy point is awarded.</x:t>
        </x:is>
      </x:c>
    </x:row>
    <x:row r="34">
      <x:c r="A34" s="160" t="inlineStr">
        <x:is>
          <x:t xml:space="preserve">ML0029</x:t>
        </x:is>
      </x:c>
      <x:c r="B34" s="160" t="inlineStr">
        <x:is>
          <x:t xml:space="preserve">ARG-002</x:t>
        </x:is>
      </x:c>
      <x:c r="C34" s="160" t="inlineStr">
        <x:is>
          <x:t xml:space="preserve">D-Wave Quantum</x:t>
        </x:is>
      </x:c>
      <x:c r="D34" s="160" t="inlineStr">
        <x:is>
          <x:t xml:space="preserve">QBTS</x:t>
        </x:is>
      </x:c>
      <x:c r="E34" s="160" t="inlineStr">
        <x:is>
          <x:t xml:space="preserve">Quantum Computing</x:t>
        </x:is>
      </x:c>
      <x:c r="F34" s="160" t="inlineStr">
        <x:is>
          <x:t xml:space="preserve">Development</x:t>
        </x:is>
      </x:c>
      <x:c r="G34" s="160" t="inlineStr">
        <x:is>
          <x:t xml:space="preserve">S13</x:t>
        </x:is>
      </x:c>
      <x:c r="H34" s="160" t="inlineStr">
        <x:is>
          <x:t xml:space="preserve">Cycle Normalization</x:t>
        </x:is>
      </x:c>
      <x:c r="I34" s="160" t="inlineStr">
        <x:is>
          <x:t xml:space="preserve">Wrong valuation lens</x:t>
        </x:is>
      </x:c>
      <x:c r="J34" s="160" t="inlineStr">
        <x:is>
          <x:t xml:space="preserve">Peak/trough earnings are mistaken for normalized earning power.</x:t>
        </x:is>
      </x:c>
      <x:c r="K34" s="160" t="inlineStr">
        <x:is>
          <x:t xml:space="preserve">Annealing systems, cloud access and professional services</x:t>
        </x:is>
      </x:c>
      <x:c r="L34" s="160" t="inlineStr">
        <x:is>
          <x:t xml:space="preserve">Bookings quality + milestone scenarios</x:t>
        </x:is>
      </x:c>
      <x:c r="M34" s="160" t="inlineStr">
        <x:is>
          <x:t xml:space="preserve">RESEARCH</x:t>
        </x:is>
      </x:c>
      <x:c r="N34" s="160" t="inlineStr">
        <x:is>
          <x:t xml:space="preserve">R-CYCLE-01</x:t>
        </x:is>
      </x:c>
      <x:c r="O34" s="160" t="inlineStr">
        <x:is>
          <x:t xml:space="preserve">UNFORMED</x:t>
        </x:is>
      </x:c>
      <x:c r="P34" s="160" t="inlineStr">
        <x:is>
          <x:t xml:space="preserve">FAILURE EXPOSED</x:t>
        </x:is>
      </x:c>
      <x:c r="Q34" s="160" t="inlineStr">
        <x:is>
          <x:t xml:space="preserve">The frozen V10 gate family is directionally right, but the test lacks a sufficiently explicit mechanical implementation.</x:t>
        </x:is>
      </x:c>
      <x:c r="R34" s="160" t="inlineStr">
        <x:is>
          <x:t xml:space="preserve">Use sector-specific mid-cycle/NAV/rate-base/rNPV normalization before applying a valuation multiple.</x:t>
        </x:is>
      </x:c>
      <x:c r="S34" s="160" t="inlineStr">
        <x:is>
          <x:t xml:space="preserve">NO</x:t>
        </x:is>
      </x:c>
      <x:c r="T34" s="160" t="inlineStr">
        <x:is>
          <x:t xml:space="preserve">UNFORMED</x:t>
        </x:is>
      </x:c>
      <x:c r="U34" s="160" t="inlineStr">
        <x:is>
          <x:t xml:space="preserve">V10.5-SIM01</x:t>
        </x:is>
      </x:c>
      <x:c r="V34" s="160" t="inlineStr">
        <x:is>
          <x:t xml:space="preserve">https://ir.dwavesys.com</x:t>
        </x:is>
      </x:c>
      <x:c r="W34" s="160" t="inlineStr">
        <x:is>
          <x:t xml:space="preserve">NO</x:t>
        </x:is>
      </x:c>
      <x:c r="X34" s="160" t="inlineStr">
        <x:is>
          <x:t xml:space="preserve">NONE — DEVELOPMENT ONLY</x:t>
        </x:is>
      </x:c>
      <x:c r="Y34" s="160" t="inlineStr">
        <x:is>
          <x:t xml:space="preserve">Synthetic/adversarial model-development loop. No historical outcome is claimed; no accuracy point is awarded.</x:t>
        </x:is>
      </x:c>
    </x:row>
    <x:row r="35">
      <x:c r="A35" s="160" t="inlineStr">
        <x:is>
          <x:t xml:space="preserve">ML0030</x:t>
        </x:is>
      </x:c>
      <x:c r="B35" s="160" t="inlineStr">
        <x:is>
          <x:t xml:space="preserve">ARG-002</x:t>
        </x:is>
      </x:c>
      <x:c r="C35" s="160" t="inlineStr">
        <x:is>
          <x:t xml:space="preserve">D-Wave Quantum</x:t>
        </x:is>
      </x:c>
      <x:c r="D35" s="160" t="inlineStr">
        <x:is>
          <x:t xml:space="preserve">QBTS</x:t>
        </x:is>
      </x:c>
      <x:c r="E35" s="160" t="inlineStr">
        <x:is>
          <x:t xml:space="preserve">Quantum Computing</x:t>
        </x:is>
      </x:c>
      <x:c r="F35" s="160" t="inlineStr">
        <x:is>
          <x:t xml:space="preserve">Development</x:t>
        </x:is>
      </x:c>
      <x:c r="G35" s="160" t="inlineStr">
        <x:is>
          <x:t xml:space="preserve">S14</x:t>
        </x:is>
      </x:c>
      <x:c r="H35" s="160" t="inlineStr">
        <x:is>
          <x:t xml:space="preserve">M&amp;A / Organic Growth Separation</x:t>
        </x:is>
      </x:c>
      <x:c r="I35" s="160" t="inlineStr">
        <x:is>
          <x:t xml:space="preserve">Stewardship</x:t>
        </x:is>
      </x:c>
      <x:c r="J35" s="160" t="inlineStr">
        <x:is>
          <x:t xml:space="preserve">Acquisition-driven growth masks weak organic economics or poor incremental ROIC.</x:t>
        </x:is>
      </x:c>
      <x:c r="K35" s="160" t="inlineStr">
        <x:is>
          <x:t xml:space="preserve">Annealing systems, cloud access and professional services</x:t>
        </x:is>
      </x:c>
      <x:c r="L35" s="160" t="inlineStr">
        <x:is>
          <x:t xml:space="preserve">Bookings quality + milestone scenarios</x:t>
        </x:is>
      </x:c>
      <x:c r="M35" s="160" t="inlineStr">
        <x:is>
          <x:t xml:space="preserve">RESEARCH</x:t>
        </x:is>
      </x:c>
      <x:c r="N35" s="160" t="inlineStr">
        <x:is>
          <x:t xml:space="preserve">R-MA-01</x:t>
        </x:is>
      </x:c>
      <x:c r="O35" s="160" t="inlineStr">
        <x:is>
          <x:t xml:space="preserve">UNFORMED</x:t>
        </x:is>
      </x:c>
      <x:c r="P35" s="160" t="inlineStr">
        <x:is>
          <x:t xml:space="preserve">WEAKNESS EXPOSED</x:t>
        </x:is>
      </x:c>
      <x:c r="Q35" s="160" t="inlineStr">
        <x:is>
          <x:t xml:space="preserve">The frozen V10 gate family is directionally right, but the test lacks a sufficiently explicit mechanical implementation.</x:t>
        </x:is>
      </x:c>
      <x:c r="R35" s="160" t="inlineStr">
        <x:is>
          <x:t xml:space="preserve">Bridge organic growth, acquired growth, purchase price, integration costs and acquisition-cohort ROIC.</x:t>
        </x:is>
      </x:c>
      <x:c r="S35" s="160" t="inlineStr">
        <x:is>
          <x:t xml:space="preserve">NO</x:t>
        </x:is>
      </x:c>
      <x:c r="T35" s="160" t="inlineStr">
        <x:is>
          <x:t xml:space="preserve">UNFORMED</x:t>
        </x:is>
      </x:c>
      <x:c r="U35" s="160" t="inlineStr">
        <x:is>
          <x:t xml:space="preserve">V10.5-SIM01</x:t>
        </x:is>
      </x:c>
      <x:c r="V35" s="160" t="inlineStr">
        <x:is>
          <x:t xml:space="preserve">https://ir.dwavesys.com</x:t>
        </x:is>
      </x:c>
      <x:c r="W35" s="160" t="inlineStr">
        <x:is>
          <x:t xml:space="preserve">NO</x:t>
        </x:is>
      </x:c>
      <x:c r="X35" s="160" t="inlineStr">
        <x:is>
          <x:t xml:space="preserve">NONE — DEVELOPMENT ONLY</x:t>
        </x:is>
      </x:c>
      <x:c r="Y35" s="160" t="inlineStr">
        <x:is>
          <x:t xml:space="preserve">Synthetic/adversarial model-development loop. No historical outcome is claimed; no accuracy point is awarded.</x:t>
        </x:is>
      </x:c>
    </x:row>
    <x:row r="36">
      <x:c r="A36" s="160" t="inlineStr">
        <x:is>
          <x:t xml:space="preserve">ML0031</x:t>
        </x:is>
      </x:c>
      <x:c r="B36" s="160" t="inlineStr">
        <x:is>
          <x:t xml:space="preserve">ARG-002</x:t>
        </x:is>
      </x:c>
      <x:c r="C36" s="160" t="inlineStr">
        <x:is>
          <x:t xml:space="preserve">D-Wave Quantum</x:t>
        </x:is>
      </x:c>
      <x:c r="D36" s="160" t="inlineStr">
        <x:is>
          <x:t xml:space="preserve">QBTS</x:t>
        </x:is>
      </x:c>
      <x:c r="E36" s="160" t="inlineStr">
        <x:is>
          <x:t xml:space="preserve">Quantum Computing</x:t>
        </x:is>
      </x:c>
      <x:c r="F36" s="160" t="inlineStr">
        <x:is>
          <x:t xml:space="preserve">Development</x:t>
        </x:is>
      </x:c>
      <x:c r="G36" s="160" t="inlineStr">
        <x:is>
          <x:t xml:space="preserve">S15</x:t>
        </x:is>
      </x:c>
      <x:c r="H36" s="160" t="inlineStr">
        <x:is>
          <x:t xml:space="preserve">Financing / Dilution Per Share</x:t>
        </x:is>
      </x:c>
      <x:c r="I36" s="160" t="inlineStr">
        <x:is>
          <x:t xml:space="preserve">Stewardship</x:t>
        </x:is>
      </x:c>
      <x:c r="J36" s="160" t="inlineStr">
        <x:is>
          <x:t xml:space="preserve">Cash balance or revenue growth improves while financing causes material per-share value leakage.</x:t>
        </x:is>
      </x:c>
      <x:c r="K36" s="160" t="inlineStr">
        <x:is>
          <x:t xml:space="preserve">Annealing systems, cloud access and professional services</x:t>
        </x:is>
      </x:c>
      <x:c r="L36" s="160" t="inlineStr">
        <x:is>
          <x:t xml:space="preserve">Bookings quality + milestone scenarios</x:t>
        </x:is>
      </x:c>
      <x:c r="M36" s="160" t="inlineStr">
        <x:is>
          <x:t xml:space="preserve">RESEARCH</x:t>
        </x:is>
      </x:c>
      <x:c r="N36" s="160" t="inlineStr">
        <x:is>
          <x:t xml:space="preserve">R-DIL-01</x:t>
        </x:is>
      </x:c>
      <x:c r="O36" s="160" t="inlineStr">
        <x:is>
          <x:t xml:space="preserve">UNFORMED</x:t>
        </x:is>
      </x:c>
      <x:c r="P36" s="160" t="inlineStr">
        <x:is>
          <x:t xml:space="preserve">WEAKNESS EXPOSED</x:t>
        </x:is>
      </x:c>
      <x:c r="Q36" s="160" t="inlineStr">
        <x:is>
          <x:t xml:space="preserve">The frozen V10 gate family is directionally right, but the test lacks a sufficiently explicit mechanical implementation.</x:t>
        </x:is>
      </x:c>
      <x:c r="R36" s="160" t="inlineStr">
        <x:is>
          <x:t xml:space="preserve">Reconcile share-count growth, SBC, equity issuance, buybacks and net cash changes to per-share intrinsic value.</x:t>
        </x:is>
      </x:c>
      <x:c r="S36" s="160" t="inlineStr">
        <x:is>
          <x:t xml:space="preserve">NO</x:t>
        </x:is>
      </x:c>
      <x:c r="T36" s="160" t="inlineStr">
        <x:is>
          <x:t xml:space="preserve">UNFORMED</x:t>
        </x:is>
      </x:c>
      <x:c r="U36" s="160" t="inlineStr">
        <x:is>
          <x:t xml:space="preserve">V10.5-SIM01</x:t>
        </x:is>
      </x:c>
      <x:c r="V36" s="160" t="inlineStr">
        <x:is>
          <x:t xml:space="preserve">https://ir.dwavesys.com</x:t>
        </x:is>
      </x:c>
      <x:c r="W36" s="160" t="inlineStr">
        <x:is>
          <x:t xml:space="preserve">NO</x:t>
        </x:is>
      </x:c>
      <x:c r="X36" s="160" t="inlineStr">
        <x:is>
          <x:t xml:space="preserve">NONE — DEVELOPMENT ONLY</x:t>
        </x:is>
      </x:c>
      <x:c r="Y36" s="160" t="inlineStr">
        <x:is>
          <x:t xml:space="preserve">Synthetic/adversarial model-development loop. No historical outcome is claimed; no accuracy point is awarded.</x:t>
        </x:is>
      </x:c>
    </x:row>
    <x:row r="37">
      <x:c r="A37" s="160" t="inlineStr">
        <x:is>
          <x:t xml:space="preserve">ML0032</x:t>
        </x:is>
      </x:c>
      <x:c r="B37" s="160" t="inlineStr">
        <x:is>
          <x:t xml:space="preserve">ARG-002</x:t>
        </x:is>
      </x:c>
      <x:c r="C37" s="160" t="inlineStr">
        <x:is>
          <x:t xml:space="preserve">D-Wave Quantum</x:t>
        </x:is>
      </x:c>
      <x:c r="D37" s="160" t="inlineStr">
        <x:is>
          <x:t xml:space="preserve">QBTS</x:t>
        </x:is>
      </x:c>
      <x:c r="E37" s="160" t="inlineStr">
        <x:is>
          <x:t xml:space="preserve">Quantum Computing</x:t>
        </x:is>
      </x:c>
      <x:c r="F37" s="160" t="inlineStr">
        <x:is>
          <x:t xml:space="preserve">Development</x:t>
        </x:is>
      </x:c>
      <x:c r="G37" s="160" t="inlineStr">
        <x:is>
          <x:t xml:space="preserve">S16</x:t>
        </x:is>
      </x:c>
      <x:c r="H37" s="160" t="inlineStr">
        <x:is>
          <x:t xml:space="preserve">Concentration / Tail Risk</x:t>
        </x:is>
      </x:c>
      <x:c r="I37" s="160" t="inlineStr">
        <x:is>
          <x:t xml:space="preserve">Survival</x:t>
        </x:is>
      </x:c>
      <x:c r="J37" s="160" t="inlineStr">
        <x:is>
          <x:t xml:space="preserve">A concentrated supplier, geography, customer, product, patent, regulatory or technology dependency creates asymmetric permanent-loss risk.</x:t>
        </x:is>
      </x:c>
      <x:c r="K37" s="160" t="inlineStr">
        <x:is>
          <x:t xml:space="preserve">Annealing systems, cloud access and professional services</x:t>
        </x:is>
      </x:c>
      <x:c r="L37" s="160" t="inlineStr">
        <x:is>
          <x:t xml:space="preserve">Bookings quality + milestone scenarios</x:t>
        </x:is>
      </x:c>
      <x:c r="M37" s="160" t="inlineStr">
        <x:is>
          <x:t xml:space="preserve">RESEARCH</x:t>
        </x:is>
      </x:c>
      <x:c r="N37" s="160" t="inlineStr">
        <x:is>
          <x:t xml:space="preserve">R-TAIL-01</x:t>
        </x:is>
      </x:c>
      <x:c r="O37" s="160" t="inlineStr">
        <x:is>
          <x:t xml:space="preserve">UNFORMED</x:t>
        </x:is>
      </x:c>
      <x:c r="P37" s="160" t="inlineStr">
        <x:is>
          <x:t xml:space="preserve">FAILURE EXPOSED</x:t>
        </x:is>
      </x:c>
      <x:c r="Q37" s="160" t="inlineStr">
        <x:is>
          <x:t xml:space="preserve">The frozen V10 gate family is directionally right, but the test lacks a sufficiently explicit mechanical implementation.</x:t>
        </x:is>
      </x:c>
      <x:c r="R37" s="160" t="inlineStr">
        <x:is>
          <x:t xml:space="preserve">Maintain an explicit concentration/tail-risk register with probability, severity, mitigation and required margin-of-safety premium.</x:t>
        </x:is>
      </x:c>
      <x:c r="S37" s="160" t="inlineStr">
        <x:is>
          <x:t xml:space="preserve">NO</x:t>
        </x:is>
      </x:c>
      <x:c r="T37" s="160" t="inlineStr">
        <x:is>
          <x:t xml:space="preserve">UNFORMED</x:t>
        </x:is>
      </x:c>
      <x:c r="U37" s="160" t="inlineStr">
        <x:is>
          <x:t xml:space="preserve">V10.5-SIM01</x:t>
        </x:is>
      </x:c>
      <x:c r="V37" s="160" t="inlineStr">
        <x:is>
          <x:t xml:space="preserve">https://ir.dwavesys.com</x:t>
        </x:is>
      </x:c>
      <x:c r="W37" s="160" t="inlineStr">
        <x:is>
          <x:t xml:space="preserve">NO</x:t>
        </x:is>
      </x:c>
      <x:c r="X37" s="160" t="inlineStr">
        <x:is>
          <x:t xml:space="preserve">NONE — DEVELOPMENT ONLY</x:t>
        </x:is>
      </x:c>
      <x:c r="Y37" s="160" t="inlineStr">
        <x:is>
          <x:t xml:space="preserve">Synthetic/adversarial model-development loop. No historical outcome is claimed; no accuracy point is awarded.</x:t>
        </x:is>
      </x:c>
    </x:row>
    <x:row r="38">
      <x:c r="A38" s="160" t="inlineStr">
        <x:is>
          <x:t xml:space="preserve">ML0033</x:t>
        </x:is>
      </x:c>
      <x:c r="B38" s="160" t="inlineStr">
        <x:is>
          <x:t xml:space="preserve">ARG-003</x:t>
        </x:is>
      </x:c>
      <x:c r="C38" s="160" t="inlineStr">
        <x:is>
          <x:t xml:space="preserve">Rigetti Computing</x:t>
        </x:is>
      </x:c>
      <x:c r="D38" s="160" t="inlineStr">
        <x:is>
          <x:t xml:space="preserve">RGTI</x:t>
        </x:is>
      </x:c>
      <x:c r="E38" s="160" t="inlineStr">
        <x:is>
          <x:t xml:space="preserve">Quantum Computing</x:t>
        </x:is>
      </x:c>
      <x:c r="F38" s="160" t="inlineStr">
        <x:is>
          <x:t xml:space="preserve">Development</x:t>
        </x:is>
      </x:c>
      <x:c r="G38" s="160" t="inlineStr">
        <x:is>
          <x:t xml:space="preserve">S01</x:t>
        </x:is>
      </x:c>
      <x:c r="H38" s="160" t="inlineStr">
        <x:is>
          <x:t xml:space="preserve">Understanding Gate</x:t>
        </x:is>
      </x:c>
      <x:c r="I38" s="160" t="inlineStr">
        <x:is>
          <x:t xml:space="preserve">Understanding</x:t>
        </x:is>
      </x:c>
      <x:c r="J38" s="160" t="inlineStr">
        <x:is>
          <x:t xml:space="preserve">Causal engine / customer ROI chain breaks under a misleading headline KPI.</x:t>
        </x:is>
      </x:c>
      <x:c r="K38" s="160" t="inlineStr">
        <x:is>
          <x:t xml:space="preserve">Superconducting QPUs and cloud/system access</x:t>
        </x:is>
      </x:c>
      <x:c r="L38" s="160" t="inlineStr">
        <x:is>
          <x:t xml:space="preserve">Milestone value + net cash/runway</x:t>
        </x:is>
      </x:c>
      <x:c r="M38" s="160" t="inlineStr">
        <x:is>
          <x:t xml:space="preserve">NO ACTION</x:t>
        </x:is>
      </x:c>
      <x:c r="N38" s="160" t="inlineStr">
        <x:is>
          <x:t xml:space="preserve">R-ENG-01</x:t>
        </x:is>
      </x:c>
      <x:c r="O38" s="160" t="inlineStr">
        <x:is>
          <x:t xml:space="preserve">UNFORMED</x:t>
        </x:is>
      </x:c>
      <x:c r="P38" s="160" t="inlineStr">
        <x:is>
          <x:t xml:space="preserve">FAILURE EXPOSED</x:t>
        </x:is>
      </x:c>
      <x:c r="Q38" s="160" t="inlineStr">
        <x:is>
          <x:t xml:space="preserve">The frozen V10 gate family is directionally right, but the test lacks a sufficiently explicit mechanical implementation.</x:t>
        </x:is>
      </x:c>
      <x:c r="R38" s="160" t="inlineStr">
        <x:is>
          <x:t xml:space="preserve">Force an explicit engine tree: customer job → unit economics → revenue driver → owner-value bridge.</x:t>
        </x:is>
      </x:c>
      <x:c r="S38" s="160" t="inlineStr">
        <x:is>
          <x:t xml:space="preserve">YES — SIMULATION ONLY</x:t>
        </x:is>
      </x:c>
      <x:c r="T38" s="160" t="inlineStr">
        <x:is>
          <x:t xml:space="preserve">BASE</x:t>
        </x:is>
      </x:c>
      <x:c r="U38" s="160" t="inlineStr">
        <x:is>
          <x:t xml:space="preserve">V10.5-SIM02</x:t>
        </x:is>
      </x:c>
      <x:c r="V38" s="160" t="inlineStr">
        <x:is>
          <x:t xml:space="preserve">https://investors.rigetti.com</x:t>
        </x:is>
      </x:c>
      <x:c r="W38" s="160" t="inlineStr">
        <x:is>
          <x:t xml:space="preserve">NO</x:t>
        </x:is>
      </x:c>
      <x:c r="X38" s="160" t="inlineStr">
        <x:is>
          <x:t xml:space="preserve">NONE — DEVELOPMENT ONLY</x:t>
        </x:is>
      </x:c>
      <x:c r="Y38" s="160" t="inlineStr">
        <x:is>
          <x:t xml:space="preserve">Synthetic/adversarial model-development loop. No historical outcome is claimed; no accuracy point is awarded.</x:t>
        </x:is>
      </x:c>
    </x:row>
    <x:row r="39">
      <x:c r="A39" s="160" t="inlineStr">
        <x:is>
          <x:t xml:space="preserve">ML0034</x:t>
        </x:is>
      </x:c>
      <x:c r="B39" s="160" t="inlineStr">
        <x:is>
          <x:t xml:space="preserve">ARG-003</x:t>
        </x:is>
      </x:c>
      <x:c r="C39" s="160" t="inlineStr">
        <x:is>
          <x:t xml:space="preserve">Rigetti Computing</x:t>
        </x:is>
      </x:c>
      <x:c r="D39" s="160" t="inlineStr">
        <x:is>
          <x:t xml:space="preserve">RGTI</x:t>
        </x:is>
      </x:c>
      <x:c r="E39" s="160" t="inlineStr">
        <x:is>
          <x:t xml:space="preserve">Quantum Computing</x:t>
        </x:is>
      </x:c>
      <x:c r="F39" s="160" t="inlineStr">
        <x:is>
          <x:t xml:space="preserve">Development</x:t>
        </x:is>
      </x:c>
      <x:c r="G39" s="160" t="inlineStr">
        <x:is>
          <x:t xml:space="preserve">S02</x:t>
        </x:is>
      </x:c>
      <x:c r="H39" s="160" t="inlineStr">
        <x:is>
          <x:t xml:space="preserve">Owner Earnings Normalization</x:t>
        </x:is>
      </x:c>
      <x:c r="I39" s="160" t="inlineStr">
        <x:is>
          <x:t xml:space="preserve">Owner Earnings</x:t>
        </x:is>
      </x:c>
      <x:c r="J39" s="160" t="inlineStr">
        <x:is>
          <x:t xml:space="preserve">Reported earnings/FCF overstates economic cash because recurring reinvestment or non-cash compensation is misclassified.</x:t>
        </x:is>
      </x:c>
      <x:c r="K39" s="160" t="inlineStr">
        <x:is>
          <x:t xml:space="preserve">Superconducting QPUs and cloud/system access</x:t>
        </x:is>
      </x:c>
      <x:c r="L39" s="160" t="inlineStr">
        <x:is>
          <x:t xml:space="preserve">Milestone value + net cash/runway</x:t>
        </x:is>
      </x:c>
      <x:c r="M39" s="160" t="inlineStr">
        <x:is>
          <x:t xml:space="preserve">NO ACTION</x:t>
        </x:is>
      </x:c>
      <x:c r="N39" s="160" t="inlineStr">
        <x:is>
          <x:t xml:space="preserve">R-OE-01</x:t>
        </x:is>
      </x:c>
      <x:c r="O39" s="160" t="inlineStr">
        <x:is>
          <x:t xml:space="preserve">UNFORMED</x:t>
        </x:is>
      </x:c>
      <x:c r="P39" s="160" t="inlineStr">
        <x:is>
          <x:t xml:space="preserve">FAILURE EXPOSED</x:t>
        </x:is>
      </x:c>
      <x:c r="Q39" s="160" t="inlineStr">
        <x:is>
          <x:t xml:space="preserve">The frozen V10 gate family is directionally right, but the test lacks a sufficiently explicit mechanical implementation.</x:t>
        </x:is>
      </x:c>
      <x:c r="R39" s="160" t="inlineStr">
        <x:is>
          <x:t xml:space="preserve">Require a GAAP-to-economic-owner-cash bridge tailored to the business model.</x:t>
        </x:is>
      </x:c>
      <x:c r="S39" s="160" t="inlineStr">
        <x:is>
          <x:t xml:space="preserve">YES — SIMULATION ONLY</x:t>
        </x:is>
      </x:c>
      <x:c r="T39" s="160" t="inlineStr">
        <x:is>
          <x:t xml:space="preserve">BASE</x:t>
        </x:is>
      </x:c>
      <x:c r="U39" s="160" t="inlineStr">
        <x:is>
          <x:t xml:space="preserve">V10.5-SIM03</x:t>
        </x:is>
      </x:c>
      <x:c r="V39" s="160" t="inlineStr">
        <x:is>
          <x:t xml:space="preserve">https://investors.rigetti.com</x:t>
        </x:is>
      </x:c>
      <x:c r="W39" s="160" t="inlineStr">
        <x:is>
          <x:t xml:space="preserve">NO</x:t>
        </x:is>
      </x:c>
      <x:c r="X39" s="160" t="inlineStr">
        <x:is>
          <x:t xml:space="preserve">NONE — DEVELOPMENT ONLY</x:t>
        </x:is>
      </x:c>
      <x:c r="Y39" s="160" t="inlineStr">
        <x:is>
          <x:t xml:space="preserve">Synthetic/adversarial model-development loop. No historical outcome is claimed; no accuracy point is awarded.</x:t>
        </x:is>
      </x:c>
    </x:row>
    <x:row r="40">
      <x:c r="A40" s="160" t="inlineStr">
        <x:is>
          <x:t xml:space="preserve">ML0035</x:t>
        </x:is>
      </x:c>
      <x:c r="B40" s="160" t="inlineStr">
        <x:is>
          <x:t xml:space="preserve">ARG-003</x:t>
        </x:is>
      </x:c>
      <x:c r="C40" s="160" t="inlineStr">
        <x:is>
          <x:t xml:space="preserve">Rigetti Computing</x:t>
        </x:is>
      </x:c>
      <x:c r="D40" s="160" t="inlineStr">
        <x:is>
          <x:t xml:space="preserve">RGTI</x:t>
        </x:is>
      </x:c>
      <x:c r="E40" s="160" t="inlineStr">
        <x:is>
          <x:t xml:space="preserve">Quantum Computing</x:t>
        </x:is>
      </x:c>
      <x:c r="F40" s="160" t="inlineStr">
        <x:is>
          <x:t xml:space="preserve">Development</x:t>
        </x:is>
      </x:c>
      <x:c r="G40" s="160" t="inlineStr">
        <x:is>
          <x:t xml:space="preserve">S03</x:t>
        </x:is>
      </x:c>
      <x:c r="H40" s="160" t="inlineStr">
        <x:is>
          <x:t xml:space="preserve">Moat Durability</x:t>
        </x:is>
      </x:c>
      <x:c r="I40" s="160" t="inlineStr">
        <x:is>
          <x:t xml:space="preserve">Moat 2036</x:t>
        </x:is>
      </x:c>
      <x:c r="J40" s="160" t="inlineStr">
        <x:is>
          <x:t xml:space="preserve">Growth continues while switching friction, pricing power or replacement difficulty quietly weakens.</x:t>
        </x:is>
      </x:c>
      <x:c r="K40" s="160" t="inlineStr">
        <x:is>
          <x:t xml:space="preserve">Superconducting QPUs and cloud/system access</x:t>
        </x:is>
      </x:c>
      <x:c r="L40" s="160" t="inlineStr">
        <x:is>
          <x:t xml:space="preserve">Milestone value + net cash/runway</x:t>
        </x:is>
      </x:c>
      <x:c r="M40" s="160" t="inlineStr">
        <x:is>
          <x:t xml:space="preserve">NO ACTION</x:t>
        </x:is>
      </x:c>
      <x:c r="N40" s="160" t="inlineStr">
        <x:is>
          <x:t xml:space="preserve">R-MOAT-01</x:t>
        </x:is>
      </x:c>
      <x:c r="O40" s="160" t="inlineStr">
        <x:is>
          <x:t xml:space="preserve">UNFORMED</x:t>
        </x:is>
      </x:c>
      <x:c r="P40" s="160" t="inlineStr">
        <x:is>
          <x:t xml:space="preserve">WEAKNESS EXPOSED</x:t>
        </x:is>
      </x:c>
      <x:c r="Q40" s="160" t="inlineStr">
        <x:is>
          <x:t xml:space="preserve">The frozen V10 gate family is directionally right, but the test lacks a sufficiently explicit mechanical implementation.</x:t>
        </x:is>
      </x:c>
      <x:c r="R40" s="160" t="inlineStr">
        <x:is>
          <x:t xml:space="preserve">Track moat telemetry separately from growth: retention, pricing, win/loss, replacement friction, installed-base behavior.</x:t>
        </x:is>
      </x:c>
      <x:c r="S40" s="160" t="inlineStr">
        <x:is>
          <x:t xml:space="preserve">YES — SIMULATION ONLY</x:t>
        </x:is>
      </x:c>
      <x:c r="T40" s="160" t="inlineStr">
        <x:is>
          <x:t xml:space="preserve">BASE</x:t>
        </x:is>
      </x:c>
      <x:c r="U40" s="160" t="inlineStr">
        <x:is>
          <x:t xml:space="preserve">V10.5-SIM04</x:t>
        </x:is>
      </x:c>
      <x:c r="V40" s="160" t="inlineStr">
        <x:is>
          <x:t xml:space="preserve">https://investors.rigetti.com</x:t>
        </x:is>
      </x:c>
      <x:c r="W40" s="160" t="inlineStr">
        <x:is>
          <x:t xml:space="preserve">NO</x:t>
        </x:is>
      </x:c>
      <x:c r="X40" s="160" t="inlineStr">
        <x:is>
          <x:t xml:space="preserve">NONE — DEVELOPMENT ONLY</x:t>
        </x:is>
      </x:c>
      <x:c r="Y40" s="160" t="inlineStr">
        <x:is>
          <x:t xml:space="preserve">Synthetic/adversarial model-development loop. No historical outcome is claimed; no accuracy point is awarded.</x:t>
        </x:is>
      </x:c>
    </x:row>
    <x:row r="41">
      <x:c r="A41" s="160" t="inlineStr">
        <x:is>
          <x:t xml:space="preserve">ML0036</x:t>
        </x:is>
      </x:c>
      <x:c r="B41" s="160" t="inlineStr">
        <x:is>
          <x:t xml:space="preserve">ARG-003</x:t>
        </x:is>
      </x:c>
      <x:c r="C41" s="160" t="inlineStr">
        <x:is>
          <x:t xml:space="preserve">Rigetti Computing</x:t>
        </x:is>
      </x:c>
      <x:c r="D41" s="160" t="inlineStr">
        <x:is>
          <x:t xml:space="preserve">RGTI</x:t>
        </x:is>
      </x:c>
      <x:c r="E41" s="160" t="inlineStr">
        <x:is>
          <x:t xml:space="preserve">Quantum Computing</x:t>
        </x:is>
      </x:c>
      <x:c r="F41" s="160" t="inlineStr">
        <x:is>
          <x:t xml:space="preserve">Development</x:t>
        </x:is>
      </x:c>
      <x:c r="G41" s="160" t="inlineStr">
        <x:is>
          <x:t xml:space="preserve">S04</x:t>
        </x:is>
      </x:c>
      <x:c r="H41" s="160" t="inlineStr">
        <x:is>
          <x:t xml:space="preserve">Stewardship / Capital Allocation</x:t>
        </x:is>
      </x:c>
      <x:c r="I41" s="160" t="inlineStr">
        <x:is>
          <x:t xml:space="preserve">Stewardship</x:t>
        </x:is>
      </x:c>
      <x:c r="J41" s="160" t="inlineStr">
        <x:is>
          <x:t xml:space="preserve">Management creates enterprise growth while destroying per-share value through M&amp;A, dilution, leverage or mistimed buybacks.</x:t>
        </x:is>
      </x:c>
      <x:c r="K41" s="160" t="inlineStr">
        <x:is>
          <x:t xml:space="preserve">Superconducting QPUs and cloud/system access</x:t>
        </x:is>
      </x:c>
      <x:c r="L41" s="160" t="inlineStr">
        <x:is>
          <x:t xml:space="preserve">Milestone value + net cash/runway</x:t>
        </x:is>
      </x:c>
      <x:c r="M41" s="160" t="inlineStr">
        <x:is>
          <x:t xml:space="preserve">NO ACTION</x:t>
        </x:is>
      </x:c>
      <x:c r="N41" s="160" t="inlineStr">
        <x:is>
          <x:t xml:space="preserve">R-STEW-01</x:t>
        </x:is>
      </x:c>
      <x:c r="O41" s="160" t="inlineStr">
        <x:is>
          <x:t xml:space="preserve">UNFORMED</x:t>
        </x:is>
      </x:c>
      <x:c r="P41" s="160" t="inlineStr">
        <x:is>
          <x:t xml:space="preserve">WEAKNESS EXPOSED</x:t>
        </x:is>
      </x:c>
      <x:c r="Q41" s="160" t="inlineStr">
        <x:is>
          <x:t xml:space="preserve">The frozen V10 gate family is directionally right, but the test lacks a sufficiently explicit mechanical implementation.</x:t>
        </x:is>
      </x:c>
      <x:c r="R41" s="160" t="inlineStr">
        <x:is>
          <x:t xml:space="preserve">Evaluate capital allocation on a per-share basis using acquisition cohorts, dilution, leverage and repurchase price discipline.</x:t>
        </x:is>
      </x:c>
      <x:c r="S41" s="160" t="inlineStr">
        <x:is>
          <x:t xml:space="preserve">YES — SIMULATION ONLY</x:t>
        </x:is>
      </x:c>
      <x:c r="T41" s="160" t="inlineStr">
        <x:is>
          <x:t xml:space="preserve">BASE</x:t>
        </x:is>
      </x:c>
      <x:c r="U41" s="160" t="inlineStr">
        <x:is>
          <x:t xml:space="preserve">V10.5-SIM05</x:t>
        </x:is>
      </x:c>
      <x:c r="V41" s="160" t="inlineStr">
        <x:is>
          <x:t xml:space="preserve">https://investors.rigetti.com</x:t>
        </x:is>
      </x:c>
      <x:c r="W41" s="160" t="inlineStr">
        <x:is>
          <x:t xml:space="preserve">NO</x:t>
        </x:is>
      </x:c>
      <x:c r="X41" s="160" t="inlineStr">
        <x:is>
          <x:t xml:space="preserve">NONE — DEVELOPMENT ONLY</x:t>
        </x:is>
      </x:c>
      <x:c r="Y41" s="160" t="inlineStr">
        <x:is>
          <x:t xml:space="preserve">Synthetic/adversarial model-development loop. No historical outcome is claimed; no accuracy point is awarded.</x:t>
        </x:is>
      </x:c>
    </x:row>
    <x:row r="42">
      <x:c r="A42" s="160" t="inlineStr">
        <x:is>
          <x:t xml:space="preserve">ML0037</x:t>
        </x:is>
      </x:c>
      <x:c r="B42" s="160" t="inlineStr">
        <x:is>
          <x:t xml:space="preserve">ARG-003</x:t>
        </x:is>
      </x:c>
      <x:c r="C42" s="160" t="inlineStr">
        <x:is>
          <x:t xml:space="preserve">Rigetti Computing</x:t>
        </x:is>
      </x:c>
      <x:c r="D42" s="160" t="inlineStr">
        <x:is>
          <x:t xml:space="preserve">RGTI</x:t>
        </x:is>
      </x:c>
      <x:c r="E42" s="160" t="inlineStr">
        <x:is>
          <x:t xml:space="preserve">Quantum Computing</x:t>
        </x:is>
      </x:c>
      <x:c r="F42" s="160" t="inlineStr">
        <x:is>
          <x:t xml:space="preserve">Development</x:t>
        </x:is>
      </x:c>
      <x:c r="G42" s="160" t="inlineStr">
        <x:is>
          <x:t xml:space="preserve">S05</x:t>
        </x:is>
      </x:c>
      <x:c r="H42" s="160" t="inlineStr">
        <x:is>
          <x:t xml:space="preserve">Survival / Funding</x:t>
        </x:is>
      </x:c>
      <x:c r="I42" s="160" t="inlineStr">
        <x:is>
          <x:t xml:space="preserve">Survival</x:t>
        </x:is>
      </x:c>
      <x:c r="J42" s="160" t="inlineStr">
        <x:is>
          <x:t xml:space="preserve">A plausible bear case exposes refinancing, liquidity, covenant, reserve, regulatory or operational fragility.</x:t>
        </x:is>
      </x:c>
      <x:c r="K42" s="160" t="inlineStr">
        <x:is>
          <x:t xml:space="preserve">Superconducting QPUs and cloud/system access</x:t>
        </x:is>
      </x:c>
      <x:c r="L42" s="160" t="inlineStr">
        <x:is>
          <x:t xml:space="preserve">Milestone value + net cash/runway</x:t>
        </x:is>
      </x:c>
      <x:c r="M42" s="160" t="inlineStr">
        <x:is>
          <x:t xml:space="preserve">NO ACTION</x:t>
        </x:is>
      </x:c>
      <x:c r="N42" s="160" t="inlineStr">
        <x:is>
          <x:t xml:space="preserve">R-SURV-01</x:t>
        </x:is>
      </x:c>
      <x:c r="O42" s="160" t="inlineStr">
        <x:is>
          <x:t xml:space="preserve">UNFORMED</x:t>
        </x:is>
      </x:c>
      <x:c r="P42" s="160" t="inlineStr">
        <x:is>
          <x:t xml:space="preserve">FAILURE EXPOSED</x:t>
        </x:is>
      </x:c>
      <x:c r="Q42" s="160" t="inlineStr">
        <x:is>
          <x:t xml:space="preserve">The frozen V10 gate family is directionally right, but the test lacks a sufficiently explicit mechanical implementation.</x:t>
        </x:is>
      </x:c>
      <x:c r="R42" s="160" t="inlineStr">
        <x:is>
          <x:t xml:space="preserve">Run a company-specific survival bridge under a severe-but-plausible bear case before any upside underwriting.</x:t>
        </x:is>
      </x:c>
      <x:c r="S42" s="160" t="inlineStr">
        <x:is>
          <x:t xml:space="preserve">YES — SIMULATION ONLY</x:t>
        </x:is>
      </x:c>
      <x:c r="T42" s="160" t="inlineStr">
        <x:is>
          <x:t xml:space="preserve">BASE</x:t>
        </x:is>
      </x:c>
      <x:c r="U42" s="160" t="inlineStr">
        <x:is>
          <x:t xml:space="preserve">V10.5-SIM06</x:t>
        </x:is>
      </x:c>
      <x:c r="V42" s="160" t="inlineStr">
        <x:is>
          <x:t xml:space="preserve">https://investors.rigetti.com</x:t>
        </x:is>
      </x:c>
      <x:c r="W42" s="160" t="inlineStr">
        <x:is>
          <x:t xml:space="preserve">NO</x:t>
        </x:is>
      </x:c>
      <x:c r="X42" s="160" t="inlineStr">
        <x:is>
          <x:t xml:space="preserve">NONE — DEVELOPMENT ONLY</x:t>
        </x:is>
      </x:c>
      <x:c r="Y42" s="160" t="inlineStr">
        <x:is>
          <x:t xml:space="preserve">Synthetic/adversarial model-development loop. No historical outcome is claimed; no accuracy point is awarded.</x:t>
        </x:is>
      </x:c>
    </x:row>
    <x:row r="43">
      <x:c r="A43" s="160" t="inlineStr">
        <x:is>
          <x:t xml:space="preserve">ML0038</x:t>
        </x:is>
      </x:c>
      <x:c r="B43" s="160" t="inlineStr">
        <x:is>
          <x:t xml:space="preserve">ARG-003</x:t>
        </x:is>
      </x:c>
      <x:c r="C43" s="160" t="inlineStr">
        <x:is>
          <x:t xml:space="preserve">Rigetti Computing</x:t>
        </x:is>
      </x:c>
      <x:c r="D43" s="160" t="inlineStr">
        <x:is>
          <x:t xml:space="preserve">RGTI</x:t>
        </x:is>
      </x:c>
      <x:c r="E43" s="160" t="inlineStr">
        <x:is>
          <x:t xml:space="preserve">Quantum Computing</x:t>
        </x:is>
      </x:c>
      <x:c r="F43" s="160" t="inlineStr">
        <x:is>
          <x:t xml:space="preserve">Development</x:t>
        </x:is>
      </x:c>
      <x:c r="G43" s="160" t="inlineStr">
        <x:is>
          <x:t xml:space="preserve">S06</x:t>
        </x:is>
      </x:c>
      <x:c r="H43" s="160" t="inlineStr">
        <x:is>
          <x:t xml:space="preserve">Margin of Safety</x:t>
        </x:is>
      </x:c>
      <x:c r="I43" s="160" t="inlineStr">
        <x:is>
          <x:t xml:space="preserve">Margin of Safety</x:t>
        </x:is>
      </x:c>
      <x:c r="J43" s="160" t="inlineStr">
        <x:is>
          <x:t xml:space="preserve">Business quality is high but the price embeds a fragile bull case.</x:t>
        </x:is>
      </x:c>
      <x:c r="K43" s="160" t="inlineStr">
        <x:is>
          <x:t xml:space="preserve">Superconducting QPUs and cloud/system access</x:t>
        </x:is>
      </x:c>
      <x:c r="L43" s="160" t="inlineStr">
        <x:is>
          <x:t xml:space="preserve">Milestone value + net cash/runway</x:t>
        </x:is>
      </x:c>
      <x:c r="M43" s="160" t="inlineStr">
        <x:is>
          <x:t xml:space="preserve">NO ACTION</x:t>
        </x:is>
      </x:c>
      <x:c r="N43" s="160" t="inlineStr">
        <x:is>
          <x:t xml:space="preserve">R-MOS-01</x:t>
        </x:is>
      </x:c>
      <x:c r="O43" s="160" t="inlineStr">
        <x:is>
          <x:t xml:space="preserve">UNFORMED</x:t>
        </x:is>
      </x:c>
      <x:c r="P43" s="160" t="inlineStr">
        <x:is>
          <x:t xml:space="preserve">WEAKNESS EXPOSED</x:t>
        </x:is>
      </x:c>
      <x:c r="Q43" s="160" t="inlineStr">
        <x:is>
          <x:t xml:space="preserve">The frozen V10 gate family is directionally right, but the test lacks a sufficiently explicit mechanical implementation.</x:t>
        </x:is>
      </x:c>
      <x:c r="R43" s="160" t="inlineStr">
        <x:is>
          <x:t xml:space="preserve">Separate business-quality score from price decision; require reverse valuation and bear/base/bull IV ranges.</x:t>
        </x:is>
      </x:c>
      <x:c r="S43" s="160" t="inlineStr">
        <x:is>
          <x:t xml:space="preserve">YES — SIMULATION ONLY</x:t>
        </x:is>
      </x:c>
      <x:c r="T43" s="160" t="inlineStr">
        <x:is>
          <x:t xml:space="preserve">BASE</x:t>
        </x:is>
      </x:c>
      <x:c r="U43" s="160" t="inlineStr">
        <x:is>
          <x:t xml:space="preserve">V10.5-SIM07</x:t>
        </x:is>
      </x:c>
      <x:c r="V43" s="160" t="inlineStr">
        <x:is>
          <x:t xml:space="preserve">https://investors.rigetti.com</x:t>
        </x:is>
      </x:c>
      <x:c r="W43" s="160" t="inlineStr">
        <x:is>
          <x:t xml:space="preserve">NO</x:t>
        </x:is>
      </x:c>
      <x:c r="X43" s="160" t="inlineStr">
        <x:is>
          <x:t xml:space="preserve">NONE — DEVELOPMENT ONLY</x:t>
        </x:is>
      </x:c>
      <x:c r="Y43" s="160" t="inlineStr">
        <x:is>
          <x:t xml:space="preserve">Synthetic/adversarial model-development loop. No historical outcome is claimed; no accuracy point is awarded.</x:t>
        </x:is>
      </x:c>
    </x:row>
    <x:row r="44">
      <x:c r="A44" s="160" t="inlineStr">
        <x:is>
          <x:t xml:space="preserve">ML0039</x:t>
        </x:is>
      </x:c>
      <x:c r="B44" s="160" t="inlineStr">
        <x:is>
          <x:t xml:space="preserve">ARG-003</x:t>
        </x:is>
      </x:c>
      <x:c r="C44" s="160" t="inlineStr">
        <x:is>
          <x:t xml:space="preserve">Rigetti Computing</x:t>
        </x:is>
      </x:c>
      <x:c r="D44" s="160" t="inlineStr">
        <x:is>
          <x:t xml:space="preserve">RGTI</x:t>
        </x:is>
      </x:c>
      <x:c r="E44" s="160" t="inlineStr">
        <x:is>
          <x:t xml:space="preserve">Quantum Computing</x:t>
        </x:is>
      </x:c>
      <x:c r="F44" s="160" t="inlineStr">
        <x:is>
          <x:t xml:space="preserve">Development</x:t>
        </x:is>
      </x:c>
      <x:c r="G44" s="160" t="inlineStr">
        <x:is>
          <x:t xml:space="preserve">S07</x:t>
        </x:is>
      </x:c>
      <x:c r="H44" s="160" t="inlineStr">
        <x:is>
          <x:t xml:space="preserve">Sector Shock</x:t>
        </x:is>
      </x:c>
      <x:c r="I44" s="160" t="inlineStr">
        <x:is>
          <x:t xml:space="preserve">Sector-specific</x:t>
        </x:is>
      </x:c>
      <x:c r="J44" s="160" t="inlineStr">
        <x:is>
          <x:t xml:space="preserve">Technical milestone improves but paid recurring use, bookings conversion and dilution-adjusted economics lag.</x:t>
        </x:is>
      </x:c>
      <x:c r="K44" s="160" t="inlineStr">
        <x:is>
          <x:t xml:space="preserve">Superconducting QPUs and cloud/system access</x:t>
        </x:is>
      </x:c>
      <x:c r="L44" s="160" t="inlineStr">
        <x:is>
          <x:t xml:space="preserve">Milestone value + net cash/runway</x:t>
        </x:is>
      </x:c>
      <x:c r="M44" s="160" t="inlineStr">
        <x:is>
          <x:t xml:space="preserve">NO ACTION</x:t>
        </x:is>
      </x:c>
      <x:c r="N44" s="160" t="inlineStr">
        <x:is>
          <x:t xml:space="preserve">R-SECTOR-QUANTUM-COMPUTING</x:t>
        </x:is>
      </x:c>
      <x:c r="O44" s="160" t="inlineStr">
        <x:is>
          <x:t xml:space="preserve">BASE</x:t>
        </x:is>
      </x:c>
      <x:c r="P44" s="160" t="inlineStr">
        <x:is>
          <x:t xml:space="preserve">PARTIAL CATCH</x:t>
        </x:is>
      </x:c>
      <x:c r="Q44" s="160" t="inlineStr">
        <x:is>
          <x:t xml:space="preserve">The base refinement catches the main failure, but evidence thresholds and per-share/counterfactual details remain underspecified.</x:t>
        </x:is>
      </x:c>
      <x:c r="R44" s="160" t="inlineStr">
        <x:is>
          <x:t xml:space="preserve">Add a sector-specific transmission map with leading operating sensors, not only market-price variables. Sector rule: Technical milestone improves but paid recurring use, bookings conversion and dilution-adjusted economics lag.</x:t>
        </x:is>
      </x:c>
      <x:c r="S44" s="160" t="inlineStr">
        <x:is>
          <x:t xml:space="preserve">NO</x:t>
        </x:is>
      </x:c>
      <x:c r="T44" s="160" t="inlineStr">
        <x:is>
          <x:t xml:space="preserve">BASE</x:t>
        </x:is>
      </x:c>
      <x:c r="U44" s="160" t="inlineStr">
        <x:is>
          <x:t xml:space="preserve">V10.5-SIM07</x:t>
        </x:is>
      </x:c>
      <x:c r="V44" s="160" t="inlineStr">
        <x:is>
          <x:t xml:space="preserve">https://investors.rigetti.com</x:t>
        </x:is>
      </x:c>
      <x:c r="W44" s="160" t="inlineStr">
        <x:is>
          <x:t xml:space="preserve">NO</x:t>
        </x:is>
      </x:c>
      <x:c r="X44" s="160" t="inlineStr">
        <x:is>
          <x:t xml:space="preserve">NONE — DEVELOPMENT ONLY</x:t>
        </x:is>
      </x:c>
      <x:c r="Y44" s="160" t="inlineStr">
        <x:is>
          <x:t xml:space="preserve">Synthetic/adversarial model-development loop. No historical outcome is claimed; no accuracy point is awarded.</x:t>
        </x:is>
      </x:c>
    </x:row>
    <x:row r="45">
      <x:c r="A45" s="160" t="inlineStr">
        <x:is>
          <x:t xml:space="preserve">ML0040</x:t>
        </x:is>
      </x:c>
      <x:c r="B45" s="160" t="inlineStr">
        <x:is>
          <x:t xml:space="preserve">ARG-003</x:t>
        </x:is>
      </x:c>
      <x:c r="C45" s="160" t="inlineStr">
        <x:is>
          <x:t xml:space="preserve">Rigetti Computing</x:t>
        </x:is>
      </x:c>
      <x:c r="D45" s="160" t="inlineStr">
        <x:is>
          <x:t xml:space="preserve">RGTI</x:t>
        </x:is>
      </x:c>
      <x:c r="E45" s="160" t="inlineStr">
        <x:is>
          <x:t xml:space="preserve">Quantum Computing</x:t>
        </x:is>
      </x:c>
      <x:c r="F45" s="160" t="inlineStr">
        <x:is>
          <x:t xml:space="preserve">Development</x:t>
        </x:is>
      </x:c>
      <x:c r="G45" s="160" t="inlineStr">
        <x:is>
          <x:t xml:space="preserve">S08</x:t>
        </x:is>
      </x:c>
      <x:c r="H45" s="160" t="inlineStr">
        <x:is>
          <x:t xml:space="preserve">Management Promise Reliability</x:t>
        </x:is>
      </x:c>
      <x:c r="I45" s="160" t="inlineStr">
        <x:is>
          <x:t xml:space="preserve">Management over-trust</x:t>
        </x:is>
      </x:c>
      <x:c r="J45" s="160" t="inlineStr">
        <x:is>
          <x:t xml:space="preserve">Guidance or strategic promises are repeated but the model lacks a contemporaneous reliability score.</x:t>
        </x:is>
      </x:c>
      <x:c r="K45" s="160" t="inlineStr">
        <x:is>
          <x:t xml:space="preserve">Superconducting QPUs and cloud/system access</x:t>
        </x:is>
      </x:c>
      <x:c r="L45" s="160" t="inlineStr">
        <x:is>
          <x:t xml:space="preserve">Milestone value + net cash/runway</x:t>
        </x:is>
      </x:c>
      <x:c r="M45" s="160" t="inlineStr">
        <x:is>
          <x:t xml:space="preserve">NO ACTION</x:t>
        </x:is>
      </x:c>
      <x:c r="N45" s="160" t="inlineStr">
        <x:is>
          <x:t xml:space="preserve">R-PROM-01</x:t>
        </x:is>
      </x:c>
      <x:c r="O45" s="160" t="inlineStr">
        <x:is>
          <x:t xml:space="preserve">UNFORMED</x:t>
        </x:is>
      </x:c>
      <x:c r="P45" s="160" t="inlineStr">
        <x:is>
          <x:t xml:space="preserve">WEAKNESS EXPOSED</x:t>
        </x:is>
      </x:c>
      <x:c r="Q45" s="160" t="inlineStr">
        <x:is>
          <x:t xml:space="preserve">The frozen V10 gate family is directionally right, but the test lacks a sufficiently explicit mechanical implementation.</x:t>
        </x:is>
      </x:c>
      <x:c r="R45" s="160" t="inlineStr">
        <x:is>
          <x:t xml:space="preserve">Use a promises ledger with dated promise, measurable deliverable, due date, outcome and credibility weight.</x:t>
        </x:is>
      </x:c>
      <x:c r="S45" s="160" t="inlineStr">
        <x:is>
          <x:t xml:space="preserve">YES — SIMULATION ONLY</x:t>
        </x:is>
      </x:c>
      <x:c r="T45" s="160" t="inlineStr">
        <x:is>
          <x:t xml:space="preserve">BASE</x:t>
        </x:is>
      </x:c>
      <x:c r="U45" s="160" t="inlineStr">
        <x:is>
          <x:t xml:space="preserve">V10.5-SIM08</x:t>
        </x:is>
      </x:c>
      <x:c r="V45" s="160" t="inlineStr">
        <x:is>
          <x:t xml:space="preserve">https://investors.rigetti.com</x:t>
        </x:is>
      </x:c>
      <x:c r="W45" s="160" t="inlineStr">
        <x:is>
          <x:t xml:space="preserve">NO</x:t>
        </x:is>
      </x:c>
      <x:c r="X45" s="160" t="inlineStr">
        <x:is>
          <x:t xml:space="preserve">NONE — DEVELOPMENT ONLY</x:t>
        </x:is>
      </x:c>
      <x:c r="Y45" s="160" t="inlineStr">
        <x:is>
          <x:t xml:space="preserve">Synthetic/adversarial model-development loop. No historical outcome is claimed; no accuracy point is awarded.</x:t>
        </x:is>
      </x:c>
    </x:row>
    <x:row r="46">
      <x:c r="A46" s="160" t="inlineStr">
        <x:is>
          <x:t xml:space="preserve">ML0041</x:t>
        </x:is>
      </x:c>
      <x:c r="B46" s="160" t="inlineStr">
        <x:is>
          <x:t xml:space="preserve">ARG-003</x:t>
        </x:is>
      </x:c>
      <x:c r="C46" s="160" t="inlineStr">
        <x:is>
          <x:t xml:space="preserve">Rigetti Computing</x:t>
        </x:is>
      </x:c>
      <x:c r="D46" s="160" t="inlineStr">
        <x:is>
          <x:t xml:space="preserve">RGTI</x:t>
        </x:is>
      </x:c>
      <x:c r="E46" s="160" t="inlineStr">
        <x:is>
          <x:t xml:space="preserve">Quantum Computing</x:t>
        </x:is>
      </x:c>
      <x:c r="F46" s="160" t="inlineStr">
        <x:is>
          <x:t xml:space="preserve">Development</x:t>
        </x:is>
      </x:c>
      <x:c r="G46" s="160" t="inlineStr">
        <x:is>
          <x:t xml:space="preserve">S09</x:t>
        </x:is>
      </x:c>
      <x:c r="H46" s="160" t="inlineStr">
        <x:is>
          <x:t xml:space="preserve">Data / Accounting Quality</x:t>
        </x:is>
      </x:c>
      <x:c r="I46" s="160" t="inlineStr">
        <x:is>
          <x:t xml:space="preserve">Data quality</x:t>
        </x:is>
      </x:c>
      <x:c r="J46" s="160" t="inlineStr">
        <x:is>
          <x:t xml:space="preserve">Restatement, segment reclassification, one-time item or non-economic fair-value movement distorts the apparent trend.</x:t>
        </x:is>
      </x:c>
      <x:c r="K46" s="160" t="inlineStr">
        <x:is>
          <x:t xml:space="preserve">Superconducting QPUs and cloud/system access</x:t>
        </x:is>
      </x:c>
      <x:c r="L46" s="160" t="inlineStr">
        <x:is>
          <x:t xml:space="preserve">Milestone value + net cash/runway</x:t>
        </x:is>
      </x:c>
      <x:c r="M46" s="160" t="inlineStr">
        <x:is>
          <x:t xml:space="preserve">NO ACTION</x:t>
        </x:is>
      </x:c>
      <x:c r="N46" s="160" t="inlineStr">
        <x:is>
          <x:t xml:space="preserve">R-DATA-01</x:t>
        </x:is>
      </x:c>
      <x:c r="O46" s="160" t="inlineStr">
        <x:is>
          <x:t xml:space="preserve">UNFORMED</x:t>
        </x:is>
      </x:c>
      <x:c r="P46" s="160" t="inlineStr">
        <x:is>
          <x:t xml:space="preserve">FAILURE EXPOSED</x:t>
        </x:is>
      </x:c>
      <x:c r="Q46" s="160" t="inlineStr">
        <x:is>
          <x:t xml:space="preserve">The frozen V10 gate family is directionally right, but the test lacks a sufficiently explicit mechanical implementation.</x:t>
        </x:is>
      </x:c>
      <x:c r="R46" s="160" t="inlineStr">
        <x:is>
          <x:t xml:space="preserve">Add a reporting-quality bridge and normalize accounting noise before any gate can pass.</x:t>
        </x:is>
      </x:c>
      <x:c r="S46" s="160" t="inlineStr">
        <x:is>
          <x:t xml:space="preserve">YES — SIMULATION ONLY</x:t>
        </x:is>
      </x:c>
      <x:c r="T46" s="160" t="inlineStr">
        <x:is>
          <x:t xml:space="preserve">BASE</x:t>
        </x:is>
      </x:c>
      <x:c r="U46" s="160" t="inlineStr">
        <x:is>
          <x:t xml:space="preserve">V10.5-SIM09</x:t>
        </x:is>
      </x:c>
      <x:c r="V46" s="160" t="inlineStr">
        <x:is>
          <x:t xml:space="preserve">https://investors.rigetti.com</x:t>
        </x:is>
      </x:c>
      <x:c r="W46" s="160" t="inlineStr">
        <x:is>
          <x:t xml:space="preserve">NO</x:t>
        </x:is>
      </x:c>
      <x:c r="X46" s="160" t="inlineStr">
        <x:is>
          <x:t xml:space="preserve">NONE — DEVELOPMENT ONLY</x:t>
        </x:is>
      </x:c>
      <x:c r="Y46" s="160" t="inlineStr">
        <x:is>
          <x:t xml:space="preserve">Synthetic/adversarial model-development loop. No historical outcome is claimed; no accuracy point is awarded.</x:t>
        </x:is>
      </x:c>
    </x:row>
    <x:row r="47">
      <x:c r="A47" s="160" t="inlineStr">
        <x:is>
          <x:t xml:space="preserve">ML0042</x:t>
        </x:is>
      </x:c>
      <x:c r="B47" s="160" t="inlineStr">
        <x:is>
          <x:t xml:space="preserve">ARG-003</x:t>
        </x:is>
      </x:c>
      <x:c r="C47" s="160" t="inlineStr">
        <x:is>
          <x:t xml:space="preserve">Rigetti Computing</x:t>
        </x:is>
      </x:c>
      <x:c r="D47" s="160" t="inlineStr">
        <x:is>
          <x:t xml:space="preserve">RGTI</x:t>
        </x:is>
      </x:c>
      <x:c r="E47" s="160" t="inlineStr">
        <x:is>
          <x:t xml:space="preserve">Quantum Computing</x:t>
        </x:is>
      </x:c>
      <x:c r="F47" s="160" t="inlineStr">
        <x:is>
          <x:t xml:space="preserve">Development</x:t>
        </x:is>
      </x:c>
      <x:c r="G47" s="160" t="inlineStr">
        <x:is>
          <x:t xml:space="preserve">S10</x:t>
        </x:is>
      </x:c>
      <x:c r="H47" s="160" t="inlineStr">
        <x:is>
          <x:t xml:space="preserve">Control / Counterfactual</x:t>
        </x:is>
      </x:c>
      <x:c r="I47" s="160" t="inlineStr">
        <x:is>
          <x:t xml:space="preserve">Sector beta vs company alpha</x:t>
        </x:is>
      </x:c>
      <x:c r="J47" s="160" t="inlineStr">
        <x:is>
          <x:t xml:space="preserve">A positive outcome is mostly sector beta or macro tailwind, not company-specific alpha.</x:t>
        </x:is>
      </x:c>
      <x:c r="K47" s="160" t="inlineStr">
        <x:is>
          <x:t xml:space="preserve">Superconducting QPUs and cloud/system access</x:t>
        </x:is>
      </x:c>
      <x:c r="L47" s="160" t="inlineStr">
        <x:is>
          <x:t xml:space="preserve">Milestone value + net cash/runway</x:t>
        </x:is>
      </x:c>
      <x:c r="M47" s="160" t="inlineStr">
        <x:is>
          <x:t xml:space="preserve">NO ACTION</x:t>
        </x:is>
      </x:c>
      <x:c r="N47" s="160" t="inlineStr">
        <x:is>
          <x:t xml:space="preserve">R-CF-01</x:t>
        </x:is>
      </x:c>
      <x:c r="O47" s="160" t="inlineStr">
        <x:is>
          <x:t xml:space="preserve">UNFORMED</x:t>
        </x:is>
      </x:c>
      <x:c r="P47" s="160" t="inlineStr">
        <x:is>
          <x:t xml:space="preserve">WEAKNESS EXPOSED</x:t>
        </x:is>
      </x:c>
      <x:c r="Q47" s="160" t="inlineStr">
        <x:is>
          <x:t xml:space="preserve">The frozen V10 gate family is directionally right, but the test lacks a sufficiently explicit mechanical implementation.</x:t>
        </x:is>
      </x:c>
      <x:c r="R47" s="160" t="inlineStr">
        <x:is>
          <x:t xml:space="preserve">Require a true economic control and counterfactual: what should have happened to a comparable company under the same shock?</x:t>
        </x:is>
      </x:c>
      <x:c r="S47" s="160" t="inlineStr">
        <x:is>
          <x:t xml:space="preserve">YES — SIMULATION ONLY</x:t>
        </x:is>
      </x:c>
      <x:c r="T47" s="160" t="inlineStr">
        <x:is>
          <x:t xml:space="preserve">BASE</x:t>
        </x:is>
      </x:c>
      <x:c r="U47" s="160" t="inlineStr">
        <x:is>
          <x:t xml:space="preserve">V10.5-SIM10</x:t>
        </x:is>
      </x:c>
      <x:c r="V47" s="160" t="inlineStr">
        <x:is>
          <x:t xml:space="preserve">https://investors.rigetti.com</x:t>
        </x:is>
      </x:c>
      <x:c r="W47" s="160" t="inlineStr">
        <x:is>
          <x:t xml:space="preserve">NO</x:t>
        </x:is>
      </x:c>
      <x:c r="X47" s="160" t="inlineStr">
        <x:is>
          <x:t xml:space="preserve">NONE — DEVELOPMENT ONLY</x:t>
        </x:is>
      </x:c>
      <x:c r="Y47" s="160" t="inlineStr">
        <x:is>
          <x:t xml:space="preserve">Synthetic/adversarial model-development loop. No historical outcome is claimed; no accuracy point is awarded.</x:t>
        </x:is>
      </x:c>
    </x:row>
    <x:row r="48">
      <x:c r="A48" s="160" t="inlineStr">
        <x:is>
          <x:t xml:space="preserve">ML0043</x:t>
        </x:is>
      </x:c>
      <x:c r="B48" s="160" t="inlineStr">
        <x:is>
          <x:t xml:space="preserve">ARG-003</x:t>
        </x:is>
      </x:c>
      <x:c r="C48" s="160" t="inlineStr">
        <x:is>
          <x:t xml:space="preserve">Rigetti Computing</x:t>
        </x:is>
      </x:c>
      <x:c r="D48" s="160" t="inlineStr">
        <x:is>
          <x:t xml:space="preserve">RGTI</x:t>
        </x:is>
      </x:c>
      <x:c r="E48" s="160" t="inlineStr">
        <x:is>
          <x:t xml:space="preserve">Quantum Computing</x:t>
        </x:is>
      </x:c>
      <x:c r="F48" s="160" t="inlineStr">
        <x:is>
          <x:t xml:space="preserve">Development</x:t>
        </x:is>
      </x:c>
      <x:c r="G48" s="160" t="inlineStr">
        <x:is>
          <x:t xml:space="preserve">S11</x:t>
        </x:is>
      </x:c>
      <x:c r="H48" s="160" t="inlineStr">
        <x:is>
          <x:t xml:space="preserve">False-Negative Discipline</x:t>
        </x:is>
      </x:c>
      <x:c r="I48" s="160" t="inlineStr">
        <x:is>
          <x:t xml:space="preserve">False negative</x:t>
        </x:is>
      </x:c>
      <x:c r="J48" s="160" t="inlineStr">
        <x:is>
          <x:t xml:space="preserve">A strict gate rejects a company that later compounds strongly for reasons the model could have known.</x:t>
        </x:is>
      </x:c>
      <x:c r="K48" s="160" t="inlineStr">
        <x:is>
          <x:t xml:space="preserve">Superconducting QPUs and cloud/system access</x:t>
        </x:is>
      </x:c>
      <x:c r="L48" s="160" t="inlineStr">
        <x:is>
          <x:t xml:space="preserve">Milestone value + net cash/runway</x:t>
        </x:is>
      </x:c>
      <x:c r="M48" s="160" t="inlineStr">
        <x:is>
          <x:t xml:space="preserve">NO ACTION</x:t>
        </x:is>
      </x:c>
      <x:c r="N48" s="160" t="inlineStr">
        <x:is>
          <x:t xml:space="preserve">R-FN-01</x:t>
        </x:is>
      </x:c>
      <x:c r="O48" s="160" t="inlineStr">
        <x:is>
          <x:t xml:space="preserve">UNFORMED</x:t>
        </x:is>
      </x:c>
      <x:c r="P48" s="160" t="inlineStr">
        <x:is>
          <x:t xml:space="preserve">WEAKNESS EXPOSED</x:t>
        </x:is>
      </x:c>
      <x:c r="Q48" s="160" t="inlineStr">
        <x:is>
          <x:t xml:space="preserve">The frozen V10 gate family is directionally right, but the test lacks a sufficiently explicit mechanical implementation.</x:t>
        </x:is>
      </x:c>
      <x:c r="R48" s="160" t="inlineStr">
        <x:is>
          <x:t xml:space="preserve">Track opportunity cost and classify whether the miss came from evidence timing, wrong threshold or genuinely unknowable upside.</x:t>
        </x:is>
      </x:c>
      <x:c r="S48" s="160" t="inlineStr">
        <x:is>
          <x:t xml:space="preserve">YES — SIMULATION ONLY</x:t>
        </x:is>
      </x:c>
      <x:c r="T48" s="160" t="inlineStr">
        <x:is>
          <x:t xml:space="preserve">BASE</x:t>
        </x:is>
      </x:c>
      <x:c r="U48" s="160" t="inlineStr">
        <x:is>
          <x:t xml:space="preserve">V10.5-SIM11</x:t>
        </x:is>
      </x:c>
      <x:c r="V48" s="160" t="inlineStr">
        <x:is>
          <x:t xml:space="preserve">https://investors.rigetti.com</x:t>
        </x:is>
      </x:c>
      <x:c r="W48" s="160" t="inlineStr">
        <x:is>
          <x:t xml:space="preserve">NO</x:t>
        </x:is>
      </x:c>
      <x:c r="X48" s="160" t="inlineStr">
        <x:is>
          <x:t xml:space="preserve">NONE — DEVELOPMENT ONLY</x:t>
        </x:is>
      </x:c>
      <x:c r="Y48" s="160" t="inlineStr">
        <x:is>
          <x:t xml:space="preserve">Synthetic/adversarial model-development loop. No historical outcome is claimed; no accuracy point is awarded.</x:t>
        </x:is>
      </x:c>
    </x:row>
    <x:row r="49">
      <x:c r="A49" s="160" t="inlineStr">
        <x:is>
          <x:t xml:space="preserve">ML0044</x:t>
        </x:is>
      </x:c>
      <x:c r="B49" s="160" t="inlineStr">
        <x:is>
          <x:t xml:space="preserve">ARG-003</x:t>
        </x:is>
      </x:c>
      <x:c r="C49" s="160" t="inlineStr">
        <x:is>
          <x:t xml:space="preserve">Rigetti Computing</x:t>
        </x:is>
      </x:c>
      <x:c r="D49" s="160" t="inlineStr">
        <x:is>
          <x:t xml:space="preserve">RGTI</x:t>
        </x:is>
      </x:c>
      <x:c r="E49" s="160" t="inlineStr">
        <x:is>
          <x:t xml:space="preserve">Quantum Computing</x:t>
        </x:is>
      </x:c>
      <x:c r="F49" s="160" t="inlineStr">
        <x:is>
          <x:t xml:space="preserve">Development</x:t>
        </x:is>
      </x:c>
      <x:c r="G49" s="160" t="inlineStr">
        <x:is>
          <x:t xml:space="preserve">S12</x:t>
        </x:is>
      </x:c>
      <x:c r="H49" s="160" t="inlineStr">
        <x:is>
          <x:t xml:space="preserve">Lead-Time / Early Sensor</x:t>
        </x:is>
      </x:c>
      <x:c r="I49" s="160" t="inlineStr">
        <x:is>
          <x:t xml:space="preserve">Timing / lead-time</x:t>
        </x:is>
      </x:c>
      <x:c r="J49" s="160" t="inlineStr">
        <x:is>
          <x:t xml:space="preserve">ARGUS identifies the change correctly but only after consensus and price have already reacted.</x:t>
        </x:is>
      </x:c>
      <x:c r="K49" s="160" t="inlineStr">
        <x:is>
          <x:t xml:space="preserve">Superconducting QPUs and cloud/system access</x:t>
        </x:is>
      </x:c>
      <x:c r="L49" s="160" t="inlineStr">
        <x:is>
          <x:t xml:space="preserve">Milestone value + net cash/runway</x:t>
        </x:is>
      </x:c>
      <x:c r="M49" s="160" t="inlineStr">
        <x:is>
          <x:t xml:space="preserve">NO ACTION</x:t>
        </x:is>
      </x:c>
      <x:c r="N49" s="160" t="inlineStr">
        <x:is>
          <x:t xml:space="preserve">R-TIME-01</x:t>
        </x:is>
      </x:c>
      <x:c r="O49" s="160" t="inlineStr">
        <x:is>
          <x:t xml:space="preserve">UNFORMED</x:t>
        </x:is>
      </x:c>
      <x:c r="P49" s="160" t="inlineStr">
        <x:is>
          <x:t xml:space="preserve">WEAKNESS EXPOSED</x:t>
        </x:is>
      </x:c>
      <x:c r="Q49" s="160" t="inlineStr">
        <x:is>
          <x:t xml:space="preserve">The frozen V10 gate family is directionally right, but the test lacks a sufficiently explicit mechanical implementation.</x:t>
        </x:is>
      </x:c>
      <x:c r="R49" s="160" t="inlineStr">
        <x:is>
          <x:t xml:space="preserve">Replace lagging financial metrics with earlier causal operating sensors and record lead time separately from correctness.</x:t>
        </x:is>
      </x:c>
      <x:c r="S49" s="160" t="inlineStr">
        <x:is>
          <x:t xml:space="preserve">YES — SIMULATION ONLY</x:t>
        </x:is>
      </x:c>
      <x:c r="T49" s="160" t="inlineStr">
        <x:is>
          <x:t xml:space="preserve">BASE</x:t>
        </x:is>
      </x:c>
      <x:c r="U49" s="160" t="inlineStr">
        <x:is>
          <x:t xml:space="preserve">V10.5-SIM12</x:t>
        </x:is>
      </x:c>
      <x:c r="V49" s="160" t="inlineStr">
        <x:is>
          <x:t xml:space="preserve">https://investors.rigetti.com</x:t>
        </x:is>
      </x:c>
      <x:c r="W49" s="160" t="inlineStr">
        <x:is>
          <x:t xml:space="preserve">NO</x:t>
        </x:is>
      </x:c>
      <x:c r="X49" s="160" t="inlineStr">
        <x:is>
          <x:t xml:space="preserve">NONE — DEVELOPMENT ONLY</x:t>
        </x:is>
      </x:c>
      <x:c r="Y49" s="160" t="inlineStr">
        <x:is>
          <x:t xml:space="preserve">Synthetic/adversarial model-development loop. No historical outcome is claimed; no accuracy point is awarded.</x:t>
        </x:is>
      </x:c>
    </x:row>
    <x:row r="50">
      <x:c r="A50" s="160" t="inlineStr">
        <x:is>
          <x:t xml:space="preserve">ML0045</x:t>
        </x:is>
      </x:c>
      <x:c r="B50" s="160" t="inlineStr">
        <x:is>
          <x:t xml:space="preserve">ARG-003</x:t>
        </x:is>
      </x:c>
      <x:c r="C50" s="160" t="inlineStr">
        <x:is>
          <x:t xml:space="preserve">Rigetti Computing</x:t>
        </x:is>
      </x:c>
      <x:c r="D50" s="160" t="inlineStr">
        <x:is>
          <x:t xml:space="preserve">RGTI</x:t>
        </x:is>
      </x:c>
      <x:c r="E50" s="160" t="inlineStr">
        <x:is>
          <x:t xml:space="preserve">Quantum Computing</x:t>
        </x:is>
      </x:c>
      <x:c r="F50" s="160" t="inlineStr">
        <x:is>
          <x:t xml:space="preserve">Development</x:t>
        </x:is>
      </x:c>
      <x:c r="G50" s="160" t="inlineStr">
        <x:is>
          <x:t xml:space="preserve">S13</x:t>
        </x:is>
      </x:c>
      <x:c r="H50" s="160" t="inlineStr">
        <x:is>
          <x:t xml:space="preserve">Cycle Normalization</x:t>
        </x:is>
      </x:c>
      <x:c r="I50" s="160" t="inlineStr">
        <x:is>
          <x:t xml:space="preserve">Wrong valuation lens</x:t>
        </x:is>
      </x:c>
      <x:c r="J50" s="160" t="inlineStr">
        <x:is>
          <x:t xml:space="preserve">Peak/trough earnings are mistaken for normalized earning power.</x:t>
        </x:is>
      </x:c>
      <x:c r="K50" s="160" t="inlineStr">
        <x:is>
          <x:t xml:space="preserve">Superconducting QPUs and cloud/system access</x:t>
        </x:is>
      </x:c>
      <x:c r="L50" s="160" t="inlineStr">
        <x:is>
          <x:t xml:space="preserve">Milestone value + net cash/runway</x:t>
        </x:is>
      </x:c>
      <x:c r="M50" s="160" t="inlineStr">
        <x:is>
          <x:t xml:space="preserve">NO ACTION</x:t>
        </x:is>
      </x:c>
      <x:c r="N50" s="160" t="inlineStr">
        <x:is>
          <x:t xml:space="preserve">R-CYCLE-01</x:t>
        </x:is>
      </x:c>
      <x:c r="O50" s="160" t="inlineStr">
        <x:is>
          <x:t xml:space="preserve">UNFORMED</x:t>
        </x:is>
      </x:c>
      <x:c r="P50" s="160" t="inlineStr">
        <x:is>
          <x:t xml:space="preserve">FAILURE EXPOSED</x:t>
        </x:is>
      </x:c>
      <x:c r="Q50" s="160" t="inlineStr">
        <x:is>
          <x:t xml:space="preserve">The frozen V10 gate family is directionally right, but the test lacks a sufficiently explicit mechanical implementation.</x:t>
        </x:is>
      </x:c>
      <x:c r="R50" s="160" t="inlineStr">
        <x:is>
          <x:t xml:space="preserve">Use sector-specific mid-cycle/NAV/rate-base/rNPV normalization before applying a valuation multiple.</x:t>
        </x:is>
      </x:c>
      <x:c r="S50" s="160" t="inlineStr">
        <x:is>
          <x:t xml:space="preserve">YES — SIMULATION ONLY</x:t>
        </x:is>
      </x:c>
      <x:c r="T50" s="160" t="inlineStr">
        <x:is>
          <x:t xml:space="preserve">BASE</x:t>
        </x:is>
      </x:c>
      <x:c r="U50" s="160" t="inlineStr">
        <x:is>
          <x:t xml:space="preserve">V10.5-SIM13</x:t>
        </x:is>
      </x:c>
      <x:c r="V50" s="160" t="inlineStr">
        <x:is>
          <x:t xml:space="preserve">https://investors.rigetti.com</x:t>
        </x:is>
      </x:c>
      <x:c r="W50" s="160" t="inlineStr">
        <x:is>
          <x:t xml:space="preserve">NO</x:t>
        </x:is>
      </x:c>
      <x:c r="X50" s="160" t="inlineStr">
        <x:is>
          <x:t xml:space="preserve">NONE — DEVELOPMENT ONLY</x:t>
        </x:is>
      </x:c>
      <x:c r="Y50" s="160" t="inlineStr">
        <x:is>
          <x:t xml:space="preserve">Synthetic/adversarial model-development loop. No historical outcome is claimed; no accuracy point is awarded.</x:t>
        </x:is>
      </x:c>
    </x:row>
    <x:row r="51">
      <x:c r="A51" s="160" t="inlineStr">
        <x:is>
          <x:t xml:space="preserve">ML0046</x:t>
        </x:is>
      </x:c>
      <x:c r="B51" s="160" t="inlineStr">
        <x:is>
          <x:t xml:space="preserve">ARG-003</x:t>
        </x:is>
      </x:c>
      <x:c r="C51" s="160" t="inlineStr">
        <x:is>
          <x:t xml:space="preserve">Rigetti Computing</x:t>
        </x:is>
      </x:c>
      <x:c r="D51" s="160" t="inlineStr">
        <x:is>
          <x:t xml:space="preserve">RGTI</x:t>
        </x:is>
      </x:c>
      <x:c r="E51" s="160" t="inlineStr">
        <x:is>
          <x:t xml:space="preserve">Quantum Computing</x:t>
        </x:is>
      </x:c>
      <x:c r="F51" s="160" t="inlineStr">
        <x:is>
          <x:t xml:space="preserve">Development</x:t>
        </x:is>
      </x:c>
      <x:c r="G51" s="160" t="inlineStr">
        <x:is>
          <x:t xml:space="preserve">S14</x:t>
        </x:is>
      </x:c>
      <x:c r="H51" s="160" t="inlineStr">
        <x:is>
          <x:t xml:space="preserve">M&amp;A / Organic Growth Separation</x:t>
        </x:is>
      </x:c>
      <x:c r="I51" s="160" t="inlineStr">
        <x:is>
          <x:t xml:space="preserve">Stewardship</x:t>
        </x:is>
      </x:c>
      <x:c r="J51" s="160" t="inlineStr">
        <x:is>
          <x:t xml:space="preserve">Acquisition-driven growth masks weak organic economics or poor incremental ROIC.</x:t>
        </x:is>
      </x:c>
      <x:c r="K51" s="160" t="inlineStr">
        <x:is>
          <x:t xml:space="preserve">Superconducting QPUs and cloud/system access</x:t>
        </x:is>
      </x:c>
      <x:c r="L51" s="160" t="inlineStr">
        <x:is>
          <x:t xml:space="preserve">Milestone value + net cash/runway</x:t>
        </x:is>
      </x:c>
      <x:c r="M51" s="160" t="inlineStr">
        <x:is>
          <x:t xml:space="preserve">NO ACTION</x:t>
        </x:is>
      </x:c>
      <x:c r="N51" s="160" t="inlineStr">
        <x:is>
          <x:t xml:space="preserve">R-MA-01</x:t>
        </x:is>
      </x:c>
      <x:c r="O51" s="160" t="inlineStr">
        <x:is>
          <x:t xml:space="preserve">UNFORMED</x:t>
        </x:is>
      </x:c>
      <x:c r="P51" s="160" t="inlineStr">
        <x:is>
          <x:t xml:space="preserve">WEAKNESS EXPOSED</x:t>
        </x:is>
      </x:c>
      <x:c r="Q51" s="160" t="inlineStr">
        <x:is>
          <x:t xml:space="preserve">The frozen V10 gate family is directionally right, but the test lacks a sufficiently explicit mechanical implementation.</x:t>
        </x:is>
      </x:c>
      <x:c r="R51" s="160" t="inlineStr">
        <x:is>
          <x:t xml:space="preserve">Bridge organic growth, acquired growth, purchase price, integration costs and acquisition-cohort ROIC.</x:t>
        </x:is>
      </x:c>
      <x:c r="S51" s="160" t="inlineStr">
        <x:is>
          <x:t xml:space="preserve">YES — SIMULATION ONLY</x:t>
        </x:is>
      </x:c>
      <x:c r="T51" s="160" t="inlineStr">
        <x:is>
          <x:t xml:space="preserve">BASE</x:t>
        </x:is>
      </x:c>
      <x:c r="U51" s="160" t="inlineStr">
        <x:is>
          <x:t xml:space="preserve">V10.5-SIM14</x:t>
        </x:is>
      </x:c>
      <x:c r="V51" s="160" t="inlineStr">
        <x:is>
          <x:t xml:space="preserve">https://investors.rigetti.com</x:t>
        </x:is>
      </x:c>
      <x:c r="W51" s="160" t="inlineStr">
        <x:is>
          <x:t xml:space="preserve">NO</x:t>
        </x:is>
      </x:c>
      <x:c r="X51" s="160" t="inlineStr">
        <x:is>
          <x:t xml:space="preserve">NONE — DEVELOPMENT ONLY</x:t>
        </x:is>
      </x:c>
      <x:c r="Y51" s="160" t="inlineStr">
        <x:is>
          <x:t xml:space="preserve">Synthetic/adversarial model-development loop. No historical outcome is claimed; no accuracy point is awarded.</x:t>
        </x:is>
      </x:c>
    </x:row>
    <x:row r="52">
      <x:c r="A52" s="160" t="inlineStr">
        <x:is>
          <x:t xml:space="preserve">ML0047</x:t>
        </x:is>
      </x:c>
      <x:c r="B52" s="160" t="inlineStr">
        <x:is>
          <x:t xml:space="preserve">ARG-003</x:t>
        </x:is>
      </x:c>
      <x:c r="C52" s="160" t="inlineStr">
        <x:is>
          <x:t xml:space="preserve">Rigetti Computing</x:t>
        </x:is>
      </x:c>
      <x:c r="D52" s="160" t="inlineStr">
        <x:is>
          <x:t xml:space="preserve">RGTI</x:t>
        </x:is>
      </x:c>
      <x:c r="E52" s="160" t="inlineStr">
        <x:is>
          <x:t xml:space="preserve">Quantum Computing</x:t>
        </x:is>
      </x:c>
      <x:c r="F52" s="160" t="inlineStr">
        <x:is>
          <x:t xml:space="preserve">Development</x:t>
        </x:is>
      </x:c>
      <x:c r="G52" s="160" t="inlineStr">
        <x:is>
          <x:t xml:space="preserve">S15</x:t>
        </x:is>
      </x:c>
      <x:c r="H52" s="160" t="inlineStr">
        <x:is>
          <x:t xml:space="preserve">Financing / Dilution Per Share</x:t>
        </x:is>
      </x:c>
      <x:c r="I52" s="160" t="inlineStr">
        <x:is>
          <x:t xml:space="preserve">Stewardship</x:t>
        </x:is>
      </x:c>
      <x:c r="J52" s="160" t="inlineStr">
        <x:is>
          <x:t xml:space="preserve">Cash balance or revenue growth improves while financing causes material per-share value leakage.</x:t>
        </x:is>
      </x:c>
      <x:c r="K52" s="160" t="inlineStr">
        <x:is>
          <x:t xml:space="preserve">Superconducting QPUs and cloud/system access</x:t>
        </x:is>
      </x:c>
      <x:c r="L52" s="160" t="inlineStr">
        <x:is>
          <x:t xml:space="preserve">Milestone value + net cash/runway</x:t>
        </x:is>
      </x:c>
      <x:c r="M52" s="160" t="inlineStr">
        <x:is>
          <x:t xml:space="preserve">NO ACTION</x:t>
        </x:is>
      </x:c>
      <x:c r="N52" s="160" t="inlineStr">
        <x:is>
          <x:t xml:space="preserve">R-DIL-01</x:t>
        </x:is>
      </x:c>
      <x:c r="O52" s="160" t="inlineStr">
        <x:is>
          <x:t xml:space="preserve">UNFORMED</x:t>
        </x:is>
      </x:c>
      <x:c r="P52" s="160" t="inlineStr">
        <x:is>
          <x:t xml:space="preserve">WEAKNESS EXPOSED</x:t>
        </x:is>
      </x:c>
      <x:c r="Q52" s="160" t="inlineStr">
        <x:is>
          <x:t xml:space="preserve">The frozen V10 gate family is directionally right, but the test lacks a sufficiently explicit mechanical implementation.</x:t>
        </x:is>
      </x:c>
      <x:c r="R52" s="160" t="inlineStr">
        <x:is>
          <x:t xml:space="preserve">Reconcile share-count growth, SBC, equity issuance, buybacks and net cash changes to per-share intrinsic value.</x:t>
        </x:is>
      </x:c>
      <x:c r="S52" s="160" t="inlineStr">
        <x:is>
          <x:t xml:space="preserve">YES — SIMULATION ONLY</x:t>
        </x:is>
      </x:c>
      <x:c r="T52" s="160" t="inlineStr">
        <x:is>
          <x:t xml:space="preserve">BASE</x:t>
        </x:is>
      </x:c>
      <x:c r="U52" s="160" t="inlineStr">
        <x:is>
          <x:t xml:space="preserve">V10.5-SIM15</x:t>
        </x:is>
      </x:c>
      <x:c r="V52" s="160" t="inlineStr">
        <x:is>
          <x:t xml:space="preserve">https://investors.rigetti.com</x:t>
        </x:is>
      </x:c>
      <x:c r="W52" s="160" t="inlineStr">
        <x:is>
          <x:t xml:space="preserve">NO</x:t>
        </x:is>
      </x:c>
      <x:c r="X52" s="160" t="inlineStr">
        <x:is>
          <x:t xml:space="preserve">NONE — DEVELOPMENT ONLY</x:t>
        </x:is>
      </x:c>
      <x:c r="Y52" s="160" t="inlineStr">
        <x:is>
          <x:t xml:space="preserve">Synthetic/adversarial model-development loop. No historical outcome is claimed; no accuracy point is awarded.</x:t>
        </x:is>
      </x:c>
    </x:row>
    <x:row r="53">
      <x:c r="A53" s="160" t="inlineStr">
        <x:is>
          <x:t xml:space="preserve">ML0048</x:t>
        </x:is>
      </x:c>
      <x:c r="B53" s="160" t="inlineStr">
        <x:is>
          <x:t xml:space="preserve">ARG-003</x:t>
        </x:is>
      </x:c>
      <x:c r="C53" s="160" t="inlineStr">
        <x:is>
          <x:t xml:space="preserve">Rigetti Computing</x:t>
        </x:is>
      </x:c>
      <x:c r="D53" s="160" t="inlineStr">
        <x:is>
          <x:t xml:space="preserve">RGTI</x:t>
        </x:is>
      </x:c>
      <x:c r="E53" s="160" t="inlineStr">
        <x:is>
          <x:t xml:space="preserve">Quantum Computing</x:t>
        </x:is>
      </x:c>
      <x:c r="F53" s="160" t="inlineStr">
        <x:is>
          <x:t xml:space="preserve">Development</x:t>
        </x:is>
      </x:c>
      <x:c r="G53" s="160" t="inlineStr">
        <x:is>
          <x:t xml:space="preserve">S16</x:t>
        </x:is>
      </x:c>
      <x:c r="H53" s="160" t="inlineStr">
        <x:is>
          <x:t xml:space="preserve">Concentration / Tail Risk</x:t>
        </x:is>
      </x:c>
      <x:c r="I53" s="160" t="inlineStr">
        <x:is>
          <x:t xml:space="preserve">Survival</x:t>
        </x:is>
      </x:c>
      <x:c r="J53" s="160" t="inlineStr">
        <x:is>
          <x:t xml:space="preserve">A concentrated supplier, geography, customer, product, patent, regulatory or technology dependency creates asymmetric permanent-loss risk.</x:t>
        </x:is>
      </x:c>
      <x:c r="K53" s="160" t="inlineStr">
        <x:is>
          <x:t xml:space="preserve">Superconducting QPUs and cloud/system access</x:t>
        </x:is>
      </x:c>
      <x:c r="L53" s="160" t="inlineStr">
        <x:is>
          <x:t xml:space="preserve">Milestone value + net cash/runway</x:t>
        </x:is>
      </x:c>
      <x:c r="M53" s="160" t="inlineStr">
        <x:is>
          <x:t xml:space="preserve">NO ACTION</x:t>
        </x:is>
      </x:c>
      <x:c r="N53" s="160" t="inlineStr">
        <x:is>
          <x:t xml:space="preserve">R-TAIL-01</x:t>
        </x:is>
      </x:c>
      <x:c r="O53" s="160" t="inlineStr">
        <x:is>
          <x:t xml:space="preserve">UNFORMED</x:t>
        </x:is>
      </x:c>
      <x:c r="P53" s="160" t="inlineStr">
        <x:is>
          <x:t xml:space="preserve">FAILURE EXPOSED</x:t>
        </x:is>
      </x:c>
      <x:c r="Q53" s="160" t="inlineStr">
        <x:is>
          <x:t xml:space="preserve">The frozen V10 gate family is directionally right, but the test lacks a sufficiently explicit mechanical implementation.</x:t>
        </x:is>
      </x:c>
      <x:c r="R53" s="160" t="inlineStr">
        <x:is>
          <x:t xml:space="preserve">Maintain an explicit concentration/tail-risk register with probability, severity, mitigation and required margin-of-safety premium.</x:t>
        </x:is>
      </x:c>
      <x:c r="S53" s="160" t="inlineStr">
        <x:is>
          <x:t xml:space="preserve">YES — SIMULATION ONLY</x:t>
        </x:is>
      </x:c>
      <x:c r="T53" s="160" t="inlineStr">
        <x:is>
          <x:t xml:space="preserve">BASE</x:t>
        </x:is>
      </x:c>
      <x:c r="U53" s="160" t="inlineStr">
        <x:is>
          <x:t xml:space="preserve">V10.5-SIM16</x:t>
        </x:is>
      </x:c>
      <x:c r="V53" s="160" t="inlineStr">
        <x:is>
          <x:t xml:space="preserve">https://investors.rigetti.com</x:t>
        </x:is>
      </x:c>
      <x:c r="W53" s="160" t="inlineStr">
        <x:is>
          <x:t xml:space="preserve">NO</x:t>
        </x:is>
      </x:c>
      <x:c r="X53" s="160" t="inlineStr">
        <x:is>
          <x:t xml:space="preserve">NONE — DEVELOPMENT ONLY</x:t>
        </x:is>
      </x:c>
      <x:c r="Y53" s="160" t="inlineStr">
        <x:is>
          <x:t xml:space="preserve">Synthetic/adversarial model-development loop. No historical outcome is claimed; no accuracy point is awarded.</x:t>
        </x:is>
      </x:c>
    </x:row>
    <x:row r="54">
      <x:c r="A54" s="160" t="inlineStr">
        <x:is>
          <x:t xml:space="preserve">ML0049</x:t>
        </x:is>
      </x:c>
      <x:c r="B54" s="160" t="inlineStr">
        <x:is>
          <x:t xml:space="preserve">ARG-004</x:t>
        </x:is>
      </x:c>
      <x:c r="C54" s="160" t="inlineStr">
        <x:is>
          <x:t xml:space="preserve">Quantum Computing Inc.</x:t>
        </x:is>
      </x:c>
      <x:c r="D54" s="160" t="inlineStr">
        <x:is>
          <x:t xml:space="preserve">QUBT</x:t>
        </x:is>
      </x:c>
      <x:c r="E54" s="160" t="inlineStr">
        <x:is>
          <x:t xml:space="preserve">Quantum Computing</x:t>
        </x:is>
      </x:c>
      <x:c r="F54" s="160" t="inlineStr">
        <x:is>
          <x:t xml:space="preserve">Development</x:t>
        </x:is>
      </x:c>
      <x:c r="G54" s="160" t="inlineStr">
        <x:is>
          <x:t xml:space="preserve">S01</x:t>
        </x:is>
      </x:c>
      <x:c r="H54" s="160" t="inlineStr">
        <x:is>
          <x:t xml:space="preserve">Understanding Gate</x:t>
        </x:is>
      </x:c>
      <x:c r="I54" s="160" t="inlineStr">
        <x:is>
          <x:t xml:space="preserve">Understanding</x:t>
        </x:is>
      </x:c>
      <x:c r="J54" s="160" t="inlineStr">
        <x:is>
          <x:t xml:space="preserve">Causal engine / customer ROI chain breaks under a misleading headline KPI.</x:t>
        </x:is>
      </x:c>
      <x:c r="K54" s="160" t="inlineStr">
        <x:is>
          <x:t xml:space="preserve">Acquisition-led quantum and photonic offerings</x:t>
        </x:is>
      </x:c>
      <x:c r="L54" s="160" t="inlineStr">
        <x:is>
          <x:t xml:space="preserve">Asset/milestone scenarios</x:t>
        </x:is>
      </x:c>
      <x:c r="M54" s="160" t="inlineStr">
        <x:is>
          <x:t xml:space="preserve">BLOCKED</x:t>
        </x:is>
      </x:c>
      <x:c r="N54" s="160" t="inlineStr">
        <x:is>
          <x:t xml:space="preserve">R-ENG-01</x:t>
        </x:is>
      </x:c>
      <x:c r="O54" s="160" t="inlineStr">
        <x:is>
          <x:t xml:space="preserve">BASE</x:t>
        </x:is>
      </x:c>
      <x:c r="P54" s="160" t="inlineStr">
        <x:is>
          <x:t xml:space="preserve">PARTIAL CATCH</x:t>
        </x:is>
      </x:c>
      <x:c r="Q54" s="160" t="inlineStr">
        <x:is>
          <x:t xml:space="preserve">The base refinement catches the main failure, but evidence thresholds and per-share/counterfactual details remain underspecified.</x:t>
        </x:is>
      </x:c>
      <x:c r="R54" s="160" t="inlineStr">
        <x:is>
          <x:t xml:space="preserve">Force an explicit engine tree: customer job → unit economics → revenue driver → owner-value bridge.</x:t>
        </x:is>
      </x:c>
      <x:c r="S54" s="160" t="inlineStr">
        <x:is>
          <x:t xml:space="preserve">NO</x:t>
        </x:is>
      </x:c>
      <x:c r="T54" s="160" t="inlineStr">
        <x:is>
          <x:t xml:space="preserve">BASE</x:t>
        </x:is>
      </x:c>
      <x:c r="U54" s="160" t="inlineStr">
        <x:is>
          <x:t xml:space="preserve">V10.5-SIM16</x:t>
        </x:is>
      </x:c>
      <x:c r="V54" s="160" t="inlineStr">
        <x:is>
          <x:t xml:space="preserve">https://ir.quantumcomputinginc.com</x:t>
        </x:is>
      </x:c>
      <x:c r="W54" s="160" t="inlineStr">
        <x:is>
          <x:t xml:space="preserve">NO</x:t>
        </x:is>
      </x:c>
      <x:c r="X54" s="160" t="inlineStr">
        <x:is>
          <x:t xml:space="preserve">NONE — DEVELOPMENT ONLY</x:t>
        </x:is>
      </x:c>
      <x:c r="Y54" s="160" t="inlineStr">
        <x:is>
          <x:t xml:space="preserve">Synthetic/adversarial model-development loop. No historical outcome is claimed; no accuracy point is awarded.</x:t>
        </x:is>
      </x:c>
    </x:row>
    <x:row r="55">
      <x:c r="A55" s="160" t="inlineStr">
        <x:is>
          <x:t xml:space="preserve">ML0050</x:t>
        </x:is>
      </x:c>
      <x:c r="B55" s="160" t="inlineStr">
        <x:is>
          <x:t xml:space="preserve">ARG-004</x:t>
        </x:is>
      </x:c>
      <x:c r="C55" s="160" t="inlineStr">
        <x:is>
          <x:t xml:space="preserve">Quantum Computing Inc.</x:t>
        </x:is>
      </x:c>
      <x:c r="D55" s="160" t="inlineStr">
        <x:is>
          <x:t xml:space="preserve">QUBT</x:t>
        </x:is>
      </x:c>
      <x:c r="E55" s="160" t="inlineStr">
        <x:is>
          <x:t xml:space="preserve">Quantum Computing</x:t>
        </x:is>
      </x:c>
      <x:c r="F55" s="160" t="inlineStr">
        <x:is>
          <x:t xml:space="preserve">Development</x:t>
        </x:is>
      </x:c>
      <x:c r="G55" s="160" t="inlineStr">
        <x:is>
          <x:t xml:space="preserve">S02</x:t>
        </x:is>
      </x:c>
      <x:c r="H55" s="160" t="inlineStr">
        <x:is>
          <x:t xml:space="preserve">Owner Earnings Normalization</x:t>
        </x:is>
      </x:c>
      <x:c r="I55" s="160" t="inlineStr">
        <x:is>
          <x:t xml:space="preserve">Owner Earnings</x:t>
        </x:is>
      </x:c>
      <x:c r="J55" s="160" t="inlineStr">
        <x:is>
          <x:t xml:space="preserve">Reported earnings/FCF overstates economic cash because recurring reinvestment or non-cash compensation is misclassified.</x:t>
        </x:is>
      </x:c>
      <x:c r="K55" s="160" t="inlineStr">
        <x:is>
          <x:t xml:space="preserve">Acquisition-led quantum and photonic offerings</x:t>
        </x:is>
      </x:c>
      <x:c r="L55" s="160" t="inlineStr">
        <x:is>
          <x:t xml:space="preserve">Asset/milestone scenarios</x:t>
        </x:is>
      </x:c>
      <x:c r="M55" s="160" t="inlineStr">
        <x:is>
          <x:t xml:space="preserve">BLOCKED</x:t>
        </x:is>
      </x:c>
      <x:c r="N55" s="160" t="inlineStr">
        <x:is>
          <x:t xml:space="preserve">R-OE-01</x:t>
        </x:is>
      </x:c>
      <x:c r="O55" s="160" t="inlineStr">
        <x:is>
          <x:t xml:space="preserve">BASE</x:t>
        </x:is>
      </x:c>
      <x:c r="P55" s="160" t="inlineStr">
        <x:is>
          <x:t xml:space="preserve">PARTIAL CATCH</x:t>
        </x:is>
      </x:c>
      <x:c r="Q55" s="160" t="inlineStr">
        <x:is>
          <x:t xml:space="preserve">The base refinement catches the main failure, but evidence thresholds and per-share/counterfactual details remain underspecified.</x:t>
        </x:is>
      </x:c>
      <x:c r="R55" s="160" t="inlineStr">
        <x:is>
          <x:t xml:space="preserve">Require a GAAP-to-economic-owner-cash bridge tailored to the business model.</x:t>
        </x:is>
      </x:c>
      <x:c r="S55" s="160" t="inlineStr">
        <x:is>
          <x:t xml:space="preserve">NO</x:t>
        </x:is>
      </x:c>
      <x:c r="T55" s="160" t="inlineStr">
        <x:is>
          <x:t xml:space="preserve">BASE</x:t>
        </x:is>
      </x:c>
      <x:c r="U55" s="160" t="inlineStr">
        <x:is>
          <x:t xml:space="preserve">V10.5-SIM16</x:t>
        </x:is>
      </x:c>
      <x:c r="V55" s="160" t="inlineStr">
        <x:is>
          <x:t xml:space="preserve">https://ir.quantumcomputinginc.com</x:t>
        </x:is>
      </x:c>
      <x:c r="W55" s="160" t="inlineStr">
        <x:is>
          <x:t xml:space="preserve">NO</x:t>
        </x:is>
      </x:c>
      <x:c r="X55" s="160" t="inlineStr">
        <x:is>
          <x:t xml:space="preserve">NONE — DEVELOPMENT ONLY</x:t>
        </x:is>
      </x:c>
      <x:c r="Y55" s="160" t="inlineStr">
        <x:is>
          <x:t xml:space="preserve">Synthetic/adversarial model-development loop. No historical outcome is claimed; no accuracy point is awarded.</x:t>
        </x:is>
      </x:c>
    </x:row>
    <x:row r="56">
      <x:c r="A56" s="160" t="inlineStr">
        <x:is>
          <x:t xml:space="preserve">ML0051</x:t>
        </x:is>
      </x:c>
      <x:c r="B56" s="160" t="inlineStr">
        <x:is>
          <x:t xml:space="preserve">ARG-004</x:t>
        </x:is>
      </x:c>
      <x:c r="C56" s="160" t="inlineStr">
        <x:is>
          <x:t xml:space="preserve">Quantum Computing Inc.</x:t>
        </x:is>
      </x:c>
      <x:c r="D56" s="160" t="inlineStr">
        <x:is>
          <x:t xml:space="preserve">QUBT</x:t>
        </x:is>
      </x:c>
      <x:c r="E56" s="160" t="inlineStr">
        <x:is>
          <x:t xml:space="preserve">Quantum Computing</x:t>
        </x:is>
      </x:c>
      <x:c r="F56" s="160" t="inlineStr">
        <x:is>
          <x:t xml:space="preserve">Development</x:t>
        </x:is>
      </x:c>
      <x:c r="G56" s="160" t="inlineStr">
        <x:is>
          <x:t xml:space="preserve">S03</x:t>
        </x:is>
      </x:c>
      <x:c r="H56" s="160" t="inlineStr">
        <x:is>
          <x:t xml:space="preserve">Moat Durability</x:t>
        </x:is>
      </x:c>
      <x:c r="I56" s="160" t="inlineStr">
        <x:is>
          <x:t xml:space="preserve">Moat 2036</x:t>
        </x:is>
      </x:c>
      <x:c r="J56" s="160" t="inlineStr">
        <x:is>
          <x:t xml:space="preserve">Growth continues while switching friction, pricing power or replacement difficulty quietly weakens.</x:t>
        </x:is>
      </x:c>
      <x:c r="K56" s="160" t="inlineStr">
        <x:is>
          <x:t xml:space="preserve">Acquisition-led quantum and photonic offerings</x:t>
        </x:is>
      </x:c>
      <x:c r="L56" s="160" t="inlineStr">
        <x:is>
          <x:t xml:space="preserve">Asset/milestone scenarios</x:t>
        </x:is>
      </x:c>
      <x:c r="M56" s="160" t="inlineStr">
        <x:is>
          <x:t xml:space="preserve">BLOCKED</x:t>
        </x:is>
      </x:c>
      <x:c r="N56" s="160" t="inlineStr">
        <x:is>
          <x:t xml:space="preserve">R-MOAT-01</x:t>
        </x:is>
      </x:c>
      <x:c r="O56" s="160" t="inlineStr">
        <x:is>
          <x:t xml:space="preserve">BASE</x:t>
        </x:is>
      </x:c>
      <x:c r="P56" s="160" t="inlineStr">
        <x:is>
          <x:t xml:space="preserve">PARTIAL CATCH</x:t>
        </x:is>
      </x:c>
      <x:c r="Q56" s="160" t="inlineStr">
        <x:is>
          <x:t xml:space="preserve">The base refinement catches the main failure, but evidence thresholds and per-share/counterfactual details remain underspecified.</x:t>
        </x:is>
      </x:c>
      <x:c r="R56" s="160" t="inlineStr">
        <x:is>
          <x:t xml:space="preserve">Track moat telemetry separately from growth: retention, pricing, win/loss, replacement friction, installed-base behavior.</x:t>
        </x:is>
      </x:c>
      <x:c r="S56" s="160" t="inlineStr">
        <x:is>
          <x:t xml:space="preserve">NO</x:t>
        </x:is>
      </x:c>
      <x:c r="T56" s="160" t="inlineStr">
        <x:is>
          <x:t xml:space="preserve">BASE</x:t>
        </x:is>
      </x:c>
      <x:c r="U56" s="160" t="inlineStr">
        <x:is>
          <x:t xml:space="preserve">V10.5-SIM16</x:t>
        </x:is>
      </x:c>
      <x:c r="V56" s="160" t="inlineStr">
        <x:is>
          <x:t xml:space="preserve">https://ir.quantumcomputinginc.com</x:t>
        </x:is>
      </x:c>
      <x:c r="W56" s="160" t="inlineStr">
        <x:is>
          <x:t xml:space="preserve">NO</x:t>
        </x:is>
      </x:c>
      <x:c r="X56" s="160" t="inlineStr">
        <x:is>
          <x:t xml:space="preserve">NONE — DEVELOPMENT ONLY</x:t>
        </x:is>
      </x:c>
      <x:c r="Y56" s="160" t="inlineStr">
        <x:is>
          <x:t xml:space="preserve">Synthetic/adversarial model-development loop. No historical outcome is claimed; no accuracy point is awarded.</x:t>
        </x:is>
      </x:c>
    </x:row>
    <x:row r="57">
      <x:c r="A57" s="160" t="inlineStr">
        <x:is>
          <x:t xml:space="preserve">ML0052</x:t>
        </x:is>
      </x:c>
      <x:c r="B57" s="160" t="inlineStr">
        <x:is>
          <x:t xml:space="preserve">ARG-004</x:t>
        </x:is>
      </x:c>
      <x:c r="C57" s="160" t="inlineStr">
        <x:is>
          <x:t xml:space="preserve">Quantum Computing Inc.</x:t>
        </x:is>
      </x:c>
      <x:c r="D57" s="160" t="inlineStr">
        <x:is>
          <x:t xml:space="preserve">QUBT</x:t>
        </x:is>
      </x:c>
      <x:c r="E57" s="160" t="inlineStr">
        <x:is>
          <x:t xml:space="preserve">Quantum Computing</x:t>
        </x:is>
      </x:c>
      <x:c r="F57" s="160" t="inlineStr">
        <x:is>
          <x:t xml:space="preserve">Development</x:t>
        </x:is>
      </x:c>
      <x:c r="G57" s="160" t="inlineStr">
        <x:is>
          <x:t xml:space="preserve">S04</x:t>
        </x:is>
      </x:c>
      <x:c r="H57" s="160" t="inlineStr">
        <x:is>
          <x:t xml:space="preserve">Stewardship / Capital Allocation</x:t>
        </x:is>
      </x:c>
      <x:c r="I57" s="160" t="inlineStr">
        <x:is>
          <x:t xml:space="preserve">Stewardship</x:t>
        </x:is>
      </x:c>
      <x:c r="J57" s="160" t="inlineStr">
        <x:is>
          <x:t xml:space="preserve">Management creates enterprise growth while destroying per-share value through M&amp;A, dilution, leverage or mistimed buybacks.</x:t>
        </x:is>
      </x:c>
      <x:c r="K57" s="160" t="inlineStr">
        <x:is>
          <x:t xml:space="preserve">Acquisition-led quantum and photonic offerings</x:t>
        </x:is>
      </x:c>
      <x:c r="L57" s="160" t="inlineStr">
        <x:is>
          <x:t xml:space="preserve">Asset/milestone scenarios</x:t>
        </x:is>
      </x:c>
      <x:c r="M57" s="160" t="inlineStr">
        <x:is>
          <x:t xml:space="preserve">BLOCKED</x:t>
        </x:is>
      </x:c>
      <x:c r="N57" s="160" t="inlineStr">
        <x:is>
          <x:t xml:space="preserve">R-STEW-01</x:t>
        </x:is>
      </x:c>
      <x:c r="O57" s="160" t="inlineStr">
        <x:is>
          <x:t xml:space="preserve">BASE</x:t>
        </x:is>
      </x:c>
      <x:c r="P57" s="160" t="inlineStr">
        <x:is>
          <x:t xml:space="preserve">PARTIAL CATCH</x:t>
        </x:is>
      </x:c>
      <x:c r="Q57" s="160" t="inlineStr">
        <x:is>
          <x:t xml:space="preserve">The base refinement catches the main failure, but evidence thresholds and per-share/counterfactual details remain underspecified.</x:t>
        </x:is>
      </x:c>
      <x:c r="R57" s="160" t="inlineStr">
        <x:is>
          <x:t xml:space="preserve">Evaluate capital allocation on a per-share basis using acquisition cohorts, dilution, leverage and repurchase price discipline.</x:t>
        </x:is>
      </x:c>
      <x:c r="S57" s="160" t="inlineStr">
        <x:is>
          <x:t xml:space="preserve">NO</x:t>
        </x:is>
      </x:c>
      <x:c r="T57" s="160" t="inlineStr">
        <x:is>
          <x:t xml:space="preserve">BASE</x:t>
        </x:is>
      </x:c>
      <x:c r="U57" s="160" t="inlineStr">
        <x:is>
          <x:t xml:space="preserve">V10.5-SIM16</x:t>
        </x:is>
      </x:c>
      <x:c r="V57" s="160" t="inlineStr">
        <x:is>
          <x:t xml:space="preserve">https://ir.quantumcomputinginc.com</x:t>
        </x:is>
      </x:c>
      <x:c r="W57" s="160" t="inlineStr">
        <x:is>
          <x:t xml:space="preserve">NO</x:t>
        </x:is>
      </x:c>
      <x:c r="X57" s="160" t="inlineStr">
        <x:is>
          <x:t xml:space="preserve">NONE — DEVELOPMENT ONLY</x:t>
        </x:is>
      </x:c>
      <x:c r="Y57" s="160" t="inlineStr">
        <x:is>
          <x:t xml:space="preserve">Synthetic/adversarial model-development loop. No historical outcome is claimed; no accuracy point is awarded.</x:t>
        </x:is>
      </x:c>
    </x:row>
    <x:row r="58">
      <x:c r="A58" s="160" t="inlineStr">
        <x:is>
          <x:t xml:space="preserve">ML0053</x:t>
        </x:is>
      </x:c>
      <x:c r="B58" s="160" t="inlineStr">
        <x:is>
          <x:t xml:space="preserve">ARG-004</x:t>
        </x:is>
      </x:c>
      <x:c r="C58" s="160" t="inlineStr">
        <x:is>
          <x:t xml:space="preserve">Quantum Computing Inc.</x:t>
        </x:is>
      </x:c>
      <x:c r="D58" s="160" t="inlineStr">
        <x:is>
          <x:t xml:space="preserve">QUBT</x:t>
        </x:is>
      </x:c>
      <x:c r="E58" s="160" t="inlineStr">
        <x:is>
          <x:t xml:space="preserve">Quantum Computing</x:t>
        </x:is>
      </x:c>
      <x:c r="F58" s="160" t="inlineStr">
        <x:is>
          <x:t xml:space="preserve">Development</x:t>
        </x:is>
      </x:c>
      <x:c r="G58" s="160" t="inlineStr">
        <x:is>
          <x:t xml:space="preserve">S05</x:t>
        </x:is>
      </x:c>
      <x:c r="H58" s="160" t="inlineStr">
        <x:is>
          <x:t xml:space="preserve">Survival / Funding</x:t>
        </x:is>
      </x:c>
      <x:c r="I58" s="160" t="inlineStr">
        <x:is>
          <x:t xml:space="preserve">Survival</x:t>
        </x:is>
      </x:c>
      <x:c r="J58" s="160" t="inlineStr">
        <x:is>
          <x:t xml:space="preserve">A plausible bear case exposes refinancing, liquidity, covenant, reserve, regulatory or operational fragility.</x:t>
        </x:is>
      </x:c>
      <x:c r="K58" s="160" t="inlineStr">
        <x:is>
          <x:t xml:space="preserve">Acquisition-led quantum and photonic offerings</x:t>
        </x:is>
      </x:c>
      <x:c r="L58" s="160" t="inlineStr">
        <x:is>
          <x:t xml:space="preserve">Asset/milestone scenarios</x:t>
        </x:is>
      </x:c>
      <x:c r="M58" s="160" t="inlineStr">
        <x:is>
          <x:t xml:space="preserve">BLOCKED</x:t>
        </x:is>
      </x:c>
      <x:c r="N58" s="160" t="inlineStr">
        <x:is>
          <x:t xml:space="preserve">R-SURV-01</x:t>
        </x:is>
      </x:c>
      <x:c r="O58" s="160" t="inlineStr">
        <x:is>
          <x:t xml:space="preserve">BASE</x:t>
        </x:is>
      </x:c>
      <x:c r="P58" s="160" t="inlineStr">
        <x:is>
          <x:t xml:space="preserve">PARTIAL CATCH</x:t>
        </x:is>
      </x:c>
      <x:c r="Q58" s="160" t="inlineStr">
        <x:is>
          <x:t xml:space="preserve">The base refinement catches the main failure, but evidence thresholds and per-share/counterfactual details remain underspecified.</x:t>
        </x:is>
      </x:c>
      <x:c r="R58" s="160" t="inlineStr">
        <x:is>
          <x:t xml:space="preserve">Run a company-specific survival bridge under a severe-but-plausible bear case before any upside underwriting.</x:t>
        </x:is>
      </x:c>
      <x:c r="S58" s="160" t="inlineStr">
        <x:is>
          <x:t xml:space="preserve">NO</x:t>
        </x:is>
      </x:c>
      <x:c r="T58" s="160" t="inlineStr">
        <x:is>
          <x:t xml:space="preserve">BASE</x:t>
        </x:is>
      </x:c>
      <x:c r="U58" s="160" t="inlineStr">
        <x:is>
          <x:t xml:space="preserve">V10.5-SIM16</x:t>
        </x:is>
      </x:c>
      <x:c r="V58" s="160" t="inlineStr">
        <x:is>
          <x:t xml:space="preserve">https://ir.quantumcomputinginc.com</x:t>
        </x:is>
      </x:c>
      <x:c r="W58" s="160" t="inlineStr">
        <x:is>
          <x:t xml:space="preserve">NO</x:t>
        </x:is>
      </x:c>
      <x:c r="X58" s="160" t="inlineStr">
        <x:is>
          <x:t xml:space="preserve">NONE — DEVELOPMENT ONLY</x:t>
        </x:is>
      </x:c>
      <x:c r="Y58" s="160" t="inlineStr">
        <x:is>
          <x:t xml:space="preserve">Synthetic/adversarial model-development loop. No historical outcome is claimed; no accuracy point is awarded.</x:t>
        </x:is>
      </x:c>
    </x:row>
    <x:row r="59">
      <x:c r="A59" s="160" t="inlineStr">
        <x:is>
          <x:t xml:space="preserve">ML0054</x:t>
        </x:is>
      </x:c>
      <x:c r="B59" s="160" t="inlineStr">
        <x:is>
          <x:t xml:space="preserve">ARG-004</x:t>
        </x:is>
      </x:c>
      <x:c r="C59" s="160" t="inlineStr">
        <x:is>
          <x:t xml:space="preserve">Quantum Computing Inc.</x:t>
        </x:is>
      </x:c>
      <x:c r="D59" s="160" t="inlineStr">
        <x:is>
          <x:t xml:space="preserve">QUBT</x:t>
        </x:is>
      </x:c>
      <x:c r="E59" s="160" t="inlineStr">
        <x:is>
          <x:t xml:space="preserve">Quantum Computing</x:t>
        </x:is>
      </x:c>
      <x:c r="F59" s="160" t="inlineStr">
        <x:is>
          <x:t xml:space="preserve">Development</x:t>
        </x:is>
      </x:c>
      <x:c r="G59" s="160" t="inlineStr">
        <x:is>
          <x:t xml:space="preserve">S06</x:t>
        </x:is>
      </x:c>
      <x:c r="H59" s="160" t="inlineStr">
        <x:is>
          <x:t xml:space="preserve">Margin of Safety</x:t>
        </x:is>
      </x:c>
      <x:c r="I59" s="160" t="inlineStr">
        <x:is>
          <x:t xml:space="preserve">Margin of Safety</x:t>
        </x:is>
      </x:c>
      <x:c r="J59" s="160" t="inlineStr">
        <x:is>
          <x:t xml:space="preserve">Business quality is high but the price embeds a fragile bull case.</x:t>
        </x:is>
      </x:c>
      <x:c r="K59" s="160" t="inlineStr">
        <x:is>
          <x:t xml:space="preserve">Acquisition-led quantum and photonic offerings</x:t>
        </x:is>
      </x:c>
      <x:c r="L59" s="160" t="inlineStr">
        <x:is>
          <x:t xml:space="preserve">Asset/milestone scenarios</x:t>
        </x:is>
      </x:c>
      <x:c r="M59" s="160" t="inlineStr">
        <x:is>
          <x:t xml:space="preserve">BLOCKED</x:t>
        </x:is>
      </x:c>
      <x:c r="N59" s="160" t="inlineStr">
        <x:is>
          <x:t xml:space="preserve">R-MOS-01</x:t>
        </x:is>
      </x:c>
      <x:c r="O59" s="160" t="inlineStr">
        <x:is>
          <x:t xml:space="preserve">BASE</x:t>
        </x:is>
      </x:c>
      <x:c r="P59" s="160" t="inlineStr">
        <x:is>
          <x:t xml:space="preserve">PARTIAL CATCH</x:t>
        </x:is>
      </x:c>
      <x:c r="Q59" s="160" t="inlineStr">
        <x:is>
          <x:t xml:space="preserve">The base refinement catches the main failure, but evidence thresholds and per-share/counterfactual details remain underspecified.</x:t>
        </x:is>
      </x:c>
      <x:c r="R59" s="160" t="inlineStr">
        <x:is>
          <x:t xml:space="preserve">Separate business-quality score from price decision; require reverse valuation and bear/base/bull IV ranges.</x:t>
        </x:is>
      </x:c>
      <x:c r="S59" s="160" t="inlineStr">
        <x:is>
          <x:t xml:space="preserve">NO</x:t>
        </x:is>
      </x:c>
      <x:c r="T59" s="160" t="inlineStr">
        <x:is>
          <x:t xml:space="preserve">BASE</x:t>
        </x:is>
      </x:c>
      <x:c r="U59" s="160" t="inlineStr">
        <x:is>
          <x:t xml:space="preserve">V10.5-SIM16</x:t>
        </x:is>
      </x:c>
      <x:c r="V59" s="160" t="inlineStr">
        <x:is>
          <x:t xml:space="preserve">https://ir.quantumcomputinginc.com</x:t>
        </x:is>
      </x:c>
      <x:c r="W59" s="160" t="inlineStr">
        <x:is>
          <x:t xml:space="preserve">NO</x:t>
        </x:is>
      </x:c>
      <x:c r="X59" s="160" t="inlineStr">
        <x:is>
          <x:t xml:space="preserve">NONE — DEVELOPMENT ONLY</x:t>
        </x:is>
      </x:c>
      <x:c r="Y59" s="160" t="inlineStr">
        <x:is>
          <x:t xml:space="preserve">Synthetic/adversarial model-development loop. No historical outcome is claimed; no accuracy point is awarded.</x:t>
        </x:is>
      </x:c>
    </x:row>
    <x:row r="60">
      <x:c r="A60" s="160" t="inlineStr">
        <x:is>
          <x:t xml:space="preserve">ML0055</x:t>
        </x:is>
      </x:c>
      <x:c r="B60" s="160" t="inlineStr">
        <x:is>
          <x:t xml:space="preserve">ARG-004</x:t>
        </x:is>
      </x:c>
      <x:c r="C60" s="160" t="inlineStr">
        <x:is>
          <x:t xml:space="preserve">Quantum Computing Inc.</x:t>
        </x:is>
      </x:c>
      <x:c r="D60" s="160" t="inlineStr">
        <x:is>
          <x:t xml:space="preserve">QUBT</x:t>
        </x:is>
      </x:c>
      <x:c r="E60" s="160" t="inlineStr">
        <x:is>
          <x:t xml:space="preserve">Quantum Computing</x:t>
        </x:is>
      </x:c>
      <x:c r="F60" s="160" t="inlineStr">
        <x:is>
          <x:t xml:space="preserve">Development</x:t>
        </x:is>
      </x:c>
      <x:c r="G60" s="160" t="inlineStr">
        <x:is>
          <x:t xml:space="preserve">S07</x:t>
        </x:is>
      </x:c>
      <x:c r="H60" s="160" t="inlineStr">
        <x:is>
          <x:t xml:space="preserve">Sector Shock</x:t>
        </x:is>
      </x:c>
      <x:c r="I60" s="160" t="inlineStr">
        <x:is>
          <x:t xml:space="preserve">Sector-specific</x:t>
        </x:is>
      </x:c>
      <x:c r="J60" s="160" t="inlineStr">
        <x:is>
          <x:t xml:space="preserve">Technical milestone improves but paid recurring use, bookings conversion and dilution-adjusted economics lag.</x:t>
        </x:is>
      </x:c>
      <x:c r="K60" s="160" t="inlineStr">
        <x:is>
          <x:t xml:space="preserve">Acquisition-led quantum and photonic offerings</x:t>
        </x:is>
      </x:c>
      <x:c r="L60" s="160" t="inlineStr">
        <x:is>
          <x:t xml:space="preserve">Asset/milestone scenarios</x:t>
        </x:is>
      </x:c>
      <x:c r="M60" s="160" t="inlineStr">
        <x:is>
          <x:t xml:space="preserve">BLOCKED</x:t>
        </x:is>
      </x:c>
      <x:c r="N60" s="160" t="inlineStr">
        <x:is>
          <x:t xml:space="preserve">R-SECTOR-QUANTUM-COMPUTING</x:t>
        </x:is>
      </x:c>
      <x:c r="O60" s="160" t="inlineStr">
        <x:is>
          <x:t xml:space="preserve">BASE</x:t>
        </x:is>
      </x:c>
      <x:c r="P60" s="160" t="inlineStr">
        <x:is>
          <x:t xml:space="preserve">PARTIAL CATCH</x:t>
        </x:is>
      </x:c>
      <x:c r="Q60" s="160" t="inlineStr">
        <x:is>
          <x:t xml:space="preserve">The base refinement catches the main failure, but evidence thresholds and per-share/counterfactual details remain underspecified.</x:t>
        </x:is>
      </x:c>
      <x:c r="R60" s="160" t="inlineStr">
        <x:is>
          <x:t xml:space="preserve">Add a sector-specific transmission map with leading operating sensors, not only market-price variables. Sector rule: Technical milestone improves but paid recurring use, bookings conversion and dilution-adjusted economics lag.</x:t>
        </x:is>
      </x:c>
      <x:c r="S60" s="160" t="inlineStr">
        <x:is>
          <x:t xml:space="preserve">YES — SIMULATION ONLY</x:t>
        </x:is>
      </x:c>
      <x:c r="T60" s="160" t="inlineStr">
        <x:is>
          <x:t xml:space="preserve">HARDENED</x:t>
        </x:is>
      </x:c>
      <x:c r="U60" s="160" t="inlineStr">
        <x:is>
          <x:t xml:space="preserve">V10.5-SIM17</x:t>
        </x:is>
      </x:c>
      <x:c r="V60" s="160" t="inlineStr">
        <x:is>
          <x:t xml:space="preserve">https://ir.quantumcomputinginc.com</x:t>
        </x:is>
      </x:c>
      <x:c r="W60" s="160" t="inlineStr">
        <x:is>
          <x:t xml:space="preserve">NO</x:t>
        </x:is>
      </x:c>
      <x:c r="X60" s="160" t="inlineStr">
        <x:is>
          <x:t xml:space="preserve">NONE — DEVELOPMENT ONLY</x:t>
        </x:is>
      </x:c>
      <x:c r="Y60" s="160" t="inlineStr">
        <x:is>
          <x:t xml:space="preserve">Synthetic/adversarial model-development loop. No historical outcome is claimed; no accuracy point is awarded.</x:t>
        </x:is>
      </x:c>
    </x:row>
    <x:row r="61">
      <x:c r="A61" s="160" t="inlineStr">
        <x:is>
          <x:t xml:space="preserve">ML0056</x:t>
        </x:is>
      </x:c>
      <x:c r="B61" s="160" t="inlineStr">
        <x:is>
          <x:t xml:space="preserve">ARG-004</x:t>
        </x:is>
      </x:c>
      <x:c r="C61" s="160" t="inlineStr">
        <x:is>
          <x:t xml:space="preserve">Quantum Computing Inc.</x:t>
        </x:is>
      </x:c>
      <x:c r="D61" s="160" t="inlineStr">
        <x:is>
          <x:t xml:space="preserve">QUBT</x:t>
        </x:is>
      </x:c>
      <x:c r="E61" s="160" t="inlineStr">
        <x:is>
          <x:t xml:space="preserve">Quantum Computing</x:t>
        </x:is>
      </x:c>
      <x:c r="F61" s="160" t="inlineStr">
        <x:is>
          <x:t xml:space="preserve">Development</x:t>
        </x:is>
      </x:c>
      <x:c r="G61" s="160" t="inlineStr">
        <x:is>
          <x:t xml:space="preserve">S08</x:t>
        </x:is>
      </x:c>
      <x:c r="H61" s="160" t="inlineStr">
        <x:is>
          <x:t xml:space="preserve">Management Promise Reliability</x:t>
        </x:is>
      </x:c>
      <x:c r="I61" s="160" t="inlineStr">
        <x:is>
          <x:t xml:space="preserve">Management over-trust</x:t>
        </x:is>
      </x:c>
      <x:c r="J61" s="160" t="inlineStr">
        <x:is>
          <x:t xml:space="preserve">Guidance or strategic promises are repeated but the model lacks a contemporaneous reliability score.</x:t>
        </x:is>
      </x:c>
      <x:c r="K61" s="160" t="inlineStr">
        <x:is>
          <x:t xml:space="preserve">Acquisition-led quantum and photonic offerings</x:t>
        </x:is>
      </x:c>
      <x:c r="L61" s="160" t="inlineStr">
        <x:is>
          <x:t xml:space="preserve">Asset/milestone scenarios</x:t>
        </x:is>
      </x:c>
      <x:c r="M61" s="160" t="inlineStr">
        <x:is>
          <x:t xml:space="preserve">BLOCKED</x:t>
        </x:is>
      </x:c>
      <x:c r="N61" s="160" t="inlineStr">
        <x:is>
          <x:t xml:space="preserve">R-PROM-01</x:t>
        </x:is>
      </x:c>
      <x:c r="O61" s="160" t="inlineStr">
        <x:is>
          <x:t xml:space="preserve">BASE</x:t>
        </x:is>
      </x:c>
      <x:c r="P61" s="160" t="inlineStr">
        <x:is>
          <x:t xml:space="preserve">PARTIAL CATCH</x:t>
        </x:is>
      </x:c>
      <x:c r="Q61" s="160" t="inlineStr">
        <x:is>
          <x:t xml:space="preserve">The base refinement catches the main failure, but evidence thresholds and per-share/counterfactual details remain underspecified.</x:t>
        </x:is>
      </x:c>
      <x:c r="R61" s="160" t="inlineStr">
        <x:is>
          <x:t xml:space="preserve">Use a promises ledger with dated promise, measurable deliverable, due date, outcome and credibility weight.</x:t>
        </x:is>
      </x:c>
      <x:c r="S61" s="160" t="inlineStr">
        <x:is>
          <x:t xml:space="preserve">NO</x:t>
        </x:is>
      </x:c>
      <x:c r="T61" s="160" t="inlineStr">
        <x:is>
          <x:t xml:space="preserve">BASE</x:t>
        </x:is>
      </x:c>
      <x:c r="U61" s="160" t="inlineStr">
        <x:is>
          <x:t xml:space="preserve">V10.5-SIM17</x:t>
        </x:is>
      </x:c>
      <x:c r="V61" s="160" t="inlineStr">
        <x:is>
          <x:t xml:space="preserve">https://ir.quantumcomputinginc.com</x:t>
        </x:is>
      </x:c>
      <x:c r="W61" s="160" t="inlineStr">
        <x:is>
          <x:t xml:space="preserve">NO</x:t>
        </x:is>
      </x:c>
      <x:c r="X61" s="160" t="inlineStr">
        <x:is>
          <x:t xml:space="preserve">NONE — DEVELOPMENT ONLY</x:t>
        </x:is>
      </x:c>
      <x:c r="Y61" s="160" t="inlineStr">
        <x:is>
          <x:t xml:space="preserve">Synthetic/adversarial model-development loop. No historical outcome is claimed; no accuracy point is awarded.</x:t>
        </x:is>
      </x:c>
    </x:row>
    <x:row r="62">
      <x:c r="A62" s="160" t="inlineStr">
        <x:is>
          <x:t xml:space="preserve">ML0057</x:t>
        </x:is>
      </x:c>
      <x:c r="B62" s="160" t="inlineStr">
        <x:is>
          <x:t xml:space="preserve">ARG-004</x:t>
        </x:is>
      </x:c>
      <x:c r="C62" s="160" t="inlineStr">
        <x:is>
          <x:t xml:space="preserve">Quantum Computing Inc.</x:t>
        </x:is>
      </x:c>
      <x:c r="D62" s="160" t="inlineStr">
        <x:is>
          <x:t xml:space="preserve">QUBT</x:t>
        </x:is>
      </x:c>
      <x:c r="E62" s="160" t="inlineStr">
        <x:is>
          <x:t xml:space="preserve">Quantum Computing</x:t>
        </x:is>
      </x:c>
      <x:c r="F62" s="160" t="inlineStr">
        <x:is>
          <x:t xml:space="preserve">Development</x:t>
        </x:is>
      </x:c>
      <x:c r="G62" s="160" t="inlineStr">
        <x:is>
          <x:t xml:space="preserve">S09</x:t>
        </x:is>
      </x:c>
      <x:c r="H62" s="160" t="inlineStr">
        <x:is>
          <x:t xml:space="preserve">Data / Accounting Quality</x:t>
        </x:is>
      </x:c>
      <x:c r="I62" s="160" t="inlineStr">
        <x:is>
          <x:t xml:space="preserve">Data quality</x:t>
        </x:is>
      </x:c>
      <x:c r="J62" s="160" t="inlineStr">
        <x:is>
          <x:t xml:space="preserve">Restatement, segment reclassification, one-time item or non-economic fair-value movement distorts the apparent trend.</x:t>
        </x:is>
      </x:c>
      <x:c r="K62" s="160" t="inlineStr">
        <x:is>
          <x:t xml:space="preserve">Acquisition-led quantum and photonic offerings</x:t>
        </x:is>
      </x:c>
      <x:c r="L62" s="160" t="inlineStr">
        <x:is>
          <x:t xml:space="preserve">Asset/milestone scenarios</x:t>
        </x:is>
      </x:c>
      <x:c r="M62" s="160" t="inlineStr">
        <x:is>
          <x:t xml:space="preserve">BLOCKED</x:t>
        </x:is>
      </x:c>
      <x:c r="N62" s="160" t="inlineStr">
        <x:is>
          <x:t xml:space="preserve">R-DATA-01</x:t>
        </x:is>
      </x:c>
      <x:c r="O62" s="160" t="inlineStr">
        <x:is>
          <x:t xml:space="preserve">BASE</x:t>
        </x:is>
      </x:c>
      <x:c r="P62" s="160" t="inlineStr">
        <x:is>
          <x:t xml:space="preserve">PARTIAL CATCH</x:t>
        </x:is>
      </x:c>
      <x:c r="Q62" s="160" t="inlineStr">
        <x:is>
          <x:t xml:space="preserve">The base refinement catches the main failure, but evidence thresholds and per-share/counterfactual details remain underspecified.</x:t>
        </x:is>
      </x:c>
      <x:c r="R62" s="160" t="inlineStr">
        <x:is>
          <x:t xml:space="preserve">Add a reporting-quality bridge and normalize accounting noise before any gate can pass.</x:t>
        </x:is>
      </x:c>
      <x:c r="S62" s="160" t="inlineStr">
        <x:is>
          <x:t xml:space="preserve">NO</x:t>
        </x:is>
      </x:c>
      <x:c r="T62" s="160" t="inlineStr">
        <x:is>
          <x:t xml:space="preserve">BASE</x:t>
        </x:is>
      </x:c>
      <x:c r="U62" s="160" t="inlineStr">
        <x:is>
          <x:t xml:space="preserve">V10.5-SIM17</x:t>
        </x:is>
      </x:c>
      <x:c r="V62" s="160" t="inlineStr">
        <x:is>
          <x:t xml:space="preserve">https://ir.quantumcomputinginc.com</x:t>
        </x:is>
      </x:c>
      <x:c r="W62" s="160" t="inlineStr">
        <x:is>
          <x:t xml:space="preserve">NO</x:t>
        </x:is>
      </x:c>
      <x:c r="X62" s="160" t="inlineStr">
        <x:is>
          <x:t xml:space="preserve">NONE — DEVELOPMENT ONLY</x:t>
        </x:is>
      </x:c>
      <x:c r="Y62" s="160" t="inlineStr">
        <x:is>
          <x:t xml:space="preserve">Synthetic/adversarial model-development loop. No historical outcome is claimed; no accuracy point is awarded.</x:t>
        </x:is>
      </x:c>
    </x:row>
    <x:row r="63">
      <x:c r="A63" s="160" t="inlineStr">
        <x:is>
          <x:t xml:space="preserve">ML0058</x:t>
        </x:is>
      </x:c>
      <x:c r="B63" s="160" t="inlineStr">
        <x:is>
          <x:t xml:space="preserve">ARG-004</x:t>
        </x:is>
      </x:c>
      <x:c r="C63" s="160" t="inlineStr">
        <x:is>
          <x:t xml:space="preserve">Quantum Computing Inc.</x:t>
        </x:is>
      </x:c>
      <x:c r="D63" s="160" t="inlineStr">
        <x:is>
          <x:t xml:space="preserve">QUBT</x:t>
        </x:is>
      </x:c>
      <x:c r="E63" s="160" t="inlineStr">
        <x:is>
          <x:t xml:space="preserve">Quantum Computing</x:t>
        </x:is>
      </x:c>
      <x:c r="F63" s="160" t="inlineStr">
        <x:is>
          <x:t xml:space="preserve">Development</x:t>
        </x:is>
      </x:c>
      <x:c r="G63" s="160" t="inlineStr">
        <x:is>
          <x:t xml:space="preserve">S10</x:t>
        </x:is>
      </x:c>
      <x:c r="H63" s="160" t="inlineStr">
        <x:is>
          <x:t xml:space="preserve">Control / Counterfactual</x:t>
        </x:is>
      </x:c>
      <x:c r="I63" s="160" t="inlineStr">
        <x:is>
          <x:t xml:space="preserve">Sector beta vs company alpha</x:t>
        </x:is>
      </x:c>
      <x:c r="J63" s="160" t="inlineStr">
        <x:is>
          <x:t xml:space="preserve">A positive outcome is mostly sector beta or macro tailwind, not company-specific alpha.</x:t>
        </x:is>
      </x:c>
      <x:c r="K63" s="160" t="inlineStr">
        <x:is>
          <x:t xml:space="preserve">Acquisition-led quantum and photonic offerings</x:t>
        </x:is>
      </x:c>
      <x:c r="L63" s="160" t="inlineStr">
        <x:is>
          <x:t xml:space="preserve">Asset/milestone scenarios</x:t>
        </x:is>
      </x:c>
      <x:c r="M63" s="160" t="inlineStr">
        <x:is>
          <x:t xml:space="preserve">BLOCKED</x:t>
        </x:is>
      </x:c>
      <x:c r="N63" s="160" t="inlineStr">
        <x:is>
          <x:t xml:space="preserve">R-CF-01</x:t>
        </x:is>
      </x:c>
      <x:c r="O63" s="160" t="inlineStr">
        <x:is>
          <x:t xml:space="preserve">BASE</x:t>
        </x:is>
      </x:c>
      <x:c r="P63" s="160" t="inlineStr">
        <x:is>
          <x:t xml:space="preserve">PARTIAL CATCH</x:t>
        </x:is>
      </x:c>
      <x:c r="Q63" s="160" t="inlineStr">
        <x:is>
          <x:t xml:space="preserve">The base refinement catches the main failure, but evidence thresholds and per-share/counterfactual details remain underspecified.</x:t>
        </x:is>
      </x:c>
      <x:c r="R63" s="160" t="inlineStr">
        <x:is>
          <x:t xml:space="preserve">Require a true economic control and counterfactual: what should have happened to a comparable company under the same shock?</x:t>
        </x:is>
      </x:c>
      <x:c r="S63" s="160" t="inlineStr">
        <x:is>
          <x:t xml:space="preserve">NO</x:t>
        </x:is>
      </x:c>
      <x:c r="T63" s="160" t="inlineStr">
        <x:is>
          <x:t xml:space="preserve">BASE</x:t>
        </x:is>
      </x:c>
      <x:c r="U63" s="160" t="inlineStr">
        <x:is>
          <x:t xml:space="preserve">V10.5-SIM17</x:t>
        </x:is>
      </x:c>
      <x:c r="V63" s="160" t="inlineStr">
        <x:is>
          <x:t xml:space="preserve">https://ir.quantumcomputinginc.com</x:t>
        </x:is>
      </x:c>
      <x:c r="W63" s="160" t="inlineStr">
        <x:is>
          <x:t xml:space="preserve">NO</x:t>
        </x:is>
      </x:c>
      <x:c r="X63" s="160" t="inlineStr">
        <x:is>
          <x:t xml:space="preserve">NONE — DEVELOPMENT ONLY</x:t>
        </x:is>
      </x:c>
      <x:c r="Y63" s="160" t="inlineStr">
        <x:is>
          <x:t xml:space="preserve">Synthetic/adversarial model-development loop. No historical outcome is claimed; no accuracy point is awarded.</x:t>
        </x:is>
      </x:c>
    </x:row>
    <x:row r="64">
      <x:c r="A64" s="160" t="inlineStr">
        <x:is>
          <x:t xml:space="preserve">ML0059</x:t>
        </x:is>
      </x:c>
      <x:c r="B64" s="160" t="inlineStr">
        <x:is>
          <x:t xml:space="preserve">ARG-004</x:t>
        </x:is>
      </x:c>
      <x:c r="C64" s="160" t="inlineStr">
        <x:is>
          <x:t xml:space="preserve">Quantum Computing Inc.</x:t>
        </x:is>
      </x:c>
      <x:c r="D64" s="160" t="inlineStr">
        <x:is>
          <x:t xml:space="preserve">QUBT</x:t>
        </x:is>
      </x:c>
      <x:c r="E64" s="160" t="inlineStr">
        <x:is>
          <x:t xml:space="preserve">Quantum Computing</x:t>
        </x:is>
      </x:c>
      <x:c r="F64" s="160" t="inlineStr">
        <x:is>
          <x:t xml:space="preserve">Development</x:t>
        </x:is>
      </x:c>
      <x:c r="G64" s="160" t="inlineStr">
        <x:is>
          <x:t xml:space="preserve">S11</x:t>
        </x:is>
      </x:c>
      <x:c r="H64" s="160" t="inlineStr">
        <x:is>
          <x:t xml:space="preserve">False-Negative Discipline</x:t>
        </x:is>
      </x:c>
      <x:c r="I64" s="160" t="inlineStr">
        <x:is>
          <x:t xml:space="preserve">False negative</x:t>
        </x:is>
      </x:c>
      <x:c r="J64" s="160" t="inlineStr">
        <x:is>
          <x:t xml:space="preserve">A strict gate rejects a company that later compounds strongly for reasons the model could have known.</x:t>
        </x:is>
      </x:c>
      <x:c r="K64" s="160" t="inlineStr">
        <x:is>
          <x:t xml:space="preserve">Acquisition-led quantum and photonic offerings</x:t>
        </x:is>
      </x:c>
      <x:c r="L64" s="160" t="inlineStr">
        <x:is>
          <x:t xml:space="preserve">Asset/milestone scenarios</x:t>
        </x:is>
      </x:c>
      <x:c r="M64" s="160" t="inlineStr">
        <x:is>
          <x:t xml:space="preserve">BLOCKED</x:t>
        </x:is>
      </x:c>
      <x:c r="N64" s="160" t="inlineStr">
        <x:is>
          <x:t xml:space="preserve">R-FN-01</x:t>
        </x:is>
      </x:c>
      <x:c r="O64" s="160" t="inlineStr">
        <x:is>
          <x:t xml:space="preserve">BASE</x:t>
        </x:is>
      </x:c>
      <x:c r="P64" s="160" t="inlineStr">
        <x:is>
          <x:t xml:space="preserve">PARTIAL CATCH</x:t>
        </x:is>
      </x:c>
      <x:c r="Q64" s="160" t="inlineStr">
        <x:is>
          <x:t xml:space="preserve">The base refinement catches the main failure, but evidence thresholds and per-share/counterfactual details remain underspecified.</x:t>
        </x:is>
      </x:c>
      <x:c r="R64" s="160" t="inlineStr">
        <x:is>
          <x:t xml:space="preserve">Track opportunity cost and classify whether the miss came from evidence timing, wrong threshold or genuinely unknowable upside.</x:t>
        </x:is>
      </x:c>
      <x:c r="S64" s="160" t="inlineStr">
        <x:is>
          <x:t xml:space="preserve">NO</x:t>
        </x:is>
      </x:c>
      <x:c r="T64" s="160" t="inlineStr">
        <x:is>
          <x:t xml:space="preserve">BASE</x:t>
        </x:is>
      </x:c>
      <x:c r="U64" s="160" t="inlineStr">
        <x:is>
          <x:t xml:space="preserve">V10.5-SIM17</x:t>
        </x:is>
      </x:c>
      <x:c r="V64" s="160" t="inlineStr">
        <x:is>
          <x:t xml:space="preserve">https://ir.quantumcomputinginc.com</x:t>
        </x:is>
      </x:c>
      <x:c r="W64" s="160" t="inlineStr">
        <x:is>
          <x:t xml:space="preserve">NO</x:t>
        </x:is>
      </x:c>
      <x:c r="X64" s="160" t="inlineStr">
        <x:is>
          <x:t xml:space="preserve">NONE — DEVELOPMENT ONLY</x:t>
        </x:is>
      </x:c>
      <x:c r="Y64" s="160" t="inlineStr">
        <x:is>
          <x:t xml:space="preserve">Synthetic/adversarial model-development loop. No historical outcome is claimed; no accuracy point is awarded.</x:t>
        </x:is>
      </x:c>
    </x:row>
    <x:row r="65">
      <x:c r="A65" s="160" t="inlineStr">
        <x:is>
          <x:t xml:space="preserve">ML0060</x:t>
        </x:is>
      </x:c>
      <x:c r="B65" s="160" t="inlineStr">
        <x:is>
          <x:t xml:space="preserve">ARG-004</x:t>
        </x:is>
      </x:c>
      <x:c r="C65" s="160" t="inlineStr">
        <x:is>
          <x:t xml:space="preserve">Quantum Computing Inc.</x:t>
        </x:is>
      </x:c>
      <x:c r="D65" s="160" t="inlineStr">
        <x:is>
          <x:t xml:space="preserve">QUBT</x:t>
        </x:is>
      </x:c>
      <x:c r="E65" s="160" t="inlineStr">
        <x:is>
          <x:t xml:space="preserve">Quantum Computing</x:t>
        </x:is>
      </x:c>
      <x:c r="F65" s="160" t="inlineStr">
        <x:is>
          <x:t xml:space="preserve">Development</x:t>
        </x:is>
      </x:c>
      <x:c r="G65" s="160" t="inlineStr">
        <x:is>
          <x:t xml:space="preserve">S12</x:t>
        </x:is>
      </x:c>
      <x:c r="H65" s="160" t="inlineStr">
        <x:is>
          <x:t xml:space="preserve">Lead-Time / Early Sensor</x:t>
        </x:is>
      </x:c>
      <x:c r="I65" s="160" t="inlineStr">
        <x:is>
          <x:t xml:space="preserve">Timing / lead-time</x:t>
        </x:is>
      </x:c>
      <x:c r="J65" s="160" t="inlineStr">
        <x:is>
          <x:t xml:space="preserve">ARGUS identifies the change correctly but only after consensus and price have already reacted.</x:t>
        </x:is>
      </x:c>
      <x:c r="K65" s="160" t="inlineStr">
        <x:is>
          <x:t xml:space="preserve">Acquisition-led quantum and photonic offerings</x:t>
        </x:is>
      </x:c>
      <x:c r="L65" s="160" t="inlineStr">
        <x:is>
          <x:t xml:space="preserve">Asset/milestone scenarios</x:t>
        </x:is>
      </x:c>
      <x:c r="M65" s="160" t="inlineStr">
        <x:is>
          <x:t xml:space="preserve">BLOCKED</x:t>
        </x:is>
      </x:c>
      <x:c r="N65" s="160" t="inlineStr">
        <x:is>
          <x:t xml:space="preserve">R-TIME-01</x:t>
        </x:is>
      </x:c>
      <x:c r="O65" s="160" t="inlineStr">
        <x:is>
          <x:t xml:space="preserve">BASE</x:t>
        </x:is>
      </x:c>
      <x:c r="P65" s="160" t="inlineStr">
        <x:is>
          <x:t xml:space="preserve">PARTIAL CATCH</x:t>
        </x:is>
      </x:c>
      <x:c r="Q65" s="160" t="inlineStr">
        <x:is>
          <x:t xml:space="preserve">The base refinement catches the main failure, but evidence thresholds and per-share/counterfactual details remain underspecified.</x:t>
        </x:is>
      </x:c>
      <x:c r="R65" s="160" t="inlineStr">
        <x:is>
          <x:t xml:space="preserve">Replace lagging financial metrics with earlier causal operating sensors and record lead time separately from correctness.</x:t>
        </x:is>
      </x:c>
      <x:c r="S65" s="160" t="inlineStr">
        <x:is>
          <x:t xml:space="preserve">NO</x:t>
        </x:is>
      </x:c>
      <x:c r="T65" s="160" t="inlineStr">
        <x:is>
          <x:t xml:space="preserve">BASE</x:t>
        </x:is>
      </x:c>
      <x:c r="U65" s="160" t="inlineStr">
        <x:is>
          <x:t xml:space="preserve">V10.5-SIM17</x:t>
        </x:is>
      </x:c>
      <x:c r="V65" s="160" t="inlineStr">
        <x:is>
          <x:t xml:space="preserve">https://ir.quantumcomputinginc.com</x:t>
        </x:is>
      </x:c>
      <x:c r="W65" s="160" t="inlineStr">
        <x:is>
          <x:t xml:space="preserve">NO</x:t>
        </x:is>
      </x:c>
      <x:c r="X65" s="160" t="inlineStr">
        <x:is>
          <x:t xml:space="preserve">NONE — DEVELOPMENT ONLY</x:t>
        </x:is>
      </x:c>
      <x:c r="Y65" s="160" t="inlineStr">
        <x:is>
          <x:t xml:space="preserve">Synthetic/adversarial model-development loop. No historical outcome is claimed; no accuracy point is awarded.</x:t>
        </x:is>
      </x:c>
    </x:row>
    <x:row r="66">
      <x:c r="A66" s="160" t="inlineStr">
        <x:is>
          <x:t xml:space="preserve">ML0061</x:t>
        </x:is>
      </x:c>
      <x:c r="B66" s="160" t="inlineStr">
        <x:is>
          <x:t xml:space="preserve">ARG-004</x:t>
        </x:is>
      </x:c>
      <x:c r="C66" s="160" t="inlineStr">
        <x:is>
          <x:t xml:space="preserve">Quantum Computing Inc.</x:t>
        </x:is>
      </x:c>
      <x:c r="D66" s="160" t="inlineStr">
        <x:is>
          <x:t xml:space="preserve">QUBT</x:t>
        </x:is>
      </x:c>
      <x:c r="E66" s="160" t="inlineStr">
        <x:is>
          <x:t xml:space="preserve">Quantum Computing</x:t>
        </x:is>
      </x:c>
      <x:c r="F66" s="160" t="inlineStr">
        <x:is>
          <x:t xml:space="preserve">Development</x:t>
        </x:is>
      </x:c>
      <x:c r="G66" s="160" t="inlineStr">
        <x:is>
          <x:t xml:space="preserve">S13</x:t>
        </x:is>
      </x:c>
      <x:c r="H66" s="160" t="inlineStr">
        <x:is>
          <x:t xml:space="preserve">Cycle Normalization</x:t>
        </x:is>
      </x:c>
      <x:c r="I66" s="160" t="inlineStr">
        <x:is>
          <x:t xml:space="preserve">Wrong valuation lens</x:t>
        </x:is>
      </x:c>
      <x:c r="J66" s="160" t="inlineStr">
        <x:is>
          <x:t xml:space="preserve">Peak/trough earnings are mistaken for normalized earning power.</x:t>
        </x:is>
      </x:c>
      <x:c r="K66" s="160" t="inlineStr">
        <x:is>
          <x:t xml:space="preserve">Acquisition-led quantum and photonic offerings</x:t>
        </x:is>
      </x:c>
      <x:c r="L66" s="160" t="inlineStr">
        <x:is>
          <x:t xml:space="preserve">Asset/milestone scenarios</x:t>
        </x:is>
      </x:c>
      <x:c r="M66" s="160" t="inlineStr">
        <x:is>
          <x:t xml:space="preserve">BLOCKED</x:t>
        </x:is>
      </x:c>
      <x:c r="N66" s="160" t="inlineStr">
        <x:is>
          <x:t xml:space="preserve">R-CYCLE-01</x:t>
        </x:is>
      </x:c>
      <x:c r="O66" s="160" t="inlineStr">
        <x:is>
          <x:t xml:space="preserve">BASE</x:t>
        </x:is>
      </x:c>
      <x:c r="P66" s="160" t="inlineStr">
        <x:is>
          <x:t xml:space="preserve">PARTIAL CATCH</x:t>
        </x:is>
      </x:c>
      <x:c r="Q66" s="160" t="inlineStr">
        <x:is>
          <x:t xml:space="preserve">The base refinement catches the main failure, but evidence thresholds and per-share/counterfactual details remain underspecified.</x:t>
        </x:is>
      </x:c>
      <x:c r="R66" s="160" t="inlineStr">
        <x:is>
          <x:t xml:space="preserve">Use sector-specific mid-cycle/NAV/rate-base/rNPV normalization before applying a valuation multiple.</x:t>
        </x:is>
      </x:c>
      <x:c r="S66" s="160" t="inlineStr">
        <x:is>
          <x:t xml:space="preserve">NO</x:t>
        </x:is>
      </x:c>
      <x:c r="T66" s="160" t="inlineStr">
        <x:is>
          <x:t xml:space="preserve">BASE</x:t>
        </x:is>
      </x:c>
      <x:c r="U66" s="160" t="inlineStr">
        <x:is>
          <x:t xml:space="preserve">V10.5-SIM17</x:t>
        </x:is>
      </x:c>
      <x:c r="V66" s="160" t="inlineStr">
        <x:is>
          <x:t xml:space="preserve">https://ir.quantumcomputinginc.com</x:t>
        </x:is>
      </x:c>
      <x:c r="W66" s="160" t="inlineStr">
        <x:is>
          <x:t xml:space="preserve">NO</x:t>
        </x:is>
      </x:c>
      <x:c r="X66" s="160" t="inlineStr">
        <x:is>
          <x:t xml:space="preserve">NONE — DEVELOPMENT ONLY</x:t>
        </x:is>
      </x:c>
      <x:c r="Y66" s="160" t="inlineStr">
        <x:is>
          <x:t xml:space="preserve">Synthetic/adversarial model-development loop. No historical outcome is claimed; no accuracy point is awarded.</x:t>
        </x:is>
      </x:c>
    </x:row>
    <x:row r="67">
      <x:c r="A67" s="160" t="inlineStr">
        <x:is>
          <x:t xml:space="preserve">ML0062</x:t>
        </x:is>
      </x:c>
      <x:c r="B67" s="160" t="inlineStr">
        <x:is>
          <x:t xml:space="preserve">ARG-004</x:t>
        </x:is>
      </x:c>
      <x:c r="C67" s="160" t="inlineStr">
        <x:is>
          <x:t xml:space="preserve">Quantum Computing Inc.</x:t>
        </x:is>
      </x:c>
      <x:c r="D67" s="160" t="inlineStr">
        <x:is>
          <x:t xml:space="preserve">QUBT</x:t>
        </x:is>
      </x:c>
      <x:c r="E67" s="160" t="inlineStr">
        <x:is>
          <x:t xml:space="preserve">Quantum Computing</x:t>
        </x:is>
      </x:c>
      <x:c r="F67" s="160" t="inlineStr">
        <x:is>
          <x:t xml:space="preserve">Development</x:t>
        </x:is>
      </x:c>
      <x:c r="G67" s="160" t="inlineStr">
        <x:is>
          <x:t xml:space="preserve">S14</x:t>
        </x:is>
      </x:c>
      <x:c r="H67" s="160" t="inlineStr">
        <x:is>
          <x:t xml:space="preserve">M&amp;A / Organic Growth Separation</x:t>
        </x:is>
      </x:c>
      <x:c r="I67" s="160" t="inlineStr">
        <x:is>
          <x:t xml:space="preserve">Stewardship</x:t>
        </x:is>
      </x:c>
      <x:c r="J67" s="160" t="inlineStr">
        <x:is>
          <x:t xml:space="preserve">Acquisition-driven growth masks weak organic economics or poor incremental ROIC.</x:t>
        </x:is>
      </x:c>
      <x:c r="K67" s="160" t="inlineStr">
        <x:is>
          <x:t xml:space="preserve">Acquisition-led quantum and photonic offerings</x:t>
        </x:is>
      </x:c>
      <x:c r="L67" s="160" t="inlineStr">
        <x:is>
          <x:t xml:space="preserve">Asset/milestone scenarios</x:t>
        </x:is>
      </x:c>
      <x:c r="M67" s="160" t="inlineStr">
        <x:is>
          <x:t xml:space="preserve">BLOCKED</x:t>
        </x:is>
      </x:c>
      <x:c r="N67" s="160" t="inlineStr">
        <x:is>
          <x:t xml:space="preserve">R-MA-01</x:t>
        </x:is>
      </x:c>
      <x:c r="O67" s="160" t="inlineStr">
        <x:is>
          <x:t xml:space="preserve">BASE</x:t>
        </x:is>
      </x:c>
      <x:c r="P67" s="160" t="inlineStr">
        <x:is>
          <x:t xml:space="preserve">PARTIAL CATCH</x:t>
        </x:is>
      </x:c>
      <x:c r="Q67" s="160" t="inlineStr">
        <x:is>
          <x:t xml:space="preserve">The base refinement catches the main failure, but evidence thresholds and per-share/counterfactual details remain underspecified.</x:t>
        </x:is>
      </x:c>
      <x:c r="R67" s="160" t="inlineStr">
        <x:is>
          <x:t xml:space="preserve">Bridge organic growth, acquired growth, purchase price, integration costs and acquisition-cohort ROIC.</x:t>
        </x:is>
      </x:c>
      <x:c r="S67" s="160" t="inlineStr">
        <x:is>
          <x:t xml:space="preserve">NO</x:t>
        </x:is>
      </x:c>
      <x:c r="T67" s="160" t="inlineStr">
        <x:is>
          <x:t xml:space="preserve">BASE</x:t>
        </x:is>
      </x:c>
      <x:c r="U67" s="160" t="inlineStr">
        <x:is>
          <x:t xml:space="preserve">V10.5-SIM17</x:t>
        </x:is>
      </x:c>
      <x:c r="V67" s="160" t="inlineStr">
        <x:is>
          <x:t xml:space="preserve">https://ir.quantumcomputinginc.com</x:t>
        </x:is>
      </x:c>
      <x:c r="W67" s="160" t="inlineStr">
        <x:is>
          <x:t xml:space="preserve">NO</x:t>
        </x:is>
      </x:c>
      <x:c r="X67" s="160" t="inlineStr">
        <x:is>
          <x:t xml:space="preserve">NONE — DEVELOPMENT ONLY</x:t>
        </x:is>
      </x:c>
      <x:c r="Y67" s="160" t="inlineStr">
        <x:is>
          <x:t xml:space="preserve">Synthetic/adversarial model-development loop. No historical outcome is claimed; no accuracy point is awarded.</x:t>
        </x:is>
      </x:c>
    </x:row>
    <x:row r="68">
      <x:c r="A68" s="160" t="inlineStr">
        <x:is>
          <x:t xml:space="preserve">ML0063</x:t>
        </x:is>
      </x:c>
      <x:c r="B68" s="160" t="inlineStr">
        <x:is>
          <x:t xml:space="preserve">ARG-004</x:t>
        </x:is>
      </x:c>
      <x:c r="C68" s="160" t="inlineStr">
        <x:is>
          <x:t xml:space="preserve">Quantum Computing Inc.</x:t>
        </x:is>
      </x:c>
      <x:c r="D68" s="160" t="inlineStr">
        <x:is>
          <x:t xml:space="preserve">QUBT</x:t>
        </x:is>
      </x:c>
      <x:c r="E68" s="160" t="inlineStr">
        <x:is>
          <x:t xml:space="preserve">Quantum Computing</x:t>
        </x:is>
      </x:c>
      <x:c r="F68" s="160" t="inlineStr">
        <x:is>
          <x:t xml:space="preserve">Development</x:t>
        </x:is>
      </x:c>
      <x:c r="G68" s="160" t="inlineStr">
        <x:is>
          <x:t xml:space="preserve">S15</x:t>
        </x:is>
      </x:c>
      <x:c r="H68" s="160" t="inlineStr">
        <x:is>
          <x:t xml:space="preserve">Financing / Dilution Per Share</x:t>
        </x:is>
      </x:c>
      <x:c r="I68" s="160" t="inlineStr">
        <x:is>
          <x:t xml:space="preserve">Stewardship</x:t>
        </x:is>
      </x:c>
      <x:c r="J68" s="160" t="inlineStr">
        <x:is>
          <x:t xml:space="preserve">Cash balance or revenue growth improves while financing causes material per-share value leakage.</x:t>
        </x:is>
      </x:c>
      <x:c r="K68" s="160" t="inlineStr">
        <x:is>
          <x:t xml:space="preserve">Acquisition-led quantum and photonic offerings</x:t>
        </x:is>
      </x:c>
      <x:c r="L68" s="160" t="inlineStr">
        <x:is>
          <x:t xml:space="preserve">Asset/milestone scenarios</x:t>
        </x:is>
      </x:c>
      <x:c r="M68" s="160" t="inlineStr">
        <x:is>
          <x:t xml:space="preserve">BLOCKED</x:t>
        </x:is>
      </x:c>
      <x:c r="N68" s="160" t="inlineStr">
        <x:is>
          <x:t xml:space="preserve">R-DIL-01</x:t>
        </x:is>
      </x:c>
      <x:c r="O68" s="160" t="inlineStr">
        <x:is>
          <x:t xml:space="preserve">BASE</x:t>
        </x:is>
      </x:c>
      <x:c r="P68" s="160" t="inlineStr">
        <x:is>
          <x:t xml:space="preserve">PARTIAL CATCH</x:t>
        </x:is>
      </x:c>
      <x:c r="Q68" s="160" t="inlineStr">
        <x:is>
          <x:t xml:space="preserve">The base refinement catches the main failure, but evidence thresholds and per-share/counterfactual details remain underspecified.</x:t>
        </x:is>
      </x:c>
      <x:c r="R68" s="160" t="inlineStr">
        <x:is>
          <x:t xml:space="preserve">Reconcile share-count growth, SBC, equity issuance, buybacks and net cash changes to per-share intrinsic value.</x:t>
        </x:is>
      </x:c>
      <x:c r="S68" s="160" t="inlineStr">
        <x:is>
          <x:t xml:space="preserve">NO</x:t>
        </x:is>
      </x:c>
      <x:c r="T68" s="160" t="inlineStr">
        <x:is>
          <x:t xml:space="preserve">BASE</x:t>
        </x:is>
      </x:c>
      <x:c r="U68" s="160" t="inlineStr">
        <x:is>
          <x:t xml:space="preserve">V10.5-SIM17</x:t>
        </x:is>
      </x:c>
      <x:c r="V68" s="160" t="inlineStr">
        <x:is>
          <x:t xml:space="preserve">https://ir.quantumcomputinginc.com</x:t>
        </x:is>
      </x:c>
      <x:c r="W68" s="160" t="inlineStr">
        <x:is>
          <x:t xml:space="preserve">NO</x:t>
        </x:is>
      </x:c>
      <x:c r="X68" s="160" t="inlineStr">
        <x:is>
          <x:t xml:space="preserve">NONE — DEVELOPMENT ONLY</x:t>
        </x:is>
      </x:c>
      <x:c r="Y68" s="160" t="inlineStr">
        <x:is>
          <x:t xml:space="preserve">Synthetic/adversarial model-development loop. No historical outcome is claimed; no accuracy point is awarded.</x:t>
        </x:is>
      </x:c>
    </x:row>
    <x:row r="69">
      <x:c r="A69" s="160" t="inlineStr">
        <x:is>
          <x:t xml:space="preserve">ML0064</x:t>
        </x:is>
      </x:c>
      <x:c r="B69" s="160" t="inlineStr">
        <x:is>
          <x:t xml:space="preserve">ARG-004</x:t>
        </x:is>
      </x:c>
      <x:c r="C69" s="160" t="inlineStr">
        <x:is>
          <x:t xml:space="preserve">Quantum Computing Inc.</x:t>
        </x:is>
      </x:c>
      <x:c r="D69" s="160" t="inlineStr">
        <x:is>
          <x:t xml:space="preserve">QUBT</x:t>
        </x:is>
      </x:c>
      <x:c r="E69" s="160" t="inlineStr">
        <x:is>
          <x:t xml:space="preserve">Quantum Computing</x:t>
        </x:is>
      </x:c>
      <x:c r="F69" s="160" t="inlineStr">
        <x:is>
          <x:t xml:space="preserve">Development</x:t>
        </x:is>
      </x:c>
      <x:c r="G69" s="160" t="inlineStr">
        <x:is>
          <x:t xml:space="preserve">S16</x:t>
        </x:is>
      </x:c>
      <x:c r="H69" s="160" t="inlineStr">
        <x:is>
          <x:t xml:space="preserve">Concentration / Tail Risk</x:t>
        </x:is>
      </x:c>
      <x:c r="I69" s="160" t="inlineStr">
        <x:is>
          <x:t xml:space="preserve">Survival</x:t>
        </x:is>
      </x:c>
      <x:c r="J69" s="160" t="inlineStr">
        <x:is>
          <x:t xml:space="preserve">A concentrated supplier, geography, customer, product, patent, regulatory or technology dependency creates asymmetric permanent-loss risk.</x:t>
        </x:is>
      </x:c>
      <x:c r="K69" s="160" t="inlineStr">
        <x:is>
          <x:t xml:space="preserve">Acquisition-led quantum and photonic offerings</x:t>
        </x:is>
      </x:c>
      <x:c r="L69" s="160" t="inlineStr">
        <x:is>
          <x:t xml:space="preserve">Asset/milestone scenarios</x:t>
        </x:is>
      </x:c>
      <x:c r="M69" s="160" t="inlineStr">
        <x:is>
          <x:t xml:space="preserve">BLOCKED</x:t>
        </x:is>
      </x:c>
      <x:c r="N69" s="160" t="inlineStr">
        <x:is>
          <x:t xml:space="preserve">R-TAIL-01</x:t>
        </x:is>
      </x:c>
      <x:c r="O69" s="160" t="inlineStr">
        <x:is>
          <x:t xml:space="preserve">BASE</x:t>
        </x:is>
      </x:c>
      <x:c r="P69" s="160" t="inlineStr">
        <x:is>
          <x:t xml:space="preserve">PARTIAL CATCH</x:t>
        </x:is>
      </x:c>
      <x:c r="Q69" s="160" t="inlineStr">
        <x:is>
          <x:t xml:space="preserve">The base refinement catches the main failure, but evidence thresholds and per-share/counterfactual details remain underspecified.</x:t>
        </x:is>
      </x:c>
      <x:c r="R69" s="160" t="inlineStr">
        <x:is>
          <x:t xml:space="preserve">Maintain an explicit concentration/tail-risk register with probability, severity, mitigation and required margin-of-safety premium.</x:t>
        </x:is>
      </x:c>
      <x:c r="S69" s="160" t="inlineStr">
        <x:is>
          <x:t xml:space="preserve">NO</x:t>
        </x:is>
      </x:c>
      <x:c r="T69" s="160" t="inlineStr">
        <x:is>
          <x:t xml:space="preserve">BASE</x:t>
        </x:is>
      </x:c>
      <x:c r="U69" s="160" t="inlineStr">
        <x:is>
          <x:t xml:space="preserve">V10.5-SIM17</x:t>
        </x:is>
      </x:c>
      <x:c r="V69" s="160" t="inlineStr">
        <x:is>
          <x:t xml:space="preserve">https://ir.quantumcomputinginc.com</x:t>
        </x:is>
      </x:c>
      <x:c r="W69" s="160" t="inlineStr">
        <x:is>
          <x:t xml:space="preserve">NO</x:t>
        </x:is>
      </x:c>
      <x:c r="X69" s="160" t="inlineStr">
        <x:is>
          <x:t xml:space="preserve">NONE — DEVELOPMENT ONLY</x:t>
        </x:is>
      </x:c>
      <x:c r="Y69" s="160" t="inlineStr">
        <x:is>
          <x:t xml:space="preserve">Synthetic/adversarial model-development loop. No historical outcome is claimed; no accuracy point is awarded.</x:t>
        </x:is>
      </x:c>
    </x:row>
    <x:row r="70">
      <x:c r="A70" s="160" t="inlineStr">
        <x:is>
          <x:t xml:space="preserve">ML0065</x:t>
        </x:is>
      </x:c>
      <x:c r="B70" s="160" t="inlineStr">
        <x:is>
          <x:t xml:space="preserve">ARG-005</x:t>
        </x:is>
      </x:c>
      <x:c r="C70" s="160" t="inlineStr">
        <x:is>
          <x:t xml:space="preserve">NVIDIA</x:t>
        </x:is>
      </x:c>
      <x:c r="D70" s="160" t="inlineStr">
        <x:is>
          <x:t xml:space="preserve">NVDA</x:t>
        </x:is>
      </x:c>
      <x:c r="E70" s="160" t="inlineStr">
        <x:is>
          <x:t xml:space="preserve">AI &amp; Semiconductors</x:t>
        </x:is>
      </x:c>
      <x:c r="F70" s="160" t="inlineStr">
        <x:is>
          <x:t xml:space="preserve">Development</x:t>
        </x:is>
      </x:c>
      <x:c r="G70" s="160" t="inlineStr">
        <x:is>
          <x:t xml:space="preserve">S01</x:t>
        </x:is>
      </x:c>
      <x:c r="H70" s="160" t="inlineStr">
        <x:is>
          <x:t xml:space="preserve">Understanding Gate</x:t>
        </x:is>
      </x:c>
      <x:c r="I70" s="160" t="inlineStr">
        <x:is>
          <x:t xml:space="preserve">Understanding</x:t>
        </x:is>
      </x:c>
      <x:c r="J70" s="160" t="inlineStr">
        <x:is>
          <x:t xml:space="preserve">Causal engine / customer ROI chain breaks under a misleading headline KPI.</x:t>
        </x:is>
      </x:c>
      <x:c r="K70" s="160" t="inlineStr">
        <x:is>
          <x:t xml:space="preserve">Compute systems, networking and software ecosystem monetization</x:t>
        </x:is>
      </x:c>
      <x:c r="L70" s="160" t="inlineStr">
        <x:is>
          <x:t xml:space="preserve">Owner earnings + reverse DCF</x:t>
        </x:is>
      </x:c>
      <x:c r="M70" s="160" t="inlineStr">
        <x:is>
          <x:t xml:space="preserve">WAIT / SMALL ONLY</x:t>
        </x:is>
      </x:c>
      <x:c r="N70" s="160" t="inlineStr">
        <x:is>
          <x:t xml:space="preserve">R-ENG-01</x:t>
        </x:is>
      </x:c>
      <x:c r="O70" s="160" t="inlineStr">
        <x:is>
          <x:t xml:space="preserve">BASE</x:t>
        </x:is>
      </x:c>
      <x:c r="P70" s="160" t="inlineStr">
        <x:is>
          <x:t xml:space="preserve">PARTIAL CATCH</x:t>
        </x:is>
      </x:c>
      <x:c r="Q70" s="160" t="inlineStr">
        <x:is>
          <x:t xml:space="preserve">The base refinement catches the main failure, but evidence thresholds and per-share/counterfactual details remain underspecified.</x:t>
        </x:is>
      </x:c>
      <x:c r="R70" s="160" t="inlineStr">
        <x:is>
          <x:t xml:space="preserve">Force an explicit engine tree: customer job → unit economics → revenue driver → owner-value bridge.</x:t>
        </x:is>
      </x:c>
      <x:c r="S70" s="160" t="inlineStr">
        <x:is>
          <x:t xml:space="preserve">NO</x:t>
        </x:is>
      </x:c>
      <x:c r="T70" s="160" t="inlineStr">
        <x:is>
          <x:t xml:space="preserve">BASE</x:t>
        </x:is>
      </x:c>
      <x:c r="U70" s="160" t="inlineStr">
        <x:is>
          <x:t xml:space="preserve">V10.5-SIM17</x:t>
        </x:is>
      </x:c>
      <x:c r="V70" s="160" t="inlineStr">
        <x:is>
          <x:t xml:space="preserve">https://investor.nvidia.com</x:t>
        </x:is>
      </x:c>
      <x:c r="W70" s="160" t="inlineStr">
        <x:is>
          <x:t xml:space="preserve">NO</x:t>
        </x:is>
      </x:c>
      <x:c r="X70" s="160" t="inlineStr">
        <x:is>
          <x:t xml:space="preserve">NONE — DEVELOPMENT ONLY</x:t>
        </x:is>
      </x:c>
      <x:c r="Y70" s="160" t="inlineStr">
        <x:is>
          <x:t xml:space="preserve">Synthetic/adversarial model-development loop. No historical outcome is claimed; no accuracy point is awarded.</x:t>
        </x:is>
      </x:c>
    </x:row>
    <x:row r="71">
      <x:c r="A71" s="160" t="inlineStr">
        <x:is>
          <x:t xml:space="preserve">ML0066</x:t>
        </x:is>
      </x:c>
      <x:c r="B71" s="160" t="inlineStr">
        <x:is>
          <x:t xml:space="preserve">ARG-005</x:t>
        </x:is>
      </x:c>
      <x:c r="C71" s="160" t="inlineStr">
        <x:is>
          <x:t xml:space="preserve">NVIDIA</x:t>
        </x:is>
      </x:c>
      <x:c r="D71" s="160" t="inlineStr">
        <x:is>
          <x:t xml:space="preserve">NVDA</x:t>
        </x:is>
      </x:c>
      <x:c r="E71" s="160" t="inlineStr">
        <x:is>
          <x:t xml:space="preserve">AI &amp; Semiconductors</x:t>
        </x:is>
      </x:c>
      <x:c r="F71" s="160" t="inlineStr">
        <x:is>
          <x:t xml:space="preserve">Development</x:t>
        </x:is>
      </x:c>
      <x:c r="G71" s="160" t="inlineStr">
        <x:is>
          <x:t xml:space="preserve">S02</x:t>
        </x:is>
      </x:c>
      <x:c r="H71" s="160" t="inlineStr">
        <x:is>
          <x:t xml:space="preserve">Owner Earnings Normalization</x:t>
        </x:is>
      </x:c>
      <x:c r="I71" s="160" t="inlineStr">
        <x:is>
          <x:t xml:space="preserve">Owner Earnings</x:t>
        </x:is>
      </x:c>
      <x:c r="J71" s="160" t="inlineStr">
        <x:is>
          <x:t xml:space="preserve">Reported earnings/FCF overstates economic cash because recurring reinvestment or non-cash compensation is misclassified.</x:t>
        </x:is>
      </x:c>
      <x:c r="K71" s="160" t="inlineStr">
        <x:is>
          <x:t xml:space="preserve">Compute systems, networking and software ecosystem monetization</x:t>
        </x:is>
      </x:c>
      <x:c r="L71" s="160" t="inlineStr">
        <x:is>
          <x:t xml:space="preserve">Owner earnings + reverse DCF</x:t>
        </x:is>
      </x:c>
      <x:c r="M71" s="160" t="inlineStr">
        <x:is>
          <x:t xml:space="preserve">WAIT / SMALL ONLY</x:t>
        </x:is>
      </x:c>
      <x:c r="N71" s="160" t="inlineStr">
        <x:is>
          <x:t xml:space="preserve">R-OE-01</x:t>
        </x:is>
      </x:c>
      <x:c r="O71" s="160" t="inlineStr">
        <x:is>
          <x:t xml:space="preserve">BASE</x:t>
        </x:is>
      </x:c>
      <x:c r="P71" s="160" t="inlineStr">
        <x:is>
          <x:t xml:space="preserve">PARTIAL CATCH</x:t>
        </x:is>
      </x:c>
      <x:c r="Q71" s="160" t="inlineStr">
        <x:is>
          <x:t xml:space="preserve">The base refinement catches the main failure, but evidence thresholds and per-share/counterfactual details remain underspecified.</x:t>
        </x:is>
      </x:c>
      <x:c r="R71" s="160" t="inlineStr">
        <x:is>
          <x:t xml:space="preserve">Require a GAAP-to-economic-owner-cash bridge tailored to the business model.</x:t>
        </x:is>
      </x:c>
      <x:c r="S71" s="160" t="inlineStr">
        <x:is>
          <x:t xml:space="preserve">NO</x:t>
        </x:is>
      </x:c>
      <x:c r="T71" s="160" t="inlineStr">
        <x:is>
          <x:t xml:space="preserve">BASE</x:t>
        </x:is>
      </x:c>
      <x:c r="U71" s="160" t="inlineStr">
        <x:is>
          <x:t xml:space="preserve">V10.5-SIM17</x:t>
        </x:is>
      </x:c>
      <x:c r="V71" s="160" t="inlineStr">
        <x:is>
          <x:t xml:space="preserve">https://investor.nvidia.com</x:t>
        </x:is>
      </x:c>
      <x:c r="W71" s="160" t="inlineStr">
        <x:is>
          <x:t xml:space="preserve">NO</x:t>
        </x:is>
      </x:c>
      <x:c r="X71" s="160" t="inlineStr">
        <x:is>
          <x:t xml:space="preserve">NONE — DEVELOPMENT ONLY</x:t>
        </x:is>
      </x:c>
      <x:c r="Y71" s="160" t="inlineStr">
        <x:is>
          <x:t xml:space="preserve">Synthetic/adversarial model-development loop. No historical outcome is claimed; no accuracy point is awarded.</x:t>
        </x:is>
      </x:c>
    </x:row>
    <x:row r="72">
      <x:c r="A72" s="160" t="inlineStr">
        <x:is>
          <x:t xml:space="preserve">ML0067</x:t>
        </x:is>
      </x:c>
      <x:c r="B72" s="160" t="inlineStr">
        <x:is>
          <x:t xml:space="preserve">ARG-005</x:t>
        </x:is>
      </x:c>
      <x:c r="C72" s="160" t="inlineStr">
        <x:is>
          <x:t xml:space="preserve">NVIDIA</x:t>
        </x:is>
      </x:c>
      <x:c r="D72" s="160" t="inlineStr">
        <x:is>
          <x:t xml:space="preserve">NVDA</x:t>
        </x:is>
      </x:c>
      <x:c r="E72" s="160" t="inlineStr">
        <x:is>
          <x:t xml:space="preserve">AI &amp; Semiconductors</x:t>
        </x:is>
      </x:c>
      <x:c r="F72" s="160" t="inlineStr">
        <x:is>
          <x:t xml:space="preserve">Development</x:t>
        </x:is>
      </x:c>
      <x:c r="G72" s="160" t="inlineStr">
        <x:is>
          <x:t xml:space="preserve">S03</x:t>
        </x:is>
      </x:c>
      <x:c r="H72" s="160" t="inlineStr">
        <x:is>
          <x:t xml:space="preserve">Moat Durability</x:t>
        </x:is>
      </x:c>
      <x:c r="I72" s="160" t="inlineStr">
        <x:is>
          <x:t xml:space="preserve">Moat 2036</x:t>
        </x:is>
      </x:c>
      <x:c r="J72" s="160" t="inlineStr">
        <x:is>
          <x:t xml:space="preserve">Growth continues while switching friction, pricing power or replacement difficulty quietly weakens.</x:t>
        </x:is>
      </x:c>
      <x:c r="K72" s="160" t="inlineStr">
        <x:is>
          <x:t xml:space="preserve">Compute systems, networking and software ecosystem monetization</x:t>
        </x:is>
      </x:c>
      <x:c r="L72" s="160" t="inlineStr">
        <x:is>
          <x:t xml:space="preserve">Owner earnings + reverse DCF</x:t>
        </x:is>
      </x:c>
      <x:c r="M72" s="160" t="inlineStr">
        <x:is>
          <x:t xml:space="preserve">WAIT / SMALL ONLY</x:t>
        </x:is>
      </x:c>
      <x:c r="N72" s="160" t="inlineStr">
        <x:is>
          <x:t xml:space="preserve">R-MOAT-01</x:t>
        </x:is>
      </x:c>
      <x:c r="O72" s="160" t="inlineStr">
        <x:is>
          <x:t xml:space="preserve">BASE</x:t>
        </x:is>
      </x:c>
      <x:c r="P72" s="160" t="inlineStr">
        <x:is>
          <x:t xml:space="preserve">PARTIAL CATCH</x:t>
        </x:is>
      </x:c>
      <x:c r="Q72" s="160" t="inlineStr">
        <x:is>
          <x:t xml:space="preserve">The base refinement catches the main failure, but evidence thresholds and per-share/counterfactual details remain underspecified.</x:t>
        </x:is>
      </x:c>
      <x:c r="R72" s="160" t="inlineStr">
        <x:is>
          <x:t xml:space="preserve">Track moat telemetry separately from growth: retention, pricing, win/loss, replacement friction, installed-base behavior.</x:t>
        </x:is>
      </x:c>
      <x:c r="S72" s="160" t="inlineStr">
        <x:is>
          <x:t xml:space="preserve">NO</x:t>
        </x:is>
      </x:c>
      <x:c r="T72" s="160" t="inlineStr">
        <x:is>
          <x:t xml:space="preserve">BASE</x:t>
        </x:is>
      </x:c>
      <x:c r="U72" s="160" t="inlineStr">
        <x:is>
          <x:t xml:space="preserve">V10.5-SIM17</x:t>
        </x:is>
      </x:c>
      <x:c r="V72" s="160" t="inlineStr">
        <x:is>
          <x:t xml:space="preserve">https://investor.nvidia.com</x:t>
        </x:is>
      </x:c>
      <x:c r="W72" s="160" t="inlineStr">
        <x:is>
          <x:t xml:space="preserve">NO</x:t>
        </x:is>
      </x:c>
      <x:c r="X72" s="160" t="inlineStr">
        <x:is>
          <x:t xml:space="preserve">NONE — DEVELOPMENT ONLY</x:t>
        </x:is>
      </x:c>
      <x:c r="Y72" s="160" t="inlineStr">
        <x:is>
          <x:t xml:space="preserve">Synthetic/adversarial model-development loop. No historical outcome is claimed; no accuracy point is awarded.</x:t>
        </x:is>
      </x:c>
    </x:row>
    <x:row r="73">
      <x:c r="A73" s="160" t="inlineStr">
        <x:is>
          <x:t xml:space="preserve">ML0068</x:t>
        </x:is>
      </x:c>
      <x:c r="B73" s="160" t="inlineStr">
        <x:is>
          <x:t xml:space="preserve">ARG-005</x:t>
        </x:is>
      </x:c>
      <x:c r="C73" s="160" t="inlineStr">
        <x:is>
          <x:t xml:space="preserve">NVIDIA</x:t>
        </x:is>
      </x:c>
      <x:c r="D73" s="160" t="inlineStr">
        <x:is>
          <x:t xml:space="preserve">NVDA</x:t>
        </x:is>
      </x:c>
      <x:c r="E73" s="160" t="inlineStr">
        <x:is>
          <x:t xml:space="preserve">AI &amp; Semiconductors</x:t>
        </x:is>
      </x:c>
      <x:c r="F73" s="160" t="inlineStr">
        <x:is>
          <x:t xml:space="preserve">Development</x:t>
        </x:is>
      </x:c>
      <x:c r="G73" s="160" t="inlineStr">
        <x:is>
          <x:t xml:space="preserve">S04</x:t>
        </x:is>
      </x:c>
      <x:c r="H73" s="160" t="inlineStr">
        <x:is>
          <x:t xml:space="preserve">Stewardship / Capital Allocation</x:t>
        </x:is>
      </x:c>
      <x:c r="I73" s="160" t="inlineStr">
        <x:is>
          <x:t xml:space="preserve">Stewardship</x:t>
        </x:is>
      </x:c>
      <x:c r="J73" s="160" t="inlineStr">
        <x:is>
          <x:t xml:space="preserve">Management creates enterprise growth while destroying per-share value through M&amp;A, dilution, leverage or mistimed buybacks.</x:t>
        </x:is>
      </x:c>
      <x:c r="K73" s="160" t="inlineStr">
        <x:is>
          <x:t xml:space="preserve">Compute systems, networking and software ecosystem monetization</x:t>
        </x:is>
      </x:c>
      <x:c r="L73" s="160" t="inlineStr">
        <x:is>
          <x:t xml:space="preserve">Owner earnings + reverse DCF</x:t>
        </x:is>
      </x:c>
      <x:c r="M73" s="160" t="inlineStr">
        <x:is>
          <x:t xml:space="preserve">WAIT / SMALL ONLY</x:t>
        </x:is>
      </x:c>
      <x:c r="N73" s="160" t="inlineStr">
        <x:is>
          <x:t xml:space="preserve">R-STEW-01</x:t>
        </x:is>
      </x:c>
      <x:c r="O73" s="160" t="inlineStr">
        <x:is>
          <x:t xml:space="preserve">BASE</x:t>
        </x:is>
      </x:c>
      <x:c r="P73" s="160" t="inlineStr">
        <x:is>
          <x:t xml:space="preserve">PARTIAL CATCH</x:t>
        </x:is>
      </x:c>
      <x:c r="Q73" s="160" t="inlineStr">
        <x:is>
          <x:t xml:space="preserve">The base refinement catches the main failure, but evidence thresholds and per-share/counterfactual details remain underspecified.</x:t>
        </x:is>
      </x:c>
      <x:c r="R73" s="160" t="inlineStr">
        <x:is>
          <x:t xml:space="preserve">Evaluate capital allocation on a per-share basis using acquisition cohorts, dilution, leverage and repurchase price discipline.</x:t>
        </x:is>
      </x:c>
      <x:c r="S73" s="160" t="inlineStr">
        <x:is>
          <x:t xml:space="preserve">NO</x:t>
        </x:is>
      </x:c>
      <x:c r="T73" s="160" t="inlineStr">
        <x:is>
          <x:t xml:space="preserve">BASE</x:t>
        </x:is>
      </x:c>
      <x:c r="U73" s="160" t="inlineStr">
        <x:is>
          <x:t xml:space="preserve">V10.5-SIM17</x:t>
        </x:is>
      </x:c>
      <x:c r="V73" s="160" t="inlineStr">
        <x:is>
          <x:t xml:space="preserve">https://investor.nvidia.com</x:t>
        </x:is>
      </x:c>
      <x:c r="W73" s="160" t="inlineStr">
        <x:is>
          <x:t xml:space="preserve">NO</x:t>
        </x:is>
      </x:c>
      <x:c r="X73" s="160" t="inlineStr">
        <x:is>
          <x:t xml:space="preserve">NONE — DEVELOPMENT ONLY</x:t>
        </x:is>
      </x:c>
      <x:c r="Y73" s="160" t="inlineStr">
        <x:is>
          <x:t xml:space="preserve">Synthetic/adversarial model-development loop. No historical outcome is claimed; no accuracy point is awarded.</x:t>
        </x:is>
      </x:c>
    </x:row>
    <x:row r="74">
      <x:c r="A74" s="160" t="inlineStr">
        <x:is>
          <x:t xml:space="preserve">ML0069</x:t>
        </x:is>
      </x:c>
      <x:c r="B74" s="160" t="inlineStr">
        <x:is>
          <x:t xml:space="preserve">ARG-005</x:t>
        </x:is>
      </x:c>
      <x:c r="C74" s="160" t="inlineStr">
        <x:is>
          <x:t xml:space="preserve">NVIDIA</x:t>
        </x:is>
      </x:c>
      <x:c r="D74" s="160" t="inlineStr">
        <x:is>
          <x:t xml:space="preserve">NVDA</x:t>
        </x:is>
      </x:c>
      <x:c r="E74" s="160" t="inlineStr">
        <x:is>
          <x:t xml:space="preserve">AI &amp; Semiconductors</x:t>
        </x:is>
      </x:c>
      <x:c r="F74" s="160" t="inlineStr">
        <x:is>
          <x:t xml:space="preserve">Development</x:t>
        </x:is>
      </x:c>
      <x:c r="G74" s="160" t="inlineStr">
        <x:is>
          <x:t xml:space="preserve">S05</x:t>
        </x:is>
      </x:c>
      <x:c r="H74" s="160" t="inlineStr">
        <x:is>
          <x:t xml:space="preserve">Survival / Funding</x:t>
        </x:is>
      </x:c>
      <x:c r="I74" s="160" t="inlineStr">
        <x:is>
          <x:t xml:space="preserve">Survival</x:t>
        </x:is>
      </x:c>
      <x:c r="J74" s="160" t="inlineStr">
        <x:is>
          <x:t xml:space="preserve">A plausible bear case exposes refinancing, liquidity, covenant, reserve, regulatory or operational fragility.</x:t>
        </x:is>
      </x:c>
      <x:c r="K74" s="160" t="inlineStr">
        <x:is>
          <x:t xml:space="preserve">Compute systems, networking and software ecosystem monetization</x:t>
        </x:is>
      </x:c>
      <x:c r="L74" s="160" t="inlineStr">
        <x:is>
          <x:t xml:space="preserve">Owner earnings + reverse DCF</x:t>
        </x:is>
      </x:c>
      <x:c r="M74" s="160" t="inlineStr">
        <x:is>
          <x:t xml:space="preserve">WAIT / SMALL ONLY</x:t>
        </x:is>
      </x:c>
      <x:c r="N74" s="160" t="inlineStr">
        <x:is>
          <x:t xml:space="preserve">R-SURV-01</x:t>
        </x:is>
      </x:c>
      <x:c r="O74" s="160" t="inlineStr">
        <x:is>
          <x:t xml:space="preserve">BASE</x:t>
        </x:is>
      </x:c>
      <x:c r="P74" s="160" t="inlineStr">
        <x:is>
          <x:t xml:space="preserve">PARTIAL CATCH</x:t>
        </x:is>
      </x:c>
      <x:c r="Q74" s="160" t="inlineStr">
        <x:is>
          <x:t xml:space="preserve">The base refinement catches the main failure, but evidence thresholds and per-share/counterfactual details remain underspecified.</x:t>
        </x:is>
      </x:c>
      <x:c r="R74" s="160" t="inlineStr">
        <x:is>
          <x:t xml:space="preserve">Run a company-specific survival bridge under a severe-but-plausible bear case before any upside underwriting.</x:t>
        </x:is>
      </x:c>
      <x:c r="S74" s="160" t="inlineStr">
        <x:is>
          <x:t xml:space="preserve">NO</x:t>
        </x:is>
      </x:c>
      <x:c r="T74" s="160" t="inlineStr">
        <x:is>
          <x:t xml:space="preserve">BASE</x:t>
        </x:is>
      </x:c>
      <x:c r="U74" s="160" t="inlineStr">
        <x:is>
          <x:t xml:space="preserve">V10.5-SIM17</x:t>
        </x:is>
      </x:c>
      <x:c r="V74" s="160" t="inlineStr">
        <x:is>
          <x:t xml:space="preserve">https://investor.nvidia.com</x:t>
        </x:is>
      </x:c>
      <x:c r="W74" s="160" t="inlineStr">
        <x:is>
          <x:t xml:space="preserve">NO</x:t>
        </x:is>
      </x:c>
      <x:c r="X74" s="160" t="inlineStr">
        <x:is>
          <x:t xml:space="preserve">NONE — DEVELOPMENT ONLY</x:t>
        </x:is>
      </x:c>
      <x:c r="Y74" s="160" t="inlineStr">
        <x:is>
          <x:t xml:space="preserve">Synthetic/adversarial model-development loop. No historical outcome is claimed; no accuracy point is awarded.</x:t>
        </x:is>
      </x:c>
    </x:row>
    <x:row r="75">
      <x:c r="A75" s="160" t="inlineStr">
        <x:is>
          <x:t xml:space="preserve">ML0070</x:t>
        </x:is>
      </x:c>
      <x:c r="B75" s="160" t="inlineStr">
        <x:is>
          <x:t xml:space="preserve">ARG-005</x:t>
        </x:is>
      </x:c>
      <x:c r="C75" s="160" t="inlineStr">
        <x:is>
          <x:t xml:space="preserve">NVIDIA</x:t>
        </x:is>
      </x:c>
      <x:c r="D75" s="160" t="inlineStr">
        <x:is>
          <x:t xml:space="preserve">NVDA</x:t>
        </x:is>
      </x:c>
      <x:c r="E75" s="160" t="inlineStr">
        <x:is>
          <x:t xml:space="preserve">AI &amp; Semiconductors</x:t>
        </x:is>
      </x:c>
      <x:c r="F75" s="160" t="inlineStr">
        <x:is>
          <x:t xml:space="preserve">Development</x:t>
        </x:is>
      </x:c>
      <x:c r="G75" s="160" t="inlineStr">
        <x:is>
          <x:t xml:space="preserve">S06</x:t>
        </x:is>
      </x:c>
      <x:c r="H75" s="160" t="inlineStr">
        <x:is>
          <x:t xml:space="preserve">Margin of Safety</x:t>
        </x:is>
      </x:c>
      <x:c r="I75" s="160" t="inlineStr">
        <x:is>
          <x:t xml:space="preserve">Margin of Safety</x:t>
        </x:is>
      </x:c>
      <x:c r="J75" s="160" t="inlineStr">
        <x:is>
          <x:t xml:space="preserve">Business quality is high but the price embeds a fragile bull case.</x:t>
        </x:is>
      </x:c>
      <x:c r="K75" s="160" t="inlineStr">
        <x:is>
          <x:t xml:space="preserve">Compute systems, networking and software ecosystem monetization</x:t>
        </x:is>
      </x:c>
      <x:c r="L75" s="160" t="inlineStr">
        <x:is>
          <x:t xml:space="preserve">Owner earnings + reverse DCF</x:t>
        </x:is>
      </x:c>
      <x:c r="M75" s="160" t="inlineStr">
        <x:is>
          <x:t xml:space="preserve">WAIT / SMALL ONLY</x:t>
        </x:is>
      </x:c>
      <x:c r="N75" s="160" t="inlineStr">
        <x:is>
          <x:t xml:space="preserve">R-MOS-01</x:t>
        </x:is>
      </x:c>
      <x:c r="O75" s="160" t="inlineStr">
        <x:is>
          <x:t xml:space="preserve">BASE</x:t>
        </x:is>
      </x:c>
      <x:c r="P75" s="160" t="inlineStr">
        <x:is>
          <x:t xml:space="preserve">PARTIAL CATCH</x:t>
        </x:is>
      </x:c>
      <x:c r="Q75" s="160" t="inlineStr">
        <x:is>
          <x:t xml:space="preserve">The base refinement catches the main failure, but evidence thresholds and per-share/counterfactual details remain underspecified.</x:t>
        </x:is>
      </x:c>
      <x:c r="R75" s="160" t="inlineStr">
        <x:is>
          <x:t xml:space="preserve">Separate business-quality score from price decision; require reverse valuation and bear/base/bull IV ranges.</x:t>
        </x:is>
      </x:c>
      <x:c r="S75" s="160" t="inlineStr">
        <x:is>
          <x:t xml:space="preserve">NO</x:t>
        </x:is>
      </x:c>
      <x:c r="T75" s="160" t="inlineStr">
        <x:is>
          <x:t xml:space="preserve">BASE</x:t>
        </x:is>
      </x:c>
      <x:c r="U75" s="160" t="inlineStr">
        <x:is>
          <x:t xml:space="preserve">V10.5-SIM17</x:t>
        </x:is>
      </x:c>
      <x:c r="V75" s="160" t="inlineStr">
        <x:is>
          <x:t xml:space="preserve">https://investor.nvidia.com</x:t>
        </x:is>
      </x:c>
      <x:c r="W75" s="160" t="inlineStr">
        <x:is>
          <x:t xml:space="preserve">NO</x:t>
        </x:is>
      </x:c>
      <x:c r="X75" s="160" t="inlineStr">
        <x:is>
          <x:t xml:space="preserve">NONE — DEVELOPMENT ONLY</x:t>
        </x:is>
      </x:c>
      <x:c r="Y75" s="160" t="inlineStr">
        <x:is>
          <x:t xml:space="preserve">Synthetic/adversarial model-development loop. No historical outcome is claimed; no accuracy point is awarded.</x:t>
        </x:is>
      </x:c>
    </x:row>
    <x:row r="76">
      <x:c r="A76" s="160" t="inlineStr">
        <x:is>
          <x:t xml:space="preserve">ML0071</x:t>
        </x:is>
      </x:c>
      <x:c r="B76" s="160" t="inlineStr">
        <x:is>
          <x:t xml:space="preserve">ARG-005</x:t>
        </x:is>
      </x:c>
      <x:c r="C76" s="160" t="inlineStr">
        <x:is>
          <x:t xml:space="preserve">NVIDIA</x:t>
        </x:is>
      </x:c>
      <x:c r="D76" s="160" t="inlineStr">
        <x:is>
          <x:t xml:space="preserve">NVDA</x:t>
        </x:is>
      </x:c>
      <x:c r="E76" s="160" t="inlineStr">
        <x:is>
          <x:t xml:space="preserve">AI &amp; Semiconductors</x:t>
        </x:is>
      </x:c>
      <x:c r="F76" s="160" t="inlineStr">
        <x:is>
          <x:t xml:space="preserve">Development</x:t>
        </x:is>
      </x:c>
      <x:c r="G76" s="160" t="inlineStr">
        <x:is>
          <x:t xml:space="preserve">S07</x:t>
        </x:is>
      </x:c>
      <x:c r="H76" s="160" t="inlineStr">
        <x:is>
          <x:t xml:space="preserve">Sector Shock</x:t>
        </x:is>
      </x:c>
      <x:c r="I76" s="160" t="inlineStr">
        <x:is>
          <x:t xml:space="preserve">Sector-specific</x:t>
        </x:is>
      </x:c>
      <x:c r="J76" s="160" t="inlineStr">
        <x:is>
          <x:t xml:space="preserve">AI demand remains strong but capex intensity, customer concentration, inventory/cycle risk or export/geopolitical constraints hit normalized returns.</x:t>
        </x:is>
      </x:c>
      <x:c r="K76" s="160" t="inlineStr">
        <x:is>
          <x:t xml:space="preserve">Compute systems, networking and software ecosystem monetization</x:t>
        </x:is>
      </x:c>
      <x:c r="L76" s="160" t="inlineStr">
        <x:is>
          <x:t xml:space="preserve">Owner earnings + reverse DCF</x:t>
        </x:is>
      </x:c>
      <x:c r="M76" s="160" t="inlineStr">
        <x:is>
          <x:t xml:space="preserve">WAIT / SMALL ONLY</x:t>
        </x:is>
      </x:c>
      <x:c r="N76" s="160" t="inlineStr">
        <x:is>
          <x:t xml:space="preserve">R-SECTOR-AI-SEMICONDUCTORS</x:t>
        </x:is>
      </x:c>
      <x:c r="O76" s="160" t="inlineStr">
        <x:is>
          <x:t xml:space="preserve">UNFORMED</x:t>
        </x:is>
      </x:c>
      <x:c r="P76" s="160" t="inlineStr">
        <x:is>
          <x:t xml:space="preserve">WEAKNESS EXPOSED</x:t>
        </x:is>
      </x:c>
      <x:c r="Q76" s="160" t="inlineStr">
        <x:is>
          <x:t xml:space="preserve">The frozen V10 gate family is directionally right, but the test lacks a sufficiently explicit mechanical implementation.</x:t>
        </x:is>
      </x:c>
      <x:c r="R76"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76" s="160" t="inlineStr">
        <x:is>
          <x:t xml:space="preserve">NO</x:t>
        </x:is>
      </x:c>
      <x:c r="T76" s="160" t="inlineStr">
        <x:is>
          <x:t xml:space="preserve">UNFORMED</x:t>
        </x:is>
      </x:c>
      <x:c r="U76" s="160" t="inlineStr">
        <x:is>
          <x:t xml:space="preserve">V10.5-SIM17</x:t>
        </x:is>
      </x:c>
      <x:c r="V76" s="160" t="inlineStr">
        <x:is>
          <x:t xml:space="preserve">https://investor.nvidia.com</x:t>
        </x:is>
      </x:c>
      <x:c r="W76" s="160" t="inlineStr">
        <x:is>
          <x:t xml:space="preserve">NO</x:t>
        </x:is>
      </x:c>
      <x:c r="X76" s="160" t="inlineStr">
        <x:is>
          <x:t xml:space="preserve">NONE — DEVELOPMENT ONLY</x:t>
        </x:is>
      </x:c>
      <x:c r="Y76" s="160" t="inlineStr">
        <x:is>
          <x:t xml:space="preserve">Synthetic/adversarial model-development loop. No historical outcome is claimed; no accuracy point is awarded.</x:t>
        </x:is>
      </x:c>
    </x:row>
    <x:row r="77">
      <x:c r="A77" s="160" t="inlineStr">
        <x:is>
          <x:t xml:space="preserve">ML0072</x:t>
        </x:is>
      </x:c>
      <x:c r="B77" s="160" t="inlineStr">
        <x:is>
          <x:t xml:space="preserve">ARG-005</x:t>
        </x:is>
      </x:c>
      <x:c r="C77" s="160" t="inlineStr">
        <x:is>
          <x:t xml:space="preserve">NVIDIA</x:t>
        </x:is>
      </x:c>
      <x:c r="D77" s="160" t="inlineStr">
        <x:is>
          <x:t xml:space="preserve">NVDA</x:t>
        </x:is>
      </x:c>
      <x:c r="E77" s="160" t="inlineStr">
        <x:is>
          <x:t xml:space="preserve">AI &amp; Semiconductors</x:t>
        </x:is>
      </x:c>
      <x:c r="F77" s="160" t="inlineStr">
        <x:is>
          <x:t xml:space="preserve">Development</x:t>
        </x:is>
      </x:c>
      <x:c r="G77" s="160" t="inlineStr">
        <x:is>
          <x:t xml:space="preserve">S08</x:t>
        </x:is>
      </x:c>
      <x:c r="H77" s="160" t="inlineStr">
        <x:is>
          <x:t xml:space="preserve">Management Promise Reliability</x:t>
        </x:is>
      </x:c>
      <x:c r="I77" s="160" t="inlineStr">
        <x:is>
          <x:t xml:space="preserve">Management over-trust</x:t>
        </x:is>
      </x:c>
      <x:c r="J77" s="160" t="inlineStr">
        <x:is>
          <x:t xml:space="preserve">Guidance or strategic promises are repeated but the model lacks a contemporaneous reliability score.</x:t>
        </x:is>
      </x:c>
      <x:c r="K77" s="160" t="inlineStr">
        <x:is>
          <x:t xml:space="preserve">Compute systems, networking and software ecosystem monetization</x:t>
        </x:is>
      </x:c>
      <x:c r="L77" s="160" t="inlineStr">
        <x:is>
          <x:t xml:space="preserve">Owner earnings + reverse DCF</x:t>
        </x:is>
      </x:c>
      <x:c r="M77" s="160" t="inlineStr">
        <x:is>
          <x:t xml:space="preserve">WAIT / SMALL ONLY</x:t>
        </x:is>
      </x:c>
      <x:c r="N77" s="160" t="inlineStr">
        <x:is>
          <x:t xml:space="preserve">R-PROM-01</x:t>
        </x:is>
      </x:c>
      <x:c r="O77" s="160" t="inlineStr">
        <x:is>
          <x:t xml:space="preserve">BASE</x:t>
        </x:is>
      </x:c>
      <x:c r="P77" s="160" t="inlineStr">
        <x:is>
          <x:t xml:space="preserve">PARTIAL CATCH</x:t>
        </x:is>
      </x:c>
      <x:c r="Q77" s="160" t="inlineStr">
        <x:is>
          <x:t xml:space="preserve">The base refinement catches the main failure, but evidence thresholds and per-share/counterfactual details remain underspecified.</x:t>
        </x:is>
      </x:c>
      <x:c r="R77" s="160" t="inlineStr">
        <x:is>
          <x:t xml:space="preserve">Use a promises ledger with dated promise, measurable deliverable, due date, outcome and credibility weight.</x:t>
        </x:is>
      </x:c>
      <x:c r="S77" s="160" t="inlineStr">
        <x:is>
          <x:t xml:space="preserve">NO</x:t>
        </x:is>
      </x:c>
      <x:c r="T77" s="160" t="inlineStr">
        <x:is>
          <x:t xml:space="preserve">BASE</x:t>
        </x:is>
      </x:c>
      <x:c r="U77" s="160" t="inlineStr">
        <x:is>
          <x:t xml:space="preserve">V10.5-SIM17</x:t>
        </x:is>
      </x:c>
      <x:c r="V77" s="160" t="inlineStr">
        <x:is>
          <x:t xml:space="preserve">https://investor.nvidia.com</x:t>
        </x:is>
      </x:c>
      <x:c r="W77" s="160" t="inlineStr">
        <x:is>
          <x:t xml:space="preserve">NO</x:t>
        </x:is>
      </x:c>
      <x:c r="X77" s="160" t="inlineStr">
        <x:is>
          <x:t xml:space="preserve">NONE — DEVELOPMENT ONLY</x:t>
        </x:is>
      </x:c>
      <x:c r="Y77" s="160" t="inlineStr">
        <x:is>
          <x:t xml:space="preserve">Synthetic/adversarial model-development loop. No historical outcome is claimed; no accuracy point is awarded.</x:t>
        </x:is>
      </x:c>
    </x:row>
    <x:row r="78">
      <x:c r="A78" s="160" t="inlineStr">
        <x:is>
          <x:t xml:space="preserve">ML0073</x:t>
        </x:is>
      </x:c>
      <x:c r="B78" s="160" t="inlineStr">
        <x:is>
          <x:t xml:space="preserve">ARG-005</x:t>
        </x:is>
      </x:c>
      <x:c r="C78" s="160" t="inlineStr">
        <x:is>
          <x:t xml:space="preserve">NVIDIA</x:t>
        </x:is>
      </x:c>
      <x:c r="D78" s="160" t="inlineStr">
        <x:is>
          <x:t xml:space="preserve">NVDA</x:t>
        </x:is>
      </x:c>
      <x:c r="E78" s="160" t="inlineStr">
        <x:is>
          <x:t xml:space="preserve">AI &amp; Semiconductors</x:t>
        </x:is>
      </x:c>
      <x:c r="F78" s="160" t="inlineStr">
        <x:is>
          <x:t xml:space="preserve">Development</x:t>
        </x:is>
      </x:c>
      <x:c r="G78" s="160" t="inlineStr">
        <x:is>
          <x:t xml:space="preserve">S09</x:t>
        </x:is>
      </x:c>
      <x:c r="H78" s="160" t="inlineStr">
        <x:is>
          <x:t xml:space="preserve">Data / Accounting Quality</x:t>
        </x:is>
      </x:c>
      <x:c r="I78" s="160" t="inlineStr">
        <x:is>
          <x:t xml:space="preserve">Data quality</x:t>
        </x:is>
      </x:c>
      <x:c r="J78" s="160" t="inlineStr">
        <x:is>
          <x:t xml:space="preserve">Restatement, segment reclassification, one-time item or non-economic fair-value movement distorts the apparent trend.</x:t>
        </x:is>
      </x:c>
      <x:c r="K78" s="160" t="inlineStr">
        <x:is>
          <x:t xml:space="preserve">Compute systems, networking and software ecosystem monetization</x:t>
        </x:is>
      </x:c>
      <x:c r="L78" s="160" t="inlineStr">
        <x:is>
          <x:t xml:space="preserve">Owner earnings + reverse DCF</x:t>
        </x:is>
      </x:c>
      <x:c r="M78" s="160" t="inlineStr">
        <x:is>
          <x:t xml:space="preserve">WAIT / SMALL ONLY</x:t>
        </x:is>
      </x:c>
      <x:c r="N78" s="160" t="inlineStr">
        <x:is>
          <x:t xml:space="preserve">R-DATA-01</x:t>
        </x:is>
      </x:c>
      <x:c r="O78" s="160" t="inlineStr">
        <x:is>
          <x:t xml:space="preserve">BASE</x:t>
        </x:is>
      </x:c>
      <x:c r="P78" s="160" t="inlineStr">
        <x:is>
          <x:t xml:space="preserve">PARTIAL CATCH</x:t>
        </x:is>
      </x:c>
      <x:c r="Q78" s="160" t="inlineStr">
        <x:is>
          <x:t xml:space="preserve">The base refinement catches the main failure, but evidence thresholds and per-share/counterfactual details remain underspecified.</x:t>
        </x:is>
      </x:c>
      <x:c r="R78" s="160" t="inlineStr">
        <x:is>
          <x:t xml:space="preserve">Add a reporting-quality bridge and normalize accounting noise before any gate can pass.</x:t>
        </x:is>
      </x:c>
      <x:c r="S78" s="160" t="inlineStr">
        <x:is>
          <x:t xml:space="preserve">NO</x:t>
        </x:is>
      </x:c>
      <x:c r="T78" s="160" t="inlineStr">
        <x:is>
          <x:t xml:space="preserve">BASE</x:t>
        </x:is>
      </x:c>
      <x:c r="U78" s="160" t="inlineStr">
        <x:is>
          <x:t xml:space="preserve">V10.5-SIM17</x:t>
        </x:is>
      </x:c>
      <x:c r="V78" s="160" t="inlineStr">
        <x:is>
          <x:t xml:space="preserve">https://investor.nvidia.com</x:t>
        </x:is>
      </x:c>
      <x:c r="W78" s="160" t="inlineStr">
        <x:is>
          <x:t xml:space="preserve">NO</x:t>
        </x:is>
      </x:c>
      <x:c r="X78" s="160" t="inlineStr">
        <x:is>
          <x:t xml:space="preserve">NONE — DEVELOPMENT ONLY</x:t>
        </x:is>
      </x:c>
      <x:c r="Y78" s="160" t="inlineStr">
        <x:is>
          <x:t xml:space="preserve">Synthetic/adversarial model-development loop. No historical outcome is claimed; no accuracy point is awarded.</x:t>
        </x:is>
      </x:c>
    </x:row>
    <x:row r="79">
      <x:c r="A79" s="160" t="inlineStr">
        <x:is>
          <x:t xml:space="preserve">ML0074</x:t>
        </x:is>
      </x:c>
      <x:c r="B79" s="160" t="inlineStr">
        <x:is>
          <x:t xml:space="preserve">ARG-005</x:t>
        </x:is>
      </x:c>
      <x:c r="C79" s="160" t="inlineStr">
        <x:is>
          <x:t xml:space="preserve">NVIDIA</x:t>
        </x:is>
      </x:c>
      <x:c r="D79" s="160" t="inlineStr">
        <x:is>
          <x:t xml:space="preserve">NVDA</x:t>
        </x:is>
      </x:c>
      <x:c r="E79" s="160" t="inlineStr">
        <x:is>
          <x:t xml:space="preserve">AI &amp; Semiconductors</x:t>
        </x:is>
      </x:c>
      <x:c r="F79" s="160" t="inlineStr">
        <x:is>
          <x:t xml:space="preserve">Development</x:t>
        </x:is>
      </x:c>
      <x:c r="G79" s="160" t="inlineStr">
        <x:is>
          <x:t xml:space="preserve">S10</x:t>
        </x:is>
      </x:c>
      <x:c r="H79" s="160" t="inlineStr">
        <x:is>
          <x:t xml:space="preserve">Control / Counterfactual</x:t>
        </x:is>
      </x:c>
      <x:c r="I79" s="160" t="inlineStr">
        <x:is>
          <x:t xml:space="preserve">Sector beta vs company alpha</x:t>
        </x:is>
      </x:c>
      <x:c r="J79" s="160" t="inlineStr">
        <x:is>
          <x:t xml:space="preserve">A positive outcome is mostly sector beta or macro tailwind, not company-specific alpha.</x:t>
        </x:is>
      </x:c>
      <x:c r="K79" s="160" t="inlineStr">
        <x:is>
          <x:t xml:space="preserve">Compute systems, networking and software ecosystem monetization</x:t>
        </x:is>
      </x:c>
      <x:c r="L79" s="160" t="inlineStr">
        <x:is>
          <x:t xml:space="preserve">Owner earnings + reverse DCF</x:t>
        </x:is>
      </x:c>
      <x:c r="M79" s="160" t="inlineStr">
        <x:is>
          <x:t xml:space="preserve">WAIT / SMALL ONLY</x:t>
        </x:is>
      </x:c>
      <x:c r="N79" s="160" t="inlineStr">
        <x:is>
          <x:t xml:space="preserve">R-CF-01</x:t>
        </x:is>
      </x:c>
      <x:c r="O79" s="160" t="inlineStr">
        <x:is>
          <x:t xml:space="preserve">BASE</x:t>
        </x:is>
      </x:c>
      <x:c r="P79" s="160" t="inlineStr">
        <x:is>
          <x:t xml:space="preserve">PARTIAL CATCH</x:t>
        </x:is>
      </x:c>
      <x:c r="Q79" s="160" t="inlineStr">
        <x:is>
          <x:t xml:space="preserve">The base refinement catches the main failure, but evidence thresholds and per-share/counterfactual details remain underspecified.</x:t>
        </x:is>
      </x:c>
      <x:c r="R79" s="160" t="inlineStr">
        <x:is>
          <x:t xml:space="preserve">Require a true economic control and counterfactual: what should have happened to a comparable company under the same shock?</x:t>
        </x:is>
      </x:c>
      <x:c r="S79" s="160" t="inlineStr">
        <x:is>
          <x:t xml:space="preserve">NO</x:t>
        </x:is>
      </x:c>
      <x:c r="T79" s="160" t="inlineStr">
        <x:is>
          <x:t xml:space="preserve">BASE</x:t>
        </x:is>
      </x:c>
      <x:c r="U79" s="160" t="inlineStr">
        <x:is>
          <x:t xml:space="preserve">V10.5-SIM17</x:t>
        </x:is>
      </x:c>
      <x:c r="V79" s="160" t="inlineStr">
        <x:is>
          <x:t xml:space="preserve">https://investor.nvidia.com</x:t>
        </x:is>
      </x:c>
      <x:c r="W79" s="160" t="inlineStr">
        <x:is>
          <x:t xml:space="preserve">NO</x:t>
        </x:is>
      </x:c>
      <x:c r="X79" s="160" t="inlineStr">
        <x:is>
          <x:t xml:space="preserve">NONE — DEVELOPMENT ONLY</x:t>
        </x:is>
      </x:c>
      <x:c r="Y79" s="160" t="inlineStr">
        <x:is>
          <x:t xml:space="preserve">Synthetic/adversarial model-development loop. No historical outcome is claimed; no accuracy point is awarded.</x:t>
        </x:is>
      </x:c>
    </x:row>
    <x:row r="80">
      <x:c r="A80" s="160" t="inlineStr">
        <x:is>
          <x:t xml:space="preserve">ML0075</x:t>
        </x:is>
      </x:c>
      <x:c r="B80" s="160" t="inlineStr">
        <x:is>
          <x:t xml:space="preserve">ARG-005</x:t>
        </x:is>
      </x:c>
      <x:c r="C80" s="160" t="inlineStr">
        <x:is>
          <x:t xml:space="preserve">NVIDIA</x:t>
        </x:is>
      </x:c>
      <x:c r="D80" s="160" t="inlineStr">
        <x:is>
          <x:t xml:space="preserve">NVDA</x:t>
        </x:is>
      </x:c>
      <x:c r="E80" s="160" t="inlineStr">
        <x:is>
          <x:t xml:space="preserve">AI &amp; Semiconductors</x:t>
        </x:is>
      </x:c>
      <x:c r="F80" s="160" t="inlineStr">
        <x:is>
          <x:t xml:space="preserve">Development</x:t>
        </x:is>
      </x:c>
      <x:c r="G80" s="160" t="inlineStr">
        <x:is>
          <x:t xml:space="preserve">S11</x:t>
        </x:is>
      </x:c>
      <x:c r="H80" s="160" t="inlineStr">
        <x:is>
          <x:t xml:space="preserve">False-Negative Discipline</x:t>
        </x:is>
      </x:c>
      <x:c r="I80" s="160" t="inlineStr">
        <x:is>
          <x:t xml:space="preserve">False negative</x:t>
        </x:is>
      </x:c>
      <x:c r="J80" s="160" t="inlineStr">
        <x:is>
          <x:t xml:space="preserve">A strict gate rejects a company that later compounds strongly for reasons the model could have known.</x:t>
        </x:is>
      </x:c>
      <x:c r="K80" s="160" t="inlineStr">
        <x:is>
          <x:t xml:space="preserve">Compute systems, networking and software ecosystem monetization</x:t>
        </x:is>
      </x:c>
      <x:c r="L80" s="160" t="inlineStr">
        <x:is>
          <x:t xml:space="preserve">Owner earnings + reverse DCF</x:t>
        </x:is>
      </x:c>
      <x:c r="M80" s="160" t="inlineStr">
        <x:is>
          <x:t xml:space="preserve">WAIT / SMALL ONLY</x:t>
        </x:is>
      </x:c>
      <x:c r="N80" s="160" t="inlineStr">
        <x:is>
          <x:t xml:space="preserve">R-FN-01</x:t>
        </x:is>
      </x:c>
      <x:c r="O80" s="160" t="inlineStr">
        <x:is>
          <x:t xml:space="preserve">BASE</x:t>
        </x:is>
      </x:c>
      <x:c r="P80" s="160" t="inlineStr">
        <x:is>
          <x:t xml:space="preserve">PARTIAL CATCH</x:t>
        </x:is>
      </x:c>
      <x:c r="Q80" s="160" t="inlineStr">
        <x:is>
          <x:t xml:space="preserve">The base refinement catches the main failure, but evidence thresholds and per-share/counterfactual details remain underspecified.</x:t>
        </x:is>
      </x:c>
      <x:c r="R80" s="160" t="inlineStr">
        <x:is>
          <x:t xml:space="preserve">Track opportunity cost and classify whether the miss came from evidence timing, wrong threshold or genuinely unknowable upside.</x:t>
        </x:is>
      </x:c>
      <x:c r="S80" s="160" t="inlineStr">
        <x:is>
          <x:t xml:space="preserve">NO</x:t>
        </x:is>
      </x:c>
      <x:c r="T80" s="160" t="inlineStr">
        <x:is>
          <x:t xml:space="preserve">BASE</x:t>
        </x:is>
      </x:c>
      <x:c r="U80" s="160" t="inlineStr">
        <x:is>
          <x:t xml:space="preserve">V10.5-SIM17</x:t>
        </x:is>
      </x:c>
      <x:c r="V80" s="160" t="inlineStr">
        <x:is>
          <x:t xml:space="preserve">https://investor.nvidia.com</x:t>
        </x:is>
      </x:c>
      <x:c r="W80" s="160" t="inlineStr">
        <x:is>
          <x:t xml:space="preserve">NO</x:t>
        </x:is>
      </x:c>
      <x:c r="X80" s="160" t="inlineStr">
        <x:is>
          <x:t xml:space="preserve">NONE — DEVELOPMENT ONLY</x:t>
        </x:is>
      </x:c>
      <x:c r="Y80" s="160" t="inlineStr">
        <x:is>
          <x:t xml:space="preserve">Synthetic/adversarial model-development loop. No historical outcome is claimed; no accuracy point is awarded.</x:t>
        </x:is>
      </x:c>
    </x:row>
    <x:row r="81">
      <x:c r="A81" s="160" t="inlineStr">
        <x:is>
          <x:t xml:space="preserve">ML0076</x:t>
        </x:is>
      </x:c>
      <x:c r="B81" s="160" t="inlineStr">
        <x:is>
          <x:t xml:space="preserve">ARG-005</x:t>
        </x:is>
      </x:c>
      <x:c r="C81" s="160" t="inlineStr">
        <x:is>
          <x:t xml:space="preserve">NVIDIA</x:t>
        </x:is>
      </x:c>
      <x:c r="D81" s="160" t="inlineStr">
        <x:is>
          <x:t xml:space="preserve">NVDA</x:t>
        </x:is>
      </x:c>
      <x:c r="E81" s="160" t="inlineStr">
        <x:is>
          <x:t xml:space="preserve">AI &amp; Semiconductors</x:t>
        </x:is>
      </x:c>
      <x:c r="F81" s="160" t="inlineStr">
        <x:is>
          <x:t xml:space="preserve">Development</x:t>
        </x:is>
      </x:c>
      <x:c r="G81" s="160" t="inlineStr">
        <x:is>
          <x:t xml:space="preserve">S12</x:t>
        </x:is>
      </x:c>
      <x:c r="H81" s="160" t="inlineStr">
        <x:is>
          <x:t xml:space="preserve">Lead-Time / Early Sensor</x:t>
        </x:is>
      </x:c>
      <x:c r="I81" s="160" t="inlineStr">
        <x:is>
          <x:t xml:space="preserve">Timing / lead-time</x:t>
        </x:is>
      </x:c>
      <x:c r="J81" s="160" t="inlineStr">
        <x:is>
          <x:t xml:space="preserve">ARGUS identifies the change correctly but only after consensus and price have already reacted.</x:t>
        </x:is>
      </x:c>
      <x:c r="K81" s="160" t="inlineStr">
        <x:is>
          <x:t xml:space="preserve">Compute systems, networking and software ecosystem monetization</x:t>
        </x:is>
      </x:c>
      <x:c r="L81" s="160" t="inlineStr">
        <x:is>
          <x:t xml:space="preserve">Owner earnings + reverse DCF</x:t>
        </x:is>
      </x:c>
      <x:c r="M81" s="160" t="inlineStr">
        <x:is>
          <x:t xml:space="preserve">WAIT / SMALL ONLY</x:t>
        </x:is>
      </x:c>
      <x:c r="N81" s="160" t="inlineStr">
        <x:is>
          <x:t xml:space="preserve">R-TIME-01</x:t>
        </x:is>
      </x:c>
      <x:c r="O81" s="160" t="inlineStr">
        <x:is>
          <x:t xml:space="preserve">BASE</x:t>
        </x:is>
      </x:c>
      <x:c r="P81" s="160" t="inlineStr">
        <x:is>
          <x:t xml:space="preserve">PARTIAL CATCH</x:t>
        </x:is>
      </x:c>
      <x:c r="Q81" s="160" t="inlineStr">
        <x:is>
          <x:t xml:space="preserve">The base refinement catches the main failure, but evidence thresholds and per-share/counterfactual details remain underspecified.</x:t>
        </x:is>
      </x:c>
      <x:c r="R81" s="160" t="inlineStr">
        <x:is>
          <x:t xml:space="preserve">Replace lagging financial metrics with earlier causal operating sensors and record lead time separately from correctness.</x:t>
        </x:is>
      </x:c>
      <x:c r="S81" s="160" t="inlineStr">
        <x:is>
          <x:t xml:space="preserve">NO</x:t>
        </x:is>
      </x:c>
      <x:c r="T81" s="160" t="inlineStr">
        <x:is>
          <x:t xml:space="preserve">BASE</x:t>
        </x:is>
      </x:c>
      <x:c r="U81" s="160" t="inlineStr">
        <x:is>
          <x:t xml:space="preserve">V10.5-SIM17</x:t>
        </x:is>
      </x:c>
      <x:c r="V81" s="160" t="inlineStr">
        <x:is>
          <x:t xml:space="preserve">https://investor.nvidia.com</x:t>
        </x:is>
      </x:c>
      <x:c r="W81" s="160" t="inlineStr">
        <x:is>
          <x:t xml:space="preserve">NO</x:t>
        </x:is>
      </x:c>
      <x:c r="X81" s="160" t="inlineStr">
        <x:is>
          <x:t xml:space="preserve">NONE — DEVELOPMENT ONLY</x:t>
        </x:is>
      </x:c>
      <x:c r="Y81" s="160" t="inlineStr">
        <x:is>
          <x:t xml:space="preserve">Synthetic/adversarial model-development loop. No historical outcome is claimed; no accuracy point is awarded.</x:t>
        </x:is>
      </x:c>
    </x:row>
    <x:row r="82">
      <x:c r="A82" s="160" t="inlineStr">
        <x:is>
          <x:t xml:space="preserve">ML0077</x:t>
        </x:is>
      </x:c>
      <x:c r="B82" s="160" t="inlineStr">
        <x:is>
          <x:t xml:space="preserve">ARG-005</x:t>
        </x:is>
      </x:c>
      <x:c r="C82" s="160" t="inlineStr">
        <x:is>
          <x:t xml:space="preserve">NVIDIA</x:t>
        </x:is>
      </x:c>
      <x:c r="D82" s="160" t="inlineStr">
        <x:is>
          <x:t xml:space="preserve">NVDA</x:t>
        </x:is>
      </x:c>
      <x:c r="E82" s="160" t="inlineStr">
        <x:is>
          <x:t xml:space="preserve">AI &amp; Semiconductors</x:t>
        </x:is>
      </x:c>
      <x:c r="F82" s="160" t="inlineStr">
        <x:is>
          <x:t xml:space="preserve">Development</x:t>
        </x:is>
      </x:c>
      <x:c r="G82" s="160" t="inlineStr">
        <x:is>
          <x:t xml:space="preserve">S13</x:t>
        </x:is>
      </x:c>
      <x:c r="H82" s="160" t="inlineStr">
        <x:is>
          <x:t xml:space="preserve">Cycle Normalization</x:t>
        </x:is>
      </x:c>
      <x:c r="I82" s="160" t="inlineStr">
        <x:is>
          <x:t xml:space="preserve">Wrong valuation lens</x:t>
        </x:is>
      </x:c>
      <x:c r="J82" s="160" t="inlineStr">
        <x:is>
          <x:t xml:space="preserve">Peak/trough earnings are mistaken for normalized earning power.</x:t>
        </x:is>
      </x:c>
      <x:c r="K82" s="160" t="inlineStr">
        <x:is>
          <x:t xml:space="preserve">Compute systems, networking and software ecosystem monetization</x:t>
        </x:is>
      </x:c>
      <x:c r="L82" s="160" t="inlineStr">
        <x:is>
          <x:t xml:space="preserve">Owner earnings + reverse DCF</x:t>
        </x:is>
      </x:c>
      <x:c r="M82" s="160" t="inlineStr">
        <x:is>
          <x:t xml:space="preserve">WAIT / SMALL ONLY</x:t>
        </x:is>
      </x:c>
      <x:c r="N82" s="160" t="inlineStr">
        <x:is>
          <x:t xml:space="preserve">R-CYCLE-01</x:t>
        </x:is>
      </x:c>
      <x:c r="O82" s="160" t="inlineStr">
        <x:is>
          <x:t xml:space="preserve">BASE</x:t>
        </x:is>
      </x:c>
      <x:c r="P82" s="160" t="inlineStr">
        <x:is>
          <x:t xml:space="preserve">PARTIAL CATCH</x:t>
        </x:is>
      </x:c>
      <x:c r="Q82" s="160" t="inlineStr">
        <x:is>
          <x:t xml:space="preserve">The base refinement catches the main failure, but evidence thresholds and per-share/counterfactual details remain underspecified.</x:t>
        </x:is>
      </x:c>
      <x:c r="R82" s="160" t="inlineStr">
        <x:is>
          <x:t xml:space="preserve">Use sector-specific mid-cycle/NAV/rate-base/rNPV normalization before applying a valuation multiple.</x:t>
        </x:is>
      </x:c>
      <x:c r="S82" s="160" t="inlineStr">
        <x:is>
          <x:t xml:space="preserve">NO</x:t>
        </x:is>
      </x:c>
      <x:c r="T82" s="160" t="inlineStr">
        <x:is>
          <x:t xml:space="preserve">BASE</x:t>
        </x:is>
      </x:c>
      <x:c r="U82" s="160" t="inlineStr">
        <x:is>
          <x:t xml:space="preserve">V10.5-SIM17</x:t>
        </x:is>
      </x:c>
      <x:c r="V82" s="160" t="inlineStr">
        <x:is>
          <x:t xml:space="preserve">https://investor.nvidia.com</x:t>
        </x:is>
      </x:c>
      <x:c r="W82" s="160" t="inlineStr">
        <x:is>
          <x:t xml:space="preserve">NO</x:t>
        </x:is>
      </x:c>
      <x:c r="X82" s="160" t="inlineStr">
        <x:is>
          <x:t xml:space="preserve">NONE — DEVELOPMENT ONLY</x:t>
        </x:is>
      </x:c>
      <x:c r="Y82" s="160" t="inlineStr">
        <x:is>
          <x:t xml:space="preserve">Synthetic/adversarial model-development loop. No historical outcome is claimed; no accuracy point is awarded.</x:t>
        </x:is>
      </x:c>
    </x:row>
    <x:row r="83">
      <x:c r="A83" s="160" t="inlineStr">
        <x:is>
          <x:t xml:space="preserve">ML0078</x:t>
        </x:is>
      </x:c>
      <x:c r="B83" s="160" t="inlineStr">
        <x:is>
          <x:t xml:space="preserve">ARG-005</x:t>
        </x:is>
      </x:c>
      <x:c r="C83" s="160" t="inlineStr">
        <x:is>
          <x:t xml:space="preserve">NVIDIA</x:t>
        </x:is>
      </x:c>
      <x:c r="D83" s="160" t="inlineStr">
        <x:is>
          <x:t xml:space="preserve">NVDA</x:t>
        </x:is>
      </x:c>
      <x:c r="E83" s="160" t="inlineStr">
        <x:is>
          <x:t xml:space="preserve">AI &amp; Semiconductors</x:t>
        </x:is>
      </x:c>
      <x:c r="F83" s="160" t="inlineStr">
        <x:is>
          <x:t xml:space="preserve">Development</x:t>
        </x:is>
      </x:c>
      <x:c r="G83" s="160" t="inlineStr">
        <x:is>
          <x:t xml:space="preserve">S14</x:t>
        </x:is>
      </x:c>
      <x:c r="H83" s="160" t="inlineStr">
        <x:is>
          <x:t xml:space="preserve">M&amp;A / Organic Growth Separation</x:t>
        </x:is>
      </x:c>
      <x:c r="I83" s="160" t="inlineStr">
        <x:is>
          <x:t xml:space="preserve">Stewardship</x:t>
        </x:is>
      </x:c>
      <x:c r="J83" s="160" t="inlineStr">
        <x:is>
          <x:t xml:space="preserve">Acquisition-driven growth masks weak organic economics or poor incremental ROIC.</x:t>
        </x:is>
      </x:c>
      <x:c r="K83" s="160" t="inlineStr">
        <x:is>
          <x:t xml:space="preserve">Compute systems, networking and software ecosystem monetization</x:t>
        </x:is>
      </x:c>
      <x:c r="L83" s="160" t="inlineStr">
        <x:is>
          <x:t xml:space="preserve">Owner earnings + reverse DCF</x:t>
        </x:is>
      </x:c>
      <x:c r="M83" s="160" t="inlineStr">
        <x:is>
          <x:t xml:space="preserve">WAIT / SMALL ONLY</x:t>
        </x:is>
      </x:c>
      <x:c r="N83" s="160" t="inlineStr">
        <x:is>
          <x:t xml:space="preserve">R-MA-01</x:t>
        </x:is>
      </x:c>
      <x:c r="O83" s="160" t="inlineStr">
        <x:is>
          <x:t xml:space="preserve">BASE</x:t>
        </x:is>
      </x:c>
      <x:c r="P83" s="160" t="inlineStr">
        <x:is>
          <x:t xml:space="preserve">PARTIAL CATCH</x:t>
        </x:is>
      </x:c>
      <x:c r="Q83" s="160" t="inlineStr">
        <x:is>
          <x:t xml:space="preserve">The base refinement catches the main failure, but evidence thresholds and per-share/counterfactual details remain underspecified.</x:t>
        </x:is>
      </x:c>
      <x:c r="R83" s="160" t="inlineStr">
        <x:is>
          <x:t xml:space="preserve">Bridge organic growth, acquired growth, purchase price, integration costs and acquisition-cohort ROIC.</x:t>
        </x:is>
      </x:c>
      <x:c r="S83" s="160" t="inlineStr">
        <x:is>
          <x:t xml:space="preserve">NO</x:t>
        </x:is>
      </x:c>
      <x:c r="T83" s="160" t="inlineStr">
        <x:is>
          <x:t xml:space="preserve">BASE</x:t>
        </x:is>
      </x:c>
      <x:c r="U83" s="160" t="inlineStr">
        <x:is>
          <x:t xml:space="preserve">V10.5-SIM17</x:t>
        </x:is>
      </x:c>
      <x:c r="V83" s="160" t="inlineStr">
        <x:is>
          <x:t xml:space="preserve">https://investor.nvidia.com</x:t>
        </x:is>
      </x:c>
      <x:c r="W83" s="160" t="inlineStr">
        <x:is>
          <x:t xml:space="preserve">NO</x:t>
        </x:is>
      </x:c>
      <x:c r="X83" s="160" t="inlineStr">
        <x:is>
          <x:t xml:space="preserve">NONE — DEVELOPMENT ONLY</x:t>
        </x:is>
      </x:c>
      <x:c r="Y83" s="160" t="inlineStr">
        <x:is>
          <x:t xml:space="preserve">Synthetic/adversarial model-development loop. No historical outcome is claimed; no accuracy point is awarded.</x:t>
        </x:is>
      </x:c>
    </x:row>
    <x:row r="84">
      <x:c r="A84" s="160" t="inlineStr">
        <x:is>
          <x:t xml:space="preserve">ML0079</x:t>
        </x:is>
      </x:c>
      <x:c r="B84" s="160" t="inlineStr">
        <x:is>
          <x:t xml:space="preserve">ARG-005</x:t>
        </x:is>
      </x:c>
      <x:c r="C84" s="160" t="inlineStr">
        <x:is>
          <x:t xml:space="preserve">NVIDIA</x:t>
        </x:is>
      </x:c>
      <x:c r="D84" s="160" t="inlineStr">
        <x:is>
          <x:t xml:space="preserve">NVDA</x:t>
        </x:is>
      </x:c>
      <x:c r="E84" s="160" t="inlineStr">
        <x:is>
          <x:t xml:space="preserve">AI &amp; Semiconductors</x:t>
        </x:is>
      </x:c>
      <x:c r="F84" s="160" t="inlineStr">
        <x:is>
          <x:t xml:space="preserve">Development</x:t>
        </x:is>
      </x:c>
      <x:c r="G84" s="160" t="inlineStr">
        <x:is>
          <x:t xml:space="preserve">S15</x:t>
        </x:is>
      </x:c>
      <x:c r="H84" s="160" t="inlineStr">
        <x:is>
          <x:t xml:space="preserve">Financing / Dilution Per Share</x:t>
        </x:is>
      </x:c>
      <x:c r="I84" s="160" t="inlineStr">
        <x:is>
          <x:t xml:space="preserve">Stewardship</x:t>
        </x:is>
      </x:c>
      <x:c r="J84" s="160" t="inlineStr">
        <x:is>
          <x:t xml:space="preserve">Cash balance or revenue growth improves while financing causes material per-share value leakage.</x:t>
        </x:is>
      </x:c>
      <x:c r="K84" s="160" t="inlineStr">
        <x:is>
          <x:t xml:space="preserve">Compute systems, networking and software ecosystem monetization</x:t>
        </x:is>
      </x:c>
      <x:c r="L84" s="160" t="inlineStr">
        <x:is>
          <x:t xml:space="preserve">Owner earnings + reverse DCF</x:t>
        </x:is>
      </x:c>
      <x:c r="M84" s="160" t="inlineStr">
        <x:is>
          <x:t xml:space="preserve">WAIT / SMALL ONLY</x:t>
        </x:is>
      </x:c>
      <x:c r="N84" s="160" t="inlineStr">
        <x:is>
          <x:t xml:space="preserve">R-DIL-01</x:t>
        </x:is>
      </x:c>
      <x:c r="O84" s="160" t="inlineStr">
        <x:is>
          <x:t xml:space="preserve">BASE</x:t>
        </x:is>
      </x:c>
      <x:c r="P84" s="160" t="inlineStr">
        <x:is>
          <x:t xml:space="preserve">PARTIAL CATCH</x:t>
        </x:is>
      </x:c>
      <x:c r="Q84" s="160" t="inlineStr">
        <x:is>
          <x:t xml:space="preserve">The base refinement catches the main failure, but evidence thresholds and per-share/counterfactual details remain underspecified.</x:t>
        </x:is>
      </x:c>
      <x:c r="R84" s="160" t="inlineStr">
        <x:is>
          <x:t xml:space="preserve">Reconcile share-count growth, SBC, equity issuance, buybacks and net cash changes to per-share intrinsic value.</x:t>
        </x:is>
      </x:c>
      <x:c r="S84" s="160" t="inlineStr">
        <x:is>
          <x:t xml:space="preserve">NO</x:t>
        </x:is>
      </x:c>
      <x:c r="T84" s="160" t="inlineStr">
        <x:is>
          <x:t xml:space="preserve">BASE</x:t>
        </x:is>
      </x:c>
      <x:c r="U84" s="160" t="inlineStr">
        <x:is>
          <x:t xml:space="preserve">V10.5-SIM17</x:t>
        </x:is>
      </x:c>
      <x:c r="V84" s="160" t="inlineStr">
        <x:is>
          <x:t xml:space="preserve">https://investor.nvidia.com</x:t>
        </x:is>
      </x:c>
      <x:c r="W84" s="160" t="inlineStr">
        <x:is>
          <x:t xml:space="preserve">NO</x:t>
        </x:is>
      </x:c>
      <x:c r="X84" s="160" t="inlineStr">
        <x:is>
          <x:t xml:space="preserve">NONE — DEVELOPMENT ONLY</x:t>
        </x:is>
      </x:c>
      <x:c r="Y84" s="160" t="inlineStr">
        <x:is>
          <x:t xml:space="preserve">Synthetic/adversarial model-development loop. No historical outcome is claimed; no accuracy point is awarded.</x:t>
        </x:is>
      </x:c>
    </x:row>
    <x:row r="85">
      <x:c r="A85" s="160" t="inlineStr">
        <x:is>
          <x:t xml:space="preserve">ML0080</x:t>
        </x:is>
      </x:c>
      <x:c r="B85" s="160" t="inlineStr">
        <x:is>
          <x:t xml:space="preserve">ARG-005</x:t>
        </x:is>
      </x:c>
      <x:c r="C85" s="160" t="inlineStr">
        <x:is>
          <x:t xml:space="preserve">NVIDIA</x:t>
        </x:is>
      </x:c>
      <x:c r="D85" s="160" t="inlineStr">
        <x:is>
          <x:t xml:space="preserve">NVDA</x:t>
        </x:is>
      </x:c>
      <x:c r="E85" s="160" t="inlineStr">
        <x:is>
          <x:t xml:space="preserve">AI &amp; Semiconductors</x:t>
        </x:is>
      </x:c>
      <x:c r="F85" s="160" t="inlineStr">
        <x:is>
          <x:t xml:space="preserve">Development</x:t>
        </x:is>
      </x:c>
      <x:c r="G85" s="160" t="inlineStr">
        <x:is>
          <x:t xml:space="preserve">S16</x:t>
        </x:is>
      </x:c>
      <x:c r="H85" s="160" t="inlineStr">
        <x:is>
          <x:t xml:space="preserve">Concentration / Tail Risk</x:t>
        </x:is>
      </x:c>
      <x:c r="I85" s="160" t="inlineStr">
        <x:is>
          <x:t xml:space="preserve">Survival</x:t>
        </x:is>
      </x:c>
      <x:c r="J85" s="160" t="inlineStr">
        <x:is>
          <x:t xml:space="preserve">A concentrated supplier, geography, customer, product, patent, regulatory or technology dependency creates asymmetric permanent-loss risk.</x:t>
        </x:is>
      </x:c>
      <x:c r="K85" s="160" t="inlineStr">
        <x:is>
          <x:t xml:space="preserve">Compute systems, networking and software ecosystem monetization</x:t>
        </x:is>
      </x:c>
      <x:c r="L85" s="160" t="inlineStr">
        <x:is>
          <x:t xml:space="preserve">Owner earnings + reverse DCF</x:t>
        </x:is>
      </x:c>
      <x:c r="M85" s="160" t="inlineStr">
        <x:is>
          <x:t xml:space="preserve">WAIT / SMALL ONLY</x:t>
        </x:is>
      </x:c>
      <x:c r="N85" s="160" t="inlineStr">
        <x:is>
          <x:t xml:space="preserve">R-TAIL-01</x:t>
        </x:is>
      </x:c>
      <x:c r="O85" s="160" t="inlineStr">
        <x:is>
          <x:t xml:space="preserve">BASE</x:t>
        </x:is>
      </x:c>
      <x:c r="P85" s="160" t="inlineStr">
        <x:is>
          <x:t xml:space="preserve">PARTIAL CATCH</x:t>
        </x:is>
      </x:c>
      <x:c r="Q85" s="160" t="inlineStr">
        <x:is>
          <x:t xml:space="preserve">The base refinement catches the main failure, but evidence thresholds and per-share/counterfactual details remain underspecified.</x:t>
        </x:is>
      </x:c>
      <x:c r="R85" s="160" t="inlineStr">
        <x:is>
          <x:t xml:space="preserve">Maintain an explicit concentration/tail-risk register with probability, severity, mitigation and required margin-of-safety premium.</x:t>
        </x:is>
      </x:c>
      <x:c r="S85" s="160" t="inlineStr">
        <x:is>
          <x:t xml:space="preserve">NO</x:t>
        </x:is>
      </x:c>
      <x:c r="T85" s="160" t="inlineStr">
        <x:is>
          <x:t xml:space="preserve">BASE</x:t>
        </x:is>
      </x:c>
      <x:c r="U85" s="160" t="inlineStr">
        <x:is>
          <x:t xml:space="preserve">V10.5-SIM17</x:t>
        </x:is>
      </x:c>
      <x:c r="V85" s="160" t="inlineStr">
        <x:is>
          <x:t xml:space="preserve">https://investor.nvidia.com</x:t>
        </x:is>
      </x:c>
      <x:c r="W85" s="160" t="inlineStr">
        <x:is>
          <x:t xml:space="preserve">NO</x:t>
        </x:is>
      </x:c>
      <x:c r="X85" s="160" t="inlineStr">
        <x:is>
          <x:t xml:space="preserve">NONE — DEVELOPMENT ONLY</x:t>
        </x:is>
      </x:c>
      <x:c r="Y85" s="160" t="inlineStr">
        <x:is>
          <x:t xml:space="preserve">Synthetic/adversarial model-development loop. No historical outcome is claimed; no accuracy point is awarded.</x:t>
        </x:is>
      </x:c>
    </x:row>
    <x:row r="86">
      <x:c r="A86" s="160" t="inlineStr">
        <x:is>
          <x:t xml:space="preserve">ML0081</x:t>
        </x:is>
      </x:c>
      <x:c r="B86" s="160" t="inlineStr">
        <x:is>
          <x:t xml:space="preserve">ARG-006</x:t>
        </x:is>
      </x:c>
      <x:c r="C86" s="160" t="inlineStr">
        <x:is>
          <x:t xml:space="preserve">Advanced Micro Devices</x:t>
        </x:is>
      </x:c>
      <x:c r="D86" s="160" t="inlineStr">
        <x:is>
          <x:t xml:space="preserve">AMD</x:t>
        </x:is>
      </x:c>
      <x:c r="E86" s="160" t="inlineStr">
        <x:is>
          <x:t xml:space="preserve">AI &amp; Semiconductors</x:t>
        </x:is>
      </x:c>
      <x:c r="F86" s="160" t="inlineStr">
        <x:is>
          <x:t xml:space="preserve">Development</x:t>
        </x:is>
      </x:c>
      <x:c r="G86" s="160" t="inlineStr">
        <x:is>
          <x:t xml:space="preserve">S01</x:t>
        </x:is>
      </x:c>
      <x:c r="H86" s="160" t="inlineStr">
        <x:is>
          <x:t xml:space="preserve">Understanding Gate</x:t>
        </x:is>
      </x:c>
      <x:c r="I86" s="160" t="inlineStr">
        <x:is>
          <x:t xml:space="preserve">Understanding</x:t>
        </x:is>
      </x:c>
      <x:c r="J86" s="160" t="inlineStr">
        <x:is>
          <x:t xml:space="preserve">Causal engine / customer ROI chain breaks under a misleading headline KPI.</x:t>
        </x:is>
      </x:c>
      <x:c r="K86" s="160" t="inlineStr">
        <x:is>
          <x:t xml:space="preserve">Share gains and mix across data center, client and accelerators</x:t>
        </x:is>
      </x:c>
      <x:c r="L86" s="160" t="inlineStr">
        <x:is>
          <x:t xml:space="preserve">Cycle-normalized FCF + reverse DCF</x:t>
        </x:is>
      </x:c>
      <x:c r="M86" s="160" t="inlineStr">
        <x:is>
          <x:t xml:space="preserve">WATCH</x:t>
        </x:is>
      </x:c>
      <x:c r="N86" s="160" t="inlineStr">
        <x:is>
          <x:t xml:space="preserve">R-ENG-01</x:t>
        </x:is>
      </x:c>
      <x:c r="O86" s="160" t="inlineStr">
        <x:is>
          <x:t xml:space="preserve">BASE</x:t>
        </x:is>
      </x:c>
      <x:c r="P86" s="160" t="inlineStr">
        <x:is>
          <x:t xml:space="preserve">PARTIAL CATCH</x:t>
        </x:is>
      </x:c>
      <x:c r="Q86" s="160" t="inlineStr">
        <x:is>
          <x:t xml:space="preserve">The base refinement catches the main failure, but evidence thresholds and per-share/counterfactual details remain underspecified.</x:t>
        </x:is>
      </x:c>
      <x:c r="R86" s="160" t="inlineStr">
        <x:is>
          <x:t xml:space="preserve">Force an explicit engine tree: customer job → unit economics → revenue driver → owner-value bridge.</x:t>
        </x:is>
      </x:c>
      <x:c r="S86" s="160" t="inlineStr">
        <x:is>
          <x:t xml:space="preserve">NO</x:t>
        </x:is>
      </x:c>
      <x:c r="T86" s="160" t="inlineStr">
        <x:is>
          <x:t xml:space="preserve">BASE</x:t>
        </x:is>
      </x:c>
      <x:c r="U86" s="160" t="inlineStr">
        <x:is>
          <x:t xml:space="preserve">V10.5-SIM17</x:t>
        </x:is>
      </x:c>
      <x:c r="V86" s="160" t="inlineStr">
        <x:is>
          <x:t xml:space="preserve">https://ir.amd.com</x:t>
        </x:is>
      </x:c>
      <x:c r="W86" s="160" t="inlineStr">
        <x:is>
          <x:t xml:space="preserve">NO</x:t>
        </x:is>
      </x:c>
      <x:c r="X86" s="160" t="inlineStr">
        <x:is>
          <x:t xml:space="preserve">NONE — DEVELOPMENT ONLY</x:t>
        </x:is>
      </x:c>
      <x:c r="Y86" s="160" t="inlineStr">
        <x:is>
          <x:t xml:space="preserve">Synthetic/adversarial model-development loop. No historical outcome is claimed; no accuracy point is awarded.</x:t>
        </x:is>
      </x:c>
    </x:row>
    <x:row r="87">
      <x:c r="A87" s="160" t="inlineStr">
        <x:is>
          <x:t xml:space="preserve">ML0082</x:t>
        </x:is>
      </x:c>
      <x:c r="B87" s="160" t="inlineStr">
        <x:is>
          <x:t xml:space="preserve">ARG-006</x:t>
        </x:is>
      </x:c>
      <x:c r="C87" s="160" t="inlineStr">
        <x:is>
          <x:t xml:space="preserve">Advanced Micro Devices</x:t>
        </x:is>
      </x:c>
      <x:c r="D87" s="160" t="inlineStr">
        <x:is>
          <x:t xml:space="preserve">AMD</x:t>
        </x:is>
      </x:c>
      <x:c r="E87" s="160" t="inlineStr">
        <x:is>
          <x:t xml:space="preserve">AI &amp; Semiconductors</x:t>
        </x:is>
      </x:c>
      <x:c r="F87" s="160" t="inlineStr">
        <x:is>
          <x:t xml:space="preserve">Development</x:t>
        </x:is>
      </x:c>
      <x:c r="G87" s="160" t="inlineStr">
        <x:is>
          <x:t xml:space="preserve">S02</x:t>
        </x:is>
      </x:c>
      <x:c r="H87" s="160" t="inlineStr">
        <x:is>
          <x:t xml:space="preserve">Owner Earnings Normalization</x:t>
        </x:is>
      </x:c>
      <x:c r="I87" s="160" t="inlineStr">
        <x:is>
          <x:t xml:space="preserve">Owner Earnings</x:t>
        </x:is>
      </x:c>
      <x:c r="J87" s="160" t="inlineStr">
        <x:is>
          <x:t xml:space="preserve">Reported earnings/FCF overstates economic cash because recurring reinvestment or non-cash compensation is misclassified.</x:t>
        </x:is>
      </x:c>
      <x:c r="K87" s="160" t="inlineStr">
        <x:is>
          <x:t xml:space="preserve">Share gains and mix across data center, client and accelerators</x:t>
        </x:is>
      </x:c>
      <x:c r="L87" s="160" t="inlineStr">
        <x:is>
          <x:t xml:space="preserve">Cycle-normalized FCF + reverse DCF</x:t>
        </x:is>
      </x:c>
      <x:c r="M87" s="160" t="inlineStr">
        <x:is>
          <x:t xml:space="preserve">WATCH</x:t>
        </x:is>
      </x:c>
      <x:c r="N87" s="160" t="inlineStr">
        <x:is>
          <x:t xml:space="preserve">R-OE-01</x:t>
        </x:is>
      </x:c>
      <x:c r="O87" s="160" t="inlineStr">
        <x:is>
          <x:t xml:space="preserve">BASE</x:t>
        </x:is>
      </x:c>
      <x:c r="P87" s="160" t="inlineStr">
        <x:is>
          <x:t xml:space="preserve">PARTIAL CATCH</x:t>
        </x:is>
      </x:c>
      <x:c r="Q87" s="160" t="inlineStr">
        <x:is>
          <x:t xml:space="preserve">The base refinement catches the main failure, but evidence thresholds and per-share/counterfactual details remain underspecified.</x:t>
        </x:is>
      </x:c>
      <x:c r="R87" s="160" t="inlineStr">
        <x:is>
          <x:t xml:space="preserve">Require a GAAP-to-economic-owner-cash bridge tailored to the business model.</x:t>
        </x:is>
      </x:c>
      <x:c r="S87" s="160" t="inlineStr">
        <x:is>
          <x:t xml:space="preserve">NO</x:t>
        </x:is>
      </x:c>
      <x:c r="T87" s="160" t="inlineStr">
        <x:is>
          <x:t xml:space="preserve">BASE</x:t>
        </x:is>
      </x:c>
      <x:c r="U87" s="160" t="inlineStr">
        <x:is>
          <x:t xml:space="preserve">V10.5-SIM17</x:t>
        </x:is>
      </x:c>
      <x:c r="V87" s="160" t="inlineStr">
        <x:is>
          <x:t xml:space="preserve">https://ir.amd.com</x:t>
        </x:is>
      </x:c>
      <x:c r="W87" s="160" t="inlineStr">
        <x:is>
          <x:t xml:space="preserve">NO</x:t>
        </x:is>
      </x:c>
      <x:c r="X87" s="160" t="inlineStr">
        <x:is>
          <x:t xml:space="preserve">NONE — DEVELOPMENT ONLY</x:t>
        </x:is>
      </x:c>
      <x:c r="Y87" s="160" t="inlineStr">
        <x:is>
          <x:t xml:space="preserve">Synthetic/adversarial model-development loop. No historical outcome is claimed; no accuracy point is awarded.</x:t>
        </x:is>
      </x:c>
    </x:row>
    <x:row r="88">
      <x:c r="A88" s="160" t="inlineStr">
        <x:is>
          <x:t xml:space="preserve">ML0083</x:t>
        </x:is>
      </x:c>
      <x:c r="B88" s="160" t="inlineStr">
        <x:is>
          <x:t xml:space="preserve">ARG-006</x:t>
        </x:is>
      </x:c>
      <x:c r="C88" s="160" t="inlineStr">
        <x:is>
          <x:t xml:space="preserve">Advanced Micro Devices</x:t>
        </x:is>
      </x:c>
      <x:c r="D88" s="160" t="inlineStr">
        <x:is>
          <x:t xml:space="preserve">AMD</x:t>
        </x:is>
      </x:c>
      <x:c r="E88" s="160" t="inlineStr">
        <x:is>
          <x:t xml:space="preserve">AI &amp; Semiconductors</x:t>
        </x:is>
      </x:c>
      <x:c r="F88" s="160" t="inlineStr">
        <x:is>
          <x:t xml:space="preserve">Development</x:t>
        </x:is>
      </x:c>
      <x:c r="G88" s="160" t="inlineStr">
        <x:is>
          <x:t xml:space="preserve">S03</x:t>
        </x:is>
      </x:c>
      <x:c r="H88" s="160" t="inlineStr">
        <x:is>
          <x:t xml:space="preserve">Moat Durability</x:t>
        </x:is>
      </x:c>
      <x:c r="I88" s="160" t="inlineStr">
        <x:is>
          <x:t xml:space="preserve">Moat 2036</x:t>
        </x:is>
      </x:c>
      <x:c r="J88" s="160" t="inlineStr">
        <x:is>
          <x:t xml:space="preserve">Growth continues while switching friction, pricing power or replacement difficulty quietly weakens.</x:t>
        </x:is>
      </x:c>
      <x:c r="K88" s="160" t="inlineStr">
        <x:is>
          <x:t xml:space="preserve">Share gains and mix across data center, client and accelerators</x:t>
        </x:is>
      </x:c>
      <x:c r="L88" s="160" t="inlineStr">
        <x:is>
          <x:t xml:space="preserve">Cycle-normalized FCF + reverse DCF</x:t>
        </x:is>
      </x:c>
      <x:c r="M88" s="160" t="inlineStr">
        <x:is>
          <x:t xml:space="preserve">WATCH</x:t>
        </x:is>
      </x:c>
      <x:c r="N88" s="160" t="inlineStr">
        <x:is>
          <x:t xml:space="preserve">R-MOAT-01</x:t>
        </x:is>
      </x:c>
      <x:c r="O88" s="160" t="inlineStr">
        <x:is>
          <x:t xml:space="preserve">BASE</x:t>
        </x:is>
      </x:c>
      <x:c r="P88" s="160" t="inlineStr">
        <x:is>
          <x:t xml:space="preserve">PARTIAL CATCH</x:t>
        </x:is>
      </x:c>
      <x:c r="Q88" s="160" t="inlineStr">
        <x:is>
          <x:t xml:space="preserve">The base refinement catches the main failure, but evidence thresholds and per-share/counterfactual details remain underspecified.</x:t>
        </x:is>
      </x:c>
      <x:c r="R88" s="160" t="inlineStr">
        <x:is>
          <x:t xml:space="preserve">Track moat telemetry separately from growth: retention, pricing, win/loss, replacement friction, installed-base behavior.</x:t>
        </x:is>
      </x:c>
      <x:c r="S88" s="160" t="inlineStr">
        <x:is>
          <x:t xml:space="preserve">NO</x:t>
        </x:is>
      </x:c>
      <x:c r="T88" s="160" t="inlineStr">
        <x:is>
          <x:t xml:space="preserve">BASE</x:t>
        </x:is>
      </x:c>
      <x:c r="U88" s="160" t="inlineStr">
        <x:is>
          <x:t xml:space="preserve">V10.5-SIM17</x:t>
        </x:is>
      </x:c>
      <x:c r="V88" s="160" t="inlineStr">
        <x:is>
          <x:t xml:space="preserve">https://ir.amd.com</x:t>
        </x:is>
      </x:c>
      <x:c r="W88" s="160" t="inlineStr">
        <x:is>
          <x:t xml:space="preserve">NO</x:t>
        </x:is>
      </x:c>
      <x:c r="X88" s="160" t="inlineStr">
        <x:is>
          <x:t xml:space="preserve">NONE — DEVELOPMENT ONLY</x:t>
        </x:is>
      </x:c>
      <x:c r="Y88" s="160" t="inlineStr">
        <x:is>
          <x:t xml:space="preserve">Synthetic/adversarial model-development loop. No historical outcome is claimed; no accuracy point is awarded.</x:t>
        </x:is>
      </x:c>
    </x:row>
    <x:row r="89">
      <x:c r="A89" s="160" t="inlineStr">
        <x:is>
          <x:t xml:space="preserve">ML0084</x:t>
        </x:is>
      </x:c>
      <x:c r="B89" s="160" t="inlineStr">
        <x:is>
          <x:t xml:space="preserve">ARG-006</x:t>
        </x:is>
      </x:c>
      <x:c r="C89" s="160" t="inlineStr">
        <x:is>
          <x:t xml:space="preserve">Advanced Micro Devices</x:t>
        </x:is>
      </x:c>
      <x:c r="D89" s="160" t="inlineStr">
        <x:is>
          <x:t xml:space="preserve">AMD</x:t>
        </x:is>
      </x:c>
      <x:c r="E89" s="160" t="inlineStr">
        <x:is>
          <x:t xml:space="preserve">AI &amp; Semiconductors</x:t>
        </x:is>
      </x:c>
      <x:c r="F89" s="160" t="inlineStr">
        <x:is>
          <x:t xml:space="preserve">Development</x:t>
        </x:is>
      </x:c>
      <x:c r="G89" s="160" t="inlineStr">
        <x:is>
          <x:t xml:space="preserve">S04</x:t>
        </x:is>
      </x:c>
      <x:c r="H89" s="160" t="inlineStr">
        <x:is>
          <x:t xml:space="preserve">Stewardship / Capital Allocation</x:t>
        </x:is>
      </x:c>
      <x:c r="I89" s="160" t="inlineStr">
        <x:is>
          <x:t xml:space="preserve">Stewardship</x:t>
        </x:is>
      </x:c>
      <x:c r="J89" s="160" t="inlineStr">
        <x:is>
          <x:t xml:space="preserve">Management creates enterprise growth while destroying per-share value through M&amp;A, dilution, leverage or mistimed buybacks.</x:t>
        </x:is>
      </x:c>
      <x:c r="K89" s="160" t="inlineStr">
        <x:is>
          <x:t xml:space="preserve">Share gains and mix across data center, client and accelerators</x:t>
        </x:is>
      </x:c>
      <x:c r="L89" s="160" t="inlineStr">
        <x:is>
          <x:t xml:space="preserve">Cycle-normalized FCF + reverse DCF</x:t>
        </x:is>
      </x:c>
      <x:c r="M89" s="160" t="inlineStr">
        <x:is>
          <x:t xml:space="preserve">WATCH</x:t>
        </x:is>
      </x:c>
      <x:c r="N89" s="160" t="inlineStr">
        <x:is>
          <x:t xml:space="preserve">R-STEW-01</x:t>
        </x:is>
      </x:c>
      <x:c r="O89" s="160" t="inlineStr">
        <x:is>
          <x:t xml:space="preserve">BASE</x:t>
        </x:is>
      </x:c>
      <x:c r="P89" s="160" t="inlineStr">
        <x:is>
          <x:t xml:space="preserve">PARTIAL CATCH</x:t>
        </x:is>
      </x:c>
      <x:c r="Q89" s="160" t="inlineStr">
        <x:is>
          <x:t xml:space="preserve">The base refinement catches the main failure, but evidence thresholds and per-share/counterfactual details remain underspecified.</x:t>
        </x:is>
      </x:c>
      <x:c r="R89" s="160" t="inlineStr">
        <x:is>
          <x:t xml:space="preserve">Evaluate capital allocation on a per-share basis using acquisition cohorts, dilution, leverage and repurchase price discipline.</x:t>
        </x:is>
      </x:c>
      <x:c r="S89" s="160" t="inlineStr">
        <x:is>
          <x:t xml:space="preserve">NO</x:t>
        </x:is>
      </x:c>
      <x:c r="T89" s="160" t="inlineStr">
        <x:is>
          <x:t xml:space="preserve">BASE</x:t>
        </x:is>
      </x:c>
      <x:c r="U89" s="160" t="inlineStr">
        <x:is>
          <x:t xml:space="preserve">V10.5-SIM17</x:t>
        </x:is>
      </x:c>
      <x:c r="V89" s="160" t="inlineStr">
        <x:is>
          <x:t xml:space="preserve">https://ir.amd.com</x:t>
        </x:is>
      </x:c>
      <x:c r="W89" s="160" t="inlineStr">
        <x:is>
          <x:t xml:space="preserve">NO</x:t>
        </x:is>
      </x:c>
      <x:c r="X89" s="160" t="inlineStr">
        <x:is>
          <x:t xml:space="preserve">NONE — DEVELOPMENT ONLY</x:t>
        </x:is>
      </x:c>
      <x:c r="Y89" s="160" t="inlineStr">
        <x:is>
          <x:t xml:space="preserve">Synthetic/adversarial model-development loop. No historical outcome is claimed; no accuracy point is awarded.</x:t>
        </x:is>
      </x:c>
    </x:row>
    <x:row r="90">
      <x:c r="A90" s="160" t="inlineStr">
        <x:is>
          <x:t xml:space="preserve">ML0085</x:t>
        </x:is>
      </x:c>
      <x:c r="B90" s="160" t="inlineStr">
        <x:is>
          <x:t xml:space="preserve">ARG-006</x:t>
        </x:is>
      </x:c>
      <x:c r="C90" s="160" t="inlineStr">
        <x:is>
          <x:t xml:space="preserve">Advanced Micro Devices</x:t>
        </x:is>
      </x:c>
      <x:c r="D90" s="160" t="inlineStr">
        <x:is>
          <x:t xml:space="preserve">AMD</x:t>
        </x:is>
      </x:c>
      <x:c r="E90" s="160" t="inlineStr">
        <x:is>
          <x:t xml:space="preserve">AI &amp; Semiconductors</x:t>
        </x:is>
      </x:c>
      <x:c r="F90" s="160" t="inlineStr">
        <x:is>
          <x:t xml:space="preserve">Development</x:t>
        </x:is>
      </x:c>
      <x:c r="G90" s="160" t="inlineStr">
        <x:is>
          <x:t xml:space="preserve">S05</x:t>
        </x:is>
      </x:c>
      <x:c r="H90" s="160" t="inlineStr">
        <x:is>
          <x:t xml:space="preserve">Survival / Funding</x:t>
        </x:is>
      </x:c>
      <x:c r="I90" s="160" t="inlineStr">
        <x:is>
          <x:t xml:space="preserve">Survival</x:t>
        </x:is>
      </x:c>
      <x:c r="J90" s="160" t="inlineStr">
        <x:is>
          <x:t xml:space="preserve">A plausible bear case exposes refinancing, liquidity, covenant, reserve, regulatory or operational fragility.</x:t>
        </x:is>
      </x:c>
      <x:c r="K90" s="160" t="inlineStr">
        <x:is>
          <x:t xml:space="preserve">Share gains and mix across data center, client and accelerators</x:t>
        </x:is>
      </x:c>
      <x:c r="L90" s="160" t="inlineStr">
        <x:is>
          <x:t xml:space="preserve">Cycle-normalized FCF + reverse DCF</x:t>
        </x:is>
      </x:c>
      <x:c r="M90" s="160" t="inlineStr">
        <x:is>
          <x:t xml:space="preserve">WATCH</x:t>
        </x:is>
      </x:c>
      <x:c r="N90" s="160" t="inlineStr">
        <x:is>
          <x:t xml:space="preserve">R-SURV-01</x:t>
        </x:is>
      </x:c>
      <x:c r="O90" s="160" t="inlineStr">
        <x:is>
          <x:t xml:space="preserve">BASE</x:t>
        </x:is>
      </x:c>
      <x:c r="P90" s="160" t="inlineStr">
        <x:is>
          <x:t xml:space="preserve">PARTIAL CATCH</x:t>
        </x:is>
      </x:c>
      <x:c r="Q90" s="160" t="inlineStr">
        <x:is>
          <x:t xml:space="preserve">The base refinement catches the main failure, but evidence thresholds and per-share/counterfactual details remain underspecified.</x:t>
        </x:is>
      </x:c>
      <x:c r="R90" s="160" t="inlineStr">
        <x:is>
          <x:t xml:space="preserve">Run a company-specific survival bridge under a severe-but-plausible bear case before any upside underwriting.</x:t>
        </x:is>
      </x:c>
      <x:c r="S90" s="160" t="inlineStr">
        <x:is>
          <x:t xml:space="preserve">NO</x:t>
        </x:is>
      </x:c>
      <x:c r="T90" s="160" t="inlineStr">
        <x:is>
          <x:t xml:space="preserve">BASE</x:t>
        </x:is>
      </x:c>
      <x:c r="U90" s="160" t="inlineStr">
        <x:is>
          <x:t xml:space="preserve">V10.5-SIM17</x:t>
        </x:is>
      </x:c>
      <x:c r="V90" s="160" t="inlineStr">
        <x:is>
          <x:t xml:space="preserve">https://ir.amd.com</x:t>
        </x:is>
      </x:c>
      <x:c r="W90" s="160" t="inlineStr">
        <x:is>
          <x:t xml:space="preserve">NO</x:t>
        </x:is>
      </x:c>
      <x:c r="X90" s="160" t="inlineStr">
        <x:is>
          <x:t xml:space="preserve">NONE — DEVELOPMENT ONLY</x:t>
        </x:is>
      </x:c>
      <x:c r="Y90" s="160" t="inlineStr">
        <x:is>
          <x:t xml:space="preserve">Synthetic/adversarial model-development loop. No historical outcome is claimed; no accuracy point is awarded.</x:t>
        </x:is>
      </x:c>
    </x:row>
    <x:row r="91">
      <x:c r="A91" s="160" t="inlineStr">
        <x:is>
          <x:t xml:space="preserve">ML0086</x:t>
        </x:is>
      </x:c>
      <x:c r="B91" s="160" t="inlineStr">
        <x:is>
          <x:t xml:space="preserve">ARG-006</x:t>
        </x:is>
      </x:c>
      <x:c r="C91" s="160" t="inlineStr">
        <x:is>
          <x:t xml:space="preserve">Advanced Micro Devices</x:t>
        </x:is>
      </x:c>
      <x:c r="D91" s="160" t="inlineStr">
        <x:is>
          <x:t xml:space="preserve">AMD</x:t>
        </x:is>
      </x:c>
      <x:c r="E91" s="160" t="inlineStr">
        <x:is>
          <x:t xml:space="preserve">AI &amp; Semiconductors</x:t>
        </x:is>
      </x:c>
      <x:c r="F91" s="160" t="inlineStr">
        <x:is>
          <x:t xml:space="preserve">Development</x:t>
        </x:is>
      </x:c>
      <x:c r="G91" s="160" t="inlineStr">
        <x:is>
          <x:t xml:space="preserve">S06</x:t>
        </x:is>
      </x:c>
      <x:c r="H91" s="160" t="inlineStr">
        <x:is>
          <x:t xml:space="preserve">Margin of Safety</x:t>
        </x:is>
      </x:c>
      <x:c r="I91" s="160" t="inlineStr">
        <x:is>
          <x:t xml:space="preserve">Margin of Safety</x:t>
        </x:is>
      </x:c>
      <x:c r="J91" s="160" t="inlineStr">
        <x:is>
          <x:t xml:space="preserve">Business quality is high but the price embeds a fragile bull case.</x:t>
        </x:is>
      </x:c>
      <x:c r="K91" s="160" t="inlineStr">
        <x:is>
          <x:t xml:space="preserve">Share gains and mix across data center, client and accelerators</x:t>
        </x:is>
      </x:c>
      <x:c r="L91" s="160" t="inlineStr">
        <x:is>
          <x:t xml:space="preserve">Cycle-normalized FCF + reverse DCF</x:t>
        </x:is>
      </x:c>
      <x:c r="M91" s="160" t="inlineStr">
        <x:is>
          <x:t xml:space="preserve">WATCH</x:t>
        </x:is>
      </x:c>
      <x:c r="N91" s="160" t="inlineStr">
        <x:is>
          <x:t xml:space="preserve">R-MOS-01</x:t>
        </x:is>
      </x:c>
      <x:c r="O91" s="160" t="inlineStr">
        <x:is>
          <x:t xml:space="preserve">BASE</x:t>
        </x:is>
      </x:c>
      <x:c r="P91" s="160" t="inlineStr">
        <x:is>
          <x:t xml:space="preserve">PARTIAL CATCH</x:t>
        </x:is>
      </x:c>
      <x:c r="Q91" s="160" t="inlineStr">
        <x:is>
          <x:t xml:space="preserve">The base refinement catches the main failure, but evidence thresholds and per-share/counterfactual details remain underspecified.</x:t>
        </x:is>
      </x:c>
      <x:c r="R91" s="160" t="inlineStr">
        <x:is>
          <x:t xml:space="preserve">Separate business-quality score from price decision; require reverse valuation and bear/base/bull IV ranges.</x:t>
        </x:is>
      </x:c>
      <x:c r="S91" s="160" t="inlineStr">
        <x:is>
          <x:t xml:space="preserve">NO</x:t>
        </x:is>
      </x:c>
      <x:c r="T91" s="160" t="inlineStr">
        <x:is>
          <x:t xml:space="preserve">BASE</x:t>
        </x:is>
      </x:c>
      <x:c r="U91" s="160" t="inlineStr">
        <x:is>
          <x:t xml:space="preserve">V10.5-SIM17</x:t>
        </x:is>
      </x:c>
      <x:c r="V91" s="160" t="inlineStr">
        <x:is>
          <x:t xml:space="preserve">https://ir.amd.com</x:t>
        </x:is>
      </x:c>
      <x:c r="W91" s="160" t="inlineStr">
        <x:is>
          <x:t xml:space="preserve">NO</x:t>
        </x:is>
      </x:c>
      <x:c r="X91" s="160" t="inlineStr">
        <x:is>
          <x:t xml:space="preserve">NONE — DEVELOPMENT ONLY</x:t>
        </x:is>
      </x:c>
      <x:c r="Y91" s="160" t="inlineStr">
        <x:is>
          <x:t xml:space="preserve">Synthetic/adversarial model-development loop. No historical outcome is claimed; no accuracy point is awarded.</x:t>
        </x:is>
      </x:c>
    </x:row>
    <x:row r="92">
      <x:c r="A92" s="160" t="inlineStr">
        <x:is>
          <x:t xml:space="preserve">ML0087</x:t>
        </x:is>
      </x:c>
      <x:c r="B92" s="160" t="inlineStr">
        <x:is>
          <x:t xml:space="preserve">ARG-006</x:t>
        </x:is>
      </x:c>
      <x:c r="C92" s="160" t="inlineStr">
        <x:is>
          <x:t xml:space="preserve">Advanced Micro Devices</x:t>
        </x:is>
      </x:c>
      <x:c r="D92" s="160" t="inlineStr">
        <x:is>
          <x:t xml:space="preserve">AMD</x:t>
        </x:is>
      </x:c>
      <x:c r="E92" s="160" t="inlineStr">
        <x:is>
          <x:t xml:space="preserve">AI &amp; Semiconductors</x:t>
        </x:is>
      </x:c>
      <x:c r="F92" s="160" t="inlineStr">
        <x:is>
          <x:t xml:space="preserve">Development</x:t>
        </x:is>
      </x:c>
      <x:c r="G92" s="160" t="inlineStr">
        <x:is>
          <x:t xml:space="preserve">S07</x:t>
        </x:is>
      </x:c>
      <x:c r="H92" s="160" t="inlineStr">
        <x:is>
          <x:t xml:space="preserve">Sector Shock</x:t>
        </x:is>
      </x:c>
      <x:c r="I92" s="160" t="inlineStr">
        <x:is>
          <x:t xml:space="preserve">Sector-specific</x:t>
        </x:is>
      </x:c>
      <x:c r="J92" s="160" t="inlineStr">
        <x:is>
          <x:t xml:space="preserve">AI demand remains strong but capex intensity, customer concentration, inventory/cycle risk or export/geopolitical constraints hit normalized returns.</x:t>
        </x:is>
      </x:c>
      <x:c r="K92" s="160" t="inlineStr">
        <x:is>
          <x:t xml:space="preserve">Share gains and mix across data center, client and accelerators</x:t>
        </x:is>
      </x:c>
      <x:c r="L92" s="160" t="inlineStr">
        <x:is>
          <x:t xml:space="preserve">Cycle-normalized FCF + reverse DCF</x:t>
        </x:is>
      </x:c>
      <x:c r="M92" s="160" t="inlineStr">
        <x:is>
          <x:t xml:space="preserve">WATCH</x:t>
        </x:is>
      </x:c>
      <x:c r="N92" s="160" t="inlineStr">
        <x:is>
          <x:t xml:space="preserve">R-SECTOR-AI-SEMICONDUCTORS</x:t>
        </x:is>
      </x:c>
      <x:c r="O92" s="160" t="inlineStr">
        <x:is>
          <x:t xml:space="preserve">UNFORMED</x:t>
        </x:is>
      </x:c>
      <x:c r="P92" s="160" t="inlineStr">
        <x:is>
          <x:t xml:space="preserve">WEAKNESS EXPOSED</x:t>
        </x:is>
      </x:c>
      <x:c r="Q92" s="160" t="inlineStr">
        <x:is>
          <x:t xml:space="preserve">The frozen V10 gate family is directionally right, but the test lacks a sufficiently explicit mechanical implementation.</x:t>
        </x:is>
      </x:c>
      <x:c r="R92"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92" s="160" t="inlineStr">
        <x:is>
          <x:t xml:space="preserve">YES — SIMULATION ONLY</x:t>
        </x:is>
      </x:c>
      <x:c r="T92" s="160" t="inlineStr">
        <x:is>
          <x:t xml:space="preserve">BASE</x:t>
        </x:is>
      </x:c>
      <x:c r="U92" s="160" t="inlineStr">
        <x:is>
          <x:t xml:space="preserve">V10.5-SIM18</x:t>
        </x:is>
      </x:c>
      <x:c r="V92" s="160" t="inlineStr">
        <x:is>
          <x:t xml:space="preserve">https://ir.amd.com</x:t>
        </x:is>
      </x:c>
      <x:c r="W92" s="160" t="inlineStr">
        <x:is>
          <x:t xml:space="preserve">NO</x:t>
        </x:is>
      </x:c>
      <x:c r="X92" s="160" t="inlineStr">
        <x:is>
          <x:t xml:space="preserve">NONE — DEVELOPMENT ONLY</x:t>
        </x:is>
      </x:c>
      <x:c r="Y92" s="160" t="inlineStr">
        <x:is>
          <x:t xml:space="preserve">Synthetic/adversarial model-development loop. No historical outcome is claimed; no accuracy point is awarded.</x:t>
        </x:is>
      </x:c>
    </x:row>
    <x:row r="93">
      <x:c r="A93" s="160" t="inlineStr">
        <x:is>
          <x:t xml:space="preserve">ML0088</x:t>
        </x:is>
      </x:c>
      <x:c r="B93" s="160" t="inlineStr">
        <x:is>
          <x:t xml:space="preserve">ARG-006</x:t>
        </x:is>
      </x:c>
      <x:c r="C93" s="160" t="inlineStr">
        <x:is>
          <x:t xml:space="preserve">Advanced Micro Devices</x:t>
        </x:is>
      </x:c>
      <x:c r="D93" s="160" t="inlineStr">
        <x:is>
          <x:t xml:space="preserve">AMD</x:t>
        </x:is>
      </x:c>
      <x:c r="E93" s="160" t="inlineStr">
        <x:is>
          <x:t xml:space="preserve">AI &amp; Semiconductors</x:t>
        </x:is>
      </x:c>
      <x:c r="F93" s="160" t="inlineStr">
        <x:is>
          <x:t xml:space="preserve">Development</x:t>
        </x:is>
      </x:c>
      <x:c r="G93" s="160" t="inlineStr">
        <x:is>
          <x:t xml:space="preserve">S08</x:t>
        </x:is>
      </x:c>
      <x:c r="H93" s="160" t="inlineStr">
        <x:is>
          <x:t xml:space="preserve">Management Promise Reliability</x:t>
        </x:is>
      </x:c>
      <x:c r="I93" s="160" t="inlineStr">
        <x:is>
          <x:t xml:space="preserve">Management over-trust</x:t>
        </x:is>
      </x:c>
      <x:c r="J93" s="160" t="inlineStr">
        <x:is>
          <x:t xml:space="preserve">Guidance or strategic promises are repeated but the model lacks a contemporaneous reliability score.</x:t>
        </x:is>
      </x:c>
      <x:c r="K93" s="160" t="inlineStr">
        <x:is>
          <x:t xml:space="preserve">Share gains and mix across data center, client and accelerators</x:t>
        </x:is>
      </x:c>
      <x:c r="L93" s="160" t="inlineStr">
        <x:is>
          <x:t xml:space="preserve">Cycle-normalized FCF + reverse DCF</x:t>
        </x:is>
      </x:c>
      <x:c r="M93" s="160" t="inlineStr">
        <x:is>
          <x:t xml:space="preserve">WATCH</x:t>
        </x:is>
      </x:c>
      <x:c r="N93" s="160" t="inlineStr">
        <x:is>
          <x:t xml:space="preserve">R-PROM-01</x:t>
        </x:is>
      </x:c>
      <x:c r="O93" s="160" t="inlineStr">
        <x:is>
          <x:t xml:space="preserve">BASE</x:t>
        </x:is>
      </x:c>
      <x:c r="P93" s="160" t="inlineStr">
        <x:is>
          <x:t xml:space="preserve">PARTIAL CATCH</x:t>
        </x:is>
      </x:c>
      <x:c r="Q93" s="160" t="inlineStr">
        <x:is>
          <x:t xml:space="preserve">The base refinement catches the main failure, but evidence thresholds and per-share/counterfactual details remain underspecified.</x:t>
        </x:is>
      </x:c>
      <x:c r="R93" s="160" t="inlineStr">
        <x:is>
          <x:t xml:space="preserve">Use a promises ledger with dated promise, measurable deliverable, due date, outcome and credibility weight.</x:t>
        </x:is>
      </x:c>
      <x:c r="S93" s="160" t="inlineStr">
        <x:is>
          <x:t xml:space="preserve">NO</x:t>
        </x:is>
      </x:c>
      <x:c r="T93" s="160" t="inlineStr">
        <x:is>
          <x:t xml:space="preserve">BASE</x:t>
        </x:is>
      </x:c>
      <x:c r="U93" s="160" t="inlineStr">
        <x:is>
          <x:t xml:space="preserve">V10.5-SIM18</x:t>
        </x:is>
      </x:c>
      <x:c r="V93" s="160" t="inlineStr">
        <x:is>
          <x:t xml:space="preserve">https://ir.amd.com</x:t>
        </x:is>
      </x:c>
      <x:c r="W93" s="160" t="inlineStr">
        <x:is>
          <x:t xml:space="preserve">NO</x:t>
        </x:is>
      </x:c>
      <x:c r="X93" s="160" t="inlineStr">
        <x:is>
          <x:t xml:space="preserve">NONE — DEVELOPMENT ONLY</x:t>
        </x:is>
      </x:c>
      <x:c r="Y93" s="160" t="inlineStr">
        <x:is>
          <x:t xml:space="preserve">Synthetic/adversarial model-development loop. No historical outcome is claimed; no accuracy point is awarded.</x:t>
        </x:is>
      </x:c>
    </x:row>
    <x:row r="94">
      <x:c r="A94" s="160" t="inlineStr">
        <x:is>
          <x:t xml:space="preserve">ML0089</x:t>
        </x:is>
      </x:c>
      <x:c r="B94" s="160" t="inlineStr">
        <x:is>
          <x:t xml:space="preserve">ARG-006</x:t>
        </x:is>
      </x:c>
      <x:c r="C94" s="160" t="inlineStr">
        <x:is>
          <x:t xml:space="preserve">Advanced Micro Devices</x:t>
        </x:is>
      </x:c>
      <x:c r="D94" s="160" t="inlineStr">
        <x:is>
          <x:t xml:space="preserve">AMD</x:t>
        </x:is>
      </x:c>
      <x:c r="E94" s="160" t="inlineStr">
        <x:is>
          <x:t xml:space="preserve">AI &amp; Semiconductors</x:t>
        </x:is>
      </x:c>
      <x:c r="F94" s="160" t="inlineStr">
        <x:is>
          <x:t xml:space="preserve">Development</x:t>
        </x:is>
      </x:c>
      <x:c r="G94" s="160" t="inlineStr">
        <x:is>
          <x:t xml:space="preserve">S09</x:t>
        </x:is>
      </x:c>
      <x:c r="H94" s="160" t="inlineStr">
        <x:is>
          <x:t xml:space="preserve">Data / Accounting Quality</x:t>
        </x:is>
      </x:c>
      <x:c r="I94" s="160" t="inlineStr">
        <x:is>
          <x:t xml:space="preserve">Data quality</x:t>
        </x:is>
      </x:c>
      <x:c r="J94" s="160" t="inlineStr">
        <x:is>
          <x:t xml:space="preserve">Restatement, segment reclassification, one-time item or non-economic fair-value movement distorts the apparent trend.</x:t>
        </x:is>
      </x:c>
      <x:c r="K94" s="160" t="inlineStr">
        <x:is>
          <x:t xml:space="preserve">Share gains and mix across data center, client and accelerators</x:t>
        </x:is>
      </x:c>
      <x:c r="L94" s="160" t="inlineStr">
        <x:is>
          <x:t xml:space="preserve">Cycle-normalized FCF + reverse DCF</x:t>
        </x:is>
      </x:c>
      <x:c r="M94" s="160" t="inlineStr">
        <x:is>
          <x:t xml:space="preserve">WATCH</x:t>
        </x:is>
      </x:c>
      <x:c r="N94" s="160" t="inlineStr">
        <x:is>
          <x:t xml:space="preserve">R-DATA-01</x:t>
        </x:is>
      </x:c>
      <x:c r="O94" s="160" t="inlineStr">
        <x:is>
          <x:t xml:space="preserve">BASE</x:t>
        </x:is>
      </x:c>
      <x:c r="P94" s="160" t="inlineStr">
        <x:is>
          <x:t xml:space="preserve">PARTIAL CATCH</x:t>
        </x:is>
      </x:c>
      <x:c r="Q94" s="160" t="inlineStr">
        <x:is>
          <x:t xml:space="preserve">The base refinement catches the main failure, but evidence thresholds and per-share/counterfactual details remain underspecified.</x:t>
        </x:is>
      </x:c>
      <x:c r="R94" s="160" t="inlineStr">
        <x:is>
          <x:t xml:space="preserve">Add a reporting-quality bridge and normalize accounting noise before any gate can pass.</x:t>
        </x:is>
      </x:c>
      <x:c r="S94" s="160" t="inlineStr">
        <x:is>
          <x:t xml:space="preserve">NO</x:t>
        </x:is>
      </x:c>
      <x:c r="T94" s="160" t="inlineStr">
        <x:is>
          <x:t xml:space="preserve">BASE</x:t>
        </x:is>
      </x:c>
      <x:c r="U94" s="160" t="inlineStr">
        <x:is>
          <x:t xml:space="preserve">V10.5-SIM18</x:t>
        </x:is>
      </x:c>
      <x:c r="V94" s="160" t="inlineStr">
        <x:is>
          <x:t xml:space="preserve">https://ir.amd.com</x:t>
        </x:is>
      </x:c>
      <x:c r="W94" s="160" t="inlineStr">
        <x:is>
          <x:t xml:space="preserve">NO</x:t>
        </x:is>
      </x:c>
      <x:c r="X94" s="160" t="inlineStr">
        <x:is>
          <x:t xml:space="preserve">NONE — DEVELOPMENT ONLY</x:t>
        </x:is>
      </x:c>
      <x:c r="Y94" s="160" t="inlineStr">
        <x:is>
          <x:t xml:space="preserve">Synthetic/adversarial model-development loop. No historical outcome is claimed; no accuracy point is awarded.</x:t>
        </x:is>
      </x:c>
    </x:row>
    <x:row r="95">
      <x:c r="A95" s="160" t="inlineStr">
        <x:is>
          <x:t xml:space="preserve">ML0090</x:t>
        </x:is>
      </x:c>
      <x:c r="B95" s="160" t="inlineStr">
        <x:is>
          <x:t xml:space="preserve">ARG-006</x:t>
        </x:is>
      </x:c>
      <x:c r="C95" s="160" t="inlineStr">
        <x:is>
          <x:t xml:space="preserve">Advanced Micro Devices</x:t>
        </x:is>
      </x:c>
      <x:c r="D95" s="160" t="inlineStr">
        <x:is>
          <x:t xml:space="preserve">AMD</x:t>
        </x:is>
      </x:c>
      <x:c r="E95" s="160" t="inlineStr">
        <x:is>
          <x:t xml:space="preserve">AI &amp; Semiconductors</x:t>
        </x:is>
      </x:c>
      <x:c r="F95" s="160" t="inlineStr">
        <x:is>
          <x:t xml:space="preserve">Development</x:t>
        </x:is>
      </x:c>
      <x:c r="G95" s="160" t="inlineStr">
        <x:is>
          <x:t xml:space="preserve">S10</x:t>
        </x:is>
      </x:c>
      <x:c r="H95" s="160" t="inlineStr">
        <x:is>
          <x:t xml:space="preserve">Control / Counterfactual</x:t>
        </x:is>
      </x:c>
      <x:c r="I95" s="160" t="inlineStr">
        <x:is>
          <x:t xml:space="preserve">Sector beta vs company alpha</x:t>
        </x:is>
      </x:c>
      <x:c r="J95" s="160" t="inlineStr">
        <x:is>
          <x:t xml:space="preserve">A positive outcome is mostly sector beta or macro tailwind, not company-specific alpha.</x:t>
        </x:is>
      </x:c>
      <x:c r="K95" s="160" t="inlineStr">
        <x:is>
          <x:t xml:space="preserve">Share gains and mix across data center, client and accelerators</x:t>
        </x:is>
      </x:c>
      <x:c r="L95" s="160" t="inlineStr">
        <x:is>
          <x:t xml:space="preserve">Cycle-normalized FCF + reverse DCF</x:t>
        </x:is>
      </x:c>
      <x:c r="M95" s="160" t="inlineStr">
        <x:is>
          <x:t xml:space="preserve">WATCH</x:t>
        </x:is>
      </x:c>
      <x:c r="N95" s="160" t="inlineStr">
        <x:is>
          <x:t xml:space="preserve">R-CF-01</x:t>
        </x:is>
      </x:c>
      <x:c r="O95" s="160" t="inlineStr">
        <x:is>
          <x:t xml:space="preserve">BASE</x:t>
        </x:is>
      </x:c>
      <x:c r="P95" s="160" t="inlineStr">
        <x:is>
          <x:t xml:space="preserve">PARTIAL CATCH</x:t>
        </x:is>
      </x:c>
      <x:c r="Q95" s="160" t="inlineStr">
        <x:is>
          <x:t xml:space="preserve">The base refinement catches the main failure, but evidence thresholds and per-share/counterfactual details remain underspecified.</x:t>
        </x:is>
      </x:c>
      <x:c r="R95" s="160" t="inlineStr">
        <x:is>
          <x:t xml:space="preserve">Require a true economic control and counterfactual: what should have happened to a comparable company under the same shock?</x:t>
        </x:is>
      </x:c>
      <x:c r="S95" s="160" t="inlineStr">
        <x:is>
          <x:t xml:space="preserve">NO</x:t>
        </x:is>
      </x:c>
      <x:c r="T95" s="160" t="inlineStr">
        <x:is>
          <x:t xml:space="preserve">BASE</x:t>
        </x:is>
      </x:c>
      <x:c r="U95" s="160" t="inlineStr">
        <x:is>
          <x:t xml:space="preserve">V10.5-SIM18</x:t>
        </x:is>
      </x:c>
      <x:c r="V95" s="160" t="inlineStr">
        <x:is>
          <x:t xml:space="preserve">https://ir.amd.com</x:t>
        </x:is>
      </x:c>
      <x:c r="W95" s="160" t="inlineStr">
        <x:is>
          <x:t xml:space="preserve">NO</x:t>
        </x:is>
      </x:c>
      <x:c r="X95" s="160" t="inlineStr">
        <x:is>
          <x:t xml:space="preserve">NONE — DEVELOPMENT ONLY</x:t>
        </x:is>
      </x:c>
      <x:c r="Y95" s="160" t="inlineStr">
        <x:is>
          <x:t xml:space="preserve">Synthetic/adversarial model-development loop. No historical outcome is claimed; no accuracy point is awarded.</x:t>
        </x:is>
      </x:c>
    </x:row>
    <x:row r="96">
      <x:c r="A96" s="160" t="inlineStr">
        <x:is>
          <x:t xml:space="preserve">ML0091</x:t>
        </x:is>
      </x:c>
      <x:c r="B96" s="160" t="inlineStr">
        <x:is>
          <x:t xml:space="preserve">ARG-006</x:t>
        </x:is>
      </x:c>
      <x:c r="C96" s="160" t="inlineStr">
        <x:is>
          <x:t xml:space="preserve">Advanced Micro Devices</x:t>
        </x:is>
      </x:c>
      <x:c r="D96" s="160" t="inlineStr">
        <x:is>
          <x:t xml:space="preserve">AMD</x:t>
        </x:is>
      </x:c>
      <x:c r="E96" s="160" t="inlineStr">
        <x:is>
          <x:t xml:space="preserve">AI &amp; Semiconductors</x:t>
        </x:is>
      </x:c>
      <x:c r="F96" s="160" t="inlineStr">
        <x:is>
          <x:t xml:space="preserve">Development</x:t>
        </x:is>
      </x:c>
      <x:c r="G96" s="160" t="inlineStr">
        <x:is>
          <x:t xml:space="preserve">S11</x:t>
        </x:is>
      </x:c>
      <x:c r="H96" s="160" t="inlineStr">
        <x:is>
          <x:t xml:space="preserve">False-Negative Discipline</x:t>
        </x:is>
      </x:c>
      <x:c r="I96" s="160" t="inlineStr">
        <x:is>
          <x:t xml:space="preserve">False negative</x:t>
        </x:is>
      </x:c>
      <x:c r="J96" s="160" t="inlineStr">
        <x:is>
          <x:t xml:space="preserve">A strict gate rejects a company that later compounds strongly for reasons the model could have known.</x:t>
        </x:is>
      </x:c>
      <x:c r="K96" s="160" t="inlineStr">
        <x:is>
          <x:t xml:space="preserve">Share gains and mix across data center, client and accelerators</x:t>
        </x:is>
      </x:c>
      <x:c r="L96" s="160" t="inlineStr">
        <x:is>
          <x:t xml:space="preserve">Cycle-normalized FCF + reverse DCF</x:t>
        </x:is>
      </x:c>
      <x:c r="M96" s="160" t="inlineStr">
        <x:is>
          <x:t xml:space="preserve">WATCH</x:t>
        </x:is>
      </x:c>
      <x:c r="N96" s="160" t="inlineStr">
        <x:is>
          <x:t xml:space="preserve">R-FN-01</x:t>
        </x:is>
      </x:c>
      <x:c r="O96" s="160" t="inlineStr">
        <x:is>
          <x:t xml:space="preserve">BASE</x:t>
        </x:is>
      </x:c>
      <x:c r="P96" s="160" t="inlineStr">
        <x:is>
          <x:t xml:space="preserve">PARTIAL CATCH</x:t>
        </x:is>
      </x:c>
      <x:c r="Q96" s="160" t="inlineStr">
        <x:is>
          <x:t xml:space="preserve">The base refinement catches the main failure, but evidence thresholds and per-share/counterfactual details remain underspecified.</x:t>
        </x:is>
      </x:c>
      <x:c r="R96" s="160" t="inlineStr">
        <x:is>
          <x:t xml:space="preserve">Track opportunity cost and classify whether the miss came from evidence timing, wrong threshold or genuinely unknowable upside.</x:t>
        </x:is>
      </x:c>
      <x:c r="S96" s="160" t="inlineStr">
        <x:is>
          <x:t xml:space="preserve">NO</x:t>
        </x:is>
      </x:c>
      <x:c r="T96" s="160" t="inlineStr">
        <x:is>
          <x:t xml:space="preserve">BASE</x:t>
        </x:is>
      </x:c>
      <x:c r="U96" s="160" t="inlineStr">
        <x:is>
          <x:t xml:space="preserve">V10.5-SIM18</x:t>
        </x:is>
      </x:c>
      <x:c r="V96" s="160" t="inlineStr">
        <x:is>
          <x:t xml:space="preserve">https://ir.amd.com</x:t>
        </x:is>
      </x:c>
      <x:c r="W96" s="160" t="inlineStr">
        <x:is>
          <x:t xml:space="preserve">NO</x:t>
        </x:is>
      </x:c>
      <x:c r="X96" s="160" t="inlineStr">
        <x:is>
          <x:t xml:space="preserve">NONE — DEVELOPMENT ONLY</x:t>
        </x:is>
      </x:c>
      <x:c r="Y96" s="160" t="inlineStr">
        <x:is>
          <x:t xml:space="preserve">Synthetic/adversarial model-development loop. No historical outcome is claimed; no accuracy point is awarded.</x:t>
        </x:is>
      </x:c>
    </x:row>
    <x:row r="97">
      <x:c r="A97" s="160" t="inlineStr">
        <x:is>
          <x:t xml:space="preserve">ML0092</x:t>
        </x:is>
      </x:c>
      <x:c r="B97" s="160" t="inlineStr">
        <x:is>
          <x:t xml:space="preserve">ARG-006</x:t>
        </x:is>
      </x:c>
      <x:c r="C97" s="160" t="inlineStr">
        <x:is>
          <x:t xml:space="preserve">Advanced Micro Devices</x:t>
        </x:is>
      </x:c>
      <x:c r="D97" s="160" t="inlineStr">
        <x:is>
          <x:t xml:space="preserve">AMD</x:t>
        </x:is>
      </x:c>
      <x:c r="E97" s="160" t="inlineStr">
        <x:is>
          <x:t xml:space="preserve">AI &amp; Semiconductors</x:t>
        </x:is>
      </x:c>
      <x:c r="F97" s="160" t="inlineStr">
        <x:is>
          <x:t xml:space="preserve">Development</x:t>
        </x:is>
      </x:c>
      <x:c r="G97" s="160" t="inlineStr">
        <x:is>
          <x:t xml:space="preserve">S12</x:t>
        </x:is>
      </x:c>
      <x:c r="H97" s="160" t="inlineStr">
        <x:is>
          <x:t xml:space="preserve">Lead-Time / Early Sensor</x:t>
        </x:is>
      </x:c>
      <x:c r="I97" s="160" t="inlineStr">
        <x:is>
          <x:t xml:space="preserve">Timing / lead-time</x:t>
        </x:is>
      </x:c>
      <x:c r="J97" s="160" t="inlineStr">
        <x:is>
          <x:t xml:space="preserve">ARGUS identifies the change correctly but only after consensus and price have already reacted.</x:t>
        </x:is>
      </x:c>
      <x:c r="K97" s="160" t="inlineStr">
        <x:is>
          <x:t xml:space="preserve">Share gains and mix across data center, client and accelerators</x:t>
        </x:is>
      </x:c>
      <x:c r="L97" s="160" t="inlineStr">
        <x:is>
          <x:t xml:space="preserve">Cycle-normalized FCF + reverse DCF</x:t>
        </x:is>
      </x:c>
      <x:c r="M97" s="160" t="inlineStr">
        <x:is>
          <x:t xml:space="preserve">WATCH</x:t>
        </x:is>
      </x:c>
      <x:c r="N97" s="160" t="inlineStr">
        <x:is>
          <x:t xml:space="preserve">R-TIME-01</x:t>
        </x:is>
      </x:c>
      <x:c r="O97" s="160" t="inlineStr">
        <x:is>
          <x:t xml:space="preserve">BASE</x:t>
        </x:is>
      </x:c>
      <x:c r="P97" s="160" t="inlineStr">
        <x:is>
          <x:t xml:space="preserve">PARTIAL CATCH</x:t>
        </x:is>
      </x:c>
      <x:c r="Q97" s="160" t="inlineStr">
        <x:is>
          <x:t xml:space="preserve">The base refinement catches the main failure, but evidence thresholds and per-share/counterfactual details remain underspecified.</x:t>
        </x:is>
      </x:c>
      <x:c r="R97" s="160" t="inlineStr">
        <x:is>
          <x:t xml:space="preserve">Replace lagging financial metrics with earlier causal operating sensors and record lead time separately from correctness.</x:t>
        </x:is>
      </x:c>
      <x:c r="S97" s="160" t="inlineStr">
        <x:is>
          <x:t xml:space="preserve">NO</x:t>
        </x:is>
      </x:c>
      <x:c r="T97" s="160" t="inlineStr">
        <x:is>
          <x:t xml:space="preserve">BASE</x:t>
        </x:is>
      </x:c>
      <x:c r="U97" s="160" t="inlineStr">
        <x:is>
          <x:t xml:space="preserve">V10.5-SIM18</x:t>
        </x:is>
      </x:c>
      <x:c r="V97" s="160" t="inlineStr">
        <x:is>
          <x:t xml:space="preserve">https://ir.amd.com</x:t>
        </x:is>
      </x:c>
      <x:c r="W97" s="160" t="inlineStr">
        <x:is>
          <x:t xml:space="preserve">NO</x:t>
        </x:is>
      </x:c>
      <x:c r="X97" s="160" t="inlineStr">
        <x:is>
          <x:t xml:space="preserve">NONE — DEVELOPMENT ONLY</x:t>
        </x:is>
      </x:c>
      <x:c r="Y97" s="160" t="inlineStr">
        <x:is>
          <x:t xml:space="preserve">Synthetic/adversarial model-development loop. No historical outcome is claimed; no accuracy point is awarded.</x:t>
        </x:is>
      </x:c>
    </x:row>
    <x:row r="98">
      <x:c r="A98" s="160" t="inlineStr">
        <x:is>
          <x:t xml:space="preserve">ML0093</x:t>
        </x:is>
      </x:c>
      <x:c r="B98" s="160" t="inlineStr">
        <x:is>
          <x:t xml:space="preserve">ARG-006</x:t>
        </x:is>
      </x:c>
      <x:c r="C98" s="160" t="inlineStr">
        <x:is>
          <x:t xml:space="preserve">Advanced Micro Devices</x:t>
        </x:is>
      </x:c>
      <x:c r="D98" s="160" t="inlineStr">
        <x:is>
          <x:t xml:space="preserve">AMD</x:t>
        </x:is>
      </x:c>
      <x:c r="E98" s="160" t="inlineStr">
        <x:is>
          <x:t xml:space="preserve">AI &amp; Semiconductors</x:t>
        </x:is>
      </x:c>
      <x:c r="F98" s="160" t="inlineStr">
        <x:is>
          <x:t xml:space="preserve">Development</x:t>
        </x:is>
      </x:c>
      <x:c r="G98" s="160" t="inlineStr">
        <x:is>
          <x:t xml:space="preserve">S13</x:t>
        </x:is>
      </x:c>
      <x:c r="H98" s="160" t="inlineStr">
        <x:is>
          <x:t xml:space="preserve">Cycle Normalization</x:t>
        </x:is>
      </x:c>
      <x:c r="I98" s="160" t="inlineStr">
        <x:is>
          <x:t xml:space="preserve">Wrong valuation lens</x:t>
        </x:is>
      </x:c>
      <x:c r="J98" s="160" t="inlineStr">
        <x:is>
          <x:t xml:space="preserve">Peak/trough earnings are mistaken for normalized earning power.</x:t>
        </x:is>
      </x:c>
      <x:c r="K98" s="160" t="inlineStr">
        <x:is>
          <x:t xml:space="preserve">Share gains and mix across data center, client and accelerators</x:t>
        </x:is>
      </x:c>
      <x:c r="L98" s="160" t="inlineStr">
        <x:is>
          <x:t xml:space="preserve">Cycle-normalized FCF + reverse DCF</x:t>
        </x:is>
      </x:c>
      <x:c r="M98" s="160" t="inlineStr">
        <x:is>
          <x:t xml:space="preserve">WATCH</x:t>
        </x:is>
      </x:c>
      <x:c r="N98" s="160" t="inlineStr">
        <x:is>
          <x:t xml:space="preserve">R-CYCLE-01</x:t>
        </x:is>
      </x:c>
      <x:c r="O98" s="160" t="inlineStr">
        <x:is>
          <x:t xml:space="preserve">BASE</x:t>
        </x:is>
      </x:c>
      <x:c r="P98" s="160" t="inlineStr">
        <x:is>
          <x:t xml:space="preserve">PARTIAL CATCH</x:t>
        </x:is>
      </x:c>
      <x:c r="Q98" s="160" t="inlineStr">
        <x:is>
          <x:t xml:space="preserve">The base refinement catches the main failure, but evidence thresholds and per-share/counterfactual details remain underspecified.</x:t>
        </x:is>
      </x:c>
      <x:c r="R98" s="160" t="inlineStr">
        <x:is>
          <x:t xml:space="preserve">Use sector-specific mid-cycle/NAV/rate-base/rNPV normalization before applying a valuation multiple.</x:t>
        </x:is>
      </x:c>
      <x:c r="S98" s="160" t="inlineStr">
        <x:is>
          <x:t xml:space="preserve">NO</x:t>
        </x:is>
      </x:c>
      <x:c r="T98" s="160" t="inlineStr">
        <x:is>
          <x:t xml:space="preserve">BASE</x:t>
        </x:is>
      </x:c>
      <x:c r="U98" s="160" t="inlineStr">
        <x:is>
          <x:t xml:space="preserve">V10.5-SIM18</x:t>
        </x:is>
      </x:c>
      <x:c r="V98" s="160" t="inlineStr">
        <x:is>
          <x:t xml:space="preserve">https://ir.amd.com</x:t>
        </x:is>
      </x:c>
      <x:c r="W98" s="160" t="inlineStr">
        <x:is>
          <x:t xml:space="preserve">NO</x:t>
        </x:is>
      </x:c>
      <x:c r="X98" s="160" t="inlineStr">
        <x:is>
          <x:t xml:space="preserve">NONE — DEVELOPMENT ONLY</x:t>
        </x:is>
      </x:c>
      <x:c r="Y98" s="160" t="inlineStr">
        <x:is>
          <x:t xml:space="preserve">Synthetic/adversarial model-development loop. No historical outcome is claimed; no accuracy point is awarded.</x:t>
        </x:is>
      </x:c>
    </x:row>
    <x:row r="99">
      <x:c r="A99" s="160" t="inlineStr">
        <x:is>
          <x:t xml:space="preserve">ML0094</x:t>
        </x:is>
      </x:c>
      <x:c r="B99" s="160" t="inlineStr">
        <x:is>
          <x:t xml:space="preserve">ARG-006</x:t>
        </x:is>
      </x:c>
      <x:c r="C99" s="160" t="inlineStr">
        <x:is>
          <x:t xml:space="preserve">Advanced Micro Devices</x:t>
        </x:is>
      </x:c>
      <x:c r="D99" s="160" t="inlineStr">
        <x:is>
          <x:t xml:space="preserve">AMD</x:t>
        </x:is>
      </x:c>
      <x:c r="E99" s="160" t="inlineStr">
        <x:is>
          <x:t xml:space="preserve">AI &amp; Semiconductors</x:t>
        </x:is>
      </x:c>
      <x:c r="F99" s="160" t="inlineStr">
        <x:is>
          <x:t xml:space="preserve">Development</x:t>
        </x:is>
      </x:c>
      <x:c r="G99" s="160" t="inlineStr">
        <x:is>
          <x:t xml:space="preserve">S14</x:t>
        </x:is>
      </x:c>
      <x:c r="H99" s="160" t="inlineStr">
        <x:is>
          <x:t xml:space="preserve">M&amp;A / Organic Growth Separation</x:t>
        </x:is>
      </x:c>
      <x:c r="I99" s="160" t="inlineStr">
        <x:is>
          <x:t xml:space="preserve">Stewardship</x:t>
        </x:is>
      </x:c>
      <x:c r="J99" s="160" t="inlineStr">
        <x:is>
          <x:t xml:space="preserve">Acquisition-driven growth masks weak organic economics or poor incremental ROIC.</x:t>
        </x:is>
      </x:c>
      <x:c r="K99" s="160" t="inlineStr">
        <x:is>
          <x:t xml:space="preserve">Share gains and mix across data center, client and accelerators</x:t>
        </x:is>
      </x:c>
      <x:c r="L99" s="160" t="inlineStr">
        <x:is>
          <x:t xml:space="preserve">Cycle-normalized FCF + reverse DCF</x:t>
        </x:is>
      </x:c>
      <x:c r="M99" s="160" t="inlineStr">
        <x:is>
          <x:t xml:space="preserve">WATCH</x:t>
        </x:is>
      </x:c>
      <x:c r="N99" s="160" t="inlineStr">
        <x:is>
          <x:t xml:space="preserve">R-MA-01</x:t>
        </x:is>
      </x:c>
      <x:c r="O99" s="160" t="inlineStr">
        <x:is>
          <x:t xml:space="preserve">BASE</x:t>
        </x:is>
      </x:c>
      <x:c r="P99" s="160" t="inlineStr">
        <x:is>
          <x:t xml:space="preserve">PARTIAL CATCH</x:t>
        </x:is>
      </x:c>
      <x:c r="Q99" s="160" t="inlineStr">
        <x:is>
          <x:t xml:space="preserve">The base refinement catches the main failure, but evidence thresholds and per-share/counterfactual details remain underspecified.</x:t>
        </x:is>
      </x:c>
      <x:c r="R99" s="160" t="inlineStr">
        <x:is>
          <x:t xml:space="preserve">Bridge organic growth, acquired growth, purchase price, integration costs and acquisition-cohort ROIC.</x:t>
        </x:is>
      </x:c>
      <x:c r="S99" s="160" t="inlineStr">
        <x:is>
          <x:t xml:space="preserve">NO</x:t>
        </x:is>
      </x:c>
      <x:c r="T99" s="160" t="inlineStr">
        <x:is>
          <x:t xml:space="preserve">BASE</x:t>
        </x:is>
      </x:c>
      <x:c r="U99" s="160" t="inlineStr">
        <x:is>
          <x:t xml:space="preserve">V10.5-SIM18</x:t>
        </x:is>
      </x:c>
      <x:c r="V99" s="160" t="inlineStr">
        <x:is>
          <x:t xml:space="preserve">https://ir.amd.com</x:t>
        </x:is>
      </x:c>
      <x:c r="W99" s="160" t="inlineStr">
        <x:is>
          <x:t xml:space="preserve">NO</x:t>
        </x:is>
      </x:c>
      <x:c r="X99" s="160" t="inlineStr">
        <x:is>
          <x:t xml:space="preserve">NONE — DEVELOPMENT ONLY</x:t>
        </x:is>
      </x:c>
      <x:c r="Y99" s="160" t="inlineStr">
        <x:is>
          <x:t xml:space="preserve">Synthetic/adversarial model-development loop. No historical outcome is claimed; no accuracy point is awarded.</x:t>
        </x:is>
      </x:c>
    </x:row>
    <x:row r="100">
      <x:c r="A100" s="160" t="inlineStr">
        <x:is>
          <x:t xml:space="preserve">ML0095</x:t>
        </x:is>
      </x:c>
      <x:c r="B100" s="160" t="inlineStr">
        <x:is>
          <x:t xml:space="preserve">ARG-006</x:t>
        </x:is>
      </x:c>
      <x:c r="C100" s="160" t="inlineStr">
        <x:is>
          <x:t xml:space="preserve">Advanced Micro Devices</x:t>
        </x:is>
      </x:c>
      <x:c r="D100" s="160" t="inlineStr">
        <x:is>
          <x:t xml:space="preserve">AMD</x:t>
        </x:is>
      </x:c>
      <x:c r="E100" s="160" t="inlineStr">
        <x:is>
          <x:t xml:space="preserve">AI &amp; Semiconductors</x:t>
        </x:is>
      </x:c>
      <x:c r="F100" s="160" t="inlineStr">
        <x:is>
          <x:t xml:space="preserve">Development</x:t>
        </x:is>
      </x:c>
      <x:c r="G100" s="160" t="inlineStr">
        <x:is>
          <x:t xml:space="preserve">S15</x:t>
        </x:is>
      </x:c>
      <x:c r="H100" s="160" t="inlineStr">
        <x:is>
          <x:t xml:space="preserve">Financing / Dilution Per Share</x:t>
        </x:is>
      </x:c>
      <x:c r="I100" s="160" t="inlineStr">
        <x:is>
          <x:t xml:space="preserve">Stewardship</x:t>
        </x:is>
      </x:c>
      <x:c r="J100" s="160" t="inlineStr">
        <x:is>
          <x:t xml:space="preserve">Cash balance or revenue growth improves while financing causes material per-share value leakage.</x:t>
        </x:is>
      </x:c>
      <x:c r="K100" s="160" t="inlineStr">
        <x:is>
          <x:t xml:space="preserve">Share gains and mix across data center, client and accelerators</x:t>
        </x:is>
      </x:c>
      <x:c r="L100" s="160" t="inlineStr">
        <x:is>
          <x:t xml:space="preserve">Cycle-normalized FCF + reverse DCF</x:t>
        </x:is>
      </x:c>
      <x:c r="M100" s="160" t="inlineStr">
        <x:is>
          <x:t xml:space="preserve">WATCH</x:t>
        </x:is>
      </x:c>
      <x:c r="N100" s="160" t="inlineStr">
        <x:is>
          <x:t xml:space="preserve">R-DIL-01</x:t>
        </x:is>
      </x:c>
      <x:c r="O100" s="160" t="inlineStr">
        <x:is>
          <x:t xml:space="preserve">BASE</x:t>
        </x:is>
      </x:c>
      <x:c r="P100" s="160" t="inlineStr">
        <x:is>
          <x:t xml:space="preserve">PARTIAL CATCH</x:t>
        </x:is>
      </x:c>
      <x:c r="Q100" s="160" t="inlineStr">
        <x:is>
          <x:t xml:space="preserve">The base refinement catches the main failure, but evidence thresholds and per-share/counterfactual details remain underspecified.</x:t>
        </x:is>
      </x:c>
      <x:c r="R100" s="160" t="inlineStr">
        <x:is>
          <x:t xml:space="preserve">Reconcile share-count growth, SBC, equity issuance, buybacks and net cash changes to per-share intrinsic value.</x:t>
        </x:is>
      </x:c>
      <x:c r="S100" s="160" t="inlineStr">
        <x:is>
          <x:t xml:space="preserve">NO</x:t>
        </x:is>
      </x:c>
      <x:c r="T100" s="160" t="inlineStr">
        <x:is>
          <x:t xml:space="preserve">BASE</x:t>
        </x:is>
      </x:c>
      <x:c r="U100" s="160" t="inlineStr">
        <x:is>
          <x:t xml:space="preserve">V10.5-SIM18</x:t>
        </x:is>
      </x:c>
      <x:c r="V100" s="160" t="inlineStr">
        <x:is>
          <x:t xml:space="preserve">https://ir.amd.com</x:t>
        </x:is>
      </x:c>
      <x:c r="W100" s="160" t="inlineStr">
        <x:is>
          <x:t xml:space="preserve">NO</x:t>
        </x:is>
      </x:c>
      <x:c r="X100" s="160" t="inlineStr">
        <x:is>
          <x:t xml:space="preserve">NONE — DEVELOPMENT ONLY</x:t>
        </x:is>
      </x:c>
      <x:c r="Y100" s="160" t="inlineStr">
        <x:is>
          <x:t xml:space="preserve">Synthetic/adversarial model-development loop. No historical outcome is claimed; no accuracy point is awarded.</x:t>
        </x:is>
      </x:c>
    </x:row>
    <x:row r="101">
      <x:c r="A101" s="160" t="inlineStr">
        <x:is>
          <x:t xml:space="preserve">ML0096</x:t>
        </x:is>
      </x:c>
      <x:c r="B101" s="160" t="inlineStr">
        <x:is>
          <x:t xml:space="preserve">ARG-006</x:t>
        </x:is>
      </x:c>
      <x:c r="C101" s="160" t="inlineStr">
        <x:is>
          <x:t xml:space="preserve">Advanced Micro Devices</x:t>
        </x:is>
      </x:c>
      <x:c r="D101" s="160" t="inlineStr">
        <x:is>
          <x:t xml:space="preserve">AMD</x:t>
        </x:is>
      </x:c>
      <x:c r="E101" s="160" t="inlineStr">
        <x:is>
          <x:t xml:space="preserve">AI &amp; Semiconductors</x:t>
        </x:is>
      </x:c>
      <x:c r="F101" s="160" t="inlineStr">
        <x:is>
          <x:t xml:space="preserve">Development</x:t>
        </x:is>
      </x:c>
      <x:c r="G101" s="160" t="inlineStr">
        <x:is>
          <x:t xml:space="preserve">S16</x:t>
        </x:is>
      </x:c>
      <x:c r="H101" s="160" t="inlineStr">
        <x:is>
          <x:t xml:space="preserve">Concentration / Tail Risk</x:t>
        </x:is>
      </x:c>
      <x:c r="I101" s="160" t="inlineStr">
        <x:is>
          <x:t xml:space="preserve">Survival</x:t>
        </x:is>
      </x:c>
      <x:c r="J101" s="160" t="inlineStr">
        <x:is>
          <x:t xml:space="preserve">A concentrated supplier, geography, customer, product, patent, regulatory or technology dependency creates asymmetric permanent-loss risk.</x:t>
        </x:is>
      </x:c>
      <x:c r="K101" s="160" t="inlineStr">
        <x:is>
          <x:t xml:space="preserve">Share gains and mix across data center, client and accelerators</x:t>
        </x:is>
      </x:c>
      <x:c r="L101" s="160" t="inlineStr">
        <x:is>
          <x:t xml:space="preserve">Cycle-normalized FCF + reverse DCF</x:t>
        </x:is>
      </x:c>
      <x:c r="M101" s="160" t="inlineStr">
        <x:is>
          <x:t xml:space="preserve">WATCH</x:t>
        </x:is>
      </x:c>
      <x:c r="N101" s="160" t="inlineStr">
        <x:is>
          <x:t xml:space="preserve">R-TAIL-01</x:t>
        </x:is>
      </x:c>
      <x:c r="O101" s="160" t="inlineStr">
        <x:is>
          <x:t xml:space="preserve">BASE</x:t>
        </x:is>
      </x:c>
      <x:c r="P101" s="160" t="inlineStr">
        <x:is>
          <x:t xml:space="preserve">PARTIAL CATCH</x:t>
        </x:is>
      </x:c>
      <x:c r="Q101" s="160" t="inlineStr">
        <x:is>
          <x:t xml:space="preserve">The base refinement catches the main failure, but evidence thresholds and per-share/counterfactual details remain underspecified.</x:t>
        </x:is>
      </x:c>
      <x:c r="R101" s="160" t="inlineStr">
        <x:is>
          <x:t xml:space="preserve">Maintain an explicit concentration/tail-risk register with probability, severity, mitigation and required margin-of-safety premium.</x:t>
        </x:is>
      </x:c>
      <x:c r="S101" s="160" t="inlineStr">
        <x:is>
          <x:t xml:space="preserve">NO</x:t>
        </x:is>
      </x:c>
      <x:c r="T101" s="160" t="inlineStr">
        <x:is>
          <x:t xml:space="preserve">BASE</x:t>
        </x:is>
      </x:c>
      <x:c r="U101" s="160" t="inlineStr">
        <x:is>
          <x:t xml:space="preserve">V10.5-SIM18</x:t>
        </x:is>
      </x:c>
      <x:c r="V101" s="160" t="inlineStr">
        <x:is>
          <x:t xml:space="preserve">https://ir.amd.com</x:t>
        </x:is>
      </x:c>
      <x:c r="W101" s="160" t="inlineStr">
        <x:is>
          <x:t xml:space="preserve">NO</x:t>
        </x:is>
      </x:c>
      <x:c r="X101" s="160" t="inlineStr">
        <x:is>
          <x:t xml:space="preserve">NONE — DEVELOPMENT ONLY</x:t>
        </x:is>
      </x:c>
      <x:c r="Y101" s="160" t="inlineStr">
        <x:is>
          <x:t xml:space="preserve">Synthetic/adversarial model-development loop. No historical outcome is claimed; no accuracy point is awarded.</x:t>
        </x:is>
      </x:c>
    </x:row>
    <x:row r="102">
      <x:c r="A102" s="160" t="inlineStr">
        <x:is>
          <x:t xml:space="preserve">ML0097</x:t>
        </x:is>
      </x:c>
      <x:c r="B102" s="160" t="inlineStr">
        <x:is>
          <x:t xml:space="preserve">ARG-007</x:t>
        </x:is>
      </x:c>
      <x:c r="C102" s="160" t="inlineStr">
        <x:is>
          <x:t xml:space="preserve">Taiwan Semiconductor Manufacturing</x:t>
        </x:is>
      </x:c>
      <x:c r="D102" s="160" t="inlineStr">
        <x:is>
          <x:t xml:space="preserve">TSM</x:t>
        </x:is>
      </x:c>
      <x:c r="E102" s="160" t="inlineStr">
        <x:is>
          <x:t xml:space="preserve">AI &amp; Semiconductors</x:t>
        </x:is>
      </x:c>
      <x:c r="F102" s="160" t="inlineStr">
        <x:is>
          <x:t xml:space="preserve">Development</x:t>
        </x:is>
      </x:c>
      <x:c r="G102" s="160" t="inlineStr">
        <x:is>
          <x:t xml:space="preserve">S01</x:t>
        </x:is>
      </x:c>
      <x:c r="H102" s="160" t="inlineStr">
        <x:is>
          <x:t xml:space="preserve">Understanding Gate</x:t>
        </x:is>
      </x:c>
      <x:c r="I102" s="160" t="inlineStr">
        <x:is>
          <x:t xml:space="preserve">Understanding</x:t>
        </x:is>
      </x:c>
      <x:c r="J102" s="160" t="inlineStr">
        <x:is>
          <x:t xml:space="preserve">Causal engine / customer ROI chain breaks under a misleading headline KPI.</x:t>
        </x:is>
      </x:c>
      <x:c r="K102" s="160" t="inlineStr">
        <x:is>
          <x:t xml:space="preserve">Wafer demand × node mix × utilization × pricing</x:t>
        </x:is>
      </x:c>
      <x:c r="L102" s="160" t="inlineStr">
        <x:is>
          <x:t xml:space="preserve">Mid-cycle FCF + replacement cost</x:t>
        </x:is>
      </x:c>
      <x:c r="M102" s="160" t="inlineStr">
        <x:is>
          <x:t xml:space="preserve">WATCH</x:t>
        </x:is>
      </x:c>
      <x:c r="N102" s="160" t="inlineStr">
        <x:is>
          <x:t xml:space="preserve">R-ENG-01</x:t>
        </x:is>
      </x:c>
      <x:c r="O102" s="160" t="inlineStr">
        <x:is>
          <x:t xml:space="preserve">BASE</x:t>
        </x:is>
      </x:c>
      <x:c r="P102" s="160" t="inlineStr">
        <x:is>
          <x:t xml:space="preserve">PARTIAL CATCH</x:t>
        </x:is>
      </x:c>
      <x:c r="Q102" s="160" t="inlineStr">
        <x:is>
          <x:t xml:space="preserve">The base refinement catches the main failure, but evidence thresholds and per-share/counterfactual details remain underspecified.</x:t>
        </x:is>
      </x:c>
      <x:c r="R102" s="160" t="inlineStr">
        <x:is>
          <x:t xml:space="preserve">Force an explicit engine tree: customer job → unit economics → revenue driver → owner-value bridge.</x:t>
        </x:is>
      </x:c>
      <x:c r="S102" s="160" t="inlineStr">
        <x:is>
          <x:t xml:space="preserve">NO</x:t>
        </x:is>
      </x:c>
      <x:c r="T102" s="160" t="inlineStr">
        <x:is>
          <x:t xml:space="preserve">BASE</x:t>
        </x:is>
      </x:c>
      <x:c r="U102" s="160" t="inlineStr">
        <x:is>
          <x:t xml:space="preserve">V10.5-SIM18</x:t>
        </x:is>
      </x:c>
      <x:c r="V102" s="160" t="inlineStr">
        <x:is>
          <x:t xml:space="preserve">https://investor.tsmc.com</x:t>
        </x:is>
      </x:c>
      <x:c r="W102" s="160" t="inlineStr">
        <x:is>
          <x:t xml:space="preserve">NO</x:t>
        </x:is>
      </x:c>
      <x:c r="X102" s="160" t="inlineStr">
        <x:is>
          <x:t xml:space="preserve">NONE — DEVELOPMENT ONLY</x:t>
        </x:is>
      </x:c>
      <x:c r="Y102" s="160" t="inlineStr">
        <x:is>
          <x:t xml:space="preserve">Synthetic/adversarial model-development loop. No historical outcome is claimed; no accuracy point is awarded.</x:t>
        </x:is>
      </x:c>
    </x:row>
    <x:row r="103">
      <x:c r="A103" s="160" t="inlineStr">
        <x:is>
          <x:t xml:space="preserve">ML0098</x:t>
        </x:is>
      </x:c>
      <x:c r="B103" s="160" t="inlineStr">
        <x:is>
          <x:t xml:space="preserve">ARG-007</x:t>
        </x:is>
      </x:c>
      <x:c r="C103" s="160" t="inlineStr">
        <x:is>
          <x:t xml:space="preserve">Taiwan Semiconductor Manufacturing</x:t>
        </x:is>
      </x:c>
      <x:c r="D103" s="160" t="inlineStr">
        <x:is>
          <x:t xml:space="preserve">TSM</x:t>
        </x:is>
      </x:c>
      <x:c r="E103" s="160" t="inlineStr">
        <x:is>
          <x:t xml:space="preserve">AI &amp; Semiconductors</x:t>
        </x:is>
      </x:c>
      <x:c r="F103" s="160" t="inlineStr">
        <x:is>
          <x:t xml:space="preserve">Development</x:t>
        </x:is>
      </x:c>
      <x:c r="G103" s="160" t="inlineStr">
        <x:is>
          <x:t xml:space="preserve">S02</x:t>
        </x:is>
      </x:c>
      <x:c r="H103" s="160" t="inlineStr">
        <x:is>
          <x:t xml:space="preserve">Owner Earnings Normalization</x:t>
        </x:is>
      </x:c>
      <x:c r="I103" s="160" t="inlineStr">
        <x:is>
          <x:t xml:space="preserve">Owner Earnings</x:t>
        </x:is>
      </x:c>
      <x:c r="J103" s="160" t="inlineStr">
        <x:is>
          <x:t xml:space="preserve">Reported earnings/FCF overstates economic cash because recurring reinvestment or non-cash compensation is misclassified.</x:t>
        </x:is>
      </x:c>
      <x:c r="K103" s="160" t="inlineStr">
        <x:is>
          <x:t xml:space="preserve">Wafer demand × node mix × utilization × pricing</x:t>
        </x:is>
      </x:c>
      <x:c r="L103" s="160" t="inlineStr">
        <x:is>
          <x:t xml:space="preserve">Mid-cycle FCF + replacement cost</x:t>
        </x:is>
      </x:c>
      <x:c r="M103" s="160" t="inlineStr">
        <x:is>
          <x:t xml:space="preserve">WATCH</x:t>
        </x:is>
      </x:c>
      <x:c r="N103" s="160" t="inlineStr">
        <x:is>
          <x:t xml:space="preserve">R-OE-01</x:t>
        </x:is>
      </x:c>
      <x:c r="O103" s="160" t="inlineStr">
        <x:is>
          <x:t xml:space="preserve">BASE</x:t>
        </x:is>
      </x:c>
      <x:c r="P103" s="160" t="inlineStr">
        <x:is>
          <x:t xml:space="preserve">PARTIAL CATCH</x:t>
        </x:is>
      </x:c>
      <x:c r="Q103" s="160" t="inlineStr">
        <x:is>
          <x:t xml:space="preserve">The base refinement catches the main failure, but evidence thresholds and per-share/counterfactual details remain underspecified.</x:t>
        </x:is>
      </x:c>
      <x:c r="R103" s="160" t="inlineStr">
        <x:is>
          <x:t xml:space="preserve">Require a GAAP-to-economic-owner-cash bridge tailored to the business model.</x:t>
        </x:is>
      </x:c>
      <x:c r="S103" s="160" t="inlineStr">
        <x:is>
          <x:t xml:space="preserve">NO</x:t>
        </x:is>
      </x:c>
      <x:c r="T103" s="160" t="inlineStr">
        <x:is>
          <x:t xml:space="preserve">BASE</x:t>
        </x:is>
      </x:c>
      <x:c r="U103" s="160" t="inlineStr">
        <x:is>
          <x:t xml:space="preserve">V10.5-SIM18</x:t>
        </x:is>
      </x:c>
      <x:c r="V103" s="160" t="inlineStr">
        <x:is>
          <x:t xml:space="preserve">https://investor.tsmc.com</x:t>
        </x:is>
      </x:c>
      <x:c r="W103" s="160" t="inlineStr">
        <x:is>
          <x:t xml:space="preserve">NO</x:t>
        </x:is>
      </x:c>
      <x:c r="X103" s="160" t="inlineStr">
        <x:is>
          <x:t xml:space="preserve">NONE — DEVELOPMENT ONLY</x:t>
        </x:is>
      </x:c>
      <x:c r="Y103" s="160" t="inlineStr">
        <x:is>
          <x:t xml:space="preserve">Synthetic/adversarial model-development loop. No historical outcome is claimed; no accuracy point is awarded.</x:t>
        </x:is>
      </x:c>
    </x:row>
    <x:row r="104">
      <x:c r="A104" s="160" t="inlineStr">
        <x:is>
          <x:t xml:space="preserve">ML0099</x:t>
        </x:is>
      </x:c>
      <x:c r="B104" s="160" t="inlineStr">
        <x:is>
          <x:t xml:space="preserve">ARG-007</x:t>
        </x:is>
      </x:c>
      <x:c r="C104" s="160" t="inlineStr">
        <x:is>
          <x:t xml:space="preserve">Taiwan Semiconductor Manufacturing</x:t>
        </x:is>
      </x:c>
      <x:c r="D104" s="160" t="inlineStr">
        <x:is>
          <x:t xml:space="preserve">TSM</x:t>
        </x:is>
      </x:c>
      <x:c r="E104" s="160" t="inlineStr">
        <x:is>
          <x:t xml:space="preserve">AI &amp; Semiconductors</x:t>
        </x:is>
      </x:c>
      <x:c r="F104" s="160" t="inlineStr">
        <x:is>
          <x:t xml:space="preserve">Development</x:t>
        </x:is>
      </x:c>
      <x:c r="G104" s="160" t="inlineStr">
        <x:is>
          <x:t xml:space="preserve">S03</x:t>
        </x:is>
      </x:c>
      <x:c r="H104" s="160" t="inlineStr">
        <x:is>
          <x:t xml:space="preserve">Moat Durability</x:t>
        </x:is>
      </x:c>
      <x:c r="I104" s="160" t="inlineStr">
        <x:is>
          <x:t xml:space="preserve">Moat 2036</x:t>
        </x:is>
      </x:c>
      <x:c r="J104" s="160" t="inlineStr">
        <x:is>
          <x:t xml:space="preserve">Growth continues while switching friction, pricing power or replacement difficulty quietly weakens.</x:t>
        </x:is>
      </x:c>
      <x:c r="K104" s="160" t="inlineStr">
        <x:is>
          <x:t xml:space="preserve">Wafer demand × node mix × utilization × pricing</x:t>
        </x:is>
      </x:c>
      <x:c r="L104" s="160" t="inlineStr">
        <x:is>
          <x:t xml:space="preserve">Mid-cycle FCF + replacement cost</x:t>
        </x:is>
      </x:c>
      <x:c r="M104" s="160" t="inlineStr">
        <x:is>
          <x:t xml:space="preserve">WATCH</x:t>
        </x:is>
      </x:c>
      <x:c r="N104" s="160" t="inlineStr">
        <x:is>
          <x:t xml:space="preserve">R-MOAT-01</x:t>
        </x:is>
      </x:c>
      <x:c r="O104" s="160" t="inlineStr">
        <x:is>
          <x:t xml:space="preserve">BASE</x:t>
        </x:is>
      </x:c>
      <x:c r="P104" s="160" t="inlineStr">
        <x:is>
          <x:t xml:space="preserve">PARTIAL CATCH</x:t>
        </x:is>
      </x:c>
      <x:c r="Q104" s="160" t="inlineStr">
        <x:is>
          <x:t xml:space="preserve">The base refinement catches the main failure, but evidence thresholds and per-share/counterfactual details remain underspecified.</x:t>
        </x:is>
      </x:c>
      <x:c r="R104" s="160" t="inlineStr">
        <x:is>
          <x:t xml:space="preserve">Track moat telemetry separately from growth: retention, pricing, win/loss, replacement friction, installed-base behavior.</x:t>
        </x:is>
      </x:c>
      <x:c r="S104" s="160" t="inlineStr">
        <x:is>
          <x:t xml:space="preserve">NO</x:t>
        </x:is>
      </x:c>
      <x:c r="T104" s="160" t="inlineStr">
        <x:is>
          <x:t xml:space="preserve">BASE</x:t>
        </x:is>
      </x:c>
      <x:c r="U104" s="160" t="inlineStr">
        <x:is>
          <x:t xml:space="preserve">V10.5-SIM18</x:t>
        </x:is>
      </x:c>
      <x:c r="V104" s="160" t="inlineStr">
        <x:is>
          <x:t xml:space="preserve">https://investor.tsmc.com</x:t>
        </x:is>
      </x:c>
      <x:c r="W104" s="160" t="inlineStr">
        <x:is>
          <x:t xml:space="preserve">NO</x:t>
        </x:is>
      </x:c>
      <x:c r="X104" s="160" t="inlineStr">
        <x:is>
          <x:t xml:space="preserve">NONE — DEVELOPMENT ONLY</x:t>
        </x:is>
      </x:c>
      <x:c r="Y104" s="160" t="inlineStr">
        <x:is>
          <x:t xml:space="preserve">Synthetic/adversarial model-development loop. No historical outcome is claimed; no accuracy point is awarded.</x:t>
        </x:is>
      </x:c>
    </x:row>
    <x:row r="105">
      <x:c r="A105" s="160" t="inlineStr">
        <x:is>
          <x:t xml:space="preserve">ML0100</x:t>
        </x:is>
      </x:c>
      <x:c r="B105" s="160" t="inlineStr">
        <x:is>
          <x:t xml:space="preserve">ARG-007</x:t>
        </x:is>
      </x:c>
      <x:c r="C105" s="160" t="inlineStr">
        <x:is>
          <x:t xml:space="preserve">Taiwan Semiconductor Manufacturing</x:t>
        </x:is>
      </x:c>
      <x:c r="D105" s="160" t="inlineStr">
        <x:is>
          <x:t xml:space="preserve">TSM</x:t>
        </x:is>
      </x:c>
      <x:c r="E105" s="160" t="inlineStr">
        <x:is>
          <x:t xml:space="preserve">AI &amp; Semiconductors</x:t>
        </x:is>
      </x:c>
      <x:c r="F105" s="160" t="inlineStr">
        <x:is>
          <x:t xml:space="preserve">Development</x:t>
        </x:is>
      </x:c>
      <x:c r="G105" s="160" t="inlineStr">
        <x:is>
          <x:t xml:space="preserve">S04</x:t>
        </x:is>
      </x:c>
      <x:c r="H105" s="160" t="inlineStr">
        <x:is>
          <x:t xml:space="preserve">Stewardship / Capital Allocation</x:t>
        </x:is>
      </x:c>
      <x:c r="I105" s="160" t="inlineStr">
        <x:is>
          <x:t xml:space="preserve">Stewardship</x:t>
        </x:is>
      </x:c>
      <x:c r="J105" s="160" t="inlineStr">
        <x:is>
          <x:t xml:space="preserve">Management creates enterprise growth while destroying per-share value through M&amp;A, dilution, leverage or mistimed buybacks.</x:t>
        </x:is>
      </x:c>
      <x:c r="K105" s="160" t="inlineStr">
        <x:is>
          <x:t xml:space="preserve">Wafer demand × node mix × utilization × pricing</x:t>
        </x:is>
      </x:c>
      <x:c r="L105" s="160" t="inlineStr">
        <x:is>
          <x:t xml:space="preserve">Mid-cycle FCF + replacement cost</x:t>
        </x:is>
      </x:c>
      <x:c r="M105" s="160" t="inlineStr">
        <x:is>
          <x:t xml:space="preserve">WATCH</x:t>
        </x:is>
      </x:c>
      <x:c r="N105" s="160" t="inlineStr">
        <x:is>
          <x:t xml:space="preserve">R-STEW-01</x:t>
        </x:is>
      </x:c>
      <x:c r="O105" s="160" t="inlineStr">
        <x:is>
          <x:t xml:space="preserve">BASE</x:t>
        </x:is>
      </x:c>
      <x:c r="P105" s="160" t="inlineStr">
        <x:is>
          <x:t xml:space="preserve">PARTIAL CATCH</x:t>
        </x:is>
      </x:c>
      <x:c r="Q105" s="160" t="inlineStr">
        <x:is>
          <x:t xml:space="preserve">The base refinement catches the main failure, but evidence thresholds and per-share/counterfactual details remain underspecified.</x:t>
        </x:is>
      </x:c>
      <x:c r="R105" s="160" t="inlineStr">
        <x:is>
          <x:t xml:space="preserve">Evaluate capital allocation on a per-share basis using acquisition cohorts, dilution, leverage and repurchase price discipline.</x:t>
        </x:is>
      </x:c>
      <x:c r="S105" s="160" t="inlineStr">
        <x:is>
          <x:t xml:space="preserve">NO</x:t>
        </x:is>
      </x:c>
      <x:c r="T105" s="160" t="inlineStr">
        <x:is>
          <x:t xml:space="preserve">BASE</x:t>
        </x:is>
      </x:c>
      <x:c r="U105" s="160" t="inlineStr">
        <x:is>
          <x:t xml:space="preserve">V10.5-SIM18</x:t>
        </x:is>
      </x:c>
      <x:c r="V105" s="160" t="inlineStr">
        <x:is>
          <x:t xml:space="preserve">https://investor.tsmc.com</x:t>
        </x:is>
      </x:c>
      <x:c r="W105" s="160" t="inlineStr">
        <x:is>
          <x:t xml:space="preserve">NO</x:t>
        </x:is>
      </x:c>
      <x:c r="X105" s="160" t="inlineStr">
        <x:is>
          <x:t xml:space="preserve">NONE — DEVELOPMENT ONLY</x:t>
        </x:is>
      </x:c>
      <x:c r="Y105" s="160" t="inlineStr">
        <x:is>
          <x:t xml:space="preserve">Synthetic/adversarial model-development loop. No historical outcome is claimed; no accuracy point is awarded.</x:t>
        </x:is>
      </x:c>
    </x:row>
    <x:row r="106">
      <x:c r="A106" s="160" t="inlineStr">
        <x:is>
          <x:t xml:space="preserve">ML0101</x:t>
        </x:is>
      </x:c>
      <x:c r="B106" s="160" t="inlineStr">
        <x:is>
          <x:t xml:space="preserve">ARG-007</x:t>
        </x:is>
      </x:c>
      <x:c r="C106" s="160" t="inlineStr">
        <x:is>
          <x:t xml:space="preserve">Taiwan Semiconductor Manufacturing</x:t>
        </x:is>
      </x:c>
      <x:c r="D106" s="160" t="inlineStr">
        <x:is>
          <x:t xml:space="preserve">TSM</x:t>
        </x:is>
      </x:c>
      <x:c r="E106" s="160" t="inlineStr">
        <x:is>
          <x:t xml:space="preserve">AI &amp; Semiconductors</x:t>
        </x:is>
      </x:c>
      <x:c r="F106" s="160" t="inlineStr">
        <x:is>
          <x:t xml:space="preserve">Development</x:t>
        </x:is>
      </x:c>
      <x:c r="G106" s="160" t="inlineStr">
        <x:is>
          <x:t xml:space="preserve">S05</x:t>
        </x:is>
      </x:c>
      <x:c r="H106" s="160" t="inlineStr">
        <x:is>
          <x:t xml:space="preserve">Survival / Funding</x:t>
        </x:is>
      </x:c>
      <x:c r="I106" s="160" t="inlineStr">
        <x:is>
          <x:t xml:space="preserve">Survival</x:t>
        </x:is>
      </x:c>
      <x:c r="J106" s="160" t="inlineStr">
        <x:is>
          <x:t xml:space="preserve">A plausible bear case exposes refinancing, liquidity, covenant, reserve, regulatory or operational fragility.</x:t>
        </x:is>
      </x:c>
      <x:c r="K106" s="160" t="inlineStr">
        <x:is>
          <x:t xml:space="preserve">Wafer demand × node mix × utilization × pricing</x:t>
        </x:is>
      </x:c>
      <x:c r="L106" s="160" t="inlineStr">
        <x:is>
          <x:t xml:space="preserve">Mid-cycle FCF + replacement cost</x:t>
        </x:is>
      </x:c>
      <x:c r="M106" s="160" t="inlineStr">
        <x:is>
          <x:t xml:space="preserve">WATCH</x:t>
        </x:is>
      </x:c>
      <x:c r="N106" s="160" t="inlineStr">
        <x:is>
          <x:t xml:space="preserve">R-SURV-01</x:t>
        </x:is>
      </x:c>
      <x:c r="O106" s="160" t="inlineStr">
        <x:is>
          <x:t xml:space="preserve">BASE</x:t>
        </x:is>
      </x:c>
      <x:c r="P106" s="160" t="inlineStr">
        <x:is>
          <x:t xml:space="preserve">PARTIAL CATCH</x:t>
        </x:is>
      </x:c>
      <x:c r="Q106" s="160" t="inlineStr">
        <x:is>
          <x:t xml:space="preserve">The base refinement catches the main failure, but evidence thresholds and per-share/counterfactual details remain underspecified.</x:t>
        </x:is>
      </x:c>
      <x:c r="R106" s="160" t="inlineStr">
        <x:is>
          <x:t xml:space="preserve">Run a company-specific survival bridge under a severe-but-plausible bear case before any upside underwriting.</x:t>
        </x:is>
      </x:c>
      <x:c r="S106" s="160" t="inlineStr">
        <x:is>
          <x:t xml:space="preserve">NO</x:t>
        </x:is>
      </x:c>
      <x:c r="T106" s="160" t="inlineStr">
        <x:is>
          <x:t xml:space="preserve">BASE</x:t>
        </x:is>
      </x:c>
      <x:c r="U106" s="160" t="inlineStr">
        <x:is>
          <x:t xml:space="preserve">V10.5-SIM18</x:t>
        </x:is>
      </x:c>
      <x:c r="V106" s="160" t="inlineStr">
        <x:is>
          <x:t xml:space="preserve">https://investor.tsmc.com</x:t>
        </x:is>
      </x:c>
      <x:c r="W106" s="160" t="inlineStr">
        <x:is>
          <x:t xml:space="preserve">NO</x:t>
        </x:is>
      </x:c>
      <x:c r="X106" s="160" t="inlineStr">
        <x:is>
          <x:t xml:space="preserve">NONE — DEVELOPMENT ONLY</x:t>
        </x:is>
      </x:c>
      <x:c r="Y106" s="160" t="inlineStr">
        <x:is>
          <x:t xml:space="preserve">Synthetic/adversarial model-development loop. No historical outcome is claimed; no accuracy point is awarded.</x:t>
        </x:is>
      </x:c>
    </x:row>
    <x:row r="107">
      <x:c r="A107" s="160" t="inlineStr">
        <x:is>
          <x:t xml:space="preserve">ML0102</x:t>
        </x:is>
      </x:c>
      <x:c r="B107" s="160" t="inlineStr">
        <x:is>
          <x:t xml:space="preserve">ARG-007</x:t>
        </x:is>
      </x:c>
      <x:c r="C107" s="160" t="inlineStr">
        <x:is>
          <x:t xml:space="preserve">Taiwan Semiconductor Manufacturing</x:t>
        </x:is>
      </x:c>
      <x:c r="D107" s="160" t="inlineStr">
        <x:is>
          <x:t xml:space="preserve">TSM</x:t>
        </x:is>
      </x:c>
      <x:c r="E107" s="160" t="inlineStr">
        <x:is>
          <x:t xml:space="preserve">AI &amp; Semiconductors</x:t>
        </x:is>
      </x:c>
      <x:c r="F107" s="160" t="inlineStr">
        <x:is>
          <x:t xml:space="preserve">Development</x:t>
        </x:is>
      </x:c>
      <x:c r="G107" s="160" t="inlineStr">
        <x:is>
          <x:t xml:space="preserve">S06</x:t>
        </x:is>
      </x:c>
      <x:c r="H107" s="160" t="inlineStr">
        <x:is>
          <x:t xml:space="preserve">Margin of Safety</x:t>
        </x:is>
      </x:c>
      <x:c r="I107" s="160" t="inlineStr">
        <x:is>
          <x:t xml:space="preserve">Margin of Safety</x:t>
        </x:is>
      </x:c>
      <x:c r="J107" s="160" t="inlineStr">
        <x:is>
          <x:t xml:space="preserve">Business quality is high but the price embeds a fragile bull case.</x:t>
        </x:is>
      </x:c>
      <x:c r="K107" s="160" t="inlineStr">
        <x:is>
          <x:t xml:space="preserve">Wafer demand × node mix × utilization × pricing</x:t>
        </x:is>
      </x:c>
      <x:c r="L107" s="160" t="inlineStr">
        <x:is>
          <x:t xml:space="preserve">Mid-cycle FCF + replacement cost</x:t>
        </x:is>
      </x:c>
      <x:c r="M107" s="160" t="inlineStr">
        <x:is>
          <x:t xml:space="preserve">WATCH</x:t>
        </x:is>
      </x:c>
      <x:c r="N107" s="160" t="inlineStr">
        <x:is>
          <x:t xml:space="preserve">R-MOS-01</x:t>
        </x:is>
      </x:c>
      <x:c r="O107" s="160" t="inlineStr">
        <x:is>
          <x:t xml:space="preserve">BASE</x:t>
        </x:is>
      </x:c>
      <x:c r="P107" s="160" t="inlineStr">
        <x:is>
          <x:t xml:space="preserve">PARTIAL CATCH</x:t>
        </x:is>
      </x:c>
      <x:c r="Q107" s="160" t="inlineStr">
        <x:is>
          <x:t xml:space="preserve">The base refinement catches the main failure, but evidence thresholds and per-share/counterfactual details remain underspecified.</x:t>
        </x:is>
      </x:c>
      <x:c r="R107" s="160" t="inlineStr">
        <x:is>
          <x:t xml:space="preserve">Separate business-quality score from price decision; require reverse valuation and bear/base/bull IV ranges.</x:t>
        </x:is>
      </x:c>
      <x:c r="S107" s="160" t="inlineStr">
        <x:is>
          <x:t xml:space="preserve">NO</x:t>
        </x:is>
      </x:c>
      <x:c r="T107" s="160" t="inlineStr">
        <x:is>
          <x:t xml:space="preserve">BASE</x:t>
        </x:is>
      </x:c>
      <x:c r="U107" s="160" t="inlineStr">
        <x:is>
          <x:t xml:space="preserve">V10.5-SIM18</x:t>
        </x:is>
      </x:c>
      <x:c r="V107" s="160" t="inlineStr">
        <x:is>
          <x:t xml:space="preserve">https://investor.tsmc.com</x:t>
        </x:is>
      </x:c>
      <x:c r="W107" s="160" t="inlineStr">
        <x:is>
          <x:t xml:space="preserve">NO</x:t>
        </x:is>
      </x:c>
      <x:c r="X107" s="160" t="inlineStr">
        <x:is>
          <x:t xml:space="preserve">NONE — DEVELOPMENT ONLY</x:t>
        </x:is>
      </x:c>
      <x:c r="Y107" s="160" t="inlineStr">
        <x:is>
          <x:t xml:space="preserve">Synthetic/adversarial model-development loop. No historical outcome is claimed; no accuracy point is awarded.</x:t>
        </x:is>
      </x:c>
    </x:row>
    <x:row r="108">
      <x:c r="A108" s="160" t="inlineStr">
        <x:is>
          <x:t xml:space="preserve">ML0103</x:t>
        </x:is>
      </x:c>
      <x:c r="B108" s="160" t="inlineStr">
        <x:is>
          <x:t xml:space="preserve">ARG-007</x:t>
        </x:is>
      </x:c>
      <x:c r="C108" s="160" t="inlineStr">
        <x:is>
          <x:t xml:space="preserve">Taiwan Semiconductor Manufacturing</x:t>
        </x:is>
      </x:c>
      <x:c r="D108" s="160" t="inlineStr">
        <x:is>
          <x:t xml:space="preserve">TSM</x:t>
        </x:is>
      </x:c>
      <x:c r="E108" s="160" t="inlineStr">
        <x:is>
          <x:t xml:space="preserve">AI &amp; Semiconductors</x:t>
        </x:is>
      </x:c>
      <x:c r="F108" s="160" t="inlineStr">
        <x:is>
          <x:t xml:space="preserve">Development</x:t>
        </x:is>
      </x:c>
      <x:c r="G108" s="160" t="inlineStr">
        <x:is>
          <x:t xml:space="preserve">S07</x:t>
        </x:is>
      </x:c>
      <x:c r="H108" s="160" t="inlineStr">
        <x:is>
          <x:t xml:space="preserve">Sector Shock</x:t>
        </x:is>
      </x:c>
      <x:c r="I108" s="160" t="inlineStr">
        <x:is>
          <x:t xml:space="preserve">Sector-specific</x:t>
        </x:is>
      </x:c>
      <x:c r="J108" s="160" t="inlineStr">
        <x:is>
          <x:t xml:space="preserve">AI demand remains strong but capex intensity, customer concentration, inventory/cycle risk or export/geopolitical constraints hit normalized returns.</x:t>
        </x:is>
      </x:c>
      <x:c r="K108" s="160" t="inlineStr">
        <x:is>
          <x:t xml:space="preserve">Wafer demand × node mix × utilization × pricing</x:t>
        </x:is>
      </x:c>
      <x:c r="L108" s="160" t="inlineStr">
        <x:is>
          <x:t xml:space="preserve">Mid-cycle FCF + replacement cost</x:t>
        </x:is>
      </x:c>
      <x:c r="M108" s="160" t="inlineStr">
        <x:is>
          <x:t xml:space="preserve">WATCH</x:t>
        </x:is>
      </x:c>
      <x:c r="N108" s="160" t="inlineStr">
        <x:is>
          <x:t xml:space="preserve">R-SECTOR-AI-SEMICONDUCTORS</x:t>
        </x:is>
      </x:c>
      <x:c r="O108" s="160" t="inlineStr">
        <x:is>
          <x:t xml:space="preserve">BASE</x:t>
        </x:is>
      </x:c>
      <x:c r="P108" s="160" t="inlineStr">
        <x:is>
          <x:t xml:space="preserve">PARTIAL CATCH</x:t>
        </x:is>
      </x:c>
      <x:c r="Q108" s="160" t="inlineStr">
        <x:is>
          <x:t xml:space="preserve">The base refinement catches the main failure, but evidence thresholds and per-share/counterfactual details remain underspecified.</x:t>
        </x:is>
      </x:c>
      <x:c r="R108"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108" s="160" t="inlineStr">
        <x:is>
          <x:t xml:space="preserve">NO</x:t>
        </x:is>
      </x:c>
      <x:c r="T108" s="160" t="inlineStr">
        <x:is>
          <x:t xml:space="preserve">BASE</x:t>
        </x:is>
      </x:c>
      <x:c r="U108" s="160" t="inlineStr">
        <x:is>
          <x:t xml:space="preserve">V10.5-SIM18</x:t>
        </x:is>
      </x:c>
      <x:c r="V108" s="160" t="inlineStr">
        <x:is>
          <x:t xml:space="preserve">https://investor.tsmc.com</x:t>
        </x:is>
      </x:c>
      <x:c r="W108" s="160" t="inlineStr">
        <x:is>
          <x:t xml:space="preserve">NO</x:t>
        </x:is>
      </x:c>
      <x:c r="X108" s="160" t="inlineStr">
        <x:is>
          <x:t xml:space="preserve">NONE — DEVELOPMENT ONLY</x:t>
        </x:is>
      </x:c>
      <x:c r="Y108" s="160" t="inlineStr">
        <x:is>
          <x:t xml:space="preserve">Synthetic/adversarial model-development loop. No historical outcome is claimed; no accuracy point is awarded.</x:t>
        </x:is>
      </x:c>
    </x:row>
    <x:row r="109">
      <x:c r="A109" s="160" t="inlineStr">
        <x:is>
          <x:t xml:space="preserve">ML0104</x:t>
        </x:is>
      </x:c>
      <x:c r="B109" s="160" t="inlineStr">
        <x:is>
          <x:t xml:space="preserve">ARG-007</x:t>
        </x:is>
      </x:c>
      <x:c r="C109" s="160" t="inlineStr">
        <x:is>
          <x:t xml:space="preserve">Taiwan Semiconductor Manufacturing</x:t>
        </x:is>
      </x:c>
      <x:c r="D109" s="160" t="inlineStr">
        <x:is>
          <x:t xml:space="preserve">TSM</x:t>
        </x:is>
      </x:c>
      <x:c r="E109" s="160" t="inlineStr">
        <x:is>
          <x:t xml:space="preserve">AI &amp; Semiconductors</x:t>
        </x:is>
      </x:c>
      <x:c r="F109" s="160" t="inlineStr">
        <x:is>
          <x:t xml:space="preserve">Development</x:t>
        </x:is>
      </x:c>
      <x:c r="G109" s="160" t="inlineStr">
        <x:is>
          <x:t xml:space="preserve">S08</x:t>
        </x:is>
      </x:c>
      <x:c r="H109" s="160" t="inlineStr">
        <x:is>
          <x:t xml:space="preserve">Management Promise Reliability</x:t>
        </x:is>
      </x:c>
      <x:c r="I109" s="160" t="inlineStr">
        <x:is>
          <x:t xml:space="preserve">Management over-trust</x:t>
        </x:is>
      </x:c>
      <x:c r="J109" s="160" t="inlineStr">
        <x:is>
          <x:t xml:space="preserve">Guidance or strategic promises are repeated but the model lacks a contemporaneous reliability score.</x:t>
        </x:is>
      </x:c>
      <x:c r="K109" s="160" t="inlineStr">
        <x:is>
          <x:t xml:space="preserve">Wafer demand × node mix × utilization × pricing</x:t>
        </x:is>
      </x:c>
      <x:c r="L109" s="160" t="inlineStr">
        <x:is>
          <x:t xml:space="preserve">Mid-cycle FCF + replacement cost</x:t>
        </x:is>
      </x:c>
      <x:c r="M109" s="160" t="inlineStr">
        <x:is>
          <x:t xml:space="preserve">WATCH</x:t>
        </x:is>
      </x:c>
      <x:c r="N109" s="160" t="inlineStr">
        <x:is>
          <x:t xml:space="preserve">R-PROM-01</x:t>
        </x:is>
      </x:c>
      <x:c r="O109" s="160" t="inlineStr">
        <x:is>
          <x:t xml:space="preserve">BASE</x:t>
        </x:is>
      </x:c>
      <x:c r="P109" s="160" t="inlineStr">
        <x:is>
          <x:t xml:space="preserve">PARTIAL CATCH</x:t>
        </x:is>
      </x:c>
      <x:c r="Q109" s="160" t="inlineStr">
        <x:is>
          <x:t xml:space="preserve">The base refinement catches the main failure, but evidence thresholds and per-share/counterfactual details remain underspecified.</x:t>
        </x:is>
      </x:c>
      <x:c r="R109" s="160" t="inlineStr">
        <x:is>
          <x:t xml:space="preserve">Use a promises ledger with dated promise, measurable deliverable, due date, outcome and credibility weight.</x:t>
        </x:is>
      </x:c>
      <x:c r="S109" s="160" t="inlineStr">
        <x:is>
          <x:t xml:space="preserve">NO</x:t>
        </x:is>
      </x:c>
      <x:c r="T109" s="160" t="inlineStr">
        <x:is>
          <x:t xml:space="preserve">BASE</x:t>
        </x:is>
      </x:c>
      <x:c r="U109" s="160" t="inlineStr">
        <x:is>
          <x:t xml:space="preserve">V10.5-SIM18</x:t>
        </x:is>
      </x:c>
      <x:c r="V109" s="160" t="inlineStr">
        <x:is>
          <x:t xml:space="preserve">https://investor.tsmc.com</x:t>
        </x:is>
      </x:c>
      <x:c r="W109" s="160" t="inlineStr">
        <x:is>
          <x:t xml:space="preserve">NO</x:t>
        </x:is>
      </x:c>
      <x:c r="X109" s="160" t="inlineStr">
        <x:is>
          <x:t xml:space="preserve">NONE — DEVELOPMENT ONLY</x:t>
        </x:is>
      </x:c>
      <x:c r="Y109" s="160" t="inlineStr">
        <x:is>
          <x:t xml:space="preserve">Synthetic/adversarial model-development loop. No historical outcome is claimed; no accuracy point is awarded.</x:t>
        </x:is>
      </x:c>
    </x:row>
    <x:row r="110">
      <x:c r="A110" s="160" t="inlineStr">
        <x:is>
          <x:t xml:space="preserve">ML0105</x:t>
        </x:is>
      </x:c>
      <x:c r="B110" s="160" t="inlineStr">
        <x:is>
          <x:t xml:space="preserve">ARG-007</x:t>
        </x:is>
      </x:c>
      <x:c r="C110" s="160" t="inlineStr">
        <x:is>
          <x:t xml:space="preserve">Taiwan Semiconductor Manufacturing</x:t>
        </x:is>
      </x:c>
      <x:c r="D110" s="160" t="inlineStr">
        <x:is>
          <x:t xml:space="preserve">TSM</x:t>
        </x:is>
      </x:c>
      <x:c r="E110" s="160" t="inlineStr">
        <x:is>
          <x:t xml:space="preserve">AI &amp; Semiconductors</x:t>
        </x:is>
      </x:c>
      <x:c r="F110" s="160" t="inlineStr">
        <x:is>
          <x:t xml:space="preserve">Development</x:t>
        </x:is>
      </x:c>
      <x:c r="G110" s="160" t="inlineStr">
        <x:is>
          <x:t xml:space="preserve">S09</x:t>
        </x:is>
      </x:c>
      <x:c r="H110" s="160" t="inlineStr">
        <x:is>
          <x:t xml:space="preserve">Data / Accounting Quality</x:t>
        </x:is>
      </x:c>
      <x:c r="I110" s="160" t="inlineStr">
        <x:is>
          <x:t xml:space="preserve">Data quality</x:t>
        </x:is>
      </x:c>
      <x:c r="J110" s="160" t="inlineStr">
        <x:is>
          <x:t xml:space="preserve">Restatement, segment reclassification, one-time item or non-economic fair-value movement distorts the apparent trend.</x:t>
        </x:is>
      </x:c>
      <x:c r="K110" s="160" t="inlineStr">
        <x:is>
          <x:t xml:space="preserve">Wafer demand × node mix × utilization × pricing</x:t>
        </x:is>
      </x:c>
      <x:c r="L110" s="160" t="inlineStr">
        <x:is>
          <x:t xml:space="preserve">Mid-cycle FCF + replacement cost</x:t>
        </x:is>
      </x:c>
      <x:c r="M110" s="160" t="inlineStr">
        <x:is>
          <x:t xml:space="preserve">WATCH</x:t>
        </x:is>
      </x:c>
      <x:c r="N110" s="160" t="inlineStr">
        <x:is>
          <x:t xml:space="preserve">R-DATA-01</x:t>
        </x:is>
      </x:c>
      <x:c r="O110" s="160" t="inlineStr">
        <x:is>
          <x:t xml:space="preserve">BASE</x:t>
        </x:is>
      </x:c>
      <x:c r="P110" s="160" t="inlineStr">
        <x:is>
          <x:t xml:space="preserve">PARTIAL CATCH</x:t>
        </x:is>
      </x:c>
      <x:c r="Q110" s="160" t="inlineStr">
        <x:is>
          <x:t xml:space="preserve">The base refinement catches the main failure, but evidence thresholds and per-share/counterfactual details remain underspecified.</x:t>
        </x:is>
      </x:c>
      <x:c r="R110" s="160" t="inlineStr">
        <x:is>
          <x:t xml:space="preserve">Add a reporting-quality bridge and normalize accounting noise before any gate can pass.</x:t>
        </x:is>
      </x:c>
      <x:c r="S110" s="160" t="inlineStr">
        <x:is>
          <x:t xml:space="preserve">NO</x:t>
        </x:is>
      </x:c>
      <x:c r="T110" s="160" t="inlineStr">
        <x:is>
          <x:t xml:space="preserve">BASE</x:t>
        </x:is>
      </x:c>
      <x:c r="U110" s="160" t="inlineStr">
        <x:is>
          <x:t xml:space="preserve">V10.5-SIM18</x:t>
        </x:is>
      </x:c>
      <x:c r="V110" s="160" t="inlineStr">
        <x:is>
          <x:t xml:space="preserve">https://investor.tsmc.com</x:t>
        </x:is>
      </x:c>
      <x:c r="W110" s="160" t="inlineStr">
        <x:is>
          <x:t xml:space="preserve">NO</x:t>
        </x:is>
      </x:c>
      <x:c r="X110" s="160" t="inlineStr">
        <x:is>
          <x:t xml:space="preserve">NONE — DEVELOPMENT ONLY</x:t>
        </x:is>
      </x:c>
      <x:c r="Y110" s="160" t="inlineStr">
        <x:is>
          <x:t xml:space="preserve">Synthetic/adversarial model-development loop. No historical outcome is claimed; no accuracy point is awarded.</x:t>
        </x:is>
      </x:c>
    </x:row>
    <x:row r="111">
      <x:c r="A111" s="160" t="inlineStr">
        <x:is>
          <x:t xml:space="preserve">ML0106</x:t>
        </x:is>
      </x:c>
      <x:c r="B111" s="160" t="inlineStr">
        <x:is>
          <x:t xml:space="preserve">ARG-007</x:t>
        </x:is>
      </x:c>
      <x:c r="C111" s="160" t="inlineStr">
        <x:is>
          <x:t xml:space="preserve">Taiwan Semiconductor Manufacturing</x:t>
        </x:is>
      </x:c>
      <x:c r="D111" s="160" t="inlineStr">
        <x:is>
          <x:t xml:space="preserve">TSM</x:t>
        </x:is>
      </x:c>
      <x:c r="E111" s="160" t="inlineStr">
        <x:is>
          <x:t xml:space="preserve">AI &amp; Semiconductors</x:t>
        </x:is>
      </x:c>
      <x:c r="F111" s="160" t="inlineStr">
        <x:is>
          <x:t xml:space="preserve">Development</x:t>
        </x:is>
      </x:c>
      <x:c r="G111" s="160" t="inlineStr">
        <x:is>
          <x:t xml:space="preserve">S10</x:t>
        </x:is>
      </x:c>
      <x:c r="H111" s="160" t="inlineStr">
        <x:is>
          <x:t xml:space="preserve">Control / Counterfactual</x:t>
        </x:is>
      </x:c>
      <x:c r="I111" s="160" t="inlineStr">
        <x:is>
          <x:t xml:space="preserve">Sector beta vs company alpha</x:t>
        </x:is>
      </x:c>
      <x:c r="J111" s="160" t="inlineStr">
        <x:is>
          <x:t xml:space="preserve">A positive outcome is mostly sector beta or macro tailwind, not company-specific alpha.</x:t>
        </x:is>
      </x:c>
      <x:c r="K111" s="160" t="inlineStr">
        <x:is>
          <x:t xml:space="preserve">Wafer demand × node mix × utilization × pricing</x:t>
        </x:is>
      </x:c>
      <x:c r="L111" s="160" t="inlineStr">
        <x:is>
          <x:t xml:space="preserve">Mid-cycle FCF + replacement cost</x:t>
        </x:is>
      </x:c>
      <x:c r="M111" s="160" t="inlineStr">
        <x:is>
          <x:t xml:space="preserve">WATCH</x:t>
        </x:is>
      </x:c>
      <x:c r="N111" s="160" t="inlineStr">
        <x:is>
          <x:t xml:space="preserve">R-CF-01</x:t>
        </x:is>
      </x:c>
      <x:c r="O111" s="160" t="inlineStr">
        <x:is>
          <x:t xml:space="preserve">BASE</x:t>
        </x:is>
      </x:c>
      <x:c r="P111" s="160" t="inlineStr">
        <x:is>
          <x:t xml:space="preserve">PARTIAL CATCH</x:t>
        </x:is>
      </x:c>
      <x:c r="Q111" s="160" t="inlineStr">
        <x:is>
          <x:t xml:space="preserve">The base refinement catches the main failure, but evidence thresholds and per-share/counterfactual details remain underspecified.</x:t>
        </x:is>
      </x:c>
      <x:c r="R111" s="160" t="inlineStr">
        <x:is>
          <x:t xml:space="preserve">Require a true economic control and counterfactual: what should have happened to a comparable company under the same shock?</x:t>
        </x:is>
      </x:c>
      <x:c r="S111" s="160" t="inlineStr">
        <x:is>
          <x:t xml:space="preserve">NO</x:t>
        </x:is>
      </x:c>
      <x:c r="T111" s="160" t="inlineStr">
        <x:is>
          <x:t xml:space="preserve">BASE</x:t>
        </x:is>
      </x:c>
      <x:c r="U111" s="160" t="inlineStr">
        <x:is>
          <x:t xml:space="preserve">V10.5-SIM18</x:t>
        </x:is>
      </x:c>
      <x:c r="V111" s="160" t="inlineStr">
        <x:is>
          <x:t xml:space="preserve">https://investor.tsmc.com</x:t>
        </x:is>
      </x:c>
      <x:c r="W111" s="160" t="inlineStr">
        <x:is>
          <x:t xml:space="preserve">NO</x:t>
        </x:is>
      </x:c>
      <x:c r="X111" s="160" t="inlineStr">
        <x:is>
          <x:t xml:space="preserve">NONE — DEVELOPMENT ONLY</x:t>
        </x:is>
      </x:c>
      <x:c r="Y111" s="160" t="inlineStr">
        <x:is>
          <x:t xml:space="preserve">Synthetic/adversarial model-development loop. No historical outcome is claimed; no accuracy point is awarded.</x:t>
        </x:is>
      </x:c>
    </x:row>
    <x:row r="112">
      <x:c r="A112" s="160" t="inlineStr">
        <x:is>
          <x:t xml:space="preserve">ML0107</x:t>
        </x:is>
      </x:c>
      <x:c r="B112" s="160" t="inlineStr">
        <x:is>
          <x:t xml:space="preserve">ARG-007</x:t>
        </x:is>
      </x:c>
      <x:c r="C112" s="160" t="inlineStr">
        <x:is>
          <x:t xml:space="preserve">Taiwan Semiconductor Manufacturing</x:t>
        </x:is>
      </x:c>
      <x:c r="D112" s="160" t="inlineStr">
        <x:is>
          <x:t xml:space="preserve">TSM</x:t>
        </x:is>
      </x:c>
      <x:c r="E112" s="160" t="inlineStr">
        <x:is>
          <x:t xml:space="preserve">AI &amp; Semiconductors</x:t>
        </x:is>
      </x:c>
      <x:c r="F112" s="160" t="inlineStr">
        <x:is>
          <x:t xml:space="preserve">Development</x:t>
        </x:is>
      </x:c>
      <x:c r="G112" s="160" t="inlineStr">
        <x:is>
          <x:t xml:space="preserve">S11</x:t>
        </x:is>
      </x:c>
      <x:c r="H112" s="160" t="inlineStr">
        <x:is>
          <x:t xml:space="preserve">False-Negative Discipline</x:t>
        </x:is>
      </x:c>
      <x:c r="I112" s="160" t="inlineStr">
        <x:is>
          <x:t xml:space="preserve">False negative</x:t>
        </x:is>
      </x:c>
      <x:c r="J112" s="160" t="inlineStr">
        <x:is>
          <x:t xml:space="preserve">A strict gate rejects a company that later compounds strongly for reasons the model could have known.</x:t>
        </x:is>
      </x:c>
      <x:c r="K112" s="160" t="inlineStr">
        <x:is>
          <x:t xml:space="preserve">Wafer demand × node mix × utilization × pricing</x:t>
        </x:is>
      </x:c>
      <x:c r="L112" s="160" t="inlineStr">
        <x:is>
          <x:t xml:space="preserve">Mid-cycle FCF + replacement cost</x:t>
        </x:is>
      </x:c>
      <x:c r="M112" s="160" t="inlineStr">
        <x:is>
          <x:t xml:space="preserve">WATCH</x:t>
        </x:is>
      </x:c>
      <x:c r="N112" s="160" t="inlineStr">
        <x:is>
          <x:t xml:space="preserve">R-FN-01</x:t>
        </x:is>
      </x:c>
      <x:c r="O112" s="160" t="inlineStr">
        <x:is>
          <x:t xml:space="preserve">BASE</x:t>
        </x:is>
      </x:c>
      <x:c r="P112" s="160" t="inlineStr">
        <x:is>
          <x:t xml:space="preserve">PARTIAL CATCH</x:t>
        </x:is>
      </x:c>
      <x:c r="Q112" s="160" t="inlineStr">
        <x:is>
          <x:t xml:space="preserve">The base refinement catches the main failure, but evidence thresholds and per-share/counterfactual details remain underspecified.</x:t>
        </x:is>
      </x:c>
      <x:c r="R112" s="160" t="inlineStr">
        <x:is>
          <x:t xml:space="preserve">Track opportunity cost and classify whether the miss came from evidence timing, wrong threshold or genuinely unknowable upside.</x:t>
        </x:is>
      </x:c>
      <x:c r="S112" s="160" t="inlineStr">
        <x:is>
          <x:t xml:space="preserve">NO</x:t>
        </x:is>
      </x:c>
      <x:c r="T112" s="160" t="inlineStr">
        <x:is>
          <x:t xml:space="preserve">BASE</x:t>
        </x:is>
      </x:c>
      <x:c r="U112" s="160" t="inlineStr">
        <x:is>
          <x:t xml:space="preserve">V10.5-SIM18</x:t>
        </x:is>
      </x:c>
      <x:c r="V112" s="160" t="inlineStr">
        <x:is>
          <x:t xml:space="preserve">https://investor.tsmc.com</x:t>
        </x:is>
      </x:c>
      <x:c r="W112" s="160" t="inlineStr">
        <x:is>
          <x:t xml:space="preserve">NO</x:t>
        </x:is>
      </x:c>
      <x:c r="X112" s="160" t="inlineStr">
        <x:is>
          <x:t xml:space="preserve">NONE — DEVELOPMENT ONLY</x:t>
        </x:is>
      </x:c>
      <x:c r="Y112" s="160" t="inlineStr">
        <x:is>
          <x:t xml:space="preserve">Synthetic/adversarial model-development loop. No historical outcome is claimed; no accuracy point is awarded.</x:t>
        </x:is>
      </x:c>
    </x:row>
    <x:row r="113">
      <x:c r="A113" s="160" t="inlineStr">
        <x:is>
          <x:t xml:space="preserve">ML0108</x:t>
        </x:is>
      </x:c>
      <x:c r="B113" s="160" t="inlineStr">
        <x:is>
          <x:t xml:space="preserve">ARG-007</x:t>
        </x:is>
      </x:c>
      <x:c r="C113" s="160" t="inlineStr">
        <x:is>
          <x:t xml:space="preserve">Taiwan Semiconductor Manufacturing</x:t>
        </x:is>
      </x:c>
      <x:c r="D113" s="160" t="inlineStr">
        <x:is>
          <x:t xml:space="preserve">TSM</x:t>
        </x:is>
      </x:c>
      <x:c r="E113" s="160" t="inlineStr">
        <x:is>
          <x:t xml:space="preserve">AI &amp; Semiconductors</x:t>
        </x:is>
      </x:c>
      <x:c r="F113" s="160" t="inlineStr">
        <x:is>
          <x:t xml:space="preserve">Development</x:t>
        </x:is>
      </x:c>
      <x:c r="G113" s="160" t="inlineStr">
        <x:is>
          <x:t xml:space="preserve">S12</x:t>
        </x:is>
      </x:c>
      <x:c r="H113" s="160" t="inlineStr">
        <x:is>
          <x:t xml:space="preserve">Lead-Time / Early Sensor</x:t>
        </x:is>
      </x:c>
      <x:c r="I113" s="160" t="inlineStr">
        <x:is>
          <x:t xml:space="preserve">Timing / lead-time</x:t>
        </x:is>
      </x:c>
      <x:c r="J113" s="160" t="inlineStr">
        <x:is>
          <x:t xml:space="preserve">ARGUS identifies the change correctly but only after consensus and price have already reacted.</x:t>
        </x:is>
      </x:c>
      <x:c r="K113" s="160" t="inlineStr">
        <x:is>
          <x:t xml:space="preserve">Wafer demand × node mix × utilization × pricing</x:t>
        </x:is>
      </x:c>
      <x:c r="L113" s="160" t="inlineStr">
        <x:is>
          <x:t xml:space="preserve">Mid-cycle FCF + replacement cost</x:t>
        </x:is>
      </x:c>
      <x:c r="M113" s="160" t="inlineStr">
        <x:is>
          <x:t xml:space="preserve">WATCH</x:t>
        </x:is>
      </x:c>
      <x:c r="N113" s="160" t="inlineStr">
        <x:is>
          <x:t xml:space="preserve">R-TIME-01</x:t>
        </x:is>
      </x:c>
      <x:c r="O113" s="160" t="inlineStr">
        <x:is>
          <x:t xml:space="preserve">BASE</x:t>
        </x:is>
      </x:c>
      <x:c r="P113" s="160" t="inlineStr">
        <x:is>
          <x:t xml:space="preserve">PARTIAL CATCH</x:t>
        </x:is>
      </x:c>
      <x:c r="Q113" s="160" t="inlineStr">
        <x:is>
          <x:t xml:space="preserve">The base refinement catches the main failure, but evidence thresholds and per-share/counterfactual details remain underspecified.</x:t>
        </x:is>
      </x:c>
      <x:c r="R113" s="160" t="inlineStr">
        <x:is>
          <x:t xml:space="preserve">Replace lagging financial metrics with earlier causal operating sensors and record lead time separately from correctness.</x:t>
        </x:is>
      </x:c>
      <x:c r="S113" s="160" t="inlineStr">
        <x:is>
          <x:t xml:space="preserve">NO</x:t>
        </x:is>
      </x:c>
      <x:c r="T113" s="160" t="inlineStr">
        <x:is>
          <x:t xml:space="preserve">BASE</x:t>
        </x:is>
      </x:c>
      <x:c r="U113" s="160" t="inlineStr">
        <x:is>
          <x:t xml:space="preserve">V10.5-SIM18</x:t>
        </x:is>
      </x:c>
      <x:c r="V113" s="160" t="inlineStr">
        <x:is>
          <x:t xml:space="preserve">https://investor.tsmc.com</x:t>
        </x:is>
      </x:c>
      <x:c r="W113" s="160" t="inlineStr">
        <x:is>
          <x:t xml:space="preserve">NO</x:t>
        </x:is>
      </x:c>
      <x:c r="X113" s="160" t="inlineStr">
        <x:is>
          <x:t xml:space="preserve">NONE — DEVELOPMENT ONLY</x:t>
        </x:is>
      </x:c>
      <x:c r="Y113" s="160" t="inlineStr">
        <x:is>
          <x:t xml:space="preserve">Synthetic/adversarial model-development loop. No historical outcome is claimed; no accuracy point is awarded.</x:t>
        </x:is>
      </x:c>
    </x:row>
    <x:row r="114">
      <x:c r="A114" s="160" t="inlineStr">
        <x:is>
          <x:t xml:space="preserve">ML0109</x:t>
        </x:is>
      </x:c>
      <x:c r="B114" s="160" t="inlineStr">
        <x:is>
          <x:t xml:space="preserve">ARG-007</x:t>
        </x:is>
      </x:c>
      <x:c r="C114" s="160" t="inlineStr">
        <x:is>
          <x:t xml:space="preserve">Taiwan Semiconductor Manufacturing</x:t>
        </x:is>
      </x:c>
      <x:c r="D114" s="160" t="inlineStr">
        <x:is>
          <x:t xml:space="preserve">TSM</x:t>
        </x:is>
      </x:c>
      <x:c r="E114" s="160" t="inlineStr">
        <x:is>
          <x:t xml:space="preserve">AI &amp; Semiconductors</x:t>
        </x:is>
      </x:c>
      <x:c r="F114" s="160" t="inlineStr">
        <x:is>
          <x:t xml:space="preserve">Development</x:t>
        </x:is>
      </x:c>
      <x:c r="G114" s="160" t="inlineStr">
        <x:is>
          <x:t xml:space="preserve">S13</x:t>
        </x:is>
      </x:c>
      <x:c r="H114" s="160" t="inlineStr">
        <x:is>
          <x:t xml:space="preserve">Cycle Normalization</x:t>
        </x:is>
      </x:c>
      <x:c r="I114" s="160" t="inlineStr">
        <x:is>
          <x:t xml:space="preserve">Wrong valuation lens</x:t>
        </x:is>
      </x:c>
      <x:c r="J114" s="160" t="inlineStr">
        <x:is>
          <x:t xml:space="preserve">Peak/trough earnings are mistaken for normalized earning power.</x:t>
        </x:is>
      </x:c>
      <x:c r="K114" s="160" t="inlineStr">
        <x:is>
          <x:t xml:space="preserve">Wafer demand × node mix × utilization × pricing</x:t>
        </x:is>
      </x:c>
      <x:c r="L114" s="160" t="inlineStr">
        <x:is>
          <x:t xml:space="preserve">Mid-cycle FCF + replacement cost</x:t>
        </x:is>
      </x:c>
      <x:c r="M114" s="160" t="inlineStr">
        <x:is>
          <x:t xml:space="preserve">WATCH</x:t>
        </x:is>
      </x:c>
      <x:c r="N114" s="160" t="inlineStr">
        <x:is>
          <x:t xml:space="preserve">R-CYCLE-01</x:t>
        </x:is>
      </x:c>
      <x:c r="O114" s="160" t="inlineStr">
        <x:is>
          <x:t xml:space="preserve">BASE</x:t>
        </x:is>
      </x:c>
      <x:c r="P114" s="160" t="inlineStr">
        <x:is>
          <x:t xml:space="preserve">PARTIAL CATCH</x:t>
        </x:is>
      </x:c>
      <x:c r="Q114" s="160" t="inlineStr">
        <x:is>
          <x:t xml:space="preserve">The base refinement catches the main failure, but evidence thresholds and per-share/counterfactual details remain underspecified.</x:t>
        </x:is>
      </x:c>
      <x:c r="R114" s="160" t="inlineStr">
        <x:is>
          <x:t xml:space="preserve">Use sector-specific mid-cycle/NAV/rate-base/rNPV normalization before applying a valuation multiple.</x:t>
        </x:is>
      </x:c>
      <x:c r="S114" s="160" t="inlineStr">
        <x:is>
          <x:t xml:space="preserve">NO</x:t>
        </x:is>
      </x:c>
      <x:c r="T114" s="160" t="inlineStr">
        <x:is>
          <x:t xml:space="preserve">BASE</x:t>
        </x:is>
      </x:c>
      <x:c r="U114" s="160" t="inlineStr">
        <x:is>
          <x:t xml:space="preserve">V10.5-SIM18</x:t>
        </x:is>
      </x:c>
      <x:c r="V114" s="160" t="inlineStr">
        <x:is>
          <x:t xml:space="preserve">https://investor.tsmc.com</x:t>
        </x:is>
      </x:c>
      <x:c r="W114" s="160" t="inlineStr">
        <x:is>
          <x:t xml:space="preserve">NO</x:t>
        </x:is>
      </x:c>
      <x:c r="X114" s="160" t="inlineStr">
        <x:is>
          <x:t xml:space="preserve">NONE — DEVELOPMENT ONLY</x:t>
        </x:is>
      </x:c>
      <x:c r="Y114" s="160" t="inlineStr">
        <x:is>
          <x:t xml:space="preserve">Synthetic/adversarial model-development loop. No historical outcome is claimed; no accuracy point is awarded.</x:t>
        </x:is>
      </x:c>
    </x:row>
    <x:row r="115">
      <x:c r="A115" s="160" t="inlineStr">
        <x:is>
          <x:t xml:space="preserve">ML0110</x:t>
        </x:is>
      </x:c>
      <x:c r="B115" s="160" t="inlineStr">
        <x:is>
          <x:t xml:space="preserve">ARG-007</x:t>
        </x:is>
      </x:c>
      <x:c r="C115" s="160" t="inlineStr">
        <x:is>
          <x:t xml:space="preserve">Taiwan Semiconductor Manufacturing</x:t>
        </x:is>
      </x:c>
      <x:c r="D115" s="160" t="inlineStr">
        <x:is>
          <x:t xml:space="preserve">TSM</x:t>
        </x:is>
      </x:c>
      <x:c r="E115" s="160" t="inlineStr">
        <x:is>
          <x:t xml:space="preserve">AI &amp; Semiconductors</x:t>
        </x:is>
      </x:c>
      <x:c r="F115" s="160" t="inlineStr">
        <x:is>
          <x:t xml:space="preserve">Development</x:t>
        </x:is>
      </x:c>
      <x:c r="G115" s="160" t="inlineStr">
        <x:is>
          <x:t xml:space="preserve">S14</x:t>
        </x:is>
      </x:c>
      <x:c r="H115" s="160" t="inlineStr">
        <x:is>
          <x:t xml:space="preserve">M&amp;A / Organic Growth Separation</x:t>
        </x:is>
      </x:c>
      <x:c r="I115" s="160" t="inlineStr">
        <x:is>
          <x:t xml:space="preserve">Stewardship</x:t>
        </x:is>
      </x:c>
      <x:c r="J115" s="160" t="inlineStr">
        <x:is>
          <x:t xml:space="preserve">Acquisition-driven growth masks weak organic economics or poor incremental ROIC.</x:t>
        </x:is>
      </x:c>
      <x:c r="K115" s="160" t="inlineStr">
        <x:is>
          <x:t xml:space="preserve">Wafer demand × node mix × utilization × pricing</x:t>
        </x:is>
      </x:c>
      <x:c r="L115" s="160" t="inlineStr">
        <x:is>
          <x:t xml:space="preserve">Mid-cycle FCF + replacement cost</x:t>
        </x:is>
      </x:c>
      <x:c r="M115" s="160" t="inlineStr">
        <x:is>
          <x:t xml:space="preserve">WATCH</x:t>
        </x:is>
      </x:c>
      <x:c r="N115" s="160" t="inlineStr">
        <x:is>
          <x:t xml:space="preserve">R-MA-01</x:t>
        </x:is>
      </x:c>
      <x:c r="O115" s="160" t="inlineStr">
        <x:is>
          <x:t xml:space="preserve">BASE</x:t>
        </x:is>
      </x:c>
      <x:c r="P115" s="160" t="inlineStr">
        <x:is>
          <x:t xml:space="preserve">PARTIAL CATCH</x:t>
        </x:is>
      </x:c>
      <x:c r="Q115" s="160" t="inlineStr">
        <x:is>
          <x:t xml:space="preserve">The base refinement catches the main failure, but evidence thresholds and per-share/counterfactual details remain underspecified.</x:t>
        </x:is>
      </x:c>
      <x:c r="R115" s="160" t="inlineStr">
        <x:is>
          <x:t xml:space="preserve">Bridge organic growth, acquired growth, purchase price, integration costs and acquisition-cohort ROIC.</x:t>
        </x:is>
      </x:c>
      <x:c r="S115" s="160" t="inlineStr">
        <x:is>
          <x:t xml:space="preserve">NO</x:t>
        </x:is>
      </x:c>
      <x:c r="T115" s="160" t="inlineStr">
        <x:is>
          <x:t xml:space="preserve">BASE</x:t>
        </x:is>
      </x:c>
      <x:c r="U115" s="160" t="inlineStr">
        <x:is>
          <x:t xml:space="preserve">V10.5-SIM18</x:t>
        </x:is>
      </x:c>
      <x:c r="V115" s="160" t="inlineStr">
        <x:is>
          <x:t xml:space="preserve">https://investor.tsmc.com</x:t>
        </x:is>
      </x:c>
      <x:c r="W115" s="160" t="inlineStr">
        <x:is>
          <x:t xml:space="preserve">NO</x:t>
        </x:is>
      </x:c>
      <x:c r="X115" s="160" t="inlineStr">
        <x:is>
          <x:t xml:space="preserve">NONE — DEVELOPMENT ONLY</x:t>
        </x:is>
      </x:c>
      <x:c r="Y115" s="160" t="inlineStr">
        <x:is>
          <x:t xml:space="preserve">Synthetic/adversarial model-development loop. No historical outcome is claimed; no accuracy point is awarded.</x:t>
        </x:is>
      </x:c>
    </x:row>
    <x:row r="116">
      <x:c r="A116" s="160" t="inlineStr">
        <x:is>
          <x:t xml:space="preserve">ML0111</x:t>
        </x:is>
      </x:c>
      <x:c r="B116" s="160" t="inlineStr">
        <x:is>
          <x:t xml:space="preserve">ARG-007</x:t>
        </x:is>
      </x:c>
      <x:c r="C116" s="160" t="inlineStr">
        <x:is>
          <x:t xml:space="preserve">Taiwan Semiconductor Manufacturing</x:t>
        </x:is>
      </x:c>
      <x:c r="D116" s="160" t="inlineStr">
        <x:is>
          <x:t xml:space="preserve">TSM</x:t>
        </x:is>
      </x:c>
      <x:c r="E116" s="160" t="inlineStr">
        <x:is>
          <x:t xml:space="preserve">AI &amp; Semiconductors</x:t>
        </x:is>
      </x:c>
      <x:c r="F116" s="160" t="inlineStr">
        <x:is>
          <x:t xml:space="preserve">Development</x:t>
        </x:is>
      </x:c>
      <x:c r="G116" s="160" t="inlineStr">
        <x:is>
          <x:t xml:space="preserve">S15</x:t>
        </x:is>
      </x:c>
      <x:c r="H116" s="160" t="inlineStr">
        <x:is>
          <x:t xml:space="preserve">Financing / Dilution Per Share</x:t>
        </x:is>
      </x:c>
      <x:c r="I116" s="160" t="inlineStr">
        <x:is>
          <x:t xml:space="preserve">Stewardship</x:t>
        </x:is>
      </x:c>
      <x:c r="J116" s="160" t="inlineStr">
        <x:is>
          <x:t xml:space="preserve">Cash balance or revenue growth improves while financing causes material per-share value leakage.</x:t>
        </x:is>
      </x:c>
      <x:c r="K116" s="160" t="inlineStr">
        <x:is>
          <x:t xml:space="preserve">Wafer demand × node mix × utilization × pricing</x:t>
        </x:is>
      </x:c>
      <x:c r="L116" s="160" t="inlineStr">
        <x:is>
          <x:t xml:space="preserve">Mid-cycle FCF + replacement cost</x:t>
        </x:is>
      </x:c>
      <x:c r="M116" s="160" t="inlineStr">
        <x:is>
          <x:t xml:space="preserve">WATCH</x:t>
        </x:is>
      </x:c>
      <x:c r="N116" s="160" t="inlineStr">
        <x:is>
          <x:t xml:space="preserve">R-DIL-01</x:t>
        </x:is>
      </x:c>
      <x:c r="O116" s="160" t="inlineStr">
        <x:is>
          <x:t xml:space="preserve">BASE</x:t>
        </x:is>
      </x:c>
      <x:c r="P116" s="160" t="inlineStr">
        <x:is>
          <x:t xml:space="preserve">PARTIAL CATCH</x:t>
        </x:is>
      </x:c>
      <x:c r="Q116" s="160" t="inlineStr">
        <x:is>
          <x:t xml:space="preserve">The base refinement catches the main failure, but evidence thresholds and per-share/counterfactual details remain underspecified.</x:t>
        </x:is>
      </x:c>
      <x:c r="R116" s="160" t="inlineStr">
        <x:is>
          <x:t xml:space="preserve">Reconcile share-count growth, SBC, equity issuance, buybacks and net cash changes to per-share intrinsic value.</x:t>
        </x:is>
      </x:c>
      <x:c r="S116" s="160" t="inlineStr">
        <x:is>
          <x:t xml:space="preserve">NO</x:t>
        </x:is>
      </x:c>
      <x:c r="T116" s="160" t="inlineStr">
        <x:is>
          <x:t xml:space="preserve">BASE</x:t>
        </x:is>
      </x:c>
      <x:c r="U116" s="160" t="inlineStr">
        <x:is>
          <x:t xml:space="preserve">V10.5-SIM18</x:t>
        </x:is>
      </x:c>
      <x:c r="V116" s="160" t="inlineStr">
        <x:is>
          <x:t xml:space="preserve">https://investor.tsmc.com</x:t>
        </x:is>
      </x:c>
      <x:c r="W116" s="160" t="inlineStr">
        <x:is>
          <x:t xml:space="preserve">NO</x:t>
        </x:is>
      </x:c>
      <x:c r="X116" s="160" t="inlineStr">
        <x:is>
          <x:t xml:space="preserve">NONE — DEVELOPMENT ONLY</x:t>
        </x:is>
      </x:c>
      <x:c r="Y116" s="160" t="inlineStr">
        <x:is>
          <x:t xml:space="preserve">Synthetic/adversarial model-development loop. No historical outcome is claimed; no accuracy point is awarded.</x:t>
        </x:is>
      </x:c>
    </x:row>
    <x:row r="117">
      <x:c r="A117" s="160" t="inlineStr">
        <x:is>
          <x:t xml:space="preserve">ML0112</x:t>
        </x:is>
      </x:c>
      <x:c r="B117" s="160" t="inlineStr">
        <x:is>
          <x:t xml:space="preserve">ARG-007</x:t>
        </x:is>
      </x:c>
      <x:c r="C117" s="160" t="inlineStr">
        <x:is>
          <x:t xml:space="preserve">Taiwan Semiconductor Manufacturing</x:t>
        </x:is>
      </x:c>
      <x:c r="D117" s="160" t="inlineStr">
        <x:is>
          <x:t xml:space="preserve">TSM</x:t>
        </x:is>
      </x:c>
      <x:c r="E117" s="160" t="inlineStr">
        <x:is>
          <x:t xml:space="preserve">AI &amp; Semiconductors</x:t>
        </x:is>
      </x:c>
      <x:c r="F117" s="160" t="inlineStr">
        <x:is>
          <x:t xml:space="preserve">Development</x:t>
        </x:is>
      </x:c>
      <x:c r="G117" s="160" t="inlineStr">
        <x:is>
          <x:t xml:space="preserve">S16</x:t>
        </x:is>
      </x:c>
      <x:c r="H117" s="160" t="inlineStr">
        <x:is>
          <x:t xml:space="preserve">Concentration / Tail Risk</x:t>
        </x:is>
      </x:c>
      <x:c r="I117" s="160" t="inlineStr">
        <x:is>
          <x:t xml:space="preserve">Survival</x:t>
        </x:is>
      </x:c>
      <x:c r="J117" s="160" t="inlineStr">
        <x:is>
          <x:t xml:space="preserve">A concentrated supplier, geography, customer, product, patent, regulatory or technology dependency creates asymmetric permanent-loss risk.</x:t>
        </x:is>
      </x:c>
      <x:c r="K117" s="160" t="inlineStr">
        <x:is>
          <x:t xml:space="preserve">Wafer demand × node mix × utilization × pricing</x:t>
        </x:is>
      </x:c>
      <x:c r="L117" s="160" t="inlineStr">
        <x:is>
          <x:t xml:space="preserve">Mid-cycle FCF + replacement cost</x:t>
        </x:is>
      </x:c>
      <x:c r="M117" s="160" t="inlineStr">
        <x:is>
          <x:t xml:space="preserve">WATCH</x:t>
        </x:is>
      </x:c>
      <x:c r="N117" s="160" t="inlineStr">
        <x:is>
          <x:t xml:space="preserve">R-TAIL-01</x:t>
        </x:is>
      </x:c>
      <x:c r="O117" s="160" t="inlineStr">
        <x:is>
          <x:t xml:space="preserve">BASE</x:t>
        </x:is>
      </x:c>
      <x:c r="P117" s="160" t="inlineStr">
        <x:is>
          <x:t xml:space="preserve">PARTIAL CATCH</x:t>
        </x:is>
      </x:c>
      <x:c r="Q117" s="160" t="inlineStr">
        <x:is>
          <x:t xml:space="preserve">The base refinement catches the main failure, but evidence thresholds and per-share/counterfactual details remain underspecified.</x:t>
        </x:is>
      </x:c>
      <x:c r="R117" s="160" t="inlineStr">
        <x:is>
          <x:t xml:space="preserve">Maintain an explicit concentration/tail-risk register with probability, severity, mitigation and required margin-of-safety premium.</x:t>
        </x:is>
      </x:c>
      <x:c r="S117" s="160" t="inlineStr">
        <x:is>
          <x:t xml:space="preserve">NO</x:t>
        </x:is>
      </x:c>
      <x:c r="T117" s="160" t="inlineStr">
        <x:is>
          <x:t xml:space="preserve">BASE</x:t>
        </x:is>
      </x:c>
      <x:c r="U117" s="160" t="inlineStr">
        <x:is>
          <x:t xml:space="preserve">V10.5-SIM18</x:t>
        </x:is>
      </x:c>
      <x:c r="V117" s="160" t="inlineStr">
        <x:is>
          <x:t xml:space="preserve">https://investor.tsmc.com</x:t>
        </x:is>
      </x:c>
      <x:c r="W117" s="160" t="inlineStr">
        <x:is>
          <x:t xml:space="preserve">NO</x:t>
        </x:is>
      </x:c>
      <x:c r="X117" s="160" t="inlineStr">
        <x:is>
          <x:t xml:space="preserve">NONE — DEVELOPMENT ONLY</x:t>
        </x:is>
      </x:c>
      <x:c r="Y117" s="160" t="inlineStr">
        <x:is>
          <x:t xml:space="preserve">Synthetic/adversarial model-development loop. No historical outcome is claimed; no accuracy point is awarded.</x:t>
        </x:is>
      </x:c>
    </x:row>
    <x:row r="118">
      <x:c r="A118" s="160" t="inlineStr">
        <x:is>
          <x:t xml:space="preserve">ML0113</x:t>
        </x:is>
      </x:c>
      <x:c r="B118" s="160" t="inlineStr">
        <x:is>
          <x:t xml:space="preserve">ARG-008</x:t>
        </x:is>
      </x:c>
      <x:c r="C118" s="160" t="inlineStr">
        <x:is>
          <x:t xml:space="preserve">ASML Holding</x:t>
        </x:is>
      </x:c>
      <x:c r="D118" s="160" t="inlineStr">
        <x:is>
          <x:t xml:space="preserve">ASML</x:t>
        </x:is>
      </x:c>
      <x:c r="E118" s="160" t="inlineStr">
        <x:is>
          <x:t xml:space="preserve">AI &amp; Semiconductors</x:t>
        </x:is>
      </x:c>
      <x:c r="F118" s="160" t="inlineStr">
        <x:is>
          <x:t xml:space="preserve">Development</x:t>
        </x:is>
      </x:c>
      <x:c r="G118" s="160" t="inlineStr">
        <x:is>
          <x:t xml:space="preserve">S01</x:t>
        </x:is>
      </x:c>
      <x:c r="H118" s="160" t="inlineStr">
        <x:is>
          <x:t xml:space="preserve">Understanding Gate</x:t>
        </x:is>
      </x:c>
      <x:c r="I118" s="160" t="inlineStr">
        <x:is>
          <x:t xml:space="preserve">Understanding</x:t>
        </x:is>
      </x:c>
      <x:c r="J118" s="160" t="inlineStr">
        <x:is>
          <x:t xml:space="preserve">Causal engine / customer ROI chain breaks under a misleading headline KPI.</x:t>
        </x:is>
      </x:c>
      <x:c r="K118" s="160" t="inlineStr">
        <x:is>
          <x:t xml:space="preserve">System shipments plus installed-base service annuity</x:t>
        </x:is>
      </x:c>
      <x:c r="L118" s="160" t="inlineStr">
        <x:is>
          <x:t xml:space="preserve">Owner earnings + reverse DCF</x:t>
        </x:is>
      </x:c>
      <x:c r="M118" s="160" t="inlineStr">
        <x:is>
          <x:t xml:space="preserve">WAIT FOR PRICE</x:t>
        </x:is>
      </x:c>
      <x:c r="N118" s="160" t="inlineStr">
        <x:is>
          <x:t xml:space="preserve">R-ENG-01</x:t>
        </x:is>
      </x:c>
      <x:c r="O118" s="160" t="inlineStr">
        <x:is>
          <x:t xml:space="preserve">BASE</x:t>
        </x:is>
      </x:c>
      <x:c r="P118" s="160" t="inlineStr">
        <x:is>
          <x:t xml:space="preserve">PARTIAL CATCH</x:t>
        </x:is>
      </x:c>
      <x:c r="Q118" s="160" t="inlineStr">
        <x:is>
          <x:t xml:space="preserve">The base refinement catches the main failure, but evidence thresholds and per-share/counterfactual details remain underspecified.</x:t>
        </x:is>
      </x:c>
      <x:c r="R118" s="160" t="inlineStr">
        <x:is>
          <x:t xml:space="preserve">Force an explicit engine tree: customer job → unit economics → revenue driver → owner-value bridge.</x:t>
        </x:is>
      </x:c>
      <x:c r="S118" s="160" t="inlineStr">
        <x:is>
          <x:t xml:space="preserve">NO</x:t>
        </x:is>
      </x:c>
      <x:c r="T118" s="160" t="inlineStr">
        <x:is>
          <x:t xml:space="preserve">BASE</x:t>
        </x:is>
      </x:c>
      <x:c r="U118" s="160" t="inlineStr">
        <x:is>
          <x:t xml:space="preserve">V10.5-SIM18</x:t>
        </x:is>
      </x:c>
      <x:c r="V118" s="160" t="inlineStr">
        <x:is>
          <x:t xml:space="preserve">https://www.asml.com/en/investors</x:t>
        </x:is>
      </x:c>
      <x:c r="W118" s="160" t="inlineStr">
        <x:is>
          <x:t xml:space="preserve">NO</x:t>
        </x:is>
      </x:c>
      <x:c r="X118" s="160" t="inlineStr">
        <x:is>
          <x:t xml:space="preserve">NONE — DEVELOPMENT ONLY</x:t>
        </x:is>
      </x:c>
      <x:c r="Y118" s="160" t="inlineStr">
        <x:is>
          <x:t xml:space="preserve">Synthetic/adversarial model-development loop. No historical outcome is claimed; no accuracy point is awarded.</x:t>
        </x:is>
      </x:c>
    </x:row>
    <x:row r="119">
      <x:c r="A119" s="160" t="inlineStr">
        <x:is>
          <x:t xml:space="preserve">ML0114</x:t>
        </x:is>
      </x:c>
      <x:c r="B119" s="160" t="inlineStr">
        <x:is>
          <x:t xml:space="preserve">ARG-008</x:t>
        </x:is>
      </x:c>
      <x:c r="C119" s="160" t="inlineStr">
        <x:is>
          <x:t xml:space="preserve">ASML Holding</x:t>
        </x:is>
      </x:c>
      <x:c r="D119" s="160" t="inlineStr">
        <x:is>
          <x:t xml:space="preserve">ASML</x:t>
        </x:is>
      </x:c>
      <x:c r="E119" s="160" t="inlineStr">
        <x:is>
          <x:t xml:space="preserve">AI &amp; Semiconductors</x:t>
        </x:is>
      </x:c>
      <x:c r="F119" s="160" t="inlineStr">
        <x:is>
          <x:t xml:space="preserve">Development</x:t>
        </x:is>
      </x:c>
      <x:c r="G119" s="160" t="inlineStr">
        <x:is>
          <x:t xml:space="preserve">S02</x:t>
        </x:is>
      </x:c>
      <x:c r="H119" s="160" t="inlineStr">
        <x:is>
          <x:t xml:space="preserve">Owner Earnings Normalization</x:t>
        </x:is>
      </x:c>
      <x:c r="I119" s="160" t="inlineStr">
        <x:is>
          <x:t xml:space="preserve">Owner Earnings</x:t>
        </x:is>
      </x:c>
      <x:c r="J119" s="160" t="inlineStr">
        <x:is>
          <x:t xml:space="preserve">Reported earnings/FCF overstates economic cash because recurring reinvestment or non-cash compensation is misclassified.</x:t>
        </x:is>
      </x:c>
      <x:c r="K119" s="160" t="inlineStr">
        <x:is>
          <x:t xml:space="preserve">System shipments plus installed-base service annuity</x:t>
        </x:is>
      </x:c>
      <x:c r="L119" s="160" t="inlineStr">
        <x:is>
          <x:t xml:space="preserve">Owner earnings + reverse DCF</x:t>
        </x:is>
      </x:c>
      <x:c r="M119" s="160" t="inlineStr">
        <x:is>
          <x:t xml:space="preserve">WAIT FOR PRICE</x:t>
        </x:is>
      </x:c>
      <x:c r="N119" s="160" t="inlineStr">
        <x:is>
          <x:t xml:space="preserve">R-OE-01</x:t>
        </x:is>
      </x:c>
      <x:c r="O119" s="160" t="inlineStr">
        <x:is>
          <x:t xml:space="preserve">BASE</x:t>
        </x:is>
      </x:c>
      <x:c r="P119" s="160" t="inlineStr">
        <x:is>
          <x:t xml:space="preserve">PARTIAL CATCH</x:t>
        </x:is>
      </x:c>
      <x:c r="Q119" s="160" t="inlineStr">
        <x:is>
          <x:t xml:space="preserve">The base refinement catches the main failure, but evidence thresholds and per-share/counterfactual details remain underspecified.</x:t>
        </x:is>
      </x:c>
      <x:c r="R119" s="160" t="inlineStr">
        <x:is>
          <x:t xml:space="preserve">Require a GAAP-to-economic-owner-cash bridge tailored to the business model.</x:t>
        </x:is>
      </x:c>
      <x:c r="S119" s="160" t="inlineStr">
        <x:is>
          <x:t xml:space="preserve">NO</x:t>
        </x:is>
      </x:c>
      <x:c r="T119" s="160" t="inlineStr">
        <x:is>
          <x:t xml:space="preserve">BASE</x:t>
        </x:is>
      </x:c>
      <x:c r="U119" s="160" t="inlineStr">
        <x:is>
          <x:t xml:space="preserve">V10.5-SIM18</x:t>
        </x:is>
      </x:c>
      <x:c r="V119" s="160" t="inlineStr">
        <x:is>
          <x:t xml:space="preserve">https://www.asml.com/en/investors</x:t>
        </x:is>
      </x:c>
      <x:c r="W119" s="160" t="inlineStr">
        <x:is>
          <x:t xml:space="preserve">NO</x:t>
        </x:is>
      </x:c>
      <x:c r="X119" s="160" t="inlineStr">
        <x:is>
          <x:t xml:space="preserve">NONE — DEVELOPMENT ONLY</x:t>
        </x:is>
      </x:c>
      <x:c r="Y119" s="160" t="inlineStr">
        <x:is>
          <x:t xml:space="preserve">Synthetic/adversarial model-development loop. No historical outcome is claimed; no accuracy point is awarded.</x:t>
        </x:is>
      </x:c>
    </x:row>
    <x:row r="120">
      <x:c r="A120" s="160" t="inlineStr">
        <x:is>
          <x:t xml:space="preserve">ML0115</x:t>
        </x:is>
      </x:c>
      <x:c r="B120" s="160" t="inlineStr">
        <x:is>
          <x:t xml:space="preserve">ARG-008</x:t>
        </x:is>
      </x:c>
      <x:c r="C120" s="160" t="inlineStr">
        <x:is>
          <x:t xml:space="preserve">ASML Holding</x:t>
        </x:is>
      </x:c>
      <x:c r="D120" s="160" t="inlineStr">
        <x:is>
          <x:t xml:space="preserve">ASML</x:t>
        </x:is>
      </x:c>
      <x:c r="E120" s="160" t="inlineStr">
        <x:is>
          <x:t xml:space="preserve">AI &amp; Semiconductors</x:t>
        </x:is>
      </x:c>
      <x:c r="F120" s="160" t="inlineStr">
        <x:is>
          <x:t xml:space="preserve">Development</x:t>
        </x:is>
      </x:c>
      <x:c r="G120" s="160" t="inlineStr">
        <x:is>
          <x:t xml:space="preserve">S03</x:t>
        </x:is>
      </x:c>
      <x:c r="H120" s="160" t="inlineStr">
        <x:is>
          <x:t xml:space="preserve">Moat Durability</x:t>
        </x:is>
      </x:c>
      <x:c r="I120" s="160" t="inlineStr">
        <x:is>
          <x:t xml:space="preserve">Moat 2036</x:t>
        </x:is>
      </x:c>
      <x:c r="J120" s="160" t="inlineStr">
        <x:is>
          <x:t xml:space="preserve">Growth continues while switching friction, pricing power or replacement difficulty quietly weakens.</x:t>
        </x:is>
      </x:c>
      <x:c r="K120" s="160" t="inlineStr">
        <x:is>
          <x:t xml:space="preserve">System shipments plus installed-base service annuity</x:t>
        </x:is>
      </x:c>
      <x:c r="L120" s="160" t="inlineStr">
        <x:is>
          <x:t xml:space="preserve">Owner earnings + reverse DCF</x:t>
        </x:is>
      </x:c>
      <x:c r="M120" s="160" t="inlineStr">
        <x:is>
          <x:t xml:space="preserve">WAIT FOR PRICE</x:t>
        </x:is>
      </x:c>
      <x:c r="N120" s="160" t="inlineStr">
        <x:is>
          <x:t xml:space="preserve">R-MOAT-01</x:t>
        </x:is>
      </x:c>
      <x:c r="O120" s="160" t="inlineStr">
        <x:is>
          <x:t xml:space="preserve">BASE</x:t>
        </x:is>
      </x:c>
      <x:c r="P120" s="160" t="inlineStr">
        <x:is>
          <x:t xml:space="preserve">PARTIAL CATCH</x:t>
        </x:is>
      </x:c>
      <x:c r="Q120" s="160" t="inlineStr">
        <x:is>
          <x:t xml:space="preserve">The base refinement catches the main failure, but evidence thresholds and per-share/counterfactual details remain underspecified.</x:t>
        </x:is>
      </x:c>
      <x:c r="R120" s="160" t="inlineStr">
        <x:is>
          <x:t xml:space="preserve">Track moat telemetry separately from growth: retention, pricing, win/loss, replacement friction, installed-base behavior.</x:t>
        </x:is>
      </x:c>
      <x:c r="S120" s="160" t="inlineStr">
        <x:is>
          <x:t xml:space="preserve">NO</x:t>
        </x:is>
      </x:c>
      <x:c r="T120" s="160" t="inlineStr">
        <x:is>
          <x:t xml:space="preserve">BASE</x:t>
        </x:is>
      </x:c>
      <x:c r="U120" s="160" t="inlineStr">
        <x:is>
          <x:t xml:space="preserve">V10.5-SIM18</x:t>
        </x:is>
      </x:c>
      <x:c r="V120" s="160" t="inlineStr">
        <x:is>
          <x:t xml:space="preserve">https://www.asml.com/en/investors</x:t>
        </x:is>
      </x:c>
      <x:c r="W120" s="160" t="inlineStr">
        <x:is>
          <x:t xml:space="preserve">NO</x:t>
        </x:is>
      </x:c>
      <x:c r="X120" s="160" t="inlineStr">
        <x:is>
          <x:t xml:space="preserve">NONE — DEVELOPMENT ONLY</x:t>
        </x:is>
      </x:c>
      <x:c r="Y120" s="160" t="inlineStr">
        <x:is>
          <x:t xml:space="preserve">Synthetic/adversarial model-development loop. No historical outcome is claimed; no accuracy point is awarded.</x:t>
        </x:is>
      </x:c>
    </x:row>
    <x:row r="121">
      <x:c r="A121" s="160" t="inlineStr">
        <x:is>
          <x:t xml:space="preserve">ML0116</x:t>
        </x:is>
      </x:c>
      <x:c r="B121" s="160" t="inlineStr">
        <x:is>
          <x:t xml:space="preserve">ARG-008</x:t>
        </x:is>
      </x:c>
      <x:c r="C121" s="160" t="inlineStr">
        <x:is>
          <x:t xml:space="preserve">ASML Holding</x:t>
        </x:is>
      </x:c>
      <x:c r="D121" s="160" t="inlineStr">
        <x:is>
          <x:t xml:space="preserve">ASML</x:t>
        </x:is>
      </x:c>
      <x:c r="E121" s="160" t="inlineStr">
        <x:is>
          <x:t xml:space="preserve">AI &amp; Semiconductors</x:t>
        </x:is>
      </x:c>
      <x:c r="F121" s="160" t="inlineStr">
        <x:is>
          <x:t xml:space="preserve">Development</x:t>
        </x:is>
      </x:c>
      <x:c r="G121" s="160" t="inlineStr">
        <x:is>
          <x:t xml:space="preserve">S04</x:t>
        </x:is>
      </x:c>
      <x:c r="H121" s="160" t="inlineStr">
        <x:is>
          <x:t xml:space="preserve">Stewardship / Capital Allocation</x:t>
        </x:is>
      </x:c>
      <x:c r="I121" s="160" t="inlineStr">
        <x:is>
          <x:t xml:space="preserve">Stewardship</x:t>
        </x:is>
      </x:c>
      <x:c r="J121" s="160" t="inlineStr">
        <x:is>
          <x:t xml:space="preserve">Management creates enterprise growth while destroying per-share value through M&amp;A, dilution, leverage or mistimed buybacks.</x:t>
        </x:is>
      </x:c>
      <x:c r="K121" s="160" t="inlineStr">
        <x:is>
          <x:t xml:space="preserve">System shipments plus installed-base service annuity</x:t>
        </x:is>
      </x:c>
      <x:c r="L121" s="160" t="inlineStr">
        <x:is>
          <x:t xml:space="preserve">Owner earnings + reverse DCF</x:t>
        </x:is>
      </x:c>
      <x:c r="M121" s="160" t="inlineStr">
        <x:is>
          <x:t xml:space="preserve">WAIT FOR PRICE</x:t>
        </x:is>
      </x:c>
      <x:c r="N121" s="160" t="inlineStr">
        <x:is>
          <x:t xml:space="preserve">R-STEW-01</x:t>
        </x:is>
      </x:c>
      <x:c r="O121" s="160" t="inlineStr">
        <x:is>
          <x:t xml:space="preserve">BASE</x:t>
        </x:is>
      </x:c>
      <x:c r="P121" s="160" t="inlineStr">
        <x:is>
          <x:t xml:space="preserve">PARTIAL CATCH</x:t>
        </x:is>
      </x:c>
      <x:c r="Q121" s="160" t="inlineStr">
        <x:is>
          <x:t xml:space="preserve">The base refinement catches the main failure, but evidence thresholds and per-share/counterfactual details remain underspecified.</x:t>
        </x:is>
      </x:c>
      <x:c r="R121" s="160" t="inlineStr">
        <x:is>
          <x:t xml:space="preserve">Evaluate capital allocation on a per-share basis using acquisition cohorts, dilution, leverage and repurchase price discipline.</x:t>
        </x:is>
      </x:c>
      <x:c r="S121" s="160" t="inlineStr">
        <x:is>
          <x:t xml:space="preserve">NO</x:t>
        </x:is>
      </x:c>
      <x:c r="T121" s="160" t="inlineStr">
        <x:is>
          <x:t xml:space="preserve">BASE</x:t>
        </x:is>
      </x:c>
      <x:c r="U121" s="160" t="inlineStr">
        <x:is>
          <x:t xml:space="preserve">V10.5-SIM18</x:t>
        </x:is>
      </x:c>
      <x:c r="V121" s="160" t="inlineStr">
        <x:is>
          <x:t xml:space="preserve">https://www.asml.com/en/investors</x:t>
        </x:is>
      </x:c>
      <x:c r="W121" s="160" t="inlineStr">
        <x:is>
          <x:t xml:space="preserve">NO</x:t>
        </x:is>
      </x:c>
      <x:c r="X121" s="160" t="inlineStr">
        <x:is>
          <x:t xml:space="preserve">NONE — DEVELOPMENT ONLY</x:t>
        </x:is>
      </x:c>
      <x:c r="Y121" s="160" t="inlineStr">
        <x:is>
          <x:t xml:space="preserve">Synthetic/adversarial model-development loop. No historical outcome is claimed; no accuracy point is awarded.</x:t>
        </x:is>
      </x:c>
    </x:row>
    <x:row r="122">
      <x:c r="A122" s="160" t="inlineStr">
        <x:is>
          <x:t xml:space="preserve">ML0117</x:t>
        </x:is>
      </x:c>
      <x:c r="B122" s="160" t="inlineStr">
        <x:is>
          <x:t xml:space="preserve">ARG-008</x:t>
        </x:is>
      </x:c>
      <x:c r="C122" s="160" t="inlineStr">
        <x:is>
          <x:t xml:space="preserve">ASML Holding</x:t>
        </x:is>
      </x:c>
      <x:c r="D122" s="160" t="inlineStr">
        <x:is>
          <x:t xml:space="preserve">ASML</x:t>
        </x:is>
      </x:c>
      <x:c r="E122" s="160" t="inlineStr">
        <x:is>
          <x:t xml:space="preserve">AI &amp; Semiconductors</x:t>
        </x:is>
      </x:c>
      <x:c r="F122" s="160" t="inlineStr">
        <x:is>
          <x:t xml:space="preserve">Development</x:t>
        </x:is>
      </x:c>
      <x:c r="G122" s="160" t="inlineStr">
        <x:is>
          <x:t xml:space="preserve">S05</x:t>
        </x:is>
      </x:c>
      <x:c r="H122" s="160" t="inlineStr">
        <x:is>
          <x:t xml:space="preserve">Survival / Funding</x:t>
        </x:is>
      </x:c>
      <x:c r="I122" s="160" t="inlineStr">
        <x:is>
          <x:t xml:space="preserve">Survival</x:t>
        </x:is>
      </x:c>
      <x:c r="J122" s="160" t="inlineStr">
        <x:is>
          <x:t xml:space="preserve">A plausible bear case exposes refinancing, liquidity, covenant, reserve, regulatory or operational fragility.</x:t>
        </x:is>
      </x:c>
      <x:c r="K122" s="160" t="inlineStr">
        <x:is>
          <x:t xml:space="preserve">System shipments plus installed-base service annuity</x:t>
        </x:is>
      </x:c>
      <x:c r="L122" s="160" t="inlineStr">
        <x:is>
          <x:t xml:space="preserve">Owner earnings + reverse DCF</x:t>
        </x:is>
      </x:c>
      <x:c r="M122" s="160" t="inlineStr">
        <x:is>
          <x:t xml:space="preserve">WAIT FOR PRICE</x:t>
        </x:is>
      </x:c>
      <x:c r="N122" s="160" t="inlineStr">
        <x:is>
          <x:t xml:space="preserve">R-SURV-01</x:t>
        </x:is>
      </x:c>
      <x:c r="O122" s="160" t="inlineStr">
        <x:is>
          <x:t xml:space="preserve">BASE</x:t>
        </x:is>
      </x:c>
      <x:c r="P122" s="160" t="inlineStr">
        <x:is>
          <x:t xml:space="preserve">PARTIAL CATCH</x:t>
        </x:is>
      </x:c>
      <x:c r="Q122" s="160" t="inlineStr">
        <x:is>
          <x:t xml:space="preserve">The base refinement catches the main failure, but evidence thresholds and per-share/counterfactual details remain underspecified.</x:t>
        </x:is>
      </x:c>
      <x:c r="R122" s="160" t="inlineStr">
        <x:is>
          <x:t xml:space="preserve">Run a company-specific survival bridge under a severe-but-plausible bear case before any upside underwriting.</x:t>
        </x:is>
      </x:c>
      <x:c r="S122" s="160" t="inlineStr">
        <x:is>
          <x:t xml:space="preserve">NO</x:t>
        </x:is>
      </x:c>
      <x:c r="T122" s="160" t="inlineStr">
        <x:is>
          <x:t xml:space="preserve">BASE</x:t>
        </x:is>
      </x:c>
      <x:c r="U122" s="160" t="inlineStr">
        <x:is>
          <x:t xml:space="preserve">V10.5-SIM18</x:t>
        </x:is>
      </x:c>
      <x:c r="V122" s="160" t="inlineStr">
        <x:is>
          <x:t xml:space="preserve">https://www.asml.com/en/investors</x:t>
        </x:is>
      </x:c>
      <x:c r="W122" s="160" t="inlineStr">
        <x:is>
          <x:t xml:space="preserve">NO</x:t>
        </x:is>
      </x:c>
      <x:c r="X122" s="160" t="inlineStr">
        <x:is>
          <x:t xml:space="preserve">NONE — DEVELOPMENT ONLY</x:t>
        </x:is>
      </x:c>
      <x:c r="Y122" s="160" t="inlineStr">
        <x:is>
          <x:t xml:space="preserve">Synthetic/adversarial model-development loop. No historical outcome is claimed; no accuracy point is awarded.</x:t>
        </x:is>
      </x:c>
    </x:row>
    <x:row r="123">
      <x:c r="A123" s="160" t="inlineStr">
        <x:is>
          <x:t xml:space="preserve">ML0118</x:t>
        </x:is>
      </x:c>
      <x:c r="B123" s="160" t="inlineStr">
        <x:is>
          <x:t xml:space="preserve">ARG-008</x:t>
        </x:is>
      </x:c>
      <x:c r="C123" s="160" t="inlineStr">
        <x:is>
          <x:t xml:space="preserve">ASML Holding</x:t>
        </x:is>
      </x:c>
      <x:c r="D123" s="160" t="inlineStr">
        <x:is>
          <x:t xml:space="preserve">ASML</x:t>
        </x:is>
      </x:c>
      <x:c r="E123" s="160" t="inlineStr">
        <x:is>
          <x:t xml:space="preserve">AI &amp; Semiconductors</x:t>
        </x:is>
      </x:c>
      <x:c r="F123" s="160" t="inlineStr">
        <x:is>
          <x:t xml:space="preserve">Development</x:t>
        </x:is>
      </x:c>
      <x:c r="G123" s="160" t="inlineStr">
        <x:is>
          <x:t xml:space="preserve">S06</x:t>
        </x:is>
      </x:c>
      <x:c r="H123" s="160" t="inlineStr">
        <x:is>
          <x:t xml:space="preserve">Margin of Safety</x:t>
        </x:is>
      </x:c>
      <x:c r="I123" s="160" t="inlineStr">
        <x:is>
          <x:t xml:space="preserve">Margin of Safety</x:t>
        </x:is>
      </x:c>
      <x:c r="J123" s="160" t="inlineStr">
        <x:is>
          <x:t xml:space="preserve">Business quality is high but the price embeds a fragile bull case.</x:t>
        </x:is>
      </x:c>
      <x:c r="K123" s="160" t="inlineStr">
        <x:is>
          <x:t xml:space="preserve">System shipments plus installed-base service annuity</x:t>
        </x:is>
      </x:c>
      <x:c r="L123" s="160" t="inlineStr">
        <x:is>
          <x:t xml:space="preserve">Owner earnings + reverse DCF</x:t>
        </x:is>
      </x:c>
      <x:c r="M123" s="160" t="inlineStr">
        <x:is>
          <x:t xml:space="preserve">WAIT FOR PRICE</x:t>
        </x:is>
      </x:c>
      <x:c r="N123" s="160" t="inlineStr">
        <x:is>
          <x:t xml:space="preserve">R-MOS-01</x:t>
        </x:is>
      </x:c>
      <x:c r="O123" s="160" t="inlineStr">
        <x:is>
          <x:t xml:space="preserve">BASE</x:t>
        </x:is>
      </x:c>
      <x:c r="P123" s="160" t="inlineStr">
        <x:is>
          <x:t xml:space="preserve">PARTIAL CATCH</x:t>
        </x:is>
      </x:c>
      <x:c r="Q123" s="160" t="inlineStr">
        <x:is>
          <x:t xml:space="preserve">The base refinement catches the main failure, but evidence thresholds and per-share/counterfactual details remain underspecified.</x:t>
        </x:is>
      </x:c>
      <x:c r="R123" s="160" t="inlineStr">
        <x:is>
          <x:t xml:space="preserve">Separate business-quality score from price decision; require reverse valuation and bear/base/bull IV ranges.</x:t>
        </x:is>
      </x:c>
      <x:c r="S123" s="160" t="inlineStr">
        <x:is>
          <x:t xml:space="preserve">NO</x:t>
        </x:is>
      </x:c>
      <x:c r="T123" s="160" t="inlineStr">
        <x:is>
          <x:t xml:space="preserve">BASE</x:t>
        </x:is>
      </x:c>
      <x:c r="U123" s="160" t="inlineStr">
        <x:is>
          <x:t xml:space="preserve">V10.5-SIM18</x:t>
        </x:is>
      </x:c>
      <x:c r="V123" s="160" t="inlineStr">
        <x:is>
          <x:t xml:space="preserve">https://www.asml.com/en/investors</x:t>
        </x:is>
      </x:c>
      <x:c r="W123" s="160" t="inlineStr">
        <x:is>
          <x:t xml:space="preserve">NO</x:t>
        </x:is>
      </x:c>
      <x:c r="X123" s="160" t="inlineStr">
        <x:is>
          <x:t xml:space="preserve">NONE — DEVELOPMENT ONLY</x:t>
        </x:is>
      </x:c>
      <x:c r="Y123" s="160" t="inlineStr">
        <x:is>
          <x:t xml:space="preserve">Synthetic/adversarial model-development loop. No historical outcome is claimed; no accuracy point is awarded.</x:t>
        </x:is>
      </x:c>
    </x:row>
    <x:row r="124">
      <x:c r="A124" s="160" t="inlineStr">
        <x:is>
          <x:t xml:space="preserve">ML0119</x:t>
        </x:is>
      </x:c>
      <x:c r="B124" s="160" t="inlineStr">
        <x:is>
          <x:t xml:space="preserve">ARG-008</x:t>
        </x:is>
      </x:c>
      <x:c r="C124" s="160" t="inlineStr">
        <x:is>
          <x:t xml:space="preserve">ASML Holding</x:t>
        </x:is>
      </x:c>
      <x:c r="D124" s="160" t="inlineStr">
        <x:is>
          <x:t xml:space="preserve">ASML</x:t>
        </x:is>
      </x:c>
      <x:c r="E124" s="160" t="inlineStr">
        <x:is>
          <x:t xml:space="preserve">AI &amp; Semiconductors</x:t>
        </x:is>
      </x:c>
      <x:c r="F124" s="160" t="inlineStr">
        <x:is>
          <x:t xml:space="preserve">Development</x:t>
        </x:is>
      </x:c>
      <x:c r="G124" s="160" t="inlineStr">
        <x:is>
          <x:t xml:space="preserve">S07</x:t>
        </x:is>
      </x:c>
      <x:c r="H124" s="160" t="inlineStr">
        <x:is>
          <x:t xml:space="preserve">Sector Shock</x:t>
        </x:is>
      </x:c>
      <x:c r="I124" s="160" t="inlineStr">
        <x:is>
          <x:t xml:space="preserve">Sector-specific</x:t>
        </x:is>
      </x:c>
      <x:c r="J124" s="160" t="inlineStr">
        <x:is>
          <x:t xml:space="preserve">AI demand remains strong but capex intensity, customer concentration, inventory/cycle risk or export/geopolitical constraints hit normalized returns.</x:t>
        </x:is>
      </x:c>
      <x:c r="K124" s="160" t="inlineStr">
        <x:is>
          <x:t xml:space="preserve">System shipments plus installed-base service annuity</x:t>
        </x:is>
      </x:c>
      <x:c r="L124" s="160" t="inlineStr">
        <x:is>
          <x:t xml:space="preserve">Owner earnings + reverse DCF</x:t>
        </x:is>
      </x:c>
      <x:c r="M124" s="160" t="inlineStr">
        <x:is>
          <x:t xml:space="preserve">WAIT FOR PRICE</x:t>
        </x:is>
      </x:c>
      <x:c r="N124" s="160" t="inlineStr">
        <x:is>
          <x:t xml:space="preserve">R-SECTOR-AI-SEMICONDUCTORS</x:t>
        </x:is>
      </x:c>
      <x:c r="O124" s="160" t="inlineStr">
        <x:is>
          <x:t xml:space="preserve">BASE</x:t>
        </x:is>
      </x:c>
      <x:c r="P124" s="160" t="inlineStr">
        <x:is>
          <x:t xml:space="preserve">PARTIAL CATCH</x:t>
        </x:is>
      </x:c>
      <x:c r="Q124" s="160" t="inlineStr">
        <x:is>
          <x:t xml:space="preserve">The base refinement catches the main failure, but evidence thresholds and per-share/counterfactual details remain underspecified.</x:t>
        </x:is>
      </x:c>
      <x:c r="R124"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124" s="160" t="inlineStr">
        <x:is>
          <x:t xml:space="preserve">YES — SIMULATION ONLY</x:t>
        </x:is>
      </x:c>
      <x:c r="T124" s="160" t="inlineStr">
        <x:is>
          <x:t xml:space="preserve">HARDENED</x:t>
        </x:is>
      </x:c>
      <x:c r="U124" s="160" t="inlineStr">
        <x:is>
          <x:t xml:space="preserve">V10.5-SIM19</x:t>
        </x:is>
      </x:c>
      <x:c r="V124" s="160" t="inlineStr">
        <x:is>
          <x:t xml:space="preserve">https://www.asml.com/en/investors</x:t>
        </x:is>
      </x:c>
      <x:c r="W124" s="160" t="inlineStr">
        <x:is>
          <x:t xml:space="preserve">NO</x:t>
        </x:is>
      </x:c>
      <x:c r="X124" s="160" t="inlineStr">
        <x:is>
          <x:t xml:space="preserve">NONE — DEVELOPMENT ONLY</x:t>
        </x:is>
      </x:c>
      <x:c r="Y124" s="160" t="inlineStr">
        <x:is>
          <x:t xml:space="preserve">Synthetic/adversarial model-development loop. No historical outcome is claimed; no accuracy point is awarded.</x:t>
        </x:is>
      </x:c>
    </x:row>
    <x:row r="125">
      <x:c r="A125" s="160" t="inlineStr">
        <x:is>
          <x:t xml:space="preserve">ML0120</x:t>
        </x:is>
      </x:c>
      <x:c r="B125" s="160" t="inlineStr">
        <x:is>
          <x:t xml:space="preserve">ARG-008</x:t>
        </x:is>
      </x:c>
      <x:c r="C125" s="160" t="inlineStr">
        <x:is>
          <x:t xml:space="preserve">ASML Holding</x:t>
        </x:is>
      </x:c>
      <x:c r="D125" s="160" t="inlineStr">
        <x:is>
          <x:t xml:space="preserve">ASML</x:t>
        </x:is>
      </x:c>
      <x:c r="E125" s="160" t="inlineStr">
        <x:is>
          <x:t xml:space="preserve">AI &amp; Semiconductors</x:t>
        </x:is>
      </x:c>
      <x:c r="F125" s="160" t="inlineStr">
        <x:is>
          <x:t xml:space="preserve">Development</x:t>
        </x:is>
      </x:c>
      <x:c r="G125" s="160" t="inlineStr">
        <x:is>
          <x:t xml:space="preserve">S08</x:t>
        </x:is>
      </x:c>
      <x:c r="H125" s="160" t="inlineStr">
        <x:is>
          <x:t xml:space="preserve">Management Promise Reliability</x:t>
        </x:is>
      </x:c>
      <x:c r="I125" s="160" t="inlineStr">
        <x:is>
          <x:t xml:space="preserve">Management over-trust</x:t>
        </x:is>
      </x:c>
      <x:c r="J125" s="160" t="inlineStr">
        <x:is>
          <x:t xml:space="preserve">Guidance or strategic promises are repeated but the model lacks a contemporaneous reliability score.</x:t>
        </x:is>
      </x:c>
      <x:c r="K125" s="160" t="inlineStr">
        <x:is>
          <x:t xml:space="preserve">System shipments plus installed-base service annuity</x:t>
        </x:is>
      </x:c>
      <x:c r="L125" s="160" t="inlineStr">
        <x:is>
          <x:t xml:space="preserve">Owner earnings + reverse DCF</x:t>
        </x:is>
      </x:c>
      <x:c r="M125" s="160" t="inlineStr">
        <x:is>
          <x:t xml:space="preserve">WAIT FOR PRICE</x:t>
        </x:is>
      </x:c>
      <x:c r="N125" s="160" t="inlineStr">
        <x:is>
          <x:t xml:space="preserve">R-PROM-01</x:t>
        </x:is>
      </x:c>
      <x:c r="O125" s="160" t="inlineStr">
        <x:is>
          <x:t xml:space="preserve">BASE</x:t>
        </x:is>
      </x:c>
      <x:c r="P125" s="160" t="inlineStr">
        <x:is>
          <x:t xml:space="preserve">PARTIAL CATCH</x:t>
        </x:is>
      </x:c>
      <x:c r="Q125" s="160" t="inlineStr">
        <x:is>
          <x:t xml:space="preserve">The base refinement catches the main failure, but evidence thresholds and per-share/counterfactual details remain underspecified.</x:t>
        </x:is>
      </x:c>
      <x:c r="R125" s="160" t="inlineStr">
        <x:is>
          <x:t xml:space="preserve">Use a promises ledger with dated promise, measurable deliverable, due date, outcome and credibility weight.</x:t>
        </x:is>
      </x:c>
      <x:c r="S125" s="160" t="inlineStr">
        <x:is>
          <x:t xml:space="preserve">NO</x:t>
        </x:is>
      </x:c>
      <x:c r="T125" s="160" t="inlineStr">
        <x:is>
          <x:t xml:space="preserve">BASE</x:t>
        </x:is>
      </x:c>
      <x:c r="U125" s="160" t="inlineStr">
        <x:is>
          <x:t xml:space="preserve">V10.5-SIM19</x:t>
        </x:is>
      </x:c>
      <x:c r="V125" s="160" t="inlineStr">
        <x:is>
          <x:t xml:space="preserve">https://www.asml.com/en/investors</x:t>
        </x:is>
      </x:c>
      <x:c r="W125" s="160" t="inlineStr">
        <x:is>
          <x:t xml:space="preserve">NO</x:t>
        </x:is>
      </x:c>
      <x:c r="X125" s="160" t="inlineStr">
        <x:is>
          <x:t xml:space="preserve">NONE — DEVELOPMENT ONLY</x:t>
        </x:is>
      </x:c>
      <x:c r="Y125" s="160" t="inlineStr">
        <x:is>
          <x:t xml:space="preserve">Synthetic/adversarial model-development loop. No historical outcome is claimed; no accuracy point is awarded.</x:t>
        </x:is>
      </x:c>
    </x:row>
    <x:row r="126">
      <x:c r="A126" s="160" t="inlineStr">
        <x:is>
          <x:t xml:space="preserve">ML0121</x:t>
        </x:is>
      </x:c>
      <x:c r="B126" s="160" t="inlineStr">
        <x:is>
          <x:t xml:space="preserve">ARG-008</x:t>
        </x:is>
      </x:c>
      <x:c r="C126" s="160" t="inlineStr">
        <x:is>
          <x:t xml:space="preserve">ASML Holding</x:t>
        </x:is>
      </x:c>
      <x:c r="D126" s="160" t="inlineStr">
        <x:is>
          <x:t xml:space="preserve">ASML</x:t>
        </x:is>
      </x:c>
      <x:c r="E126" s="160" t="inlineStr">
        <x:is>
          <x:t xml:space="preserve">AI &amp; Semiconductors</x:t>
        </x:is>
      </x:c>
      <x:c r="F126" s="160" t="inlineStr">
        <x:is>
          <x:t xml:space="preserve">Development</x:t>
        </x:is>
      </x:c>
      <x:c r="G126" s="160" t="inlineStr">
        <x:is>
          <x:t xml:space="preserve">S09</x:t>
        </x:is>
      </x:c>
      <x:c r="H126" s="160" t="inlineStr">
        <x:is>
          <x:t xml:space="preserve">Data / Accounting Quality</x:t>
        </x:is>
      </x:c>
      <x:c r="I126" s="160" t="inlineStr">
        <x:is>
          <x:t xml:space="preserve">Data quality</x:t>
        </x:is>
      </x:c>
      <x:c r="J126" s="160" t="inlineStr">
        <x:is>
          <x:t xml:space="preserve">Restatement, segment reclassification, one-time item or non-economic fair-value movement distorts the apparent trend.</x:t>
        </x:is>
      </x:c>
      <x:c r="K126" s="160" t="inlineStr">
        <x:is>
          <x:t xml:space="preserve">System shipments plus installed-base service annuity</x:t>
        </x:is>
      </x:c>
      <x:c r="L126" s="160" t="inlineStr">
        <x:is>
          <x:t xml:space="preserve">Owner earnings + reverse DCF</x:t>
        </x:is>
      </x:c>
      <x:c r="M126" s="160" t="inlineStr">
        <x:is>
          <x:t xml:space="preserve">WAIT FOR PRICE</x:t>
        </x:is>
      </x:c>
      <x:c r="N126" s="160" t="inlineStr">
        <x:is>
          <x:t xml:space="preserve">R-DATA-01</x:t>
        </x:is>
      </x:c>
      <x:c r="O126" s="160" t="inlineStr">
        <x:is>
          <x:t xml:space="preserve">BASE</x:t>
        </x:is>
      </x:c>
      <x:c r="P126" s="160" t="inlineStr">
        <x:is>
          <x:t xml:space="preserve">PARTIAL CATCH</x:t>
        </x:is>
      </x:c>
      <x:c r="Q126" s="160" t="inlineStr">
        <x:is>
          <x:t xml:space="preserve">The base refinement catches the main failure, but evidence thresholds and per-share/counterfactual details remain underspecified.</x:t>
        </x:is>
      </x:c>
      <x:c r="R126" s="160" t="inlineStr">
        <x:is>
          <x:t xml:space="preserve">Add a reporting-quality bridge and normalize accounting noise before any gate can pass.</x:t>
        </x:is>
      </x:c>
      <x:c r="S126" s="160" t="inlineStr">
        <x:is>
          <x:t xml:space="preserve">NO</x:t>
        </x:is>
      </x:c>
      <x:c r="T126" s="160" t="inlineStr">
        <x:is>
          <x:t xml:space="preserve">BASE</x:t>
        </x:is>
      </x:c>
      <x:c r="U126" s="160" t="inlineStr">
        <x:is>
          <x:t xml:space="preserve">V10.5-SIM19</x:t>
        </x:is>
      </x:c>
      <x:c r="V126" s="160" t="inlineStr">
        <x:is>
          <x:t xml:space="preserve">https://www.asml.com/en/investors</x:t>
        </x:is>
      </x:c>
      <x:c r="W126" s="160" t="inlineStr">
        <x:is>
          <x:t xml:space="preserve">NO</x:t>
        </x:is>
      </x:c>
      <x:c r="X126" s="160" t="inlineStr">
        <x:is>
          <x:t xml:space="preserve">NONE — DEVELOPMENT ONLY</x:t>
        </x:is>
      </x:c>
      <x:c r="Y126" s="160" t="inlineStr">
        <x:is>
          <x:t xml:space="preserve">Synthetic/adversarial model-development loop. No historical outcome is claimed; no accuracy point is awarded.</x:t>
        </x:is>
      </x:c>
    </x:row>
    <x:row r="127">
      <x:c r="A127" s="160" t="inlineStr">
        <x:is>
          <x:t xml:space="preserve">ML0122</x:t>
        </x:is>
      </x:c>
      <x:c r="B127" s="160" t="inlineStr">
        <x:is>
          <x:t xml:space="preserve">ARG-008</x:t>
        </x:is>
      </x:c>
      <x:c r="C127" s="160" t="inlineStr">
        <x:is>
          <x:t xml:space="preserve">ASML Holding</x:t>
        </x:is>
      </x:c>
      <x:c r="D127" s="160" t="inlineStr">
        <x:is>
          <x:t xml:space="preserve">ASML</x:t>
        </x:is>
      </x:c>
      <x:c r="E127" s="160" t="inlineStr">
        <x:is>
          <x:t xml:space="preserve">AI &amp; Semiconductors</x:t>
        </x:is>
      </x:c>
      <x:c r="F127" s="160" t="inlineStr">
        <x:is>
          <x:t xml:space="preserve">Development</x:t>
        </x:is>
      </x:c>
      <x:c r="G127" s="160" t="inlineStr">
        <x:is>
          <x:t xml:space="preserve">S10</x:t>
        </x:is>
      </x:c>
      <x:c r="H127" s="160" t="inlineStr">
        <x:is>
          <x:t xml:space="preserve">Control / Counterfactual</x:t>
        </x:is>
      </x:c>
      <x:c r="I127" s="160" t="inlineStr">
        <x:is>
          <x:t xml:space="preserve">Sector beta vs company alpha</x:t>
        </x:is>
      </x:c>
      <x:c r="J127" s="160" t="inlineStr">
        <x:is>
          <x:t xml:space="preserve">A positive outcome is mostly sector beta or macro tailwind, not company-specific alpha.</x:t>
        </x:is>
      </x:c>
      <x:c r="K127" s="160" t="inlineStr">
        <x:is>
          <x:t xml:space="preserve">System shipments plus installed-base service annuity</x:t>
        </x:is>
      </x:c>
      <x:c r="L127" s="160" t="inlineStr">
        <x:is>
          <x:t xml:space="preserve">Owner earnings + reverse DCF</x:t>
        </x:is>
      </x:c>
      <x:c r="M127" s="160" t="inlineStr">
        <x:is>
          <x:t xml:space="preserve">WAIT FOR PRICE</x:t>
        </x:is>
      </x:c>
      <x:c r="N127" s="160" t="inlineStr">
        <x:is>
          <x:t xml:space="preserve">R-CF-01</x:t>
        </x:is>
      </x:c>
      <x:c r="O127" s="160" t="inlineStr">
        <x:is>
          <x:t xml:space="preserve">BASE</x:t>
        </x:is>
      </x:c>
      <x:c r="P127" s="160" t="inlineStr">
        <x:is>
          <x:t xml:space="preserve">PARTIAL CATCH</x:t>
        </x:is>
      </x:c>
      <x:c r="Q127" s="160" t="inlineStr">
        <x:is>
          <x:t xml:space="preserve">The base refinement catches the main failure, but evidence thresholds and per-share/counterfactual details remain underspecified.</x:t>
        </x:is>
      </x:c>
      <x:c r="R127" s="160" t="inlineStr">
        <x:is>
          <x:t xml:space="preserve">Require a true economic control and counterfactual: what should have happened to a comparable company under the same shock?</x:t>
        </x:is>
      </x:c>
      <x:c r="S127" s="160" t="inlineStr">
        <x:is>
          <x:t xml:space="preserve">NO</x:t>
        </x:is>
      </x:c>
      <x:c r="T127" s="160" t="inlineStr">
        <x:is>
          <x:t xml:space="preserve">BASE</x:t>
        </x:is>
      </x:c>
      <x:c r="U127" s="160" t="inlineStr">
        <x:is>
          <x:t xml:space="preserve">V10.5-SIM19</x:t>
        </x:is>
      </x:c>
      <x:c r="V127" s="160" t="inlineStr">
        <x:is>
          <x:t xml:space="preserve">https://www.asml.com/en/investors</x:t>
        </x:is>
      </x:c>
      <x:c r="W127" s="160" t="inlineStr">
        <x:is>
          <x:t xml:space="preserve">NO</x:t>
        </x:is>
      </x:c>
      <x:c r="X127" s="160" t="inlineStr">
        <x:is>
          <x:t xml:space="preserve">NONE — DEVELOPMENT ONLY</x:t>
        </x:is>
      </x:c>
      <x:c r="Y127" s="160" t="inlineStr">
        <x:is>
          <x:t xml:space="preserve">Synthetic/adversarial model-development loop. No historical outcome is claimed; no accuracy point is awarded.</x:t>
        </x:is>
      </x:c>
    </x:row>
    <x:row r="128">
      <x:c r="A128" s="160" t="inlineStr">
        <x:is>
          <x:t xml:space="preserve">ML0123</x:t>
        </x:is>
      </x:c>
      <x:c r="B128" s="160" t="inlineStr">
        <x:is>
          <x:t xml:space="preserve">ARG-008</x:t>
        </x:is>
      </x:c>
      <x:c r="C128" s="160" t="inlineStr">
        <x:is>
          <x:t xml:space="preserve">ASML Holding</x:t>
        </x:is>
      </x:c>
      <x:c r="D128" s="160" t="inlineStr">
        <x:is>
          <x:t xml:space="preserve">ASML</x:t>
        </x:is>
      </x:c>
      <x:c r="E128" s="160" t="inlineStr">
        <x:is>
          <x:t xml:space="preserve">AI &amp; Semiconductors</x:t>
        </x:is>
      </x:c>
      <x:c r="F128" s="160" t="inlineStr">
        <x:is>
          <x:t xml:space="preserve">Development</x:t>
        </x:is>
      </x:c>
      <x:c r="G128" s="160" t="inlineStr">
        <x:is>
          <x:t xml:space="preserve">S11</x:t>
        </x:is>
      </x:c>
      <x:c r="H128" s="160" t="inlineStr">
        <x:is>
          <x:t xml:space="preserve">False-Negative Discipline</x:t>
        </x:is>
      </x:c>
      <x:c r="I128" s="160" t="inlineStr">
        <x:is>
          <x:t xml:space="preserve">False negative</x:t>
        </x:is>
      </x:c>
      <x:c r="J128" s="160" t="inlineStr">
        <x:is>
          <x:t xml:space="preserve">A strict gate rejects a company that later compounds strongly for reasons the model could have known.</x:t>
        </x:is>
      </x:c>
      <x:c r="K128" s="160" t="inlineStr">
        <x:is>
          <x:t xml:space="preserve">System shipments plus installed-base service annuity</x:t>
        </x:is>
      </x:c>
      <x:c r="L128" s="160" t="inlineStr">
        <x:is>
          <x:t xml:space="preserve">Owner earnings + reverse DCF</x:t>
        </x:is>
      </x:c>
      <x:c r="M128" s="160" t="inlineStr">
        <x:is>
          <x:t xml:space="preserve">WAIT FOR PRICE</x:t>
        </x:is>
      </x:c>
      <x:c r="N128" s="160" t="inlineStr">
        <x:is>
          <x:t xml:space="preserve">R-FN-01</x:t>
        </x:is>
      </x:c>
      <x:c r="O128" s="160" t="inlineStr">
        <x:is>
          <x:t xml:space="preserve">BASE</x:t>
        </x:is>
      </x:c>
      <x:c r="P128" s="160" t="inlineStr">
        <x:is>
          <x:t xml:space="preserve">PARTIAL CATCH</x:t>
        </x:is>
      </x:c>
      <x:c r="Q128" s="160" t="inlineStr">
        <x:is>
          <x:t xml:space="preserve">The base refinement catches the main failure, but evidence thresholds and per-share/counterfactual details remain underspecified.</x:t>
        </x:is>
      </x:c>
      <x:c r="R128" s="160" t="inlineStr">
        <x:is>
          <x:t xml:space="preserve">Track opportunity cost and classify whether the miss came from evidence timing, wrong threshold or genuinely unknowable upside.</x:t>
        </x:is>
      </x:c>
      <x:c r="S128" s="160" t="inlineStr">
        <x:is>
          <x:t xml:space="preserve">NO</x:t>
        </x:is>
      </x:c>
      <x:c r="T128" s="160" t="inlineStr">
        <x:is>
          <x:t xml:space="preserve">BASE</x:t>
        </x:is>
      </x:c>
      <x:c r="U128" s="160" t="inlineStr">
        <x:is>
          <x:t xml:space="preserve">V10.5-SIM19</x:t>
        </x:is>
      </x:c>
      <x:c r="V128" s="160" t="inlineStr">
        <x:is>
          <x:t xml:space="preserve">https://www.asml.com/en/investors</x:t>
        </x:is>
      </x:c>
      <x:c r="W128" s="160" t="inlineStr">
        <x:is>
          <x:t xml:space="preserve">NO</x:t>
        </x:is>
      </x:c>
      <x:c r="X128" s="160" t="inlineStr">
        <x:is>
          <x:t xml:space="preserve">NONE — DEVELOPMENT ONLY</x:t>
        </x:is>
      </x:c>
      <x:c r="Y128" s="160" t="inlineStr">
        <x:is>
          <x:t xml:space="preserve">Synthetic/adversarial model-development loop. No historical outcome is claimed; no accuracy point is awarded.</x:t>
        </x:is>
      </x:c>
    </x:row>
    <x:row r="129">
      <x:c r="A129" s="160" t="inlineStr">
        <x:is>
          <x:t xml:space="preserve">ML0124</x:t>
        </x:is>
      </x:c>
      <x:c r="B129" s="160" t="inlineStr">
        <x:is>
          <x:t xml:space="preserve">ARG-008</x:t>
        </x:is>
      </x:c>
      <x:c r="C129" s="160" t="inlineStr">
        <x:is>
          <x:t xml:space="preserve">ASML Holding</x:t>
        </x:is>
      </x:c>
      <x:c r="D129" s="160" t="inlineStr">
        <x:is>
          <x:t xml:space="preserve">ASML</x:t>
        </x:is>
      </x:c>
      <x:c r="E129" s="160" t="inlineStr">
        <x:is>
          <x:t xml:space="preserve">AI &amp; Semiconductors</x:t>
        </x:is>
      </x:c>
      <x:c r="F129" s="160" t="inlineStr">
        <x:is>
          <x:t xml:space="preserve">Development</x:t>
        </x:is>
      </x:c>
      <x:c r="G129" s="160" t="inlineStr">
        <x:is>
          <x:t xml:space="preserve">S12</x:t>
        </x:is>
      </x:c>
      <x:c r="H129" s="160" t="inlineStr">
        <x:is>
          <x:t xml:space="preserve">Lead-Time / Early Sensor</x:t>
        </x:is>
      </x:c>
      <x:c r="I129" s="160" t="inlineStr">
        <x:is>
          <x:t xml:space="preserve">Timing / lead-time</x:t>
        </x:is>
      </x:c>
      <x:c r="J129" s="160" t="inlineStr">
        <x:is>
          <x:t xml:space="preserve">ARGUS identifies the change correctly but only after consensus and price have already reacted.</x:t>
        </x:is>
      </x:c>
      <x:c r="K129" s="160" t="inlineStr">
        <x:is>
          <x:t xml:space="preserve">System shipments plus installed-base service annuity</x:t>
        </x:is>
      </x:c>
      <x:c r="L129" s="160" t="inlineStr">
        <x:is>
          <x:t xml:space="preserve">Owner earnings + reverse DCF</x:t>
        </x:is>
      </x:c>
      <x:c r="M129" s="160" t="inlineStr">
        <x:is>
          <x:t xml:space="preserve">WAIT FOR PRICE</x:t>
        </x:is>
      </x:c>
      <x:c r="N129" s="160" t="inlineStr">
        <x:is>
          <x:t xml:space="preserve">R-TIME-01</x:t>
        </x:is>
      </x:c>
      <x:c r="O129" s="160" t="inlineStr">
        <x:is>
          <x:t xml:space="preserve">BASE</x:t>
        </x:is>
      </x:c>
      <x:c r="P129" s="160" t="inlineStr">
        <x:is>
          <x:t xml:space="preserve">PARTIAL CATCH</x:t>
        </x:is>
      </x:c>
      <x:c r="Q129" s="160" t="inlineStr">
        <x:is>
          <x:t xml:space="preserve">The base refinement catches the main failure, but evidence thresholds and per-share/counterfactual details remain underspecified.</x:t>
        </x:is>
      </x:c>
      <x:c r="R129" s="160" t="inlineStr">
        <x:is>
          <x:t xml:space="preserve">Replace lagging financial metrics with earlier causal operating sensors and record lead time separately from correctness.</x:t>
        </x:is>
      </x:c>
      <x:c r="S129" s="160" t="inlineStr">
        <x:is>
          <x:t xml:space="preserve">NO</x:t>
        </x:is>
      </x:c>
      <x:c r="T129" s="160" t="inlineStr">
        <x:is>
          <x:t xml:space="preserve">BASE</x:t>
        </x:is>
      </x:c>
      <x:c r="U129" s="160" t="inlineStr">
        <x:is>
          <x:t xml:space="preserve">V10.5-SIM19</x:t>
        </x:is>
      </x:c>
      <x:c r="V129" s="160" t="inlineStr">
        <x:is>
          <x:t xml:space="preserve">https://www.asml.com/en/investors</x:t>
        </x:is>
      </x:c>
      <x:c r="W129" s="160" t="inlineStr">
        <x:is>
          <x:t xml:space="preserve">NO</x:t>
        </x:is>
      </x:c>
      <x:c r="X129" s="160" t="inlineStr">
        <x:is>
          <x:t xml:space="preserve">NONE — DEVELOPMENT ONLY</x:t>
        </x:is>
      </x:c>
      <x:c r="Y129" s="160" t="inlineStr">
        <x:is>
          <x:t xml:space="preserve">Synthetic/adversarial model-development loop. No historical outcome is claimed; no accuracy point is awarded.</x:t>
        </x:is>
      </x:c>
    </x:row>
    <x:row r="130">
      <x:c r="A130" s="160" t="inlineStr">
        <x:is>
          <x:t xml:space="preserve">ML0125</x:t>
        </x:is>
      </x:c>
      <x:c r="B130" s="160" t="inlineStr">
        <x:is>
          <x:t xml:space="preserve">ARG-008</x:t>
        </x:is>
      </x:c>
      <x:c r="C130" s="160" t="inlineStr">
        <x:is>
          <x:t xml:space="preserve">ASML Holding</x:t>
        </x:is>
      </x:c>
      <x:c r="D130" s="160" t="inlineStr">
        <x:is>
          <x:t xml:space="preserve">ASML</x:t>
        </x:is>
      </x:c>
      <x:c r="E130" s="160" t="inlineStr">
        <x:is>
          <x:t xml:space="preserve">AI &amp; Semiconductors</x:t>
        </x:is>
      </x:c>
      <x:c r="F130" s="160" t="inlineStr">
        <x:is>
          <x:t xml:space="preserve">Development</x:t>
        </x:is>
      </x:c>
      <x:c r="G130" s="160" t="inlineStr">
        <x:is>
          <x:t xml:space="preserve">S13</x:t>
        </x:is>
      </x:c>
      <x:c r="H130" s="160" t="inlineStr">
        <x:is>
          <x:t xml:space="preserve">Cycle Normalization</x:t>
        </x:is>
      </x:c>
      <x:c r="I130" s="160" t="inlineStr">
        <x:is>
          <x:t xml:space="preserve">Wrong valuation lens</x:t>
        </x:is>
      </x:c>
      <x:c r="J130" s="160" t="inlineStr">
        <x:is>
          <x:t xml:space="preserve">Peak/trough earnings are mistaken for normalized earning power.</x:t>
        </x:is>
      </x:c>
      <x:c r="K130" s="160" t="inlineStr">
        <x:is>
          <x:t xml:space="preserve">System shipments plus installed-base service annuity</x:t>
        </x:is>
      </x:c>
      <x:c r="L130" s="160" t="inlineStr">
        <x:is>
          <x:t xml:space="preserve">Owner earnings + reverse DCF</x:t>
        </x:is>
      </x:c>
      <x:c r="M130" s="160" t="inlineStr">
        <x:is>
          <x:t xml:space="preserve">WAIT FOR PRICE</x:t>
        </x:is>
      </x:c>
      <x:c r="N130" s="160" t="inlineStr">
        <x:is>
          <x:t xml:space="preserve">R-CYCLE-01</x:t>
        </x:is>
      </x:c>
      <x:c r="O130" s="160" t="inlineStr">
        <x:is>
          <x:t xml:space="preserve">BASE</x:t>
        </x:is>
      </x:c>
      <x:c r="P130" s="160" t="inlineStr">
        <x:is>
          <x:t xml:space="preserve">PARTIAL CATCH</x:t>
        </x:is>
      </x:c>
      <x:c r="Q130" s="160" t="inlineStr">
        <x:is>
          <x:t xml:space="preserve">The base refinement catches the main failure, but evidence thresholds and per-share/counterfactual details remain underspecified.</x:t>
        </x:is>
      </x:c>
      <x:c r="R130" s="160" t="inlineStr">
        <x:is>
          <x:t xml:space="preserve">Use sector-specific mid-cycle/NAV/rate-base/rNPV normalization before applying a valuation multiple.</x:t>
        </x:is>
      </x:c>
      <x:c r="S130" s="160" t="inlineStr">
        <x:is>
          <x:t xml:space="preserve">NO</x:t>
        </x:is>
      </x:c>
      <x:c r="T130" s="160" t="inlineStr">
        <x:is>
          <x:t xml:space="preserve">BASE</x:t>
        </x:is>
      </x:c>
      <x:c r="U130" s="160" t="inlineStr">
        <x:is>
          <x:t xml:space="preserve">V10.5-SIM19</x:t>
        </x:is>
      </x:c>
      <x:c r="V130" s="160" t="inlineStr">
        <x:is>
          <x:t xml:space="preserve">https://www.asml.com/en/investors</x:t>
        </x:is>
      </x:c>
      <x:c r="W130" s="160" t="inlineStr">
        <x:is>
          <x:t xml:space="preserve">NO</x:t>
        </x:is>
      </x:c>
      <x:c r="X130" s="160" t="inlineStr">
        <x:is>
          <x:t xml:space="preserve">NONE — DEVELOPMENT ONLY</x:t>
        </x:is>
      </x:c>
      <x:c r="Y130" s="160" t="inlineStr">
        <x:is>
          <x:t xml:space="preserve">Synthetic/adversarial model-development loop. No historical outcome is claimed; no accuracy point is awarded.</x:t>
        </x:is>
      </x:c>
    </x:row>
    <x:row r="131">
      <x:c r="A131" s="160" t="inlineStr">
        <x:is>
          <x:t xml:space="preserve">ML0126</x:t>
        </x:is>
      </x:c>
      <x:c r="B131" s="160" t="inlineStr">
        <x:is>
          <x:t xml:space="preserve">ARG-008</x:t>
        </x:is>
      </x:c>
      <x:c r="C131" s="160" t="inlineStr">
        <x:is>
          <x:t xml:space="preserve">ASML Holding</x:t>
        </x:is>
      </x:c>
      <x:c r="D131" s="160" t="inlineStr">
        <x:is>
          <x:t xml:space="preserve">ASML</x:t>
        </x:is>
      </x:c>
      <x:c r="E131" s="160" t="inlineStr">
        <x:is>
          <x:t xml:space="preserve">AI &amp; Semiconductors</x:t>
        </x:is>
      </x:c>
      <x:c r="F131" s="160" t="inlineStr">
        <x:is>
          <x:t xml:space="preserve">Development</x:t>
        </x:is>
      </x:c>
      <x:c r="G131" s="160" t="inlineStr">
        <x:is>
          <x:t xml:space="preserve">S14</x:t>
        </x:is>
      </x:c>
      <x:c r="H131" s="160" t="inlineStr">
        <x:is>
          <x:t xml:space="preserve">M&amp;A / Organic Growth Separation</x:t>
        </x:is>
      </x:c>
      <x:c r="I131" s="160" t="inlineStr">
        <x:is>
          <x:t xml:space="preserve">Stewardship</x:t>
        </x:is>
      </x:c>
      <x:c r="J131" s="160" t="inlineStr">
        <x:is>
          <x:t xml:space="preserve">Acquisition-driven growth masks weak organic economics or poor incremental ROIC.</x:t>
        </x:is>
      </x:c>
      <x:c r="K131" s="160" t="inlineStr">
        <x:is>
          <x:t xml:space="preserve">System shipments plus installed-base service annuity</x:t>
        </x:is>
      </x:c>
      <x:c r="L131" s="160" t="inlineStr">
        <x:is>
          <x:t xml:space="preserve">Owner earnings + reverse DCF</x:t>
        </x:is>
      </x:c>
      <x:c r="M131" s="160" t="inlineStr">
        <x:is>
          <x:t xml:space="preserve">WAIT FOR PRICE</x:t>
        </x:is>
      </x:c>
      <x:c r="N131" s="160" t="inlineStr">
        <x:is>
          <x:t xml:space="preserve">R-MA-01</x:t>
        </x:is>
      </x:c>
      <x:c r="O131" s="160" t="inlineStr">
        <x:is>
          <x:t xml:space="preserve">BASE</x:t>
        </x:is>
      </x:c>
      <x:c r="P131" s="160" t="inlineStr">
        <x:is>
          <x:t xml:space="preserve">PARTIAL CATCH</x:t>
        </x:is>
      </x:c>
      <x:c r="Q131" s="160" t="inlineStr">
        <x:is>
          <x:t xml:space="preserve">The base refinement catches the main failure, but evidence thresholds and per-share/counterfactual details remain underspecified.</x:t>
        </x:is>
      </x:c>
      <x:c r="R131" s="160" t="inlineStr">
        <x:is>
          <x:t xml:space="preserve">Bridge organic growth, acquired growth, purchase price, integration costs and acquisition-cohort ROIC.</x:t>
        </x:is>
      </x:c>
      <x:c r="S131" s="160" t="inlineStr">
        <x:is>
          <x:t xml:space="preserve">NO</x:t>
        </x:is>
      </x:c>
      <x:c r="T131" s="160" t="inlineStr">
        <x:is>
          <x:t xml:space="preserve">BASE</x:t>
        </x:is>
      </x:c>
      <x:c r="U131" s="160" t="inlineStr">
        <x:is>
          <x:t xml:space="preserve">V10.5-SIM19</x:t>
        </x:is>
      </x:c>
      <x:c r="V131" s="160" t="inlineStr">
        <x:is>
          <x:t xml:space="preserve">https://www.asml.com/en/investors</x:t>
        </x:is>
      </x:c>
      <x:c r="W131" s="160" t="inlineStr">
        <x:is>
          <x:t xml:space="preserve">NO</x:t>
        </x:is>
      </x:c>
      <x:c r="X131" s="160" t="inlineStr">
        <x:is>
          <x:t xml:space="preserve">NONE — DEVELOPMENT ONLY</x:t>
        </x:is>
      </x:c>
      <x:c r="Y131" s="160" t="inlineStr">
        <x:is>
          <x:t xml:space="preserve">Synthetic/adversarial model-development loop. No historical outcome is claimed; no accuracy point is awarded.</x:t>
        </x:is>
      </x:c>
    </x:row>
    <x:row r="132">
      <x:c r="A132" s="160" t="inlineStr">
        <x:is>
          <x:t xml:space="preserve">ML0127</x:t>
        </x:is>
      </x:c>
      <x:c r="B132" s="160" t="inlineStr">
        <x:is>
          <x:t xml:space="preserve">ARG-008</x:t>
        </x:is>
      </x:c>
      <x:c r="C132" s="160" t="inlineStr">
        <x:is>
          <x:t xml:space="preserve">ASML Holding</x:t>
        </x:is>
      </x:c>
      <x:c r="D132" s="160" t="inlineStr">
        <x:is>
          <x:t xml:space="preserve">ASML</x:t>
        </x:is>
      </x:c>
      <x:c r="E132" s="160" t="inlineStr">
        <x:is>
          <x:t xml:space="preserve">AI &amp; Semiconductors</x:t>
        </x:is>
      </x:c>
      <x:c r="F132" s="160" t="inlineStr">
        <x:is>
          <x:t xml:space="preserve">Development</x:t>
        </x:is>
      </x:c>
      <x:c r="G132" s="160" t="inlineStr">
        <x:is>
          <x:t xml:space="preserve">S15</x:t>
        </x:is>
      </x:c>
      <x:c r="H132" s="160" t="inlineStr">
        <x:is>
          <x:t xml:space="preserve">Financing / Dilution Per Share</x:t>
        </x:is>
      </x:c>
      <x:c r="I132" s="160" t="inlineStr">
        <x:is>
          <x:t xml:space="preserve">Stewardship</x:t>
        </x:is>
      </x:c>
      <x:c r="J132" s="160" t="inlineStr">
        <x:is>
          <x:t xml:space="preserve">Cash balance or revenue growth improves while financing causes material per-share value leakage.</x:t>
        </x:is>
      </x:c>
      <x:c r="K132" s="160" t="inlineStr">
        <x:is>
          <x:t xml:space="preserve">System shipments plus installed-base service annuity</x:t>
        </x:is>
      </x:c>
      <x:c r="L132" s="160" t="inlineStr">
        <x:is>
          <x:t xml:space="preserve">Owner earnings + reverse DCF</x:t>
        </x:is>
      </x:c>
      <x:c r="M132" s="160" t="inlineStr">
        <x:is>
          <x:t xml:space="preserve">WAIT FOR PRICE</x:t>
        </x:is>
      </x:c>
      <x:c r="N132" s="160" t="inlineStr">
        <x:is>
          <x:t xml:space="preserve">R-DIL-01</x:t>
        </x:is>
      </x:c>
      <x:c r="O132" s="160" t="inlineStr">
        <x:is>
          <x:t xml:space="preserve">BASE</x:t>
        </x:is>
      </x:c>
      <x:c r="P132" s="160" t="inlineStr">
        <x:is>
          <x:t xml:space="preserve">PARTIAL CATCH</x:t>
        </x:is>
      </x:c>
      <x:c r="Q132" s="160" t="inlineStr">
        <x:is>
          <x:t xml:space="preserve">The base refinement catches the main failure, but evidence thresholds and per-share/counterfactual details remain underspecified.</x:t>
        </x:is>
      </x:c>
      <x:c r="R132" s="160" t="inlineStr">
        <x:is>
          <x:t xml:space="preserve">Reconcile share-count growth, SBC, equity issuance, buybacks and net cash changes to per-share intrinsic value.</x:t>
        </x:is>
      </x:c>
      <x:c r="S132" s="160" t="inlineStr">
        <x:is>
          <x:t xml:space="preserve">NO</x:t>
        </x:is>
      </x:c>
      <x:c r="T132" s="160" t="inlineStr">
        <x:is>
          <x:t xml:space="preserve">BASE</x:t>
        </x:is>
      </x:c>
      <x:c r="U132" s="160" t="inlineStr">
        <x:is>
          <x:t xml:space="preserve">V10.5-SIM19</x:t>
        </x:is>
      </x:c>
      <x:c r="V132" s="160" t="inlineStr">
        <x:is>
          <x:t xml:space="preserve">https://www.asml.com/en/investors</x:t>
        </x:is>
      </x:c>
      <x:c r="W132" s="160" t="inlineStr">
        <x:is>
          <x:t xml:space="preserve">NO</x:t>
        </x:is>
      </x:c>
      <x:c r="X132" s="160" t="inlineStr">
        <x:is>
          <x:t xml:space="preserve">NONE — DEVELOPMENT ONLY</x:t>
        </x:is>
      </x:c>
      <x:c r="Y132" s="160" t="inlineStr">
        <x:is>
          <x:t xml:space="preserve">Synthetic/adversarial model-development loop. No historical outcome is claimed; no accuracy point is awarded.</x:t>
        </x:is>
      </x:c>
    </x:row>
    <x:row r="133">
      <x:c r="A133" s="160" t="inlineStr">
        <x:is>
          <x:t xml:space="preserve">ML0128</x:t>
        </x:is>
      </x:c>
      <x:c r="B133" s="160" t="inlineStr">
        <x:is>
          <x:t xml:space="preserve">ARG-008</x:t>
        </x:is>
      </x:c>
      <x:c r="C133" s="160" t="inlineStr">
        <x:is>
          <x:t xml:space="preserve">ASML Holding</x:t>
        </x:is>
      </x:c>
      <x:c r="D133" s="160" t="inlineStr">
        <x:is>
          <x:t xml:space="preserve">ASML</x:t>
        </x:is>
      </x:c>
      <x:c r="E133" s="160" t="inlineStr">
        <x:is>
          <x:t xml:space="preserve">AI &amp; Semiconductors</x:t>
        </x:is>
      </x:c>
      <x:c r="F133" s="160" t="inlineStr">
        <x:is>
          <x:t xml:space="preserve">Development</x:t>
        </x:is>
      </x:c>
      <x:c r="G133" s="160" t="inlineStr">
        <x:is>
          <x:t xml:space="preserve">S16</x:t>
        </x:is>
      </x:c>
      <x:c r="H133" s="160" t="inlineStr">
        <x:is>
          <x:t xml:space="preserve">Concentration / Tail Risk</x:t>
        </x:is>
      </x:c>
      <x:c r="I133" s="160" t="inlineStr">
        <x:is>
          <x:t xml:space="preserve">Survival</x:t>
        </x:is>
      </x:c>
      <x:c r="J133" s="160" t="inlineStr">
        <x:is>
          <x:t xml:space="preserve">A concentrated supplier, geography, customer, product, patent, regulatory or technology dependency creates asymmetric permanent-loss risk.</x:t>
        </x:is>
      </x:c>
      <x:c r="K133" s="160" t="inlineStr">
        <x:is>
          <x:t xml:space="preserve">System shipments plus installed-base service annuity</x:t>
        </x:is>
      </x:c>
      <x:c r="L133" s="160" t="inlineStr">
        <x:is>
          <x:t xml:space="preserve">Owner earnings + reverse DCF</x:t>
        </x:is>
      </x:c>
      <x:c r="M133" s="160" t="inlineStr">
        <x:is>
          <x:t xml:space="preserve">WAIT FOR PRICE</x:t>
        </x:is>
      </x:c>
      <x:c r="N133" s="160" t="inlineStr">
        <x:is>
          <x:t xml:space="preserve">R-TAIL-01</x:t>
        </x:is>
      </x:c>
      <x:c r="O133" s="160" t="inlineStr">
        <x:is>
          <x:t xml:space="preserve">BASE</x:t>
        </x:is>
      </x:c>
      <x:c r="P133" s="160" t="inlineStr">
        <x:is>
          <x:t xml:space="preserve">PARTIAL CATCH</x:t>
        </x:is>
      </x:c>
      <x:c r="Q133" s="160" t="inlineStr">
        <x:is>
          <x:t xml:space="preserve">The base refinement catches the main failure, but evidence thresholds and per-share/counterfactual details remain underspecified.</x:t>
        </x:is>
      </x:c>
      <x:c r="R133" s="160" t="inlineStr">
        <x:is>
          <x:t xml:space="preserve">Maintain an explicit concentration/tail-risk register with probability, severity, mitigation and required margin-of-safety premium.</x:t>
        </x:is>
      </x:c>
      <x:c r="S133" s="160" t="inlineStr">
        <x:is>
          <x:t xml:space="preserve">NO</x:t>
        </x:is>
      </x:c>
      <x:c r="T133" s="160" t="inlineStr">
        <x:is>
          <x:t xml:space="preserve">BASE</x:t>
        </x:is>
      </x:c>
      <x:c r="U133" s="160" t="inlineStr">
        <x:is>
          <x:t xml:space="preserve">V10.5-SIM19</x:t>
        </x:is>
      </x:c>
      <x:c r="V133" s="160" t="inlineStr">
        <x:is>
          <x:t xml:space="preserve">https://www.asml.com/en/investors</x:t>
        </x:is>
      </x:c>
      <x:c r="W133" s="160" t="inlineStr">
        <x:is>
          <x:t xml:space="preserve">NO</x:t>
        </x:is>
      </x:c>
      <x:c r="X133" s="160" t="inlineStr">
        <x:is>
          <x:t xml:space="preserve">NONE — DEVELOPMENT ONLY</x:t>
        </x:is>
      </x:c>
      <x:c r="Y133" s="160" t="inlineStr">
        <x:is>
          <x:t xml:space="preserve">Synthetic/adversarial model-development loop. No historical outcome is claimed; no accuracy point is awarded.</x:t>
        </x:is>
      </x:c>
    </x:row>
    <x:row r="134">
      <x:c r="A134" s="160" t="inlineStr">
        <x:is>
          <x:t xml:space="preserve">ML0129</x:t>
        </x:is>
      </x:c>
      <x:c r="B134" s="160" t="inlineStr">
        <x:is>
          <x:t xml:space="preserve">ARG-009</x:t>
        </x:is>
      </x:c>
      <x:c r="C134" s="160" t="inlineStr">
        <x:is>
          <x:t xml:space="preserve">Applied Materials</x:t>
        </x:is>
      </x:c>
      <x:c r="D134" s="160" t="inlineStr">
        <x:is>
          <x:t xml:space="preserve">AMAT</x:t>
        </x:is>
      </x:c>
      <x:c r="E134" s="160" t="inlineStr">
        <x:is>
          <x:t xml:space="preserve">AI &amp; Semiconductors</x:t>
        </x:is>
      </x:c>
      <x:c r="F134" s="160" t="inlineStr">
        <x:is>
          <x:t xml:space="preserve">Development</x:t>
        </x:is>
      </x:c>
      <x:c r="G134" s="160" t="inlineStr">
        <x:is>
          <x:t xml:space="preserve">S01</x:t>
        </x:is>
      </x:c>
      <x:c r="H134" s="160" t="inlineStr">
        <x:is>
          <x:t xml:space="preserve">Understanding Gate</x:t>
        </x:is>
      </x:c>
      <x:c r="I134" s="160" t="inlineStr">
        <x:is>
          <x:t xml:space="preserve">Understanding</x:t>
        </x:is>
      </x:c>
      <x:c r="J134" s="160" t="inlineStr">
        <x:is>
          <x:t xml:space="preserve">Causal engine / customer ROI chain breaks under a misleading headline KPI.</x:t>
        </x:is>
      </x:c>
      <x:c r="K134" s="160" t="inlineStr">
        <x:is>
          <x:t xml:space="preserve">Wafer-fab equipment demand plus service</x:t>
        </x:is>
      </x:c>
      <x:c r="L134" s="160" t="inlineStr">
        <x:is>
          <x:t xml:space="preserve">Mid-cycle FCF</x:t>
        </x:is>
      </x:c>
      <x:c r="M134" s="160" t="inlineStr">
        <x:is>
          <x:t xml:space="preserve">WAIT FOR PRICE</x:t>
        </x:is>
      </x:c>
      <x:c r="N134" s="160" t="inlineStr">
        <x:is>
          <x:t xml:space="preserve">R-ENG-01</x:t>
        </x:is>
      </x:c>
      <x:c r="O134" s="160" t="inlineStr">
        <x:is>
          <x:t xml:space="preserve">BASE</x:t>
        </x:is>
      </x:c>
      <x:c r="P134" s="160" t="inlineStr">
        <x:is>
          <x:t xml:space="preserve">PARTIAL CATCH</x:t>
        </x:is>
      </x:c>
      <x:c r="Q134" s="160" t="inlineStr">
        <x:is>
          <x:t xml:space="preserve">The base refinement catches the main failure, but evidence thresholds and per-share/counterfactual details remain underspecified.</x:t>
        </x:is>
      </x:c>
      <x:c r="R134" s="160" t="inlineStr">
        <x:is>
          <x:t xml:space="preserve">Force an explicit engine tree: customer job → unit economics → revenue driver → owner-value bridge.</x:t>
        </x:is>
      </x:c>
      <x:c r="S134" s="160" t="inlineStr">
        <x:is>
          <x:t xml:space="preserve">NO</x:t>
        </x:is>
      </x:c>
      <x:c r="T134" s="160" t="inlineStr">
        <x:is>
          <x:t xml:space="preserve">BASE</x:t>
        </x:is>
      </x:c>
      <x:c r="U134" s="160" t="inlineStr">
        <x:is>
          <x:t xml:space="preserve">V10.5-SIM19</x:t>
        </x:is>
      </x:c>
      <x:c r="V134" s="160" t="inlineStr">
        <x:is>
          <x:t xml:space="preserve">https://ir.appliedmaterials.com</x:t>
        </x:is>
      </x:c>
      <x:c r="W134" s="160" t="inlineStr">
        <x:is>
          <x:t xml:space="preserve">NO</x:t>
        </x:is>
      </x:c>
      <x:c r="X134" s="160" t="inlineStr">
        <x:is>
          <x:t xml:space="preserve">NONE — DEVELOPMENT ONLY</x:t>
        </x:is>
      </x:c>
      <x:c r="Y134" s="160" t="inlineStr">
        <x:is>
          <x:t xml:space="preserve">Synthetic/adversarial model-development loop. No historical outcome is claimed; no accuracy point is awarded.</x:t>
        </x:is>
      </x:c>
    </x:row>
    <x:row r="135">
      <x:c r="A135" s="160" t="inlineStr">
        <x:is>
          <x:t xml:space="preserve">ML0130</x:t>
        </x:is>
      </x:c>
      <x:c r="B135" s="160" t="inlineStr">
        <x:is>
          <x:t xml:space="preserve">ARG-009</x:t>
        </x:is>
      </x:c>
      <x:c r="C135" s="160" t="inlineStr">
        <x:is>
          <x:t xml:space="preserve">Applied Materials</x:t>
        </x:is>
      </x:c>
      <x:c r="D135" s="160" t="inlineStr">
        <x:is>
          <x:t xml:space="preserve">AMAT</x:t>
        </x:is>
      </x:c>
      <x:c r="E135" s="160" t="inlineStr">
        <x:is>
          <x:t xml:space="preserve">AI &amp; Semiconductors</x:t>
        </x:is>
      </x:c>
      <x:c r="F135" s="160" t="inlineStr">
        <x:is>
          <x:t xml:space="preserve">Development</x:t>
        </x:is>
      </x:c>
      <x:c r="G135" s="160" t="inlineStr">
        <x:is>
          <x:t xml:space="preserve">S02</x:t>
        </x:is>
      </x:c>
      <x:c r="H135" s="160" t="inlineStr">
        <x:is>
          <x:t xml:space="preserve">Owner Earnings Normalization</x:t>
        </x:is>
      </x:c>
      <x:c r="I135" s="160" t="inlineStr">
        <x:is>
          <x:t xml:space="preserve">Owner Earnings</x:t>
        </x:is>
      </x:c>
      <x:c r="J135" s="160" t="inlineStr">
        <x:is>
          <x:t xml:space="preserve">Reported earnings/FCF overstates economic cash because recurring reinvestment or non-cash compensation is misclassified.</x:t>
        </x:is>
      </x:c>
      <x:c r="K135" s="160" t="inlineStr">
        <x:is>
          <x:t xml:space="preserve">Wafer-fab equipment demand plus service</x:t>
        </x:is>
      </x:c>
      <x:c r="L135" s="160" t="inlineStr">
        <x:is>
          <x:t xml:space="preserve">Mid-cycle FCF</x:t>
        </x:is>
      </x:c>
      <x:c r="M135" s="160" t="inlineStr">
        <x:is>
          <x:t xml:space="preserve">WAIT FOR PRICE</x:t>
        </x:is>
      </x:c>
      <x:c r="N135" s="160" t="inlineStr">
        <x:is>
          <x:t xml:space="preserve">R-OE-01</x:t>
        </x:is>
      </x:c>
      <x:c r="O135" s="160" t="inlineStr">
        <x:is>
          <x:t xml:space="preserve">BASE</x:t>
        </x:is>
      </x:c>
      <x:c r="P135" s="160" t="inlineStr">
        <x:is>
          <x:t xml:space="preserve">PARTIAL CATCH</x:t>
        </x:is>
      </x:c>
      <x:c r="Q135" s="160" t="inlineStr">
        <x:is>
          <x:t xml:space="preserve">The base refinement catches the main failure, but evidence thresholds and per-share/counterfactual details remain underspecified.</x:t>
        </x:is>
      </x:c>
      <x:c r="R135" s="160" t="inlineStr">
        <x:is>
          <x:t xml:space="preserve">Require a GAAP-to-economic-owner-cash bridge tailored to the business model.</x:t>
        </x:is>
      </x:c>
      <x:c r="S135" s="160" t="inlineStr">
        <x:is>
          <x:t xml:space="preserve">NO</x:t>
        </x:is>
      </x:c>
      <x:c r="T135" s="160" t="inlineStr">
        <x:is>
          <x:t xml:space="preserve">BASE</x:t>
        </x:is>
      </x:c>
      <x:c r="U135" s="160" t="inlineStr">
        <x:is>
          <x:t xml:space="preserve">V10.5-SIM19</x:t>
        </x:is>
      </x:c>
      <x:c r="V135" s="160" t="inlineStr">
        <x:is>
          <x:t xml:space="preserve">https://ir.appliedmaterials.com</x:t>
        </x:is>
      </x:c>
      <x:c r="W135" s="160" t="inlineStr">
        <x:is>
          <x:t xml:space="preserve">NO</x:t>
        </x:is>
      </x:c>
      <x:c r="X135" s="160" t="inlineStr">
        <x:is>
          <x:t xml:space="preserve">NONE — DEVELOPMENT ONLY</x:t>
        </x:is>
      </x:c>
      <x:c r="Y135" s="160" t="inlineStr">
        <x:is>
          <x:t xml:space="preserve">Synthetic/adversarial model-development loop. No historical outcome is claimed; no accuracy point is awarded.</x:t>
        </x:is>
      </x:c>
    </x:row>
    <x:row r="136">
      <x:c r="A136" s="160" t="inlineStr">
        <x:is>
          <x:t xml:space="preserve">ML0131</x:t>
        </x:is>
      </x:c>
      <x:c r="B136" s="160" t="inlineStr">
        <x:is>
          <x:t xml:space="preserve">ARG-009</x:t>
        </x:is>
      </x:c>
      <x:c r="C136" s="160" t="inlineStr">
        <x:is>
          <x:t xml:space="preserve">Applied Materials</x:t>
        </x:is>
      </x:c>
      <x:c r="D136" s="160" t="inlineStr">
        <x:is>
          <x:t xml:space="preserve">AMAT</x:t>
        </x:is>
      </x:c>
      <x:c r="E136" s="160" t="inlineStr">
        <x:is>
          <x:t xml:space="preserve">AI &amp; Semiconductors</x:t>
        </x:is>
      </x:c>
      <x:c r="F136" s="160" t="inlineStr">
        <x:is>
          <x:t xml:space="preserve">Development</x:t>
        </x:is>
      </x:c>
      <x:c r="G136" s="160" t="inlineStr">
        <x:is>
          <x:t xml:space="preserve">S03</x:t>
        </x:is>
      </x:c>
      <x:c r="H136" s="160" t="inlineStr">
        <x:is>
          <x:t xml:space="preserve">Moat Durability</x:t>
        </x:is>
      </x:c>
      <x:c r="I136" s="160" t="inlineStr">
        <x:is>
          <x:t xml:space="preserve">Moat 2036</x:t>
        </x:is>
      </x:c>
      <x:c r="J136" s="160" t="inlineStr">
        <x:is>
          <x:t xml:space="preserve">Growth continues while switching friction, pricing power or replacement difficulty quietly weakens.</x:t>
        </x:is>
      </x:c>
      <x:c r="K136" s="160" t="inlineStr">
        <x:is>
          <x:t xml:space="preserve">Wafer-fab equipment demand plus service</x:t>
        </x:is>
      </x:c>
      <x:c r="L136" s="160" t="inlineStr">
        <x:is>
          <x:t xml:space="preserve">Mid-cycle FCF</x:t>
        </x:is>
      </x:c>
      <x:c r="M136" s="160" t="inlineStr">
        <x:is>
          <x:t xml:space="preserve">WAIT FOR PRICE</x:t>
        </x:is>
      </x:c>
      <x:c r="N136" s="160" t="inlineStr">
        <x:is>
          <x:t xml:space="preserve">R-MOAT-01</x:t>
        </x:is>
      </x:c>
      <x:c r="O136" s="160" t="inlineStr">
        <x:is>
          <x:t xml:space="preserve">BASE</x:t>
        </x:is>
      </x:c>
      <x:c r="P136" s="160" t="inlineStr">
        <x:is>
          <x:t xml:space="preserve">PARTIAL CATCH</x:t>
        </x:is>
      </x:c>
      <x:c r="Q136" s="160" t="inlineStr">
        <x:is>
          <x:t xml:space="preserve">The base refinement catches the main failure, but evidence thresholds and per-share/counterfactual details remain underspecified.</x:t>
        </x:is>
      </x:c>
      <x:c r="R136" s="160" t="inlineStr">
        <x:is>
          <x:t xml:space="preserve">Track moat telemetry separately from growth: retention, pricing, win/loss, replacement friction, installed-base behavior.</x:t>
        </x:is>
      </x:c>
      <x:c r="S136" s="160" t="inlineStr">
        <x:is>
          <x:t xml:space="preserve">NO</x:t>
        </x:is>
      </x:c>
      <x:c r="T136" s="160" t="inlineStr">
        <x:is>
          <x:t xml:space="preserve">BASE</x:t>
        </x:is>
      </x:c>
      <x:c r="U136" s="160" t="inlineStr">
        <x:is>
          <x:t xml:space="preserve">V10.5-SIM19</x:t>
        </x:is>
      </x:c>
      <x:c r="V136" s="160" t="inlineStr">
        <x:is>
          <x:t xml:space="preserve">https://ir.appliedmaterials.com</x:t>
        </x:is>
      </x:c>
      <x:c r="W136" s="160" t="inlineStr">
        <x:is>
          <x:t xml:space="preserve">NO</x:t>
        </x:is>
      </x:c>
      <x:c r="X136" s="160" t="inlineStr">
        <x:is>
          <x:t xml:space="preserve">NONE — DEVELOPMENT ONLY</x:t>
        </x:is>
      </x:c>
      <x:c r="Y136" s="160" t="inlineStr">
        <x:is>
          <x:t xml:space="preserve">Synthetic/adversarial model-development loop. No historical outcome is claimed; no accuracy point is awarded.</x:t>
        </x:is>
      </x:c>
    </x:row>
    <x:row r="137">
      <x:c r="A137" s="160" t="inlineStr">
        <x:is>
          <x:t xml:space="preserve">ML0132</x:t>
        </x:is>
      </x:c>
      <x:c r="B137" s="160" t="inlineStr">
        <x:is>
          <x:t xml:space="preserve">ARG-009</x:t>
        </x:is>
      </x:c>
      <x:c r="C137" s="160" t="inlineStr">
        <x:is>
          <x:t xml:space="preserve">Applied Materials</x:t>
        </x:is>
      </x:c>
      <x:c r="D137" s="160" t="inlineStr">
        <x:is>
          <x:t xml:space="preserve">AMAT</x:t>
        </x:is>
      </x:c>
      <x:c r="E137" s="160" t="inlineStr">
        <x:is>
          <x:t xml:space="preserve">AI &amp; Semiconductors</x:t>
        </x:is>
      </x:c>
      <x:c r="F137" s="160" t="inlineStr">
        <x:is>
          <x:t xml:space="preserve">Development</x:t>
        </x:is>
      </x:c>
      <x:c r="G137" s="160" t="inlineStr">
        <x:is>
          <x:t xml:space="preserve">S04</x:t>
        </x:is>
      </x:c>
      <x:c r="H137" s="160" t="inlineStr">
        <x:is>
          <x:t xml:space="preserve">Stewardship / Capital Allocation</x:t>
        </x:is>
      </x:c>
      <x:c r="I137" s="160" t="inlineStr">
        <x:is>
          <x:t xml:space="preserve">Stewardship</x:t>
        </x:is>
      </x:c>
      <x:c r="J137" s="160" t="inlineStr">
        <x:is>
          <x:t xml:space="preserve">Management creates enterprise growth while destroying per-share value through M&amp;A, dilution, leverage or mistimed buybacks.</x:t>
        </x:is>
      </x:c>
      <x:c r="K137" s="160" t="inlineStr">
        <x:is>
          <x:t xml:space="preserve">Wafer-fab equipment demand plus service</x:t>
        </x:is>
      </x:c>
      <x:c r="L137" s="160" t="inlineStr">
        <x:is>
          <x:t xml:space="preserve">Mid-cycle FCF</x:t>
        </x:is>
      </x:c>
      <x:c r="M137" s="160" t="inlineStr">
        <x:is>
          <x:t xml:space="preserve">WAIT FOR PRICE</x:t>
        </x:is>
      </x:c>
      <x:c r="N137" s="160" t="inlineStr">
        <x:is>
          <x:t xml:space="preserve">R-STEW-01</x:t>
        </x:is>
      </x:c>
      <x:c r="O137" s="160" t="inlineStr">
        <x:is>
          <x:t xml:space="preserve">BASE</x:t>
        </x:is>
      </x:c>
      <x:c r="P137" s="160" t="inlineStr">
        <x:is>
          <x:t xml:space="preserve">PARTIAL CATCH</x:t>
        </x:is>
      </x:c>
      <x:c r="Q137" s="160" t="inlineStr">
        <x:is>
          <x:t xml:space="preserve">The base refinement catches the main failure, but evidence thresholds and per-share/counterfactual details remain underspecified.</x:t>
        </x:is>
      </x:c>
      <x:c r="R137" s="160" t="inlineStr">
        <x:is>
          <x:t xml:space="preserve">Evaluate capital allocation on a per-share basis using acquisition cohorts, dilution, leverage and repurchase price discipline.</x:t>
        </x:is>
      </x:c>
      <x:c r="S137" s="160" t="inlineStr">
        <x:is>
          <x:t xml:space="preserve">NO</x:t>
        </x:is>
      </x:c>
      <x:c r="T137" s="160" t="inlineStr">
        <x:is>
          <x:t xml:space="preserve">BASE</x:t>
        </x:is>
      </x:c>
      <x:c r="U137" s="160" t="inlineStr">
        <x:is>
          <x:t xml:space="preserve">V10.5-SIM19</x:t>
        </x:is>
      </x:c>
      <x:c r="V137" s="160" t="inlineStr">
        <x:is>
          <x:t xml:space="preserve">https://ir.appliedmaterials.com</x:t>
        </x:is>
      </x:c>
      <x:c r="W137" s="160" t="inlineStr">
        <x:is>
          <x:t xml:space="preserve">NO</x:t>
        </x:is>
      </x:c>
      <x:c r="X137" s="160" t="inlineStr">
        <x:is>
          <x:t xml:space="preserve">NONE — DEVELOPMENT ONLY</x:t>
        </x:is>
      </x:c>
      <x:c r="Y137" s="160" t="inlineStr">
        <x:is>
          <x:t xml:space="preserve">Synthetic/adversarial model-development loop. No historical outcome is claimed; no accuracy point is awarded.</x:t>
        </x:is>
      </x:c>
    </x:row>
    <x:row r="138">
      <x:c r="A138" s="160" t="inlineStr">
        <x:is>
          <x:t xml:space="preserve">ML0133</x:t>
        </x:is>
      </x:c>
      <x:c r="B138" s="160" t="inlineStr">
        <x:is>
          <x:t xml:space="preserve">ARG-009</x:t>
        </x:is>
      </x:c>
      <x:c r="C138" s="160" t="inlineStr">
        <x:is>
          <x:t xml:space="preserve">Applied Materials</x:t>
        </x:is>
      </x:c>
      <x:c r="D138" s="160" t="inlineStr">
        <x:is>
          <x:t xml:space="preserve">AMAT</x:t>
        </x:is>
      </x:c>
      <x:c r="E138" s="160" t="inlineStr">
        <x:is>
          <x:t xml:space="preserve">AI &amp; Semiconductors</x:t>
        </x:is>
      </x:c>
      <x:c r="F138" s="160" t="inlineStr">
        <x:is>
          <x:t xml:space="preserve">Development</x:t>
        </x:is>
      </x:c>
      <x:c r="G138" s="160" t="inlineStr">
        <x:is>
          <x:t xml:space="preserve">S05</x:t>
        </x:is>
      </x:c>
      <x:c r="H138" s="160" t="inlineStr">
        <x:is>
          <x:t xml:space="preserve">Survival / Funding</x:t>
        </x:is>
      </x:c>
      <x:c r="I138" s="160" t="inlineStr">
        <x:is>
          <x:t xml:space="preserve">Survival</x:t>
        </x:is>
      </x:c>
      <x:c r="J138" s="160" t="inlineStr">
        <x:is>
          <x:t xml:space="preserve">A plausible bear case exposes refinancing, liquidity, covenant, reserve, regulatory or operational fragility.</x:t>
        </x:is>
      </x:c>
      <x:c r="K138" s="160" t="inlineStr">
        <x:is>
          <x:t xml:space="preserve">Wafer-fab equipment demand plus service</x:t>
        </x:is>
      </x:c>
      <x:c r="L138" s="160" t="inlineStr">
        <x:is>
          <x:t xml:space="preserve">Mid-cycle FCF</x:t>
        </x:is>
      </x:c>
      <x:c r="M138" s="160" t="inlineStr">
        <x:is>
          <x:t xml:space="preserve">WAIT FOR PRICE</x:t>
        </x:is>
      </x:c>
      <x:c r="N138" s="160" t="inlineStr">
        <x:is>
          <x:t xml:space="preserve">R-SURV-01</x:t>
        </x:is>
      </x:c>
      <x:c r="O138" s="160" t="inlineStr">
        <x:is>
          <x:t xml:space="preserve">BASE</x:t>
        </x:is>
      </x:c>
      <x:c r="P138" s="160" t="inlineStr">
        <x:is>
          <x:t xml:space="preserve">PARTIAL CATCH</x:t>
        </x:is>
      </x:c>
      <x:c r="Q138" s="160" t="inlineStr">
        <x:is>
          <x:t xml:space="preserve">The base refinement catches the main failure, but evidence thresholds and per-share/counterfactual details remain underspecified.</x:t>
        </x:is>
      </x:c>
      <x:c r="R138" s="160" t="inlineStr">
        <x:is>
          <x:t xml:space="preserve">Run a company-specific survival bridge under a severe-but-plausible bear case before any upside underwriting.</x:t>
        </x:is>
      </x:c>
      <x:c r="S138" s="160" t="inlineStr">
        <x:is>
          <x:t xml:space="preserve">NO</x:t>
        </x:is>
      </x:c>
      <x:c r="T138" s="160" t="inlineStr">
        <x:is>
          <x:t xml:space="preserve">BASE</x:t>
        </x:is>
      </x:c>
      <x:c r="U138" s="160" t="inlineStr">
        <x:is>
          <x:t xml:space="preserve">V10.5-SIM19</x:t>
        </x:is>
      </x:c>
      <x:c r="V138" s="160" t="inlineStr">
        <x:is>
          <x:t xml:space="preserve">https://ir.appliedmaterials.com</x:t>
        </x:is>
      </x:c>
      <x:c r="W138" s="160" t="inlineStr">
        <x:is>
          <x:t xml:space="preserve">NO</x:t>
        </x:is>
      </x:c>
      <x:c r="X138" s="160" t="inlineStr">
        <x:is>
          <x:t xml:space="preserve">NONE — DEVELOPMENT ONLY</x:t>
        </x:is>
      </x:c>
      <x:c r="Y138" s="160" t="inlineStr">
        <x:is>
          <x:t xml:space="preserve">Synthetic/adversarial model-development loop. No historical outcome is claimed; no accuracy point is awarded.</x:t>
        </x:is>
      </x:c>
    </x:row>
    <x:row r="139">
      <x:c r="A139" s="160" t="inlineStr">
        <x:is>
          <x:t xml:space="preserve">ML0134</x:t>
        </x:is>
      </x:c>
      <x:c r="B139" s="160" t="inlineStr">
        <x:is>
          <x:t xml:space="preserve">ARG-009</x:t>
        </x:is>
      </x:c>
      <x:c r="C139" s="160" t="inlineStr">
        <x:is>
          <x:t xml:space="preserve">Applied Materials</x:t>
        </x:is>
      </x:c>
      <x:c r="D139" s="160" t="inlineStr">
        <x:is>
          <x:t xml:space="preserve">AMAT</x:t>
        </x:is>
      </x:c>
      <x:c r="E139" s="160" t="inlineStr">
        <x:is>
          <x:t xml:space="preserve">AI &amp; Semiconductors</x:t>
        </x:is>
      </x:c>
      <x:c r="F139" s="160" t="inlineStr">
        <x:is>
          <x:t xml:space="preserve">Development</x:t>
        </x:is>
      </x:c>
      <x:c r="G139" s="160" t="inlineStr">
        <x:is>
          <x:t xml:space="preserve">S06</x:t>
        </x:is>
      </x:c>
      <x:c r="H139" s="160" t="inlineStr">
        <x:is>
          <x:t xml:space="preserve">Margin of Safety</x:t>
        </x:is>
      </x:c>
      <x:c r="I139" s="160" t="inlineStr">
        <x:is>
          <x:t xml:space="preserve">Margin of Safety</x:t>
        </x:is>
      </x:c>
      <x:c r="J139" s="160" t="inlineStr">
        <x:is>
          <x:t xml:space="preserve">Business quality is high but the price embeds a fragile bull case.</x:t>
        </x:is>
      </x:c>
      <x:c r="K139" s="160" t="inlineStr">
        <x:is>
          <x:t xml:space="preserve">Wafer-fab equipment demand plus service</x:t>
        </x:is>
      </x:c>
      <x:c r="L139" s="160" t="inlineStr">
        <x:is>
          <x:t xml:space="preserve">Mid-cycle FCF</x:t>
        </x:is>
      </x:c>
      <x:c r="M139" s="160" t="inlineStr">
        <x:is>
          <x:t xml:space="preserve">WAIT FOR PRICE</x:t>
        </x:is>
      </x:c>
      <x:c r="N139" s="160" t="inlineStr">
        <x:is>
          <x:t xml:space="preserve">R-MOS-01</x:t>
        </x:is>
      </x:c>
      <x:c r="O139" s="160" t="inlineStr">
        <x:is>
          <x:t xml:space="preserve">BASE</x:t>
        </x:is>
      </x:c>
      <x:c r="P139" s="160" t="inlineStr">
        <x:is>
          <x:t xml:space="preserve">PARTIAL CATCH</x:t>
        </x:is>
      </x:c>
      <x:c r="Q139" s="160" t="inlineStr">
        <x:is>
          <x:t xml:space="preserve">The base refinement catches the main failure, but evidence thresholds and per-share/counterfactual details remain underspecified.</x:t>
        </x:is>
      </x:c>
      <x:c r="R139" s="160" t="inlineStr">
        <x:is>
          <x:t xml:space="preserve">Separate business-quality score from price decision; require reverse valuation and bear/base/bull IV ranges.</x:t>
        </x:is>
      </x:c>
      <x:c r="S139" s="160" t="inlineStr">
        <x:is>
          <x:t xml:space="preserve">NO</x:t>
        </x:is>
      </x:c>
      <x:c r="T139" s="160" t="inlineStr">
        <x:is>
          <x:t xml:space="preserve">BASE</x:t>
        </x:is>
      </x:c>
      <x:c r="U139" s="160" t="inlineStr">
        <x:is>
          <x:t xml:space="preserve">V10.5-SIM19</x:t>
        </x:is>
      </x:c>
      <x:c r="V139" s="160" t="inlineStr">
        <x:is>
          <x:t xml:space="preserve">https://ir.appliedmaterials.com</x:t>
        </x:is>
      </x:c>
      <x:c r="W139" s="160" t="inlineStr">
        <x:is>
          <x:t xml:space="preserve">NO</x:t>
        </x:is>
      </x:c>
      <x:c r="X139" s="160" t="inlineStr">
        <x:is>
          <x:t xml:space="preserve">NONE — DEVELOPMENT ONLY</x:t>
        </x:is>
      </x:c>
      <x:c r="Y139" s="160" t="inlineStr">
        <x:is>
          <x:t xml:space="preserve">Synthetic/adversarial model-development loop. No historical outcome is claimed; no accuracy point is awarded.</x:t>
        </x:is>
      </x:c>
    </x:row>
    <x:row r="140">
      <x:c r="A140" s="160" t="inlineStr">
        <x:is>
          <x:t xml:space="preserve">ML0135</x:t>
        </x:is>
      </x:c>
      <x:c r="B140" s="160" t="inlineStr">
        <x:is>
          <x:t xml:space="preserve">ARG-009</x:t>
        </x:is>
      </x:c>
      <x:c r="C140" s="160" t="inlineStr">
        <x:is>
          <x:t xml:space="preserve">Applied Materials</x:t>
        </x:is>
      </x:c>
      <x:c r="D140" s="160" t="inlineStr">
        <x:is>
          <x:t xml:space="preserve">AMAT</x:t>
        </x:is>
      </x:c>
      <x:c r="E140" s="160" t="inlineStr">
        <x:is>
          <x:t xml:space="preserve">AI &amp; Semiconductors</x:t>
        </x:is>
      </x:c>
      <x:c r="F140" s="160" t="inlineStr">
        <x:is>
          <x:t xml:space="preserve">Development</x:t>
        </x:is>
      </x:c>
      <x:c r="G140" s="160" t="inlineStr">
        <x:is>
          <x:t xml:space="preserve">S07</x:t>
        </x:is>
      </x:c>
      <x:c r="H140" s="160" t="inlineStr">
        <x:is>
          <x:t xml:space="preserve">Sector Shock</x:t>
        </x:is>
      </x:c>
      <x:c r="I140" s="160" t="inlineStr">
        <x:is>
          <x:t xml:space="preserve">Sector-specific</x:t>
        </x:is>
      </x:c>
      <x:c r="J140" s="160" t="inlineStr">
        <x:is>
          <x:t xml:space="preserve">AI demand remains strong but capex intensity, customer concentration, inventory/cycle risk or export/geopolitical constraints hit normalized returns.</x:t>
        </x:is>
      </x:c>
      <x:c r="K140" s="160" t="inlineStr">
        <x:is>
          <x:t xml:space="preserve">Wafer-fab equipment demand plus service</x:t>
        </x:is>
      </x:c>
      <x:c r="L140" s="160" t="inlineStr">
        <x:is>
          <x:t xml:space="preserve">Mid-cycle FCF</x:t>
        </x:is>
      </x:c>
      <x:c r="M140" s="160" t="inlineStr">
        <x:is>
          <x:t xml:space="preserve">WAIT FOR PRICE</x:t>
        </x:is>
      </x:c>
      <x:c r="N140" s="160" t="inlineStr">
        <x:is>
          <x:t xml:space="preserve">R-SECTOR-AI-SEMICONDUCTORS</x:t>
        </x:is>
      </x:c>
      <x:c r="O140" s="160" t="inlineStr">
        <x:is>
          <x:t xml:space="preserve">HARDENED</x:t>
        </x:is>
      </x:c>
      <x:c r="P140" s="160" t="inlineStr">
        <x:is>
          <x:t xml:space="preserve">ROBUST WITH RESIDUAL</x:t>
        </x:is>
      </x:c>
      <x:c r="Q140" s="160" t="inlineStr">
        <x:is>
          <x:t xml:space="preserve">The hardened rule catches the stress. Residual risk is mainly evidence quality, threshold calibration or interaction with another gate.</x:t>
        </x:is>
      </x:c>
      <x:c r="R140"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140" s="160" t="inlineStr">
        <x:is>
          <x:t xml:space="preserve">NO</x:t>
        </x:is>
      </x:c>
      <x:c r="T140" s="160" t="inlineStr">
        <x:is>
          <x:t xml:space="preserve">HARDENED</x:t>
        </x:is>
      </x:c>
      <x:c r="U140" s="160" t="inlineStr">
        <x:is>
          <x:t xml:space="preserve">V10.5-SIM19</x:t>
        </x:is>
      </x:c>
      <x:c r="V140" s="160" t="inlineStr">
        <x:is>
          <x:t xml:space="preserve">https://ir.appliedmaterials.com</x:t>
        </x:is>
      </x:c>
      <x:c r="W140" s="160" t="inlineStr">
        <x:is>
          <x:t xml:space="preserve">NO</x:t>
        </x:is>
      </x:c>
      <x:c r="X140" s="160" t="inlineStr">
        <x:is>
          <x:t xml:space="preserve">NONE — DEVELOPMENT ONLY</x:t>
        </x:is>
      </x:c>
      <x:c r="Y140" s="160" t="inlineStr">
        <x:is>
          <x:t xml:space="preserve">Synthetic/adversarial model-development loop. No historical outcome is claimed; no accuracy point is awarded.</x:t>
        </x:is>
      </x:c>
    </x:row>
    <x:row r="141">
      <x:c r="A141" s="160" t="inlineStr">
        <x:is>
          <x:t xml:space="preserve">ML0136</x:t>
        </x:is>
      </x:c>
      <x:c r="B141" s="160" t="inlineStr">
        <x:is>
          <x:t xml:space="preserve">ARG-009</x:t>
        </x:is>
      </x:c>
      <x:c r="C141" s="160" t="inlineStr">
        <x:is>
          <x:t xml:space="preserve">Applied Materials</x:t>
        </x:is>
      </x:c>
      <x:c r="D141" s="160" t="inlineStr">
        <x:is>
          <x:t xml:space="preserve">AMAT</x:t>
        </x:is>
      </x:c>
      <x:c r="E141" s="160" t="inlineStr">
        <x:is>
          <x:t xml:space="preserve">AI &amp; Semiconductors</x:t>
        </x:is>
      </x:c>
      <x:c r="F141" s="160" t="inlineStr">
        <x:is>
          <x:t xml:space="preserve">Development</x:t>
        </x:is>
      </x:c>
      <x:c r="G141" s="160" t="inlineStr">
        <x:is>
          <x:t xml:space="preserve">S08</x:t>
        </x:is>
      </x:c>
      <x:c r="H141" s="160" t="inlineStr">
        <x:is>
          <x:t xml:space="preserve">Management Promise Reliability</x:t>
        </x:is>
      </x:c>
      <x:c r="I141" s="160" t="inlineStr">
        <x:is>
          <x:t xml:space="preserve">Management over-trust</x:t>
        </x:is>
      </x:c>
      <x:c r="J141" s="160" t="inlineStr">
        <x:is>
          <x:t xml:space="preserve">Guidance or strategic promises are repeated but the model lacks a contemporaneous reliability score.</x:t>
        </x:is>
      </x:c>
      <x:c r="K141" s="160" t="inlineStr">
        <x:is>
          <x:t xml:space="preserve">Wafer-fab equipment demand plus service</x:t>
        </x:is>
      </x:c>
      <x:c r="L141" s="160" t="inlineStr">
        <x:is>
          <x:t xml:space="preserve">Mid-cycle FCF</x:t>
        </x:is>
      </x:c>
      <x:c r="M141" s="160" t="inlineStr">
        <x:is>
          <x:t xml:space="preserve">WAIT FOR PRICE</x:t>
        </x:is>
      </x:c>
      <x:c r="N141" s="160" t="inlineStr">
        <x:is>
          <x:t xml:space="preserve">R-PROM-01</x:t>
        </x:is>
      </x:c>
      <x:c r="O141" s="160" t="inlineStr">
        <x:is>
          <x:t xml:space="preserve">BASE</x:t>
        </x:is>
      </x:c>
      <x:c r="P141" s="160" t="inlineStr">
        <x:is>
          <x:t xml:space="preserve">PARTIAL CATCH</x:t>
        </x:is>
      </x:c>
      <x:c r="Q141" s="160" t="inlineStr">
        <x:is>
          <x:t xml:space="preserve">The base refinement catches the main failure, but evidence thresholds and per-share/counterfactual details remain underspecified.</x:t>
        </x:is>
      </x:c>
      <x:c r="R141" s="160" t="inlineStr">
        <x:is>
          <x:t xml:space="preserve">Use a promises ledger with dated promise, measurable deliverable, due date, outcome and credibility weight.</x:t>
        </x:is>
      </x:c>
      <x:c r="S141" s="160" t="inlineStr">
        <x:is>
          <x:t xml:space="preserve">NO</x:t>
        </x:is>
      </x:c>
      <x:c r="T141" s="160" t="inlineStr">
        <x:is>
          <x:t xml:space="preserve">BASE</x:t>
        </x:is>
      </x:c>
      <x:c r="U141" s="160" t="inlineStr">
        <x:is>
          <x:t xml:space="preserve">V10.5-SIM19</x:t>
        </x:is>
      </x:c>
      <x:c r="V141" s="160" t="inlineStr">
        <x:is>
          <x:t xml:space="preserve">https://ir.appliedmaterials.com</x:t>
        </x:is>
      </x:c>
      <x:c r="W141" s="160" t="inlineStr">
        <x:is>
          <x:t xml:space="preserve">NO</x:t>
        </x:is>
      </x:c>
      <x:c r="X141" s="160" t="inlineStr">
        <x:is>
          <x:t xml:space="preserve">NONE — DEVELOPMENT ONLY</x:t>
        </x:is>
      </x:c>
      <x:c r="Y141" s="160" t="inlineStr">
        <x:is>
          <x:t xml:space="preserve">Synthetic/adversarial model-development loop. No historical outcome is claimed; no accuracy point is awarded.</x:t>
        </x:is>
      </x:c>
    </x:row>
    <x:row r="142">
      <x:c r="A142" s="160" t="inlineStr">
        <x:is>
          <x:t xml:space="preserve">ML0137</x:t>
        </x:is>
      </x:c>
      <x:c r="B142" s="160" t="inlineStr">
        <x:is>
          <x:t xml:space="preserve">ARG-009</x:t>
        </x:is>
      </x:c>
      <x:c r="C142" s="160" t="inlineStr">
        <x:is>
          <x:t xml:space="preserve">Applied Materials</x:t>
        </x:is>
      </x:c>
      <x:c r="D142" s="160" t="inlineStr">
        <x:is>
          <x:t xml:space="preserve">AMAT</x:t>
        </x:is>
      </x:c>
      <x:c r="E142" s="160" t="inlineStr">
        <x:is>
          <x:t xml:space="preserve">AI &amp; Semiconductors</x:t>
        </x:is>
      </x:c>
      <x:c r="F142" s="160" t="inlineStr">
        <x:is>
          <x:t xml:space="preserve">Development</x:t>
        </x:is>
      </x:c>
      <x:c r="G142" s="160" t="inlineStr">
        <x:is>
          <x:t xml:space="preserve">S09</x:t>
        </x:is>
      </x:c>
      <x:c r="H142" s="160" t="inlineStr">
        <x:is>
          <x:t xml:space="preserve">Data / Accounting Quality</x:t>
        </x:is>
      </x:c>
      <x:c r="I142" s="160" t="inlineStr">
        <x:is>
          <x:t xml:space="preserve">Data quality</x:t>
        </x:is>
      </x:c>
      <x:c r="J142" s="160" t="inlineStr">
        <x:is>
          <x:t xml:space="preserve">Restatement, segment reclassification, one-time item or non-economic fair-value movement distorts the apparent trend.</x:t>
        </x:is>
      </x:c>
      <x:c r="K142" s="160" t="inlineStr">
        <x:is>
          <x:t xml:space="preserve">Wafer-fab equipment demand plus service</x:t>
        </x:is>
      </x:c>
      <x:c r="L142" s="160" t="inlineStr">
        <x:is>
          <x:t xml:space="preserve">Mid-cycle FCF</x:t>
        </x:is>
      </x:c>
      <x:c r="M142" s="160" t="inlineStr">
        <x:is>
          <x:t xml:space="preserve">WAIT FOR PRICE</x:t>
        </x:is>
      </x:c>
      <x:c r="N142" s="160" t="inlineStr">
        <x:is>
          <x:t xml:space="preserve">R-DATA-01</x:t>
        </x:is>
      </x:c>
      <x:c r="O142" s="160" t="inlineStr">
        <x:is>
          <x:t xml:space="preserve">BASE</x:t>
        </x:is>
      </x:c>
      <x:c r="P142" s="160" t="inlineStr">
        <x:is>
          <x:t xml:space="preserve">PARTIAL CATCH</x:t>
        </x:is>
      </x:c>
      <x:c r="Q142" s="160" t="inlineStr">
        <x:is>
          <x:t xml:space="preserve">The base refinement catches the main failure, but evidence thresholds and per-share/counterfactual details remain underspecified.</x:t>
        </x:is>
      </x:c>
      <x:c r="R142" s="160" t="inlineStr">
        <x:is>
          <x:t xml:space="preserve">Add a reporting-quality bridge and normalize accounting noise before any gate can pass.</x:t>
        </x:is>
      </x:c>
      <x:c r="S142" s="160" t="inlineStr">
        <x:is>
          <x:t xml:space="preserve">NO</x:t>
        </x:is>
      </x:c>
      <x:c r="T142" s="160" t="inlineStr">
        <x:is>
          <x:t xml:space="preserve">BASE</x:t>
        </x:is>
      </x:c>
      <x:c r="U142" s="160" t="inlineStr">
        <x:is>
          <x:t xml:space="preserve">V10.5-SIM19</x:t>
        </x:is>
      </x:c>
      <x:c r="V142" s="160" t="inlineStr">
        <x:is>
          <x:t xml:space="preserve">https://ir.appliedmaterials.com</x:t>
        </x:is>
      </x:c>
      <x:c r="W142" s="160" t="inlineStr">
        <x:is>
          <x:t xml:space="preserve">NO</x:t>
        </x:is>
      </x:c>
      <x:c r="X142" s="160" t="inlineStr">
        <x:is>
          <x:t xml:space="preserve">NONE — DEVELOPMENT ONLY</x:t>
        </x:is>
      </x:c>
      <x:c r="Y142" s="160" t="inlineStr">
        <x:is>
          <x:t xml:space="preserve">Synthetic/adversarial model-development loop. No historical outcome is claimed; no accuracy point is awarded.</x:t>
        </x:is>
      </x:c>
    </x:row>
    <x:row r="143">
      <x:c r="A143" s="160" t="inlineStr">
        <x:is>
          <x:t xml:space="preserve">ML0138</x:t>
        </x:is>
      </x:c>
      <x:c r="B143" s="160" t="inlineStr">
        <x:is>
          <x:t xml:space="preserve">ARG-009</x:t>
        </x:is>
      </x:c>
      <x:c r="C143" s="160" t="inlineStr">
        <x:is>
          <x:t xml:space="preserve">Applied Materials</x:t>
        </x:is>
      </x:c>
      <x:c r="D143" s="160" t="inlineStr">
        <x:is>
          <x:t xml:space="preserve">AMAT</x:t>
        </x:is>
      </x:c>
      <x:c r="E143" s="160" t="inlineStr">
        <x:is>
          <x:t xml:space="preserve">AI &amp; Semiconductors</x:t>
        </x:is>
      </x:c>
      <x:c r="F143" s="160" t="inlineStr">
        <x:is>
          <x:t xml:space="preserve">Development</x:t>
        </x:is>
      </x:c>
      <x:c r="G143" s="160" t="inlineStr">
        <x:is>
          <x:t xml:space="preserve">S10</x:t>
        </x:is>
      </x:c>
      <x:c r="H143" s="160" t="inlineStr">
        <x:is>
          <x:t xml:space="preserve">Control / Counterfactual</x:t>
        </x:is>
      </x:c>
      <x:c r="I143" s="160" t="inlineStr">
        <x:is>
          <x:t xml:space="preserve">Sector beta vs company alpha</x:t>
        </x:is>
      </x:c>
      <x:c r="J143" s="160" t="inlineStr">
        <x:is>
          <x:t xml:space="preserve">A positive outcome is mostly sector beta or macro tailwind, not company-specific alpha.</x:t>
        </x:is>
      </x:c>
      <x:c r="K143" s="160" t="inlineStr">
        <x:is>
          <x:t xml:space="preserve">Wafer-fab equipment demand plus service</x:t>
        </x:is>
      </x:c>
      <x:c r="L143" s="160" t="inlineStr">
        <x:is>
          <x:t xml:space="preserve">Mid-cycle FCF</x:t>
        </x:is>
      </x:c>
      <x:c r="M143" s="160" t="inlineStr">
        <x:is>
          <x:t xml:space="preserve">WAIT FOR PRICE</x:t>
        </x:is>
      </x:c>
      <x:c r="N143" s="160" t="inlineStr">
        <x:is>
          <x:t xml:space="preserve">R-CF-01</x:t>
        </x:is>
      </x:c>
      <x:c r="O143" s="160" t="inlineStr">
        <x:is>
          <x:t xml:space="preserve">BASE</x:t>
        </x:is>
      </x:c>
      <x:c r="P143" s="160" t="inlineStr">
        <x:is>
          <x:t xml:space="preserve">PARTIAL CATCH</x:t>
        </x:is>
      </x:c>
      <x:c r="Q143" s="160" t="inlineStr">
        <x:is>
          <x:t xml:space="preserve">The base refinement catches the main failure, but evidence thresholds and per-share/counterfactual details remain underspecified.</x:t>
        </x:is>
      </x:c>
      <x:c r="R143" s="160" t="inlineStr">
        <x:is>
          <x:t xml:space="preserve">Require a true economic control and counterfactual: what should have happened to a comparable company under the same shock?</x:t>
        </x:is>
      </x:c>
      <x:c r="S143" s="160" t="inlineStr">
        <x:is>
          <x:t xml:space="preserve">NO</x:t>
        </x:is>
      </x:c>
      <x:c r="T143" s="160" t="inlineStr">
        <x:is>
          <x:t xml:space="preserve">BASE</x:t>
        </x:is>
      </x:c>
      <x:c r="U143" s="160" t="inlineStr">
        <x:is>
          <x:t xml:space="preserve">V10.5-SIM19</x:t>
        </x:is>
      </x:c>
      <x:c r="V143" s="160" t="inlineStr">
        <x:is>
          <x:t xml:space="preserve">https://ir.appliedmaterials.com</x:t>
        </x:is>
      </x:c>
      <x:c r="W143" s="160" t="inlineStr">
        <x:is>
          <x:t xml:space="preserve">NO</x:t>
        </x:is>
      </x:c>
      <x:c r="X143" s="160" t="inlineStr">
        <x:is>
          <x:t xml:space="preserve">NONE — DEVELOPMENT ONLY</x:t>
        </x:is>
      </x:c>
      <x:c r="Y143" s="160" t="inlineStr">
        <x:is>
          <x:t xml:space="preserve">Synthetic/adversarial model-development loop. No historical outcome is claimed; no accuracy point is awarded.</x:t>
        </x:is>
      </x:c>
    </x:row>
    <x:row r="144">
      <x:c r="A144" s="160" t="inlineStr">
        <x:is>
          <x:t xml:space="preserve">ML0139</x:t>
        </x:is>
      </x:c>
      <x:c r="B144" s="160" t="inlineStr">
        <x:is>
          <x:t xml:space="preserve">ARG-009</x:t>
        </x:is>
      </x:c>
      <x:c r="C144" s="160" t="inlineStr">
        <x:is>
          <x:t xml:space="preserve">Applied Materials</x:t>
        </x:is>
      </x:c>
      <x:c r="D144" s="160" t="inlineStr">
        <x:is>
          <x:t xml:space="preserve">AMAT</x:t>
        </x:is>
      </x:c>
      <x:c r="E144" s="160" t="inlineStr">
        <x:is>
          <x:t xml:space="preserve">AI &amp; Semiconductors</x:t>
        </x:is>
      </x:c>
      <x:c r="F144" s="160" t="inlineStr">
        <x:is>
          <x:t xml:space="preserve">Development</x:t>
        </x:is>
      </x:c>
      <x:c r="G144" s="160" t="inlineStr">
        <x:is>
          <x:t xml:space="preserve">S11</x:t>
        </x:is>
      </x:c>
      <x:c r="H144" s="160" t="inlineStr">
        <x:is>
          <x:t xml:space="preserve">False-Negative Discipline</x:t>
        </x:is>
      </x:c>
      <x:c r="I144" s="160" t="inlineStr">
        <x:is>
          <x:t xml:space="preserve">False negative</x:t>
        </x:is>
      </x:c>
      <x:c r="J144" s="160" t="inlineStr">
        <x:is>
          <x:t xml:space="preserve">A strict gate rejects a company that later compounds strongly for reasons the model could have known.</x:t>
        </x:is>
      </x:c>
      <x:c r="K144" s="160" t="inlineStr">
        <x:is>
          <x:t xml:space="preserve">Wafer-fab equipment demand plus service</x:t>
        </x:is>
      </x:c>
      <x:c r="L144" s="160" t="inlineStr">
        <x:is>
          <x:t xml:space="preserve">Mid-cycle FCF</x:t>
        </x:is>
      </x:c>
      <x:c r="M144" s="160" t="inlineStr">
        <x:is>
          <x:t xml:space="preserve">WAIT FOR PRICE</x:t>
        </x:is>
      </x:c>
      <x:c r="N144" s="160" t="inlineStr">
        <x:is>
          <x:t xml:space="preserve">R-FN-01</x:t>
        </x:is>
      </x:c>
      <x:c r="O144" s="160" t="inlineStr">
        <x:is>
          <x:t xml:space="preserve">BASE</x:t>
        </x:is>
      </x:c>
      <x:c r="P144" s="160" t="inlineStr">
        <x:is>
          <x:t xml:space="preserve">PARTIAL CATCH</x:t>
        </x:is>
      </x:c>
      <x:c r="Q144" s="160" t="inlineStr">
        <x:is>
          <x:t xml:space="preserve">The base refinement catches the main failure, but evidence thresholds and per-share/counterfactual details remain underspecified.</x:t>
        </x:is>
      </x:c>
      <x:c r="R144" s="160" t="inlineStr">
        <x:is>
          <x:t xml:space="preserve">Track opportunity cost and classify whether the miss came from evidence timing, wrong threshold or genuinely unknowable upside.</x:t>
        </x:is>
      </x:c>
      <x:c r="S144" s="160" t="inlineStr">
        <x:is>
          <x:t xml:space="preserve">NO</x:t>
        </x:is>
      </x:c>
      <x:c r="T144" s="160" t="inlineStr">
        <x:is>
          <x:t xml:space="preserve">BASE</x:t>
        </x:is>
      </x:c>
      <x:c r="U144" s="160" t="inlineStr">
        <x:is>
          <x:t xml:space="preserve">V10.5-SIM19</x:t>
        </x:is>
      </x:c>
      <x:c r="V144" s="160" t="inlineStr">
        <x:is>
          <x:t xml:space="preserve">https://ir.appliedmaterials.com</x:t>
        </x:is>
      </x:c>
      <x:c r="W144" s="160" t="inlineStr">
        <x:is>
          <x:t xml:space="preserve">NO</x:t>
        </x:is>
      </x:c>
      <x:c r="X144" s="160" t="inlineStr">
        <x:is>
          <x:t xml:space="preserve">NONE — DEVELOPMENT ONLY</x:t>
        </x:is>
      </x:c>
      <x:c r="Y144" s="160" t="inlineStr">
        <x:is>
          <x:t xml:space="preserve">Synthetic/adversarial model-development loop. No historical outcome is claimed; no accuracy point is awarded.</x:t>
        </x:is>
      </x:c>
    </x:row>
    <x:row r="145">
      <x:c r="A145" s="160" t="inlineStr">
        <x:is>
          <x:t xml:space="preserve">ML0140</x:t>
        </x:is>
      </x:c>
      <x:c r="B145" s="160" t="inlineStr">
        <x:is>
          <x:t xml:space="preserve">ARG-009</x:t>
        </x:is>
      </x:c>
      <x:c r="C145" s="160" t="inlineStr">
        <x:is>
          <x:t xml:space="preserve">Applied Materials</x:t>
        </x:is>
      </x:c>
      <x:c r="D145" s="160" t="inlineStr">
        <x:is>
          <x:t xml:space="preserve">AMAT</x:t>
        </x:is>
      </x:c>
      <x:c r="E145" s="160" t="inlineStr">
        <x:is>
          <x:t xml:space="preserve">AI &amp; Semiconductors</x:t>
        </x:is>
      </x:c>
      <x:c r="F145" s="160" t="inlineStr">
        <x:is>
          <x:t xml:space="preserve">Development</x:t>
        </x:is>
      </x:c>
      <x:c r="G145" s="160" t="inlineStr">
        <x:is>
          <x:t xml:space="preserve">S12</x:t>
        </x:is>
      </x:c>
      <x:c r="H145" s="160" t="inlineStr">
        <x:is>
          <x:t xml:space="preserve">Lead-Time / Early Sensor</x:t>
        </x:is>
      </x:c>
      <x:c r="I145" s="160" t="inlineStr">
        <x:is>
          <x:t xml:space="preserve">Timing / lead-time</x:t>
        </x:is>
      </x:c>
      <x:c r="J145" s="160" t="inlineStr">
        <x:is>
          <x:t xml:space="preserve">ARGUS identifies the change correctly but only after consensus and price have already reacted.</x:t>
        </x:is>
      </x:c>
      <x:c r="K145" s="160" t="inlineStr">
        <x:is>
          <x:t xml:space="preserve">Wafer-fab equipment demand plus service</x:t>
        </x:is>
      </x:c>
      <x:c r="L145" s="160" t="inlineStr">
        <x:is>
          <x:t xml:space="preserve">Mid-cycle FCF</x:t>
        </x:is>
      </x:c>
      <x:c r="M145" s="160" t="inlineStr">
        <x:is>
          <x:t xml:space="preserve">WAIT FOR PRICE</x:t>
        </x:is>
      </x:c>
      <x:c r="N145" s="160" t="inlineStr">
        <x:is>
          <x:t xml:space="preserve">R-TIME-01</x:t>
        </x:is>
      </x:c>
      <x:c r="O145" s="160" t="inlineStr">
        <x:is>
          <x:t xml:space="preserve">BASE</x:t>
        </x:is>
      </x:c>
      <x:c r="P145" s="160" t="inlineStr">
        <x:is>
          <x:t xml:space="preserve">PARTIAL CATCH</x:t>
        </x:is>
      </x:c>
      <x:c r="Q145" s="160" t="inlineStr">
        <x:is>
          <x:t xml:space="preserve">The base refinement catches the main failure, but evidence thresholds and per-share/counterfactual details remain underspecified.</x:t>
        </x:is>
      </x:c>
      <x:c r="R145" s="160" t="inlineStr">
        <x:is>
          <x:t xml:space="preserve">Replace lagging financial metrics with earlier causal operating sensors and record lead time separately from correctness.</x:t>
        </x:is>
      </x:c>
      <x:c r="S145" s="160" t="inlineStr">
        <x:is>
          <x:t xml:space="preserve">NO</x:t>
        </x:is>
      </x:c>
      <x:c r="T145" s="160" t="inlineStr">
        <x:is>
          <x:t xml:space="preserve">BASE</x:t>
        </x:is>
      </x:c>
      <x:c r="U145" s="160" t="inlineStr">
        <x:is>
          <x:t xml:space="preserve">V10.5-SIM19</x:t>
        </x:is>
      </x:c>
      <x:c r="V145" s="160" t="inlineStr">
        <x:is>
          <x:t xml:space="preserve">https://ir.appliedmaterials.com</x:t>
        </x:is>
      </x:c>
      <x:c r="W145" s="160" t="inlineStr">
        <x:is>
          <x:t xml:space="preserve">NO</x:t>
        </x:is>
      </x:c>
      <x:c r="X145" s="160" t="inlineStr">
        <x:is>
          <x:t xml:space="preserve">NONE — DEVELOPMENT ONLY</x:t>
        </x:is>
      </x:c>
      <x:c r="Y145" s="160" t="inlineStr">
        <x:is>
          <x:t xml:space="preserve">Synthetic/adversarial model-development loop. No historical outcome is claimed; no accuracy point is awarded.</x:t>
        </x:is>
      </x:c>
    </x:row>
    <x:row r="146">
      <x:c r="A146" s="160" t="inlineStr">
        <x:is>
          <x:t xml:space="preserve">ML0141</x:t>
        </x:is>
      </x:c>
      <x:c r="B146" s="160" t="inlineStr">
        <x:is>
          <x:t xml:space="preserve">ARG-009</x:t>
        </x:is>
      </x:c>
      <x:c r="C146" s="160" t="inlineStr">
        <x:is>
          <x:t xml:space="preserve">Applied Materials</x:t>
        </x:is>
      </x:c>
      <x:c r="D146" s="160" t="inlineStr">
        <x:is>
          <x:t xml:space="preserve">AMAT</x:t>
        </x:is>
      </x:c>
      <x:c r="E146" s="160" t="inlineStr">
        <x:is>
          <x:t xml:space="preserve">AI &amp; Semiconductors</x:t>
        </x:is>
      </x:c>
      <x:c r="F146" s="160" t="inlineStr">
        <x:is>
          <x:t xml:space="preserve">Development</x:t>
        </x:is>
      </x:c>
      <x:c r="G146" s="160" t="inlineStr">
        <x:is>
          <x:t xml:space="preserve">S13</x:t>
        </x:is>
      </x:c>
      <x:c r="H146" s="160" t="inlineStr">
        <x:is>
          <x:t xml:space="preserve">Cycle Normalization</x:t>
        </x:is>
      </x:c>
      <x:c r="I146" s="160" t="inlineStr">
        <x:is>
          <x:t xml:space="preserve">Wrong valuation lens</x:t>
        </x:is>
      </x:c>
      <x:c r="J146" s="160" t="inlineStr">
        <x:is>
          <x:t xml:space="preserve">Peak/trough earnings are mistaken for normalized earning power.</x:t>
        </x:is>
      </x:c>
      <x:c r="K146" s="160" t="inlineStr">
        <x:is>
          <x:t xml:space="preserve">Wafer-fab equipment demand plus service</x:t>
        </x:is>
      </x:c>
      <x:c r="L146" s="160" t="inlineStr">
        <x:is>
          <x:t xml:space="preserve">Mid-cycle FCF</x:t>
        </x:is>
      </x:c>
      <x:c r="M146" s="160" t="inlineStr">
        <x:is>
          <x:t xml:space="preserve">WAIT FOR PRICE</x:t>
        </x:is>
      </x:c>
      <x:c r="N146" s="160" t="inlineStr">
        <x:is>
          <x:t xml:space="preserve">R-CYCLE-01</x:t>
        </x:is>
      </x:c>
      <x:c r="O146" s="160" t="inlineStr">
        <x:is>
          <x:t xml:space="preserve">BASE</x:t>
        </x:is>
      </x:c>
      <x:c r="P146" s="160" t="inlineStr">
        <x:is>
          <x:t xml:space="preserve">PARTIAL CATCH</x:t>
        </x:is>
      </x:c>
      <x:c r="Q146" s="160" t="inlineStr">
        <x:is>
          <x:t xml:space="preserve">The base refinement catches the main failure, but evidence thresholds and per-share/counterfactual details remain underspecified.</x:t>
        </x:is>
      </x:c>
      <x:c r="R146" s="160" t="inlineStr">
        <x:is>
          <x:t xml:space="preserve">Use sector-specific mid-cycle/NAV/rate-base/rNPV normalization before applying a valuation multiple.</x:t>
        </x:is>
      </x:c>
      <x:c r="S146" s="160" t="inlineStr">
        <x:is>
          <x:t xml:space="preserve">NO</x:t>
        </x:is>
      </x:c>
      <x:c r="T146" s="160" t="inlineStr">
        <x:is>
          <x:t xml:space="preserve">BASE</x:t>
        </x:is>
      </x:c>
      <x:c r="U146" s="160" t="inlineStr">
        <x:is>
          <x:t xml:space="preserve">V10.5-SIM19</x:t>
        </x:is>
      </x:c>
      <x:c r="V146" s="160" t="inlineStr">
        <x:is>
          <x:t xml:space="preserve">https://ir.appliedmaterials.com</x:t>
        </x:is>
      </x:c>
      <x:c r="W146" s="160" t="inlineStr">
        <x:is>
          <x:t xml:space="preserve">NO</x:t>
        </x:is>
      </x:c>
      <x:c r="X146" s="160" t="inlineStr">
        <x:is>
          <x:t xml:space="preserve">NONE — DEVELOPMENT ONLY</x:t>
        </x:is>
      </x:c>
      <x:c r="Y146" s="160" t="inlineStr">
        <x:is>
          <x:t xml:space="preserve">Synthetic/adversarial model-development loop. No historical outcome is claimed; no accuracy point is awarded.</x:t>
        </x:is>
      </x:c>
    </x:row>
    <x:row r="147">
      <x:c r="A147" s="160" t="inlineStr">
        <x:is>
          <x:t xml:space="preserve">ML0142</x:t>
        </x:is>
      </x:c>
      <x:c r="B147" s="160" t="inlineStr">
        <x:is>
          <x:t xml:space="preserve">ARG-009</x:t>
        </x:is>
      </x:c>
      <x:c r="C147" s="160" t="inlineStr">
        <x:is>
          <x:t xml:space="preserve">Applied Materials</x:t>
        </x:is>
      </x:c>
      <x:c r="D147" s="160" t="inlineStr">
        <x:is>
          <x:t xml:space="preserve">AMAT</x:t>
        </x:is>
      </x:c>
      <x:c r="E147" s="160" t="inlineStr">
        <x:is>
          <x:t xml:space="preserve">AI &amp; Semiconductors</x:t>
        </x:is>
      </x:c>
      <x:c r="F147" s="160" t="inlineStr">
        <x:is>
          <x:t xml:space="preserve">Development</x:t>
        </x:is>
      </x:c>
      <x:c r="G147" s="160" t="inlineStr">
        <x:is>
          <x:t xml:space="preserve">S14</x:t>
        </x:is>
      </x:c>
      <x:c r="H147" s="160" t="inlineStr">
        <x:is>
          <x:t xml:space="preserve">M&amp;A / Organic Growth Separation</x:t>
        </x:is>
      </x:c>
      <x:c r="I147" s="160" t="inlineStr">
        <x:is>
          <x:t xml:space="preserve">Stewardship</x:t>
        </x:is>
      </x:c>
      <x:c r="J147" s="160" t="inlineStr">
        <x:is>
          <x:t xml:space="preserve">Acquisition-driven growth masks weak organic economics or poor incremental ROIC.</x:t>
        </x:is>
      </x:c>
      <x:c r="K147" s="160" t="inlineStr">
        <x:is>
          <x:t xml:space="preserve">Wafer-fab equipment demand plus service</x:t>
        </x:is>
      </x:c>
      <x:c r="L147" s="160" t="inlineStr">
        <x:is>
          <x:t xml:space="preserve">Mid-cycle FCF</x:t>
        </x:is>
      </x:c>
      <x:c r="M147" s="160" t="inlineStr">
        <x:is>
          <x:t xml:space="preserve">WAIT FOR PRICE</x:t>
        </x:is>
      </x:c>
      <x:c r="N147" s="160" t="inlineStr">
        <x:is>
          <x:t xml:space="preserve">R-MA-01</x:t>
        </x:is>
      </x:c>
      <x:c r="O147" s="160" t="inlineStr">
        <x:is>
          <x:t xml:space="preserve">BASE</x:t>
        </x:is>
      </x:c>
      <x:c r="P147" s="160" t="inlineStr">
        <x:is>
          <x:t xml:space="preserve">PARTIAL CATCH</x:t>
        </x:is>
      </x:c>
      <x:c r="Q147" s="160" t="inlineStr">
        <x:is>
          <x:t xml:space="preserve">The base refinement catches the main failure, but evidence thresholds and per-share/counterfactual details remain underspecified.</x:t>
        </x:is>
      </x:c>
      <x:c r="R147" s="160" t="inlineStr">
        <x:is>
          <x:t xml:space="preserve">Bridge organic growth, acquired growth, purchase price, integration costs and acquisition-cohort ROIC.</x:t>
        </x:is>
      </x:c>
      <x:c r="S147" s="160" t="inlineStr">
        <x:is>
          <x:t xml:space="preserve">NO</x:t>
        </x:is>
      </x:c>
      <x:c r="T147" s="160" t="inlineStr">
        <x:is>
          <x:t xml:space="preserve">BASE</x:t>
        </x:is>
      </x:c>
      <x:c r="U147" s="160" t="inlineStr">
        <x:is>
          <x:t xml:space="preserve">V10.5-SIM19</x:t>
        </x:is>
      </x:c>
      <x:c r="V147" s="160" t="inlineStr">
        <x:is>
          <x:t xml:space="preserve">https://ir.appliedmaterials.com</x:t>
        </x:is>
      </x:c>
      <x:c r="W147" s="160" t="inlineStr">
        <x:is>
          <x:t xml:space="preserve">NO</x:t>
        </x:is>
      </x:c>
      <x:c r="X147" s="160" t="inlineStr">
        <x:is>
          <x:t xml:space="preserve">NONE — DEVELOPMENT ONLY</x:t>
        </x:is>
      </x:c>
      <x:c r="Y147" s="160" t="inlineStr">
        <x:is>
          <x:t xml:space="preserve">Synthetic/adversarial model-development loop. No historical outcome is claimed; no accuracy point is awarded.</x:t>
        </x:is>
      </x:c>
    </x:row>
    <x:row r="148">
      <x:c r="A148" s="160" t="inlineStr">
        <x:is>
          <x:t xml:space="preserve">ML0143</x:t>
        </x:is>
      </x:c>
      <x:c r="B148" s="160" t="inlineStr">
        <x:is>
          <x:t xml:space="preserve">ARG-009</x:t>
        </x:is>
      </x:c>
      <x:c r="C148" s="160" t="inlineStr">
        <x:is>
          <x:t xml:space="preserve">Applied Materials</x:t>
        </x:is>
      </x:c>
      <x:c r="D148" s="160" t="inlineStr">
        <x:is>
          <x:t xml:space="preserve">AMAT</x:t>
        </x:is>
      </x:c>
      <x:c r="E148" s="160" t="inlineStr">
        <x:is>
          <x:t xml:space="preserve">AI &amp; Semiconductors</x:t>
        </x:is>
      </x:c>
      <x:c r="F148" s="160" t="inlineStr">
        <x:is>
          <x:t xml:space="preserve">Development</x:t>
        </x:is>
      </x:c>
      <x:c r="G148" s="160" t="inlineStr">
        <x:is>
          <x:t xml:space="preserve">S15</x:t>
        </x:is>
      </x:c>
      <x:c r="H148" s="160" t="inlineStr">
        <x:is>
          <x:t xml:space="preserve">Financing / Dilution Per Share</x:t>
        </x:is>
      </x:c>
      <x:c r="I148" s="160" t="inlineStr">
        <x:is>
          <x:t xml:space="preserve">Stewardship</x:t>
        </x:is>
      </x:c>
      <x:c r="J148" s="160" t="inlineStr">
        <x:is>
          <x:t xml:space="preserve">Cash balance or revenue growth improves while financing causes material per-share value leakage.</x:t>
        </x:is>
      </x:c>
      <x:c r="K148" s="160" t="inlineStr">
        <x:is>
          <x:t xml:space="preserve">Wafer-fab equipment demand plus service</x:t>
        </x:is>
      </x:c>
      <x:c r="L148" s="160" t="inlineStr">
        <x:is>
          <x:t xml:space="preserve">Mid-cycle FCF</x:t>
        </x:is>
      </x:c>
      <x:c r="M148" s="160" t="inlineStr">
        <x:is>
          <x:t xml:space="preserve">WAIT FOR PRICE</x:t>
        </x:is>
      </x:c>
      <x:c r="N148" s="160" t="inlineStr">
        <x:is>
          <x:t xml:space="preserve">R-DIL-01</x:t>
        </x:is>
      </x:c>
      <x:c r="O148" s="160" t="inlineStr">
        <x:is>
          <x:t xml:space="preserve">BASE</x:t>
        </x:is>
      </x:c>
      <x:c r="P148" s="160" t="inlineStr">
        <x:is>
          <x:t xml:space="preserve">PARTIAL CATCH</x:t>
        </x:is>
      </x:c>
      <x:c r="Q148" s="160" t="inlineStr">
        <x:is>
          <x:t xml:space="preserve">The base refinement catches the main failure, but evidence thresholds and per-share/counterfactual details remain underspecified.</x:t>
        </x:is>
      </x:c>
      <x:c r="R148" s="160" t="inlineStr">
        <x:is>
          <x:t xml:space="preserve">Reconcile share-count growth, SBC, equity issuance, buybacks and net cash changes to per-share intrinsic value.</x:t>
        </x:is>
      </x:c>
      <x:c r="S148" s="160" t="inlineStr">
        <x:is>
          <x:t xml:space="preserve">NO</x:t>
        </x:is>
      </x:c>
      <x:c r="T148" s="160" t="inlineStr">
        <x:is>
          <x:t xml:space="preserve">BASE</x:t>
        </x:is>
      </x:c>
      <x:c r="U148" s="160" t="inlineStr">
        <x:is>
          <x:t xml:space="preserve">V10.5-SIM19</x:t>
        </x:is>
      </x:c>
      <x:c r="V148" s="160" t="inlineStr">
        <x:is>
          <x:t xml:space="preserve">https://ir.appliedmaterials.com</x:t>
        </x:is>
      </x:c>
      <x:c r="W148" s="160" t="inlineStr">
        <x:is>
          <x:t xml:space="preserve">NO</x:t>
        </x:is>
      </x:c>
      <x:c r="X148" s="160" t="inlineStr">
        <x:is>
          <x:t xml:space="preserve">NONE — DEVELOPMENT ONLY</x:t>
        </x:is>
      </x:c>
      <x:c r="Y148" s="160" t="inlineStr">
        <x:is>
          <x:t xml:space="preserve">Synthetic/adversarial model-development loop. No historical outcome is claimed; no accuracy point is awarded.</x:t>
        </x:is>
      </x:c>
    </x:row>
    <x:row r="149">
      <x:c r="A149" s="160" t="inlineStr">
        <x:is>
          <x:t xml:space="preserve">ML0144</x:t>
        </x:is>
      </x:c>
      <x:c r="B149" s="160" t="inlineStr">
        <x:is>
          <x:t xml:space="preserve">ARG-009</x:t>
        </x:is>
      </x:c>
      <x:c r="C149" s="160" t="inlineStr">
        <x:is>
          <x:t xml:space="preserve">Applied Materials</x:t>
        </x:is>
      </x:c>
      <x:c r="D149" s="160" t="inlineStr">
        <x:is>
          <x:t xml:space="preserve">AMAT</x:t>
        </x:is>
      </x:c>
      <x:c r="E149" s="160" t="inlineStr">
        <x:is>
          <x:t xml:space="preserve">AI &amp; Semiconductors</x:t>
        </x:is>
      </x:c>
      <x:c r="F149" s="160" t="inlineStr">
        <x:is>
          <x:t xml:space="preserve">Development</x:t>
        </x:is>
      </x:c>
      <x:c r="G149" s="160" t="inlineStr">
        <x:is>
          <x:t xml:space="preserve">S16</x:t>
        </x:is>
      </x:c>
      <x:c r="H149" s="160" t="inlineStr">
        <x:is>
          <x:t xml:space="preserve">Concentration / Tail Risk</x:t>
        </x:is>
      </x:c>
      <x:c r="I149" s="160" t="inlineStr">
        <x:is>
          <x:t xml:space="preserve">Survival</x:t>
        </x:is>
      </x:c>
      <x:c r="J149" s="160" t="inlineStr">
        <x:is>
          <x:t xml:space="preserve">A concentrated supplier, geography, customer, product, patent, regulatory or technology dependency creates asymmetric permanent-loss risk.</x:t>
        </x:is>
      </x:c>
      <x:c r="K149" s="160" t="inlineStr">
        <x:is>
          <x:t xml:space="preserve">Wafer-fab equipment demand plus service</x:t>
        </x:is>
      </x:c>
      <x:c r="L149" s="160" t="inlineStr">
        <x:is>
          <x:t xml:space="preserve">Mid-cycle FCF</x:t>
        </x:is>
      </x:c>
      <x:c r="M149" s="160" t="inlineStr">
        <x:is>
          <x:t xml:space="preserve">WAIT FOR PRICE</x:t>
        </x:is>
      </x:c>
      <x:c r="N149" s="160" t="inlineStr">
        <x:is>
          <x:t xml:space="preserve">R-TAIL-01</x:t>
        </x:is>
      </x:c>
      <x:c r="O149" s="160" t="inlineStr">
        <x:is>
          <x:t xml:space="preserve">BASE</x:t>
        </x:is>
      </x:c>
      <x:c r="P149" s="160" t="inlineStr">
        <x:is>
          <x:t xml:space="preserve">PARTIAL CATCH</x:t>
        </x:is>
      </x:c>
      <x:c r="Q149" s="160" t="inlineStr">
        <x:is>
          <x:t xml:space="preserve">The base refinement catches the main failure, but evidence thresholds and per-share/counterfactual details remain underspecified.</x:t>
        </x:is>
      </x:c>
      <x:c r="R149" s="160" t="inlineStr">
        <x:is>
          <x:t xml:space="preserve">Maintain an explicit concentration/tail-risk register with probability, severity, mitigation and required margin-of-safety premium.</x:t>
        </x:is>
      </x:c>
      <x:c r="S149" s="160" t="inlineStr">
        <x:is>
          <x:t xml:space="preserve">NO</x:t>
        </x:is>
      </x:c>
      <x:c r="T149" s="160" t="inlineStr">
        <x:is>
          <x:t xml:space="preserve">BASE</x:t>
        </x:is>
      </x:c>
      <x:c r="U149" s="160" t="inlineStr">
        <x:is>
          <x:t xml:space="preserve">V10.5-SIM19</x:t>
        </x:is>
      </x:c>
      <x:c r="V149" s="160" t="inlineStr">
        <x:is>
          <x:t xml:space="preserve">https://ir.appliedmaterials.com</x:t>
        </x:is>
      </x:c>
      <x:c r="W149" s="160" t="inlineStr">
        <x:is>
          <x:t xml:space="preserve">NO</x:t>
        </x:is>
      </x:c>
      <x:c r="X149" s="160" t="inlineStr">
        <x:is>
          <x:t xml:space="preserve">NONE — DEVELOPMENT ONLY</x:t>
        </x:is>
      </x:c>
      <x:c r="Y149" s="160" t="inlineStr">
        <x:is>
          <x:t xml:space="preserve">Synthetic/adversarial model-development loop. No historical outcome is claimed; no accuracy point is awarded.</x:t>
        </x:is>
      </x:c>
    </x:row>
    <x:row r="150">
      <x:c r="A150" s="160" t="inlineStr">
        <x:is>
          <x:t xml:space="preserve">ML0145</x:t>
        </x:is>
      </x:c>
      <x:c r="B150" s="160" t="inlineStr">
        <x:is>
          <x:t xml:space="preserve">ARG-010</x:t>
        </x:is>
      </x:c>
      <x:c r="C150" s="160" t="inlineStr">
        <x:is>
          <x:t xml:space="preserve">Lam Research</x:t>
        </x:is>
      </x:c>
      <x:c r="D150" s="160" t="inlineStr">
        <x:is>
          <x:t xml:space="preserve">LRCX</x:t>
        </x:is>
      </x:c>
      <x:c r="E150" s="160" t="inlineStr">
        <x:is>
          <x:t xml:space="preserve">AI &amp; Semiconductors</x:t>
        </x:is>
      </x:c>
      <x:c r="F150" s="160" t="inlineStr">
        <x:is>
          <x:t xml:space="preserve">Development</x:t>
        </x:is>
      </x:c>
      <x:c r="G150" s="160" t="inlineStr">
        <x:is>
          <x:t xml:space="preserve">S01</x:t>
        </x:is>
      </x:c>
      <x:c r="H150" s="160" t="inlineStr">
        <x:is>
          <x:t xml:space="preserve">Understanding Gate</x:t>
        </x:is>
      </x:c>
      <x:c r="I150" s="160" t="inlineStr">
        <x:is>
          <x:t xml:space="preserve">Understanding</x:t>
        </x:is>
      </x:c>
      <x:c r="J150" s="160" t="inlineStr">
        <x:is>
          <x:t xml:space="preserve">Causal engine / customer ROI chain breaks under a misleading headline KPI.</x:t>
        </x:is>
      </x:c>
      <x:c r="K150" s="160" t="inlineStr">
        <x:is>
          <x:t xml:space="preserve">Memory/foundry equipment plus installed-base service</x:t>
        </x:is>
      </x:c>
      <x:c r="L150" s="160" t="inlineStr">
        <x:is>
          <x:t xml:space="preserve">Mid-cycle FCF</x:t>
        </x:is>
      </x:c>
      <x:c r="M150" s="160" t="inlineStr">
        <x:is>
          <x:t xml:space="preserve">WAIT FOR PRICE</x:t>
        </x:is>
      </x:c>
      <x:c r="N150" s="160" t="inlineStr">
        <x:is>
          <x:t xml:space="preserve">R-ENG-01</x:t>
        </x:is>
      </x:c>
      <x:c r="O150" s="160" t="inlineStr">
        <x:is>
          <x:t xml:space="preserve">BASE</x:t>
        </x:is>
      </x:c>
      <x:c r="P150" s="160" t="inlineStr">
        <x:is>
          <x:t xml:space="preserve">PARTIAL CATCH</x:t>
        </x:is>
      </x:c>
      <x:c r="Q150" s="160" t="inlineStr">
        <x:is>
          <x:t xml:space="preserve">The base refinement catches the main failure, but evidence thresholds and per-share/counterfactual details remain underspecified.</x:t>
        </x:is>
      </x:c>
      <x:c r="R150" s="160" t="inlineStr">
        <x:is>
          <x:t xml:space="preserve">Force an explicit engine tree: customer job → unit economics → revenue driver → owner-value bridge.</x:t>
        </x:is>
      </x:c>
      <x:c r="S150" s="160" t="inlineStr">
        <x:is>
          <x:t xml:space="preserve">YES — SIMULATION ONLY</x:t>
        </x:is>
      </x:c>
      <x:c r="T150" s="160" t="inlineStr">
        <x:is>
          <x:t xml:space="preserve">HARDENED</x:t>
        </x:is>
      </x:c>
      <x:c r="U150" s="160" t="inlineStr">
        <x:is>
          <x:t xml:space="preserve">V10.5-SIM20</x:t>
        </x:is>
      </x:c>
      <x:c r="V150" s="160" t="inlineStr">
        <x:is>
          <x:t xml:space="preserve">https://investor.lamresearch.com</x:t>
        </x:is>
      </x:c>
      <x:c r="W150" s="160" t="inlineStr">
        <x:is>
          <x:t xml:space="preserve">NO</x:t>
        </x:is>
      </x:c>
      <x:c r="X150" s="160" t="inlineStr">
        <x:is>
          <x:t xml:space="preserve">NONE — DEVELOPMENT ONLY</x:t>
        </x:is>
      </x:c>
      <x:c r="Y150" s="160" t="inlineStr">
        <x:is>
          <x:t xml:space="preserve">Synthetic/adversarial model-development loop. No historical outcome is claimed; no accuracy point is awarded.</x:t>
        </x:is>
      </x:c>
    </x:row>
    <x:row r="151">
      <x:c r="A151" s="160" t="inlineStr">
        <x:is>
          <x:t xml:space="preserve">ML0146</x:t>
        </x:is>
      </x:c>
      <x:c r="B151" s="160" t="inlineStr">
        <x:is>
          <x:t xml:space="preserve">ARG-010</x:t>
        </x:is>
      </x:c>
      <x:c r="C151" s="160" t="inlineStr">
        <x:is>
          <x:t xml:space="preserve">Lam Research</x:t>
        </x:is>
      </x:c>
      <x:c r="D151" s="160" t="inlineStr">
        <x:is>
          <x:t xml:space="preserve">LRCX</x:t>
        </x:is>
      </x:c>
      <x:c r="E151" s="160" t="inlineStr">
        <x:is>
          <x:t xml:space="preserve">AI &amp; Semiconductors</x:t>
        </x:is>
      </x:c>
      <x:c r="F151" s="160" t="inlineStr">
        <x:is>
          <x:t xml:space="preserve">Development</x:t>
        </x:is>
      </x:c>
      <x:c r="G151" s="160" t="inlineStr">
        <x:is>
          <x:t xml:space="preserve">S02</x:t>
        </x:is>
      </x:c>
      <x:c r="H151" s="160" t="inlineStr">
        <x:is>
          <x:t xml:space="preserve">Owner Earnings Normalization</x:t>
        </x:is>
      </x:c>
      <x:c r="I151" s="160" t="inlineStr">
        <x:is>
          <x:t xml:space="preserve">Owner Earnings</x:t>
        </x:is>
      </x:c>
      <x:c r="J151" s="160" t="inlineStr">
        <x:is>
          <x:t xml:space="preserve">Reported earnings/FCF overstates economic cash because recurring reinvestment or non-cash compensation is misclassified.</x:t>
        </x:is>
      </x:c>
      <x:c r="K151" s="160" t="inlineStr">
        <x:is>
          <x:t xml:space="preserve">Memory/foundry equipment plus installed-base service</x:t>
        </x:is>
      </x:c>
      <x:c r="L151" s="160" t="inlineStr">
        <x:is>
          <x:t xml:space="preserve">Mid-cycle FCF</x:t>
        </x:is>
      </x:c>
      <x:c r="M151" s="160" t="inlineStr">
        <x:is>
          <x:t xml:space="preserve">WAIT FOR PRICE</x:t>
        </x:is>
      </x:c>
      <x:c r="N151" s="160" t="inlineStr">
        <x:is>
          <x:t xml:space="preserve">R-OE-01</x:t>
        </x:is>
      </x:c>
      <x:c r="O151" s="160" t="inlineStr">
        <x:is>
          <x:t xml:space="preserve">BASE</x:t>
        </x:is>
      </x:c>
      <x:c r="P151" s="160" t="inlineStr">
        <x:is>
          <x:t xml:space="preserve">PARTIAL CATCH</x:t>
        </x:is>
      </x:c>
      <x:c r="Q151" s="160" t="inlineStr">
        <x:is>
          <x:t xml:space="preserve">The base refinement catches the main failure, but evidence thresholds and per-share/counterfactual details remain underspecified.</x:t>
        </x:is>
      </x:c>
      <x:c r="R151" s="160" t="inlineStr">
        <x:is>
          <x:t xml:space="preserve">Require a GAAP-to-economic-owner-cash bridge tailored to the business model.</x:t>
        </x:is>
      </x:c>
      <x:c r="S151" s="160" t="inlineStr">
        <x:is>
          <x:t xml:space="preserve">YES — SIMULATION ONLY</x:t>
        </x:is>
      </x:c>
      <x:c r="T151" s="160" t="inlineStr">
        <x:is>
          <x:t xml:space="preserve">HARDENED</x:t>
        </x:is>
      </x:c>
      <x:c r="U151" s="160" t="inlineStr">
        <x:is>
          <x:t xml:space="preserve">V10.5-SIM21</x:t>
        </x:is>
      </x:c>
      <x:c r="V151" s="160" t="inlineStr">
        <x:is>
          <x:t xml:space="preserve">https://investor.lamresearch.com</x:t>
        </x:is>
      </x:c>
      <x:c r="W151" s="160" t="inlineStr">
        <x:is>
          <x:t xml:space="preserve">NO</x:t>
        </x:is>
      </x:c>
      <x:c r="X151" s="160" t="inlineStr">
        <x:is>
          <x:t xml:space="preserve">NONE — DEVELOPMENT ONLY</x:t>
        </x:is>
      </x:c>
      <x:c r="Y151" s="160" t="inlineStr">
        <x:is>
          <x:t xml:space="preserve">Synthetic/adversarial model-development loop. No historical outcome is claimed; no accuracy point is awarded.</x:t>
        </x:is>
      </x:c>
    </x:row>
    <x:row r="152">
      <x:c r="A152" s="160" t="inlineStr">
        <x:is>
          <x:t xml:space="preserve">ML0147</x:t>
        </x:is>
      </x:c>
      <x:c r="B152" s="160" t="inlineStr">
        <x:is>
          <x:t xml:space="preserve">ARG-010</x:t>
        </x:is>
      </x:c>
      <x:c r="C152" s="160" t="inlineStr">
        <x:is>
          <x:t xml:space="preserve">Lam Research</x:t>
        </x:is>
      </x:c>
      <x:c r="D152" s="160" t="inlineStr">
        <x:is>
          <x:t xml:space="preserve">LRCX</x:t>
        </x:is>
      </x:c>
      <x:c r="E152" s="160" t="inlineStr">
        <x:is>
          <x:t xml:space="preserve">AI &amp; Semiconductors</x:t>
        </x:is>
      </x:c>
      <x:c r="F152" s="160" t="inlineStr">
        <x:is>
          <x:t xml:space="preserve">Development</x:t>
        </x:is>
      </x:c>
      <x:c r="G152" s="160" t="inlineStr">
        <x:is>
          <x:t xml:space="preserve">S03</x:t>
        </x:is>
      </x:c>
      <x:c r="H152" s="160" t="inlineStr">
        <x:is>
          <x:t xml:space="preserve">Moat Durability</x:t>
        </x:is>
      </x:c>
      <x:c r="I152" s="160" t="inlineStr">
        <x:is>
          <x:t xml:space="preserve">Moat 2036</x:t>
        </x:is>
      </x:c>
      <x:c r="J152" s="160" t="inlineStr">
        <x:is>
          <x:t xml:space="preserve">Growth continues while switching friction, pricing power or replacement difficulty quietly weakens.</x:t>
        </x:is>
      </x:c>
      <x:c r="K152" s="160" t="inlineStr">
        <x:is>
          <x:t xml:space="preserve">Memory/foundry equipment plus installed-base service</x:t>
        </x:is>
      </x:c>
      <x:c r="L152" s="160" t="inlineStr">
        <x:is>
          <x:t xml:space="preserve">Mid-cycle FCF</x:t>
        </x:is>
      </x:c>
      <x:c r="M152" s="160" t="inlineStr">
        <x:is>
          <x:t xml:space="preserve">WAIT FOR PRICE</x:t>
        </x:is>
      </x:c>
      <x:c r="N152" s="160" t="inlineStr">
        <x:is>
          <x:t xml:space="preserve">R-MOAT-01</x:t>
        </x:is>
      </x:c>
      <x:c r="O152" s="160" t="inlineStr">
        <x:is>
          <x:t xml:space="preserve">BASE</x:t>
        </x:is>
      </x:c>
      <x:c r="P152" s="160" t="inlineStr">
        <x:is>
          <x:t xml:space="preserve">PARTIAL CATCH</x:t>
        </x:is>
      </x:c>
      <x:c r="Q152" s="160" t="inlineStr">
        <x:is>
          <x:t xml:space="preserve">The base refinement catches the main failure, but evidence thresholds and per-share/counterfactual details remain underspecified.</x:t>
        </x:is>
      </x:c>
      <x:c r="R152" s="160" t="inlineStr">
        <x:is>
          <x:t xml:space="preserve">Track moat telemetry separately from growth: retention, pricing, win/loss, replacement friction, installed-base behavior.</x:t>
        </x:is>
      </x:c>
      <x:c r="S152" s="160" t="inlineStr">
        <x:is>
          <x:t xml:space="preserve">YES — SIMULATION ONLY</x:t>
        </x:is>
      </x:c>
      <x:c r="T152" s="160" t="inlineStr">
        <x:is>
          <x:t xml:space="preserve">HARDENED</x:t>
        </x:is>
      </x:c>
      <x:c r="U152" s="160" t="inlineStr">
        <x:is>
          <x:t xml:space="preserve">V10.5-SIM22</x:t>
        </x:is>
      </x:c>
      <x:c r="V152" s="160" t="inlineStr">
        <x:is>
          <x:t xml:space="preserve">https://investor.lamresearch.com</x:t>
        </x:is>
      </x:c>
      <x:c r="W152" s="160" t="inlineStr">
        <x:is>
          <x:t xml:space="preserve">NO</x:t>
        </x:is>
      </x:c>
      <x:c r="X152" s="160" t="inlineStr">
        <x:is>
          <x:t xml:space="preserve">NONE — DEVELOPMENT ONLY</x:t>
        </x:is>
      </x:c>
      <x:c r="Y152" s="160" t="inlineStr">
        <x:is>
          <x:t xml:space="preserve">Synthetic/adversarial model-development loop. No historical outcome is claimed; no accuracy point is awarded.</x:t>
        </x:is>
      </x:c>
    </x:row>
    <x:row r="153">
      <x:c r="A153" s="160" t="inlineStr">
        <x:is>
          <x:t xml:space="preserve">ML0148</x:t>
        </x:is>
      </x:c>
      <x:c r="B153" s="160" t="inlineStr">
        <x:is>
          <x:t xml:space="preserve">ARG-010</x:t>
        </x:is>
      </x:c>
      <x:c r="C153" s="160" t="inlineStr">
        <x:is>
          <x:t xml:space="preserve">Lam Research</x:t>
        </x:is>
      </x:c>
      <x:c r="D153" s="160" t="inlineStr">
        <x:is>
          <x:t xml:space="preserve">LRCX</x:t>
        </x:is>
      </x:c>
      <x:c r="E153" s="160" t="inlineStr">
        <x:is>
          <x:t xml:space="preserve">AI &amp; Semiconductors</x:t>
        </x:is>
      </x:c>
      <x:c r="F153" s="160" t="inlineStr">
        <x:is>
          <x:t xml:space="preserve">Development</x:t>
        </x:is>
      </x:c>
      <x:c r="G153" s="160" t="inlineStr">
        <x:is>
          <x:t xml:space="preserve">S04</x:t>
        </x:is>
      </x:c>
      <x:c r="H153" s="160" t="inlineStr">
        <x:is>
          <x:t xml:space="preserve">Stewardship / Capital Allocation</x:t>
        </x:is>
      </x:c>
      <x:c r="I153" s="160" t="inlineStr">
        <x:is>
          <x:t xml:space="preserve">Stewardship</x:t>
        </x:is>
      </x:c>
      <x:c r="J153" s="160" t="inlineStr">
        <x:is>
          <x:t xml:space="preserve">Management creates enterprise growth while destroying per-share value through M&amp;A, dilution, leverage or mistimed buybacks.</x:t>
        </x:is>
      </x:c>
      <x:c r="K153" s="160" t="inlineStr">
        <x:is>
          <x:t xml:space="preserve">Memory/foundry equipment plus installed-base service</x:t>
        </x:is>
      </x:c>
      <x:c r="L153" s="160" t="inlineStr">
        <x:is>
          <x:t xml:space="preserve">Mid-cycle FCF</x:t>
        </x:is>
      </x:c>
      <x:c r="M153" s="160" t="inlineStr">
        <x:is>
          <x:t xml:space="preserve">WAIT FOR PRICE</x:t>
        </x:is>
      </x:c>
      <x:c r="N153" s="160" t="inlineStr">
        <x:is>
          <x:t xml:space="preserve">R-STEW-01</x:t>
        </x:is>
      </x:c>
      <x:c r="O153" s="160" t="inlineStr">
        <x:is>
          <x:t xml:space="preserve">BASE</x:t>
        </x:is>
      </x:c>
      <x:c r="P153" s="160" t="inlineStr">
        <x:is>
          <x:t xml:space="preserve">PARTIAL CATCH</x:t>
        </x:is>
      </x:c>
      <x:c r="Q153" s="160" t="inlineStr">
        <x:is>
          <x:t xml:space="preserve">The base refinement catches the main failure, but evidence thresholds and per-share/counterfactual details remain underspecified.</x:t>
        </x:is>
      </x:c>
      <x:c r="R153" s="160" t="inlineStr">
        <x:is>
          <x:t xml:space="preserve">Evaluate capital allocation on a per-share basis using acquisition cohorts, dilution, leverage and repurchase price discipline.</x:t>
        </x:is>
      </x:c>
      <x:c r="S153" s="160" t="inlineStr">
        <x:is>
          <x:t xml:space="preserve">YES — SIMULATION ONLY</x:t>
        </x:is>
      </x:c>
      <x:c r="T153" s="160" t="inlineStr">
        <x:is>
          <x:t xml:space="preserve">HARDENED</x:t>
        </x:is>
      </x:c>
      <x:c r="U153" s="160" t="inlineStr">
        <x:is>
          <x:t xml:space="preserve">V10.5-SIM23</x:t>
        </x:is>
      </x:c>
      <x:c r="V153" s="160" t="inlineStr">
        <x:is>
          <x:t xml:space="preserve">https://investor.lamresearch.com</x:t>
        </x:is>
      </x:c>
      <x:c r="W153" s="160" t="inlineStr">
        <x:is>
          <x:t xml:space="preserve">NO</x:t>
        </x:is>
      </x:c>
      <x:c r="X153" s="160" t="inlineStr">
        <x:is>
          <x:t xml:space="preserve">NONE — DEVELOPMENT ONLY</x:t>
        </x:is>
      </x:c>
      <x:c r="Y153" s="160" t="inlineStr">
        <x:is>
          <x:t xml:space="preserve">Synthetic/adversarial model-development loop. No historical outcome is claimed; no accuracy point is awarded.</x:t>
        </x:is>
      </x:c>
    </x:row>
    <x:row r="154">
      <x:c r="A154" s="160" t="inlineStr">
        <x:is>
          <x:t xml:space="preserve">ML0149</x:t>
        </x:is>
      </x:c>
      <x:c r="B154" s="160" t="inlineStr">
        <x:is>
          <x:t xml:space="preserve">ARG-010</x:t>
        </x:is>
      </x:c>
      <x:c r="C154" s="160" t="inlineStr">
        <x:is>
          <x:t xml:space="preserve">Lam Research</x:t>
        </x:is>
      </x:c>
      <x:c r="D154" s="160" t="inlineStr">
        <x:is>
          <x:t xml:space="preserve">LRCX</x:t>
        </x:is>
      </x:c>
      <x:c r="E154" s="160" t="inlineStr">
        <x:is>
          <x:t xml:space="preserve">AI &amp; Semiconductors</x:t>
        </x:is>
      </x:c>
      <x:c r="F154" s="160" t="inlineStr">
        <x:is>
          <x:t xml:space="preserve">Development</x:t>
        </x:is>
      </x:c>
      <x:c r="G154" s="160" t="inlineStr">
        <x:is>
          <x:t xml:space="preserve">S05</x:t>
        </x:is>
      </x:c>
      <x:c r="H154" s="160" t="inlineStr">
        <x:is>
          <x:t xml:space="preserve">Survival / Funding</x:t>
        </x:is>
      </x:c>
      <x:c r="I154" s="160" t="inlineStr">
        <x:is>
          <x:t xml:space="preserve">Survival</x:t>
        </x:is>
      </x:c>
      <x:c r="J154" s="160" t="inlineStr">
        <x:is>
          <x:t xml:space="preserve">A plausible bear case exposes refinancing, liquidity, covenant, reserve, regulatory or operational fragility.</x:t>
        </x:is>
      </x:c>
      <x:c r="K154" s="160" t="inlineStr">
        <x:is>
          <x:t xml:space="preserve">Memory/foundry equipment plus installed-base service</x:t>
        </x:is>
      </x:c>
      <x:c r="L154" s="160" t="inlineStr">
        <x:is>
          <x:t xml:space="preserve">Mid-cycle FCF</x:t>
        </x:is>
      </x:c>
      <x:c r="M154" s="160" t="inlineStr">
        <x:is>
          <x:t xml:space="preserve">WAIT FOR PRICE</x:t>
        </x:is>
      </x:c>
      <x:c r="N154" s="160" t="inlineStr">
        <x:is>
          <x:t xml:space="preserve">R-SURV-01</x:t>
        </x:is>
      </x:c>
      <x:c r="O154" s="160" t="inlineStr">
        <x:is>
          <x:t xml:space="preserve">BASE</x:t>
        </x:is>
      </x:c>
      <x:c r="P154" s="160" t="inlineStr">
        <x:is>
          <x:t xml:space="preserve">PARTIAL CATCH</x:t>
        </x:is>
      </x:c>
      <x:c r="Q154" s="160" t="inlineStr">
        <x:is>
          <x:t xml:space="preserve">The base refinement catches the main failure, but evidence thresholds and per-share/counterfactual details remain underspecified.</x:t>
        </x:is>
      </x:c>
      <x:c r="R154" s="160" t="inlineStr">
        <x:is>
          <x:t xml:space="preserve">Run a company-specific survival bridge under a severe-but-plausible bear case before any upside underwriting.</x:t>
        </x:is>
      </x:c>
      <x:c r="S154" s="160" t="inlineStr">
        <x:is>
          <x:t xml:space="preserve">YES — SIMULATION ONLY</x:t>
        </x:is>
      </x:c>
      <x:c r="T154" s="160" t="inlineStr">
        <x:is>
          <x:t xml:space="preserve">HARDENED</x:t>
        </x:is>
      </x:c>
      <x:c r="U154" s="160" t="inlineStr">
        <x:is>
          <x:t xml:space="preserve">V10.5-SIM24</x:t>
        </x:is>
      </x:c>
      <x:c r="V154" s="160" t="inlineStr">
        <x:is>
          <x:t xml:space="preserve">https://investor.lamresearch.com</x:t>
        </x:is>
      </x:c>
      <x:c r="W154" s="160" t="inlineStr">
        <x:is>
          <x:t xml:space="preserve">NO</x:t>
        </x:is>
      </x:c>
      <x:c r="X154" s="160" t="inlineStr">
        <x:is>
          <x:t xml:space="preserve">NONE — DEVELOPMENT ONLY</x:t>
        </x:is>
      </x:c>
      <x:c r="Y154" s="160" t="inlineStr">
        <x:is>
          <x:t xml:space="preserve">Synthetic/adversarial model-development loop. No historical outcome is claimed; no accuracy point is awarded.</x:t>
        </x:is>
      </x:c>
    </x:row>
    <x:row r="155">
      <x:c r="A155" s="160" t="inlineStr">
        <x:is>
          <x:t xml:space="preserve">ML0150</x:t>
        </x:is>
      </x:c>
      <x:c r="B155" s="160" t="inlineStr">
        <x:is>
          <x:t xml:space="preserve">ARG-010</x:t>
        </x:is>
      </x:c>
      <x:c r="C155" s="160" t="inlineStr">
        <x:is>
          <x:t xml:space="preserve">Lam Research</x:t>
        </x:is>
      </x:c>
      <x:c r="D155" s="160" t="inlineStr">
        <x:is>
          <x:t xml:space="preserve">LRCX</x:t>
        </x:is>
      </x:c>
      <x:c r="E155" s="160" t="inlineStr">
        <x:is>
          <x:t xml:space="preserve">AI &amp; Semiconductors</x:t>
        </x:is>
      </x:c>
      <x:c r="F155" s="160" t="inlineStr">
        <x:is>
          <x:t xml:space="preserve">Development</x:t>
        </x:is>
      </x:c>
      <x:c r="G155" s="160" t="inlineStr">
        <x:is>
          <x:t xml:space="preserve">S06</x:t>
        </x:is>
      </x:c>
      <x:c r="H155" s="160" t="inlineStr">
        <x:is>
          <x:t xml:space="preserve">Margin of Safety</x:t>
        </x:is>
      </x:c>
      <x:c r="I155" s="160" t="inlineStr">
        <x:is>
          <x:t xml:space="preserve">Margin of Safety</x:t>
        </x:is>
      </x:c>
      <x:c r="J155" s="160" t="inlineStr">
        <x:is>
          <x:t xml:space="preserve">Business quality is high but the price embeds a fragile bull case.</x:t>
        </x:is>
      </x:c>
      <x:c r="K155" s="160" t="inlineStr">
        <x:is>
          <x:t xml:space="preserve">Memory/foundry equipment plus installed-base service</x:t>
        </x:is>
      </x:c>
      <x:c r="L155" s="160" t="inlineStr">
        <x:is>
          <x:t xml:space="preserve">Mid-cycle FCF</x:t>
        </x:is>
      </x:c>
      <x:c r="M155" s="160" t="inlineStr">
        <x:is>
          <x:t xml:space="preserve">WAIT FOR PRICE</x:t>
        </x:is>
      </x:c>
      <x:c r="N155" s="160" t="inlineStr">
        <x:is>
          <x:t xml:space="preserve">R-MOS-01</x:t>
        </x:is>
      </x:c>
      <x:c r="O155" s="160" t="inlineStr">
        <x:is>
          <x:t xml:space="preserve">BASE</x:t>
        </x:is>
      </x:c>
      <x:c r="P155" s="160" t="inlineStr">
        <x:is>
          <x:t xml:space="preserve">PARTIAL CATCH</x:t>
        </x:is>
      </x:c>
      <x:c r="Q155" s="160" t="inlineStr">
        <x:is>
          <x:t xml:space="preserve">The base refinement catches the main failure, but evidence thresholds and per-share/counterfactual details remain underspecified.</x:t>
        </x:is>
      </x:c>
      <x:c r="R155" s="160" t="inlineStr">
        <x:is>
          <x:t xml:space="preserve">Separate business-quality score from price decision; require reverse valuation and bear/base/bull IV ranges.</x:t>
        </x:is>
      </x:c>
      <x:c r="S155" s="160" t="inlineStr">
        <x:is>
          <x:t xml:space="preserve">YES — SIMULATION ONLY</x:t>
        </x:is>
      </x:c>
      <x:c r="T155" s="160" t="inlineStr">
        <x:is>
          <x:t xml:space="preserve">HARDENED</x:t>
        </x:is>
      </x:c>
      <x:c r="U155" s="160" t="inlineStr">
        <x:is>
          <x:t xml:space="preserve">V10.5-SIM25</x:t>
        </x:is>
      </x:c>
      <x:c r="V155" s="160" t="inlineStr">
        <x:is>
          <x:t xml:space="preserve">https://investor.lamresearch.com</x:t>
        </x:is>
      </x:c>
      <x:c r="W155" s="160" t="inlineStr">
        <x:is>
          <x:t xml:space="preserve">NO</x:t>
        </x:is>
      </x:c>
      <x:c r="X155" s="160" t="inlineStr">
        <x:is>
          <x:t xml:space="preserve">NONE — DEVELOPMENT ONLY</x:t>
        </x:is>
      </x:c>
      <x:c r="Y155" s="160" t="inlineStr">
        <x:is>
          <x:t xml:space="preserve">Synthetic/adversarial model-development loop. No historical outcome is claimed; no accuracy point is awarded.</x:t>
        </x:is>
      </x:c>
    </x:row>
    <x:row r="156">
      <x:c r="A156" s="160" t="inlineStr">
        <x:is>
          <x:t xml:space="preserve">ML0151</x:t>
        </x:is>
      </x:c>
      <x:c r="B156" s="160" t="inlineStr">
        <x:is>
          <x:t xml:space="preserve">ARG-010</x:t>
        </x:is>
      </x:c>
      <x:c r="C156" s="160" t="inlineStr">
        <x:is>
          <x:t xml:space="preserve">Lam Research</x:t>
        </x:is>
      </x:c>
      <x:c r="D156" s="160" t="inlineStr">
        <x:is>
          <x:t xml:space="preserve">LRCX</x:t>
        </x:is>
      </x:c>
      <x:c r="E156" s="160" t="inlineStr">
        <x:is>
          <x:t xml:space="preserve">AI &amp; Semiconductors</x:t>
        </x:is>
      </x:c>
      <x:c r="F156" s="160" t="inlineStr">
        <x:is>
          <x:t xml:space="preserve">Development</x:t>
        </x:is>
      </x:c>
      <x:c r="G156" s="160" t="inlineStr">
        <x:is>
          <x:t xml:space="preserve">S07</x:t>
        </x:is>
      </x:c>
      <x:c r="H156" s="160" t="inlineStr">
        <x:is>
          <x:t xml:space="preserve">Sector Shock</x:t>
        </x:is>
      </x:c>
      <x:c r="I156" s="160" t="inlineStr">
        <x:is>
          <x:t xml:space="preserve">Sector-specific</x:t>
        </x:is>
      </x:c>
      <x:c r="J156" s="160" t="inlineStr">
        <x:is>
          <x:t xml:space="preserve">AI demand remains strong but capex intensity, customer concentration, inventory/cycle risk or export/geopolitical constraints hit normalized returns.</x:t>
        </x:is>
      </x:c>
      <x:c r="K156" s="160" t="inlineStr">
        <x:is>
          <x:t xml:space="preserve">Memory/foundry equipment plus installed-base service</x:t>
        </x:is>
      </x:c>
      <x:c r="L156" s="160" t="inlineStr">
        <x:is>
          <x:t xml:space="preserve">Mid-cycle FCF</x:t>
        </x:is>
      </x:c>
      <x:c r="M156" s="160" t="inlineStr">
        <x:is>
          <x:t xml:space="preserve">WAIT FOR PRICE</x:t>
        </x:is>
      </x:c>
      <x:c r="N156" s="160" t="inlineStr">
        <x:is>
          <x:t xml:space="preserve">R-SECTOR-AI-SEMICONDUCTORS</x:t>
        </x:is>
      </x:c>
      <x:c r="O156" s="160" t="inlineStr">
        <x:is>
          <x:t xml:space="preserve">HARDENED</x:t>
        </x:is>
      </x:c>
      <x:c r="P156" s="160" t="inlineStr">
        <x:is>
          <x:t xml:space="preserve">ROBUST WITH RESIDUAL</x:t>
        </x:is>
      </x:c>
      <x:c r="Q156" s="160" t="inlineStr">
        <x:is>
          <x:t xml:space="preserve">The hardened rule catches the stress. Residual risk is mainly evidence quality, threshold calibration or interaction with another gate.</x:t>
        </x:is>
      </x:c>
      <x:c r="R156"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156" s="160" t="inlineStr">
        <x:is>
          <x:t xml:space="preserve">YES — SIMULATION ONLY</x:t>
        </x:is>
      </x:c>
      <x:c r="T156" s="160" t="inlineStr">
        <x:is>
          <x:t xml:space="preserve">COUNTER-EVIDENCE</x:t>
        </x:is>
      </x:c>
      <x:c r="U156" s="160" t="inlineStr">
        <x:is>
          <x:t xml:space="preserve">V10.5-SIM26</x:t>
        </x:is>
      </x:c>
      <x:c r="V156" s="160" t="inlineStr">
        <x:is>
          <x:t xml:space="preserve">https://investor.lamresearch.com</x:t>
        </x:is>
      </x:c>
      <x:c r="W156" s="160" t="inlineStr">
        <x:is>
          <x:t xml:space="preserve">NO</x:t>
        </x:is>
      </x:c>
      <x:c r="X156" s="160" t="inlineStr">
        <x:is>
          <x:t xml:space="preserve">NONE — DEVELOPMENT ONLY</x:t>
        </x:is>
      </x:c>
      <x:c r="Y156" s="160" t="inlineStr">
        <x:is>
          <x:t xml:space="preserve">Synthetic/adversarial model-development loop. No historical outcome is claimed; no accuracy point is awarded.</x:t>
        </x:is>
      </x:c>
    </x:row>
    <x:row r="157">
      <x:c r="A157" s="160" t="inlineStr">
        <x:is>
          <x:t xml:space="preserve">ML0152</x:t>
        </x:is>
      </x:c>
      <x:c r="B157" s="160" t="inlineStr">
        <x:is>
          <x:t xml:space="preserve">ARG-010</x:t>
        </x:is>
      </x:c>
      <x:c r="C157" s="160" t="inlineStr">
        <x:is>
          <x:t xml:space="preserve">Lam Research</x:t>
        </x:is>
      </x:c>
      <x:c r="D157" s="160" t="inlineStr">
        <x:is>
          <x:t xml:space="preserve">LRCX</x:t>
        </x:is>
      </x:c>
      <x:c r="E157" s="160" t="inlineStr">
        <x:is>
          <x:t xml:space="preserve">AI &amp; Semiconductors</x:t>
        </x:is>
      </x:c>
      <x:c r="F157" s="160" t="inlineStr">
        <x:is>
          <x:t xml:space="preserve">Development</x:t>
        </x:is>
      </x:c>
      <x:c r="G157" s="160" t="inlineStr">
        <x:is>
          <x:t xml:space="preserve">S08</x:t>
        </x:is>
      </x:c>
      <x:c r="H157" s="160" t="inlineStr">
        <x:is>
          <x:t xml:space="preserve">Management Promise Reliability</x:t>
        </x:is>
      </x:c>
      <x:c r="I157" s="160" t="inlineStr">
        <x:is>
          <x:t xml:space="preserve">Management over-trust</x:t>
        </x:is>
      </x:c>
      <x:c r="J157" s="160" t="inlineStr">
        <x:is>
          <x:t xml:space="preserve">Guidance or strategic promises are repeated but the model lacks a contemporaneous reliability score.</x:t>
        </x:is>
      </x:c>
      <x:c r="K157" s="160" t="inlineStr">
        <x:is>
          <x:t xml:space="preserve">Memory/foundry equipment plus installed-base service</x:t>
        </x:is>
      </x:c>
      <x:c r="L157" s="160" t="inlineStr">
        <x:is>
          <x:t xml:space="preserve">Mid-cycle FCF</x:t>
        </x:is>
      </x:c>
      <x:c r="M157" s="160" t="inlineStr">
        <x:is>
          <x:t xml:space="preserve">WAIT FOR PRICE</x:t>
        </x:is>
      </x:c>
      <x:c r="N157" s="160" t="inlineStr">
        <x:is>
          <x:t xml:space="preserve">R-PROM-01</x:t>
        </x:is>
      </x:c>
      <x:c r="O157" s="160" t="inlineStr">
        <x:is>
          <x:t xml:space="preserve">BASE</x:t>
        </x:is>
      </x:c>
      <x:c r="P157" s="160" t="inlineStr">
        <x:is>
          <x:t xml:space="preserve">PARTIAL CATCH</x:t>
        </x:is>
      </x:c>
      <x:c r="Q157" s="160" t="inlineStr">
        <x:is>
          <x:t xml:space="preserve">The base refinement catches the main failure, but evidence thresholds and per-share/counterfactual details remain underspecified.</x:t>
        </x:is>
      </x:c>
      <x:c r="R157" s="160" t="inlineStr">
        <x:is>
          <x:t xml:space="preserve">Use a promises ledger with dated promise, measurable deliverable, due date, outcome and credibility weight.</x:t>
        </x:is>
      </x:c>
      <x:c r="S157" s="160" t="inlineStr">
        <x:is>
          <x:t xml:space="preserve">YES — SIMULATION ONLY</x:t>
        </x:is>
      </x:c>
      <x:c r="T157" s="160" t="inlineStr">
        <x:is>
          <x:t xml:space="preserve">HARDENED</x:t>
        </x:is>
      </x:c>
      <x:c r="U157" s="160" t="inlineStr">
        <x:is>
          <x:t xml:space="preserve">V10.5-SIM27</x:t>
        </x:is>
      </x:c>
      <x:c r="V157" s="160" t="inlineStr">
        <x:is>
          <x:t xml:space="preserve">https://investor.lamresearch.com</x:t>
        </x:is>
      </x:c>
      <x:c r="W157" s="160" t="inlineStr">
        <x:is>
          <x:t xml:space="preserve">NO</x:t>
        </x:is>
      </x:c>
      <x:c r="X157" s="160" t="inlineStr">
        <x:is>
          <x:t xml:space="preserve">NONE — DEVELOPMENT ONLY</x:t>
        </x:is>
      </x:c>
      <x:c r="Y157" s="160" t="inlineStr">
        <x:is>
          <x:t xml:space="preserve">Synthetic/adversarial model-development loop. No historical outcome is claimed; no accuracy point is awarded.</x:t>
        </x:is>
      </x:c>
    </x:row>
    <x:row r="158">
      <x:c r="A158" s="160" t="inlineStr">
        <x:is>
          <x:t xml:space="preserve">ML0153</x:t>
        </x:is>
      </x:c>
      <x:c r="B158" s="160" t="inlineStr">
        <x:is>
          <x:t xml:space="preserve">ARG-010</x:t>
        </x:is>
      </x:c>
      <x:c r="C158" s="160" t="inlineStr">
        <x:is>
          <x:t xml:space="preserve">Lam Research</x:t>
        </x:is>
      </x:c>
      <x:c r="D158" s="160" t="inlineStr">
        <x:is>
          <x:t xml:space="preserve">LRCX</x:t>
        </x:is>
      </x:c>
      <x:c r="E158" s="160" t="inlineStr">
        <x:is>
          <x:t xml:space="preserve">AI &amp; Semiconductors</x:t>
        </x:is>
      </x:c>
      <x:c r="F158" s="160" t="inlineStr">
        <x:is>
          <x:t xml:space="preserve">Development</x:t>
        </x:is>
      </x:c>
      <x:c r="G158" s="160" t="inlineStr">
        <x:is>
          <x:t xml:space="preserve">S09</x:t>
        </x:is>
      </x:c>
      <x:c r="H158" s="160" t="inlineStr">
        <x:is>
          <x:t xml:space="preserve">Data / Accounting Quality</x:t>
        </x:is>
      </x:c>
      <x:c r="I158" s="160" t="inlineStr">
        <x:is>
          <x:t xml:space="preserve">Data quality</x:t>
        </x:is>
      </x:c>
      <x:c r="J158" s="160" t="inlineStr">
        <x:is>
          <x:t xml:space="preserve">Restatement, segment reclassification, one-time item or non-economic fair-value movement distorts the apparent trend.</x:t>
        </x:is>
      </x:c>
      <x:c r="K158" s="160" t="inlineStr">
        <x:is>
          <x:t xml:space="preserve">Memory/foundry equipment plus installed-base service</x:t>
        </x:is>
      </x:c>
      <x:c r="L158" s="160" t="inlineStr">
        <x:is>
          <x:t xml:space="preserve">Mid-cycle FCF</x:t>
        </x:is>
      </x:c>
      <x:c r="M158" s="160" t="inlineStr">
        <x:is>
          <x:t xml:space="preserve">WAIT FOR PRICE</x:t>
        </x:is>
      </x:c>
      <x:c r="N158" s="160" t="inlineStr">
        <x:is>
          <x:t xml:space="preserve">R-DATA-01</x:t>
        </x:is>
      </x:c>
      <x:c r="O158" s="160" t="inlineStr">
        <x:is>
          <x:t xml:space="preserve">BASE</x:t>
        </x:is>
      </x:c>
      <x:c r="P158" s="160" t="inlineStr">
        <x:is>
          <x:t xml:space="preserve">PARTIAL CATCH</x:t>
        </x:is>
      </x:c>
      <x:c r="Q158" s="160" t="inlineStr">
        <x:is>
          <x:t xml:space="preserve">The base refinement catches the main failure, but evidence thresholds and per-share/counterfactual details remain underspecified.</x:t>
        </x:is>
      </x:c>
      <x:c r="R158" s="160" t="inlineStr">
        <x:is>
          <x:t xml:space="preserve">Add a reporting-quality bridge and normalize accounting noise before any gate can pass.</x:t>
        </x:is>
      </x:c>
      <x:c r="S158" s="160" t="inlineStr">
        <x:is>
          <x:t xml:space="preserve">YES — SIMULATION ONLY</x:t>
        </x:is>
      </x:c>
      <x:c r="T158" s="160" t="inlineStr">
        <x:is>
          <x:t xml:space="preserve">HARDENED</x:t>
        </x:is>
      </x:c>
      <x:c r="U158" s="160" t="inlineStr">
        <x:is>
          <x:t xml:space="preserve">V10.5-SIM28</x:t>
        </x:is>
      </x:c>
      <x:c r="V158" s="160" t="inlineStr">
        <x:is>
          <x:t xml:space="preserve">https://investor.lamresearch.com</x:t>
        </x:is>
      </x:c>
      <x:c r="W158" s="160" t="inlineStr">
        <x:is>
          <x:t xml:space="preserve">NO</x:t>
        </x:is>
      </x:c>
      <x:c r="X158" s="160" t="inlineStr">
        <x:is>
          <x:t xml:space="preserve">NONE — DEVELOPMENT ONLY</x:t>
        </x:is>
      </x:c>
      <x:c r="Y158" s="160" t="inlineStr">
        <x:is>
          <x:t xml:space="preserve">Synthetic/adversarial model-development loop. No historical outcome is claimed; no accuracy point is awarded.</x:t>
        </x:is>
      </x:c>
    </x:row>
    <x:row r="159">
      <x:c r="A159" s="160" t="inlineStr">
        <x:is>
          <x:t xml:space="preserve">ML0154</x:t>
        </x:is>
      </x:c>
      <x:c r="B159" s="160" t="inlineStr">
        <x:is>
          <x:t xml:space="preserve">ARG-010</x:t>
        </x:is>
      </x:c>
      <x:c r="C159" s="160" t="inlineStr">
        <x:is>
          <x:t xml:space="preserve">Lam Research</x:t>
        </x:is>
      </x:c>
      <x:c r="D159" s="160" t="inlineStr">
        <x:is>
          <x:t xml:space="preserve">LRCX</x:t>
        </x:is>
      </x:c>
      <x:c r="E159" s="160" t="inlineStr">
        <x:is>
          <x:t xml:space="preserve">AI &amp; Semiconductors</x:t>
        </x:is>
      </x:c>
      <x:c r="F159" s="160" t="inlineStr">
        <x:is>
          <x:t xml:space="preserve">Development</x:t>
        </x:is>
      </x:c>
      <x:c r="G159" s="160" t="inlineStr">
        <x:is>
          <x:t xml:space="preserve">S10</x:t>
        </x:is>
      </x:c>
      <x:c r="H159" s="160" t="inlineStr">
        <x:is>
          <x:t xml:space="preserve">Control / Counterfactual</x:t>
        </x:is>
      </x:c>
      <x:c r="I159" s="160" t="inlineStr">
        <x:is>
          <x:t xml:space="preserve">Sector beta vs company alpha</x:t>
        </x:is>
      </x:c>
      <x:c r="J159" s="160" t="inlineStr">
        <x:is>
          <x:t xml:space="preserve">A positive outcome is mostly sector beta or macro tailwind, not company-specific alpha.</x:t>
        </x:is>
      </x:c>
      <x:c r="K159" s="160" t="inlineStr">
        <x:is>
          <x:t xml:space="preserve">Memory/foundry equipment plus installed-base service</x:t>
        </x:is>
      </x:c>
      <x:c r="L159" s="160" t="inlineStr">
        <x:is>
          <x:t xml:space="preserve">Mid-cycle FCF</x:t>
        </x:is>
      </x:c>
      <x:c r="M159" s="160" t="inlineStr">
        <x:is>
          <x:t xml:space="preserve">WAIT FOR PRICE</x:t>
        </x:is>
      </x:c>
      <x:c r="N159" s="160" t="inlineStr">
        <x:is>
          <x:t xml:space="preserve">R-CF-01</x:t>
        </x:is>
      </x:c>
      <x:c r="O159" s="160" t="inlineStr">
        <x:is>
          <x:t xml:space="preserve">BASE</x:t>
        </x:is>
      </x:c>
      <x:c r="P159" s="160" t="inlineStr">
        <x:is>
          <x:t xml:space="preserve">PARTIAL CATCH</x:t>
        </x:is>
      </x:c>
      <x:c r="Q159" s="160" t="inlineStr">
        <x:is>
          <x:t xml:space="preserve">The base refinement catches the main failure, but evidence thresholds and per-share/counterfactual details remain underspecified.</x:t>
        </x:is>
      </x:c>
      <x:c r="R159" s="160" t="inlineStr">
        <x:is>
          <x:t xml:space="preserve">Require a true economic control and counterfactual: what should have happened to a comparable company under the same shock?</x:t>
        </x:is>
      </x:c>
      <x:c r="S159" s="160" t="inlineStr">
        <x:is>
          <x:t xml:space="preserve">YES — SIMULATION ONLY</x:t>
        </x:is>
      </x:c>
      <x:c r="T159" s="160" t="inlineStr">
        <x:is>
          <x:t xml:space="preserve">HARDENED</x:t>
        </x:is>
      </x:c>
      <x:c r="U159" s="160" t="inlineStr">
        <x:is>
          <x:t xml:space="preserve">V10.5-SIM29</x:t>
        </x:is>
      </x:c>
      <x:c r="V159" s="160" t="inlineStr">
        <x:is>
          <x:t xml:space="preserve">https://investor.lamresearch.com</x:t>
        </x:is>
      </x:c>
      <x:c r="W159" s="160" t="inlineStr">
        <x:is>
          <x:t xml:space="preserve">NO</x:t>
        </x:is>
      </x:c>
      <x:c r="X159" s="160" t="inlineStr">
        <x:is>
          <x:t xml:space="preserve">NONE — DEVELOPMENT ONLY</x:t>
        </x:is>
      </x:c>
      <x:c r="Y159" s="160" t="inlineStr">
        <x:is>
          <x:t xml:space="preserve">Synthetic/adversarial model-development loop. No historical outcome is claimed; no accuracy point is awarded.</x:t>
        </x:is>
      </x:c>
    </x:row>
    <x:row r="160">
      <x:c r="A160" s="160" t="inlineStr">
        <x:is>
          <x:t xml:space="preserve">ML0155</x:t>
        </x:is>
      </x:c>
      <x:c r="B160" s="160" t="inlineStr">
        <x:is>
          <x:t xml:space="preserve">ARG-010</x:t>
        </x:is>
      </x:c>
      <x:c r="C160" s="160" t="inlineStr">
        <x:is>
          <x:t xml:space="preserve">Lam Research</x:t>
        </x:is>
      </x:c>
      <x:c r="D160" s="160" t="inlineStr">
        <x:is>
          <x:t xml:space="preserve">LRCX</x:t>
        </x:is>
      </x:c>
      <x:c r="E160" s="160" t="inlineStr">
        <x:is>
          <x:t xml:space="preserve">AI &amp; Semiconductors</x:t>
        </x:is>
      </x:c>
      <x:c r="F160" s="160" t="inlineStr">
        <x:is>
          <x:t xml:space="preserve">Development</x:t>
        </x:is>
      </x:c>
      <x:c r="G160" s="160" t="inlineStr">
        <x:is>
          <x:t xml:space="preserve">S11</x:t>
        </x:is>
      </x:c>
      <x:c r="H160" s="160" t="inlineStr">
        <x:is>
          <x:t xml:space="preserve">False-Negative Discipline</x:t>
        </x:is>
      </x:c>
      <x:c r="I160" s="160" t="inlineStr">
        <x:is>
          <x:t xml:space="preserve">False negative</x:t>
        </x:is>
      </x:c>
      <x:c r="J160" s="160" t="inlineStr">
        <x:is>
          <x:t xml:space="preserve">A strict gate rejects a company that later compounds strongly for reasons the model could have known.</x:t>
        </x:is>
      </x:c>
      <x:c r="K160" s="160" t="inlineStr">
        <x:is>
          <x:t xml:space="preserve">Memory/foundry equipment plus installed-base service</x:t>
        </x:is>
      </x:c>
      <x:c r="L160" s="160" t="inlineStr">
        <x:is>
          <x:t xml:space="preserve">Mid-cycle FCF</x:t>
        </x:is>
      </x:c>
      <x:c r="M160" s="160" t="inlineStr">
        <x:is>
          <x:t xml:space="preserve">WAIT FOR PRICE</x:t>
        </x:is>
      </x:c>
      <x:c r="N160" s="160" t="inlineStr">
        <x:is>
          <x:t xml:space="preserve">R-FN-01</x:t>
        </x:is>
      </x:c>
      <x:c r="O160" s="160" t="inlineStr">
        <x:is>
          <x:t xml:space="preserve">BASE</x:t>
        </x:is>
      </x:c>
      <x:c r="P160" s="160" t="inlineStr">
        <x:is>
          <x:t xml:space="preserve">PARTIAL CATCH</x:t>
        </x:is>
      </x:c>
      <x:c r="Q160" s="160" t="inlineStr">
        <x:is>
          <x:t xml:space="preserve">The base refinement catches the main failure, but evidence thresholds and per-share/counterfactual details remain underspecified.</x:t>
        </x:is>
      </x:c>
      <x:c r="R160" s="160" t="inlineStr">
        <x:is>
          <x:t xml:space="preserve">Track opportunity cost and classify whether the miss came from evidence timing, wrong threshold or genuinely unknowable upside.</x:t>
        </x:is>
      </x:c>
      <x:c r="S160" s="160" t="inlineStr">
        <x:is>
          <x:t xml:space="preserve">YES — SIMULATION ONLY</x:t>
        </x:is>
      </x:c>
      <x:c r="T160" s="160" t="inlineStr">
        <x:is>
          <x:t xml:space="preserve">HARDENED</x:t>
        </x:is>
      </x:c>
      <x:c r="U160" s="160" t="inlineStr">
        <x:is>
          <x:t xml:space="preserve">V10.5-SIM30</x:t>
        </x:is>
      </x:c>
      <x:c r="V160" s="160" t="inlineStr">
        <x:is>
          <x:t xml:space="preserve">https://investor.lamresearch.com</x:t>
        </x:is>
      </x:c>
      <x:c r="W160" s="160" t="inlineStr">
        <x:is>
          <x:t xml:space="preserve">NO</x:t>
        </x:is>
      </x:c>
      <x:c r="X160" s="160" t="inlineStr">
        <x:is>
          <x:t xml:space="preserve">NONE — DEVELOPMENT ONLY</x:t>
        </x:is>
      </x:c>
      <x:c r="Y160" s="160" t="inlineStr">
        <x:is>
          <x:t xml:space="preserve">Synthetic/adversarial model-development loop. No historical outcome is claimed; no accuracy point is awarded.</x:t>
        </x:is>
      </x:c>
    </x:row>
    <x:row r="161">
      <x:c r="A161" s="160" t="inlineStr">
        <x:is>
          <x:t xml:space="preserve">ML0156</x:t>
        </x:is>
      </x:c>
      <x:c r="B161" s="160" t="inlineStr">
        <x:is>
          <x:t xml:space="preserve">ARG-010</x:t>
        </x:is>
      </x:c>
      <x:c r="C161" s="160" t="inlineStr">
        <x:is>
          <x:t xml:space="preserve">Lam Research</x:t>
        </x:is>
      </x:c>
      <x:c r="D161" s="160" t="inlineStr">
        <x:is>
          <x:t xml:space="preserve">LRCX</x:t>
        </x:is>
      </x:c>
      <x:c r="E161" s="160" t="inlineStr">
        <x:is>
          <x:t xml:space="preserve">AI &amp; Semiconductors</x:t>
        </x:is>
      </x:c>
      <x:c r="F161" s="160" t="inlineStr">
        <x:is>
          <x:t xml:space="preserve">Development</x:t>
        </x:is>
      </x:c>
      <x:c r="G161" s="160" t="inlineStr">
        <x:is>
          <x:t xml:space="preserve">S12</x:t>
        </x:is>
      </x:c>
      <x:c r="H161" s="160" t="inlineStr">
        <x:is>
          <x:t xml:space="preserve">Lead-Time / Early Sensor</x:t>
        </x:is>
      </x:c>
      <x:c r="I161" s="160" t="inlineStr">
        <x:is>
          <x:t xml:space="preserve">Timing / lead-time</x:t>
        </x:is>
      </x:c>
      <x:c r="J161" s="160" t="inlineStr">
        <x:is>
          <x:t xml:space="preserve">ARGUS identifies the change correctly but only after consensus and price have already reacted.</x:t>
        </x:is>
      </x:c>
      <x:c r="K161" s="160" t="inlineStr">
        <x:is>
          <x:t xml:space="preserve">Memory/foundry equipment plus installed-base service</x:t>
        </x:is>
      </x:c>
      <x:c r="L161" s="160" t="inlineStr">
        <x:is>
          <x:t xml:space="preserve">Mid-cycle FCF</x:t>
        </x:is>
      </x:c>
      <x:c r="M161" s="160" t="inlineStr">
        <x:is>
          <x:t xml:space="preserve">WAIT FOR PRICE</x:t>
        </x:is>
      </x:c>
      <x:c r="N161" s="160" t="inlineStr">
        <x:is>
          <x:t xml:space="preserve">R-TIME-01</x:t>
        </x:is>
      </x:c>
      <x:c r="O161" s="160" t="inlineStr">
        <x:is>
          <x:t xml:space="preserve">BASE</x:t>
        </x:is>
      </x:c>
      <x:c r="P161" s="160" t="inlineStr">
        <x:is>
          <x:t xml:space="preserve">PARTIAL CATCH</x:t>
        </x:is>
      </x:c>
      <x:c r="Q161" s="160" t="inlineStr">
        <x:is>
          <x:t xml:space="preserve">The base refinement catches the main failure, but evidence thresholds and per-share/counterfactual details remain underspecified.</x:t>
        </x:is>
      </x:c>
      <x:c r="R161" s="160" t="inlineStr">
        <x:is>
          <x:t xml:space="preserve">Replace lagging financial metrics with earlier causal operating sensors and record lead time separately from correctness.</x:t>
        </x:is>
      </x:c>
      <x:c r="S161" s="160" t="inlineStr">
        <x:is>
          <x:t xml:space="preserve">YES — SIMULATION ONLY</x:t>
        </x:is>
      </x:c>
      <x:c r="T161" s="160" t="inlineStr">
        <x:is>
          <x:t xml:space="preserve">HARDENED</x:t>
        </x:is>
      </x:c>
      <x:c r="U161" s="160" t="inlineStr">
        <x:is>
          <x:t xml:space="preserve">V10.5-SIM31</x:t>
        </x:is>
      </x:c>
      <x:c r="V161" s="160" t="inlineStr">
        <x:is>
          <x:t xml:space="preserve">https://investor.lamresearch.com</x:t>
        </x:is>
      </x:c>
      <x:c r="W161" s="160" t="inlineStr">
        <x:is>
          <x:t xml:space="preserve">NO</x:t>
        </x:is>
      </x:c>
      <x:c r="X161" s="160" t="inlineStr">
        <x:is>
          <x:t xml:space="preserve">NONE — DEVELOPMENT ONLY</x:t>
        </x:is>
      </x:c>
      <x:c r="Y161" s="160" t="inlineStr">
        <x:is>
          <x:t xml:space="preserve">Synthetic/adversarial model-development loop. No historical outcome is claimed; no accuracy point is awarded.</x:t>
        </x:is>
      </x:c>
    </x:row>
    <x:row r="162">
      <x:c r="A162" s="160" t="inlineStr">
        <x:is>
          <x:t xml:space="preserve">ML0157</x:t>
        </x:is>
      </x:c>
      <x:c r="B162" s="160" t="inlineStr">
        <x:is>
          <x:t xml:space="preserve">ARG-010</x:t>
        </x:is>
      </x:c>
      <x:c r="C162" s="160" t="inlineStr">
        <x:is>
          <x:t xml:space="preserve">Lam Research</x:t>
        </x:is>
      </x:c>
      <x:c r="D162" s="160" t="inlineStr">
        <x:is>
          <x:t xml:space="preserve">LRCX</x:t>
        </x:is>
      </x:c>
      <x:c r="E162" s="160" t="inlineStr">
        <x:is>
          <x:t xml:space="preserve">AI &amp; Semiconductors</x:t>
        </x:is>
      </x:c>
      <x:c r="F162" s="160" t="inlineStr">
        <x:is>
          <x:t xml:space="preserve">Development</x:t>
        </x:is>
      </x:c>
      <x:c r="G162" s="160" t="inlineStr">
        <x:is>
          <x:t xml:space="preserve">S13</x:t>
        </x:is>
      </x:c>
      <x:c r="H162" s="160" t="inlineStr">
        <x:is>
          <x:t xml:space="preserve">Cycle Normalization</x:t>
        </x:is>
      </x:c>
      <x:c r="I162" s="160" t="inlineStr">
        <x:is>
          <x:t xml:space="preserve">Wrong valuation lens</x:t>
        </x:is>
      </x:c>
      <x:c r="J162" s="160" t="inlineStr">
        <x:is>
          <x:t xml:space="preserve">Peak/trough earnings are mistaken for normalized earning power.</x:t>
        </x:is>
      </x:c>
      <x:c r="K162" s="160" t="inlineStr">
        <x:is>
          <x:t xml:space="preserve">Memory/foundry equipment plus installed-base service</x:t>
        </x:is>
      </x:c>
      <x:c r="L162" s="160" t="inlineStr">
        <x:is>
          <x:t xml:space="preserve">Mid-cycle FCF</x:t>
        </x:is>
      </x:c>
      <x:c r="M162" s="160" t="inlineStr">
        <x:is>
          <x:t xml:space="preserve">WAIT FOR PRICE</x:t>
        </x:is>
      </x:c>
      <x:c r="N162" s="160" t="inlineStr">
        <x:is>
          <x:t xml:space="preserve">R-CYCLE-01</x:t>
        </x:is>
      </x:c>
      <x:c r="O162" s="160" t="inlineStr">
        <x:is>
          <x:t xml:space="preserve">BASE</x:t>
        </x:is>
      </x:c>
      <x:c r="P162" s="160" t="inlineStr">
        <x:is>
          <x:t xml:space="preserve">PARTIAL CATCH</x:t>
        </x:is>
      </x:c>
      <x:c r="Q162" s="160" t="inlineStr">
        <x:is>
          <x:t xml:space="preserve">The base refinement catches the main failure, but evidence thresholds and per-share/counterfactual details remain underspecified.</x:t>
        </x:is>
      </x:c>
      <x:c r="R162" s="160" t="inlineStr">
        <x:is>
          <x:t xml:space="preserve">Use sector-specific mid-cycle/NAV/rate-base/rNPV normalization before applying a valuation multiple.</x:t>
        </x:is>
      </x:c>
      <x:c r="S162" s="160" t="inlineStr">
        <x:is>
          <x:t xml:space="preserve">YES — SIMULATION ONLY</x:t>
        </x:is>
      </x:c>
      <x:c r="T162" s="160" t="inlineStr">
        <x:is>
          <x:t xml:space="preserve">HARDENED</x:t>
        </x:is>
      </x:c>
      <x:c r="U162" s="160" t="inlineStr">
        <x:is>
          <x:t xml:space="preserve">V10.5-SIM32</x:t>
        </x:is>
      </x:c>
      <x:c r="V162" s="160" t="inlineStr">
        <x:is>
          <x:t xml:space="preserve">https://investor.lamresearch.com</x:t>
        </x:is>
      </x:c>
      <x:c r="W162" s="160" t="inlineStr">
        <x:is>
          <x:t xml:space="preserve">NO</x:t>
        </x:is>
      </x:c>
      <x:c r="X162" s="160" t="inlineStr">
        <x:is>
          <x:t xml:space="preserve">NONE — DEVELOPMENT ONLY</x:t>
        </x:is>
      </x:c>
      <x:c r="Y162" s="160" t="inlineStr">
        <x:is>
          <x:t xml:space="preserve">Synthetic/adversarial model-development loop. No historical outcome is claimed; no accuracy point is awarded.</x:t>
        </x:is>
      </x:c>
    </x:row>
    <x:row r="163">
      <x:c r="A163" s="160" t="inlineStr">
        <x:is>
          <x:t xml:space="preserve">ML0158</x:t>
        </x:is>
      </x:c>
      <x:c r="B163" s="160" t="inlineStr">
        <x:is>
          <x:t xml:space="preserve">ARG-010</x:t>
        </x:is>
      </x:c>
      <x:c r="C163" s="160" t="inlineStr">
        <x:is>
          <x:t xml:space="preserve">Lam Research</x:t>
        </x:is>
      </x:c>
      <x:c r="D163" s="160" t="inlineStr">
        <x:is>
          <x:t xml:space="preserve">LRCX</x:t>
        </x:is>
      </x:c>
      <x:c r="E163" s="160" t="inlineStr">
        <x:is>
          <x:t xml:space="preserve">AI &amp; Semiconductors</x:t>
        </x:is>
      </x:c>
      <x:c r="F163" s="160" t="inlineStr">
        <x:is>
          <x:t xml:space="preserve">Development</x:t>
        </x:is>
      </x:c>
      <x:c r="G163" s="160" t="inlineStr">
        <x:is>
          <x:t xml:space="preserve">S14</x:t>
        </x:is>
      </x:c>
      <x:c r="H163" s="160" t="inlineStr">
        <x:is>
          <x:t xml:space="preserve">M&amp;A / Organic Growth Separation</x:t>
        </x:is>
      </x:c>
      <x:c r="I163" s="160" t="inlineStr">
        <x:is>
          <x:t xml:space="preserve">Stewardship</x:t>
        </x:is>
      </x:c>
      <x:c r="J163" s="160" t="inlineStr">
        <x:is>
          <x:t xml:space="preserve">Acquisition-driven growth masks weak organic economics or poor incremental ROIC.</x:t>
        </x:is>
      </x:c>
      <x:c r="K163" s="160" t="inlineStr">
        <x:is>
          <x:t xml:space="preserve">Memory/foundry equipment plus installed-base service</x:t>
        </x:is>
      </x:c>
      <x:c r="L163" s="160" t="inlineStr">
        <x:is>
          <x:t xml:space="preserve">Mid-cycle FCF</x:t>
        </x:is>
      </x:c>
      <x:c r="M163" s="160" t="inlineStr">
        <x:is>
          <x:t xml:space="preserve">WAIT FOR PRICE</x:t>
        </x:is>
      </x:c>
      <x:c r="N163" s="160" t="inlineStr">
        <x:is>
          <x:t xml:space="preserve">R-MA-01</x:t>
        </x:is>
      </x:c>
      <x:c r="O163" s="160" t="inlineStr">
        <x:is>
          <x:t xml:space="preserve">BASE</x:t>
        </x:is>
      </x:c>
      <x:c r="P163" s="160" t="inlineStr">
        <x:is>
          <x:t xml:space="preserve">PARTIAL CATCH</x:t>
        </x:is>
      </x:c>
      <x:c r="Q163" s="160" t="inlineStr">
        <x:is>
          <x:t xml:space="preserve">The base refinement catches the main failure, but evidence thresholds and per-share/counterfactual details remain underspecified.</x:t>
        </x:is>
      </x:c>
      <x:c r="R163" s="160" t="inlineStr">
        <x:is>
          <x:t xml:space="preserve">Bridge organic growth, acquired growth, purchase price, integration costs and acquisition-cohort ROIC.</x:t>
        </x:is>
      </x:c>
      <x:c r="S163" s="160" t="inlineStr">
        <x:is>
          <x:t xml:space="preserve">YES — SIMULATION ONLY</x:t>
        </x:is>
      </x:c>
      <x:c r="T163" s="160" t="inlineStr">
        <x:is>
          <x:t xml:space="preserve">HARDENED</x:t>
        </x:is>
      </x:c>
      <x:c r="U163" s="160" t="inlineStr">
        <x:is>
          <x:t xml:space="preserve">V10.5-SIM33</x:t>
        </x:is>
      </x:c>
      <x:c r="V163" s="160" t="inlineStr">
        <x:is>
          <x:t xml:space="preserve">https://investor.lamresearch.com</x:t>
        </x:is>
      </x:c>
      <x:c r="W163" s="160" t="inlineStr">
        <x:is>
          <x:t xml:space="preserve">NO</x:t>
        </x:is>
      </x:c>
      <x:c r="X163" s="160" t="inlineStr">
        <x:is>
          <x:t xml:space="preserve">NONE — DEVELOPMENT ONLY</x:t>
        </x:is>
      </x:c>
      <x:c r="Y163" s="160" t="inlineStr">
        <x:is>
          <x:t xml:space="preserve">Synthetic/adversarial model-development loop. No historical outcome is claimed; no accuracy point is awarded.</x:t>
        </x:is>
      </x:c>
    </x:row>
    <x:row r="164">
      <x:c r="A164" s="160" t="inlineStr">
        <x:is>
          <x:t xml:space="preserve">ML0159</x:t>
        </x:is>
      </x:c>
      <x:c r="B164" s="160" t="inlineStr">
        <x:is>
          <x:t xml:space="preserve">ARG-010</x:t>
        </x:is>
      </x:c>
      <x:c r="C164" s="160" t="inlineStr">
        <x:is>
          <x:t xml:space="preserve">Lam Research</x:t>
        </x:is>
      </x:c>
      <x:c r="D164" s="160" t="inlineStr">
        <x:is>
          <x:t xml:space="preserve">LRCX</x:t>
        </x:is>
      </x:c>
      <x:c r="E164" s="160" t="inlineStr">
        <x:is>
          <x:t xml:space="preserve">AI &amp; Semiconductors</x:t>
        </x:is>
      </x:c>
      <x:c r="F164" s="160" t="inlineStr">
        <x:is>
          <x:t xml:space="preserve">Development</x:t>
        </x:is>
      </x:c>
      <x:c r="G164" s="160" t="inlineStr">
        <x:is>
          <x:t xml:space="preserve">S15</x:t>
        </x:is>
      </x:c>
      <x:c r="H164" s="160" t="inlineStr">
        <x:is>
          <x:t xml:space="preserve">Financing / Dilution Per Share</x:t>
        </x:is>
      </x:c>
      <x:c r="I164" s="160" t="inlineStr">
        <x:is>
          <x:t xml:space="preserve">Stewardship</x:t>
        </x:is>
      </x:c>
      <x:c r="J164" s="160" t="inlineStr">
        <x:is>
          <x:t xml:space="preserve">Cash balance or revenue growth improves while financing causes material per-share value leakage.</x:t>
        </x:is>
      </x:c>
      <x:c r="K164" s="160" t="inlineStr">
        <x:is>
          <x:t xml:space="preserve">Memory/foundry equipment plus installed-base service</x:t>
        </x:is>
      </x:c>
      <x:c r="L164" s="160" t="inlineStr">
        <x:is>
          <x:t xml:space="preserve">Mid-cycle FCF</x:t>
        </x:is>
      </x:c>
      <x:c r="M164" s="160" t="inlineStr">
        <x:is>
          <x:t xml:space="preserve">WAIT FOR PRICE</x:t>
        </x:is>
      </x:c>
      <x:c r="N164" s="160" t="inlineStr">
        <x:is>
          <x:t xml:space="preserve">R-DIL-01</x:t>
        </x:is>
      </x:c>
      <x:c r="O164" s="160" t="inlineStr">
        <x:is>
          <x:t xml:space="preserve">BASE</x:t>
        </x:is>
      </x:c>
      <x:c r="P164" s="160" t="inlineStr">
        <x:is>
          <x:t xml:space="preserve">PARTIAL CATCH</x:t>
        </x:is>
      </x:c>
      <x:c r="Q164" s="160" t="inlineStr">
        <x:is>
          <x:t xml:space="preserve">The base refinement catches the main failure, but evidence thresholds and per-share/counterfactual details remain underspecified.</x:t>
        </x:is>
      </x:c>
      <x:c r="R164" s="160" t="inlineStr">
        <x:is>
          <x:t xml:space="preserve">Reconcile share-count growth, SBC, equity issuance, buybacks and net cash changes to per-share intrinsic value.</x:t>
        </x:is>
      </x:c>
      <x:c r="S164" s="160" t="inlineStr">
        <x:is>
          <x:t xml:space="preserve">YES — SIMULATION ONLY</x:t>
        </x:is>
      </x:c>
      <x:c r="T164" s="160" t="inlineStr">
        <x:is>
          <x:t xml:space="preserve">HARDENED</x:t>
        </x:is>
      </x:c>
      <x:c r="U164" s="160" t="inlineStr">
        <x:is>
          <x:t xml:space="preserve">V10.5-SIM34</x:t>
        </x:is>
      </x:c>
      <x:c r="V164" s="160" t="inlineStr">
        <x:is>
          <x:t xml:space="preserve">https://investor.lamresearch.com</x:t>
        </x:is>
      </x:c>
      <x:c r="W164" s="160" t="inlineStr">
        <x:is>
          <x:t xml:space="preserve">NO</x:t>
        </x:is>
      </x:c>
      <x:c r="X164" s="160" t="inlineStr">
        <x:is>
          <x:t xml:space="preserve">NONE — DEVELOPMENT ONLY</x:t>
        </x:is>
      </x:c>
      <x:c r="Y164" s="160" t="inlineStr">
        <x:is>
          <x:t xml:space="preserve">Synthetic/adversarial model-development loop. No historical outcome is claimed; no accuracy point is awarded.</x:t>
        </x:is>
      </x:c>
    </x:row>
    <x:row r="165">
      <x:c r="A165" s="160" t="inlineStr">
        <x:is>
          <x:t xml:space="preserve">ML0160</x:t>
        </x:is>
      </x:c>
      <x:c r="B165" s="160" t="inlineStr">
        <x:is>
          <x:t xml:space="preserve">ARG-010</x:t>
        </x:is>
      </x:c>
      <x:c r="C165" s="160" t="inlineStr">
        <x:is>
          <x:t xml:space="preserve">Lam Research</x:t>
        </x:is>
      </x:c>
      <x:c r="D165" s="160" t="inlineStr">
        <x:is>
          <x:t xml:space="preserve">LRCX</x:t>
        </x:is>
      </x:c>
      <x:c r="E165" s="160" t="inlineStr">
        <x:is>
          <x:t xml:space="preserve">AI &amp; Semiconductors</x:t>
        </x:is>
      </x:c>
      <x:c r="F165" s="160" t="inlineStr">
        <x:is>
          <x:t xml:space="preserve">Development</x:t>
        </x:is>
      </x:c>
      <x:c r="G165" s="160" t="inlineStr">
        <x:is>
          <x:t xml:space="preserve">S16</x:t>
        </x:is>
      </x:c>
      <x:c r="H165" s="160" t="inlineStr">
        <x:is>
          <x:t xml:space="preserve">Concentration / Tail Risk</x:t>
        </x:is>
      </x:c>
      <x:c r="I165" s="160" t="inlineStr">
        <x:is>
          <x:t xml:space="preserve">Survival</x:t>
        </x:is>
      </x:c>
      <x:c r="J165" s="160" t="inlineStr">
        <x:is>
          <x:t xml:space="preserve">A concentrated supplier, geography, customer, product, patent, regulatory or technology dependency creates asymmetric permanent-loss risk.</x:t>
        </x:is>
      </x:c>
      <x:c r="K165" s="160" t="inlineStr">
        <x:is>
          <x:t xml:space="preserve">Memory/foundry equipment plus installed-base service</x:t>
        </x:is>
      </x:c>
      <x:c r="L165" s="160" t="inlineStr">
        <x:is>
          <x:t xml:space="preserve">Mid-cycle FCF</x:t>
        </x:is>
      </x:c>
      <x:c r="M165" s="160" t="inlineStr">
        <x:is>
          <x:t xml:space="preserve">WAIT FOR PRICE</x:t>
        </x:is>
      </x:c>
      <x:c r="N165" s="160" t="inlineStr">
        <x:is>
          <x:t xml:space="preserve">R-TAIL-01</x:t>
        </x:is>
      </x:c>
      <x:c r="O165" s="160" t="inlineStr">
        <x:is>
          <x:t xml:space="preserve">BASE</x:t>
        </x:is>
      </x:c>
      <x:c r="P165" s="160" t="inlineStr">
        <x:is>
          <x:t xml:space="preserve">PARTIAL CATCH</x:t>
        </x:is>
      </x:c>
      <x:c r="Q165" s="160" t="inlineStr">
        <x:is>
          <x:t xml:space="preserve">The base refinement catches the main failure, but evidence thresholds and per-share/counterfactual details remain underspecified.</x:t>
        </x:is>
      </x:c>
      <x:c r="R165" s="160" t="inlineStr">
        <x:is>
          <x:t xml:space="preserve">Maintain an explicit concentration/tail-risk register with probability, severity, mitigation and required margin-of-safety premium.</x:t>
        </x:is>
      </x:c>
      <x:c r="S165" s="160" t="inlineStr">
        <x:is>
          <x:t xml:space="preserve">YES — SIMULATION ONLY</x:t>
        </x:is>
      </x:c>
      <x:c r="T165" s="160" t="inlineStr">
        <x:is>
          <x:t xml:space="preserve">HARDENED</x:t>
        </x:is>
      </x:c>
      <x:c r="U165" s="160" t="inlineStr">
        <x:is>
          <x:t xml:space="preserve">V10.5-SIM35</x:t>
        </x:is>
      </x:c>
      <x:c r="V165" s="160" t="inlineStr">
        <x:is>
          <x:t xml:space="preserve">https://investor.lamresearch.com</x:t>
        </x:is>
      </x:c>
      <x:c r="W165" s="160" t="inlineStr">
        <x:is>
          <x:t xml:space="preserve">NO</x:t>
        </x:is>
      </x:c>
      <x:c r="X165" s="160" t="inlineStr">
        <x:is>
          <x:t xml:space="preserve">NONE — DEVELOPMENT ONLY</x:t>
        </x:is>
      </x:c>
      <x:c r="Y165" s="160" t="inlineStr">
        <x:is>
          <x:t xml:space="preserve">Synthetic/adversarial model-development loop. No historical outcome is claimed; no accuracy point is awarded.</x:t>
        </x:is>
      </x:c>
    </x:row>
    <x:row r="166">
      <x:c r="A166" s="160" t="inlineStr">
        <x:is>
          <x:t xml:space="preserve">ML0161</x:t>
        </x:is>
      </x:c>
      <x:c r="B166" s="160" t="inlineStr">
        <x:is>
          <x:t xml:space="preserve">ARG-011</x:t>
        </x:is>
      </x:c>
      <x:c r="C166" s="160" t="inlineStr">
        <x:is>
          <x:t xml:space="preserve">Micron Technology</x:t>
        </x:is>
      </x:c>
      <x:c r="D166" s="160" t="inlineStr">
        <x:is>
          <x:t xml:space="preserve">MU</x:t>
        </x:is>
      </x:c>
      <x:c r="E166" s="160" t="inlineStr">
        <x:is>
          <x:t xml:space="preserve">AI &amp; Semiconductors</x:t>
        </x:is>
      </x:c>
      <x:c r="F166" s="160" t="inlineStr">
        <x:is>
          <x:t xml:space="preserve">Development</x:t>
        </x:is>
      </x:c>
      <x:c r="G166" s="160" t="inlineStr">
        <x:is>
          <x:t xml:space="preserve">S01</x:t>
        </x:is>
      </x:c>
      <x:c r="H166" s="160" t="inlineStr">
        <x:is>
          <x:t xml:space="preserve">Understanding Gate</x:t>
        </x:is>
      </x:c>
      <x:c r="I166" s="160" t="inlineStr">
        <x:is>
          <x:t xml:space="preserve">Understanding</x:t>
        </x:is>
      </x:c>
      <x:c r="J166" s="160" t="inlineStr">
        <x:is>
          <x:t xml:space="preserve">Causal engine / customer ROI chain breaks under a misleading headline KPI.</x:t>
        </x:is>
      </x:c>
      <x:c r="K166" s="160" t="inlineStr">
        <x:is>
          <x:t xml:space="preserve">Bit shipments × pricing − capital intensity</x:t>
        </x:is>
      </x:c>
      <x:c r="L166" s="160" t="inlineStr">
        <x:is>
          <x:t xml:space="preserve">Cycle-normalized earnings + replacement cost</x:t>
        </x:is>
      </x:c>
      <x:c r="M166" s="160" t="inlineStr">
        <x:is>
          <x:t xml:space="preserve">WAIT</x:t>
        </x:is>
      </x:c>
      <x:c r="N166" s="160" t="inlineStr">
        <x:is>
          <x:t xml:space="preserve">R-ENG-01</x:t>
        </x:is>
      </x:c>
      <x:c r="O166" s="160" t="inlineStr">
        <x:is>
          <x:t xml:space="preserve">HARDENED</x:t>
        </x:is>
      </x:c>
      <x:c r="P166" s="160" t="inlineStr">
        <x:is>
          <x:t xml:space="preserve">ROBUST WITH RESIDUAL</x:t>
        </x:is>
      </x:c>
      <x:c r="Q166" s="160" t="inlineStr">
        <x:is>
          <x:t xml:space="preserve">The hardened rule catches the stress. Residual risk is mainly evidence quality, threshold calibration or interaction with another gate.</x:t>
        </x:is>
      </x:c>
      <x:c r="R166" s="160" t="inlineStr">
        <x:is>
          <x:t xml:space="preserve">Force an explicit engine tree: customer job → unit economics → revenue driver → owner-value bridge.</x:t>
        </x:is>
      </x:c>
      <x:c r="S166" s="160" t="inlineStr">
        <x:is>
          <x:t xml:space="preserve">NO</x:t>
        </x:is>
      </x:c>
      <x:c r="T166" s="160" t="inlineStr">
        <x:is>
          <x:t xml:space="preserve">HARDENED</x:t>
        </x:is>
      </x:c>
      <x:c r="U166" s="160" t="inlineStr">
        <x:is>
          <x:t xml:space="preserve">V10.5-SIM35</x:t>
        </x:is>
      </x:c>
      <x:c r="V166" s="160" t="inlineStr">
        <x:is>
          <x:t xml:space="preserve">https://investors.micron.com</x:t>
        </x:is>
      </x:c>
      <x:c r="W166" s="160" t="inlineStr">
        <x:is>
          <x:t xml:space="preserve">NO</x:t>
        </x:is>
      </x:c>
      <x:c r="X166" s="160" t="inlineStr">
        <x:is>
          <x:t xml:space="preserve">NONE — DEVELOPMENT ONLY</x:t>
        </x:is>
      </x:c>
      <x:c r="Y166" s="160" t="inlineStr">
        <x:is>
          <x:t xml:space="preserve">Synthetic/adversarial model-development loop. No historical outcome is claimed; no accuracy point is awarded.</x:t>
        </x:is>
      </x:c>
    </x:row>
    <x:row r="167">
      <x:c r="A167" s="160" t="inlineStr">
        <x:is>
          <x:t xml:space="preserve">ML0162</x:t>
        </x:is>
      </x:c>
      <x:c r="B167" s="160" t="inlineStr">
        <x:is>
          <x:t xml:space="preserve">ARG-011</x:t>
        </x:is>
      </x:c>
      <x:c r="C167" s="160" t="inlineStr">
        <x:is>
          <x:t xml:space="preserve">Micron Technology</x:t>
        </x:is>
      </x:c>
      <x:c r="D167" s="160" t="inlineStr">
        <x:is>
          <x:t xml:space="preserve">MU</x:t>
        </x:is>
      </x:c>
      <x:c r="E167" s="160" t="inlineStr">
        <x:is>
          <x:t xml:space="preserve">AI &amp; Semiconductors</x:t>
        </x:is>
      </x:c>
      <x:c r="F167" s="160" t="inlineStr">
        <x:is>
          <x:t xml:space="preserve">Development</x:t>
        </x:is>
      </x:c>
      <x:c r="G167" s="160" t="inlineStr">
        <x:is>
          <x:t xml:space="preserve">S02</x:t>
        </x:is>
      </x:c>
      <x:c r="H167" s="160" t="inlineStr">
        <x:is>
          <x:t xml:space="preserve">Owner Earnings Normalization</x:t>
        </x:is>
      </x:c>
      <x:c r="I167" s="160" t="inlineStr">
        <x:is>
          <x:t xml:space="preserve">Owner Earnings</x:t>
        </x:is>
      </x:c>
      <x:c r="J167" s="160" t="inlineStr">
        <x:is>
          <x:t xml:space="preserve">Reported earnings/FCF overstates economic cash because recurring reinvestment or non-cash compensation is misclassified.</x:t>
        </x:is>
      </x:c>
      <x:c r="K167" s="160" t="inlineStr">
        <x:is>
          <x:t xml:space="preserve">Bit shipments × pricing − capital intensity</x:t>
        </x:is>
      </x:c>
      <x:c r="L167" s="160" t="inlineStr">
        <x:is>
          <x:t xml:space="preserve">Cycle-normalized earnings + replacement cost</x:t>
        </x:is>
      </x:c>
      <x:c r="M167" s="160" t="inlineStr">
        <x:is>
          <x:t xml:space="preserve">WAIT</x:t>
        </x:is>
      </x:c>
      <x:c r="N167" s="160" t="inlineStr">
        <x:is>
          <x:t xml:space="preserve">R-OE-01</x:t>
        </x:is>
      </x:c>
      <x:c r="O167" s="160" t="inlineStr">
        <x:is>
          <x:t xml:space="preserve">HARDENED</x:t>
        </x:is>
      </x:c>
      <x:c r="P167" s="160" t="inlineStr">
        <x:is>
          <x:t xml:space="preserve">ROBUST WITH RESIDUAL</x:t>
        </x:is>
      </x:c>
      <x:c r="Q167" s="160" t="inlineStr">
        <x:is>
          <x:t xml:space="preserve">The hardened rule catches the stress. Residual risk is mainly evidence quality, threshold calibration or interaction with another gate.</x:t>
        </x:is>
      </x:c>
      <x:c r="R167" s="160" t="inlineStr">
        <x:is>
          <x:t xml:space="preserve">Require a GAAP-to-economic-owner-cash bridge tailored to the business model.</x:t>
        </x:is>
      </x:c>
      <x:c r="S167" s="160" t="inlineStr">
        <x:is>
          <x:t xml:space="preserve">NO</x:t>
        </x:is>
      </x:c>
      <x:c r="T167" s="160" t="inlineStr">
        <x:is>
          <x:t xml:space="preserve">HARDENED</x:t>
        </x:is>
      </x:c>
      <x:c r="U167" s="160" t="inlineStr">
        <x:is>
          <x:t xml:space="preserve">V10.5-SIM35</x:t>
        </x:is>
      </x:c>
      <x:c r="V167" s="160" t="inlineStr">
        <x:is>
          <x:t xml:space="preserve">https://investors.micron.com</x:t>
        </x:is>
      </x:c>
      <x:c r="W167" s="160" t="inlineStr">
        <x:is>
          <x:t xml:space="preserve">NO</x:t>
        </x:is>
      </x:c>
      <x:c r="X167" s="160" t="inlineStr">
        <x:is>
          <x:t xml:space="preserve">NONE — DEVELOPMENT ONLY</x:t>
        </x:is>
      </x:c>
      <x:c r="Y167" s="160" t="inlineStr">
        <x:is>
          <x:t xml:space="preserve">Synthetic/adversarial model-development loop. No historical outcome is claimed; no accuracy point is awarded.</x:t>
        </x:is>
      </x:c>
    </x:row>
    <x:row r="168">
      <x:c r="A168" s="160" t="inlineStr">
        <x:is>
          <x:t xml:space="preserve">ML0163</x:t>
        </x:is>
      </x:c>
      <x:c r="B168" s="160" t="inlineStr">
        <x:is>
          <x:t xml:space="preserve">ARG-011</x:t>
        </x:is>
      </x:c>
      <x:c r="C168" s="160" t="inlineStr">
        <x:is>
          <x:t xml:space="preserve">Micron Technology</x:t>
        </x:is>
      </x:c>
      <x:c r="D168" s="160" t="inlineStr">
        <x:is>
          <x:t xml:space="preserve">MU</x:t>
        </x:is>
      </x:c>
      <x:c r="E168" s="160" t="inlineStr">
        <x:is>
          <x:t xml:space="preserve">AI &amp; Semiconductors</x:t>
        </x:is>
      </x:c>
      <x:c r="F168" s="160" t="inlineStr">
        <x:is>
          <x:t xml:space="preserve">Development</x:t>
        </x:is>
      </x:c>
      <x:c r="G168" s="160" t="inlineStr">
        <x:is>
          <x:t xml:space="preserve">S03</x:t>
        </x:is>
      </x:c>
      <x:c r="H168" s="160" t="inlineStr">
        <x:is>
          <x:t xml:space="preserve">Moat Durability</x:t>
        </x:is>
      </x:c>
      <x:c r="I168" s="160" t="inlineStr">
        <x:is>
          <x:t xml:space="preserve">Moat 2036</x:t>
        </x:is>
      </x:c>
      <x:c r="J168" s="160" t="inlineStr">
        <x:is>
          <x:t xml:space="preserve">Growth continues while switching friction, pricing power or replacement difficulty quietly weakens.</x:t>
        </x:is>
      </x:c>
      <x:c r="K168" s="160" t="inlineStr">
        <x:is>
          <x:t xml:space="preserve">Bit shipments × pricing − capital intensity</x:t>
        </x:is>
      </x:c>
      <x:c r="L168" s="160" t="inlineStr">
        <x:is>
          <x:t xml:space="preserve">Cycle-normalized earnings + replacement cost</x:t>
        </x:is>
      </x:c>
      <x:c r="M168" s="160" t="inlineStr">
        <x:is>
          <x:t xml:space="preserve">WAIT</x:t>
        </x:is>
      </x:c>
      <x:c r="N168" s="160" t="inlineStr">
        <x:is>
          <x:t xml:space="preserve">R-MOAT-01</x:t>
        </x:is>
      </x:c>
      <x:c r="O168" s="160" t="inlineStr">
        <x:is>
          <x:t xml:space="preserve">HARDENED</x:t>
        </x:is>
      </x:c>
      <x:c r="P168" s="160" t="inlineStr">
        <x:is>
          <x:t xml:space="preserve">ROBUST WITH RESIDUAL</x:t>
        </x:is>
      </x:c>
      <x:c r="Q168" s="160" t="inlineStr">
        <x:is>
          <x:t xml:space="preserve">The hardened rule catches the stress. Residual risk is mainly evidence quality, threshold calibration or interaction with another gate.</x:t>
        </x:is>
      </x:c>
      <x:c r="R168" s="160" t="inlineStr">
        <x:is>
          <x:t xml:space="preserve">Track moat telemetry separately from growth: retention, pricing, win/loss, replacement friction, installed-base behavior.</x:t>
        </x:is>
      </x:c>
      <x:c r="S168" s="160" t="inlineStr">
        <x:is>
          <x:t xml:space="preserve">NO</x:t>
        </x:is>
      </x:c>
      <x:c r="T168" s="160" t="inlineStr">
        <x:is>
          <x:t xml:space="preserve">HARDENED</x:t>
        </x:is>
      </x:c>
      <x:c r="U168" s="160" t="inlineStr">
        <x:is>
          <x:t xml:space="preserve">V10.5-SIM35</x:t>
        </x:is>
      </x:c>
      <x:c r="V168" s="160" t="inlineStr">
        <x:is>
          <x:t xml:space="preserve">https://investors.micron.com</x:t>
        </x:is>
      </x:c>
      <x:c r="W168" s="160" t="inlineStr">
        <x:is>
          <x:t xml:space="preserve">NO</x:t>
        </x:is>
      </x:c>
      <x:c r="X168" s="160" t="inlineStr">
        <x:is>
          <x:t xml:space="preserve">NONE — DEVELOPMENT ONLY</x:t>
        </x:is>
      </x:c>
      <x:c r="Y168" s="160" t="inlineStr">
        <x:is>
          <x:t xml:space="preserve">Synthetic/adversarial model-development loop. No historical outcome is claimed; no accuracy point is awarded.</x:t>
        </x:is>
      </x:c>
    </x:row>
    <x:row r="169">
      <x:c r="A169" s="160" t="inlineStr">
        <x:is>
          <x:t xml:space="preserve">ML0164</x:t>
        </x:is>
      </x:c>
      <x:c r="B169" s="160" t="inlineStr">
        <x:is>
          <x:t xml:space="preserve">ARG-011</x:t>
        </x:is>
      </x:c>
      <x:c r="C169" s="160" t="inlineStr">
        <x:is>
          <x:t xml:space="preserve">Micron Technology</x:t>
        </x:is>
      </x:c>
      <x:c r="D169" s="160" t="inlineStr">
        <x:is>
          <x:t xml:space="preserve">MU</x:t>
        </x:is>
      </x:c>
      <x:c r="E169" s="160" t="inlineStr">
        <x:is>
          <x:t xml:space="preserve">AI &amp; Semiconductors</x:t>
        </x:is>
      </x:c>
      <x:c r="F169" s="160" t="inlineStr">
        <x:is>
          <x:t xml:space="preserve">Development</x:t>
        </x:is>
      </x:c>
      <x:c r="G169" s="160" t="inlineStr">
        <x:is>
          <x:t xml:space="preserve">S04</x:t>
        </x:is>
      </x:c>
      <x:c r="H169" s="160" t="inlineStr">
        <x:is>
          <x:t xml:space="preserve">Stewardship / Capital Allocation</x:t>
        </x:is>
      </x:c>
      <x:c r="I169" s="160" t="inlineStr">
        <x:is>
          <x:t xml:space="preserve">Stewardship</x:t>
        </x:is>
      </x:c>
      <x:c r="J169" s="160" t="inlineStr">
        <x:is>
          <x:t xml:space="preserve">Management creates enterprise growth while destroying per-share value through M&amp;A, dilution, leverage or mistimed buybacks.</x:t>
        </x:is>
      </x:c>
      <x:c r="K169" s="160" t="inlineStr">
        <x:is>
          <x:t xml:space="preserve">Bit shipments × pricing − capital intensity</x:t>
        </x:is>
      </x:c>
      <x:c r="L169" s="160" t="inlineStr">
        <x:is>
          <x:t xml:space="preserve">Cycle-normalized earnings + replacement cost</x:t>
        </x:is>
      </x:c>
      <x:c r="M169" s="160" t="inlineStr">
        <x:is>
          <x:t xml:space="preserve">WAIT</x:t>
        </x:is>
      </x:c>
      <x:c r="N169" s="160" t="inlineStr">
        <x:is>
          <x:t xml:space="preserve">R-STEW-01</x:t>
        </x:is>
      </x:c>
      <x:c r="O169" s="160" t="inlineStr">
        <x:is>
          <x:t xml:space="preserve">HARDENED</x:t>
        </x:is>
      </x:c>
      <x:c r="P169" s="160" t="inlineStr">
        <x:is>
          <x:t xml:space="preserve">ROBUST WITH RESIDUAL</x:t>
        </x:is>
      </x:c>
      <x:c r="Q169" s="160" t="inlineStr">
        <x:is>
          <x:t xml:space="preserve">The hardened rule catches the stress. Residual risk is mainly evidence quality, threshold calibration or interaction with another gate.</x:t>
        </x:is>
      </x:c>
      <x:c r="R169" s="160" t="inlineStr">
        <x:is>
          <x:t xml:space="preserve">Evaluate capital allocation on a per-share basis using acquisition cohorts, dilution, leverage and repurchase price discipline.</x:t>
        </x:is>
      </x:c>
      <x:c r="S169" s="160" t="inlineStr">
        <x:is>
          <x:t xml:space="preserve">NO</x:t>
        </x:is>
      </x:c>
      <x:c r="T169" s="160" t="inlineStr">
        <x:is>
          <x:t xml:space="preserve">HARDENED</x:t>
        </x:is>
      </x:c>
      <x:c r="U169" s="160" t="inlineStr">
        <x:is>
          <x:t xml:space="preserve">V10.5-SIM35</x:t>
        </x:is>
      </x:c>
      <x:c r="V169" s="160" t="inlineStr">
        <x:is>
          <x:t xml:space="preserve">https://investors.micron.com</x:t>
        </x:is>
      </x:c>
      <x:c r="W169" s="160" t="inlineStr">
        <x:is>
          <x:t xml:space="preserve">NO</x:t>
        </x:is>
      </x:c>
      <x:c r="X169" s="160" t="inlineStr">
        <x:is>
          <x:t xml:space="preserve">NONE — DEVELOPMENT ONLY</x:t>
        </x:is>
      </x:c>
      <x:c r="Y169" s="160" t="inlineStr">
        <x:is>
          <x:t xml:space="preserve">Synthetic/adversarial model-development loop. No historical outcome is claimed; no accuracy point is awarded.</x:t>
        </x:is>
      </x:c>
    </x:row>
    <x:row r="170">
      <x:c r="A170" s="160" t="inlineStr">
        <x:is>
          <x:t xml:space="preserve">ML0165</x:t>
        </x:is>
      </x:c>
      <x:c r="B170" s="160" t="inlineStr">
        <x:is>
          <x:t xml:space="preserve">ARG-011</x:t>
        </x:is>
      </x:c>
      <x:c r="C170" s="160" t="inlineStr">
        <x:is>
          <x:t xml:space="preserve">Micron Technology</x:t>
        </x:is>
      </x:c>
      <x:c r="D170" s="160" t="inlineStr">
        <x:is>
          <x:t xml:space="preserve">MU</x:t>
        </x:is>
      </x:c>
      <x:c r="E170" s="160" t="inlineStr">
        <x:is>
          <x:t xml:space="preserve">AI &amp; Semiconductors</x:t>
        </x:is>
      </x:c>
      <x:c r="F170" s="160" t="inlineStr">
        <x:is>
          <x:t xml:space="preserve">Development</x:t>
        </x:is>
      </x:c>
      <x:c r="G170" s="160" t="inlineStr">
        <x:is>
          <x:t xml:space="preserve">S05</x:t>
        </x:is>
      </x:c>
      <x:c r="H170" s="160" t="inlineStr">
        <x:is>
          <x:t xml:space="preserve">Survival / Funding</x:t>
        </x:is>
      </x:c>
      <x:c r="I170" s="160" t="inlineStr">
        <x:is>
          <x:t xml:space="preserve">Survival</x:t>
        </x:is>
      </x:c>
      <x:c r="J170" s="160" t="inlineStr">
        <x:is>
          <x:t xml:space="preserve">A plausible bear case exposes refinancing, liquidity, covenant, reserve, regulatory or operational fragility.</x:t>
        </x:is>
      </x:c>
      <x:c r="K170" s="160" t="inlineStr">
        <x:is>
          <x:t xml:space="preserve">Bit shipments × pricing − capital intensity</x:t>
        </x:is>
      </x:c>
      <x:c r="L170" s="160" t="inlineStr">
        <x:is>
          <x:t xml:space="preserve">Cycle-normalized earnings + replacement cost</x:t>
        </x:is>
      </x:c>
      <x:c r="M170" s="160" t="inlineStr">
        <x:is>
          <x:t xml:space="preserve">WAIT</x:t>
        </x:is>
      </x:c>
      <x:c r="N170" s="160" t="inlineStr">
        <x:is>
          <x:t xml:space="preserve">R-SURV-01</x:t>
        </x:is>
      </x:c>
      <x:c r="O170" s="160" t="inlineStr">
        <x:is>
          <x:t xml:space="preserve">HARDENED</x:t>
        </x:is>
      </x:c>
      <x:c r="P170" s="160" t="inlineStr">
        <x:is>
          <x:t xml:space="preserve">ROBUST WITH RESIDUAL</x:t>
        </x:is>
      </x:c>
      <x:c r="Q170" s="160" t="inlineStr">
        <x:is>
          <x:t xml:space="preserve">The hardened rule catches the stress. Residual risk is mainly evidence quality, threshold calibration or interaction with another gate.</x:t>
        </x:is>
      </x:c>
      <x:c r="R170" s="160" t="inlineStr">
        <x:is>
          <x:t xml:space="preserve">Run a company-specific survival bridge under a severe-but-plausible bear case before any upside underwriting.</x:t>
        </x:is>
      </x:c>
      <x:c r="S170" s="160" t="inlineStr">
        <x:is>
          <x:t xml:space="preserve">NO</x:t>
        </x:is>
      </x:c>
      <x:c r="T170" s="160" t="inlineStr">
        <x:is>
          <x:t xml:space="preserve">HARDENED</x:t>
        </x:is>
      </x:c>
      <x:c r="U170" s="160" t="inlineStr">
        <x:is>
          <x:t xml:space="preserve">V10.5-SIM35</x:t>
        </x:is>
      </x:c>
      <x:c r="V170" s="160" t="inlineStr">
        <x:is>
          <x:t xml:space="preserve">https://investors.micron.com</x:t>
        </x:is>
      </x:c>
      <x:c r="W170" s="160" t="inlineStr">
        <x:is>
          <x:t xml:space="preserve">NO</x:t>
        </x:is>
      </x:c>
      <x:c r="X170" s="160" t="inlineStr">
        <x:is>
          <x:t xml:space="preserve">NONE — DEVELOPMENT ONLY</x:t>
        </x:is>
      </x:c>
      <x:c r="Y170" s="160" t="inlineStr">
        <x:is>
          <x:t xml:space="preserve">Synthetic/adversarial model-development loop. No historical outcome is claimed; no accuracy point is awarded.</x:t>
        </x:is>
      </x:c>
    </x:row>
    <x:row r="171">
      <x:c r="A171" s="160" t="inlineStr">
        <x:is>
          <x:t xml:space="preserve">ML0166</x:t>
        </x:is>
      </x:c>
      <x:c r="B171" s="160" t="inlineStr">
        <x:is>
          <x:t xml:space="preserve">ARG-011</x:t>
        </x:is>
      </x:c>
      <x:c r="C171" s="160" t="inlineStr">
        <x:is>
          <x:t xml:space="preserve">Micron Technology</x:t>
        </x:is>
      </x:c>
      <x:c r="D171" s="160" t="inlineStr">
        <x:is>
          <x:t xml:space="preserve">MU</x:t>
        </x:is>
      </x:c>
      <x:c r="E171" s="160" t="inlineStr">
        <x:is>
          <x:t xml:space="preserve">AI &amp; Semiconductors</x:t>
        </x:is>
      </x:c>
      <x:c r="F171" s="160" t="inlineStr">
        <x:is>
          <x:t xml:space="preserve">Development</x:t>
        </x:is>
      </x:c>
      <x:c r="G171" s="160" t="inlineStr">
        <x:is>
          <x:t xml:space="preserve">S06</x:t>
        </x:is>
      </x:c>
      <x:c r="H171" s="160" t="inlineStr">
        <x:is>
          <x:t xml:space="preserve">Margin of Safety</x:t>
        </x:is>
      </x:c>
      <x:c r="I171" s="160" t="inlineStr">
        <x:is>
          <x:t xml:space="preserve">Margin of Safety</x:t>
        </x:is>
      </x:c>
      <x:c r="J171" s="160" t="inlineStr">
        <x:is>
          <x:t xml:space="preserve">Business quality is high but the price embeds a fragile bull case.</x:t>
        </x:is>
      </x:c>
      <x:c r="K171" s="160" t="inlineStr">
        <x:is>
          <x:t xml:space="preserve">Bit shipments × pricing − capital intensity</x:t>
        </x:is>
      </x:c>
      <x:c r="L171" s="160" t="inlineStr">
        <x:is>
          <x:t xml:space="preserve">Cycle-normalized earnings + replacement cost</x:t>
        </x:is>
      </x:c>
      <x:c r="M171" s="160" t="inlineStr">
        <x:is>
          <x:t xml:space="preserve">WAIT</x:t>
        </x:is>
      </x:c>
      <x:c r="N171" s="160" t="inlineStr">
        <x:is>
          <x:t xml:space="preserve">R-MOS-01</x:t>
        </x:is>
      </x:c>
      <x:c r="O171" s="160" t="inlineStr">
        <x:is>
          <x:t xml:space="preserve">HARDENED</x:t>
        </x:is>
      </x:c>
      <x:c r="P171" s="160" t="inlineStr">
        <x:is>
          <x:t xml:space="preserve">ROBUST WITH RESIDUAL</x:t>
        </x:is>
      </x:c>
      <x:c r="Q171" s="160" t="inlineStr">
        <x:is>
          <x:t xml:space="preserve">The hardened rule catches the stress. Residual risk is mainly evidence quality, threshold calibration or interaction with another gate.</x:t>
        </x:is>
      </x:c>
      <x:c r="R171" s="160" t="inlineStr">
        <x:is>
          <x:t xml:space="preserve">Separate business-quality score from price decision; require reverse valuation and bear/base/bull IV ranges.</x:t>
        </x:is>
      </x:c>
      <x:c r="S171" s="160" t="inlineStr">
        <x:is>
          <x:t xml:space="preserve">NO</x:t>
        </x:is>
      </x:c>
      <x:c r="T171" s="160" t="inlineStr">
        <x:is>
          <x:t xml:space="preserve">HARDENED</x:t>
        </x:is>
      </x:c>
      <x:c r="U171" s="160" t="inlineStr">
        <x:is>
          <x:t xml:space="preserve">V10.5-SIM35</x:t>
        </x:is>
      </x:c>
      <x:c r="V171" s="160" t="inlineStr">
        <x:is>
          <x:t xml:space="preserve">https://investors.micron.com</x:t>
        </x:is>
      </x:c>
      <x:c r="W171" s="160" t="inlineStr">
        <x:is>
          <x:t xml:space="preserve">NO</x:t>
        </x:is>
      </x:c>
      <x:c r="X171" s="160" t="inlineStr">
        <x:is>
          <x:t xml:space="preserve">NONE — DEVELOPMENT ONLY</x:t>
        </x:is>
      </x:c>
      <x:c r="Y171" s="160" t="inlineStr">
        <x:is>
          <x:t xml:space="preserve">Synthetic/adversarial model-development loop. No historical outcome is claimed; no accuracy point is awarded.</x:t>
        </x:is>
      </x:c>
    </x:row>
    <x:row r="172">
      <x:c r="A172" s="160" t="inlineStr">
        <x:is>
          <x:t xml:space="preserve">ML0167</x:t>
        </x:is>
      </x:c>
      <x:c r="B172" s="160" t="inlineStr">
        <x:is>
          <x:t xml:space="preserve">ARG-011</x:t>
        </x:is>
      </x:c>
      <x:c r="C172" s="160" t="inlineStr">
        <x:is>
          <x:t xml:space="preserve">Micron Technology</x:t>
        </x:is>
      </x:c>
      <x:c r="D172" s="160" t="inlineStr">
        <x:is>
          <x:t xml:space="preserve">MU</x:t>
        </x:is>
      </x:c>
      <x:c r="E172" s="160" t="inlineStr">
        <x:is>
          <x:t xml:space="preserve">AI &amp; Semiconductors</x:t>
        </x:is>
      </x:c>
      <x:c r="F172" s="160" t="inlineStr">
        <x:is>
          <x:t xml:space="preserve">Development</x:t>
        </x:is>
      </x:c>
      <x:c r="G172" s="160" t="inlineStr">
        <x:is>
          <x:t xml:space="preserve">S07</x:t>
        </x:is>
      </x:c>
      <x:c r="H172" s="160" t="inlineStr">
        <x:is>
          <x:t xml:space="preserve">Sector Shock</x:t>
        </x:is>
      </x:c>
      <x:c r="I172" s="160" t="inlineStr">
        <x:is>
          <x:t xml:space="preserve">Sector-specific</x:t>
        </x:is>
      </x:c>
      <x:c r="J172" s="160" t="inlineStr">
        <x:is>
          <x:t xml:space="preserve">AI demand remains strong but capex intensity, customer concentration, inventory/cycle risk or export/geopolitical constraints hit normalized returns.</x:t>
        </x:is>
      </x:c>
      <x:c r="K172" s="160" t="inlineStr">
        <x:is>
          <x:t xml:space="preserve">Bit shipments × pricing − capital intensity</x:t>
        </x:is>
      </x:c>
      <x:c r="L172" s="160" t="inlineStr">
        <x:is>
          <x:t xml:space="preserve">Cycle-normalized earnings + replacement cost</x:t>
        </x:is>
      </x:c>
      <x:c r="M172" s="160" t="inlineStr">
        <x:is>
          <x:t xml:space="preserve">WAIT</x:t>
        </x:is>
      </x:c>
      <x:c r="N172" s="160" t="inlineStr">
        <x:is>
          <x:t xml:space="preserve">R-SECTOR-AI-SEMICONDUCTORS</x:t>
        </x:is>
      </x:c>
      <x:c r="O172" s="160" t="inlineStr">
        <x:is>
          <x:t xml:space="preserve">COUNTER-EVIDENCE</x:t>
        </x:is>
      </x:c>
      <x:c r="P172" s="160" t="inlineStr">
        <x:is>
          <x:t xml:space="preserve">ROBUST</x:t>
        </x:is>
      </x:c>
      <x:c r="Q172" s="160" t="inlineStr">
        <x:is>
          <x:t xml:space="preserve">The mature simulation rule catches the stress without weakening a fatal gate; no rule relaxation is justified.</x:t>
        </x:is>
      </x:c>
      <x:c r="R172"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172" s="160" t="inlineStr">
        <x:is>
          <x:t xml:space="preserve">NO</x:t>
        </x:is>
      </x:c>
      <x:c r="T172" s="160" t="inlineStr">
        <x:is>
          <x:t xml:space="preserve">COUNTER-EVIDENCE</x:t>
        </x:is>
      </x:c>
      <x:c r="U172" s="160" t="inlineStr">
        <x:is>
          <x:t xml:space="preserve">V10.5-SIM35</x:t>
        </x:is>
      </x:c>
      <x:c r="V172" s="160" t="inlineStr">
        <x:is>
          <x:t xml:space="preserve">https://investors.micron.com</x:t>
        </x:is>
      </x:c>
      <x:c r="W172" s="160" t="inlineStr">
        <x:is>
          <x:t xml:space="preserve">NO</x:t>
        </x:is>
      </x:c>
      <x:c r="X172" s="160" t="inlineStr">
        <x:is>
          <x:t xml:space="preserve">NONE — DEVELOPMENT ONLY</x:t>
        </x:is>
      </x:c>
      <x:c r="Y172" s="160" t="inlineStr">
        <x:is>
          <x:t xml:space="preserve">Synthetic/adversarial model-development loop. No historical outcome is claimed; no accuracy point is awarded.</x:t>
        </x:is>
      </x:c>
    </x:row>
    <x:row r="173">
      <x:c r="A173" s="160" t="inlineStr">
        <x:is>
          <x:t xml:space="preserve">ML0168</x:t>
        </x:is>
      </x:c>
      <x:c r="B173" s="160" t="inlineStr">
        <x:is>
          <x:t xml:space="preserve">ARG-011</x:t>
        </x:is>
      </x:c>
      <x:c r="C173" s="160" t="inlineStr">
        <x:is>
          <x:t xml:space="preserve">Micron Technology</x:t>
        </x:is>
      </x:c>
      <x:c r="D173" s="160" t="inlineStr">
        <x:is>
          <x:t xml:space="preserve">MU</x:t>
        </x:is>
      </x:c>
      <x:c r="E173" s="160" t="inlineStr">
        <x:is>
          <x:t xml:space="preserve">AI &amp; Semiconductors</x:t>
        </x:is>
      </x:c>
      <x:c r="F173" s="160" t="inlineStr">
        <x:is>
          <x:t xml:space="preserve">Development</x:t>
        </x:is>
      </x:c>
      <x:c r="G173" s="160" t="inlineStr">
        <x:is>
          <x:t xml:space="preserve">S08</x:t>
        </x:is>
      </x:c>
      <x:c r="H173" s="160" t="inlineStr">
        <x:is>
          <x:t xml:space="preserve">Management Promise Reliability</x:t>
        </x:is>
      </x:c>
      <x:c r="I173" s="160" t="inlineStr">
        <x:is>
          <x:t xml:space="preserve">Management over-trust</x:t>
        </x:is>
      </x:c>
      <x:c r="J173" s="160" t="inlineStr">
        <x:is>
          <x:t xml:space="preserve">Guidance or strategic promises are repeated but the model lacks a contemporaneous reliability score.</x:t>
        </x:is>
      </x:c>
      <x:c r="K173" s="160" t="inlineStr">
        <x:is>
          <x:t xml:space="preserve">Bit shipments × pricing − capital intensity</x:t>
        </x:is>
      </x:c>
      <x:c r="L173" s="160" t="inlineStr">
        <x:is>
          <x:t xml:space="preserve">Cycle-normalized earnings + replacement cost</x:t>
        </x:is>
      </x:c>
      <x:c r="M173" s="160" t="inlineStr">
        <x:is>
          <x:t xml:space="preserve">WAIT</x:t>
        </x:is>
      </x:c>
      <x:c r="N173" s="160" t="inlineStr">
        <x:is>
          <x:t xml:space="preserve">R-PROM-01</x:t>
        </x:is>
      </x:c>
      <x:c r="O173" s="160" t="inlineStr">
        <x:is>
          <x:t xml:space="preserve">HARDENED</x:t>
        </x:is>
      </x:c>
      <x:c r="P173" s="160" t="inlineStr">
        <x:is>
          <x:t xml:space="preserve">ROBUST WITH RESIDUAL</x:t>
        </x:is>
      </x:c>
      <x:c r="Q173" s="160" t="inlineStr">
        <x:is>
          <x:t xml:space="preserve">The hardened rule catches the stress. Residual risk is mainly evidence quality, threshold calibration or interaction with another gate.</x:t>
        </x:is>
      </x:c>
      <x:c r="R173" s="160" t="inlineStr">
        <x:is>
          <x:t xml:space="preserve">Use a promises ledger with dated promise, measurable deliverable, due date, outcome and credibility weight.</x:t>
        </x:is>
      </x:c>
      <x:c r="S173" s="160" t="inlineStr">
        <x:is>
          <x:t xml:space="preserve">NO</x:t>
        </x:is>
      </x:c>
      <x:c r="T173" s="160" t="inlineStr">
        <x:is>
          <x:t xml:space="preserve">HARDENED</x:t>
        </x:is>
      </x:c>
      <x:c r="U173" s="160" t="inlineStr">
        <x:is>
          <x:t xml:space="preserve">V10.5-SIM35</x:t>
        </x:is>
      </x:c>
      <x:c r="V173" s="160" t="inlineStr">
        <x:is>
          <x:t xml:space="preserve">https://investors.micron.com</x:t>
        </x:is>
      </x:c>
      <x:c r="W173" s="160" t="inlineStr">
        <x:is>
          <x:t xml:space="preserve">NO</x:t>
        </x:is>
      </x:c>
      <x:c r="X173" s="160" t="inlineStr">
        <x:is>
          <x:t xml:space="preserve">NONE — DEVELOPMENT ONLY</x:t>
        </x:is>
      </x:c>
      <x:c r="Y173" s="160" t="inlineStr">
        <x:is>
          <x:t xml:space="preserve">Synthetic/adversarial model-development loop. No historical outcome is claimed; no accuracy point is awarded.</x:t>
        </x:is>
      </x:c>
    </x:row>
    <x:row r="174">
      <x:c r="A174" s="160" t="inlineStr">
        <x:is>
          <x:t xml:space="preserve">ML0169</x:t>
        </x:is>
      </x:c>
      <x:c r="B174" s="160" t="inlineStr">
        <x:is>
          <x:t xml:space="preserve">ARG-011</x:t>
        </x:is>
      </x:c>
      <x:c r="C174" s="160" t="inlineStr">
        <x:is>
          <x:t xml:space="preserve">Micron Technology</x:t>
        </x:is>
      </x:c>
      <x:c r="D174" s="160" t="inlineStr">
        <x:is>
          <x:t xml:space="preserve">MU</x:t>
        </x:is>
      </x:c>
      <x:c r="E174" s="160" t="inlineStr">
        <x:is>
          <x:t xml:space="preserve">AI &amp; Semiconductors</x:t>
        </x:is>
      </x:c>
      <x:c r="F174" s="160" t="inlineStr">
        <x:is>
          <x:t xml:space="preserve">Development</x:t>
        </x:is>
      </x:c>
      <x:c r="G174" s="160" t="inlineStr">
        <x:is>
          <x:t xml:space="preserve">S09</x:t>
        </x:is>
      </x:c>
      <x:c r="H174" s="160" t="inlineStr">
        <x:is>
          <x:t xml:space="preserve">Data / Accounting Quality</x:t>
        </x:is>
      </x:c>
      <x:c r="I174" s="160" t="inlineStr">
        <x:is>
          <x:t xml:space="preserve">Data quality</x:t>
        </x:is>
      </x:c>
      <x:c r="J174" s="160" t="inlineStr">
        <x:is>
          <x:t xml:space="preserve">Restatement, segment reclassification, one-time item or non-economic fair-value movement distorts the apparent trend.</x:t>
        </x:is>
      </x:c>
      <x:c r="K174" s="160" t="inlineStr">
        <x:is>
          <x:t xml:space="preserve">Bit shipments × pricing − capital intensity</x:t>
        </x:is>
      </x:c>
      <x:c r="L174" s="160" t="inlineStr">
        <x:is>
          <x:t xml:space="preserve">Cycle-normalized earnings + replacement cost</x:t>
        </x:is>
      </x:c>
      <x:c r="M174" s="160" t="inlineStr">
        <x:is>
          <x:t xml:space="preserve">WAIT</x:t>
        </x:is>
      </x:c>
      <x:c r="N174" s="160" t="inlineStr">
        <x:is>
          <x:t xml:space="preserve">R-DATA-01</x:t>
        </x:is>
      </x:c>
      <x:c r="O174" s="160" t="inlineStr">
        <x:is>
          <x:t xml:space="preserve">HARDENED</x:t>
        </x:is>
      </x:c>
      <x:c r="P174" s="160" t="inlineStr">
        <x:is>
          <x:t xml:space="preserve">ROBUST WITH RESIDUAL</x:t>
        </x:is>
      </x:c>
      <x:c r="Q174" s="160" t="inlineStr">
        <x:is>
          <x:t xml:space="preserve">The hardened rule catches the stress. Residual risk is mainly evidence quality, threshold calibration or interaction with another gate.</x:t>
        </x:is>
      </x:c>
      <x:c r="R174" s="160" t="inlineStr">
        <x:is>
          <x:t xml:space="preserve">Add a reporting-quality bridge and normalize accounting noise before any gate can pass.</x:t>
        </x:is>
      </x:c>
      <x:c r="S174" s="160" t="inlineStr">
        <x:is>
          <x:t xml:space="preserve">NO</x:t>
        </x:is>
      </x:c>
      <x:c r="T174" s="160" t="inlineStr">
        <x:is>
          <x:t xml:space="preserve">HARDENED</x:t>
        </x:is>
      </x:c>
      <x:c r="U174" s="160" t="inlineStr">
        <x:is>
          <x:t xml:space="preserve">V10.5-SIM35</x:t>
        </x:is>
      </x:c>
      <x:c r="V174" s="160" t="inlineStr">
        <x:is>
          <x:t xml:space="preserve">https://investors.micron.com</x:t>
        </x:is>
      </x:c>
      <x:c r="W174" s="160" t="inlineStr">
        <x:is>
          <x:t xml:space="preserve">NO</x:t>
        </x:is>
      </x:c>
      <x:c r="X174" s="160" t="inlineStr">
        <x:is>
          <x:t xml:space="preserve">NONE — DEVELOPMENT ONLY</x:t>
        </x:is>
      </x:c>
      <x:c r="Y174" s="160" t="inlineStr">
        <x:is>
          <x:t xml:space="preserve">Synthetic/adversarial model-development loop. No historical outcome is claimed; no accuracy point is awarded.</x:t>
        </x:is>
      </x:c>
    </x:row>
    <x:row r="175">
      <x:c r="A175" s="160" t="inlineStr">
        <x:is>
          <x:t xml:space="preserve">ML0170</x:t>
        </x:is>
      </x:c>
      <x:c r="B175" s="160" t="inlineStr">
        <x:is>
          <x:t xml:space="preserve">ARG-011</x:t>
        </x:is>
      </x:c>
      <x:c r="C175" s="160" t="inlineStr">
        <x:is>
          <x:t xml:space="preserve">Micron Technology</x:t>
        </x:is>
      </x:c>
      <x:c r="D175" s="160" t="inlineStr">
        <x:is>
          <x:t xml:space="preserve">MU</x:t>
        </x:is>
      </x:c>
      <x:c r="E175" s="160" t="inlineStr">
        <x:is>
          <x:t xml:space="preserve">AI &amp; Semiconductors</x:t>
        </x:is>
      </x:c>
      <x:c r="F175" s="160" t="inlineStr">
        <x:is>
          <x:t xml:space="preserve">Development</x:t>
        </x:is>
      </x:c>
      <x:c r="G175" s="160" t="inlineStr">
        <x:is>
          <x:t xml:space="preserve">S10</x:t>
        </x:is>
      </x:c>
      <x:c r="H175" s="160" t="inlineStr">
        <x:is>
          <x:t xml:space="preserve">Control / Counterfactual</x:t>
        </x:is>
      </x:c>
      <x:c r="I175" s="160" t="inlineStr">
        <x:is>
          <x:t xml:space="preserve">Sector beta vs company alpha</x:t>
        </x:is>
      </x:c>
      <x:c r="J175" s="160" t="inlineStr">
        <x:is>
          <x:t xml:space="preserve">A positive outcome is mostly sector beta or macro tailwind, not company-specific alpha.</x:t>
        </x:is>
      </x:c>
      <x:c r="K175" s="160" t="inlineStr">
        <x:is>
          <x:t xml:space="preserve">Bit shipments × pricing − capital intensity</x:t>
        </x:is>
      </x:c>
      <x:c r="L175" s="160" t="inlineStr">
        <x:is>
          <x:t xml:space="preserve">Cycle-normalized earnings + replacement cost</x:t>
        </x:is>
      </x:c>
      <x:c r="M175" s="160" t="inlineStr">
        <x:is>
          <x:t xml:space="preserve">WAIT</x:t>
        </x:is>
      </x:c>
      <x:c r="N175" s="160" t="inlineStr">
        <x:is>
          <x:t xml:space="preserve">R-CF-01</x:t>
        </x:is>
      </x:c>
      <x:c r="O175" s="160" t="inlineStr">
        <x:is>
          <x:t xml:space="preserve">HARDENED</x:t>
        </x:is>
      </x:c>
      <x:c r="P175" s="160" t="inlineStr">
        <x:is>
          <x:t xml:space="preserve">ROBUST WITH RESIDUAL</x:t>
        </x:is>
      </x:c>
      <x:c r="Q175" s="160" t="inlineStr">
        <x:is>
          <x:t xml:space="preserve">The hardened rule catches the stress. Residual risk is mainly evidence quality, threshold calibration or interaction with another gate.</x:t>
        </x:is>
      </x:c>
      <x:c r="R175" s="160" t="inlineStr">
        <x:is>
          <x:t xml:space="preserve">Require a true economic control and counterfactual: what should have happened to a comparable company under the same shock?</x:t>
        </x:is>
      </x:c>
      <x:c r="S175" s="160" t="inlineStr">
        <x:is>
          <x:t xml:space="preserve">NO</x:t>
        </x:is>
      </x:c>
      <x:c r="T175" s="160" t="inlineStr">
        <x:is>
          <x:t xml:space="preserve">HARDENED</x:t>
        </x:is>
      </x:c>
      <x:c r="U175" s="160" t="inlineStr">
        <x:is>
          <x:t xml:space="preserve">V10.5-SIM35</x:t>
        </x:is>
      </x:c>
      <x:c r="V175" s="160" t="inlineStr">
        <x:is>
          <x:t xml:space="preserve">https://investors.micron.com</x:t>
        </x:is>
      </x:c>
      <x:c r="W175" s="160" t="inlineStr">
        <x:is>
          <x:t xml:space="preserve">NO</x:t>
        </x:is>
      </x:c>
      <x:c r="X175" s="160" t="inlineStr">
        <x:is>
          <x:t xml:space="preserve">NONE — DEVELOPMENT ONLY</x:t>
        </x:is>
      </x:c>
      <x:c r="Y175" s="160" t="inlineStr">
        <x:is>
          <x:t xml:space="preserve">Synthetic/adversarial model-development loop. No historical outcome is claimed; no accuracy point is awarded.</x:t>
        </x:is>
      </x:c>
    </x:row>
    <x:row r="176">
      <x:c r="A176" s="160" t="inlineStr">
        <x:is>
          <x:t xml:space="preserve">ML0171</x:t>
        </x:is>
      </x:c>
      <x:c r="B176" s="160" t="inlineStr">
        <x:is>
          <x:t xml:space="preserve">ARG-011</x:t>
        </x:is>
      </x:c>
      <x:c r="C176" s="160" t="inlineStr">
        <x:is>
          <x:t xml:space="preserve">Micron Technology</x:t>
        </x:is>
      </x:c>
      <x:c r="D176" s="160" t="inlineStr">
        <x:is>
          <x:t xml:space="preserve">MU</x:t>
        </x:is>
      </x:c>
      <x:c r="E176" s="160" t="inlineStr">
        <x:is>
          <x:t xml:space="preserve">AI &amp; Semiconductors</x:t>
        </x:is>
      </x:c>
      <x:c r="F176" s="160" t="inlineStr">
        <x:is>
          <x:t xml:space="preserve">Development</x:t>
        </x:is>
      </x:c>
      <x:c r="G176" s="160" t="inlineStr">
        <x:is>
          <x:t xml:space="preserve">S11</x:t>
        </x:is>
      </x:c>
      <x:c r="H176" s="160" t="inlineStr">
        <x:is>
          <x:t xml:space="preserve">False-Negative Discipline</x:t>
        </x:is>
      </x:c>
      <x:c r="I176" s="160" t="inlineStr">
        <x:is>
          <x:t xml:space="preserve">False negative</x:t>
        </x:is>
      </x:c>
      <x:c r="J176" s="160" t="inlineStr">
        <x:is>
          <x:t xml:space="preserve">A strict gate rejects a company that later compounds strongly for reasons the model could have known.</x:t>
        </x:is>
      </x:c>
      <x:c r="K176" s="160" t="inlineStr">
        <x:is>
          <x:t xml:space="preserve">Bit shipments × pricing − capital intensity</x:t>
        </x:is>
      </x:c>
      <x:c r="L176" s="160" t="inlineStr">
        <x:is>
          <x:t xml:space="preserve">Cycle-normalized earnings + replacement cost</x:t>
        </x:is>
      </x:c>
      <x:c r="M176" s="160" t="inlineStr">
        <x:is>
          <x:t xml:space="preserve">WAIT</x:t>
        </x:is>
      </x:c>
      <x:c r="N176" s="160" t="inlineStr">
        <x:is>
          <x:t xml:space="preserve">R-FN-01</x:t>
        </x:is>
      </x:c>
      <x:c r="O176" s="160" t="inlineStr">
        <x:is>
          <x:t xml:space="preserve">HARDENED</x:t>
        </x:is>
      </x:c>
      <x:c r="P176" s="160" t="inlineStr">
        <x:is>
          <x:t xml:space="preserve">ROBUST WITH RESIDUAL</x:t>
        </x:is>
      </x:c>
      <x:c r="Q176" s="160" t="inlineStr">
        <x:is>
          <x:t xml:space="preserve">The hardened rule catches the stress. Residual risk is mainly evidence quality, threshold calibration or interaction with another gate.</x:t>
        </x:is>
      </x:c>
      <x:c r="R176" s="160" t="inlineStr">
        <x:is>
          <x:t xml:space="preserve">Track opportunity cost and classify whether the miss came from evidence timing, wrong threshold or genuinely unknowable upside.</x:t>
        </x:is>
      </x:c>
      <x:c r="S176" s="160" t="inlineStr">
        <x:is>
          <x:t xml:space="preserve">NO</x:t>
        </x:is>
      </x:c>
      <x:c r="T176" s="160" t="inlineStr">
        <x:is>
          <x:t xml:space="preserve">HARDENED</x:t>
        </x:is>
      </x:c>
      <x:c r="U176" s="160" t="inlineStr">
        <x:is>
          <x:t xml:space="preserve">V10.5-SIM35</x:t>
        </x:is>
      </x:c>
      <x:c r="V176" s="160" t="inlineStr">
        <x:is>
          <x:t xml:space="preserve">https://investors.micron.com</x:t>
        </x:is>
      </x:c>
      <x:c r="W176" s="160" t="inlineStr">
        <x:is>
          <x:t xml:space="preserve">NO</x:t>
        </x:is>
      </x:c>
      <x:c r="X176" s="160" t="inlineStr">
        <x:is>
          <x:t xml:space="preserve">NONE — DEVELOPMENT ONLY</x:t>
        </x:is>
      </x:c>
      <x:c r="Y176" s="160" t="inlineStr">
        <x:is>
          <x:t xml:space="preserve">Synthetic/adversarial model-development loop. No historical outcome is claimed; no accuracy point is awarded.</x:t>
        </x:is>
      </x:c>
    </x:row>
    <x:row r="177">
      <x:c r="A177" s="160" t="inlineStr">
        <x:is>
          <x:t xml:space="preserve">ML0172</x:t>
        </x:is>
      </x:c>
      <x:c r="B177" s="160" t="inlineStr">
        <x:is>
          <x:t xml:space="preserve">ARG-011</x:t>
        </x:is>
      </x:c>
      <x:c r="C177" s="160" t="inlineStr">
        <x:is>
          <x:t xml:space="preserve">Micron Technology</x:t>
        </x:is>
      </x:c>
      <x:c r="D177" s="160" t="inlineStr">
        <x:is>
          <x:t xml:space="preserve">MU</x:t>
        </x:is>
      </x:c>
      <x:c r="E177" s="160" t="inlineStr">
        <x:is>
          <x:t xml:space="preserve">AI &amp; Semiconductors</x:t>
        </x:is>
      </x:c>
      <x:c r="F177" s="160" t="inlineStr">
        <x:is>
          <x:t xml:space="preserve">Development</x:t>
        </x:is>
      </x:c>
      <x:c r="G177" s="160" t="inlineStr">
        <x:is>
          <x:t xml:space="preserve">S12</x:t>
        </x:is>
      </x:c>
      <x:c r="H177" s="160" t="inlineStr">
        <x:is>
          <x:t xml:space="preserve">Lead-Time / Early Sensor</x:t>
        </x:is>
      </x:c>
      <x:c r="I177" s="160" t="inlineStr">
        <x:is>
          <x:t xml:space="preserve">Timing / lead-time</x:t>
        </x:is>
      </x:c>
      <x:c r="J177" s="160" t="inlineStr">
        <x:is>
          <x:t xml:space="preserve">ARGUS identifies the change correctly but only after consensus and price have already reacted.</x:t>
        </x:is>
      </x:c>
      <x:c r="K177" s="160" t="inlineStr">
        <x:is>
          <x:t xml:space="preserve">Bit shipments × pricing − capital intensity</x:t>
        </x:is>
      </x:c>
      <x:c r="L177" s="160" t="inlineStr">
        <x:is>
          <x:t xml:space="preserve">Cycle-normalized earnings + replacement cost</x:t>
        </x:is>
      </x:c>
      <x:c r="M177" s="160" t="inlineStr">
        <x:is>
          <x:t xml:space="preserve">WAIT</x:t>
        </x:is>
      </x:c>
      <x:c r="N177" s="160" t="inlineStr">
        <x:is>
          <x:t xml:space="preserve">R-TIME-01</x:t>
        </x:is>
      </x:c>
      <x:c r="O177" s="160" t="inlineStr">
        <x:is>
          <x:t xml:space="preserve">HARDENED</x:t>
        </x:is>
      </x:c>
      <x:c r="P177" s="160" t="inlineStr">
        <x:is>
          <x:t xml:space="preserve">ROBUST WITH RESIDUAL</x:t>
        </x:is>
      </x:c>
      <x:c r="Q177" s="160" t="inlineStr">
        <x:is>
          <x:t xml:space="preserve">The hardened rule catches the stress. Residual risk is mainly evidence quality, threshold calibration or interaction with another gate.</x:t>
        </x:is>
      </x:c>
      <x:c r="R177" s="160" t="inlineStr">
        <x:is>
          <x:t xml:space="preserve">Replace lagging financial metrics with earlier causal operating sensors and record lead time separately from correctness.</x:t>
        </x:is>
      </x:c>
      <x:c r="S177" s="160" t="inlineStr">
        <x:is>
          <x:t xml:space="preserve">NO</x:t>
        </x:is>
      </x:c>
      <x:c r="T177" s="160" t="inlineStr">
        <x:is>
          <x:t xml:space="preserve">HARDENED</x:t>
        </x:is>
      </x:c>
      <x:c r="U177" s="160" t="inlineStr">
        <x:is>
          <x:t xml:space="preserve">V10.5-SIM35</x:t>
        </x:is>
      </x:c>
      <x:c r="V177" s="160" t="inlineStr">
        <x:is>
          <x:t xml:space="preserve">https://investors.micron.com</x:t>
        </x:is>
      </x:c>
      <x:c r="W177" s="160" t="inlineStr">
        <x:is>
          <x:t xml:space="preserve">NO</x:t>
        </x:is>
      </x:c>
      <x:c r="X177" s="160" t="inlineStr">
        <x:is>
          <x:t xml:space="preserve">NONE — DEVELOPMENT ONLY</x:t>
        </x:is>
      </x:c>
      <x:c r="Y177" s="160" t="inlineStr">
        <x:is>
          <x:t xml:space="preserve">Synthetic/adversarial model-development loop. No historical outcome is claimed; no accuracy point is awarded.</x:t>
        </x:is>
      </x:c>
    </x:row>
    <x:row r="178">
      <x:c r="A178" s="160" t="inlineStr">
        <x:is>
          <x:t xml:space="preserve">ML0173</x:t>
        </x:is>
      </x:c>
      <x:c r="B178" s="160" t="inlineStr">
        <x:is>
          <x:t xml:space="preserve">ARG-011</x:t>
        </x:is>
      </x:c>
      <x:c r="C178" s="160" t="inlineStr">
        <x:is>
          <x:t xml:space="preserve">Micron Technology</x:t>
        </x:is>
      </x:c>
      <x:c r="D178" s="160" t="inlineStr">
        <x:is>
          <x:t xml:space="preserve">MU</x:t>
        </x:is>
      </x:c>
      <x:c r="E178" s="160" t="inlineStr">
        <x:is>
          <x:t xml:space="preserve">AI &amp; Semiconductors</x:t>
        </x:is>
      </x:c>
      <x:c r="F178" s="160" t="inlineStr">
        <x:is>
          <x:t xml:space="preserve">Development</x:t>
        </x:is>
      </x:c>
      <x:c r="G178" s="160" t="inlineStr">
        <x:is>
          <x:t xml:space="preserve">S13</x:t>
        </x:is>
      </x:c>
      <x:c r="H178" s="160" t="inlineStr">
        <x:is>
          <x:t xml:space="preserve">Cycle Normalization</x:t>
        </x:is>
      </x:c>
      <x:c r="I178" s="160" t="inlineStr">
        <x:is>
          <x:t xml:space="preserve">Wrong valuation lens</x:t>
        </x:is>
      </x:c>
      <x:c r="J178" s="160" t="inlineStr">
        <x:is>
          <x:t xml:space="preserve">Peak/trough earnings are mistaken for normalized earning power.</x:t>
        </x:is>
      </x:c>
      <x:c r="K178" s="160" t="inlineStr">
        <x:is>
          <x:t xml:space="preserve">Bit shipments × pricing − capital intensity</x:t>
        </x:is>
      </x:c>
      <x:c r="L178" s="160" t="inlineStr">
        <x:is>
          <x:t xml:space="preserve">Cycle-normalized earnings + replacement cost</x:t>
        </x:is>
      </x:c>
      <x:c r="M178" s="160" t="inlineStr">
        <x:is>
          <x:t xml:space="preserve">WAIT</x:t>
        </x:is>
      </x:c>
      <x:c r="N178" s="160" t="inlineStr">
        <x:is>
          <x:t xml:space="preserve">R-CYCLE-01</x:t>
        </x:is>
      </x:c>
      <x:c r="O178" s="160" t="inlineStr">
        <x:is>
          <x:t xml:space="preserve">HARDENED</x:t>
        </x:is>
      </x:c>
      <x:c r="P178" s="160" t="inlineStr">
        <x:is>
          <x:t xml:space="preserve">ROBUST WITH RESIDUAL</x:t>
        </x:is>
      </x:c>
      <x:c r="Q178" s="160" t="inlineStr">
        <x:is>
          <x:t xml:space="preserve">The hardened rule catches the stress. Residual risk is mainly evidence quality, threshold calibration or interaction with another gate.</x:t>
        </x:is>
      </x:c>
      <x:c r="R178" s="160" t="inlineStr">
        <x:is>
          <x:t xml:space="preserve">Use sector-specific mid-cycle/NAV/rate-base/rNPV normalization before applying a valuation multiple.</x:t>
        </x:is>
      </x:c>
      <x:c r="S178" s="160" t="inlineStr">
        <x:is>
          <x:t xml:space="preserve">NO</x:t>
        </x:is>
      </x:c>
      <x:c r="T178" s="160" t="inlineStr">
        <x:is>
          <x:t xml:space="preserve">HARDENED</x:t>
        </x:is>
      </x:c>
      <x:c r="U178" s="160" t="inlineStr">
        <x:is>
          <x:t xml:space="preserve">V10.5-SIM35</x:t>
        </x:is>
      </x:c>
      <x:c r="V178" s="160" t="inlineStr">
        <x:is>
          <x:t xml:space="preserve">https://investors.micron.com</x:t>
        </x:is>
      </x:c>
      <x:c r="W178" s="160" t="inlineStr">
        <x:is>
          <x:t xml:space="preserve">NO</x:t>
        </x:is>
      </x:c>
      <x:c r="X178" s="160" t="inlineStr">
        <x:is>
          <x:t xml:space="preserve">NONE — DEVELOPMENT ONLY</x:t>
        </x:is>
      </x:c>
      <x:c r="Y178" s="160" t="inlineStr">
        <x:is>
          <x:t xml:space="preserve">Synthetic/adversarial model-development loop. No historical outcome is claimed; no accuracy point is awarded.</x:t>
        </x:is>
      </x:c>
    </x:row>
    <x:row r="179">
      <x:c r="A179" s="160" t="inlineStr">
        <x:is>
          <x:t xml:space="preserve">ML0174</x:t>
        </x:is>
      </x:c>
      <x:c r="B179" s="160" t="inlineStr">
        <x:is>
          <x:t xml:space="preserve">ARG-011</x:t>
        </x:is>
      </x:c>
      <x:c r="C179" s="160" t="inlineStr">
        <x:is>
          <x:t xml:space="preserve">Micron Technology</x:t>
        </x:is>
      </x:c>
      <x:c r="D179" s="160" t="inlineStr">
        <x:is>
          <x:t xml:space="preserve">MU</x:t>
        </x:is>
      </x:c>
      <x:c r="E179" s="160" t="inlineStr">
        <x:is>
          <x:t xml:space="preserve">AI &amp; Semiconductors</x:t>
        </x:is>
      </x:c>
      <x:c r="F179" s="160" t="inlineStr">
        <x:is>
          <x:t xml:space="preserve">Development</x:t>
        </x:is>
      </x:c>
      <x:c r="G179" s="160" t="inlineStr">
        <x:is>
          <x:t xml:space="preserve">S14</x:t>
        </x:is>
      </x:c>
      <x:c r="H179" s="160" t="inlineStr">
        <x:is>
          <x:t xml:space="preserve">M&amp;A / Organic Growth Separation</x:t>
        </x:is>
      </x:c>
      <x:c r="I179" s="160" t="inlineStr">
        <x:is>
          <x:t xml:space="preserve">Stewardship</x:t>
        </x:is>
      </x:c>
      <x:c r="J179" s="160" t="inlineStr">
        <x:is>
          <x:t xml:space="preserve">Acquisition-driven growth masks weak organic economics or poor incremental ROIC.</x:t>
        </x:is>
      </x:c>
      <x:c r="K179" s="160" t="inlineStr">
        <x:is>
          <x:t xml:space="preserve">Bit shipments × pricing − capital intensity</x:t>
        </x:is>
      </x:c>
      <x:c r="L179" s="160" t="inlineStr">
        <x:is>
          <x:t xml:space="preserve">Cycle-normalized earnings + replacement cost</x:t>
        </x:is>
      </x:c>
      <x:c r="M179" s="160" t="inlineStr">
        <x:is>
          <x:t xml:space="preserve">WAIT</x:t>
        </x:is>
      </x:c>
      <x:c r="N179" s="160" t="inlineStr">
        <x:is>
          <x:t xml:space="preserve">R-MA-01</x:t>
        </x:is>
      </x:c>
      <x:c r="O179" s="160" t="inlineStr">
        <x:is>
          <x:t xml:space="preserve">HARDENED</x:t>
        </x:is>
      </x:c>
      <x:c r="P179" s="160" t="inlineStr">
        <x:is>
          <x:t xml:space="preserve">ROBUST WITH RESIDUAL</x:t>
        </x:is>
      </x:c>
      <x:c r="Q179" s="160" t="inlineStr">
        <x:is>
          <x:t xml:space="preserve">The hardened rule catches the stress. Residual risk is mainly evidence quality, threshold calibration or interaction with another gate.</x:t>
        </x:is>
      </x:c>
      <x:c r="R179" s="160" t="inlineStr">
        <x:is>
          <x:t xml:space="preserve">Bridge organic growth, acquired growth, purchase price, integration costs and acquisition-cohort ROIC.</x:t>
        </x:is>
      </x:c>
      <x:c r="S179" s="160" t="inlineStr">
        <x:is>
          <x:t xml:space="preserve">NO</x:t>
        </x:is>
      </x:c>
      <x:c r="T179" s="160" t="inlineStr">
        <x:is>
          <x:t xml:space="preserve">HARDENED</x:t>
        </x:is>
      </x:c>
      <x:c r="U179" s="160" t="inlineStr">
        <x:is>
          <x:t xml:space="preserve">V10.5-SIM35</x:t>
        </x:is>
      </x:c>
      <x:c r="V179" s="160" t="inlineStr">
        <x:is>
          <x:t xml:space="preserve">https://investors.micron.com</x:t>
        </x:is>
      </x:c>
      <x:c r="W179" s="160" t="inlineStr">
        <x:is>
          <x:t xml:space="preserve">NO</x:t>
        </x:is>
      </x:c>
      <x:c r="X179" s="160" t="inlineStr">
        <x:is>
          <x:t xml:space="preserve">NONE — DEVELOPMENT ONLY</x:t>
        </x:is>
      </x:c>
      <x:c r="Y179" s="160" t="inlineStr">
        <x:is>
          <x:t xml:space="preserve">Synthetic/adversarial model-development loop. No historical outcome is claimed; no accuracy point is awarded.</x:t>
        </x:is>
      </x:c>
    </x:row>
    <x:row r="180">
      <x:c r="A180" s="160" t="inlineStr">
        <x:is>
          <x:t xml:space="preserve">ML0175</x:t>
        </x:is>
      </x:c>
      <x:c r="B180" s="160" t="inlineStr">
        <x:is>
          <x:t xml:space="preserve">ARG-011</x:t>
        </x:is>
      </x:c>
      <x:c r="C180" s="160" t="inlineStr">
        <x:is>
          <x:t xml:space="preserve">Micron Technology</x:t>
        </x:is>
      </x:c>
      <x:c r="D180" s="160" t="inlineStr">
        <x:is>
          <x:t xml:space="preserve">MU</x:t>
        </x:is>
      </x:c>
      <x:c r="E180" s="160" t="inlineStr">
        <x:is>
          <x:t xml:space="preserve">AI &amp; Semiconductors</x:t>
        </x:is>
      </x:c>
      <x:c r="F180" s="160" t="inlineStr">
        <x:is>
          <x:t xml:space="preserve">Development</x:t>
        </x:is>
      </x:c>
      <x:c r="G180" s="160" t="inlineStr">
        <x:is>
          <x:t xml:space="preserve">S15</x:t>
        </x:is>
      </x:c>
      <x:c r="H180" s="160" t="inlineStr">
        <x:is>
          <x:t xml:space="preserve">Financing / Dilution Per Share</x:t>
        </x:is>
      </x:c>
      <x:c r="I180" s="160" t="inlineStr">
        <x:is>
          <x:t xml:space="preserve">Stewardship</x:t>
        </x:is>
      </x:c>
      <x:c r="J180" s="160" t="inlineStr">
        <x:is>
          <x:t xml:space="preserve">Cash balance or revenue growth improves while financing causes material per-share value leakage.</x:t>
        </x:is>
      </x:c>
      <x:c r="K180" s="160" t="inlineStr">
        <x:is>
          <x:t xml:space="preserve">Bit shipments × pricing − capital intensity</x:t>
        </x:is>
      </x:c>
      <x:c r="L180" s="160" t="inlineStr">
        <x:is>
          <x:t xml:space="preserve">Cycle-normalized earnings + replacement cost</x:t>
        </x:is>
      </x:c>
      <x:c r="M180" s="160" t="inlineStr">
        <x:is>
          <x:t xml:space="preserve">WAIT</x:t>
        </x:is>
      </x:c>
      <x:c r="N180" s="160" t="inlineStr">
        <x:is>
          <x:t xml:space="preserve">R-DIL-01</x:t>
        </x:is>
      </x:c>
      <x:c r="O180" s="160" t="inlineStr">
        <x:is>
          <x:t xml:space="preserve">HARDENED</x:t>
        </x:is>
      </x:c>
      <x:c r="P180" s="160" t="inlineStr">
        <x:is>
          <x:t xml:space="preserve">ROBUST WITH RESIDUAL</x:t>
        </x:is>
      </x:c>
      <x:c r="Q180" s="160" t="inlineStr">
        <x:is>
          <x:t xml:space="preserve">The hardened rule catches the stress. Residual risk is mainly evidence quality, threshold calibration or interaction with another gate.</x:t>
        </x:is>
      </x:c>
      <x:c r="R180" s="160" t="inlineStr">
        <x:is>
          <x:t xml:space="preserve">Reconcile share-count growth, SBC, equity issuance, buybacks and net cash changes to per-share intrinsic value.</x:t>
        </x:is>
      </x:c>
      <x:c r="S180" s="160" t="inlineStr">
        <x:is>
          <x:t xml:space="preserve">NO</x:t>
        </x:is>
      </x:c>
      <x:c r="T180" s="160" t="inlineStr">
        <x:is>
          <x:t xml:space="preserve">HARDENED</x:t>
        </x:is>
      </x:c>
      <x:c r="U180" s="160" t="inlineStr">
        <x:is>
          <x:t xml:space="preserve">V10.5-SIM35</x:t>
        </x:is>
      </x:c>
      <x:c r="V180" s="160" t="inlineStr">
        <x:is>
          <x:t xml:space="preserve">https://investors.micron.com</x:t>
        </x:is>
      </x:c>
      <x:c r="W180" s="160" t="inlineStr">
        <x:is>
          <x:t xml:space="preserve">NO</x:t>
        </x:is>
      </x:c>
      <x:c r="X180" s="160" t="inlineStr">
        <x:is>
          <x:t xml:space="preserve">NONE — DEVELOPMENT ONLY</x:t>
        </x:is>
      </x:c>
      <x:c r="Y180" s="160" t="inlineStr">
        <x:is>
          <x:t xml:space="preserve">Synthetic/adversarial model-development loop. No historical outcome is claimed; no accuracy point is awarded.</x:t>
        </x:is>
      </x:c>
    </x:row>
    <x:row r="181">
      <x:c r="A181" s="160" t="inlineStr">
        <x:is>
          <x:t xml:space="preserve">ML0176</x:t>
        </x:is>
      </x:c>
      <x:c r="B181" s="160" t="inlineStr">
        <x:is>
          <x:t xml:space="preserve">ARG-011</x:t>
        </x:is>
      </x:c>
      <x:c r="C181" s="160" t="inlineStr">
        <x:is>
          <x:t xml:space="preserve">Micron Technology</x:t>
        </x:is>
      </x:c>
      <x:c r="D181" s="160" t="inlineStr">
        <x:is>
          <x:t xml:space="preserve">MU</x:t>
        </x:is>
      </x:c>
      <x:c r="E181" s="160" t="inlineStr">
        <x:is>
          <x:t xml:space="preserve">AI &amp; Semiconductors</x:t>
        </x:is>
      </x:c>
      <x:c r="F181" s="160" t="inlineStr">
        <x:is>
          <x:t xml:space="preserve">Development</x:t>
        </x:is>
      </x:c>
      <x:c r="G181" s="160" t="inlineStr">
        <x:is>
          <x:t xml:space="preserve">S16</x:t>
        </x:is>
      </x:c>
      <x:c r="H181" s="160" t="inlineStr">
        <x:is>
          <x:t xml:space="preserve">Concentration / Tail Risk</x:t>
        </x:is>
      </x:c>
      <x:c r="I181" s="160" t="inlineStr">
        <x:is>
          <x:t xml:space="preserve">Survival</x:t>
        </x:is>
      </x:c>
      <x:c r="J181" s="160" t="inlineStr">
        <x:is>
          <x:t xml:space="preserve">A concentrated supplier, geography, customer, product, patent, regulatory or technology dependency creates asymmetric permanent-loss risk.</x:t>
        </x:is>
      </x:c>
      <x:c r="K181" s="160" t="inlineStr">
        <x:is>
          <x:t xml:space="preserve">Bit shipments × pricing − capital intensity</x:t>
        </x:is>
      </x:c>
      <x:c r="L181" s="160" t="inlineStr">
        <x:is>
          <x:t xml:space="preserve">Cycle-normalized earnings + replacement cost</x:t>
        </x:is>
      </x:c>
      <x:c r="M181" s="160" t="inlineStr">
        <x:is>
          <x:t xml:space="preserve">WAIT</x:t>
        </x:is>
      </x:c>
      <x:c r="N181" s="160" t="inlineStr">
        <x:is>
          <x:t xml:space="preserve">R-TAIL-01</x:t>
        </x:is>
      </x:c>
      <x:c r="O181" s="160" t="inlineStr">
        <x:is>
          <x:t xml:space="preserve">HARDENED</x:t>
        </x:is>
      </x:c>
      <x:c r="P181" s="160" t="inlineStr">
        <x:is>
          <x:t xml:space="preserve">ROBUST WITH RESIDUAL</x:t>
        </x:is>
      </x:c>
      <x:c r="Q181" s="160" t="inlineStr">
        <x:is>
          <x:t xml:space="preserve">The hardened rule catches the stress. Residual risk is mainly evidence quality, threshold calibration or interaction with another gate.</x:t>
        </x:is>
      </x:c>
      <x:c r="R181" s="160" t="inlineStr">
        <x:is>
          <x:t xml:space="preserve">Maintain an explicit concentration/tail-risk register with probability, severity, mitigation and required margin-of-safety premium.</x:t>
        </x:is>
      </x:c>
      <x:c r="S181" s="160" t="inlineStr">
        <x:is>
          <x:t xml:space="preserve">NO</x:t>
        </x:is>
      </x:c>
      <x:c r="T181" s="160" t="inlineStr">
        <x:is>
          <x:t xml:space="preserve">HARDENED</x:t>
        </x:is>
      </x:c>
      <x:c r="U181" s="160" t="inlineStr">
        <x:is>
          <x:t xml:space="preserve">V10.5-SIM35</x:t>
        </x:is>
      </x:c>
      <x:c r="V181" s="160" t="inlineStr">
        <x:is>
          <x:t xml:space="preserve">https://investors.micron.com</x:t>
        </x:is>
      </x:c>
      <x:c r="W181" s="160" t="inlineStr">
        <x:is>
          <x:t xml:space="preserve">NO</x:t>
        </x:is>
      </x:c>
      <x:c r="X181" s="160" t="inlineStr">
        <x:is>
          <x:t xml:space="preserve">NONE — DEVELOPMENT ONLY</x:t>
        </x:is>
      </x:c>
      <x:c r="Y181" s="160" t="inlineStr">
        <x:is>
          <x:t xml:space="preserve">Synthetic/adversarial model-development loop. No historical outcome is claimed; no accuracy point is awarded.</x:t>
        </x:is>
      </x:c>
    </x:row>
    <x:row r="182">
      <x:c r="A182" s="160" t="inlineStr">
        <x:is>
          <x:t xml:space="preserve">ML0177</x:t>
        </x:is>
      </x:c>
      <x:c r="B182" s="160" t="inlineStr">
        <x:is>
          <x:t xml:space="preserve">ARG-012</x:t>
        </x:is>
      </x:c>
      <x:c r="C182" s="160" t="inlineStr">
        <x:is>
          <x:t xml:space="preserve">Broadcom</x:t>
        </x:is>
      </x:c>
      <x:c r="D182" s="160" t="inlineStr">
        <x:is>
          <x:t xml:space="preserve">AVGO</x:t>
        </x:is>
      </x:c>
      <x:c r="E182" s="160" t="inlineStr">
        <x:is>
          <x:t xml:space="preserve">AI &amp; Semiconductors</x:t>
        </x:is>
      </x:c>
      <x:c r="F182" s="160" t="inlineStr">
        <x:is>
          <x:t xml:space="preserve">Development</x:t>
        </x:is>
      </x:c>
      <x:c r="G182" s="160" t="inlineStr">
        <x:is>
          <x:t xml:space="preserve">S01</x:t>
        </x:is>
      </x:c>
      <x:c r="H182" s="160" t="inlineStr">
        <x:is>
          <x:t xml:space="preserve">Understanding Gate</x:t>
        </x:is>
      </x:c>
      <x:c r="I182" s="160" t="inlineStr">
        <x:is>
          <x:t xml:space="preserve">Understanding</x:t>
        </x:is>
      </x:c>
      <x:c r="J182" s="160" t="inlineStr">
        <x:is>
          <x:t xml:space="preserve">Causal engine / customer ROI chain breaks under a misleading headline KPI.</x:t>
        </x:is>
      </x:c>
      <x:c r="K182" s="160" t="inlineStr">
        <x:is>
          <x:t xml:space="preserve">AI connectivity/custom silicon plus recurring infrastructure software</x:t>
        </x:is>
      </x:c>
      <x:c r="L182" s="160" t="inlineStr">
        <x:is>
          <x:t xml:space="preserve">Segment SOTP + owner earnings</x:t>
        </x:is>
      </x:c>
      <x:c r="M182" s="160" t="inlineStr">
        <x:is>
          <x:t xml:space="preserve">WATCH</x:t>
        </x:is>
      </x:c>
      <x:c r="N182" s="160" t="inlineStr">
        <x:is>
          <x:t xml:space="preserve">R-ENG-01</x:t>
        </x:is>
      </x:c>
      <x:c r="O182" s="160" t="inlineStr">
        <x:is>
          <x:t xml:space="preserve">HARDENED</x:t>
        </x:is>
      </x:c>
      <x:c r="P182" s="160" t="inlineStr">
        <x:is>
          <x:t xml:space="preserve">ROBUST WITH RESIDUAL</x:t>
        </x:is>
      </x:c>
      <x:c r="Q182" s="160" t="inlineStr">
        <x:is>
          <x:t xml:space="preserve">The hardened rule catches the stress. Residual risk is mainly evidence quality, threshold calibration or interaction with another gate.</x:t>
        </x:is>
      </x:c>
      <x:c r="R182" s="160" t="inlineStr">
        <x:is>
          <x:t xml:space="preserve">Force an explicit engine tree: customer job → unit economics → revenue driver → owner-value bridge.</x:t>
        </x:is>
      </x:c>
      <x:c r="S182" s="160" t="inlineStr">
        <x:is>
          <x:t xml:space="preserve">NO</x:t>
        </x:is>
      </x:c>
      <x:c r="T182" s="160" t="inlineStr">
        <x:is>
          <x:t xml:space="preserve">HARDENED</x:t>
        </x:is>
      </x:c>
      <x:c r="U182" s="160" t="inlineStr">
        <x:is>
          <x:t xml:space="preserve">V10.5-SIM35</x:t>
        </x:is>
      </x:c>
      <x:c r="V182" s="160" t="inlineStr">
        <x:is>
          <x:t xml:space="preserve">https://investors.broadcom.com</x:t>
        </x:is>
      </x:c>
      <x:c r="W182" s="160" t="inlineStr">
        <x:is>
          <x:t xml:space="preserve">NO</x:t>
        </x:is>
      </x:c>
      <x:c r="X182" s="160" t="inlineStr">
        <x:is>
          <x:t xml:space="preserve">NONE — DEVELOPMENT ONLY</x:t>
        </x:is>
      </x:c>
      <x:c r="Y182" s="160" t="inlineStr">
        <x:is>
          <x:t xml:space="preserve">Synthetic/adversarial model-development loop. No historical outcome is claimed; no accuracy point is awarded.</x:t>
        </x:is>
      </x:c>
    </x:row>
    <x:row r="183">
      <x:c r="A183" s="160" t="inlineStr">
        <x:is>
          <x:t xml:space="preserve">ML0178</x:t>
        </x:is>
      </x:c>
      <x:c r="B183" s="160" t="inlineStr">
        <x:is>
          <x:t xml:space="preserve">ARG-012</x:t>
        </x:is>
      </x:c>
      <x:c r="C183" s="160" t="inlineStr">
        <x:is>
          <x:t xml:space="preserve">Broadcom</x:t>
        </x:is>
      </x:c>
      <x:c r="D183" s="160" t="inlineStr">
        <x:is>
          <x:t xml:space="preserve">AVGO</x:t>
        </x:is>
      </x:c>
      <x:c r="E183" s="160" t="inlineStr">
        <x:is>
          <x:t xml:space="preserve">AI &amp; Semiconductors</x:t>
        </x:is>
      </x:c>
      <x:c r="F183" s="160" t="inlineStr">
        <x:is>
          <x:t xml:space="preserve">Development</x:t>
        </x:is>
      </x:c>
      <x:c r="G183" s="160" t="inlineStr">
        <x:is>
          <x:t xml:space="preserve">S02</x:t>
        </x:is>
      </x:c>
      <x:c r="H183" s="160" t="inlineStr">
        <x:is>
          <x:t xml:space="preserve">Owner Earnings Normalization</x:t>
        </x:is>
      </x:c>
      <x:c r="I183" s="160" t="inlineStr">
        <x:is>
          <x:t xml:space="preserve">Owner Earnings</x:t>
        </x:is>
      </x:c>
      <x:c r="J183" s="160" t="inlineStr">
        <x:is>
          <x:t xml:space="preserve">Reported earnings/FCF overstates economic cash because recurring reinvestment or non-cash compensation is misclassified.</x:t>
        </x:is>
      </x:c>
      <x:c r="K183" s="160" t="inlineStr">
        <x:is>
          <x:t xml:space="preserve">AI connectivity/custom silicon plus recurring infrastructure software</x:t>
        </x:is>
      </x:c>
      <x:c r="L183" s="160" t="inlineStr">
        <x:is>
          <x:t xml:space="preserve">Segment SOTP + owner earnings</x:t>
        </x:is>
      </x:c>
      <x:c r="M183" s="160" t="inlineStr">
        <x:is>
          <x:t xml:space="preserve">WATCH</x:t>
        </x:is>
      </x:c>
      <x:c r="N183" s="160" t="inlineStr">
        <x:is>
          <x:t xml:space="preserve">R-OE-01</x:t>
        </x:is>
      </x:c>
      <x:c r="O183" s="160" t="inlineStr">
        <x:is>
          <x:t xml:space="preserve">HARDENED</x:t>
        </x:is>
      </x:c>
      <x:c r="P183" s="160" t="inlineStr">
        <x:is>
          <x:t xml:space="preserve">ROBUST WITH RESIDUAL</x:t>
        </x:is>
      </x:c>
      <x:c r="Q183" s="160" t="inlineStr">
        <x:is>
          <x:t xml:space="preserve">The hardened rule catches the stress. Residual risk is mainly evidence quality, threshold calibration or interaction with another gate.</x:t>
        </x:is>
      </x:c>
      <x:c r="R183" s="160" t="inlineStr">
        <x:is>
          <x:t xml:space="preserve">Require a GAAP-to-economic-owner-cash bridge tailored to the business model.</x:t>
        </x:is>
      </x:c>
      <x:c r="S183" s="160" t="inlineStr">
        <x:is>
          <x:t xml:space="preserve">NO</x:t>
        </x:is>
      </x:c>
      <x:c r="T183" s="160" t="inlineStr">
        <x:is>
          <x:t xml:space="preserve">HARDENED</x:t>
        </x:is>
      </x:c>
      <x:c r="U183" s="160" t="inlineStr">
        <x:is>
          <x:t xml:space="preserve">V10.5-SIM35</x:t>
        </x:is>
      </x:c>
      <x:c r="V183" s="160" t="inlineStr">
        <x:is>
          <x:t xml:space="preserve">https://investors.broadcom.com</x:t>
        </x:is>
      </x:c>
      <x:c r="W183" s="160" t="inlineStr">
        <x:is>
          <x:t xml:space="preserve">NO</x:t>
        </x:is>
      </x:c>
      <x:c r="X183" s="160" t="inlineStr">
        <x:is>
          <x:t xml:space="preserve">NONE — DEVELOPMENT ONLY</x:t>
        </x:is>
      </x:c>
      <x:c r="Y183" s="160" t="inlineStr">
        <x:is>
          <x:t xml:space="preserve">Synthetic/adversarial model-development loop. No historical outcome is claimed; no accuracy point is awarded.</x:t>
        </x:is>
      </x:c>
    </x:row>
    <x:row r="184">
      <x:c r="A184" s="160" t="inlineStr">
        <x:is>
          <x:t xml:space="preserve">ML0179</x:t>
        </x:is>
      </x:c>
      <x:c r="B184" s="160" t="inlineStr">
        <x:is>
          <x:t xml:space="preserve">ARG-012</x:t>
        </x:is>
      </x:c>
      <x:c r="C184" s="160" t="inlineStr">
        <x:is>
          <x:t xml:space="preserve">Broadcom</x:t>
        </x:is>
      </x:c>
      <x:c r="D184" s="160" t="inlineStr">
        <x:is>
          <x:t xml:space="preserve">AVGO</x:t>
        </x:is>
      </x:c>
      <x:c r="E184" s="160" t="inlineStr">
        <x:is>
          <x:t xml:space="preserve">AI &amp; Semiconductors</x:t>
        </x:is>
      </x:c>
      <x:c r="F184" s="160" t="inlineStr">
        <x:is>
          <x:t xml:space="preserve">Development</x:t>
        </x:is>
      </x:c>
      <x:c r="G184" s="160" t="inlineStr">
        <x:is>
          <x:t xml:space="preserve">S03</x:t>
        </x:is>
      </x:c>
      <x:c r="H184" s="160" t="inlineStr">
        <x:is>
          <x:t xml:space="preserve">Moat Durability</x:t>
        </x:is>
      </x:c>
      <x:c r="I184" s="160" t="inlineStr">
        <x:is>
          <x:t xml:space="preserve">Moat 2036</x:t>
        </x:is>
      </x:c>
      <x:c r="J184" s="160" t="inlineStr">
        <x:is>
          <x:t xml:space="preserve">Growth continues while switching friction, pricing power or replacement difficulty quietly weakens.</x:t>
        </x:is>
      </x:c>
      <x:c r="K184" s="160" t="inlineStr">
        <x:is>
          <x:t xml:space="preserve">AI connectivity/custom silicon plus recurring infrastructure software</x:t>
        </x:is>
      </x:c>
      <x:c r="L184" s="160" t="inlineStr">
        <x:is>
          <x:t xml:space="preserve">Segment SOTP + owner earnings</x:t>
        </x:is>
      </x:c>
      <x:c r="M184" s="160" t="inlineStr">
        <x:is>
          <x:t xml:space="preserve">WATCH</x:t>
        </x:is>
      </x:c>
      <x:c r="N184" s="160" t="inlineStr">
        <x:is>
          <x:t xml:space="preserve">R-MOAT-01</x:t>
        </x:is>
      </x:c>
      <x:c r="O184" s="160" t="inlineStr">
        <x:is>
          <x:t xml:space="preserve">HARDENED</x:t>
        </x:is>
      </x:c>
      <x:c r="P184" s="160" t="inlineStr">
        <x:is>
          <x:t xml:space="preserve">ROBUST WITH RESIDUAL</x:t>
        </x:is>
      </x:c>
      <x:c r="Q184" s="160" t="inlineStr">
        <x:is>
          <x:t xml:space="preserve">The hardened rule catches the stress. Residual risk is mainly evidence quality, threshold calibration or interaction with another gate.</x:t>
        </x:is>
      </x:c>
      <x:c r="R184" s="160" t="inlineStr">
        <x:is>
          <x:t xml:space="preserve">Track moat telemetry separately from growth: retention, pricing, win/loss, replacement friction, installed-base behavior.</x:t>
        </x:is>
      </x:c>
      <x:c r="S184" s="160" t="inlineStr">
        <x:is>
          <x:t xml:space="preserve">NO</x:t>
        </x:is>
      </x:c>
      <x:c r="T184" s="160" t="inlineStr">
        <x:is>
          <x:t xml:space="preserve">HARDENED</x:t>
        </x:is>
      </x:c>
      <x:c r="U184" s="160" t="inlineStr">
        <x:is>
          <x:t xml:space="preserve">V10.5-SIM35</x:t>
        </x:is>
      </x:c>
      <x:c r="V184" s="160" t="inlineStr">
        <x:is>
          <x:t xml:space="preserve">https://investors.broadcom.com</x:t>
        </x:is>
      </x:c>
      <x:c r="W184" s="160" t="inlineStr">
        <x:is>
          <x:t xml:space="preserve">NO</x:t>
        </x:is>
      </x:c>
      <x:c r="X184" s="160" t="inlineStr">
        <x:is>
          <x:t xml:space="preserve">NONE — DEVELOPMENT ONLY</x:t>
        </x:is>
      </x:c>
      <x:c r="Y184" s="160" t="inlineStr">
        <x:is>
          <x:t xml:space="preserve">Synthetic/adversarial model-development loop. No historical outcome is claimed; no accuracy point is awarded.</x:t>
        </x:is>
      </x:c>
    </x:row>
    <x:row r="185">
      <x:c r="A185" s="160" t="inlineStr">
        <x:is>
          <x:t xml:space="preserve">ML0180</x:t>
        </x:is>
      </x:c>
      <x:c r="B185" s="160" t="inlineStr">
        <x:is>
          <x:t xml:space="preserve">ARG-012</x:t>
        </x:is>
      </x:c>
      <x:c r="C185" s="160" t="inlineStr">
        <x:is>
          <x:t xml:space="preserve">Broadcom</x:t>
        </x:is>
      </x:c>
      <x:c r="D185" s="160" t="inlineStr">
        <x:is>
          <x:t xml:space="preserve">AVGO</x:t>
        </x:is>
      </x:c>
      <x:c r="E185" s="160" t="inlineStr">
        <x:is>
          <x:t xml:space="preserve">AI &amp; Semiconductors</x:t>
        </x:is>
      </x:c>
      <x:c r="F185" s="160" t="inlineStr">
        <x:is>
          <x:t xml:space="preserve">Development</x:t>
        </x:is>
      </x:c>
      <x:c r="G185" s="160" t="inlineStr">
        <x:is>
          <x:t xml:space="preserve">S04</x:t>
        </x:is>
      </x:c>
      <x:c r="H185" s="160" t="inlineStr">
        <x:is>
          <x:t xml:space="preserve">Stewardship / Capital Allocation</x:t>
        </x:is>
      </x:c>
      <x:c r="I185" s="160" t="inlineStr">
        <x:is>
          <x:t xml:space="preserve">Stewardship</x:t>
        </x:is>
      </x:c>
      <x:c r="J185" s="160" t="inlineStr">
        <x:is>
          <x:t xml:space="preserve">Management creates enterprise growth while destroying per-share value through M&amp;A, dilution, leverage or mistimed buybacks.</x:t>
        </x:is>
      </x:c>
      <x:c r="K185" s="160" t="inlineStr">
        <x:is>
          <x:t xml:space="preserve">AI connectivity/custom silicon plus recurring infrastructure software</x:t>
        </x:is>
      </x:c>
      <x:c r="L185" s="160" t="inlineStr">
        <x:is>
          <x:t xml:space="preserve">Segment SOTP + owner earnings</x:t>
        </x:is>
      </x:c>
      <x:c r="M185" s="160" t="inlineStr">
        <x:is>
          <x:t xml:space="preserve">WATCH</x:t>
        </x:is>
      </x:c>
      <x:c r="N185" s="160" t="inlineStr">
        <x:is>
          <x:t xml:space="preserve">R-STEW-01</x:t>
        </x:is>
      </x:c>
      <x:c r="O185" s="160" t="inlineStr">
        <x:is>
          <x:t xml:space="preserve">HARDENED</x:t>
        </x:is>
      </x:c>
      <x:c r="P185" s="160" t="inlineStr">
        <x:is>
          <x:t xml:space="preserve">ROBUST WITH RESIDUAL</x:t>
        </x:is>
      </x:c>
      <x:c r="Q185" s="160" t="inlineStr">
        <x:is>
          <x:t xml:space="preserve">The hardened rule catches the stress. Residual risk is mainly evidence quality, threshold calibration or interaction with another gate.</x:t>
        </x:is>
      </x:c>
      <x:c r="R185" s="160" t="inlineStr">
        <x:is>
          <x:t xml:space="preserve">Evaluate capital allocation on a per-share basis using acquisition cohorts, dilution, leverage and repurchase price discipline.</x:t>
        </x:is>
      </x:c>
      <x:c r="S185" s="160" t="inlineStr">
        <x:is>
          <x:t xml:space="preserve">NO</x:t>
        </x:is>
      </x:c>
      <x:c r="T185" s="160" t="inlineStr">
        <x:is>
          <x:t xml:space="preserve">HARDENED</x:t>
        </x:is>
      </x:c>
      <x:c r="U185" s="160" t="inlineStr">
        <x:is>
          <x:t xml:space="preserve">V10.5-SIM35</x:t>
        </x:is>
      </x:c>
      <x:c r="V185" s="160" t="inlineStr">
        <x:is>
          <x:t xml:space="preserve">https://investors.broadcom.com</x:t>
        </x:is>
      </x:c>
      <x:c r="W185" s="160" t="inlineStr">
        <x:is>
          <x:t xml:space="preserve">NO</x:t>
        </x:is>
      </x:c>
      <x:c r="X185" s="160" t="inlineStr">
        <x:is>
          <x:t xml:space="preserve">NONE — DEVELOPMENT ONLY</x:t>
        </x:is>
      </x:c>
      <x:c r="Y185" s="160" t="inlineStr">
        <x:is>
          <x:t xml:space="preserve">Synthetic/adversarial model-development loop. No historical outcome is claimed; no accuracy point is awarded.</x:t>
        </x:is>
      </x:c>
    </x:row>
    <x:row r="186">
      <x:c r="A186" s="160" t="inlineStr">
        <x:is>
          <x:t xml:space="preserve">ML0181</x:t>
        </x:is>
      </x:c>
      <x:c r="B186" s="160" t="inlineStr">
        <x:is>
          <x:t xml:space="preserve">ARG-012</x:t>
        </x:is>
      </x:c>
      <x:c r="C186" s="160" t="inlineStr">
        <x:is>
          <x:t xml:space="preserve">Broadcom</x:t>
        </x:is>
      </x:c>
      <x:c r="D186" s="160" t="inlineStr">
        <x:is>
          <x:t xml:space="preserve">AVGO</x:t>
        </x:is>
      </x:c>
      <x:c r="E186" s="160" t="inlineStr">
        <x:is>
          <x:t xml:space="preserve">AI &amp; Semiconductors</x:t>
        </x:is>
      </x:c>
      <x:c r="F186" s="160" t="inlineStr">
        <x:is>
          <x:t xml:space="preserve">Development</x:t>
        </x:is>
      </x:c>
      <x:c r="G186" s="160" t="inlineStr">
        <x:is>
          <x:t xml:space="preserve">S05</x:t>
        </x:is>
      </x:c>
      <x:c r="H186" s="160" t="inlineStr">
        <x:is>
          <x:t xml:space="preserve">Survival / Funding</x:t>
        </x:is>
      </x:c>
      <x:c r="I186" s="160" t="inlineStr">
        <x:is>
          <x:t xml:space="preserve">Survival</x:t>
        </x:is>
      </x:c>
      <x:c r="J186" s="160" t="inlineStr">
        <x:is>
          <x:t xml:space="preserve">A plausible bear case exposes refinancing, liquidity, covenant, reserve, regulatory or operational fragility.</x:t>
        </x:is>
      </x:c>
      <x:c r="K186" s="160" t="inlineStr">
        <x:is>
          <x:t xml:space="preserve">AI connectivity/custom silicon plus recurring infrastructure software</x:t>
        </x:is>
      </x:c>
      <x:c r="L186" s="160" t="inlineStr">
        <x:is>
          <x:t xml:space="preserve">Segment SOTP + owner earnings</x:t>
        </x:is>
      </x:c>
      <x:c r="M186" s="160" t="inlineStr">
        <x:is>
          <x:t xml:space="preserve">WATCH</x:t>
        </x:is>
      </x:c>
      <x:c r="N186" s="160" t="inlineStr">
        <x:is>
          <x:t xml:space="preserve">R-SURV-01</x:t>
        </x:is>
      </x:c>
      <x:c r="O186" s="160" t="inlineStr">
        <x:is>
          <x:t xml:space="preserve">HARDENED</x:t>
        </x:is>
      </x:c>
      <x:c r="P186" s="160" t="inlineStr">
        <x:is>
          <x:t xml:space="preserve">ROBUST WITH RESIDUAL</x:t>
        </x:is>
      </x:c>
      <x:c r="Q186" s="160" t="inlineStr">
        <x:is>
          <x:t xml:space="preserve">The hardened rule catches the stress. Residual risk is mainly evidence quality, threshold calibration or interaction with another gate.</x:t>
        </x:is>
      </x:c>
      <x:c r="R186" s="160" t="inlineStr">
        <x:is>
          <x:t xml:space="preserve">Run a company-specific survival bridge under a severe-but-plausible bear case before any upside underwriting.</x:t>
        </x:is>
      </x:c>
      <x:c r="S186" s="160" t="inlineStr">
        <x:is>
          <x:t xml:space="preserve">NO</x:t>
        </x:is>
      </x:c>
      <x:c r="T186" s="160" t="inlineStr">
        <x:is>
          <x:t xml:space="preserve">HARDENED</x:t>
        </x:is>
      </x:c>
      <x:c r="U186" s="160" t="inlineStr">
        <x:is>
          <x:t xml:space="preserve">V10.5-SIM35</x:t>
        </x:is>
      </x:c>
      <x:c r="V186" s="160" t="inlineStr">
        <x:is>
          <x:t xml:space="preserve">https://investors.broadcom.com</x:t>
        </x:is>
      </x:c>
      <x:c r="W186" s="160" t="inlineStr">
        <x:is>
          <x:t xml:space="preserve">NO</x:t>
        </x:is>
      </x:c>
      <x:c r="X186" s="160" t="inlineStr">
        <x:is>
          <x:t xml:space="preserve">NONE — DEVELOPMENT ONLY</x:t>
        </x:is>
      </x:c>
      <x:c r="Y186" s="160" t="inlineStr">
        <x:is>
          <x:t xml:space="preserve">Synthetic/adversarial model-development loop. No historical outcome is claimed; no accuracy point is awarded.</x:t>
        </x:is>
      </x:c>
    </x:row>
    <x:row r="187">
      <x:c r="A187" s="160" t="inlineStr">
        <x:is>
          <x:t xml:space="preserve">ML0182</x:t>
        </x:is>
      </x:c>
      <x:c r="B187" s="160" t="inlineStr">
        <x:is>
          <x:t xml:space="preserve">ARG-012</x:t>
        </x:is>
      </x:c>
      <x:c r="C187" s="160" t="inlineStr">
        <x:is>
          <x:t xml:space="preserve">Broadcom</x:t>
        </x:is>
      </x:c>
      <x:c r="D187" s="160" t="inlineStr">
        <x:is>
          <x:t xml:space="preserve">AVGO</x:t>
        </x:is>
      </x:c>
      <x:c r="E187" s="160" t="inlineStr">
        <x:is>
          <x:t xml:space="preserve">AI &amp; Semiconductors</x:t>
        </x:is>
      </x:c>
      <x:c r="F187" s="160" t="inlineStr">
        <x:is>
          <x:t xml:space="preserve">Development</x:t>
        </x:is>
      </x:c>
      <x:c r="G187" s="160" t="inlineStr">
        <x:is>
          <x:t xml:space="preserve">S06</x:t>
        </x:is>
      </x:c>
      <x:c r="H187" s="160" t="inlineStr">
        <x:is>
          <x:t xml:space="preserve">Margin of Safety</x:t>
        </x:is>
      </x:c>
      <x:c r="I187" s="160" t="inlineStr">
        <x:is>
          <x:t xml:space="preserve">Margin of Safety</x:t>
        </x:is>
      </x:c>
      <x:c r="J187" s="160" t="inlineStr">
        <x:is>
          <x:t xml:space="preserve">Business quality is high but the price embeds a fragile bull case.</x:t>
        </x:is>
      </x:c>
      <x:c r="K187" s="160" t="inlineStr">
        <x:is>
          <x:t xml:space="preserve">AI connectivity/custom silicon plus recurring infrastructure software</x:t>
        </x:is>
      </x:c>
      <x:c r="L187" s="160" t="inlineStr">
        <x:is>
          <x:t xml:space="preserve">Segment SOTP + owner earnings</x:t>
        </x:is>
      </x:c>
      <x:c r="M187" s="160" t="inlineStr">
        <x:is>
          <x:t xml:space="preserve">WATCH</x:t>
        </x:is>
      </x:c>
      <x:c r="N187" s="160" t="inlineStr">
        <x:is>
          <x:t xml:space="preserve">R-MOS-01</x:t>
        </x:is>
      </x:c>
      <x:c r="O187" s="160" t="inlineStr">
        <x:is>
          <x:t xml:space="preserve">HARDENED</x:t>
        </x:is>
      </x:c>
      <x:c r="P187" s="160" t="inlineStr">
        <x:is>
          <x:t xml:space="preserve">ROBUST WITH RESIDUAL</x:t>
        </x:is>
      </x:c>
      <x:c r="Q187" s="160" t="inlineStr">
        <x:is>
          <x:t xml:space="preserve">The hardened rule catches the stress. Residual risk is mainly evidence quality, threshold calibration or interaction with another gate.</x:t>
        </x:is>
      </x:c>
      <x:c r="R187" s="160" t="inlineStr">
        <x:is>
          <x:t xml:space="preserve">Separate business-quality score from price decision; require reverse valuation and bear/base/bull IV ranges.</x:t>
        </x:is>
      </x:c>
      <x:c r="S187" s="160" t="inlineStr">
        <x:is>
          <x:t xml:space="preserve">NO</x:t>
        </x:is>
      </x:c>
      <x:c r="T187" s="160" t="inlineStr">
        <x:is>
          <x:t xml:space="preserve">HARDENED</x:t>
        </x:is>
      </x:c>
      <x:c r="U187" s="160" t="inlineStr">
        <x:is>
          <x:t xml:space="preserve">V10.5-SIM35</x:t>
        </x:is>
      </x:c>
      <x:c r="V187" s="160" t="inlineStr">
        <x:is>
          <x:t xml:space="preserve">https://investors.broadcom.com</x:t>
        </x:is>
      </x:c>
      <x:c r="W187" s="160" t="inlineStr">
        <x:is>
          <x:t xml:space="preserve">NO</x:t>
        </x:is>
      </x:c>
      <x:c r="X187" s="160" t="inlineStr">
        <x:is>
          <x:t xml:space="preserve">NONE — DEVELOPMENT ONLY</x:t>
        </x:is>
      </x:c>
      <x:c r="Y187" s="160" t="inlineStr">
        <x:is>
          <x:t xml:space="preserve">Synthetic/adversarial model-development loop. No historical outcome is claimed; no accuracy point is awarded.</x:t>
        </x:is>
      </x:c>
    </x:row>
    <x:row r="188">
      <x:c r="A188" s="160" t="inlineStr">
        <x:is>
          <x:t xml:space="preserve">ML0183</x:t>
        </x:is>
      </x:c>
      <x:c r="B188" s="160" t="inlineStr">
        <x:is>
          <x:t xml:space="preserve">ARG-012</x:t>
        </x:is>
      </x:c>
      <x:c r="C188" s="160" t="inlineStr">
        <x:is>
          <x:t xml:space="preserve">Broadcom</x:t>
        </x:is>
      </x:c>
      <x:c r="D188" s="160" t="inlineStr">
        <x:is>
          <x:t xml:space="preserve">AVGO</x:t>
        </x:is>
      </x:c>
      <x:c r="E188" s="160" t="inlineStr">
        <x:is>
          <x:t xml:space="preserve">AI &amp; Semiconductors</x:t>
        </x:is>
      </x:c>
      <x:c r="F188" s="160" t="inlineStr">
        <x:is>
          <x:t xml:space="preserve">Development</x:t>
        </x:is>
      </x:c>
      <x:c r="G188" s="160" t="inlineStr">
        <x:is>
          <x:t xml:space="preserve">S07</x:t>
        </x:is>
      </x:c>
      <x:c r="H188" s="160" t="inlineStr">
        <x:is>
          <x:t xml:space="preserve">Sector Shock</x:t>
        </x:is>
      </x:c>
      <x:c r="I188" s="160" t="inlineStr">
        <x:is>
          <x:t xml:space="preserve">Sector-specific</x:t>
        </x:is>
      </x:c>
      <x:c r="J188" s="160" t="inlineStr">
        <x:is>
          <x:t xml:space="preserve">AI demand remains strong but capex intensity, customer concentration, inventory/cycle risk or export/geopolitical constraints hit normalized returns.</x:t>
        </x:is>
      </x:c>
      <x:c r="K188" s="160" t="inlineStr">
        <x:is>
          <x:t xml:space="preserve">AI connectivity/custom silicon plus recurring infrastructure software</x:t>
        </x:is>
      </x:c>
      <x:c r="L188" s="160" t="inlineStr">
        <x:is>
          <x:t xml:space="preserve">Segment SOTP + owner earnings</x:t>
        </x:is>
      </x:c>
      <x:c r="M188" s="160" t="inlineStr">
        <x:is>
          <x:t xml:space="preserve">WATCH</x:t>
        </x:is>
      </x:c>
      <x:c r="N188" s="160" t="inlineStr">
        <x:is>
          <x:t xml:space="preserve">R-SECTOR-AI-SEMICONDUCTORS</x:t>
        </x:is>
      </x:c>
      <x:c r="O188" s="160" t="inlineStr">
        <x:is>
          <x:t xml:space="preserve">COUNTER-EVIDENCE</x:t>
        </x:is>
      </x:c>
      <x:c r="P188" s="160" t="inlineStr">
        <x:is>
          <x:t xml:space="preserve">ROBUST</x:t>
        </x:is>
      </x:c>
      <x:c r="Q188" s="160" t="inlineStr">
        <x:is>
          <x:t xml:space="preserve">The mature simulation rule catches the stress without weakening a fatal gate; no rule relaxation is justified.</x:t>
        </x:is>
      </x:c>
      <x:c r="R188"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188" s="160" t="inlineStr">
        <x:is>
          <x:t xml:space="preserve">NO</x:t>
        </x:is>
      </x:c>
      <x:c r="T188" s="160" t="inlineStr">
        <x:is>
          <x:t xml:space="preserve">COUNTER-EVIDENCE</x:t>
        </x:is>
      </x:c>
      <x:c r="U188" s="160" t="inlineStr">
        <x:is>
          <x:t xml:space="preserve">V10.5-SIM35</x:t>
        </x:is>
      </x:c>
      <x:c r="V188" s="160" t="inlineStr">
        <x:is>
          <x:t xml:space="preserve">https://investors.broadcom.com</x:t>
        </x:is>
      </x:c>
      <x:c r="W188" s="160" t="inlineStr">
        <x:is>
          <x:t xml:space="preserve">NO</x:t>
        </x:is>
      </x:c>
      <x:c r="X188" s="160" t="inlineStr">
        <x:is>
          <x:t xml:space="preserve">NONE — DEVELOPMENT ONLY</x:t>
        </x:is>
      </x:c>
      <x:c r="Y188" s="160" t="inlineStr">
        <x:is>
          <x:t xml:space="preserve">Synthetic/adversarial model-development loop. No historical outcome is claimed; no accuracy point is awarded.</x:t>
        </x:is>
      </x:c>
    </x:row>
    <x:row r="189">
      <x:c r="A189" s="160" t="inlineStr">
        <x:is>
          <x:t xml:space="preserve">ML0184</x:t>
        </x:is>
      </x:c>
      <x:c r="B189" s="160" t="inlineStr">
        <x:is>
          <x:t xml:space="preserve">ARG-012</x:t>
        </x:is>
      </x:c>
      <x:c r="C189" s="160" t="inlineStr">
        <x:is>
          <x:t xml:space="preserve">Broadcom</x:t>
        </x:is>
      </x:c>
      <x:c r="D189" s="160" t="inlineStr">
        <x:is>
          <x:t xml:space="preserve">AVGO</x:t>
        </x:is>
      </x:c>
      <x:c r="E189" s="160" t="inlineStr">
        <x:is>
          <x:t xml:space="preserve">AI &amp; Semiconductors</x:t>
        </x:is>
      </x:c>
      <x:c r="F189" s="160" t="inlineStr">
        <x:is>
          <x:t xml:space="preserve">Development</x:t>
        </x:is>
      </x:c>
      <x:c r="G189" s="160" t="inlineStr">
        <x:is>
          <x:t xml:space="preserve">S08</x:t>
        </x:is>
      </x:c>
      <x:c r="H189" s="160" t="inlineStr">
        <x:is>
          <x:t xml:space="preserve">Management Promise Reliability</x:t>
        </x:is>
      </x:c>
      <x:c r="I189" s="160" t="inlineStr">
        <x:is>
          <x:t xml:space="preserve">Management over-trust</x:t>
        </x:is>
      </x:c>
      <x:c r="J189" s="160" t="inlineStr">
        <x:is>
          <x:t xml:space="preserve">Guidance or strategic promises are repeated but the model lacks a contemporaneous reliability score.</x:t>
        </x:is>
      </x:c>
      <x:c r="K189" s="160" t="inlineStr">
        <x:is>
          <x:t xml:space="preserve">AI connectivity/custom silicon plus recurring infrastructure software</x:t>
        </x:is>
      </x:c>
      <x:c r="L189" s="160" t="inlineStr">
        <x:is>
          <x:t xml:space="preserve">Segment SOTP + owner earnings</x:t>
        </x:is>
      </x:c>
      <x:c r="M189" s="160" t="inlineStr">
        <x:is>
          <x:t xml:space="preserve">WATCH</x:t>
        </x:is>
      </x:c>
      <x:c r="N189" s="160" t="inlineStr">
        <x:is>
          <x:t xml:space="preserve">R-PROM-01</x:t>
        </x:is>
      </x:c>
      <x:c r="O189" s="160" t="inlineStr">
        <x:is>
          <x:t xml:space="preserve">HARDENED</x:t>
        </x:is>
      </x:c>
      <x:c r="P189" s="160" t="inlineStr">
        <x:is>
          <x:t xml:space="preserve">ROBUST WITH RESIDUAL</x:t>
        </x:is>
      </x:c>
      <x:c r="Q189" s="160" t="inlineStr">
        <x:is>
          <x:t xml:space="preserve">The hardened rule catches the stress. Residual risk is mainly evidence quality, threshold calibration or interaction with another gate.</x:t>
        </x:is>
      </x:c>
      <x:c r="R189" s="160" t="inlineStr">
        <x:is>
          <x:t xml:space="preserve">Use a promises ledger with dated promise, measurable deliverable, due date, outcome and credibility weight.</x:t>
        </x:is>
      </x:c>
      <x:c r="S189" s="160" t="inlineStr">
        <x:is>
          <x:t xml:space="preserve">NO</x:t>
        </x:is>
      </x:c>
      <x:c r="T189" s="160" t="inlineStr">
        <x:is>
          <x:t xml:space="preserve">HARDENED</x:t>
        </x:is>
      </x:c>
      <x:c r="U189" s="160" t="inlineStr">
        <x:is>
          <x:t xml:space="preserve">V10.5-SIM35</x:t>
        </x:is>
      </x:c>
      <x:c r="V189" s="160" t="inlineStr">
        <x:is>
          <x:t xml:space="preserve">https://investors.broadcom.com</x:t>
        </x:is>
      </x:c>
      <x:c r="W189" s="160" t="inlineStr">
        <x:is>
          <x:t xml:space="preserve">NO</x:t>
        </x:is>
      </x:c>
      <x:c r="X189" s="160" t="inlineStr">
        <x:is>
          <x:t xml:space="preserve">NONE — DEVELOPMENT ONLY</x:t>
        </x:is>
      </x:c>
      <x:c r="Y189" s="160" t="inlineStr">
        <x:is>
          <x:t xml:space="preserve">Synthetic/adversarial model-development loop. No historical outcome is claimed; no accuracy point is awarded.</x:t>
        </x:is>
      </x:c>
    </x:row>
    <x:row r="190">
      <x:c r="A190" s="160" t="inlineStr">
        <x:is>
          <x:t xml:space="preserve">ML0185</x:t>
        </x:is>
      </x:c>
      <x:c r="B190" s="160" t="inlineStr">
        <x:is>
          <x:t xml:space="preserve">ARG-012</x:t>
        </x:is>
      </x:c>
      <x:c r="C190" s="160" t="inlineStr">
        <x:is>
          <x:t xml:space="preserve">Broadcom</x:t>
        </x:is>
      </x:c>
      <x:c r="D190" s="160" t="inlineStr">
        <x:is>
          <x:t xml:space="preserve">AVGO</x:t>
        </x:is>
      </x:c>
      <x:c r="E190" s="160" t="inlineStr">
        <x:is>
          <x:t xml:space="preserve">AI &amp; Semiconductors</x:t>
        </x:is>
      </x:c>
      <x:c r="F190" s="160" t="inlineStr">
        <x:is>
          <x:t xml:space="preserve">Development</x:t>
        </x:is>
      </x:c>
      <x:c r="G190" s="160" t="inlineStr">
        <x:is>
          <x:t xml:space="preserve">S09</x:t>
        </x:is>
      </x:c>
      <x:c r="H190" s="160" t="inlineStr">
        <x:is>
          <x:t xml:space="preserve">Data / Accounting Quality</x:t>
        </x:is>
      </x:c>
      <x:c r="I190" s="160" t="inlineStr">
        <x:is>
          <x:t xml:space="preserve">Data quality</x:t>
        </x:is>
      </x:c>
      <x:c r="J190" s="160" t="inlineStr">
        <x:is>
          <x:t xml:space="preserve">Restatement, segment reclassification, one-time item or non-economic fair-value movement distorts the apparent trend.</x:t>
        </x:is>
      </x:c>
      <x:c r="K190" s="160" t="inlineStr">
        <x:is>
          <x:t xml:space="preserve">AI connectivity/custom silicon plus recurring infrastructure software</x:t>
        </x:is>
      </x:c>
      <x:c r="L190" s="160" t="inlineStr">
        <x:is>
          <x:t xml:space="preserve">Segment SOTP + owner earnings</x:t>
        </x:is>
      </x:c>
      <x:c r="M190" s="160" t="inlineStr">
        <x:is>
          <x:t xml:space="preserve">WATCH</x:t>
        </x:is>
      </x:c>
      <x:c r="N190" s="160" t="inlineStr">
        <x:is>
          <x:t xml:space="preserve">R-DATA-01</x:t>
        </x:is>
      </x:c>
      <x:c r="O190" s="160" t="inlineStr">
        <x:is>
          <x:t xml:space="preserve">HARDENED</x:t>
        </x:is>
      </x:c>
      <x:c r="P190" s="160" t="inlineStr">
        <x:is>
          <x:t xml:space="preserve">ROBUST WITH RESIDUAL</x:t>
        </x:is>
      </x:c>
      <x:c r="Q190" s="160" t="inlineStr">
        <x:is>
          <x:t xml:space="preserve">The hardened rule catches the stress. Residual risk is mainly evidence quality, threshold calibration or interaction with another gate.</x:t>
        </x:is>
      </x:c>
      <x:c r="R190" s="160" t="inlineStr">
        <x:is>
          <x:t xml:space="preserve">Add a reporting-quality bridge and normalize accounting noise before any gate can pass.</x:t>
        </x:is>
      </x:c>
      <x:c r="S190" s="160" t="inlineStr">
        <x:is>
          <x:t xml:space="preserve">NO</x:t>
        </x:is>
      </x:c>
      <x:c r="T190" s="160" t="inlineStr">
        <x:is>
          <x:t xml:space="preserve">HARDENED</x:t>
        </x:is>
      </x:c>
      <x:c r="U190" s="160" t="inlineStr">
        <x:is>
          <x:t xml:space="preserve">V10.5-SIM35</x:t>
        </x:is>
      </x:c>
      <x:c r="V190" s="160" t="inlineStr">
        <x:is>
          <x:t xml:space="preserve">https://investors.broadcom.com</x:t>
        </x:is>
      </x:c>
      <x:c r="W190" s="160" t="inlineStr">
        <x:is>
          <x:t xml:space="preserve">NO</x:t>
        </x:is>
      </x:c>
      <x:c r="X190" s="160" t="inlineStr">
        <x:is>
          <x:t xml:space="preserve">NONE — DEVELOPMENT ONLY</x:t>
        </x:is>
      </x:c>
      <x:c r="Y190" s="160" t="inlineStr">
        <x:is>
          <x:t xml:space="preserve">Synthetic/adversarial model-development loop. No historical outcome is claimed; no accuracy point is awarded.</x:t>
        </x:is>
      </x:c>
    </x:row>
    <x:row r="191">
      <x:c r="A191" s="160" t="inlineStr">
        <x:is>
          <x:t xml:space="preserve">ML0186</x:t>
        </x:is>
      </x:c>
      <x:c r="B191" s="160" t="inlineStr">
        <x:is>
          <x:t xml:space="preserve">ARG-012</x:t>
        </x:is>
      </x:c>
      <x:c r="C191" s="160" t="inlineStr">
        <x:is>
          <x:t xml:space="preserve">Broadcom</x:t>
        </x:is>
      </x:c>
      <x:c r="D191" s="160" t="inlineStr">
        <x:is>
          <x:t xml:space="preserve">AVGO</x:t>
        </x:is>
      </x:c>
      <x:c r="E191" s="160" t="inlineStr">
        <x:is>
          <x:t xml:space="preserve">AI &amp; Semiconductors</x:t>
        </x:is>
      </x:c>
      <x:c r="F191" s="160" t="inlineStr">
        <x:is>
          <x:t xml:space="preserve">Development</x:t>
        </x:is>
      </x:c>
      <x:c r="G191" s="160" t="inlineStr">
        <x:is>
          <x:t xml:space="preserve">S10</x:t>
        </x:is>
      </x:c>
      <x:c r="H191" s="160" t="inlineStr">
        <x:is>
          <x:t xml:space="preserve">Control / Counterfactual</x:t>
        </x:is>
      </x:c>
      <x:c r="I191" s="160" t="inlineStr">
        <x:is>
          <x:t xml:space="preserve">Sector beta vs company alpha</x:t>
        </x:is>
      </x:c>
      <x:c r="J191" s="160" t="inlineStr">
        <x:is>
          <x:t xml:space="preserve">A positive outcome is mostly sector beta or macro tailwind, not company-specific alpha.</x:t>
        </x:is>
      </x:c>
      <x:c r="K191" s="160" t="inlineStr">
        <x:is>
          <x:t xml:space="preserve">AI connectivity/custom silicon plus recurring infrastructure software</x:t>
        </x:is>
      </x:c>
      <x:c r="L191" s="160" t="inlineStr">
        <x:is>
          <x:t xml:space="preserve">Segment SOTP + owner earnings</x:t>
        </x:is>
      </x:c>
      <x:c r="M191" s="160" t="inlineStr">
        <x:is>
          <x:t xml:space="preserve">WATCH</x:t>
        </x:is>
      </x:c>
      <x:c r="N191" s="160" t="inlineStr">
        <x:is>
          <x:t xml:space="preserve">R-CF-01</x:t>
        </x:is>
      </x:c>
      <x:c r="O191" s="160" t="inlineStr">
        <x:is>
          <x:t xml:space="preserve">HARDENED</x:t>
        </x:is>
      </x:c>
      <x:c r="P191" s="160" t="inlineStr">
        <x:is>
          <x:t xml:space="preserve">ROBUST WITH RESIDUAL</x:t>
        </x:is>
      </x:c>
      <x:c r="Q191" s="160" t="inlineStr">
        <x:is>
          <x:t xml:space="preserve">The hardened rule catches the stress. Residual risk is mainly evidence quality, threshold calibration or interaction with another gate.</x:t>
        </x:is>
      </x:c>
      <x:c r="R191" s="160" t="inlineStr">
        <x:is>
          <x:t xml:space="preserve">Require a true economic control and counterfactual: what should have happened to a comparable company under the same shock?</x:t>
        </x:is>
      </x:c>
      <x:c r="S191" s="160" t="inlineStr">
        <x:is>
          <x:t xml:space="preserve">NO</x:t>
        </x:is>
      </x:c>
      <x:c r="T191" s="160" t="inlineStr">
        <x:is>
          <x:t xml:space="preserve">HARDENED</x:t>
        </x:is>
      </x:c>
      <x:c r="U191" s="160" t="inlineStr">
        <x:is>
          <x:t xml:space="preserve">V10.5-SIM35</x:t>
        </x:is>
      </x:c>
      <x:c r="V191" s="160" t="inlineStr">
        <x:is>
          <x:t xml:space="preserve">https://investors.broadcom.com</x:t>
        </x:is>
      </x:c>
      <x:c r="W191" s="160" t="inlineStr">
        <x:is>
          <x:t xml:space="preserve">NO</x:t>
        </x:is>
      </x:c>
      <x:c r="X191" s="160" t="inlineStr">
        <x:is>
          <x:t xml:space="preserve">NONE — DEVELOPMENT ONLY</x:t>
        </x:is>
      </x:c>
      <x:c r="Y191" s="160" t="inlineStr">
        <x:is>
          <x:t xml:space="preserve">Synthetic/adversarial model-development loop. No historical outcome is claimed; no accuracy point is awarded.</x:t>
        </x:is>
      </x:c>
    </x:row>
    <x:row r="192">
      <x:c r="A192" s="160" t="inlineStr">
        <x:is>
          <x:t xml:space="preserve">ML0187</x:t>
        </x:is>
      </x:c>
      <x:c r="B192" s="160" t="inlineStr">
        <x:is>
          <x:t xml:space="preserve">ARG-012</x:t>
        </x:is>
      </x:c>
      <x:c r="C192" s="160" t="inlineStr">
        <x:is>
          <x:t xml:space="preserve">Broadcom</x:t>
        </x:is>
      </x:c>
      <x:c r="D192" s="160" t="inlineStr">
        <x:is>
          <x:t xml:space="preserve">AVGO</x:t>
        </x:is>
      </x:c>
      <x:c r="E192" s="160" t="inlineStr">
        <x:is>
          <x:t xml:space="preserve">AI &amp; Semiconductors</x:t>
        </x:is>
      </x:c>
      <x:c r="F192" s="160" t="inlineStr">
        <x:is>
          <x:t xml:space="preserve">Development</x:t>
        </x:is>
      </x:c>
      <x:c r="G192" s="160" t="inlineStr">
        <x:is>
          <x:t xml:space="preserve">S11</x:t>
        </x:is>
      </x:c>
      <x:c r="H192" s="160" t="inlineStr">
        <x:is>
          <x:t xml:space="preserve">False-Negative Discipline</x:t>
        </x:is>
      </x:c>
      <x:c r="I192" s="160" t="inlineStr">
        <x:is>
          <x:t xml:space="preserve">False negative</x:t>
        </x:is>
      </x:c>
      <x:c r="J192" s="160" t="inlineStr">
        <x:is>
          <x:t xml:space="preserve">A strict gate rejects a company that later compounds strongly for reasons the model could have known.</x:t>
        </x:is>
      </x:c>
      <x:c r="K192" s="160" t="inlineStr">
        <x:is>
          <x:t xml:space="preserve">AI connectivity/custom silicon plus recurring infrastructure software</x:t>
        </x:is>
      </x:c>
      <x:c r="L192" s="160" t="inlineStr">
        <x:is>
          <x:t xml:space="preserve">Segment SOTP + owner earnings</x:t>
        </x:is>
      </x:c>
      <x:c r="M192" s="160" t="inlineStr">
        <x:is>
          <x:t xml:space="preserve">WATCH</x:t>
        </x:is>
      </x:c>
      <x:c r="N192" s="160" t="inlineStr">
        <x:is>
          <x:t xml:space="preserve">R-FN-01</x:t>
        </x:is>
      </x:c>
      <x:c r="O192" s="160" t="inlineStr">
        <x:is>
          <x:t xml:space="preserve">HARDENED</x:t>
        </x:is>
      </x:c>
      <x:c r="P192" s="160" t="inlineStr">
        <x:is>
          <x:t xml:space="preserve">ROBUST WITH RESIDUAL</x:t>
        </x:is>
      </x:c>
      <x:c r="Q192" s="160" t="inlineStr">
        <x:is>
          <x:t xml:space="preserve">The hardened rule catches the stress. Residual risk is mainly evidence quality, threshold calibration or interaction with another gate.</x:t>
        </x:is>
      </x:c>
      <x:c r="R192" s="160" t="inlineStr">
        <x:is>
          <x:t xml:space="preserve">Track opportunity cost and classify whether the miss came from evidence timing, wrong threshold or genuinely unknowable upside.</x:t>
        </x:is>
      </x:c>
      <x:c r="S192" s="160" t="inlineStr">
        <x:is>
          <x:t xml:space="preserve">NO</x:t>
        </x:is>
      </x:c>
      <x:c r="T192" s="160" t="inlineStr">
        <x:is>
          <x:t xml:space="preserve">HARDENED</x:t>
        </x:is>
      </x:c>
      <x:c r="U192" s="160" t="inlineStr">
        <x:is>
          <x:t xml:space="preserve">V10.5-SIM35</x:t>
        </x:is>
      </x:c>
      <x:c r="V192" s="160" t="inlineStr">
        <x:is>
          <x:t xml:space="preserve">https://investors.broadcom.com</x:t>
        </x:is>
      </x:c>
      <x:c r="W192" s="160" t="inlineStr">
        <x:is>
          <x:t xml:space="preserve">NO</x:t>
        </x:is>
      </x:c>
      <x:c r="X192" s="160" t="inlineStr">
        <x:is>
          <x:t xml:space="preserve">NONE — DEVELOPMENT ONLY</x:t>
        </x:is>
      </x:c>
      <x:c r="Y192" s="160" t="inlineStr">
        <x:is>
          <x:t xml:space="preserve">Synthetic/adversarial model-development loop. No historical outcome is claimed; no accuracy point is awarded.</x:t>
        </x:is>
      </x:c>
    </x:row>
    <x:row r="193">
      <x:c r="A193" s="160" t="inlineStr">
        <x:is>
          <x:t xml:space="preserve">ML0188</x:t>
        </x:is>
      </x:c>
      <x:c r="B193" s="160" t="inlineStr">
        <x:is>
          <x:t xml:space="preserve">ARG-012</x:t>
        </x:is>
      </x:c>
      <x:c r="C193" s="160" t="inlineStr">
        <x:is>
          <x:t xml:space="preserve">Broadcom</x:t>
        </x:is>
      </x:c>
      <x:c r="D193" s="160" t="inlineStr">
        <x:is>
          <x:t xml:space="preserve">AVGO</x:t>
        </x:is>
      </x:c>
      <x:c r="E193" s="160" t="inlineStr">
        <x:is>
          <x:t xml:space="preserve">AI &amp; Semiconductors</x:t>
        </x:is>
      </x:c>
      <x:c r="F193" s="160" t="inlineStr">
        <x:is>
          <x:t xml:space="preserve">Development</x:t>
        </x:is>
      </x:c>
      <x:c r="G193" s="160" t="inlineStr">
        <x:is>
          <x:t xml:space="preserve">S12</x:t>
        </x:is>
      </x:c>
      <x:c r="H193" s="160" t="inlineStr">
        <x:is>
          <x:t xml:space="preserve">Lead-Time / Early Sensor</x:t>
        </x:is>
      </x:c>
      <x:c r="I193" s="160" t="inlineStr">
        <x:is>
          <x:t xml:space="preserve">Timing / lead-time</x:t>
        </x:is>
      </x:c>
      <x:c r="J193" s="160" t="inlineStr">
        <x:is>
          <x:t xml:space="preserve">ARGUS identifies the change correctly but only after consensus and price have already reacted.</x:t>
        </x:is>
      </x:c>
      <x:c r="K193" s="160" t="inlineStr">
        <x:is>
          <x:t xml:space="preserve">AI connectivity/custom silicon plus recurring infrastructure software</x:t>
        </x:is>
      </x:c>
      <x:c r="L193" s="160" t="inlineStr">
        <x:is>
          <x:t xml:space="preserve">Segment SOTP + owner earnings</x:t>
        </x:is>
      </x:c>
      <x:c r="M193" s="160" t="inlineStr">
        <x:is>
          <x:t xml:space="preserve">WATCH</x:t>
        </x:is>
      </x:c>
      <x:c r="N193" s="160" t="inlineStr">
        <x:is>
          <x:t xml:space="preserve">R-TIME-01</x:t>
        </x:is>
      </x:c>
      <x:c r="O193" s="160" t="inlineStr">
        <x:is>
          <x:t xml:space="preserve">HARDENED</x:t>
        </x:is>
      </x:c>
      <x:c r="P193" s="160" t="inlineStr">
        <x:is>
          <x:t xml:space="preserve">ROBUST WITH RESIDUAL</x:t>
        </x:is>
      </x:c>
      <x:c r="Q193" s="160" t="inlineStr">
        <x:is>
          <x:t xml:space="preserve">The hardened rule catches the stress. Residual risk is mainly evidence quality, threshold calibration or interaction with another gate.</x:t>
        </x:is>
      </x:c>
      <x:c r="R193" s="160" t="inlineStr">
        <x:is>
          <x:t xml:space="preserve">Replace lagging financial metrics with earlier causal operating sensors and record lead time separately from correctness.</x:t>
        </x:is>
      </x:c>
      <x:c r="S193" s="160" t="inlineStr">
        <x:is>
          <x:t xml:space="preserve">NO</x:t>
        </x:is>
      </x:c>
      <x:c r="T193" s="160" t="inlineStr">
        <x:is>
          <x:t xml:space="preserve">HARDENED</x:t>
        </x:is>
      </x:c>
      <x:c r="U193" s="160" t="inlineStr">
        <x:is>
          <x:t xml:space="preserve">V10.5-SIM35</x:t>
        </x:is>
      </x:c>
      <x:c r="V193" s="160" t="inlineStr">
        <x:is>
          <x:t xml:space="preserve">https://investors.broadcom.com</x:t>
        </x:is>
      </x:c>
      <x:c r="W193" s="160" t="inlineStr">
        <x:is>
          <x:t xml:space="preserve">NO</x:t>
        </x:is>
      </x:c>
      <x:c r="X193" s="160" t="inlineStr">
        <x:is>
          <x:t xml:space="preserve">NONE — DEVELOPMENT ONLY</x:t>
        </x:is>
      </x:c>
      <x:c r="Y193" s="160" t="inlineStr">
        <x:is>
          <x:t xml:space="preserve">Synthetic/adversarial model-development loop. No historical outcome is claimed; no accuracy point is awarded.</x:t>
        </x:is>
      </x:c>
    </x:row>
    <x:row r="194">
      <x:c r="A194" s="160" t="inlineStr">
        <x:is>
          <x:t xml:space="preserve">ML0189</x:t>
        </x:is>
      </x:c>
      <x:c r="B194" s="160" t="inlineStr">
        <x:is>
          <x:t xml:space="preserve">ARG-012</x:t>
        </x:is>
      </x:c>
      <x:c r="C194" s="160" t="inlineStr">
        <x:is>
          <x:t xml:space="preserve">Broadcom</x:t>
        </x:is>
      </x:c>
      <x:c r="D194" s="160" t="inlineStr">
        <x:is>
          <x:t xml:space="preserve">AVGO</x:t>
        </x:is>
      </x:c>
      <x:c r="E194" s="160" t="inlineStr">
        <x:is>
          <x:t xml:space="preserve">AI &amp; Semiconductors</x:t>
        </x:is>
      </x:c>
      <x:c r="F194" s="160" t="inlineStr">
        <x:is>
          <x:t xml:space="preserve">Development</x:t>
        </x:is>
      </x:c>
      <x:c r="G194" s="160" t="inlineStr">
        <x:is>
          <x:t xml:space="preserve">S13</x:t>
        </x:is>
      </x:c>
      <x:c r="H194" s="160" t="inlineStr">
        <x:is>
          <x:t xml:space="preserve">Cycle Normalization</x:t>
        </x:is>
      </x:c>
      <x:c r="I194" s="160" t="inlineStr">
        <x:is>
          <x:t xml:space="preserve">Wrong valuation lens</x:t>
        </x:is>
      </x:c>
      <x:c r="J194" s="160" t="inlineStr">
        <x:is>
          <x:t xml:space="preserve">Peak/trough earnings are mistaken for normalized earning power.</x:t>
        </x:is>
      </x:c>
      <x:c r="K194" s="160" t="inlineStr">
        <x:is>
          <x:t xml:space="preserve">AI connectivity/custom silicon plus recurring infrastructure software</x:t>
        </x:is>
      </x:c>
      <x:c r="L194" s="160" t="inlineStr">
        <x:is>
          <x:t xml:space="preserve">Segment SOTP + owner earnings</x:t>
        </x:is>
      </x:c>
      <x:c r="M194" s="160" t="inlineStr">
        <x:is>
          <x:t xml:space="preserve">WATCH</x:t>
        </x:is>
      </x:c>
      <x:c r="N194" s="160" t="inlineStr">
        <x:is>
          <x:t xml:space="preserve">R-CYCLE-01</x:t>
        </x:is>
      </x:c>
      <x:c r="O194" s="160" t="inlineStr">
        <x:is>
          <x:t xml:space="preserve">HARDENED</x:t>
        </x:is>
      </x:c>
      <x:c r="P194" s="160" t="inlineStr">
        <x:is>
          <x:t xml:space="preserve">ROBUST WITH RESIDUAL</x:t>
        </x:is>
      </x:c>
      <x:c r="Q194" s="160" t="inlineStr">
        <x:is>
          <x:t xml:space="preserve">The hardened rule catches the stress. Residual risk is mainly evidence quality, threshold calibration or interaction with another gate.</x:t>
        </x:is>
      </x:c>
      <x:c r="R194" s="160" t="inlineStr">
        <x:is>
          <x:t xml:space="preserve">Use sector-specific mid-cycle/NAV/rate-base/rNPV normalization before applying a valuation multiple.</x:t>
        </x:is>
      </x:c>
      <x:c r="S194" s="160" t="inlineStr">
        <x:is>
          <x:t xml:space="preserve">NO</x:t>
        </x:is>
      </x:c>
      <x:c r="T194" s="160" t="inlineStr">
        <x:is>
          <x:t xml:space="preserve">HARDENED</x:t>
        </x:is>
      </x:c>
      <x:c r="U194" s="160" t="inlineStr">
        <x:is>
          <x:t xml:space="preserve">V10.5-SIM35</x:t>
        </x:is>
      </x:c>
      <x:c r="V194" s="160" t="inlineStr">
        <x:is>
          <x:t xml:space="preserve">https://investors.broadcom.com</x:t>
        </x:is>
      </x:c>
      <x:c r="W194" s="160" t="inlineStr">
        <x:is>
          <x:t xml:space="preserve">NO</x:t>
        </x:is>
      </x:c>
      <x:c r="X194" s="160" t="inlineStr">
        <x:is>
          <x:t xml:space="preserve">NONE — DEVELOPMENT ONLY</x:t>
        </x:is>
      </x:c>
      <x:c r="Y194" s="160" t="inlineStr">
        <x:is>
          <x:t xml:space="preserve">Synthetic/adversarial model-development loop. No historical outcome is claimed; no accuracy point is awarded.</x:t>
        </x:is>
      </x:c>
    </x:row>
    <x:row r="195">
      <x:c r="A195" s="160" t="inlineStr">
        <x:is>
          <x:t xml:space="preserve">ML0190</x:t>
        </x:is>
      </x:c>
      <x:c r="B195" s="160" t="inlineStr">
        <x:is>
          <x:t xml:space="preserve">ARG-012</x:t>
        </x:is>
      </x:c>
      <x:c r="C195" s="160" t="inlineStr">
        <x:is>
          <x:t xml:space="preserve">Broadcom</x:t>
        </x:is>
      </x:c>
      <x:c r="D195" s="160" t="inlineStr">
        <x:is>
          <x:t xml:space="preserve">AVGO</x:t>
        </x:is>
      </x:c>
      <x:c r="E195" s="160" t="inlineStr">
        <x:is>
          <x:t xml:space="preserve">AI &amp; Semiconductors</x:t>
        </x:is>
      </x:c>
      <x:c r="F195" s="160" t="inlineStr">
        <x:is>
          <x:t xml:space="preserve">Development</x:t>
        </x:is>
      </x:c>
      <x:c r="G195" s="160" t="inlineStr">
        <x:is>
          <x:t xml:space="preserve">S14</x:t>
        </x:is>
      </x:c>
      <x:c r="H195" s="160" t="inlineStr">
        <x:is>
          <x:t xml:space="preserve">M&amp;A / Organic Growth Separation</x:t>
        </x:is>
      </x:c>
      <x:c r="I195" s="160" t="inlineStr">
        <x:is>
          <x:t xml:space="preserve">Stewardship</x:t>
        </x:is>
      </x:c>
      <x:c r="J195" s="160" t="inlineStr">
        <x:is>
          <x:t xml:space="preserve">Acquisition-driven growth masks weak organic economics or poor incremental ROIC.</x:t>
        </x:is>
      </x:c>
      <x:c r="K195" s="160" t="inlineStr">
        <x:is>
          <x:t xml:space="preserve">AI connectivity/custom silicon plus recurring infrastructure software</x:t>
        </x:is>
      </x:c>
      <x:c r="L195" s="160" t="inlineStr">
        <x:is>
          <x:t xml:space="preserve">Segment SOTP + owner earnings</x:t>
        </x:is>
      </x:c>
      <x:c r="M195" s="160" t="inlineStr">
        <x:is>
          <x:t xml:space="preserve">WATCH</x:t>
        </x:is>
      </x:c>
      <x:c r="N195" s="160" t="inlineStr">
        <x:is>
          <x:t xml:space="preserve">R-MA-01</x:t>
        </x:is>
      </x:c>
      <x:c r="O195" s="160" t="inlineStr">
        <x:is>
          <x:t xml:space="preserve">HARDENED</x:t>
        </x:is>
      </x:c>
      <x:c r="P195" s="160" t="inlineStr">
        <x:is>
          <x:t xml:space="preserve">ROBUST WITH RESIDUAL</x:t>
        </x:is>
      </x:c>
      <x:c r="Q195" s="160" t="inlineStr">
        <x:is>
          <x:t xml:space="preserve">The hardened rule catches the stress. Residual risk is mainly evidence quality, threshold calibration or interaction with another gate.</x:t>
        </x:is>
      </x:c>
      <x:c r="R195" s="160" t="inlineStr">
        <x:is>
          <x:t xml:space="preserve">Bridge organic growth, acquired growth, purchase price, integration costs and acquisition-cohort ROIC.</x:t>
        </x:is>
      </x:c>
      <x:c r="S195" s="160" t="inlineStr">
        <x:is>
          <x:t xml:space="preserve">NO</x:t>
        </x:is>
      </x:c>
      <x:c r="T195" s="160" t="inlineStr">
        <x:is>
          <x:t xml:space="preserve">HARDENED</x:t>
        </x:is>
      </x:c>
      <x:c r="U195" s="160" t="inlineStr">
        <x:is>
          <x:t xml:space="preserve">V10.5-SIM35</x:t>
        </x:is>
      </x:c>
      <x:c r="V195" s="160" t="inlineStr">
        <x:is>
          <x:t xml:space="preserve">https://investors.broadcom.com</x:t>
        </x:is>
      </x:c>
      <x:c r="W195" s="160" t="inlineStr">
        <x:is>
          <x:t xml:space="preserve">NO</x:t>
        </x:is>
      </x:c>
      <x:c r="X195" s="160" t="inlineStr">
        <x:is>
          <x:t xml:space="preserve">NONE — DEVELOPMENT ONLY</x:t>
        </x:is>
      </x:c>
      <x:c r="Y195" s="160" t="inlineStr">
        <x:is>
          <x:t xml:space="preserve">Synthetic/adversarial model-development loop. No historical outcome is claimed; no accuracy point is awarded.</x:t>
        </x:is>
      </x:c>
    </x:row>
    <x:row r="196">
      <x:c r="A196" s="160" t="inlineStr">
        <x:is>
          <x:t xml:space="preserve">ML0191</x:t>
        </x:is>
      </x:c>
      <x:c r="B196" s="160" t="inlineStr">
        <x:is>
          <x:t xml:space="preserve">ARG-012</x:t>
        </x:is>
      </x:c>
      <x:c r="C196" s="160" t="inlineStr">
        <x:is>
          <x:t xml:space="preserve">Broadcom</x:t>
        </x:is>
      </x:c>
      <x:c r="D196" s="160" t="inlineStr">
        <x:is>
          <x:t xml:space="preserve">AVGO</x:t>
        </x:is>
      </x:c>
      <x:c r="E196" s="160" t="inlineStr">
        <x:is>
          <x:t xml:space="preserve">AI &amp; Semiconductors</x:t>
        </x:is>
      </x:c>
      <x:c r="F196" s="160" t="inlineStr">
        <x:is>
          <x:t xml:space="preserve">Development</x:t>
        </x:is>
      </x:c>
      <x:c r="G196" s="160" t="inlineStr">
        <x:is>
          <x:t xml:space="preserve">S15</x:t>
        </x:is>
      </x:c>
      <x:c r="H196" s="160" t="inlineStr">
        <x:is>
          <x:t xml:space="preserve">Financing / Dilution Per Share</x:t>
        </x:is>
      </x:c>
      <x:c r="I196" s="160" t="inlineStr">
        <x:is>
          <x:t xml:space="preserve">Stewardship</x:t>
        </x:is>
      </x:c>
      <x:c r="J196" s="160" t="inlineStr">
        <x:is>
          <x:t xml:space="preserve">Cash balance or revenue growth improves while financing causes material per-share value leakage.</x:t>
        </x:is>
      </x:c>
      <x:c r="K196" s="160" t="inlineStr">
        <x:is>
          <x:t xml:space="preserve">AI connectivity/custom silicon plus recurring infrastructure software</x:t>
        </x:is>
      </x:c>
      <x:c r="L196" s="160" t="inlineStr">
        <x:is>
          <x:t xml:space="preserve">Segment SOTP + owner earnings</x:t>
        </x:is>
      </x:c>
      <x:c r="M196" s="160" t="inlineStr">
        <x:is>
          <x:t xml:space="preserve">WATCH</x:t>
        </x:is>
      </x:c>
      <x:c r="N196" s="160" t="inlineStr">
        <x:is>
          <x:t xml:space="preserve">R-DIL-01</x:t>
        </x:is>
      </x:c>
      <x:c r="O196" s="160" t="inlineStr">
        <x:is>
          <x:t xml:space="preserve">HARDENED</x:t>
        </x:is>
      </x:c>
      <x:c r="P196" s="160" t="inlineStr">
        <x:is>
          <x:t xml:space="preserve">ROBUST WITH RESIDUAL</x:t>
        </x:is>
      </x:c>
      <x:c r="Q196" s="160" t="inlineStr">
        <x:is>
          <x:t xml:space="preserve">The hardened rule catches the stress. Residual risk is mainly evidence quality, threshold calibration or interaction with another gate.</x:t>
        </x:is>
      </x:c>
      <x:c r="R196" s="160" t="inlineStr">
        <x:is>
          <x:t xml:space="preserve">Reconcile share-count growth, SBC, equity issuance, buybacks and net cash changes to per-share intrinsic value.</x:t>
        </x:is>
      </x:c>
      <x:c r="S196" s="160" t="inlineStr">
        <x:is>
          <x:t xml:space="preserve">NO</x:t>
        </x:is>
      </x:c>
      <x:c r="T196" s="160" t="inlineStr">
        <x:is>
          <x:t xml:space="preserve">HARDENED</x:t>
        </x:is>
      </x:c>
      <x:c r="U196" s="160" t="inlineStr">
        <x:is>
          <x:t xml:space="preserve">V10.5-SIM35</x:t>
        </x:is>
      </x:c>
      <x:c r="V196" s="160" t="inlineStr">
        <x:is>
          <x:t xml:space="preserve">https://investors.broadcom.com</x:t>
        </x:is>
      </x:c>
      <x:c r="W196" s="160" t="inlineStr">
        <x:is>
          <x:t xml:space="preserve">NO</x:t>
        </x:is>
      </x:c>
      <x:c r="X196" s="160" t="inlineStr">
        <x:is>
          <x:t xml:space="preserve">NONE — DEVELOPMENT ONLY</x:t>
        </x:is>
      </x:c>
      <x:c r="Y196" s="160" t="inlineStr">
        <x:is>
          <x:t xml:space="preserve">Synthetic/adversarial model-development loop. No historical outcome is claimed; no accuracy point is awarded.</x:t>
        </x:is>
      </x:c>
    </x:row>
    <x:row r="197">
      <x:c r="A197" s="160" t="inlineStr">
        <x:is>
          <x:t xml:space="preserve">ML0192</x:t>
        </x:is>
      </x:c>
      <x:c r="B197" s="160" t="inlineStr">
        <x:is>
          <x:t xml:space="preserve">ARG-012</x:t>
        </x:is>
      </x:c>
      <x:c r="C197" s="160" t="inlineStr">
        <x:is>
          <x:t xml:space="preserve">Broadcom</x:t>
        </x:is>
      </x:c>
      <x:c r="D197" s="160" t="inlineStr">
        <x:is>
          <x:t xml:space="preserve">AVGO</x:t>
        </x:is>
      </x:c>
      <x:c r="E197" s="160" t="inlineStr">
        <x:is>
          <x:t xml:space="preserve">AI &amp; Semiconductors</x:t>
        </x:is>
      </x:c>
      <x:c r="F197" s="160" t="inlineStr">
        <x:is>
          <x:t xml:space="preserve">Development</x:t>
        </x:is>
      </x:c>
      <x:c r="G197" s="160" t="inlineStr">
        <x:is>
          <x:t xml:space="preserve">S16</x:t>
        </x:is>
      </x:c>
      <x:c r="H197" s="160" t="inlineStr">
        <x:is>
          <x:t xml:space="preserve">Concentration / Tail Risk</x:t>
        </x:is>
      </x:c>
      <x:c r="I197" s="160" t="inlineStr">
        <x:is>
          <x:t xml:space="preserve">Survival</x:t>
        </x:is>
      </x:c>
      <x:c r="J197" s="160" t="inlineStr">
        <x:is>
          <x:t xml:space="preserve">A concentrated supplier, geography, customer, product, patent, regulatory or technology dependency creates asymmetric permanent-loss risk.</x:t>
        </x:is>
      </x:c>
      <x:c r="K197" s="160" t="inlineStr">
        <x:is>
          <x:t xml:space="preserve">AI connectivity/custom silicon plus recurring infrastructure software</x:t>
        </x:is>
      </x:c>
      <x:c r="L197" s="160" t="inlineStr">
        <x:is>
          <x:t xml:space="preserve">Segment SOTP + owner earnings</x:t>
        </x:is>
      </x:c>
      <x:c r="M197" s="160" t="inlineStr">
        <x:is>
          <x:t xml:space="preserve">WATCH</x:t>
        </x:is>
      </x:c>
      <x:c r="N197" s="160" t="inlineStr">
        <x:is>
          <x:t xml:space="preserve">R-TAIL-01</x:t>
        </x:is>
      </x:c>
      <x:c r="O197" s="160" t="inlineStr">
        <x:is>
          <x:t xml:space="preserve">HARDENED</x:t>
        </x:is>
      </x:c>
      <x:c r="P197" s="160" t="inlineStr">
        <x:is>
          <x:t xml:space="preserve">ROBUST WITH RESIDUAL</x:t>
        </x:is>
      </x:c>
      <x:c r="Q197" s="160" t="inlineStr">
        <x:is>
          <x:t xml:space="preserve">The hardened rule catches the stress. Residual risk is mainly evidence quality, threshold calibration or interaction with another gate.</x:t>
        </x:is>
      </x:c>
      <x:c r="R197" s="160" t="inlineStr">
        <x:is>
          <x:t xml:space="preserve">Maintain an explicit concentration/tail-risk register with probability, severity, mitigation and required margin-of-safety premium.</x:t>
        </x:is>
      </x:c>
      <x:c r="S197" s="160" t="inlineStr">
        <x:is>
          <x:t xml:space="preserve">NO</x:t>
        </x:is>
      </x:c>
      <x:c r="T197" s="160" t="inlineStr">
        <x:is>
          <x:t xml:space="preserve">HARDENED</x:t>
        </x:is>
      </x:c>
      <x:c r="U197" s="160" t="inlineStr">
        <x:is>
          <x:t xml:space="preserve">V10.5-SIM35</x:t>
        </x:is>
      </x:c>
      <x:c r="V197" s="160" t="inlineStr">
        <x:is>
          <x:t xml:space="preserve">https://investors.broadcom.com</x:t>
        </x:is>
      </x:c>
      <x:c r="W197" s="160" t="inlineStr">
        <x:is>
          <x:t xml:space="preserve">NO</x:t>
        </x:is>
      </x:c>
      <x:c r="X197" s="160" t="inlineStr">
        <x:is>
          <x:t xml:space="preserve">NONE — DEVELOPMENT ONLY</x:t>
        </x:is>
      </x:c>
      <x:c r="Y197" s="160" t="inlineStr">
        <x:is>
          <x:t xml:space="preserve">Synthetic/adversarial model-development loop. No historical outcome is claimed; no accuracy point is awarded.</x:t>
        </x:is>
      </x:c>
    </x:row>
    <x:row r="198">
      <x:c r="A198" s="160" t="inlineStr">
        <x:is>
          <x:t xml:space="preserve">ML0193</x:t>
        </x:is>
      </x:c>
      <x:c r="B198" s="160" t="inlineStr">
        <x:is>
          <x:t xml:space="preserve">ARG-013</x:t>
        </x:is>
      </x:c>
      <x:c r="C198" s="160" t="inlineStr">
        <x:is>
          <x:t xml:space="preserve">Marvell Technology</x:t>
        </x:is>
      </x:c>
      <x:c r="D198" s="160" t="inlineStr">
        <x:is>
          <x:t xml:space="preserve">MRVL</x:t>
        </x:is>
      </x:c>
      <x:c r="E198" s="160" t="inlineStr">
        <x:is>
          <x:t xml:space="preserve">AI &amp; Semiconductors</x:t>
        </x:is>
      </x:c>
      <x:c r="F198" s="160" t="inlineStr">
        <x:is>
          <x:t xml:space="preserve">Development</x:t>
        </x:is>
      </x:c>
      <x:c r="G198" s="160" t="inlineStr">
        <x:is>
          <x:t xml:space="preserve">S01</x:t>
        </x:is>
      </x:c>
      <x:c r="H198" s="160" t="inlineStr">
        <x:is>
          <x:t xml:space="preserve">Understanding Gate</x:t>
        </x:is>
      </x:c>
      <x:c r="I198" s="160" t="inlineStr">
        <x:is>
          <x:t xml:space="preserve">Understanding</x:t>
        </x:is>
      </x:c>
      <x:c r="J198" s="160" t="inlineStr">
        <x:is>
          <x:t xml:space="preserve">Causal engine / customer ROI chain breaks under a misleading headline KPI.</x:t>
        </x:is>
      </x:c>
      <x:c r="K198" s="160" t="inlineStr">
        <x:is>
          <x:t xml:space="preserve">Custom silicon/connectivity revenue minus heavy reinvestment</x:t>
        </x:is>
      </x:c>
      <x:c r="L198" s="160" t="inlineStr">
        <x:is>
          <x:t xml:space="preserve">Owner earnings + milestone scenarios</x:t>
        </x:is>
      </x:c>
      <x:c r="M198" s="160" t="inlineStr">
        <x:is>
          <x:t xml:space="preserve">WAIT</x:t>
        </x:is>
      </x:c>
      <x:c r="N198" s="160" t="inlineStr">
        <x:is>
          <x:t xml:space="preserve">R-ENG-01</x:t>
        </x:is>
      </x:c>
      <x:c r="O198" s="160" t="inlineStr">
        <x:is>
          <x:t xml:space="preserve">HARDENED</x:t>
        </x:is>
      </x:c>
      <x:c r="P198" s="160" t="inlineStr">
        <x:is>
          <x:t xml:space="preserve">ROBUST WITH RESIDUAL</x:t>
        </x:is>
      </x:c>
      <x:c r="Q198" s="160" t="inlineStr">
        <x:is>
          <x:t xml:space="preserve">The hardened rule catches the stress. Residual risk is mainly evidence quality, threshold calibration or interaction with another gate.</x:t>
        </x:is>
      </x:c>
      <x:c r="R198" s="160" t="inlineStr">
        <x:is>
          <x:t xml:space="preserve">Force an explicit engine tree: customer job → unit economics → revenue driver → owner-value bridge.</x:t>
        </x:is>
      </x:c>
      <x:c r="S198" s="160" t="inlineStr">
        <x:is>
          <x:t xml:space="preserve">NO</x:t>
        </x:is>
      </x:c>
      <x:c r="T198" s="160" t="inlineStr">
        <x:is>
          <x:t xml:space="preserve">HARDENED</x:t>
        </x:is>
      </x:c>
      <x:c r="U198" s="160" t="inlineStr">
        <x:is>
          <x:t xml:space="preserve">V10.5-SIM35</x:t>
        </x:is>
      </x:c>
      <x:c r="V198" s="160" t="inlineStr">
        <x:is>
          <x:t xml:space="preserve">https://investor.marvell.com</x:t>
        </x:is>
      </x:c>
      <x:c r="W198" s="160" t="inlineStr">
        <x:is>
          <x:t xml:space="preserve">NO</x:t>
        </x:is>
      </x:c>
      <x:c r="X198" s="160" t="inlineStr">
        <x:is>
          <x:t xml:space="preserve">NONE — DEVELOPMENT ONLY</x:t>
        </x:is>
      </x:c>
      <x:c r="Y198" s="160" t="inlineStr">
        <x:is>
          <x:t xml:space="preserve">Synthetic/adversarial model-development loop. No historical outcome is claimed; no accuracy point is awarded.</x:t>
        </x:is>
      </x:c>
    </x:row>
    <x:row r="199">
      <x:c r="A199" s="160" t="inlineStr">
        <x:is>
          <x:t xml:space="preserve">ML0194</x:t>
        </x:is>
      </x:c>
      <x:c r="B199" s="160" t="inlineStr">
        <x:is>
          <x:t xml:space="preserve">ARG-013</x:t>
        </x:is>
      </x:c>
      <x:c r="C199" s="160" t="inlineStr">
        <x:is>
          <x:t xml:space="preserve">Marvell Technology</x:t>
        </x:is>
      </x:c>
      <x:c r="D199" s="160" t="inlineStr">
        <x:is>
          <x:t xml:space="preserve">MRVL</x:t>
        </x:is>
      </x:c>
      <x:c r="E199" s="160" t="inlineStr">
        <x:is>
          <x:t xml:space="preserve">AI &amp; Semiconductors</x:t>
        </x:is>
      </x:c>
      <x:c r="F199" s="160" t="inlineStr">
        <x:is>
          <x:t xml:space="preserve">Development</x:t>
        </x:is>
      </x:c>
      <x:c r="G199" s="160" t="inlineStr">
        <x:is>
          <x:t xml:space="preserve">S02</x:t>
        </x:is>
      </x:c>
      <x:c r="H199" s="160" t="inlineStr">
        <x:is>
          <x:t xml:space="preserve">Owner Earnings Normalization</x:t>
        </x:is>
      </x:c>
      <x:c r="I199" s="160" t="inlineStr">
        <x:is>
          <x:t xml:space="preserve">Owner Earnings</x:t>
        </x:is>
      </x:c>
      <x:c r="J199" s="160" t="inlineStr">
        <x:is>
          <x:t xml:space="preserve">Reported earnings/FCF overstates economic cash because recurring reinvestment or non-cash compensation is misclassified.</x:t>
        </x:is>
      </x:c>
      <x:c r="K199" s="160" t="inlineStr">
        <x:is>
          <x:t xml:space="preserve">Custom silicon/connectivity revenue minus heavy reinvestment</x:t>
        </x:is>
      </x:c>
      <x:c r="L199" s="160" t="inlineStr">
        <x:is>
          <x:t xml:space="preserve">Owner earnings + milestone scenarios</x:t>
        </x:is>
      </x:c>
      <x:c r="M199" s="160" t="inlineStr">
        <x:is>
          <x:t xml:space="preserve">WAIT</x:t>
        </x:is>
      </x:c>
      <x:c r="N199" s="160" t="inlineStr">
        <x:is>
          <x:t xml:space="preserve">R-OE-01</x:t>
        </x:is>
      </x:c>
      <x:c r="O199" s="160" t="inlineStr">
        <x:is>
          <x:t xml:space="preserve">HARDENED</x:t>
        </x:is>
      </x:c>
      <x:c r="P199" s="160" t="inlineStr">
        <x:is>
          <x:t xml:space="preserve">ROBUST WITH RESIDUAL</x:t>
        </x:is>
      </x:c>
      <x:c r="Q199" s="160" t="inlineStr">
        <x:is>
          <x:t xml:space="preserve">The hardened rule catches the stress. Residual risk is mainly evidence quality, threshold calibration or interaction with another gate.</x:t>
        </x:is>
      </x:c>
      <x:c r="R199" s="160" t="inlineStr">
        <x:is>
          <x:t xml:space="preserve">Require a GAAP-to-economic-owner-cash bridge tailored to the business model.</x:t>
        </x:is>
      </x:c>
      <x:c r="S199" s="160" t="inlineStr">
        <x:is>
          <x:t xml:space="preserve">NO</x:t>
        </x:is>
      </x:c>
      <x:c r="T199" s="160" t="inlineStr">
        <x:is>
          <x:t xml:space="preserve">HARDENED</x:t>
        </x:is>
      </x:c>
      <x:c r="U199" s="160" t="inlineStr">
        <x:is>
          <x:t xml:space="preserve">V10.5-SIM35</x:t>
        </x:is>
      </x:c>
      <x:c r="V199" s="160" t="inlineStr">
        <x:is>
          <x:t xml:space="preserve">https://investor.marvell.com</x:t>
        </x:is>
      </x:c>
      <x:c r="W199" s="160" t="inlineStr">
        <x:is>
          <x:t xml:space="preserve">NO</x:t>
        </x:is>
      </x:c>
      <x:c r="X199" s="160" t="inlineStr">
        <x:is>
          <x:t xml:space="preserve">NONE — DEVELOPMENT ONLY</x:t>
        </x:is>
      </x:c>
      <x:c r="Y199" s="160" t="inlineStr">
        <x:is>
          <x:t xml:space="preserve">Synthetic/adversarial model-development loop. No historical outcome is claimed; no accuracy point is awarded.</x:t>
        </x:is>
      </x:c>
    </x:row>
    <x:row r="200">
      <x:c r="A200" s="160" t="inlineStr">
        <x:is>
          <x:t xml:space="preserve">ML0195</x:t>
        </x:is>
      </x:c>
      <x:c r="B200" s="160" t="inlineStr">
        <x:is>
          <x:t xml:space="preserve">ARG-013</x:t>
        </x:is>
      </x:c>
      <x:c r="C200" s="160" t="inlineStr">
        <x:is>
          <x:t xml:space="preserve">Marvell Technology</x:t>
        </x:is>
      </x:c>
      <x:c r="D200" s="160" t="inlineStr">
        <x:is>
          <x:t xml:space="preserve">MRVL</x:t>
        </x:is>
      </x:c>
      <x:c r="E200" s="160" t="inlineStr">
        <x:is>
          <x:t xml:space="preserve">AI &amp; Semiconductors</x:t>
        </x:is>
      </x:c>
      <x:c r="F200" s="160" t="inlineStr">
        <x:is>
          <x:t xml:space="preserve">Development</x:t>
        </x:is>
      </x:c>
      <x:c r="G200" s="160" t="inlineStr">
        <x:is>
          <x:t xml:space="preserve">S03</x:t>
        </x:is>
      </x:c>
      <x:c r="H200" s="160" t="inlineStr">
        <x:is>
          <x:t xml:space="preserve">Moat Durability</x:t>
        </x:is>
      </x:c>
      <x:c r="I200" s="160" t="inlineStr">
        <x:is>
          <x:t xml:space="preserve">Moat 2036</x:t>
        </x:is>
      </x:c>
      <x:c r="J200" s="160" t="inlineStr">
        <x:is>
          <x:t xml:space="preserve">Growth continues while switching friction, pricing power or replacement difficulty quietly weakens.</x:t>
        </x:is>
      </x:c>
      <x:c r="K200" s="160" t="inlineStr">
        <x:is>
          <x:t xml:space="preserve">Custom silicon/connectivity revenue minus heavy reinvestment</x:t>
        </x:is>
      </x:c>
      <x:c r="L200" s="160" t="inlineStr">
        <x:is>
          <x:t xml:space="preserve">Owner earnings + milestone scenarios</x:t>
        </x:is>
      </x:c>
      <x:c r="M200" s="160" t="inlineStr">
        <x:is>
          <x:t xml:space="preserve">WAIT</x:t>
        </x:is>
      </x:c>
      <x:c r="N200" s="160" t="inlineStr">
        <x:is>
          <x:t xml:space="preserve">R-MOAT-01</x:t>
        </x:is>
      </x:c>
      <x:c r="O200" s="160" t="inlineStr">
        <x:is>
          <x:t xml:space="preserve">HARDENED</x:t>
        </x:is>
      </x:c>
      <x:c r="P200" s="160" t="inlineStr">
        <x:is>
          <x:t xml:space="preserve">ROBUST WITH RESIDUAL</x:t>
        </x:is>
      </x:c>
      <x:c r="Q200" s="160" t="inlineStr">
        <x:is>
          <x:t xml:space="preserve">The hardened rule catches the stress. Residual risk is mainly evidence quality, threshold calibration or interaction with another gate.</x:t>
        </x:is>
      </x:c>
      <x:c r="R200" s="160" t="inlineStr">
        <x:is>
          <x:t xml:space="preserve">Track moat telemetry separately from growth: retention, pricing, win/loss, replacement friction, installed-base behavior.</x:t>
        </x:is>
      </x:c>
      <x:c r="S200" s="160" t="inlineStr">
        <x:is>
          <x:t xml:space="preserve">NO</x:t>
        </x:is>
      </x:c>
      <x:c r="T200" s="160" t="inlineStr">
        <x:is>
          <x:t xml:space="preserve">HARDENED</x:t>
        </x:is>
      </x:c>
      <x:c r="U200" s="160" t="inlineStr">
        <x:is>
          <x:t xml:space="preserve">V10.5-SIM35</x:t>
        </x:is>
      </x:c>
      <x:c r="V200" s="160" t="inlineStr">
        <x:is>
          <x:t xml:space="preserve">https://investor.marvell.com</x:t>
        </x:is>
      </x:c>
      <x:c r="W200" s="160" t="inlineStr">
        <x:is>
          <x:t xml:space="preserve">NO</x:t>
        </x:is>
      </x:c>
      <x:c r="X200" s="160" t="inlineStr">
        <x:is>
          <x:t xml:space="preserve">NONE — DEVELOPMENT ONLY</x:t>
        </x:is>
      </x:c>
      <x:c r="Y200" s="160" t="inlineStr">
        <x:is>
          <x:t xml:space="preserve">Synthetic/adversarial model-development loop. No historical outcome is claimed; no accuracy point is awarded.</x:t>
        </x:is>
      </x:c>
    </x:row>
    <x:row r="201">
      <x:c r="A201" s="160" t="inlineStr">
        <x:is>
          <x:t xml:space="preserve">ML0196</x:t>
        </x:is>
      </x:c>
      <x:c r="B201" s="160" t="inlineStr">
        <x:is>
          <x:t xml:space="preserve">ARG-013</x:t>
        </x:is>
      </x:c>
      <x:c r="C201" s="160" t="inlineStr">
        <x:is>
          <x:t xml:space="preserve">Marvell Technology</x:t>
        </x:is>
      </x:c>
      <x:c r="D201" s="160" t="inlineStr">
        <x:is>
          <x:t xml:space="preserve">MRVL</x:t>
        </x:is>
      </x:c>
      <x:c r="E201" s="160" t="inlineStr">
        <x:is>
          <x:t xml:space="preserve">AI &amp; Semiconductors</x:t>
        </x:is>
      </x:c>
      <x:c r="F201" s="160" t="inlineStr">
        <x:is>
          <x:t xml:space="preserve">Development</x:t>
        </x:is>
      </x:c>
      <x:c r="G201" s="160" t="inlineStr">
        <x:is>
          <x:t xml:space="preserve">S04</x:t>
        </x:is>
      </x:c>
      <x:c r="H201" s="160" t="inlineStr">
        <x:is>
          <x:t xml:space="preserve">Stewardship / Capital Allocation</x:t>
        </x:is>
      </x:c>
      <x:c r="I201" s="160" t="inlineStr">
        <x:is>
          <x:t xml:space="preserve">Stewardship</x:t>
        </x:is>
      </x:c>
      <x:c r="J201" s="160" t="inlineStr">
        <x:is>
          <x:t xml:space="preserve">Management creates enterprise growth while destroying per-share value through M&amp;A, dilution, leverage or mistimed buybacks.</x:t>
        </x:is>
      </x:c>
      <x:c r="K201" s="160" t="inlineStr">
        <x:is>
          <x:t xml:space="preserve">Custom silicon/connectivity revenue minus heavy reinvestment</x:t>
        </x:is>
      </x:c>
      <x:c r="L201" s="160" t="inlineStr">
        <x:is>
          <x:t xml:space="preserve">Owner earnings + milestone scenarios</x:t>
        </x:is>
      </x:c>
      <x:c r="M201" s="160" t="inlineStr">
        <x:is>
          <x:t xml:space="preserve">WAIT</x:t>
        </x:is>
      </x:c>
      <x:c r="N201" s="160" t="inlineStr">
        <x:is>
          <x:t xml:space="preserve">R-STEW-01</x:t>
        </x:is>
      </x:c>
      <x:c r="O201" s="160" t="inlineStr">
        <x:is>
          <x:t xml:space="preserve">HARDENED</x:t>
        </x:is>
      </x:c>
      <x:c r="P201" s="160" t="inlineStr">
        <x:is>
          <x:t xml:space="preserve">ROBUST WITH RESIDUAL</x:t>
        </x:is>
      </x:c>
      <x:c r="Q201" s="160" t="inlineStr">
        <x:is>
          <x:t xml:space="preserve">The hardened rule catches the stress. Residual risk is mainly evidence quality, threshold calibration or interaction with another gate.</x:t>
        </x:is>
      </x:c>
      <x:c r="R201" s="160" t="inlineStr">
        <x:is>
          <x:t xml:space="preserve">Evaluate capital allocation on a per-share basis using acquisition cohorts, dilution, leverage and repurchase price discipline.</x:t>
        </x:is>
      </x:c>
      <x:c r="S201" s="160" t="inlineStr">
        <x:is>
          <x:t xml:space="preserve">NO</x:t>
        </x:is>
      </x:c>
      <x:c r="T201" s="160" t="inlineStr">
        <x:is>
          <x:t xml:space="preserve">HARDENED</x:t>
        </x:is>
      </x:c>
      <x:c r="U201" s="160" t="inlineStr">
        <x:is>
          <x:t xml:space="preserve">V10.5-SIM35</x:t>
        </x:is>
      </x:c>
      <x:c r="V201" s="160" t="inlineStr">
        <x:is>
          <x:t xml:space="preserve">https://investor.marvell.com</x:t>
        </x:is>
      </x:c>
      <x:c r="W201" s="160" t="inlineStr">
        <x:is>
          <x:t xml:space="preserve">NO</x:t>
        </x:is>
      </x:c>
      <x:c r="X201" s="160" t="inlineStr">
        <x:is>
          <x:t xml:space="preserve">NONE — DEVELOPMENT ONLY</x:t>
        </x:is>
      </x:c>
      <x:c r="Y201" s="160" t="inlineStr">
        <x:is>
          <x:t xml:space="preserve">Synthetic/adversarial model-development loop. No historical outcome is claimed; no accuracy point is awarded.</x:t>
        </x:is>
      </x:c>
    </x:row>
    <x:row r="202">
      <x:c r="A202" s="160" t="inlineStr">
        <x:is>
          <x:t xml:space="preserve">ML0197</x:t>
        </x:is>
      </x:c>
      <x:c r="B202" s="160" t="inlineStr">
        <x:is>
          <x:t xml:space="preserve">ARG-013</x:t>
        </x:is>
      </x:c>
      <x:c r="C202" s="160" t="inlineStr">
        <x:is>
          <x:t xml:space="preserve">Marvell Technology</x:t>
        </x:is>
      </x:c>
      <x:c r="D202" s="160" t="inlineStr">
        <x:is>
          <x:t xml:space="preserve">MRVL</x:t>
        </x:is>
      </x:c>
      <x:c r="E202" s="160" t="inlineStr">
        <x:is>
          <x:t xml:space="preserve">AI &amp; Semiconductors</x:t>
        </x:is>
      </x:c>
      <x:c r="F202" s="160" t="inlineStr">
        <x:is>
          <x:t xml:space="preserve">Development</x:t>
        </x:is>
      </x:c>
      <x:c r="G202" s="160" t="inlineStr">
        <x:is>
          <x:t xml:space="preserve">S05</x:t>
        </x:is>
      </x:c>
      <x:c r="H202" s="160" t="inlineStr">
        <x:is>
          <x:t xml:space="preserve">Survival / Funding</x:t>
        </x:is>
      </x:c>
      <x:c r="I202" s="160" t="inlineStr">
        <x:is>
          <x:t xml:space="preserve">Survival</x:t>
        </x:is>
      </x:c>
      <x:c r="J202" s="160" t="inlineStr">
        <x:is>
          <x:t xml:space="preserve">A plausible bear case exposes refinancing, liquidity, covenant, reserve, regulatory or operational fragility.</x:t>
        </x:is>
      </x:c>
      <x:c r="K202" s="160" t="inlineStr">
        <x:is>
          <x:t xml:space="preserve">Custom silicon/connectivity revenue minus heavy reinvestment</x:t>
        </x:is>
      </x:c>
      <x:c r="L202" s="160" t="inlineStr">
        <x:is>
          <x:t xml:space="preserve">Owner earnings + milestone scenarios</x:t>
        </x:is>
      </x:c>
      <x:c r="M202" s="160" t="inlineStr">
        <x:is>
          <x:t xml:space="preserve">WAIT</x:t>
        </x:is>
      </x:c>
      <x:c r="N202" s="160" t="inlineStr">
        <x:is>
          <x:t xml:space="preserve">R-SURV-01</x:t>
        </x:is>
      </x:c>
      <x:c r="O202" s="160" t="inlineStr">
        <x:is>
          <x:t xml:space="preserve">HARDENED</x:t>
        </x:is>
      </x:c>
      <x:c r="P202" s="160" t="inlineStr">
        <x:is>
          <x:t xml:space="preserve">ROBUST WITH RESIDUAL</x:t>
        </x:is>
      </x:c>
      <x:c r="Q202" s="160" t="inlineStr">
        <x:is>
          <x:t xml:space="preserve">The hardened rule catches the stress. Residual risk is mainly evidence quality, threshold calibration or interaction with another gate.</x:t>
        </x:is>
      </x:c>
      <x:c r="R202" s="160" t="inlineStr">
        <x:is>
          <x:t xml:space="preserve">Run a company-specific survival bridge under a severe-but-plausible bear case before any upside underwriting.</x:t>
        </x:is>
      </x:c>
      <x:c r="S202" s="160" t="inlineStr">
        <x:is>
          <x:t xml:space="preserve">NO</x:t>
        </x:is>
      </x:c>
      <x:c r="T202" s="160" t="inlineStr">
        <x:is>
          <x:t xml:space="preserve">HARDENED</x:t>
        </x:is>
      </x:c>
      <x:c r="U202" s="160" t="inlineStr">
        <x:is>
          <x:t xml:space="preserve">V10.5-SIM35</x:t>
        </x:is>
      </x:c>
      <x:c r="V202" s="160" t="inlineStr">
        <x:is>
          <x:t xml:space="preserve">https://investor.marvell.com</x:t>
        </x:is>
      </x:c>
      <x:c r="W202" s="160" t="inlineStr">
        <x:is>
          <x:t xml:space="preserve">NO</x:t>
        </x:is>
      </x:c>
      <x:c r="X202" s="160" t="inlineStr">
        <x:is>
          <x:t xml:space="preserve">NONE — DEVELOPMENT ONLY</x:t>
        </x:is>
      </x:c>
      <x:c r="Y202" s="160" t="inlineStr">
        <x:is>
          <x:t xml:space="preserve">Synthetic/adversarial model-development loop. No historical outcome is claimed; no accuracy point is awarded.</x:t>
        </x:is>
      </x:c>
    </x:row>
    <x:row r="203">
      <x:c r="A203" s="160" t="inlineStr">
        <x:is>
          <x:t xml:space="preserve">ML0198</x:t>
        </x:is>
      </x:c>
      <x:c r="B203" s="160" t="inlineStr">
        <x:is>
          <x:t xml:space="preserve">ARG-013</x:t>
        </x:is>
      </x:c>
      <x:c r="C203" s="160" t="inlineStr">
        <x:is>
          <x:t xml:space="preserve">Marvell Technology</x:t>
        </x:is>
      </x:c>
      <x:c r="D203" s="160" t="inlineStr">
        <x:is>
          <x:t xml:space="preserve">MRVL</x:t>
        </x:is>
      </x:c>
      <x:c r="E203" s="160" t="inlineStr">
        <x:is>
          <x:t xml:space="preserve">AI &amp; Semiconductors</x:t>
        </x:is>
      </x:c>
      <x:c r="F203" s="160" t="inlineStr">
        <x:is>
          <x:t xml:space="preserve">Development</x:t>
        </x:is>
      </x:c>
      <x:c r="G203" s="160" t="inlineStr">
        <x:is>
          <x:t xml:space="preserve">S06</x:t>
        </x:is>
      </x:c>
      <x:c r="H203" s="160" t="inlineStr">
        <x:is>
          <x:t xml:space="preserve">Margin of Safety</x:t>
        </x:is>
      </x:c>
      <x:c r="I203" s="160" t="inlineStr">
        <x:is>
          <x:t xml:space="preserve">Margin of Safety</x:t>
        </x:is>
      </x:c>
      <x:c r="J203" s="160" t="inlineStr">
        <x:is>
          <x:t xml:space="preserve">Business quality is high but the price embeds a fragile bull case.</x:t>
        </x:is>
      </x:c>
      <x:c r="K203" s="160" t="inlineStr">
        <x:is>
          <x:t xml:space="preserve">Custom silicon/connectivity revenue minus heavy reinvestment</x:t>
        </x:is>
      </x:c>
      <x:c r="L203" s="160" t="inlineStr">
        <x:is>
          <x:t xml:space="preserve">Owner earnings + milestone scenarios</x:t>
        </x:is>
      </x:c>
      <x:c r="M203" s="160" t="inlineStr">
        <x:is>
          <x:t xml:space="preserve">WAIT</x:t>
        </x:is>
      </x:c>
      <x:c r="N203" s="160" t="inlineStr">
        <x:is>
          <x:t xml:space="preserve">R-MOS-01</x:t>
        </x:is>
      </x:c>
      <x:c r="O203" s="160" t="inlineStr">
        <x:is>
          <x:t xml:space="preserve">HARDENED</x:t>
        </x:is>
      </x:c>
      <x:c r="P203" s="160" t="inlineStr">
        <x:is>
          <x:t xml:space="preserve">ROBUST WITH RESIDUAL</x:t>
        </x:is>
      </x:c>
      <x:c r="Q203" s="160" t="inlineStr">
        <x:is>
          <x:t xml:space="preserve">The hardened rule catches the stress. Residual risk is mainly evidence quality, threshold calibration or interaction with another gate.</x:t>
        </x:is>
      </x:c>
      <x:c r="R203" s="160" t="inlineStr">
        <x:is>
          <x:t xml:space="preserve">Separate business-quality score from price decision; require reverse valuation and bear/base/bull IV ranges.</x:t>
        </x:is>
      </x:c>
      <x:c r="S203" s="160" t="inlineStr">
        <x:is>
          <x:t xml:space="preserve">NO</x:t>
        </x:is>
      </x:c>
      <x:c r="T203" s="160" t="inlineStr">
        <x:is>
          <x:t xml:space="preserve">HARDENED</x:t>
        </x:is>
      </x:c>
      <x:c r="U203" s="160" t="inlineStr">
        <x:is>
          <x:t xml:space="preserve">V10.5-SIM35</x:t>
        </x:is>
      </x:c>
      <x:c r="V203" s="160" t="inlineStr">
        <x:is>
          <x:t xml:space="preserve">https://investor.marvell.com</x:t>
        </x:is>
      </x:c>
      <x:c r="W203" s="160" t="inlineStr">
        <x:is>
          <x:t xml:space="preserve">NO</x:t>
        </x:is>
      </x:c>
      <x:c r="X203" s="160" t="inlineStr">
        <x:is>
          <x:t xml:space="preserve">NONE — DEVELOPMENT ONLY</x:t>
        </x:is>
      </x:c>
      <x:c r="Y203" s="160" t="inlineStr">
        <x:is>
          <x:t xml:space="preserve">Synthetic/adversarial model-development loop. No historical outcome is claimed; no accuracy point is awarded.</x:t>
        </x:is>
      </x:c>
    </x:row>
    <x:row r="204">
      <x:c r="A204" s="160" t="inlineStr">
        <x:is>
          <x:t xml:space="preserve">ML0199</x:t>
        </x:is>
      </x:c>
      <x:c r="B204" s="160" t="inlineStr">
        <x:is>
          <x:t xml:space="preserve">ARG-013</x:t>
        </x:is>
      </x:c>
      <x:c r="C204" s="160" t="inlineStr">
        <x:is>
          <x:t xml:space="preserve">Marvell Technology</x:t>
        </x:is>
      </x:c>
      <x:c r="D204" s="160" t="inlineStr">
        <x:is>
          <x:t xml:space="preserve">MRVL</x:t>
        </x:is>
      </x:c>
      <x:c r="E204" s="160" t="inlineStr">
        <x:is>
          <x:t xml:space="preserve">AI &amp; Semiconductors</x:t>
        </x:is>
      </x:c>
      <x:c r="F204" s="160" t="inlineStr">
        <x:is>
          <x:t xml:space="preserve">Development</x:t>
        </x:is>
      </x:c>
      <x:c r="G204" s="160" t="inlineStr">
        <x:is>
          <x:t xml:space="preserve">S07</x:t>
        </x:is>
      </x:c>
      <x:c r="H204" s="160" t="inlineStr">
        <x:is>
          <x:t xml:space="preserve">Sector Shock</x:t>
        </x:is>
      </x:c>
      <x:c r="I204" s="160" t="inlineStr">
        <x:is>
          <x:t xml:space="preserve">Sector-specific</x:t>
        </x:is>
      </x:c>
      <x:c r="J204" s="160" t="inlineStr">
        <x:is>
          <x:t xml:space="preserve">AI demand remains strong but capex intensity, customer concentration, inventory/cycle risk or export/geopolitical constraints hit normalized returns.</x:t>
        </x:is>
      </x:c>
      <x:c r="K204" s="160" t="inlineStr">
        <x:is>
          <x:t xml:space="preserve">Custom silicon/connectivity revenue minus heavy reinvestment</x:t>
        </x:is>
      </x:c>
      <x:c r="L204" s="160" t="inlineStr">
        <x:is>
          <x:t xml:space="preserve">Owner earnings + milestone scenarios</x:t>
        </x:is>
      </x:c>
      <x:c r="M204" s="160" t="inlineStr">
        <x:is>
          <x:t xml:space="preserve">WAIT</x:t>
        </x:is>
      </x:c>
      <x:c r="N204" s="160" t="inlineStr">
        <x:is>
          <x:t xml:space="preserve">R-SECTOR-AI-SEMICONDUCTORS</x:t>
        </x:is>
      </x:c>
      <x:c r="O204" s="160" t="inlineStr">
        <x:is>
          <x:t xml:space="preserve">COUNTER-EVIDENCE</x:t>
        </x:is>
      </x:c>
      <x:c r="P204" s="160" t="inlineStr">
        <x:is>
          <x:t xml:space="preserve">ROBUST</x:t>
        </x:is>
      </x:c>
      <x:c r="Q204" s="160" t="inlineStr">
        <x:is>
          <x:t xml:space="preserve">The mature simulation rule catches the stress without weakening a fatal gate; no rule relaxation is justified.</x:t>
        </x:is>
      </x:c>
      <x:c r="R204"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S204" s="160" t="inlineStr">
        <x:is>
          <x:t xml:space="preserve">NO</x:t>
        </x:is>
      </x:c>
      <x:c r="T204" s="160" t="inlineStr">
        <x:is>
          <x:t xml:space="preserve">COUNTER-EVIDENCE</x:t>
        </x:is>
      </x:c>
      <x:c r="U204" s="160" t="inlineStr">
        <x:is>
          <x:t xml:space="preserve">V10.5-SIM35</x:t>
        </x:is>
      </x:c>
      <x:c r="V204" s="160" t="inlineStr">
        <x:is>
          <x:t xml:space="preserve">https://investor.marvell.com</x:t>
        </x:is>
      </x:c>
      <x:c r="W204" s="160" t="inlineStr">
        <x:is>
          <x:t xml:space="preserve">NO</x:t>
        </x:is>
      </x:c>
      <x:c r="X204" s="160" t="inlineStr">
        <x:is>
          <x:t xml:space="preserve">NONE — DEVELOPMENT ONLY</x:t>
        </x:is>
      </x:c>
      <x:c r="Y204" s="160" t="inlineStr">
        <x:is>
          <x:t xml:space="preserve">Synthetic/adversarial model-development loop. No historical outcome is claimed; no accuracy point is awarded.</x:t>
        </x:is>
      </x:c>
    </x:row>
    <x:row r="205">
      <x:c r="A205" s="160" t="inlineStr">
        <x:is>
          <x:t xml:space="preserve">ML0200</x:t>
        </x:is>
      </x:c>
      <x:c r="B205" s="160" t="inlineStr">
        <x:is>
          <x:t xml:space="preserve">ARG-013</x:t>
        </x:is>
      </x:c>
      <x:c r="C205" s="160" t="inlineStr">
        <x:is>
          <x:t xml:space="preserve">Marvell Technology</x:t>
        </x:is>
      </x:c>
      <x:c r="D205" s="160" t="inlineStr">
        <x:is>
          <x:t xml:space="preserve">MRVL</x:t>
        </x:is>
      </x:c>
      <x:c r="E205" s="160" t="inlineStr">
        <x:is>
          <x:t xml:space="preserve">AI &amp; Semiconductors</x:t>
        </x:is>
      </x:c>
      <x:c r="F205" s="160" t="inlineStr">
        <x:is>
          <x:t xml:space="preserve">Development</x:t>
        </x:is>
      </x:c>
      <x:c r="G205" s="160" t="inlineStr">
        <x:is>
          <x:t xml:space="preserve">S08</x:t>
        </x:is>
      </x:c>
      <x:c r="H205" s="160" t="inlineStr">
        <x:is>
          <x:t xml:space="preserve">Management Promise Reliability</x:t>
        </x:is>
      </x:c>
      <x:c r="I205" s="160" t="inlineStr">
        <x:is>
          <x:t xml:space="preserve">Management over-trust</x:t>
        </x:is>
      </x:c>
      <x:c r="J205" s="160" t="inlineStr">
        <x:is>
          <x:t xml:space="preserve">Guidance or strategic promises are repeated but the model lacks a contemporaneous reliability score.</x:t>
        </x:is>
      </x:c>
      <x:c r="K205" s="160" t="inlineStr">
        <x:is>
          <x:t xml:space="preserve">Custom silicon/connectivity revenue minus heavy reinvestment</x:t>
        </x:is>
      </x:c>
      <x:c r="L205" s="160" t="inlineStr">
        <x:is>
          <x:t xml:space="preserve">Owner earnings + milestone scenarios</x:t>
        </x:is>
      </x:c>
      <x:c r="M205" s="160" t="inlineStr">
        <x:is>
          <x:t xml:space="preserve">WAIT</x:t>
        </x:is>
      </x:c>
      <x:c r="N205" s="160" t="inlineStr">
        <x:is>
          <x:t xml:space="preserve">R-PROM-01</x:t>
        </x:is>
      </x:c>
      <x:c r="O205" s="160" t="inlineStr">
        <x:is>
          <x:t xml:space="preserve">HARDENED</x:t>
        </x:is>
      </x:c>
      <x:c r="P205" s="160" t="inlineStr">
        <x:is>
          <x:t xml:space="preserve">ROBUST WITH RESIDUAL</x:t>
        </x:is>
      </x:c>
      <x:c r="Q205" s="160" t="inlineStr">
        <x:is>
          <x:t xml:space="preserve">The hardened rule catches the stress. Residual risk is mainly evidence quality, threshold calibration or interaction with another gate.</x:t>
        </x:is>
      </x:c>
      <x:c r="R205" s="160" t="inlineStr">
        <x:is>
          <x:t xml:space="preserve">Use a promises ledger with dated promise, measurable deliverable, due date, outcome and credibility weight.</x:t>
        </x:is>
      </x:c>
      <x:c r="S205" s="160" t="inlineStr">
        <x:is>
          <x:t xml:space="preserve">NO</x:t>
        </x:is>
      </x:c>
      <x:c r="T205" s="160" t="inlineStr">
        <x:is>
          <x:t xml:space="preserve">HARDENED</x:t>
        </x:is>
      </x:c>
      <x:c r="U205" s="160" t="inlineStr">
        <x:is>
          <x:t xml:space="preserve">V10.5-SIM35</x:t>
        </x:is>
      </x:c>
      <x:c r="V205" s="160" t="inlineStr">
        <x:is>
          <x:t xml:space="preserve">https://investor.marvell.com</x:t>
        </x:is>
      </x:c>
      <x:c r="W205" s="160" t="inlineStr">
        <x:is>
          <x:t xml:space="preserve">NO</x:t>
        </x:is>
      </x:c>
      <x:c r="X205" s="160" t="inlineStr">
        <x:is>
          <x:t xml:space="preserve">NONE — DEVELOPMENT ONLY</x:t>
        </x:is>
      </x:c>
      <x:c r="Y205" s="160" t="inlineStr">
        <x:is>
          <x:t xml:space="preserve">Synthetic/adversarial model-development loop. No historical outcome is claimed; no accuracy point is awarded.</x:t>
        </x:is>
      </x:c>
    </x:row>
    <x:row r="206">
      <x:c r="A206" s="160" t="inlineStr">
        <x:is>
          <x:t xml:space="preserve">ML0201</x:t>
        </x:is>
      </x:c>
      <x:c r="B206" s="160" t="inlineStr">
        <x:is>
          <x:t xml:space="preserve">ARG-013</x:t>
        </x:is>
      </x:c>
      <x:c r="C206" s="160" t="inlineStr">
        <x:is>
          <x:t xml:space="preserve">Marvell Technology</x:t>
        </x:is>
      </x:c>
      <x:c r="D206" s="160" t="inlineStr">
        <x:is>
          <x:t xml:space="preserve">MRVL</x:t>
        </x:is>
      </x:c>
      <x:c r="E206" s="160" t="inlineStr">
        <x:is>
          <x:t xml:space="preserve">AI &amp; Semiconductors</x:t>
        </x:is>
      </x:c>
      <x:c r="F206" s="160" t="inlineStr">
        <x:is>
          <x:t xml:space="preserve">Development</x:t>
        </x:is>
      </x:c>
      <x:c r="G206" s="160" t="inlineStr">
        <x:is>
          <x:t xml:space="preserve">S09</x:t>
        </x:is>
      </x:c>
      <x:c r="H206" s="160" t="inlineStr">
        <x:is>
          <x:t xml:space="preserve">Data / Accounting Quality</x:t>
        </x:is>
      </x:c>
      <x:c r="I206" s="160" t="inlineStr">
        <x:is>
          <x:t xml:space="preserve">Data quality</x:t>
        </x:is>
      </x:c>
      <x:c r="J206" s="160" t="inlineStr">
        <x:is>
          <x:t xml:space="preserve">Restatement, segment reclassification, one-time item or non-economic fair-value movement distorts the apparent trend.</x:t>
        </x:is>
      </x:c>
      <x:c r="K206" s="160" t="inlineStr">
        <x:is>
          <x:t xml:space="preserve">Custom silicon/connectivity revenue minus heavy reinvestment</x:t>
        </x:is>
      </x:c>
      <x:c r="L206" s="160" t="inlineStr">
        <x:is>
          <x:t xml:space="preserve">Owner earnings + milestone scenarios</x:t>
        </x:is>
      </x:c>
      <x:c r="M206" s="160" t="inlineStr">
        <x:is>
          <x:t xml:space="preserve">WAIT</x:t>
        </x:is>
      </x:c>
      <x:c r="N206" s="160" t="inlineStr">
        <x:is>
          <x:t xml:space="preserve">R-DATA-01</x:t>
        </x:is>
      </x:c>
      <x:c r="O206" s="160" t="inlineStr">
        <x:is>
          <x:t xml:space="preserve">HARDENED</x:t>
        </x:is>
      </x:c>
      <x:c r="P206" s="160" t="inlineStr">
        <x:is>
          <x:t xml:space="preserve">ROBUST WITH RESIDUAL</x:t>
        </x:is>
      </x:c>
      <x:c r="Q206" s="160" t="inlineStr">
        <x:is>
          <x:t xml:space="preserve">The hardened rule catches the stress. Residual risk is mainly evidence quality, threshold calibration or interaction with another gate.</x:t>
        </x:is>
      </x:c>
      <x:c r="R206" s="160" t="inlineStr">
        <x:is>
          <x:t xml:space="preserve">Add a reporting-quality bridge and normalize accounting noise before any gate can pass.</x:t>
        </x:is>
      </x:c>
      <x:c r="S206" s="160" t="inlineStr">
        <x:is>
          <x:t xml:space="preserve">NO</x:t>
        </x:is>
      </x:c>
      <x:c r="T206" s="160" t="inlineStr">
        <x:is>
          <x:t xml:space="preserve">HARDENED</x:t>
        </x:is>
      </x:c>
      <x:c r="U206" s="160" t="inlineStr">
        <x:is>
          <x:t xml:space="preserve">V10.5-SIM35</x:t>
        </x:is>
      </x:c>
      <x:c r="V206" s="160" t="inlineStr">
        <x:is>
          <x:t xml:space="preserve">https://investor.marvell.com</x:t>
        </x:is>
      </x:c>
      <x:c r="W206" s="160" t="inlineStr">
        <x:is>
          <x:t xml:space="preserve">NO</x:t>
        </x:is>
      </x:c>
      <x:c r="X206" s="160" t="inlineStr">
        <x:is>
          <x:t xml:space="preserve">NONE — DEVELOPMENT ONLY</x:t>
        </x:is>
      </x:c>
      <x:c r="Y206" s="160" t="inlineStr">
        <x:is>
          <x:t xml:space="preserve">Synthetic/adversarial model-development loop. No historical outcome is claimed; no accuracy point is awarded.</x:t>
        </x:is>
      </x:c>
    </x:row>
    <x:row r="207">
      <x:c r="A207" s="160" t="inlineStr">
        <x:is>
          <x:t xml:space="preserve">ML0202</x:t>
        </x:is>
      </x:c>
      <x:c r="B207" s="160" t="inlineStr">
        <x:is>
          <x:t xml:space="preserve">ARG-013</x:t>
        </x:is>
      </x:c>
      <x:c r="C207" s="160" t="inlineStr">
        <x:is>
          <x:t xml:space="preserve">Marvell Technology</x:t>
        </x:is>
      </x:c>
      <x:c r="D207" s="160" t="inlineStr">
        <x:is>
          <x:t xml:space="preserve">MRVL</x:t>
        </x:is>
      </x:c>
      <x:c r="E207" s="160" t="inlineStr">
        <x:is>
          <x:t xml:space="preserve">AI &amp; Semiconductors</x:t>
        </x:is>
      </x:c>
      <x:c r="F207" s="160" t="inlineStr">
        <x:is>
          <x:t xml:space="preserve">Development</x:t>
        </x:is>
      </x:c>
      <x:c r="G207" s="160" t="inlineStr">
        <x:is>
          <x:t xml:space="preserve">S10</x:t>
        </x:is>
      </x:c>
      <x:c r="H207" s="160" t="inlineStr">
        <x:is>
          <x:t xml:space="preserve">Control / Counterfactual</x:t>
        </x:is>
      </x:c>
      <x:c r="I207" s="160" t="inlineStr">
        <x:is>
          <x:t xml:space="preserve">Sector beta vs company alpha</x:t>
        </x:is>
      </x:c>
      <x:c r="J207" s="160" t="inlineStr">
        <x:is>
          <x:t xml:space="preserve">A positive outcome is mostly sector beta or macro tailwind, not company-specific alpha.</x:t>
        </x:is>
      </x:c>
      <x:c r="K207" s="160" t="inlineStr">
        <x:is>
          <x:t xml:space="preserve">Custom silicon/connectivity revenue minus heavy reinvestment</x:t>
        </x:is>
      </x:c>
      <x:c r="L207" s="160" t="inlineStr">
        <x:is>
          <x:t xml:space="preserve">Owner earnings + milestone scenarios</x:t>
        </x:is>
      </x:c>
      <x:c r="M207" s="160" t="inlineStr">
        <x:is>
          <x:t xml:space="preserve">WAIT</x:t>
        </x:is>
      </x:c>
      <x:c r="N207" s="160" t="inlineStr">
        <x:is>
          <x:t xml:space="preserve">R-CF-01</x:t>
        </x:is>
      </x:c>
      <x:c r="O207" s="160" t="inlineStr">
        <x:is>
          <x:t xml:space="preserve">HARDENED</x:t>
        </x:is>
      </x:c>
      <x:c r="P207" s="160" t="inlineStr">
        <x:is>
          <x:t xml:space="preserve">ROBUST WITH RESIDUAL</x:t>
        </x:is>
      </x:c>
      <x:c r="Q207" s="160" t="inlineStr">
        <x:is>
          <x:t xml:space="preserve">The hardened rule catches the stress. Residual risk is mainly evidence quality, threshold calibration or interaction with another gate.</x:t>
        </x:is>
      </x:c>
      <x:c r="R207" s="160" t="inlineStr">
        <x:is>
          <x:t xml:space="preserve">Require a true economic control and counterfactual: what should have happened to a comparable company under the same shock?</x:t>
        </x:is>
      </x:c>
      <x:c r="S207" s="160" t="inlineStr">
        <x:is>
          <x:t xml:space="preserve">NO</x:t>
        </x:is>
      </x:c>
      <x:c r="T207" s="160" t="inlineStr">
        <x:is>
          <x:t xml:space="preserve">HARDENED</x:t>
        </x:is>
      </x:c>
      <x:c r="U207" s="160" t="inlineStr">
        <x:is>
          <x:t xml:space="preserve">V10.5-SIM35</x:t>
        </x:is>
      </x:c>
      <x:c r="V207" s="160" t="inlineStr">
        <x:is>
          <x:t xml:space="preserve">https://investor.marvell.com</x:t>
        </x:is>
      </x:c>
      <x:c r="W207" s="160" t="inlineStr">
        <x:is>
          <x:t xml:space="preserve">NO</x:t>
        </x:is>
      </x:c>
      <x:c r="X207" s="160" t="inlineStr">
        <x:is>
          <x:t xml:space="preserve">NONE — DEVELOPMENT ONLY</x:t>
        </x:is>
      </x:c>
      <x:c r="Y207" s="160" t="inlineStr">
        <x:is>
          <x:t xml:space="preserve">Synthetic/adversarial model-development loop. No historical outcome is claimed; no accuracy point is awarded.</x:t>
        </x:is>
      </x:c>
    </x:row>
    <x:row r="208">
      <x:c r="A208" s="160" t="inlineStr">
        <x:is>
          <x:t xml:space="preserve">ML0203</x:t>
        </x:is>
      </x:c>
      <x:c r="B208" s="160" t="inlineStr">
        <x:is>
          <x:t xml:space="preserve">ARG-013</x:t>
        </x:is>
      </x:c>
      <x:c r="C208" s="160" t="inlineStr">
        <x:is>
          <x:t xml:space="preserve">Marvell Technology</x:t>
        </x:is>
      </x:c>
      <x:c r="D208" s="160" t="inlineStr">
        <x:is>
          <x:t xml:space="preserve">MRVL</x:t>
        </x:is>
      </x:c>
      <x:c r="E208" s="160" t="inlineStr">
        <x:is>
          <x:t xml:space="preserve">AI &amp; Semiconductors</x:t>
        </x:is>
      </x:c>
      <x:c r="F208" s="160" t="inlineStr">
        <x:is>
          <x:t xml:space="preserve">Development</x:t>
        </x:is>
      </x:c>
      <x:c r="G208" s="160" t="inlineStr">
        <x:is>
          <x:t xml:space="preserve">S11</x:t>
        </x:is>
      </x:c>
      <x:c r="H208" s="160" t="inlineStr">
        <x:is>
          <x:t xml:space="preserve">False-Negative Discipline</x:t>
        </x:is>
      </x:c>
      <x:c r="I208" s="160" t="inlineStr">
        <x:is>
          <x:t xml:space="preserve">False negative</x:t>
        </x:is>
      </x:c>
      <x:c r="J208" s="160" t="inlineStr">
        <x:is>
          <x:t xml:space="preserve">A strict gate rejects a company that later compounds strongly for reasons the model could have known.</x:t>
        </x:is>
      </x:c>
      <x:c r="K208" s="160" t="inlineStr">
        <x:is>
          <x:t xml:space="preserve">Custom silicon/connectivity revenue minus heavy reinvestment</x:t>
        </x:is>
      </x:c>
      <x:c r="L208" s="160" t="inlineStr">
        <x:is>
          <x:t xml:space="preserve">Owner earnings + milestone scenarios</x:t>
        </x:is>
      </x:c>
      <x:c r="M208" s="160" t="inlineStr">
        <x:is>
          <x:t xml:space="preserve">WAIT</x:t>
        </x:is>
      </x:c>
      <x:c r="N208" s="160" t="inlineStr">
        <x:is>
          <x:t xml:space="preserve">R-FN-01</x:t>
        </x:is>
      </x:c>
      <x:c r="O208" s="160" t="inlineStr">
        <x:is>
          <x:t xml:space="preserve">HARDENED</x:t>
        </x:is>
      </x:c>
      <x:c r="P208" s="160" t="inlineStr">
        <x:is>
          <x:t xml:space="preserve">ROBUST WITH RESIDUAL</x:t>
        </x:is>
      </x:c>
      <x:c r="Q208" s="160" t="inlineStr">
        <x:is>
          <x:t xml:space="preserve">The hardened rule catches the stress. Residual risk is mainly evidence quality, threshold calibration or interaction with another gate.</x:t>
        </x:is>
      </x:c>
      <x:c r="R208" s="160" t="inlineStr">
        <x:is>
          <x:t xml:space="preserve">Track opportunity cost and classify whether the miss came from evidence timing, wrong threshold or genuinely unknowable upside.</x:t>
        </x:is>
      </x:c>
      <x:c r="S208" s="160" t="inlineStr">
        <x:is>
          <x:t xml:space="preserve">NO</x:t>
        </x:is>
      </x:c>
      <x:c r="T208" s="160" t="inlineStr">
        <x:is>
          <x:t xml:space="preserve">HARDENED</x:t>
        </x:is>
      </x:c>
      <x:c r="U208" s="160" t="inlineStr">
        <x:is>
          <x:t xml:space="preserve">V10.5-SIM35</x:t>
        </x:is>
      </x:c>
      <x:c r="V208" s="160" t="inlineStr">
        <x:is>
          <x:t xml:space="preserve">https://investor.marvell.com</x:t>
        </x:is>
      </x:c>
      <x:c r="W208" s="160" t="inlineStr">
        <x:is>
          <x:t xml:space="preserve">NO</x:t>
        </x:is>
      </x:c>
      <x:c r="X208" s="160" t="inlineStr">
        <x:is>
          <x:t xml:space="preserve">NONE — DEVELOPMENT ONLY</x:t>
        </x:is>
      </x:c>
      <x:c r="Y208" s="160" t="inlineStr">
        <x:is>
          <x:t xml:space="preserve">Synthetic/adversarial model-development loop. No historical outcome is claimed; no accuracy point is awarded.</x:t>
        </x:is>
      </x:c>
    </x:row>
    <x:row r="209">
      <x:c r="A209" s="160" t="inlineStr">
        <x:is>
          <x:t xml:space="preserve">ML0204</x:t>
        </x:is>
      </x:c>
      <x:c r="B209" s="160" t="inlineStr">
        <x:is>
          <x:t xml:space="preserve">ARG-013</x:t>
        </x:is>
      </x:c>
      <x:c r="C209" s="160" t="inlineStr">
        <x:is>
          <x:t xml:space="preserve">Marvell Technology</x:t>
        </x:is>
      </x:c>
      <x:c r="D209" s="160" t="inlineStr">
        <x:is>
          <x:t xml:space="preserve">MRVL</x:t>
        </x:is>
      </x:c>
      <x:c r="E209" s="160" t="inlineStr">
        <x:is>
          <x:t xml:space="preserve">AI &amp; Semiconductors</x:t>
        </x:is>
      </x:c>
      <x:c r="F209" s="160" t="inlineStr">
        <x:is>
          <x:t xml:space="preserve">Development</x:t>
        </x:is>
      </x:c>
      <x:c r="G209" s="160" t="inlineStr">
        <x:is>
          <x:t xml:space="preserve">S12</x:t>
        </x:is>
      </x:c>
      <x:c r="H209" s="160" t="inlineStr">
        <x:is>
          <x:t xml:space="preserve">Lead-Time / Early Sensor</x:t>
        </x:is>
      </x:c>
      <x:c r="I209" s="160" t="inlineStr">
        <x:is>
          <x:t xml:space="preserve">Timing / lead-time</x:t>
        </x:is>
      </x:c>
      <x:c r="J209" s="160" t="inlineStr">
        <x:is>
          <x:t xml:space="preserve">ARGUS identifies the change correctly but only after consensus and price have already reacted.</x:t>
        </x:is>
      </x:c>
      <x:c r="K209" s="160" t="inlineStr">
        <x:is>
          <x:t xml:space="preserve">Custom silicon/connectivity revenue minus heavy reinvestment</x:t>
        </x:is>
      </x:c>
      <x:c r="L209" s="160" t="inlineStr">
        <x:is>
          <x:t xml:space="preserve">Owner earnings + milestone scenarios</x:t>
        </x:is>
      </x:c>
      <x:c r="M209" s="160" t="inlineStr">
        <x:is>
          <x:t xml:space="preserve">WAIT</x:t>
        </x:is>
      </x:c>
      <x:c r="N209" s="160" t="inlineStr">
        <x:is>
          <x:t xml:space="preserve">R-TIME-01</x:t>
        </x:is>
      </x:c>
      <x:c r="O209" s="160" t="inlineStr">
        <x:is>
          <x:t xml:space="preserve">HARDENED</x:t>
        </x:is>
      </x:c>
      <x:c r="P209" s="160" t="inlineStr">
        <x:is>
          <x:t xml:space="preserve">ROBUST WITH RESIDUAL</x:t>
        </x:is>
      </x:c>
      <x:c r="Q209" s="160" t="inlineStr">
        <x:is>
          <x:t xml:space="preserve">The hardened rule catches the stress. Residual risk is mainly evidence quality, threshold calibration or interaction with another gate.</x:t>
        </x:is>
      </x:c>
      <x:c r="R209" s="160" t="inlineStr">
        <x:is>
          <x:t xml:space="preserve">Replace lagging financial metrics with earlier causal operating sensors and record lead time separately from correctness.</x:t>
        </x:is>
      </x:c>
      <x:c r="S209" s="160" t="inlineStr">
        <x:is>
          <x:t xml:space="preserve">NO</x:t>
        </x:is>
      </x:c>
      <x:c r="T209" s="160" t="inlineStr">
        <x:is>
          <x:t xml:space="preserve">HARDENED</x:t>
        </x:is>
      </x:c>
      <x:c r="U209" s="160" t="inlineStr">
        <x:is>
          <x:t xml:space="preserve">V10.5-SIM35</x:t>
        </x:is>
      </x:c>
      <x:c r="V209" s="160" t="inlineStr">
        <x:is>
          <x:t xml:space="preserve">https://investor.marvell.com</x:t>
        </x:is>
      </x:c>
      <x:c r="W209" s="160" t="inlineStr">
        <x:is>
          <x:t xml:space="preserve">NO</x:t>
        </x:is>
      </x:c>
      <x:c r="X209" s="160" t="inlineStr">
        <x:is>
          <x:t xml:space="preserve">NONE — DEVELOPMENT ONLY</x:t>
        </x:is>
      </x:c>
      <x:c r="Y209" s="160" t="inlineStr">
        <x:is>
          <x:t xml:space="preserve">Synthetic/adversarial model-development loop. No historical outcome is claimed; no accuracy point is awarded.</x:t>
        </x:is>
      </x:c>
    </x:row>
    <x:row r="210">
      <x:c r="A210" s="160" t="inlineStr">
        <x:is>
          <x:t xml:space="preserve">ML0205</x:t>
        </x:is>
      </x:c>
      <x:c r="B210" s="160" t="inlineStr">
        <x:is>
          <x:t xml:space="preserve">ARG-013</x:t>
        </x:is>
      </x:c>
      <x:c r="C210" s="160" t="inlineStr">
        <x:is>
          <x:t xml:space="preserve">Marvell Technology</x:t>
        </x:is>
      </x:c>
      <x:c r="D210" s="160" t="inlineStr">
        <x:is>
          <x:t xml:space="preserve">MRVL</x:t>
        </x:is>
      </x:c>
      <x:c r="E210" s="160" t="inlineStr">
        <x:is>
          <x:t xml:space="preserve">AI &amp; Semiconductors</x:t>
        </x:is>
      </x:c>
      <x:c r="F210" s="160" t="inlineStr">
        <x:is>
          <x:t xml:space="preserve">Development</x:t>
        </x:is>
      </x:c>
      <x:c r="G210" s="160" t="inlineStr">
        <x:is>
          <x:t xml:space="preserve">S13</x:t>
        </x:is>
      </x:c>
      <x:c r="H210" s="160" t="inlineStr">
        <x:is>
          <x:t xml:space="preserve">Cycle Normalization</x:t>
        </x:is>
      </x:c>
      <x:c r="I210" s="160" t="inlineStr">
        <x:is>
          <x:t xml:space="preserve">Wrong valuation lens</x:t>
        </x:is>
      </x:c>
      <x:c r="J210" s="160" t="inlineStr">
        <x:is>
          <x:t xml:space="preserve">Peak/trough earnings are mistaken for normalized earning power.</x:t>
        </x:is>
      </x:c>
      <x:c r="K210" s="160" t="inlineStr">
        <x:is>
          <x:t xml:space="preserve">Custom silicon/connectivity revenue minus heavy reinvestment</x:t>
        </x:is>
      </x:c>
      <x:c r="L210" s="160" t="inlineStr">
        <x:is>
          <x:t xml:space="preserve">Owner earnings + milestone scenarios</x:t>
        </x:is>
      </x:c>
      <x:c r="M210" s="160" t="inlineStr">
        <x:is>
          <x:t xml:space="preserve">WAIT</x:t>
        </x:is>
      </x:c>
      <x:c r="N210" s="160" t="inlineStr">
        <x:is>
          <x:t xml:space="preserve">R-CYCLE-01</x:t>
        </x:is>
      </x:c>
      <x:c r="O210" s="160" t="inlineStr">
        <x:is>
          <x:t xml:space="preserve">HARDENED</x:t>
        </x:is>
      </x:c>
      <x:c r="P210" s="160" t="inlineStr">
        <x:is>
          <x:t xml:space="preserve">ROBUST WITH RESIDUAL</x:t>
        </x:is>
      </x:c>
      <x:c r="Q210" s="160" t="inlineStr">
        <x:is>
          <x:t xml:space="preserve">The hardened rule catches the stress. Residual risk is mainly evidence quality, threshold calibration or interaction with another gate.</x:t>
        </x:is>
      </x:c>
      <x:c r="R210" s="160" t="inlineStr">
        <x:is>
          <x:t xml:space="preserve">Use sector-specific mid-cycle/NAV/rate-base/rNPV normalization before applying a valuation multiple.</x:t>
        </x:is>
      </x:c>
      <x:c r="S210" s="160" t="inlineStr">
        <x:is>
          <x:t xml:space="preserve">NO</x:t>
        </x:is>
      </x:c>
      <x:c r="T210" s="160" t="inlineStr">
        <x:is>
          <x:t xml:space="preserve">HARDENED</x:t>
        </x:is>
      </x:c>
      <x:c r="U210" s="160" t="inlineStr">
        <x:is>
          <x:t xml:space="preserve">V10.5-SIM35</x:t>
        </x:is>
      </x:c>
      <x:c r="V210" s="160" t="inlineStr">
        <x:is>
          <x:t xml:space="preserve">https://investor.marvell.com</x:t>
        </x:is>
      </x:c>
      <x:c r="W210" s="160" t="inlineStr">
        <x:is>
          <x:t xml:space="preserve">NO</x:t>
        </x:is>
      </x:c>
      <x:c r="X210" s="160" t="inlineStr">
        <x:is>
          <x:t xml:space="preserve">NONE — DEVELOPMENT ONLY</x:t>
        </x:is>
      </x:c>
      <x:c r="Y210" s="160" t="inlineStr">
        <x:is>
          <x:t xml:space="preserve">Synthetic/adversarial model-development loop. No historical outcome is claimed; no accuracy point is awarded.</x:t>
        </x:is>
      </x:c>
    </x:row>
    <x:row r="211">
      <x:c r="A211" s="160" t="inlineStr">
        <x:is>
          <x:t xml:space="preserve">ML0206</x:t>
        </x:is>
      </x:c>
      <x:c r="B211" s="160" t="inlineStr">
        <x:is>
          <x:t xml:space="preserve">ARG-013</x:t>
        </x:is>
      </x:c>
      <x:c r="C211" s="160" t="inlineStr">
        <x:is>
          <x:t xml:space="preserve">Marvell Technology</x:t>
        </x:is>
      </x:c>
      <x:c r="D211" s="160" t="inlineStr">
        <x:is>
          <x:t xml:space="preserve">MRVL</x:t>
        </x:is>
      </x:c>
      <x:c r="E211" s="160" t="inlineStr">
        <x:is>
          <x:t xml:space="preserve">AI &amp; Semiconductors</x:t>
        </x:is>
      </x:c>
      <x:c r="F211" s="160" t="inlineStr">
        <x:is>
          <x:t xml:space="preserve">Development</x:t>
        </x:is>
      </x:c>
      <x:c r="G211" s="160" t="inlineStr">
        <x:is>
          <x:t xml:space="preserve">S14</x:t>
        </x:is>
      </x:c>
      <x:c r="H211" s="160" t="inlineStr">
        <x:is>
          <x:t xml:space="preserve">M&amp;A / Organic Growth Separation</x:t>
        </x:is>
      </x:c>
      <x:c r="I211" s="160" t="inlineStr">
        <x:is>
          <x:t xml:space="preserve">Stewardship</x:t>
        </x:is>
      </x:c>
      <x:c r="J211" s="160" t="inlineStr">
        <x:is>
          <x:t xml:space="preserve">Acquisition-driven growth masks weak organic economics or poor incremental ROIC.</x:t>
        </x:is>
      </x:c>
      <x:c r="K211" s="160" t="inlineStr">
        <x:is>
          <x:t xml:space="preserve">Custom silicon/connectivity revenue minus heavy reinvestment</x:t>
        </x:is>
      </x:c>
      <x:c r="L211" s="160" t="inlineStr">
        <x:is>
          <x:t xml:space="preserve">Owner earnings + milestone scenarios</x:t>
        </x:is>
      </x:c>
      <x:c r="M211" s="160" t="inlineStr">
        <x:is>
          <x:t xml:space="preserve">WAIT</x:t>
        </x:is>
      </x:c>
      <x:c r="N211" s="160" t="inlineStr">
        <x:is>
          <x:t xml:space="preserve">R-MA-01</x:t>
        </x:is>
      </x:c>
      <x:c r="O211" s="160" t="inlineStr">
        <x:is>
          <x:t xml:space="preserve">HARDENED</x:t>
        </x:is>
      </x:c>
      <x:c r="P211" s="160" t="inlineStr">
        <x:is>
          <x:t xml:space="preserve">ROBUST WITH RESIDUAL</x:t>
        </x:is>
      </x:c>
      <x:c r="Q211" s="160" t="inlineStr">
        <x:is>
          <x:t xml:space="preserve">The hardened rule catches the stress. Residual risk is mainly evidence quality, threshold calibration or interaction with another gate.</x:t>
        </x:is>
      </x:c>
      <x:c r="R211" s="160" t="inlineStr">
        <x:is>
          <x:t xml:space="preserve">Bridge organic growth, acquired growth, purchase price, integration costs and acquisition-cohort ROIC.</x:t>
        </x:is>
      </x:c>
      <x:c r="S211" s="160" t="inlineStr">
        <x:is>
          <x:t xml:space="preserve">NO</x:t>
        </x:is>
      </x:c>
      <x:c r="T211" s="160" t="inlineStr">
        <x:is>
          <x:t xml:space="preserve">HARDENED</x:t>
        </x:is>
      </x:c>
      <x:c r="U211" s="160" t="inlineStr">
        <x:is>
          <x:t xml:space="preserve">V10.5-SIM35</x:t>
        </x:is>
      </x:c>
      <x:c r="V211" s="160" t="inlineStr">
        <x:is>
          <x:t xml:space="preserve">https://investor.marvell.com</x:t>
        </x:is>
      </x:c>
      <x:c r="W211" s="160" t="inlineStr">
        <x:is>
          <x:t xml:space="preserve">NO</x:t>
        </x:is>
      </x:c>
      <x:c r="X211" s="160" t="inlineStr">
        <x:is>
          <x:t xml:space="preserve">NONE — DEVELOPMENT ONLY</x:t>
        </x:is>
      </x:c>
      <x:c r="Y211" s="160" t="inlineStr">
        <x:is>
          <x:t xml:space="preserve">Synthetic/adversarial model-development loop. No historical outcome is claimed; no accuracy point is awarded.</x:t>
        </x:is>
      </x:c>
    </x:row>
    <x:row r="212">
      <x:c r="A212" s="160" t="inlineStr">
        <x:is>
          <x:t xml:space="preserve">ML0207</x:t>
        </x:is>
      </x:c>
      <x:c r="B212" s="160" t="inlineStr">
        <x:is>
          <x:t xml:space="preserve">ARG-013</x:t>
        </x:is>
      </x:c>
      <x:c r="C212" s="160" t="inlineStr">
        <x:is>
          <x:t xml:space="preserve">Marvell Technology</x:t>
        </x:is>
      </x:c>
      <x:c r="D212" s="160" t="inlineStr">
        <x:is>
          <x:t xml:space="preserve">MRVL</x:t>
        </x:is>
      </x:c>
      <x:c r="E212" s="160" t="inlineStr">
        <x:is>
          <x:t xml:space="preserve">AI &amp; Semiconductors</x:t>
        </x:is>
      </x:c>
      <x:c r="F212" s="160" t="inlineStr">
        <x:is>
          <x:t xml:space="preserve">Development</x:t>
        </x:is>
      </x:c>
      <x:c r="G212" s="160" t="inlineStr">
        <x:is>
          <x:t xml:space="preserve">S15</x:t>
        </x:is>
      </x:c>
      <x:c r="H212" s="160" t="inlineStr">
        <x:is>
          <x:t xml:space="preserve">Financing / Dilution Per Share</x:t>
        </x:is>
      </x:c>
      <x:c r="I212" s="160" t="inlineStr">
        <x:is>
          <x:t xml:space="preserve">Stewardship</x:t>
        </x:is>
      </x:c>
      <x:c r="J212" s="160" t="inlineStr">
        <x:is>
          <x:t xml:space="preserve">Cash balance or revenue growth improves while financing causes material per-share value leakage.</x:t>
        </x:is>
      </x:c>
      <x:c r="K212" s="160" t="inlineStr">
        <x:is>
          <x:t xml:space="preserve">Custom silicon/connectivity revenue minus heavy reinvestment</x:t>
        </x:is>
      </x:c>
      <x:c r="L212" s="160" t="inlineStr">
        <x:is>
          <x:t xml:space="preserve">Owner earnings + milestone scenarios</x:t>
        </x:is>
      </x:c>
      <x:c r="M212" s="160" t="inlineStr">
        <x:is>
          <x:t xml:space="preserve">WAIT</x:t>
        </x:is>
      </x:c>
      <x:c r="N212" s="160" t="inlineStr">
        <x:is>
          <x:t xml:space="preserve">R-DIL-01</x:t>
        </x:is>
      </x:c>
      <x:c r="O212" s="160" t="inlineStr">
        <x:is>
          <x:t xml:space="preserve">HARDENED</x:t>
        </x:is>
      </x:c>
      <x:c r="P212" s="160" t="inlineStr">
        <x:is>
          <x:t xml:space="preserve">ROBUST WITH RESIDUAL</x:t>
        </x:is>
      </x:c>
      <x:c r="Q212" s="160" t="inlineStr">
        <x:is>
          <x:t xml:space="preserve">The hardened rule catches the stress. Residual risk is mainly evidence quality, threshold calibration or interaction with another gate.</x:t>
        </x:is>
      </x:c>
      <x:c r="R212" s="160" t="inlineStr">
        <x:is>
          <x:t xml:space="preserve">Reconcile share-count growth, SBC, equity issuance, buybacks and net cash changes to per-share intrinsic value.</x:t>
        </x:is>
      </x:c>
      <x:c r="S212" s="160" t="inlineStr">
        <x:is>
          <x:t xml:space="preserve">NO</x:t>
        </x:is>
      </x:c>
      <x:c r="T212" s="160" t="inlineStr">
        <x:is>
          <x:t xml:space="preserve">HARDENED</x:t>
        </x:is>
      </x:c>
      <x:c r="U212" s="160" t="inlineStr">
        <x:is>
          <x:t xml:space="preserve">V10.5-SIM35</x:t>
        </x:is>
      </x:c>
      <x:c r="V212" s="160" t="inlineStr">
        <x:is>
          <x:t xml:space="preserve">https://investor.marvell.com</x:t>
        </x:is>
      </x:c>
      <x:c r="W212" s="160" t="inlineStr">
        <x:is>
          <x:t xml:space="preserve">NO</x:t>
        </x:is>
      </x:c>
      <x:c r="X212" s="160" t="inlineStr">
        <x:is>
          <x:t xml:space="preserve">NONE — DEVELOPMENT ONLY</x:t>
        </x:is>
      </x:c>
      <x:c r="Y212" s="160" t="inlineStr">
        <x:is>
          <x:t xml:space="preserve">Synthetic/adversarial model-development loop. No historical outcome is claimed; no accuracy point is awarded.</x:t>
        </x:is>
      </x:c>
    </x:row>
    <x:row r="213">
      <x:c r="A213" s="160" t="inlineStr">
        <x:is>
          <x:t xml:space="preserve">ML0208</x:t>
        </x:is>
      </x:c>
      <x:c r="B213" s="160" t="inlineStr">
        <x:is>
          <x:t xml:space="preserve">ARG-013</x:t>
        </x:is>
      </x:c>
      <x:c r="C213" s="160" t="inlineStr">
        <x:is>
          <x:t xml:space="preserve">Marvell Technology</x:t>
        </x:is>
      </x:c>
      <x:c r="D213" s="160" t="inlineStr">
        <x:is>
          <x:t xml:space="preserve">MRVL</x:t>
        </x:is>
      </x:c>
      <x:c r="E213" s="160" t="inlineStr">
        <x:is>
          <x:t xml:space="preserve">AI &amp; Semiconductors</x:t>
        </x:is>
      </x:c>
      <x:c r="F213" s="160" t="inlineStr">
        <x:is>
          <x:t xml:space="preserve">Development</x:t>
        </x:is>
      </x:c>
      <x:c r="G213" s="160" t="inlineStr">
        <x:is>
          <x:t xml:space="preserve">S16</x:t>
        </x:is>
      </x:c>
      <x:c r="H213" s="160" t="inlineStr">
        <x:is>
          <x:t xml:space="preserve">Concentration / Tail Risk</x:t>
        </x:is>
      </x:c>
      <x:c r="I213" s="160" t="inlineStr">
        <x:is>
          <x:t xml:space="preserve">Survival</x:t>
        </x:is>
      </x:c>
      <x:c r="J213" s="160" t="inlineStr">
        <x:is>
          <x:t xml:space="preserve">A concentrated supplier, geography, customer, product, patent, regulatory or technology dependency creates asymmetric permanent-loss risk.</x:t>
        </x:is>
      </x:c>
      <x:c r="K213" s="160" t="inlineStr">
        <x:is>
          <x:t xml:space="preserve">Custom silicon/connectivity revenue minus heavy reinvestment</x:t>
        </x:is>
      </x:c>
      <x:c r="L213" s="160" t="inlineStr">
        <x:is>
          <x:t xml:space="preserve">Owner earnings + milestone scenarios</x:t>
        </x:is>
      </x:c>
      <x:c r="M213" s="160" t="inlineStr">
        <x:is>
          <x:t xml:space="preserve">WAIT</x:t>
        </x:is>
      </x:c>
      <x:c r="N213" s="160" t="inlineStr">
        <x:is>
          <x:t xml:space="preserve">R-TAIL-01</x:t>
        </x:is>
      </x:c>
      <x:c r="O213" s="160" t="inlineStr">
        <x:is>
          <x:t xml:space="preserve">HARDENED</x:t>
        </x:is>
      </x:c>
      <x:c r="P213" s="160" t="inlineStr">
        <x:is>
          <x:t xml:space="preserve">ROBUST WITH RESIDUAL</x:t>
        </x:is>
      </x:c>
      <x:c r="Q213" s="160" t="inlineStr">
        <x:is>
          <x:t xml:space="preserve">The hardened rule catches the stress. Residual risk is mainly evidence quality, threshold calibration or interaction with another gate.</x:t>
        </x:is>
      </x:c>
      <x:c r="R213" s="160" t="inlineStr">
        <x:is>
          <x:t xml:space="preserve">Maintain an explicit concentration/tail-risk register with probability, severity, mitigation and required margin-of-safety premium.</x:t>
        </x:is>
      </x:c>
      <x:c r="S213" s="160" t="inlineStr">
        <x:is>
          <x:t xml:space="preserve">NO</x:t>
        </x:is>
      </x:c>
      <x:c r="T213" s="160" t="inlineStr">
        <x:is>
          <x:t xml:space="preserve">HARDENED</x:t>
        </x:is>
      </x:c>
      <x:c r="U213" s="160" t="inlineStr">
        <x:is>
          <x:t xml:space="preserve">V10.5-SIM35</x:t>
        </x:is>
      </x:c>
      <x:c r="V213" s="160" t="inlineStr">
        <x:is>
          <x:t xml:space="preserve">https://investor.marvell.com</x:t>
        </x:is>
      </x:c>
      <x:c r="W213" s="160" t="inlineStr">
        <x:is>
          <x:t xml:space="preserve">NO</x:t>
        </x:is>
      </x:c>
      <x:c r="X213" s="160" t="inlineStr">
        <x:is>
          <x:t xml:space="preserve">NONE — DEVELOPMENT ONLY</x:t>
        </x:is>
      </x:c>
      <x:c r="Y213" s="160" t="inlineStr">
        <x:is>
          <x:t xml:space="preserve">Synthetic/adversarial model-development loop. No historical outcome is claimed; no accuracy point is awarded.</x:t>
        </x:is>
      </x:c>
    </x:row>
    <x:row r="214">
      <x:c r="A214" s="160" t="inlineStr">
        <x:is>
          <x:t xml:space="preserve">ML0209</x:t>
        </x:is>
      </x:c>
      <x:c r="B214" s="160" t="inlineStr">
        <x:is>
          <x:t xml:space="preserve">ARG-014</x:t>
        </x:is>
      </x:c>
      <x:c r="C214" s="160" t="inlineStr">
        <x:is>
          <x:t xml:space="preserve">Eaton</x:t>
        </x:is>
      </x:c>
      <x:c r="D214" s="160" t="inlineStr">
        <x:is>
          <x:t xml:space="preserve">ETN</x:t>
        </x:is>
      </x:c>
      <x:c r="E214" s="160" t="inlineStr">
        <x:is>
          <x:t xml:space="preserve">Power &amp; Grid</x:t>
        </x:is>
      </x:c>
      <x:c r="F214" s="160" t="inlineStr">
        <x:is>
          <x:t xml:space="preserve">Development</x:t>
        </x:is>
      </x:c>
      <x:c r="G214" s="160" t="inlineStr">
        <x:is>
          <x:t xml:space="preserve">S01</x:t>
        </x:is>
      </x:c>
      <x:c r="H214" s="160" t="inlineStr">
        <x:is>
          <x:t xml:space="preserve">Understanding Gate</x:t>
        </x:is>
      </x:c>
      <x:c r="I214" s="160" t="inlineStr">
        <x:is>
          <x:t xml:space="preserve">Understanding</x:t>
        </x:is>
      </x:c>
      <x:c r="J214" s="160" t="inlineStr">
        <x:is>
          <x:t xml:space="preserve">Causal engine / customer ROI chain breaks under a misleading headline KPI.</x:t>
        </x:is>
      </x:c>
      <x:c r="K214" s="160" t="inlineStr">
        <x:is>
          <x:t xml:space="preserve">Installed electrical base, backlog and service content</x:t>
        </x:is>
      </x:c>
      <x:c r="L214" s="160" t="inlineStr">
        <x:is>
          <x:t xml:space="preserve">Owner earnings + reverse DCF</x:t>
        </x:is>
      </x:c>
      <x:c r="M214" s="160" t="inlineStr">
        <x:is>
          <x:t xml:space="preserve">WAIT FOR PRICE</x:t>
        </x:is>
      </x:c>
      <x:c r="N214" s="160" t="inlineStr">
        <x:is>
          <x:t xml:space="preserve">R-ENG-01</x:t>
        </x:is>
      </x:c>
      <x:c r="O214" s="160" t="inlineStr">
        <x:is>
          <x:t xml:space="preserve">HARDENED</x:t>
        </x:is>
      </x:c>
      <x:c r="P214" s="160" t="inlineStr">
        <x:is>
          <x:t xml:space="preserve">ROBUST WITH RESIDUAL</x:t>
        </x:is>
      </x:c>
      <x:c r="Q214" s="160" t="inlineStr">
        <x:is>
          <x:t xml:space="preserve">The hardened rule catches the stress. Residual risk is mainly evidence quality, threshold calibration or interaction with another gate.</x:t>
        </x:is>
      </x:c>
      <x:c r="R214" s="160" t="inlineStr">
        <x:is>
          <x:t xml:space="preserve">Force an explicit engine tree: customer job → unit economics → revenue driver → owner-value bridge.</x:t>
        </x:is>
      </x:c>
      <x:c r="S214" s="160" t="inlineStr">
        <x:is>
          <x:t xml:space="preserve">NO</x:t>
        </x:is>
      </x:c>
      <x:c r="T214" s="160" t="inlineStr">
        <x:is>
          <x:t xml:space="preserve">HARDENED</x:t>
        </x:is>
      </x:c>
      <x:c r="U214" s="160" t="inlineStr">
        <x:is>
          <x:t xml:space="preserve">V10.5-SIM35</x:t>
        </x:is>
      </x:c>
      <x:c r="V214" s="160" t="inlineStr">
        <x:is>
          <x:t xml:space="preserve">https://www.eaton.com/us/en-us/company/investor-relations.html</x:t>
        </x:is>
      </x:c>
      <x:c r="W214" s="160" t="inlineStr">
        <x:is>
          <x:t xml:space="preserve">NO</x:t>
        </x:is>
      </x:c>
      <x:c r="X214" s="160" t="inlineStr">
        <x:is>
          <x:t xml:space="preserve">NONE — DEVELOPMENT ONLY</x:t>
        </x:is>
      </x:c>
      <x:c r="Y214" s="160" t="inlineStr">
        <x:is>
          <x:t xml:space="preserve">Synthetic/adversarial model-development loop. No historical outcome is claimed; no accuracy point is awarded.</x:t>
        </x:is>
      </x:c>
    </x:row>
    <x:row r="215">
      <x:c r="A215" s="160" t="inlineStr">
        <x:is>
          <x:t xml:space="preserve">ML0210</x:t>
        </x:is>
      </x:c>
      <x:c r="B215" s="160" t="inlineStr">
        <x:is>
          <x:t xml:space="preserve">ARG-014</x:t>
        </x:is>
      </x:c>
      <x:c r="C215" s="160" t="inlineStr">
        <x:is>
          <x:t xml:space="preserve">Eaton</x:t>
        </x:is>
      </x:c>
      <x:c r="D215" s="160" t="inlineStr">
        <x:is>
          <x:t xml:space="preserve">ETN</x:t>
        </x:is>
      </x:c>
      <x:c r="E215" s="160" t="inlineStr">
        <x:is>
          <x:t xml:space="preserve">Power &amp; Grid</x:t>
        </x:is>
      </x:c>
      <x:c r="F215" s="160" t="inlineStr">
        <x:is>
          <x:t xml:space="preserve">Development</x:t>
        </x:is>
      </x:c>
      <x:c r="G215" s="160" t="inlineStr">
        <x:is>
          <x:t xml:space="preserve">S02</x:t>
        </x:is>
      </x:c>
      <x:c r="H215" s="160" t="inlineStr">
        <x:is>
          <x:t xml:space="preserve">Owner Earnings Normalization</x:t>
        </x:is>
      </x:c>
      <x:c r="I215" s="160" t="inlineStr">
        <x:is>
          <x:t xml:space="preserve">Owner Earnings</x:t>
        </x:is>
      </x:c>
      <x:c r="J215" s="160" t="inlineStr">
        <x:is>
          <x:t xml:space="preserve">Reported earnings/FCF overstates economic cash because recurring reinvestment or non-cash compensation is misclassified.</x:t>
        </x:is>
      </x:c>
      <x:c r="K215" s="160" t="inlineStr">
        <x:is>
          <x:t xml:space="preserve">Installed electrical base, backlog and service content</x:t>
        </x:is>
      </x:c>
      <x:c r="L215" s="160" t="inlineStr">
        <x:is>
          <x:t xml:space="preserve">Owner earnings + reverse DCF</x:t>
        </x:is>
      </x:c>
      <x:c r="M215" s="160" t="inlineStr">
        <x:is>
          <x:t xml:space="preserve">WAIT FOR PRICE</x:t>
        </x:is>
      </x:c>
      <x:c r="N215" s="160" t="inlineStr">
        <x:is>
          <x:t xml:space="preserve">R-OE-01</x:t>
        </x:is>
      </x:c>
      <x:c r="O215" s="160" t="inlineStr">
        <x:is>
          <x:t xml:space="preserve">HARDENED</x:t>
        </x:is>
      </x:c>
      <x:c r="P215" s="160" t="inlineStr">
        <x:is>
          <x:t xml:space="preserve">ROBUST WITH RESIDUAL</x:t>
        </x:is>
      </x:c>
      <x:c r="Q215" s="160" t="inlineStr">
        <x:is>
          <x:t xml:space="preserve">The hardened rule catches the stress. Residual risk is mainly evidence quality, threshold calibration or interaction with another gate.</x:t>
        </x:is>
      </x:c>
      <x:c r="R215" s="160" t="inlineStr">
        <x:is>
          <x:t xml:space="preserve">Require a GAAP-to-economic-owner-cash bridge tailored to the business model.</x:t>
        </x:is>
      </x:c>
      <x:c r="S215" s="160" t="inlineStr">
        <x:is>
          <x:t xml:space="preserve">NO</x:t>
        </x:is>
      </x:c>
      <x:c r="T215" s="160" t="inlineStr">
        <x:is>
          <x:t xml:space="preserve">HARDENED</x:t>
        </x:is>
      </x:c>
      <x:c r="U215" s="160" t="inlineStr">
        <x:is>
          <x:t xml:space="preserve">V10.5-SIM35</x:t>
        </x:is>
      </x:c>
      <x:c r="V215" s="160" t="inlineStr">
        <x:is>
          <x:t xml:space="preserve">https://www.eaton.com/us/en-us/company/investor-relations.html</x:t>
        </x:is>
      </x:c>
      <x:c r="W215" s="160" t="inlineStr">
        <x:is>
          <x:t xml:space="preserve">NO</x:t>
        </x:is>
      </x:c>
      <x:c r="X215" s="160" t="inlineStr">
        <x:is>
          <x:t xml:space="preserve">NONE — DEVELOPMENT ONLY</x:t>
        </x:is>
      </x:c>
      <x:c r="Y215" s="160" t="inlineStr">
        <x:is>
          <x:t xml:space="preserve">Synthetic/adversarial model-development loop. No historical outcome is claimed; no accuracy point is awarded.</x:t>
        </x:is>
      </x:c>
    </x:row>
    <x:row r="216">
      <x:c r="A216" s="160" t="inlineStr">
        <x:is>
          <x:t xml:space="preserve">ML0211</x:t>
        </x:is>
      </x:c>
      <x:c r="B216" s="160" t="inlineStr">
        <x:is>
          <x:t xml:space="preserve">ARG-014</x:t>
        </x:is>
      </x:c>
      <x:c r="C216" s="160" t="inlineStr">
        <x:is>
          <x:t xml:space="preserve">Eaton</x:t>
        </x:is>
      </x:c>
      <x:c r="D216" s="160" t="inlineStr">
        <x:is>
          <x:t xml:space="preserve">ETN</x:t>
        </x:is>
      </x:c>
      <x:c r="E216" s="160" t="inlineStr">
        <x:is>
          <x:t xml:space="preserve">Power &amp; Grid</x:t>
        </x:is>
      </x:c>
      <x:c r="F216" s="160" t="inlineStr">
        <x:is>
          <x:t xml:space="preserve">Development</x:t>
        </x:is>
      </x:c>
      <x:c r="G216" s="160" t="inlineStr">
        <x:is>
          <x:t xml:space="preserve">S03</x:t>
        </x:is>
      </x:c>
      <x:c r="H216" s="160" t="inlineStr">
        <x:is>
          <x:t xml:space="preserve">Moat Durability</x:t>
        </x:is>
      </x:c>
      <x:c r="I216" s="160" t="inlineStr">
        <x:is>
          <x:t xml:space="preserve">Moat 2036</x:t>
        </x:is>
      </x:c>
      <x:c r="J216" s="160" t="inlineStr">
        <x:is>
          <x:t xml:space="preserve">Growth continues while switching friction, pricing power or replacement difficulty quietly weakens.</x:t>
        </x:is>
      </x:c>
      <x:c r="K216" s="160" t="inlineStr">
        <x:is>
          <x:t xml:space="preserve">Installed electrical base, backlog and service content</x:t>
        </x:is>
      </x:c>
      <x:c r="L216" s="160" t="inlineStr">
        <x:is>
          <x:t xml:space="preserve">Owner earnings + reverse DCF</x:t>
        </x:is>
      </x:c>
      <x:c r="M216" s="160" t="inlineStr">
        <x:is>
          <x:t xml:space="preserve">WAIT FOR PRICE</x:t>
        </x:is>
      </x:c>
      <x:c r="N216" s="160" t="inlineStr">
        <x:is>
          <x:t xml:space="preserve">R-MOAT-01</x:t>
        </x:is>
      </x:c>
      <x:c r="O216" s="160" t="inlineStr">
        <x:is>
          <x:t xml:space="preserve">HARDENED</x:t>
        </x:is>
      </x:c>
      <x:c r="P216" s="160" t="inlineStr">
        <x:is>
          <x:t xml:space="preserve">ROBUST WITH RESIDUAL</x:t>
        </x:is>
      </x:c>
      <x:c r="Q216" s="160" t="inlineStr">
        <x:is>
          <x:t xml:space="preserve">The hardened rule catches the stress. Residual risk is mainly evidence quality, threshold calibration or interaction with another gate.</x:t>
        </x:is>
      </x:c>
      <x:c r="R216" s="160" t="inlineStr">
        <x:is>
          <x:t xml:space="preserve">Track moat telemetry separately from growth: retention, pricing, win/loss, replacement friction, installed-base behavior.</x:t>
        </x:is>
      </x:c>
      <x:c r="S216" s="160" t="inlineStr">
        <x:is>
          <x:t xml:space="preserve">NO</x:t>
        </x:is>
      </x:c>
      <x:c r="T216" s="160" t="inlineStr">
        <x:is>
          <x:t xml:space="preserve">HARDENED</x:t>
        </x:is>
      </x:c>
      <x:c r="U216" s="160" t="inlineStr">
        <x:is>
          <x:t xml:space="preserve">V10.5-SIM35</x:t>
        </x:is>
      </x:c>
      <x:c r="V216" s="160" t="inlineStr">
        <x:is>
          <x:t xml:space="preserve">https://www.eaton.com/us/en-us/company/investor-relations.html</x:t>
        </x:is>
      </x:c>
      <x:c r="W216" s="160" t="inlineStr">
        <x:is>
          <x:t xml:space="preserve">NO</x:t>
        </x:is>
      </x:c>
      <x:c r="X216" s="160" t="inlineStr">
        <x:is>
          <x:t xml:space="preserve">NONE — DEVELOPMENT ONLY</x:t>
        </x:is>
      </x:c>
      <x:c r="Y216" s="160" t="inlineStr">
        <x:is>
          <x:t xml:space="preserve">Synthetic/adversarial model-development loop. No historical outcome is claimed; no accuracy point is awarded.</x:t>
        </x:is>
      </x:c>
    </x:row>
    <x:row r="217">
      <x:c r="A217" s="160" t="inlineStr">
        <x:is>
          <x:t xml:space="preserve">ML0212</x:t>
        </x:is>
      </x:c>
      <x:c r="B217" s="160" t="inlineStr">
        <x:is>
          <x:t xml:space="preserve">ARG-014</x:t>
        </x:is>
      </x:c>
      <x:c r="C217" s="160" t="inlineStr">
        <x:is>
          <x:t xml:space="preserve">Eaton</x:t>
        </x:is>
      </x:c>
      <x:c r="D217" s="160" t="inlineStr">
        <x:is>
          <x:t xml:space="preserve">ETN</x:t>
        </x:is>
      </x:c>
      <x:c r="E217" s="160" t="inlineStr">
        <x:is>
          <x:t xml:space="preserve">Power &amp; Grid</x:t>
        </x:is>
      </x:c>
      <x:c r="F217" s="160" t="inlineStr">
        <x:is>
          <x:t xml:space="preserve">Development</x:t>
        </x:is>
      </x:c>
      <x:c r="G217" s="160" t="inlineStr">
        <x:is>
          <x:t xml:space="preserve">S04</x:t>
        </x:is>
      </x:c>
      <x:c r="H217" s="160" t="inlineStr">
        <x:is>
          <x:t xml:space="preserve">Stewardship / Capital Allocation</x:t>
        </x:is>
      </x:c>
      <x:c r="I217" s="160" t="inlineStr">
        <x:is>
          <x:t xml:space="preserve">Stewardship</x:t>
        </x:is>
      </x:c>
      <x:c r="J217" s="160" t="inlineStr">
        <x:is>
          <x:t xml:space="preserve">Management creates enterprise growth while destroying per-share value through M&amp;A, dilution, leverage or mistimed buybacks.</x:t>
        </x:is>
      </x:c>
      <x:c r="K217" s="160" t="inlineStr">
        <x:is>
          <x:t xml:space="preserve">Installed electrical base, backlog and service content</x:t>
        </x:is>
      </x:c>
      <x:c r="L217" s="160" t="inlineStr">
        <x:is>
          <x:t xml:space="preserve">Owner earnings + reverse DCF</x:t>
        </x:is>
      </x:c>
      <x:c r="M217" s="160" t="inlineStr">
        <x:is>
          <x:t xml:space="preserve">WAIT FOR PRICE</x:t>
        </x:is>
      </x:c>
      <x:c r="N217" s="160" t="inlineStr">
        <x:is>
          <x:t xml:space="preserve">R-STEW-01</x:t>
        </x:is>
      </x:c>
      <x:c r="O217" s="160" t="inlineStr">
        <x:is>
          <x:t xml:space="preserve">HARDENED</x:t>
        </x:is>
      </x:c>
      <x:c r="P217" s="160" t="inlineStr">
        <x:is>
          <x:t xml:space="preserve">ROBUST WITH RESIDUAL</x:t>
        </x:is>
      </x:c>
      <x:c r="Q217" s="160" t="inlineStr">
        <x:is>
          <x:t xml:space="preserve">The hardened rule catches the stress. Residual risk is mainly evidence quality, threshold calibration or interaction with another gate.</x:t>
        </x:is>
      </x:c>
      <x:c r="R217" s="160" t="inlineStr">
        <x:is>
          <x:t xml:space="preserve">Evaluate capital allocation on a per-share basis using acquisition cohorts, dilution, leverage and repurchase price discipline.</x:t>
        </x:is>
      </x:c>
      <x:c r="S217" s="160" t="inlineStr">
        <x:is>
          <x:t xml:space="preserve">NO</x:t>
        </x:is>
      </x:c>
      <x:c r="T217" s="160" t="inlineStr">
        <x:is>
          <x:t xml:space="preserve">HARDENED</x:t>
        </x:is>
      </x:c>
      <x:c r="U217" s="160" t="inlineStr">
        <x:is>
          <x:t xml:space="preserve">V10.5-SIM35</x:t>
        </x:is>
      </x:c>
      <x:c r="V217" s="160" t="inlineStr">
        <x:is>
          <x:t xml:space="preserve">https://www.eaton.com/us/en-us/company/investor-relations.html</x:t>
        </x:is>
      </x:c>
      <x:c r="W217" s="160" t="inlineStr">
        <x:is>
          <x:t xml:space="preserve">NO</x:t>
        </x:is>
      </x:c>
      <x:c r="X217" s="160" t="inlineStr">
        <x:is>
          <x:t xml:space="preserve">NONE — DEVELOPMENT ONLY</x:t>
        </x:is>
      </x:c>
      <x:c r="Y217" s="160" t="inlineStr">
        <x:is>
          <x:t xml:space="preserve">Synthetic/adversarial model-development loop. No historical outcome is claimed; no accuracy point is awarded.</x:t>
        </x:is>
      </x:c>
    </x:row>
    <x:row r="218">
      <x:c r="A218" s="160" t="inlineStr">
        <x:is>
          <x:t xml:space="preserve">ML0213</x:t>
        </x:is>
      </x:c>
      <x:c r="B218" s="160" t="inlineStr">
        <x:is>
          <x:t xml:space="preserve">ARG-014</x:t>
        </x:is>
      </x:c>
      <x:c r="C218" s="160" t="inlineStr">
        <x:is>
          <x:t xml:space="preserve">Eaton</x:t>
        </x:is>
      </x:c>
      <x:c r="D218" s="160" t="inlineStr">
        <x:is>
          <x:t xml:space="preserve">ETN</x:t>
        </x:is>
      </x:c>
      <x:c r="E218" s="160" t="inlineStr">
        <x:is>
          <x:t xml:space="preserve">Power &amp; Grid</x:t>
        </x:is>
      </x:c>
      <x:c r="F218" s="160" t="inlineStr">
        <x:is>
          <x:t xml:space="preserve">Development</x:t>
        </x:is>
      </x:c>
      <x:c r="G218" s="160" t="inlineStr">
        <x:is>
          <x:t xml:space="preserve">S05</x:t>
        </x:is>
      </x:c>
      <x:c r="H218" s="160" t="inlineStr">
        <x:is>
          <x:t xml:space="preserve">Survival / Funding</x:t>
        </x:is>
      </x:c>
      <x:c r="I218" s="160" t="inlineStr">
        <x:is>
          <x:t xml:space="preserve">Survival</x:t>
        </x:is>
      </x:c>
      <x:c r="J218" s="160" t="inlineStr">
        <x:is>
          <x:t xml:space="preserve">A plausible bear case exposes refinancing, liquidity, covenant, reserve, regulatory or operational fragility.</x:t>
        </x:is>
      </x:c>
      <x:c r="K218" s="160" t="inlineStr">
        <x:is>
          <x:t xml:space="preserve">Installed electrical base, backlog and service content</x:t>
        </x:is>
      </x:c>
      <x:c r="L218" s="160" t="inlineStr">
        <x:is>
          <x:t xml:space="preserve">Owner earnings + reverse DCF</x:t>
        </x:is>
      </x:c>
      <x:c r="M218" s="160" t="inlineStr">
        <x:is>
          <x:t xml:space="preserve">WAIT FOR PRICE</x:t>
        </x:is>
      </x:c>
      <x:c r="N218" s="160" t="inlineStr">
        <x:is>
          <x:t xml:space="preserve">R-SURV-01</x:t>
        </x:is>
      </x:c>
      <x:c r="O218" s="160" t="inlineStr">
        <x:is>
          <x:t xml:space="preserve">HARDENED</x:t>
        </x:is>
      </x:c>
      <x:c r="P218" s="160" t="inlineStr">
        <x:is>
          <x:t xml:space="preserve">ROBUST WITH RESIDUAL</x:t>
        </x:is>
      </x:c>
      <x:c r="Q218" s="160" t="inlineStr">
        <x:is>
          <x:t xml:space="preserve">The hardened rule catches the stress. Residual risk is mainly evidence quality, threshold calibration or interaction with another gate.</x:t>
        </x:is>
      </x:c>
      <x:c r="R218" s="160" t="inlineStr">
        <x:is>
          <x:t xml:space="preserve">Run a company-specific survival bridge under a severe-but-plausible bear case before any upside underwriting.</x:t>
        </x:is>
      </x:c>
      <x:c r="S218" s="160" t="inlineStr">
        <x:is>
          <x:t xml:space="preserve">NO</x:t>
        </x:is>
      </x:c>
      <x:c r="T218" s="160" t="inlineStr">
        <x:is>
          <x:t xml:space="preserve">HARDENED</x:t>
        </x:is>
      </x:c>
      <x:c r="U218" s="160" t="inlineStr">
        <x:is>
          <x:t xml:space="preserve">V10.5-SIM35</x:t>
        </x:is>
      </x:c>
      <x:c r="V218" s="160" t="inlineStr">
        <x:is>
          <x:t xml:space="preserve">https://www.eaton.com/us/en-us/company/investor-relations.html</x:t>
        </x:is>
      </x:c>
      <x:c r="W218" s="160" t="inlineStr">
        <x:is>
          <x:t xml:space="preserve">NO</x:t>
        </x:is>
      </x:c>
      <x:c r="X218" s="160" t="inlineStr">
        <x:is>
          <x:t xml:space="preserve">NONE — DEVELOPMENT ONLY</x:t>
        </x:is>
      </x:c>
      <x:c r="Y218" s="160" t="inlineStr">
        <x:is>
          <x:t xml:space="preserve">Synthetic/adversarial model-development loop. No historical outcome is claimed; no accuracy point is awarded.</x:t>
        </x:is>
      </x:c>
    </x:row>
    <x:row r="219">
      <x:c r="A219" s="160" t="inlineStr">
        <x:is>
          <x:t xml:space="preserve">ML0214</x:t>
        </x:is>
      </x:c>
      <x:c r="B219" s="160" t="inlineStr">
        <x:is>
          <x:t xml:space="preserve">ARG-014</x:t>
        </x:is>
      </x:c>
      <x:c r="C219" s="160" t="inlineStr">
        <x:is>
          <x:t xml:space="preserve">Eaton</x:t>
        </x:is>
      </x:c>
      <x:c r="D219" s="160" t="inlineStr">
        <x:is>
          <x:t xml:space="preserve">ETN</x:t>
        </x:is>
      </x:c>
      <x:c r="E219" s="160" t="inlineStr">
        <x:is>
          <x:t xml:space="preserve">Power &amp; Grid</x:t>
        </x:is>
      </x:c>
      <x:c r="F219" s="160" t="inlineStr">
        <x:is>
          <x:t xml:space="preserve">Development</x:t>
        </x:is>
      </x:c>
      <x:c r="G219" s="160" t="inlineStr">
        <x:is>
          <x:t xml:space="preserve">S06</x:t>
        </x:is>
      </x:c>
      <x:c r="H219" s="160" t="inlineStr">
        <x:is>
          <x:t xml:space="preserve">Margin of Safety</x:t>
        </x:is>
      </x:c>
      <x:c r="I219" s="160" t="inlineStr">
        <x:is>
          <x:t xml:space="preserve">Margin of Safety</x:t>
        </x:is>
      </x:c>
      <x:c r="J219" s="160" t="inlineStr">
        <x:is>
          <x:t xml:space="preserve">Business quality is high but the price embeds a fragile bull case.</x:t>
        </x:is>
      </x:c>
      <x:c r="K219" s="160" t="inlineStr">
        <x:is>
          <x:t xml:space="preserve">Installed electrical base, backlog and service content</x:t>
        </x:is>
      </x:c>
      <x:c r="L219" s="160" t="inlineStr">
        <x:is>
          <x:t xml:space="preserve">Owner earnings + reverse DCF</x:t>
        </x:is>
      </x:c>
      <x:c r="M219" s="160" t="inlineStr">
        <x:is>
          <x:t xml:space="preserve">WAIT FOR PRICE</x:t>
        </x:is>
      </x:c>
      <x:c r="N219" s="160" t="inlineStr">
        <x:is>
          <x:t xml:space="preserve">R-MOS-01</x:t>
        </x:is>
      </x:c>
      <x:c r="O219" s="160" t="inlineStr">
        <x:is>
          <x:t xml:space="preserve">HARDENED</x:t>
        </x:is>
      </x:c>
      <x:c r="P219" s="160" t="inlineStr">
        <x:is>
          <x:t xml:space="preserve">ROBUST WITH RESIDUAL</x:t>
        </x:is>
      </x:c>
      <x:c r="Q219" s="160" t="inlineStr">
        <x:is>
          <x:t xml:space="preserve">The hardened rule catches the stress. Residual risk is mainly evidence quality, threshold calibration or interaction with another gate.</x:t>
        </x:is>
      </x:c>
      <x:c r="R219" s="160" t="inlineStr">
        <x:is>
          <x:t xml:space="preserve">Separate business-quality score from price decision; require reverse valuation and bear/base/bull IV ranges.</x:t>
        </x:is>
      </x:c>
      <x:c r="S219" s="160" t="inlineStr">
        <x:is>
          <x:t xml:space="preserve">NO</x:t>
        </x:is>
      </x:c>
      <x:c r="T219" s="160" t="inlineStr">
        <x:is>
          <x:t xml:space="preserve">HARDENED</x:t>
        </x:is>
      </x:c>
      <x:c r="U219" s="160" t="inlineStr">
        <x:is>
          <x:t xml:space="preserve">V10.5-SIM35</x:t>
        </x:is>
      </x:c>
      <x:c r="V219" s="160" t="inlineStr">
        <x:is>
          <x:t xml:space="preserve">https://www.eaton.com/us/en-us/company/investor-relations.html</x:t>
        </x:is>
      </x:c>
      <x:c r="W219" s="160" t="inlineStr">
        <x:is>
          <x:t xml:space="preserve">NO</x:t>
        </x:is>
      </x:c>
      <x:c r="X219" s="160" t="inlineStr">
        <x:is>
          <x:t xml:space="preserve">NONE — DEVELOPMENT ONLY</x:t>
        </x:is>
      </x:c>
      <x:c r="Y219" s="160" t="inlineStr">
        <x:is>
          <x:t xml:space="preserve">Synthetic/adversarial model-development loop. No historical outcome is claimed; no accuracy point is awarded.</x:t>
        </x:is>
      </x:c>
    </x:row>
    <x:row r="220">
      <x:c r="A220" s="160" t="inlineStr">
        <x:is>
          <x:t xml:space="preserve">ML0215</x:t>
        </x:is>
      </x:c>
      <x:c r="B220" s="160" t="inlineStr">
        <x:is>
          <x:t xml:space="preserve">ARG-014</x:t>
        </x:is>
      </x:c>
      <x:c r="C220" s="160" t="inlineStr">
        <x:is>
          <x:t xml:space="preserve">Eaton</x:t>
        </x:is>
      </x:c>
      <x:c r="D220" s="160" t="inlineStr">
        <x:is>
          <x:t xml:space="preserve">ETN</x:t>
        </x:is>
      </x:c>
      <x:c r="E220" s="160" t="inlineStr">
        <x:is>
          <x:t xml:space="preserve">Power &amp; Grid</x:t>
        </x:is>
      </x:c>
      <x:c r="F220" s="160" t="inlineStr">
        <x:is>
          <x:t xml:space="preserve">Development</x:t>
        </x:is>
      </x:c>
      <x:c r="G220" s="160" t="inlineStr">
        <x:is>
          <x:t xml:space="preserve">S07</x:t>
        </x:is>
      </x:c>
      <x:c r="H220" s="160" t="inlineStr">
        <x:is>
          <x:t xml:space="preserve">Sector Shock</x:t>
        </x:is>
      </x:c>
      <x:c r="I220" s="160" t="inlineStr">
        <x:is>
          <x:t xml:space="preserve">Sector-specific</x:t>
        </x:is>
      </x:c>
      <x:c r="J220" s="160" t="inlineStr">
        <x:is>
          <x:t xml:space="preserve">Backlog stays strong but execution capacity, input inflation, working capital or project mix compresses conversion to owner earnings.</x:t>
        </x:is>
      </x:c>
      <x:c r="K220" s="160" t="inlineStr">
        <x:is>
          <x:t xml:space="preserve">Installed electrical base, backlog and service content</x:t>
        </x:is>
      </x:c>
      <x:c r="L220" s="160" t="inlineStr">
        <x:is>
          <x:t xml:space="preserve">Owner earnings + reverse DCF</x:t>
        </x:is>
      </x:c>
      <x:c r="M220" s="160" t="inlineStr">
        <x:is>
          <x:t xml:space="preserve">WAIT FOR PRICE</x:t>
        </x:is>
      </x:c>
      <x:c r="N220" s="160" t="inlineStr">
        <x:is>
          <x:t xml:space="preserve">R-SECTOR-POWER-GRID</x:t>
        </x:is>
      </x:c>
      <x:c r="O220" s="160" t="inlineStr">
        <x:is>
          <x:t xml:space="preserve">UNFORMED</x:t>
        </x:is>
      </x:c>
      <x:c r="P220" s="160" t="inlineStr">
        <x:is>
          <x:t xml:space="preserve">WEAKNESS EXPOSED</x:t>
        </x:is>
      </x:c>
      <x:c r="Q220" s="160" t="inlineStr">
        <x:is>
          <x:t xml:space="preserve">The frozen V10 gate family is directionally right, but the test lacks a sufficiently explicit mechanical implementation.</x:t>
        </x:is>
      </x:c>
      <x:c r="R220"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S220" s="160" t="inlineStr">
        <x:is>
          <x:t xml:space="preserve">NO</x:t>
        </x:is>
      </x:c>
      <x:c r="T220" s="160" t="inlineStr">
        <x:is>
          <x:t xml:space="preserve">UNFORMED</x:t>
        </x:is>
      </x:c>
      <x:c r="U220" s="160" t="inlineStr">
        <x:is>
          <x:t xml:space="preserve">V10.5-SIM35</x:t>
        </x:is>
      </x:c>
      <x:c r="V220" s="160" t="inlineStr">
        <x:is>
          <x:t xml:space="preserve">https://www.eaton.com/us/en-us/company/investor-relations.html</x:t>
        </x:is>
      </x:c>
      <x:c r="W220" s="160" t="inlineStr">
        <x:is>
          <x:t xml:space="preserve">NO</x:t>
        </x:is>
      </x:c>
      <x:c r="X220" s="160" t="inlineStr">
        <x:is>
          <x:t xml:space="preserve">NONE — DEVELOPMENT ONLY</x:t>
        </x:is>
      </x:c>
      <x:c r="Y220" s="160" t="inlineStr">
        <x:is>
          <x:t xml:space="preserve">Synthetic/adversarial model-development loop. No historical outcome is claimed; no accuracy point is awarded.</x:t>
        </x:is>
      </x:c>
    </x:row>
    <x:row r="221">
      <x:c r="A221" s="160" t="inlineStr">
        <x:is>
          <x:t xml:space="preserve">ML0216</x:t>
        </x:is>
      </x:c>
      <x:c r="B221" s="160" t="inlineStr">
        <x:is>
          <x:t xml:space="preserve">ARG-014</x:t>
        </x:is>
      </x:c>
      <x:c r="C221" s="160" t="inlineStr">
        <x:is>
          <x:t xml:space="preserve">Eaton</x:t>
        </x:is>
      </x:c>
      <x:c r="D221" s="160" t="inlineStr">
        <x:is>
          <x:t xml:space="preserve">ETN</x:t>
        </x:is>
      </x:c>
      <x:c r="E221" s="160" t="inlineStr">
        <x:is>
          <x:t xml:space="preserve">Power &amp; Grid</x:t>
        </x:is>
      </x:c>
      <x:c r="F221" s="160" t="inlineStr">
        <x:is>
          <x:t xml:space="preserve">Development</x:t>
        </x:is>
      </x:c>
      <x:c r="G221" s="160" t="inlineStr">
        <x:is>
          <x:t xml:space="preserve">S08</x:t>
        </x:is>
      </x:c>
      <x:c r="H221" s="160" t="inlineStr">
        <x:is>
          <x:t xml:space="preserve">Management Promise Reliability</x:t>
        </x:is>
      </x:c>
      <x:c r="I221" s="160" t="inlineStr">
        <x:is>
          <x:t xml:space="preserve">Management over-trust</x:t>
        </x:is>
      </x:c>
      <x:c r="J221" s="160" t="inlineStr">
        <x:is>
          <x:t xml:space="preserve">Guidance or strategic promises are repeated but the model lacks a contemporaneous reliability score.</x:t>
        </x:is>
      </x:c>
      <x:c r="K221" s="160" t="inlineStr">
        <x:is>
          <x:t xml:space="preserve">Installed electrical base, backlog and service content</x:t>
        </x:is>
      </x:c>
      <x:c r="L221" s="160" t="inlineStr">
        <x:is>
          <x:t xml:space="preserve">Owner earnings + reverse DCF</x:t>
        </x:is>
      </x:c>
      <x:c r="M221" s="160" t="inlineStr">
        <x:is>
          <x:t xml:space="preserve">WAIT FOR PRICE</x:t>
        </x:is>
      </x:c>
      <x:c r="N221" s="160" t="inlineStr">
        <x:is>
          <x:t xml:space="preserve">R-PROM-01</x:t>
        </x:is>
      </x:c>
      <x:c r="O221" s="160" t="inlineStr">
        <x:is>
          <x:t xml:space="preserve">HARDENED</x:t>
        </x:is>
      </x:c>
      <x:c r="P221" s="160" t="inlineStr">
        <x:is>
          <x:t xml:space="preserve">ROBUST WITH RESIDUAL</x:t>
        </x:is>
      </x:c>
      <x:c r="Q221" s="160" t="inlineStr">
        <x:is>
          <x:t xml:space="preserve">The hardened rule catches the stress. Residual risk is mainly evidence quality, threshold calibration or interaction with another gate.</x:t>
        </x:is>
      </x:c>
      <x:c r="R221" s="160" t="inlineStr">
        <x:is>
          <x:t xml:space="preserve">Use a promises ledger with dated promise, measurable deliverable, due date, outcome and credibility weight.</x:t>
        </x:is>
      </x:c>
      <x:c r="S221" s="160" t="inlineStr">
        <x:is>
          <x:t xml:space="preserve">NO</x:t>
        </x:is>
      </x:c>
      <x:c r="T221" s="160" t="inlineStr">
        <x:is>
          <x:t xml:space="preserve">HARDENED</x:t>
        </x:is>
      </x:c>
      <x:c r="U221" s="160" t="inlineStr">
        <x:is>
          <x:t xml:space="preserve">V10.5-SIM35</x:t>
        </x:is>
      </x:c>
      <x:c r="V221" s="160" t="inlineStr">
        <x:is>
          <x:t xml:space="preserve">https://www.eaton.com/us/en-us/company/investor-relations.html</x:t>
        </x:is>
      </x:c>
      <x:c r="W221" s="160" t="inlineStr">
        <x:is>
          <x:t xml:space="preserve">NO</x:t>
        </x:is>
      </x:c>
      <x:c r="X221" s="160" t="inlineStr">
        <x:is>
          <x:t xml:space="preserve">NONE — DEVELOPMENT ONLY</x:t>
        </x:is>
      </x:c>
      <x:c r="Y221" s="160" t="inlineStr">
        <x:is>
          <x:t xml:space="preserve">Synthetic/adversarial model-development loop. No historical outcome is claimed; no accuracy point is awarded.</x:t>
        </x:is>
      </x:c>
    </x:row>
    <x:row r="222">
      <x:c r="A222" s="160" t="inlineStr">
        <x:is>
          <x:t xml:space="preserve">ML0217</x:t>
        </x:is>
      </x:c>
      <x:c r="B222" s="160" t="inlineStr">
        <x:is>
          <x:t xml:space="preserve">ARG-014</x:t>
        </x:is>
      </x:c>
      <x:c r="C222" s="160" t="inlineStr">
        <x:is>
          <x:t xml:space="preserve">Eaton</x:t>
        </x:is>
      </x:c>
      <x:c r="D222" s="160" t="inlineStr">
        <x:is>
          <x:t xml:space="preserve">ETN</x:t>
        </x:is>
      </x:c>
      <x:c r="E222" s="160" t="inlineStr">
        <x:is>
          <x:t xml:space="preserve">Power &amp; Grid</x:t>
        </x:is>
      </x:c>
      <x:c r="F222" s="160" t="inlineStr">
        <x:is>
          <x:t xml:space="preserve">Development</x:t>
        </x:is>
      </x:c>
      <x:c r="G222" s="160" t="inlineStr">
        <x:is>
          <x:t xml:space="preserve">S09</x:t>
        </x:is>
      </x:c>
      <x:c r="H222" s="160" t="inlineStr">
        <x:is>
          <x:t xml:space="preserve">Data / Accounting Quality</x:t>
        </x:is>
      </x:c>
      <x:c r="I222" s="160" t="inlineStr">
        <x:is>
          <x:t xml:space="preserve">Data quality</x:t>
        </x:is>
      </x:c>
      <x:c r="J222" s="160" t="inlineStr">
        <x:is>
          <x:t xml:space="preserve">Restatement, segment reclassification, one-time item or non-economic fair-value movement distorts the apparent trend.</x:t>
        </x:is>
      </x:c>
      <x:c r="K222" s="160" t="inlineStr">
        <x:is>
          <x:t xml:space="preserve">Installed electrical base, backlog and service content</x:t>
        </x:is>
      </x:c>
      <x:c r="L222" s="160" t="inlineStr">
        <x:is>
          <x:t xml:space="preserve">Owner earnings + reverse DCF</x:t>
        </x:is>
      </x:c>
      <x:c r="M222" s="160" t="inlineStr">
        <x:is>
          <x:t xml:space="preserve">WAIT FOR PRICE</x:t>
        </x:is>
      </x:c>
      <x:c r="N222" s="160" t="inlineStr">
        <x:is>
          <x:t xml:space="preserve">R-DATA-01</x:t>
        </x:is>
      </x:c>
      <x:c r="O222" s="160" t="inlineStr">
        <x:is>
          <x:t xml:space="preserve">HARDENED</x:t>
        </x:is>
      </x:c>
      <x:c r="P222" s="160" t="inlineStr">
        <x:is>
          <x:t xml:space="preserve">ROBUST WITH RESIDUAL</x:t>
        </x:is>
      </x:c>
      <x:c r="Q222" s="160" t="inlineStr">
        <x:is>
          <x:t xml:space="preserve">The hardened rule catches the stress. Residual risk is mainly evidence quality, threshold calibration or interaction with another gate.</x:t>
        </x:is>
      </x:c>
      <x:c r="R222" s="160" t="inlineStr">
        <x:is>
          <x:t xml:space="preserve">Add a reporting-quality bridge and normalize accounting noise before any gate can pass.</x:t>
        </x:is>
      </x:c>
      <x:c r="S222" s="160" t="inlineStr">
        <x:is>
          <x:t xml:space="preserve">NO</x:t>
        </x:is>
      </x:c>
      <x:c r="T222" s="160" t="inlineStr">
        <x:is>
          <x:t xml:space="preserve">HARDENED</x:t>
        </x:is>
      </x:c>
      <x:c r="U222" s="160" t="inlineStr">
        <x:is>
          <x:t xml:space="preserve">V10.5-SIM35</x:t>
        </x:is>
      </x:c>
      <x:c r="V222" s="160" t="inlineStr">
        <x:is>
          <x:t xml:space="preserve">https://www.eaton.com/us/en-us/company/investor-relations.html</x:t>
        </x:is>
      </x:c>
      <x:c r="W222" s="160" t="inlineStr">
        <x:is>
          <x:t xml:space="preserve">NO</x:t>
        </x:is>
      </x:c>
      <x:c r="X222" s="160" t="inlineStr">
        <x:is>
          <x:t xml:space="preserve">NONE — DEVELOPMENT ONLY</x:t>
        </x:is>
      </x:c>
      <x:c r="Y222" s="160" t="inlineStr">
        <x:is>
          <x:t xml:space="preserve">Synthetic/adversarial model-development loop. No historical outcome is claimed; no accuracy point is awarded.</x:t>
        </x:is>
      </x:c>
    </x:row>
    <x:row r="223">
      <x:c r="A223" s="160" t="inlineStr">
        <x:is>
          <x:t xml:space="preserve">ML0218</x:t>
        </x:is>
      </x:c>
      <x:c r="B223" s="160" t="inlineStr">
        <x:is>
          <x:t xml:space="preserve">ARG-014</x:t>
        </x:is>
      </x:c>
      <x:c r="C223" s="160" t="inlineStr">
        <x:is>
          <x:t xml:space="preserve">Eaton</x:t>
        </x:is>
      </x:c>
      <x:c r="D223" s="160" t="inlineStr">
        <x:is>
          <x:t xml:space="preserve">ETN</x:t>
        </x:is>
      </x:c>
      <x:c r="E223" s="160" t="inlineStr">
        <x:is>
          <x:t xml:space="preserve">Power &amp; Grid</x:t>
        </x:is>
      </x:c>
      <x:c r="F223" s="160" t="inlineStr">
        <x:is>
          <x:t xml:space="preserve">Development</x:t>
        </x:is>
      </x:c>
      <x:c r="G223" s="160" t="inlineStr">
        <x:is>
          <x:t xml:space="preserve">S10</x:t>
        </x:is>
      </x:c>
      <x:c r="H223" s="160" t="inlineStr">
        <x:is>
          <x:t xml:space="preserve">Control / Counterfactual</x:t>
        </x:is>
      </x:c>
      <x:c r="I223" s="160" t="inlineStr">
        <x:is>
          <x:t xml:space="preserve">Sector beta vs company alpha</x:t>
        </x:is>
      </x:c>
      <x:c r="J223" s="160" t="inlineStr">
        <x:is>
          <x:t xml:space="preserve">A positive outcome is mostly sector beta or macro tailwind, not company-specific alpha.</x:t>
        </x:is>
      </x:c>
      <x:c r="K223" s="160" t="inlineStr">
        <x:is>
          <x:t xml:space="preserve">Installed electrical base, backlog and service content</x:t>
        </x:is>
      </x:c>
      <x:c r="L223" s="160" t="inlineStr">
        <x:is>
          <x:t xml:space="preserve">Owner earnings + reverse DCF</x:t>
        </x:is>
      </x:c>
      <x:c r="M223" s="160" t="inlineStr">
        <x:is>
          <x:t xml:space="preserve">WAIT FOR PRICE</x:t>
        </x:is>
      </x:c>
      <x:c r="N223" s="160" t="inlineStr">
        <x:is>
          <x:t xml:space="preserve">R-CF-01</x:t>
        </x:is>
      </x:c>
      <x:c r="O223" s="160" t="inlineStr">
        <x:is>
          <x:t xml:space="preserve">HARDENED</x:t>
        </x:is>
      </x:c>
      <x:c r="P223" s="160" t="inlineStr">
        <x:is>
          <x:t xml:space="preserve">ROBUST WITH RESIDUAL</x:t>
        </x:is>
      </x:c>
      <x:c r="Q223" s="160" t="inlineStr">
        <x:is>
          <x:t xml:space="preserve">The hardened rule catches the stress. Residual risk is mainly evidence quality, threshold calibration or interaction with another gate.</x:t>
        </x:is>
      </x:c>
      <x:c r="R223" s="160" t="inlineStr">
        <x:is>
          <x:t xml:space="preserve">Require a true economic control and counterfactual: what should have happened to a comparable company under the same shock?</x:t>
        </x:is>
      </x:c>
      <x:c r="S223" s="160" t="inlineStr">
        <x:is>
          <x:t xml:space="preserve">NO</x:t>
        </x:is>
      </x:c>
      <x:c r="T223" s="160" t="inlineStr">
        <x:is>
          <x:t xml:space="preserve">HARDENED</x:t>
        </x:is>
      </x:c>
      <x:c r="U223" s="160" t="inlineStr">
        <x:is>
          <x:t xml:space="preserve">V10.5-SIM35</x:t>
        </x:is>
      </x:c>
      <x:c r="V223" s="160" t="inlineStr">
        <x:is>
          <x:t xml:space="preserve">https://www.eaton.com/us/en-us/company/investor-relations.html</x:t>
        </x:is>
      </x:c>
      <x:c r="W223" s="160" t="inlineStr">
        <x:is>
          <x:t xml:space="preserve">NO</x:t>
        </x:is>
      </x:c>
      <x:c r="X223" s="160" t="inlineStr">
        <x:is>
          <x:t xml:space="preserve">NONE — DEVELOPMENT ONLY</x:t>
        </x:is>
      </x:c>
      <x:c r="Y223" s="160" t="inlineStr">
        <x:is>
          <x:t xml:space="preserve">Synthetic/adversarial model-development loop. No historical outcome is claimed; no accuracy point is awarded.</x:t>
        </x:is>
      </x:c>
    </x:row>
    <x:row r="224">
      <x:c r="A224" s="160" t="inlineStr">
        <x:is>
          <x:t xml:space="preserve">ML0219</x:t>
        </x:is>
      </x:c>
      <x:c r="B224" s="160" t="inlineStr">
        <x:is>
          <x:t xml:space="preserve">ARG-014</x:t>
        </x:is>
      </x:c>
      <x:c r="C224" s="160" t="inlineStr">
        <x:is>
          <x:t xml:space="preserve">Eaton</x:t>
        </x:is>
      </x:c>
      <x:c r="D224" s="160" t="inlineStr">
        <x:is>
          <x:t xml:space="preserve">ETN</x:t>
        </x:is>
      </x:c>
      <x:c r="E224" s="160" t="inlineStr">
        <x:is>
          <x:t xml:space="preserve">Power &amp; Grid</x:t>
        </x:is>
      </x:c>
      <x:c r="F224" s="160" t="inlineStr">
        <x:is>
          <x:t xml:space="preserve">Development</x:t>
        </x:is>
      </x:c>
      <x:c r="G224" s="160" t="inlineStr">
        <x:is>
          <x:t xml:space="preserve">S11</x:t>
        </x:is>
      </x:c>
      <x:c r="H224" s="160" t="inlineStr">
        <x:is>
          <x:t xml:space="preserve">False-Negative Discipline</x:t>
        </x:is>
      </x:c>
      <x:c r="I224" s="160" t="inlineStr">
        <x:is>
          <x:t xml:space="preserve">False negative</x:t>
        </x:is>
      </x:c>
      <x:c r="J224" s="160" t="inlineStr">
        <x:is>
          <x:t xml:space="preserve">A strict gate rejects a company that later compounds strongly for reasons the model could have known.</x:t>
        </x:is>
      </x:c>
      <x:c r="K224" s="160" t="inlineStr">
        <x:is>
          <x:t xml:space="preserve">Installed electrical base, backlog and service content</x:t>
        </x:is>
      </x:c>
      <x:c r="L224" s="160" t="inlineStr">
        <x:is>
          <x:t xml:space="preserve">Owner earnings + reverse DCF</x:t>
        </x:is>
      </x:c>
      <x:c r="M224" s="160" t="inlineStr">
        <x:is>
          <x:t xml:space="preserve">WAIT FOR PRICE</x:t>
        </x:is>
      </x:c>
      <x:c r="N224" s="160" t="inlineStr">
        <x:is>
          <x:t xml:space="preserve">R-FN-01</x:t>
        </x:is>
      </x:c>
      <x:c r="O224" s="160" t="inlineStr">
        <x:is>
          <x:t xml:space="preserve">HARDENED</x:t>
        </x:is>
      </x:c>
      <x:c r="P224" s="160" t="inlineStr">
        <x:is>
          <x:t xml:space="preserve">ROBUST WITH RESIDUAL</x:t>
        </x:is>
      </x:c>
      <x:c r="Q224" s="160" t="inlineStr">
        <x:is>
          <x:t xml:space="preserve">The hardened rule catches the stress. Residual risk is mainly evidence quality, threshold calibration or interaction with another gate.</x:t>
        </x:is>
      </x:c>
      <x:c r="R224" s="160" t="inlineStr">
        <x:is>
          <x:t xml:space="preserve">Track opportunity cost and classify whether the miss came from evidence timing, wrong threshold or genuinely unknowable upside.</x:t>
        </x:is>
      </x:c>
      <x:c r="S224" s="160" t="inlineStr">
        <x:is>
          <x:t xml:space="preserve">NO</x:t>
        </x:is>
      </x:c>
      <x:c r="T224" s="160" t="inlineStr">
        <x:is>
          <x:t xml:space="preserve">HARDENED</x:t>
        </x:is>
      </x:c>
      <x:c r="U224" s="160" t="inlineStr">
        <x:is>
          <x:t xml:space="preserve">V10.5-SIM35</x:t>
        </x:is>
      </x:c>
      <x:c r="V224" s="160" t="inlineStr">
        <x:is>
          <x:t xml:space="preserve">https://www.eaton.com/us/en-us/company/investor-relations.html</x:t>
        </x:is>
      </x:c>
      <x:c r="W224" s="160" t="inlineStr">
        <x:is>
          <x:t xml:space="preserve">NO</x:t>
        </x:is>
      </x:c>
      <x:c r="X224" s="160" t="inlineStr">
        <x:is>
          <x:t xml:space="preserve">NONE — DEVELOPMENT ONLY</x:t>
        </x:is>
      </x:c>
      <x:c r="Y224" s="160" t="inlineStr">
        <x:is>
          <x:t xml:space="preserve">Synthetic/adversarial model-development loop. No historical outcome is claimed; no accuracy point is awarded.</x:t>
        </x:is>
      </x:c>
    </x:row>
    <x:row r="225">
      <x:c r="A225" s="160" t="inlineStr">
        <x:is>
          <x:t xml:space="preserve">ML0220</x:t>
        </x:is>
      </x:c>
      <x:c r="B225" s="160" t="inlineStr">
        <x:is>
          <x:t xml:space="preserve">ARG-014</x:t>
        </x:is>
      </x:c>
      <x:c r="C225" s="160" t="inlineStr">
        <x:is>
          <x:t xml:space="preserve">Eaton</x:t>
        </x:is>
      </x:c>
      <x:c r="D225" s="160" t="inlineStr">
        <x:is>
          <x:t xml:space="preserve">ETN</x:t>
        </x:is>
      </x:c>
      <x:c r="E225" s="160" t="inlineStr">
        <x:is>
          <x:t xml:space="preserve">Power &amp; Grid</x:t>
        </x:is>
      </x:c>
      <x:c r="F225" s="160" t="inlineStr">
        <x:is>
          <x:t xml:space="preserve">Development</x:t>
        </x:is>
      </x:c>
      <x:c r="G225" s="160" t="inlineStr">
        <x:is>
          <x:t xml:space="preserve">S12</x:t>
        </x:is>
      </x:c>
      <x:c r="H225" s="160" t="inlineStr">
        <x:is>
          <x:t xml:space="preserve">Lead-Time / Early Sensor</x:t>
        </x:is>
      </x:c>
      <x:c r="I225" s="160" t="inlineStr">
        <x:is>
          <x:t xml:space="preserve">Timing / lead-time</x:t>
        </x:is>
      </x:c>
      <x:c r="J225" s="160" t="inlineStr">
        <x:is>
          <x:t xml:space="preserve">ARGUS identifies the change correctly but only after consensus and price have already reacted.</x:t>
        </x:is>
      </x:c>
      <x:c r="K225" s="160" t="inlineStr">
        <x:is>
          <x:t xml:space="preserve">Installed electrical base, backlog and service content</x:t>
        </x:is>
      </x:c>
      <x:c r="L225" s="160" t="inlineStr">
        <x:is>
          <x:t xml:space="preserve">Owner earnings + reverse DCF</x:t>
        </x:is>
      </x:c>
      <x:c r="M225" s="160" t="inlineStr">
        <x:is>
          <x:t xml:space="preserve">WAIT FOR PRICE</x:t>
        </x:is>
      </x:c>
      <x:c r="N225" s="160" t="inlineStr">
        <x:is>
          <x:t xml:space="preserve">R-TIME-01</x:t>
        </x:is>
      </x:c>
      <x:c r="O225" s="160" t="inlineStr">
        <x:is>
          <x:t xml:space="preserve">HARDENED</x:t>
        </x:is>
      </x:c>
      <x:c r="P225" s="160" t="inlineStr">
        <x:is>
          <x:t xml:space="preserve">ROBUST WITH RESIDUAL</x:t>
        </x:is>
      </x:c>
      <x:c r="Q225" s="160" t="inlineStr">
        <x:is>
          <x:t xml:space="preserve">The hardened rule catches the stress. Residual risk is mainly evidence quality, threshold calibration or interaction with another gate.</x:t>
        </x:is>
      </x:c>
      <x:c r="R225" s="160" t="inlineStr">
        <x:is>
          <x:t xml:space="preserve">Replace lagging financial metrics with earlier causal operating sensors and record lead time separately from correctness.</x:t>
        </x:is>
      </x:c>
      <x:c r="S225" s="160" t="inlineStr">
        <x:is>
          <x:t xml:space="preserve">NO</x:t>
        </x:is>
      </x:c>
      <x:c r="T225" s="160" t="inlineStr">
        <x:is>
          <x:t xml:space="preserve">HARDENED</x:t>
        </x:is>
      </x:c>
      <x:c r="U225" s="160" t="inlineStr">
        <x:is>
          <x:t xml:space="preserve">V10.5-SIM35</x:t>
        </x:is>
      </x:c>
      <x:c r="V225" s="160" t="inlineStr">
        <x:is>
          <x:t xml:space="preserve">https://www.eaton.com/us/en-us/company/investor-relations.html</x:t>
        </x:is>
      </x:c>
      <x:c r="W225" s="160" t="inlineStr">
        <x:is>
          <x:t xml:space="preserve">NO</x:t>
        </x:is>
      </x:c>
      <x:c r="X225" s="160" t="inlineStr">
        <x:is>
          <x:t xml:space="preserve">NONE — DEVELOPMENT ONLY</x:t>
        </x:is>
      </x:c>
      <x:c r="Y225" s="160" t="inlineStr">
        <x:is>
          <x:t xml:space="preserve">Synthetic/adversarial model-development loop. No historical outcome is claimed; no accuracy point is awarded.</x:t>
        </x:is>
      </x:c>
    </x:row>
    <x:row r="226">
      <x:c r="A226" s="160" t="inlineStr">
        <x:is>
          <x:t xml:space="preserve">ML0221</x:t>
        </x:is>
      </x:c>
      <x:c r="B226" s="160" t="inlineStr">
        <x:is>
          <x:t xml:space="preserve">ARG-014</x:t>
        </x:is>
      </x:c>
      <x:c r="C226" s="160" t="inlineStr">
        <x:is>
          <x:t xml:space="preserve">Eaton</x:t>
        </x:is>
      </x:c>
      <x:c r="D226" s="160" t="inlineStr">
        <x:is>
          <x:t xml:space="preserve">ETN</x:t>
        </x:is>
      </x:c>
      <x:c r="E226" s="160" t="inlineStr">
        <x:is>
          <x:t xml:space="preserve">Power &amp; Grid</x:t>
        </x:is>
      </x:c>
      <x:c r="F226" s="160" t="inlineStr">
        <x:is>
          <x:t xml:space="preserve">Development</x:t>
        </x:is>
      </x:c>
      <x:c r="G226" s="160" t="inlineStr">
        <x:is>
          <x:t xml:space="preserve">S13</x:t>
        </x:is>
      </x:c>
      <x:c r="H226" s="160" t="inlineStr">
        <x:is>
          <x:t xml:space="preserve">Cycle Normalization</x:t>
        </x:is>
      </x:c>
      <x:c r="I226" s="160" t="inlineStr">
        <x:is>
          <x:t xml:space="preserve">Wrong valuation lens</x:t>
        </x:is>
      </x:c>
      <x:c r="J226" s="160" t="inlineStr">
        <x:is>
          <x:t xml:space="preserve">Peak/trough earnings are mistaken for normalized earning power.</x:t>
        </x:is>
      </x:c>
      <x:c r="K226" s="160" t="inlineStr">
        <x:is>
          <x:t xml:space="preserve">Installed electrical base, backlog and service content</x:t>
        </x:is>
      </x:c>
      <x:c r="L226" s="160" t="inlineStr">
        <x:is>
          <x:t xml:space="preserve">Owner earnings + reverse DCF</x:t>
        </x:is>
      </x:c>
      <x:c r="M226" s="160" t="inlineStr">
        <x:is>
          <x:t xml:space="preserve">WAIT FOR PRICE</x:t>
        </x:is>
      </x:c>
      <x:c r="N226" s="160" t="inlineStr">
        <x:is>
          <x:t xml:space="preserve">R-CYCLE-01</x:t>
        </x:is>
      </x:c>
      <x:c r="O226" s="160" t="inlineStr">
        <x:is>
          <x:t xml:space="preserve">HARDENED</x:t>
        </x:is>
      </x:c>
      <x:c r="P226" s="160" t="inlineStr">
        <x:is>
          <x:t xml:space="preserve">ROBUST WITH RESIDUAL</x:t>
        </x:is>
      </x:c>
      <x:c r="Q226" s="160" t="inlineStr">
        <x:is>
          <x:t xml:space="preserve">The hardened rule catches the stress. Residual risk is mainly evidence quality, threshold calibration or interaction with another gate.</x:t>
        </x:is>
      </x:c>
      <x:c r="R226" s="160" t="inlineStr">
        <x:is>
          <x:t xml:space="preserve">Use sector-specific mid-cycle/NAV/rate-base/rNPV normalization before applying a valuation multiple.</x:t>
        </x:is>
      </x:c>
      <x:c r="S226" s="160" t="inlineStr">
        <x:is>
          <x:t xml:space="preserve">NO</x:t>
        </x:is>
      </x:c>
      <x:c r="T226" s="160" t="inlineStr">
        <x:is>
          <x:t xml:space="preserve">HARDENED</x:t>
        </x:is>
      </x:c>
      <x:c r="U226" s="160" t="inlineStr">
        <x:is>
          <x:t xml:space="preserve">V10.5-SIM35</x:t>
        </x:is>
      </x:c>
      <x:c r="V226" s="160" t="inlineStr">
        <x:is>
          <x:t xml:space="preserve">https://www.eaton.com/us/en-us/company/investor-relations.html</x:t>
        </x:is>
      </x:c>
      <x:c r="W226" s="160" t="inlineStr">
        <x:is>
          <x:t xml:space="preserve">NO</x:t>
        </x:is>
      </x:c>
      <x:c r="X226" s="160" t="inlineStr">
        <x:is>
          <x:t xml:space="preserve">NONE — DEVELOPMENT ONLY</x:t>
        </x:is>
      </x:c>
      <x:c r="Y226" s="160" t="inlineStr">
        <x:is>
          <x:t xml:space="preserve">Synthetic/adversarial model-development loop. No historical outcome is claimed; no accuracy point is awarded.</x:t>
        </x:is>
      </x:c>
    </x:row>
    <x:row r="227">
      <x:c r="A227" s="160" t="inlineStr">
        <x:is>
          <x:t xml:space="preserve">ML0222</x:t>
        </x:is>
      </x:c>
      <x:c r="B227" s="160" t="inlineStr">
        <x:is>
          <x:t xml:space="preserve">ARG-014</x:t>
        </x:is>
      </x:c>
      <x:c r="C227" s="160" t="inlineStr">
        <x:is>
          <x:t xml:space="preserve">Eaton</x:t>
        </x:is>
      </x:c>
      <x:c r="D227" s="160" t="inlineStr">
        <x:is>
          <x:t xml:space="preserve">ETN</x:t>
        </x:is>
      </x:c>
      <x:c r="E227" s="160" t="inlineStr">
        <x:is>
          <x:t xml:space="preserve">Power &amp; Grid</x:t>
        </x:is>
      </x:c>
      <x:c r="F227" s="160" t="inlineStr">
        <x:is>
          <x:t xml:space="preserve">Development</x:t>
        </x:is>
      </x:c>
      <x:c r="G227" s="160" t="inlineStr">
        <x:is>
          <x:t xml:space="preserve">S14</x:t>
        </x:is>
      </x:c>
      <x:c r="H227" s="160" t="inlineStr">
        <x:is>
          <x:t xml:space="preserve">M&amp;A / Organic Growth Separation</x:t>
        </x:is>
      </x:c>
      <x:c r="I227" s="160" t="inlineStr">
        <x:is>
          <x:t xml:space="preserve">Stewardship</x:t>
        </x:is>
      </x:c>
      <x:c r="J227" s="160" t="inlineStr">
        <x:is>
          <x:t xml:space="preserve">Acquisition-driven growth masks weak organic economics or poor incremental ROIC.</x:t>
        </x:is>
      </x:c>
      <x:c r="K227" s="160" t="inlineStr">
        <x:is>
          <x:t xml:space="preserve">Installed electrical base, backlog and service content</x:t>
        </x:is>
      </x:c>
      <x:c r="L227" s="160" t="inlineStr">
        <x:is>
          <x:t xml:space="preserve">Owner earnings + reverse DCF</x:t>
        </x:is>
      </x:c>
      <x:c r="M227" s="160" t="inlineStr">
        <x:is>
          <x:t xml:space="preserve">WAIT FOR PRICE</x:t>
        </x:is>
      </x:c>
      <x:c r="N227" s="160" t="inlineStr">
        <x:is>
          <x:t xml:space="preserve">R-MA-01</x:t>
        </x:is>
      </x:c>
      <x:c r="O227" s="160" t="inlineStr">
        <x:is>
          <x:t xml:space="preserve">HARDENED</x:t>
        </x:is>
      </x:c>
      <x:c r="P227" s="160" t="inlineStr">
        <x:is>
          <x:t xml:space="preserve">ROBUST WITH RESIDUAL</x:t>
        </x:is>
      </x:c>
      <x:c r="Q227" s="160" t="inlineStr">
        <x:is>
          <x:t xml:space="preserve">The hardened rule catches the stress. Residual risk is mainly evidence quality, threshold calibration or interaction with another gate.</x:t>
        </x:is>
      </x:c>
      <x:c r="R227" s="160" t="inlineStr">
        <x:is>
          <x:t xml:space="preserve">Bridge organic growth, acquired growth, purchase price, integration costs and acquisition-cohort ROIC.</x:t>
        </x:is>
      </x:c>
      <x:c r="S227" s="160" t="inlineStr">
        <x:is>
          <x:t xml:space="preserve">NO</x:t>
        </x:is>
      </x:c>
      <x:c r="T227" s="160" t="inlineStr">
        <x:is>
          <x:t xml:space="preserve">HARDENED</x:t>
        </x:is>
      </x:c>
      <x:c r="U227" s="160" t="inlineStr">
        <x:is>
          <x:t xml:space="preserve">V10.5-SIM35</x:t>
        </x:is>
      </x:c>
      <x:c r="V227" s="160" t="inlineStr">
        <x:is>
          <x:t xml:space="preserve">https://www.eaton.com/us/en-us/company/investor-relations.html</x:t>
        </x:is>
      </x:c>
      <x:c r="W227" s="160" t="inlineStr">
        <x:is>
          <x:t xml:space="preserve">NO</x:t>
        </x:is>
      </x:c>
      <x:c r="X227" s="160" t="inlineStr">
        <x:is>
          <x:t xml:space="preserve">NONE — DEVELOPMENT ONLY</x:t>
        </x:is>
      </x:c>
      <x:c r="Y227" s="160" t="inlineStr">
        <x:is>
          <x:t xml:space="preserve">Synthetic/adversarial model-development loop. No historical outcome is claimed; no accuracy point is awarded.</x:t>
        </x:is>
      </x:c>
    </x:row>
    <x:row r="228">
      <x:c r="A228" s="160" t="inlineStr">
        <x:is>
          <x:t xml:space="preserve">ML0223</x:t>
        </x:is>
      </x:c>
      <x:c r="B228" s="160" t="inlineStr">
        <x:is>
          <x:t xml:space="preserve">ARG-014</x:t>
        </x:is>
      </x:c>
      <x:c r="C228" s="160" t="inlineStr">
        <x:is>
          <x:t xml:space="preserve">Eaton</x:t>
        </x:is>
      </x:c>
      <x:c r="D228" s="160" t="inlineStr">
        <x:is>
          <x:t xml:space="preserve">ETN</x:t>
        </x:is>
      </x:c>
      <x:c r="E228" s="160" t="inlineStr">
        <x:is>
          <x:t xml:space="preserve">Power &amp; Grid</x:t>
        </x:is>
      </x:c>
      <x:c r="F228" s="160" t="inlineStr">
        <x:is>
          <x:t xml:space="preserve">Development</x:t>
        </x:is>
      </x:c>
      <x:c r="G228" s="160" t="inlineStr">
        <x:is>
          <x:t xml:space="preserve">S15</x:t>
        </x:is>
      </x:c>
      <x:c r="H228" s="160" t="inlineStr">
        <x:is>
          <x:t xml:space="preserve">Financing / Dilution Per Share</x:t>
        </x:is>
      </x:c>
      <x:c r="I228" s="160" t="inlineStr">
        <x:is>
          <x:t xml:space="preserve">Stewardship</x:t>
        </x:is>
      </x:c>
      <x:c r="J228" s="160" t="inlineStr">
        <x:is>
          <x:t xml:space="preserve">Cash balance or revenue growth improves while financing causes material per-share value leakage.</x:t>
        </x:is>
      </x:c>
      <x:c r="K228" s="160" t="inlineStr">
        <x:is>
          <x:t xml:space="preserve">Installed electrical base, backlog and service content</x:t>
        </x:is>
      </x:c>
      <x:c r="L228" s="160" t="inlineStr">
        <x:is>
          <x:t xml:space="preserve">Owner earnings + reverse DCF</x:t>
        </x:is>
      </x:c>
      <x:c r="M228" s="160" t="inlineStr">
        <x:is>
          <x:t xml:space="preserve">WAIT FOR PRICE</x:t>
        </x:is>
      </x:c>
      <x:c r="N228" s="160" t="inlineStr">
        <x:is>
          <x:t xml:space="preserve">R-DIL-01</x:t>
        </x:is>
      </x:c>
      <x:c r="O228" s="160" t="inlineStr">
        <x:is>
          <x:t xml:space="preserve">HARDENED</x:t>
        </x:is>
      </x:c>
      <x:c r="P228" s="160" t="inlineStr">
        <x:is>
          <x:t xml:space="preserve">ROBUST WITH RESIDUAL</x:t>
        </x:is>
      </x:c>
      <x:c r="Q228" s="160" t="inlineStr">
        <x:is>
          <x:t xml:space="preserve">The hardened rule catches the stress. Residual risk is mainly evidence quality, threshold calibration or interaction with another gate.</x:t>
        </x:is>
      </x:c>
      <x:c r="R228" s="160" t="inlineStr">
        <x:is>
          <x:t xml:space="preserve">Reconcile share-count growth, SBC, equity issuance, buybacks and net cash changes to per-share intrinsic value.</x:t>
        </x:is>
      </x:c>
      <x:c r="S228" s="160" t="inlineStr">
        <x:is>
          <x:t xml:space="preserve">NO</x:t>
        </x:is>
      </x:c>
      <x:c r="T228" s="160" t="inlineStr">
        <x:is>
          <x:t xml:space="preserve">HARDENED</x:t>
        </x:is>
      </x:c>
      <x:c r="U228" s="160" t="inlineStr">
        <x:is>
          <x:t xml:space="preserve">V10.5-SIM35</x:t>
        </x:is>
      </x:c>
      <x:c r="V228" s="160" t="inlineStr">
        <x:is>
          <x:t xml:space="preserve">https://www.eaton.com/us/en-us/company/investor-relations.html</x:t>
        </x:is>
      </x:c>
      <x:c r="W228" s="160" t="inlineStr">
        <x:is>
          <x:t xml:space="preserve">NO</x:t>
        </x:is>
      </x:c>
      <x:c r="X228" s="160" t="inlineStr">
        <x:is>
          <x:t xml:space="preserve">NONE — DEVELOPMENT ONLY</x:t>
        </x:is>
      </x:c>
      <x:c r="Y228" s="160" t="inlineStr">
        <x:is>
          <x:t xml:space="preserve">Synthetic/adversarial model-development loop. No historical outcome is claimed; no accuracy point is awarded.</x:t>
        </x:is>
      </x:c>
    </x:row>
    <x:row r="229">
      <x:c r="A229" s="160" t="inlineStr">
        <x:is>
          <x:t xml:space="preserve">ML0224</x:t>
        </x:is>
      </x:c>
      <x:c r="B229" s="160" t="inlineStr">
        <x:is>
          <x:t xml:space="preserve">ARG-014</x:t>
        </x:is>
      </x:c>
      <x:c r="C229" s="160" t="inlineStr">
        <x:is>
          <x:t xml:space="preserve">Eaton</x:t>
        </x:is>
      </x:c>
      <x:c r="D229" s="160" t="inlineStr">
        <x:is>
          <x:t xml:space="preserve">ETN</x:t>
        </x:is>
      </x:c>
      <x:c r="E229" s="160" t="inlineStr">
        <x:is>
          <x:t xml:space="preserve">Power &amp; Grid</x:t>
        </x:is>
      </x:c>
      <x:c r="F229" s="160" t="inlineStr">
        <x:is>
          <x:t xml:space="preserve">Development</x:t>
        </x:is>
      </x:c>
      <x:c r="G229" s="160" t="inlineStr">
        <x:is>
          <x:t xml:space="preserve">S16</x:t>
        </x:is>
      </x:c>
      <x:c r="H229" s="160" t="inlineStr">
        <x:is>
          <x:t xml:space="preserve">Concentration / Tail Risk</x:t>
        </x:is>
      </x:c>
      <x:c r="I229" s="160" t="inlineStr">
        <x:is>
          <x:t xml:space="preserve">Survival</x:t>
        </x:is>
      </x:c>
      <x:c r="J229" s="160" t="inlineStr">
        <x:is>
          <x:t xml:space="preserve">A concentrated supplier, geography, customer, product, patent, regulatory or technology dependency creates asymmetric permanent-loss risk.</x:t>
        </x:is>
      </x:c>
      <x:c r="K229" s="160" t="inlineStr">
        <x:is>
          <x:t xml:space="preserve">Installed electrical base, backlog and service content</x:t>
        </x:is>
      </x:c>
      <x:c r="L229" s="160" t="inlineStr">
        <x:is>
          <x:t xml:space="preserve">Owner earnings + reverse DCF</x:t>
        </x:is>
      </x:c>
      <x:c r="M229" s="160" t="inlineStr">
        <x:is>
          <x:t xml:space="preserve">WAIT FOR PRICE</x:t>
        </x:is>
      </x:c>
      <x:c r="N229" s="160" t="inlineStr">
        <x:is>
          <x:t xml:space="preserve">R-TAIL-01</x:t>
        </x:is>
      </x:c>
      <x:c r="O229" s="160" t="inlineStr">
        <x:is>
          <x:t xml:space="preserve">HARDENED</x:t>
        </x:is>
      </x:c>
      <x:c r="P229" s="160" t="inlineStr">
        <x:is>
          <x:t xml:space="preserve">ROBUST WITH RESIDUAL</x:t>
        </x:is>
      </x:c>
      <x:c r="Q229" s="160" t="inlineStr">
        <x:is>
          <x:t xml:space="preserve">The hardened rule catches the stress. Residual risk is mainly evidence quality, threshold calibration or interaction with another gate.</x:t>
        </x:is>
      </x:c>
      <x:c r="R229" s="160" t="inlineStr">
        <x:is>
          <x:t xml:space="preserve">Maintain an explicit concentration/tail-risk register with probability, severity, mitigation and required margin-of-safety premium.</x:t>
        </x:is>
      </x:c>
      <x:c r="S229" s="160" t="inlineStr">
        <x:is>
          <x:t xml:space="preserve">NO</x:t>
        </x:is>
      </x:c>
      <x:c r="T229" s="160" t="inlineStr">
        <x:is>
          <x:t xml:space="preserve">HARDENED</x:t>
        </x:is>
      </x:c>
      <x:c r="U229" s="160" t="inlineStr">
        <x:is>
          <x:t xml:space="preserve">V10.5-SIM35</x:t>
        </x:is>
      </x:c>
      <x:c r="V229" s="160" t="inlineStr">
        <x:is>
          <x:t xml:space="preserve">https://www.eaton.com/us/en-us/company/investor-relations.html</x:t>
        </x:is>
      </x:c>
      <x:c r="W229" s="160" t="inlineStr">
        <x:is>
          <x:t xml:space="preserve">NO</x:t>
        </x:is>
      </x:c>
      <x:c r="X229" s="160" t="inlineStr">
        <x:is>
          <x:t xml:space="preserve">NONE — DEVELOPMENT ONLY</x:t>
        </x:is>
      </x:c>
      <x:c r="Y229" s="160" t="inlineStr">
        <x:is>
          <x:t xml:space="preserve">Synthetic/adversarial model-development loop. No historical outcome is claimed; no accuracy point is awarded.</x:t>
        </x:is>
      </x:c>
    </x:row>
    <x:row r="230">
      <x:c r="A230" s="160" t="inlineStr">
        <x:is>
          <x:t xml:space="preserve">ML0225</x:t>
        </x:is>
      </x:c>
      <x:c r="B230" s="160" t="inlineStr">
        <x:is>
          <x:t xml:space="preserve">ARG-015</x:t>
        </x:is>
      </x:c>
      <x:c r="C230" s="160" t="inlineStr">
        <x:is>
          <x:t xml:space="preserve">Quanta Services</x:t>
        </x:is>
      </x:c>
      <x:c r="D230" s="160" t="inlineStr">
        <x:is>
          <x:t xml:space="preserve">PWR</x:t>
        </x:is>
      </x:c>
      <x:c r="E230" s="160" t="inlineStr">
        <x:is>
          <x:t xml:space="preserve">Power &amp; Grid</x:t>
        </x:is>
      </x:c>
      <x:c r="F230" s="160" t="inlineStr">
        <x:is>
          <x:t xml:space="preserve">Development</x:t>
        </x:is>
      </x:c>
      <x:c r="G230" s="160" t="inlineStr">
        <x:is>
          <x:t xml:space="preserve">S01</x:t>
        </x:is>
      </x:c>
      <x:c r="H230" s="160" t="inlineStr">
        <x:is>
          <x:t xml:space="preserve">Understanding Gate</x:t>
        </x:is>
      </x:c>
      <x:c r="I230" s="160" t="inlineStr">
        <x:is>
          <x:t xml:space="preserve">Understanding</x:t>
        </x:is>
      </x:c>
      <x:c r="J230" s="160" t="inlineStr">
        <x:is>
          <x:t xml:space="preserve">Causal engine / customer ROI chain breaks under a misleading headline KPI.</x:t>
        </x:is>
      </x:c>
      <x:c r="K230" s="160" t="inlineStr">
        <x:is>
          <x:t xml:space="preserve">Infrastructure backlog × execution margin</x:t>
        </x:is>
      </x:c>
      <x:c r="L230" s="160" t="inlineStr">
        <x:is>
          <x:t xml:space="preserve">Normalized FCF + backlog economics</x:t>
        </x:is>
      </x:c>
      <x:c r="M230" s="160" t="inlineStr">
        <x:is>
          <x:t xml:space="preserve">WAIT FOR PRICE</x:t>
        </x:is>
      </x:c>
      <x:c r="N230" s="160" t="inlineStr">
        <x:is>
          <x:t xml:space="preserve">R-ENG-01</x:t>
        </x:is>
      </x:c>
      <x:c r="O230" s="160" t="inlineStr">
        <x:is>
          <x:t xml:space="preserve">HARDENED</x:t>
        </x:is>
      </x:c>
      <x:c r="P230" s="160" t="inlineStr">
        <x:is>
          <x:t xml:space="preserve">ROBUST WITH RESIDUAL</x:t>
        </x:is>
      </x:c>
      <x:c r="Q230" s="160" t="inlineStr">
        <x:is>
          <x:t xml:space="preserve">The hardened rule catches the stress. Residual risk is mainly evidence quality, threshold calibration or interaction with another gate.</x:t>
        </x:is>
      </x:c>
      <x:c r="R230" s="160" t="inlineStr">
        <x:is>
          <x:t xml:space="preserve">Force an explicit engine tree: customer job → unit economics → revenue driver → owner-value bridge.</x:t>
        </x:is>
      </x:c>
      <x:c r="S230" s="160" t="inlineStr">
        <x:is>
          <x:t xml:space="preserve">NO</x:t>
        </x:is>
      </x:c>
      <x:c r="T230" s="160" t="inlineStr">
        <x:is>
          <x:t xml:space="preserve">HARDENED</x:t>
        </x:is>
      </x:c>
      <x:c r="U230" s="160" t="inlineStr">
        <x:is>
          <x:t xml:space="preserve">V10.5-SIM35</x:t>
        </x:is>
      </x:c>
      <x:c r="V230" s="160" t="inlineStr">
        <x:is>
          <x:t xml:space="preserve">https://investors.quantaservices.com</x:t>
        </x:is>
      </x:c>
      <x:c r="W230" s="160" t="inlineStr">
        <x:is>
          <x:t xml:space="preserve">NO</x:t>
        </x:is>
      </x:c>
      <x:c r="X230" s="160" t="inlineStr">
        <x:is>
          <x:t xml:space="preserve">NONE — DEVELOPMENT ONLY</x:t>
        </x:is>
      </x:c>
      <x:c r="Y230" s="160" t="inlineStr">
        <x:is>
          <x:t xml:space="preserve">Synthetic/adversarial model-development loop. No historical outcome is claimed; no accuracy point is awarded.</x:t>
        </x:is>
      </x:c>
    </x:row>
    <x:row r="231">
      <x:c r="A231" s="160" t="inlineStr">
        <x:is>
          <x:t xml:space="preserve">ML0226</x:t>
        </x:is>
      </x:c>
      <x:c r="B231" s="160" t="inlineStr">
        <x:is>
          <x:t xml:space="preserve">ARG-015</x:t>
        </x:is>
      </x:c>
      <x:c r="C231" s="160" t="inlineStr">
        <x:is>
          <x:t xml:space="preserve">Quanta Services</x:t>
        </x:is>
      </x:c>
      <x:c r="D231" s="160" t="inlineStr">
        <x:is>
          <x:t xml:space="preserve">PWR</x:t>
        </x:is>
      </x:c>
      <x:c r="E231" s="160" t="inlineStr">
        <x:is>
          <x:t xml:space="preserve">Power &amp; Grid</x:t>
        </x:is>
      </x:c>
      <x:c r="F231" s="160" t="inlineStr">
        <x:is>
          <x:t xml:space="preserve">Development</x:t>
        </x:is>
      </x:c>
      <x:c r="G231" s="160" t="inlineStr">
        <x:is>
          <x:t xml:space="preserve">S02</x:t>
        </x:is>
      </x:c>
      <x:c r="H231" s="160" t="inlineStr">
        <x:is>
          <x:t xml:space="preserve">Owner Earnings Normalization</x:t>
        </x:is>
      </x:c>
      <x:c r="I231" s="160" t="inlineStr">
        <x:is>
          <x:t xml:space="preserve">Owner Earnings</x:t>
        </x:is>
      </x:c>
      <x:c r="J231" s="160" t="inlineStr">
        <x:is>
          <x:t xml:space="preserve">Reported earnings/FCF overstates economic cash because recurring reinvestment or non-cash compensation is misclassified.</x:t>
        </x:is>
      </x:c>
      <x:c r="K231" s="160" t="inlineStr">
        <x:is>
          <x:t xml:space="preserve">Infrastructure backlog × execution margin</x:t>
        </x:is>
      </x:c>
      <x:c r="L231" s="160" t="inlineStr">
        <x:is>
          <x:t xml:space="preserve">Normalized FCF + backlog economics</x:t>
        </x:is>
      </x:c>
      <x:c r="M231" s="160" t="inlineStr">
        <x:is>
          <x:t xml:space="preserve">WAIT FOR PRICE</x:t>
        </x:is>
      </x:c>
      <x:c r="N231" s="160" t="inlineStr">
        <x:is>
          <x:t xml:space="preserve">R-OE-01</x:t>
        </x:is>
      </x:c>
      <x:c r="O231" s="160" t="inlineStr">
        <x:is>
          <x:t xml:space="preserve">HARDENED</x:t>
        </x:is>
      </x:c>
      <x:c r="P231" s="160" t="inlineStr">
        <x:is>
          <x:t xml:space="preserve">ROBUST WITH RESIDUAL</x:t>
        </x:is>
      </x:c>
      <x:c r="Q231" s="160" t="inlineStr">
        <x:is>
          <x:t xml:space="preserve">The hardened rule catches the stress. Residual risk is mainly evidence quality, threshold calibration or interaction with another gate.</x:t>
        </x:is>
      </x:c>
      <x:c r="R231" s="160" t="inlineStr">
        <x:is>
          <x:t xml:space="preserve">Require a GAAP-to-economic-owner-cash bridge tailored to the business model.</x:t>
        </x:is>
      </x:c>
      <x:c r="S231" s="160" t="inlineStr">
        <x:is>
          <x:t xml:space="preserve">NO</x:t>
        </x:is>
      </x:c>
      <x:c r="T231" s="160" t="inlineStr">
        <x:is>
          <x:t xml:space="preserve">HARDENED</x:t>
        </x:is>
      </x:c>
      <x:c r="U231" s="160" t="inlineStr">
        <x:is>
          <x:t xml:space="preserve">V10.5-SIM35</x:t>
        </x:is>
      </x:c>
      <x:c r="V231" s="160" t="inlineStr">
        <x:is>
          <x:t xml:space="preserve">https://investors.quantaservices.com</x:t>
        </x:is>
      </x:c>
      <x:c r="W231" s="160" t="inlineStr">
        <x:is>
          <x:t xml:space="preserve">NO</x:t>
        </x:is>
      </x:c>
      <x:c r="X231" s="160" t="inlineStr">
        <x:is>
          <x:t xml:space="preserve">NONE — DEVELOPMENT ONLY</x:t>
        </x:is>
      </x:c>
      <x:c r="Y231" s="160" t="inlineStr">
        <x:is>
          <x:t xml:space="preserve">Synthetic/adversarial model-development loop. No historical outcome is claimed; no accuracy point is awarded.</x:t>
        </x:is>
      </x:c>
    </x:row>
    <x:row r="232">
      <x:c r="A232" s="160" t="inlineStr">
        <x:is>
          <x:t xml:space="preserve">ML0227</x:t>
        </x:is>
      </x:c>
      <x:c r="B232" s="160" t="inlineStr">
        <x:is>
          <x:t xml:space="preserve">ARG-015</x:t>
        </x:is>
      </x:c>
      <x:c r="C232" s="160" t="inlineStr">
        <x:is>
          <x:t xml:space="preserve">Quanta Services</x:t>
        </x:is>
      </x:c>
      <x:c r="D232" s="160" t="inlineStr">
        <x:is>
          <x:t xml:space="preserve">PWR</x:t>
        </x:is>
      </x:c>
      <x:c r="E232" s="160" t="inlineStr">
        <x:is>
          <x:t xml:space="preserve">Power &amp; Grid</x:t>
        </x:is>
      </x:c>
      <x:c r="F232" s="160" t="inlineStr">
        <x:is>
          <x:t xml:space="preserve">Development</x:t>
        </x:is>
      </x:c>
      <x:c r="G232" s="160" t="inlineStr">
        <x:is>
          <x:t xml:space="preserve">S03</x:t>
        </x:is>
      </x:c>
      <x:c r="H232" s="160" t="inlineStr">
        <x:is>
          <x:t xml:space="preserve">Moat Durability</x:t>
        </x:is>
      </x:c>
      <x:c r="I232" s="160" t="inlineStr">
        <x:is>
          <x:t xml:space="preserve">Moat 2036</x:t>
        </x:is>
      </x:c>
      <x:c r="J232" s="160" t="inlineStr">
        <x:is>
          <x:t xml:space="preserve">Growth continues while switching friction, pricing power or replacement difficulty quietly weakens.</x:t>
        </x:is>
      </x:c>
      <x:c r="K232" s="160" t="inlineStr">
        <x:is>
          <x:t xml:space="preserve">Infrastructure backlog × execution margin</x:t>
        </x:is>
      </x:c>
      <x:c r="L232" s="160" t="inlineStr">
        <x:is>
          <x:t xml:space="preserve">Normalized FCF + backlog economics</x:t>
        </x:is>
      </x:c>
      <x:c r="M232" s="160" t="inlineStr">
        <x:is>
          <x:t xml:space="preserve">WAIT FOR PRICE</x:t>
        </x:is>
      </x:c>
      <x:c r="N232" s="160" t="inlineStr">
        <x:is>
          <x:t xml:space="preserve">R-MOAT-01</x:t>
        </x:is>
      </x:c>
      <x:c r="O232" s="160" t="inlineStr">
        <x:is>
          <x:t xml:space="preserve">HARDENED</x:t>
        </x:is>
      </x:c>
      <x:c r="P232" s="160" t="inlineStr">
        <x:is>
          <x:t xml:space="preserve">ROBUST WITH RESIDUAL</x:t>
        </x:is>
      </x:c>
      <x:c r="Q232" s="160" t="inlineStr">
        <x:is>
          <x:t xml:space="preserve">The hardened rule catches the stress. Residual risk is mainly evidence quality, threshold calibration or interaction with another gate.</x:t>
        </x:is>
      </x:c>
      <x:c r="R232" s="160" t="inlineStr">
        <x:is>
          <x:t xml:space="preserve">Track moat telemetry separately from growth: retention, pricing, win/loss, replacement friction, installed-base behavior.</x:t>
        </x:is>
      </x:c>
      <x:c r="S232" s="160" t="inlineStr">
        <x:is>
          <x:t xml:space="preserve">NO</x:t>
        </x:is>
      </x:c>
      <x:c r="T232" s="160" t="inlineStr">
        <x:is>
          <x:t xml:space="preserve">HARDENED</x:t>
        </x:is>
      </x:c>
      <x:c r="U232" s="160" t="inlineStr">
        <x:is>
          <x:t xml:space="preserve">V10.5-SIM35</x:t>
        </x:is>
      </x:c>
      <x:c r="V232" s="160" t="inlineStr">
        <x:is>
          <x:t xml:space="preserve">https://investors.quantaservices.com</x:t>
        </x:is>
      </x:c>
      <x:c r="W232" s="160" t="inlineStr">
        <x:is>
          <x:t xml:space="preserve">NO</x:t>
        </x:is>
      </x:c>
      <x:c r="X232" s="160" t="inlineStr">
        <x:is>
          <x:t xml:space="preserve">NONE — DEVELOPMENT ONLY</x:t>
        </x:is>
      </x:c>
      <x:c r="Y232" s="160" t="inlineStr">
        <x:is>
          <x:t xml:space="preserve">Synthetic/adversarial model-development loop. No historical outcome is claimed; no accuracy point is awarded.</x:t>
        </x:is>
      </x:c>
    </x:row>
    <x:row r="233">
      <x:c r="A233" s="160" t="inlineStr">
        <x:is>
          <x:t xml:space="preserve">ML0228</x:t>
        </x:is>
      </x:c>
      <x:c r="B233" s="160" t="inlineStr">
        <x:is>
          <x:t xml:space="preserve">ARG-015</x:t>
        </x:is>
      </x:c>
      <x:c r="C233" s="160" t="inlineStr">
        <x:is>
          <x:t xml:space="preserve">Quanta Services</x:t>
        </x:is>
      </x:c>
      <x:c r="D233" s="160" t="inlineStr">
        <x:is>
          <x:t xml:space="preserve">PWR</x:t>
        </x:is>
      </x:c>
      <x:c r="E233" s="160" t="inlineStr">
        <x:is>
          <x:t xml:space="preserve">Power &amp; Grid</x:t>
        </x:is>
      </x:c>
      <x:c r="F233" s="160" t="inlineStr">
        <x:is>
          <x:t xml:space="preserve">Development</x:t>
        </x:is>
      </x:c>
      <x:c r="G233" s="160" t="inlineStr">
        <x:is>
          <x:t xml:space="preserve">S04</x:t>
        </x:is>
      </x:c>
      <x:c r="H233" s="160" t="inlineStr">
        <x:is>
          <x:t xml:space="preserve">Stewardship / Capital Allocation</x:t>
        </x:is>
      </x:c>
      <x:c r="I233" s="160" t="inlineStr">
        <x:is>
          <x:t xml:space="preserve">Stewardship</x:t>
        </x:is>
      </x:c>
      <x:c r="J233" s="160" t="inlineStr">
        <x:is>
          <x:t xml:space="preserve">Management creates enterprise growth while destroying per-share value through M&amp;A, dilution, leverage or mistimed buybacks.</x:t>
        </x:is>
      </x:c>
      <x:c r="K233" s="160" t="inlineStr">
        <x:is>
          <x:t xml:space="preserve">Infrastructure backlog × execution margin</x:t>
        </x:is>
      </x:c>
      <x:c r="L233" s="160" t="inlineStr">
        <x:is>
          <x:t xml:space="preserve">Normalized FCF + backlog economics</x:t>
        </x:is>
      </x:c>
      <x:c r="M233" s="160" t="inlineStr">
        <x:is>
          <x:t xml:space="preserve">WAIT FOR PRICE</x:t>
        </x:is>
      </x:c>
      <x:c r="N233" s="160" t="inlineStr">
        <x:is>
          <x:t xml:space="preserve">R-STEW-01</x:t>
        </x:is>
      </x:c>
      <x:c r="O233" s="160" t="inlineStr">
        <x:is>
          <x:t xml:space="preserve">HARDENED</x:t>
        </x:is>
      </x:c>
      <x:c r="P233" s="160" t="inlineStr">
        <x:is>
          <x:t xml:space="preserve">ROBUST WITH RESIDUAL</x:t>
        </x:is>
      </x:c>
      <x:c r="Q233" s="160" t="inlineStr">
        <x:is>
          <x:t xml:space="preserve">The hardened rule catches the stress. Residual risk is mainly evidence quality, threshold calibration or interaction with another gate.</x:t>
        </x:is>
      </x:c>
      <x:c r="R233" s="160" t="inlineStr">
        <x:is>
          <x:t xml:space="preserve">Evaluate capital allocation on a per-share basis using acquisition cohorts, dilution, leverage and repurchase price discipline.</x:t>
        </x:is>
      </x:c>
      <x:c r="S233" s="160" t="inlineStr">
        <x:is>
          <x:t xml:space="preserve">NO</x:t>
        </x:is>
      </x:c>
      <x:c r="T233" s="160" t="inlineStr">
        <x:is>
          <x:t xml:space="preserve">HARDENED</x:t>
        </x:is>
      </x:c>
      <x:c r="U233" s="160" t="inlineStr">
        <x:is>
          <x:t xml:space="preserve">V10.5-SIM35</x:t>
        </x:is>
      </x:c>
      <x:c r="V233" s="160" t="inlineStr">
        <x:is>
          <x:t xml:space="preserve">https://investors.quantaservices.com</x:t>
        </x:is>
      </x:c>
      <x:c r="W233" s="160" t="inlineStr">
        <x:is>
          <x:t xml:space="preserve">NO</x:t>
        </x:is>
      </x:c>
      <x:c r="X233" s="160" t="inlineStr">
        <x:is>
          <x:t xml:space="preserve">NONE — DEVELOPMENT ONLY</x:t>
        </x:is>
      </x:c>
      <x:c r="Y233" s="160" t="inlineStr">
        <x:is>
          <x:t xml:space="preserve">Synthetic/adversarial model-development loop. No historical outcome is claimed; no accuracy point is awarded.</x:t>
        </x:is>
      </x:c>
    </x:row>
    <x:row r="234">
      <x:c r="A234" s="160" t="inlineStr">
        <x:is>
          <x:t xml:space="preserve">ML0229</x:t>
        </x:is>
      </x:c>
      <x:c r="B234" s="160" t="inlineStr">
        <x:is>
          <x:t xml:space="preserve">ARG-015</x:t>
        </x:is>
      </x:c>
      <x:c r="C234" s="160" t="inlineStr">
        <x:is>
          <x:t xml:space="preserve">Quanta Services</x:t>
        </x:is>
      </x:c>
      <x:c r="D234" s="160" t="inlineStr">
        <x:is>
          <x:t xml:space="preserve">PWR</x:t>
        </x:is>
      </x:c>
      <x:c r="E234" s="160" t="inlineStr">
        <x:is>
          <x:t xml:space="preserve">Power &amp; Grid</x:t>
        </x:is>
      </x:c>
      <x:c r="F234" s="160" t="inlineStr">
        <x:is>
          <x:t xml:space="preserve">Development</x:t>
        </x:is>
      </x:c>
      <x:c r="G234" s="160" t="inlineStr">
        <x:is>
          <x:t xml:space="preserve">S05</x:t>
        </x:is>
      </x:c>
      <x:c r="H234" s="160" t="inlineStr">
        <x:is>
          <x:t xml:space="preserve">Survival / Funding</x:t>
        </x:is>
      </x:c>
      <x:c r="I234" s="160" t="inlineStr">
        <x:is>
          <x:t xml:space="preserve">Survival</x:t>
        </x:is>
      </x:c>
      <x:c r="J234" s="160" t="inlineStr">
        <x:is>
          <x:t xml:space="preserve">A plausible bear case exposes refinancing, liquidity, covenant, reserve, regulatory or operational fragility.</x:t>
        </x:is>
      </x:c>
      <x:c r="K234" s="160" t="inlineStr">
        <x:is>
          <x:t xml:space="preserve">Infrastructure backlog × execution margin</x:t>
        </x:is>
      </x:c>
      <x:c r="L234" s="160" t="inlineStr">
        <x:is>
          <x:t xml:space="preserve">Normalized FCF + backlog economics</x:t>
        </x:is>
      </x:c>
      <x:c r="M234" s="160" t="inlineStr">
        <x:is>
          <x:t xml:space="preserve">WAIT FOR PRICE</x:t>
        </x:is>
      </x:c>
      <x:c r="N234" s="160" t="inlineStr">
        <x:is>
          <x:t xml:space="preserve">R-SURV-01</x:t>
        </x:is>
      </x:c>
      <x:c r="O234" s="160" t="inlineStr">
        <x:is>
          <x:t xml:space="preserve">HARDENED</x:t>
        </x:is>
      </x:c>
      <x:c r="P234" s="160" t="inlineStr">
        <x:is>
          <x:t xml:space="preserve">ROBUST WITH RESIDUAL</x:t>
        </x:is>
      </x:c>
      <x:c r="Q234" s="160" t="inlineStr">
        <x:is>
          <x:t xml:space="preserve">The hardened rule catches the stress. Residual risk is mainly evidence quality, threshold calibration or interaction with another gate.</x:t>
        </x:is>
      </x:c>
      <x:c r="R234" s="160" t="inlineStr">
        <x:is>
          <x:t xml:space="preserve">Run a company-specific survival bridge under a severe-but-plausible bear case before any upside underwriting.</x:t>
        </x:is>
      </x:c>
      <x:c r="S234" s="160" t="inlineStr">
        <x:is>
          <x:t xml:space="preserve">NO</x:t>
        </x:is>
      </x:c>
      <x:c r="T234" s="160" t="inlineStr">
        <x:is>
          <x:t xml:space="preserve">HARDENED</x:t>
        </x:is>
      </x:c>
      <x:c r="U234" s="160" t="inlineStr">
        <x:is>
          <x:t xml:space="preserve">V10.5-SIM35</x:t>
        </x:is>
      </x:c>
      <x:c r="V234" s="160" t="inlineStr">
        <x:is>
          <x:t xml:space="preserve">https://investors.quantaservices.com</x:t>
        </x:is>
      </x:c>
      <x:c r="W234" s="160" t="inlineStr">
        <x:is>
          <x:t xml:space="preserve">NO</x:t>
        </x:is>
      </x:c>
      <x:c r="X234" s="160" t="inlineStr">
        <x:is>
          <x:t xml:space="preserve">NONE — DEVELOPMENT ONLY</x:t>
        </x:is>
      </x:c>
      <x:c r="Y234" s="160" t="inlineStr">
        <x:is>
          <x:t xml:space="preserve">Synthetic/adversarial model-development loop. No historical outcome is claimed; no accuracy point is awarded.</x:t>
        </x:is>
      </x:c>
    </x:row>
    <x:row r="235">
      <x:c r="A235" s="160" t="inlineStr">
        <x:is>
          <x:t xml:space="preserve">ML0230</x:t>
        </x:is>
      </x:c>
      <x:c r="B235" s="160" t="inlineStr">
        <x:is>
          <x:t xml:space="preserve">ARG-015</x:t>
        </x:is>
      </x:c>
      <x:c r="C235" s="160" t="inlineStr">
        <x:is>
          <x:t xml:space="preserve">Quanta Services</x:t>
        </x:is>
      </x:c>
      <x:c r="D235" s="160" t="inlineStr">
        <x:is>
          <x:t xml:space="preserve">PWR</x:t>
        </x:is>
      </x:c>
      <x:c r="E235" s="160" t="inlineStr">
        <x:is>
          <x:t xml:space="preserve">Power &amp; Grid</x:t>
        </x:is>
      </x:c>
      <x:c r="F235" s="160" t="inlineStr">
        <x:is>
          <x:t xml:space="preserve">Development</x:t>
        </x:is>
      </x:c>
      <x:c r="G235" s="160" t="inlineStr">
        <x:is>
          <x:t xml:space="preserve">S06</x:t>
        </x:is>
      </x:c>
      <x:c r="H235" s="160" t="inlineStr">
        <x:is>
          <x:t xml:space="preserve">Margin of Safety</x:t>
        </x:is>
      </x:c>
      <x:c r="I235" s="160" t="inlineStr">
        <x:is>
          <x:t xml:space="preserve">Margin of Safety</x:t>
        </x:is>
      </x:c>
      <x:c r="J235" s="160" t="inlineStr">
        <x:is>
          <x:t xml:space="preserve">Business quality is high but the price embeds a fragile bull case.</x:t>
        </x:is>
      </x:c>
      <x:c r="K235" s="160" t="inlineStr">
        <x:is>
          <x:t xml:space="preserve">Infrastructure backlog × execution margin</x:t>
        </x:is>
      </x:c>
      <x:c r="L235" s="160" t="inlineStr">
        <x:is>
          <x:t xml:space="preserve">Normalized FCF + backlog economics</x:t>
        </x:is>
      </x:c>
      <x:c r="M235" s="160" t="inlineStr">
        <x:is>
          <x:t xml:space="preserve">WAIT FOR PRICE</x:t>
        </x:is>
      </x:c>
      <x:c r="N235" s="160" t="inlineStr">
        <x:is>
          <x:t xml:space="preserve">R-MOS-01</x:t>
        </x:is>
      </x:c>
      <x:c r="O235" s="160" t="inlineStr">
        <x:is>
          <x:t xml:space="preserve">HARDENED</x:t>
        </x:is>
      </x:c>
      <x:c r="P235" s="160" t="inlineStr">
        <x:is>
          <x:t xml:space="preserve">ROBUST WITH RESIDUAL</x:t>
        </x:is>
      </x:c>
      <x:c r="Q235" s="160" t="inlineStr">
        <x:is>
          <x:t xml:space="preserve">The hardened rule catches the stress. Residual risk is mainly evidence quality, threshold calibration or interaction with another gate.</x:t>
        </x:is>
      </x:c>
      <x:c r="R235" s="160" t="inlineStr">
        <x:is>
          <x:t xml:space="preserve">Separate business-quality score from price decision; require reverse valuation and bear/base/bull IV ranges.</x:t>
        </x:is>
      </x:c>
      <x:c r="S235" s="160" t="inlineStr">
        <x:is>
          <x:t xml:space="preserve">NO</x:t>
        </x:is>
      </x:c>
      <x:c r="T235" s="160" t="inlineStr">
        <x:is>
          <x:t xml:space="preserve">HARDENED</x:t>
        </x:is>
      </x:c>
      <x:c r="U235" s="160" t="inlineStr">
        <x:is>
          <x:t xml:space="preserve">V10.5-SIM35</x:t>
        </x:is>
      </x:c>
      <x:c r="V235" s="160" t="inlineStr">
        <x:is>
          <x:t xml:space="preserve">https://investors.quantaservices.com</x:t>
        </x:is>
      </x:c>
      <x:c r="W235" s="160" t="inlineStr">
        <x:is>
          <x:t xml:space="preserve">NO</x:t>
        </x:is>
      </x:c>
      <x:c r="X235" s="160" t="inlineStr">
        <x:is>
          <x:t xml:space="preserve">NONE — DEVELOPMENT ONLY</x:t>
        </x:is>
      </x:c>
      <x:c r="Y235" s="160" t="inlineStr">
        <x:is>
          <x:t xml:space="preserve">Synthetic/adversarial model-development loop. No historical outcome is claimed; no accuracy point is awarded.</x:t>
        </x:is>
      </x:c>
    </x:row>
    <x:row r="236">
      <x:c r="A236" s="160" t="inlineStr">
        <x:is>
          <x:t xml:space="preserve">ML0231</x:t>
        </x:is>
      </x:c>
      <x:c r="B236" s="160" t="inlineStr">
        <x:is>
          <x:t xml:space="preserve">ARG-015</x:t>
        </x:is>
      </x:c>
      <x:c r="C236" s="160" t="inlineStr">
        <x:is>
          <x:t xml:space="preserve">Quanta Services</x:t>
        </x:is>
      </x:c>
      <x:c r="D236" s="160" t="inlineStr">
        <x:is>
          <x:t xml:space="preserve">PWR</x:t>
        </x:is>
      </x:c>
      <x:c r="E236" s="160" t="inlineStr">
        <x:is>
          <x:t xml:space="preserve">Power &amp; Grid</x:t>
        </x:is>
      </x:c>
      <x:c r="F236" s="160" t="inlineStr">
        <x:is>
          <x:t xml:space="preserve">Development</x:t>
        </x:is>
      </x:c>
      <x:c r="G236" s="160" t="inlineStr">
        <x:is>
          <x:t xml:space="preserve">S07</x:t>
        </x:is>
      </x:c>
      <x:c r="H236" s="160" t="inlineStr">
        <x:is>
          <x:t xml:space="preserve">Sector Shock</x:t>
        </x:is>
      </x:c>
      <x:c r="I236" s="160" t="inlineStr">
        <x:is>
          <x:t xml:space="preserve">Sector-specific</x:t>
        </x:is>
      </x:c>
      <x:c r="J236" s="160" t="inlineStr">
        <x:is>
          <x:t xml:space="preserve">Backlog stays strong but execution capacity, input inflation, working capital or project mix compresses conversion to owner earnings.</x:t>
        </x:is>
      </x:c>
      <x:c r="K236" s="160" t="inlineStr">
        <x:is>
          <x:t xml:space="preserve">Infrastructure backlog × execution margin</x:t>
        </x:is>
      </x:c>
      <x:c r="L236" s="160" t="inlineStr">
        <x:is>
          <x:t xml:space="preserve">Normalized FCF + backlog economics</x:t>
        </x:is>
      </x:c>
      <x:c r="M236" s="160" t="inlineStr">
        <x:is>
          <x:t xml:space="preserve">WAIT FOR PRICE</x:t>
        </x:is>
      </x:c>
      <x:c r="N236" s="160" t="inlineStr">
        <x:is>
          <x:t xml:space="preserve">R-SECTOR-POWER-GRID</x:t>
        </x:is>
      </x:c>
      <x:c r="O236" s="160" t="inlineStr">
        <x:is>
          <x:t xml:space="preserve">UNFORMED</x:t>
        </x:is>
      </x:c>
      <x:c r="P236" s="160" t="inlineStr">
        <x:is>
          <x:t xml:space="preserve">WEAKNESS EXPOSED</x:t>
        </x:is>
      </x:c>
      <x:c r="Q236" s="160" t="inlineStr">
        <x:is>
          <x:t xml:space="preserve">The frozen V10 gate family is directionally right, but the test lacks a sufficiently explicit mechanical implementation.</x:t>
        </x:is>
      </x:c>
      <x:c r="R236"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S236" s="160" t="inlineStr">
        <x:is>
          <x:t xml:space="preserve">YES — SIMULATION ONLY</x:t>
        </x:is>
      </x:c>
      <x:c r="T236" s="160" t="inlineStr">
        <x:is>
          <x:t xml:space="preserve">BASE</x:t>
        </x:is>
      </x:c>
      <x:c r="U236" s="160" t="inlineStr">
        <x:is>
          <x:t xml:space="preserve">V10.5-SIM36</x:t>
        </x:is>
      </x:c>
      <x:c r="V236" s="160" t="inlineStr">
        <x:is>
          <x:t xml:space="preserve">https://investors.quantaservices.com</x:t>
        </x:is>
      </x:c>
      <x:c r="W236" s="160" t="inlineStr">
        <x:is>
          <x:t xml:space="preserve">NO</x:t>
        </x:is>
      </x:c>
      <x:c r="X236" s="160" t="inlineStr">
        <x:is>
          <x:t xml:space="preserve">NONE — DEVELOPMENT ONLY</x:t>
        </x:is>
      </x:c>
      <x:c r="Y236" s="160" t="inlineStr">
        <x:is>
          <x:t xml:space="preserve">Synthetic/adversarial model-development loop. No historical outcome is claimed; no accuracy point is awarded.</x:t>
        </x:is>
      </x:c>
    </x:row>
    <x:row r="237">
      <x:c r="A237" s="160" t="inlineStr">
        <x:is>
          <x:t xml:space="preserve">ML0232</x:t>
        </x:is>
      </x:c>
      <x:c r="B237" s="160" t="inlineStr">
        <x:is>
          <x:t xml:space="preserve">ARG-015</x:t>
        </x:is>
      </x:c>
      <x:c r="C237" s="160" t="inlineStr">
        <x:is>
          <x:t xml:space="preserve">Quanta Services</x:t>
        </x:is>
      </x:c>
      <x:c r="D237" s="160" t="inlineStr">
        <x:is>
          <x:t xml:space="preserve">PWR</x:t>
        </x:is>
      </x:c>
      <x:c r="E237" s="160" t="inlineStr">
        <x:is>
          <x:t xml:space="preserve">Power &amp; Grid</x:t>
        </x:is>
      </x:c>
      <x:c r="F237" s="160" t="inlineStr">
        <x:is>
          <x:t xml:space="preserve">Development</x:t>
        </x:is>
      </x:c>
      <x:c r="G237" s="160" t="inlineStr">
        <x:is>
          <x:t xml:space="preserve">S08</x:t>
        </x:is>
      </x:c>
      <x:c r="H237" s="160" t="inlineStr">
        <x:is>
          <x:t xml:space="preserve">Management Promise Reliability</x:t>
        </x:is>
      </x:c>
      <x:c r="I237" s="160" t="inlineStr">
        <x:is>
          <x:t xml:space="preserve">Management over-trust</x:t>
        </x:is>
      </x:c>
      <x:c r="J237" s="160" t="inlineStr">
        <x:is>
          <x:t xml:space="preserve">Guidance or strategic promises are repeated but the model lacks a contemporaneous reliability score.</x:t>
        </x:is>
      </x:c>
      <x:c r="K237" s="160" t="inlineStr">
        <x:is>
          <x:t xml:space="preserve">Infrastructure backlog × execution margin</x:t>
        </x:is>
      </x:c>
      <x:c r="L237" s="160" t="inlineStr">
        <x:is>
          <x:t xml:space="preserve">Normalized FCF + backlog economics</x:t>
        </x:is>
      </x:c>
      <x:c r="M237" s="160" t="inlineStr">
        <x:is>
          <x:t xml:space="preserve">WAIT FOR PRICE</x:t>
        </x:is>
      </x:c>
      <x:c r="N237" s="160" t="inlineStr">
        <x:is>
          <x:t xml:space="preserve">R-PROM-01</x:t>
        </x:is>
      </x:c>
      <x:c r="O237" s="160" t="inlineStr">
        <x:is>
          <x:t xml:space="preserve">HARDENED</x:t>
        </x:is>
      </x:c>
      <x:c r="P237" s="160" t="inlineStr">
        <x:is>
          <x:t xml:space="preserve">ROBUST WITH RESIDUAL</x:t>
        </x:is>
      </x:c>
      <x:c r="Q237" s="160" t="inlineStr">
        <x:is>
          <x:t xml:space="preserve">The hardened rule catches the stress. Residual risk is mainly evidence quality, threshold calibration or interaction with another gate.</x:t>
        </x:is>
      </x:c>
      <x:c r="R237" s="160" t="inlineStr">
        <x:is>
          <x:t xml:space="preserve">Use a promises ledger with dated promise, measurable deliverable, due date, outcome and credibility weight.</x:t>
        </x:is>
      </x:c>
      <x:c r="S237" s="160" t="inlineStr">
        <x:is>
          <x:t xml:space="preserve">NO</x:t>
        </x:is>
      </x:c>
      <x:c r="T237" s="160" t="inlineStr">
        <x:is>
          <x:t xml:space="preserve">HARDENED</x:t>
        </x:is>
      </x:c>
      <x:c r="U237" s="160" t="inlineStr">
        <x:is>
          <x:t xml:space="preserve">V10.5-SIM36</x:t>
        </x:is>
      </x:c>
      <x:c r="V237" s="160" t="inlineStr">
        <x:is>
          <x:t xml:space="preserve">https://investors.quantaservices.com</x:t>
        </x:is>
      </x:c>
      <x:c r="W237" s="160" t="inlineStr">
        <x:is>
          <x:t xml:space="preserve">NO</x:t>
        </x:is>
      </x:c>
      <x:c r="X237" s="160" t="inlineStr">
        <x:is>
          <x:t xml:space="preserve">NONE — DEVELOPMENT ONLY</x:t>
        </x:is>
      </x:c>
      <x:c r="Y237" s="160" t="inlineStr">
        <x:is>
          <x:t xml:space="preserve">Synthetic/adversarial model-development loop. No historical outcome is claimed; no accuracy point is awarded.</x:t>
        </x:is>
      </x:c>
    </x:row>
    <x:row r="238">
      <x:c r="A238" s="160" t="inlineStr">
        <x:is>
          <x:t xml:space="preserve">ML0233</x:t>
        </x:is>
      </x:c>
      <x:c r="B238" s="160" t="inlineStr">
        <x:is>
          <x:t xml:space="preserve">ARG-015</x:t>
        </x:is>
      </x:c>
      <x:c r="C238" s="160" t="inlineStr">
        <x:is>
          <x:t xml:space="preserve">Quanta Services</x:t>
        </x:is>
      </x:c>
      <x:c r="D238" s="160" t="inlineStr">
        <x:is>
          <x:t xml:space="preserve">PWR</x:t>
        </x:is>
      </x:c>
      <x:c r="E238" s="160" t="inlineStr">
        <x:is>
          <x:t xml:space="preserve">Power &amp; Grid</x:t>
        </x:is>
      </x:c>
      <x:c r="F238" s="160" t="inlineStr">
        <x:is>
          <x:t xml:space="preserve">Development</x:t>
        </x:is>
      </x:c>
      <x:c r="G238" s="160" t="inlineStr">
        <x:is>
          <x:t xml:space="preserve">S09</x:t>
        </x:is>
      </x:c>
      <x:c r="H238" s="160" t="inlineStr">
        <x:is>
          <x:t xml:space="preserve">Data / Accounting Quality</x:t>
        </x:is>
      </x:c>
      <x:c r="I238" s="160" t="inlineStr">
        <x:is>
          <x:t xml:space="preserve">Data quality</x:t>
        </x:is>
      </x:c>
      <x:c r="J238" s="160" t="inlineStr">
        <x:is>
          <x:t xml:space="preserve">Restatement, segment reclassification, one-time item or non-economic fair-value movement distorts the apparent trend.</x:t>
        </x:is>
      </x:c>
      <x:c r="K238" s="160" t="inlineStr">
        <x:is>
          <x:t xml:space="preserve">Infrastructure backlog × execution margin</x:t>
        </x:is>
      </x:c>
      <x:c r="L238" s="160" t="inlineStr">
        <x:is>
          <x:t xml:space="preserve">Normalized FCF + backlog economics</x:t>
        </x:is>
      </x:c>
      <x:c r="M238" s="160" t="inlineStr">
        <x:is>
          <x:t xml:space="preserve">WAIT FOR PRICE</x:t>
        </x:is>
      </x:c>
      <x:c r="N238" s="160" t="inlineStr">
        <x:is>
          <x:t xml:space="preserve">R-DATA-01</x:t>
        </x:is>
      </x:c>
      <x:c r="O238" s="160" t="inlineStr">
        <x:is>
          <x:t xml:space="preserve">HARDENED</x:t>
        </x:is>
      </x:c>
      <x:c r="P238" s="160" t="inlineStr">
        <x:is>
          <x:t xml:space="preserve">ROBUST WITH RESIDUAL</x:t>
        </x:is>
      </x:c>
      <x:c r="Q238" s="160" t="inlineStr">
        <x:is>
          <x:t xml:space="preserve">The hardened rule catches the stress. Residual risk is mainly evidence quality, threshold calibration or interaction with another gate.</x:t>
        </x:is>
      </x:c>
      <x:c r="R238" s="160" t="inlineStr">
        <x:is>
          <x:t xml:space="preserve">Add a reporting-quality bridge and normalize accounting noise before any gate can pass.</x:t>
        </x:is>
      </x:c>
      <x:c r="S238" s="160" t="inlineStr">
        <x:is>
          <x:t xml:space="preserve">NO</x:t>
        </x:is>
      </x:c>
      <x:c r="T238" s="160" t="inlineStr">
        <x:is>
          <x:t xml:space="preserve">HARDENED</x:t>
        </x:is>
      </x:c>
      <x:c r="U238" s="160" t="inlineStr">
        <x:is>
          <x:t xml:space="preserve">V10.5-SIM36</x:t>
        </x:is>
      </x:c>
      <x:c r="V238" s="160" t="inlineStr">
        <x:is>
          <x:t xml:space="preserve">https://investors.quantaservices.com</x:t>
        </x:is>
      </x:c>
      <x:c r="W238" s="160" t="inlineStr">
        <x:is>
          <x:t xml:space="preserve">NO</x:t>
        </x:is>
      </x:c>
      <x:c r="X238" s="160" t="inlineStr">
        <x:is>
          <x:t xml:space="preserve">NONE — DEVELOPMENT ONLY</x:t>
        </x:is>
      </x:c>
      <x:c r="Y238" s="160" t="inlineStr">
        <x:is>
          <x:t xml:space="preserve">Synthetic/adversarial model-development loop. No historical outcome is claimed; no accuracy point is awarded.</x:t>
        </x:is>
      </x:c>
    </x:row>
    <x:row r="239">
      <x:c r="A239" s="160" t="inlineStr">
        <x:is>
          <x:t xml:space="preserve">ML0234</x:t>
        </x:is>
      </x:c>
      <x:c r="B239" s="160" t="inlineStr">
        <x:is>
          <x:t xml:space="preserve">ARG-015</x:t>
        </x:is>
      </x:c>
      <x:c r="C239" s="160" t="inlineStr">
        <x:is>
          <x:t xml:space="preserve">Quanta Services</x:t>
        </x:is>
      </x:c>
      <x:c r="D239" s="160" t="inlineStr">
        <x:is>
          <x:t xml:space="preserve">PWR</x:t>
        </x:is>
      </x:c>
      <x:c r="E239" s="160" t="inlineStr">
        <x:is>
          <x:t xml:space="preserve">Power &amp; Grid</x:t>
        </x:is>
      </x:c>
      <x:c r="F239" s="160" t="inlineStr">
        <x:is>
          <x:t xml:space="preserve">Development</x:t>
        </x:is>
      </x:c>
      <x:c r="G239" s="160" t="inlineStr">
        <x:is>
          <x:t xml:space="preserve">S10</x:t>
        </x:is>
      </x:c>
      <x:c r="H239" s="160" t="inlineStr">
        <x:is>
          <x:t xml:space="preserve">Control / Counterfactual</x:t>
        </x:is>
      </x:c>
      <x:c r="I239" s="160" t="inlineStr">
        <x:is>
          <x:t xml:space="preserve">Sector beta vs company alpha</x:t>
        </x:is>
      </x:c>
      <x:c r="J239" s="160" t="inlineStr">
        <x:is>
          <x:t xml:space="preserve">A positive outcome is mostly sector beta or macro tailwind, not company-specific alpha.</x:t>
        </x:is>
      </x:c>
      <x:c r="K239" s="160" t="inlineStr">
        <x:is>
          <x:t xml:space="preserve">Infrastructure backlog × execution margin</x:t>
        </x:is>
      </x:c>
      <x:c r="L239" s="160" t="inlineStr">
        <x:is>
          <x:t xml:space="preserve">Normalized FCF + backlog economics</x:t>
        </x:is>
      </x:c>
      <x:c r="M239" s="160" t="inlineStr">
        <x:is>
          <x:t xml:space="preserve">WAIT FOR PRICE</x:t>
        </x:is>
      </x:c>
      <x:c r="N239" s="160" t="inlineStr">
        <x:is>
          <x:t xml:space="preserve">R-CF-01</x:t>
        </x:is>
      </x:c>
      <x:c r="O239" s="160" t="inlineStr">
        <x:is>
          <x:t xml:space="preserve">HARDENED</x:t>
        </x:is>
      </x:c>
      <x:c r="P239" s="160" t="inlineStr">
        <x:is>
          <x:t xml:space="preserve">ROBUST WITH RESIDUAL</x:t>
        </x:is>
      </x:c>
      <x:c r="Q239" s="160" t="inlineStr">
        <x:is>
          <x:t xml:space="preserve">The hardened rule catches the stress. Residual risk is mainly evidence quality, threshold calibration or interaction with another gate.</x:t>
        </x:is>
      </x:c>
      <x:c r="R239" s="160" t="inlineStr">
        <x:is>
          <x:t xml:space="preserve">Require a true economic control and counterfactual: what should have happened to a comparable company under the same shock?</x:t>
        </x:is>
      </x:c>
      <x:c r="S239" s="160" t="inlineStr">
        <x:is>
          <x:t xml:space="preserve">NO</x:t>
        </x:is>
      </x:c>
      <x:c r="T239" s="160" t="inlineStr">
        <x:is>
          <x:t xml:space="preserve">HARDENED</x:t>
        </x:is>
      </x:c>
      <x:c r="U239" s="160" t="inlineStr">
        <x:is>
          <x:t xml:space="preserve">V10.5-SIM36</x:t>
        </x:is>
      </x:c>
      <x:c r="V239" s="160" t="inlineStr">
        <x:is>
          <x:t xml:space="preserve">https://investors.quantaservices.com</x:t>
        </x:is>
      </x:c>
      <x:c r="W239" s="160" t="inlineStr">
        <x:is>
          <x:t xml:space="preserve">NO</x:t>
        </x:is>
      </x:c>
      <x:c r="X239" s="160" t="inlineStr">
        <x:is>
          <x:t xml:space="preserve">NONE — DEVELOPMENT ONLY</x:t>
        </x:is>
      </x:c>
      <x:c r="Y239" s="160" t="inlineStr">
        <x:is>
          <x:t xml:space="preserve">Synthetic/adversarial model-development loop. No historical outcome is claimed; no accuracy point is awarded.</x:t>
        </x:is>
      </x:c>
    </x:row>
    <x:row r="240">
      <x:c r="A240" s="160" t="inlineStr">
        <x:is>
          <x:t xml:space="preserve">ML0235</x:t>
        </x:is>
      </x:c>
      <x:c r="B240" s="160" t="inlineStr">
        <x:is>
          <x:t xml:space="preserve">ARG-015</x:t>
        </x:is>
      </x:c>
      <x:c r="C240" s="160" t="inlineStr">
        <x:is>
          <x:t xml:space="preserve">Quanta Services</x:t>
        </x:is>
      </x:c>
      <x:c r="D240" s="160" t="inlineStr">
        <x:is>
          <x:t xml:space="preserve">PWR</x:t>
        </x:is>
      </x:c>
      <x:c r="E240" s="160" t="inlineStr">
        <x:is>
          <x:t xml:space="preserve">Power &amp; Grid</x:t>
        </x:is>
      </x:c>
      <x:c r="F240" s="160" t="inlineStr">
        <x:is>
          <x:t xml:space="preserve">Development</x:t>
        </x:is>
      </x:c>
      <x:c r="G240" s="160" t="inlineStr">
        <x:is>
          <x:t xml:space="preserve">S11</x:t>
        </x:is>
      </x:c>
      <x:c r="H240" s="160" t="inlineStr">
        <x:is>
          <x:t xml:space="preserve">False-Negative Discipline</x:t>
        </x:is>
      </x:c>
      <x:c r="I240" s="160" t="inlineStr">
        <x:is>
          <x:t xml:space="preserve">False negative</x:t>
        </x:is>
      </x:c>
      <x:c r="J240" s="160" t="inlineStr">
        <x:is>
          <x:t xml:space="preserve">A strict gate rejects a company that later compounds strongly for reasons the model could have known.</x:t>
        </x:is>
      </x:c>
      <x:c r="K240" s="160" t="inlineStr">
        <x:is>
          <x:t xml:space="preserve">Infrastructure backlog × execution margin</x:t>
        </x:is>
      </x:c>
      <x:c r="L240" s="160" t="inlineStr">
        <x:is>
          <x:t xml:space="preserve">Normalized FCF + backlog economics</x:t>
        </x:is>
      </x:c>
      <x:c r="M240" s="160" t="inlineStr">
        <x:is>
          <x:t xml:space="preserve">WAIT FOR PRICE</x:t>
        </x:is>
      </x:c>
      <x:c r="N240" s="160" t="inlineStr">
        <x:is>
          <x:t xml:space="preserve">R-FN-01</x:t>
        </x:is>
      </x:c>
      <x:c r="O240" s="160" t="inlineStr">
        <x:is>
          <x:t xml:space="preserve">HARDENED</x:t>
        </x:is>
      </x:c>
      <x:c r="P240" s="160" t="inlineStr">
        <x:is>
          <x:t xml:space="preserve">ROBUST WITH RESIDUAL</x:t>
        </x:is>
      </x:c>
      <x:c r="Q240" s="160" t="inlineStr">
        <x:is>
          <x:t xml:space="preserve">The hardened rule catches the stress. Residual risk is mainly evidence quality, threshold calibration or interaction with another gate.</x:t>
        </x:is>
      </x:c>
      <x:c r="R240" s="160" t="inlineStr">
        <x:is>
          <x:t xml:space="preserve">Track opportunity cost and classify whether the miss came from evidence timing, wrong threshold or genuinely unknowable upside.</x:t>
        </x:is>
      </x:c>
      <x:c r="S240" s="160" t="inlineStr">
        <x:is>
          <x:t xml:space="preserve">NO</x:t>
        </x:is>
      </x:c>
      <x:c r="T240" s="160" t="inlineStr">
        <x:is>
          <x:t xml:space="preserve">HARDENED</x:t>
        </x:is>
      </x:c>
      <x:c r="U240" s="160" t="inlineStr">
        <x:is>
          <x:t xml:space="preserve">V10.5-SIM36</x:t>
        </x:is>
      </x:c>
      <x:c r="V240" s="160" t="inlineStr">
        <x:is>
          <x:t xml:space="preserve">https://investors.quantaservices.com</x:t>
        </x:is>
      </x:c>
      <x:c r="W240" s="160" t="inlineStr">
        <x:is>
          <x:t xml:space="preserve">NO</x:t>
        </x:is>
      </x:c>
      <x:c r="X240" s="160" t="inlineStr">
        <x:is>
          <x:t xml:space="preserve">NONE — DEVELOPMENT ONLY</x:t>
        </x:is>
      </x:c>
      <x:c r="Y240" s="160" t="inlineStr">
        <x:is>
          <x:t xml:space="preserve">Synthetic/adversarial model-development loop. No historical outcome is claimed; no accuracy point is awarded.</x:t>
        </x:is>
      </x:c>
    </x:row>
    <x:row r="241">
      <x:c r="A241" s="160" t="inlineStr">
        <x:is>
          <x:t xml:space="preserve">ML0236</x:t>
        </x:is>
      </x:c>
      <x:c r="B241" s="160" t="inlineStr">
        <x:is>
          <x:t xml:space="preserve">ARG-015</x:t>
        </x:is>
      </x:c>
      <x:c r="C241" s="160" t="inlineStr">
        <x:is>
          <x:t xml:space="preserve">Quanta Services</x:t>
        </x:is>
      </x:c>
      <x:c r="D241" s="160" t="inlineStr">
        <x:is>
          <x:t xml:space="preserve">PWR</x:t>
        </x:is>
      </x:c>
      <x:c r="E241" s="160" t="inlineStr">
        <x:is>
          <x:t xml:space="preserve">Power &amp; Grid</x:t>
        </x:is>
      </x:c>
      <x:c r="F241" s="160" t="inlineStr">
        <x:is>
          <x:t xml:space="preserve">Development</x:t>
        </x:is>
      </x:c>
      <x:c r="G241" s="160" t="inlineStr">
        <x:is>
          <x:t xml:space="preserve">S12</x:t>
        </x:is>
      </x:c>
      <x:c r="H241" s="160" t="inlineStr">
        <x:is>
          <x:t xml:space="preserve">Lead-Time / Early Sensor</x:t>
        </x:is>
      </x:c>
      <x:c r="I241" s="160" t="inlineStr">
        <x:is>
          <x:t xml:space="preserve">Timing / lead-time</x:t>
        </x:is>
      </x:c>
      <x:c r="J241" s="160" t="inlineStr">
        <x:is>
          <x:t xml:space="preserve">ARGUS identifies the change correctly but only after consensus and price have already reacted.</x:t>
        </x:is>
      </x:c>
      <x:c r="K241" s="160" t="inlineStr">
        <x:is>
          <x:t xml:space="preserve">Infrastructure backlog × execution margin</x:t>
        </x:is>
      </x:c>
      <x:c r="L241" s="160" t="inlineStr">
        <x:is>
          <x:t xml:space="preserve">Normalized FCF + backlog economics</x:t>
        </x:is>
      </x:c>
      <x:c r="M241" s="160" t="inlineStr">
        <x:is>
          <x:t xml:space="preserve">WAIT FOR PRICE</x:t>
        </x:is>
      </x:c>
      <x:c r="N241" s="160" t="inlineStr">
        <x:is>
          <x:t xml:space="preserve">R-TIME-01</x:t>
        </x:is>
      </x:c>
      <x:c r="O241" s="160" t="inlineStr">
        <x:is>
          <x:t xml:space="preserve">HARDENED</x:t>
        </x:is>
      </x:c>
      <x:c r="P241" s="160" t="inlineStr">
        <x:is>
          <x:t xml:space="preserve">ROBUST WITH RESIDUAL</x:t>
        </x:is>
      </x:c>
      <x:c r="Q241" s="160" t="inlineStr">
        <x:is>
          <x:t xml:space="preserve">The hardened rule catches the stress. Residual risk is mainly evidence quality, threshold calibration or interaction with another gate.</x:t>
        </x:is>
      </x:c>
      <x:c r="R241" s="160" t="inlineStr">
        <x:is>
          <x:t xml:space="preserve">Replace lagging financial metrics with earlier causal operating sensors and record lead time separately from correctness.</x:t>
        </x:is>
      </x:c>
      <x:c r="S241" s="160" t="inlineStr">
        <x:is>
          <x:t xml:space="preserve">NO</x:t>
        </x:is>
      </x:c>
      <x:c r="T241" s="160" t="inlineStr">
        <x:is>
          <x:t xml:space="preserve">HARDENED</x:t>
        </x:is>
      </x:c>
      <x:c r="U241" s="160" t="inlineStr">
        <x:is>
          <x:t xml:space="preserve">V10.5-SIM36</x:t>
        </x:is>
      </x:c>
      <x:c r="V241" s="160" t="inlineStr">
        <x:is>
          <x:t xml:space="preserve">https://investors.quantaservices.com</x:t>
        </x:is>
      </x:c>
      <x:c r="W241" s="160" t="inlineStr">
        <x:is>
          <x:t xml:space="preserve">NO</x:t>
        </x:is>
      </x:c>
      <x:c r="X241" s="160" t="inlineStr">
        <x:is>
          <x:t xml:space="preserve">NONE — DEVELOPMENT ONLY</x:t>
        </x:is>
      </x:c>
      <x:c r="Y241" s="160" t="inlineStr">
        <x:is>
          <x:t xml:space="preserve">Synthetic/adversarial model-development loop. No historical outcome is claimed; no accuracy point is awarded.</x:t>
        </x:is>
      </x:c>
    </x:row>
    <x:row r="242">
      <x:c r="A242" s="160" t="inlineStr">
        <x:is>
          <x:t xml:space="preserve">ML0237</x:t>
        </x:is>
      </x:c>
      <x:c r="B242" s="160" t="inlineStr">
        <x:is>
          <x:t xml:space="preserve">ARG-015</x:t>
        </x:is>
      </x:c>
      <x:c r="C242" s="160" t="inlineStr">
        <x:is>
          <x:t xml:space="preserve">Quanta Services</x:t>
        </x:is>
      </x:c>
      <x:c r="D242" s="160" t="inlineStr">
        <x:is>
          <x:t xml:space="preserve">PWR</x:t>
        </x:is>
      </x:c>
      <x:c r="E242" s="160" t="inlineStr">
        <x:is>
          <x:t xml:space="preserve">Power &amp; Grid</x:t>
        </x:is>
      </x:c>
      <x:c r="F242" s="160" t="inlineStr">
        <x:is>
          <x:t xml:space="preserve">Development</x:t>
        </x:is>
      </x:c>
      <x:c r="G242" s="160" t="inlineStr">
        <x:is>
          <x:t xml:space="preserve">S13</x:t>
        </x:is>
      </x:c>
      <x:c r="H242" s="160" t="inlineStr">
        <x:is>
          <x:t xml:space="preserve">Cycle Normalization</x:t>
        </x:is>
      </x:c>
      <x:c r="I242" s="160" t="inlineStr">
        <x:is>
          <x:t xml:space="preserve">Wrong valuation lens</x:t>
        </x:is>
      </x:c>
      <x:c r="J242" s="160" t="inlineStr">
        <x:is>
          <x:t xml:space="preserve">Peak/trough earnings are mistaken for normalized earning power.</x:t>
        </x:is>
      </x:c>
      <x:c r="K242" s="160" t="inlineStr">
        <x:is>
          <x:t xml:space="preserve">Infrastructure backlog × execution margin</x:t>
        </x:is>
      </x:c>
      <x:c r="L242" s="160" t="inlineStr">
        <x:is>
          <x:t xml:space="preserve">Normalized FCF + backlog economics</x:t>
        </x:is>
      </x:c>
      <x:c r="M242" s="160" t="inlineStr">
        <x:is>
          <x:t xml:space="preserve">WAIT FOR PRICE</x:t>
        </x:is>
      </x:c>
      <x:c r="N242" s="160" t="inlineStr">
        <x:is>
          <x:t xml:space="preserve">R-CYCLE-01</x:t>
        </x:is>
      </x:c>
      <x:c r="O242" s="160" t="inlineStr">
        <x:is>
          <x:t xml:space="preserve">HARDENED</x:t>
        </x:is>
      </x:c>
      <x:c r="P242" s="160" t="inlineStr">
        <x:is>
          <x:t xml:space="preserve">ROBUST WITH RESIDUAL</x:t>
        </x:is>
      </x:c>
      <x:c r="Q242" s="160" t="inlineStr">
        <x:is>
          <x:t xml:space="preserve">The hardened rule catches the stress. Residual risk is mainly evidence quality, threshold calibration or interaction with another gate.</x:t>
        </x:is>
      </x:c>
      <x:c r="R242" s="160" t="inlineStr">
        <x:is>
          <x:t xml:space="preserve">Use sector-specific mid-cycle/NAV/rate-base/rNPV normalization before applying a valuation multiple.</x:t>
        </x:is>
      </x:c>
      <x:c r="S242" s="160" t="inlineStr">
        <x:is>
          <x:t xml:space="preserve">NO</x:t>
        </x:is>
      </x:c>
      <x:c r="T242" s="160" t="inlineStr">
        <x:is>
          <x:t xml:space="preserve">HARDENED</x:t>
        </x:is>
      </x:c>
      <x:c r="U242" s="160" t="inlineStr">
        <x:is>
          <x:t xml:space="preserve">V10.5-SIM36</x:t>
        </x:is>
      </x:c>
      <x:c r="V242" s="160" t="inlineStr">
        <x:is>
          <x:t xml:space="preserve">https://investors.quantaservices.com</x:t>
        </x:is>
      </x:c>
      <x:c r="W242" s="160" t="inlineStr">
        <x:is>
          <x:t xml:space="preserve">NO</x:t>
        </x:is>
      </x:c>
      <x:c r="X242" s="160" t="inlineStr">
        <x:is>
          <x:t xml:space="preserve">NONE — DEVELOPMENT ONLY</x:t>
        </x:is>
      </x:c>
      <x:c r="Y242" s="160" t="inlineStr">
        <x:is>
          <x:t xml:space="preserve">Synthetic/adversarial model-development loop. No historical outcome is claimed; no accuracy point is awarded.</x:t>
        </x:is>
      </x:c>
    </x:row>
    <x:row r="243">
      <x:c r="A243" s="160" t="inlineStr">
        <x:is>
          <x:t xml:space="preserve">ML0238</x:t>
        </x:is>
      </x:c>
      <x:c r="B243" s="160" t="inlineStr">
        <x:is>
          <x:t xml:space="preserve">ARG-015</x:t>
        </x:is>
      </x:c>
      <x:c r="C243" s="160" t="inlineStr">
        <x:is>
          <x:t xml:space="preserve">Quanta Services</x:t>
        </x:is>
      </x:c>
      <x:c r="D243" s="160" t="inlineStr">
        <x:is>
          <x:t xml:space="preserve">PWR</x:t>
        </x:is>
      </x:c>
      <x:c r="E243" s="160" t="inlineStr">
        <x:is>
          <x:t xml:space="preserve">Power &amp; Grid</x:t>
        </x:is>
      </x:c>
      <x:c r="F243" s="160" t="inlineStr">
        <x:is>
          <x:t xml:space="preserve">Development</x:t>
        </x:is>
      </x:c>
      <x:c r="G243" s="160" t="inlineStr">
        <x:is>
          <x:t xml:space="preserve">S14</x:t>
        </x:is>
      </x:c>
      <x:c r="H243" s="160" t="inlineStr">
        <x:is>
          <x:t xml:space="preserve">M&amp;A / Organic Growth Separation</x:t>
        </x:is>
      </x:c>
      <x:c r="I243" s="160" t="inlineStr">
        <x:is>
          <x:t xml:space="preserve">Stewardship</x:t>
        </x:is>
      </x:c>
      <x:c r="J243" s="160" t="inlineStr">
        <x:is>
          <x:t xml:space="preserve">Acquisition-driven growth masks weak organic economics or poor incremental ROIC.</x:t>
        </x:is>
      </x:c>
      <x:c r="K243" s="160" t="inlineStr">
        <x:is>
          <x:t xml:space="preserve">Infrastructure backlog × execution margin</x:t>
        </x:is>
      </x:c>
      <x:c r="L243" s="160" t="inlineStr">
        <x:is>
          <x:t xml:space="preserve">Normalized FCF + backlog economics</x:t>
        </x:is>
      </x:c>
      <x:c r="M243" s="160" t="inlineStr">
        <x:is>
          <x:t xml:space="preserve">WAIT FOR PRICE</x:t>
        </x:is>
      </x:c>
      <x:c r="N243" s="160" t="inlineStr">
        <x:is>
          <x:t xml:space="preserve">R-MA-01</x:t>
        </x:is>
      </x:c>
      <x:c r="O243" s="160" t="inlineStr">
        <x:is>
          <x:t xml:space="preserve">HARDENED</x:t>
        </x:is>
      </x:c>
      <x:c r="P243" s="160" t="inlineStr">
        <x:is>
          <x:t xml:space="preserve">ROBUST WITH RESIDUAL</x:t>
        </x:is>
      </x:c>
      <x:c r="Q243" s="160" t="inlineStr">
        <x:is>
          <x:t xml:space="preserve">The hardened rule catches the stress. Residual risk is mainly evidence quality, threshold calibration or interaction with another gate.</x:t>
        </x:is>
      </x:c>
      <x:c r="R243" s="160" t="inlineStr">
        <x:is>
          <x:t xml:space="preserve">Bridge organic growth, acquired growth, purchase price, integration costs and acquisition-cohort ROIC.</x:t>
        </x:is>
      </x:c>
      <x:c r="S243" s="160" t="inlineStr">
        <x:is>
          <x:t xml:space="preserve">NO</x:t>
        </x:is>
      </x:c>
      <x:c r="T243" s="160" t="inlineStr">
        <x:is>
          <x:t xml:space="preserve">HARDENED</x:t>
        </x:is>
      </x:c>
      <x:c r="U243" s="160" t="inlineStr">
        <x:is>
          <x:t xml:space="preserve">V10.5-SIM36</x:t>
        </x:is>
      </x:c>
      <x:c r="V243" s="160" t="inlineStr">
        <x:is>
          <x:t xml:space="preserve">https://investors.quantaservices.com</x:t>
        </x:is>
      </x:c>
      <x:c r="W243" s="160" t="inlineStr">
        <x:is>
          <x:t xml:space="preserve">NO</x:t>
        </x:is>
      </x:c>
      <x:c r="X243" s="160" t="inlineStr">
        <x:is>
          <x:t xml:space="preserve">NONE — DEVELOPMENT ONLY</x:t>
        </x:is>
      </x:c>
      <x:c r="Y243" s="160" t="inlineStr">
        <x:is>
          <x:t xml:space="preserve">Synthetic/adversarial model-development loop. No historical outcome is claimed; no accuracy point is awarded.</x:t>
        </x:is>
      </x:c>
    </x:row>
    <x:row r="244">
      <x:c r="A244" s="160" t="inlineStr">
        <x:is>
          <x:t xml:space="preserve">ML0239</x:t>
        </x:is>
      </x:c>
      <x:c r="B244" s="160" t="inlineStr">
        <x:is>
          <x:t xml:space="preserve">ARG-015</x:t>
        </x:is>
      </x:c>
      <x:c r="C244" s="160" t="inlineStr">
        <x:is>
          <x:t xml:space="preserve">Quanta Services</x:t>
        </x:is>
      </x:c>
      <x:c r="D244" s="160" t="inlineStr">
        <x:is>
          <x:t xml:space="preserve">PWR</x:t>
        </x:is>
      </x:c>
      <x:c r="E244" s="160" t="inlineStr">
        <x:is>
          <x:t xml:space="preserve">Power &amp; Grid</x:t>
        </x:is>
      </x:c>
      <x:c r="F244" s="160" t="inlineStr">
        <x:is>
          <x:t xml:space="preserve">Development</x:t>
        </x:is>
      </x:c>
      <x:c r="G244" s="160" t="inlineStr">
        <x:is>
          <x:t xml:space="preserve">S15</x:t>
        </x:is>
      </x:c>
      <x:c r="H244" s="160" t="inlineStr">
        <x:is>
          <x:t xml:space="preserve">Financing / Dilution Per Share</x:t>
        </x:is>
      </x:c>
      <x:c r="I244" s="160" t="inlineStr">
        <x:is>
          <x:t xml:space="preserve">Stewardship</x:t>
        </x:is>
      </x:c>
      <x:c r="J244" s="160" t="inlineStr">
        <x:is>
          <x:t xml:space="preserve">Cash balance or revenue growth improves while financing causes material per-share value leakage.</x:t>
        </x:is>
      </x:c>
      <x:c r="K244" s="160" t="inlineStr">
        <x:is>
          <x:t xml:space="preserve">Infrastructure backlog × execution margin</x:t>
        </x:is>
      </x:c>
      <x:c r="L244" s="160" t="inlineStr">
        <x:is>
          <x:t xml:space="preserve">Normalized FCF + backlog economics</x:t>
        </x:is>
      </x:c>
      <x:c r="M244" s="160" t="inlineStr">
        <x:is>
          <x:t xml:space="preserve">WAIT FOR PRICE</x:t>
        </x:is>
      </x:c>
      <x:c r="N244" s="160" t="inlineStr">
        <x:is>
          <x:t xml:space="preserve">R-DIL-01</x:t>
        </x:is>
      </x:c>
      <x:c r="O244" s="160" t="inlineStr">
        <x:is>
          <x:t xml:space="preserve">HARDENED</x:t>
        </x:is>
      </x:c>
      <x:c r="P244" s="160" t="inlineStr">
        <x:is>
          <x:t xml:space="preserve">ROBUST WITH RESIDUAL</x:t>
        </x:is>
      </x:c>
      <x:c r="Q244" s="160" t="inlineStr">
        <x:is>
          <x:t xml:space="preserve">The hardened rule catches the stress. Residual risk is mainly evidence quality, threshold calibration or interaction with another gate.</x:t>
        </x:is>
      </x:c>
      <x:c r="R244" s="160" t="inlineStr">
        <x:is>
          <x:t xml:space="preserve">Reconcile share-count growth, SBC, equity issuance, buybacks and net cash changes to per-share intrinsic value.</x:t>
        </x:is>
      </x:c>
      <x:c r="S244" s="160" t="inlineStr">
        <x:is>
          <x:t xml:space="preserve">NO</x:t>
        </x:is>
      </x:c>
      <x:c r="T244" s="160" t="inlineStr">
        <x:is>
          <x:t xml:space="preserve">HARDENED</x:t>
        </x:is>
      </x:c>
      <x:c r="U244" s="160" t="inlineStr">
        <x:is>
          <x:t xml:space="preserve">V10.5-SIM36</x:t>
        </x:is>
      </x:c>
      <x:c r="V244" s="160" t="inlineStr">
        <x:is>
          <x:t xml:space="preserve">https://investors.quantaservices.com</x:t>
        </x:is>
      </x:c>
      <x:c r="W244" s="160" t="inlineStr">
        <x:is>
          <x:t xml:space="preserve">NO</x:t>
        </x:is>
      </x:c>
      <x:c r="X244" s="160" t="inlineStr">
        <x:is>
          <x:t xml:space="preserve">NONE — DEVELOPMENT ONLY</x:t>
        </x:is>
      </x:c>
      <x:c r="Y244" s="160" t="inlineStr">
        <x:is>
          <x:t xml:space="preserve">Synthetic/adversarial model-development loop. No historical outcome is claimed; no accuracy point is awarded.</x:t>
        </x:is>
      </x:c>
    </x:row>
    <x:row r="245">
      <x:c r="A245" s="160" t="inlineStr">
        <x:is>
          <x:t xml:space="preserve">ML0240</x:t>
        </x:is>
      </x:c>
      <x:c r="B245" s="160" t="inlineStr">
        <x:is>
          <x:t xml:space="preserve">ARG-015</x:t>
        </x:is>
      </x:c>
      <x:c r="C245" s="160" t="inlineStr">
        <x:is>
          <x:t xml:space="preserve">Quanta Services</x:t>
        </x:is>
      </x:c>
      <x:c r="D245" s="160" t="inlineStr">
        <x:is>
          <x:t xml:space="preserve">PWR</x:t>
        </x:is>
      </x:c>
      <x:c r="E245" s="160" t="inlineStr">
        <x:is>
          <x:t xml:space="preserve">Power &amp; Grid</x:t>
        </x:is>
      </x:c>
      <x:c r="F245" s="160" t="inlineStr">
        <x:is>
          <x:t xml:space="preserve">Development</x:t>
        </x:is>
      </x:c>
      <x:c r="G245" s="160" t="inlineStr">
        <x:is>
          <x:t xml:space="preserve">S16</x:t>
        </x:is>
      </x:c>
      <x:c r="H245" s="160" t="inlineStr">
        <x:is>
          <x:t xml:space="preserve">Concentration / Tail Risk</x:t>
        </x:is>
      </x:c>
      <x:c r="I245" s="160" t="inlineStr">
        <x:is>
          <x:t xml:space="preserve">Survival</x:t>
        </x:is>
      </x:c>
      <x:c r="J245" s="160" t="inlineStr">
        <x:is>
          <x:t xml:space="preserve">A concentrated supplier, geography, customer, product, patent, regulatory or technology dependency creates asymmetric permanent-loss risk.</x:t>
        </x:is>
      </x:c>
      <x:c r="K245" s="160" t="inlineStr">
        <x:is>
          <x:t xml:space="preserve">Infrastructure backlog × execution margin</x:t>
        </x:is>
      </x:c>
      <x:c r="L245" s="160" t="inlineStr">
        <x:is>
          <x:t xml:space="preserve">Normalized FCF + backlog economics</x:t>
        </x:is>
      </x:c>
      <x:c r="M245" s="160" t="inlineStr">
        <x:is>
          <x:t xml:space="preserve">WAIT FOR PRICE</x:t>
        </x:is>
      </x:c>
      <x:c r="N245" s="160" t="inlineStr">
        <x:is>
          <x:t xml:space="preserve">R-TAIL-01</x:t>
        </x:is>
      </x:c>
      <x:c r="O245" s="160" t="inlineStr">
        <x:is>
          <x:t xml:space="preserve">HARDENED</x:t>
        </x:is>
      </x:c>
      <x:c r="P245" s="160" t="inlineStr">
        <x:is>
          <x:t xml:space="preserve">ROBUST WITH RESIDUAL</x:t>
        </x:is>
      </x:c>
      <x:c r="Q245" s="160" t="inlineStr">
        <x:is>
          <x:t xml:space="preserve">The hardened rule catches the stress. Residual risk is mainly evidence quality, threshold calibration or interaction with another gate.</x:t>
        </x:is>
      </x:c>
      <x:c r="R245" s="160" t="inlineStr">
        <x:is>
          <x:t xml:space="preserve">Maintain an explicit concentration/tail-risk register with probability, severity, mitigation and required margin-of-safety premium.</x:t>
        </x:is>
      </x:c>
      <x:c r="S245" s="160" t="inlineStr">
        <x:is>
          <x:t xml:space="preserve">NO</x:t>
        </x:is>
      </x:c>
      <x:c r="T245" s="160" t="inlineStr">
        <x:is>
          <x:t xml:space="preserve">HARDENED</x:t>
        </x:is>
      </x:c>
      <x:c r="U245" s="160" t="inlineStr">
        <x:is>
          <x:t xml:space="preserve">V10.5-SIM36</x:t>
        </x:is>
      </x:c>
      <x:c r="V245" s="160" t="inlineStr">
        <x:is>
          <x:t xml:space="preserve">https://investors.quantaservices.com</x:t>
        </x:is>
      </x:c>
      <x:c r="W245" s="160" t="inlineStr">
        <x:is>
          <x:t xml:space="preserve">NO</x:t>
        </x:is>
      </x:c>
      <x:c r="X245" s="160" t="inlineStr">
        <x:is>
          <x:t xml:space="preserve">NONE — DEVELOPMENT ONLY</x:t>
        </x:is>
      </x:c>
      <x:c r="Y245" s="160" t="inlineStr">
        <x:is>
          <x:t xml:space="preserve">Synthetic/adversarial model-development loop. No historical outcome is claimed; no accuracy point is awarded.</x:t>
        </x:is>
      </x:c>
    </x:row>
    <x:row r="246">
      <x:c r="A246" s="160" t="inlineStr">
        <x:is>
          <x:t xml:space="preserve">ML0241</x:t>
        </x:is>
      </x:c>
      <x:c r="B246" s="160" t="inlineStr">
        <x:is>
          <x:t xml:space="preserve">ARG-016</x:t>
        </x:is>
      </x:c>
      <x:c r="C246" s="160" t="inlineStr">
        <x:is>
          <x:t xml:space="preserve">Hubbell</x:t>
        </x:is>
      </x:c>
      <x:c r="D246" s="160" t="inlineStr">
        <x:is>
          <x:t xml:space="preserve">HUBB</x:t>
        </x:is>
      </x:c>
      <x:c r="E246" s="160" t="inlineStr">
        <x:is>
          <x:t xml:space="preserve">Power &amp; Grid</x:t>
        </x:is>
      </x:c>
      <x:c r="F246" s="160" t="inlineStr">
        <x:is>
          <x:t xml:space="preserve">Development</x:t>
        </x:is>
      </x:c>
      <x:c r="G246" s="160" t="inlineStr">
        <x:is>
          <x:t xml:space="preserve">S01</x:t>
        </x:is>
      </x:c>
      <x:c r="H246" s="160" t="inlineStr">
        <x:is>
          <x:t xml:space="preserve">Understanding Gate</x:t>
        </x:is>
      </x:c>
      <x:c r="I246" s="160" t="inlineStr">
        <x:is>
          <x:t xml:space="preserve">Understanding</x:t>
        </x:is>
      </x:c>
      <x:c r="J246" s="160" t="inlineStr">
        <x:is>
          <x:t xml:space="preserve">Causal engine / customer ROI chain breaks under a misleading headline KPI.</x:t>
        </x:is>
      </x:c>
      <x:c r="K246" s="160" t="inlineStr">
        <x:is>
          <x:t xml:space="preserve">Utility components demand × price/mix</x:t>
        </x:is>
      </x:c>
      <x:c r="L246" s="160" t="inlineStr">
        <x:is>
          <x:t xml:space="preserve">Owner earnings + reverse DCF</x:t>
        </x:is>
      </x:c>
      <x:c r="M246" s="160" t="inlineStr">
        <x:is>
          <x:t xml:space="preserve">WATCH</x:t>
        </x:is>
      </x:c>
      <x:c r="N246" s="160" t="inlineStr">
        <x:is>
          <x:t xml:space="preserve">R-ENG-01</x:t>
        </x:is>
      </x:c>
      <x:c r="O246" s="160" t="inlineStr">
        <x:is>
          <x:t xml:space="preserve">HARDENED</x:t>
        </x:is>
      </x:c>
      <x:c r="P246" s="160" t="inlineStr">
        <x:is>
          <x:t xml:space="preserve">ROBUST WITH RESIDUAL</x:t>
        </x:is>
      </x:c>
      <x:c r="Q246" s="160" t="inlineStr">
        <x:is>
          <x:t xml:space="preserve">The hardened rule catches the stress. Residual risk is mainly evidence quality, threshold calibration or interaction with another gate.</x:t>
        </x:is>
      </x:c>
      <x:c r="R246" s="160" t="inlineStr">
        <x:is>
          <x:t xml:space="preserve">Force an explicit engine tree: customer job → unit economics → revenue driver → owner-value bridge.</x:t>
        </x:is>
      </x:c>
      <x:c r="S246" s="160" t="inlineStr">
        <x:is>
          <x:t xml:space="preserve">NO</x:t>
        </x:is>
      </x:c>
      <x:c r="T246" s="160" t="inlineStr">
        <x:is>
          <x:t xml:space="preserve">HARDENED</x:t>
        </x:is>
      </x:c>
      <x:c r="U246" s="160" t="inlineStr">
        <x:is>
          <x:t xml:space="preserve">V10.5-SIM36</x:t>
        </x:is>
      </x:c>
      <x:c r="V246" s="160" t="inlineStr">
        <x:is>
          <x:t xml:space="preserve">https://investors.hubbell.com</x:t>
        </x:is>
      </x:c>
      <x:c r="W246" s="160" t="inlineStr">
        <x:is>
          <x:t xml:space="preserve">NO</x:t>
        </x:is>
      </x:c>
      <x:c r="X246" s="160" t="inlineStr">
        <x:is>
          <x:t xml:space="preserve">NONE — DEVELOPMENT ONLY</x:t>
        </x:is>
      </x:c>
      <x:c r="Y246" s="160" t="inlineStr">
        <x:is>
          <x:t xml:space="preserve">Synthetic/adversarial model-development loop. No historical outcome is claimed; no accuracy point is awarded.</x:t>
        </x:is>
      </x:c>
    </x:row>
    <x:row r="247">
      <x:c r="A247" s="160" t="inlineStr">
        <x:is>
          <x:t xml:space="preserve">ML0242</x:t>
        </x:is>
      </x:c>
      <x:c r="B247" s="160" t="inlineStr">
        <x:is>
          <x:t xml:space="preserve">ARG-016</x:t>
        </x:is>
      </x:c>
      <x:c r="C247" s="160" t="inlineStr">
        <x:is>
          <x:t xml:space="preserve">Hubbell</x:t>
        </x:is>
      </x:c>
      <x:c r="D247" s="160" t="inlineStr">
        <x:is>
          <x:t xml:space="preserve">HUBB</x:t>
        </x:is>
      </x:c>
      <x:c r="E247" s="160" t="inlineStr">
        <x:is>
          <x:t xml:space="preserve">Power &amp; Grid</x:t>
        </x:is>
      </x:c>
      <x:c r="F247" s="160" t="inlineStr">
        <x:is>
          <x:t xml:space="preserve">Development</x:t>
        </x:is>
      </x:c>
      <x:c r="G247" s="160" t="inlineStr">
        <x:is>
          <x:t xml:space="preserve">S02</x:t>
        </x:is>
      </x:c>
      <x:c r="H247" s="160" t="inlineStr">
        <x:is>
          <x:t xml:space="preserve">Owner Earnings Normalization</x:t>
        </x:is>
      </x:c>
      <x:c r="I247" s="160" t="inlineStr">
        <x:is>
          <x:t xml:space="preserve">Owner Earnings</x:t>
        </x:is>
      </x:c>
      <x:c r="J247" s="160" t="inlineStr">
        <x:is>
          <x:t xml:space="preserve">Reported earnings/FCF overstates economic cash because recurring reinvestment or non-cash compensation is misclassified.</x:t>
        </x:is>
      </x:c>
      <x:c r="K247" s="160" t="inlineStr">
        <x:is>
          <x:t xml:space="preserve">Utility components demand × price/mix</x:t>
        </x:is>
      </x:c>
      <x:c r="L247" s="160" t="inlineStr">
        <x:is>
          <x:t xml:space="preserve">Owner earnings + reverse DCF</x:t>
        </x:is>
      </x:c>
      <x:c r="M247" s="160" t="inlineStr">
        <x:is>
          <x:t xml:space="preserve">WATCH</x:t>
        </x:is>
      </x:c>
      <x:c r="N247" s="160" t="inlineStr">
        <x:is>
          <x:t xml:space="preserve">R-OE-01</x:t>
        </x:is>
      </x:c>
      <x:c r="O247" s="160" t="inlineStr">
        <x:is>
          <x:t xml:space="preserve">HARDENED</x:t>
        </x:is>
      </x:c>
      <x:c r="P247" s="160" t="inlineStr">
        <x:is>
          <x:t xml:space="preserve">ROBUST WITH RESIDUAL</x:t>
        </x:is>
      </x:c>
      <x:c r="Q247" s="160" t="inlineStr">
        <x:is>
          <x:t xml:space="preserve">The hardened rule catches the stress. Residual risk is mainly evidence quality, threshold calibration or interaction with another gate.</x:t>
        </x:is>
      </x:c>
      <x:c r="R247" s="160" t="inlineStr">
        <x:is>
          <x:t xml:space="preserve">Require a GAAP-to-economic-owner-cash bridge tailored to the business model.</x:t>
        </x:is>
      </x:c>
      <x:c r="S247" s="160" t="inlineStr">
        <x:is>
          <x:t xml:space="preserve">NO</x:t>
        </x:is>
      </x:c>
      <x:c r="T247" s="160" t="inlineStr">
        <x:is>
          <x:t xml:space="preserve">HARDENED</x:t>
        </x:is>
      </x:c>
      <x:c r="U247" s="160" t="inlineStr">
        <x:is>
          <x:t xml:space="preserve">V10.5-SIM36</x:t>
        </x:is>
      </x:c>
      <x:c r="V247" s="160" t="inlineStr">
        <x:is>
          <x:t xml:space="preserve">https://investors.hubbell.com</x:t>
        </x:is>
      </x:c>
      <x:c r="W247" s="160" t="inlineStr">
        <x:is>
          <x:t xml:space="preserve">NO</x:t>
        </x:is>
      </x:c>
      <x:c r="X247" s="160" t="inlineStr">
        <x:is>
          <x:t xml:space="preserve">NONE — DEVELOPMENT ONLY</x:t>
        </x:is>
      </x:c>
      <x:c r="Y247" s="160" t="inlineStr">
        <x:is>
          <x:t xml:space="preserve">Synthetic/adversarial model-development loop. No historical outcome is claimed; no accuracy point is awarded.</x:t>
        </x:is>
      </x:c>
    </x:row>
    <x:row r="248">
      <x:c r="A248" s="160" t="inlineStr">
        <x:is>
          <x:t xml:space="preserve">ML0243</x:t>
        </x:is>
      </x:c>
      <x:c r="B248" s="160" t="inlineStr">
        <x:is>
          <x:t xml:space="preserve">ARG-016</x:t>
        </x:is>
      </x:c>
      <x:c r="C248" s="160" t="inlineStr">
        <x:is>
          <x:t xml:space="preserve">Hubbell</x:t>
        </x:is>
      </x:c>
      <x:c r="D248" s="160" t="inlineStr">
        <x:is>
          <x:t xml:space="preserve">HUBB</x:t>
        </x:is>
      </x:c>
      <x:c r="E248" s="160" t="inlineStr">
        <x:is>
          <x:t xml:space="preserve">Power &amp; Grid</x:t>
        </x:is>
      </x:c>
      <x:c r="F248" s="160" t="inlineStr">
        <x:is>
          <x:t xml:space="preserve">Development</x:t>
        </x:is>
      </x:c>
      <x:c r="G248" s="160" t="inlineStr">
        <x:is>
          <x:t xml:space="preserve">S03</x:t>
        </x:is>
      </x:c>
      <x:c r="H248" s="160" t="inlineStr">
        <x:is>
          <x:t xml:space="preserve">Moat Durability</x:t>
        </x:is>
      </x:c>
      <x:c r="I248" s="160" t="inlineStr">
        <x:is>
          <x:t xml:space="preserve">Moat 2036</x:t>
        </x:is>
      </x:c>
      <x:c r="J248" s="160" t="inlineStr">
        <x:is>
          <x:t xml:space="preserve">Growth continues while switching friction, pricing power or replacement difficulty quietly weakens.</x:t>
        </x:is>
      </x:c>
      <x:c r="K248" s="160" t="inlineStr">
        <x:is>
          <x:t xml:space="preserve">Utility components demand × price/mix</x:t>
        </x:is>
      </x:c>
      <x:c r="L248" s="160" t="inlineStr">
        <x:is>
          <x:t xml:space="preserve">Owner earnings + reverse DCF</x:t>
        </x:is>
      </x:c>
      <x:c r="M248" s="160" t="inlineStr">
        <x:is>
          <x:t xml:space="preserve">WATCH</x:t>
        </x:is>
      </x:c>
      <x:c r="N248" s="160" t="inlineStr">
        <x:is>
          <x:t xml:space="preserve">R-MOAT-01</x:t>
        </x:is>
      </x:c>
      <x:c r="O248" s="160" t="inlineStr">
        <x:is>
          <x:t xml:space="preserve">HARDENED</x:t>
        </x:is>
      </x:c>
      <x:c r="P248" s="160" t="inlineStr">
        <x:is>
          <x:t xml:space="preserve">ROBUST WITH RESIDUAL</x:t>
        </x:is>
      </x:c>
      <x:c r="Q248" s="160" t="inlineStr">
        <x:is>
          <x:t xml:space="preserve">The hardened rule catches the stress. Residual risk is mainly evidence quality, threshold calibration or interaction with another gate.</x:t>
        </x:is>
      </x:c>
      <x:c r="R248" s="160" t="inlineStr">
        <x:is>
          <x:t xml:space="preserve">Track moat telemetry separately from growth: retention, pricing, win/loss, replacement friction, installed-base behavior.</x:t>
        </x:is>
      </x:c>
      <x:c r="S248" s="160" t="inlineStr">
        <x:is>
          <x:t xml:space="preserve">NO</x:t>
        </x:is>
      </x:c>
      <x:c r="T248" s="160" t="inlineStr">
        <x:is>
          <x:t xml:space="preserve">HARDENED</x:t>
        </x:is>
      </x:c>
      <x:c r="U248" s="160" t="inlineStr">
        <x:is>
          <x:t xml:space="preserve">V10.5-SIM36</x:t>
        </x:is>
      </x:c>
      <x:c r="V248" s="160" t="inlineStr">
        <x:is>
          <x:t xml:space="preserve">https://investors.hubbell.com</x:t>
        </x:is>
      </x:c>
      <x:c r="W248" s="160" t="inlineStr">
        <x:is>
          <x:t xml:space="preserve">NO</x:t>
        </x:is>
      </x:c>
      <x:c r="X248" s="160" t="inlineStr">
        <x:is>
          <x:t xml:space="preserve">NONE — DEVELOPMENT ONLY</x:t>
        </x:is>
      </x:c>
      <x:c r="Y248" s="160" t="inlineStr">
        <x:is>
          <x:t xml:space="preserve">Synthetic/adversarial model-development loop. No historical outcome is claimed; no accuracy point is awarded.</x:t>
        </x:is>
      </x:c>
    </x:row>
    <x:row r="249">
      <x:c r="A249" s="160" t="inlineStr">
        <x:is>
          <x:t xml:space="preserve">ML0244</x:t>
        </x:is>
      </x:c>
      <x:c r="B249" s="160" t="inlineStr">
        <x:is>
          <x:t xml:space="preserve">ARG-016</x:t>
        </x:is>
      </x:c>
      <x:c r="C249" s="160" t="inlineStr">
        <x:is>
          <x:t xml:space="preserve">Hubbell</x:t>
        </x:is>
      </x:c>
      <x:c r="D249" s="160" t="inlineStr">
        <x:is>
          <x:t xml:space="preserve">HUBB</x:t>
        </x:is>
      </x:c>
      <x:c r="E249" s="160" t="inlineStr">
        <x:is>
          <x:t xml:space="preserve">Power &amp; Grid</x:t>
        </x:is>
      </x:c>
      <x:c r="F249" s="160" t="inlineStr">
        <x:is>
          <x:t xml:space="preserve">Development</x:t>
        </x:is>
      </x:c>
      <x:c r="G249" s="160" t="inlineStr">
        <x:is>
          <x:t xml:space="preserve">S04</x:t>
        </x:is>
      </x:c>
      <x:c r="H249" s="160" t="inlineStr">
        <x:is>
          <x:t xml:space="preserve">Stewardship / Capital Allocation</x:t>
        </x:is>
      </x:c>
      <x:c r="I249" s="160" t="inlineStr">
        <x:is>
          <x:t xml:space="preserve">Stewardship</x:t>
        </x:is>
      </x:c>
      <x:c r="J249" s="160" t="inlineStr">
        <x:is>
          <x:t xml:space="preserve">Management creates enterprise growth while destroying per-share value through M&amp;A, dilution, leverage or mistimed buybacks.</x:t>
        </x:is>
      </x:c>
      <x:c r="K249" s="160" t="inlineStr">
        <x:is>
          <x:t xml:space="preserve">Utility components demand × price/mix</x:t>
        </x:is>
      </x:c>
      <x:c r="L249" s="160" t="inlineStr">
        <x:is>
          <x:t xml:space="preserve">Owner earnings + reverse DCF</x:t>
        </x:is>
      </x:c>
      <x:c r="M249" s="160" t="inlineStr">
        <x:is>
          <x:t xml:space="preserve">WATCH</x:t>
        </x:is>
      </x:c>
      <x:c r="N249" s="160" t="inlineStr">
        <x:is>
          <x:t xml:space="preserve">R-STEW-01</x:t>
        </x:is>
      </x:c>
      <x:c r="O249" s="160" t="inlineStr">
        <x:is>
          <x:t xml:space="preserve">HARDENED</x:t>
        </x:is>
      </x:c>
      <x:c r="P249" s="160" t="inlineStr">
        <x:is>
          <x:t xml:space="preserve">ROBUST WITH RESIDUAL</x:t>
        </x:is>
      </x:c>
      <x:c r="Q249" s="160" t="inlineStr">
        <x:is>
          <x:t xml:space="preserve">The hardened rule catches the stress. Residual risk is mainly evidence quality, threshold calibration or interaction with another gate.</x:t>
        </x:is>
      </x:c>
      <x:c r="R249" s="160" t="inlineStr">
        <x:is>
          <x:t xml:space="preserve">Evaluate capital allocation on a per-share basis using acquisition cohorts, dilution, leverage and repurchase price discipline.</x:t>
        </x:is>
      </x:c>
      <x:c r="S249" s="160" t="inlineStr">
        <x:is>
          <x:t xml:space="preserve">NO</x:t>
        </x:is>
      </x:c>
      <x:c r="T249" s="160" t="inlineStr">
        <x:is>
          <x:t xml:space="preserve">HARDENED</x:t>
        </x:is>
      </x:c>
      <x:c r="U249" s="160" t="inlineStr">
        <x:is>
          <x:t xml:space="preserve">V10.5-SIM36</x:t>
        </x:is>
      </x:c>
      <x:c r="V249" s="160" t="inlineStr">
        <x:is>
          <x:t xml:space="preserve">https://investors.hubbell.com</x:t>
        </x:is>
      </x:c>
      <x:c r="W249" s="160" t="inlineStr">
        <x:is>
          <x:t xml:space="preserve">NO</x:t>
        </x:is>
      </x:c>
      <x:c r="X249" s="160" t="inlineStr">
        <x:is>
          <x:t xml:space="preserve">NONE — DEVELOPMENT ONLY</x:t>
        </x:is>
      </x:c>
      <x:c r="Y249" s="160" t="inlineStr">
        <x:is>
          <x:t xml:space="preserve">Synthetic/adversarial model-development loop. No historical outcome is claimed; no accuracy point is awarded.</x:t>
        </x:is>
      </x:c>
    </x:row>
    <x:row r="250">
      <x:c r="A250" s="160" t="inlineStr">
        <x:is>
          <x:t xml:space="preserve">ML0245</x:t>
        </x:is>
      </x:c>
      <x:c r="B250" s="160" t="inlineStr">
        <x:is>
          <x:t xml:space="preserve">ARG-016</x:t>
        </x:is>
      </x:c>
      <x:c r="C250" s="160" t="inlineStr">
        <x:is>
          <x:t xml:space="preserve">Hubbell</x:t>
        </x:is>
      </x:c>
      <x:c r="D250" s="160" t="inlineStr">
        <x:is>
          <x:t xml:space="preserve">HUBB</x:t>
        </x:is>
      </x:c>
      <x:c r="E250" s="160" t="inlineStr">
        <x:is>
          <x:t xml:space="preserve">Power &amp; Grid</x:t>
        </x:is>
      </x:c>
      <x:c r="F250" s="160" t="inlineStr">
        <x:is>
          <x:t xml:space="preserve">Development</x:t>
        </x:is>
      </x:c>
      <x:c r="G250" s="160" t="inlineStr">
        <x:is>
          <x:t xml:space="preserve">S05</x:t>
        </x:is>
      </x:c>
      <x:c r="H250" s="160" t="inlineStr">
        <x:is>
          <x:t xml:space="preserve">Survival / Funding</x:t>
        </x:is>
      </x:c>
      <x:c r="I250" s="160" t="inlineStr">
        <x:is>
          <x:t xml:space="preserve">Survival</x:t>
        </x:is>
      </x:c>
      <x:c r="J250" s="160" t="inlineStr">
        <x:is>
          <x:t xml:space="preserve">A plausible bear case exposes refinancing, liquidity, covenant, reserve, regulatory or operational fragility.</x:t>
        </x:is>
      </x:c>
      <x:c r="K250" s="160" t="inlineStr">
        <x:is>
          <x:t xml:space="preserve">Utility components demand × price/mix</x:t>
        </x:is>
      </x:c>
      <x:c r="L250" s="160" t="inlineStr">
        <x:is>
          <x:t xml:space="preserve">Owner earnings + reverse DCF</x:t>
        </x:is>
      </x:c>
      <x:c r="M250" s="160" t="inlineStr">
        <x:is>
          <x:t xml:space="preserve">WATCH</x:t>
        </x:is>
      </x:c>
      <x:c r="N250" s="160" t="inlineStr">
        <x:is>
          <x:t xml:space="preserve">R-SURV-01</x:t>
        </x:is>
      </x:c>
      <x:c r="O250" s="160" t="inlineStr">
        <x:is>
          <x:t xml:space="preserve">HARDENED</x:t>
        </x:is>
      </x:c>
      <x:c r="P250" s="160" t="inlineStr">
        <x:is>
          <x:t xml:space="preserve">ROBUST WITH RESIDUAL</x:t>
        </x:is>
      </x:c>
      <x:c r="Q250" s="160" t="inlineStr">
        <x:is>
          <x:t xml:space="preserve">The hardened rule catches the stress. Residual risk is mainly evidence quality, threshold calibration or interaction with another gate.</x:t>
        </x:is>
      </x:c>
      <x:c r="R250" s="160" t="inlineStr">
        <x:is>
          <x:t xml:space="preserve">Run a company-specific survival bridge under a severe-but-plausible bear case before any upside underwriting.</x:t>
        </x:is>
      </x:c>
      <x:c r="S250" s="160" t="inlineStr">
        <x:is>
          <x:t xml:space="preserve">NO</x:t>
        </x:is>
      </x:c>
      <x:c r="T250" s="160" t="inlineStr">
        <x:is>
          <x:t xml:space="preserve">HARDENED</x:t>
        </x:is>
      </x:c>
      <x:c r="U250" s="160" t="inlineStr">
        <x:is>
          <x:t xml:space="preserve">V10.5-SIM36</x:t>
        </x:is>
      </x:c>
      <x:c r="V250" s="160" t="inlineStr">
        <x:is>
          <x:t xml:space="preserve">https://investors.hubbell.com</x:t>
        </x:is>
      </x:c>
      <x:c r="W250" s="160" t="inlineStr">
        <x:is>
          <x:t xml:space="preserve">NO</x:t>
        </x:is>
      </x:c>
      <x:c r="X250" s="160" t="inlineStr">
        <x:is>
          <x:t xml:space="preserve">NONE — DEVELOPMENT ONLY</x:t>
        </x:is>
      </x:c>
      <x:c r="Y250" s="160" t="inlineStr">
        <x:is>
          <x:t xml:space="preserve">Synthetic/adversarial model-development loop. No historical outcome is claimed; no accuracy point is awarded.</x:t>
        </x:is>
      </x:c>
    </x:row>
    <x:row r="251">
      <x:c r="A251" s="160" t="inlineStr">
        <x:is>
          <x:t xml:space="preserve">ML0246</x:t>
        </x:is>
      </x:c>
      <x:c r="B251" s="160" t="inlineStr">
        <x:is>
          <x:t xml:space="preserve">ARG-016</x:t>
        </x:is>
      </x:c>
      <x:c r="C251" s="160" t="inlineStr">
        <x:is>
          <x:t xml:space="preserve">Hubbell</x:t>
        </x:is>
      </x:c>
      <x:c r="D251" s="160" t="inlineStr">
        <x:is>
          <x:t xml:space="preserve">HUBB</x:t>
        </x:is>
      </x:c>
      <x:c r="E251" s="160" t="inlineStr">
        <x:is>
          <x:t xml:space="preserve">Power &amp; Grid</x:t>
        </x:is>
      </x:c>
      <x:c r="F251" s="160" t="inlineStr">
        <x:is>
          <x:t xml:space="preserve">Development</x:t>
        </x:is>
      </x:c>
      <x:c r="G251" s="160" t="inlineStr">
        <x:is>
          <x:t xml:space="preserve">S06</x:t>
        </x:is>
      </x:c>
      <x:c r="H251" s="160" t="inlineStr">
        <x:is>
          <x:t xml:space="preserve">Margin of Safety</x:t>
        </x:is>
      </x:c>
      <x:c r="I251" s="160" t="inlineStr">
        <x:is>
          <x:t xml:space="preserve">Margin of Safety</x:t>
        </x:is>
      </x:c>
      <x:c r="J251" s="160" t="inlineStr">
        <x:is>
          <x:t xml:space="preserve">Business quality is high but the price embeds a fragile bull case.</x:t>
        </x:is>
      </x:c>
      <x:c r="K251" s="160" t="inlineStr">
        <x:is>
          <x:t xml:space="preserve">Utility components demand × price/mix</x:t>
        </x:is>
      </x:c>
      <x:c r="L251" s="160" t="inlineStr">
        <x:is>
          <x:t xml:space="preserve">Owner earnings + reverse DCF</x:t>
        </x:is>
      </x:c>
      <x:c r="M251" s="160" t="inlineStr">
        <x:is>
          <x:t xml:space="preserve">WATCH</x:t>
        </x:is>
      </x:c>
      <x:c r="N251" s="160" t="inlineStr">
        <x:is>
          <x:t xml:space="preserve">R-MOS-01</x:t>
        </x:is>
      </x:c>
      <x:c r="O251" s="160" t="inlineStr">
        <x:is>
          <x:t xml:space="preserve">HARDENED</x:t>
        </x:is>
      </x:c>
      <x:c r="P251" s="160" t="inlineStr">
        <x:is>
          <x:t xml:space="preserve">ROBUST WITH RESIDUAL</x:t>
        </x:is>
      </x:c>
      <x:c r="Q251" s="160" t="inlineStr">
        <x:is>
          <x:t xml:space="preserve">The hardened rule catches the stress. Residual risk is mainly evidence quality, threshold calibration or interaction with another gate.</x:t>
        </x:is>
      </x:c>
      <x:c r="R251" s="160" t="inlineStr">
        <x:is>
          <x:t xml:space="preserve">Separate business-quality score from price decision; require reverse valuation and bear/base/bull IV ranges.</x:t>
        </x:is>
      </x:c>
      <x:c r="S251" s="160" t="inlineStr">
        <x:is>
          <x:t xml:space="preserve">NO</x:t>
        </x:is>
      </x:c>
      <x:c r="T251" s="160" t="inlineStr">
        <x:is>
          <x:t xml:space="preserve">HARDENED</x:t>
        </x:is>
      </x:c>
      <x:c r="U251" s="160" t="inlineStr">
        <x:is>
          <x:t xml:space="preserve">V10.5-SIM36</x:t>
        </x:is>
      </x:c>
      <x:c r="V251" s="160" t="inlineStr">
        <x:is>
          <x:t xml:space="preserve">https://investors.hubbell.com</x:t>
        </x:is>
      </x:c>
      <x:c r="W251" s="160" t="inlineStr">
        <x:is>
          <x:t xml:space="preserve">NO</x:t>
        </x:is>
      </x:c>
      <x:c r="X251" s="160" t="inlineStr">
        <x:is>
          <x:t xml:space="preserve">NONE — DEVELOPMENT ONLY</x:t>
        </x:is>
      </x:c>
      <x:c r="Y251" s="160" t="inlineStr">
        <x:is>
          <x:t xml:space="preserve">Synthetic/adversarial model-development loop. No historical outcome is claimed; no accuracy point is awarded.</x:t>
        </x:is>
      </x:c>
    </x:row>
    <x:row r="252">
      <x:c r="A252" s="160" t="inlineStr">
        <x:is>
          <x:t xml:space="preserve">ML0247</x:t>
        </x:is>
      </x:c>
      <x:c r="B252" s="160" t="inlineStr">
        <x:is>
          <x:t xml:space="preserve">ARG-016</x:t>
        </x:is>
      </x:c>
      <x:c r="C252" s="160" t="inlineStr">
        <x:is>
          <x:t xml:space="preserve">Hubbell</x:t>
        </x:is>
      </x:c>
      <x:c r="D252" s="160" t="inlineStr">
        <x:is>
          <x:t xml:space="preserve">HUBB</x:t>
        </x:is>
      </x:c>
      <x:c r="E252" s="160" t="inlineStr">
        <x:is>
          <x:t xml:space="preserve">Power &amp; Grid</x:t>
        </x:is>
      </x:c>
      <x:c r="F252" s="160" t="inlineStr">
        <x:is>
          <x:t xml:space="preserve">Development</x:t>
        </x:is>
      </x:c>
      <x:c r="G252" s="160" t="inlineStr">
        <x:is>
          <x:t xml:space="preserve">S07</x:t>
        </x:is>
      </x:c>
      <x:c r="H252" s="160" t="inlineStr">
        <x:is>
          <x:t xml:space="preserve">Sector Shock</x:t>
        </x:is>
      </x:c>
      <x:c r="I252" s="160" t="inlineStr">
        <x:is>
          <x:t xml:space="preserve">Sector-specific</x:t>
        </x:is>
      </x:c>
      <x:c r="J252" s="160" t="inlineStr">
        <x:is>
          <x:t xml:space="preserve">Backlog stays strong but execution capacity, input inflation, working capital or project mix compresses conversion to owner earnings.</x:t>
        </x:is>
      </x:c>
      <x:c r="K252" s="160" t="inlineStr">
        <x:is>
          <x:t xml:space="preserve">Utility components demand × price/mix</x:t>
        </x:is>
      </x:c>
      <x:c r="L252" s="160" t="inlineStr">
        <x:is>
          <x:t xml:space="preserve">Owner earnings + reverse DCF</x:t>
        </x:is>
      </x:c>
      <x:c r="M252" s="160" t="inlineStr">
        <x:is>
          <x:t xml:space="preserve">WATCH</x:t>
        </x:is>
      </x:c>
      <x:c r="N252" s="160" t="inlineStr">
        <x:is>
          <x:t xml:space="preserve">R-SECTOR-POWER-GRID</x:t>
        </x:is>
      </x:c>
      <x:c r="O252" s="160" t="inlineStr">
        <x:is>
          <x:t xml:space="preserve">BASE</x:t>
        </x:is>
      </x:c>
      <x:c r="P252" s="160" t="inlineStr">
        <x:is>
          <x:t xml:space="preserve">PARTIAL CATCH</x:t>
        </x:is>
      </x:c>
      <x:c r="Q252" s="160" t="inlineStr">
        <x:is>
          <x:t xml:space="preserve">The base refinement catches the main failure, but evidence thresholds and per-share/counterfactual details remain underspecified.</x:t>
        </x:is>
      </x:c>
      <x:c r="R252"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S252" s="160" t="inlineStr">
        <x:is>
          <x:t xml:space="preserve">NO</x:t>
        </x:is>
      </x:c>
      <x:c r="T252" s="160" t="inlineStr">
        <x:is>
          <x:t xml:space="preserve">BASE</x:t>
        </x:is>
      </x:c>
      <x:c r="U252" s="160" t="inlineStr">
        <x:is>
          <x:t xml:space="preserve">V10.5-SIM36</x:t>
        </x:is>
      </x:c>
      <x:c r="V252" s="160" t="inlineStr">
        <x:is>
          <x:t xml:space="preserve">https://investors.hubbell.com</x:t>
        </x:is>
      </x:c>
      <x:c r="W252" s="160" t="inlineStr">
        <x:is>
          <x:t xml:space="preserve">NO</x:t>
        </x:is>
      </x:c>
      <x:c r="X252" s="160" t="inlineStr">
        <x:is>
          <x:t xml:space="preserve">NONE — DEVELOPMENT ONLY</x:t>
        </x:is>
      </x:c>
      <x:c r="Y252" s="160" t="inlineStr">
        <x:is>
          <x:t xml:space="preserve">Synthetic/adversarial model-development loop. No historical outcome is claimed; no accuracy point is awarded.</x:t>
        </x:is>
      </x:c>
    </x:row>
    <x:row r="253">
      <x:c r="A253" s="160" t="inlineStr">
        <x:is>
          <x:t xml:space="preserve">ML0248</x:t>
        </x:is>
      </x:c>
      <x:c r="B253" s="160" t="inlineStr">
        <x:is>
          <x:t xml:space="preserve">ARG-016</x:t>
        </x:is>
      </x:c>
      <x:c r="C253" s="160" t="inlineStr">
        <x:is>
          <x:t xml:space="preserve">Hubbell</x:t>
        </x:is>
      </x:c>
      <x:c r="D253" s="160" t="inlineStr">
        <x:is>
          <x:t xml:space="preserve">HUBB</x:t>
        </x:is>
      </x:c>
      <x:c r="E253" s="160" t="inlineStr">
        <x:is>
          <x:t xml:space="preserve">Power &amp; Grid</x:t>
        </x:is>
      </x:c>
      <x:c r="F253" s="160" t="inlineStr">
        <x:is>
          <x:t xml:space="preserve">Development</x:t>
        </x:is>
      </x:c>
      <x:c r="G253" s="160" t="inlineStr">
        <x:is>
          <x:t xml:space="preserve">S08</x:t>
        </x:is>
      </x:c>
      <x:c r="H253" s="160" t="inlineStr">
        <x:is>
          <x:t xml:space="preserve">Management Promise Reliability</x:t>
        </x:is>
      </x:c>
      <x:c r="I253" s="160" t="inlineStr">
        <x:is>
          <x:t xml:space="preserve">Management over-trust</x:t>
        </x:is>
      </x:c>
      <x:c r="J253" s="160" t="inlineStr">
        <x:is>
          <x:t xml:space="preserve">Guidance or strategic promises are repeated but the model lacks a contemporaneous reliability score.</x:t>
        </x:is>
      </x:c>
      <x:c r="K253" s="160" t="inlineStr">
        <x:is>
          <x:t xml:space="preserve">Utility components demand × price/mix</x:t>
        </x:is>
      </x:c>
      <x:c r="L253" s="160" t="inlineStr">
        <x:is>
          <x:t xml:space="preserve">Owner earnings + reverse DCF</x:t>
        </x:is>
      </x:c>
      <x:c r="M253" s="160" t="inlineStr">
        <x:is>
          <x:t xml:space="preserve">WATCH</x:t>
        </x:is>
      </x:c>
      <x:c r="N253" s="160" t="inlineStr">
        <x:is>
          <x:t xml:space="preserve">R-PROM-01</x:t>
        </x:is>
      </x:c>
      <x:c r="O253" s="160" t="inlineStr">
        <x:is>
          <x:t xml:space="preserve">HARDENED</x:t>
        </x:is>
      </x:c>
      <x:c r="P253" s="160" t="inlineStr">
        <x:is>
          <x:t xml:space="preserve">ROBUST WITH RESIDUAL</x:t>
        </x:is>
      </x:c>
      <x:c r="Q253" s="160" t="inlineStr">
        <x:is>
          <x:t xml:space="preserve">The hardened rule catches the stress. Residual risk is mainly evidence quality, threshold calibration or interaction with another gate.</x:t>
        </x:is>
      </x:c>
      <x:c r="R253" s="160" t="inlineStr">
        <x:is>
          <x:t xml:space="preserve">Use a promises ledger with dated promise, measurable deliverable, due date, outcome and credibility weight.</x:t>
        </x:is>
      </x:c>
      <x:c r="S253" s="160" t="inlineStr">
        <x:is>
          <x:t xml:space="preserve">NO</x:t>
        </x:is>
      </x:c>
      <x:c r="T253" s="160" t="inlineStr">
        <x:is>
          <x:t xml:space="preserve">HARDENED</x:t>
        </x:is>
      </x:c>
      <x:c r="U253" s="160" t="inlineStr">
        <x:is>
          <x:t xml:space="preserve">V10.5-SIM36</x:t>
        </x:is>
      </x:c>
      <x:c r="V253" s="160" t="inlineStr">
        <x:is>
          <x:t xml:space="preserve">https://investors.hubbell.com</x:t>
        </x:is>
      </x:c>
      <x:c r="W253" s="160" t="inlineStr">
        <x:is>
          <x:t xml:space="preserve">NO</x:t>
        </x:is>
      </x:c>
      <x:c r="X253" s="160" t="inlineStr">
        <x:is>
          <x:t xml:space="preserve">NONE — DEVELOPMENT ONLY</x:t>
        </x:is>
      </x:c>
      <x:c r="Y253" s="160" t="inlineStr">
        <x:is>
          <x:t xml:space="preserve">Synthetic/adversarial model-development loop. No historical outcome is claimed; no accuracy point is awarded.</x:t>
        </x:is>
      </x:c>
    </x:row>
    <x:row r="254">
      <x:c r="A254" s="160" t="inlineStr">
        <x:is>
          <x:t xml:space="preserve">ML0249</x:t>
        </x:is>
      </x:c>
      <x:c r="B254" s="160" t="inlineStr">
        <x:is>
          <x:t xml:space="preserve">ARG-016</x:t>
        </x:is>
      </x:c>
      <x:c r="C254" s="160" t="inlineStr">
        <x:is>
          <x:t xml:space="preserve">Hubbell</x:t>
        </x:is>
      </x:c>
      <x:c r="D254" s="160" t="inlineStr">
        <x:is>
          <x:t xml:space="preserve">HUBB</x:t>
        </x:is>
      </x:c>
      <x:c r="E254" s="160" t="inlineStr">
        <x:is>
          <x:t xml:space="preserve">Power &amp; Grid</x:t>
        </x:is>
      </x:c>
      <x:c r="F254" s="160" t="inlineStr">
        <x:is>
          <x:t xml:space="preserve">Development</x:t>
        </x:is>
      </x:c>
      <x:c r="G254" s="160" t="inlineStr">
        <x:is>
          <x:t xml:space="preserve">S09</x:t>
        </x:is>
      </x:c>
      <x:c r="H254" s="160" t="inlineStr">
        <x:is>
          <x:t xml:space="preserve">Data / Accounting Quality</x:t>
        </x:is>
      </x:c>
      <x:c r="I254" s="160" t="inlineStr">
        <x:is>
          <x:t xml:space="preserve">Data quality</x:t>
        </x:is>
      </x:c>
      <x:c r="J254" s="160" t="inlineStr">
        <x:is>
          <x:t xml:space="preserve">Restatement, segment reclassification, one-time item or non-economic fair-value movement distorts the apparent trend.</x:t>
        </x:is>
      </x:c>
      <x:c r="K254" s="160" t="inlineStr">
        <x:is>
          <x:t xml:space="preserve">Utility components demand × price/mix</x:t>
        </x:is>
      </x:c>
      <x:c r="L254" s="160" t="inlineStr">
        <x:is>
          <x:t xml:space="preserve">Owner earnings + reverse DCF</x:t>
        </x:is>
      </x:c>
      <x:c r="M254" s="160" t="inlineStr">
        <x:is>
          <x:t xml:space="preserve">WATCH</x:t>
        </x:is>
      </x:c>
      <x:c r="N254" s="160" t="inlineStr">
        <x:is>
          <x:t xml:space="preserve">R-DATA-01</x:t>
        </x:is>
      </x:c>
      <x:c r="O254" s="160" t="inlineStr">
        <x:is>
          <x:t xml:space="preserve">HARDENED</x:t>
        </x:is>
      </x:c>
      <x:c r="P254" s="160" t="inlineStr">
        <x:is>
          <x:t xml:space="preserve">ROBUST WITH RESIDUAL</x:t>
        </x:is>
      </x:c>
      <x:c r="Q254" s="160" t="inlineStr">
        <x:is>
          <x:t xml:space="preserve">The hardened rule catches the stress. Residual risk is mainly evidence quality, threshold calibration or interaction with another gate.</x:t>
        </x:is>
      </x:c>
      <x:c r="R254" s="160" t="inlineStr">
        <x:is>
          <x:t xml:space="preserve">Add a reporting-quality bridge and normalize accounting noise before any gate can pass.</x:t>
        </x:is>
      </x:c>
      <x:c r="S254" s="160" t="inlineStr">
        <x:is>
          <x:t xml:space="preserve">NO</x:t>
        </x:is>
      </x:c>
      <x:c r="T254" s="160" t="inlineStr">
        <x:is>
          <x:t xml:space="preserve">HARDENED</x:t>
        </x:is>
      </x:c>
      <x:c r="U254" s="160" t="inlineStr">
        <x:is>
          <x:t xml:space="preserve">V10.5-SIM36</x:t>
        </x:is>
      </x:c>
      <x:c r="V254" s="160" t="inlineStr">
        <x:is>
          <x:t xml:space="preserve">https://investors.hubbell.com</x:t>
        </x:is>
      </x:c>
      <x:c r="W254" s="160" t="inlineStr">
        <x:is>
          <x:t xml:space="preserve">NO</x:t>
        </x:is>
      </x:c>
      <x:c r="X254" s="160" t="inlineStr">
        <x:is>
          <x:t xml:space="preserve">NONE — DEVELOPMENT ONLY</x:t>
        </x:is>
      </x:c>
      <x:c r="Y254" s="160" t="inlineStr">
        <x:is>
          <x:t xml:space="preserve">Synthetic/adversarial model-development loop. No historical outcome is claimed; no accuracy point is awarded.</x:t>
        </x:is>
      </x:c>
    </x:row>
    <x:row r="255">
      <x:c r="A255" s="160" t="inlineStr">
        <x:is>
          <x:t xml:space="preserve">ML0250</x:t>
        </x:is>
      </x:c>
      <x:c r="B255" s="160" t="inlineStr">
        <x:is>
          <x:t xml:space="preserve">ARG-016</x:t>
        </x:is>
      </x:c>
      <x:c r="C255" s="160" t="inlineStr">
        <x:is>
          <x:t xml:space="preserve">Hubbell</x:t>
        </x:is>
      </x:c>
      <x:c r="D255" s="160" t="inlineStr">
        <x:is>
          <x:t xml:space="preserve">HUBB</x:t>
        </x:is>
      </x:c>
      <x:c r="E255" s="160" t="inlineStr">
        <x:is>
          <x:t xml:space="preserve">Power &amp; Grid</x:t>
        </x:is>
      </x:c>
      <x:c r="F255" s="160" t="inlineStr">
        <x:is>
          <x:t xml:space="preserve">Development</x:t>
        </x:is>
      </x:c>
      <x:c r="G255" s="160" t="inlineStr">
        <x:is>
          <x:t xml:space="preserve">S10</x:t>
        </x:is>
      </x:c>
      <x:c r="H255" s="160" t="inlineStr">
        <x:is>
          <x:t xml:space="preserve">Control / Counterfactual</x:t>
        </x:is>
      </x:c>
      <x:c r="I255" s="160" t="inlineStr">
        <x:is>
          <x:t xml:space="preserve">Sector beta vs company alpha</x:t>
        </x:is>
      </x:c>
      <x:c r="J255" s="160" t="inlineStr">
        <x:is>
          <x:t xml:space="preserve">A positive outcome is mostly sector beta or macro tailwind, not company-specific alpha.</x:t>
        </x:is>
      </x:c>
      <x:c r="K255" s="160" t="inlineStr">
        <x:is>
          <x:t xml:space="preserve">Utility components demand × price/mix</x:t>
        </x:is>
      </x:c>
      <x:c r="L255" s="160" t="inlineStr">
        <x:is>
          <x:t xml:space="preserve">Owner earnings + reverse DCF</x:t>
        </x:is>
      </x:c>
      <x:c r="M255" s="160" t="inlineStr">
        <x:is>
          <x:t xml:space="preserve">WATCH</x:t>
        </x:is>
      </x:c>
      <x:c r="N255" s="160" t="inlineStr">
        <x:is>
          <x:t xml:space="preserve">R-CF-01</x:t>
        </x:is>
      </x:c>
      <x:c r="O255" s="160" t="inlineStr">
        <x:is>
          <x:t xml:space="preserve">HARDENED</x:t>
        </x:is>
      </x:c>
      <x:c r="P255" s="160" t="inlineStr">
        <x:is>
          <x:t xml:space="preserve">ROBUST WITH RESIDUAL</x:t>
        </x:is>
      </x:c>
      <x:c r="Q255" s="160" t="inlineStr">
        <x:is>
          <x:t xml:space="preserve">The hardened rule catches the stress. Residual risk is mainly evidence quality, threshold calibration or interaction with another gate.</x:t>
        </x:is>
      </x:c>
      <x:c r="R255" s="160" t="inlineStr">
        <x:is>
          <x:t xml:space="preserve">Require a true economic control and counterfactual: what should have happened to a comparable company under the same shock?</x:t>
        </x:is>
      </x:c>
      <x:c r="S255" s="160" t="inlineStr">
        <x:is>
          <x:t xml:space="preserve">NO</x:t>
        </x:is>
      </x:c>
      <x:c r="T255" s="160" t="inlineStr">
        <x:is>
          <x:t xml:space="preserve">HARDENED</x:t>
        </x:is>
      </x:c>
      <x:c r="U255" s="160" t="inlineStr">
        <x:is>
          <x:t xml:space="preserve">V10.5-SIM36</x:t>
        </x:is>
      </x:c>
      <x:c r="V255" s="160" t="inlineStr">
        <x:is>
          <x:t xml:space="preserve">https://investors.hubbell.com</x:t>
        </x:is>
      </x:c>
      <x:c r="W255" s="160" t="inlineStr">
        <x:is>
          <x:t xml:space="preserve">NO</x:t>
        </x:is>
      </x:c>
      <x:c r="X255" s="160" t="inlineStr">
        <x:is>
          <x:t xml:space="preserve">NONE — DEVELOPMENT ONLY</x:t>
        </x:is>
      </x:c>
      <x:c r="Y255" s="160" t="inlineStr">
        <x:is>
          <x:t xml:space="preserve">Synthetic/adversarial model-development loop. No historical outcome is claimed; no accuracy point is awarded.</x:t>
        </x:is>
      </x:c>
    </x:row>
    <x:row r="256">
      <x:c r="A256" s="160" t="inlineStr">
        <x:is>
          <x:t xml:space="preserve">ML0251</x:t>
        </x:is>
      </x:c>
      <x:c r="B256" s="160" t="inlineStr">
        <x:is>
          <x:t xml:space="preserve">ARG-016</x:t>
        </x:is>
      </x:c>
      <x:c r="C256" s="160" t="inlineStr">
        <x:is>
          <x:t xml:space="preserve">Hubbell</x:t>
        </x:is>
      </x:c>
      <x:c r="D256" s="160" t="inlineStr">
        <x:is>
          <x:t xml:space="preserve">HUBB</x:t>
        </x:is>
      </x:c>
      <x:c r="E256" s="160" t="inlineStr">
        <x:is>
          <x:t xml:space="preserve">Power &amp; Grid</x:t>
        </x:is>
      </x:c>
      <x:c r="F256" s="160" t="inlineStr">
        <x:is>
          <x:t xml:space="preserve">Development</x:t>
        </x:is>
      </x:c>
      <x:c r="G256" s="160" t="inlineStr">
        <x:is>
          <x:t xml:space="preserve">S11</x:t>
        </x:is>
      </x:c>
      <x:c r="H256" s="160" t="inlineStr">
        <x:is>
          <x:t xml:space="preserve">False-Negative Discipline</x:t>
        </x:is>
      </x:c>
      <x:c r="I256" s="160" t="inlineStr">
        <x:is>
          <x:t xml:space="preserve">False negative</x:t>
        </x:is>
      </x:c>
      <x:c r="J256" s="160" t="inlineStr">
        <x:is>
          <x:t xml:space="preserve">A strict gate rejects a company that later compounds strongly for reasons the model could have known.</x:t>
        </x:is>
      </x:c>
      <x:c r="K256" s="160" t="inlineStr">
        <x:is>
          <x:t xml:space="preserve">Utility components demand × price/mix</x:t>
        </x:is>
      </x:c>
      <x:c r="L256" s="160" t="inlineStr">
        <x:is>
          <x:t xml:space="preserve">Owner earnings + reverse DCF</x:t>
        </x:is>
      </x:c>
      <x:c r="M256" s="160" t="inlineStr">
        <x:is>
          <x:t xml:space="preserve">WATCH</x:t>
        </x:is>
      </x:c>
      <x:c r="N256" s="160" t="inlineStr">
        <x:is>
          <x:t xml:space="preserve">R-FN-01</x:t>
        </x:is>
      </x:c>
      <x:c r="O256" s="160" t="inlineStr">
        <x:is>
          <x:t xml:space="preserve">HARDENED</x:t>
        </x:is>
      </x:c>
      <x:c r="P256" s="160" t="inlineStr">
        <x:is>
          <x:t xml:space="preserve">ROBUST WITH RESIDUAL</x:t>
        </x:is>
      </x:c>
      <x:c r="Q256" s="160" t="inlineStr">
        <x:is>
          <x:t xml:space="preserve">The hardened rule catches the stress. Residual risk is mainly evidence quality, threshold calibration or interaction with another gate.</x:t>
        </x:is>
      </x:c>
      <x:c r="R256" s="160" t="inlineStr">
        <x:is>
          <x:t xml:space="preserve">Track opportunity cost and classify whether the miss came from evidence timing, wrong threshold or genuinely unknowable upside.</x:t>
        </x:is>
      </x:c>
      <x:c r="S256" s="160" t="inlineStr">
        <x:is>
          <x:t xml:space="preserve">NO</x:t>
        </x:is>
      </x:c>
      <x:c r="T256" s="160" t="inlineStr">
        <x:is>
          <x:t xml:space="preserve">HARDENED</x:t>
        </x:is>
      </x:c>
      <x:c r="U256" s="160" t="inlineStr">
        <x:is>
          <x:t xml:space="preserve">V10.5-SIM36</x:t>
        </x:is>
      </x:c>
      <x:c r="V256" s="160" t="inlineStr">
        <x:is>
          <x:t xml:space="preserve">https://investors.hubbell.com</x:t>
        </x:is>
      </x:c>
      <x:c r="W256" s="160" t="inlineStr">
        <x:is>
          <x:t xml:space="preserve">NO</x:t>
        </x:is>
      </x:c>
      <x:c r="X256" s="160" t="inlineStr">
        <x:is>
          <x:t xml:space="preserve">NONE — DEVELOPMENT ONLY</x:t>
        </x:is>
      </x:c>
      <x:c r="Y256" s="160" t="inlineStr">
        <x:is>
          <x:t xml:space="preserve">Synthetic/adversarial model-development loop. No historical outcome is claimed; no accuracy point is awarded.</x:t>
        </x:is>
      </x:c>
    </x:row>
    <x:row r="257">
      <x:c r="A257" s="160" t="inlineStr">
        <x:is>
          <x:t xml:space="preserve">ML0252</x:t>
        </x:is>
      </x:c>
      <x:c r="B257" s="160" t="inlineStr">
        <x:is>
          <x:t xml:space="preserve">ARG-016</x:t>
        </x:is>
      </x:c>
      <x:c r="C257" s="160" t="inlineStr">
        <x:is>
          <x:t xml:space="preserve">Hubbell</x:t>
        </x:is>
      </x:c>
      <x:c r="D257" s="160" t="inlineStr">
        <x:is>
          <x:t xml:space="preserve">HUBB</x:t>
        </x:is>
      </x:c>
      <x:c r="E257" s="160" t="inlineStr">
        <x:is>
          <x:t xml:space="preserve">Power &amp; Grid</x:t>
        </x:is>
      </x:c>
      <x:c r="F257" s="160" t="inlineStr">
        <x:is>
          <x:t xml:space="preserve">Development</x:t>
        </x:is>
      </x:c>
      <x:c r="G257" s="160" t="inlineStr">
        <x:is>
          <x:t xml:space="preserve">S12</x:t>
        </x:is>
      </x:c>
      <x:c r="H257" s="160" t="inlineStr">
        <x:is>
          <x:t xml:space="preserve">Lead-Time / Early Sensor</x:t>
        </x:is>
      </x:c>
      <x:c r="I257" s="160" t="inlineStr">
        <x:is>
          <x:t xml:space="preserve">Timing / lead-time</x:t>
        </x:is>
      </x:c>
      <x:c r="J257" s="160" t="inlineStr">
        <x:is>
          <x:t xml:space="preserve">ARGUS identifies the change correctly but only after consensus and price have already reacted.</x:t>
        </x:is>
      </x:c>
      <x:c r="K257" s="160" t="inlineStr">
        <x:is>
          <x:t xml:space="preserve">Utility components demand × price/mix</x:t>
        </x:is>
      </x:c>
      <x:c r="L257" s="160" t="inlineStr">
        <x:is>
          <x:t xml:space="preserve">Owner earnings + reverse DCF</x:t>
        </x:is>
      </x:c>
      <x:c r="M257" s="160" t="inlineStr">
        <x:is>
          <x:t xml:space="preserve">WATCH</x:t>
        </x:is>
      </x:c>
      <x:c r="N257" s="160" t="inlineStr">
        <x:is>
          <x:t xml:space="preserve">R-TIME-01</x:t>
        </x:is>
      </x:c>
      <x:c r="O257" s="160" t="inlineStr">
        <x:is>
          <x:t xml:space="preserve">HARDENED</x:t>
        </x:is>
      </x:c>
      <x:c r="P257" s="160" t="inlineStr">
        <x:is>
          <x:t xml:space="preserve">ROBUST WITH RESIDUAL</x:t>
        </x:is>
      </x:c>
      <x:c r="Q257" s="160" t="inlineStr">
        <x:is>
          <x:t xml:space="preserve">The hardened rule catches the stress. Residual risk is mainly evidence quality, threshold calibration or interaction with another gate.</x:t>
        </x:is>
      </x:c>
      <x:c r="R257" s="160" t="inlineStr">
        <x:is>
          <x:t xml:space="preserve">Replace lagging financial metrics with earlier causal operating sensors and record lead time separately from correctness.</x:t>
        </x:is>
      </x:c>
      <x:c r="S257" s="160" t="inlineStr">
        <x:is>
          <x:t xml:space="preserve">NO</x:t>
        </x:is>
      </x:c>
      <x:c r="T257" s="160" t="inlineStr">
        <x:is>
          <x:t xml:space="preserve">HARDENED</x:t>
        </x:is>
      </x:c>
      <x:c r="U257" s="160" t="inlineStr">
        <x:is>
          <x:t xml:space="preserve">V10.5-SIM36</x:t>
        </x:is>
      </x:c>
      <x:c r="V257" s="160" t="inlineStr">
        <x:is>
          <x:t xml:space="preserve">https://investors.hubbell.com</x:t>
        </x:is>
      </x:c>
      <x:c r="W257" s="160" t="inlineStr">
        <x:is>
          <x:t xml:space="preserve">NO</x:t>
        </x:is>
      </x:c>
      <x:c r="X257" s="160" t="inlineStr">
        <x:is>
          <x:t xml:space="preserve">NONE — DEVELOPMENT ONLY</x:t>
        </x:is>
      </x:c>
      <x:c r="Y257" s="160" t="inlineStr">
        <x:is>
          <x:t xml:space="preserve">Synthetic/adversarial model-development loop. No historical outcome is claimed; no accuracy point is awarded.</x:t>
        </x:is>
      </x:c>
    </x:row>
    <x:row r="258">
      <x:c r="A258" s="160" t="inlineStr">
        <x:is>
          <x:t xml:space="preserve">ML0253</x:t>
        </x:is>
      </x:c>
      <x:c r="B258" s="160" t="inlineStr">
        <x:is>
          <x:t xml:space="preserve">ARG-016</x:t>
        </x:is>
      </x:c>
      <x:c r="C258" s="160" t="inlineStr">
        <x:is>
          <x:t xml:space="preserve">Hubbell</x:t>
        </x:is>
      </x:c>
      <x:c r="D258" s="160" t="inlineStr">
        <x:is>
          <x:t xml:space="preserve">HUBB</x:t>
        </x:is>
      </x:c>
      <x:c r="E258" s="160" t="inlineStr">
        <x:is>
          <x:t xml:space="preserve">Power &amp; Grid</x:t>
        </x:is>
      </x:c>
      <x:c r="F258" s="160" t="inlineStr">
        <x:is>
          <x:t xml:space="preserve">Development</x:t>
        </x:is>
      </x:c>
      <x:c r="G258" s="160" t="inlineStr">
        <x:is>
          <x:t xml:space="preserve">S13</x:t>
        </x:is>
      </x:c>
      <x:c r="H258" s="160" t="inlineStr">
        <x:is>
          <x:t xml:space="preserve">Cycle Normalization</x:t>
        </x:is>
      </x:c>
      <x:c r="I258" s="160" t="inlineStr">
        <x:is>
          <x:t xml:space="preserve">Wrong valuation lens</x:t>
        </x:is>
      </x:c>
      <x:c r="J258" s="160" t="inlineStr">
        <x:is>
          <x:t xml:space="preserve">Peak/trough earnings are mistaken for normalized earning power.</x:t>
        </x:is>
      </x:c>
      <x:c r="K258" s="160" t="inlineStr">
        <x:is>
          <x:t xml:space="preserve">Utility components demand × price/mix</x:t>
        </x:is>
      </x:c>
      <x:c r="L258" s="160" t="inlineStr">
        <x:is>
          <x:t xml:space="preserve">Owner earnings + reverse DCF</x:t>
        </x:is>
      </x:c>
      <x:c r="M258" s="160" t="inlineStr">
        <x:is>
          <x:t xml:space="preserve">WATCH</x:t>
        </x:is>
      </x:c>
      <x:c r="N258" s="160" t="inlineStr">
        <x:is>
          <x:t xml:space="preserve">R-CYCLE-01</x:t>
        </x:is>
      </x:c>
      <x:c r="O258" s="160" t="inlineStr">
        <x:is>
          <x:t xml:space="preserve">HARDENED</x:t>
        </x:is>
      </x:c>
      <x:c r="P258" s="160" t="inlineStr">
        <x:is>
          <x:t xml:space="preserve">ROBUST WITH RESIDUAL</x:t>
        </x:is>
      </x:c>
      <x:c r="Q258" s="160" t="inlineStr">
        <x:is>
          <x:t xml:space="preserve">The hardened rule catches the stress. Residual risk is mainly evidence quality, threshold calibration or interaction with another gate.</x:t>
        </x:is>
      </x:c>
      <x:c r="R258" s="160" t="inlineStr">
        <x:is>
          <x:t xml:space="preserve">Use sector-specific mid-cycle/NAV/rate-base/rNPV normalization before applying a valuation multiple.</x:t>
        </x:is>
      </x:c>
      <x:c r="S258" s="160" t="inlineStr">
        <x:is>
          <x:t xml:space="preserve">NO</x:t>
        </x:is>
      </x:c>
      <x:c r="T258" s="160" t="inlineStr">
        <x:is>
          <x:t xml:space="preserve">HARDENED</x:t>
        </x:is>
      </x:c>
      <x:c r="U258" s="160" t="inlineStr">
        <x:is>
          <x:t xml:space="preserve">V10.5-SIM36</x:t>
        </x:is>
      </x:c>
      <x:c r="V258" s="160" t="inlineStr">
        <x:is>
          <x:t xml:space="preserve">https://investors.hubbell.com</x:t>
        </x:is>
      </x:c>
      <x:c r="W258" s="160" t="inlineStr">
        <x:is>
          <x:t xml:space="preserve">NO</x:t>
        </x:is>
      </x:c>
      <x:c r="X258" s="160" t="inlineStr">
        <x:is>
          <x:t xml:space="preserve">NONE — DEVELOPMENT ONLY</x:t>
        </x:is>
      </x:c>
      <x:c r="Y258" s="160" t="inlineStr">
        <x:is>
          <x:t xml:space="preserve">Synthetic/adversarial model-development loop. No historical outcome is claimed; no accuracy point is awarded.</x:t>
        </x:is>
      </x:c>
    </x:row>
    <x:row r="259">
      <x:c r="A259" s="160" t="inlineStr">
        <x:is>
          <x:t xml:space="preserve">ML0254</x:t>
        </x:is>
      </x:c>
      <x:c r="B259" s="160" t="inlineStr">
        <x:is>
          <x:t xml:space="preserve">ARG-016</x:t>
        </x:is>
      </x:c>
      <x:c r="C259" s="160" t="inlineStr">
        <x:is>
          <x:t xml:space="preserve">Hubbell</x:t>
        </x:is>
      </x:c>
      <x:c r="D259" s="160" t="inlineStr">
        <x:is>
          <x:t xml:space="preserve">HUBB</x:t>
        </x:is>
      </x:c>
      <x:c r="E259" s="160" t="inlineStr">
        <x:is>
          <x:t xml:space="preserve">Power &amp; Grid</x:t>
        </x:is>
      </x:c>
      <x:c r="F259" s="160" t="inlineStr">
        <x:is>
          <x:t xml:space="preserve">Development</x:t>
        </x:is>
      </x:c>
      <x:c r="G259" s="160" t="inlineStr">
        <x:is>
          <x:t xml:space="preserve">S14</x:t>
        </x:is>
      </x:c>
      <x:c r="H259" s="160" t="inlineStr">
        <x:is>
          <x:t xml:space="preserve">M&amp;A / Organic Growth Separation</x:t>
        </x:is>
      </x:c>
      <x:c r="I259" s="160" t="inlineStr">
        <x:is>
          <x:t xml:space="preserve">Stewardship</x:t>
        </x:is>
      </x:c>
      <x:c r="J259" s="160" t="inlineStr">
        <x:is>
          <x:t xml:space="preserve">Acquisition-driven growth masks weak organic economics or poor incremental ROIC.</x:t>
        </x:is>
      </x:c>
      <x:c r="K259" s="160" t="inlineStr">
        <x:is>
          <x:t xml:space="preserve">Utility components demand × price/mix</x:t>
        </x:is>
      </x:c>
      <x:c r="L259" s="160" t="inlineStr">
        <x:is>
          <x:t xml:space="preserve">Owner earnings + reverse DCF</x:t>
        </x:is>
      </x:c>
      <x:c r="M259" s="160" t="inlineStr">
        <x:is>
          <x:t xml:space="preserve">WATCH</x:t>
        </x:is>
      </x:c>
      <x:c r="N259" s="160" t="inlineStr">
        <x:is>
          <x:t xml:space="preserve">R-MA-01</x:t>
        </x:is>
      </x:c>
      <x:c r="O259" s="160" t="inlineStr">
        <x:is>
          <x:t xml:space="preserve">HARDENED</x:t>
        </x:is>
      </x:c>
      <x:c r="P259" s="160" t="inlineStr">
        <x:is>
          <x:t xml:space="preserve">ROBUST WITH RESIDUAL</x:t>
        </x:is>
      </x:c>
      <x:c r="Q259" s="160" t="inlineStr">
        <x:is>
          <x:t xml:space="preserve">The hardened rule catches the stress. Residual risk is mainly evidence quality, threshold calibration or interaction with another gate.</x:t>
        </x:is>
      </x:c>
      <x:c r="R259" s="160" t="inlineStr">
        <x:is>
          <x:t xml:space="preserve">Bridge organic growth, acquired growth, purchase price, integration costs and acquisition-cohort ROIC.</x:t>
        </x:is>
      </x:c>
      <x:c r="S259" s="160" t="inlineStr">
        <x:is>
          <x:t xml:space="preserve">NO</x:t>
        </x:is>
      </x:c>
      <x:c r="T259" s="160" t="inlineStr">
        <x:is>
          <x:t xml:space="preserve">HARDENED</x:t>
        </x:is>
      </x:c>
      <x:c r="U259" s="160" t="inlineStr">
        <x:is>
          <x:t xml:space="preserve">V10.5-SIM36</x:t>
        </x:is>
      </x:c>
      <x:c r="V259" s="160" t="inlineStr">
        <x:is>
          <x:t xml:space="preserve">https://investors.hubbell.com</x:t>
        </x:is>
      </x:c>
      <x:c r="W259" s="160" t="inlineStr">
        <x:is>
          <x:t xml:space="preserve">NO</x:t>
        </x:is>
      </x:c>
      <x:c r="X259" s="160" t="inlineStr">
        <x:is>
          <x:t xml:space="preserve">NONE — DEVELOPMENT ONLY</x:t>
        </x:is>
      </x:c>
      <x:c r="Y259" s="160" t="inlineStr">
        <x:is>
          <x:t xml:space="preserve">Synthetic/adversarial model-development loop. No historical outcome is claimed; no accuracy point is awarded.</x:t>
        </x:is>
      </x:c>
    </x:row>
    <x:row r="260">
      <x:c r="A260" s="160" t="inlineStr">
        <x:is>
          <x:t xml:space="preserve">ML0255</x:t>
        </x:is>
      </x:c>
      <x:c r="B260" s="160" t="inlineStr">
        <x:is>
          <x:t xml:space="preserve">ARG-016</x:t>
        </x:is>
      </x:c>
      <x:c r="C260" s="160" t="inlineStr">
        <x:is>
          <x:t xml:space="preserve">Hubbell</x:t>
        </x:is>
      </x:c>
      <x:c r="D260" s="160" t="inlineStr">
        <x:is>
          <x:t xml:space="preserve">HUBB</x:t>
        </x:is>
      </x:c>
      <x:c r="E260" s="160" t="inlineStr">
        <x:is>
          <x:t xml:space="preserve">Power &amp; Grid</x:t>
        </x:is>
      </x:c>
      <x:c r="F260" s="160" t="inlineStr">
        <x:is>
          <x:t xml:space="preserve">Development</x:t>
        </x:is>
      </x:c>
      <x:c r="G260" s="160" t="inlineStr">
        <x:is>
          <x:t xml:space="preserve">S15</x:t>
        </x:is>
      </x:c>
      <x:c r="H260" s="160" t="inlineStr">
        <x:is>
          <x:t xml:space="preserve">Financing / Dilution Per Share</x:t>
        </x:is>
      </x:c>
      <x:c r="I260" s="160" t="inlineStr">
        <x:is>
          <x:t xml:space="preserve">Stewardship</x:t>
        </x:is>
      </x:c>
      <x:c r="J260" s="160" t="inlineStr">
        <x:is>
          <x:t xml:space="preserve">Cash balance or revenue growth improves while financing causes material per-share value leakage.</x:t>
        </x:is>
      </x:c>
      <x:c r="K260" s="160" t="inlineStr">
        <x:is>
          <x:t xml:space="preserve">Utility components demand × price/mix</x:t>
        </x:is>
      </x:c>
      <x:c r="L260" s="160" t="inlineStr">
        <x:is>
          <x:t xml:space="preserve">Owner earnings + reverse DCF</x:t>
        </x:is>
      </x:c>
      <x:c r="M260" s="160" t="inlineStr">
        <x:is>
          <x:t xml:space="preserve">WATCH</x:t>
        </x:is>
      </x:c>
      <x:c r="N260" s="160" t="inlineStr">
        <x:is>
          <x:t xml:space="preserve">R-DIL-01</x:t>
        </x:is>
      </x:c>
      <x:c r="O260" s="160" t="inlineStr">
        <x:is>
          <x:t xml:space="preserve">HARDENED</x:t>
        </x:is>
      </x:c>
      <x:c r="P260" s="160" t="inlineStr">
        <x:is>
          <x:t xml:space="preserve">ROBUST WITH RESIDUAL</x:t>
        </x:is>
      </x:c>
      <x:c r="Q260" s="160" t="inlineStr">
        <x:is>
          <x:t xml:space="preserve">The hardened rule catches the stress. Residual risk is mainly evidence quality, threshold calibration or interaction with another gate.</x:t>
        </x:is>
      </x:c>
      <x:c r="R260" s="160" t="inlineStr">
        <x:is>
          <x:t xml:space="preserve">Reconcile share-count growth, SBC, equity issuance, buybacks and net cash changes to per-share intrinsic value.</x:t>
        </x:is>
      </x:c>
      <x:c r="S260" s="160" t="inlineStr">
        <x:is>
          <x:t xml:space="preserve">NO</x:t>
        </x:is>
      </x:c>
      <x:c r="T260" s="160" t="inlineStr">
        <x:is>
          <x:t xml:space="preserve">HARDENED</x:t>
        </x:is>
      </x:c>
      <x:c r="U260" s="160" t="inlineStr">
        <x:is>
          <x:t xml:space="preserve">V10.5-SIM36</x:t>
        </x:is>
      </x:c>
      <x:c r="V260" s="160" t="inlineStr">
        <x:is>
          <x:t xml:space="preserve">https://investors.hubbell.com</x:t>
        </x:is>
      </x:c>
      <x:c r="W260" s="160" t="inlineStr">
        <x:is>
          <x:t xml:space="preserve">NO</x:t>
        </x:is>
      </x:c>
      <x:c r="X260" s="160" t="inlineStr">
        <x:is>
          <x:t xml:space="preserve">NONE — DEVELOPMENT ONLY</x:t>
        </x:is>
      </x:c>
      <x:c r="Y260" s="160" t="inlineStr">
        <x:is>
          <x:t xml:space="preserve">Synthetic/adversarial model-development loop. No historical outcome is claimed; no accuracy point is awarded.</x:t>
        </x:is>
      </x:c>
    </x:row>
    <x:row r="261">
      <x:c r="A261" s="160" t="inlineStr">
        <x:is>
          <x:t xml:space="preserve">ML0256</x:t>
        </x:is>
      </x:c>
      <x:c r="B261" s="160" t="inlineStr">
        <x:is>
          <x:t xml:space="preserve">ARG-016</x:t>
        </x:is>
      </x:c>
      <x:c r="C261" s="160" t="inlineStr">
        <x:is>
          <x:t xml:space="preserve">Hubbell</x:t>
        </x:is>
      </x:c>
      <x:c r="D261" s="160" t="inlineStr">
        <x:is>
          <x:t xml:space="preserve">HUBB</x:t>
        </x:is>
      </x:c>
      <x:c r="E261" s="160" t="inlineStr">
        <x:is>
          <x:t xml:space="preserve">Power &amp; Grid</x:t>
        </x:is>
      </x:c>
      <x:c r="F261" s="160" t="inlineStr">
        <x:is>
          <x:t xml:space="preserve">Development</x:t>
        </x:is>
      </x:c>
      <x:c r="G261" s="160" t="inlineStr">
        <x:is>
          <x:t xml:space="preserve">S16</x:t>
        </x:is>
      </x:c>
      <x:c r="H261" s="160" t="inlineStr">
        <x:is>
          <x:t xml:space="preserve">Concentration / Tail Risk</x:t>
        </x:is>
      </x:c>
      <x:c r="I261" s="160" t="inlineStr">
        <x:is>
          <x:t xml:space="preserve">Survival</x:t>
        </x:is>
      </x:c>
      <x:c r="J261" s="160" t="inlineStr">
        <x:is>
          <x:t xml:space="preserve">A concentrated supplier, geography, customer, product, patent, regulatory or technology dependency creates asymmetric permanent-loss risk.</x:t>
        </x:is>
      </x:c>
      <x:c r="K261" s="160" t="inlineStr">
        <x:is>
          <x:t xml:space="preserve">Utility components demand × price/mix</x:t>
        </x:is>
      </x:c>
      <x:c r="L261" s="160" t="inlineStr">
        <x:is>
          <x:t xml:space="preserve">Owner earnings + reverse DCF</x:t>
        </x:is>
      </x:c>
      <x:c r="M261" s="160" t="inlineStr">
        <x:is>
          <x:t xml:space="preserve">WATCH</x:t>
        </x:is>
      </x:c>
      <x:c r="N261" s="160" t="inlineStr">
        <x:is>
          <x:t xml:space="preserve">R-TAIL-01</x:t>
        </x:is>
      </x:c>
      <x:c r="O261" s="160" t="inlineStr">
        <x:is>
          <x:t xml:space="preserve">HARDENED</x:t>
        </x:is>
      </x:c>
      <x:c r="P261" s="160" t="inlineStr">
        <x:is>
          <x:t xml:space="preserve">ROBUST WITH RESIDUAL</x:t>
        </x:is>
      </x:c>
      <x:c r="Q261" s="160" t="inlineStr">
        <x:is>
          <x:t xml:space="preserve">The hardened rule catches the stress. Residual risk is mainly evidence quality, threshold calibration or interaction with another gate.</x:t>
        </x:is>
      </x:c>
      <x:c r="R261" s="160" t="inlineStr">
        <x:is>
          <x:t xml:space="preserve">Maintain an explicit concentration/tail-risk register with probability, severity, mitigation and required margin-of-safety premium.</x:t>
        </x:is>
      </x:c>
      <x:c r="S261" s="160" t="inlineStr">
        <x:is>
          <x:t xml:space="preserve">NO</x:t>
        </x:is>
      </x:c>
      <x:c r="T261" s="160" t="inlineStr">
        <x:is>
          <x:t xml:space="preserve">HARDENED</x:t>
        </x:is>
      </x:c>
      <x:c r="U261" s="160" t="inlineStr">
        <x:is>
          <x:t xml:space="preserve">V10.5-SIM36</x:t>
        </x:is>
      </x:c>
      <x:c r="V261" s="160" t="inlineStr">
        <x:is>
          <x:t xml:space="preserve">https://investors.hubbell.com</x:t>
        </x:is>
      </x:c>
      <x:c r="W261" s="160" t="inlineStr">
        <x:is>
          <x:t xml:space="preserve">NO</x:t>
        </x:is>
      </x:c>
      <x:c r="X261" s="160" t="inlineStr">
        <x:is>
          <x:t xml:space="preserve">NONE — DEVELOPMENT ONLY</x:t>
        </x:is>
      </x:c>
      <x:c r="Y261" s="160" t="inlineStr">
        <x:is>
          <x:t xml:space="preserve">Synthetic/adversarial model-development loop. No historical outcome is claimed; no accuracy point is awarded.</x:t>
        </x:is>
      </x:c>
    </x:row>
    <x:row r="262">
      <x:c r="A262" s="160" t="inlineStr">
        <x:is>
          <x:t xml:space="preserve">ML0257</x:t>
        </x:is>
      </x:c>
      <x:c r="B262" s="160" t="inlineStr">
        <x:is>
          <x:t xml:space="preserve">ARG-017</x:t>
        </x:is>
      </x:c>
      <x:c r="C262" s="160" t="inlineStr">
        <x:is>
          <x:t xml:space="preserve">Vertiv</x:t>
        </x:is>
      </x:c>
      <x:c r="D262" s="160" t="inlineStr">
        <x:is>
          <x:t xml:space="preserve">VRT</x:t>
        </x:is>
      </x:c>
      <x:c r="E262" s="160" t="inlineStr">
        <x:is>
          <x:t xml:space="preserve">Power &amp; Grid</x:t>
        </x:is>
      </x:c>
      <x:c r="F262" s="160" t="inlineStr">
        <x:is>
          <x:t xml:space="preserve">Development</x:t>
        </x:is>
      </x:c>
      <x:c r="G262" s="160" t="inlineStr">
        <x:is>
          <x:t xml:space="preserve">S01</x:t>
        </x:is>
      </x:c>
      <x:c r="H262" s="160" t="inlineStr">
        <x:is>
          <x:t xml:space="preserve">Understanding Gate</x:t>
        </x:is>
      </x:c>
      <x:c r="I262" s="160" t="inlineStr">
        <x:is>
          <x:t xml:space="preserve">Understanding</x:t>
        </x:is>
      </x:c>
      <x:c r="J262" s="160" t="inlineStr">
        <x:is>
          <x:t xml:space="preserve">Causal engine / customer ROI chain breaks under a misleading headline KPI.</x:t>
        </x:is>
      </x:c>
      <x:c r="K262" s="160" t="inlineStr">
        <x:is>
          <x:t xml:space="preserve">Data-center capacity × content × margins</x:t>
        </x:is>
      </x:c>
      <x:c r="L262" s="160" t="inlineStr">
        <x:is>
          <x:t xml:space="preserve">Owner earnings + reverse DCF</x:t>
        </x:is>
      </x:c>
      <x:c r="M262" s="160" t="inlineStr">
        <x:is>
          <x:t xml:space="preserve">WAIT FOR PRICE</x:t>
        </x:is>
      </x:c>
      <x:c r="N262" s="160" t="inlineStr">
        <x:is>
          <x:t xml:space="preserve">R-ENG-01</x:t>
        </x:is>
      </x:c>
      <x:c r="O262" s="160" t="inlineStr">
        <x:is>
          <x:t xml:space="preserve">HARDENED</x:t>
        </x:is>
      </x:c>
      <x:c r="P262" s="160" t="inlineStr">
        <x:is>
          <x:t xml:space="preserve">ROBUST WITH RESIDUAL</x:t>
        </x:is>
      </x:c>
      <x:c r="Q262" s="160" t="inlineStr">
        <x:is>
          <x:t xml:space="preserve">The hardened rule catches the stress. Residual risk is mainly evidence quality, threshold calibration or interaction with another gate.</x:t>
        </x:is>
      </x:c>
      <x:c r="R262" s="160" t="inlineStr">
        <x:is>
          <x:t xml:space="preserve">Force an explicit engine tree: customer job → unit economics → revenue driver → owner-value bridge.</x:t>
        </x:is>
      </x:c>
      <x:c r="S262" s="160" t="inlineStr">
        <x:is>
          <x:t xml:space="preserve">NO</x:t>
        </x:is>
      </x:c>
      <x:c r="T262" s="160" t="inlineStr">
        <x:is>
          <x:t xml:space="preserve">HARDENED</x:t>
        </x:is>
      </x:c>
      <x:c r="U262" s="160" t="inlineStr">
        <x:is>
          <x:t xml:space="preserve">V10.5-SIM36</x:t>
        </x:is>
      </x:c>
      <x:c r="V262" s="160" t="inlineStr">
        <x:is>
          <x:t xml:space="preserve">https://investors.vertiv.com</x:t>
        </x:is>
      </x:c>
      <x:c r="W262" s="160" t="inlineStr">
        <x:is>
          <x:t xml:space="preserve">NO</x:t>
        </x:is>
      </x:c>
      <x:c r="X262" s="160" t="inlineStr">
        <x:is>
          <x:t xml:space="preserve">NONE — DEVELOPMENT ONLY</x:t>
        </x:is>
      </x:c>
      <x:c r="Y262" s="160" t="inlineStr">
        <x:is>
          <x:t xml:space="preserve">Synthetic/adversarial model-development loop. No historical outcome is claimed; no accuracy point is awarded.</x:t>
        </x:is>
      </x:c>
    </x:row>
    <x:row r="263">
      <x:c r="A263" s="160" t="inlineStr">
        <x:is>
          <x:t xml:space="preserve">ML0258</x:t>
        </x:is>
      </x:c>
      <x:c r="B263" s="160" t="inlineStr">
        <x:is>
          <x:t xml:space="preserve">ARG-017</x:t>
        </x:is>
      </x:c>
      <x:c r="C263" s="160" t="inlineStr">
        <x:is>
          <x:t xml:space="preserve">Vertiv</x:t>
        </x:is>
      </x:c>
      <x:c r="D263" s="160" t="inlineStr">
        <x:is>
          <x:t xml:space="preserve">VRT</x:t>
        </x:is>
      </x:c>
      <x:c r="E263" s="160" t="inlineStr">
        <x:is>
          <x:t xml:space="preserve">Power &amp; Grid</x:t>
        </x:is>
      </x:c>
      <x:c r="F263" s="160" t="inlineStr">
        <x:is>
          <x:t xml:space="preserve">Development</x:t>
        </x:is>
      </x:c>
      <x:c r="G263" s="160" t="inlineStr">
        <x:is>
          <x:t xml:space="preserve">S02</x:t>
        </x:is>
      </x:c>
      <x:c r="H263" s="160" t="inlineStr">
        <x:is>
          <x:t xml:space="preserve">Owner Earnings Normalization</x:t>
        </x:is>
      </x:c>
      <x:c r="I263" s="160" t="inlineStr">
        <x:is>
          <x:t xml:space="preserve">Owner Earnings</x:t>
        </x:is>
      </x:c>
      <x:c r="J263" s="160" t="inlineStr">
        <x:is>
          <x:t xml:space="preserve">Reported earnings/FCF overstates economic cash because recurring reinvestment or non-cash compensation is misclassified.</x:t>
        </x:is>
      </x:c>
      <x:c r="K263" s="160" t="inlineStr">
        <x:is>
          <x:t xml:space="preserve">Data-center capacity × content × margins</x:t>
        </x:is>
      </x:c>
      <x:c r="L263" s="160" t="inlineStr">
        <x:is>
          <x:t xml:space="preserve">Owner earnings + reverse DCF</x:t>
        </x:is>
      </x:c>
      <x:c r="M263" s="160" t="inlineStr">
        <x:is>
          <x:t xml:space="preserve">WAIT FOR PRICE</x:t>
        </x:is>
      </x:c>
      <x:c r="N263" s="160" t="inlineStr">
        <x:is>
          <x:t xml:space="preserve">R-OE-01</x:t>
        </x:is>
      </x:c>
      <x:c r="O263" s="160" t="inlineStr">
        <x:is>
          <x:t xml:space="preserve">HARDENED</x:t>
        </x:is>
      </x:c>
      <x:c r="P263" s="160" t="inlineStr">
        <x:is>
          <x:t xml:space="preserve">ROBUST WITH RESIDUAL</x:t>
        </x:is>
      </x:c>
      <x:c r="Q263" s="160" t="inlineStr">
        <x:is>
          <x:t xml:space="preserve">The hardened rule catches the stress. Residual risk is mainly evidence quality, threshold calibration or interaction with another gate.</x:t>
        </x:is>
      </x:c>
      <x:c r="R263" s="160" t="inlineStr">
        <x:is>
          <x:t xml:space="preserve">Require a GAAP-to-economic-owner-cash bridge tailored to the business model.</x:t>
        </x:is>
      </x:c>
      <x:c r="S263" s="160" t="inlineStr">
        <x:is>
          <x:t xml:space="preserve">NO</x:t>
        </x:is>
      </x:c>
      <x:c r="T263" s="160" t="inlineStr">
        <x:is>
          <x:t xml:space="preserve">HARDENED</x:t>
        </x:is>
      </x:c>
      <x:c r="U263" s="160" t="inlineStr">
        <x:is>
          <x:t xml:space="preserve">V10.5-SIM36</x:t>
        </x:is>
      </x:c>
      <x:c r="V263" s="160" t="inlineStr">
        <x:is>
          <x:t xml:space="preserve">https://investors.vertiv.com</x:t>
        </x:is>
      </x:c>
      <x:c r="W263" s="160" t="inlineStr">
        <x:is>
          <x:t xml:space="preserve">NO</x:t>
        </x:is>
      </x:c>
      <x:c r="X263" s="160" t="inlineStr">
        <x:is>
          <x:t xml:space="preserve">NONE — DEVELOPMENT ONLY</x:t>
        </x:is>
      </x:c>
      <x:c r="Y263" s="160" t="inlineStr">
        <x:is>
          <x:t xml:space="preserve">Synthetic/adversarial model-development loop. No historical outcome is claimed; no accuracy point is awarded.</x:t>
        </x:is>
      </x:c>
    </x:row>
    <x:row r="264">
      <x:c r="A264" s="160" t="inlineStr">
        <x:is>
          <x:t xml:space="preserve">ML0259</x:t>
        </x:is>
      </x:c>
      <x:c r="B264" s="160" t="inlineStr">
        <x:is>
          <x:t xml:space="preserve">ARG-017</x:t>
        </x:is>
      </x:c>
      <x:c r="C264" s="160" t="inlineStr">
        <x:is>
          <x:t xml:space="preserve">Vertiv</x:t>
        </x:is>
      </x:c>
      <x:c r="D264" s="160" t="inlineStr">
        <x:is>
          <x:t xml:space="preserve">VRT</x:t>
        </x:is>
      </x:c>
      <x:c r="E264" s="160" t="inlineStr">
        <x:is>
          <x:t xml:space="preserve">Power &amp; Grid</x:t>
        </x:is>
      </x:c>
      <x:c r="F264" s="160" t="inlineStr">
        <x:is>
          <x:t xml:space="preserve">Development</x:t>
        </x:is>
      </x:c>
      <x:c r="G264" s="160" t="inlineStr">
        <x:is>
          <x:t xml:space="preserve">S03</x:t>
        </x:is>
      </x:c>
      <x:c r="H264" s="160" t="inlineStr">
        <x:is>
          <x:t xml:space="preserve">Moat Durability</x:t>
        </x:is>
      </x:c>
      <x:c r="I264" s="160" t="inlineStr">
        <x:is>
          <x:t xml:space="preserve">Moat 2036</x:t>
        </x:is>
      </x:c>
      <x:c r="J264" s="160" t="inlineStr">
        <x:is>
          <x:t xml:space="preserve">Growth continues while switching friction, pricing power or replacement difficulty quietly weakens.</x:t>
        </x:is>
      </x:c>
      <x:c r="K264" s="160" t="inlineStr">
        <x:is>
          <x:t xml:space="preserve">Data-center capacity × content × margins</x:t>
        </x:is>
      </x:c>
      <x:c r="L264" s="160" t="inlineStr">
        <x:is>
          <x:t xml:space="preserve">Owner earnings + reverse DCF</x:t>
        </x:is>
      </x:c>
      <x:c r="M264" s="160" t="inlineStr">
        <x:is>
          <x:t xml:space="preserve">WAIT FOR PRICE</x:t>
        </x:is>
      </x:c>
      <x:c r="N264" s="160" t="inlineStr">
        <x:is>
          <x:t xml:space="preserve">R-MOAT-01</x:t>
        </x:is>
      </x:c>
      <x:c r="O264" s="160" t="inlineStr">
        <x:is>
          <x:t xml:space="preserve">HARDENED</x:t>
        </x:is>
      </x:c>
      <x:c r="P264" s="160" t="inlineStr">
        <x:is>
          <x:t xml:space="preserve">ROBUST WITH RESIDUAL</x:t>
        </x:is>
      </x:c>
      <x:c r="Q264" s="160" t="inlineStr">
        <x:is>
          <x:t xml:space="preserve">The hardened rule catches the stress. Residual risk is mainly evidence quality, threshold calibration or interaction with another gate.</x:t>
        </x:is>
      </x:c>
      <x:c r="R264" s="160" t="inlineStr">
        <x:is>
          <x:t xml:space="preserve">Track moat telemetry separately from growth: retention, pricing, win/loss, replacement friction, installed-base behavior.</x:t>
        </x:is>
      </x:c>
      <x:c r="S264" s="160" t="inlineStr">
        <x:is>
          <x:t xml:space="preserve">NO</x:t>
        </x:is>
      </x:c>
      <x:c r="T264" s="160" t="inlineStr">
        <x:is>
          <x:t xml:space="preserve">HARDENED</x:t>
        </x:is>
      </x:c>
      <x:c r="U264" s="160" t="inlineStr">
        <x:is>
          <x:t xml:space="preserve">V10.5-SIM36</x:t>
        </x:is>
      </x:c>
      <x:c r="V264" s="160" t="inlineStr">
        <x:is>
          <x:t xml:space="preserve">https://investors.vertiv.com</x:t>
        </x:is>
      </x:c>
      <x:c r="W264" s="160" t="inlineStr">
        <x:is>
          <x:t xml:space="preserve">NO</x:t>
        </x:is>
      </x:c>
      <x:c r="X264" s="160" t="inlineStr">
        <x:is>
          <x:t xml:space="preserve">NONE — DEVELOPMENT ONLY</x:t>
        </x:is>
      </x:c>
      <x:c r="Y264" s="160" t="inlineStr">
        <x:is>
          <x:t xml:space="preserve">Synthetic/adversarial model-development loop. No historical outcome is claimed; no accuracy point is awarded.</x:t>
        </x:is>
      </x:c>
    </x:row>
    <x:row r="265">
      <x:c r="A265" s="160" t="inlineStr">
        <x:is>
          <x:t xml:space="preserve">ML0260</x:t>
        </x:is>
      </x:c>
      <x:c r="B265" s="160" t="inlineStr">
        <x:is>
          <x:t xml:space="preserve">ARG-017</x:t>
        </x:is>
      </x:c>
      <x:c r="C265" s="160" t="inlineStr">
        <x:is>
          <x:t xml:space="preserve">Vertiv</x:t>
        </x:is>
      </x:c>
      <x:c r="D265" s="160" t="inlineStr">
        <x:is>
          <x:t xml:space="preserve">VRT</x:t>
        </x:is>
      </x:c>
      <x:c r="E265" s="160" t="inlineStr">
        <x:is>
          <x:t xml:space="preserve">Power &amp; Grid</x:t>
        </x:is>
      </x:c>
      <x:c r="F265" s="160" t="inlineStr">
        <x:is>
          <x:t xml:space="preserve">Development</x:t>
        </x:is>
      </x:c>
      <x:c r="G265" s="160" t="inlineStr">
        <x:is>
          <x:t xml:space="preserve">S04</x:t>
        </x:is>
      </x:c>
      <x:c r="H265" s="160" t="inlineStr">
        <x:is>
          <x:t xml:space="preserve">Stewardship / Capital Allocation</x:t>
        </x:is>
      </x:c>
      <x:c r="I265" s="160" t="inlineStr">
        <x:is>
          <x:t xml:space="preserve">Stewardship</x:t>
        </x:is>
      </x:c>
      <x:c r="J265" s="160" t="inlineStr">
        <x:is>
          <x:t xml:space="preserve">Management creates enterprise growth while destroying per-share value through M&amp;A, dilution, leverage or mistimed buybacks.</x:t>
        </x:is>
      </x:c>
      <x:c r="K265" s="160" t="inlineStr">
        <x:is>
          <x:t xml:space="preserve">Data-center capacity × content × margins</x:t>
        </x:is>
      </x:c>
      <x:c r="L265" s="160" t="inlineStr">
        <x:is>
          <x:t xml:space="preserve">Owner earnings + reverse DCF</x:t>
        </x:is>
      </x:c>
      <x:c r="M265" s="160" t="inlineStr">
        <x:is>
          <x:t xml:space="preserve">WAIT FOR PRICE</x:t>
        </x:is>
      </x:c>
      <x:c r="N265" s="160" t="inlineStr">
        <x:is>
          <x:t xml:space="preserve">R-STEW-01</x:t>
        </x:is>
      </x:c>
      <x:c r="O265" s="160" t="inlineStr">
        <x:is>
          <x:t xml:space="preserve">HARDENED</x:t>
        </x:is>
      </x:c>
      <x:c r="P265" s="160" t="inlineStr">
        <x:is>
          <x:t xml:space="preserve">ROBUST WITH RESIDUAL</x:t>
        </x:is>
      </x:c>
      <x:c r="Q265" s="160" t="inlineStr">
        <x:is>
          <x:t xml:space="preserve">The hardened rule catches the stress. Residual risk is mainly evidence quality, threshold calibration or interaction with another gate.</x:t>
        </x:is>
      </x:c>
      <x:c r="R265" s="160" t="inlineStr">
        <x:is>
          <x:t xml:space="preserve">Evaluate capital allocation on a per-share basis using acquisition cohorts, dilution, leverage and repurchase price discipline.</x:t>
        </x:is>
      </x:c>
      <x:c r="S265" s="160" t="inlineStr">
        <x:is>
          <x:t xml:space="preserve">NO</x:t>
        </x:is>
      </x:c>
      <x:c r="T265" s="160" t="inlineStr">
        <x:is>
          <x:t xml:space="preserve">HARDENED</x:t>
        </x:is>
      </x:c>
      <x:c r="U265" s="160" t="inlineStr">
        <x:is>
          <x:t xml:space="preserve">V10.5-SIM36</x:t>
        </x:is>
      </x:c>
      <x:c r="V265" s="160" t="inlineStr">
        <x:is>
          <x:t xml:space="preserve">https://investors.vertiv.com</x:t>
        </x:is>
      </x:c>
      <x:c r="W265" s="160" t="inlineStr">
        <x:is>
          <x:t xml:space="preserve">NO</x:t>
        </x:is>
      </x:c>
      <x:c r="X265" s="160" t="inlineStr">
        <x:is>
          <x:t xml:space="preserve">NONE — DEVELOPMENT ONLY</x:t>
        </x:is>
      </x:c>
      <x:c r="Y265" s="160" t="inlineStr">
        <x:is>
          <x:t xml:space="preserve">Synthetic/adversarial model-development loop. No historical outcome is claimed; no accuracy point is awarded.</x:t>
        </x:is>
      </x:c>
    </x:row>
    <x:row r="266">
      <x:c r="A266" s="160" t="inlineStr">
        <x:is>
          <x:t xml:space="preserve">ML0261</x:t>
        </x:is>
      </x:c>
      <x:c r="B266" s="160" t="inlineStr">
        <x:is>
          <x:t xml:space="preserve">ARG-017</x:t>
        </x:is>
      </x:c>
      <x:c r="C266" s="160" t="inlineStr">
        <x:is>
          <x:t xml:space="preserve">Vertiv</x:t>
        </x:is>
      </x:c>
      <x:c r="D266" s="160" t="inlineStr">
        <x:is>
          <x:t xml:space="preserve">VRT</x:t>
        </x:is>
      </x:c>
      <x:c r="E266" s="160" t="inlineStr">
        <x:is>
          <x:t xml:space="preserve">Power &amp; Grid</x:t>
        </x:is>
      </x:c>
      <x:c r="F266" s="160" t="inlineStr">
        <x:is>
          <x:t xml:space="preserve">Development</x:t>
        </x:is>
      </x:c>
      <x:c r="G266" s="160" t="inlineStr">
        <x:is>
          <x:t xml:space="preserve">S05</x:t>
        </x:is>
      </x:c>
      <x:c r="H266" s="160" t="inlineStr">
        <x:is>
          <x:t xml:space="preserve">Survival / Funding</x:t>
        </x:is>
      </x:c>
      <x:c r="I266" s="160" t="inlineStr">
        <x:is>
          <x:t xml:space="preserve">Survival</x:t>
        </x:is>
      </x:c>
      <x:c r="J266" s="160" t="inlineStr">
        <x:is>
          <x:t xml:space="preserve">A plausible bear case exposes refinancing, liquidity, covenant, reserve, regulatory or operational fragility.</x:t>
        </x:is>
      </x:c>
      <x:c r="K266" s="160" t="inlineStr">
        <x:is>
          <x:t xml:space="preserve">Data-center capacity × content × margins</x:t>
        </x:is>
      </x:c>
      <x:c r="L266" s="160" t="inlineStr">
        <x:is>
          <x:t xml:space="preserve">Owner earnings + reverse DCF</x:t>
        </x:is>
      </x:c>
      <x:c r="M266" s="160" t="inlineStr">
        <x:is>
          <x:t xml:space="preserve">WAIT FOR PRICE</x:t>
        </x:is>
      </x:c>
      <x:c r="N266" s="160" t="inlineStr">
        <x:is>
          <x:t xml:space="preserve">R-SURV-01</x:t>
        </x:is>
      </x:c>
      <x:c r="O266" s="160" t="inlineStr">
        <x:is>
          <x:t xml:space="preserve">HARDENED</x:t>
        </x:is>
      </x:c>
      <x:c r="P266" s="160" t="inlineStr">
        <x:is>
          <x:t xml:space="preserve">ROBUST WITH RESIDUAL</x:t>
        </x:is>
      </x:c>
      <x:c r="Q266" s="160" t="inlineStr">
        <x:is>
          <x:t xml:space="preserve">The hardened rule catches the stress. Residual risk is mainly evidence quality, threshold calibration or interaction with another gate.</x:t>
        </x:is>
      </x:c>
      <x:c r="R266" s="160" t="inlineStr">
        <x:is>
          <x:t xml:space="preserve">Run a company-specific survival bridge under a severe-but-plausible bear case before any upside underwriting.</x:t>
        </x:is>
      </x:c>
      <x:c r="S266" s="160" t="inlineStr">
        <x:is>
          <x:t xml:space="preserve">NO</x:t>
        </x:is>
      </x:c>
      <x:c r="T266" s="160" t="inlineStr">
        <x:is>
          <x:t xml:space="preserve">HARDENED</x:t>
        </x:is>
      </x:c>
      <x:c r="U266" s="160" t="inlineStr">
        <x:is>
          <x:t xml:space="preserve">V10.5-SIM36</x:t>
        </x:is>
      </x:c>
      <x:c r="V266" s="160" t="inlineStr">
        <x:is>
          <x:t xml:space="preserve">https://investors.vertiv.com</x:t>
        </x:is>
      </x:c>
      <x:c r="W266" s="160" t="inlineStr">
        <x:is>
          <x:t xml:space="preserve">NO</x:t>
        </x:is>
      </x:c>
      <x:c r="X266" s="160" t="inlineStr">
        <x:is>
          <x:t xml:space="preserve">NONE — DEVELOPMENT ONLY</x:t>
        </x:is>
      </x:c>
      <x:c r="Y266" s="160" t="inlineStr">
        <x:is>
          <x:t xml:space="preserve">Synthetic/adversarial model-development loop. No historical outcome is claimed; no accuracy point is awarded.</x:t>
        </x:is>
      </x:c>
    </x:row>
    <x:row r="267">
      <x:c r="A267" s="160" t="inlineStr">
        <x:is>
          <x:t xml:space="preserve">ML0262</x:t>
        </x:is>
      </x:c>
      <x:c r="B267" s="160" t="inlineStr">
        <x:is>
          <x:t xml:space="preserve">ARG-017</x:t>
        </x:is>
      </x:c>
      <x:c r="C267" s="160" t="inlineStr">
        <x:is>
          <x:t xml:space="preserve">Vertiv</x:t>
        </x:is>
      </x:c>
      <x:c r="D267" s="160" t="inlineStr">
        <x:is>
          <x:t xml:space="preserve">VRT</x:t>
        </x:is>
      </x:c>
      <x:c r="E267" s="160" t="inlineStr">
        <x:is>
          <x:t xml:space="preserve">Power &amp; Grid</x:t>
        </x:is>
      </x:c>
      <x:c r="F267" s="160" t="inlineStr">
        <x:is>
          <x:t xml:space="preserve">Development</x:t>
        </x:is>
      </x:c>
      <x:c r="G267" s="160" t="inlineStr">
        <x:is>
          <x:t xml:space="preserve">S06</x:t>
        </x:is>
      </x:c>
      <x:c r="H267" s="160" t="inlineStr">
        <x:is>
          <x:t xml:space="preserve">Margin of Safety</x:t>
        </x:is>
      </x:c>
      <x:c r="I267" s="160" t="inlineStr">
        <x:is>
          <x:t xml:space="preserve">Margin of Safety</x:t>
        </x:is>
      </x:c>
      <x:c r="J267" s="160" t="inlineStr">
        <x:is>
          <x:t xml:space="preserve">Business quality is high but the price embeds a fragile bull case.</x:t>
        </x:is>
      </x:c>
      <x:c r="K267" s="160" t="inlineStr">
        <x:is>
          <x:t xml:space="preserve">Data-center capacity × content × margins</x:t>
        </x:is>
      </x:c>
      <x:c r="L267" s="160" t="inlineStr">
        <x:is>
          <x:t xml:space="preserve">Owner earnings + reverse DCF</x:t>
        </x:is>
      </x:c>
      <x:c r="M267" s="160" t="inlineStr">
        <x:is>
          <x:t xml:space="preserve">WAIT FOR PRICE</x:t>
        </x:is>
      </x:c>
      <x:c r="N267" s="160" t="inlineStr">
        <x:is>
          <x:t xml:space="preserve">R-MOS-01</x:t>
        </x:is>
      </x:c>
      <x:c r="O267" s="160" t="inlineStr">
        <x:is>
          <x:t xml:space="preserve">HARDENED</x:t>
        </x:is>
      </x:c>
      <x:c r="P267" s="160" t="inlineStr">
        <x:is>
          <x:t xml:space="preserve">ROBUST WITH RESIDUAL</x:t>
        </x:is>
      </x:c>
      <x:c r="Q267" s="160" t="inlineStr">
        <x:is>
          <x:t xml:space="preserve">The hardened rule catches the stress. Residual risk is mainly evidence quality, threshold calibration or interaction with another gate.</x:t>
        </x:is>
      </x:c>
      <x:c r="R267" s="160" t="inlineStr">
        <x:is>
          <x:t xml:space="preserve">Separate business-quality score from price decision; require reverse valuation and bear/base/bull IV ranges.</x:t>
        </x:is>
      </x:c>
      <x:c r="S267" s="160" t="inlineStr">
        <x:is>
          <x:t xml:space="preserve">NO</x:t>
        </x:is>
      </x:c>
      <x:c r="T267" s="160" t="inlineStr">
        <x:is>
          <x:t xml:space="preserve">HARDENED</x:t>
        </x:is>
      </x:c>
      <x:c r="U267" s="160" t="inlineStr">
        <x:is>
          <x:t xml:space="preserve">V10.5-SIM36</x:t>
        </x:is>
      </x:c>
      <x:c r="V267" s="160" t="inlineStr">
        <x:is>
          <x:t xml:space="preserve">https://investors.vertiv.com</x:t>
        </x:is>
      </x:c>
      <x:c r="W267" s="160" t="inlineStr">
        <x:is>
          <x:t xml:space="preserve">NO</x:t>
        </x:is>
      </x:c>
      <x:c r="X267" s="160" t="inlineStr">
        <x:is>
          <x:t xml:space="preserve">NONE — DEVELOPMENT ONLY</x:t>
        </x:is>
      </x:c>
      <x:c r="Y267" s="160" t="inlineStr">
        <x:is>
          <x:t xml:space="preserve">Synthetic/adversarial model-development loop. No historical outcome is claimed; no accuracy point is awarded.</x:t>
        </x:is>
      </x:c>
    </x:row>
    <x:row r="268">
      <x:c r="A268" s="160" t="inlineStr">
        <x:is>
          <x:t xml:space="preserve">ML0263</x:t>
        </x:is>
      </x:c>
      <x:c r="B268" s="160" t="inlineStr">
        <x:is>
          <x:t xml:space="preserve">ARG-017</x:t>
        </x:is>
      </x:c>
      <x:c r="C268" s="160" t="inlineStr">
        <x:is>
          <x:t xml:space="preserve">Vertiv</x:t>
        </x:is>
      </x:c>
      <x:c r="D268" s="160" t="inlineStr">
        <x:is>
          <x:t xml:space="preserve">VRT</x:t>
        </x:is>
      </x:c>
      <x:c r="E268" s="160" t="inlineStr">
        <x:is>
          <x:t xml:space="preserve">Power &amp; Grid</x:t>
        </x:is>
      </x:c>
      <x:c r="F268" s="160" t="inlineStr">
        <x:is>
          <x:t xml:space="preserve">Development</x:t>
        </x:is>
      </x:c>
      <x:c r="G268" s="160" t="inlineStr">
        <x:is>
          <x:t xml:space="preserve">S07</x:t>
        </x:is>
      </x:c>
      <x:c r="H268" s="160" t="inlineStr">
        <x:is>
          <x:t xml:space="preserve">Sector Shock</x:t>
        </x:is>
      </x:c>
      <x:c r="I268" s="160" t="inlineStr">
        <x:is>
          <x:t xml:space="preserve">Sector-specific</x:t>
        </x:is>
      </x:c>
      <x:c r="J268" s="160" t="inlineStr">
        <x:is>
          <x:t xml:space="preserve">Backlog stays strong but execution capacity, input inflation, working capital or project mix compresses conversion to owner earnings.</x:t>
        </x:is>
      </x:c>
      <x:c r="K268" s="160" t="inlineStr">
        <x:is>
          <x:t xml:space="preserve">Data-center capacity × content × margins</x:t>
        </x:is>
      </x:c>
      <x:c r="L268" s="160" t="inlineStr">
        <x:is>
          <x:t xml:space="preserve">Owner earnings + reverse DCF</x:t>
        </x:is>
      </x:c>
      <x:c r="M268" s="160" t="inlineStr">
        <x:is>
          <x:t xml:space="preserve">WAIT FOR PRICE</x:t>
        </x:is>
      </x:c>
      <x:c r="N268" s="160" t="inlineStr">
        <x:is>
          <x:t xml:space="preserve">R-SECTOR-POWER-GRID</x:t>
        </x:is>
      </x:c>
      <x:c r="O268" s="160" t="inlineStr">
        <x:is>
          <x:t xml:space="preserve">BASE</x:t>
        </x:is>
      </x:c>
      <x:c r="P268" s="160" t="inlineStr">
        <x:is>
          <x:t xml:space="preserve">PARTIAL CATCH</x:t>
        </x:is>
      </x:c>
      <x:c r="Q268" s="160" t="inlineStr">
        <x:is>
          <x:t xml:space="preserve">The base refinement catches the main failure, but evidence thresholds and per-share/counterfactual details remain underspecified.</x:t>
        </x:is>
      </x:c>
      <x:c r="R268"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S268" s="160" t="inlineStr">
        <x:is>
          <x:t xml:space="preserve">YES — SIMULATION ONLY</x:t>
        </x:is>
      </x:c>
      <x:c r="T268" s="160" t="inlineStr">
        <x:is>
          <x:t xml:space="preserve">HARDENED</x:t>
        </x:is>
      </x:c>
      <x:c r="U268" s="160" t="inlineStr">
        <x:is>
          <x:t xml:space="preserve">V10.5-SIM37</x:t>
        </x:is>
      </x:c>
      <x:c r="V268" s="160" t="inlineStr">
        <x:is>
          <x:t xml:space="preserve">https://investors.vertiv.com</x:t>
        </x:is>
      </x:c>
      <x:c r="W268" s="160" t="inlineStr">
        <x:is>
          <x:t xml:space="preserve">NO</x:t>
        </x:is>
      </x:c>
      <x:c r="X268" s="160" t="inlineStr">
        <x:is>
          <x:t xml:space="preserve">NONE — DEVELOPMENT ONLY</x:t>
        </x:is>
      </x:c>
      <x:c r="Y268" s="160" t="inlineStr">
        <x:is>
          <x:t xml:space="preserve">Synthetic/adversarial model-development loop. No historical outcome is claimed; no accuracy point is awarded.</x:t>
        </x:is>
      </x:c>
    </x:row>
    <x:row r="269">
      <x:c r="A269" s="160" t="inlineStr">
        <x:is>
          <x:t xml:space="preserve">ML0264</x:t>
        </x:is>
      </x:c>
      <x:c r="B269" s="160" t="inlineStr">
        <x:is>
          <x:t xml:space="preserve">ARG-017</x:t>
        </x:is>
      </x:c>
      <x:c r="C269" s="160" t="inlineStr">
        <x:is>
          <x:t xml:space="preserve">Vertiv</x:t>
        </x:is>
      </x:c>
      <x:c r="D269" s="160" t="inlineStr">
        <x:is>
          <x:t xml:space="preserve">VRT</x:t>
        </x:is>
      </x:c>
      <x:c r="E269" s="160" t="inlineStr">
        <x:is>
          <x:t xml:space="preserve">Power &amp; Grid</x:t>
        </x:is>
      </x:c>
      <x:c r="F269" s="160" t="inlineStr">
        <x:is>
          <x:t xml:space="preserve">Development</x:t>
        </x:is>
      </x:c>
      <x:c r="G269" s="160" t="inlineStr">
        <x:is>
          <x:t xml:space="preserve">S08</x:t>
        </x:is>
      </x:c>
      <x:c r="H269" s="160" t="inlineStr">
        <x:is>
          <x:t xml:space="preserve">Management Promise Reliability</x:t>
        </x:is>
      </x:c>
      <x:c r="I269" s="160" t="inlineStr">
        <x:is>
          <x:t xml:space="preserve">Management over-trust</x:t>
        </x:is>
      </x:c>
      <x:c r="J269" s="160" t="inlineStr">
        <x:is>
          <x:t xml:space="preserve">Guidance or strategic promises are repeated but the model lacks a contemporaneous reliability score.</x:t>
        </x:is>
      </x:c>
      <x:c r="K269" s="160" t="inlineStr">
        <x:is>
          <x:t xml:space="preserve">Data-center capacity × content × margins</x:t>
        </x:is>
      </x:c>
      <x:c r="L269" s="160" t="inlineStr">
        <x:is>
          <x:t xml:space="preserve">Owner earnings + reverse DCF</x:t>
        </x:is>
      </x:c>
      <x:c r="M269" s="160" t="inlineStr">
        <x:is>
          <x:t xml:space="preserve">WAIT FOR PRICE</x:t>
        </x:is>
      </x:c>
      <x:c r="N269" s="160" t="inlineStr">
        <x:is>
          <x:t xml:space="preserve">R-PROM-01</x:t>
        </x:is>
      </x:c>
      <x:c r="O269" s="160" t="inlineStr">
        <x:is>
          <x:t xml:space="preserve">HARDENED</x:t>
        </x:is>
      </x:c>
      <x:c r="P269" s="160" t="inlineStr">
        <x:is>
          <x:t xml:space="preserve">ROBUST WITH RESIDUAL</x:t>
        </x:is>
      </x:c>
      <x:c r="Q269" s="160" t="inlineStr">
        <x:is>
          <x:t xml:space="preserve">The hardened rule catches the stress. Residual risk is mainly evidence quality, threshold calibration or interaction with another gate.</x:t>
        </x:is>
      </x:c>
      <x:c r="R269" s="160" t="inlineStr">
        <x:is>
          <x:t xml:space="preserve">Use a promises ledger with dated promise, measurable deliverable, due date, outcome and credibility weight.</x:t>
        </x:is>
      </x:c>
      <x:c r="S269" s="160" t="inlineStr">
        <x:is>
          <x:t xml:space="preserve">NO</x:t>
        </x:is>
      </x:c>
      <x:c r="T269" s="160" t="inlineStr">
        <x:is>
          <x:t xml:space="preserve">HARDENED</x:t>
        </x:is>
      </x:c>
      <x:c r="U269" s="160" t="inlineStr">
        <x:is>
          <x:t xml:space="preserve">V10.5-SIM37</x:t>
        </x:is>
      </x:c>
      <x:c r="V269" s="160" t="inlineStr">
        <x:is>
          <x:t xml:space="preserve">https://investors.vertiv.com</x:t>
        </x:is>
      </x:c>
      <x:c r="W269" s="160" t="inlineStr">
        <x:is>
          <x:t xml:space="preserve">NO</x:t>
        </x:is>
      </x:c>
      <x:c r="X269" s="160" t="inlineStr">
        <x:is>
          <x:t xml:space="preserve">NONE — DEVELOPMENT ONLY</x:t>
        </x:is>
      </x:c>
      <x:c r="Y269" s="160" t="inlineStr">
        <x:is>
          <x:t xml:space="preserve">Synthetic/adversarial model-development loop. No historical outcome is claimed; no accuracy point is awarded.</x:t>
        </x:is>
      </x:c>
    </x:row>
    <x:row r="270">
      <x:c r="A270" s="160" t="inlineStr">
        <x:is>
          <x:t xml:space="preserve">ML0265</x:t>
        </x:is>
      </x:c>
      <x:c r="B270" s="160" t="inlineStr">
        <x:is>
          <x:t xml:space="preserve">ARG-017</x:t>
        </x:is>
      </x:c>
      <x:c r="C270" s="160" t="inlineStr">
        <x:is>
          <x:t xml:space="preserve">Vertiv</x:t>
        </x:is>
      </x:c>
      <x:c r="D270" s="160" t="inlineStr">
        <x:is>
          <x:t xml:space="preserve">VRT</x:t>
        </x:is>
      </x:c>
      <x:c r="E270" s="160" t="inlineStr">
        <x:is>
          <x:t xml:space="preserve">Power &amp; Grid</x:t>
        </x:is>
      </x:c>
      <x:c r="F270" s="160" t="inlineStr">
        <x:is>
          <x:t xml:space="preserve">Development</x:t>
        </x:is>
      </x:c>
      <x:c r="G270" s="160" t="inlineStr">
        <x:is>
          <x:t xml:space="preserve">S09</x:t>
        </x:is>
      </x:c>
      <x:c r="H270" s="160" t="inlineStr">
        <x:is>
          <x:t xml:space="preserve">Data / Accounting Quality</x:t>
        </x:is>
      </x:c>
      <x:c r="I270" s="160" t="inlineStr">
        <x:is>
          <x:t xml:space="preserve">Data quality</x:t>
        </x:is>
      </x:c>
      <x:c r="J270" s="160" t="inlineStr">
        <x:is>
          <x:t xml:space="preserve">Restatement, segment reclassification, one-time item or non-economic fair-value movement distorts the apparent trend.</x:t>
        </x:is>
      </x:c>
      <x:c r="K270" s="160" t="inlineStr">
        <x:is>
          <x:t xml:space="preserve">Data-center capacity × content × margins</x:t>
        </x:is>
      </x:c>
      <x:c r="L270" s="160" t="inlineStr">
        <x:is>
          <x:t xml:space="preserve">Owner earnings + reverse DCF</x:t>
        </x:is>
      </x:c>
      <x:c r="M270" s="160" t="inlineStr">
        <x:is>
          <x:t xml:space="preserve">WAIT FOR PRICE</x:t>
        </x:is>
      </x:c>
      <x:c r="N270" s="160" t="inlineStr">
        <x:is>
          <x:t xml:space="preserve">R-DATA-01</x:t>
        </x:is>
      </x:c>
      <x:c r="O270" s="160" t="inlineStr">
        <x:is>
          <x:t xml:space="preserve">HARDENED</x:t>
        </x:is>
      </x:c>
      <x:c r="P270" s="160" t="inlineStr">
        <x:is>
          <x:t xml:space="preserve">ROBUST WITH RESIDUAL</x:t>
        </x:is>
      </x:c>
      <x:c r="Q270" s="160" t="inlineStr">
        <x:is>
          <x:t xml:space="preserve">The hardened rule catches the stress. Residual risk is mainly evidence quality, threshold calibration or interaction with another gate.</x:t>
        </x:is>
      </x:c>
      <x:c r="R270" s="160" t="inlineStr">
        <x:is>
          <x:t xml:space="preserve">Add a reporting-quality bridge and normalize accounting noise before any gate can pass.</x:t>
        </x:is>
      </x:c>
      <x:c r="S270" s="160" t="inlineStr">
        <x:is>
          <x:t xml:space="preserve">NO</x:t>
        </x:is>
      </x:c>
      <x:c r="T270" s="160" t="inlineStr">
        <x:is>
          <x:t xml:space="preserve">HARDENED</x:t>
        </x:is>
      </x:c>
      <x:c r="U270" s="160" t="inlineStr">
        <x:is>
          <x:t xml:space="preserve">V10.5-SIM37</x:t>
        </x:is>
      </x:c>
      <x:c r="V270" s="160" t="inlineStr">
        <x:is>
          <x:t xml:space="preserve">https://investors.vertiv.com</x:t>
        </x:is>
      </x:c>
      <x:c r="W270" s="160" t="inlineStr">
        <x:is>
          <x:t xml:space="preserve">NO</x:t>
        </x:is>
      </x:c>
      <x:c r="X270" s="160" t="inlineStr">
        <x:is>
          <x:t xml:space="preserve">NONE — DEVELOPMENT ONLY</x:t>
        </x:is>
      </x:c>
      <x:c r="Y270" s="160" t="inlineStr">
        <x:is>
          <x:t xml:space="preserve">Synthetic/adversarial model-development loop. No historical outcome is claimed; no accuracy point is awarded.</x:t>
        </x:is>
      </x:c>
    </x:row>
    <x:row r="271">
      <x:c r="A271" s="160" t="inlineStr">
        <x:is>
          <x:t xml:space="preserve">ML0266</x:t>
        </x:is>
      </x:c>
      <x:c r="B271" s="160" t="inlineStr">
        <x:is>
          <x:t xml:space="preserve">ARG-017</x:t>
        </x:is>
      </x:c>
      <x:c r="C271" s="160" t="inlineStr">
        <x:is>
          <x:t xml:space="preserve">Vertiv</x:t>
        </x:is>
      </x:c>
      <x:c r="D271" s="160" t="inlineStr">
        <x:is>
          <x:t xml:space="preserve">VRT</x:t>
        </x:is>
      </x:c>
      <x:c r="E271" s="160" t="inlineStr">
        <x:is>
          <x:t xml:space="preserve">Power &amp; Grid</x:t>
        </x:is>
      </x:c>
      <x:c r="F271" s="160" t="inlineStr">
        <x:is>
          <x:t xml:space="preserve">Development</x:t>
        </x:is>
      </x:c>
      <x:c r="G271" s="160" t="inlineStr">
        <x:is>
          <x:t xml:space="preserve">S10</x:t>
        </x:is>
      </x:c>
      <x:c r="H271" s="160" t="inlineStr">
        <x:is>
          <x:t xml:space="preserve">Control / Counterfactual</x:t>
        </x:is>
      </x:c>
      <x:c r="I271" s="160" t="inlineStr">
        <x:is>
          <x:t xml:space="preserve">Sector beta vs company alpha</x:t>
        </x:is>
      </x:c>
      <x:c r="J271" s="160" t="inlineStr">
        <x:is>
          <x:t xml:space="preserve">A positive outcome is mostly sector beta or macro tailwind, not company-specific alpha.</x:t>
        </x:is>
      </x:c>
      <x:c r="K271" s="160" t="inlineStr">
        <x:is>
          <x:t xml:space="preserve">Data-center capacity × content × margins</x:t>
        </x:is>
      </x:c>
      <x:c r="L271" s="160" t="inlineStr">
        <x:is>
          <x:t xml:space="preserve">Owner earnings + reverse DCF</x:t>
        </x:is>
      </x:c>
      <x:c r="M271" s="160" t="inlineStr">
        <x:is>
          <x:t xml:space="preserve">WAIT FOR PRICE</x:t>
        </x:is>
      </x:c>
      <x:c r="N271" s="160" t="inlineStr">
        <x:is>
          <x:t xml:space="preserve">R-CF-01</x:t>
        </x:is>
      </x:c>
      <x:c r="O271" s="160" t="inlineStr">
        <x:is>
          <x:t xml:space="preserve">HARDENED</x:t>
        </x:is>
      </x:c>
      <x:c r="P271" s="160" t="inlineStr">
        <x:is>
          <x:t xml:space="preserve">ROBUST WITH RESIDUAL</x:t>
        </x:is>
      </x:c>
      <x:c r="Q271" s="160" t="inlineStr">
        <x:is>
          <x:t xml:space="preserve">The hardened rule catches the stress. Residual risk is mainly evidence quality, threshold calibration or interaction with another gate.</x:t>
        </x:is>
      </x:c>
      <x:c r="R271" s="160" t="inlineStr">
        <x:is>
          <x:t xml:space="preserve">Require a true economic control and counterfactual: what should have happened to a comparable company under the same shock?</x:t>
        </x:is>
      </x:c>
      <x:c r="S271" s="160" t="inlineStr">
        <x:is>
          <x:t xml:space="preserve">NO</x:t>
        </x:is>
      </x:c>
      <x:c r="T271" s="160" t="inlineStr">
        <x:is>
          <x:t xml:space="preserve">HARDENED</x:t>
        </x:is>
      </x:c>
      <x:c r="U271" s="160" t="inlineStr">
        <x:is>
          <x:t xml:space="preserve">V10.5-SIM37</x:t>
        </x:is>
      </x:c>
      <x:c r="V271" s="160" t="inlineStr">
        <x:is>
          <x:t xml:space="preserve">https://investors.vertiv.com</x:t>
        </x:is>
      </x:c>
      <x:c r="W271" s="160" t="inlineStr">
        <x:is>
          <x:t xml:space="preserve">NO</x:t>
        </x:is>
      </x:c>
      <x:c r="X271" s="160" t="inlineStr">
        <x:is>
          <x:t xml:space="preserve">NONE — DEVELOPMENT ONLY</x:t>
        </x:is>
      </x:c>
      <x:c r="Y271" s="160" t="inlineStr">
        <x:is>
          <x:t xml:space="preserve">Synthetic/adversarial model-development loop. No historical outcome is claimed; no accuracy point is awarded.</x:t>
        </x:is>
      </x:c>
    </x:row>
    <x:row r="272">
      <x:c r="A272" s="160" t="inlineStr">
        <x:is>
          <x:t xml:space="preserve">ML0267</x:t>
        </x:is>
      </x:c>
      <x:c r="B272" s="160" t="inlineStr">
        <x:is>
          <x:t xml:space="preserve">ARG-017</x:t>
        </x:is>
      </x:c>
      <x:c r="C272" s="160" t="inlineStr">
        <x:is>
          <x:t xml:space="preserve">Vertiv</x:t>
        </x:is>
      </x:c>
      <x:c r="D272" s="160" t="inlineStr">
        <x:is>
          <x:t xml:space="preserve">VRT</x:t>
        </x:is>
      </x:c>
      <x:c r="E272" s="160" t="inlineStr">
        <x:is>
          <x:t xml:space="preserve">Power &amp; Grid</x:t>
        </x:is>
      </x:c>
      <x:c r="F272" s="160" t="inlineStr">
        <x:is>
          <x:t xml:space="preserve">Development</x:t>
        </x:is>
      </x:c>
      <x:c r="G272" s="160" t="inlineStr">
        <x:is>
          <x:t xml:space="preserve">S11</x:t>
        </x:is>
      </x:c>
      <x:c r="H272" s="160" t="inlineStr">
        <x:is>
          <x:t xml:space="preserve">False-Negative Discipline</x:t>
        </x:is>
      </x:c>
      <x:c r="I272" s="160" t="inlineStr">
        <x:is>
          <x:t xml:space="preserve">False negative</x:t>
        </x:is>
      </x:c>
      <x:c r="J272" s="160" t="inlineStr">
        <x:is>
          <x:t xml:space="preserve">A strict gate rejects a company that later compounds strongly for reasons the model could have known.</x:t>
        </x:is>
      </x:c>
      <x:c r="K272" s="160" t="inlineStr">
        <x:is>
          <x:t xml:space="preserve">Data-center capacity × content × margins</x:t>
        </x:is>
      </x:c>
      <x:c r="L272" s="160" t="inlineStr">
        <x:is>
          <x:t xml:space="preserve">Owner earnings + reverse DCF</x:t>
        </x:is>
      </x:c>
      <x:c r="M272" s="160" t="inlineStr">
        <x:is>
          <x:t xml:space="preserve">WAIT FOR PRICE</x:t>
        </x:is>
      </x:c>
      <x:c r="N272" s="160" t="inlineStr">
        <x:is>
          <x:t xml:space="preserve">R-FN-01</x:t>
        </x:is>
      </x:c>
      <x:c r="O272" s="160" t="inlineStr">
        <x:is>
          <x:t xml:space="preserve">HARDENED</x:t>
        </x:is>
      </x:c>
      <x:c r="P272" s="160" t="inlineStr">
        <x:is>
          <x:t xml:space="preserve">ROBUST WITH RESIDUAL</x:t>
        </x:is>
      </x:c>
      <x:c r="Q272" s="160" t="inlineStr">
        <x:is>
          <x:t xml:space="preserve">The hardened rule catches the stress. Residual risk is mainly evidence quality, threshold calibration or interaction with another gate.</x:t>
        </x:is>
      </x:c>
      <x:c r="R272" s="160" t="inlineStr">
        <x:is>
          <x:t xml:space="preserve">Track opportunity cost and classify whether the miss came from evidence timing, wrong threshold or genuinely unknowable upside.</x:t>
        </x:is>
      </x:c>
      <x:c r="S272" s="160" t="inlineStr">
        <x:is>
          <x:t xml:space="preserve">NO</x:t>
        </x:is>
      </x:c>
      <x:c r="T272" s="160" t="inlineStr">
        <x:is>
          <x:t xml:space="preserve">HARDENED</x:t>
        </x:is>
      </x:c>
      <x:c r="U272" s="160" t="inlineStr">
        <x:is>
          <x:t xml:space="preserve">V10.5-SIM37</x:t>
        </x:is>
      </x:c>
      <x:c r="V272" s="160" t="inlineStr">
        <x:is>
          <x:t xml:space="preserve">https://investors.vertiv.com</x:t>
        </x:is>
      </x:c>
      <x:c r="W272" s="160" t="inlineStr">
        <x:is>
          <x:t xml:space="preserve">NO</x:t>
        </x:is>
      </x:c>
      <x:c r="X272" s="160" t="inlineStr">
        <x:is>
          <x:t xml:space="preserve">NONE — DEVELOPMENT ONLY</x:t>
        </x:is>
      </x:c>
      <x:c r="Y272" s="160" t="inlineStr">
        <x:is>
          <x:t xml:space="preserve">Synthetic/adversarial model-development loop. No historical outcome is claimed; no accuracy point is awarded.</x:t>
        </x:is>
      </x:c>
    </x:row>
    <x:row r="273">
      <x:c r="A273" s="160" t="inlineStr">
        <x:is>
          <x:t xml:space="preserve">ML0268</x:t>
        </x:is>
      </x:c>
      <x:c r="B273" s="160" t="inlineStr">
        <x:is>
          <x:t xml:space="preserve">ARG-017</x:t>
        </x:is>
      </x:c>
      <x:c r="C273" s="160" t="inlineStr">
        <x:is>
          <x:t xml:space="preserve">Vertiv</x:t>
        </x:is>
      </x:c>
      <x:c r="D273" s="160" t="inlineStr">
        <x:is>
          <x:t xml:space="preserve">VRT</x:t>
        </x:is>
      </x:c>
      <x:c r="E273" s="160" t="inlineStr">
        <x:is>
          <x:t xml:space="preserve">Power &amp; Grid</x:t>
        </x:is>
      </x:c>
      <x:c r="F273" s="160" t="inlineStr">
        <x:is>
          <x:t xml:space="preserve">Development</x:t>
        </x:is>
      </x:c>
      <x:c r="G273" s="160" t="inlineStr">
        <x:is>
          <x:t xml:space="preserve">S12</x:t>
        </x:is>
      </x:c>
      <x:c r="H273" s="160" t="inlineStr">
        <x:is>
          <x:t xml:space="preserve">Lead-Time / Early Sensor</x:t>
        </x:is>
      </x:c>
      <x:c r="I273" s="160" t="inlineStr">
        <x:is>
          <x:t xml:space="preserve">Timing / lead-time</x:t>
        </x:is>
      </x:c>
      <x:c r="J273" s="160" t="inlineStr">
        <x:is>
          <x:t xml:space="preserve">ARGUS identifies the change correctly but only after consensus and price have already reacted.</x:t>
        </x:is>
      </x:c>
      <x:c r="K273" s="160" t="inlineStr">
        <x:is>
          <x:t xml:space="preserve">Data-center capacity × content × margins</x:t>
        </x:is>
      </x:c>
      <x:c r="L273" s="160" t="inlineStr">
        <x:is>
          <x:t xml:space="preserve">Owner earnings + reverse DCF</x:t>
        </x:is>
      </x:c>
      <x:c r="M273" s="160" t="inlineStr">
        <x:is>
          <x:t xml:space="preserve">WAIT FOR PRICE</x:t>
        </x:is>
      </x:c>
      <x:c r="N273" s="160" t="inlineStr">
        <x:is>
          <x:t xml:space="preserve">R-TIME-01</x:t>
        </x:is>
      </x:c>
      <x:c r="O273" s="160" t="inlineStr">
        <x:is>
          <x:t xml:space="preserve">HARDENED</x:t>
        </x:is>
      </x:c>
      <x:c r="P273" s="160" t="inlineStr">
        <x:is>
          <x:t xml:space="preserve">ROBUST WITH RESIDUAL</x:t>
        </x:is>
      </x:c>
      <x:c r="Q273" s="160" t="inlineStr">
        <x:is>
          <x:t xml:space="preserve">The hardened rule catches the stress. Residual risk is mainly evidence quality, threshold calibration or interaction with another gate.</x:t>
        </x:is>
      </x:c>
      <x:c r="R273" s="160" t="inlineStr">
        <x:is>
          <x:t xml:space="preserve">Replace lagging financial metrics with earlier causal operating sensors and record lead time separately from correctness.</x:t>
        </x:is>
      </x:c>
      <x:c r="S273" s="160" t="inlineStr">
        <x:is>
          <x:t xml:space="preserve">NO</x:t>
        </x:is>
      </x:c>
      <x:c r="T273" s="160" t="inlineStr">
        <x:is>
          <x:t xml:space="preserve">HARDENED</x:t>
        </x:is>
      </x:c>
      <x:c r="U273" s="160" t="inlineStr">
        <x:is>
          <x:t xml:space="preserve">V10.5-SIM37</x:t>
        </x:is>
      </x:c>
      <x:c r="V273" s="160" t="inlineStr">
        <x:is>
          <x:t xml:space="preserve">https://investors.vertiv.com</x:t>
        </x:is>
      </x:c>
      <x:c r="W273" s="160" t="inlineStr">
        <x:is>
          <x:t xml:space="preserve">NO</x:t>
        </x:is>
      </x:c>
      <x:c r="X273" s="160" t="inlineStr">
        <x:is>
          <x:t xml:space="preserve">NONE — DEVELOPMENT ONLY</x:t>
        </x:is>
      </x:c>
      <x:c r="Y273" s="160" t="inlineStr">
        <x:is>
          <x:t xml:space="preserve">Synthetic/adversarial model-development loop. No historical outcome is claimed; no accuracy point is awarded.</x:t>
        </x:is>
      </x:c>
    </x:row>
    <x:row r="274">
      <x:c r="A274" s="160" t="inlineStr">
        <x:is>
          <x:t xml:space="preserve">ML0269</x:t>
        </x:is>
      </x:c>
      <x:c r="B274" s="160" t="inlineStr">
        <x:is>
          <x:t xml:space="preserve">ARG-017</x:t>
        </x:is>
      </x:c>
      <x:c r="C274" s="160" t="inlineStr">
        <x:is>
          <x:t xml:space="preserve">Vertiv</x:t>
        </x:is>
      </x:c>
      <x:c r="D274" s="160" t="inlineStr">
        <x:is>
          <x:t xml:space="preserve">VRT</x:t>
        </x:is>
      </x:c>
      <x:c r="E274" s="160" t="inlineStr">
        <x:is>
          <x:t xml:space="preserve">Power &amp; Grid</x:t>
        </x:is>
      </x:c>
      <x:c r="F274" s="160" t="inlineStr">
        <x:is>
          <x:t xml:space="preserve">Development</x:t>
        </x:is>
      </x:c>
      <x:c r="G274" s="160" t="inlineStr">
        <x:is>
          <x:t xml:space="preserve">S13</x:t>
        </x:is>
      </x:c>
      <x:c r="H274" s="160" t="inlineStr">
        <x:is>
          <x:t xml:space="preserve">Cycle Normalization</x:t>
        </x:is>
      </x:c>
      <x:c r="I274" s="160" t="inlineStr">
        <x:is>
          <x:t xml:space="preserve">Wrong valuation lens</x:t>
        </x:is>
      </x:c>
      <x:c r="J274" s="160" t="inlineStr">
        <x:is>
          <x:t xml:space="preserve">Peak/trough earnings are mistaken for normalized earning power.</x:t>
        </x:is>
      </x:c>
      <x:c r="K274" s="160" t="inlineStr">
        <x:is>
          <x:t xml:space="preserve">Data-center capacity × content × margins</x:t>
        </x:is>
      </x:c>
      <x:c r="L274" s="160" t="inlineStr">
        <x:is>
          <x:t xml:space="preserve">Owner earnings + reverse DCF</x:t>
        </x:is>
      </x:c>
      <x:c r="M274" s="160" t="inlineStr">
        <x:is>
          <x:t xml:space="preserve">WAIT FOR PRICE</x:t>
        </x:is>
      </x:c>
      <x:c r="N274" s="160" t="inlineStr">
        <x:is>
          <x:t xml:space="preserve">R-CYCLE-01</x:t>
        </x:is>
      </x:c>
      <x:c r="O274" s="160" t="inlineStr">
        <x:is>
          <x:t xml:space="preserve">HARDENED</x:t>
        </x:is>
      </x:c>
      <x:c r="P274" s="160" t="inlineStr">
        <x:is>
          <x:t xml:space="preserve">ROBUST WITH RESIDUAL</x:t>
        </x:is>
      </x:c>
      <x:c r="Q274" s="160" t="inlineStr">
        <x:is>
          <x:t xml:space="preserve">The hardened rule catches the stress. Residual risk is mainly evidence quality, threshold calibration or interaction with another gate.</x:t>
        </x:is>
      </x:c>
      <x:c r="R274" s="160" t="inlineStr">
        <x:is>
          <x:t xml:space="preserve">Use sector-specific mid-cycle/NAV/rate-base/rNPV normalization before applying a valuation multiple.</x:t>
        </x:is>
      </x:c>
      <x:c r="S274" s="160" t="inlineStr">
        <x:is>
          <x:t xml:space="preserve">NO</x:t>
        </x:is>
      </x:c>
      <x:c r="T274" s="160" t="inlineStr">
        <x:is>
          <x:t xml:space="preserve">HARDENED</x:t>
        </x:is>
      </x:c>
      <x:c r="U274" s="160" t="inlineStr">
        <x:is>
          <x:t xml:space="preserve">V10.5-SIM37</x:t>
        </x:is>
      </x:c>
      <x:c r="V274" s="160" t="inlineStr">
        <x:is>
          <x:t xml:space="preserve">https://investors.vertiv.com</x:t>
        </x:is>
      </x:c>
      <x:c r="W274" s="160" t="inlineStr">
        <x:is>
          <x:t xml:space="preserve">NO</x:t>
        </x:is>
      </x:c>
      <x:c r="X274" s="160" t="inlineStr">
        <x:is>
          <x:t xml:space="preserve">NONE — DEVELOPMENT ONLY</x:t>
        </x:is>
      </x:c>
      <x:c r="Y274" s="160" t="inlineStr">
        <x:is>
          <x:t xml:space="preserve">Synthetic/adversarial model-development loop. No historical outcome is claimed; no accuracy point is awarded.</x:t>
        </x:is>
      </x:c>
    </x:row>
    <x:row r="275">
      <x:c r="A275" s="160" t="inlineStr">
        <x:is>
          <x:t xml:space="preserve">ML0270</x:t>
        </x:is>
      </x:c>
      <x:c r="B275" s="160" t="inlineStr">
        <x:is>
          <x:t xml:space="preserve">ARG-017</x:t>
        </x:is>
      </x:c>
      <x:c r="C275" s="160" t="inlineStr">
        <x:is>
          <x:t xml:space="preserve">Vertiv</x:t>
        </x:is>
      </x:c>
      <x:c r="D275" s="160" t="inlineStr">
        <x:is>
          <x:t xml:space="preserve">VRT</x:t>
        </x:is>
      </x:c>
      <x:c r="E275" s="160" t="inlineStr">
        <x:is>
          <x:t xml:space="preserve">Power &amp; Grid</x:t>
        </x:is>
      </x:c>
      <x:c r="F275" s="160" t="inlineStr">
        <x:is>
          <x:t xml:space="preserve">Development</x:t>
        </x:is>
      </x:c>
      <x:c r="G275" s="160" t="inlineStr">
        <x:is>
          <x:t xml:space="preserve">S14</x:t>
        </x:is>
      </x:c>
      <x:c r="H275" s="160" t="inlineStr">
        <x:is>
          <x:t xml:space="preserve">M&amp;A / Organic Growth Separation</x:t>
        </x:is>
      </x:c>
      <x:c r="I275" s="160" t="inlineStr">
        <x:is>
          <x:t xml:space="preserve">Stewardship</x:t>
        </x:is>
      </x:c>
      <x:c r="J275" s="160" t="inlineStr">
        <x:is>
          <x:t xml:space="preserve">Acquisition-driven growth masks weak organic economics or poor incremental ROIC.</x:t>
        </x:is>
      </x:c>
      <x:c r="K275" s="160" t="inlineStr">
        <x:is>
          <x:t xml:space="preserve">Data-center capacity × content × margins</x:t>
        </x:is>
      </x:c>
      <x:c r="L275" s="160" t="inlineStr">
        <x:is>
          <x:t xml:space="preserve">Owner earnings + reverse DCF</x:t>
        </x:is>
      </x:c>
      <x:c r="M275" s="160" t="inlineStr">
        <x:is>
          <x:t xml:space="preserve">WAIT FOR PRICE</x:t>
        </x:is>
      </x:c>
      <x:c r="N275" s="160" t="inlineStr">
        <x:is>
          <x:t xml:space="preserve">R-MA-01</x:t>
        </x:is>
      </x:c>
      <x:c r="O275" s="160" t="inlineStr">
        <x:is>
          <x:t xml:space="preserve">HARDENED</x:t>
        </x:is>
      </x:c>
      <x:c r="P275" s="160" t="inlineStr">
        <x:is>
          <x:t xml:space="preserve">ROBUST WITH RESIDUAL</x:t>
        </x:is>
      </x:c>
      <x:c r="Q275" s="160" t="inlineStr">
        <x:is>
          <x:t xml:space="preserve">The hardened rule catches the stress. Residual risk is mainly evidence quality, threshold calibration or interaction with another gate.</x:t>
        </x:is>
      </x:c>
      <x:c r="R275" s="160" t="inlineStr">
        <x:is>
          <x:t xml:space="preserve">Bridge organic growth, acquired growth, purchase price, integration costs and acquisition-cohort ROIC.</x:t>
        </x:is>
      </x:c>
      <x:c r="S275" s="160" t="inlineStr">
        <x:is>
          <x:t xml:space="preserve">NO</x:t>
        </x:is>
      </x:c>
      <x:c r="T275" s="160" t="inlineStr">
        <x:is>
          <x:t xml:space="preserve">HARDENED</x:t>
        </x:is>
      </x:c>
      <x:c r="U275" s="160" t="inlineStr">
        <x:is>
          <x:t xml:space="preserve">V10.5-SIM37</x:t>
        </x:is>
      </x:c>
      <x:c r="V275" s="160" t="inlineStr">
        <x:is>
          <x:t xml:space="preserve">https://investors.vertiv.com</x:t>
        </x:is>
      </x:c>
      <x:c r="W275" s="160" t="inlineStr">
        <x:is>
          <x:t xml:space="preserve">NO</x:t>
        </x:is>
      </x:c>
      <x:c r="X275" s="160" t="inlineStr">
        <x:is>
          <x:t xml:space="preserve">NONE — DEVELOPMENT ONLY</x:t>
        </x:is>
      </x:c>
      <x:c r="Y275" s="160" t="inlineStr">
        <x:is>
          <x:t xml:space="preserve">Synthetic/adversarial model-development loop. No historical outcome is claimed; no accuracy point is awarded.</x:t>
        </x:is>
      </x:c>
    </x:row>
    <x:row r="276">
      <x:c r="A276" s="160" t="inlineStr">
        <x:is>
          <x:t xml:space="preserve">ML0271</x:t>
        </x:is>
      </x:c>
      <x:c r="B276" s="160" t="inlineStr">
        <x:is>
          <x:t xml:space="preserve">ARG-017</x:t>
        </x:is>
      </x:c>
      <x:c r="C276" s="160" t="inlineStr">
        <x:is>
          <x:t xml:space="preserve">Vertiv</x:t>
        </x:is>
      </x:c>
      <x:c r="D276" s="160" t="inlineStr">
        <x:is>
          <x:t xml:space="preserve">VRT</x:t>
        </x:is>
      </x:c>
      <x:c r="E276" s="160" t="inlineStr">
        <x:is>
          <x:t xml:space="preserve">Power &amp; Grid</x:t>
        </x:is>
      </x:c>
      <x:c r="F276" s="160" t="inlineStr">
        <x:is>
          <x:t xml:space="preserve">Development</x:t>
        </x:is>
      </x:c>
      <x:c r="G276" s="160" t="inlineStr">
        <x:is>
          <x:t xml:space="preserve">S15</x:t>
        </x:is>
      </x:c>
      <x:c r="H276" s="160" t="inlineStr">
        <x:is>
          <x:t xml:space="preserve">Financing / Dilution Per Share</x:t>
        </x:is>
      </x:c>
      <x:c r="I276" s="160" t="inlineStr">
        <x:is>
          <x:t xml:space="preserve">Stewardship</x:t>
        </x:is>
      </x:c>
      <x:c r="J276" s="160" t="inlineStr">
        <x:is>
          <x:t xml:space="preserve">Cash balance or revenue growth improves while financing causes material per-share value leakage.</x:t>
        </x:is>
      </x:c>
      <x:c r="K276" s="160" t="inlineStr">
        <x:is>
          <x:t xml:space="preserve">Data-center capacity × content × margins</x:t>
        </x:is>
      </x:c>
      <x:c r="L276" s="160" t="inlineStr">
        <x:is>
          <x:t xml:space="preserve">Owner earnings + reverse DCF</x:t>
        </x:is>
      </x:c>
      <x:c r="M276" s="160" t="inlineStr">
        <x:is>
          <x:t xml:space="preserve">WAIT FOR PRICE</x:t>
        </x:is>
      </x:c>
      <x:c r="N276" s="160" t="inlineStr">
        <x:is>
          <x:t xml:space="preserve">R-DIL-01</x:t>
        </x:is>
      </x:c>
      <x:c r="O276" s="160" t="inlineStr">
        <x:is>
          <x:t xml:space="preserve">HARDENED</x:t>
        </x:is>
      </x:c>
      <x:c r="P276" s="160" t="inlineStr">
        <x:is>
          <x:t xml:space="preserve">ROBUST WITH RESIDUAL</x:t>
        </x:is>
      </x:c>
      <x:c r="Q276" s="160" t="inlineStr">
        <x:is>
          <x:t xml:space="preserve">The hardened rule catches the stress. Residual risk is mainly evidence quality, threshold calibration or interaction with another gate.</x:t>
        </x:is>
      </x:c>
      <x:c r="R276" s="160" t="inlineStr">
        <x:is>
          <x:t xml:space="preserve">Reconcile share-count growth, SBC, equity issuance, buybacks and net cash changes to per-share intrinsic value.</x:t>
        </x:is>
      </x:c>
      <x:c r="S276" s="160" t="inlineStr">
        <x:is>
          <x:t xml:space="preserve">NO</x:t>
        </x:is>
      </x:c>
      <x:c r="T276" s="160" t="inlineStr">
        <x:is>
          <x:t xml:space="preserve">HARDENED</x:t>
        </x:is>
      </x:c>
      <x:c r="U276" s="160" t="inlineStr">
        <x:is>
          <x:t xml:space="preserve">V10.5-SIM37</x:t>
        </x:is>
      </x:c>
      <x:c r="V276" s="160" t="inlineStr">
        <x:is>
          <x:t xml:space="preserve">https://investors.vertiv.com</x:t>
        </x:is>
      </x:c>
      <x:c r="W276" s="160" t="inlineStr">
        <x:is>
          <x:t xml:space="preserve">NO</x:t>
        </x:is>
      </x:c>
      <x:c r="X276" s="160" t="inlineStr">
        <x:is>
          <x:t xml:space="preserve">NONE — DEVELOPMENT ONLY</x:t>
        </x:is>
      </x:c>
      <x:c r="Y276" s="160" t="inlineStr">
        <x:is>
          <x:t xml:space="preserve">Synthetic/adversarial model-development loop. No historical outcome is claimed; no accuracy point is awarded.</x:t>
        </x:is>
      </x:c>
    </x:row>
    <x:row r="277">
      <x:c r="A277" s="160" t="inlineStr">
        <x:is>
          <x:t xml:space="preserve">ML0272</x:t>
        </x:is>
      </x:c>
      <x:c r="B277" s="160" t="inlineStr">
        <x:is>
          <x:t xml:space="preserve">ARG-017</x:t>
        </x:is>
      </x:c>
      <x:c r="C277" s="160" t="inlineStr">
        <x:is>
          <x:t xml:space="preserve">Vertiv</x:t>
        </x:is>
      </x:c>
      <x:c r="D277" s="160" t="inlineStr">
        <x:is>
          <x:t xml:space="preserve">VRT</x:t>
        </x:is>
      </x:c>
      <x:c r="E277" s="160" t="inlineStr">
        <x:is>
          <x:t xml:space="preserve">Power &amp; Grid</x:t>
        </x:is>
      </x:c>
      <x:c r="F277" s="160" t="inlineStr">
        <x:is>
          <x:t xml:space="preserve">Development</x:t>
        </x:is>
      </x:c>
      <x:c r="G277" s="160" t="inlineStr">
        <x:is>
          <x:t xml:space="preserve">S16</x:t>
        </x:is>
      </x:c>
      <x:c r="H277" s="160" t="inlineStr">
        <x:is>
          <x:t xml:space="preserve">Concentration / Tail Risk</x:t>
        </x:is>
      </x:c>
      <x:c r="I277" s="160" t="inlineStr">
        <x:is>
          <x:t xml:space="preserve">Survival</x:t>
        </x:is>
      </x:c>
      <x:c r="J277" s="160" t="inlineStr">
        <x:is>
          <x:t xml:space="preserve">A concentrated supplier, geography, customer, product, patent, regulatory or technology dependency creates asymmetric permanent-loss risk.</x:t>
        </x:is>
      </x:c>
      <x:c r="K277" s="160" t="inlineStr">
        <x:is>
          <x:t xml:space="preserve">Data-center capacity × content × margins</x:t>
        </x:is>
      </x:c>
      <x:c r="L277" s="160" t="inlineStr">
        <x:is>
          <x:t xml:space="preserve">Owner earnings + reverse DCF</x:t>
        </x:is>
      </x:c>
      <x:c r="M277" s="160" t="inlineStr">
        <x:is>
          <x:t xml:space="preserve">WAIT FOR PRICE</x:t>
        </x:is>
      </x:c>
      <x:c r="N277" s="160" t="inlineStr">
        <x:is>
          <x:t xml:space="preserve">R-TAIL-01</x:t>
        </x:is>
      </x:c>
      <x:c r="O277" s="160" t="inlineStr">
        <x:is>
          <x:t xml:space="preserve">HARDENED</x:t>
        </x:is>
      </x:c>
      <x:c r="P277" s="160" t="inlineStr">
        <x:is>
          <x:t xml:space="preserve">ROBUST WITH RESIDUAL</x:t>
        </x:is>
      </x:c>
      <x:c r="Q277" s="160" t="inlineStr">
        <x:is>
          <x:t xml:space="preserve">The hardened rule catches the stress. Residual risk is mainly evidence quality, threshold calibration or interaction with another gate.</x:t>
        </x:is>
      </x:c>
      <x:c r="R277" s="160" t="inlineStr">
        <x:is>
          <x:t xml:space="preserve">Maintain an explicit concentration/tail-risk register with probability, severity, mitigation and required margin-of-safety premium.</x:t>
        </x:is>
      </x:c>
      <x:c r="S277" s="160" t="inlineStr">
        <x:is>
          <x:t xml:space="preserve">NO</x:t>
        </x:is>
      </x:c>
      <x:c r="T277" s="160" t="inlineStr">
        <x:is>
          <x:t xml:space="preserve">HARDENED</x:t>
        </x:is>
      </x:c>
      <x:c r="U277" s="160" t="inlineStr">
        <x:is>
          <x:t xml:space="preserve">V10.5-SIM37</x:t>
        </x:is>
      </x:c>
      <x:c r="V277" s="160" t="inlineStr">
        <x:is>
          <x:t xml:space="preserve">https://investors.vertiv.com</x:t>
        </x:is>
      </x:c>
      <x:c r="W277" s="160" t="inlineStr">
        <x:is>
          <x:t xml:space="preserve">NO</x:t>
        </x:is>
      </x:c>
      <x:c r="X277" s="160" t="inlineStr">
        <x:is>
          <x:t xml:space="preserve">NONE — DEVELOPMENT ONLY</x:t>
        </x:is>
      </x:c>
      <x:c r="Y277" s="160" t="inlineStr">
        <x:is>
          <x:t xml:space="preserve">Synthetic/adversarial model-development loop. No historical outcome is claimed; no accuracy point is awarded.</x:t>
        </x:is>
      </x:c>
    </x:row>
    <x:row r="278">
      <x:c r="A278" s="160" t="inlineStr">
        <x:is>
          <x:t xml:space="preserve">ML0273</x:t>
        </x:is>
      </x:c>
      <x:c r="B278" s="160" t="inlineStr">
        <x:is>
          <x:t xml:space="preserve">ARG-018</x:t>
        </x:is>
      </x:c>
      <x:c r="C278" s="160" t="inlineStr">
        <x:is>
          <x:t xml:space="preserve">nVent Electric</x:t>
        </x:is>
      </x:c>
      <x:c r="D278" s="160" t="inlineStr">
        <x:is>
          <x:t xml:space="preserve">NVT</x:t>
        </x:is>
      </x:c>
      <x:c r="E278" s="160" t="inlineStr">
        <x:is>
          <x:t xml:space="preserve">Power &amp; Grid</x:t>
        </x:is>
      </x:c>
      <x:c r="F278" s="160" t="inlineStr">
        <x:is>
          <x:t xml:space="preserve">Development</x:t>
        </x:is>
      </x:c>
      <x:c r="G278" s="160" t="inlineStr">
        <x:is>
          <x:t xml:space="preserve">S01</x:t>
        </x:is>
      </x:c>
      <x:c r="H278" s="160" t="inlineStr">
        <x:is>
          <x:t xml:space="preserve">Understanding Gate</x:t>
        </x:is>
      </x:c>
      <x:c r="I278" s="160" t="inlineStr">
        <x:is>
          <x:t xml:space="preserve">Understanding</x:t>
        </x:is>
      </x:c>
      <x:c r="J278" s="160" t="inlineStr">
        <x:is>
          <x:t xml:space="preserve">Causal engine / customer ROI chain breaks under a misleading headline KPI.</x:t>
        </x:is>
      </x:c>
      <x:c r="K278" s="160" t="inlineStr">
        <x:is>
          <x:t xml:space="preserve">Electrical infrastructure demand plus acquired growth</x:t>
        </x:is>
      </x:c>
      <x:c r="L278" s="160" t="inlineStr">
        <x:is>
          <x:t xml:space="preserve">Owner earnings + acquisition-cohort ROIC</x:t>
        </x:is>
      </x:c>
      <x:c r="M278" s="160" t="inlineStr">
        <x:is>
          <x:t xml:space="preserve">WATCH</x:t>
        </x:is>
      </x:c>
      <x:c r="N278" s="160" t="inlineStr">
        <x:is>
          <x:t xml:space="preserve">R-ENG-01</x:t>
        </x:is>
      </x:c>
      <x:c r="O278" s="160" t="inlineStr">
        <x:is>
          <x:t xml:space="preserve">HARDENED</x:t>
        </x:is>
      </x:c>
      <x:c r="P278" s="160" t="inlineStr">
        <x:is>
          <x:t xml:space="preserve">ROBUST WITH RESIDUAL</x:t>
        </x:is>
      </x:c>
      <x:c r="Q278" s="160" t="inlineStr">
        <x:is>
          <x:t xml:space="preserve">The hardened rule catches the stress. Residual risk is mainly evidence quality, threshold calibration or interaction with another gate.</x:t>
        </x:is>
      </x:c>
      <x:c r="R278" s="160" t="inlineStr">
        <x:is>
          <x:t xml:space="preserve">Force an explicit engine tree: customer job → unit economics → revenue driver → owner-value bridge.</x:t>
        </x:is>
      </x:c>
      <x:c r="S278" s="160" t="inlineStr">
        <x:is>
          <x:t xml:space="preserve">NO</x:t>
        </x:is>
      </x:c>
      <x:c r="T278" s="160" t="inlineStr">
        <x:is>
          <x:t xml:space="preserve">HARDENED</x:t>
        </x:is>
      </x:c>
      <x:c r="U278" s="160" t="inlineStr">
        <x:is>
          <x:t xml:space="preserve">V10.5-SIM37</x:t>
        </x:is>
      </x:c>
      <x:c r="V278" s="160" t="inlineStr">
        <x:is>
          <x:t xml:space="preserve">https://investors.nvent.com</x:t>
        </x:is>
      </x:c>
      <x:c r="W278" s="160" t="inlineStr">
        <x:is>
          <x:t xml:space="preserve">NO</x:t>
        </x:is>
      </x:c>
      <x:c r="X278" s="160" t="inlineStr">
        <x:is>
          <x:t xml:space="preserve">NONE — DEVELOPMENT ONLY</x:t>
        </x:is>
      </x:c>
      <x:c r="Y278" s="160" t="inlineStr">
        <x:is>
          <x:t xml:space="preserve">Synthetic/adversarial model-development loop. No historical outcome is claimed; no accuracy point is awarded.</x:t>
        </x:is>
      </x:c>
    </x:row>
    <x:row r="279">
      <x:c r="A279" s="160" t="inlineStr">
        <x:is>
          <x:t xml:space="preserve">ML0274</x:t>
        </x:is>
      </x:c>
      <x:c r="B279" s="160" t="inlineStr">
        <x:is>
          <x:t xml:space="preserve">ARG-018</x:t>
        </x:is>
      </x:c>
      <x:c r="C279" s="160" t="inlineStr">
        <x:is>
          <x:t xml:space="preserve">nVent Electric</x:t>
        </x:is>
      </x:c>
      <x:c r="D279" s="160" t="inlineStr">
        <x:is>
          <x:t xml:space="preserve">NVT</x:t>
        </x:is>
      </x:c>
      <x:c r="E279" s="160" t="inlineStr">
        <x:is>
          <x:t xml:space="preserve">Power &amp; Grid</x:t>
        </x:is>
      </x:c>
      <x:c r="F279" s="160" t="inlineStr">
        <x:is>
          <x:t xml:space="preserve">Development</x:t>
        </x:is>
      </x:c>
      <x:c r="G279" s="160" t="inlineStr">
        <x:is>
          <x:t xml:space="preserve">S02</x:t>
        </x:is>
      </x:c>
      <x:c r="H279" s="160" t="inlineStr">
        <x:is>
          <x:t xml:space="preserve">Owner Earnings Normalization</x:t>
        </x:is>
      </x:c>
      <x:c r="I279" s="160" t="inlineStr">
        <x:is>
          <x:t xml:space="preserve">Owner Earnings</x:t>
        </x:is>
      </x:c>
      <x:c r="J279" s="160" t="inlineStr">
        <x:is>
          <x:t xml:space="preserve">Reported earnings/FCF overstates economic cash because recurring reinvestment or non-cash compensation is misclassified.</x:t>
        </x:is>
      </x:c>
      <x:c r="K279" s="160" t="inlineStr">
        <x:is>
          <x:t xml:space="preserve">Electrical infrastructure demand plus acquired growth</x:t>
        </x:is>
      </x:c>
      <x:c r="L279" s="160" t="inlineStr">
        <x:is>
          <x:t xml:space="preserve">Owner earnings + acquisition-cohort ROIC</x:t>
        </x:is>
      </x:c>
      <x:c r="M279" s="160" t="inlineStr">
        <x:is>
          <x:t xml:space="preserve">WATCH</x:t>
        </x:is>
      </x:c>
      <x:c r="N279" s="160" t="inlineStr">
        <x:is>
          <x:t xml:space="preserve">R-OE-01</x:t>
        </x:is>
      </x:c>
      <x:c r="O279" s="160" t="inlineStr">
        <x:is>
          <x:t xml:space="preserve">HARDENED</x:t>
        </x:is>
      </x:c>
      <x:c r="P279" s="160" t="inlineStr">
        <x:is>
          <x:t xml:space="preserve">ROBUST WITH RESIDUAL</x:t>
        </x:is>
      </x:c>
      <x:c r="Q279" s="160" t="inlineStr">
        <x:is>
          <x:t xml:space="preserve">The hardened rule catches the stress. Residual risk is mainly evidence quality, threshold calibration or interaction with another gate.</x:t>
        </x:is>
      </x:c>
      <x:c r="R279" s="160" t="inlineStr">
        <x:is>
          <x:t xml:space="preserve">Require a GAAP-to-economic-owner-cash bridge tailored to the business model.</x:t>
        </x:is>
      </x:c>
      <x:c r="S279" s="160" t="inlineStr">
        <x:is>
          <x:t xml:space="preserve">NO</x:t>
        </x:is>
      </x:c>
      <x:c r="T279" s="160" t="inlineStr">
        <x:is>
          <x:t xml:space="preserve">HARDENED</x:t>
        </x:is>
      </x:c>
      <x:c r="U279" s="160" t="inlineStr">
        <x:is>
          <x:t xml:space="preserve">V10.5-SIM37</x:t>
        </x:is>
      </x:c>
      <x:c r="V279" s="160" t="inlineStr">
        <x:is>
          <x:t xml:space="preserve">https://investors.nvent.com</x:t>
        </x:is>
      </x:c>
      <x:c r="W279" s="160" t="inlineStr">
        <x:is>
          <x:t xml:space="preserve">NO</x:t>
        </x:is>
      </x:c>
      <x:c r="X279" s="160" t="inlineStr">
        <x:is>
          <x:t xml:space="preserve">NONE — DEVELOPMENT ONLY</x:t>
        </x:is>
      </x:c>
      <x:c r="Y279" s="160" t="inlineStr">
        <x:is>
          <x:t xml:space="preserve">Synthetic/adversarial model-development loop. No historical outcome is claimed; no accuracy point is awarded.</x:t>
        </x:is>
      </x:c>
    </x:row>
    <x:row r="280">
      <x:c r="A280" s="160" t="inlineStr">
        <x:is>
          <x:t xml:space="preserve">ML0275</x:t>
        </x:is>
      </x:c>
      <x:c r="B280" s="160" t="inlineStr">
        <x:is>
          <x:t xml:space="preserve">ARG-018</x:t>
        </x:is>
      </x:c>
      <x:c r="C280" s="160" t="inlineStr">
        <x:is>
          <x:t xml:space="preserve">nVent Electric</x:t>
        </x:is>
      </x:c>
      <x:c r="D280" s="160" t="inlineStr">
        <x:is>
          <x:t xml:space="preserve">NVT</x:t>
        </x:is>
      </x:c>
      <x:c r="E280" s="160" t="inlineStr">
        <x:is>
          <x:t xml:space="preserve">Power &amp; Grid</x:t>
        </x:is>
      </x:c>
      <x:c r="F280" s="160" t="inlineStr">
        <x:is>
          <x:t xml:space="preserve">Development</x:t>
        </x:is>
      </x:c>
      <x:c r="G280" s="160" t="inlineStr">
        <x:is>
          <x:t xml:space="preserve">S03</x:t>
        </x:is>
      </x:c>
      <x:c r="H280" s="160" t="inlineStr">
        <x:is>
          <x:t xml:space="preserve">Moat Durability</x:t>
        </x:is>
      </x:c>
      <x:c r="I280" s="160" t="inlineStr">
        <x:is>
          <x:t xml:space="preserve">Moat 2036</x:t>
        </x:is>
      </x:c>
      <x:c r="J280" s="160" t="inlineStr">
        <x:is>
          <x:t xml:space="preserve">Growth continues while switching friction, pricing power or replacement difficulty quietly weakens.</x:t>
        </x:is>
      </x:c>
      <x:c r="K280" s="160" t="inlineStr">
        <x:is>
          <x:t xml:space="preserve">Electrical infrastructure demand plus acquired growth</x:t>
        </x:is>
      </x:c>
      <x:c r="L280" s="160" t="inlineStr">
        <x:is>
          <x:t xml:space="preserve">Owner earnings + acquisition-cohort ROIC</x:t>
        </x:is>
      </x:c>
      <x:c r="M280" s="160" t="inlineStr">
        <x:is>
          <x:t xml:space="preserve">WATCH</x:t>
        </x:is>
      </x:c>
      <x:c r="N280" s="160" t="inlineStr">
        <x:is>
          <x:t xml:space="preserve">R-MOAT-01</x:t>
        </x:is>
      </x:c>
      <x:c r="O280" s="160" t="inlineStr">
        <x:is>
          <x:t xml:space="preserve">HARDENED</x:t>
        </x:is>
      </x:c>
      <x:c r="P280" s="160" t="inlineStr">
        <x:is>
          <x:t xml:space="preserve">ROBUST WITH RESIDUAL</x:t>
        </x:is>
      </x:c>
      <x:c r="Q280" s="160" t="inlineStr">
        <x:is>
          <x:t xml:space="preserve">The hardened rule catches the stress. Residual risk is mainly evidence quality, threshold calibration or interaction with another gate.</x:t>
        </x:is>
      </x:c>
      <x:c r="R280" s="160" t="inlineStr">
        <x:is>
          <x:t xml:space="preserve">Track moat telemetry separately from growth: retention, pricing, win/loss, replacement friction, installed-base behavior.</x:t>
        </x:is>
      </x:c>
      <x:c r="S280" s="160" t="inlineStr">
        <x:is>
          <x:t xml:space="preserve">NO</x:t>
        </x:is>
      </x:c>
      <x:c r="T280" s="160" t="inlineStr">
        <x:is>
          <x:t xml:space="preserve">HARDENED</x:t>
        </x:is>
      </x:c>
      <x:c r="U280" s="160" t="inlineStr">
        <x:is>
          <x:t xml:space="preserve">V10.5-SIM37</x:t>
        </x:is>
      </x:c>
      <x:c r="V280" s="160" t="inlineStr">
        <x:is>
          <x:t xml:space="preserve">https://investors.nvent.com</x:t>
        </x:is>
      </x:c>
      <x:c r="W280" s="160" t="inlineStr">
        <x:is>
          <x:t xml:space="preserve">NO</x:t>
        </x:is>
      </x:c>
      <x:c r="X280" s="160" t="inlineStr">
        <x:is>
          <x:t xml:space="preserve">NONE — DEVELOPMENT ONLY</x:t>
        </x:is>
      </x:c>
      <x:c r="Y280" s="160" t="inlineStr">
        <x:is>
          <x:t xml:space="preserve">Synthetic/adversarial model-development loop. No historical outcome is claimed; no accuracy point is awarded.</x:t>
        </x:is>
      </x:c>
    </x:row>
    <x:row r="281">
      <x:c r="A281" s="160" t="inlineStr">
        <x:is>
          <x:t xml:space="preserve">ML0276</x:t>
        </x:is>
      </x:c>
      <x:c r="B281" s="160" t="inlineStr">
        <x:is>
          <x:t xml:space="preserve">ARG-018</x:t>
        </x:is>
      </x:c>
      <x:c r="C281" s="160" t="inlineStr">
        <x:is>
          <x:t xml:space="preserve">nVent Electric</x:t>
        </x:is>
      </x:c>
      <x:c r="D281" s="160" t="inlineStr">
        <x:is>
          <x:t xml:space="preserve">NVT</x:t>
        </x:is>
      </x:c>
      <x:c r="E281" s="160" t="inlineStr">
        <x:is>
          <x:t xml:space="preserve">Power &amp; Grid</x:t>
        </x:is>
      </x:c>
      <x:c r="F281" s="160" t="inlineStr">
        <x:is>
          <x:t xml:space="preserve">Development</x:t>
        </x:is>
      </x:c>
      <x:c r="G281" s="160" t="inlineStr">
        <x:is>
          <x:t xml:space="preserve">S04</x:t>
        </x:is>
      </x:c>
      <x:c r="H281" s="160" t="inlineStr">
        <x:is>
          <x:t xml:space="preserve">Stewardship / Capital Allocation</x:t>
        </x:is>
      </x:c>
      <x:c r="I281" s="160" t="inlineStr">
        <x:is>
          <x:t xml:space="preserve">Stewardship</x:t>
        </x:is>
      </x:c>
      <x:c r="J281" s="160" t="inlineStr">
        <x:is>
          <x:t xml:space="preserve">Management creates enterprise growth while destroying per-share value through M&amp;A, dilution, leverage or mistimed buybacks.</x:t>
        </x:is>
      </x:c>
      <x:c r="K281" s="160" t="inlineStr">
        <x:is>
          <x:t xml:space="preserve">Electrical infrastructure demand plus acquired growth</x:t>
        </x:is>
      </x:c>
      <x:c r="L281" s="160" t="inlineStr">
        <x:is>
          <x:t xml:space="preserve">Owner earnings + acquisition-cohort ROIC</x:t>
        </x:is>
      </x:c>
      <x:c r="M281" s="160" t="inlineStr">
        <x:is>
          <x:t xml:space="preserve">WATCH</x:t>
        </x:is>
      </x:c>
      <x:c r="N281" s="160" t="inlineStr">
        <x:is>
          <x:t xml:space="preserve">R-STEW-01</x:t>
        </x:is>
      </x:c>
      <x:c r="O281" s="160" t="inlineStr">
        <x:is>
          <x:t xml:space="preserve">HARDENED</x:t>
        </x:is>
      </x:c>
      <x:c r="P281" s="160" t="inlineStr">
        <x:is>
          <x:t xml:space="preserve">ROBUST WITH RESIDUAL</x:t>
        </x:is>
      </x:c>
      <x:c r="Q281" s="160" t="inlineStr">
        <x:is>
          <x:t xml:space="preserve">The hardened rule catches the stress. Residual risk is mainly evidence quality, threshold calibration or interaction with another gate.</x:t>
        </x:is>
      </x:c>
      <x:c r="R281" s="160" t="inlineStr">
        <x:is>
          <x:t xml:space="preserve">Evaluate capital allocation on a per-share basis using acquisition cohorts, dilution, leverage and repurchase price discipline.</x:t>
        </x:is>
      </x:c>
      <x:c r="S281" s="160" t="inlineStr">
        <x:is>
          <x:t xml:space="preserve">NO</x:t>
        </x:is>
      </x:c>
      <x:c r="T281" s="160" t="inlineStr">
        <x:is>
          <x:t xml:space="preserve">HARDENED</x:t>
        </x:is>
      </x:c>
      <x:c r="U281" s="160" t="inlineStr">
        <x:is>
          <x:t xml:space="preserve">V10.5-SIM37</x:t>
        </x:is>
      </x:c>
      <x:c r="V281" s="160" t="inlineStr">
        <x:is>
          <x:t xml:space="preserve">https://investors.nvent.com</x:t>
        </x:is>
      </x:c>
      <x:c r="W281" s="160" t="inlineStr">
        <x:is>
          <x:t xml:space="preserve">NO</x:t>
        </x:is>
      </x:c>
      <x:c r="X281" s="160" t="inlineStr">
        <x:is>
          <x:t xml:space="preserve">NONE — DEVELOPMENT ONLY</x:t>
        </x:is>
      </x:c>
      <x:c r="Y281" s="160" t="inlineStr">
        <x:is>
          <x:t xml:space="preserve">Synthetic/adversarial model-development loop. No historical outcome is claimed; no accuracy point is awarded.</x:t>
        </x:is>
      </x:c>
    </x:row>
    <x:row r="282">
      <x:c r="A282" s="160" t="inlineStr">
        <x:is>
          <x:t xml:space="preserve">ML0277</x:t>
        </x:is>
      </x:c>
      <x:c r="B282" s="160" t="inlineStr">
        <x:is>
          <x:t xml:space="preserve">ARG-018</x:t>
        </x:is>
      </x:c>
      <x:c r="C282" s="160" t="inlineStr">
        <x:is>
          <x:t xml:space="preserve">nVent Electric</x:t>
        </x:is>
      </x:c>
      <x:c r="D282" s="160" t="inlineStr">
        <x:is>
          <x:t xml:space="preserve">NVT</x:t>
        </x:is>
      </x:c>
      <x:c r="E282" s="160" t="inlineStr">
        <x:is>
          <x:t xml:space="preserve">Power &amp; Grid</x:t>
        </x:is>
      </x:c>
      <x:c r="F282" s="160" t="inlineStr">
        <x:is>
          <x:t xml:space="preserve">Development</x:t>
        </x:is>
      </x:c>
      <x:c r="G282" s="160" t="inlineStr">
        <x:is>
          <x:t xml:space="preserve">S05</x:t>
        </x:is>
      </x:c>
      <x:c r="H282" s="160" t="inlineStr">
        <x:is>
          <x:t xml:space="preserve">Survival / Funding</x:t>
        </x:is>
      </x:c>
      <x:c r="I282" s="160" t="inlineStr">
        <x:is>
          <x:t xml:space="preserve">Survival</x:t>
        </x:is>
      </x:c>
      <x:c r="J282" s="160" t="inlineStr">
        <x:is>
          <x:t xml:space="preserve">A plausible bear case exposes refinancing, liquidity, covenant, reserve, regulatory or operational fragility.</x:t>
        </x:is>
      </x:c>
      <x:c r="K282" s="160" t="inlineStr">
        <x:is>
          <x:t xml:space="preserve">Electrical infrastructure demand plus acquired growth</x:t>
        </x:is>
      </x:c>
      <x:c r="L282" s="160" t="inlineStr">
        <x:is>
          <x:t xml:space="preserve">Owner earnings + acquisition-cohort ROIC</x:t>
        </x:is>
      </x:c>
      <x:c r="M282" s="160" t="inlineStr">
        <x:is>
          <x:t xml:space="preserve">WATCH</x:t>
        </x:is>
      </x:c>
      <x:c r="N282" s="160" t="inlineStr">
        <x:is>
          <x:t xml:space="preserve">R-SURV-01</x:t>
        </x:is>
      </x:c>
      <x:c r="O282" s="160" t="inlineStr">
        <x:is>
          <x:t xml:space="preserve">HARDENED</x:t>
        </x:is>
      </x:c>
      <x:c r="P282" s="160" t="inlineStr">
        <x:is>
          <x:t xml:space="preserve">ROBUST WITH RESIDUAL</x:t>
        </x:is>
      </x:c>
      <x:c r="Q282" s="160" t="inlineStr">
        <x:is>
          <x:t xml:space="preserve">The hardened rule catches the stress. Residual risk is mainly evidence quality, threshold calibration or interaction with another gate.</x:t>
        </x:is>
      </x:c>
      <x:c r="R282" s="160" t="inlineStr">
        <x:is>
          <x:t xml:space="preserve">Run a company-specific survival bridge under a severe-but-plausible bear case before any upside underwriting.</x:t>
        </x:is>
      </x:c>
      <x:c r="S282" s="160" t="inlineStr">
        <x:is>
          <x:t xml:space="preserve">NO</x:t>
        </x:is>
      </x:c>
      <x:c r="T282" s="160" t="inlineStr">
        <x:is>
          <x:t xml:space="preserve">HARDENED</x:t>
        </x:is>
      </x:c>
      <x:c r="U282" s="160" t="inlineStr">
        <x:is>
          <x:t xml:space="preserve">V10.5-SIM37</x:t>
        </x:is>
      </x:c>
      <x:c r="V282" s="160" t="inlineStr">
        <x:is>
          <x:t xml:space="preserve">https://investors.nvent.com</x:t>
        </x:is>
      </x:c>
      <x:c r="W282" s="160" t="inlineStr">
        <x:is>
          <x:t xml:space="preserve">NO</x:t>
        </x:is>
      </x:c>
      <x:c r="X282" s="160" t="inlineStr">
        <x:is>
          <x:t xml:space="preserve">NONE — DEVELOPMENT ONLY</x:t>
        </x:is>
      </x:c>
      <x:c r="Y282" s="160" t="inlineStr">
        <x:is>
          <x:t xml:space="preserve">Synthetic/adversarial model-development loop. No historical outcome is claimed; no accuracy point is awarded.</x:t>
        </x:is>
      </x:c>
    </x:row>
    <x:row r="283">
      <x:c r="A283" s="160" t="inlineStr">
        <x:is>
          <x:t xml:space="preserve">ML0278</x:t>
        </x:is>
      </x:c>
      <x:c r="B283" s="160" t="inlineStr">
        <x:is>
          <x:t xml:space="preserve">ARG-018</x:t>
        </x:is>
      </x:c>
      <x:c r="C283" s="160" t="inlineStr">
        <x:is>
          <x:t xml:space="preserve">nVent Electric</x:t>
        </x:is>
      </x:c>
      <x:c r="D283" s="160" t="inlineStr">
        <x:is>
          <x:t xml:space="preserve">NVT</x:t>
        </x:is>
      </x:c>
      <x:c r="E283" s="160" t="inlineStr">
        <x:is>
          <x:t xml:space="preserve">Power &amp; Grid</x:t>
        </x:is>
      </x:c>
      <x:c r="F283" s="160" t="inlineStr">
        <x:is>
          <x:t xml:space="preserve">Development</x:t>
        </x:is>
      </x:c>
      <x:c r="G283" s="160" t="inlineStr">
        <x:is>
          <x:t xml:space="preserve">S06</x:t>
        </x:is>
      </x:c>
      <x:c r="H283" s="160" t="inlineStr">
        <x:is>
          <x:t xml:space="preserve">Margin of Safety</x:t>
        </x:is>
      </x:c>
      <x:c r="I283" s="160" t="inlineStr">
        <x:is>
          <x:t xml:space="preserve">Margin of Safety</x:t>
        </x:is>
      </x:c>
      <x:c r="J283" s="160" t="inlineStr">
        <x:is>
          <x:t xml:space="preserve">Business quality is high but the price embeds a fragile bull case.</x:t>
        </x:is>
      </x:c>
      <x:c r="K283" s="160" t="inlineStr">
        <x:is>
          <x:t xml:space="preserve">Electrical infrastructure demand plus acquired growth</x:t>
        </x:is>
      </x:c>
      <x:c r="L283" s="160" t="inlineStr">
        <x:is>
          <x:t xml:space="preserve">Owner earnings + acquisition-cohort ROIC</x:t>
        </x:is>
      </x:c>
      <x:c r="M283" s="160" t="inlineStr">
        <x:is>
          <x:t xml:space="preserve">WATCH</x:t>
        </x:is>
      </x:c>
      <x:c r="N283" s="160" t="inlineStr">
        <x:is>
          <x:t xml:space="preserve">R-MOS-01</x:t>
        </x:is>
      </x:c>
      <x:c r="O283" s="160" t="inlineStr">
        <x:is>
          <x:t xml:space="preserve">HARDENED</x:t>
        </x:is>
      </x:c>
      <x:c r="P283" s="160" t="inlineStr">
        <x:is>
          <x:t xml:space="preserve">ROBUST WITH RESIDUAL</x:t>
        </x:is>
      </x:c>
      <x:c r="Q283" s="160" t="inlineStr">
        <x:is>
          <x:t xml:space="preserve">The hardened rule catches the stress. Residual risk is mainly evidence quality, threshold calibration or interaction with another gate.</x:t>
        </x:is>
      </x:c>
      <x:c r="R283" s="160" t="inlineStr">
        <x:is>
          <x:t xml:space="preserve">Separate business-quality score from price decision; require reverse valuation and bear/base/bull IV ranges.</x:t>
        </x:is>
      </x:c>
      <x:c r="S283" s="160" t="inlineStr">
        <x:is>
          <x:t xml:space="preserve">NO</x:t>
        </x:is>
      </x:c>
      <x:c r="T283" s="160" t="inlineStr">
        <x:is>
          <x:t xml:space="preserve">HARDENED</x:t>
        </x:is>
      </x:c>
      <x:c r="U283" s="160" t="inlineStr">
        <x:is>
          <x:t xml:space="preserve">V10.5-SIM37</x:t>
        </x:is>
      </x:c>
      <x:c r="V283" s="160" t="inlineStr">
        <x:is>
          <x:t xml:space="preserve">https://investors.nvent.com</x:t>
        </x:is>
      </x:c>
      <x:c r="W283" s="160" t="inlineStr">
        <x:is>
          <x:t xml:space="preserve">NO</x:t>
        </x:is>
      </x:c>
      <x:c r="X283" s="160" t="inlineStr">
        <x:is>
          <x:t xml:space="preserve">NONE — DEVELOPMENT ONLY</x:t>
        </x:is>
      </x:c>
      <x:c r="Y283" s="160" t="inlineStr">
        <x:is>
          <x:t xml:space="preserve">Synthetic/adversarial model-development loop. No historical outcome is claimed; no accuracy point is awarded.</x:t>
        </x:is>
      </x:c>
    </x:row>
    <x:row r="284">
      <x:c r="A284" s="160" t="inlineStr">
        <x:is>
          <x:t xml:space="preserve">ML0279</x:t>
        </x:is>
      </x:c>
      <x:c r="B284" s="160" t="inlineStr">
        <x:is>
          <x:t xml:space="preserve">ARG-018</x:t>
        </x:is>
      </x:c>
      <x:c r="C284" s="160" t="inlineStr">
        <x:is>
          <x:t xml:space="preserve">nVent Electric</x:t>
        </x:is>
      </x:c>
      <x:c r="D284" s="160" t="inlineStr">
        <x:is>
          <x:t xml:space="preserve">NVT</x:t>
        </x:is>
      </x:c>
      <x:c r="E284" s="160" t="inlineStr">
        <x:is>
          <x:t xml:space="preserve">Power &amp; Grid</x:t>
        </x:is>
      </x:c>
      <x:c r="F284" s="160" t="inlineStr">
        <x:is>
          <x:t xml:space="preserve">Development</x:t>
        </x:is>
      </x:c>
      <x:c r="G284" s="160" t="inlineStr">
        <x:is>
          <x:t xml:space="preserve">S07</x:t>
        </x:is>
      </x:c>
      <x:c r="H284" s="160" t="inlineStr">
        <x:is>
          <x:t xml:space="preserve">Sector Shock</x:t>
        </x:is>
      </x:c>
      <x:c r="I284" s="160" t="inlineStr">
        <x:is>
          <x:t xml:space="preserve">Sector-specific</x:t>
        </x:is>
      </x:c>
      <x:c r="J284" s="160" t="inlineStr">
        <x:is>
          <x:t xml:space="preserve">Backlog stays strong but execution capacity, input inflation, working capital or project mix compresses conversion to owner earnings.</x:t>
        </x:is>
      </x:c>
      <x:c r="K284" s="160" t="inlineStr">
        <x:is>
          <x:t xml:space="preserve">Electrical infrastructure demand plus acquired growth</x:t>
        </x:is>
      </x:c>
      <x:c r="L284" s="160" t="inlineStr">
        <x:is>
          <x:t xml:space="preserve">Owner earnings + acquisition-cohort ROIC</x:t>
        </x:is>
      </x:c>
      <x:c r="M284" s="160" t="inlineStr">
        <x:is>
          <x:t xml:space="preserve">WATCH</x:t>
        </x:is>
      </x:c>
      <x:c r="N284" s="160" t="inlineStr">
        <x:is>
          <x:t xml:space="preserve">R-SECTOR-POWER-GRID</x:t>
        </x:is>
      </x:c>
      <x:c r="O284" s="160" t="inlineStr">
        <x:is>
          <x:t xml:space="preserve">HARDENED</x:t>
        </x:is>
      </x:c>
      <x:c r="P284" s="160" t="inlineStr">
        <x:is>
          <x:t xml:space="preserve">ROBUST WITH RESIDUAL</x:t>
        </x:is>
      </x:c>
      <x:c r="Q284" s="160" t="inlineStr">
        <x:is>
          <x:t xml:space="preserve">The hardened rule catches the stress. Residual risk is mainly evidence quality, threshold calibration or interaction with another gate.</x:t>
        </x:is>
      </x:c>
      <x:c r="R284"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S284" s="160" t="inlineStr">
        <x:is>
          <x:t xml:space="preserve">NO</x:t>
        </x:is>
      </x:c>
      <x:c r="T284" s="160" t="inlineStr">
        <x:is>
          <x:t xml:space="preserve">HARDENED</x:t>
        </x:is>
      </x:c>
      <x:c r="U284" s="160" t="inlineStr">
        <x:is>
          <x:t xml:space="preserve">V10.5-SIM37</x:t>
        </x:is>
      </x:c>
      <x:c r="V284" s="160" t="inlineStr">
        <x:is>
          <x:t xml:space="preserve">https://investors.nvent.com</x:t>
        </x:is>
      </x:c>
      <x:c r="W284" s="160" t="inlineStr">
        <x:is>
          <x:t xml:space="preserve">NO</x:t>
        </x:is>
      </x:c>
      <x:c r="X284" s="160" t="inlineStr">
        <x:is>
          <x:t xml:space="preserve">NONE — DEVELOPMENT ONLY</x:t>
        </x:is>
      </x:c>
      <x:c r="Y284" s="160" t="inlineStr">
        <x:is>
          <x:t xml:space="preserve">Synthetic/adversarial model-development loop. No historical outcome is claimed; no accuracy point is awarded.</x:t>
        </x:is>
      </x:c>
    </x:row>
    <x:row r="285">
      <x:c r="A285" s="160" t="inlineStr">
        <x:is>
          <x:t xml:space="preserve">ML0280</x:t>
        </x:is>
      </x:c>
      <x:c r="B285" s="160" t="inlineStr">
        <x:is>
          <x:t xml:space="preserve">ARG-018</x:t>
        </x:is>
      </x:c>
      <x:c r="C285" s="160" t="inlineStr">
        <x:is>
          <x:t xml:space="preserve">nVent Electric</x:t>
        </x:is>
      </x:c>
      <x:c r="D285" s="160" t="inlineStr">
        <x:is>
          <x:t xml:space="preserve">NVT</x:t>
        </x:is>
      </x:c>
      <x:c r="E285" s="160" t="inlineStr">
        <x:is>
          <x:t xml:space="preserve">Power &amp; Grid</x:t>
        </x:is>
      </x:c>
      <x:c r="F285" s="160" t="inlineStr">
        <x:is>
          <x:t xml:space="preserve">Development</x:t>
        </x:is>
      </x:c>
      <x:c r="G285" s="160" t="inlineStr">
        <x:is>
          <x:t xml:space="preserve">S08</x:t>
        </x:is>
      </x:c>
      <x:c r="H285" s="160" t="inlineStr">
        <x:is>
          <x:t xml:space="preserve">Management Promise Reliability</x:t>
        </x:is>
      </x:c>
      <x:c r="I285" s="160" t="inlineStr">
        <x:is>
          <x:t xml:space="preserve">Management over-trust</x:t>
        </x:is>
      </x:c>
      <x:c r="J285" s="160" t="inlineStr">
        <x:is>
          <x:t xml:space="preserve">Guidance or strategic promises are repeated but the model lacks a contemporaneous reliability score.</x:t>
        </x:is>
      </x:c>
      <x:c r="K285" s="160" t="inlineStr">
        <x:is>
          <x:t xml:space="preserve">Electrical infrastructure demand plus acquired growth</x:t>
        </x:is>
      </x:c>
      <x:c r="L285" s="160" t="inlineStr">
        <x:is>
          <x:t xml:space="preserve">Owner earnings + acquisition-cohort ROIC</x:t>
        </x:is>
      </x:c>
      <x:c r="M285" s="160" t="inlineStr">
        <x:is>
          <x:t xml:space="preserve">WATCH</x:t>
        </x:is>
      </x:c>
      <x:c r="N285" s="160" t="inlineStr">
        <x:is>
          <x:t xml:space="preserve">R-PROM-01</x:t>
        </x:is>
      </x:c>
      <x:c r="O285" s="160" t="inlineStr">
        <x:is>
          <x:t xml:space="preserve">HARDENED</x:t>
        </x:is>
      </x:c>
      <x:c r="P285" s="160" t="inlineStr">
        <x:is>
          <x:t xml:space="preserve">ROBUST WITH RESIDUAL</x:t>
        </x:is>
      </x:c>
      <x:c r="Q285" s="160" t="inlineStr">
        <x:is>
          <x:t xml:space="preserve">The hardened rule catches the stress. Residual risk is mainly evidence quality, threshold calibration or interaction with another gate.</x:t>
        </x:is>
      </x:c>
      <x:c r="R285" s="160" t="inlineStr">
        <x:is>
          <x:t xml:space="preserve">Use a promises ledger with dated promise, measurable deliverable, due date, outcome and credibility weight.</x:t>
        </x:is>
      </x:c>
      <x:c r="S285" s="160" t="inlineStr">
        <x:is>
          <x:t xml:space="preserve">NO</x:t>
        </x:is>
      </x:c>
      <x:c r="T285" s="160" t="inlineStr">
        <x:is>
          <x:t xml:space="preserve">HARDENED</x:t>
        </x:is>
      </x:c>
      <x:c r="U285" s="160" t="inlineStr">
        <x:is>
          <x:t xml:space="preserve">V10.5-SIM37</x:t>
        </x:is>
      </x:c>
      <x:c r="V285" s="160" t="inlineStr">
        <x:is>
          <x:t xml:space="preserve">https://investors.nvent.com</x:t>
        </x:is>
      </x:c>
      <x:c r="W285" s="160" t="inlineStr">
        <x:is>
          <x:t xml:space="preserve">NO</x:t>
        </x:is>
      </x:c>
      <x:c r="X285" s="160" t="inlineStr">
        <x:is>
          <x:t xml:space="preserve">NONE — DEVELOPMENT ONLY</x:t>
        </x:is>
      </x:c>
      <x:c r="Y285" s="160" t="inlineStr">
        <x:is>
          <x:t xml:space="preserve">Synthetic/adversarial model-development loop. No historical outcome is claimed; no accuracy point is awarded.</x:t>
        </x:is>
      </x:c>
    </x:row>
    <x:row r="286">
      <x:c r="A286" s="160" t="inlineStr">
        <x:is>
          <x:t xml:space="preserve">ML0281</x:t>
        </x:is>
      </x:c>
      <x:c r="B286" s="160" t="inlineStr">
        <x:is>
          <x:t xml:space="preserve">ARG-018</x:t>
        </x:is>
      </x:c>
      <x:c r="C286" s="160" t="inlineStr">
        <x:is>
          <x:t xml:space="preserve">nVent Electric</x:t>
        </x:is>
      </x:c>
      <x:c r="D286" s="160" t="inlineStr">
        <x:is>
          <x:t xml:space="preserve">NVT</x:t>
        </x:is>
      </x:c>
      <x:c r="E286" s="160" t="inlineStr">
        <x:is>
          <x:t xml:space="preserve">Power &amp; Grid</x:t>
        </x:is>
      </x:c>
      <x:c r="F286" s="160" t="inlineStr">
        <x:is>
          <x:t xml:space="preserve">Development</x:t>
        </x:is>
      </x:c>
      <x:c r="G286" s="160" t="inlineStr">
        <x:is>
          <x:t xml:space="preserve">S09</x:t>
        </x:is>
      </x:c>
      <x:c r="H286" s="160" t="inlineStr">
        <x:is>
          <x:t xml:space="preserve">Data / Accounting Quality</x:t>
        </x:is>
      </x:c>
      <x:c r="I286" s="160" t="inlineStr">
        <x:is>
          <x:t xml:space="preserve">Data quality</x:t>
        </x:is>
      </x:c>
      <x:c r="J286" s="160" t="inlineStr">
        <x:is>
          <x:t xml:space="preserve">Restatement, segment reclassification, one-time item or non-economic fair-value movement distorts the apparent trend.</x:t>
        </x:is>
      </x:c>
      <x:c r="K286" s="160" t="inlineStr">
        <x:is>
          <x:t xml:space="preserve">Electrical infrastructure demand plus acquired growth</x:t>
        </x:is>
      </x:c>
      <x:c r="L286" s="160" t="inlineStr">
        <x:is>
          <x:t xml:space="preserve">Owner earnings + acquisition-cohort ROIC</x:t>
        </x:is>
      </x:c>
      <x:c r="M286" s="160" t="inlineStr">
        <x:is>
          <x:t xml:space="preserve">WATCH</x:t>
        </x:is>
      </x:c>
      <x:c r="N286" s="160" t="inlineStr">
        <x:is>
          <x:t xml:space="preserve">R-DATA-01</x:t>
        </x:is>
      </x:c>
      <x:c r="O286" s="160" t="inlineStr">
        <x:is>
          <x:t xml:space="preserve">HARDENED</x:t>
        </x:is>
      </x:c>
      <x:c r="P286" s="160" t="inlineStr">
        <x:is>
          <x:t xml:space="preserve">ROBUST WITH RESIDUAL</x:t>
        </x:is>
      </x:c>
      <x:c r="Q286" s="160" t="inlineStr">
        <x:is>
          <x:t xml:space="preserve">The hardened rule catches the stress. Residual risk is mainly evidence quality, threshold calibration or interaction with another gate.</x:t>
        </x:is>
      </x:c>
      <x:c r="R286" s="160" t="inlineStr">
        <x:is>
          <x:t xml:space="preserve">Add a reporting-quality bridge and normalize accounting noise before any gate can pass.</x:t>
        </x:is>
      </x:c>
      <x:c r="S286" s="160" t="inlineStr">
        <x:is>
          <x:t xml:space="preserve">NO</x:t>
        </x:is>
      </x:c>
      <x:c r="T286" s="160" t="inlineStr">
        <x:is>
          <x:t xml:space="preserve">HARDENED</x:t>
        </x:is>
      </x:c>
      <x:c r="U286" s="160" t="inlineStr">
        <x:is>
          <x:t xml:space="preserve">V10.5-SIM37</x:t>
        </x:is>
      </x:c>
      <x:c r="V286" s="160" t="inlineStr">
        <x:is>
          <x:t xml:space="preserve">https://investors.nvent.com</x:t>
        </x:is>
      </x:c>
      <x:c r="W286" s="160" t="inlineStr">
        <x:is>
          <x:t xml:space="preserve">NO</x:t>
        </x:is>
      </x:c>
      <x:c r="X286" s="160" t="inlineStr">
        <x:is>
          <x:t xml:space="preserve">NONE — DEVELOPMENT ONLY</x:t>
        </x:is>
      </x:c>
      <x:c r="Y286" s="160" t="inlineStr">
        <x:is>
          <x:t xml:space="preserve">Synthetic/adversarial model-development loop. No historical outcome is claimed; no accuracy point is awarded.</x:t>
        </x:is>
      </x:c>
    </x:row>
    <x:row r="287">
      <x:c r="A287" s="160" t="inlineStr">
        <x:is>
          <x:t xml:space="preserve">ML0282</x:t>
        </x:is>
      </x:c>
      <x:c r="B287" s="160" t="inlineStr">
        <x:is>
          <x:t xml:space="preserve">ARG-018</x:t>
        </x:is>
      </x:c>
      <x:c r="C287" s="160" t="inlineStr">
        <x:is>
          <x:t xml:space="preserve">nVent Electric</x:t>
        </x:is>
      </x:c>
      <x:c r="D287" s="160" t="inlineStr">
        <x:is>
          <x:t xml:space="preserve">NVT</x:t>
        </x:is>
      </x:c>
      <x:c r="E287" s="160" t="inlineStr">
        <x:is>
          <x:t xml:space="preserve">Power &amp; Grid</x:t>
        </x:is>
      </x:c>
      <x:c r="F287" s="160" t="inlineStr">
        <x:is>
          <x:t xml:space="preserve">Development</x:t>
        </x:is>
      </x:c>
      <x:c r="G287" s="160" t="inlineStr">
        <x:is>
          <x:t xml:space="preserve">S10</x:t>
        </x:is>
      </x:c>
      <x:c r="H287" s="160" t="inlineStr">
        <x:is>
          <x:t xml:space="preserve">Control / Counterfactual</x:t>
        </x:is>
      </x:c>
      <x:c r="I287" s="160" t="inlineStr">
        <x:is>
          <x:t xml:space="preserve">Sector beta vs company alpha</x:t>
        </x:is>
      </x:c>
      <x:c r="J287" s="160" t="inlineStr">
        <x:is>
          <x:t xml:space="preserve">A positive outcome is mostly sector beta or macro tailwind, not company-specific alpha.</x:t>
        </x:is>
      </x:c>
      <x:c r="K287" s="160" t="inlineStr">
        <x:is>
          <x:t xml:space="preserve">Electrical infrastructure demand plus acquired growth</x:t>
        </x:is>
      </x:c>
      <x:c r="L287" s="160" t="inlineStr">
        <x:is>
          <x:t xml:space="preserve">Owner earnings + acquisition-cohort ROIC</x:t>
        </x:is>
      </x:c>
      <x:c r="M287" s="160" t="inlineStr">
        <x:is>
          <x:t xml:space="preserve">WATCH</x:t>
        </x:is>
      </x:c>
      <x:c r="N287" s="160" t="inlineStr">
        <x:is>
          <x:t xml:space="preserve">R-CF-01</x:t>
        </x:is>
      </x:c>
      <x:c r="O287" s="160" t="inlineStr">
        <x:is>
          <x:t xml:space="preserve">HARDENED</x:t>
        </x:is>
      </x:c>
      <x:c r="P287" s="160" t="inlineStr">
        <x:is>
          <x:t xml:space="preserve">ROBUST WITH RESIDUAL</x:t>
        </x:is>
      </x:c>
      <x:c r="Q287" s="160" t="inlineStr">
        <x:is>
          <x:t xml:space="preserve">The hardened rule catches the stress. Residual risk is mainly evidence quality, threshold calibration or interaction with another gate.</x:t>
        </x:is>
      </x:c>
      <x:c r="R287" s="160" t="inlineStr">
        <x:is>
          <x:t xml:space="preserve">Require a true economic control and counterfactual: what should have happened to a comparable company under the same shock?</x:t>
        </x:is>
      </x:c>
      <x:c r="S287" s="160" t="inlineStr">
        <x:is>
          <x:t xml:space="preserve">NO</x:t>
        </x:is>
      </x:c>
      <x:c r="T287" s="160" t="inlineStr">
        <x:is>
          <x:t xml:space="preserve">HARDENED</x:t>
        </x:is>
      </x:c>
      <x:c r="U287" s="160" t="inlineStr">
        <x:is>
          <x:t xml:space="preserve">V10.5-SIM37</x:t>
        </x:is>
      </x:c>
      <x:c r="V287" s="160" t="inlineStr">
        <x:is>
          <x:t xml:space="preserve">https://investors.nvent.com</x:t>
        </x:is>
      </x:c>
      <x:c r="W287" s="160" t="inlineStr">
        <x:is>
          <x:t xml:space="preserve">NO</x:t>
        </x:is>
      </x:c>
      <x:c r="X287" s="160" t="inlineStr">
        <x:is>
          <x:t xml:space="preserve">NONE — DEVELOPMENT ONLY</x:t>
        </x:is>
      </x:c>
      <x:c r="Y287" s="160" t="inlineStr">
        <x:is>
          <x:t xml:space="preserve">Synthetic/adversarial model-development loop. No historical outcome is claimed; no accuracy point is awarded.</x:t>
        </x:is>
      </x:c>
    </x:row>
    <x:row r="288">
      <x:c r="A288" s="160" t="inlineStr">
        <x:is>
          <x:t xml:space="preserve">ML0283</x:t>
        </x:is>
      </x:c>
      <x:c r="B288" s="160" t="inlineStr">
        <x:is>
          <x:t xml:space="preserve">ARG-018</x:t>
        </x:is>
      </x:c>
      <x:c r="C288" s="160" t="inlineStr">
        <x:is>
          <x:t xml:space="preserve">nVent Electric</x:t>
        </x:is>
      </x:c>
      <x:c r="D288" s="160" t="inlineStr">
        <x:is>
          <x:t xml:space="preserve">NVT</x:t>
        </x:is>
      </x:c>
      <x:c r="E288" s="160" t="inlineStr">
        <x:is>
          <x:t xml:space="preserve">Power &amp; Grid</x:t>
        </x:is>
      </x:c>
      <x:c r="F288" s="160" t="inlineStr">
        <x:is>
          <x:t xml:space="preserve">Development</x:t>
        </x:is>
      </x:c>
      <x:c r="G288" s="160" t="inlineStr">
        <x:is>
          <x:t xml:space="preserve">S11</x:t>
        </x:is>
      </x:c>
      <x:c r="H288" s="160" t="inlineStr">
        <x:is>
          <x:t xml:space="preserve">False-Negative Discipline</x:t>
        </x:is>
      </x:c>
      <x:c r="I288" s="160" t="inlineStr">
        <x:is>
          <x:t xml:space="preserve">False negative</x:t>
        </x:is>
      </x:c>
      <x:c r="J288" s="160" t="inlineStr">
        <x:is>
          <x:t xml:space="preserve">A strict gate rejects a company that later compounds strongly for reasons the model could have known.</x:t>
        </x:is>
      </x:c>
      <x:c r="K288" s="160" t="inlineStr">
        <x:is>
          <x:t xml:space="preserve">Electrical infrastructure demand plus acquired growth</x:t>
        </x:is>
      </x:c>
      <x:c r="L288" s="160" t="inlineStr">
        <x:is>
          <x:t xml:space="preserve">Owner earnings + acquisition-cohort ROIC</x:t>
        </x:is>
      </x:c>
      <x:c r="M288" s="160" t="inlineStr">
        <x:is>
          <x:t xml:space="preserve">WATCH</x:t>
        </x:is>
      </x:c>
      <x:c r="N288" s="160" t="inlineStr">
        <x:is>
          <x:t xml:space="preserve">R-FN-01</x:t>
        </x:is>
      </x:c>
      <x:c r="O288" s="160" t="inlineStr">
        <x:is>
          <x:t xml:space="preserve">HARDENED</x:t>
        </x:is>
      </x:c>
      <x:c r="P288" s="160" t="inlineStr">
        <x:is>
          <x:t xml:space="preserve">ROBUST WITH RESIDUAL</x:t>
        </x:is>
      </x:c>
      <x:c r="Q288" s="160" t="inlineStr">
        <x:is>
          <x:t xml:space="preserve">The hardened rule catches the stress. Residual risk is mainly evidence quality, threshold calibration or interaction with another gate.</x:t>
        </x:is>
      </x:c>
      <x:c r="R288" s="160" t="inlineStr">
        <x:is>
          <x:t xml:space="preserve">Track opportunity cost and classify whether the miss came from evidence timing, wrong threshold or genuinely unknowable upside.</x:t>
        </x:is>
      </x:c>
      <x:c r="S288" s="160" t="inlineStr">
        <x:is>
          <x:t xml:space="preserve">NO</x:t>
        </x:is>
      </x:c>
      <x:c r="T288" s="160" t="inlineStr">
        <x:is>
          <x:t xml:space="preserve">HARDENED</x:t>
        </x:is>
      </x:c>
      <x:c r="U288" s="160" t="inlineStr">
        <x:is>
          <x:t xml:space="preserve">V10.5-SIM37</x:t>
        </x:is>
      </x:c>
      <x:c r="V288" s="160" t="inlineStr">
        <x:is>
          <x:t xml:space="preserve">https://investors.nvent.com</x:t>
        </x:is>
      </x:c>
      <x:c r="W288" s="160" t="inlineStr">
        <x:is>
          <x:t xml:space="preserve">NO</x:t>
        </x:is>
      </x:c>
      <x:c r="X288" s="160" t="inlineStr">
        <x:is>
          <x:t xml:space="preserve">NONE — DEVELOPMENT ONLY</x:t>
        </x:is>
      </x:c>
      <x:c r="Y288" s="160" t="inlineStr">
        <x:is>
          <x:t xml:space="preserve">Synthetic/adversarial model-development loop. No historical outcome is claimed; no accuracy point is awarded.</x:t>
        </x:is>
      </x:c>
    </x:row>
    <x:row r="289">
      <x:c r="A289" s="160" t="inlineStr">
        <x:is>
          <x:t xml:space="preserve">ML0284</x:t>
        </x:is>
      </x:c>
      <x:c r="B289" s="160" t="inlineStr">
        <x:is>
          <x:t xml:space="preserve">ARG-018</x:t>
        </x:is>
      </x:c>
      <x:c r="C289" s="160" t="inlineStr">
        <x:is>
          <x:t xml:space="preserve">nVent Electric</x:t>
        </x:is>
      </x:c>
      <x:c r="D289" s="160" t="inlineStr">
        <x:is>
          <x:t xml:space="preserve">NVT</x:t>
        </x:is>
      </x:c>
      <x:c r="E289" s="160" t="inlineStr">
        <x:is>
          <x:t xml:space="preserve">Power &amp; Grid</x:t>
        </x:is>
      </x:c>
      <x:c r="F289" s="160" t="inlineStr">
        <x:is>
          <x:t xml:space="preserve">Development</x:t>
        </x:is>
      </x:c>
      <x:c r="G289" s="160" t="inlineStr">
        <x:is>
          <x:t xml:space="preserve">S12</x:t>
        </x:is>
      </x:c>
      <x:c r="H289" s="160" t="inlineStr">
        <x:is>
          <x:t xml:space="preserve">Lead-Time / Early Sensor</x:t>
        </x:is>
      </x:c>
      <x:c r="I289" s="160" t="inlineStr">
        <x:is>
          <x:t xml:space="preserve">Timing / lead-time</x:t>
        </x:is>
      </x:c>
      <x:c r="J289" s="160" t="inlineStr">
        <x:is>
          <x:t xml:space="preserve">ARGUS identifies the change correctly but only after consensus and price have already reacted.</x:t>
        </x:is>
      </x:c>
      <x:c r="K289" s="160" t="inlineStr">
        <x:is>
          <x:t xml:space="preserve">Electrical infrastructure demand plus acquired growth</x:t>
        </x:is>
      </x:c>
      <x:c r="L289" s="160" t="inlineStr">
        <x:is>
          <x:t xml:space="preserve">Owner earnings + acquisition-cohort ROIC</x:t>
        </x:is>
      </x:c>
      <x:c r="M289" s="160" t="inlineStr">
        <x:is>
          <x:t xml:space="preserve">WATCH</x:t>
        </x:is>
      </x:c>
      <x:c r="N289" s="160" t="inlineStr">
        <x:is>
          <x:t xml:space="preserve">R-TIME-01</x:t>
        </x:is>
      </x:c>
      <x:c r="O289" s="160" t="inlineStr">
        <x:is>
          <x:t xml:space="preserve">HARDENED</x:t>
        </x:is>
      </x:c>
      <x:c r="P289" s="160" t="inlineStr">
        <x:is>
          <x:t xml:space="preserve">ROBUST WITH RESIDUAL</x:t>
        </x:is>
      </x:c>
      <x:c r="Q289" s="160" t="inlineStr">
        <x:is>
          <x:t xml:space="preserve">The hardened rule catches the stress. Residual risk is mainly evidence quality, threshold calibration or interaction with another gate.</x:t>
        </x:is>
      </x:c>
      <x:c r="R289" s="160" t="inlineStr">
        <x:is>
          <x:t xml:space="preserve">Replace lagging financial metrics with earlier causal operating sensors and record lead time separately from correctness.</x:t>
        </x:is>
      </x:c>
      <x:c r="S289" s="160" t="inlineStr">
        <x:is>
          <x:t xml:space="preserve">NO</x:t>
        </x:is>
      </x:c>
      <x:c r="T289" s="160" t="inlineStr">
        <x:is>
          <x:t xml:space="preserve">HARDENED</x:t>
        </x:is>
      </x:c>
      <x:c r="U289" s="160" t="inlineStr">
        <x:is>
          <x:t xml:space="preserve">V10.5-SIM37</x:t>
        </x:is>
      </x:c>
      <x:c r="V289" s="160" t="inlineStr">
        <x:is>
          <x:t xml:space="preserve">https://investors.nvent.com</x:t>
        </x:is>
      </x:c>
      <x:c r="W289" s="160" t="inlineStr">
        <x:is>
          <x:t xml:space="preserve">NO</x:t>
        </x:is>
      </x:c>
      <x:c r="X289" s="160" t="inlineStr">
        <x:is>
          <x:t xml:space="preserve">NONE — DEVELOPMENT ONLY</x:t>
        </x:is>
      </x:c>
      <x:c r="Y289" s="160" t="inlineStr">
        <x:is>
          <x:t xml:space="preserve">Synthetic/adversarial model-development loop. No historical outcome is claimed; no accuracy point is awarded.</x:t>
        </x:is>
      </x:c>
    </x:row>
    <x:row r="290">
      <x:c r="A290" s="160" t="inlineStr">
        <x:is>
          <x:t xml:space="preserve">ML0285</x:t>
        </x:is>
      </x:c>
      <x:c r="B290" s="160" t="inlineStr">
        <x:is>
          <x:t xml:space="preserve">ARG-018</x:t>
        </x:is>
      </x:c>
      <x:c r="C290" s="160" t="inlineStr">
        <x:is>
          <x:t xml:space="preserve">nVent Electric</x:t>
        </x:is>
      </x:c>
      <x:c r="D290" s="160" t="inlineStr">
        <x:is>
          <x:t xml:space="preserve">NVT</x:t>
        </x:is>
      </x:c>
      <x:c r="E290" s="160" t="inlineStr">
        <x:is>
          <x:t xml:space="preserve">Power &amp; Grid</x:t>
        </x:is>
      </x:c>
      <x:c r="F290" s="160" t="inlineStr">
        <x:is>
          <x:t xml:space="preserve">Development</x:t>
        </x:is>
      </x:c>
      <x:c r="G290" s="160" t="inlineStr">
        <x:is>
          <x:t xml:space="preserve">S13</x:t>
        </x:is>
      </x:c>
      <x:c r="H290" s="160" t="inlineStr">
        <x:is>
          <x:t xml:space="preserve">Cycle Normalization</x:t>
        </x:is>
      </x:c>
      <x:c r="I290" s="160" t="inlineStr">
        <x:is>
          <x:t xml:space="preserve">Wrong valuation lens</x:t>
        </x:is>
      </x:c>
      <x:c r="J290" s="160" t="inlineStr">
        <x:is>
          <x:t xml:space="preserve">Peak/trough earnings are mistaken for normalized earning power.</x:t>
        </x:is>
      </x:c>
      <x:c r="K290" s="160" t="inlineStr">
        <x:is>
          <x:t xml:space="preserve">Electrical infrastructure demand plus acquired growth</x:t>
        </x:is>
      </x:c>
      <x:c r="L290" s="160" t="inlineStr">
        <x:is>
          <x:t xml:space="preserve">Owner earnings + acquisition-cohort ROIC</x:t>
        </x:is>
      </x:c>
      <x:c r="M290" s="160" t="inlineStr">
        <x:is>
          <x:t xml:space="preserve">WATCH</x:t>
        </x:is>
      </x:c>
      <x:c r="N290" s="160" t="inlineStr">
        <x:is>
          <x:t xml:space="preserve">R-CYCLE-01</x:t>
        </x:is>
      </x:c>
      <x:c r="O290" s="160" t="inlineStr">
        <x:is>
          <x:t xml:space="preserve">HARDENED</x:t>
        </x:is>
      </x:c>
      <x:c r="P290" s="160" t="inlineStr">
        <x:is>
          <x:t xml:space="preserve">ROBUST WITH RESIDUAL</x:t>
        </x:is>
      </x:c>
      <x:c r="Q290" s="160" t="inlineStr">
        <x:is>
          <x:t xml:space="preserve">The hardened rule catches the stress. Residual risk is mainly evidence quality, threshold calibration or interaction with another gate.</x:t>
        </x:is>
      </x:c>
      <x:c r="R290" s="160" t="inlineStr">
        <x:is>
          <x:t xml:space="preserve">Use sector-specific mid-cycle/NAV/rate-base/rNPV normalization before applying a valuation multiple.</x:t>
        </x:is>
      </x:c>
      <x:c r="S290" s="160" t="inlineStr">
        <x:is>
          <x:t xml:space="preserve">NO</x:t>
        </x:is>
      </x:c>
      <x:c r="T290" s="160" t="inlineStr">
        <x:is>
          <x:t xml:space="preserve">HARDENED</x:t>
        </x:is>
      </x:c>
      <x:c r="U290" s="160" t="inlineStr">
        <x:is>
          <x:t xml:space="preserve">V10.5-SIM37</x:t>
        </x:is>
      </x:c>
      <x:c r="V290" s="160" t="inlineStr">
        <x:is>
          <x:t xml:space="preserve">https://investors.nvent.com</x:t>
        </x:is>
      </x:c>
      <x:c r="W290" s="160" t="inlineStr">
        <x:is>
          <x:t xml:space="preserve">NO</x:t>
        </x:is>
      </x:c>
      <x:c r="X290" s="160" t="inlineStr">
        <x:is>
          <x:t xml:space="preserve">NONE — DEVELOPMENT ONLY</x:t>
        </x:is>
      </x:c>
      <x:c r="Y290" s="160" t="inlineStr">
        <x:is>
          <x:t xml:space="preserve">Synthetic/adversarial model-development loop. No historical outcome is claimed; no accuracy point is awarded.</x:t>
        </x:is>
      </x:c>
    </x:row>
    <x:row r="291">
      <x:c r="A291" s="160" t="inlineStr">
        <x:is>
          <x:t xml:space="preserve">ML0286</x:t>
        </x:is>
      </x:c>
      <x:c r="B291" s="160" t="inlineStr">
        <x:is>
          <x:t xml:space="preserve">ARG-018</x:t>
        </x:is>
      </x:c>
      <x:c r="C291" s="160" t="inlineStr">
        <x:is>
          <x:t xml:space="preserve">nVent Electric</x:t>
        </x:is>
      </x:c>
      <x:c r="D291" s="160" t="inlineStr">
        <x:is>
          <x:t xml:space="preserve">NVT</x:t>
        </x:is>
      </x:c>
      <x:c r="E291" s="160" t="inlineStr">
        <x:is>
          <x:t xml:space="preserve">Power &amp; Grid</x:t>
        </x:is>
      </x:c>
      <x:c r="F291" s="160" t="inlineStr">
        <x:is>
          <x:t xml:space="preserve">Development</x:t>
        </x:is>
      </x:c>
      <x:c r="G291" s="160" t="inlineStr">
        <x:is>
          <x:t xml:space="preserve">S14</x:t>
        </x:is>
      </x:c>
      <x:c r="H291" s="160" t="inlineStr">
        <x:is>
          <x:t xml:space="preserve">M&amp;A / Organic Growth Separation</x:t>
        </x:is>
      </x:c>
      <x:c r="I291" s="160" t="inlineStr">
        <x:is>
          <x:t xml:space="preserve">Stewardship</x:t>
        </x:is>
      </x:c>
      <x:c r="J291" s="160" t="inlineStr">
        <x:is>
          <x:t xml:space="preserve">Acquisition-driven growth masks weak organic economics or poor incremental ROIC.</x:t>
        </x:is>
      </x:c>
      <x:c r="K291" s="160" t="inlineStr">
        <x:is>
          <x:t xml:space="preserve">Electrical infrastructure demand plus acquired growth</x:t>
        </x:is>
      </x:c>
      <x:c r="L291" s="160" t="inlineStr">
        <x:is>
          <x:t xml:space="preserve">Owner earnings + acquisition-cohort ROIC</x:t>
        </x:is>
      </x:c>
      <x:c r="M291" s="160" t="inlineStr">
        <x:is>
          <x:t xml:space="preserve">WATCH</x:t>
        </x:is>
      </x:c>
      <x:c r="N291" s="160" t="inlineStr">
        <x:is>
          <x:t xml:space="preserve">R-MA-01</x:t>
        </x:is>
      </x:c>
      <x:c r="O291" s="160" t="inlineStr">
        <x:is>
          <x:t xml:space="preserve">HARDENED</x:t>
        </x:is>
      </x:c>
      <x:c r="P291" s="160" t="inlineStr">
        <x:is>
          <x:t xml:space="preserve">ROBUST WITH RESIDUAL</x:t>
        </x:is>
      </x:c>
      <x:c r="Q291" s="160" t="inlineStr">
        <x:is>
          <x:t xml:space="preserve">The hardened rule catches the stress. Residual risk is mainly evidence quality, threshold calibration or interaction with another gate.</x:t>
        </x:is>
      </x:c>
      <x:c r="R291" s="160" t="inlineStr">
        <x:is>
          <x:t xml:space="preserve">Bridge organic growth, acquired growth, purchase price, integration costs and acquisition-cohort ROIC.</x:t>
        </x:is>
      </x:c>
      <x:c r="S291" s="160" t="inlineStr">
        <x:is>
          <x:t xml:space="preserve">NO</x:t>
        </x:is>
      </x:c>
      <x:c r="T291" s="160" t="inlineStr">
        <x:is>
          <x:t xml:space="preserve">HARDENED</x:t>
        </x:is>
      </x:c>
      <x:c r="U291" s="160" t="inlineStr">
        <x:is>
          <x:t xml:space="preserve">V10.5-SIM37</x:t>
        </x:is>
      </x:c>
      <x:c r="V291" s="160" t="inlineStr">
        <x:is>
          <x:t xml:space="preserve">https://investors.nvent.com</x:t>
        </x:is>
      </x:c>
      <x:c r="W291" s="160" t="inlineStr">
        <x:is>
          <x:t xml:space="preserve">NO</x:t>
        </x:is>
      </x:c>
      <x:c r="X291" s="160" t="inlineStr">
        <x:is>
          <x:t xml:space="preserve">NONE — DEVELOPMENT ONLY</x:t>
        </x:is>
      </x:c>
      <x:c r="Y291" s="160" t="inlineStr">
        <x:is>
          <x:t xml:space="preserve">Synthetic/adversarial model-development loop. No historical outcome is claimed; no accuracy point is awarded.</x:t>
        </x:is>
      </x:c>
    </x:row>
    <x:row r="292">
      <x:c r="A292" s="160" t="inlineStr">
        <x:is>
          <x:t xml:space="preserve">ML0287</x:t>
        </x:is>
      </x:c>
      <x:c r="B292" s="160" t="inlineStr">
        <x:is>
          <x:t xml:space="preserve">ARG-018</x:t>
        </x:is>
      </x:c>
      <x:c r="C292" s="160" t="inlineStr">
        <x:is>
          <x:t xml:space="preserve">nVent Electric</x:t>
        </x:is>
      </x:c>
      <x:c r="D292" s="160" t="inlineStr">
        <x:is>
          <x:t xml:space="preserve">NVT</x:t>
        </x:is>
      </x:c>
      <x:c r="E292" s="160" t="inlineStr">
        <x:is>
          <x:t xml:space="preserve">Power &amp; Grid</x:t>
        </x:is>
      </x:c>
      <x:c r="F292" s="160" t="inlineStr">
        <x:is>
          <x:t xml:space="preserve">Development</x:t>
        </x:is>
      </x:c>
      <x:c r="G292" s="160" t="inlineStr">
        <x:is>
          <x:t xml:space="preserve">S15</x:t>
        </x:is>
      </x:c>
      <x:c r="H292" s="160" t="inlineStr">
        <x:is>
          <x:t xml:space="preserve">Financing / Dilution Per Share</x:t>
        </x:is>
      </x:c>
      <x:c r="I292" s="160" t="inlineStr">
        <x:is>
          <x:t xml:space="preserve">Stewardship</x:t>
        </x:is>
      </x:c>
      <x:c r="J292" s="160" t="inlineStr">
        <x:is>
          <x:t xml:space="preserve">Cash balance or revenue growth improves while financing causes material per-share value leakage.</x:t>
        </x:is>
      </x:c>
      <x:c r="K292" s="160" t="inlineStr">
        <x:is>
          <x:t xml:space="preserve">Electrical infrastructure demand plus acquired growth</x:t>
        </x:is>
      </x:c>
      <x:c r="L292" s="160" t="inlineStr">
        <x:is>
          <x:t xml:space="preserve">Owner earnings + acquisition-cohort ROIC</x:t>
        </x:is>
      </x:c>
      <x:c r="M292" s="160" t="inlineStr">
        <x:is>
          <x:t xml:space="preserve">WATCH</x:t>
        </x:is>
      </x:c>
      <x:c r="N292" s="160" t="inlineStr">
        <x:is>
          <x:t xml:space="preserve">R-DIL-01</x:t>
        </x:is>
      </x:c>
      <x:c r="O292" s="160" t="inlineStr">
        <x:is>
          <x:t xml:space="preserve">HARDENED</x:t>
        </x:is>
      </x:c>
      <x:c r="P292" s="160" t="inlineStr">
        <x:is>
          <x:t xml:space="preserve">ROBUST WITH RESIDUAL</x:t>
        </x:is>
      </x:c>
      <x:c r="Q292" s="160" t="inlineStr">
        <x:is>
          <x:t xml:space="preserve">The hardened rule catches the stress. Residual risk is mainly evidence quality, threshold calibration or interaction with another gate.</x:t>
        </x:is>
      </x:c>
      <x:c r="R292" s="160" t="inlineStr">
        <x:is>
          <x:t xml:space="preserve">Reconcile share-count growth, SBC, equity issuance, buybacks and net cash changes to per-share intrinsic value.</x:t>
        </x:is>
      </x:c>
      <x:c r="S292" s="160" t="inlineStr">
        <x:is>
          <x:t xml:space="preserve">NO</x:t>
        </x:is>
      </x:c>
      <x:c r="T292" s="160" t="inlineStr">
        <x:is>
          <x:t xml:space="preserve">HARDENED</x:t>
        </x:is>
      </x:c>
      <x:c r="U292" s="160" t="inlineStr">
        <x:is>
          <x:t xml:space="preserve">V10.5-SIM37</x:t>
        </x:is>
      </x:c>
      <x:c r="V292" s="160" t="inlineStr">
        <x:is>
          <x:t xml:space="preserve">https://investors.nvent.com</x:t>
        </x:is>
      </x:c>
      <x:c r="W292" s="160" t="inlineStr">
        <x:is>
          <x:t xml:space="preserve">NO</x:t>
        </x:is>
      </x:c>
      <x:c r="X292" s="160" t="inlineStr">
        <x:is>
          <x:t xml:space="preserve">NONE — DEVELOPMENT ONLY</x:t>
        </x:is>
      </x:c>
      <x:c r="Y292" s="160" t="inlineStr">
        <x:is>
          <x:t xml:space="preserve">Synthetic/adversarial model-development loop. No historical outcome is claimed; no accuracy point is awarded.</x:t>
        </x:is>
      </x:c>
    </x:row>
    <x:row r="293">
      <x:c r="A293" s="160" t="inlineStr">
        <x:is>
          <x:t xml:space="preserve">ML0288</x:t>
        </x:is>
      </x:c>
      <x:c r="B293" s="160" t="inlineStr">
        <x:is>
          <x:t xml:space="preserve">ARG-018</x:t>
        </x:is>
      </x:c>
      <x:c r="C293" s="160" t="inlineStr">
        <x:is>
          <x:t xml:space="preserve">nVent Electric</x:t>
        </x:is>
      </x:c>
      <x:c r="D293" s="160" t="inlineStr">
        <x:is>
          <x:t xml:space="preserve">NVT</x:t>
        </x:is>
      </x:c>
      <x:c r="E293" s="160" t="inlineStr">
        <x:is>
          <x:t xml:space="preserve">Power &amp; Grid</x:t>
        </x:is>
      </x:c>
      <x:c r="F293" s="160" t="inlineStr">
        <x:is>
          <x:t xml:space="preserve">Development</x:t>
        </x:is>
      </x:c>
      <x:c r="G293" s="160" t="inlineStr">
        <x:is>
          <x:t xml:space="preserve">S16</x:t>
        </x:is>
      </x:c>
      <x:c r="H293" s="160" t="inlineStr">
        <x:is>
          <x:t xml:space="preserve">Concentration / Tail Risk</x:t>
        </x:is>
      </x:c>
      <x:c r="I293" s="160" t="inlineStr">
        <x:is>
          <x:t xml:space="preserve">Survival</x:t>
        </x:is>
      </x:c>
      <x:c r="J293" s="160" t="inlineStr">
        <x:is>
          <x:t xml:space="preserve">A concentrated supplier, geography, customer, product, patent, regulatory or technology dependency creates asymmetric permanent-loss risk.</x:t>
        </x:is>
      </x:c>
      <x:c r="K293" s="160" t="inlineStr">
        <x:is>
          <x:t xml:space="preserve">Electrical infrastructure demand plus acquired growth</x:t>
        </x:is>
      </x:c>
      <x:c r="L293" s="160" t="inlineStr">
        <x:is>
          <x:t xml:space="preserve">Owner earnings + acquisition-cohort ROIC</x:t>
        </x:is>
      </x:c>
      <x:c r="M293" s="160" t="inlineStr">
        <x:is>
          <x:t xml:space="preserve">WATCH</x:t>
        </x:is>
      </x:c>
      <x:c r="N293" s="160" t="inlineStr">
        <x:is>
          <x:t xml:space="preserve">R-TAIL-01</x:t>
        </x:is>
      </x:c>
      <x:c r="O293" s="160" t="inlineStr">
        <x:is>
          <x:t xml:space="preserve">HARDENED</x:t>
        </x:is>
      </x:c>
      <x:c r="P293" s="160" t="inlineStr">
        <x:is>
          <x:t xml:space="preserve">ROBUST WITH RESIDUAL</x:t>
        </x:is>
      </x:c>
      <x:c r="Q293" s="160" t="inlineStr">
        <x:is>
          <x:t xml:space="preserve">The hardened rule catches the stress. Residual risk is mainly evidence quality, threshold calibration or interaction with another gate.</x:t>
        </x:is>
      </x:c>
      <x:c r="R293" s="160" t="inlineStr">
        <x:is>
          <x:t xml:space="preserve">Maintain an explicit concentration/tail-risk register with probability, severity, mitigation and required margin-of-safety premium.</x:t>
        </x:is>
      </x:c>
      <x:c r="S293" s="160" t="inlineStr">
        <x:is>
          <x:t xml:space="preserve">NO</x:t>
        </x:is>
      </x:c>
      <x:c r="T293" s="160" t="inlineStr">
        <x:is>
          <x:t xml:space="preserve">HARDENED</x:t>
        </x:is>
      </x:c>
      <x:c r="U293" s="160" t="inlineStr">
        <x:is>
          <x:t xml:space="preserve">V10.5-SIM37</x:t>
        </x:is>
      </x:c>
      <x:c r="V293" s="160" t="inlineStr">
        <x:is>
          <x:t xml:space="preserve">https://investors.nvent.com</x:t>
        </x:is>
      </x:c>
      <x:c r="W293" s="160" t="inlineStr">
        <x:is>
          <x:t xml:space="preserve">NO</x:t>
        </x:is>
      </x:c>
      <x:c r="X293" s="160" t="inlineStr">
        <x:is>
          <x:t xml:space="preserve">NONE — DEVELOPMENT ONLY</x:t>
        </x:is>
      </x:c>
      <x:c r="Y293" s="160" t="inlineStr">
        <x:is>
          <x:t xml:space="preserve">Synthetic/adversarial model-development loop. No historical outcome is claimed; no accuracy point is awarded.</x:t>
        </x:is>
      </x:c>
    </x:row>
    <x:row r="294">
      <x:c r="A294" s="160" t="inlineStr">
        <x:is>
          <x:t xml:space="preserve">ML0289</x:t>
        </x:is>
      </x:c>
      <x:c r="B294" s="160" t="inlineStr">
        <x:is>
          <x:t xml:space="preserve">ARG-019</x:t>
        </x:is>
      </x:c>
      <x:c r="C294" s="160" t="inlineStr">
        <x:is>
          <x:t xml:space="preserve">GE Vernova</x:t>
        </x:is>
      </x:c>
      <x:c r="D294" s="160" t="inlineStr">
        <x:is>
          <x:t xml:space="preserve">GEV</x:t>
        </x:is>
      </x:c>
      <x:c r="E294" s="160" t="inlineStr">
        <x:is>
          <x:t xml:space="preserve">Power &amp; Grid</x:t>
        </x:is>
      </x:c>
      <x:c r="F294" s="160" t="inlineStr">
        <x:is>
          <x:t xml:space="preserve">Development</x:t>
        </x:is>
      </x:c>
      <x:c r="G294" s="160" t="inlineStr">
        <x:is>
          <x:t xml:space="preserve">S01</x:t>
        </x:is>
      </x:c>
      <x:c r="H294" s="160" t="inlineStr">
        <x:is>
          <x:t xml:space="preserve">Understanding Gate</x:t>
        </x:is>
      </x:c>
      <x:c r="I294" s="160" t="inlineStr">
        <x:is>
          <x:t xml:space="preserve">Understanding</x:t>
        </x:is>
      </x:c>
      <x:c r="J294" s="160" t="inlineStr">
        <x:is>
          <x:t xml:space="preserve">Causal engine / customer ROI chain breaks under a misleading headline KPI.</x:t>
        </x:is>
      </x:c>
      <x:c r="K294" s="160" t="inlineStr">
        <x:is>
          <x:t xml:space="preserve">Orders/backlog × execution and service margins</x:t>
        </x:is>
      </x:c>
      <x:c r="L294" s="160" t="inlineStr">
        <x:is>
          <x:t xml:space="preserve">SOTP + normalized FCF</x:t>
        </x:is>
      </x:c>
      <x:c r="M294" s="160" t="inlineStr">
        <x:is>
          <x:t xml:space="preserve">WAIT FOR PRICE</x:t>
        </x:is>
      </x:c>
      <x:c r="N294" s="160" t="inlineStr">
        <x:is>
          <x:t xml:space="preserve">R-ENG-01</x:t>
        </x:is>
      </x:c>
      <x:c r="O294" s="160" t="inlineStr">
        <x:is>
          <x:t xml:space="preserve">HARDENED</x:t>
        </x:is>
      </x:c>
      <x:c r="P294" s="160" t="inlineStr">
        <x:is>
          <x:t xml:space="preserve">ROBUST WITH RESIDUAL</x:t>
        </x:is>
      </x:c>
      <x:c r="Q294" s="160" t="inlineStr">
        <x:is>
          <x:t xml:space="preserve">The hardened rule catches the stress. Residual risk is mainly evidence quality, threshold calibration or interaction with another gate.</x:t>
        </x:is>
      </x:c>
      <x:c r="R294" s="160" t="inlineStr">
        <x:is>
          <x:t xml:space="preserve">Force an explicit engine tree: customer job → unit economics → revenue driver → owner-value bridge.</x:t>
        </x:is>
      </x:c>
      <x:c r="S294" s="160" t="inlineStr">
        <x:is>
          <x:t xml:space="preserve">NO</x:t>
        </x:is>
      </x:c>
      <x:c r="T294" s="160" t="inlineStr">
        <x:is>
          <x:t xml:space="preserve">HARDENED</x:t>
        </x:is>
      </x:c>
      <x:c r="U294" s="160" t="inlineStr">
        <x:is>
          <x:t xml:space="preserve">V10.5-SIM37</x:t>
        </x:is>
      </x:c>
      <x:c r="V294" s="160" t="inlineStr">
        <x:is>
          <x:t xml:space="preserve">https://www.gevernova.com/investors</x:t>
        </x:is>
      </x:c>
      <x:c r="W294" s="160" t="inlineStr">
        <x:is>
          <x:t xml:space="preserve">NO</x:t>
        </x:is>
      </x:c>
      <x:c r="X294" s="160" t="inlineStr">
        <x:is>
          <x:t xml:space="preserve">NONE — DEVELOPMENT ONLY</x:t>
        </x:is>
      </x:c>
      <x:c r="Y294" s="160" t="inlineStr">
        <x:is>
          <x:t xml:space="preserve">Synthetic/adversarial model-development loop. No historical outcome is claimed; no accuracy point is awarded.</x:t>
        </x:is>
      </x:c>
    </x:row>
    <x:row r="295">
      <x:c r="A295" s="160" t="inlineStr">
        <x:is>
          <x:t xml:space="preserve">ML0290</x:t>
        </x:is>
      </x:c>
      <x:c r="B295" s="160" t="inlineStr">
        <x:is>
          <x:t xml:space="preserve">ARG-019</x:t>
        </x:is>
      </x:c>
      <x:c r="C295" s="160" t="inlineStr">
        <x:is>
          <x:t xml:space="preserve">GE Vernova</x:t>
        </x:is>
      </x:c>
      <x:c r="D295" s="160" t="inlineStr">
        <x:is>
          <x:t xml:space="preserve">GEV</x:t>
        </x:is>
      </x:c>
      <x:c r="E295" s="160" t="inlineStr">
        <x:is>
          <x:t xml:space="preserve">Power &amp; Grid</x:t>
        </x:is>
      </x:c>
      <x:c r="F295" s="160" t="inlineStr">
        <x:is>
          <x:t xml:space="preserve">Development</x:t>
        </x:is>
      </x:c>
      <x:c r="G295" s="160" t="inlineStr">
        <x:is>
          <x:t xml:space="preserve">S02</x:t>
        </x:is>
      </x:c>
      <x:c r="H295" s="160" t="inlineStr">
        <x:is>
          <x:t xml:space="preserve">Owner Earnings Normalization</x:t>
        </x:is>
      </x:c>
      <x:c r="I295" s="160" t="inlineStr">
        <x:is>
          <x:t xml:space="preserve">Owner Earnings</x:t>
        </x:is>
      </x:c>
      <x:c r="J295" s="160" t="inlineStr">
        <x:is>
          <x:t xml:space="preserve">Reported earnings/FCF overstates economic cash because recurring reinvestment or non-cash compensation is misclassified.</x:t>
        </x:is>
      </x:c>
      <x:c r="K295" s="160" t="inlineStr">
        <x:is>
          <x:t xml:space="preserve">Orders/backlog × execution and service margins</x:t>
        </x:is>
      </x:c>
      <x:c r="L295" s="160" t="inlineStr">
        <x:is>
          <x:t xml:space="preserve">SOTP + normalized FCF</x:t>
        </x:is>
      </x:c>
      <x:c r="M295" s="160" t="inlineStr">
        <x:is>
          <x:t xml:space="preserve">WAIT FOR PRICE</x:t>
        </x:is>
      </x:c>
      <x:c r="N295" s="160" t="inlineStr">
        <x:is>
          <x:t xml:space="preserve">R-OE-01</x:t>
        </x:is>
      </x:c>
      <x:c r="O295" s="160" t="inlineStr">
        <x:is>
          <x:t xml:space="preserve">HARDENED</x:t>
        </x:is>
      </x:c>
      <x:c r="P295" s="160" t="inlineStr">
        <x:is>
          <x:t xml:space="preserve">ROBUST WITH RESIDUAL</x:t>
        </x:is>
      </x:c>
      <x:c r="Q295" s="160" t="inlineStr">
        <x:is>
          <x:t xml:space="preserve">The hardened rule catches the stress. Residual risk is mainly evidence quality, threshold calibration or interaction with another gate.</x:t>
        </x:is>
      </x:c>
      <x:c r="R295" s="160" t="inlineStr">
        <x:is>
          <x:t xml:space="preserve">Require a GAAP-to-economic-owner-cash bridge tailored to the business model.</x:t>
        </x:is>
      </x:c>
      <x:c r="S295" s="160" t="inlineStr">
        <x:is>
          <x:t xml:space="preserve">NO</x:t>
        </x:is>
      </x:c>
      <x:c r="T295" s="160" t="inlineStr">
        <x:is>
          <x:t xml:space="preserve">HARDENED</x:t>
        </x:is>
      </x:c>
      <x:c r="U295" s="160" t="inlineStr">
        <x:is>
          <x:t xml:space="preserve">V10.5-SIM37</x:t>
        </x:is>
      </x:c>
      <x:c r="V295" s="160" t="inlineStr">
        <x:is>
          <x:t xml:space="preserve">https://www.gevernova.com/investors</x:t>
        </x:is>
      </x:c>
      <x:c r="W295" s="160" t="inlineStr">
        <x:is>
          <x:t xml:space="preserve">NO</x:t>
        </x:is>
      </x:c>
      <x:c r="X295" s="160" t="inlineStr">
        <x:is>
          <x:t xml:space="preserve">NONE — DEVELOPMENT ONLY</x:t>
        </x:is>
      </x:c>
      <x:c r="Y295" s="160" t="inlineStr">
        <x:is>
          <x:t xml:space="preserve">Synthetic/adversarial model-development loop. No historical outcome is claimed; no accuracy point is awarded.</x:t>
        </x:is>
      </x:c>
    </x:row>
    <x:row r="296">
      <x:c r="A296" s="160" t="inlineStr">
        <x:is>
          <x:t xml:space="preserve">ML0291</x:t>
        </x:is>
      </x:c>
      <x:c r="B296" s="160" t="inlineStr">
        <x:is>
          <x:t xml:space="preserve">ARG-019</x:t>
        </x:is>
      </x:c>
      <x:c r="C296" s="160" t="inlineStr">
        <x:is>
          <x:t xml:space="preserve">GE Vernova</x:t>
        </x:is>
      </x:c>
      <x:c r="D296" s="160" t="inlineStr">
        <x:is>
          <x:t xml:space="preserve">GEV</x:t>
        </x:is>
      </x:c>
      <x:c r="E296" s="160" t="inlineStr">
        <x:is>
          <x:t xml:space="preserve">Power &amp; Grid</x:t>
        </x:is>
      </x:c>
      <x:c r="F296" s="160" t="inlineStr">
        <x:is>
          <x:t xml:space="preserve">Development</x:t>
        </x:is>
      </x:c>
      <x:c r="G296" s="160" t="inlineStr">
        <x:is>
          <x:t xml:space="preserve">S03</x:t>
        </x:is>
      </x:c>
      <x:c r="H296" s="160" t="inlineStr">
        <x:is>
          <x:t xml:space="preserve">Moat Durability</x:t>
        </x:is>
      </x:c>
      <x:c r="I296" s="160" t="inlineStr">
        <x:is>
          <x:t xml:space="preserve">Moat 2036</x:t>
        </x:is>
      </x:c>
      <x:c r="J296" s="160" t="inlineStr">
        <x:is>
          <x:t xml:space="preserve">Growth continues while switching friction, pricing power or replacement difficulty quietly weakens.</x:t>
        </x:is>
      </x:c>
      <x:c r="K296" s="160" t="inlineStr">
        <x:is>
          <x:t xml:space="preserve">Orders/backlog × execution and service margins</x:t>
        </x:is>
      </x:c>
      <x:c r="L296" s="160" t="inlineStr">
        <x:is>
          <x:t xml:space="preserve">SOTP + normalized FCF</x:t>
        </x:is>
      </x:c>
      <x:c r="M296" s="160" t="inlineStr">
        <x:is>
          <x:t xml:space="preserve">WAIT FOR PRICE</x:t>
        </x:is>
      </x:c>
      <x:c r="N296" s="160" t="inlineStr">
        <x:is>
          <x:t xml:space="preserve">R-MOAT-01</x:t>
        </x:is>
      </x:c>
      <x:c r="O296" s="160" t="inlineStr">
        <x:is>
          <x:t xml:space="preserve">HARDENED</x:t>
        </x:is>
      </x:c>
      <x:c r="P296" s="160" t="inlineStr">
        <x:is>
          <x:t xml:space="preserve">ROBUST WITH RESIDUAL</x:t>
        </x:is>
      </x:c>
      <x:c r="Q296" s="160" t="inlineStr">
        <x:is>
          <x:t xml:space="preserve">The hardened rule catches the stress. Residual risk is mainly evidence quality, threshold calibration or interaction with another gate.</x:t>
        </x:is>
      </x:c>
      <x:c r="R296" s="160" t="inlineStr">
        <x:is>
          <x:t xml:space="preserve">Track moat telemetry separately from growth: retention, pricing, win/loss, replacement friction, installed-base behavior.</x:t>
        </x:is>
      </x:c>
      <x:c r="S296" s="160" t="inlineStr">
        <x:is>
          <x:t xml:space="preserve">NO</x:t>
        </x:is>
      </x:c>
      <x:c r="T296" s="160" t="inlineStr">
        <x:is>
          <x:t xml:space="preserve">HARDENED</x:t>
        </x:is>
      </x:c>
      <x:c r="U296" s="160" t="inlineStr">
        <x:is>
          <x:t xml:space="preserve">V10.5-SIM37</x:t>
        </x:is>
      </x:c>
      <x:c r="V296" s="160" t="inlineStr">
        <x:is>
          <x:t xml:space="preserve">https://www.gevernova.com/investors</x:t>
        </x:is>
      </x:c>
      <x:c r="W296" s="160" t="inlineStr">
        <x:is>
          <x:t xml:space="preserve">NO</x:t>
        </x:is>
      </x:c>
      <x:c r="X296" s="160" t="inlineStr">
        <x:is>
          <x:t xml:space="preserve">NONE — DEVELOPMENT ONLY</x:t>
        </x:is>
      </x:c>
      <x:c r="Y296" s="160" t="inlineStr">
        <x:is>
          <x:t xml:space="preserve">Synthetic/adversarial model-development loop. No historical outcome is claimed; no accuracy point is awarded.</x:t>
        </x:is>
      </x:c>
    </x:row>
    <x:row r="297">
      <x:c r="A297" s="160" t="inlineStr">
        <x:is>
          <x:t xml:space="preserve">ML0292</x:t>
        </x:is>
      </x:c>
      <x:c r="B297" s="160" t="inlineStr">
        <x:is>
          <x:t xml:space="preserve">ARG-019</x:t>
        </x:is>
      </x:c>
      <x:c r="C297" s="160" t="inlineStr">
        <x:is>
          <x:t xml:space="preserve">GE Vernova</x:t>
        </x:is>
      </x:c>
      <x:c r="D297" s="160" t="inlineStr">
        <x:is>
          <x:t xml:space="preserve">GEV</x:t>
        </x:is>
      </x:c>
      <x:c r="E297" s="160" t="inlineStr">
        <x:is>
          <x:t xml:space="preserve">Power &amp; Grid</x:t>
        </x:is>
      </x:c>
      <x:c r="F297" s="160" t="inlineStr">
        <x:is>
          <x:t xml:space="preserve">Development</x:t>
        </x:is>
      </x:c>
      <x:c r="G297" s="160" t="inlineStr">
        <x:is>
          <x:t xml:space="preserve">S04</x:t>
        </x:is>
      </x:c>
      <x:c r="H297" s="160" t="inlineStr">
        <x:is>
          <x:t xml:space="preserve">Stewardship / Capital Allocation</x:t>
        </x:is>
      </x:c>
      <x:c r="I297" s="160" t="inlineStr">
        <x:is>
          <x:t xml:space="preserve">Stewardship</x:t>
        </x:is>
      </x:c>
      <x:c r="J297" s="160" t="inlineStr">
        <x:is>
          <x:t xml:space="preserve">Management creates enterprise growth while destroying per-share value through M&amp;A, dilution, leverage or mistimed buybacks.</x:t>
        </x:is>
      </x:c>
      <x:c r="K297" s="160" t="inlineStr">
        <x:is>
          <x:t xml:space="preserve">Orders/backlog × execution and service margins</x:t>
        </x:is>
      </x:c>
      <x:c r="L297" s="160" t="inlineStr">
        <x:is>
          <x:t xml:space="preserve">SOTP + normalized FCF</x:t>
        </x:is>
      </x:c>
      <x:c r="M297" s="160" t="inlineStr">
        <x:is>
          <x:t xml:space="preserve">WAIT FOR PRICE</x:t>
        </x:is>
      </x:c>
      <x:c r="N297" s="160" t="inlineStr">
        <x:is>
          <x:t xml:space="preserve">R-STEW-01</x:t>
        </x:is>
      </x:c>
      <x:c r="O297" s="160" t="inlineStr">
        <x:is>
          <x:t xml:space="preserve">HARDENED</x:t>
        </x:is>
      </x:c>
      <x:c r="P297" s="160" t="inlineStr">
        <x:is>
          <x:t xml:space="preserve">ROBUST WITH RESIDUAL</x:t>
        </x:is>
      </x:c>
      <x:c r="Q297" s="160" t="inlineStr">
        <x:is>
          <x:t xml:space="preserve">The hardened rule catches the stress. Residual risk is mainly evidence quality, threshold calibration or interaction with another gate.</x:t>
        </x:is>
      </x:c>
      <x:c r="R297" s="160" t="inlineStr">
        <x:is>
          <x:t xml:space="preserve">Evaluate capital allocation on a per-share basis using acquisition cohorts, dilution, leverage and repurchase price discipline.</x:t>
        </x:is>
      </x:c>
      <x:c r="S297" s="160" t="inlineStr">
        <x:is>
          <x:t xml:space="preserve">NO</x:t>
        </x:is>
      </x:c>
      <x:c r="T297" s="160" t="inlineStr">
        <x:is>
          <x:t xml:space="preserve">HARDENED</x:t>
        </x:is>
      </x:c>
      <x:c r="U297" s="160" t="inlineStr">
        <x:is>
          <x:t xml:space="preserve">V10.5-SIM37</x:t>
        </x:is>
      </x:c>
      <x:c r="V297" s="160" t="inlineStr">
        <x:is>
          <x:t xml:space="preserve">https://www.gevernova.com/investors</x:t>
        </x:is>
      </x:c>
      <x:c r="W297" s="160" t="inlineStr">
        <x:is>
          <x:t xml:space="preserve">NO</x:t>
        </x:is>
      </x:c>
      <x:c r="X297" s="160" t="inlineStr">
        <x:is>
          <x:t xml:space="preserve">NONE — DEVELOPMENT ONLY</x:t>
        </x:is>
      </x:c>
      <x:c r="Y297" s="160" t="inlineStr">
        <x:is>
          <x:t xml:space="preserve">Synthetic/adversarial model-development loop. No historical outcome is claimed; no accuracy point is awarded.</x:t>
        </x:is>
      </x:c>
    </x:row>
    <x:row r="298">
      <x:c r="A298" s="160" t="inlineStr">
        <x:is>
          <x:t xml:space="preserve">ML0293</x:t>
        </x:is>
      </x:c>
      <x:c r="B298" s="160" t="inlineStr">
        <x:is>
          <x:t xml:space="preserve">ARG-019</x:t>
        </x:is>
      </x:c>
      <x:c r="C298" s="160" t="inlineStr">
        <x:is>
          <x:t xml:space="preserve">GE Vernova</x:t>
        </x:is>
      </x:c>
      <x:c r="D298" s="160" t="inlineStr">
        <x:is>
          <x:t xml:space="preserve">GEV</x:t>
        </x:is>
      </x:c>
      <x:c r="E298" s="160" t="inlineStr">
        <x:is>
          <x:t xml:space="preserve">Power &amp; Grid</x:t>
        </x:is>
      </x:c>
      <x:c r="F298" s="160" t="inlineStr">
        <x:is>
          <x:t xml:space="preserve">Development</x:t>
        </x:is>
      </x:c>
      <x:c r="G298" s="160" t="inlineStr">
        <x:is>
          <x:t xml:space="preserve">S05</x:t>
        </x:is>
      </x:c>
      <x:c r="H298" s="160" t="inlineStr">
        <x:is>
          <x:t xml:space="preserve">Survival / Funding</x:t>
        </x:is>
      </x:c>
      <x:c r="I298" s="160" t="inlineStr">
        <x:is>
          <x:t xml:space="preserve">Survival</x:t>
        </x:is>
      </x:c>
      <x:c r="J298" s="160" t="inlineStr">
        <x:is>
          <x:t xml:space="preserve">A plausible bear case exposes refinancing, liquidity, covenant, reserve, regulatory or operational fragility.</x:t>
        </x:is>
      </x:c>
      <x:c r="K298" s="160" t="inlineStr">
        <x:is>
          <x:t xml:space="preserve">Orders/backlog × execution and service margins</x:t>
        </x:is>
      </x:c>
      <x:c r="L298" s="160" t="inlineStr">
        <x:is>
          <x:t xml:space="preserve">SOTP + normalized FCF</x:t>
        </x:is>
      </x:c>
      <x:c r="M298" s="160" t="inlineStr">
        <x:is>
          <x:t xml:space="preserve">WAIT FOR PRICE</x:t>
        </x:is>
      </x:c>
      <x:c r="N298" s="160" t="inlineStr">
        <x:is>
          <x:t xml:space="preserve">R-SURV-01</x:t>
        </x:is>
      </x:c>
      <x:c r="O298" s="160" t="inlineStr">
        <x:is>
          <x:t xml:space="preserve">HARDENED</x:t>
        </x:is>
      </x:c>
      <x:c r="P298" s="160" t="inlineStr">
        <x:is>
          <x:t xml:space="preserve">ROBUST WITH RESIDUAL</x:t>
        </x:is>
      </x:c>
      <x:c r="Q298" s="160" t="inlineStr">
        <x:is>
          <x:t xml:space="preserve">The hardened rule catches the stress. Residual risk is mainly evidence quality, threshold calibration or interaction with another gate.</x:t>
        </x:is>
      </x:c>
      <x:c r="R298" s="160" t="inlineStr">
        <x:is>
          <x:t xml:space="preserve">Run a company-specific survival bridge under a severe-but-plausible bear case before any upside underwriting.</x:t>
        </x:is>
      </x:c>
      <x:c r="S298" s="160" t="inlineStr">
        <x:is>
          <x:t xml:space="preserve">NO</x:t>
        </x:is>
      </x:c>
      <x:c r="T298" s="160" t="inlineStr">
        <x:is>
          <x:t xml:space="preserve">HARDENED</x:t>
        </x:is>
      </x:c>
      <x:c r="U298" s="160" t="inlineStr">
        <x:is>
          <x:t xml:space="preserve">V10.5-SIM37</x:t>
        </x:is>
      </x:c>
      <x:c r="V298" s="160" t="inlineStr">
        <x:is>
          <x:t xml:space="preserve">https://www.gevernova.com/investors</x:t>
        </x:is>
      </x:c>
      <x:c r="W298" s="160" t="inlineStr">
        <x:is>
          <x:t xml:space="preserve">NO</x:t>
        </x:is>
      </x:c>
      <x:c r="X298" s="160" t="inlineStr">
        <x:is>
          <x:t xml:space="preserve">NONE — DEVELOPMENT ONLY</x:t>
        </x:is>
      </x:c>
      <x:c r="Y298" s="160" t="inlineStr">
        <x:is>
          <x:t xml:space="preserve">Synthetic/adversarial model-development loop. No historical outcome is claimed; no accuracy point is awarded.</x:t>
        </x:is>
      </x:c>
    </x:row>
    <x:row r="299">
      <x:c r="A299" s="160" t="inlineStr">
        <x:is>
          <x:t xml:space="preserve">ML0294</x:t>
        </x:is>
      </x:c>
      <x:c r="B299" s="160" t="inlineStr">
        <x:is>
          <x:t xml:space="preserve">ARG-019</x:t>
        </x:is>
      </x:c>
      <x:c r="C299" s="160" t="inlineStr">
        <x:is>
          <x:t xml:space="preserve">GE Vernova</x:t>
        </x:is>
      </x:c>
      <x:c r="D299" s="160" t="inlineStr">
        <x:is>
          <x:t xml:space="preserve">GEV</x:t>
        </x:is>
      </x:c>
      <x:c r="E299" s="160" t="inlineStr">
        <x:is>
          <x:t xml:space="preserve">Power &amp; Grid</x:t>
        </x:is>
      </x:c>
      <x:c r="F299" s="160" t="inlineStr">
        <x:is>
          <x:t xml:space="preserve">Development</x:t>
        </x:is>
      </x:c>
      <x:c r="G299" s="160" t="inlineStr">
        <x:is>
          <x:t xml:space="preserve">S06</x:t>
        </x:is>
      </x:c>
      <x:c r="H299" s="160" t="inlineStr">
        <x:is>
          <x:t xml:space="preserve">Margin of Safety</x:t>
        </x:is>
      </x:c>
      <x:c r="I299" s="160" t="inlineStr">
        <x:is>
          <x:t xml:space="preserve">Margin of Safety</x:t>
        </x:is>
      </x:c>
      <x:c r="J299" s="160" t="inlineStr">
        <x:is>
          <x:t xml:space="preserve">Business quality is high but the price embeds a fragile bull case.</x:t>
        </x:is>
      </x:c>
      <x:c r="K299" s="160" t="inlineStr">
        <x:is>
          <x:t xml:space="preserve">Orders/backlog × execution and service margins</x:t>
        </x:is>
      </x:c>
      <x:c r="L299" s="160" t="inlineStr">
        <x:is>
          <x:t xml:space="preserve">SOTP + normalized FCF</x:t>
        </x:is>
      </x:c>
      <x:c r="M299" s="160" t="inlineStr">
        <x:is>
          <x:t xml:space="preserve">WAIT FOR PRICE</x:t>
        </x:is>
      </x:c>
      <x:c r="N299" s="160" t="inlineStr">
        <x:is>
          <x:t xml:space="preserve">R-MOS-01</x:t>
        </x:is>
      </x:c>
      <x:c r="O299" s="160" t="inlineStr">
        <x:is>
          <x:t xml:space="preserve">HARDENED</x:t>
        </x:is>
      </x:c>
      <x:c r="P299" s="160" t="inlineStr">
        <x:is>
          <x:t xml:space="preserve">ROBUST WITH RESIDUAL</x:t>
        </x:is>
      </x:c>
      <x:c r="Q299" s="160" t="inlineStr">
        <x:is>
          <x:t xml:space="preserve">The hardened rule catches the stress. Residual risk is mainly evidence quality, threshold calibration or interaction with another gate.</x:t>
        </x:is>
      </x:c>
      <x:c r="R299" s="160" t="inlineStr">
        <x:is>
          <x:t xml:space="preserve">Separate business-quality score from price decision; require reverse valuation and bear/base/bull IV ranges.</x:t>
        </x:is>
      </x:c>
      <x:c r="S299" s="160" t="inlineStr">
        <x:is>
          <x:t xml:space="preserve">NO</x:t>
        </x:is>
      </x:c>
      <x:c r="T299" s="160" t="inlineStr">
        <x:is>
          <x:t xml:space="preserve">HARDENED</x:t>
        </x:is>
      </x:c>
      <x:c r="U299" s="160" t="inlineStr">
        <x:is>
          <x:t xml:space="preserve">V10.5-SIM37</x:t>
        </x:is>
      </x:c>
      <x:c r="V299" s="160" t="inlineStr">
        <x:is>
          <x:t xml:space="preserve">https://www.gevernova.com/investors</x:t>
        </x:is>
      </x:c>
      <x:c r="W299" s="160" t="inlineStr">
        <x:is>
          <x:t xml:space="preserve">NO</x:t>
        </x:is>
      </x:c>
      <x:c r="X299" s="160" t="inlineStr">
        <x:is>
          <x:t xml:space="preserve">NONE — DEVELOPMENT ONLY</x:t>
        </x:is>
      </x:c>
      <x:c r="Y299" s="160" t="inlineStr">
        <x:is>
          <x:t xml:space="preserve">Synthetic/adversarial model-development loop. No historical outcome is claimed; no accuracy point is awarded.</x:t>
        </x:is>
      </x:c>
    </x:row>
    <x:row r="300">
      <x:c r="A300" s="160" t="inlineStr">
        <x:is>
          <x:t xml:space="preserve">ML0295</x:t>
        </x:is>
      </x:c>
      <x:c r="B300" s="160" t="inlineStr">
        <x:is>
          <x:t xml:space="preserve">ARG-019</x:t>
        </x:is>
      </x:c>
      <x:c r="C300" s="160" t="inlineStr">
        <x:is>
          <x:t xml:space="preserve">GE Vernova</x:t>
        </x:is>
      </x:c>
      <x:c r="D300" s="160" t="inlineStr">
        <x:is>
          <x:t xml:space="preserve">GEV</x:t>
        </x:is>
      </x:c>
      <x:c r="E300" s="160" t="inlineStr">
        <x:is>
          <x:t xml:space="preserve">Power &amp; Grid</x:t>
        </x:is>
      </x:c>
      <x:c r="F300" s="160" t="inlineStr">
        <x:is>
          <x:t xml:space="preserve">Development</x:t>
        </x:is>
      </x:c>
      <x:c r="G300" s="160" t="inlineStr">
        <x:is>
          <x:t xml:space="preserve">S07</x:t>
        </x:is>
      </x:c>
      <x:c r="H300" s="160" t="inlineStr">
        <x:is>
          <x:t xml:space="preserve">Sector Shock</x:t>
        </x:is>
      </x:c>
      <x:c r="I300" s="160" t="inlineStr">
        <x:is>
          <x:t xml:space="preserve">Sector-specific</x:t>
        </x:is>
      </x:c>
      <x:c r="J300" s="160" t="inlineStr">
        <x:is>
          <x:t xml:space="preserve">Backlog stays strong but execution capacity, input inflation, working capital or project mix compresses conversion to owner earnings.</x:t>
        </x:is>
      </x:c>
      <x:c r="K300" s="160" t="inlineStr">
        <x:is>
          <x:t xml:space="preserve">Orders/backlog × execution and service margins</x:t>
        </x:is>
      </x:c>
      <x:c r="L300" s="160" t="inlineStr">
        <x:is>
          <x:t xml:space="preserve">SOTP + normalized FCF</x:t>
        </x:is>
      </x:c>
      <x:c r="M300" s="160" t="inlineStr">
        <x:is>
          <x:t xml:space="preserve">WAIT FOR PRICE</x:t>
        </x:is>
      </x:c>
      <x:c r="N300" s="160" t="inlineStr">
        <x:is>
          <x:t xml:space="preserve">R-SECTOR-POWER-GRID</x:t>
        </x:is>
      </x:c>
      <x:c r="O300" s="160" t="inlineStr">
        <x:is>
          <x:t xml:space="preserve">HARDENED</x:t>
        </x:is>
      </x:c>
      <x:c r="P300" s="160" t="inlineStr">
        <x:is>
          <x:t xml:space="preserve">ROBUST WITH RESIDUAL</x:t>
        </x:is>
      </x:c>
      <x:c r="Q300" s="160" t="inlineStr">
        <x:is>
          <x:t xml:space="preserve">The hardened rule catches the stress. Residual risk is mainly evidence quality, threshold calibration or interaction with another gate.</x:t>
        </x:is>
      </x:c>
      <x:c r="R300"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S300" s="160" t="inlineStr">
        <x:is>
          <x:t xml:space="preserve">YES — SIMULATION ONLY</x:t>
        </x:is>
      </x:c>
      <x:c r="T300" s="160" t="inlineStr">
        <x:is>
          <x:t xml:space="preserve">COUNTER-EVIDENCE</x:t>
        </x:is>
      </x:c>
      <x:c r="U300" s="160" t="inlineStr">
        <x:is>
          <x:t xml:space="preserve">V10.5-SIM38</x:t>
        </x:is>
      </x:c>
      <x:c r="V300" s="160" t="inlineStr">
        <x:is>
          <x:t xml:space="preserve">https://www.gevernova.com/investors</x:t>
        </x:is>
      </x:c>
      <x:c r="W300" s="160" t="inlineStr">
        <x:is>
          <x:t xml:space="preserve">NO</x:t>
        </x:is>
      </x:c>
      <x:c r="X300" s="160" t="inlineStr">
        <x:is>
          <x:t xml:space="preserve">NONE — DEVELOPMENT ONLY</x:t>
        </x:is>
      </x:c>
      <x:c r="Y300" s="160" t="inlineStr">
        <x:is>
          <x:t xml:space="preserve">Synthetic/adversarial model-development loop. No historical outcome is claimed; no accuracy point is awarded.</x:t>
        </x:is>
      </x:c>
    </x:row>
    <x:row r="301">
      <x:c r="A301" s="160" t="inlineStr">
        <x:is>
          <x:t xml:space="preserve">ML0296</x:t>
        </x:is>
      </x:c>
      <x:c r="B301" s="160" t="inlineStr">
        <x:is>
          <x:t xml:space="preserve">ARG-019</x:t>
        </x:is>
      </x:c>
      <x:c r="C301" s="160" t="inlineStr">
        <x:is>
          <x:t xml:space="preserve">GE Vernova</x:t>
        </x:is>
      </x:c>
      <x:c r="D301" s="160" t="inlineStr">
        <x:is>
          <x:t xml:space="preserve">GEV</x:t>
        </x:is>
      </x:c>
      <x:c r="E301" s="160" t="inlineStr">
        <x:is>
          <x:t xml:space="preserve">Power &amp; Grid</x:t>
        </x:is>
      </x:c>
      <x:c r="F301" s="160" t="inlineStr">
        <x:is>
          <x:t xml:space="preserve">Development</x:t>
        </x:is>
      </x:c>
      <x:c r="G301" s="160" t="inlineStr">
        <x:is>
          <x:t xml:space="preserve">S08</x:t>
        </x:is>
      </x:c>
      <x:c r="H301" s="160" t="inlineStr">
        <x:is>
          <x:t xml:space="preserve">Management Promise Reliability</x:t>
        </x:is>
      </x:c>
      <x:c r="I301" s="160" t="inlineStr">
        <x:is>
          <x:t xml:space="preserve">Management over-trust</x:t>
        </x:is>
      </x:c>
      <x:c r="J301" s="160" t="inlineStr">
        <x:is>
          <x:t xml:space="preserve">Guidance or strategic promises are repeated but the model lacks a contemporaneous reliability score.</x:t>
        </x:is>
      </x:c>
      <x:c r="K301" s="160" t="inlineStr">
        <x:is>
          <x:t xml:space="preserve">Orders/backlog × execution and service margins</x:t>
        </x:is>
      </x:c>
      <x:c r="L301" s="160" t="inlineStr">
        <x:is>
          <x:t xml:space="preserve">SOTP + normalized FCF</x:t>
        </x:is>
      </x:c>
      <x:c r="M301" s="160" t="inlineStr">
        <x:is>
          <x:t xml:space="preserve">WAIT FOR PRICE</x:t>
        </x:is>
      </x:c>
      <x:c r="N301" s="160" t="inlineStr">
        <x:is>
          <x:t xml:space="preserve">R-PROM-01</x:t>
        </x:is>
      </x:c>
      <x:c r="O301" s="160" t="inlineStr">
        <x:is>
          <x:t xml:space="preserve">HARDENED</x:t>
        </x:is>
      </x:c>
      <x:c r="P301" s="160" t="inlineStr">
        <x:is>
          <x:t xml:space="preserve">ROBUST WITH RESIDUAL</x:t>
        </x:is>
      </x:c>
      <x:c r="Q301" s="160" t="inlineStr">
        <x:is>
          <x:t xml:space="preserve">The hardened rule catches the stress. Residual risk is mainly evidence quality, threshold calibration or interaction with another gate.</x:t>
        </x:is>
      </x:c>
      <x:c r="R301" s="160" t="inlineStr">
        <x:is>
          <x:t xml:space="preserve">Use a promises ledger with dated promise, measurable deliverable, due date, outcome and credibility weight.</x:t>
        </x:is>
      </x:c>
      <x:c r="S301" s="160" t="inlineStr">
        <x:is>
          <x:t xml:space="preserve">NO</x:t>
        </x:is>
      </x:c>
      <x:c r="T301" s="160" t="inlineStr">
        <x:is>
          <x:t xml:space="preserve">HARDENED</x:t>
        </x:is>
      </x:c>
      <x:c r="U301" s="160" t="inlineStr">
        <x:is>
          <x:t xml:space="preserve">V10.5-SIM38</x:t>
        </x:is>
      </x:c>
      <x:c r="V301" s="160" t="inlineStr">
        <x:is>
          <x:t xml:space="preserve">https://www.gevernova.com/investors</x:t>
        </x:is>
      </x:c>
      <x:c r="W301" s="160" t="inlineStr">
        <x:is>
          <x:t xml:space="preserve">NO</x:t>
        </x:is>
      </x:c>
      <x:c r="X301" s="160" t="inlineStr">
        <x:is>
          <x:t xml:space="preserve">NONE — DEVELOPMENT ONLY</x:t>
        </x:is>
      </x:c>
      <x:c r="Y301" s="160" t="inlineStr">
        <x:is>
          <x:t xml:space="preserve">Synthetic/adversarial model-development loop. No historical outcome is claimed; no accuracy point is awarded.</x:t>
        </x:is>
      </x:c>
    </x:row>
    <x:row r="302">
      <x:c r="A302" s="160" t="inlineStr">
        <x:is>
          <x:t xml:space="preserve">ML0297</x:t>
        </x:is>
      </x:c>
      <x:c r="B302" s="160" t="inlineStr">
        <x:is>
          <x:t xml:space="preserve">ARG-019</x:t>
        </x:is>
      </x:c>
      <x:c r="C302" s="160" t="inlineStr">
        <x:is>
          <x:t xml:space="preserve">GE Vernova</x:t>
        </x:is>
      </x:c>
      <x:c r="D302" s="160" t="inlineStr">
        <x:is>
          <x:t xml:space="preserve">GEV</x:t>
        </x:is>
      </x:c>
      <x:c r="E302" s="160" t="inlineStr">
        <x:is>
          <x:t xml:space="preserve">Power &amp; Grid</x:t>
        </x:is>
      </x:c>
      <x:c r="F302" s="160" t="inlineStr">
        <x:is>
          <x:t xml:space="preserve">Development</x:t>
        </x:is>
      </x:c>
      <x:c r="G302" s="160" t="inlineStr">
        <x:is>
          <x:t xml:space="preserve">S09</x:t>
        </x:is>
      </x:c>
      <x:c r="H302" s="160" t="inlineStr">
        <x:is>
          <x:t xml:space="preserve">Data / Accounting Quality</x:t>
        </x:is>
      </x:c>
      <x:c r="I302" s="160" t="inlineStr">
        <x:is>
          <x:t xml:space="preserve">Data quality</x:t>
        </x:is>
      </x:c>
      <x:c r="J302" s="160" t="inlineStr">
        <x:is>
          <x:t xml:space="preserve">Restatement, segment reclassification, one-time item or non-economic fair-value movement distorts the apparent trend.</x:t>
        </x:is>
      </x:c>
      <x:c r="K302" s="160" t="inlineStr">
        <x:is>
          <x:t xml:space="preserve">Orders/backlog × execution and service margins</x:t>
        </x:is>
      </x:c>
      <x:c r="L302" s="160" t="inlineStr">
        <x:is>
          <x:t xml:space="preserve">SOTP + normalized FCF</x:t>
        </x:is>
      </x:c>
      <x:c r="M302" s="160" t="inlineStr">
        <x:is>
          <x:t xml:space="preserve">WAIT FOR PRICE</x:t>
        </x:is>
      </x:c>
      <x:c r="N302" s="160" t="inlineStr">
        <x:is>
          <x:t xml:space="preserve">R-DATA-01</x:t>
        </x:is>
      </x:c>
      <x:c r="O302" s="160" t="inlineStr">
        <x:is>
          <x:t xml:space="preserve">HARDENED</x:t>
        </x:is>
      </x:c>
      <x:c r="P302" s="160" t="inlineStr">
        <x:is>
          <x:t xml:space="preserve">ROBUST WITH RESIDUAL</x:t>
        </x:is>
      </x:c>
      <x:c r="Q302" s="160" t="inlineStr">
        <x:is>
          <x:t xml:space="preserve">The hardened rule catches the stress. Residual risk is mainly evidence quality, threshold calibration or interaction with another gate.</x:t>
        </x:is>
      </x:c>
      <x:c r="R302" s="160" t="inlineStr">
        <x:is>
          <x:t xml:space="preserve">Add a reporting-quality bridge and normalize accounting noise before any gate can pass.</x:t>
        </x:is>
      </x:c>
      <x:c r="S302" s="160" t="inlineStr">
        <x:is>
          <x:t xml:space="preserve">NO</x:t>
        </x:is>
      </x:c>
      <x:c r="T302" s="160" t="inlineStr">
        <x:is>
          <x:t xml:space="preserve">HARDENED</x:t>
        </x:is>
      </x:c>
      <x:c r="U302" s="160" t="inlineStr">
        <x:is>
          <x:t xml:space="preserve">V10.5-SIM38</x:t>
        </x:is>
      </x:c>
      <x:c r="V302" s="160" t="inlineStr">
        <x:is>
          <x:t xml:space="preserve">https://www.gevernova.com/investors</x:t>
        </x:is>
      </x:c>
      <x:c r="W302" s="160" t="inlineStr">
        <x:is>
          <x:t xml:space="preserve">NO</x:t>
        </x:is>
      </x:c>
      <x:c r="X302" s="160" t="inlineStr">
        <x:is>
          <x:t xml:space="preserve">NONE — DEVELOPMENT ONLY</x:t>
        </x:is>
      </x:c>
      <x:c r="Y302" s="160" t="inlineStr">
        <x:is>
          <x:t xml:space="preserve">Synthetic/adversarial model-development loop. No historical outcome is claimed; no accuracy point is awarded.</x:t>
        </x:is>
      </x:c>
    </x:row>
    <x:row r="303">
      <x:c r="A303" s="160" t="inlineStr">
        <x:is>
          <x:t xml:space="preserve">ML0298</x:t>
        </x:is>
      </x:c>
      <x:c r="B303" s="160" t="inlineStr">
        <x:is>
          <x:t xml:space="preserve">ARG-019</x:t>
        </x:is>
      </x:c>
      <x:c r="C303" s="160" t="inlineStr">
        <x:is>
          <x:t xml:space="preserve">GE Vernova</x:t>
        </x:is>
      </x:c>
      <x:c r="D303" s="160" t="inlineStr">
        <x:is>
          <x:t xml:space="preserve">GEV</x:t>
        </x:is>
      </x:c>
      <x:c r="E303" s="160" t="inlineStr">
        <x:is>
          <x:t xml:space="preserve">Power &amp; Grid</x:t>
        </x:is>
      </x:c>
      <x:c r="F303" s="160" t="inlineStr">
        <x:is>
          <x:t xml:space="preserve">Development</x:t>
        </x:is>
      </x:c>
      <x:c r="G303" s="160" t="inlineStr">
        <x:is>
          <x:t xml:space="preserve">S10</x:t>
        </x:is>
      </x:c>
      <x:c r="H303" s="160" t="inlineStr">
        <x:is>
          <x:t xml:space="preserve">Control / Counterfactual</x:t>
        </x:is>
      </x:c>
      <x:c r="I303" s="160" t="inlineStr">
        <x:is>
          <x:t xml:space="preserve">Sector beta vs company alpha</x:t>
        </x:is>
      </x:c>
      <x:c r="J303" s="160" t="inlineStr">
        <x:is>
          <x:t xml:space="preserve">A positive outcome is mostly sector beta or macro tailwind, not company-specific alpha.</x:t>
        </x:is>
      </x:c>
      <x:c r="K303" s="160" t="inlineStr">
        <x:is>
          <x:t xml:space="preserve">Orders/backlog × execution and service margins</x:t>
        </x:is>
      </x:c>
      <x:c r="L303" s="160" t="inlineStr">
        <x:is>
          <x:t xml:space="preserve">SOTP + normalized FCF</x:t>
        </x:is>
      </x:c>
      <x:c r="M303" s="160" t="inlineStr">
        <x:is>
          <x:t xml:space="preserve">WAIT FOR PRICE</x:t>
        </x:is>
      </x:c>
      <x:c r="N303" s="160" t="inlineStr">
        <x:is>
          <x:t xml:space="preserve">R-CF-01</x:t>
        </x:is>
      </x:c>
      <x:c r="O303" s="160" t="inlineStr">
        <x:is>
          <x:t xml:space="preserve">HARDENED</x:t>
        </x:is>
      </x:c>
      <x:c r="P303" s="160" t="inlineStr">
        <x:is>
          <x:t xml:space="preserve">ROBUST WITH RESIDUAL</x:t>
        </x:is>
      </x:c>
      <x:c r="Q303" s="160" t="inlineStr">
        <x:is>
          <x:t xml:space="preserve">The hardened rule catches the stress. Residual risk is mainly evidence quality, threshold calibration or interaction with another gate.</x:t>
        </x:is>
      </x:c>
      <x:c r="R303" s="160" t="inlineStr">
        <x:is>
          <x:t xml:space="preserve">Require a true economic control and counterfactual: what should have happened to a comparable company under the same shock?</x:t>
        </x:is>
      </x:c>
      <x:c r="S303" s="160" t="inlineStr">
        <x:is>
          <x:t xml:space="preserve">NO</x:t>
        </x:is>
      </x:c>
      <x:c r="T303" s="160" t="inlineStr">
        <x:is>
          <x:t xml:space="preserve">HARDENED</x:t>
        </x:is>
      </x:c>
      <x:c r="U303" s="160" t="inlineStr">
        <x:is>
          <x:t xml:space="preserve">V10.5-SIM38</x:t>
        </x:is>
      </x:c>
      <x:c r="V303" s="160" t="inlineStr">
        <x:is>
          <x:t xml:space="preserve">https://www.gevernova.com/investors</x:t>
        </x:is>
      </x:c>
      <x:c r="W303" s="160" t="inlineStr">
        <x:is>
          <x:t xml:space="preserve">NO</x:t>
        </x:is>
      </x:c>
      <x:c r="X303" s="160" t="inlineStr">
        <x:is>
          <x:t xml:space="preserve">NONE — DEVELOPMENT ONLY</x:t>
        </x:is>
      </x:c>
      <x:c r="Y303" s="160" t="inlineStr">
        <x:is>
          <x:t xml:space="preserve">Synthetic/adversarial model-development loop. No historical outcome is claimed; no accuracy point is awarded.</x:t>
        </x:is>
      </x:c>
    </x:row>
    <x:row r="304">
      <x:c r="A304" s="160" t="inlineStr">
        <x:is>
          <x:t xml:space="preserve">ML0299</x:t>
        </x:is>
      </x:c>
      <x:c r="B304" s="160" t="inlineStr">
        <x:is>
          <x:t xml:space="preserve">ARG-019</x:t>
        </x:is>
      </x:c>
      <x:c r="C304" s="160" t="inlineStr">
        <x:is>
          <x:t xml:space="preserve">GE Vernova</x:t>
        </x:is>
      </x:c>
      <x:c r="D304" s="160" t="inlineStr">
        <x:is>
          <x:t xml:space="preserve">GEV</x:t>
        </x:is>
      </x:c>
      <x:c r="E304" s="160" t="inlineStr">
        <x:is>
          <x:t xml:space="preserve">Power &amp; Grid</x:t>
        </x:is>
      </x:c>
      <x:c r="F304" s="160" t="inlineStr">
        <x:is>
          <x:t xml:space="preserve">Development</x:t>
        </x:is>
      </x:c>
      <x:c r="G304" s="160" t="inlineStr">
        <x:is>
          <x:t xml:space="preserve">S11</x:t>
        </x:is>
      </x:c>
      <x:c r="H304" s="160" t="inlineStr">
        <x:is>
          <x:t xml:space="preserve">False-Negative Discipline</x:t>
        </x:is>
      </x:c>
      <x:c r="I304" s="160" t="inlineStr">
        <x:is>
          <x:t xml:space="preserve">False negative</x:t>
        </x:is>
      </x:c>
      <x:c r="J304" s="160" t="inlineStr">
        <x:is>
          <x:t xml:space="preserve">A strict gate rejects a company that later compounds strongly for reasons the model could have known.</x:t>
        </x:is>
      </x:c>
      <x:c r="K304" s="160" t="inlineStr">
        <x:is>
          <x:t xml:space="preserve">Orders/backlog × execution and service margins</x:t>
        </x:is>
      </x:c>
      <x:c r="L304" s="160" t="inlineStr">
        <x:is>
          <x:t xml:space="preserve">SOTP + normalized FCF</x:t>
        </x:is>
      </x:c>
      <x:c r="M304" s="160" t="inlineStr">
        <x:is>
          <x:t xml:space="preserve">WAIT FOR PRICE</x:t>
        </x:is>
      </x:c>
      <x:c r="N304" s="160" t="inlineStr">
        <x:is>
          <x:t xml:space="preserve">R-FN-01</x:t>
        </x:is>
      </x:c>
      <x:c r="O304" s="160" t="inlineStr">
        <x:is>
          <x:t xml:space="preserve">HARDENED</x:t>
        </x:is>
      </x:c>
      <x:c r="P304" s="160" t="inlineStr">
        <x:is>
          <x:t xml:space="preserve">ROBUST WITH RESIDUAL</x:t>
        </x:is>
      </x:c>
      <x:c r="Q304" s="160" t="inlineStr">
        <x:is>
          <x:t xml:space="preserve">The hardened rule catches the stress. Residual risk is mainly evidence quality, threshold calibration or interaction with another gate.</x:t>
        </x:is>
      </x:c>
      <x:c r="R304" s="160" t="inlineStr">
        <x:is>
          <x:t xml:space="preserve">Track opportunity cost and classify whether the miss came from evidence timing, wrong threshold or genuinely unknowable upside.</x:t>
        </x:is>
      </x:c>
      <x:c r="S304" s="160" t="inlineStr">
        <x:is>
          <x:t xml:space="preserve">NO</x:t>
        </x:is>
      </x:c>
      <x:c r="T304" s="160" t="inlineStr">
        <x:is>
          <x:t xml:space="preserve">HARDENED</x:t>
        </x:is>
      </x:c>
      <x:c r="U304" s="160" t="inlineStr">
        <x:is>
          <x:t xml:space="preserve">V10.5-SIM38</x:t>
        </x:is>
      </x:c>
      <x:c r="V304" s="160" t="inlineStr">
        <x:is>
          <x:t xml:space="preserve">https://www.gevernova.com/investors</x:t>
        </x:is>
      </x:c>
      <x:c r="W304" s="160" t="inlineStr">
        <x:is>
          <x:t xml:space="preserve">NO</x:t>
        </x:is>
      </x:c>
      <x:c r="X304" s="160" t="inlineStr">
        <x:is>
          <x:t xml:space="preserve">NONE — DEVELOPMENT ONLY</x:t>
        </x:is>
      </x:c>
      <x:c r="Y304" s="160" t="inlineStr">
        <x:is>
          <x:t xml:space="preserve">Synthetic/adversarial model-development loop. No historical outcome is claimed; no accuracy point is awarded.</x:t>
        </x:is>
      </x:c>
    </x:row>
    <x:row r="305">
      <x:c r="A305" s="160" t="inlineStr">
        <x:is>
          <x:t xml:space="preserve">ML0300</x:t>
        </x:is>
      </x:c>
      <x:c r="B305" s="160" t="inlineStr">
        <x:is>
          <x:t xml:space="preserve">ARG-019</x:t>
        </x:is>
      </x:c>
      <x:c r="C305" s="160" t="inlineStr">
        <x:is>
          <x:t xml:space="preserve">GE Vernova</x:t>
        </x:is>
      </x:c>
      <x:c r="D305" s="160" t="inlineStr">
        <x:is>
          <x:t xml:space="preserve">GEV</x:t>
        </x:is>
      </x:c>
      <x:c r="E305" s="160" t="inlineStr">
        <x:is>
          <x:t xml:space="preserve">Power &amp; Grid</x:t>
        </x:is>
      </x:c>
      <x:c r="F305" s="160" t="inlineStr">
        <x:is>
          <x:t xml:space="preserve">Development</x:t>
        </x:is>
      </x:c>
      <x:c r="G305" s="160" t="inlineStr">
        <x:is>
          <x:t xml:space="preserve">S12</x:t>
        </x:is>
      </x:c>
      <x:c r="H305" s="160" t="inlineStr">
        <x:is>
          <x:t xml:space="preserve">Lead-Time / Early Sensor</x:t>
        </x:is>
      </x:c>
      <x:c r="I305" s="160" t="inlineStr">
        <x:is>
          <x:t xml:space="preserve">Timing / lead-time</x:t>
        </x:is>
      </x:c>
      <x:c r="J305" s="160" t="inlineStr">
        <x:is>
          <x:t xml:space="preserve">ARGUS identifies the change correctly but only after consensus and price have already reacted.</x:t>
        </x:is>
      </x:c>
      <x:c r="K305" s="160" t="inlineStr">
        <x:is>
          <x:t xml:space="preserve">Orders/backlog × execution and service margins</x:t>
        </x:is>
      </x:c>
      <x:c r="L305" s="160" t="inlineStr">
        <x:is>
          <x:t xml:space="preserve">SOTP + normalized FCF</x:t>
        </x:is>
      </x:c>
      <x:c r="M305" s="160" t="inlineStr">
        <x:is>
          <x:t xml:space="preserve">WAIT FOR PRICE</x:t>
        </x:is>
      </x:c>
      <x:c r="N305" s="160" t="inlineStr">
        <x:is>
          <x:t xml:space="preserve">R-TIME-01</x:t>
        </x:is>
      </x:c>
      <x:c r="O305" s="160" t="inlineStr">
        <x:is>
          <x:t xml:space="preserve">HARDENED</x:t>
        </x:is>
      </x:c>
      <x:c r="P305" s="160" t="inlineStr">
        <x:is>
          <x:t xml:space="preserve">ROBUST WITH RESIDUAL</x:t>
        </x:is>
      </x:c>
      <x:c r="Q305" s="160" t="inlineStr">
        <x:is>
          <x:t xml:space="preserve">The hardened rule catches the stress. Residual risk is mainly evidence quality, threshold calibration or interaction with another gate.</x:t>
        </x:is>
      </x:c>
      <x:c r="R305" s="160" t="inlineStr">
        <x:is>
          <x:t xml:space="preserve">Replace lagging financial metrics with earlier causal operating sensors and record lead time separately from correctness.</x:t>
        </x:is>
      </x:c>
      <x:c r="S305" s="160" t="inlineStr">
        <x:is>
          <x:t xml:space="preserve">NO</x:t>
        </x:is>
      </x:c>
      <x:c r="T305" s="160" t="inlineStr">
        <x:is>
          <x:t xml:space="preserve">HARDENED</x:t>
        </x:is>
      </x:c>
      <x:c r="U305" s="160" t="inlineStr">
        <x:is>
          <x:t xml:space="preserve">V10.5-SIM38</x:t>
        </x:is>
      </x:c>
      <x:c r="V305" s="160" t="inlineStr">
        <x:is>
          <x:t xml:space="preserve">https://www.gevernova.com/investors</x:t>
        </x:is>
      </x:c>
      <x:c r="W305" s="160" t="inlineStr">
        <x:is>
          <x:t xml:space="preserve">NO</x:t>
        </x:is>
      </x:c>
      <x:c r="X305" s="160" t="inlineStr">
        <x:is>
          <x:t xml:space="preserve">NONE — DEVELOPMENT ONLY</x:t>
        </x:is>
      </x:c>
      <x:c r="Y305" s="160" t="inlineStr">
        <x:is>
          <x:t xml:space="preserve">Synthetic/adversarial model-development loop. No historical outcome is claimed; no accuracy point is awarded.</x:t>
        </x:is>
      </x:c>
    </x:row>
    <x:row r="306">
      <x:c r="A306" s="160" t="inlineStr">
        <x:is>
          <x:t xml:space="preserve">ML0301</x:t>
        </x:is>
      </x:c>
      <x:c r="B306" s="160" t="inlineStr">
        <x:is>
          <x:t xml:space="preserve">ARG-019</x:t>
        </x:is>
      </x:c>
      <x:c r="C306" s="160" t="inlineStr">
        <x:is>
          <x:t xml:space="preserve">GE Vernova</x:t>
        </x:is>
      </x:c>
      <x:c r="D306" s="160" t="inlineStr">
        <x:is>
          <x:t xml:space="preserve">GEV</x:t>
        </x:is>
      </x:c>
      <x:c r="E306" s="160" t="inlineStr">
        <x:is>
          <x:t xml:space="preserve">Power &amp; Grid</x:t>
        </x:is>
      </x:c>
      <x:c r="F306" s="160" t="inlineStr">
        <x:is>
          <x:t xml:space="preserve">Development</x:t>
        </x:is>
      </x:c>
      <x:c r="G306" s="160" t="inlineStr">
        <x:is>
          <x:t xml:space="preserve">S13</x:t>
        </x:is>
      </x:c>
      <x:c r="H306" s="160" t="inlineStr">
        <x:is>
          <x:t xml:space="preserve">Cycle Normalization</x:t>
        </x:is>
      </x:c>
      <x:c r="I306" s="160" t="inlineStr">
        <x:is>
          <x:t xml:space="preserve">Wrong valuation lens</x:t>
        </x:is>
      </x:c>
      <x:c r="J306" s="160" t="inlineStr">
        <x:is>
          <x:t xml:space="preserve">Peak/trough earnings are mistaken for normalized earning power.</x:t>
        </x:is>
      </x:c>
      <x:c r="K306" s="160" t="inlineStr">
        <x:is>
          <x:t xml:space="preserve">Orders/backlog × execution and service margins</x:t>
        </x:is>
      </x:c>
      <x:c r="L306" s="160" t="inlineStr">
        <x:is>
          <x:t xml:space="preserve">SOTP + normalized FCF</x:t>
        </x:is>
      </x:c>
      <x:c r="M306" s="160" t="inlineStr">
        <x:is>
          <x:t xml:space="preserve">WAIT FOR PRICE</x:t>
        </x:is>
      </x:c>
      <x:c r="N306" s="160" t="inlineStr">
        <x:is>
          <x:t xml:space="preserve">R-CYCLE-01</x:t>
        </x:is>
      </x:c>
      <x:c r="O306" s="160" t="inlineStr">
        <x:is>
          <x:t xml:space="preserve">HARDENED</x:t>
        </x:is>
      </x:c>
      <x:c r="P306" s="160" t="inlineStr">
        <x:is>
          <x:t xml:space="preserve">ROBUST WITH RESIDUAL</x:t>
        </x:is>
      </x:c>
      <x:c r="Q306" s="160" t="inlineStr">
        <x:is>
          <x:t xml:space="preserve">The hardened rule catches the stress. Residual risk is mainly evidence quality, threshold calibration or interaction with another gate.</x:t>
        </x:is>
      </x:c>
      <x:c r="R306" s="160" t="inlineStr">
        <x:is>
          <x:t xml:space="preserve">Use sector-specific mid-cycle/NAV/rate-base/rNPV normalization before applying a valuation multiple.</x:t>
        </x:is>
      </x:c>
      <x:c r="S306" s="160" t="inlineStr">
        <x:is>
          <x:t xml:space="preserve">NO</x:t>
        </x:is>
      </x:c>
      <x:c r="T306" s="160" t="inlineStr">
        <x:is>
          <x:t xml:space="preserve">HARDENED</x:t>
        </x:is>
      </x:c>
      <x:c r="U306" s="160" t="inlineStr">
        <x:is>
          <x:t xml:space="preserve">V10.5-SIM38</x:t>
        </x:is>
      </x:c>
      <x:c r="V306" s="160" t="inlineStr">
        <x:is>
          <x:t xml:space="preserve">https://www.gevernova.com/investors</x:t>
        </x:is>
      </x:c>
      <x:c r="W306" s="160" t="inlineStr">
        <x:is>
          <x:t xml:space="preserve">NO</x:t>
        </x:is>
      </x:c>
      <x:c r="X306" s="160" t="inlineStr">
        <x:is>
          <x:t xml:space="preserve">NONE — DEVELOPMENT ONLY</x:t>
        </x:is>
      </x:c>
      <x:c r="Y306" s="160" t="inlineStr">
        <x:is>
          <x:t xml:space="preserve">Synthetic/adversarial model-development loop. No historical outcome is claimed; no accuracy point is awarded.</x:t>
        </x:is>
      </x:c>
    </x:row>
    <x:row r="307">
      <x:c r="A307" s="160" t="inlineStr">
        <x:is>
          <x:t xml:space="preserve">ML0302</x:t>
        </x:is>
      </x:c>
      <x:c r="B307" s="160" t="inlineStr">
        <x:is>
          <x:t xml:space="preserve">ARG-019</x:t>
        </x:is>
      </x:c>
      <x:c r="C307" s="160" t="inlineStr">
        <x:is>
          <x:t xml:space="preserve">GE Vernova</x:t>
        </x:is>
      </x:c>
      <x:c r="D307" s="160" t="inlineStr">
        <x:is>
          <x:t xml:space="preserve">GEV</x:t>
        </x:is>
      </x:c>
      <x:c r="E307" s="160" t="inlineStr">
        <x:is>
          <x:t xml:space="preserve">Power &amp; Grid</x:t>
        </x:is>
      </x:c>
      <x:c r="F307" s="160" t="inlineStr">
        <x:is>
          <x:t xml:space="preserve">Development</x:t>
        </x:is>
      </x:c>
      <x:c r="G307" s="160" t="inlineStr">
        <x:is>
          <x:t xml:space="preserve">S14</x:t>
        </x:is>
      </x:c>
      <x:c r="H307" s="160" t="inlineStr">
        <x:is>
          <x:t xml:space="preserve">M&amp;A / Organic Growth Separation</x:t>
        </x:is>
      </x:c>
      <x:c r="I307" s="160" t="inlineStr">
        <x:is>
          <x:t xml:space="preserve">Stewardship</x:t>
        </x:is>
      </x:c>
      <x:c r="J307" s="160" t="inlineStr">
        <x:is>
          <x:t xml:space="preserve">Acquisition-driven growth masks weak organic economics or poor incremental ROIC.</x:t>
        </x:is>
      </x:c>
      <x:c r="K307" s="160" t="inlineStr">
        <x:is>
          <x:t xml:space="preserve">Orders/backlog × execution and service margins</x:t>
        </x:is>
      </x:c>
      <x:c r="L307" s="160" t="inlineStr">
        <x:is>
          <x:t xml:space="preserve">SOTP + normalized FCF</x:t>
        </x:is>
      </x:c>
      <x:c r="M307" s="160" t="inlineStr">
        <x:is>
          <x:t xml:space="preserve">WAIT FOR PRICE</x:t>
        </x:is>
      </x:c>
      <x:c r="N307" s="160" t="inlineStr">
        <x:is>
          <x:t xml:space="preserve">R-MA-01</x:t>
        </x:is>
      </x:c>
      <x:c r="O307" s="160" t="inlineStr">
        <x:is>
          <x:t xml:space="preserve">HARDENED</x:t>
        </x:is>
      </x:c>
      <x:c r="P307" s="160" t="inlineStr">
        <x:is>
          <x:t xml:space="preserve">ROBUST WITH RESIDUAL</x:t>
        </x:is>
      </x:c>
      <x:c r="Q307" s="160" t="inlineStr">
        <x:is>
          <x:t xml:space="preserve">The hardened rule catches the stress. Residual risk is mainly evidence quality, threshold calibration or interaction with another gate.</x:t>
        </x:is>
      </x:c>
      <x:c r="R307" s="160" t="inlineStr">
        <x:is>
          <x:t xml:space="preserve">Bridge organic growth, acquired growth, purchase price, integration costs and acquisition-cohort ROIC.</x:t>
        </x:is>
      </x:c>
      <x:c r="S307" s="160" t="inlineStr">
        <x:is>
          <x:t xml:space="preserve">NO</x:t>
        </x:is>
      </x:c>
      <x:c r="T307" s="160" t="inlineStr">
        <x:is>
          <x:t xml:space="preserve">HARDENED</x:t>
        </x:is>
      </x:c>
      <x:c r="U307" s="160" t="inlineStr">
        <x:is>
          <x:t xml:space="preserve">V10.5-SIM38</x:t>
        </x:is>
      </x:c>
      <x:c r="V307" s="160" t="inlineStr">
        <x:is>
          <x:t xml:space="preserve">https://www.gevernova.com/investors</x:t>
        </x:is>
      </x:c>
      <x:c r="W307" s="160" t="inlineStr">
        <x:is>
          <x:t xml:space="preserve">NO</x:t>
        </x:is>
      </x:c>
      <x:c r="X307" s="160" t="inlineStr">
        <x:is>
          <x:t xml:space="preserve">NONE — DEVELOPMENT ONLY</x:t>
        </x:is>
      </x:c>
      <x:c r="Y307" s="160" t="inlineStr">
        <x:is>
          <x:t xml:space="preserve">Synthetic/adversarial model-development loop. No historical outcome is claimed; no accuracy point is awarded.</x:t>
        </x:is>
      </x:c>
    </x:row>
    <x:row r="308">
      <x:c r="A308" s="160" t="inlineStr">
        <x:is>
          <x:t xml:space="preserve">ML0303</x:t>
        </x:is>
      </x:c>
      <x:c r="B308" s="160" t="inlineStr">
        <x:is>
          <x:t xml:space="preserve">ARG-019</x:t>
        </x:is>
      </x:c>
      <x:c r="C308" s="160" t="inlineStr">
        <x:is>
          <x:t xml:space="preserve">GE Vernova</x:t>
        </x:is>
      </x:c>
      <x:c r="D308" s="160" t="inlineStr">
        <x:is>
          <x:t xml:space="preserve">GEV</x:t>
        </x:is>
      </x:c>
      <x:c r="E308" s="160" t="inlineStr">
        <x:is>
          <x:t xml:space="preserve">Power &amp; Grid</x:t>
        </x:is>
      </x:c>
      <x:c r="F308" s="160" t="inlineStr">
        <x:is>
          <x:t xml:space="preserve">Development</x:t>
        </x:is>
      </x:c>
      <x:c r="G308" s="160" t="inlineStr">
        <x:is>
          <x:t xml:space="preserve">S15</x:t>
        </x:is>
      </x:c>
      <x:c r="H308" s="160" t="inlineStr">
        <x:is>
          <x:t xml:space="preserve">Financing / Dilution Per Share</x:t>
        </x:is>
      </x:c>
      <x:c r="I308" s="160" t="inlineStr">
        <x:is>
          <x:t xml:space="preserve">Stewardship</x:t>
        </x:is>
      </x:c>
      <x:c r="J308" s="160" t="inlineStr">
        <x:is>
          <x:t xml:space="preserve">Cash balance or revenue growth improves while financing causes material per-share value leakage.</x:t>
        </x:is>
      </x:c>
      <x:c r="K308" s="160" t="inlineStr">
        <x:is>
          <x:t xml:space="preserve">Orders/backlog × execution and service margins</x:t>
        </x:is>
      </x:c>
      <x:c r="L308" s="160" t="inlineStr">
        <x:is>
          <x:t xml:space="preserve">SOTP + normalized FCF</x:t>
        </x:is>
      </x:c>
      <x:c r="M308" s="160" t="inlineStr">
        <x:is>
          <x:t xml:space="preserve">WAIT FOR PRICE</x:t>
        </x:is>
      </x:c>
      <x:c r="N308" s="160" t="inlineStr">
        <x:is>
          <x:t xml:space="preserve">R-DIL-01</x:t>
        </x:is>
      </x:c>
      <x:c r="O308" s="160" t="inlineStr">
        <x:is>
          <x:t xml:space="preserve">HARDENED</x:t>
        </x:is>
      </x:c>
      <x:c r="P308" s="160" t="inlineStr">
        <x:is>
          <x:t xml:space="preserve">ROBUST WITH RESIDUAL</x:t>
        </x:is>
      </x:c>
      <x:c r="Q308" s="160" t="inlineStr">
        <x:is>
          <x:t xml:space="preserve">The hardened rule catches the stress. Residual risk is mainly evidence quality, threshold calibration or interaction with another gate.</x:t>
        </x:is>
      </x:c>
      <x:c r="R308" s="160" t="inlineStr">
        <x:is>
          <x:t xml:space="preserve">Reconcile share-count growth, SBC, equity issuance, buybacks and net cash changes to per-share intrinsic value.</x:t>
        </x:is>
      </x:c>
      <x:c r="S308" s="160" t="inlineStr">
        <x:is>
          <x:t xml:space="preserve">NO</x:t>
        </x:is>
      </x:c>
      <x:c r="T308" s="160" t="inlineStr">
        <x:is>
          <x:t xml:space="preserve">HARDENED</x:t>
        </x:is>
      </x:c>
      <x:c r="U308" s="160" t="inlineStr">
        <x:is>
          <x:t xml:space="preserve">V10.5-SIM38</x:t>
        </x:is>
      </x:c>
      <x:c r="V308" s="160" t="inlineStr">
        <x:is>
          <x:t xml:space="preserve">https://www.gevernova.com/investors</x:t>
        </x:is>
      </x:c>
      <x:c r="W308" s="160" t="inlineStr">
        <x:is>
          <x:t xml:space="preserve">NO</x:t>
        </x:is>
      </x:c>
      <x:c r="X308" s="160" t="inlineStr">
        <x:is>
          <x:t xml:space="preserve">NONE — DEVELOPMENT ONLY</x:t>
        </x:is>
      </x:c>
      <x:c r="Y308" s="160" t="inlineStr">
        <x:is>
          <x:t xml:space="preserve">Synthetic/adversarial model-development loop. No historical outcome is claimed; no accuracy point is awarded.</x:t>
        </x:is>
      </x:c>
    </x:row>
    <x:row r="309">
      <x:c r="A309" s="160" t="inlineStr">
        <x:is>
          <x:t xml:space="preserve">ML0304</x:t>
        </x:is>
      </x:c>
      <x:c r="B309" s="160" t="inlineStr">
        <x:is>
          <x:t xml:space="preserve">ARG-019</x:t>
        </x:is>
      </x:c>
      <x:c r="C309" s="160" t="inlineStr">
        <x:is>
          <x:t xml:space="preserve">GE Vernova</x:t>
        </x:is>
      </x:c>
      <x:c r="D309" s="160" t="inlineStr">
        <x:is>
          <x:t xml:space="preserve">GEV</x:t>
        </x:is>
      </x:c>
      <x:c r="E309" s="160" t="inlineStr">
        <x:is>
          <x:t xml:space="preserve">Power &amp; Grid</x:t>
        </x:is>
      </x:c>
      <x:c r="F309" s="160" t="inlineStr">
        <x:is>
          <x:t xml:space="preserve">Development</x:t>
        </x:is>
      </x:c>
      <x:c r="G309" s="160" t="inlineStr">
        <x:is>
          <x:t xml:space="preserve">S16</x:t>
        </x:is>
      </x:c>
      <x:c r="H309" s="160" t="inlineStr">
        <x:is>
          <x:t xml:space="preserve">Concentration / Tail Risk</x:t>
        </x:is>
      </x:c>
      <x:c r="I309" s="160" t="inlineStr">
        <x:is>
          <x:t xml:space="preserve">Survival</x:t>
        </x:is>
      </x:c>
      <x:c r="J309" s="160" t="inlineStr">
        <x:is>
          <x:t xml:space="preserve">A concentrated supplier, geography, customer, product, patent, regulatory or technology dependency creates asymmetric permanent-loss risk.</x:t>
        </x:is>
      </x:c>
      <x:c r="K309" s="160" t="inlineStr">
        <x:is>
          <x:t xml:space="preserve">Orders/backlog × execution and service margins</x:t>
        </x:is>
      </x:c>
      <x:c r="L309" s="160" t="inlineStr">
        <x:is>
          <x:t xml:space="preserve">SOTP + normalized FCF</x:t>
        </x:is>
      </x:c>
      <x:c r="M309" s="160" t="inlineStr">
        <x:is>
          <x:t xml:space="preserve">WAIT FOR PRICE</x:t>
        </x:is>
      </x:c>
      <x:c r="N309" s="160" t="inlineStr">
        <x:is>
          <x:t xml:space="preserve">R-TAIL-01</x:t>
        </x:is>
      </x:c>
      <x:c r="O309" s="160" t="inlineStr">
        <x:is>
          <x:t xml:space="preserve">HARDENED</x:t>
        </x:is>
      </x:c>
      <x:c r="P309" s="160" t="inlineStr">
        <x:is>
          <x:t xml:space="preserve">ROBUST WITH RESIDUAL</x:t>
        </x:is>
      </x:c>
      <x:c r="Q309" s="160" t="inlineStr">
        <x:is>
          <x:t xml:space="preserve">The hardened rule catches the stress. Residual risk is mainly evidence quality, threshold calibration or interaction with another gate.</x:t>
        </x:is>
      </x:c>
      <x:c r="R309" s="160" t="inlineStr">
        <x:is>
          <x:t xml:space="preserve">Maintain an explicit concentration/tail-risk register with probability, severity, mitigation and required margin-of-safety premium.</x:t>
        </x:is>
      </x:c>
      <x:c r="S309" s="160" t="inlineStr">
        <x:is>
          <x:t xml:space="preserve">NO</x:t>
        </x:is>
      </x:c>
      <x:c r="T309" s="160" t="inlineStr">
        <x:is>
          <x:t xml:space="preserve">HARDENED</x:t>
        </x:is>
      </x:c>
      <x:c r="U309" s="160" t="inlineStr">
        <x:is>
          <x:t xml:space="preserve">V10.5-SIM38</x:t>
        </x:is>
      </x:c>
      <x:c r="V309" s="160" t="inlineStr">
        <x:is>
          <x:t xml:space="preserve">https://www.gevernova.com/investors</x:t>
        </x:is>
      </x:c>
      <x:c r="W309" s="160" t="inlineStr">
        <x:is>
          <x:t xml:space="preserve">NO</x:t>
        </x:is>
      </x:c>
      <x:c r="X309" s="160" t="inlineStr">
        <x:is>
          <x:t xml:space="preserve">NONE — DEVELOPMENT ONLY</x:t>
        </x:is>
      </x:c>
      <x:c r="Y309" s="160" t="inlineStr">
        <x:is>
          <x:t xml:space="preserve">Synthetic/adversarial model-development loop. No historical outcome is claimed; no accuracy point is awarded.</x:t>
        </x:is>
      </x:c>
    </x:row>
    <x:row r="310">
      <x:c r="A310" s="160" t="inlineStr">
        <x:is>
          <x:t xml:space="preserve">ML0305</x:t>
        </x:is>
      </x:c>
      <x:c r="B310" s="160" t="inlineStr">
        <x:is>
          <x:t xml:space="preserve">ARG-020</x:t>
        </x:is>
      </x:c>
      <x:c r="C310" s="160" t="inlineStr">
        <x:is>
          <x:t xml:space="preserve">Schneider Electric</x:t>
        </x:is>
      </x:c>
      <x:c r="D310" s="160" t="inlineStr">
        <x:is>
          <x:t xml:space="preserve">SU.PA</x:t>
        </x:is>
      </x:c>
      <x:c r="E310" s="160" t="inlineStr">
        <x:is>
          <x:t xml:space="preserve">Power &amp; Grid</x:t>
        </x:is>
      </x:c>
      <x:c r="F310" s="160" t="inlineStr">
        <x:is>
          <x:t xml:space="preserve">Development</x:t>
        </x:is>
      </x:c>
      <x:c r="G310" s="160" t="inlineStr">
        <x:is>
          <x:t xml:space="preserve">S01</x:t>
        </x:is>
      </x:c>
      <x:c r="H310" s="160" t="inlineStr">
        <x:is>
          <x:t xml:space="preserve">Understanding Gate</x:t>
        </x:is>
      </x:c>
      <x:c r="I310" s="160" t="inlineStr">
        <x:is>
          <x:t xml:space="preserve">Understanding</x:t>
        </x:is>
      </x:c>
      <x:c r="J310" s="160" t="inlineStr">
        <x:is>
          <x:t xml:space="preserve">Causal engine / customer ROI chain breaks under a misleading headline KPI.</x:t>
        </x:is>
      </x:c>
      <x:c r="K310" s="160" t="inlineStr">
        <x:is>
          <x:t xml:space="preserve">Installed electrical/automation base plus software/service</x:t>
        </x:is>
      </x:c>
      <x:c r="L310" s="160" t="inlineStr">
        <x:is>
          <x:t xml:space="preserve">Owner earnings + reverse DCF</x:t>
        </x:is>
      </x:c>
      <x:c r="M310" s="160" t="inlineStr">
        <x:is>
          <x:t xml:space="preserve">WATCH</x:t>
        </x:is>
      </x:c>
      <x:c r="N310" s="160" t="inlineStr">
        <x:is>
          <x:t xml:space="preserve">R-ENG-01</x:t>
        </x:is>
      </x:c>
      <x:c r="O310" s="160" t="inlineStr">
        <x:is>
          <x:t xml:space="preserve">HARDENED</x:t>
        </x:is>
      </x:c>
      <x:c r="P310" s="160" t="inlineStr">
        <x:is>
          <x:t xml:space="preserve">ROBUST WITH RESIDUAL</x:t>
        </x:is>
      </x:c>
      <x:c r="Q310" s="160" t="inlineStr">
        <x:is>
          <x:t xml:space="preserve">The hardened rule catches the stress. Residual risk is mainly evidence quality, threshold calibration or interaction with another gate.</x:t>
        </x:is>
      </x:c>
      <x:c r="R310" s="160" t="inlineStr">
        <x:is>
          <x:t xml:space="preserve">Force an explicit engine tree: customer job → unit economics → revenue driver → owner-value bridge.</x:t>
        </x:is>
      </x:c>
      <x:c r="S310" s="160" t="inlineStr">
        <x:is>
          <x:t xml:space="preserve">NO</x:t>
        </x:is>
      </x:c>
      <x:c r="T310" s="160" t="inlineStr">
        <x:is>
          <x:t xml:space="preserve">HARDENED</x:t>
        </x:is>
      </x:c>
      <x:c r="U310" s="160" t="inlineStr">
        <x:is>
          <x:t xml:space="preserve">V10.5-SIM38</x:t>
        </x:is>
      </x:c>
      <x:c r="V310" s="160" t="inlineStr">
        <x:is>
          <x:t xml:space="preserve">https://www.se.com/ww/en/about-us/investor-relations/</x:t>
        </x:is>
      </x:c>
      <x:c r="W310" s="160" t="inlineStr">
        <x:is>
          <x:t xml:space="preserve">NO</x:t>
        </x:is>
      </x:c>
      <x:c r="X310" s="160" t="inlineStr">
        <x:is>
          <x:t xml:space="preserve">NONE — DEVELOPMENT ONLY</x:t>
        </x:is>
      </x:c>
      <x:c r="Y310" s="160" t="inlineStr">
        <x:is>
          <x:t xml:space="preserve">Synthetic/adversarial model-development loop. No historical outcome is claimed; no accuracy point is awarded.</x:t>
        </x:is>
      </x:c>
    </x:row>
    <x:row r="311">
      <x:c r="A311" s="160" t="inlineStr">
        <x:is>
          <x:t xml:space="preserve">ML0306</x:t>
        </x:is>
      </x:c>
      <x:c r="B311" s="160" t="inlineStr">
        <x:is>
          <x:t xml:space="preserve">ARG-020</x:t>
        </x:is>
      </x:c>
      <x:c r="C311" s="160" t="inlineStr">
        <x:is>
          <x:t xml:space="preserve">Schneider Electric</x:t>
        </x:is>
      </x:c>
      <x:c r="D311" s="160" t="inlineStr">
        <x:is>
          <x:t xml:space="preserve">SU.PA</x:t>
        </x:is>
      </x:c>
      <x:c r="E311" s="160" t="inlineStr">
        <x:is>
          <x:t xml:space="preserve">Power &amp; Grid</x:t>
        </x:is>
      </x:c>
      <x:c r="F311" s="160" t="inlineStr">
        <x:is>
          <x:t xml:space="preserve">Development</x:t>
        </x:is>
      </x:c>
      <x:c r="G311" s="160" t="inlineStr">
        <x:is>
          <x:t xml:space="preserve">S02</x:t>
        </x:is>
      </x:c>
      <x:c r="H311" s="160" t="inlineStr">
        <x:is>
          <x:t xml:space="preserve">Owner Earnings Normalization</x:t>
        </x:is>
      </x:c>
      <x:c r="I311" s="160" t="inlineStr">
        <x:is>
          <x:t xml:space="preserve">Owner Earnings</x:t>
        </x:is>
      </x:c>
      <x:c r="J311" s="160" t="inlineStr">
        <x:is>
          <x:t xml:space="preserve">Reported earnings/FCF overstates economic cash because recurring reinvestment or non-cash compensation is misclassified.</x:t>
        </x:is>
      </x:c>
      <x:c r="K311" s="160" t="inlineStr">
        <x:is>
          <x:t xml:space="preserve">Installed electrical/automation base plus software/service</x:t>
        </x:is>
      </x:c>
      <x:c r="L311" s="160" t="inlineStr">
        <x:is>
          <x:t xml:space="preserve">Owner earnings + reverse DCF</x:t>
        </x:is>
      </x:c>
      <x:c r="M311" s="160" t="inlineStr">
        <x:is>
          <x:t xml:space="preserve">WATCH</x:t>
        </x:is>
      </x:c>
      <x:c r="N311" s="160" t="inlineStr">
        <x:is>
          <x:t xml:space="preserve">R-OE-01</x:t>
        </x:is>
      </x:c>
      <x:c r="O311" s="160" t="inlineStr">
        <x:is>
          <x:t xml:space="preserve">HARDENED</x:t>
        </x:is>
      </x:c>
      <x:c r="P311" s="160" t="inlineStr">
        <x:is>
          <x:t xml:space="preserve">ROBUST WITH RESIDUAL</x:t>
        </x:is>
      </x:c>
      <x:c r="Q311" s="160" t="inlineStr">
        <x:is>
          <x:t xml:space="preserve">The hardened rule catches the stress. Residual risk is mainly evidence quality, threshold calibration or interaction with another gate.</x:t>
        </x:is>
      </x:c>
      <x:c r="R311" s="160" t="inlineStr">
        <x:is>
          <x:t xml:space="preserve">Require a GAAP-to-economic-owner-cash bridge tailored to the business model.</x:t>
        </x:is>
      </x:c>
      <x:c r="S311" s="160" t="inlineStr">
        <x:is>
          <x:t xml:space="preserve">NO</x:t>
        </x:is>
      </x:c>
      <x:c r="T311" s="160" t="inlineStr">
        <x:is>
          <x:t xml:space="preserve">HARDENED</x:t>
        </x:is>
      </x:c>
      <x:c r="U311" s="160" t="inlineStr">
        <x:is>
          <x:t xml:space="preserve">V10.5-SIM38</x:t>
        </x:is>
      </x:c>
      <x:c r="V311" s="160" t="inlineStr">
        <x:is>
          <x:t xml:space="preserve">https://www.se.com/ww/en/about-us/investor-relations/</x:t>
        </x:is>
      </x:c>
      <x:c r="W311" s="160" t="inlineStr">
        <x:is>
          <x:t xml:space="preserve">NO</x:t>
        </x:is>
      </x:c>
      <x:c r="X311" s="160" t="inlineStr">
        <x:is>
          <x:t xml:space="preserve">NONE — DEVELOPMENT ONLY</x:t>
        </x:is>
      </x:c>
      <x:c r="Y311" s="160" t="inlineStr">
        <x:is>
          <x:t xml:space="preserve">Synthetic/adversarial model-development loop. No historical outcome is claimed; no accuracy point is awarded.</x:t>
        </x:is>
      </x:c>
    </x:row>
    <x:row r="312">
      <x:c r="A312" s="160" t="inlineStr">
        <x:is>
          <x:t xml:space="preserve">ML0307</x:t>
        </x:is>
      </x:c>
      <x:c r="B312" s="160" t="inlineStr">
        <x:is>
          <x:t xml:space="preserve">ARG-020</x:t>
        </x:is>
      </x:c>
      <x:c r="C312" s="160" t="inlineStr">
        <x:is>
          <x:t xml:space="preserve">Schneider Electric</x:t>
        </x:is>
      </x:c>
      <x:c r="D312" s="160" t="inlineStr">
        <x:is>
          <x:t xml:space="preserve">SU.PA</x:t>
        </x:is>
      </x:c>
      <x:c r="E312" s="160" t="inlineStr">
        <x:is>
          <x:t xml:space="preserve">Power &amp; Grid</x:t>
        </x:is>
      </x:c>
      <x:c r="F312" s="160" t="inlineStr">
        <x:is>
          <x:t xml:space="preserve">Development</x:t>
        </x:is>
      </x:c>
      <x:c r="G312" s="160" t="inlineStr">
        <x:is>
          <x:t xml:space="preserve">S03</x:t>
        </x:is>
      </x:c>
      <x:c r="H312" s="160" t="inlineStr">
        <x:is>
          <x:t xml:space="preserve">Moat Durability</x:t>
        </x:is>
      </x:c>
      <x:c r="I312" s="160" t="inlineStr">
        <x:is>
          <x:t xml:space="preserve">Moat 2036</x:t>
        </x:is>
      </x:c>
      <x:c r="J312" s="160" t="inlineStr">
        <x:is>
          <x:t xml:space="preserve">Growth continues while switching friction, pricing power or replacement difficulty quietly weakens.</x:t>
        </x:is>
      </x:c>
      <x:c r="K312" s="160" t="inlineStr">
        <x:is>
          <x:t xml:space="preserve">Installed electrical/automation base plus software/service</x:t>
        </x:is>
      </x:c>
      <x:c r="L312" s="160" t="inlineStr">
        <x:is>
          <x:t xml:space="preserve">Owner earnings + reverse DCF</x:t>
        </x:is>
      </x:c>
      <x:c r="M312" s="160" t="inlineStr">
        <x:is>
          <x:t xml:space="preserve">WATCH</x:t>
        </x:is>
      </x:c>
      <x:c r="N312" s="160" t="inlineStr">
        <x:is>
          <x:t xml:space="preserve">R-MOAT-01</x:t>
        </x:is>
      </x:c>
      <x:c r="O312" s="160" t="inlineStr">
        <x:is>
          <x:t xml:space="preserve">HARDENED</x:t>
        </x:is>
      </x:c>
      <x:c r="P312" s="160" t="inlineStr">
        <x:is>
          <x:t xml:space="preserve">ROBUST WITH RESIDUAL</x:t>
        </x:is>
      </x:c>
      <x:c r="Q312" s="160" t="inlineStr">
        <x:is>
          <x:t xml:space="preserve">The hardened rule catches the stress. Residual risk is mainly evidence quality, threshold calibration or interaction with another gate.</x:t>
        </x:is>
      </x:c>
      <x:c r="R312" s="160" t="inlineStr">
        <x:is>
          <x:t xml:space="preserve">Track moat telemetry separately from growth: retention, pricing, win/loss, replacement friction, installed-base behavior.</x:t>
        </x:is>
      </x:c>
      <x:c r="S312" s="160" t="inlineStr">
        <x:is>
          <x:t xml:space="preserve">NO</x:t>
        </x:is>
      </x:c>
      <x:c r="T312" s="160" t="inlineStr">
        <x:is>
          <x:t xml:space="preserve">HARDENED</x:t>
        </x:is>
      </x:c>
      <x:c r="U312" s="160" t="inlineStr">
        <x:is>
          <x:t xml:space="preserve">V10.5-SIM38</x:t>
        </x:is>
      </x:c>
      <x:c r="V312" s="160" t="inlineStr">
        <x:is>
          <x:t xml:space="preserve">https://www.se.com/ww/en/about-us/investor-relations/</x:t>
        </x:is>
      </x:c>
      <x:c r="W312" s="160" t="inlineStr">
        <x:is>
          <x:t xml:space="preserve">NO</x:t>
        </x:is>
      </x:c>
      <x:c r="X312" s="160" t="inlineStr">
        <x:is>
          <x:t xml:space="preserve">NONE — DEVELOPMENT ONLY</x:t>
        </x:is>
      </x:c>
      <x:c r="Y312" s="160" t="inlineStr">
        <x:is>
          <x:t xml:space="preserve">Synthetic/adversarial model-development loop. No historical outcome is claimed; no accuracy point is awarded.</x:t>
        </x:is>
      </x:c>
    </x:row>
    <x:row r="313">
      <x:c r="A313" s="160" t="inlineStr">
        <x:is>
          <x:t xml:space="preserve">ML0308</x:t>
        </x:is>
      </x:c>
      <x:c r="B313" s="160" t="inlineStr">
        <x:is>
          <x:t xml:space="preserve">ARG-020</x:t>
        </x:is>
      </x:c>
      <x:c r="C313" s="160" t="inlineStr">
        <x:is>
          <x:t xml:space="preserve">Schneider Electric</x:t>
        </x:is>
      </x:c>
      <x:c r="D313" s="160" t="inlineStr">
        <x:is>
          <x:t xml:space="preserve">SU.PA</x:t>
        </x:is>
      </x:c>
      <x:c r="E313" s="160" t="inlineStr">
        <x:is>
          <x:t xml:space="preserve">Power &amp; Grid</x:t>
        </x:is>
      </x:c>
      <x:c r="F313" s="160" t="inlineStr">
        <x:is>
          <x:t xml:space="preserve">Development</x:t>
        </x:is>
      </x:c>
      <x:c r="G313" s="160" t="inlineStr">
        <x:is>
          <x:t xml:space="preserve">S04</x:t>
        </x:is>
      </x:c>
      <x:c r="H313" s="160" t="inlineStr">
        <x:is>
          <x:t xml:space="preserve">Stewardship / Capital Allocation</x:t>
        </x:is>
      </x:c>
      <x:c r="I313" s="160" t="inlineStr">
        <x:is>
          <x:t xml:space="preserve">Stewardship</x:t>
        </x:is>
      </x:c>
      <x:c r="J313" s="160" t="inlineStr">
        <x:is>
          <x:t xml:space="preserve">Management creates enterprise growth while destroying per-share value through M&amp;A, dilution, leverage or mistimed buybacks.</x:t>
        </x:is>
      </x:c>
      <x:c r="K313" s="160" t="inlineStr">
        <x:is>
          <x:t xml:space="preserve">Installed electrical/automation base plus software/service</x:t>
        </x:is>
      </x:c>
      <x:c r="L313" s="160" t="inlineStr">
        <x:is>
          <x:t xml:space="preserve">Owner earnings + reverse DCF</x:t>
        </x:is>
      </x:c>
      <x:c r="M313" s="160" t="inlineStr">
        <x:is>
          <x:t xml:space="preserve">WATCH</x:t>
        </x:is>
      </x:c>
      <x:c r="N313" s="160" t="inlineStr">
        <x:is>
          <x:t xml:space="preserve">R-STEW-01</x:t>
        </x:is>
      </x:c>
      <x:c r="O313" s="160" t="inlineStr">
        <x:is>
          <x:t xml:space="preserve">HARDENED</x:t>
        </x:is>
      </x:c>
      <x:c r="P313" s="160" t="inlineStr">
        <x:is>
          <x:t xml:space="preserve">ROBUST WITH RESIDUAL</x:t>
        </x:is>
      </x:c>
      <x:c r="Q313" s="160" t="inlineStr">
        <x:is>
          <x:t xml:space="preserve">The hardened rule catches the stress. Residual risk is mainly evidence quality, threshold calibration or interaction with another gate.</x:t>
        </x:is>
      </x:c>
      <x:c r="R313" s="160" t="inlineStr">
        <x:is>
          <x:t xml:space="preserve">Evaluate capital allocation on a per-share basis using acquisition cohorts, dilution, leverage and repurchase price discipline.</x:t>
        </x:is>
      </x:c>
      <x:c r="S313" s="160" t="inlineStr">
        <x:is>
          <x:t xml:space="preserve">NO</x:t>
        </x:is>
      </x:c>
      <x:c r="T313" s="160" t="inlineStr">
        <x:is>
          <x:t xml:space="preserve">HARDENED</x:t>
        </x:is>
      </x:c>
      <x:c r="U313" s="160" t="inlineStr">
        <x:is>
          <x:t xml:space="preserve">V10.5-SIM38</x:t>
        </x:is>
      </x:c>
      <x:c r="V313" s="160" t="inlineStr">
        <x:is>
          <x:t xml:space="preserve">https://www.se.com/ww/en/about-us/investor-relations/</x:t>
        </x:is>
      </x:c>
      <x:c r="W313" s="160" t="inlineStr">
        <x:is>
          <x:t xml:space="preserve">NO</x:t>
        </x:is>
      </x:c>
      <x:c r="X313" s="160" t="inlineStr">
        <x:is>
          <x:t xml:space="preserve">NONE — DEVELOPMENT ONLY</x:t>
        </x:is>
      </x:c>
      <x:c r="Y313" s="160" t="inlineStr">
        <x:is>
          <x:t xml:space="preserve">Synthetic/adversarial model-development loop. No historical outcome is claimed; no accuracy point is awarded.</x:t>
        </x:is>
      </x:c>
    </x:row>
    <x:row r="314">
      <x:c r="A314" s="160" t="inlineStr">
        <x:is>
          <x:t xml:space="preserve">ML0309</x:t>
        </x:is>
      </x:c>
      <x:c r="B314" s="160" t="inlineStr">
        <x:is>
          <x:t xml:space="preserve">ARG-020</x:t>
        </x:is>
      </x:c>
      <x:c r="C314" s="160" t="inlineStr">
        <x:is>
          <x:t xml:space="preserve">Schneider Electric</x:t>
        </x:is>
      </x:c>
      <x:c r="D314" s="160" t="inlineStr">
        <x:is>
          <x:t xml:space="preserve">SU.PA</x:t>
        </x:is>
      </x:c>
      <x:c r="E314" s="160" t="inlineStr">
        <x:is>
          <x:t xml:space="preserve">Power &amp; Grid</x:t>
        </x:is>
      </x:c>
      <x:c r="F314" s="160" t="inlineStr">
        <x:is>
          <x:t xml:space="preserve">Development</x:t>
        </x:is>
      </x:c>
      <x:c r="G314" s="160" t="inlineStr">
        <x:is>
          <x:t xml:space="preserve">S05</x:t>
        </x:is>
      </x:c>
      <x:c r="H314" s="160" t="inlineStr">
        <x:is>
          <x:t xml:space="preserve">Survival / Funding</x:t>
        </x:is>
      </x:c>
      <x:c r="I314" s="160" t="inlineStr">
        <x:is>
          <x:t xml:space="preserve">Survival</x:t>
        </x:is>
      </x:c>
      <x:c r="J314" s="160" t="inlineStr">
        <x:is>
          <x:t xml:space="preserve">A plausible bear case exposes refinancing, liquidity, covenant, reserve, regulatory or operational fragility.</x:t>
        </x:is>
      </x:c>
      <x:c r="K314" s="160" t="inlineStr">
        <x:is>
          <x:t xml:space="preserve">Installed electrical/automation base plus software/service</x:t>
        </x:is>
      </x:c>
      <x:c r="L314" s="160" t="inlineStr">
        <x:is>
          <x:t xml:space="preserve">Owner earnings + reverse DCF</x:t>
        </x:is>
      </x:c>
      <x:c r="M314" s="160" t="inlineStr">
        <x:is>
          <x:t xml:space="preserve">WATCH</x:t>
        </x:is>
      </x:c>
      <x:c r="N314" s="160" t="inlineStr">
        <x:is>
          <x:t xml:space="preserve">R-SURV-01</x:t>
        </x:is>
      </x:c>
      <x:c r="O314" s="160" t="inlineStr">
        <x:is>
          <x:t xml:space="preserve">HARDENED</x:t>
        </x:is>
      </x:c>
      <x:c r="P314" s="160" t="inlineStr">
        <x:is>
          <x:t xml:space="preserve">ROBUST WITH RESIDUAL</x:t>
        </x:is>
      </x:c>
      <x:c r="Q314" s="160" t="inlineStr">
        <x:is>
          <x:t xml:space="preserve">The hardened rule catches the stress. Residual risk is mainly evidence quality, threshold calibration or interaction with another gate.</x:t>
        </x:is>
      </x:c>
      <x:c r="R314" s="160" t="inlineStr">
        <x:is>
          <x:t xml:space="preserve">Run a company-specific survival bridge under a severe-but-plausible bear case before any upside underwriting.</x:t>
        </x:is>
      </x:c>
      <x:c r="S314" s="160" t="inlineStr">
        <x:is>
          <x:t xml:space="preserve">NO</x:t>
        </x:is>
      </x:c>
      <x:c r="T314" s="160" t="inlineStr">
        <x:is>
          <x:t xml:space="preserve">HARDENED</x:t>
        </x:is>
      </x:c>
      <x:c r="U314" s="160" t="inlineStr">
        <x:is>
          <x:t xml:space="preserve">V10.5-SIM38</x:t>
        </x:is>
      </x:c>
      <x:c r="V314" s="160" t="inlineStr">
        <x:is>
          <x:t xml:space="preserve">https://www.se.com/ww/en/about-us/investor-relations/</x:t>
        </x:is>
      </x:c>
      <x:c r="W314" s="160" t="inlineStr">
        <x:is>
          <x:t xml:space="preserve">NO</x:t>
        </x:is>
      </x:c>
      <x:c r="X314" s="160" t="inlineStr">
        <x:is>
          <x:t xml:space="preserve">NONE — DEVELOPMENT ONLY</x:t>
        </x:is>
      </x:c>
      <x:c r="Y314" s="160" t="inlineStr">
        <x:is>
          <x:t xml:space="preserve">Synthetic/adversarial model-development loop. No historical outcome is claimed; no accuracy point is awarded.</x:t>
        </x:is>
      </x:c>
    </x:row>
    <x:row r="315">
      <x:c r="A315" s="160" t="inlineStr">
        <x:is>
          <x:t xml:space="preserve">ML0310</x:t>
        </x:is>
      </x:c>
      <x:c r="B315" s="160" t="inlineStr">
        <x:is>
          <x:t xml:space="preserve">ARG-020</x:t>
        </x:is>
      </x:c>
      <x:c r="C315" s="160" t="inlineStr">
        <x:is>
          <x:t xml:space="preserve">Schneider Electric</x:t>
        </x:is>
      </x:c>
      <x:c r="D315" s="160" t="inlineStr">
        <x:is>
          <x:t xml:space="preserve">SU.PA</x:t>
        </x:is>
      </x:c>
      <x:c r="E315" s="160" t="inlineStr">
        <x:is>
          <x:t xml:space="preserve">Power &amp; Grid</x:t>
        </x:is>
      </x:c>
      <x:c r="F315" s="160" t="inlineStr">
        <x:is>
          <x:t xml:space="preserve">Development</x:t>
        </x:is>
      </x:c>
      <x:c r="G315" s="160" t="inlineStr">
        <x:is>
          <x:t xml:space="preserve">S06</x:t>
        </x:is>
      </x:c>
      <x:c r="H315" s="160" t="inlineStr">
        <x:is>
          <x:t xml:space="preserve">Margin of Safety</x:t>
        </x:is>
      </x:c>
      <x:c r="I315" s="160" t="inlineStr">
        <x:is>
          <x:t xml:space="preserve">Margin of Safety</x:t>
        </x:is>
      </x:c>
      <x:c r="J315" s="160" t="inlineStr">
        <x:is>
          <x:t xml:space="preserve">Business quality is high but the price embeds a fragile bull case.</x:t>
        </x:is>
      </x:c>
      <x:c r="K315" s="160" t="inlineStr">
        <x:is>
          <x:t xml:space="preserve">Installed electrical/automation base plus software/service</x:t>
        </x:is>
      </x:c>
      <x:c r="L315" s="160" t="inlineStr">
        <x:is>
          <x:t xml:space="preserve">Owner earnings + reverse DCF</x:t>
        </x:is>
      </x:c>
      <x:c r="M315" s="160" t="inlineStr">
        <x:is>
          <x:t xml:space="preserve">WATCH</x:t>
        </x:is>
      </x:c>
      <x:c r="N315" s="160" t="inlineStr">
        <x:is>
          <x:t xml:space="preserve">R-MOS-01</x:t>
        </x:is>
      </x:c>
      <x:c r="O315" s="160" t="inlineStr">
        <x:is>
          <x:t xml:space="preserve">HARDENED</x:t>
        </x:is>
      </x:c>
      <x:c r="P315" s="160" t="inlineStr">
        <x:is>
          <x:t xml:space="preserve">ROBUST WITH RESIDUAL</x:t>
        </x:is>
      </x:c>
      <x:c r="Q315" s="160" t="inlineStr">
        <x:is>
          <x:t xml:space="preserve">The hardened rule catches the stress. Residual risk is mainly evidence quality, threshold calibration or interaction with another gate.</x:t>
        </x:is>
      </x:c>
      <x:c r="R315" s="160" t="inlineStr">
        <x:is>
          <x:t xml:space="preserve">Separate business-quality score from price decision; require reverse valuation and bear/base/bull IV ranges.</x:t>
        </x:is>
      </x:c>
      <x:c r="S315" s="160" t="inlineStr">
        <x:is>
          <x:t xml:space="preserve">NO</x:t>
        </x:is>
      </x:c>
      <x:c r="T315" s="160" t="inlineStr">
        <x:is>
          <x:t xml:space="preserve">HARDENED</x:t>
        </x:is>
      </x:c>
      <x:c r="U315" s="160" t="inlineStr">
        <x:is>
          <x:t xml:space="preserve">V10.5-SIM38</x:t>
        </x:is>
      </x:c>
      <x:c r="V315" s="160" t="inlineStr">
        <x:is>
          <x:t xml:space="preserve">https://www.se.com/ww/en/about-us/investor-relations/</x:t>
        </x:is>
      </x:c>
      <x:c r="W315" s="160" t="inlineStr">
        <x:is>
          <x:t xml:space="preserve">NO</x:t>
        </x:is>
      </x:c>
      <x:c r="X315" s="160" t="inlineStr">
        <x:is>
          <x:t xml:space="preserve">NONE — DEVELOPMENT ONLY</x:t>
        </x:is>
      </x:c>
      <x:c r="Y315" s="160" t="inlineStr">
        <x:is>
          <x:t xml:space="preserve">Synthetic/adversarial model-development loop. No historical outcome is claimed; no accuracy point is awarded.</x:t>
        </x:is>
      </x:c>
    </x:row>
    <x:row r="316">
      <x:c r="A316" s="160" t="inlineStr">
        <x:is>
          <x:t xml:space="preserve">ML0311</x:t>
        </x:is>
      </x:c>
      <x:c r="B316" s="160" t="inlineStr">
        <x:is>
          <x:t xml:space="preserve">ARG-020</x:t>
        </x:is>
      </x:c>
      <x:c r="C316" s="160" t="inlineStr">
        <x:is>
          <x:t xml:space="preserve">Schneider Electric</x:t>
        </x:is>
      </x:c>
      <x:c r="D316" s="160" t="inlineStr">
        <x:is>
          <x:t xml:space="preserve">SU.PA</x:t>
        </x:is>
      </x:c>
      <x:c r="E316" s="160" t="inlineStr">
        <x:is>
          <x:t xml:space="preserve">Power &amp; Grid</x:t>
        </x:is>
      </x:c>
      <x:c r="F316" s="160" t="inlineStr">
        <x:is>
          <x:t xml:space="preserve">Development</x:t>
        </x:is>
      </x:c>
      <x:c r="G316" s="160" t="inlineStr">
        <x:is>
          <x:t xml:space="preserve">S07</x:t>
        </x:is>
      </x:c>
      <x:c r="H316" s="160" t="inlineStr">
        <x:is>
          <x:t xml:space="preserve">Sector Shock</x:t>
        </x:is>
      </x:c>
      <x:c r="I316" s="160" t="inlineStr">
        <x:is>
          <x:t xml:space="preserve">Sector-specific</x:t>
        </x:is>
      </x:c>
      <x:c r="J316" s="160" t="inlineStr">
        <x:is>
          <x:t xml:space="preserve">Backlog stays strong but execution capacity, input inflation, working capital or project mix compresses conversion to owner earnings.</x:t>
        </x:is>
      </x:c>
      <x:c r="K316" s="160" t="inlineStr">
        <x:is>
          <x:t xml:space="preserve">Installed electrical/automation base plus software/service</x:t>
        </x:is>
      </x:c>
      <x:c r="L316" s="160" t="inlineStr">
        <x:is>
          <x:t xml:space="preserve">Owner earnings + reverse DCF</x:t>
        </x:is>
      </x:c>
      <x:c r="M316" s="160" t="inlineStr">
        <x:is>
          <x:t xml:space="preserve">WATCH</x:t>
        </x:is>
      </x:c>
      <x:c r="N316" s="160" t="inlineStr">
        <x:is>
          <x:t xml:space="preserve">R-SECTOR-POWER-GRID</x:t>
        </x:is>
      </x:c>
      <x:c r="O316" s="160" t="inlineStr">
        <x:is>
          <x:t xml:space="preserve">COUNTER-EVIDENCE</x:t>
        </x:is>
      </x:c>
      <x:c r="P316" s="160" t="inlineStr">
        <x:is>
          <x:t xml:space="preserve">ROBUST</x:t>
        </x:is>
      </x:c>
      <x:c r="Q316" s="160" t="inlineStr">
        <x:is>
          <x:t xml:space="preserve">The mature simulation rule catches the stress without weakening a fatal gate; no rule relaxation is justified.</x:t>
        </x:is>
      </x:c>
      <x:c r="R316"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S316" s="160" t="inlineStr">
        <x:is>
          <x:t xml:space="preserve">NO</x:t>
        </x:is>
      </x:c>
      <x:c r="T316" s="160" t="inlineStr">
        <x:is>
          <x:t xml:space="preserve">COUNTER-EVIDENCE</x:t>
        </x:is>
      </x:c>
      <x:c r="U316" s="160" t="inlineStr">
        <x:is>
          <x:t xml:space="preserve">V10.5-SIM38</x:t>
        </x:is>
      </x:c>
      <x:c r="V316" s="160" t="inlineStr">
        <x:is>
          <x:t xml:space="preserve">https://www.se.com/ww/en/about-us/investor-relations/</x:t>
        </x:is>
      </x:c>
      <x:c r="W316" s="160" t="inlineStr">
        <x:is>
          <x:t xml:space="preserve">NO</x:t>
        </x:is>
      </x:c>
      <x:c r="X316" s="160" t="inlineStr">
        <x:is>
          <x:t xml:space="preserve">NONE — DEVELOPMENT ONLY</x:t>
        </x:is>
      </x:c>
      <x:c r="Y316" s="160" t="inlineStr">
        <x:is>
          <x:t xml:space="preserve">Synthetic/adversarial model-development loop. No historical outcome is claimed; no accuracy point is awarded.</x:t>
        </x:is>
      </x:c>
    </x:row>
    <x:row r="317">
      <x:c r="A317" s="160" t="inlineStr">
        <x:is>
          <x:t xml:space="preserve">ML0312</x:t>
        </x:is>
      </x:c>
      <x:c r="B317" s="160" t="inlineStr">
        <x:is>
          <x:t xml:space="preserve">ARG-020</x:t>
        </x:is>
      </x:c>
      <x:c r="C317" s="160" t="inlineStr">
        <x:is>
          <x:t xml:space="preserve">Schneider Electric</x:t>
        </x:is>
      </x:c>
      <x:c r="D317" s="160" t="inlineStr">
        <x:is>
          <x:t xml:space="preserve">SU.PA</x:t>
        </x:is>
      </x:c>
      <x:c r="E317" s="160" t="inlineStr">
        <x:is>
          <x:t xml:space="preserve">Power &amp; Grid</x:t>
        </x:is>
      </x:c>
      <x:c r="F317" s="160" t="inlineStr">
        <x:is>
          <x:t xml:space="preserve">Development</x:t>
        </x:is>
      </x:c>
      <x:c r="G317" s="160" t="inlineStr">
        <x:is>
          <x:t xml:space="preserve">S08</x:t>
        </x:is>
      </x:c>
      <x:c r="H317" s="160" t="inlineStr">
        <x:is>
          <x:t xml:space="preserve">Management Promise Reliability</x:t>
        </x:is>
      </x:c>
      <x:c r="I317" s="160" t="inlineStr">
        <x:is>
          <x:t xml:space="preserve">Management over-trust</x:t>
        </x:is>
      </x:c>
      <x:c r="J317" s="160" t="inlineStr">
        <x:is>
          <x:t xml:space="preserve">Guidance or strategic promises are repeated but the model lacks a contemporaneous reliability score.</x:t>
        </x:is>
      </x:c>
      <x:c r="K317" s="160" t="inlineStr">
        <x:is>
          <x:t xml:space="preserve">Installed electrical/automation base plus software/service</x:t>
        </x:is>
      </x:c>
      <x:c r="L317" s="160" t="inlineStr">
        <x:is>
          <x:t xml:space="preserve">Owner earnings + reverse DCF</x:t>
        </x:is>
      </x:c>
      <x:c r="M317" s="160" t="inlineStr">
        <x:is>
          <x:t xml:space="preserve">WATCH</x:t>
        </x:is>
      </x:c>
      <x:c r="N317" s="160" t="inlineStr">
        <x:is>
          <x:t xml:space="preserve">R-PROM-01</x:t>
        </x:is>
      </x:c>
      <x:c r="O317" s="160" t="inlineStr">
        <x:is>
          <x:t xml:space="preserve">HARDENED</x:t>
        </x:is>
      </x:c>
      <x:c r="P317" s="160" t="inlineStr">
        <x:is>
          <x:t xml:space="preserve">ROBUST WITH RESIDUAL</x:t>
        </x:is>
      </x:c>
      <x:c r="Q317" s="160" t="inlineStr">
        <x:is>
          <x:t xml:space="preserve">The hardened rule catches the stress. Residual risk is mainly evidence quality, threshold calibration or interaction with another gate.</x:t>
        </x:is>
      </x:c>
      <x:c r="R317" s="160" t="inlineStr">
        <x:is>
          <x:t xml:space="preserve">Use a promises ledger with dated promise, measurable deliverable, due date, outcome and credibility weight.</x:t>
        </x:is>
      </x:c>
      <x:c r="S317" s="160" t="inlineStr">
        <x:is>
          <x:t xml:space="preserve">NO</x:t>
        </x:is>
      </x:c>
      <x:c r="T317" s="160" t="inlineStr">
        <x:is>
          <x:t xml:space="preserve">HARDENED</x:t>
        </x:is>
      </x:c>
      <x:c r="U317" s="160" t="inlineStr">
        <x:is>
          <x:t xml:space="preserve">V10.5-SIM38</x:t>
        </x:is>
      </x:c>
      <x:c r="V317" s="160" t="inlineStr">
        <x:is>
          <x:t xml:space="preserve">https://www.se.com/ww/en/about-us/investor-relations/</x:t>
        </x:is>
      </x:c>
      <x:c r="W317" s="160" t="inlineStr">
        <x:is>
          <x:t xml:space="preserve">NO</x:t>
        </x:is>
      </x:c>
      <x:c r="X317" s="160" t="inlineStr">
        <x:is>
          <x:t xml:space="preserve">NONE — DEVELOPMENT ONLY</x:t>
        </x:is>
      </x:c>
      <x:c r="Y317" s="160" t="inlineStr">
        <x:is>
          <x:t xml:space="preserve">Synthetic/adversarial model-development loop. No historical outcome is claimed; no accuracy point is awarded.</x:t>
        </x:is>
      </x:c>
    </x:row>
    <x:row r="318">
      <x:c r="A318" s="160" t="inlineStr">
        <x:is>
          <x:t xml:space="preserve">ML0313</x:t>
        </x:is>
      </x:c>
      <x:c r="B318" s="160" t="inlineStr">
        <x:is>
          <x:t xml:space="preserve">ARG-020</x:t>
        </x:is>
      </x:c>
      <x:c r="C318" s="160" t="inlineStr">
        <x:is>
          <x:t xml:space="preserve">Schneider Electric</x:t>
        </x:is>
      </x:c>
      <x:c r="D318" s="160" t="inlineStr">
        <x:is>
          <x:t xml:space="preserve">SU.PA</x:t>
        </x:is>
      </x:c>
      <x:c r="E318" s="160" t="inlineStr">
        <x:is>
          <x:t xml:space="preserve">Power &amp; Grid</x:t>
        </x:is>
      </x:c>
      <x:c r="F318" s="160" t="inlineStr">
        <x:is>
          <x:t xml:space="preserve">Development</x:t>
        </x:is>
      </x:c>
      <x:c r="G318" s="160" t="inlineStr">
        <x:is>
          <x:t xml:space="preserve">S09</x:t>
        </x:is>
      </x:c>
      <x:c r="H318" s="160" t="inlineStr">
        <x:is>
          <x:t xml:space="preserve">Data / Accounting Quality</x:t>
        </x:is>
      </x:c>
      <x:c r="I318" s="160" t="inlineStr">
        <x:is>
          <x:t xml:space="preserve">Data quality</x:t>
        </x:is>
      </x:c>
      <x:c r="J318" s="160" t="inlineStr">
        <x:is>
          <x:t xml:space="preserve">Restatement, segment reclassification, one-time item or non-economic fair-value movement distorts the apparent trend.</x:t>
        </x:is>
      </x:c>
      <x:c r="K318" s="160" t="inlineStr">
        <x:is>
          <x:t xml:space="preserve">Installed electrical/automation base plus software/service</x:t>
        </x:is>
      </x:c>
      <x:c r="L318" s="160" t="inlineStr">
        <x:is>
          <x:t xml:space="preserve">Owner earnings + reverse DCF</x:t>
        </x:is>
      </x:c>
      <x:c r="M318" s="160" t="inlineStr">
        <x:is>
          <x:t xml:space="preserve">WATCH</x:t>
        </x:is>
      </x:c>
      <x:c r="N318" s="160" t="inlineStr">
        <x:is>
          <x:t xml:space="preserve">R-DATA-01</x:t>
        </x:is>
      </x:c>
      <x:c r="O318" s="160" t="inlineStr">
        <x:is>
          <x:t xml:space="preserve">HARDENED</x:t>
        </x:is>
      </x:c>
      <x:c r="P318" s="160" t="inlineStr">
        <x:is>
          <x:t xml:space="preserve">ROBUST WITH RESIDUAL</x:t>
        </x:is>
      </x:c>
      <x:c r="Q318" s="160" t="inlineStr">
        <x:is>
          <x:t xml:space="preserve">The hardened rule catches the stress. Residual risk is mainly evidence quality, threshold calibration or interaction with another gate.</x:t>
        </x:is>
      </x:c>
      <x:c r="R318" s="160" t="inlineStr">
        <x:is>
          <x:t xml:space="preserve">Add a reporting-quality bridge and normalize accounting noise before any gate can pass.</x:t>
        </x:is>
      </x:c>
      <x:c r="S318" s="160" t="inlineStr">
        <x:is>
          <x:t xml:space="preserve">NO</x:t>
        </x:is>
      </x:c>
      <x:c r="T318" s="160" t="inlineStr">
        <x:is>
          <x:t xml:space="preserve">HARDENED</x:t>
        </x:is>
      </x:c>
      <x:c r="U318" s="160" t="inlineStr">
        <x:is>
          <x:t xml:space="preserve">V10.5-SIM38</x:t>
        </x:is>
      </x:c>
      <x:c r="V318" s="160" t="inlineStr">
        <x:is>
          <x:t xml:space="preserve">https://www.se.com/ww/en/about-us/investor-relations/</x:t>
        </x:is>
      </x:c>
      <x:c r="W318" s="160" t="inlineStr">
        <x:is>
          <x:t xml:space="preserve">NO</x:t>
        </x:is>
      </x:c>
      <x:c r="X318" s="160" t="inlineStr">
        <x:is>
          <x:t xml:space="preserve">NONE — DEVELOPMENT ONLY</x:t>
        </x:is>
      </x:c>
      <x:c r="Y318" s="160" t="inlineStr">
        <x:is>
          <x:t xml:space="preserve">Synthetic/adversarial model-development loop. No historical outcome is claimed; no accuracy point is awarded.</x:t>
        </x:is>
      </x:c>
    </x:row>
    <x:row r="319">
      <x:c r="A319" s="160" t="inlineStr">
        <x:is>
          <x:t xml:space="preserve">ML0314</x:t>
        </x:is>
      </x:c>
      <x:c r="B319" s="160" t="inlineStr">
        <x:is>
          <x:t xml:space="preserve">ARG-020</x:t>
        </x:is>
      </x:c>
      <x:c r="C319" s="160" t="inlineStr">
        <x:is>
          <x:t xml:space="preserve">Schneider Electric</x:t>
        </x:is>
      </x:c>
      <x:c r="D319" s="160" t="inlineStr">
        <x:is>
          <x:t xml:space="preserve">SU.PA</x:t>
        </x:is>
      </x:c>
      <x:c r="E319" s="160" t="inlineStr">
        <x:is>
          <x:t xml:space="preserve">Power &amp; Grid</x:t>
        </x:is>
      </x:c>
      <x:c r="F319" s="160" t="inlineStr">
        <x:is>
          <x:t xml:space="preserve">Development</x:t>
        </x:is>
      </x:c>
      <x:c r="G319" s="160" t="inlineStr">
        <x:is>
          <x:t xml:space="preserve">S10</x:t>
        </x:is>
      </x:c>
      <x:c r="H319" s="160" t="inlineStr">
        <x:is>
          <x:t xml:space="preserve">Control / Counterfactual</x:t>
        </x:is>
      </x:c>
      <x:c r="I319" s="160" t="inlineStr">
        <x:is>
          <x:t xml:space="preserve">Sector beta vs company alpha</x:t>
        </x:is>
      </x:c>
      <x:c r="J319" s="160" t="inlineStr">
        <x:is>
          <x:t xml:space="preserve">A positive outcome is mostly sector beta or macro tailwind, not company-specific alpha.</x:t>
        </x:is>
      </x:c>
      <x:c r="K319" s="160" t="inlineStr">
        <x:is>
          <x:t xml:space="preserve">Installed electrical/automation base plus software/service</x:t>
        </x:is>
      </x:c>
      <x:c r="L319" s="160" t="inlineStr">
        <x:is>
          <x:t xml:space="preserve">Owner earnings + reverse DCF</x:t>
        </x:is>
      </x:c>
      <x:c r="M319" s="160" t="inlineStr">
        <x:is>
          <x:t xml:space="preserve">WATCH</x:t>
        </x:is>
      </x:c>
      <x:c r="N319" s="160" t="inlineStr">
        <x:is>
          <x:t xml:space="preserve">R-CF-01</x:t>
        </x:is>
      </x:c>
      <x:c r="O319" s="160" t="inlineStr">
        <x:is>
          <x:t xml:space="preserve">HARDENED</x:t>
        </x:is>
      </x:c>
      <x:c r="P319" s="160" t="inlineStr">
        <x:is>
          <x:t xml:space="preserve">ROBUST WITH RESIDUAL</x:t>
        </x:is>
      </x:c>
      <x:c r="Q319" s="160" t="inlineStr">
        <x:is>
          <x:t xml:space="preserve">The hardened rule catches the stress. Residual risk is mainly evidence quality, threshold calibration or interaction with another gate.</x:t>
        </x:is>
      </x:c>
      <x:c r="R319" s="160" t="inlineStr">
        <x:is>
          <x:t xml:space="preserve">Require a true economic control and counterfactual: what should have happened to a comparable company under the same shock?</x:t>
        </x:is>
      </x:c>
      <x:c r="S319" s="160" t="inlineStr">
        <x:is>
          <x:t xml:space="preserve">NO</x:t>
        </x:is>
      </x:c>
      <x:c r="T319" s="160" t="inlineStr">
        <x:is>
          <x:t xml:space="preserve">HARDENED</x:t>
        </x:is>
      </x:c>
      <x:c r="U319" s="160" t="inlineStr">
        <x:is>
          <x:t xml:space="preserve">V10.5-SIM38</x:t>
        </x:is>
      </x:c>
      <x:c r="V319" s="160" t="inlineStr">
        <x:is>
          <x:t xml:space="preserve">https://www.se.com/ww/en/about-us/investor-relations/</x:t>
        </x:is>
      </x:c>
      <x:c r="W319" s="160" t="inlineStr">
        <x:is>
          <x:t xml:space="preserve">NO</x:t>
        </x:is>
      </x:c>
      <x:c r="X319" s="160" t="inlineStr">
        <x:is>
          <x:t xml:space="preserve">NONE — DEVELOPMENT ONLY</x:t>
        </x:is>
      </x:c>
      <x:c r="Y319" s="160" t="inlineStr">
        <x:is>
          <x:t xml:space="preserve">Synthetic/adversarial model-development loop. No historical outcome is claimed; no accuracy point is awarded.</x:t>
        </x:is>
      </x:c>
    </x:row>
    <x:row r="320">
      <x:c r="A320" s="160" t="inlineStr">
        <x:is>
          <x:t xml:space="preserve">ML0315</x:t>
        </x:is>
      </x:c>
      <x:c r="B320" s="160" t="inlineStr">
        <x:is>
          <x:t xml:space="preserve">ARG-020</x:t>
        </x:is>
      </x:c>
      <x:c r="C320" s="160" t="inlineStr">
        <x:is>
          <x:t xml:space="preserve">Schneider Electric</x:t>
        </x:is>
      </x:c>
      <x:c r="D320" s="160" t="inlineStr">
        <x:is>
          <x:t xml:space="preserve">SU.PA</x:t>
        </x:is>
      </x:c>
      <x:c r="E320" s="160" t="inlineStr">
        <x:is>
          <x:t xml:space="preserve">Power &amp; Grid</x:t>
        </x:is>
      </x:c>
      <x:c r="F320" s="160" t="inlineStr">
        <x:is>
          <x:t xml:space="preserve">Development</x:t>
        </x:is>
      </x:c>
      <x:c r="G320" s="160" t="inlineStr">
        <x:is>
          <x:t xml:space="preserve">S11</x:t>
        </x:is>
      </x:c>
      <x:c r="H320" s="160" t="inlineStr">
        <x:is>
          <x:t xml:space="preserve">False-Negative Discipline</x:t>
        </x:is>
      </x:c>
      <x:c r="I320" s="160" t="inlineStr">
        <x:is>
          <x:t xml:space="preserve">False negative</x:t>
        </x:is>
      </x:c>
      <x:c r="J320" s="160" t="inlineStr">
        <x:is>
          <x:t xml:space="preserve">A strict gate rejects a company that later compounds strongly for reasons the model could have known.</x:t>
        </x:is>
      </x:c>
      <x:c r="K320" s="160" t="inlineStr">
        <x:is>
          <x:t xml:space="preserve">Installed electrical/automation base plus software/service</x:t>
        </x:is>
      </x:c>
      <x:c r="L320" s="160" t="inlineStr">
        <x:is>
          <x:t xml:space="preserve">Owner earnings + reverse DCF</x:t>
        </x:is>
      </x:c>
      <x:c r="M320" s="160" t="inlineStr">
        <x:is>
          <x:t xml:space="preserve">WATCH</x:t>
        </x:is>
      </x:c>
      <x:c r="N320" s="160" t="inlineStr">
        <x:is>
          <x:t xml:space="preserve">R-FN-01</x:t>
        </x:is>
      </x:c>
      <x:c r="O320" s="160" t="inlineStr">
        <x:is>
          <x:t xml:space="preserve">HARDENED</x:t>
        </x:is>
      </x:c>
      <x:c r="P320" s="160" t="inlineStr">
        <x:is>
          <x:t xml:space="preserve">ROBUST WITH RESIDUAL</x:t>
        </x:is>
      </x:c>
      <x:c r="Q320" s="160" t="inlineStr">
        <x:is>
          <x:t xml:space="preserve">The hardened rule catches the stress. Residual risk is mainly evidence quality, threshold calibration or interaction with another gate.</x:t>
        </x:is>
      </x:c>
      <x:c r="R320" s="160" t="inlineStr">
        <x:is>
          <x:t xml:space="preserve">Track opportunity cost and classify whether the miss came from evidence timing, wrong threshold or genuinely unknowable upside.</x:t>
        </x:is>
      </x:c>
      <x:c r="S320" s="160" t="inlineStr">
        <x:is>
          <x:t xml:space="preserve">NO</x:t>
        </x:is>
      </x:c>
      <x:c r="T320" s="160" t="inlineStr">
        <x:is>
          <x:t xml:space="preserve">HARDENED</x:t>
        </x:is>
      </x:c>
      <x:c r="U320" s="160" t="inlineStr">
        <x:is>
          <x:t xml:space="preserve">V10.5-SIM38</x:t>
        </x:is>
      </x:c>
      <x:c r="V320" s="160" t="inlineStr">
        <x:is>
          <x:t xml:space="preserve">https://www.se.com/ww/en/about-us/investor-relations/</x:t>
        </x:is>
      </x:c>
      <x:c r="W320" s="160" t="inlineStr">
        <x:is>
          <x:t xml:space="preserve">NO</x:t>
        </x:is>
      </x:c>
      <x:c r="X320" s="160" t="inlineStr">
        <x:is>
          <x:t xml:space="preserve">NONE — DEVELOPMENT ONLY</x:t>
        </x:is>
      </x:c>
      <x:c r="Y320" s="160" t="inlineStr">
        <x:is>
          <x:t xml:space="preserve">Synthetic/adversarial model-development loop. No historical outcome is claimed; no accuracy point is awarded.</x:t>
        </x:is>
      </x:c>
    </x:row>
    <x:row r="321">
      <x:c r="A321" s="160" t="inlineStr">
        <x:is>
          <x:t xml:space="preserve">ML0316</x:t>
        </x:is>
      </x:c>
      <x:c r="B321" s="160" t="inlineStr">
        <x:is>
          <x:t xml:space="preserve">ARG-020</x:t>
        </x:is>
      </x:c>
      <x:c r="C321" s="160" t="inlineStr">
        <x:is>
          <x:t xml:space="preserve">Schneider Electric</x:t>
        </x:is>
      </x:c>
      <x:c r="D321" s="160" t="inlineStr">
        <x:is>
          <x:t xml:space="preserve">SU.PA</x:t>
        </x:is>
      </x:c>
      <x:c r="E321" s="160" t="inlineStr">
        <x:is>
          <x:t xml:space="preserve">Power &amp; Grid</x:t>
        </x:is>
      </x:c>
      <x:c r="F321" s="160" t="inlineStr">
        <x:is>
          <x:t xml:space="preserve">Development</x:t>
        </x:is>
      </x:c>
      <x:c r="G321" s="160" t="inlineStr">
        <x:is>
          <x:t xml:space="preserve">S12</x:t>
        </x:is>
      </x:c>
      <x:c r="H321" s="160" t="inlineStr">
        <x:is>
          <x:t xml:space="preserve">Lead-Time / Early Sensor</x:t>
        </x:is>
      </x:c>
      <x:c r="I321" s="160" t="inlineStr">
        <x:is>
          <x:t xml:space="preserve">Timing / lead-time</x:t>
        </x:is>
      </x:c>
      <x:c r="J321" s="160" t="inlineStr">
        <x:is>
          <x:t xml:space="preserve">ARGUS identifies the change correctly but only after consensus and price have already reacted.</x:t>
        </x:is>
      </x:c>
      <x:c r="K321" s="160" t="inlineStr">
        <x:is>
          <x:t xml:space="preserve">Installed electrical/automation base plus software/service</x:t>
        </x:is>
      </x:c>
      <x:c r="L321" s="160" t="inlineStr">
        <x:is>
          <x:t xml:space="preserve">Owner earnings + reverse DCF</x:t>
        </x:is>
      </x:c>
      <x:c r="M321" s="160" t="inlineStr">
        <x:is>
          <x:t xml:space="preserve">WATCH</x:t>
        </x:is>
      </x:c>
      <x:c r="N321" s="160" t="inlineStr">
        <x:is>
          <x:t xml:space="preserve">R-TIME-01</x:t>
        </x:is>
      </x:c>
      <x:c r="O321" s="160" t="inlineStr">
        <x:is>
          <x:t xml:space="preserve">HARDENED</x:t>
        </x:is>
      </x:c>
      <x:c r="P321" s="160" t="inlineStr">
        <x:is>
          <x:t xml:space="preserve">ROBUST WITH RESIDUAL</x:t>
        </x:is>
      </x:c>
      <x:c r="Q321" s="160" t="inlineStr">
        <x:is>
          <x:t xml:space="preserve">The hardened rule catches the stress. Residual risk is mainly evidence quality, threshold calibration or interaction with another gate.</x:t>
        </x:is>
      </x:c>
      <x:c r="R321" s="160" t="inlineStr">
        <x:is>
          <x:t xml:space="preserve">Replace lagging financial metrics with earlier causal operating sensors and record lead time separately from correctness.</x:t>
        </x:is>
      </x:c>
      <x:c r="S321" s="160" t="inlineStr">
        <x:is>
          <x:t xml:space="preserve">NO</x:t>
        </x:is>
      </x:c>
      <x:c r="T321" s="160" t="inlineStr">
        <x:is>
          <x:t xml:space="preserve">HARDENED</x:t>
        </x:is>
      </x:c>
      <x:c r="U321" s="160" t="inlineStr">
        <x:is>
          <x:t xml:space="preserve">V10.5-SIM38</x:t>
        </x:is>
      </x:c>
      <x:c r="V321" s="160" t="inlineStr">
        <x:is>
          <x:t xml:space="preserve">https://www.se.com/ww/en/about-us/investor-relations/</x:t>
        </x:is>
      </x:c>
      <x:c r="W321" s="160" t="inlineStr">
        <x:is>
          <x:t xml:space="preserve">NO</x:t>
        </x:is>
      </x:c>
      <x:c r="X321" s="160" t="inlineStr">
        <x:is>
          <x:t xml:space="preserve">NONE — DEVELOPMENT ONLY</x:t>
        </x:is>
      </x:c>
      <x:c r="Y321" s="160" t="inlineStr">
        <x:is>
          <x:t xml:space="preserve">Synthetic/adversarial model-development loop. No historical outcome is claimed; no accuracy point is awarded.</x:t>
        </x:is>
      </x:c>
    </x:row>
    <x:row r="322">
      <x:c r="A322" s="160" t="inlineStr">
        <x:is>
          <x:t xml:space="preserve">ML0317</x:t>
        </x:is>
      </x:c>
      <x:c r="B322" s="160" t="inlineStr">
        <x:is>
          <x:t xml:space="preserve">ARG-020</x:t>
        </x:is>
      </x:c>
      <x:c r="C322" s="160" t="inlineStr">
        <x:is>
          <x:t xml:space="preserve">Schneider Electric</x:t>
        </x:is>
      </x:c>
      <x:c r="D322" s="160" t="inlineStr">
        <x:is>
          <x:t xml:space="preserve">SU.PA</x:t>
        </x:is>
      </x:c>
      <x:c r="E322" s="160" t="inlineStr">
        <x:is>
          <x:t xml:space="preserve">Power &amp; Grid</x:t>
        </x:is>
      </x:c>
      <x:c r="F322" s="160" t="inlineStr">
        <x:is>
          <x:t xml:space="preserve">Development</x:t>
        </x:is>
      </x:c>
      <x:c r="G322" s="160" t="inlineStr">
        <x:is>
          <x:t xml:space="preserve">S13</x:t>
        </x:is>
      </x:c>
      <x:c r="H322" s="160" t="inlineStr">
        <x:is>
          <x:t xml:space="preserve">Cycle Normalization</x:t>
        </x:is>
      </x:c>
      <x:c r="I322" s="160" t="inlineStr">
        <x:is>
          <x:t xml:space="preserve">Wrong valuation lens</x:t>
        </x:is>
      </x:c>
      <x:c r="J322" s="160" t="inlineStr">
        <x:is>
          <x:t xml:space="preserve">Peak/trough earnings are mistaken for normalized earning power.</x:t>
        </x:is>
      </x:c>
      <x:c r="K322" s="160" t="inlineStr">
        <x:is>
          <x:t xml:space="preserve">Installed electrical/automation base plus software/service</x:t>
        </x:is>
      </x:c>
      <x:c r="L322" s="160" t="inlineStr">
        <x:is>
          <x:t xml:space="preserve">Owner earnings + reverse DCF</x:t>
        </x:is>
      </x:c>
      <x:c r="M322" s="160" t="inlineStr">
        <x:is>
          <x:t xml:space="preserve">WATCH</x:t>
        </x:is>
      </x:c>
      <x:c r="N322" s="160" t="inlineStr">
        <x:is>
          <x:t xml:space="preserve">R-CYCLE-01</x:t>
        </x:is>
      </x:c>
      <x:c r="O322" s="160" t="inlineStr">
        <x:is>
          <x:t xml:space="preserve">HARDENED</x:t>
        </x:is>
      </x:c>
      <x:c r="P322" s="160" t="inlineStr">
        <x:is>
          <x:t xml:space="preserve">ROBUST WITH RESIDUAL</x:t>
        </x:is>
      </x:c>
      <x:c r="Q322" s="160" t="inlineStr">
        <x:is>
          <x:t xml:space="preserve">The hardened rule catches the stress. Residual risk is mainly evidence quality, threshold calibration or interaction with another gate.</x:t>
        </x:is>
      </x:c>
      <x:c r="R322" s="160" t="inlineStr">
        <x:is>
          <x:t xml:space="preserve">Use sector-specific mid-cycle/NAV/rate-base/rNPV normalization before applying a valuation multiple.</x:t>
        </x:is>
      </x:c>
      <x:c r="S322" s="160" t="inlineStr">
        <x:is>
          <x:t xml:space="preserve">NO</x:t>
        </x:is>
      </x:c>
      <x:c r="T322" s="160" t="inlineStr">
        <x:is>
          <x:t xml:space="preserve">HARDENED</x:t>
        </x:is>
      </x:c>
      <x:c r="U322" s="160" t="inlineStr">
        <x:is>
          <x:t xml:space="preserve">V10.5-SIM38</x:t>
        </x:is>
      </x:c>
      <x:c r="V322" s="160" t="inlineStr">
        <x:is>
          <x:t xml:space="preserve">https://www.se.com/ww/en/about-us/investor-relations/</x:t>
        </x:is>
      </x:c>
      <x:c r="W322" s="160" t="inlineStr">
        <x:is>
          <x:t xml:space="preserve">NO</x:t>
        </x:is>
      </x:c>
      <x:c r="X322" s="160" t="inlineStr">
        <x:is>
          <x:t xml:space="preserve">NONE — DEVELOPMENT ONLY</x:t>
        </x:is>
      </x:c>
      <x:c r="Y322" s="160" t="inlineStr">
        <x:is>
          <x:t xml:space="preserve">Synthetic/adversarial model-development loop. No historical outcome is claimed; no accuracy point is awarded.</x:t>
        </x:is>
      </x:c>
    </x:row>
    <x:row r="323">
      <x:c r="A323" s="160" t="inlineStr">
        <x:is>
          <x:t xml:space="preserve">ML0318</x:t>
        </x:is>
      </x:c>
      <x:c r="B323" s="160" t="inlineStr">
        <x:is>
          <x:t xml:space="preserve">ARG-020</x:t>
        </x:is>
      </x:c>
      <x:c r="C323" s="160" t="inlineStr">
        <x:is>
          <x:t xml:space="preserve">Schneider Electric</x:t>
        </x:is>
      </x:c>
      <x:c r="D323" s="160" t="inlineStr">
        <x:is>
          <x:t xml:space="preserve">SU.PA</x:t>
        </x:is>
      </x:c>
      <x:c r="E323" s="160" t="inlineStr">
        <x:is>
          <x:t xml:space="preserve">Power &amp; Grid</x:t>
        </x:is>
      </x:c>
      <x:c r="F323" s="160" t="inlineStr">
        <x:is>
          <x:t xml:space="preserve">Development</x:t>
        </x:is>
      </x:c>
      <x:c r="G323" s="160" t="inlineStr">
        <x:is>
          <x:t xml:space="preserve">S14</x:t>
        </x:is>
      </x:c>
      <x:c r="H323" s="160" t="inlineStr">
        <x:is>
          <x:t xml:space="preserve">M&amp;A / Organic Growth Separation</x:t>
        </x:is>
      </x:c>
      <x:c r="I323" s="160" t="inlineStr">
        <x:is>
          <x:t xml:space="preserve">Stewardship</x:t>
        </x:is>
      </x:c>
      <x:c r="J323" s="160" t="inlineStr">
        <x:is>
          <x:t xml:space="preserve">Acquisition-driven growth masks weak organic economics or poor incremental ROIC.</x:t>
        </x:is>
      </x:c>
      <x:c r="K323" s="160" t="inlineStr">
        <x:is>
          <x:t xml:space="preserve">Installed electrical/automation base plus software/service</x:t>
        </x:is>
      </x:c>
      <x:c r="L323" s="160" t="inlineStr">
        <x:is>
          <x:t xml:space="preserve">Owner earnings + reverse DCF</x:t>
        </x:is>
      </x:c>
      <x:c r="M323" s="160" t="inlineStr">
        <x:is>
          <x:t xml:space="preserve">WATCH</x:t>
        </x:is>
      </x:c>
      <x:c r="N323" s="160" t="inlineStr">
        <x:is>
          <x:t xml:space="preserve">R-MA-01</x:t>
        </x:is>
      </x:c>
      <x:c r="O323" s="160" t="inlineStr">
        <x:is>
          <x:t xml:space="preserve">HARDENED</x:t>
        </x:is>
      </x:c>
      <x:c r="P323" s="160" t="inlineStr">
        <x:is>
          <x:t xml:space="preserve">ROBUST WITH RESIDUAL</x:t>
        </x:is>
      </x:c>
      <x:c r="Q323" s="160" t="inlineStr">
        <x:is>
          <x:t xml:space="preserve">The hardened rule catches the stress. Residual risk is mainly evidence quality, threshold calibration or interaction with another gate.</x:t>
        </x:is>
      </x:c>
      <x:c r="R323" s="160" t="inlineStr">
        <x:is>
          <x:t xml:space="preserve">Bridge organic growth, acquired growth, purchase price, integration costs and acquisition-cohort ROIC.</x:t>
        </x:is>
      </x:c>
      <x:c r="S323" s="160" t="inlineStr">
        <x:is>
          <x:t xml:space="preserve">NO</x:t>
        </x:is>
      </x:c>
      <x:c r="T323" s="160" t="inlineStr">
        <x:is>
          <x:t xml:space="preserve">HARDENED</x:t>
        </x:is>
      </x:c>
      <x:c r="U323" s="160" t="inlineStr">
        <x:is>
          <x:t xml:space="preserve">V10.5-SIM38</x:t>
        </x:is>
      </x:c>
      <x:c r="V323" s="160" t="inlineStr">
        <x:is>
          <x:t xml:space="preserve">https://www.se.com/ww/en/about-us/investor-relations/</x:t>
        </x:is>
      </x:c>
      <x:c r="W323" s="160" t="inlineStr">
        <x:is>
          <x:t xml:space="preserve">NO</x:t>
        </x:is>
      </x:c>
      <x:c r="X323" s="160" t="inlineStr">
        <x:is>
          <x:t xml:space="preserve">NONE — DEVELOPMENT ONLY</x:t>
        </x:is>
      </x:c>
      <x:c r="Y323" s="160" t="inlineStr">
        <x:is>
          <x:t xml:space="preserve">Synthetic/adversarial model-development loop. No historical outcome is claimed; no accuracy point is awarded.</x:t>
        </x:is>
      </x:c>
    </x:row>
    <x:row r="324">
      <x:c r="A324" s="160" t="inlineStr">
        <x:is>
          <x:t xml:space="preserve">ML0319</x:t>
        </x:is>
      </x:c>
      <x:c r="B324" s="160" t="inlineStr">
        <x:is>
          <x:t xml:space="preserve">ARG-020</x:t>
        </x:is>
      </x:c>
      <x:c r="C324" s="160" t="inlineStr">
        <x:is>
          <x:t xml:space="preserve">Schneider Electric</x:t>
        </x:is>
      </x:c>
      <x:c r="D324" s="160" t="inlineStr">
        <x:is>
          <x:t xml:space="preserve">SU.PA</x:t>
        </x:is>
      </x:c>
      <x:c r="E324" s="160" t="inlineStr">
        <x:is>
          <x:t xml:space="preserve">Power &amp; Grid</x:t>
        </x:is>
      </x:c>
      <x:c r="F324" s="160" t="inlineStr">
        <x:is>
          <x:t xml:space="preserve">Development</x:t>
        </x:is>
      </x:c>
      <x:c r="G324" s="160" t="inlineStr">
        <x:is>
          <x:t xml:space="preserve">S15</x:t>
        </x:is>
      </x:c>
      <x:c r="H324" s="160" t="inlineStr">
        <x:is>
          <x:t xml:space="preserve">Financing / Dilution Per Share</x:t>
        </x:is>
      </x:c>
      <x:c r="I324" s="160" t="inlineStr">
        <x:is>
          <x:t xml:space="preserve">Stewardship</x:t>
        </x:is>
      </x:c>
      <x:c r="J324" s="160" t="inlineStr">
        <x:is>
          <x:t xml:space="preserve">Cash balance or revenue growth improves while financing causes material per-share value leakage.</x:t>
        </x:is>
      </x:c>
      <x:c r="K324" s="160" t="inlineStr">
        <x:is>
          <x:t xml:space="preserve">Installed electrical/automation base plus software/service</x:t>
        </x:is>
      </x:c>
      <x:c r="L324" s="160" t="inlineStr">
        <x:is>
          <x:t xml:space="preserve">Owner earnings + reverse DCF</x:t>
        </x:is>
      </x:c>
      <x:c r="M324" s="160" t="inlineStr">
        <x:is>
          <x:t xml:space="preserve">WATCH</x:t>
        </x:is>
      </x:c>
      <x:c r="N324" s="160" t="inlineStr">
        <x:is>
          <x:t xml:space="preserve">R-DIL-01</x:t>
        </x:is>
      </x:c>
      <x:c r="O324" s="160" t="inlineStr">
        <x:is>
          <x:t xml:space="preserve">HARDENED</x:t>
        </x:is>
      </x:c>
      <x:c r="P324" s="160" t="inlineStr">
        <x:is>
          <x:t xml:space="preserve">ROBUST WITH RESIDUAL</x:t>
        </x:is>
      </x:c>
      <x:c r="Q324" s="160" t="inlineStr">
        <x:is>
          <x:t xml:space="preserve">The hardened rule catches the stress. Residual risk is mainly evidence quality, threshold calibration or interaction with another gate.</x:t>
        </x:is>
      </x:c>
      <x:c r="R324" s="160" t="inlineStr">
        <x:is>
          <x:t xml:space="preserve">Reconcile share-count growth, SBC, equity issuance, buybacks and net cash changes to per-share intrinsic value.</x:t>
        </x:is>
      </x:c>
      <x:c r="S324" s="160" t="inlineStr">
        <x:is>
          <x:t xml:space="preserve">NO</x:t>
        </x:is>
      </x:c>
      <x:c r="T324" s="160" t="inlineStr">
        <x:is>
          <x:t xml:space="preserve">HARDENED</x:t>
        </x:is>
      </x:c>
      <x:c r="U324" s="160" t="inlineStr">
        <x:is>
          <x:t xml:space="preserve">V10.5-SIM38</x:t>
        </x:is>
      </x:c>
      <x:c r="V324" s="160" t="inlineStr">
        <x:is>
          <x:t xml:space="preserve">https://www.se.com/ww/en/about-us/investor-relations/</x:t>
        </x:is>
      </x:c>
      <x:c r="W324" s="160" t="inlineStr">
        <x:is>
          <x:t xml:space="preserve">NO</x:t>
        </x:is>
      </x:c>
      <x:c r="X324" s="160" t="inlineStr">
        <x:is>
          <x:t xml:space="preserve">NONE — DEVELOPMENT ONLY</x:t>
        </x:is>
      </x:c>
      <x:c r="Y324" s="160" t="inlineStr">
        <x:is>
          <x:t xml:space="preserve">Synthetic/adversarial model-development loop. No historical outcome is claimed; no accuracy point is awarded.</x:t>
        </x:is>
      </x:c>
    </x:row>
    <x:row r="325">
      <x:c r="A325" s="160" t="inlineStr">
        <x:is>
          <x:t xml:space="preserve">ML0320</x:t>
        </x:is>
      </x:c>
      <x:c r="B325" s="160" t="inlineStr">
        <x:is>
          <x:t xml:space="preserve">ARG-020</x:t>
        </x:is>
      </x:c>
      <x:c r="C325" s="160" t="inlineStr">
        <x:is>
          <x:t xml:space="preserve">Schneider Electric</x:t>
        </x:is>
      </x:c>
      <x:c r="D325" s="160" t="inlineStr">
        <x:is>
          <x:t xml:space="preserve">SU.PA</x:t>
        </x:is>
      </x:c>
      <x:c r="E325" s="160" t="inlineStr">
        <x:is>
          <x:t xml:space="preserve">Power &amp; Grid</x:t>
        </x:is>
      </x:c>
      <x:c r="F325" s="160" t="inlineStr">
        <x:is>
          <x:t xml:space="preserve">Development</x:t>
        </x:is>
      </x:c>
      <x:c r="G325" s="160" t="inlineStr">
        <x:is>
          <x:t xml:space="preserve">S16</x:t>
        </x:is>
      </x:c>
      <x:c r="H325" s="160" t="inlineStr">
        <x:is>
          <x:t xml:space="preserve">Concentration / Tail Risk</x:t>
        </x:is>
      </x:c>
      <x:c r="I325" s="160" t="inlineStr">
        <x:is>
          <x:t xml:space="preserve">Survival</x:t>
        </x:is>
      </x:c>
      <x:c r="J325" s="160" t="inlineStr">
        <x:is>
          <x:t xml:space="preserve">A concentrated supplier, geography, customer, product, patent, regulatory or technology dependency creates asymmetric permanent-loss risk.</x:t>
        </x:is>
      </x:c>
      <x:c r="K325" s="160" t="inlineStr">
        <x:is>
          <x:t xml:space="preserve">Installed electrical/automation base plus software/service</x:t>
        </x:is>
      </x:c>
      <x:c r="L325" s="160" t="inlineStr">
        <x:is>
          <x:t xml:space="preserve">Owner earnings + reverse DCF</x:t>
        </x:is>
      </x:c>
      <x:c r="M325" s="160" t="inlineStr">
        <x:is>
          <x:t xml:space="preserve">WATCH</x:t>
        </x:is>
      </x:c>
      <x:c r="N325" s="160" t="inlineStr">
        <x:is>
          <x:t xml:space="preserve">R-TAIL-01</x:t>
        </x:is>
      </x:c>
      <x:c r="O325" s="160" t="inlineStr">
        <x:is>
          <x:t xml:space="preserve">HARDENED</x:t>
        </x:is>
      </x:c>
      <x:c r="P325" s="160" t="inlineStr">
        <x:is>
          <x:t xml:space="preserve">ROBUST WITH RESIDUAL</x:t>
        </x:is>
      </x:c>
      <x:c r="Q325" s="160" t="inlineStr">
        <x:is>
          <x:t xml:space="preserve">The hardened rule catches the stress. Residual risk is mainly evidence quality, threshold calibration or interaction with another gate.</x:t>
        </x:is>
      </x:c>
      <x:c r="R325" s="160" t="inlineStr">
        <x:is>
          <x:t xml:space="preserve">Maintain an explicit concentration/tail-risk register with probability, severity, mitigation and required margin-of-safety premium.</x:t>
        </x:is>
      </x:c>
      <x:c r="S325" s="160" t="inlineStr">
        <x:is>
          <x:t xml:space="preserve">NO</x:t>
        </x:is>
      </x:c>
      <x:c r="T325" s="160" t="inlineStr">
        <x:is>
          <x:t xml:space="preserve">HARDENED</x:t>
        </x:is>
      </x:c>
      <x:c r="U325" s="160" t="inlineStr">
        <x:is>
          <x:t xml:space="preserve">V10.5-SIM38</x:t>
        </x:is>
      </x:c>
      <x:c r="V325" s="160" t="inlineStr">
        <x:is>
          <x:t xml:space="preserve">https://www.se.com/ww/en/about-us/investor-relations/</x:t>
        </x:is>
      </x:c>
      <x:c r="W325" s="160" t="inlineStr">
        <x:is>
          <x:t xml:space="preserve">NO</x:t>
        </x:is>
      </x:c>
      <x:c r="X325" s="160" t="inlineStr">
        <x:is>
          <x:t xml:space="preserve">NONE — DEVELOPMENT ONLY</x:t>
        </x:is>
      </x:c>
      <x:c r="Y325" s="160" t="inlineStr">
        <x:is>
          <x:t xml:space="preserve">Synthetic/adversarial model-development loop. No historical outcome is claimed; no accuracy point is awarded.</x:t>
        </x:is>
      </x:c>
    </x:row>
    <x:row r="326">
      <x:c r="A326" s="160" t="inlineStr">
        <x:is>
          <x:t xml:space="preserve">ML0321</x:t>
        </x:is>
      </x:c>
      <x:c r="B326" s="160" t="inlineStr">
        <x:is>
          <x:t xml:space="preserve">ARG-021</x:t>
        </x:is>
      </x:c>
      <x:c r="C326" s="160" t="inlineStr">
        <x:is>
          <x:t xml:space="preserve">Trane Technologies</x:t>
        </x:is>
      </x:c>
      <x:c r="D326" s="160" t="inlineStr">
        <x:is>
          <x:t xml:space="preserve">TT</x:t>
        </x:is>
      </x:c>
      <x:c r="E326" s="160" t="inlineStr">
        <x:is>
          <x:t xml:space="preserve">Power &amp; Grid</x:t>
        </x:is>
      </x:c>
      <x:c r="F326" s="160" t="inlineStr">
        <x:is>
          <x:t xml:space="preserve">Development</x:t>
        </x:is>
      </x:c>
      <x:c r="G326" s="160" t="inlineStr">
        <x:is>
          <x:t xml:space="preserve">S01</x:t>
        </x:is>
      </x:c>
      <x:c r="H326" s="160" t="inlineStr">
        <x:is>
          <x:t xml:space="preserve">Understanding Gate</x:t>
        </x:is>
      </x:c>
      <x:c r="I326" s="160" t="inlineStr">
        <x:is>
          <x:t xml:space="preserve">Understanding</x:t>
        </x:is>
      </x:c>
      <x:c r="J326" s="160" t="inlineStr">
        <x:is>
          <x:t xml:space="preserve">Causal engine / customer ROI chain breaks under a misleading headline KPI.</x:t>
        </x:is>
      </x:c>
      <x:c r="K326" s="160" t="inlineStr">
        <x:is>
          <x:t xml:space="preserve">Equipment backlog plus aftermarket/service</x:t>
        </x:is>
      </x:c>
      <x:c r="L326" s="160" t="inlineStr">
        <x:is>
          <x:t xml:space="preserve">Owner earnings + reverse DCF</x:t>
        </x:is>
      </x:c>
      <x:c r="M326" s="160" t="inlineStr">
        <x:is>
          <x:t xml:space="preserve">WAIT FOR PRICE</x:t>
        </x:is>
      </x:c>
      <x:c r="N326" s="160" t="inlineStr">
        <x:is>
          <x:t xml:space="preserve">R-ENG-01</x:t>
        </x:is>
      </x:c>
      <x:c r="O326" s="160" t="inlineStr">
        <x:is>
          <x:t xml:space="preserve">HARDENED</x:t>
        </x:is>
      </x:c>
      <x:c r="P326" s="160" t="inlineStr">
        <x:is>
          <x:t xml:space="preserve">ROBUST WITH RESIDUAL</x:t>
        </x:is>
      </x:c>
      <x:c r="Q326" s="160" t="inlineStr">
        <x:is>
          <x:t xml:space="preserve">The hardened rule catches the stress. Residual risk is mainly evidence quality, threshold calibration or interaction with another gate.</x:t>
        </x:is>
      </x:c>
      <x:c r="R326" s="160" t="inlineStr">
        <x:is>
          <x:t xml:space="preserve">Force an explicit engine tree: customer job → unit economics → revenue driver → owner-value bridge.</x:t>
        </x:is>
      </x:c>
      <x:c r="S326" s="160" t="inlineStr">
        <x:is>
          <x:t xml:space="preserve">NO</x:t>
        </x:is>
      </x:c>
      <x:c r="T326" s="160" t="inlineStr">
        <x:is>
          <x:t xml:space="preserve">HARDENED</x:t>
        </x:is>
      </x:c>
      <x:c r="U326" s="160" t="inlineStr">
        <x:is>
          <x:t xml:space="preserve">V10.5-SIM38</x:t>
        </x:is>
      </x:c>
      <x:c r="V326" s="160" t="inlineStr">
        <x:is>
          <x:t xml:space="preserve">https://investors.tranetechnologies.com</x:t>
        </x:is>
      </x:c>
      <x:c r="W326" s="160" t="inlineStr">
        <x:is>
          <x:t xml:space="preserve">NO</x:t>
        </x:is>
      </x:c>
      <x:c r="X326" s="160" t="inlineStr">
        <x:is>
          <x:t xml:space="preserve">NONE — DEVELOPMENT ONLY</x:t>
        </x:is>
      </x:c>
      <x:c r="Y326" s="160" t="inlineStr">
        <x:is>
          <x:t xml:space="preserve">Synthetic/adversarial model-development loop. No historical outcome is claimed; no accuracy point is awarded.</x:t>
        </x:is>
      </x:c>
    </x:row>
    <x:row r="327">
      <x:c r="A327" s="160" t="inlineStr">
        <x:is>
          <x:t xml:space="preserve">ML0322</x:t>
        </x:is>
      </x:c>
      <x:c r="B327" s="160" t="inlineStr">
        <x:is>
          <x:t xml:space="preserve">ARG-021</x:t>
        </x:is>
      </x:c>
      <x:c r="C327" s="160" t="inlineStr">
        <x:is>
          <x:t xml:space="preserve">Trane Technologies</x:t>
        </x:is>
      </x:c>
      <x:c r="D327" s="160" t="inlineStr">
        <x:is>
          <x:t xml:space="preserve">TT</x:t>
        </x:is>
      </x:c>
      <x:c r="E327" s="160" t="inlineStr">
        <x:is>
          <x:t xml:space="preserve">Power &amp; Grid</x:t>
        </x:is>
      </x:c>
      <x:c r="F327" s="160" t="inlineStr">
        <x:is>
          <x:t xml:space="preserve">Development</x:t>
        </x:is>
      </x:c>
      <x:c r="G327" s="160" t="inlineStr">
        <x:is>
          <x:t xml:space="preserve">S02</x:t>
        </x:is>
      </x:c>
      <x:c r="H327" s="160" t="inlineStr">
        <x:is>
          <x:t xml:space="preserve">Owner Earnings Normalization</x:t>
        </x:is>
      </x:c>
      <x:c r="I327" s="160" t="inlineStr">
        <x:is>
          <x:t xml:space="preserve">Owner Earnings</x:t>
        </x:is>
      </x:c>
      <x:c r="J327" s="160" t="inlineStr">
        <x:is>
          <x:t xml:space="preserve">Reported earnings/FCF overstates economic cash because recurring reinvestment or non-cash compensation is misclassified.</x:t>
        </x:is>
      </x:c>
      <x:c r="K327" s="160" t="inlineStr">
        <x:is>
          <x:t xml:space="preserve">Equipment backlog plus aftermarket/service</x:t>
        </x:is>
      </x:c>
      <x:c r="L327" s="160" t="inlineStr">
        <x:is>
          <x:t xml:space="preserve">Owner earnings + reverse DCF</x:t>
        </x:is>
      </x:c>
      <x:c r="M327" s="160" t="inlineStr">
        <x:is>
          <x:t xml:space="preserve">WAIT FOR PRICE</x:t>
        </x:is>
      </x:c>
      <x:c r="N327" s="160" t="inlineStr">
        <x:is>
          <x:t xml:space="preserve">R-OE-01</x:t>
        </x:is>
      </x:c>
      <x:c r="O327" s="160" t="inlineStr">
        <x:is>
          <x:t xml:space="preserve">HARDENED</x:t>
        </x:is>
      </x:c>
      <x:c r="P327" s="160" t="inlineStr">
        <x:is>
          <x:t xml:space="preserve">ROBUST WITH RESIDUAL</x:t>
        </x:is>
      </x:c>
      <x:c r="Q327" s="160" t="inlineStr">
        <x:is>
          <x:t xml:space="preserve">The hardened rule catches the stress. Residual risk is mainly evidence quality, threshold calibration or interaction with another gate.</x:t>
        </x:is>
      </x:c>
      <x:c r="R327" s="160" t="inlineStr">
        <x:is>
          <x:t xml:space="preserve">Require a GAAP-to-economic-owner-cash bridge tailored to the business model.</x:t>
        </x:is>
      </x:c>
      <x:c r="S327" s="160" t="inlineStr">
        <x:is>
          <x:t xml:space="preserve">NO</x:t>
        </x:is>
      </x:c>
      <x:c r="T327" s="160" t="inlineStr">
        <x:is>
          <x:t xml:space="preserve">HARDENED</x:t>
        </x:is>
      </x:c>
      <x:c r="U327" s="160" t="inlineStr">
        <x:is>
          <x:t xml:space="preserve">V10.5-SIM38</x:t>
        </x:is>
      </x:c>
      <x:c r="V327" s="160" t="inlineStr">
        <x:is>
          <x:t xml:space="preserve">https://investors.tranetechnologies.com</x:t>
        </x:is>
      </x:c>
      <x:c r="W327" s="160" t="inlineStr">
        <x:is>
          <x:t xml:space="preserve">NO</x:t>
        </x:is>
      </x:c>
      <x:c r="X327" s="160" t="inlineStr">
        <x:is>
          <x:t xml:space="preserve">NONE — DEVELOPMENT ONLY</x:t>
        </x:is>
      </x:c>
      <x:c r="Y327" s="160" t="inlineStr">
        <x:is>
          <x:t xml:space="preserve">Synthetic/adversarial model-development loop. No historical outcome is claimed; no accuracy point is awarded.</x:t>
        </x:is>
      </x:c>
    </x:row>
    <x:row r="328">
      <x:c r="A328" s="160" t="inlineStr">
        <x:is>
          <x:t xml:space="preserve">ML0323</x:t>
        </x:is>
      </x:c>
      <x:c r="B328" s="160" t="inlineStr">
        <x:is>
          <x:t xml:space="preserve">ARG-021</x:t>
        </x:is>
      </x:c>
      <x:c r="C328" s="160" t="inlineStr">
        <x:is>
          <x:t xml:space="preserve">Trane Technologies</x:t>
        </x:is>
      </x:c>
      <x:c r="D328" s="160" t="inlineStr">
        <x:is>
          <x:t xml:space="preserve">TT</x:t>
        </x:is>
      </x:c>
      <x:c r="E328" s="160" t="inlineStr">
        <x:is>
          <x:t xml:space="preserve">Power &amp; Grid</x:t>
        </x:is>
      </x:c>
      <x:c r="F328" s="160" t="inlineStr">
        <x:is>
          <x:t xml:space="preserve">Development</x:t>
        </x:is>
      </x:c>
      <x:c r="G328" s="160" t="inlineStr">
        <x:is>
          <x:t xml:space="preserve">S03</x:t>
        </x:is>
      </x:c>
      <x:c r="H328" s="160" t="inlineStr">
        <x:is>
          <x:t xml:space="preserve">Moat Durability</x:t>
        </x:is>
      </x:c>
      <x:c r="I328" s="160" t="inlineStr">
        <x:is>
          <x:t xml:space="preserve">Moat 2036</x:t>
        </x:is>
      </x:c>
      <x:c r="J328" s="160" t="inlineStr">
        <x:is>
          <x:t xml:space="preserve">Growth continues while switching friction, pricing power or replacement difficulty quietly weakens.</x:t>
        </x:is>
      </x:c>
      <x:c r="K328" s="160" t="inlineStr">
        <x:is>
          <x:t xml:space="preserve">Equipment backlog plus aftermarket/service</x:t>
        </x:is>
      </x:c>
      <x:c r="L328" s="160" t="inlineStr">
        <x:is>
          <x:t xml:space="preserve">Owner earnings + reverse DCF</x:t>
        </x:is>
      </x:c>
      <x:c r="M328" s="160" t="inlineStr">
        <x:is>
          <x:t xml:space="preserve">WAIT FOR PRICE</x:t>
        </x:is>
      </x:c>
      <x:c r="N328" s="160" t="inlineStr">
        <x:is>
          <x:t xml:space="preserve">R-MOAT-01</x:t>
        </x:is>
      </x:c>
      <x:c r="O328" s="160" t="inlineStr">
        <x:is>
          <x:t xml:space="preserve">HARDENED</x:t>
        </x:is>
      </x:c>
      <x:c r="P328" s="160" t="inlineStr">
        <x:is>
          <x:t xml:space="preserve">ROBUST WITH RESIDUAL</x:t>
        </x:is>
      </x:c>
      <x:c r="Q328" s="160" t="inlineStr">
        <x:is>
          <x:t xml:space="preserve">The hardened rule catches the stress. Residual risk is mainly evidence quality, threshold calibration or interaction with another gate.</x:t>
        </x:is>
      </x:c>
      <x:c r="R328" s="160" t="inlineStr">
        <x:is>
          <x:t xml:space="preserve">Track moat telemetry separately from growth: retention, pricing, win/loss, replacement friction, installed-base behavior.</x:t>
        </x:is>
      </x:c>
      <x:c r="S328" s="160" t="inlineStr">
        <x:is>
          <x:t xml:space="preserve">NO</x:t>
        </x:is>
      </x:c>
      <x:c r="T328" s="160" t="inlineStr">
        <x:is>
          <x:t xml:space="preserve">HARDENED</x:t>
        </x:is>
      </x:c>
      <x:c r="U328" s="160" t="inlineStr">
        <x:is>
          <x:t xml:space="preserve">V10.5-SIM38</x:t>
        </x:is>
      </x:c>
      <x:c r="V328" s="160" t="inlineStr">
        <x:is>
          <x:t xml:space="preserve">https://investors.tranetechnologies.com</x:t>
        </x:is>
      </x:c>
      <x:c r="W328" s="160" t="inlineStr">
        <x:is>
          <x:t xml:space="preserve">NO</x:t>
        </x:is>
      </x:c>
      <x:c r="X328" s="160" t="inlineStr">
        <x:is>
          <x:t xml:space="preserve">NONE — DEVELOPMENT ONLY</x:t>
        </x:is>
      </x:c>
      <x:c r="Y328" s="160" t="inlineStr">
        <x:is>
          <x:t xml:space="preserve">Synthetic/adversarial model-development loop. No historical outcome is claimed; no accuracy point is awarded.</x:t>
        </x:is>
      </x:c>
    </x:row>
    <x:row r="329">
      <x:c r="A329" s="160" t="inlineStr">
        <x:is>
          <x:t xml:space="preserve">ML0324</x:t>
        </x:is>
      </x:c>
      <x:c r="B329" s="160" t="inlineStr">
        <x:is>
          <x:t xml:space="preserve">ARG-021</x:t>
        </x:is>
      </x:c>
      <x:c r="C329" s="160" t="inlineStr">
        <x:is>
          <x:t xml:space="preserve">Trane Technologies</x:t>
        </x:is>
      </x:c>
      <x:c r="D329" s="160" t="inlineStr">
        <x:is>
          <x:t xml:space="preserve">TT</x:t>
        </x:is>
      </x:c>
      <x:c r="E329" s="160" t="inlineStr">
        <x:is>
          <x:t xml:space="preserve">Power &amp; Grid</x:t>
        </x:is>
      </x:c>
      <x:c r="F329" s="160" t="inlineStr">
        <x:is>
          <x:t xml:space="preserve">Development</x:t>
        </x:is>
      </x:c>
      <x:c r="G329" s="160" t="inlineStr">
        <x:is>
          <x:t xml:space="preserve">S04</x:t>
        </x:is>
      </x:c>
      <x:c r="H329" s="160" t="inlineStr">
        <x:is>
          <x:t xml:space="preserve">Stewardship / Capital Allocation</x:t>
        </x:is>
      </x:c>
      <x:c r="I329" s="160" t="inlineStr">
        <x:is>
          <x:t xml:space="preserve">Stewardship</x:t>
        </x:is>
      </x:c>
      <x:c r="J329" s="160" t="inlineStr">
        <x:is>
          <x:t xml:space="preserve">Management creates enterprise growth while destroying per-share value through M&amp;A, dilution, leverage or mistimed buybacks.</x:t>
        </x:is>
      </x:c>
      <x:c r="K329" s="160" t="inlineStr">
        <x:is>
          <x:t xml:space="preserve">Equipment backlog plus aftermarket/service</x:t>
        </x:is>
      </x:c>
      <x:c r="L329" s="160" t="inlineStr">
        <x:is>
          <x:t xml:space="preserve">Owner earnings + reverse DCF</x:t>
        </x:is>
      </x:c>
      <x:c r="M329" s="160" t="inlineStr">
        <x:is>
          <x:t xml:space="preserve">WAIT FOR PRICE</x:t>
        </x:is>
      </x:c>
      <x:c r="N329" s="160" t="inlineStr">
        <x:is>
          <x:t xml:space="preserve">R-STEW-01</x:t>
        </x:is>
      </x:c>
      <x:c r="O329" s="160" t="inlineStr">
        <x:is>
          <x:t xml:space="preserve">HARDENED</x:t>
        </x:is>
      </x:c>
      <x:c r="P329" s="160" t="inlineStr">
        <x:is>
          <x:t xml:space="preserve">ROBUST WITH RESIDUAL</x:t>
        </x:is>
      </x:c>
      <x:c r="Q329" s="160" t="inlineStr">
        <x:is>
          <x:t xml:space="preserve">The hardened rule catches the stress. Residual risk is mainly evidence quality, threshold calibration or interaction with another gate.</x:t>
        </x:is>
      </x:c>
      <x:c r="R329" s="160" t="inlineStr">
        <x:is>
          <x:t xml:space="preserve">Evaluate capital allocation on a per-share basis using acquisition cohorts, dilution, leverage and repurchase price discipline.</x:t>
        </x:is>
      </x:c>
      <x:c r="S329" s="160" t="inlineStr">
        <x:is>
          <x:t xml:space="preserve">NO</x:t>
        </x:is>
      </x:c>
      <x:c r="T329" s="160" t="inlineStr">
        <x:is>
          <x:t xml:space="preserve">HARDENED</x:t>
        </x:is>
      </x:c>
      <x:c r="U329" s="160" t="inlineStr">
        <x:is>
          <x:t xml:space="preserve">V10.5-SIM38</x:t>
        </x:is>
      </x:c>
      <x:c r="V329" s="160" t="inlineStr">
        <x:is>
          <x:t xml:space="preserve">https://investors.tranetechnologies.com</x:t>
        </x:is>
      </x:c>
      <x:c r="W329" s="160" t="inlineStr">
        <x:is>
          <x:t xml:space="preserve">NO</x:t>
        </x:is>
      </x:c>
      <x:c r="X329" s="160" t="inlineStr">
        <x:is>
          <x:t xml:space="preserve">NONE — DEVELOPMENT ONLY</x:t>
        </x:is>
      </x:c>
      <x:c r="Y329" s="160" t="inlineStr">
        <x:is>
          <x:t xml:space="preserve">Synthetic/adversarial model-development loop. No historical outcome is claimed; no accuracy point is awarded.</x:t>
        </x:is>
      </x:c>
    </x:row>
    <x:row r="330">
      <x:c r="A330" s="160" t="inlineStr">
        <x:is>
          <x:t xml:space="preserve">ML0325</x:t>
        </x:is>
      </x:c>
      <x:c r="B330" s="160" t="inlineStr">
        <x:is>
          <x:t xml:space="preserve">ARG-021</x:t>
        </x:is>
      </x:c>
      <x:c r="C330" s="160" t="inlineStr">
        <x:is>
          <x:t xml:space="preserve">Trane Technologies</x:t>
        </x:is>
      </x:c>
      <x:c r="D330" s="160" t="inlineStr">
        <x:is>
          <x:t xml:space="preserve">TT</x:t>
        </x:is>
      </x:c>
      <x:c r="E330" s="160" t="inlineStr">
        <x:is>
          <x:t xml:space="preserve">Power &amp; Grid</x:t>
        </x:is>
      </x:c>
      <x:c r="F330" s="160" t="inlineStr">
        <x:is>
          <x:t xml:space="preserve">Development</x:t>
        </x:is>
      </x:c>
      <x:c r="G330" s="160" t="inlineStr">
        <x:is>
          <x:t xml:space="preserve">S05</x:t>
        </x:is>
      </x:c>
      <x:c r="H330" s="160" t="inlineStr">
        <x:is>
          <x:t xml:space="preserve">Survival / Funding</x:t>
        </x:is>
      </x:c>
      <x:c r="I330" s="160" t="inlineStr">
        <x:is>
          <x:t xml:space="preserve">Survival</x:t>
        </x:is>
      </x:c>
      <x:c r="J330" s="160" t="inlineStr">
        <x:is>
          <x:t xml:space="preserve">A plausible bear case exposes refinancing, liquidity, covenant, reserve, regulatory or operational fragility.</x:t>
        </x:is>
      </x:c>
      <x:c r="K330" s="160" t="inlineStr">
        <x:is>
          <x:t xml:space="preserve">Equipment backlog plus aftermarket/service</x:t>
        </x:is>
      </x:c>
      <x:c r="L330" s="160" t="inlineStr">
        <x:is>
          <x:t xml:space="preserve">Owner earnings + reverse DCF</x:t>
        </x:is>
      </x:c>
      <x:c r="M330" s="160" t="inlineStr">
        <x:is>
          <x:t xml:space="preserve">WAIT FOR PRICE</x:t>
        </x:is>
      </x:c>
      <x:c r="N330" s="160" t="inlineStr">
        <x:is>
          <x:t xml:space="preserve">R-SURV-01</x:t>
        </x:is>
      </x:c>
      <x:c r="O330" s="160" t="inlineStr">
        <x:is>
          <x:t xml:space="preserve">HARDENED</x:t>
        </x:is>
      </x:c>
      <x:c r="P330" s="160" t="inlineStr">
        <x:is>
          <x:t xml:space="preserve">ROBUST WITH RESIDUAL</x:t>
        </x:is>
      </x:c>
      <x:c r="Q330" s="160" t="inlineStr">
        <x:is>
          <x:t xml:space="preserve">The hardened rule catches the stress. Residual risk is mainly evidence quality, threshold calibration or interaction with another gate.</x:t>
        </x:is>
      </x:c>
      <x:c r="R330" s="160" t="inlineStr">
        <x:is>
          <x:t xml:space="preserve">Run a company-specific survival bridge under a severe-but-plausible bear case before any upside underwriting.</x:t>
        </x:is>
      </x:c>
      <x:c r="S330" s="160" t="inlineStr">
        <x:is>
          <x:t xml:space="preserve">NO</x:t>
        </x:is>
      </x:c>
      <x:c r="T330" s="160" t="inlineStr">
        <x:is>
          <x:t xml:space="preserve">HARDENED</x:t>
        </x:is>
      </x:c>
      <x:c r="U330" s="160" t="inlineStr">
        <x:is>
          <x:t xml:space="preserve">V10.5-SIM38</x:t>
        </x:is>
      </x:c>
      <x:c r="V330" s="160" t="inlineStr">
        <x:is>
          <x:t xml:space="preserve">https://investors.tranetechnologies.com</x:t>
        </x:is>
      </x:c>
      <x:c r="W330" s="160" t="inlineStr">
        <x:is>
          <x:t xml:space="preserve">NO</x:t>
        </x:is>
      </x:c>
      <x:c r="X330" s="160" t="inlineStr">
        <x:is>
          <x:t xml:space="preserve">NONE — DEVELOPMENT ONLY</x:t>
        </x:is>
      </x:c>
      <x:c r="Y330" s="160" t="inlineStr">
        <x:is>
          <x:t xml:space="preserve">Synthetic/adversarial model-development loop. No historical outcome is claimed; no accuracy point is awarded.</x:t>
        </x:is>
      </x:c>
    </x:row>
    <x:row r="331">
      <x:c r="A331" s="160" t="inlineStr">
        <x:is>
          <x:t xml:space="preserve">ML0326</x:t>
        </x:is>
      </x:c>
      <x:c r="B331" s="160" t="inlineStr">
        <x:is>
          <x:t xml:space="preserve">ARG-021</x:t>
        </x:is>
      </x:c>
      <x:c r="C331" s="160" t="inlineStr">
        <x:is>
          <x:t xml:space="preserve">Trane Technologies</x:t>
        </x:is>
      </x:c>
      <x:c r="D331" s="160" t="inlineStr">
        <x:is>
          <x:t xml:space="preserve">TT</x:t>
        </x:is>
      </x:c>
      <x:c r="E331" s="160" t="inlineStr">
        <x:is>
          <x:t xml:space="preserve">Power &amp; Grid</x:t>
        </x:is>
      </x:c>
      <x:c r="F331" s="160" t="inlineStr">
        <x:is>
          <x:t xml:space="preserve">Development</x:t>
        </x:is>
      </x:c>
      <x:c r="G331" s="160" t="inlineStr">
        <x:is>
          <x:t xml:space="preserve">S06</x:t>
        </x:is>
      </x:c>
      <x:c r="H331" s="160" t="inlineStr">
        <x:is>
          <x:t xml:space="preserve">Margin of Safety</x:t>
        </x:is>
      </x:c>
      <x:c r="I331" s="160" t="inlineStr">
        <x:is>
          <x:t xml:space="preserve">Margin of Safety</x:t>
        </x:is>
      </x:c>
      <x:c r="J331" s="160" t="inlineStr">
        <x:is>
          <x:t xml:space="preserve">Business quality is high but the price embeds a fragile bull case.</x:t>
        </x:is>
      </x:c>
      <x:c r="K331" s="160" t="inlineStr">
        <x:is>
          <x:t xml:space="preserve">Equipment backlog plus aftermarket/service</x:t>
        </x:is>
      </x:c>
      <x:c r="L331" s="160" t="inlineStr">
        <x:is>
          <x:t xml:space="preserve">Owner earnings + reverse DCF</x:t>
        </x:is>
      </x:c>
      <x:c r="M331" s="160" t="inlineStr">
        <x:is>
          <x:t xml:space="preserve">WAIT FOR PRICE</x:t>
        </x:is>
      </x:c>
      <x:c r="N331" s="160" t="inlineStr">
        <x:is>
          <x:t xml:space="preserve">R-MOS-01</x:t>
        </x:is>
      </x:c>
      <x:c r="O331" s="160" t="inlineStr">
        <x:is>
          <x:t xml:space="preserve">HARDENED</x:t>
        </x:is>
      </x:c>
      <x:c r="P331" s="160" t="inlineStr">
        <x:is>
          <x:t xml:space="preserve">ROBUST WITH RESIDUAL</x:t>
        </x:is>
      </x:c>
      <x:c r="Q331" s="160" t="inlineStr">
        <x:is>
          <x:t xml:space="preserve">The hardened rule catches the stress. Residual risk is mainly evidence quality, threshold calibration or interaction with another gate.</x:t>
        </x:is>
      </x:c>
      <x:c r="R331" s="160" t="inlineStr">
        <x:is>
          <x:t xml:space="preserve">Separate business-quality score from price decision; require reverse valuation and bear/base/bull IV ranges.</x:t>
        </x:is>
      </x:c>
      <x:c r="S331" s="160" t="inlineStr">
        <x:is>
          <x:t xml:space="preserve">NO</x:t>
        </x:is>
      </x:c>
      <x:c r="T331" s="160" t="inlineStr">
        <x:is>
          <x:t xml:space="preserve">HARDENED</x:t>
        </x:is>
      </x:c>
      <x:c r="U331" s="160" t="inlineStr">
        <x:is>
          <x:t xml:space="preserve">V10.5-SIM38</x:t>
        </x:is>
      </x:c>
      <x:c r="V331" s="160" t="inlineStr">
        <x:is>
          <x:t xml:space="preserve">https://investors.tranetechnologies.com</x:t>
        </x:is>
      </x:c>
      <x:c r="W331" s="160" t="inlineStr">
        <x:is>
          <x:t xml:space="preserve">NO</x:t>
        </x:is>
      </x:c>
      <x:c r="X331" s="160" t="inlineStr">
        <x:is>
          <x:t xml:space="preserve">NONE — DEVELOPMENT ONLY</x:t>
        </x:is>
      </x:c>
      <x:c r="Y331" s="160" t="inlineStr">
        <x:is>
          <x:t xml:space="preserve">Synthetic/adversarial model-development loop. No historical outcome is claimed; no accuracy point is awarded.</x:t>
        </x:is>
      </x:c>
    </x:row>
    <x:row r="332">
      <x:c r="A332" s="160" t="inlineStr">
        <x:is>
          <x:t xml:space="preserve">ML0327</x:t>
        </x:is>
      </x:c>
      <x:c r="B332" s="160" t="inlineStr">
        <x:is>
          <x:t xml:space="preserve">ARG-021</x:t>
        </x:is>
      </x:c>
      <x:c r="C332" s="160" t="inlineStr">
        <x:is>
          <x:t xml:space="preserve">Trane Technologies</x:t>
        </x:is>
      </x:c>
      <x:c r="D332" s="160" t="inlineStr">
        <x:is>
          <x:t xml:space="preserve">TT</x:t>
        </x:is>
      </x:c>
      <x:c r="E332" s="160" t="inlineStr">
        <x:is>
          <x:t xml:space="preserve">Power &amp; Grid</x:t>
        </x:is>
      </x:c>
      <x:c r="F332" s="160" t="inlineStr">
        <x:is>
          <x:t xml:space="preserve">Development</x:t>
        </x:is>
      </x:c>
      <x:c r="G332" s="160" t="inlineStr">
        <x:is>
          <x:t xml:space="preserve">S07</x:t>
        </x:is>
      </x:c>
      <x:c r="H332" s="160" t="inlineStr">
        <x:is>
          <x:t xml:space="preserve">Sector Shock</x:t>
        </x:is>
      </x:c>
      <x:c r="I332" s="160" t="inlineStr">
        <x:is>
          <x:t xml:space="preserve">Sector-specific</x:t>
        </x:is>
      </x:c>
      <x:c r="J332" s="160" t="inlineStr">
        <x:is>
          <x:t xml:space="preserve">Backlog stays strong but execution capacity, input inflation, working capital or project mix compresses conversion to owner earnings.</x:t>
        </x:is>
      </x:c>
      <x:c r="K332" s="160" t="inlineStr">
        <x:is>
          <x:t xml:space="preserve">Equipment backlog plus aftermarket/service</x:t>
        </x:is>
      </x:c>
      <x:c r="L332" s="160" t="inlineStr">
        <x:is>
          <x:t xml:space="preserve">Owner earnings + reverse DCF</x:t>
        </x:is>
      </x:c>
      <x:c r="M332" s="160" t="inlineStr">
        <x:is>
          <x:t xml:space="preserve">WAIT FOR PRICE</x:t>
        </x:is>
      </x:c>
      <x:c r="N332" s="160" t="inlineStr">
        <x:is>
          <x:t xml:space="preserve">R-SECTOR-POWER-GRID</x:t>
        </x:is>
      </x:c>
      <x:c r="O332" s="160" t="inlineStr">
        <x:is>
          <x:t xml:space="preserve">COUNTER-EVIDENCE</x:t>
        </x:is>
      </x:c>
      <x:c r="P332" s="160" t="inlineStr">
        <x:is>
          <x:t xml:space="preserve">ROBUST</x:t>
        </x:is>
      </x:c>
      <x:c r="Q332" s="160" t="inlineStr">
        <x:is>
          <x:t xml:space="preserve">The mature simulation rule catches the stress without weakening a fatal gate; no rule relaxation is justified.</x:t>
        </x:is>
      </x:c>
      <x:c r="R332"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S332" s="160" t="inlineStr">
        <x:is>
          <x:t xml:space="preserve">NO</x:t>
        </x:is>
      </x:c>
      <x:c r="T332" s="160" t="inlineStr">
        <x:is>
          <x:t xml:space="preserve">COUNTER-EVIDENCE</x:t>
        </x:is>
      </x:c>
      <x:c r="U332" s="160" t="inlineStr">
        <x:is>
          <x:t xml:space="preserve">V10.5-SIM38</x:t>
        </x:is>
      </x:c>
      <x:c r="V332" s="160" t="inlineStr">
        <x:is>
          <x:t xml:space="preserve">https://investors.tranetechnologies.com</x:t>
        </x:is>
      </x:c>
      <x:c r="W332" s="160" t="inlineStr">
        <x:is>
          <x:t xml:space="preserve">NO</x:t>
        </x:is>
      </x:c>
      <x:c r="X332" s="160" t="inlineStr">
        <x:is>
          <x:t xml:space="preserve">NONE — DEVELOPMENT ONLY</x:t>
        </x:is>
      </x:c>
      <x:c r="Y332" s="160" t="inlineStr">
        <x:is>
          <x:t xml:space="preserve">Synthetic/adversarial model-development loop. No historical outcome is claimed; no accuracy point is awarded.</x:t>
        </x:is>
      </x:c>
    </x:row>
    <x:row r="333">
      <x:c r="A333" s="160" t="inlineStr">
        <x:is>
          <x:t xml:space="preserve">ML0328</x:t>
        </x:is>
      </x:c>
      <x:c r="B333" s="160" t="inlineStr">
        <x:is>
          <x:t xml:space="preserve">ARG-021</x:t>
        </x:is>
      </x:c>
      <x:c r="C333" s="160" t="inlineStr">
        <x:is>
          <x:t xml:space="preserve">Trane Technologies</x:t>
        </x:is>
      </x:c>
      <x:c r="D333" s="160" t="inlineStr">
        <x:is>
          <x:t xml:space="preserve">TT</x:t>
        </x:is>
      </x:c>
      <x:c r="E333" s="160" t="inlineStr">
        <x:is>
          <x:t xml:space="preserve">Power &amp; Grid</x:t>
        </x:is>
      </x:c>
      <x:c r="F333" s="160" t="inlineStr">
        <x:is>
          <x:t xml:space="preserve">Development</x:t>
        </x:is>
      </x:c>
      <x:c r="G333" s="160" t="inlineStr">
        <x:is>
          <x:t xml:space="preserve">S08</x:t>
        </x:is>
      </x:c>
      <x:c r="H333" s="160" t="inlineStr">
        <x:is>
          <x:t xml:space="preserve">Management Promise Reliability</x:t>
        </x:is>
      </x:c>
      <x:c r="I333" s="160" t="inlineStr">
        <x:is>
          <x:t xml:space="preserve">Management over-trust</x:t>
        </x:is>
      </x:c>
      <x:c r="J333" s="160" t="inlineStr">
        <x:is>
          <x:t xml:space="preserve">Guidance or strategic promises are repeated but the model lacks a contemporaneous reliability score.</x:t>
        </x:is>
      </x:c>
      <x:c r="K333" s="160" t="inlineStr">
        <x:is>
          <x:t xml:space="preserve">Equipment backlog plus aftermarket/service</x:t>
        </x:is>
      </x:c>
      <x:c r="L333" s="160" t="inlineStr">
        <x:is>
          <x:t xml:space="preserve">Owner earnings + reverse DCF</x:t>
        </x:is>
      </x:c>
      <x:c r="M333" s="160" t="inlineStr">
        <x:is>
          <x:t xml:space="preserve">WAIT FOR PRICE</x:t>
        </x:is>
      </x:c>
      <x:c r="N333" s="160" t="inlineStr">
        <x:is>
          <x:t xml:space="preserve">R-PROM-01</x:t>
        </x:is>
      </x:c>
      <x:c r="O333" s="160" t="inlineStr">
        <x:is>
          <x:t xml:space="preserve">HARDENED</x:t>
        </x:is>
      </x:c>
      <x:c r="P333" s="160" t="inlineStr">
        <x:is>
          <x:t xml:space="preserve">ROBUST WITH RESIDUAL</x:t>
        </x:is>
      </x:c>
      <x:c r="Q333" s="160" t="inlineStr">
        <x:is>
          <x:t xml:space="preserve">The hardened rule catches the stress. Residual risk is mainly evidence quality, threshold calibration or interaction with another gate.</x:t>
        </x:is>
      </x:c>
      <x:c r="R333" s="160" t="inlineStr">
        <x:is>
          <x:t xml:space="preserve">Use a promises ledger with dated promise, measurable deliverable, due date, outcome and credibility weight.</x:t>
        </x:is>
      </x:c>
      <x:c r="S333" s="160" t="inlineStr">
        <x:is>
          <x:t xml:space="preserve">NO</x:t>
        </x:is>
      </x:c>
      <x:c r="T333" s="160" t="inlineStr">
        <x:is>
          <x:t xml:space="preserve">HARDENED</x:t>
        </x:is>
      </x:c>
      <x:c r="U333" s="160" t="inlineStr">
        <x:is>
          <x:t xml:space="preserve">V10.5-SIM38</x:t>
        </x:is>
      </x:c>
      <x:c r="V333" s="160" t="inlineStr">
        <x:is>
          <x:t xml:space="preserve">https://investors.tranetechnologies.com</x:t>
        </x:is>
      </x:c>
      <x:c r="W333" s="160" t="inlineStr">
        <x:is>
          <x:t xml:space="preserve">NO</x:t>
        </x:is>
      </x:c>
      <x:c r="X333" s="160" t="inlineStr">
        <x:is>
          <x:t xml:space="preserve">NONE — DEVELOPMENT ONLY</x:t>
        </x:is>
      </x:c>
      <x:c r="Y333" s="160" t="inlineStr">
        <x:is>
          <x:t xml:space="preserve">Synthetic/adversarial model-development loop. No historical outcome is claimed; no accuracy point is awarded.</x:t>
        </x:is>
      </x:c>
    </x:row>
    <x:row r="334">
      <x:c r="A334" s="160" t="inlineStr">
        <x:is>
          <x:t xml:space="preserve">ML0329</x:t>
        </x:is>
      </x:c>
      <x:c r="B334" s="160" t="inlineStr">
        <x:is>
          <x:t xml:space="preserve">ARG-021</x:t>
        </x:is>
      </x:c>
      <x:c r="C334" s="160" t="inlineStr">
        <x:is>
          <x:t xml:space="preserve">Trane Technologies</x:t>
        </x:is>
      </x:c>
      <x:c r="D334" s="160" t="inlineStr">
        <x:is>
          <x:t xml:space="preserve">TT</x:t>
        </x:is>
      </x:c>
      <x:c r="E334" s="160" t="inlineStr">
        <x:is>
          <x:t xml:space="preserve">Power &amp; Grid</x:t>
        </x:is>
      </x:c>
      <x:c r="F334" s="160" t="inlineStr">
        <x:is>
          <x:t xml:space="preserve">Development</x:t>
        </x:is>
      </x:c>
      <x:c r="G334" s="160" t="inlineStr">
        <x:is>
          <x:t xml:space="preserve">S09</x:t>
        </x:is>
      </x:c>
      <x:c r="H334" s="160" t="inlineStr">
        <x:is>
          <x:t xml:space="preserve">Data / Accounting Quality</x:t>
        </x:is>
      </x:c>
      <x:c r="I334" s="160" t="inlineStr">
        <x:is>
          <x:t xml:space="preserve">Data quality</x:t>
        </x:is>
      </x:c>
      <x:c r="J334" s="160" t="inlineStr">
        <x:is>
          <x:t xml:space="preserve">Restatement, segment reclassification, one-time item or non-economic fair-value movement distorts the apparent trend.</x:t>
        </x:is>
      </x:c>
      <x:c r="K334" s="160" t="inlineStr">
        <x:is>
          <x:t xml:space="preserve">Equipment backlog plus aftermarket/service</x:t>
        </x:is>
      </x:c>
      <x:c r="L334" s="160" t="inlineStr">
        <x:is>
          <x:t xml:space="preserve">Owner earnings + reverse DCF</x:t>
        </x:is>
      </x:c>
      <x:c r="M334" s="160" t="inlineStr">
        <x:is>
          <x:t xml:space="preserve">WAIT FOR PRICE</x:t>
        </x:is>
      </x:c>
      <x:c r="N334" s="160" t="inlineStr">
        <x:is>
          <x:t xml:space="preserve">R-DATA-01</x:t>
        </x:is>
      </x:c>
      <x:c r="O334" s="160" t="inlineStr">
        <x:is>
          <x:t xml:space="preserve">HARDENED</x:t>
        </x:is>
      </x:c>
      <x:c r="P334" s="160" t="inlineStr">
        <x:is>
          <x:t xml:space="preserve">ROBUST WITH RESIDUAL</x:t>
        </x:is>
      </x:c>
      <x:c r="Q334" s="160" t="inlineStr">
        <x:is>
          <x:t xml:space="preserve">The hardened rule catches the stress. Residual risk is mainly evidence quality, threshold calibration or interaction with another gate.</x:t>
        </x:is>
      </x:c>
      <x:c r="R334" s="160" t="inlineStr">
        <x:is>
          <x:t xml:space="preserve">Add a reporting-quality bridge and normalize accounting noise before any gate can pass.</x:t>
        </x:is>
      </x:c>
      <x:c r="S334" s="160" t="inlineStr">
        <x:is>
          <x:t xml:space="preserve">NO</x:t>
        </x:is>
      </x:c>
      <x:c r="T334" s="160" t="inlineStr">
        <x:is>
          <x:t xml:space="preserve">HARDENED</x:t>
        </x:is>
      </x:c>
      <x:c r="U334" s="160" t="inlineStr">
        <x:is>
          <x:t xml:space="preserve">V10.5-SIM38</x:t>
        </x:is>
      </x:c>
      <x:c r="V334" s="160" t="inlineStr">
        <x:is>
          <x:t xml:space="preserve">https://investors.tranetechnologies.com</x:t>
        </x:is>
      </x:c>
      <x:c r="W334" s="160" t="inlineStr">
        <x:is>
          <x:t xml:space="preserve">NO</x:t>
        </x:is>
      </x:c>
      <x:c r="X334" s="160" t="inlineStr">
        <x:is>
          <x:t xml:space="preserve">NONE — DEVELOPMENT ONLY</x:t>
        </x:is>
      </x:c>
      <x:c r="Y334" s="160" t="inlineStr">
        <x:is>
          <x:t xml:space="preserve">Synthetic/adversarial model-development loop. No historical outcome is claimed; no accuracy point is awarded.</x:t>
        </x:is>
      </x:c>
    </x:row>
    <x:row r="335">
      <x:c r="A335" s="160" t="inlineStr">
        <x:is>
          <x:t xml:space="preserve">ML0330</x:t>
        </x:is>
      </x:c>
      <x:c r="B335" s="160" t="inlineStr">
        <x:is>
          <x:t xml:space="preserve">ARG-021</x:t>
        </x:is>
      </x:c>
      <x:c r="C335" s="160" t="inlineStr">
        <x:is>
          <x:t xml:space="preserve">Trane Technologies</x:t>
        </x:is>
      </x:c>
      <x:c r="D335" s="160" t="inlineStr">
        <x:is>
          <x:t xml:space="preserve">TT</x:t>
        </x:is>
      </x:c>
      <x:c r="E335" s="160" t="inlineStr">
        <x:is>
          <x:t xml:space="preserve">Power &amp; Grid</x:t>
        </x:is>
      </x:c>
      <x:c r="F335" s="160" t="inlineStr">
        <x:is>
          <x:t xml:space="preserve">Development</x:t>
        </x:is>
      </x:c>
      <x:c r="G335" s="160" t="inlineStr">
        <x:is>
          <x:t xml:space="preserve">S10</x:t>
        </x:is>
      </x:c>
      <x:c r="H335" s="160" t="inlineStr">
        <x:is>
          <x:t xml:space="preserve">Control / Counterfactual</x:t>
        </x:is>
      </x:c>
      <x:c r="I335" s="160" t="inlineStr">
        <x:is>
          <x:t xml:space="preserve">Sector beta vs company alpha</x:t>
        </x:is>
      </x:c>
      <x:c r="J335" s="160" t="inlineStr">
        <x:is>
          <x:t xml:space="preserve">A positive outcome is mostly sector beta or macro tailwind, not company-specific alpha.</x:t>
        </x:is>
      </x:c>
      <x:c r="K335" s="160" t="inlineStr">
        <x:is>
          <x:t xml:space="preserve">Equipment backlog plus aftermarket/service</x:t>
        </x:is>
      </x:c>
      <x:c r="L335" s="160" t="inlineStr">
        <x:is>
          <x:t xml:space="preserve">Owner earnings + reverse DCF</x:t>
        </x:is>
      </x:c>
      <x:c r="M335" s="160" t="inlineStr">
        <x:is>
          <x:t xml:space="preserve">WAIT FOR PRICE</x:t>
        </x:is>
      </x:c>
      <x:c r="N335" s="160" t="inlineStr">
        <x:is>
          <x:t xml:space="preserve">R-CF-01</x:t>
        </x:is>
      </x:c>
      <x:c r="O335" s="160" t="inlineStr">
        <x:is>
          <x:t xml:space="preserve">HARDENED</x:t>
        </x:is>
      </x:c>
      <x:c r="P335" s="160" t="inlineStr">
        <x:is>
          <x:t xml:space="preserve">ROBUST WITH RESIDUAL</x:t>
        </x:is>
      </x:c>
      <x:c r="Q335" s="160" t="inlineStr">
        <x:is>
          <x:t xml:space="preserve">The hardened rule catches the stress. Residual risk is mainly evidence quality, threshold calibration or interaction with another gate.</x:t>
        </x:is>
      </x:c>
      <x:c r="R335" s="160" t="inlineStr">
        <x:is>
          <x:t xml:space="preserve">Require a true economic control and counterfactual: what should have happened to a comparable company under the same shock?</x:t>
        </x:is>
      </x:c>
      <x:c r="S335" s="160" t="inlineStr">
        <x:is>
          <x:t xml:space="preserve">NO</x:t>
        </x:is>
      </x:c>
      <x:c r="T335" s="160" t="inlineStr">
        <x:is>
          <x:t xml:space="preserve">HARDENED</x:t>
        </x:is>
      </x:c>
      <x:c r="U335" s="160" t="inlineStr">
        <x:is>
          <x:t xml:space="preserve">V10.5-SIM38</x:t>
        </x:is>
      </x:c>
      <x:c r="V335" s="160" t="inlineStr">
        <x:is>
          <x:t xml:space="preserve">https://investors.tranetechnologies.com</x:t>
        </x:is>
      </x:c>
      <x:c r="W335" s="160" t="inlineStr">
        <x:is>
          <x:t xml:space="preserve">NO</x:t>
        </x:is>
      </x:c>
      <x:c r="X335" s="160" t="inlineStr">
        <x:is>
          <x:t xml:space="preserve">NONE — DEVELOPMENT ONLY</x:t>
        </x:is>
      </x:c>
      <x:c r="Y335" s="160" t="inlineStr">
        <x:is>
          <x:t xml:space="preserve">Synthetic/adversarial model-development loop. No historical outcome is claimed; no accuracy point is awarded.</x:t>
        </x:is>
      </x:c>
    </x:row>
    <x:row r="336">
      <x:c r="A336" s="160" t="inlineStr">
        <x:is>
          <x:t xml:space="preserve">ML0331</x:t>
        </x:is>
      </x:c>
      <x:c r="B336" s="160" t="inlineStr">
        <x:is>
          <x:t xml:space="preserve">ARG-021</x:t>
        </x:is>
      </x:c>
      <x:c r="C336" s="160" t="inlineStr">
        <x:is>
          <x:t xml:space="preserve">Trane Technologies</x:t>
        </x:is>
      </x:c>
      <x:c r="D336" s="160" t="inlineStr">
        <x:is>
          <x:t xml:space="preserve">TT</x:t>
        </x:is>
      </x:c>
      <x:c r="E336" s="160" t="inlineStr">
        <x:is>
          <x:t xml:space="preserve">Power &amp; Grid</x:t>
        </x:is>
      </x:c>
      <x:c r="F336" s="160" t="inlineStr">
        <x:is>
          <x:t xml:space="preserve">Development</x:t>
        </x:is>
      </x:c>
      <x:c r="G336" s="160" t="inlineStr">
        <x:is>
          <x:t xml:space="preserve">S11</x:t>
        </x:is>
      </x:c>
      <x:c r="H336" s="160" t="inlineStr">
        <x:is>
          <x:t xml:space="preserve">False-Negative Discipline</x:t>
        </x:is>
      </x:c>
      <x:c r="I336" s="160" t="inlineStr">
        <x:is>
          <x:t xml:space="preserve">False negative</x:t>
        </x:is>
      </x:c>
      <x:c r="J336" s="160" t="inlineStr">
        <x:is>
          <x:t xml:space="preserve">A strict gate rejects a company that later compounds strongly for reasons the model could have known.</x:t>
        </x:is>
      </x:c>
      <x:c r="K336" s="160" t="inlineStr">
        <x:is>
          <x:t xml:space="preserve">Equipment backlog plus aftermarket/service</x:t>
        </x:is>
      </x:c>
      <x:c r="L336" s="160" t="inlineStr">
        <x:is>
          <x:t xml:space="preserve">Owner earnings + reverse DCF</x:t>
        </x:is>
      </x:c>
      <x:c r="M336" s="160" t="inlineStr">
        <x:is>
          <x:t xml:space="preserve">WAIT FOR PRICE</x:t>
        </x:is>
      </x:c>
      <x:c r="N336" s="160" t="inlineStr">
        <x:is>
          <x:t xml:space="preserve">R-FN-01</x:t>
        </x:is>
      </x:c>
      <x:c r="O336" s="160" t="inlineStr">
        <x:is>
          <x:t xml:space="preserve">HARDENED</x:t>
        </x:is>
      </x:c>
      <x:c r="P336" s="160" t="inlineStr">
        <x:is>
          <x:t xml:space="preserve">ROBUST WITH RESIDUAL</x:t>
        </x:is>
      </x:c>
      <x:c r="Q336" s="160" t="inlineStr">
        <x:is>
          <x:t xml:space="preserve">The hardened rule catches the stress. Residual risk is mainly evidence quality, threshold calibration or interaction with another gate.</x:t>
        </x:is>
      </x:c>
      <x:c r="R336" s="160" t="inlineStr">
        <x:is>
          <x:t xml:space="preserve">Track opportunity cost and classify whether the miss came from evidence timing, wrong threshold or genuinely unknowable upside.</x:t>
        </x:is>
      </x:c>
      <x:c r="S336" s="160" t="inlineStr">
        <x:is>
          <x:t xml:space="preserve">NO</x:t>
        </x:is>
      </x:c>
      <x:c r="T336" s="160" t="inlineStr">
        <x:is>
          <x:t xml:space="preserve">HARDENED</x:t>
        </x:is>
      </x:c>
      <x:c r="U336" s="160" t="inlineStr">
        <x:is>
          <x:t xml:space="preserve">V10.5-SIM38</x:t>
        </x:is>
      </x:c>
      <x:c r="V336" s="160" t="inlineStr">
        <x:is>
          <x:t xml:space="preserve">https://investors.tranetechnologies.com</x:t>
        </x:is>
      </x:c>
      <x:c r="W336" s="160" t="inlineStr">
        <x:is>
          <x:t xml:space="preserve">NO</x:t>
        </x:is>
      </x:c>
      <x:c r="X336" s="160" t="inlineStr">
        <x:is>
          <x:t xml:space="preserve">NONE — DEVELOPMENT ONLY</x:t>
        </x:is>
      </x:c>
      <x:c r="Y336" s="160" t="inlineStr">
        <x:is>
          <x:t xml:space="preserve">Synthetic/adversarial model-development loop. No historical outcome is claimed; no accuracy point is awarded.</x:t>
        </x:is>
      </x:c>
    </x:row>
    <x:row r="337">
      <x:c r="A337" s="160" t="inlineStr">
        <x:is>
          <x:t xml:space="preserve">ML0332</x:t>
        </x:is>
      </x:c>
      <x:c r="B337" s="160" t="inlineStr">
        <x:is>
          <x:t xml:space="preserve">ARG-021</x:t>
        </x:is>
      </x:c>
      <x:c r="C337" s="160" t="inlineStr">
        <x:is>
          <x:t xml:space="preserve">Trane Technologies</x:t>
        </x:is>
      </x:c>
      <x:c r="D337" s="160" t="inlineStr">
        <x:is>
          <x:t xml:space="preserve">TT</x:t>
        </x:is>
      </x:c>
      <x:c r="E337" s="160" t="inlineStr">
        <x:is>
          <x:t xml:space="preserve">Power &amp; Grid</x:t>
        </x:is>
      </x:c>
      <x:c r="F337" s="160" t="inlineStr">
        <x:is>
          <x:t xml:space="preserve">Development</x:t>
        </x:is>
      </x:c>
      <x:c r="G337" s="160" t="inlineStr">
        <x:is>
          <x:t xml:space="preserve">S12</x:t>
        </x:is>
      </x:c>
      <x:c r="H337" s="160" t="inlineStr">
        <x:is>
          <x:t xml:space="preserve">Lead-Time / Early Sensor</x:t>
        </x:is>
      </x:c>
      <x:c r="I337" s="160" t="inlineStr">
        <x:is>
          <x:t xml:space="preserve">Timing / lead-time</x:t>
        </x:is>
      </x:c>
      <x:c r="J337" s="160" t="inlineStr">
        <x:is>
          <x:t xml:space="preserve">ARGUS identifies the change correctly but only after consensus and price have already reacted.</x:t>
        </x:is>
      </x:c>
      <x:c r="K337" s="160" t="inlineStr">
        <x:is>
          <x:t xml:space="preserve">Equipment backlog plus aftermarket/service</x:t>
        </x:is>
      </x:c>
      <x:c r="L337" s="160" t="inlineStr">
        <x:is>
          <x:t xml:space="preserve">Owner earnings + reverse DCF</x:t>
        </x:is>
      </x:c>
      <x:c r="M337" s="160" t="inlineStr">
        <x:is>
          <x:t xml:space="preserve">WAIT FOR PRICE</x:t>
        </x:is>
      </x:c>
      <x:c r="N337" s="160" t="inlineStr">
        <x:is>
          <x:t xml:space="preserve">R-TIME-01</x:t>
        </x:is>
      </x:c>
      <x:c r="O337" s="160" t="inlineStr">
        <x:is>
          <x:t xml:space="preserve">HARDENED</x:t>
        </x:is>
      </x:c>
      <x:c r="P337" s="160" t="inlineStr">
        <x:is>
          <x:t xml:space="preserve">ROBUST WITH RESIDUAL</x:t>
        </x:is>
      </x:c>
      <x:c r="Q337" s="160" t="inlineStr">
        <x:is>
          <x:t xml:space="preserve">The hardened rule catches the stress. Residual risk is mainly evidence quality, threshold calibration or interaction with another gate.</x:t>
        </x:is>
      </x:c>
      <x:c r="R337" s="160" t="inlineStr">
        <x:is>
          <x:t xml:space="preserve">Replace lagging financial metrics with earlier causal operating sensors and record lead time separately from correctness.</x:t>
        </x:is>
      </x:c>
      <x:c r="S337" s="160" t="inlineStr">
        <x:is>
          <x:t xml:space="preserve">NO</x:t>
        </x:is>
      </x:c>
      <x:c r="T337" s="160" t="inlineStr">
        <x:is>
          <x:t xml:space="preserve">HARDENED</x:t>
        </x:is>
      </x:c>
      <x:c r="U337" s="160" t="inlineStr">
        <x:is>
          <x:t xml:space="preserve">V10.5-SIM38</x:t>
        </x:is>
      </x:c>
      <x:c r="V337" s="160" t="inlineStr">
        <x:is>
          <x:t xml:space="preserve">https://investors.tranetechnologies.com</x:t>
        </x:is>
      </x:c>
      <x:c r="W337" s="160" t="inlineStr">
        <x:is>
          <x:t xml:space="preserve">NO</x:t>
        </x:is>
      </x:c>
      <x:c r="X337" s="160" t="inlineStr">
        <x:is>
          <x:t xml:space="preserve">NONE — DEVELOPMENT ONLY</x:t>
        </x:is>
      </x:c>
      <x:c r="Y337" s="160" t="inlineStr">
        <x:is>
          <x:t xml:space="preserve">Synthetic/adversarial model-development loop. No historical outcome is claimed; no accuracy point is awarded.</x:t>
        </x:is>
      </x:c>
    </x:row>
    <x:row r="338">
      <x:c r="A338" s="160" t="inlineStr">
        <x:is>
          <x:t xml:space="preserve">ML0333</x:t>
        </x:is>
      </x:c>
      <x:c r="B338" s="160" t="inlineStr">
        <x:is>
          <x:t xml:space="preserve">ARG-021</x:t>
        </x:is>
      </x:c>
      <x:c r="C338" s="160" t="inlineStr">
        <x:is>
          <x:t xml:space="preserve">Trane Technologies</x:t>
        </x:is>
      </x:c>
      <x:c r="D338" s="160" t="inlineStr">
        <x:is>
          <x:t xml:space="preserve">TT</x:t>
        </x:is>
      </x:c>
      <x:c r="E338" s="160" t="inlineStr">
        <x:is>
          <x:t xml:space="preserve">Power &amp; Grid</x:t>
        </x:is>
      </x:c>
      <x:c r="F338" s="160" t="inlineStr">
        <x:is>
          <x:t xml:space="preserve">Development</x:t>
        </x:is>
      </x:c>
      <x:c r="G338" s="160" t="inlineStr">
        <x:is>
          <x:t xml:space="preserve">S13</x:t>
        </x:is>
      </x:c>
      <x:c r="H338" s="160" t="inlineStr">
        <x:is>
          <x:t xml:space="preserve">Cycle Normalization</x:t>
        </x:is>
      </x:c>
      <x:c r="I338" s="160" t="inlineStr">
        <x:is>
          <x:t xml:space="preserve">Wrong valuation lens</x:t>
        </x:is>
      </x:c>
      <x:c r="J338" s="160" t="inlineStr">
        <x:is>
          <x:t xml:space="preserve">Peak/trough earnings are mistaken for normalized earning power.</x:t>
        </x:is>
      </x:c>
      <x:c r="K338" s="160" t="inlineStr">
        <x:is>
          <x:t xml:space="preserve">Equipment backlog plus aftermarket/service</x:t>
        </x:is>
      </x:c>
      <x:c r="L338" s="160" t="inlineStr">
        <x:is>
          <x:t xml:space="preserve">Owner earnings + reverse DCF</x:t>
        </x:is>
      </x:c>
      <x:c r="M338" s="160" t="inlineStr">
        <x:is>
          <x:t xml:space="preserve">WAIT FOR PRICE</x:t>
        </x:is>
      </x:c>
      <x:c r="N338" s="160" t="inlineStr">
        <x:is>
          <x:t xml:space="preserve">R-CYCLE-01</x:t>
        </x:is>
      </x:c>
      <x:c r="O338" s="160" t="inlineStr">
        <x:is>
          <x:t xml:space="preserve">HARDENED</x:t>
        </x:is>
      </x:c>
      <x:c r="P338" s="160" t="inlineStr">
        <x:is>
          <x:t xml:space="preserve">ROBUST WITH RESIDUAL</x:t>
        </x:is>
      </x:c>
      <x:c r="Q338" s="160" t="inlineStr">
        <x:is>
          <x:t xml:space="preserve">The hardened rule catches the stress. Residual risk is mainly evidence quality, threshold calibration or interaction with another gate.</x:t>
        </x:is>
      </x:c>
      <x:c r="R338" s="160" t="inlineStr">
        <x:is>
          <x:t xml:space="preserve">Use sector-specific mid-cycle/NAV/rate-base/rNPV normalization before applying a valuation multiple.</x:t>
        </x:is>
      </x:c>
      <x:c r="S338" s="160" t="inlineStr">
        <x:is>
          <x:t xml:space="preserve">NO</x:t>
        </x:is>
      </x:c>
      <x:c r="T338" s="160" t="inlineStr">
        <x:is>
          <x:t xml:space="preserve">HARDENED</x:t>
        </x:is>
      </x:c>
      <x:c r="U338" s="160" t="inlineStr">
        <x:is>
          <x:t xml:space="preserve">V10.5-SIM38</x:t>
        </x:is>
      </x:c>
      <x:c r="V338" s="160" t="inlineStr">
        <x:is>
          <x:t xml:space="preserve">https://investors.tranetechnologies.com</x:t>
        </x:is>
      </x:c>
      <x:c r="W338" s="160" t="inlineStr">
        <x:is>
          <x:t xml:space="preserve">NO</x:t>
        </x:is>
      </x:c>
      <x:c r="X338" s="160" t="inlineStr">
        <x:is>
          <x:t xml:space="preserve">NONE — DEVELOPMENT ONLY</x:t>
        </x:is>
      </x:c>
      <x:c r="Y338" s="160" t="inlineStr">
        <x:is>
          <x:t xml:space="preserve">Synthetic/adversarial model-development loop. No historical outcome is claimed; no accuracy point is awarded.</x:t>
        </x:is>
      </x:c>
    </x:row>
    <x:row r="339">
      <x:c r="A339" s="160" t="inlineStr">
        <x:is>
          <x:t xml:space="preserve">ML0334</x:t>
        </x:is>
      </x:c>
      <x:c r="B339" s="160" t="inlineStr">
        <x:is>
          <x:t xml:space="preserve">ARG-021</x:t>
        </x:is>
      </x:c>
      <x:c r="C339" s="160" t="inlineStr">
        <x:is>
          <x:t xml:space="preserve">Trane Technologies</x:t>
        </x:is>
      </x:c>
      <x:c r="D339" s="160" t="inlineStr">
        <x:is>
          <x:t xml:space="preserve">TT</x:t>
        </x:is>
      </x:c>
      <x:c r="E339" s="160" t="inlineStr">
        <x:is>
          <x:t xml:space="preserve">Power &amp; Grid</x:t>
        </x:is>
      </x:c>
      <x:c r="F339" s="160" t="inlineStr">
        <x:is>
          <x:t xml:space="preserve">Development</x:t>
        </x:is>
      </x:c>
      <x:c r="G339" s="160" t="inlineStr">
        <x:is>
          <x:t xml:space="preserve">S14</x:t>
        </x:is>
      </x:c>
      <x:c r="H339" s="160" t="inlineStr">
        <x:is>
          <x:t xml:space="preserve">M&amp;A / Organic Growth Separation</x:t>
        </x:is>
      </x:c>
      <x:c r="I339" s="160" t="inlineStr">
        <x:is>
          <x:t xml:space="preserve">Stewardship</x:t>
        </x:is>
      </x:c>
      <x:c r="J339" s="160" t="inlineStr">
        <x:is>
          <x:t xml:space="preserve">Acquisition-driven growth masks weak organic economics or poor incremental ROIC.</x:t>
        </x:is>
      </x:c>
      <x:c r="K339" s="160" t="inlineStr">
        <x:is>
          <x:t xml:space="preserve">Equipment backlog plus aftermarket/service</x:t>
        </x:is>
      </x:c>
      <x:c r="L339" s="160" t="inlineStr">
        <x:is>
          <x:t xml:space="preserve">Owner earnings + reverse DCF</x:t>
        </x:is>
      </x:c>
      <x:c r="M339" s="160" t="inlineStr">
        <x:is>
          <x:t xml:space="preserve">WAIT FOR PRICE</x:t>
        </x:is>
      </x:c>
      <x:c r="N339" s="160" t="inlineStr">
        <x:is>
          <x:t xml:space="preserve">R-MA-01</x:t>
        </x:is>
      </x:c>
      <x:c r="O339" s="160" t="inlineStr">
        <x:is>
          <x:t xml:space="preserve">HARDENED</x:t>
        </x:is>
      </x:c>
      <x:c r="P339" s="160" t="inlineStr">
        <x:is>
          <x:t xml:space="preserve">ROBUST WITH RESIDUAL</x:t>
        </x:is>
      </x:c>
      <x:c r="Q339" s="160" t="inlineStr">
        <x:is>
          <x:t xml:space="preserve">The hardened rule catches the stress. Residual risk is mainly evidence quality, threshold calibration or interaction with another gate.</x:t>
        </x:is>
      </x:c>
      <x:c r="R339" s="160" t="inlineStr">
        <x:is>
          <x:t xml:space="preserve">Bridge organic growth, acquired growth, purchase price, integration costs and acquisition-cohort ROIC.</x:t>
        </x:is>
      </x:c>
      <x:c r="S339" s="160" t="inlineStr">
        <x:is>
          <x:t xml:space="preserve">NO</x:t>
        </x:is>
      </x:c>
      <x:c r="T339" s="160" t="inlineStr">
        <x:is>
          <x:t xml:space="preserve">HARDENED</x:t>
        </x:is>
      </x:c>
      <x:c r="U339" s="160" t="inlineStr">
        <x:is>
          <x:t xml:space="preserve">V10.5-SIM38</x:t>
        </x:is>
      </x:c>
      <x:c r="V339" s="160" t="inlineStr">
        <x:is>
          <x:t xml:space="preserve">https://investors.tranetechnologies.com</x:t>
        </x:is>
      </x:c>
      <x:c r="W339" s="160" t="inlineStr">
        <x:is>
          <x:t xml:space="preserve">NO</x:t>
        </x:is>
      </x:c>
      <x:c r="X339" s="160" t="inlineStr">
        <x:is>
          <x:t xml:space="preserve">NONE — DEVELOPMENT ONLY</x:t>
        </x:is>
      </x:c>
      <x:c r="Y339" s="160" t="inlineStr">
        <x:is>
          <x:t xml:space="preserve">Synthetic/adversarial model-development loop. No historical outcome is claimed; no accuracy point is awarded.</x:t>
        </x:is>
      </x:c>
    </x:row>
    <x:row r="340">
      <x:c r="A340" s="160" t="inlineStr">
        <x:is>
          <x:t xml:space="preserve">ML0335</x:t>
        </x:is>
      </x:c>
      <x:c r="B340" s="160" t="inlineStr">
        <x:is>
          <x:t xml:space="preserve">ARG-021</x:t>
        </x:is>
      </x:c>
      <x:c r="C340" s="160" t="inlineStr">
        <x:is>
          <x:t xml:space="preserve">Trane Technologies</x:t>
        </x:is>
      </x:c>
      <x:c r="D340" s="160" t="inlineStr">
        <x:is>
          <x:t xml:space="preserve">TT</x:t>
        </x:is>
      </x:c>
      <x:c r="E340" s="160" t="inlineStr">
        <x:is>
          <x:t xml:space="preserve">Power &amp; Grid</x:t>
        </x:is>
      </x:c>
      <x:c r="F340" s="160" t="inlineStr">
        <x:is>
          <x:t xml:space="preserve">Development</x:t>
        </x:is>
      </x:c>
      <x:c r="G340" s="160" t="inlineStr">
        <x:is>
          <x:t xml:space="preserve">S15</x:t>
        </x:is>
      </x:c>
      <x:c r="H340" s="160" t="inlineStr">
        <x:is>
          <x:t xml:space="preserve">Financing / Dilution Per Share</x:t>
        </x:is>
      </x:c>
      <x:c r="I340" s="160" t="inlineStr">
        <x:is>
          <x:t xml:space="preserve">Stewardship</x:t>
        </x:is>
      </x:c>
      <x:c r="J340" s="160" t="inlineStr">
        <x:is>
          <x:t xml:space="preserve">Cash balance or revenue growth improves while financing causes material per-share value leakage.</x:t>
        </x:is>
      </x:c>
      <x:c r="K340" s="160" t="inlineStr">
        <x:is>
          <x:t xml:space="preserve">Equipment backlog plus aftermarket/service</x:t>
        </x:is>
      </x:c>
      <x:c r="L340" s="160" t="inlineStr">
        <x:is>
          <x:t xml:space="preserve">Owner earnings + reverse DCF</x:t>
        </x:is>
      </x:c>
      <x:c r="M340" s="160" t="inlineStr">
        <x:is>
          <x:t xml:space="preserve">WAIT FOR PRICE</x:t>
        </x:is>
      </x:c>
      <x:c r="N340" s="160" t="inlineStr">
        <x:is>
          <x:t xml:space="preserve">R-DIL-01</x:t>
        </x:is>
      </x:c>
      <x:c r="O340" s="160" t="inlineStr">
        <x:is>
          <x:t xml:space="preserve">HARDENED</x:t>
        </x:is>
      </x:c>
      <x:c r="P340" s="160" t="inlineStr">
        <x:is>
          <x:t xml:space="preserve">ROBUST WITH RESIDUAL</x:t>
        </x:is>
      </x:c>
      <x:c r="Q340" s="160" t="inlineStr">
        <x:is>
          <x:t xml:space="preserve">The hardened rule catches the stress. Residual risk is mainly evidence quality, threshold calibration or interaction with another gate.</x:t>
        </x:is>
      </x:c>
      <x:c r="R340" s="160" t="inlineStr">
        <x:is>
          <x:t xml:space="preserve">Reconcile share-count growth, SBC, equity issuance, buybacks and net cash changes to per-share intrinsic value.</x:t>
        </x:is>
      </x:c>
      <x:c r="S340" s="160" t="inlineStr">
        <x:is>
          <x:t xml:space="preserve">NO</x:t>
        </x:is>
      </x:c>
      <x:c r="T340" s="160" t="inlineStr">
        <x:is>
          <x:t xml:space="preserve">HARDENED</x:t>
        </x:is>
      </x:c>
      <x:c r="U340" s="160" t="inlineStr">
        <x:is>
          <x:t xml:space="preserve">V10.5-SIM38</x:t>
        </x:is>
      </x:c>
      <x:c r="V340" s="160" t="inlineStr">
        <x:is>
          <x:t xml:space="preserve">https://investors.tranetechnologies.com</x:t>
        </x:is>
      </x:c>
      <x:c r="W340" s="160" t="inlineStr">
        <x:is>
          <x:t xml:space="preserve">NO</x:t>
        </x:is>
      </x:c>
      <x:c r="X340" s="160" t="inlineStr">
        <x:is>
          <x:t xml:space="preserve">NONE — DEVELOPMENT ONLY</x:t>
        </x:is>
      </x:c>
      <x:c r="Y340" s="160" t="inlineStr">
        <x:is>
          <x:t xml:space="preserve">Synthetic/adversarial model-development loop. No historical outcome is claimed; no accuracy point is awarded.</x:t>
        </x:is>
      </x:c>
    </x:row>
    <x:row r="341">
      <x:c r="A341" s="160" t="inlineStr">
        <x:is>
          <x:t xml:space="preserve">ML0336</x:t>
        </x:is>
      </x:c>
      <x:c r="B341" s="160" t="inlineStr">
        <x:is>
          <x:t xml:space="preserve">ARG-021</x:t>
        </x:is>
      </x:c>
      <x:c r="C341" s="160" t="inlineStr">
        <x:is>
          <x:t xml:space="preserve">Trane Technologies</x:t>
        </x:is>
      </x:c>
      <x:c r="D341" s="160" t="inlineStr">
        <x:is>
          <x:t xml:space="preserve">TT</x:t>
        </x:is>
      </x:c>
      <x:c r="E341" s="160" t="inlineStr">
        <x:is>
          <x:t xml:space="preserve">Power &amp; Grid</x:t>
        </x:is>
      </x:c>
      <x:c r="F341" s="160" t="inlineStr">
        <x:is>
          <x:t xml:space="preserve">Development</x:t>
        </x:is>
      </x:c>
      <x:c r="G341" s="160" t="inlineStr">
        <x:is>
          <x:t xml:space="preserve">S16</x:t>
        </x:is>
      </x:c>
      <x:c r="H341" s="160" t="inlineStr">
        <x:is>
          <x:t xml:space="preserve">Concentration / Tail Risk</x:t>
        </x:is>
      </x:c>
      <x:c r="I341" s="160" t="inlineStr">
        <x:is>
          <x:t xml:space="preserve">Survival</x:t>
        </x:is>
      </x:c>
      <x:c r="J341" s="160" t="inlineStr">
        <x:is>
          <x:t xml:space="preserve">A concentrated supplier, geography, customer, product, patent, regulatory or technology dependency creates asymmetric permanent-loss risk.</x:t>
        </x:is>
      </x:c>
      <x:c r="K341" s="160" t="inlineStr">
        <x:is>
          <x:t xml:space="preserve">Equipment backlog plus aftermarket/service</x:t>
        </x:is>
      </x:c>
      <x:c r="L341" s="160" t="inlineStr">
        <x:is>
          <x:t xml:space="preserve">Owner earnings + reverse DCF</x:t>
        </x:is>
      </x:c>
      <x:c r="M341" s="160" t="inlineStr">
        <x:is>
          <x:t xml:space="preserve">WAIT FOR PRICE</x:t>
        </x:is>
      </x:c>
      <x:c r="N341" s="160" t="inlineStr">
        <x:is>
          <x:t xml:space="preserve">R-TAIL-01</x:t>
        </x:is>
      </x:c>
      <x:c r="O341" s="160" t="inlineStr">
        <x:is>
          <x:t xml:space="preserve">HARDENED</x:t>
        </x:is>
      </x:c>
      <x:c r="P341" s="160" t="inlineStr">
        <x:is>
          <x:t xml:space="preserve">ROBUST WITH RESIDUAL</x:t>
        </x:is>
      </x:c>
      <x:c r="Q341" s="160" t="inlineStr">
        <x:is>
          <x:t xml:space="preserve">The hardened rule catches the stress. Residual risk is mainly evidence quality, threshold calibration or interaction with another gate.</x:t>
        </x:is>
      </x:c>
      <x:c r="R341" s="160" t="inlineStr">
        <x:is>
          <x:t xml:space="preserve">Maintain an explicit concentration/tail-risk register with probability, severity, mitigation and required margin-of-safety premium.</x:t>
        </x:is>
      </x:c>
      <x:c r="S341" s="160" t="inlineStr">
        <x:is>
          <x:t xml:space="preserve">NO</x:t>
        </x:is>
      </x:c>
      <x:c r="T341" s="160" t="inlineStr">
        <x:is>
          <x:t xml:space="preserve">HARDENED</x:t>
        </x:is>
      </x:c>
      <x:c r="U341" s="160" t="inlineStr">
        <x:is>
          <x:t xml:space="preserve">V10.5-SIM38</x:t>
        </x:is>
      </x:c>
      <x:c r="V341" s="160" t="inlineStr">
        <x:is>
          <x:t xml:space="preserve">https://investors.tranetechnologies.com</x:t>
        </x:is>
      </x:c>
      <x:c r="W341" s="160" t="inlineStr">
        <x:is>
          <x:t xml:space="preserve">NO</x:t>
        </x:is>
      </x:c>
      <x:c r="X341" s="160" t="inlineStr">
        <x:is>
          <x:t xml:space="preserve">NONE — DEVELOPMENT ONLY</x:t>
        </x:is>
      </x:c>
      <x:c r="Y341" s="160" t="inlineStr">
        <x:is>
          <x:t xml:space="preserve">Synthetic/adversarial model-development loop. No historical outcome is claimed; no accuracy point is awarded.</x:t>
        </x:is>
      </x:c>
    </x:row>
    <x:row r="342">
      <x:c r="A342" s="160" t="inlineStr">
        <x:is>
          <x:t xml:space="preserve">ML0337</x:t>
        </x:is>
      </x:c>
      <x:c r="B342" s="160" t="inlineStr">
        <x:is>
          <x:t xml:space="preserve">ARG-022</x:t>
        </x:is>
      </x:c>
      <x:c r="C342" s="160" t="inlineStr">
        <x:is>
          <x:t xml:space="preserve">International Flavors &amp; Fragrances</x:t>
        </x:is>
      </x:c>
      <x:c r="D342" s="160" t="inlineStr">
        <x:is>
          <x:t xml:space="preserve">IFF</x:t>
        </x:is>
      </x:c>
      <x:c r="E342" s="160" t="inlineStr">
        <x:is>
          <x:t xml:space="preserve">Specialty Ingredients</x:t>
        </x:is>
      </x:c>
      <x:c r="F342" s="160" t="inlineStr">
        <x:is>
          <x:t xml:space="preserve">Development</x:t>
        </x:is>
      </x:c>
      <x:c r="G342" s="160" t="inlineStr">
        <x:is>
          <x:t xml:space="preserve">S01</x:t>
        </x:is>
      </x:c>
      <x:c r="H342" s="160" t="inlineStr">
        <x:is>
          <x:t xml:space="preserve">Understanding Gate</x:t>
        </x:is>
      </x:c>
      <x:c r="I342" s="160" t="inlineStr">
        <x:is>
          <x:t xml:space="preserve">Understanding</x:t>
        </x:is>
      </x:c>
      <x:c r="J342" s="160" t="inlineStr">
        <x:is>
          <x:t xml:space="preserve">Causal engine / customer ROI chain breaks under a misleading headline KPI.</x:t>
        </x:is>
      </x:c>
      <x:c r="K342" s="160" t="inlineStr">
        <x:is>
          <x:t xml:space="preserve">Customer formulations and portfolio mix minus acquisition burden</x:t>
        </x:is>
      </x:c>
      <x:c r="L342" s="160" t="inlineStr">
        <x:is>
          <x:t xml:space="preserve">Normalized FCF + SOTP</x:t>
        </x:is>
      </x:c>
      <x:c r="M342" s="160" t="inlineStr">
        <x:is>
          <x:t xml:space="preserve">HOLD / BUY LOWER</x:t>
        </x:is>
      </x:c>
      <x:c r="N342" s="160" t="inlineStr">
        <x:is>
          <x:t xml:space="preserve">R-ENG-01</x:t>
        </x:is>
      </x:c>
      <x:c r="O342" s="160" t="inlineStr">
        <x:is>
          <x:t xml:space="preserve">HARDENED</x:t>
        </x:is>
      </x:c>
      <x:c r="P342" s="160" t="inlineStr">
        <x:is>
          <x:t xml:space="preserve">ROBUST WITH RESIDUAL</x:t>
        </x:is>
      </x:c>
      <x:c r="Q342" s="160" t="inlineStr">
        <x:is>
          <x:t xml:space="preserve">The hardened rule catches the stress. Residual risk is mainly evidence quality, threshold calibration or interaction with another gate.</x:t>
        </x:is>
      </x:c>
      <x:c r="R342" s="160" t="inlineStr">
        <x:is>
          <x:t xml:space="preserve">Force an explicit engine tree: customer job → unit economics → revenue driver → owner-value bridge.</x:t>
        </x:is>
      </x:c>
      <x:c r="S342" s="160" t="inlineStr">
        <x:is>
          <x:t xml:space="preserve">NO</x:t>
        </x:is>
      </x:c>
      <x:c r="T342" s="160" t="inlineStr">
        <x:is>
          <x:t xml:space="preserve">HARDENED</x:t>
        </x:is>
      </x:c>
      <x:c r="U342" s="160" t="inlineStr">
        <x:is>
          <x:t xml:space="preserve">V10.5-SIM38</x:t>
        </x:is>
      </x:c>
      <x:c r="V342" s="160" t="inlineStr">
        <x:is>
          <x:t xml:space="preserve">https://ir.iff.com</x:t>
        </x:is>
      </x:c>
      <x:c r="W342" s="160" t="inlineStr">
        <x:is>
          <x:t xml:space="preserve">NO</x:t>
        </x:is>
      </x:c>
      <x:c r="X342" s="160" t="inlineStr">
        <x:is>
          <x:t xml:space="preserve">NONE — DEVELOPMENT ONLY</x:t>
        </x:is>
      </x:c>
      <x:c r="Y342" s="160" t="inlineStr">
        <x:is>
          <x:t xml:space="preserve">Synthetic/adversarial model-development loop. No historical outcome is claimed; no accuracy point is awarded.</x:t>
        </x:is>
      </x:c>
    </x:row>
    <x:row r="343">
      <x:c r="A343" s="160" t="inlineStr">
        <x:is>
          <x:t xml:space="preserve">ML0338</x:t>
        </x:is>
      </x:c>
      <x:c r="B343" s="160" t="inlineStr">
        <x:is>
          <x:t xml:space="preserve">ARG-022</x:t>
        </x:is>
      </x:c>
      <x:c r="C343" s="160" t="inlineStr">
        <x:is>
          <x:t xml:space="preserve">International Flavors &amp; Fragrances</x:t>
        </x:is>
      </x:c>
      <x:c r="D343" s="160" t="inlineStr">
        <x:is>
          <x:t xml:space="preserve">IFF</x:t>
        </x:is>
      </x:c>
      <x:c r="E343" s="160" t="inlineStr">
        <x:is>
          <x:t xml:space="preserve">Specialty Ingredients</x:t>
        </x:is>
      </x:c>
      <x:c r="F343" s="160" t="inlineStr">
        <x:is>
          <x:t xml:space="preserve">Development</x:t>
        </x:is>
      </x:c>
      <x:c r="G343" s="160" t="inlineStr">
        <x:is>
          <x:t xml:space="preserve">S02</x:t>
        </x:is>
      </x:c>
      <x:c r="H343" s="160" t="inlineStr">
        <x:is>
          <x:t xml:space="preserve">Owner Earnings Normalization</x:t>
        </x:is>
      </x:c>
      <x:c r="I343" s="160" t="inlineStr">
        <x:is>
          <x:t xml:space="preserve">Owner Earnings</x:t>
        </x:is>
      </x:c>
      <x:c r="J343" s="160" t="inlineStr">
        <x:is>
          <x:t xml:space="preserve">Reported earnings/FCF overstates economic cash because recurring reinvestment or non-cash compensation is misclassified.</x:t>
        </x:is>
      </x:c>
      <x:c r="K343" s="160" t="inlineStr">
        <x:is>
          <x:t xml:space="preserve">Customer formulations and portfolio mix minus acquisition burden</x:t>
        </x:is>
      </x:c>
      <x:c r="L343" s="160" t="inlineStr">
        <x:is>
          <x:t xml:space="preserve">Normalized FCF + SOTP</x:t>
        </x:is>
      </x:c>
      <x:c r="M343" s="160" t="inlineStr">
        <x:is>
          <x:t xml:space="preserve">HOLD / BUY LOWER</x:t>
        </x:is>
      </x:c>
      <x:c r="N343" s="160" t="inlineStr">
        <x:is>
          <x:t xml:space="preserve">R-OE-01</x:t>
        </x:is>
      </x:c>
      <x:c r="O343" s="160" t="inlineStr">
        <x:is>
          <x:t xml:space="preserve">HARDENED</x:t>
        </x:is>
      </x:c>
      <x:c r="P343" s="160" t="inlineStr">
        <x:is>
          <x:t xml:space="preserve">ROBUST WITH RESIDUAL</x:t>
        </x:is>
      </x:c>
      <x:c r="Q343" s="160" t="inlineStr">
        <x:is>
          <x:t xml:space="preserve">The hardened rule catches the stress. Residual risk is mainly evidence quality, threshold calibration or interaction with another gate.</x:t>
        </x:is>
      </x:c>
      <x:c r="R343" s="160" t="inlineStr">
        <x:is>
          <x:t xml:space="preserve">Require a GAAP-to-economic-owner-cash bridge tailored to the business model.</x:t>
        </x:is>
      </x:c>
      <x:c r="S343" s="160" t="inlineStr">
        <x:is>
          <x:t xml:space="preserve">NO</x:t>
        </x:is>
      </x:c>
      <x:c r="T343" s="160" t="inlineStr">
        <x:is>
          <x:t xml:space="preserve">HARDENED</x:t>
        </x:is>
      </x:c>
      <x:c r="U343" s="160" t="inlineStr">
        <x:is>
          <x:t xml:space="preserve">V10.5-SIM38</x:t>
        </x:is>
      </x:c>
      <x:c r="V343" s="160" t="inlineStr">
        <x:is>
          <x:t xml:space="preserve">https://ir.iff.com</x:t>
        </x:is>
      </x:c>
      <x:c r="W343" s="160" t="inlineStr">
        <x:is>
          <x:t xml:space="preserve">NO</x:t>
        </x:is>
      </x:c>
      <x:c r="X343" s="160" t="inlineStr">
        <x:is>
          <x:t xml:space="preserve">NONE — DEVELOPMENT ONLY</x:t>
        </x:is>
      </x:c>
      <x:c r="Y343" s="160" t="inlineStr">
        <x:is>
          <x:t xml:space="preserve">Synthetic/adversarial model-development loop. No historical outcome is claimed; no accuracy point is awarded.</x:t>
        </x:is>
      </x:c>
    </x:row>
    <x:row r="344">
      <x:c r="A344" s="160" t="inlineStr">
        <x:is>
          <x:t xml:space="preserve">ML0339</x:t>
        </x:is>
      </x:c>
      <x:c r="B344" s="160" t="inlineStr">
        <x:is>
          <x:t xml:space="preserve">ARG-022</x:t>
        </x:is>
      </x:c>
      <x:c r="C344" s="160" t="inlineStr">
        <x:is>
          <x:t xml:space="preserve">International Flavors &amp; Fragrances</x:t>
        </x:is>
      </x:c>
      <x:c r="D344" s="160" t="inlineStr">
        <x:is>
          <x:t xml:space="preserve">IFF</x:t>
        </x:is>
      </x:c>
      <x:c r="E344" s="160" t="inlineStr">
        <x:is>
          <x:t xml:space="preserve">Specialty Ingredients</x:t>
        </x:is>
      </x:c>
      <x:c r="F344" s="160" t="inlineStr">
        <x:is>
          <x:t xml:space="preserve">Development</x:t>
        </x:is>
      </x:c>
      <x:c r="G344" s="160" t="inlineStr">
        <x:is>
          <x:t xml:space="preserve">S03</x:t>
        </x:is>
      </x:c>
      <x:c r="H344" s="160" t="inlineStr">
        <x:is>
          <x:t xml:space="preserve">Moat Durability</x:t>
        </x:is>
      </x:c>
      <x:c r="I344" s="160" t="inlineStr">
        <x:is>
          <x:t xml:space="preserve">Moat 2036</x:t>
        </x:is>
      </x:c>
      <x:c r="J344" s="160" t="inlineStr">
        <x:is>
          <x:t xml:space="preserve">Growth continues while switching friction, pricing power or replacement difficulty quietly weakens.</x:t>
        </x:is>
      </x:c>
      <x:c r="K344" s="160" t="inlineStr">
        <x:is>
          <x:t xml:space="preserve">Customer formulations and portfolio mix minus acquisition burden</x:t>
        </x:is>
      </x:c>
      <x:c r="L344" s="160" t="inlineStr">
        <x:is>
          <x:t xml:space="preserve">Normalized FCF + SOTP</x:t>
        </x:is>
      </x:c>
      <x:c r="M344" s="160" t="inlineStr">
        <x:is>
          <x:t xml:space="preserve">HOLD / BUY LOWER</x:t>
        </x:is>
      </x:c>
      <x:c r="N344" s="160" t="inlineStr">
        <x:is>
          <x:t xml:space="preserve">R-MOAT-01</x:t>
        </x:is>
      </x:c>
      <x:c r="O344" s="160" t="inlineStr">
        <x:is>
          <x:t xml:space="preserve">HARDENED</x:t>
        </x:is>
      </x:c>
      <x:c r="P344" s="160" t="inlineStr">
        <x:is>
          <x:t xml:space="preserve">ROBUST WITH RESIDUAL</x:t>
        </x:is>
      </x:c>
      <x:c r="Q344" s="160" t="inlineStr">
        <x:is>
          <x:t xml:space="preserve">The hardened rule catches the stress. Residual risk is mainly evidence quality, threshold calibration or interaction with another gate.</x:t>
        </x:is>
      </x:c>
      <x:c r="R344" s="160" t="inlineStr">
        <x:is>
          <x:t xml:space="preserve">Track moat telemetry separately from growth: retention, pricing, win/loss, replacement friction, installed-base behavior.</x:t>
        </x:is>
      </x:c>
      <x:c r="S344" s="160" t="inlineStr">
        <x:is>
          <x:t xml:space="preserve">NO</x:t>
        </x:is>
      </x:c>
      <x:c r="T344" s="160" t="inlineStr">
        <x:is>
          <x:t xml:space="preserve">HARDENED</x:t>
        </x:is>
      </x:c>
      <x:c r="U344" s="160" t="inlineStr">
        <x:is>
          <x:t xml:space="preserve">V10.5-SIM38</x:t>
        </x:is>
      </x:c>
      <x:c r="V344" s="160" t="inlineStr">
        <x:is>
          <x:t xml:space="preserve">https://ir.iff.com</x:t>
        </x:is>
      </x:c>
      <x:c r="W344" s="160" t="inlineStr">
        <x:is>
          <x:t xml:space="preserve">NO</x:t>
        </x:is>
      </x:c>
      <x:c r="X344" s="160" t="inlineStr">
        <x:is>
          <x:t xml:space="preserve">NONE — DEVELOPMENT ONLY</x:t>
        </x:is>
      </x:c>
      <x:c r="Y344" s="160" t="inlineStr">
        <x:is>
          <x:t xml:space="preserve">Synthetic/adversarial model-development loop. No historical outcome is claimed; no accuracy point is awarded.</x:t>
        </x:is>
      </x:c>
    </x:row>
    <x:row r="345">
      <x:c r="A345" s="160" t="inlineStr">
        <x:is>
          <x:t xml:space="preserve">ML0340</x:t>
        </x:is>
      </x:c>
      <x:c r="B345" s="160" t="inlineStr">
        <x:is>
          <x:t xml:space="preserve">ARG-022</x:t>
        </x:is>
      </x:c>
      <x:c r="C345" s="160" t="inlineStr">
        <x:is>
          <x:t xml:space="preserve">International Flavors &amp; Fragrances</x:t>
        </x:is>
      </x:c>
      <x:c r="D345" s="160" t="inlineStr">
        <x:is>
          <x:t xml:space="preserve">IFF</x:t>
        </x:is>
      </x:c>
      <x:c r="E345" s="160" t="inlineStr">
        <x:is>
          <x:t xml:space="preserve">Specialty Ingredients</x:t>
        </x:is>
      </x:c>
      <x:c r="F345" s="160" t="inlineStr">
        <x:is>
          <x:t xml:space="preserve">Development</x:t>
        </x:is>
      </x:c>
      <x:c r="G345" s="160" t="inlineStr">
        <x:is>
          <x:t xml:space="preserve">S04</x:t>
        </x:is>
      </x:c>
      <x:c r="H345" s="160" t="inlineStr">
        <x:is>
          <x:t xml:space="preserve">Stewardship / Capital Allocation</x:t>
        </x:is>
      </x:c>
      <x:c r="I345" s="160" t="inlineStr">
        <x:is>
          <x:t xml:space="preserve">Stewardship</x:t>
        </x:is>
      </x:c>
      <x:c r="J345" s="160" t="inlineStr">
        <x:is>
          <x:t xml:space="preserve">Management creates enterprise growth while destroying per-share value through M&amp;A, dilution, leverage or mistimed buybacks.</x:t>
        </x:is>
      </x:c>
      <x:c r="K345" s="160" t="inlineStr">
        <x:is>
          <x:t xml:space="preserve">Customer formulations and portfolio mix minus acquisition burden</x:t>
        </x:is>
      </x:c>
      <x:c r="L345" s="160" t="inlineStr">
        <x:is>
          <x:t xml:space="preserve">Normalized FCF + SOTP</x:t>
        </x:is>
      </x:c>
      <x:c r="M345" s="160" t="inlineStr">
        <x:is>
          <x:t xml:space="preserve">HOLD / BUY LOWER</x:t>
        </x:is>
      </x:c>
      <x:c r="N345" s="160" t="inlineStr">
        <x:is>
          <x:t xml:space="preserve">R-STEW-01</x:t>
        </x:is>
      </x:c>
      <x:c r="O345" s="160" t="inlineStr">
        <x:is>
          <x:t xml:space="preserve">HARDENED</x:t>
        </x:is>
      </x:c>
      <x:c r="P345" s="160" t="inlineStr">
        <x:is>
          <x:t xml:space="preserve">ROBUST WITH RESIDUAL</x:t>
        </x:is>
      </x:c>
      <x:c r="Q345" s="160" t="inlineStr">
        <x:is>
          <x:t xml:space="preserve">The hardened rule catches the stress. Residual risk is mainly evidence quality, threshold calibration or interaction with another gate.</x:t>
        </x:is>
      </x:c>
      <x:c r="R345" s="160" t="inlineStr">
        <x:is>
          <x:t xml:space="preserve">Evaluate capital allocation on a per-share basis using acquisition cohorts, dilution, leverage and repurchase price discipline.</x:t>
        </x:is>
      </x:c>
      <x:c r="S345" s="160" t="inlineStr">
        <x:is>
          <x:t xml:space="preserve">NO</x:t>
        </x:is>
      </x:c>
      <x:c r="T345" s="160" t="inlineStr">
        <x:is>
          <x:t xml:space="preserve">HARDENED</x:t>
        </x:is>
      </x:c>
      <x:c r="U345" s="160" t="inlineStr">
        <x:is>
          <x:t xml:space="preserve">V10.5-SIM38</x:t>
        </x:is>
      </x:c>
      <x:c r="V345" s="160" t="inlineStr">
        <x:is>
          <x:t xml:space="preserve">https://ir.iff.com</x:t>
        </x:is>
      </x:c>
      <x:c r="W345" s="160" t="inlineStr">
        <x:is>
          <x:t xml:space="preserve">NO</x:t>
        </x:is>
      </x:c>
      <x:c r="X345" s="160" t="inlineStr">
        <x:is>
          <x:t xml:space="preserve">NONE — DEVELOPMENT ONLY</x:t>
        </x:is>
      </x:c>
      <x:c r="Y345" s="160" t="inlineStr">
        <x:is>
          <x:t xml:space="preserve">Synthetic/adversarial model-development loop. No historical outcome is claimed; no accuracy point is awarded.</x:t>
        </x:is>
      </x:c>
    </x:row>
    <x:row r="346">
      <x:c r="A346" s="160" t="inlineStr">
        <x:is>
          <x:t xml:space="preserve">ML0341</x:t>
        </x:is>
      </x:c>
      <x:c r="B346" s="160" t="inlineStr">
        <x:is>
          <x:t xml:space="preserve">ARG-022</x:t>
        </x:is>
      </x:c>
      <x:c r="C346" s="160" t="inlineStr">
        <x:is>
          <x:t xml:space="preserve">International Flavors &amp; Fragrances</x:t>
        </x:is>
      </x:c>
      <x:c r="D346" s="160" t="inlineStr">
        <x:is>
          <x:t xml:space="preserve">IFF</x:t>
        </x:is>
      </x:c>
      <x:c r="E346" s="160" t="inlineStr">
        <x:is>
          <x:t xml:space="preserve">Specialty Ingredients</x:t>
        </x:is>
      </x:c>
      <x:c r="F346" s="160" t="inlineStr">
        <x:is>
          <x:t xml:space="preserve">Development</x:t>
        </x:is>
      </x:c>
      <x:c r="G346" s="160" t="inlineStr">
        <x:is>
          <x:t xml:space="preserve">S05</x:t>
        </x:is>
      </x:c>
      <x:c r="H346" s="160" t="inlineStr">
        <x:is>
          <x:t xml:space="preserve">Survival / Funding</x:t>
        </x:is>
      </x:c>
      <x:c r="I346" s="160" t="inlineStr">
        <x:is>
          <x:t xml:space="preserve">Survival</x:t>
        </x:is>
      </x:c>
      <x:c r="J346" s="160" t="inlineStr">
        <x:is>
          <x:t xml:space="preserve">A plausible bear case exposes refinancing, liquidity, covenant, reserve, regulatory or operational fragility.</x:t>
        </x:is>
      </x:c>
      <x:c r="K346" s="160" t="inlineStr">
        <x:is>
          <x:t xml:space="preserve">Customer formulations and portfolio mix minus acquisition burden</x:t>
        </x:is>
      </x:c>
      <x:c r="L346" s="160" t="inlineStr">
        <x:is>
          <x:t xml:space="preserve">Normalized FCF + SOTP</x:t>
        </x:is>
      </x:c>
      <x:c r="M346" s="160" t="inlineStr">
        <x:is>
          <x:t xml:space="preserve">HOLD / BUY LOWER</x:t>
        </x:is>
      </x:c>
      <x:c r="N346" s="160" t="inlineStr">
        <x:is>
          <x:t xml:space="preserve">R-SURV-01</x:t>
        </x:is>
      </x:c>
      <x:c r="O346" s="160" t="inlineStr">
        <x:is>
          <x:t xml:space="preserve">HARDENED</x:t>
        </x:is>
      </x:c>
      <x:c r="P346" s="160" t="inlineStr">
        <x:is>
          <x:t xml:space="preserve">ROBUST WITH RESIDUAL</x:t>
        </x:is>
      </x:c>
      <x:c r="Q346" s="160" t="inlineStr">
        <x:is>
          <x:t xml:space="preserve">The hardened rule catches the stress. Residual risk is mainly evidence quality, threshold calibration or interaction with another gate.</x:t>
        </x:is>
      </x:c>
      <x:c r="R346" s="160" t="inlineStr">
        <x:is>
          <x:t xml:space="preserve">Run a company-specific survival bridge under a severe-but-plausible bear case before any upside underwriting.</x:t>
        </x:is>
      </x:c>
      <x:c r="S346" s="160" t="inlineStr">
        <x:is>
          <x:t xml:space="preserve">NO</x:t>
        </x:is>
      </x:c>
      <x:c r="T346" s="160" t="inlineStr">
        <x:is>
          <x:t xml:space="preserve">HARDENED</x:t>
        </x:is>
      </x:c>
      <x:c r="U346" s="160" t="inlineStr">
        <x:is>
          <x:t xml:space="preserve">V10.5-SIM38</x:t>
        </x:is>
      </x:c>
      <x:c r="V346" s="160" t="inlineStr">
        <x:is>
          <x:t xml:space="preserve">https://ir.iff.com</x:t>
        </x:is>
      </x:c>
      <x:c r="W346" s="160" t="inlineStr">
        <x:is>
          <x:t xml:space="preserve">NO</x:t>
        </x:is>
      </x:c>
      <x:c r="X346" s="160" t="inlineStr">
        <x:is>
          <x:t xml:space="preserve">NONE — DEVELOPMENT ONLY</x:t>
        </x:is>
      </x:c>
      <x:c r="Y346" s="160" t="inlineStr">
        <x:is>
          <x:t xml:space="preserve">Synthetic/adversarial model-development loop. No historical outcome is claimed; no accuracy point is awarded.</x:t>
        </x:is>
      </x:c>
    </x:row>
    <x:row r="347">
      <x:c r="A347" s="160" t="inlineStr">
        <x:is>
          <x:t xml:space="preserve">ML0342</x:t>
        </x:is>
      </x:c>
      <x:c r="B347" s="160" t="inlineStr">
        <x:is>
          <x:t xml:space="preserve">ARG-022</x:t>
        </x:is>
      </x:c>
      <x:c r="C347" s="160" t="inlineStr">
        <x:is>
          <x:t xml:space="preserve">International Flavors &amp; Fragrances</x:t>
        </x:is>
      </x:c>
      <x:c r="D347" s="160" t="inlineStr">
        <x:is>
          <x:t xml:space="preserve">IFF</x:t>
        </x:is>
      </x:c>
      <x:c r="E347" s="160" t="inlineStr">
        <x:is>
          <x:t xml:space="preserve">Specialty Ingredients</x:t>
        </x:is>
      </x:c>
      <x:c r="F347" s="160" t="inlineStr">
        <x:is>
          <x:t xml:space="preserve">Development</x:t>
        </x:is>
      </x:c>
      <x:c r="G347" s="160" t="inlineStr">
        <x:is>
          <x:t xml:space="preserve">S06</x:t>
        </x:is>
      </x:c>
      <x:c r="H347" s="160" t="inlineStr">
        <x:is>
          <x:t xml:space="preserve">Margin of Safety</x:t>
        </x:is>
      </x:c>
      <x:c r="I347" s="160" t="inlineStr">
        <x:is>
          <x:t xml:space="preserve">Margin of Safety</x:t>
        </x:is>
      </x:c>
      <x:c r="J347" s="160" t="inlineStr">
        <x:is>
          <x:t xml:space="preserve">Business quality is high but the price embeds a fragile bull case.</x:t>
        </x:is>
      </x:c>
      <x:c r="K347" s="160" t="inlineStr">
        <x:is>
          <x:t xml:space="preserve">Customer formulations and portfolio mix minus acquisition burden</x:t>
        </x:is>
      </x:c>
      <x:c r="L347" s="160" t="inlineStr">
        <x:is>
          <x:t xml:space="preserve">Normalized FCF + SOTP</x:t>
        </x:is>
      </x:c>
      <x:c r="M347" s="160" t="inlineStr">
        <x:is>
          <x:t xml:space="preserve">HOLD / BUY LOWER</x:t>
        </x:is>
      </x:c>
      <x:c r="N347" s="160" t="inlineStr">
        <x:is>
          <x:t xml:space="preserve">R-MOS-01</x:t>
        </x:is>
      </x:c>
      <x:c r="O347" s="160" t="inlineStr">
        <x:is>
          <x:t xml:space="preserve">HARDENED</x:t>
        </x:is>
      </x:c>
      <x:c r="P347" s="160" t="inlineStr">
        <x:is>
          <x:t xml:space="preserve">ROBUST WITH RESIDUAL</x:t>
        </x:is>
      </x:c>
      <x:c r="Q347" s="160" t="inlineStr">
        <x:is>
          <x:t xml:space="preserve">The hardened rule catches the stress. Residual risk is mainly evidence quality, threshold calibration or interaction with another gate.</x:t>
        </x:is>
      </x:c>
      <x:c r="R347" s="160" t="inlineStr">
        <x:is>
          <x:t xml:space="preserve">Separate business-quality score from price decision; require reverse valuation and bear/base/bull IV ranges.</x:t>
        </x:is>
      </x:c>
      <x:c r="S347" s="160" t="inlineStr">
        <x:is>
          <x:t xml:space="preserve">NO</x:t>
        </x:is>
      </x:c>
      <x:c r="T347" s="160" t="inlineStr">
        <x:is>
          <x:t xml:space="preserve">HARDENED</x:t>
        </x:is>
      </x:c>
      <x:c r="U347" s="160" t="inlineStr">
        <x:is>
          <x:t xml:space="preserve">V10.5-SIM38</x:t>
        </x:is>
      </x:c>
      <x:c r="V347" s="160" t="inlineStr">
        <x:is>
          <x:t xml:space="preserve">https://ir.iff.com</x:t>
        </x:is>
      </x:c>
      <x:c r="W347" s="160" t="inlineStr">
        <x:is>
          <x:t xml:space="preserve">NO</x:t>
        </x:is>
      </x:c>
      <x:c r="X347" s="160" t="inlineStr">
        <x:is>
          <x:t xml:space="preserve">NONE — DEVELOPMENT ONLY</x:t>
        </x:is>
      </x:c>
      <x:c r="Y347" s="160" t="inlineStr">
        <x:is>
          <x:t xml:space="preserve">Synthetic/adversarial model-development loop. No historical outcome is claimed; no accuracy point is awarded.</x:t>
        </x:is>
      </x:c>
    </x:row>
    <x:row r="348">
      <x:c r="A348" s="160" t="inlineStr">
        <x:is>
          <x:t xml:space="preserve">ML0343</x:t>
        </x:is>
      </x:c>
      <x:c r="B348" s="160" t="inlineStr">
        <x:is>
          <x:t xml:space="preserve">ARG-022</x:t>
        </x:is>
      </x:c>
      <x:c r="C348" s="160" t="inlineStr">
        <x:is>
          <x:t xml:space="preserve">International Flavors &amp; Fragrances</x:t>
        </x:is>
      </x:c>
      <x:c r="D348" s="160" t="inlineStr">
        <x:is>
          <x:t xml:space="preserve">IFF</x:t>
        </x:is>
      </x:c>
      <x:c r="E348" s="160" t="inlineStr">
        <x:is>
          <x:t xml:space="preserve">Specialty Ingredients</x:t>
        </x:is>
      </x:c>
      <x:c r="F348" s="160" t="inlineStr">
        <x:is>
          <x:t xml:space="preserve">Development</x:t>
        </x:is>
      </x:c>
      <x:c r="G348" s="160" t="inlineStr">
        <x:is>
          <x:t xml:space="preserve">S07</x:t>
        </x:is>
      </x:c>
      <x:c r="H348" s="160" t="inlineStr">
        <x:is>
          <x:t xml:space="preserve">Sector Shock</x:t>
        </x:is>
      </x:c>
      <x:c r="I348" s="160" t="inlineStr">
        <x:is>
          <x:t xml:space="preserve">Sector-specific</x:t>
        </x:is>
      </x:c>
      <x:c r="J348" s="160" t="inlineStr">
        <x:is>
          <x:t xml:space="preserve">Price/mix holds while customer destocking, volume softness, integration debt or formulation substitution weakens normalized FCF.</x:t>
        </x:is>
      </x:c>
      <x:c r="K348" s="160" t="inlineStr">
        <x:is>
          <x:t xml:space="preserve">Customer formulations and portfolio mix minus acquisition burden</x:t>
        </x:is>
      </x:c>
      <x:c r="L348" s="160" t="inlineStr">
        <x:is>
          <x:t xml:space="preserve">Normalized FCF + SOTP</x:t>
        </x:is>
      </x:c>
      <x:c r="M348" s="160" t="inlineStr">
        <x:is>
          <x:t xml:space="preserve">HOLD / BUY LOWER</x:t>
        </x:is>
      </x:c>
      <x:c r="N348" s="160" t="inlineStr">
        <x:is>
          <x:t xml:space="preserve">R-SECTOR-SPECIALTY-INGREDIENTS</x:t>
        </x:is>
      </x:c>
      <x:c r="O348" s="160" t="inlineStr">
        <x:is>
          <x:t xml:space="preserve">UNFORMED</x:t>
        </x:is>
      </x:c>
      <x:c r="P348" s="160" t="inlineStr">
        <x:is>
          <x:t xml:space="preserve">WEAKNESS EXPOSED</x:t>
        </x:is>
      </x:c>
      <x:c r="Q348" s="160" t="inlineStr">
        <x:is>
          <x:t xml:space="preserve">The frozen V10 gate family is directionally right, but the test lacks a sufficiently explicit mechanical implementation.</x:t>
        </x:is>
      </x:c>
      <x:c r="R348" s="160" t="inlineStr">
        <x:is>
          <x:t xml:space="preserve">Add a sector-specific transmission map with leading operating sensors, not only market-price variables. Sector rule: Price/mix holds while customer destocking, volume softness, integration debt or formulation substitution weakens normalized FCF.</x:t>
        </x:is>
      </x:c>
      <x:c r="S348" s="160" t="inlineStr">
        <x:is>
          <x:t xml:space="preserve">NO</x:t>
        </x:is>
      </x:c>
      <x:c r="T348" s="160" t="inlineStr">
        <x:is>
          <x:t xml:space="preserve">UNFORMED</x:t>
        </x:is>
      </x:c>
      <x:c r="U348" s="160" t="inlineStr">
        <x:is>
          <x:t xml:space="preserve">V10.5-SIM38</x:t>
        </x:is>
      </x:c>
      <x:c r="V348" s="160" t="inlineStr">
        <x:is>
          <x:t xml:space="preserve">https://ir.iff.com</x:t>
        </x:is>
      </x:c>
      <x:c r="W348" s="160" t="inlineStr">
        <x:is>
          <x:t xml:space="preserve">NO</x:t>
        </x:is>
      </x:c>
      <x:c r="X348" s="160" t="inlineStr">
        <x:is>
          <x:t xml:space="preserve">NONE — DEVELOPMENT ONLY</x:t>
        </x:is>
      </x:c>
      <x:c r="Y348" s="160" t="inlineStr">
        <x:is>
          <x:t xml:space="preserve">Synthetic/adversarial model-development loop. No historical outcome is claimed; no accuracy point is awarded.</x:t>
        </x:is>
      </x:c>
    </x:row>
    <x:row r="349">
      <x:c r="A349" s="160" t="inlineStr">
        <x:is>
          <x:t xml:space="preserve">ML0344</x:t>
        </x:is>
      </x:c>
      <x:c r="B349" s="160" t="inlineStr">
        <x:is>
          <x:t xml:space="preserve">ARG-022</x:t>
        </x:is>
      </x:c>
      <x:c r="C349" s="160" t="inlineStr">
        <x:is>
          <x:t xml:space="preserve">International Flavors &amp; Fragrances</x:t>
        </x:is>
      </x:c>
      <x:c r="D349" s="160" t="inlineStr">
        <x:is>
          <x:t xml:space="preserve">IFF</x:t>
        </x:is>
      </x:c>
      <x:c r="E349" s="160" t="inlineStr">
        <x:is>
          <x:t xml:space="preserve">Specialty Ingredients</x:t>
        </x:is>
      </x:c>
      <x:c r="F349" s="160" t="inlineStr">
        <x:is>
          <x:t xml:space="preserve">Development</x:t>
        </x:is>
      </x:c>
      <x:c r="G349" s="160" t="inlineStr">
        <x:is>
          <x:t xml:space="preserve">S08</x:t>
        </x:is>
      </x:c>
      <x:c r="H349" s="160" t="inlineStr">
        <x:is>
          <x:t xml:space="preserve">Management Promise Reliability</x:t>
        </x:is>
      </x:c>
      <x:c r="I349" s="160" t="inlineStr">
        <x:is>
          <x:t xml:space="preserve">Management over-trust</x:t>
        </x:is>
      </x:c>
      <x:c r="J349" s="160" t="inlineStr">
        <x:is>
          <x:t xml:space="preserve">Guidance or strategic promises are repeated but the model lacks a contemporaneous reliability score.</x:t>
        </x:is>
      </x:c>
      <x:c r="K349" s="160" t="inlineStr">
        <x:is>
          <x:t xml:space="preserve">Customer formulations and portfolio mix minus acquisition burden</x:t>
        </x:is>
      </x:c>
      <x:c r="L349" s="160" t="inlineStr">
        <x:is>
          <x:t xml:space="preserve">Normalized FCF + SOTP</x:t>
        </x:is>
      </x:c>
      <x:c r="M349" s="160" t="inlineStr">
        <x:is>
          <x:t xml:space="preserve">HOLD / BUY LOWER</x:t>
        </x:is>
      </x:c>
      <x:c r="N349" s="160" t="inlineStr">
        <x:is>
          <x:t xml:space="preserve">R-PROM-01</x:t>
        </x:is>
      </x:c>
      <x:c r="O349" s="160" t="inlineStr">
        <x:is>
          <x:t xml:space="preserve">HARDENED</x:t>
        </x:is>
      </x:c>
      <x:c r="P349" s="160" t="inlineStr">
        <x:is>
          <x:t xml:space="preserve">ROBUST WITH RESIDUAL</x:t>
        </x:is>
      </x:c>
      <x:c r="Q349" s="160" t="inlineStr">
        <x:is>
          <x:t xml:space="preserve">The hardened rule catches the stress. Residual risk is mainly evidence quality, threshold calibration or interaction with another gate.</x:t>
        </x:is>
      </x:c>
      <x:c r="R349" s="160" t="inlineStr">
        <x:is>
          <x:t xml:space="preserve">Use a promises ledger with dated promise, measurable deliverable, due date, outcome and credibility weight.</x:t>
        </x:is>
      </x:c>
      <x:c r="S349" s="160" t="inlineStr">
        <x:is>
          <x:t xml:space="preserve">NO</x:t>
        </x:is>
      </x:c>
      <x:c r="T349" s="160" t="inlineStr">
        <x:is>
          <x:t xml:space="preserve">HARDENED</x:t>
        </x:is>
      </x:c>
      <x:c r="U349" s="160" t="inlineStr">
        <x:is>
          <x:t xml:space="preserve">V10.5-SIM38</x:t>
        </x:is>
      </x:c>
      <x:c r="V349" s="160" t="inlineStr">
        <x:is>
          <x:t xml:space="preserve">https://ir.iff.com</x:t>
        </x:is>
      </x:c>
      <x:c r="W349" s="160" t="inlineStr">
        <x:is>
          <x:t xml:space="preserve">NO</x:t>
        </x:is>
      </x:c>
      <x:c r="X349" s="160" t="inlineStr">
        <x:is>
          <x:t xml:space="preserve">NONE — DEVELOPMENT ONLY</x:t>
        </x:is>
      </x:c>
      <x:c r="Y349" s="160" t="inlineStr">
        <x:is>
          <x:t xml:space="preserve">Synthetic/adversarial model-development loop. No historical outcome is claimed; no accuracy point is awarded.</x:t>
        </x:is>
      </x:c>
    </x:row>
    <x:row r="350">
      <x:c r="A350" s="160" t="inlineStr">
        <x:is>
          <x:t xml:space="preserve">ML0345</x:t>
        </x:is>
      </x:c>
      <x:c r="B350" s="160" t="inlineStr">
        <x:is>
          <x:t xml:space="preserve">ARG-022</x:t>
        </x:is>
      </x:c>
      <x:c r="C350" s="160" t="inlineStr">
        <x:is>
          <x:t xml:space="preserve">International Flavors &amp; Fragrances</x:t>
        </x:is>
      </x:c>
      <x:c r="D350" s="160" t="inlineStr">
        <x:is>
          <x:t xml:space="preserve">IFF</x:t>
        </x:is>
      </x:c>
      <x:c r="E350" s="160" t="inlineStr">
        <x:is>
          <x:t xml:space="preserve">Specialty Ingredients</x:t>
        </x:is>
      </x:c>
      <x:c r="F350" s="160" t="inlineStr">
        <x:is>
          <x:t xml:space="preserve">Development</x:t>
        </x:is>
      </x:c>
      <x:c r="G350" s="160" t="inlineStr">
        <x:is>
          <x:t xml:space="preserve">S09</x:t>
        </x:is>
      </x:c>
      <x:c r="H350" s="160" t="inlineStr">
        <x:is>
          <x:t xml:space="preserve">Data / Accounting Quality</x:t>
        </x:is>
      </x:c>
      <x:c r="I350" s="160" t="inlineStr">
        <x:is>
          <x:t xml:space="preserve">Data quality</x:t>
        </x:is>
      </x:c>
      <x:c r="J350" s="160" t="inlineStr">
        <x:is>
          <x:t xml:space="preserve">Restatement, segment reclassification, one-time item or non-economic fair-value movement distorts the apparent trend.</x:t>
        </x:is>
      </x:c>
      <x:c r="K350" s="160" t="inlineStr">
        <x:is>
          <x:t xml:space="preserve">Customer formulations and portfolio mix minus acquisition burden</x:t>
        </x:is>
      </x:c>
      <x:c r="L350" s="160" t="inlineStr">
        <x:is>
          <x:t xml:space="preserve">Normalized FCF + SOTP</x:t>
        </x:is>
      </x:c>
      <x:c r="M350" s="160" t="inlineStr">
        <x:is>
          <x:t xml:space="preserve">HOLD / BUY LOWER</x:t>
        </x:is>
      </x:c>
      <x:c r="N350" s="160" t="inlineStr">
        <x:is>
          <x:t xml:space="preserve">R-DATA-01</x:t>
        </x:is>
      </x:c>
      <x:c r="O350" s="160" t="inlineStr">
        <x:is>
          <x:t xml:space="preserve">HARDENED</x:t>
        </x:is>
      </x:c>
      <x:c r="P350" s="160" t="inlineStr">
        <x:is>
          <x:t xml:space="preserve">ROBUST WITH RESIDUAL</x:t>
        </x:is>
      </x:c>
      <x:c r="Q350" s="160" t="inlineStr">
        <x:is>
          <x:t xml:space="preserve">The hardened rule catches the stress. Residual risk is mainly evidence quality, threshold calibration or interaction with another gate.</x:t>
        </x:is>
      </x:c>
      <x:c r="R350" s="160" t="inlineStr">
        <x:is>
          <x:t xml:space="preserve">Add a reporting-quality bridge and normalize accounting noise before any gate can pass.</x:t>
        </x:is>
      </x:c>
      <x:c r="S350" s="160" t="inlineStr">
        <x:is>
          <x:t xml:space="preserve">NO</x:t>
        </x:is>
      </x:c>
      <x:c r="T350" s="160" t="inlineStr">
        <x:is>
          <x:t xml:space="preserve">HARDENED</x:t>
        </x:is>
      </x:c>
      <x:c r="U350" s="160" t="inlineStr">
        <x:is>
          <x:t xml:space="preserve">V10.5-SIM38</x:t>
        </x:is>
      </x:c>
      <x:c r="V350" s="160" t="inlineStr">
        <x:is>
          <x:t xml:space="preserve">https://ir.iff.com</x:t>
        </x:is>
      </x:c>
      <x:c r="W350" s="160" t="inlineStr">
        <x:is>
          <x:t xml:space="preserve">NO</x:t>
        </x:is>
      </x:c>
      <x:c r="X350" s="160" t="inlineStr">
        <x:is>
          <x:t xml:space="preserve">NONE — DEVELOPMENT ONLY</x:t>
        </x:is>
      </x:c>
      <x:c r="Y350" s="160" t="inlineStr">
        <x:is>
          <x:t xml:space="preserve">Synthetic/adversarial model-development loop. No historical outcome is claimed; no accuracy point is awarded.</x:t>
        </x:is>
      </x:c>
    </x:row>
    <x:row r="351">
      <x:c r="A351" s="160" t="inlineStr">
        <x:is>
          <x:t xml:space="preserve">ML0346</x:t>
        </x:is>
      </x:c>
      <x:c r="B351" s="160" t="inlineStr">
        <x:is>
          <x:t xml:space="preserve">ARG-022</x:t>
        </x:is>
      </x:c>
      <x:c r="C351" s="160" t="inlineStr">
        <x:is>
          <x:t xml:space="preserve">International Flavors &amp; Fragrances</x:t>
        </x:is>
      </x:c>
      <x:c r="D351" s="160" t="inlineStr">
        <x:is>
          <x:t xml:space="preserve">IFF</x:t>
        </x:is>
      </x:c>
      <x:c r="E351" s="160" t="inlineStr">
        <x:is>
          <x:t xml:space="preserve">Specialty Ingredients</x:t>
        </x:is>
      </x:c>
      <x:c r="F351" s="160" t="inlineStr">
        <x:is>
          <x:t xml:space="preserve">Development</x:t>
        </x:is>
      </x:c>
      <x:c r="G351" s="160" t="inlineStr">
        <x:is>
          <x:t xml:space="preserve">S10</x:t>
        </x:is>
      </x:c>
      <x:c r="H351" s="160" t="inlineStr">
        <x:is>
          <x:t xml:space="preserve">Control / Counterfactual</x:t>
        </x:is>
      </x:c>
      <x:c r="I351" s="160" t="inlineStr">
        <x:is>
          <x:t xml:space="preserve">Sector beta vs company alpha</x:t>
        </x:is>
      </x:c>
      <x:c r="J351" s="160" t="inlineStr">
        <x:is>
          <x:t xml:space="preserve">A positive outcome is mostly sector beta or macro tailwind, not company-specific alpha.</x:t>
        </x:is>
      </x:c>
      <x:c r="K351" s="160" t="inlineStr">
        <x:is>
          <x:t xml:space="preserve">Customer formulations and portfolio mix minus acquisition burden</x:t>
        </x:is>
      </x:c>
      <x:c r="L351" s="160" t="inlineStr">
        <x:is>
          <x:t xml:space="preserve">Normalized FCF + SOTP</x:t>
        </x:is>
      </x:c>
      <x:c r="M351" s="160" t="inlineStr">
        <x:is>
          <x:t xml:space="preserve">HOLD / BUY LOWER</x:t>
        </x:is>
      </x:c>
      <x:c r="N351" s="160" t="inlineStr">
        <x:is>
          <x:t xml:space="preserve">R-CF-01</x:t>
        </x:is>
      </x:c>
      <x:c r="O351" s="160" t="inlineStr">
        <x:is>
          <x:t xml:space="preserve">HARDENED</x:t>
        </x:is>
      </x:c>
      <x:c r="P351" s="160" t="inlineStr">
        <x:is>
          <x:t xml:space="preserve">ROBUST WITH RESIDUAL</x:t>
        </x:is>
      </x:c>
      <x:c r="Q351" s="160" t="inlineStr">
        <x:is>
          <x:t xml:space="preserve">The hardened rule catches the stress. Residual risk is mainly evidence quality, threshold calibration or interaction with another gate.</x:t>
        </x:is>
      </x:c>
      <x:c r="R351" s="160" t="inlineStr">
        <x:is>
          <x:t xml:space="preserve">Require a true economic control and counterfactual: what should have happened to a comparable company under the same shock?</x:t>
        </x:is>
      </x:c>
      <x:c r="S351" s="160" t="inlineStr">
        <x:is>
          <x:t xml:space="preserve">NO</x:t>
        </x:is>
      </x:c>
      <x:c r="T351" s="160" t="inlineStr">
        <x:is>
          <x:t xml:space="preserve">HARDENED</x:t>
        </x:is>
      </x:c>
      <x:c r="U351" s="160" t="inlineStr">
        <x:is>
          <x:t xml:space="preserve">V10.5-SIM38</x:t>
        </x:is>
      </x:c>
      <x:c r="V351" s="160" t="inlineStr">
        <x:is>
          <x:t xml:space="preserve">https://ir.iff.com</x:t>
        </x:is>
      </x:c>
      <x:c r="W351" s="160" t="inlineStr">
        <x:is>
          <x:t xml:space="preserve">NO</x:t>
        </x:is>
      </x:c>
      <x:c r="X351" s="160" t="inlineStr">
        <x:is>
          <x:t xml:space="preserve">NONE — DEVELOPMENT ONLY</x:t>
        </x:is>
      </x:c>
      <x:c r="Y351" s="160" t="inlineStr">
        <x:is>
          <x:t xml:space="preserve">Synthetic/adversarial model-development loop. No historical outcome is claimed; no accuracy point is awarded.</x:t>
        </x:is>
      </x:c>
    </x:row>
    <x:row r="352">
      <x:c r="A352" s="160" t="inlineStr">
        <x:is>
          <x:t xml:space="preserve">ML0347</x:t>
        </x:is>
      </x:c>
      <x:c r="B352" s="160" t="inlineStr">
        <x:is>
          <x:t xml:space="preserve">ARG-022</x:t>
        </x:is>
      </x:c>
      <x:c r="C352" s="160" t="inlineStr">
        <x:is>
          <x:t xml:space="preserve">International Flavors &amp; Fragrances</x:t>
        </x:is>
      </x:c>
      <x:c r="D352" s="160" t="inlineStr">
        <x:is>
          <x:t xml:space="preserve">IFF</x:t>
        </x:is>
      </x:c>
      <x:c r="E352" s="160" t="inlineStr">
        <x:is>
          <x:t xml:space="preserve">Specialty Ingredients</x:t>
        </x:is>
      </x:c>
      <x:c r="F352" s="160" t="inlineStr">
        <x:is>
          <x:t xml:space="preserve">Development</x:t>
        </x:is>
      </x:c>
      <x:c r="G352" s="160" t="inlineStr">
        <x:is>
          <x:t xml:space="preserve">S11</x:t>
        </x:is>
      </x:c>
      <x:c r="H352" s="160" t="inlineStr">
        <x:is>
          <x:t xml:space="preserve">False-Negative Discipline</x:t>
        </x:is>
      </x:c>
      <x:c r="I352" s="160" t="inlineStr">
        <x:is>
          <x:t xml:space="preserve">False negative</x:t>
        </x:is>
      </x:c>
      <x:c r="J352" s="160" t="inlineStr">
        <x:is>
          <x:t xml:space="preserve">A strict gate rejects a company that later compounds strongly for reasons the model could have known.</x:t>
        </x:is>
      </x:c>
      <x:c r="K352" s="160" t="inlineStr">
        <x:is>
          <x:t xml:space="preserve">Customer formulations and portfolio mix minus acquisition burden</x:t>
        </x:is>
      </x:c>
      <x:c r="L352" s="160" t="inlineStr">
        <x:is>
          <x:t xml:space="preserve">Normalized FCF + SOTP</x:t>
        </x:is>
      </x:c>
      <x:c r="M352" s="160" t="inlineStr">
        <x:is>
          <x:t xml:space="preserve">HOLD / BUY LOWER</x:t>
        </x:is>
      </x:c>
      <x:c r="N352" s="160" t="inlineStr">
        <x:is>
          <x:t xml:space="preserve">R-FN-01</x:t>
        </x:is>
      </x:c>
      <x:c r="O352" s="160" t="inlineStr">
        <x:is>
          <x:t xml:space="preserve">HARDENED</x:t>
        </x:is>
      </x:c>
      <x:c r="P352" s="160" t="inlineStr">
        <x:is>
          <x:t xml:space="preserve">ROBUST WITH RESIDUAL</x:t>
        </x:is>
      </x:c>
      <x:c r="Q352" s="160" t="inlineStr">
        <x:is>
          <x:t xml:space="preserve">The hardened rule catches the stress. Residual risk is mainly evidence quality, threshold calibration or interaction with another gate.</x:t>
        </x:is>
      </x:c>
      <x:c r="R352" s="160" t="inlineStr">
        <x:is>
          <x:t xml:space="preserve">Track opportunity cost and classify whether the miss came from evidence timing, wrong threshold or genuinely unknowable upside.</x:t>
        </x:is>
      </x:c>
      <x:c r="S352" s="160" t="inlineStr">
        <x:is>
          <x:t xml:space="preserve">NO</x:t>
        </x:is>
      </x:c>
      <x:c r="T352" s="160" t="inlineStr">
        <x:is>
          <x:t xml:space="preserve">HARDENED</x:t>
        </x:is>
      </x:c>
      <x:c r="U352" s="160" t="inlineStr">
        <x:is>
          <x:t xml:space="preserve">V10.5-SIM38</x:t>
        </x:is>
      </x:c>
      <x:c r="V352" s="160" t="inlineStr">
        <x:is>
          <x:t xml:space="preserve">https://ir.iff.com</x:t>
        </x:is>
      </x:c>
      <x:c r="W352" s="160" t="inlineStr">
        <x:is>
          <x:t xml:space="preserve">NO</x:t>
        </x:is>
      </x:c>
      <x:c r="X352" s="160" t="inlineStr">
        <x:is>
          <x:t xml:space="preserve">NONE — DEVELOPMENT ONLY</x:t>
        </x:is>
      </x:c>
      <x:c r="Y352" s="160" t="inlineStr">
        <x:is>
          <x:t xml:space="preserve">Synthetic/adversarial model-development loop. No historical outcome is claimed; no accuracy point is awarded.</x:t>
        </x:is>
      </x:c>
    </x:row>
    <x:row r="353">
      <x:c r="A353" s="160" t="inlineStr">
        <x:is>
          <x:t xml:space="preserve">ML0348</x:t>
        </x:is>
      </x:c>
      <x:c r="B353" s="160" t="inlineStr">
        <x:is>
          <x:t xml:space="preserve">ARG-022</x:t>
        </x:is>
      </x:c>
      <x:c r="C353" s="160" t="inlineStr">
        <x:is>
          <x:t xml:space="preserve">International Flavors &amp; Fragrances</x:t>
        </x:is>
      </x:c>
      <x:c r="D353" s="160" t="inlineStr">
        <x:is>
          <x:t xml:space="preserve">IFF</x:t>
        </x:is>
      </x:c>
      <x:c r="E353" s="160" t="inlineStr">
        <x:is>
          <x:t xml:space="preserve">Specialty Ingredients</x:t>
        </x:is>
      </x:c>
      <x:c r="F353" s="160" t="inlineStr">
        <x:is>
          <x:t xml:space="preserve">Development</x:t>
        </x:is>
      </x:c>
      <x:c r="G353" s="160" t="inlineStr">
        <x:is>
          <x:t xml:space="preserve">S12</x:t>
        </x:is>
      </x:c>
      <x:c r="H353" s="160" t="inlineStr">
        <x:is>
          <x:t xml:space="preserve">Lead-Time / Early Sensor</x:t>
        </x:is>
      </x:c>
      <x:c r="I353" s="160" t="inlineStr">
        <x:is>
          <x:t xml:space="preserve">Timing / lead-time</x:t>
        </x:is>
      </x:c>
      <x:c r="J353" s="160" t="inlineStr">
        <x:is>
          <x:t xml:space="preserve">ARGUS identifies the change correctly but only after consensus and price have already reacted.</x:t>
        </x:is>
      </x:c>
      <x:c r="K353" s="160" t="inlineStr">
        <x:is>
          <x:t xml:space="preserve">Customer formulations and portfolio mix minus acquisition burden</x:t>
        </x:is>
      </x:c>
      <x:c r="L353" s="160" t="inlineStr">
        <x:is>
          <x:t xml:space="preserve">Normalized FCF + SOTP</x:t>
        </x:is>
      </x:c>
      <x:c r="M353" s="160" t="inlineStr">
        <x:is>
          <x:t xml:space="preserve">HOLD / BUY LOWER</x:t>
        </x:is>
      </x:c>
      <x:c r="N353" s="160" t="inlineStr">
        <x:is>
          <x:t xml:space="preserve">R-TIME-01</x:t>
        </x:is>
      </x:c>
      <x:c r="O353" s="160" t="inlineStr">
        <x:is>
          <x:t xml:space="preserve">HARDENED</x:t>
        </x:is>
      </x:c>
      <x:c r="P353" s="160" t="inlineStr">
        <x:is>
          <x:t xml:space="preserve">ROBUST WITH RESIDUAL</x:t>
        </x:is>
      </x:c>
      <x:c r="Q353" s="160" t="inlineStr">
        <x:is>
          <x:t xml:space="preserve">The hardened rule catches the stress. Residual risk is mainly evidence quality, threshold calibration or interaction with another gate.</x:t>
        </x:is>
      </x:c>
      <x:c r="R353" s="160" t="inlineStr">
        <x:is>
          <x:t xml:space="preserve">Replace lagging financial metrics with earlier causal operating sensors and record lead time separately from correctness.</x:t>
        </x:is>
      </x:c>
      <x:c r="S353" s="160" t="inlineStr">
        <x:is>
          <x:t xml:space="preserve">NO</x:t>
        </x:is>
      </x:c>
      <x:c r="T353" s="160" t="inlineStr">
        <x:is>
          <x:t xml:space="preserve">HARDENED</x:t>
        </x:is>
      </x:c>
      <x:c r="U353" s="160" t="inlineStr">
        <x:is>
          <x:t xml:space="preserve">V10.5-SIM38</x:t>
        </x:is>
      </x:c>
      <x:c r="V353" s="160" t="inlineStr">
        <x:is>
          <x:t xml:space="preserve">https://ir.iff.com</x:t>
        </x:is>
      </x:c>
      <x:c r="W353" s="160" t="inlineStr">
        <x:is>
          <x:t xml:space="preserve">NO</x:t>
        </x:is>
      </x:c>
      <x:c r="X353" s="160" t="inlineStr">
        <x:is>
          <x:t xml:space="preserve">NONE — DEVELOPMENT ONLY</x:t>
        </x:is>
      </x:c>
      <x:c r="Y353" s="160" t="inlineStr">
        <x:is>
          <x:t xml:space="preserve">Synthetic/adversarial model-development loop. No historical outcome is claimed; no accuracy point is awarded.</x:t>
        </x:is>
      </x:c>
    </x:row>
    <x:row r="354">
      <x:c r="A354" s="160" t="inlineStr">
        <x:is>
          <x:t xml:space="preserve">ML0349</x:t>
        </x:is>
      </x:c>
      <x:c r="B354" s="160" t="inlineStr">
        <x:is>
          <x:t xml:space="preserve">ARG-022</x:t>
        </x:is>
      </x:c>
      <x:c r="C354" s="160" t="inlineStr">
        <x:is>
          <x:t xml:space="preserve">International Flavors &amp; Fragrances</x:t>
        </x:is>
      </x:c>
      <x:c r="D354" s="160" t="inlineStr">
        <x:is>
          <x:t xml:space="preserve">IFF</x:t>
        </x:is>
      </x:c>
      <x:c r="E354" s="160" t="inlineStr">
        <x:is>
          <x:t xml:space="preserve">Specialty Ingredients</x:t>
        </x:is>
      </x:c>
      <x:c r="F354" s="160" t="inlineStr">
        <x:is>
          <x:t xml:space="preserve">Development</x:t>
        </x:is>
      </x:c>
      <x:c r="G354" s="160" t="inlineStr">
        <x:is>
          <x:t xml:space="preserve">S13</x:t>
        </x:is>
      </x:c>
      <x:c r="H354" s="160" t="inlineStr">
        <x:is>
          <x:t xml:space="preserve">Cycle Normalization</x:t>
        </x:is>
      </x:c>
      <x:c r="I354" s="160" t="inlineStr">
        <x:is>
          <x:t xml:space="preserve">Wrong valuation lens</x:t>
        </x:is>
      </x:c>
      <x:c r="J354" s="160" t="inlineStr">
        <x:is>
          <x:t xml:space="preserve">Peak/trough earnings are mistaken for normalized earning power.</x:t>
        </x:is>
      </x:c>
      <x:c r="K354" s="160" t="inlineStr">
        <x:is>
          <x:t xml:space="preserve">Customer formulations and portfolio mix minus acquisition burden</x:t>
        </x:is>
      </x:c>
      <x:c r="L354" s="160" t="inlineStr">
        <x:is>
          <x:t xml:space="preserve">Normalized FCF + SOTP</x:t>
        </x:is>
      </x:c>
      <x:c r="M354" s="160" t="inlineStr">
        <x:is>
          <x:t xml:space="preserve">HOLD / BUY LOWER</x:t>
        </x:is>
      </x:c>
      <x:c r="N354" s="160" t="inlineStr">
        <x:is>
          <x:t xml:space="preserve">R-CYCLE-01</x:t>
        </x:is>
      </x:c>
      <x:c r="O354" s="160" t="inlineStr">
        <x:is>
          <x:t xml:space="preserve">HARDENED</x:t>
        </x:is>
      </x:c>
      <x:c r="P354" s="160" t="inlineStr">
        <x:is>
          <x:t xml:space="preserve">ROBUST WITH RESIDUAL</x:t>
        </x:is>
      </x:c>
      <x:c r="Q354" s="160" t="inlineStr">
        <x:is>
          <x:t xml:space="preserve">The hardened rule catches the stress. Residual risk is mainly evidence quality, threshold calibration or interaction with another gate.</x:t>
        </x:is>
      </x:c>
      <x:c r="R354" s="160" t="inlineStr">
        <x:is>
          <x:t xml:space="preserve">Use sector-specific mid-cycle/NAV/rate-base/rNPV normalization before applying a valuation multiple.</x:t>
        </x:is>
      </x:c>
      <x:c r="S354" s="160" t="inlineStr">
        <x:is>
          <x:t xml:space="preserve">NO</x:t>
        </x:is>
      </x:c>
      <x:c r="T354" s="160" t="inlineStr">
        <x:is>
          <x:t xml:space="preserve">HARDENED</x:t>
        </x:is>
      </x:c>
      <x:c r="U354" s="160" t="inlineStr">
        <x:is>
          <x:t xml:space="preserve">V10.5-SIM38</x:t>
        </x:is>
      </x:c>
      <x:c r="V354" s="160" t="inlineStr">
        <x:is>
          <x:t xml:space="preserve">https://ir.iff.com</x:t>
        </x:is>
      </x:c>
      <x:c r="W354" s="160" t="inlineStr">
        <x:is>
          <x:t xml:space="preserve">NO</x:t>
        </x:is>
      </x:c>
      <x:c r="X354" s="160" t="inlineStr">
        <x:is>
          <x:t xml:space="preserve">NONE — DEVELOPMENT ONLY</x:t>
        </x:is>
      </x:c>
      <x:c r="Y354" s="160" t="inlineStr">
        <x:is>
          <x:t xml:space="preserve">Synthetic/adversarial model-development loop. No historical outcome is claimed; no accuracy point is awarded.</x:t>
        </x:is>
      </x:c>
    </x:row>
    <x:row r="355">
      <x:c r="A355" s="160" t="inlineStr">
        <x:is>
          <x:t xml:space="preserve">ML0350</x:t>
        </x:is>
      </x:c>
      <x:c r="B355" s="160" t="inlineStr">
        <x:is>
          <x:t xml:space="preserve">ARG-022</x:t>
        </x:is>
      </x:c>
      <x:c r="C355" s="160" t="inlineStr">
        <x:is>
          <x:t xml:space="preserve">International Flavors &amp; Fragrances</x:t>
        </x:is>
      </x:c>
      <x:c r="D355" s="160" t="inlineStr">
        <x:is>
          <x:t xml:space="preserve">IFF</x:t>
        </x:is>
      </x:c>
      <x:c r="E355" s="160" t="inlineStr">
        <x:is>
          <x:t xml:space="preserve">Specialty Ingredients</x:t>
        </x:is>
      </x:c>
      <x:c r="F355" s="160" t="inlineStr">
        <x:is>
          <x:t xml:space="preserve">Development</x:t>
        </x:is>
      </x:c>
      <x:c r="G355" s="160" t="inlineStr">
        <x:is>
          <x:t xml:space="preserve">S14</x:t>
        </x:is>
      </x:c>
      <x:c r="H355" s="160" t="inlineStr">
        <x:is>
          <x:t xml:space="preserve">M&amp;A / Organic Growth Separation</x:t>
        </x:is>
      </x:c>
      <x:c r="I355" s="160" t="inlineStr">
        <x:is>
          <x:t xml:space="preserve">Stewardship</x:t>
        </x:is>
      </x:c>
      <x:c r="J355" s="160" t="inlineStr">
        <x:is>
          <x:t xml:space="preserve">Acquisition-driven growth masks weak organic economics or poor incremental ROIC.</x:t>
        </x:is>
      </x:c>
      <x:c r="K355" s="160" t="inlineStr">
        <x:is>
          <x:t xml:space="preserve">Customer formulations and portfolio mix minus acquisition burden</x:t>
        </x:is>
      </x:c>
      <x:c r="L355" s="160" t="inlineStr">
        <x:is>
          <x:t xml:space="preserve">Normalized FCF + SOTP</x:t>
        </x:is>
      </x:c>
      <x:c r="M355" s="160" t="inlineStr">
        <x:is>
          <x:t xml:space="preserve">HOLD / BUY LOWER</x:t>
        </x:is>
      </x:c>
      <x:c r="N355" s="160" t="inlineStr">
        <x:is>
          <x:t xml:space="preserve">R-MA-01</x:t>
        </x:is>
      </x:c>
      <x:c r="O355" s="160" t="inlineStr">
        <x:is>
          <x:t xml:space="preserve">HARDENED</x:t>
        </x:is>
      </x:c>
      <x:c r="P355" s="160" t="inlineStr">
        <x:is>
          <x:t xml:space="preserve">ROBUST WITH RESIDUAL</x:t>
        </x:is>
      </x:c>
      <x:c r="Q355" s="160" t="inlineStr">
        <x:is>
          <x:t xml:space="preserve">The hardened rule catches the stress. Residual risk is mainly evidence quality, threshold calibration or interaction with another gate.</x:t>
        </x:is>
      </x:c>
      <x:c r="R355" s="160" t="inlineStr">
        <x:is>
          <x:t xml:space="preserve">Bridge organic growth, acquired growth, purchase price, integration costs and acquisition-cohort ROIC.</x:t>
        </x:is>
      </x:c>
      <x:c r="S355" s="160" t="inlineStr">
        <x:is>
          <x:t xml:space="preserve">NO</x:t>
        </x:is>
      </x:c>
      <x:c r="T355" s="160" t="inlineStr">
        <x:is>
          <x:t xml:space="preserve">HARDENED</x:t>
        </x:is>
      </x:c>
      <x:c r="U355" s="160" t="inlineStr">
        <x:is>
          <x:t xml:space="preserve">V10.5-SIM38</x:t>
        </x:is>
      </x:c>
      <x:c r="V355" s="160" t="inlineStr">
        <x:is>
          <x:t xml:space="preserve">https://ir.iff.com</x:t>
        </x:is>
      </x:c>
      <x:c r="W355" s="160" t="inlineStr">
        <x:is>
          <x:t xml:space="preserve">NO</x:t>
        </x:is>
      </x:c>
      <x:c r="X355" s="160" t="inlineStr">
        <x:is>
          <x:t xml:space="preserve">NONE — DEVELOPMENT ONLY</x:t>
        </x:is>
      </x:c>
      <x:c r="Y355" s="160" t="inlineStr">
        <x:is>
          <x:t xml:space="preserve">Synthetic/adversarial model-development loop. No historical outcome is claimed; no accuracy point is awarded.</x:t>
        </x:is>
      </x:c>
    </x:row>
    <x:row r="356">
      <x:c r="A356" s="160" t="inlineStr">
        <x:is>
          <x:t xml:space="preserve">ML0351</x:t>
        </x:is>
      </x:c>
      <x:c r="B356" s="160" t="inlineStr">
        <x:is>
          <x:t xml:space="preserve">ARG-022</x:t>
        </x:is>
      </x:c>
      <x:c r="C356" s="160" t="inlineStr">
        <x:is>
          <x:t xml:space="preserve">International Flavors &amp; Fragrances</x:t>
        </x:is>
      </x:c>
      <x:c r="D356" s="160" t="inlineStr">
        <x:is>
          <x:t xml:space="preserve">IFF</x:t>
        </x:is>
      </x:c>
      <x:c r="E356" s="160" t="inlineStr">
        <x:is>
          <x:t xml:space="preserve">Specialty Ingredients</x:t>
        </x:is>
      </x:c>
      <x:c r="F356" s="160" t="inlineStr">
        <x:is>
          <x:t xml:space="preserve">Development</x:t>
        </x:is>
      </x:c>
      <x:c r="G356" s="160" t="inlineStr">
        <x:is>
          <x:t xml:space="preserve">S15</x:t>
        </x:is>
      </x:c>
      <x:c r="H356" s="160" t="inlineStr">
        <x:is>
          <x:t xml:space="preserve">Financing / Dilution Per Share</x:t>
        </x:is>
      </x:c>
      <x:c r="I356" s="160" t="inlineStr">
        <x:is>
          <x:t xml:space="preserve">Stewardship</x:t>
        </x:is>
      </x:c>
      <x:c r="J356" s="160" t="inlineStr">
        <x:is>
          <x:t xml:space="preserve">Cash balance or revenue growth improves while financing causes material per-share value leakage.</x:t>
        </x:is>
      </x:c>
      <x:c r="K356" s="160" t="inlineStr">
        <x:is>
          <x:t xml:space="preserve">Customer formulations and portfolio mix minus acquisition burden</x:t>
        </x:is>
      </x:c>
      <x:c r="L356" s="160" t="inlineStr">
        <x:is>
          <x:t xml:space="preserve">Normalized FCF + SOTP</x:t>
        </x:is>
      </x:c>
      <x:c r="M356" s="160" t="inlineStr">
        <x:is>
          <x:t xml:space="preserve">HOLD / BUY LOWER</x:t>
        </x:is>
      </x:c>
      <x:c r="N356" s="160" t="inlineStr">
        <x:is>
          <x:t xml:space="preserve">R-DIL-01</x:t>
        </x:is>
      </x:c>
      <x:c r="O356" s="160" t="inlineStr">
        <x:is>
          <x:t xml:space="preserve">HARDENED</x:t>
        </x:is>
      </x:c>
      <x:c r="P356" s="160" t="inlineStr">
        <x:is>
          <x:t xml:space="preserve">ROBUST WITH RESIDUAL</x:t>
        </x:is>
      </x:c>
      <x:c r="Q356" s="160" t="inlineStr">
        <x:is>
          <x:t xml:space="preserve">The hardened rule catches the stress. Residual risk is mainly evidence quality, threshold calibration or interaction with another gate.</x:t>
        </x:is>
      </x:c>
      <x:c r="R356" s="160" t="inlineStr">
        <x:is>
          <x:t xml:space="preserve">Reconcile share-count growth, SBC, equity issuance, buybacks and net cash changes to per-share intrinsic value.</x:t>
        </x:is>
      </x:c>
      <x:c r="S356" s="160" t="inlineStr">
        <x:is>
          <x:t xml:space="preserve">NO</x:t>
        </x:is>
      </x:c>
      <x:c r="T356" s="160" t="inlineStr">
        <x:is>
          <x:t xml:space="preserve">HARDENED</x:t>
        </x:is>
      </x:c>
      <x:c r="U356" s="160" t="inlineStr">
        <x:is>
          <x:t xml:space="preserve">V10.5-SIM38</x:t>
        </x:is>
      </x:c>
      <x:c r="V356" s="160" t="inlineStr">
        <x:is>
          <x:t xml:space="preserve">https://ir.iff.com</x:t>
        </x:is>
      </x:c>
      <x:c r="W356" s="160" t="inlineStr">
        <x:is>
          <x:t xml:space="preserve">NO</x:t>
        </x:is>
      </x:c>
      <x:c r="X356" s="160" t="inlineStr">
        <x:is>
          <x:t xml:space="preserve">NONE — DEVELOPMENT ONLY</x:t>
        </x:is>
      </x:c>
      <x:c r="Y356" s="160" t="inlineStr">
        <x:is>
          <x:t xml:space="preserve">Synthetic/adversarial model-development loop. No historical outcome is claimed; no accuracy point is awarded.</x:t>
        </x:is>
      </x:c>
    </x:row>
    <x:row r="357">
      <x:c r="A357" s="160" t="inlineStr">
        <x:is>
          <x:t xml:space="preserve">ML0352</x:t>
        </x:is>
      </x:c>
      <x:c r="B357" s="160" t="inlineStr">
        <x:is>
          <x:t xml:space="preserve">ARG-022</x:t>
        </x:is>
      </x:c>
      <x:c r="C357" s="160" t="inlineStr">
        <x:is>
          <x:t xml:space="preserve">International Flavors &amp; Fragrances</x:t>
        </x:is>
      </x:c>
      <x:c r="D357" s="160" t="inlineStr">
        <x:is>
          <x:t xml:space="preserve">IFF</x:t>
        </x:is>
      </x:c>
      <x:c r="E357" s="160" t="inlineStr">
        <x:is>
          <x:t xml:space="preserve">Specialty Ingredients</x:t>
        </x:is>
      </x:c>
      <x:c r="F357" s="160" t="inlineStr">
        <x:is>
          <x:t xml:space="preserve">Development</x:t>
        </x:is>
      </x:c>
      <x:c r="G357" s="160" t="inlineStr">
        <x:is>
          <x:t xml:space="preserve">S16</x:t>
        </x:is>
      </x:c>
      <x:c r="H357" s="160" t="inlineStr">
        <x:is>
          <x:t xml:space="preserve">Concentration / Tail Risk</x:t>
        </x:is>
      </x:c>
      <x:c r="I357" s="160" t="inlineStr">
        <x:is>
          <x:t xml:space="preserve">Survival</x:t>
        </x:is>
      </x:c>
      <x:c r="J357" s="160" t="inlineStr">
        <x:is>
          <x:t xml:space="preserve">A concentrated supplier, geography, customer, product, patent, regulatory or technology dependency creates asymmetric permanent-loss risk.</x:t>
        </x:is>
      </x:c>
      <x:c r="K357" s="160" t="inlineStr">
        <x:is>
          <x:t xml:space="preserve">Customer formulations and portfolio mix minus acquisition burden</x:t>
        </x:is>
      </x:c>
      <x:c r="L357" s="160" t="inlineStr">
        <x:is>
          <x:t xml:space="preserve">Normalized FCF + SOTP</x:t>
        </x:is>
      </x:c>
      <x:c r="M357" s="160" t="inlineStr">
        <x:is>
          <x:t xml:space="preserve">HOLD / BUY LOWER</x:t>
        </x:is>
      </x:c>
      <x:c r="N357" s="160" t="inlineStr">
        <x:is>
          <x:t xml:space="preserve">R-TAIL-01</x:t>
        </x:is>
      </x:c>
      <x:c r="O357" s="160" t="inlineStr">
        <x:is>
          <x:t xml:space="preserve">HARDENED</x:t>
        </x:is>
      </x:c>
      <x:c r="P357" s="160" t="inlineStr">
        <x:is>
          <x:t xml:space="preserve">ROBUST WITH RESIDUAL</x:t>
        </x:is>
      </x:c>
      <x:c r="Q357" s="160" t="inlineStr">
        <x:is>
          <x:t xml:space="preserve">The hardened rule catches the stress. Residual risk is mainly evidence quality, threshold calibration or interaction with another gate.</x:t>
        </x:is>
      </x:c>
      <x:c r="R357" s="160" t="inlineStr">
        <x:is>
          <x:t xml:space="preserve">Maintain an explicit concentration/tail-risk register with probability, severity, mitigation and required margin-of-safety premium.</x:t>
        </x:is>
      </x:c>
      <x:c r="S357" s="160" t="inlineStr">
        <x:is>
          <x:t xml:space="preserve">NO</x:t>
        </x:is>
      </x:c>
      <x:c r="T357" s="160" t="inlineStr">
        <x:is>
          <x:t xml:space="preserve">HARDENED</x:t>
        </x:is>
      </x:c>
      <x:c r="U357" s="160" t="inlineStr">
        <x:is>
          <x:t xml:space="preserve">V10.5-SIM38</x:t>
        </x:is>
      </x:c>
      <x:c r="V357" s="160" t="inlineStr">
        <x:is>
          <x:t xml:space="preserve">https://ir.iff.com</x:t>
        </x:is>
      </x:c>
      <x:c r="W357" s="160" t="inlineStr">
        <x:is>
          <x:t xml:space="preserve">NO</x:t>
        </x:is>
      </x:c>
      <x:c r="X357" s="160" t="inlineStr">
        <x:is>
          <x:t xml:space="preserve">NONE — DEVELOPMENT ONLY</x:t>
        </x:is>
      </x:c>
      <x:c r="Y357" s="160" t="inlineStr">
        <x:is>
          <x:t xml:space="preserve">Synthetic/adversarial model-development loop. No historical outcome is claimed; no accuracy point is awarded.</x:t>
        </x:is>
      </x:c>
    </x:row>
    <x:row r="358">
      <x:c r="A358" s="160" t="inlineStr">
        <x:is>
          <x:t xml:space="preserve">ML0353</x:t>
        </x:is>
      </x:c>
      <x:c r="B358" s="160" t="inlineStr">
        <x:is>
          <x:t xml:space="preserve">ARG-023</x:t>
        </x:is>
      </x:c>
      <x:c r="C358" s="160" t="inlineStr">
        <x:is>
          <x:t xml:space="preserve">Givaudan</x:t>
        </x:is>
      </x:c>
      <x:c r="D358" s="160" t="inlineStr">
        <x:is>
          <x:t xml:space="preserve">GIVN.SW</x:t>
        </x:is>
      </x:c>
      <x:c r="E358" s="160" t="inlineStr">
        <x:is>
          <x:t xml:space="preserve">Specialty Ingredients</x:t>
        </x:is>
      </x:c>
      <x:c r="F358" s="160" t="inlineStr">
        <x:is>
          <x:t xml:space="preserve">Development</x:t>
        </x:is>
      </x:c>
      <x:c r="G358" s="160" t="inlineStr">
        <x:is>
          <x:t xml:space="preserve">S01</x:t>
        </x:is>
      </x:c>
      <x:c r="H358" s="160" t="inlineStr">
        <x:is>
          <x:t xml:space="preserve">Understanding Gate</x:t>
        </x:is>
      </x:c>
      <x:c r="I358" s="160" t="inlineStr">
        <x:is>
          <x:t xml:space="preserve">Understanding</x:t>
        </x:is>
      </x:c>
      <x:c r="J358" s="160" t="inlineStr">
        <x:is>
          <x:t xml:space="preserve">Causal engine / customer ROI chain breaks under a misleading headline KPI.</x:t>
        </x:is>
      </x:c>
      <x:c r="K358" s="160" t="inlineStr">
        <x:is>
          <x:t xml:space="preserve">Customer intimacy, innovation and pricing</x:t>
        </x:is>
      </x:c>
      <x:c r="L358" s="160" t="inlineStr">
        <x:is>
          <x:t xml:space="preserve">Normalized FCF + EV/EBITDA</x:t>
        </x:is>
      </x:c>
      <x:c r="M358" s="160" t="inlineStr">
        <x:is>
          <x:t xml:space="preserve">WATCH</x:t>
        </x:is>
      </x:c>
      <x:c r="N358" s="160" t="inlineStr">
        <x:is>
          <x:t xml:space="preserve">R-ENG-01</x:t>
        </x:is>
      </x:c>
      <x:c r="O358" s="160" t="inlineStr">
        <x:is>
          <x:t xml:space="preserve">HARDENED</x:t>
        </x:is>
      </x:c>
      <x:c r="P358" s="160" t="inlineStr">
        <x:is>
          <x:t xml:space="preserve">ROBUST WITH RESIDUAL</x:t>
        </x:is>
      </x:c>
      <x:c r="Q358" s="160" t="inlineStr">
        <x:is>
          <x:t xml:space="preserve">The hardened rule catches the stress. Residual risk is mainly evidence quality, threshold calibration or interaction with another gate.</x:t>
        </x:is>
      </x:c>
      <x:c r="R358" s="160" t="inlineStr">
        <x:is>
          <x:t xml:space="preserve">Force an explicit engine tree: customer job → unit economics → revenue driver → owner-value bridge.</x:t>
        </x:is>
      </x:c>
      <x:c r="S358" s="160" t="inlineStr">
        <x:is>
          <x:t xml:space="preserve">NO</x:t>
        </x:is>
      </x:c>
      <x:c r="T358" s="160" t="inlineStr">
        <x:is>
          <x:t xml:space="preserve">HARDENED</x:t>
        </x:is>
      </x:c>
      <x:c r="U358" s="160" t="inlineStr">
        <x:is>
          <x:t xml:space="preserve">V10.5-SIM38</x:t>
        </x:is>
      </x:c>
      <x:c r="V358" s="160" t="inlineStr">
        <x:is>
          <x:t xml:space="preserve">https://www.givaudan.com/investors</x:t>
        </x:is>
      </x:c>
      <x:c r="W358" s="160" t="inlineStr">
        <x:is>
          <x:t xml:space="preserve">NO</x:t>
        </x:is>
      </x:c>
      <x:c r="X358" s="160" t="inlineStr">
        <x:is>
          <x:t xml:space="preserve">NONE — DEVELOPMENT ONLY</x:t>
        </x:is>
      </x:c>
      <x:c r="Y358" s="160" t="inlineStr">
        <x:is>
          <x:t xml:space="preserve">Synthetic/adversarial model-development loop. No historical outcome is claimed; no accuracy point is awarded.</x:t>
        </x:is>
      </x:c>
    </x:row>
    <x:row r="359">
      <x:c r="A359" s="160" t="inlineStr">
        <x:is>
          <x:t xml:space="preserve">ML0354</x:t>
        </x:is>
      </x:c>
      <x:c r="B359" s="160" t="inlineStr">
        <x:is>
          <x:t xml:space="preserve">ARG-023</x:t>
        </x:is>
      </x:c>
      <x:c r="C359" s="160" t="inlineStr">
        <x:is>
          <x:t xml:space="preserve">Givaudan</x:t>
        </x:is>
      </x:c>
      <x:c r="D359" s="160" t="inlineStr">
        <x:is>
          <x:t xml:space="preserve">GIVN.SW</x:t>
        </x:is>
      </x:c>
      <x:c r="E359" s="160" t="inlineStr">
        <x:is>
          <x:t xml:space="preserve">Specialty Ingredients</x:t>
        </x:is>
      </x:c>
      <x:c r="F359" s="160" t="inlineStr">
        <x:is>
          <x:t xml:space="preserve">Development</x:t>
        </x:is>
      </x:c>
      <x:c r="G359" s="160" t="inlineStr">
        <x:is>
          <x:t xml:space="preserve">S02</x:t>
        </x:is>
      </x:c>
      <x:c r="H359" s="160" t="inlineStr">
        <x:is>
          <x:t xml:space="preserve">Owner Earnings Normalization</x:t>
        </x:is>
      </x:c>
      <x:c r="I359" s="160" t="inlineStr">
        <x:is>
          <x:t xml:space="preserve">Owner Earnings</x:t>
        </x:is>
      </x:c>
      <x:c r="J359" s="160" t="inlineStr">
        <x:is>
          <x:t xml:space="preserve">Reported earnings/FCF overstates economic cash because recurring reinvestment or non-cash compensation is misclassified.</x:t>
        </x:is>
      </x:c>
      <x:c r="K359" s="160" t="inlineStr">
        <x:is>
          <x:t xml:space="preserve">Customer intimacy, innovation and pricing</x:t>
        </x:is>
      </x:c>
      <x:c r="L359" s="160" t="inlineStr">
        <x:is>
          <x:t xml:space="preserve">Normalized FCF + EV/EBITDA</x:t>
        </x:is>
      </x:c>
      <x:c r="M359" s="160" t="inlineStr">
        <x:is>
          <x:t xml:space="preserve">WATCH</x:t>
        </x:is>
      </x:c>
      <x:c r="N359" s="160" t="inlineStr">
        <x:is>
          <x:t xml:space="preserve">R-OE-01</x:t>
        </x:is>
      </x:c>
      <x:c r="O359" s="160" t="inlineStr">
        <x:is>
          <x:t xml:space="preserve">HARDENED</x:t>
        </x:is>
      </x:c>
      <x:c r="P359" s="160" t="inlineStr">
        <x:is>
          <x:t xml:space="preserve">ROBUST WITH RESIDUAL</x:t>
        </x:is>
      </x:c>
      <x:c r="Q359" s="160" t="inlineStr">
        <x:is>
          <x:t xml:space="preserve">The hardened rule catches the stress. Residual risk is mainly evidence quality, threshold calibration or interaction with another gate.</x:t>
        </x:is>
      </x:c>
      <x:c r="R359" s="160" t="inlineStr">
        <x:is>
          <x:t xml:space="preserve">Require a GAAP-to-economic-owner-cash bridge tailored to the business model.</x:t>
        </x:is>
      </x:c>
      <x:c r="S359" s="160" t="inlineStr">
        <x:is>
          <x:t xml:space="preserve">NO</x:t>
        </x:is>
      </x:c>
      <x:c r="T359" s="160" t="inlineStr">
        <x:is>
          <x:t xml:space="preserve">HARDENED</x:t>
        </x:is>
      </x:c>
      <x:c r="U359" s="160" t="inlineStr">
        <x:is>
          <x:t xml:space="preserve">V10.5-SIM38</x:t>
        </x:is>
      </x:c>
      <x:c r="V359" s="160" t="inlineStr">
        <x:is>
          <x:t xml:space="preserve">https://www.givaudan.com/investors</x:t>
        </x:is>
      </x:c>
      <x:c r="W359" s="160" t="inlineStr">
        <x:is>
          <x:t xml:space="preserve">NO</x:t>
        </x:is>
      </x:c>
      <x:c r="X359" s="160" t="inlineStr">
        <x:is>
          <x:t xml:space="preserve">NONE — DEVELOPMENT ONLY</x:t>
        </x:is>
      </x:c>
      <x:c r="Y359" s="160" t="inlineStr">
        <x:is>
          <x:t xml:space="preserve">Synthetic/adversarial model-development loop. No historical outcome is claimed; no accuracy point is awarded.</x:t>
        </x:is>
      </x:c>
    </x:row>
    <x:row r="360">
      <x:c r="A360" s="160" t="inlineStr">
        <x:is>
          <x:t xml:space="preserve">ML0355</x:t>
        </x:is>
      </x:c>
      <x:c r="B360" s="160" t="inlineStr">
        <x:is>
          <x:t xml:space="preserve">ARG-023</x:t>
        </x:is>
      </x:c>
      <x:c r="C360" s="160" t="inlineStr">
        <x:is>
          <x:t xml:space="preserve">Givaudan</x:t>
        </x:is>
      </x:c>
      <x:c r="D360" s="160" t="inlineStr">
        <x:is>
          <x:t xml:space="preserve">GIVN.SW</x:t>
        </x:is>
      </x:c>
      <x:c r="E360" s="160" t="inlineStr">
        <x:is>
          <x:t xml:space="preserve">Specialty Ingredients</x:t>
        </x:is>
      </x:c>
      <x:c r="F360" s="160" t="inlineStr">
        <x:is>
          <x:t xml:space="preserve">Development</x:t>
        </x:is>
      </x:c>
      <x:c r="G360" s="160" t="inlineStr">
        <x:is>
          <x:t xml:space="preserve">S03</x:t>
        </x:is>
      </x:c>
      <x:c r="H360" s="160" t="inlineStr">
        <x:is>
          <x:t xml:space="preserve">Moat Durability</x:t>
        </x:is>
      </x:c>
      <x:c r="I360" s="160" t="inlineStr">
        <x:is>
          <x:t xml:space="preserve">Moat 2036</x:t>
        </x:is>
      </x:c>
      <x:c r="J360" s="160" t="inlineStr">
        <x:is>
          <x:t xml:space="preserve">Growth continues while switching friction, pricing power or replacement difficulty quietly weakens.</x:t>
        </x:is>
      </x:c>
      <x:c r="K360" s="160" t="inlineStr">
        <x:is>
          <x:t xml:space="preserve">Customer intimacy, innovation and pricing</x:t>
        </x:is>
      </x:c>
      <x:c r="L360" s="160" t="inlineStr">
        <x:is>
          <x:t xml:space="preserve">Normalized FCF + EV/EBITDA</x:t>
        </x:is>
      </x:c>
      <x:c r="M360" s="160" t="inlineStr">
        <x:is>
          <x:t xml:space="preserve">WATCH</x:t>
        </x:is>
      </x:c>
      <x:c r="N360" s="160" t="inlineStr">
        <x:is>
          <x:t xml:space="preserve">R-MOAT-01</x:t>
        </x:is>
      </x:c>
      <x:c r="O360" s="160" t="inlineStr">
        <x:is>
          <x:t xml:space="preserve">HARDENED</x:t>
        </x:is>
      </x:c>
      <x:c r="P360" s="160" t="inlineStr">
        <x:is>
          <x:t xml:space="preserve">ROBUST WITH RESIDUAL</x:t>
        </x:is>
      </x:c>
      <x:c r="Q360" s="160" t="inlineStr">
        <x:is>
          <x:t xml:space="preserve">The hardened rule catches the stress. Residual risk is mainly evidence quality, threshold calibration or interaction with another gate.</x:t>
        </x:is>
      </x:c>
      <x:c r="R360" s="160" t="inlineStr">
        <x:is>
          <x:t xml:space="preserve">Track moat telemetry separately from growth: retention, pricing, win/loss, replacement friction, installed-base behavior.</x:t>
        </x:is>
      </x:c>
      <x:c r="S360" s="160" t="inlineStr">
        <x:is>
          <x:t xml:space="preserve">NO</x:t>
        </x:is>
      </x:c>
      <x:c r="T360" s="160" t="inlineStr">
        <x:is>
          <x:t xml:space="preserve">HARDENED</x:t>
        </x:is>
      </x:c>
      <x:c r="U360" s="160" t="inlineStr">
        <x:is>
          <x:t xml:space="preserve">V10.5-SIM38</x:t>
        </x:is>
      </x:c>
      <x:c r="V360" s="160" t="inlineStr">
        <x:is>
          <x:t xml:space="preserve">https://www.givaudan.com/investors</x:t>
        </x:is>
      </x:c>
      <x:c r="W360" s="160" t="inlineStr">
        <x:is>
          <x:t xml:space="preserve">NO</x:t>
        </x:is>
      </x:c>
      <x:c r="X360" s="160" t="inlineStr">
        <x:is>
          <x:t xml:space="preserve">NONE — DEVELOPMENT ONLY</x:t>
        </x:is>
      </x:c>
      <x:c r="Y360" s="160" t="inlineStr">
        <x:is>
          <x:t xml:space="preserve">Synthetic/adversarial model-development loop. No historical outcome is claimed; no accuracy point is awarded.</x:t>
        </x:is>
      </x:c>
    </x:row>
    <x:row r="361">
      <x:c r="A361" s="160" t="inlineStr">
        <x:is>
          <x:t xml:space="preserve">ML0356</x:t>
        </x:is>
      </x:c>
      <x:c r="B361" s="160" t="inlineStr">
        <x:is>
          <x:t xml:space="preserve">ARG-023</x:t>
        </x:is>
      </x:c>
      <x:c r="C361" s="160" t="inlineStr">
        <x:is>
          <x:t xml:space="preserve">Givaudan</x:t>
        </x:is>
      </x:c>
      <x:c r="D361" s="160" t="inlineStr">
        <x:is>
          <x:t xml:space="preserve">GIVN.SW</x:t>
        </x:is>
      </x:c>
      <x:c r="E361" s="160" t="inlineStr">
        <x:is>
          <x:t xml:space="preserve">Specialty Ingredients</x:t>
        </x:is>
      </x:c>
      <x:c r="F361" s="160" t="inlineStr">
        <x:is>
          <x:t xml:space="preserve">Development</x:t>
        </x:is>
      </x:c>
      <x:c r="G361" s="160" t="inlineStr">
        <x:is>
          <x:t xml:space="preserve">S04</x:t>
        </x:is>
      </x:c>
      <x:c r="H361" s="160" t="inlineStr">
        <x:is>
          <x:t xml:space="preserve">Stewardship / Capital Allocation</x:t>
        </x:is>
      </x:c>
      <x:c r="I361" s="160" t="inlineStr">
        <x:is>
          <x:t xml:space="preserve">Stewardship</x:t>
        </x:is>
      </x:c>
      <x:c r="J361" s="160" t="inlineStr">
        <x:is>
          <x:t xml:space="preserve">Management creates enterprise growth while destroying per-share value through M&amp;A, dilution, leverage or mistimed buybacks.</x:t>
        </x:is>
      </x:c>
      <x:c r="K361" s="160" t="inlineStr">
        <x:is>
          <x:t xml:space="preserve">Customer intimacy, innovation and pricing</x:t>
        </x:is>
      </x:c>
      <x:c r="L361" s="160" t="inlineStr">
        <x:is>
          <x:t xml:space="preserve">Normalized FCF + EV/EBITDA</x:t>
        </x:is>
      </x:c>
      <x:c r="M361" s="160" t="inlineStr">
        <x:is>
          <x:t xml:space="preserve">WATCH</x:t>
        </x:is>
      </x:c>
      <x:c r="N361" s="160" t="inlineStr">
        <x:is>
          <x:t xml:space="preserve">R-STEW-01</x:t>
        </x:is>
      </x:c>
      <x:c r="O361" s="160" t="inlineStr">
        <x:is>
          <x:t xml:space="preserve">HARDENED</x:t>
        </x:is>
      </x:c>
      <x:c r="P361" s="160" t="inlineStr">
        <x:is>
          <x:t xml:space="preserve">ROBUST WITH RESIDUAL</x:t>
        </x:is>
      </x:c>
      <x:c r="Q361" s="160" t="inlineStr">
        <x:is>
          <x:t xml:space="preserve">The hardened rule catches the stress. Residual risk is mainly evidence quality, threshold calibration or interaction with another gate.</x:t>
        </x:is>
      </x:c>
      <x:c r="R361" s="160" t="inlineStr">
        <x:is>
          <x:t xml:space="preserve">Evaluate capital allocation on a per-share basis using acquisition cohorts, dilution, leverage and repurchase price discipline.</x:t>
        </x:is>
      </x:c>
      <x:c r="S361" s="160" t="inlineStr">
        <x:is>
          <x:t xml:space="preserve">NO</x:t>
        </x:is>
      </x:c>
      <x:c r="T361" s="160" t="inlineStr">
        <x:is>
          <x:t xml:space="preserve">HARDENED</x:t>
        </x:is>
      </x:c>
      <x:c r="U361" s="160" t="inlineStr">
        <x:is>
          <x:t xml:space="preserve">V10.5-SIM38</x:t>
        </x:is>
      </x:c>
      <x:c r="V361" s="160" t="inlineStr">
        <x:is>
          <x:t xml:space="preserve">https://www.givaudan.com/investors</x:t>
        </x:is>
      </x:c>
      <x:c r="W361" s="160" t="inlineStr">
        <x:is>
          <x:t xml:space="preserve">NO</x:t>
        </x:is>
      </x:c>
      <x:c r="X361" s="160" t="inlineStr">
        <x:is>
          <x:t xml:space="preserve">NONE — DEVELOPMENT ONLY</x:t>
        </x:is>
      </x:c>
      <x:c r="Y361" s="160" t="inlineStr">
        <x:is>
          <x:t xml:space="preserve">Synthetic/adversarial model-development loop. No historical outcome is claimed; no accuracy point is awarded.</x:t>
        </x:is>
      </x:c>
    </x:row>
    <x:row r="362">
      <x:c r="A362" s="160" t="inlineStr">
        <x:is>
          <x:t xml:space="preserve">ML0357</x:t>
        </x:is>
      </x:c>
      <x:c r="B362" s="160" t="inlineStr">
        <x:is>
          <x:t xml:space="preserve">ARG-023</x:t>
        </x:is>
      </x:c>
      <x:c r="C362" s="160" t="inlineStr">
        <x:is>
          <x:t xml:space="preserve">Givaudan</x:t>
        </x:is>
      </x:c>
      <x:c r="D362" s="160" t="inlineStr">
        <x:is>
          <x:t xml:space="preserve">GIVN.SW</x:t>
        </x:is>
      </x:c>
      <x:c r="E362" s="160" t="inlineStr">
        <x:is>
          <x:t xml:space="preserve">Specialty Ingredients</x:t>
        </x:is>
      </x:c>
      <x:c r="F362" s="160" t="inlineStr">
        <x:is>
          <x:t xml:space="preserve">Development</x:t>
        </x:is>
      </x:c>
      <x:c r="G362" s="160" t="inlineStr">
        <x:is>
          <x:t xml:space="preserve">S05</x:t>
        </x:is>
      </x:c>
      <x:c r="H362" s="160" t="inlineStr">
        <x:is>
          <x:t xml:space="preserve">Survival / Funding</x:t>
        </x:is>
      </x:c>
      <x:c r="I362" s="160" t="inlineStr">
        <x:is>
          <x:t xml:space="preserve">Survival</x:t>
        </x:is>
      </x:c>
      <x:c r="J362" s="160" t="inlineStr">
        <x:is>
          <x:t xml:space="preserve">A plausible bear case exposes refinancing, liquidity, covenant, reserve, regulatory or operational fragility.</x:t>
        </x:is>
      </x:c>
      <x:c r="K362" s="160" t="inlineStr">
        <x:is>
          <x:t xml:space="preserve">Customer intimacy, innovation and pricing</x:t>
        </x:is>
      </x:c>
      <x:c r="L362" s="160" t="inlineStr">
        <x:is>
          <x:t xml:space="preserve">Normalized FCF + EV/EBITDA</x:t>
        </x:is>
      </x:c>
      <x:c r="M362" s="160" t="inlineStr">
        <x:is>
          <x:t xml:space="preserve">WATCH</x:t>
        </x:is>
      </x:c>
      <x:c r="N362" s="160" t="inlineStr">
        <x:is>
          <x:t xml:space="preserve">R-SURV-01</x:t>
        </x:is>
      </x:c>
      <x:c r="O362" s="160" t="inlineStr">
        <x:is>
          <x:t xml:space="preserve">HARDENED</x:t>
        </x:is>
      </x:c>
      <x:c r="P362" s="160" t="inlineStr">
        <x:is>
          <x:t xml:space="preserve">ROBUST WITH RESIDUAL</x:t>
        </x:is>
      </x:c>
      <x:c r="Q362" s="160" t="inlineStr">
        <x:is>
          <x:t xml:space="preserve">The hardened rule catches the stress. Residual risk is mainly evidence quality, threshold calibration or interaction with another gate.</x:t>
        </x:is>
      </x:c>
      <x:c r="R362" s="160" t="inlineStr">
        <x:is>
          <x:t xml:space="preserve">Run a company-specific survival bridge under a severe-but-plausible bear case before any upside underwriting.</x:t>
        </x:is>
      </x:c>
      <x:c r="S362" s="160" t="inlineStr">
        <x:is>
          <x:t xml:space="preserve">NO</x:t>
        </x:is>
      </x:c>
      <x:c r="T362" s="160" t="inlineStr">
        <x:is>
          <x:t xml:space="preserve">HARDENED</x:t>
        </x:is>
      </x:c>
      <x:c r="U362" s="160" t="inlineStr">
        <x:is>
          <x:t xml:space="preserve">V10.5-SIM38</x:t>
        </x:is>
      </x:c>
      <x:c r="V362" s="160" t="inlineStr">
        <x:is>
          <x:t xml:space="preserve">https://www.givaudan.com/investors</x:t>
        </x:is>
      </x:c>
      <x:c r="W362" s="160" t="inlineStr">
        <x:is>
          <x:t xml:space="preserve">NO</x:t>
        </x:is>
      </x:c>
      <x:c r="X362" s="160" t="inlineStr">
        <x:is>
          <x:t xml:space="preserve">NONE — DEVELOPMENT ONLY</x:t>
        </x:is>
      </x:c>
      <x:c r="Y362" s="160" t="inlineStr">
        <x:is>
          <x:t xml:space="preserve">Synthetic/adversarial model-development loop. No historical outcome is claimed; no accuracy point is awarded.</x:t>
        </x:is>
      </x:c>
    </x:row>
    <x:row r="363">
      <x:c r="A363" s="160" t="inlineStr">
        <x:is>
          <x:t xml:space="preserve">ML0358</x:t>
        </x:is>
      </x:c>
      <x:c r="B363" s="160" t="inlineStr">
        <x:is>
          <x:t xml:space="preserve">ARG-023</x:t>
        </x:is>
      </x:c>
      <x:c r="C363" s="160" t="inlineStr">
        <x:is>
          <x:t xml:space="preserve">Givaudan</x:t>
        </x:is>
      </x:c>
      <x:c r="D363" s="160" t="inlineStr">
        <x:is>
          <x:t xml:space="preserve">GIVN.SW</x:t>
        </x:is>
      </x:c>
      <x:c r="E363" s="160" t="inlineStr">
        <x:is>
          <x:t xml:space="preserve">Specialty Ingredients</x:t>
        </x:is>
      </x:c>
      <x:c r="F363" s="160" t="inlineStr">
        <x:is>
          <x:t xml:space="preserve">Development</x:t>
        </x:is>
      </x:c>
      <x:c r="G363" s="160" t="inlineStr">
        <x:is>
          <x:t xml:space="preserve">S06</x:t>
        </x:is>
      </x:c>
      <x:c r="H363" s="160" t="inlineStr">
        <x:is>
          <x:t xml:space="preserve">Margin of Safety</x:t>
        </x:is>
      </x:c>
      <x:c r="I363" s="160" t="inlineStr">
        <x:is>
          <x:t xml:space="preserve">Margin of Safety</x:t>
        </x:is>
      </x:c>
      <x:c r="J363" s="160" t="inlineStr">
        <x:is>
          <x:t xml:space="preserve">Business quality is high but the price embeds a fragile bull case.</x:t>
        </x:is>
      </x:c>
      <x:c r="K363" s="160" t="inlineStr">
        <x:is>
          <x:t xml:space="preserve">Customer intimacy, innovation and pricing</x:t>
        </x:is>
      </x:c>
      <x:c r="L363" s="160" t="inlineStr">
        <x:is>
          <x:t xml:space="preserve">Normalized FCF + EV/EBITDA</x:t>
        </x:is>
      </x:c>
      <x:c r="M363" s="160" t="inlineStr">
        <x:is>
          <x:t xml:space="preserve">WATCH</x:t>
        </x:is>
      </x:c>
      <x:c r="N363" s="160" t="inlineStr">
        <x:is>
          <x:t xml:space="preserve">R-MOS-01</x:t>
        </x:is>
      </x:c>
      <x:c r="O363" s="160" t="inlineStr">
        <x:is>
          <x:t xml:space="preserve">HARDENED</x:t>
        </x:is>
      </x:c>
      <x:c r="P363" s="160" t="inlineStr">
        <x:is>
          <x:t xml:space="preserve">ROBUST WITH RESIDUAL</x:t>
        </x:is>
      </x:c>
      <x:c r="Q363" s="160" t="inlineStr">
        <x:is>
          <x:t xml:space="preserve">The hardened rule catches the stress. Residual risk is mainly evidence quality, threshold calibration or interaction with another gate.</x:t>
        </x:is>
      </x:c>
      <x:c r="R363" s="160" t="inlineStr">
        <x:is>
          <x:t xml:space="preserve">Separate business-quality score from price decision; require reverse valuation and bear/base/bull IV ranges.</x:t>
        </x:is>
      </x:c>
      <x:c r="S363" s="160" t="inlineStr">
        <x:is>
          <x:t xml:space="preserve">NO</x:t>
        </x:is>
      </x:c>
      <x:c r="T363" s="160" t="inlineStr">
        <x:is>
          <x:t xml:space="preserve">HARDENED</x:t>
        </x:is>
      </x:c>
      <x:c r="U363" s="160" t="inlineStr">
        <x:is>
          <x:t xml:space="preserve">V10.5-SIM38</x:t>
        </x:is>
      </x:c>
      <x:c r="V363" s="160" t="inlineStr">
        <x:is>
          <x:t xml:space="preserve">https://www.givaudan.com/investors</x:t>
        </x:is>
      </x:c>
      <x:c r="W363" s="160" t="inlineStr">
        <x:is>
          <x:t xml:space="preserve">NO</x:t>
        </x:is>
      </x:c>
      <x:c r="X363" s="160" t="inlineStr">
        <x:is>
          <x:t xml:space="preserve">NONE — DEVELOPMENT ONLY</x:t>
        </x:is>
      </x:c>
      <x:c r="Y363" s="160" t="inlineStr">
        <x:is>
          <x:t xml:space="preserve">Synthetic/adversarial model-development loop. No historical outcome is claimed; no accuracy point is awarded.</x:t>
        </x:is>
      </x:c>
    </x:row>
    <x:row r="364">
      <x:c r="A364" s="160" t="inlineStr">
        <x:is>
          <x:t xml:space="preserve">ML0359</x:t>
        </x:is>
      </x:c>
      <x:c r="B364" s="160" t="inlineStr">
        <x:is>
          <x:t xml:space="preserve">ARG-023</x:t>
        </x:is>
      </x:c>
      <x:c r="C364" s="160" t="inlineStr">
        <x:is>
          <x:t xml:space="preserve">Givaudan</x:t>
        </x:is>
      </x:c>
      <x:c r="D364" s="160" t="inlineStr">
        <x:is>
          <x:t xml:space="preserve">GIVN.SW</x:t>
        </x:is>
      </x:c>
      <x:c r="E364" s="160" t="inlineStr">
        <x:is>
          <x:t xml:space="preserve">Specialty Ingredients</x:t>
        </x:is>
      </x:c>
      <x:c r="F364" s="160" t="inlineStr">
        <x:is>
          <x:t xml:space="preserve">Development</x:t>
        </x:is>
      </x:c>
      <x:c r="G364" s="160" t="inlineStr">
        <x:is>
          <x:t xml:space="preserve">S07</x:t>
        </x:is>
      </x:c>
      <x:c r="H364" s="160" t="inlineStr">
        <x:is>
          <x:t xml:space="preserve">Sector Shock</x:t>
        </x:is>
      </x:c>
      <x:c r="I364" s="160" t="inlineStr">
        <x:is>
          <x:t xml:space="preserve">Sector-specific</x:t>
        </x:is>
      </x:c>
      <x:c r="J364" s="160" t="inlineStr">
        <x:is>
          <x:t xml:space="preserve">Price/mix holds while customer destocking, volume softness, integration debt or formulation substitution weakens normalized FCF.</x:t>
        </x:is>
      </x:c>
      <x:c r="K364" s="160" t="inlineStr">
        <x:is>
          <x:t xml:space="preserve">Customer intimacy, innovation and pricing</x:t>
        </x:is>
      </x:c>
      <x:c r="L364" s="160" t="inlineStr">
        <x:is>
          <x:t xml:space="preserve">Normalized FCF + EV/EBITDA</x:t>
        </x:is>
      </x:c>
      <x:c r="M364" s="160" t="inlineStr">
        <x:is>
          <x:t xml:space="preserve">WATCH</x:t>
        </x:is>
      </x:c>
      <x:c r="N364" s="160" t="inlineStr">
        <x:is>
          <x:t xml:space="preserve">R-SECTOR-SPECIALTY-INGREDIENTS</x:t>
        </x:is>
      </x:c>
      <x:c r="O364" s="160" t="inlineStr">
        <x:is>
          <x:t xml:space="preserve">UNFORMED</x:t>
        </x:is>
      </x:c>
      <x:c r="P364" s="160" t="inlineStr">
        <x:is>
          <x:t xml:space="preserve">WEAKNESS EXPOSED</x:t>
        </x:is>
      </x:c>
      <x:c r="Q364" s="160" t="inlineStr">
        <x:is>
          <x:t xml:space="preserve">The frozen V10 gate family is directionally right, but the test lacks a sufficiently explicit mechanical implementation.</x:t>
        </x:is>
      </x:c>
      <x:c r="R364" s="160" t="inlineStr">
        <x:is>
          <x:t xml:space="preserve">Add a sector-specific transmission map with leading operating sensors, not only market-price variables. Sector rule: Price/mix holds while customer destocking, volume softness, integration debt or formulation substitution weakens normalized FCF.</x:t>
        </x:is>
      </x:c>
      <x:c r="S364" s="160" t="inlineStr">
        <x:is>
          <x:t xml:space="preserve">YES — SIMULATION ONLY</x:t>
        </x:is>
      </x:c>
      <x:c r="T364" s="160" t="inlineStr">
        <x:is>
          <x:t xml:space="preserve">BASE</x:t>
        </x:is>
      </x:c>
      <x:c r="U364" s="160" t="inlineStr">
        <x:is>
          <x:t xml:space="preserve">V10.5-SIM39</x:t>
        </x:is>
      </x:c>
      <x:c r="V364" s="160" t="inlineStr">
        <x:is>
          <x:t xml:space="preserve">https://www.givaudan.com/investors</x:t>
        </x:is>
      </x:c>
      <x:c r="W364" s="160" t="inlineStr">
        <x:is>
          <x:t xml:space="preserve">NO</x:t>
        </x:is>
      </x:c>
      <x:c r="X364" s="160" t="inlineStr">
        <x:is>
          <x:t xml:space="preserve">NONE — DEVELOPMENT ONLY</x:t>
        </x:is>
      </x:c>
      <x:c r="Y364" s="160" t="inlineStr">
        <x:is>
          <x:t xml:space="preserve">Synthetic/adversarial model-development loop. No historical outcome is claimed; no accuracy point is awarded.</x:t>
        </x:is>
      </x:c>
    </x:row>
    <x:row r="365">
      <x:c r="A365" s="160" t="inlineStr">
        <x:is>
          <x:t xml:space="preserve">ML0360</x:t>
        </x:is>
      </x:c>
      <x:c r="B365" s="160" t="inlineStr">
        <x:is>
          <x:t xml:space="preserve">ARG-023</x:t>
        </x:is>
      </x:c>
      <x:c r="C365" s="160" t="inlineStr">
        <x:is>
          <x:t xml:space="preserve">Givaudan</x:t>
        </x:is>
      </x:c>
      <x:c r="D365" s="160" t="inlineStr">
        <x:is>
          <x:t xml:space="preserve">GIVN.SW</x:t>
        </x:is>
      </x:c>
      <x:c r="E365" s="160" t="inlineStr">
        <x:is>
          <x:t xml:space="preserve">Specialty Ingredients</x:t>
        </x:is>
      </x:c>
      <x:c r="F365" s="160" t="inlineStr">
        <x:is>
          <x:t xml:space="preserve">Development</x:t>
        </x:is>
      </x:c>
      <x:c r="G365" s="160" t="inlineStr">
        <x:is>
          <x:t xml:space="preserve">S08</x:t>
        </x:is>
      </x:c>
      <x:c r="H365" s="160" t="inlineStr">
        <x:is>
          <x:t xml:space="preserve">Management Promise Reliability</x:t>
        </x:is>
      </x:c>
      <x:c r="I365" s="160" t="inlineStr">
        <x:is>
          <x:t xml:space="preserve">Management over-trust</x:t>
        </x:is>
      </x:c>
      <x:c r="J365" s="160" t="inlineStr">
        <x:is>
          <x:t xml:space="preserve">Guidance or strategic promises are repeated but the model lacks a contemporaneous reliability score.</x:t>
        </x:is>
      </x:c>
      <x:c r="K365" s="160" t="inlineStr">
        <x:is>
          <x:t xml:space="preserve">Customer intimacy, innovation and pricing</x:t>
        </x:is>
      </x:c>
      <x:c r="L365" s="160" t="inlineStr">
        <x:is>
          <x:t xml:space="preserve">Normalized FCF + EV/EBITDA</x:t>
        </x:is>
      </x:c>
      <x:c r="M365" s="160" t="inlineStr">
        <x:is>
          <x:t xml:space="preserve">WATCH</x:t>
        </x:is>
      </x:c>
      <x:c r="N365" s="160" t="inlineStr">
        <x:is>
          <x:t xml:space="preserve">R-PROM-01</x:t>
        </x:is>
      </x:c>
      <x:c r="O365" s="160" t="inlineStr">
        <x:is>
          <x:t xml:space="preserve">HARDENED</x:t>
        </x:is>
      </x:c>
      <x:c r="P365" s="160" t="inlineStr">
        <x:is>
          <x:t xml:space="preserve">ROBUST WITH RESIDUAL</x:t>
        </x:is>
      </x:c>
      <x:c r="Q365" s="160" t="inlineStr">
        <x:is>
          <x:t xml:space="preserve">The hardened rule catches the stress. Residual risk is mainly evidence quality, threshold calibration or interaction with another gate.</x:t>
        </x:is>
      </x:c>
      <x:c r="R365" s="160" t="inlineStr">
        <x:is>
          <x:t xml:space="preserve">Use a promises ledger with dated promise, measurable deliverable, due date, outcome and credibility weight.</x:t>
        </x:is>
      </x:c>
      <x:c r="S365" s="160" t="inlineStr">
        <x:is>
          <x:t xml:space="preserve">NO</x:t>
        </x:is>
      </x:c>
      <x:c r="T365" s="160" t="inlineStr">
        <x:is>
          <x:t xml:space="preserve">HARDENED</x:t>
        </x:is>
      </x:c>
      <x:c r="U365" s="160" t="inlineStr">
        <x:is>
          <x:t xml:space="preserve">V10.5-SIM39</x:t>
        </x:is>
      </x:c>
      <x:c r="V365" s="160" t="inlineStr">
        <x:is>
          <x:t xml:space="preserve">https://www.givaudan.com/investors</x:t>
        </x:is>
      </x:c>
      <x:c r="W365" s="160" t="inlineStr">
        <x:is>
          <x:t xml:space="preserve">NO</x:t>
        </x:is>
      </x:c>
      <x:c r="X365" s="160" t="inlineStr">
        <x:is>
          <x:t xml:space="preserve">NONE — DEVELOPMENT ONLY</x:t>
        </x:is>
      </x:c>
      <x:c r="Y365" s="160" t="inlineStr">
        <x:is>
          <x:t xml:space="preserve">Synthetic/adversarial model-development loop. No historical outcome is claimed; no accuracy point is awarded.</x:t>
        </x:is>
      </x:c>
    </x:row>
    <x:row r="366">
      <x:c r="A366" s="160" t="inlineStr">
        <x:is>
          <x:t xml:space="preserve">ML0361</x:t>
        </x:is>
      </x:c>
      <x:c r="B366" s="160" t="inlineStr">
        <x:is>
          <x:t xml:space="preserve">ARG-023</x:t>
        </x:is>
      </x:c>
      <x:c r="C366" s="160" t="inlineStr">
        <x:is>
          <x:t xml:space="preserve">Givaudan</x:t>
        </x:is>
      </x:c>
      <x:c r="D366" s="160" t="inlineStr">
        <x:is>
          <x:t xml:space="preserve">GIVN.SW</x:t>
        </x:is>
      </x:c>
      <x:c r="E366" s="160" t="inlineStr">
        <x:is>
          <x:t xml:space="preserve">Specialty Ingredients</x:t>
        </x:is>
      </x:c>
      <x:c r="F366" s="160" t="inlineStr">
        <x:is>
          <x:t xml:space="preserve">Development</x:t>
        </x:is>
      </x:c>
      <x:c r="G366" s="160" t="inlineStr">
        <x:is>
          <x:t xml:space="preserve">S09</x:t>
        </x:is>
      </x:c>
      <x:c r="H366" s="160" t="inlineStr">
        <x:is>
          <x:t xml:space="preserve">Data / Accounting Quality</x:t>
        </x:is>
      </x:c>
      <x:c r="I366" s="160" t="inlineStr">
        <x:is>
          <x:t xml:space="preserve">Data quality</x:t>
        </x:is>
      </x:c>
      <x:c r="J366" s="160" t="inlineStr">
        <x:is>
          <x:t xml:space="preserve">Restatement, segment reclassification, one-time item or non-economic fair-value movement distorts the apparent trend.</x:t>
        </x:is>
      </x:c>
      <x:c r="K366" s="160" t="inlineStr">
        <x:is>
          <x:t xml:space="preserve">Customer intimacy, innovation and pricing</x:t>
        </x:is>
      </x:c>
      <x:c r="L366" s="160" t="inlineStr">
        <x:is>
          <x:t xml:space="preserve">Normalized FCF + EV/EBITDA</x:t>
        </x:is>
      </x:c>
      <x:c r="M366" s="160" t="inlineStr">
        <x:is>
          <x:t xml:space="preserve">WATCH</x:t>
        </x:is>
      </x:c>
      <x:c r="N366" s="160" t="inlineStr">
        <x:is>
          <x:t xml:space="preserve">R-DATA-01</x:t>
        </x:is>
      </x:c>
      <x:c r="O366" s="160" t="inlineStr">
        <x:is>
          <x:t xml:space="preserve">HARDENED</x:t>
        </x:is>
      </x:c>
      <x:c r="P366" s="160" t="inlineStr">
        <x:is>
          <x:t xml:space="preserve">ROBUST WITH RESIDUAL</x:t>
        </x:is>
      </x:c>
      <x:c r="Q366" s="160" t="inlineStr">
        <x:is>
          <x:t xml:space="preserve">The hardened rule catches the stress. Residual risk is mainly evidence quality, threshold calibration or interaction with another gate.</x:t>
        </x:is>
      </x:c>
      <x:c r="R366" s="160" t="inlineStr">
        <x:is>
          <x:t xml:space="preserve">Add a reporting-quality bridge and normalize accounting noise before any gate can pass.</x:t>
        </x:is>
      </x:c>
      <x:c r="S366" s="160" t="inlineStr">
        <x:is>
          <x:t xml:space="preserve">NO</x:t>
        </x:is>
      </x:c>
      <x:c r="T366" s="160" t="inlineStr">
        <x:is>
          <x:t xml:space="preserve">HARDENED</x:t>
        </x:is>
      </x:c>
      <x:c r="U366" s="160" t="inlineStr">
        <x:is>
          <x:t xml:space="preserve">V10.5-SIM39</x:t>
        </x:is>
      </x:c>
      <x:c r="V366" s="160" t="inlineStr">
        <x:is>
          <x:t xml:space="preserve">https://www.givaudan.com/investors</x:t>
        </x:is>
      </x:c>
      <x:c r="W366" s="160" t="inlineStr">
        <x:is>
          <x:t xml:space="preserve">NO</x:t>
        </x:is>
      </x:c>
      <x:c r="X366" s="160" t="inlineStr">
        <x:is>
          <x:t xml:space="preserve">NONE — DEVELOPMENT ONLY</x:t>
        </x:is>
      </x:c>
      <x:c r="Y366" s="160" t="inlineStr">
        <x:is>
          <x:t xml:space="preserve">Synthetic/adversarial model-development loop. No historical outcome is claimed; no accuracy point is awarded.</x:t>
        </x:is>
      </x:c>
    </x:row>
    <x:row r="367">
      <x:c r="A367" s="160" t="inlineStr">
        <x:is>
          <x:t xml:space="preserve">ML0362</x:t>
        </x:is>
      </x:c>
      <x:c r="B367" s="160" t="inlineStr">
        <x:is>
          <x:t xml:space="preserve">ARG-023</x:t>
        </x:is>
      </x:c>
      <x:c r="C367" s="160" t="inlineStr">
        <x:is>
          <x:t xml:space="preserve">Givaudan</x:t>
        </x:is>
      </x:c>
      <x:c r="D367" s="160" t="inlineStr">
        <x:is>
          <x:t xml:space="preserve">GIVN.SW</x:t>
        </x:is>
      </x:c>
      <x:c r="E367" s="160" t="inlineStr">
        <x:is>
          <x:t xml:space="preserve">Specialty Ingredients</x:t>
        </x:is>
      </x:c>
      <x:c r="F367" s="160" t="inlineStr">
        <x:is>
          <x:t xml:space="preserve">Development</x:t>
        </x:is>
      </x:c>
      <x:c r="G367" s="160" t="inlineStr">
        <x:is>
          <x:t xml:space="preserve">S10</x:t>
        </x:is>
      </x:c>
      <x:c r="H367" s="160" t="inlineStr">
        <x:is>
          <x:t xml:space="preserve">Control / Counterfactual</x:t>
        </x:is>
      </x:c>
      <x:c r="I367" s="160" t="inlineStr">
        <x:is>
          <x:t xml:space="preserve">Sector beta vs company alpha</x:t>
        </x:is>
      </x:c>
      <x:c r="J367" s="160" t="inlineStr">
        <x:is>
          <x:t xml:space="preserve">A positive outcome is mostly sector beta or macro tailwind, not company-specific alpha.</x:t>
        </x:is>
      </x:c>
      <x:c r="K367" s="160" t="inlineStr">
        <x:is>
          <x:t xml:space="preserve">Customer intimacy, innovation and pricing</x:t>
        </x:is>
      </x:c>
      <x:c r="L367" s="160" t="inlineStr">
        <x:is>
          <x:t xml:space="preserve">Normalized FCF + EV/EBITDA</x:t>
        </x:is>
      </x:c>
      <x:c r="M367" s="160" t="inlineStr">
        <x:is>
          <x:t xml:space="preserve">WATCH</x:t>
        </x:is>
      </x:c>
      <x:c r="N367" s="160" t="inlineStr">
        <x:is>
          <x:t xml:space="preserve">R-CF-01</x:t>
        </x:is>
      </x:c>
      <x:c r="O367" s="160" t="inlineStr">
        <x:is>
          <x:t xml:space="preserve">HARDENED</x:t>
        </x:is>
      </x:c>
      <x:c r="P367" s="160" t="inlineStr">
        <x:is>
          <x:t xml:space="preserve">ROBUST WITH RESIDUAL</x:t>
        </x:is>
      </x:c>
      <x:c r="Q367" s="160" t="inlineStr">
        <x:is>
          <x:t xml:space="preserve">The hardened rule catches the stress. Residual risk is mainly evidence quality, threshold calibration or interaction with another gate.</x:t>
        </x:is>
      </x:c>
      <x:c r="R367" s="160" t="inlineStr">
        <x:is>
          <x:t xml:space="preserve">Require a true economic control and counterfactual: what should have happened to a comparable company under the same shock?</x:t>
        </x:is>
      </x:c>
      <x:c r="S367" s="160" t="inlineStr">
        <x:is>
          <x:t xml:space="preserve">NO</x:t>
        </x:is>
      </x:c>
      <x:c r="T367" s="160" t="inlineStr">
        <x:is>
          <x:t xml:space="preserve">HARDENED</x:t>
        </x:is>
      </x:c>
      <x:c r="U367" s="160" t="inlineStr">
        <x:is>
          <x:t xml:space="preserve">V10.5-SIM39</x:t>
        </x:is>
      </x:c>
      <x:c r="V367" s="160" t="inlineStr">
        <x:is>
          <x:t xml:space="preserve">https://www.givaudan.com/investors</x:t>
        </x:is>
      </x:c>
      <x:c r="W367" s="160" t="inlineStr">
        <x:is>
          <x:t xml:space="preserve">NO</x:t>
        </x:is>
      </x:c>
      <x:c r="X367" s="160" t="inlineStr">
        <x:is>
          <x:t xml:space="preserve">NONE — DEVELOPMENT ONLY</x:t>
        </x:is>
      </x:c>
      <x:c r="Y367" s="160" t="inlineStr">
        <x:is>
          <x:t xml:space="preserve">Synthetic/adversarial model-development loop. No historical outcome is claimed; no accuracy point is awarded.</x:t>
        </x:is>
      </x:c>
    </x:row>
    <x:row r="368">
      <x:c r="A368" s="160" t="inlineStr">
        <x:is>
          <x:t xml:space="preserve">ML0363</x:t>
        </x:is>
      </x:c>
      <x:c r="B368" s="160" t="inlineStr">
        <x:is>
          <x:t xml:space="preserve">ARG-023</x:t>
        </x:is>
      </x:c>
      <x:c r="C368" s="160" t="inlineStr">
        <x:is>
          <x:t xml:space="preserve">Givaudan</x:t>
        </x:is>
      </x:c>
      <x:c r="D368" s="160" t="inlineStr">
        <x:is>
          <x:t xml:space="preserve">GIVN.SW</x:t>
        </x:is>
      </x:c>
      <x:c r="E368" s="160" t="inlineStr">
        <x:is>
          <x:t xml:space="preserve">Specialty Ingredients</x:t>
        </x:is>
      </x:c>
      <x:c r="F368" s="160" t="inlineStr">
        <x:is>
          <x:t xml:space="preserve">Development</x:t>
        </x:is>
      </x:c>
      <x:c r="G368" s="160" t="inlineStr">
        <x:is>
          <x:t xml:space="preserve">S11</x:t>
        </x:is>
      </x:c>
      <x:c r="H368" s="160" t="inlineStr">
        <x:is>
          <x:t xml:space="preserve">False-Negative Discipline</x:t>
        </x:is>
      </x:c>
      <x:c r="I368" s="160" t="inlineStr">
        <x:is>
          <x:t xml:space="preserve">False negative</x:t>
        </x:is>
      </x:c>
      <x:c r="J368" s="160" t="inlineStr">
        <x:is>
          <x:t xml:space="preserve">A strict gate rejects a company that later compounds strongly for reasons the model could have known.</x:t>
        </x:is>
      </x:c>
      <x:c r="K368" s="160" t="inlineStr">
        <x:is>
          <x:t xml:space="preserve">Customer intimacy, innovation and pricing</x:t>
        </x:is>
      </x:c>
      <x:c r="L368" s="160" t="inlineStr">
        <x:is>
          <x:t xml:space="preserve">Normalized FCF + EV/EBITDA</x:t>
        </x:is>
      </x:c>
      <x:c r="M368" s="160" t="inlineStr">
        <x:is>
          <x:t xml:space="preserve">WATCH</x:t>
        </x:is>
      </x:c>
      <x:c r="N368" s="160" t="inlineStr">
        <x:is>
          <x:t xml:space="preserve">R-FN-01</x:t>
        </x:is>
      </x:c>
      <x:c r="O368" s="160" t="inlineStr">
        <x:is>
          <x:t xml:space="preserve">HARDENED</x:t>
        </x:is>
      </x:c>
      <x:c r="P368" s="160" t="inlineStr">
        <x:is>
          <x:t xml:space="preserve">ROBUST WITH RESIDUAL</x:t>
        </x:is>
      </x:c>
      <x:c r="Q368" s="160" t="inlineStr">
        <x:is>
          <x:t xml:space="preserve">The hardened rule catches the stress. Residual risk is mainly evidence quality, threshold calibration or interaction with another gate.</x:t>
        </x:is>
      </x:c>
      <x:c r="R368" s="160" t="inlineStr">
        <x:is>
          <x:t xml:space="preserve">Track opportunity cost and classify whether the miss came from evidence timing, wrong threshold or genuinely unknowable upside.</x:t>
        </x:is>
      </x:c>
      <x:c r="S368" s="160" t="inlineStr">
        <x:is>
          <x:t xml:space="preserve">NO</x:t>
        </x:is>
      </x:c>
      <x:c r="T368" s="160" t="inlineStr">
        <x:is>
          <x:t xml:space="preserve">HARDENED</x:t>
        </x:is>
      </x:c>
      <x:c r="U368" s="160" t="inlineStr">
        <x:is>
          <x:t xml:space="preserve">V10.5-SIM39</x:t>
        </x:is>
      </x:c>
      <x:c r="V368" s="160" t="inlineStr">
        <x:is>
          <x:t xml:space="preserve">https://www.givaudan.com/investors</x:t>
        </x:is>
      </x:c>
      <x:c r="W368" s="160" t="inlineStr">
        <x:is>
          <x:t xml:space="preserve">NO</x:t>
        </x:is>
      </x:c>
      <x:c r="X368" s="160" t="inlineStr">
        <x:is>
          <x:t xml:space="preserve">NONE — DEVELOPMENT ONLY</x:t>
        </x:is>
      </x:c>
      <x:c r="Y368" s="160" t="inlineStr">
        <x:is>
          <x:t xml:space="preserve">Synthetic/adversarial model-development loop. No historical outcome is claimed; no accuracy point is awarded.</x:t>
        </x:is>
      </x:c>
    </x:row>
    <x:row r="369">
      <x:c r="A369" s="160" t="inlineStr">
        <x:is>
          <x:t xml:space="preserve">ML0364</x:t>
        </x:is>
      </x:c>
      <x:c r="B369" s="160" t="inlineStr">
        <x:is>
          <x:t xml:space="preserve">ARG-023</x:t>
        </x:is>
      </x:c>
      <x:c r="C369" s="160" t="inlineStr">
        <x:is>
          <x:t xml:space="preserve">Givaudan</x:t>
        </x:is>
      </x:c>
      <x:c r="D369" s="160" t="inlineStr">
        <x:is>
          <x:t xml:space="preserve">GIVN.SW</x:t>
        </x:is>
      </x:c>
      <x:c r="E369" s="160" t="inlineStr">
        <x:is>
          <x:t xml:space="preserve">Specialty Ingredients</x:t>
        </x:is>
      </x:c>
      <x:c r="F369" s="160" t="inlineStr">
        <x:is>
          <x:t xml:space="preserve">Development</x:t>
        </x:is>
      </x:c>
      <x:c r="G369" s="160" t="inlineStr">
        <x:is>
          <x:t xml:space="preserve">S12</x:t>
        </x:is>
      </x:c>
      <x:c r="H369" s="160" t="inlineStr">
        <x:is>
          <x:t xml:space="preserve">Lead-Time / Early Sensor</x:t>
        </x:is>
      </x:c>
      <x:c r="I369" s="160" t="inlineStr">
        <x:is>
          <x:t xml:space="preserve">Timing / lead-time</x:t>
        </x:is>
      </x:c>
      <x:c r="J369" s="160" t="inlineStr">
        <x:is>
          <x:t xml:space="preserve">ARGUS identifies the change correctly but only after consensus and price have already reacted.</x:t>
        </x:is>
      </x:c>
      <x:c r="K369" s="160" t="inlineStr">
        <x:is>
          <x:t xml:space="preserve">Customer intimacy, innovation and pricing</x:t>
        </x:is>
      </x:c>
      <x:c r="L369" s="160" t="inlineStr">
        <x:is>
          <x:t xml:space="preserve">Normalized FCF + EV/EBITDA</x:t>
        </x:is>
      </x:c>
      <x:c r="M369" s="160" t="inlineStr">
        <x:is>
          <x:t xml:space="preserve">WATCH</x:t>
        </x:is>
      </x:c>
      <x:c r="N369" s="160" t="inlineStr">
        <x:is>
          <x:t xml:space="preserve">R-TIME-01</x:t>
        </x:is>
      </x:c>
      <x:c r="O369" s="160" t="inlineStr">
        <x:is>
          <x:t xml:space="preserve">HARDENED</x:t>
        </x:is>
      </x:c>
      <x:c r="P369" s="160" t="inlineStr">
        <x:is>
          <x:t xml:space="preserve">ROBUST WITH RESIDUAL</x:t>
        </x:is>
      </x:c>
      <x:c r="Q369" s="160" t="inlineStr">
        <x:is>
          <x:t xml:space="preserve">The hardened rule catches the stress. Residual risk is mainly evidence quality, threshold calibration or interaction with another gate.</x:t>
        </x:is>
      </x:c>
      <x:c r="R369" s="160" t="inlineStr">
        <x:is>
          <x:t xml:space="preserve">Replace lagging financial metrics with earlier causal operating sensors and record lead time separately from correctness.</x:t>
        </x:is>
      </x:c>
      <x:c r="S369" s="160" t="inlineStr">
        <x:is>
          <x:t xml:space="preserve">NO</x:t>
        </x:is>
      </x:c>
      <x:c r="T369" s="160" t="inlineStr">
        <x:is>
          <x:t xml:space="preserve">HARDENED</x:t>
        </x:is>
      </x:c>
      <x:c r="U369" s="160" t="inlineStr">
        <x:is>
          <x:t xml:space="preserve">V10.5-SIM39</x:t>
        </x:is>
      </x:c>
      <x:c r="V369" s="160" t="inlineStr">
        <x:is>
          <x:t xml:space="preserve">https://www.givaudan.com/investors</x:t>
        </x:is>
      </x:c>
      <x:c r="W369" s="160" t="inlineStr">
        <x:is>
          <x:t xml:space="preserve">NO</x:t>
        </x:is>
      </x:c>
      <x:c r="X369" s="160" t="inlineStr">
        <x:is>
          <x:t xml:space="preserve">NONE — DEVELOPMENT ONLY</x:t>
        </x:is>
      </x:c>
      <x:c r="Y369" s="160" t="inlineStr">
        <x:is>
          <x:t xml:space="preserve">Synthetic/adversarial model-development loop. No historical outcome is claimed; no accuracy point is awarded.</x:t>
        </x:is>
      </x:c>
    </x:row>
    <x:row r="370">
      <x:c r="A370" s="160" t="inlineStr">
        <x:is>
          <x:t xml:space="preserve">ML0365</x:t>
        </x:is>
      </x:c>
      <x:c r="B370" s="160" t="inlineStr">
        <x:is>
          <x:t xml:space="preserve">ARG-023</x:t>
        </x:is>
      </x:c>
      <x:c r="C370" s="160" t="inlineStr">
        <x:is>
          <x:t xml:space="preserve">Givaudan</x:t>
        </x:is>
      </x:c>
      <x:c r="D370" s="160" t="inlineStr">
        <x:is>
          <x:t xml:space="preserve">GIVN.SW</x:t>
        </x:is>
      </x:c>
      <x:c r="E370" s="160" t="inlineStr">
        <x:is>
          <x:t xml:space="preserve">Specialty Ingredients</x:t>
        </x:is>
      </x:c>
      <x:c r="F370" s="160" t="inlineStr">
        <x:is>
          <x:t xml:space="preserve">Development</x:t>
        </x:is>
      </x:c>
      <x:c r="G370" s="160" t="inlineStr">
        <x:is>
          <x:t xml:space="preserve">S13</x:t>
        </x:is>
      </x:c>
      <x:c r="H370" s="160" t="inlineStr">
        <x:is>
          <x:t xml:space="preserve">Cycle Normalization</x:t>
        </x:is>
      </x:c>
      <x:c r="I370" s="160" t="inlineStr">
        <x:is>
          <x:t xml:space="preserve">Wrong valuation lens</x:t>
        </x:is>
      </x:c>
      <x:c r="J370" s="160" t="inlineStr">
        <x:is>
          <x:t xml:space="preserve">Peak/trough earnings are mistaken for normalized earning power.</x:t>
        </x:is>
      </x:c>
      <x:c r="K370" s="160" t="inlineStr">
        <x:is>
          <x:t xml:space="preserve">Customer intimacy, innovation and pricing</x:t>
        </x:is>
      </x:c>
      <x:c r="L370" s="160" t="inlineStr">
        <x:is>
          <x:t xml:space="preserve">Normalized FCF + EV/EBITDA</x:t>
        </x:is>
      </x:c>
      <x:c r="M370" s="160" t="inlineStr">
        <x:is>
          <x:t xml:space="preserve">WATCH</x:t>
        </x:is>
      </x:c>
      <x:c r="N370" s="160" t="inlineStr">
        <x:is>
          <x:t xml:space="preserve">R-CYCLE-01</x:t>
        </x:is>
      </x:c>
      <x:c r="O370" s="160" t="inlineStr">
        <x:is>
          <x:t xml:space="preserve">HARDENED</x:t>
        </x:is>
      </x:c>
      <x:c r="P370" s="160" t="inlineStr">
        <x:is>
          <x:t xml:space="preserve">ROBUST WITH RESIDUAL</x:t>
        </x:is>
      </x:c>
      <x:c r="Q370" s="160" t="inlineStr">
        <x:is>
          <x:t xml:space="preserve">The hardened rule catches the stress. Residual risk is mainly evidence quality, threshold calibration or interaction with another gate.</x:t>
        </x:is>
      </x:c>
      <x:c r="R370" s="160" t="inlineStr">
        <x:is>
          <x:t xml:space="preserve">Use sector-specific mid-cycle/NAV/rate-base/rNPV normalization before applying a valuation multiple.</x:t>
        </x:is>
      </x:c>
      <x:c r="S370" s="160" t="inlineStr">
        <x:is>
          <x:t xml:space="preserve">NO</x:t>
        </x:is>
      </x:c>
      <x:c r="T370" s="160" t="inlineStr">
        <x:is>
          <x:t xml:space="preserve">HARDENED</x:t>
        </x:is>
      </x:c>
      <x:c r="U370" s="160" t="inlineStr">
        <x:is>
          <x:t xml:space="preserve">V10.5-SIM39</x:t>
        </x:is>
      </x:c>
      <x:c r="V370" s="160" t="inlineStr">
        <x:is>
          <x:t xml:space="preserve">https://www.givaudan.com/investors</x:t>
        </x:is>
      </x:c>
      <x:c r="W370" s="160" t="inlineStr">
        <x:is>
          <x:t xml:space="preserve">NO</x:t>
        </x:is>
      </x:c>
      <x:c r="X370" s="160" t="inlineStr">
        <x:is>
          <x:t xml:space="preserve">NONE — DEVELOPMENT ONLY</x:t>
        </x:is>
      </x:c>
      <x:c r="Y370" s="160" t="inlineStr">
        <x:is>
          <x:t xml:space="preserve">Synthetic/adversarial model-development loop. No historical outcome is claimed; no accuracy point is awarded.</x:t>
        </x:is>
      </x:c>
    </x:row>
    <x:row r="371">
      <x:c r="A371" s="160" t="inlineStr">
        <x:is>
          <x:t xml:space="preserve">ML0366</x:t>
        </x:is>
      </x:c>
      <x:c r="B371" s="160" t="inlineStr">
        <x:is>
          <x:t xml:space="preserve">ARG-023</x:t>
        </x:is>
      </x:c>
      <x:c r="C371" s="160" t="inlineStr">
        <x:is>
          <x:t xml:space="preserve">Givaudan</x:t>
        </x:is>
      </x:c>
      <x:c r="D371" s="160" t="inlineStr">
        <x:is>
          <x:t xml:space="preserve">GIVN.SW</x:t>
        </x:is>
      </x:c>
      <x:c r="E371" s="160" t="inlineStr">
        <x:is>
          <x:t xml:space="preserve">Specialty Ingredients</x:t>
        </x:is>
      </x:c>
      <x:c r="F371" s="160" t="inlineStr">
        <x:is>
          <x:t xml:space="preserve">Development</x:t>
        </x:is>
      </x:c>
      <x:c r="G371" s="160" t="inlineStr">
        <x:is>
          <x:t xml:space="preserve">S14</x:t>
        </x:is>
      </x:c>
      <x:c r="H371" s="160" t="inlineStr">
        <x:is>
          <x:t xml:space="preserve">M&amp;A / Organic Growth Separation</x:t>
        </x:is>
      </x:c>
      <x:c r="I371" s="160" t="inlineStr">
        <x:is>
          <x:t xml:space="preserve">Stewardship</x:t>
        </x:is>
      </x:c>
      <x:c r="J371" s="160" t="inlineStr">
        <x:is>
          <x:t xml:space="preserve">Acquisition-driven growth masks weak organic economics or poor incremental ROIC.</x:t>
        </x:is>
      </x:c>
      <x:c r="K371" s="160" t="inlineStr">
        <x:is>
          <x:t xml:space="preserve">Customer intimacy, innovation and pricing</x:t>
        </x:is>
      </x:c>
      <x:c r="L371" s="160" t="inlineStr">
        <x:is>
          <x:t xml:space="preserve">Normalized FCF + EV/EBITDA</x:t>
        </x:is>
      </x:c>
      <x:c r="M371" s="160" t="inlineStr">
        <x:is>
          <x:t xml:space="preserve">WATCH</x:t>
        </x:is>
      </x:c>
      <x:c r="N371" s="160" t="inlineStr">
        <x:is>
          <x:t xml:space="preserve">R-MA-01</x:t>
        </x:is>
      </x:c>
      <x:c r="O371" s="160" t="inlineStr">
        <x:is>
          <x:t xml:space="preserve">HARDENED</x:t>
        </x:is>
      </x:c>
      <x:c r="P371" s="160" t="inlineStr">
        <x:is>
          <x:t xml:space="preserve">ROBUST WITH RESIDUAL</x:t>
        </x:is>
      </x:c>
      <x:c r="Q371" s="160" t="inlineStr">
        <x:is>
          <x:t xml:space="preserve">The hardened rule catches the stress. Residual risk is mainly evidence quality, threshold calibration or interaction with another gate.</x:t>
        </x:is>
      </x:c>
      <x:c r="R371" s="160" t="inlineStr">
        <x:is>
          <x:t xml:space="preserve">Bridge organic growth, acquired growth, purchase price, integration costs and acquisition-cohort ROIC.</x:t>
        </x:is>
      </x:c>
      <x:c r="S371" s="160" t="inlineStr">
        <x:is>
          <x:t xml:space="preserve">NO</x:t>
        </x:is>
      </x:c>
      <x:c r="T371" s="160" t="inlineStr">
        <x:is>
          <x:t xml:space="preserve">HARDENED</x:t>
        </x:is>
      </x:c>
      <x:c r="U371" s="160" t="inlineStr">
        <x:is>
          <x:t xml:space="preserve">V10.5-SIM39</x:t>
        </x:is>
      </x:c>
      <x:c r="V371" s="160" t="inlineStr">
        <x:is>
          <x:t xml:space="preserve">https://www.givaudan.com/investors</x:t>
        </x:is>
      </x:c>
      <x:c r="W371" s="160" t="inlineStr">
        <x:is>
          <x:t xml:space="preserve">NO</x:t>
        </x:is>
      </x:c>
      <x:c r="X371" s="160" t="inlineStr">
        <x:is>
          <x:t xml:space="preserve">NONE — DEVELOPMENT ONLY</x:t>
        </x:is>
      </x:c>
      <x:c r="Y371" s="160" t="inlineStr">
        <x:is>
          <x:t xml:space="preserve">Synthetic/adversarial model-development loop. No historical outcome is claimed; no accuracy point is awarded.</x:t>
        </x:is>
      </x:c>
    </x:row>
    <x:row r="372">
      <x:c r="A372" s="160" t="inlineStr">
        <x:is>
          <x:t xml:space="preserve">ML0367</x:t>
        </x:is>
      </x:c>
      <x:c r="B372" s="160" t="inlineStr">
        <x:is>
          <x:t xml:space="preserve">ARG-023</x:t>
        </x:is>
      </x:c>
      <x:c r="C372" s="160" t="inlineStr">
        <x:is>
          <x:t xml:space="preserve">Givaudan</x:t>
        </x:is>
      </x:c>
      <x:c r="D372" s="160" t="inlineStr">
        <x:is>
          <x:t xml:space="preserve">GIVN.SW</x:t>
        </x:is>
      </x:c>
      <x:c r="E372" s="160" t="inlineStr">
        <x:is>
          <x:t xml:space="preserve">Specialty Ingredients</x:t>
        </x:is>
      </x:c>
      <x:c r="F372" s="160" t="inlineStr">
        <x:is>
          <x:t xml:space="preserve">Development</x:t>
        </x:is>
      </x:c>
      <x:c r="G372" s="160" t="inlineStr">
        <x:is>
          <x:t xml:space="preserve">S15</x:t>
        </x:is>
      </x:c>
      <x:c r="H372" s="160" t="inlineStr">
        <x:is>
          <x:t xml:space="preserve">Financing / Dilution Per Share</x:t>
        </x:is>
      </x:c>
      <x:c r="I372" s="160" t="inlineStr">
        <x:is>
          <x:t xml:space="preserve">Stewardship</x:t>
        </x:is>
      </x:c>
      <x:c r="J372" s="160" t="inlineStr">
        <x:is>
          <x:t xml:space="preserve">Cash balance or revenue growth improves while financing causes material per-share value leakage.</x:t>
        </x:is>
      </x:c>
      <x:c r="K372" s="160" t="inlineStr">
        <x:is>
          <x:t xml:space="preserve">Customer intimacy, innovation and pricing</x:t>
        </x:is>
      </x:c>
      <x:c r="L372" s="160" t="inlineStr">
        <x:is>
          <x:t xml:space="preserve">Normalized FCF + EV/EBITDA</x:t>
        </x:is>
      </x:c>
      <x:c r="M372" s="160" t="inlineStr">
        <x:is>
          <x:t xml:space="preserve">WATCH</x:t>
        </x:is>
      </x:c>
      <x:c r="N372" s="160" t="inlineStr">
        <x:is>
          <x:t xml:space="preserve">R-DIL-01</x:t>
        </x:is>
      </x:c>
      <x:c r="O372" s="160" t="inlineStr">
        <x:is>
          <x:t xml:space="preserve">HARDENED</x:t>
        </x:is>
      </x:c>
      <x:c r="P372" s="160" t="inlineStr">
        <x:is>
          <x:t xml:space="preserve">ROBUST WITH RESIDUAL</x:t>
        </x:is>
      </x:c>
      <x:c r="Q372" s="160" t="inlineStr">
        <x:is>
          <x:t xml:space="preserve">The hardened rule catches the stress. Residual risk is mainly evidence quality, threshold calibration or interaction with another gate.</x:t>
        </x:is>
      </x:c>
      <x:c r="R372" s="160" t="inlineStr">
        <x:is>
          <x:t xml:space="preserve">Reconcile share-count growth, SBC, equity issuance, buybacks and net cash changes to per-share intrinsic value.</x:t>
        </x:is>
      </x:c>
      <x:c r="S372" s="160" t="inlineStr">
        <x:is>
          <x:t xml:space="preserve">NO</x:t>
        </x:is>
      </x:c>
      <x:c r="T372" s="160" t="inlineStr">
        <x:is>
          <x:t xml:space="preserve">HARDENED</x:t>
        </x:is>
      </x:c>
      <x:c r="U372" s="160" t="inlineStr">
        <x:is>
          <x:t xml:space="preserve">V10.5-SIM39</x:t>
        </x:is>
      </x:c>
      <x:c r="V372" s="160" t="inlineStr">
        <x:is>
          <x:t xml:space="preserve">https://www.givaudan.com/investors</x:t>
        </x:is>
      </x:c>
      <x:c r="W372" s="160" t="inlineStr">
        <x:is>
          <x:t xml:space="preserve">NO</x:t>
        </x:is>
      </x:c>
      <x:c r="X372" s="160" t="inlineStr">
        <x:is>
          <x:t xml:space="preserve">NONE — DEVELOPMENT ONLY</x:t>
        </x:is>
      </x:c>
      <x:c r="Y372" s="160" t="inlineStr">
        <x:is>
          <x:t xml:space="preserve">Synthetic/adversarial model-development loop. No historical outcome is claimed; no accuracy point is awarded.</x:t>
        </x:is>
      </x:c>
    </x:row>
    <x:row r="373">
      <x:c r="A373" s="160" t="inlineStr">
        <x:is>
          <x:t xml:space="preserve">ML0368</x:t>
        </x:is>
      </x:c>
      <x:c r="B373" s="160" t="inlineStr">
        <x:is>
          <x:t xml:space="preserve">ARG-023</x:t>
        </x:is>
      </x:c>
      <x:c r="C373" s="160" t="inlineStr">
        <x:is>
          <x:t xml:space="preserve">Givaudan</x:t>
        </x:is>
      </x:c>
      <x:c r="D373" s="160" t="inlineStr">
        <x:is>
          <x:t xml:space="preserve">GIVN.SW</x:t>
        </x:is>
      </x:c>
      <x:c r="E373" s="160" t="inlineStr">
        <x:is>
          <x:t xml:space="preserve">Specialty Ingredients</x:t>
        </x:is>
      </x:c>
      <x:c r="F373" s="160" t="inlineStr">
        <x:is>
          <x:t xml:space="preserve">Development</x:t>
        </x:is>
      </x:c>
      <x:c r="G373" s="160" t="inlineStr">
        <x:is>
          <x:t xml:space="preserve">S16</x:t>
        </x:is>
      </x:c>
      <x:c r="H373" s="160" t="inlineStr">
        <x:is>
          <x:t xml:space="preserve">Concentration / Tail Risk</x:t>
        </x:is>
      </x:c>
      <x:c r="I373" s="160" t="inlineStr">
        <x:is>
          <x:t xml:space="preserve">Survival</x:t>
        </x:is>
      </x:c>
      <x:c r="J373" s="160" t="inlineStr">
        <x:is>
          <x:t xml:space="preserve">A concentrated supplier, geography, customer, product, patent, regulatory or technology dependency creates asymmetric permanent-loss risk.</x:t>
        </x:is>
      </x:c>
      <x:c r="K373" s="160" t="inlineStr">
        <x:is>
          <x:t xml:space="preserve">Customer intimacy, innovation and pricing</x:t>
        </x:is>
      </x:c>
      <x:c r="L373" s="160" t="inlineStr">
        <x:is>
          <x:t xml:space="preserve">Normalized FCF + EV/EBITDA</x:t>
        </x:is>
      </x:c>
      <x:c r="M373" s="160" t="inlineStr">
        <x:is>
          <x:t xml:space="preserve">WATCH</x:t>
        </x:is>
      </x:c>
      <x:c r="N373" s="160" t="inlineStr">
        <x:is>
          <x:t xml:space="preserve">R-TAIL-01</x:t>
        </x:is>
      </x:c>
      <x:c r="O373" s="160" t="inlineStr">
        <x:is>
          <x:t xml:space="preserve">HARDENED</x:t>
        </x:is>
      </x:c>
      <x:c r="P373" s="160" t="inlineStr">
        <x:is>
          <x:t xml:space="preserve">ROBUST WITH RESIDUAL</x:t>
        </x:is>
      </x:c>
      <x:c r="Q373" s="160" t="inlineStr">
        <x:is>
          <x:t xml:space="preserve">The hardened rule catches the stress. Residual risk is mainly evidence quality, threshold calibration or interaction with another gate.</x:t>
        </x:is>
      </x:c>
      <x:c r="R373" s="160" t="inlineStr">
        <x:is>
          <x:t xml:space="preserve">Maintain an explicit concentration/tail-risk register with probability, severity, mitigation and required margin-of-safety premium.</x:t>
        </x:is>
      </x:c>
      <x:c r="S373" s="160" t="inlineStr">
        <x:is>
          <x:t xml:space="preserve">NO</x:t>
        </x:is>
      </x:c>
      <x:c r="T373" s="160" t="inlineStr">
        <x:is>
          <x:t xml:space="preserve">HARDENED</x:t>
        </x:is>
      </x:c>
      <x:c r="U373" s="160" t="inlineStr">
        <x:is>
          <x:t xml:space="preserve">V10.5-SIM39</x:t>
        </x:is>
      </x:c>
      <x:c r="V373" s="160" t="inlineStr">
        <x:is>
          <x:t xml:space="preserve">https://www.givaudan.com/investors</x:t>
        </x:is>
      </x:c>
      <x:c r="W373" s="160" t="inlineStr">
        <x:is>
          <x:t xml:space="preserve">NO</x:t>
        </x:is>
      </x:c>
      <x:c r="X373" s="160" t="inlineStr">
        <x:is>
          <x:t xml:space="preserve">NONE — DEVELOPMENT ONLY</x:t>
        </x:is>
      </x:c>
      <x:c r="Y373" s="160" t="inlineStr">
        <x:is>
          <x:t xml:space="preserve">Synthetic/adversarial model-development loop. No historical outcome is claimed; no accuracy point is awarded.</x:t>
        </x:is>
      </x:c>
    </x:row>
    <x:row r="374">
      <x:c r="A374" s="160" t="inlineStr">
        <x:is>
          <x:t xml:space="preserve">ML0369</x:t>
        </x:is>
      </x:c>
      <x:c r="B374" s="160" t="inlineStr">
        <x:is>
          <x:t xml:space="preserve">ARG-024</x:t>
        </x:is>
      </x:c>
      <x:c r="C374" s="160" t="inlineStr">
        <x:is>
          <x:t xml:space="preserve">Symrise</x:t>
        </x:is>
      </x:c>
      <x:c r="D374" s="160" t="inlineStr">
        <x:is>
          <x:t xml:space="preserve">SY1.DE</x:t>
        </x:is>
      </x:c>
      <x:c r="E374" s="160" t="inlineStr">
        <x:is>
          <x:t xml:space="preserve">Specialty Ingredients</x:t>
        </x:is>
      </x:c>
      <x:c r="F374" s="160" t="inlineStr">
        <x:is>
          <x:t xml:space="preserve">Development</x:t>
        </x:is>
      </x:c>
      <x:c r="G374" s="160" t="inlineStr">
        <x:is>
          <x:t xml:space="preserve">S01</x:t>
        </x:is>
      </x:c>
      <x:c r="H374" s="160" t="inlineStr">
        <x:is>
          <x:t xml:space="preserve">Understanding Gate</x:t>
        </x:is>
      </x:c>
      <x:c r="I374" s="160" t="inlineStr">
        <x:is>
          <x:t xml:space="preserve">Understanding</x:t>
        </x:is>
      </x:c>
      <x:c r="J374" s="160" t="inlineStr">
        <x:is>
          <x:t xml:space="preserve">Causal engine / customer ROI chain breaks under a misleading headline KPI.</x:t>
        </x:is>
      </x:c>
      <x:c r="K374" s="160" t="inlineStr">
        <x:is>
          <x:t xml:space="preserve">Innovation/customer intimacy plus diversified ingredients</x:t>
        </x:is>
      </x:c>
      <x:c r="L374" s="160" t="inlineStr">
        <x:is>
          <x:t xml:space="preserve">Normalized FCF + EV/EBITDA</x:t>
        </x:is>
      </x:c>
      <x:c r="M374" s="160" t="inlineStr">
        <x:is>
          <x:t xml:space="preserve">WATCH</x:t>
        </x:is>
      </x:c>
      <x:c r="N374" s="160" t="inlineStr">
        <x:is>
          <x:t xml:space="preserve">R-ENG-01</x:t>
        </x:is>
      </x:c>
      <x:c r="O374" s="160" t="inlineStr">
        <x:is>
          <x:t xml:space="preserve">HARDENED</x:t>
        </x:is>
      </x:c>
      <x:c r="P374" s="160" t="inlineStr">
        <x:is>
          <x:t xml:space="preserve">ROBUST WITH RESIDUAL</x:t>
        </x:is>
      </x:c>
      <x:c r="Q374" s="160" t="inlineStr">
        <x:is>
          <x:t xml:space="preserve">The hardened rule catches the stress. Residual risk is mainly evidence quality, threshold calibration or interaction with another gate.</x:t>
        </x:is>
      </x:c>
      <x:c r="R374" s="160" t="inlineStr">
        <x:is>
          <x:t xml:space="preserve">Force an explicit engine tree: customer job → unit economics → revenue driver → owner-value bridge.</x:t>
        </x:is>
      </x:c>
      <x:c r="S374" s="160" t="inlineStr">
        <x:is>
          <x:t xml:space="preserve">NO</x:t>
        </x:is>
      </x:c>
      <x:c r="T374" s="160" t="inlineStr">
        <x:is>
          <x:t xml:space="preserve">HARDENED</x:t>
        </x:is>
      </x:c>
      <x:c r="U374" s="160" t="inlineStr">
        <x:is>
          <x:t xml:space="preserve">V10.5-SIM39</x:t>
        </x:is>
      </x:c>
      <x:c r="V374" s="160" t="inlineStr">
        <x:is>
          <x:t xml:space="preserve">https://www.symrise.com/investors</x:t>
        </x:is>
      </x:c>
      <x:c r="W374" s="160" t="inlineStr">
        <x:is>
          <x:t xml:space="preserve">NO</x:t>
        </x:is>
      </x:c>
      <x:c r="X374" s="160" t="inlineStr">
        <x:is>
          <x:t xml:space="preserve">NONE — DEVELOPMENT ONLY</x:t>
        </x:is>
      </x:c>
      <x:c r="Y374" s="160" t="inlineStr">
        <x:is>
          <x:t xml:space="preserve">Synthetic/adversarial model-development loop. No historical outcome is claimed; no accuracy point is awarded.</x:t>
        </x:is>
      </x:c>
    </x:row>
    <x:row r="375">
      <x:c r="A375" s="160" t="inlineStr">
        <x:is>
          <x:t xml:space="preserve">ML0370</x:t>
        </x:is>
      </x:c>
      <x:c r="B375" s="160" t="inlineStr">
        <x:is>
          <x:t xml:space="preserve">ARG-024</x:t>
        </x:is>
      </x:c>
      <x:c r="C375" s="160" t="inlineStr">
        <x:is>
          <x:t xml:space="preserve">Symrise</x:t>
        </x:is>
      </x:c>
      <x:c r="D375" s="160" t="inlineStr">
        <x:is>
          <x:t xml:space="preserve">SY1.DE</x:t>
        </x:is>
      </x:c>
      <x:c r="E375" s="160" t="inlineStr">
        <x:is>
          <x:t xml:space="preserve">Specialty Ingredients</x:t>
        </x:is>
      </x:c>
      <x:c r="F375" s="160" t="inlineStr">
        <x:is>
          <x:t xml:space="preserve">Development</x:t>
        </x:is>
      </x:c>
      <x:c r="G375" s="160" t="inlineStr">
        <x:is>
          <x:t xml:space="preserve">S02</x:t>
        </x:is>
      </x:c>
      <x:c r="H375" s="160" t="inlineStr">
        <x:is>
          <x:t xml:space="preserve">Owner Earnings Normalization</x:t>
        </x:is>
      </x:c>
      <x:c r="I375" s="160" t="inlineStr">
        <x:is>
          <x:t xml:space="preserve">Owner Earnings</x:t>
        </x:is>
      </x:c>
      <x:c r="J375" s="160" t="inlineStr">
        <x:is>
          <x:t xml:space="preserve">Reported earnings/FCF overstates economic cash because recurring reinvestment or non-cash compensation is misclassified.</x:t>
        </x:is>
      </x:c>
      <x:c r="K375" s="160" t="inlineStr">
        <x:is>
          <x:t xml:space="preserve">Innovation/customer intimacy plus diversified ingredients</x:t>
        </x:is>
      </x:c>
      <x:c r="L375" s="160" t="inlineStr">
        <x:is>
          <x:t xml:space="preserve">Normalized FCF + EV/EBITDA</x:t>
        </x:is>
      </x:c>
      <x:c r="M375" s="160" t="inlineStr">
        <x:is>
          <x:t xml:space="preserve">WATCH</x:t>
        </x:is>
      </x:c>
      <x:c r="N375" s="160" t="inlineStr">
        <x:is>
          <x:t xml:space="preserve">R-OE-01</x:t>
        </x:is>
      </x:c>
      <x:c r="O375" s="160" t="inlineStr">
        <x:is>
          <x:t xml:space="preserve">HARDENED</x:t>
        </x:is>
      </x:c>
      <x:c r="P375" s="160" t="inlineStr">
        <x:is>
          <x:t xml:space="preserve">ROBUST WITH RESIDUAL</x:t>
        </x:is>
      </x:c>
      <x:c r="Q375" s="160" t="inlineStr">
        <x:is>
          <x:t xml:space="preserve">The hardened rule catches the stress. Residual risk is mainly evidence quality, threshold calibration or interaction with another gate.</x:t>
        </x:is>
      </x:c>
      <x:c r="R375" s="160" t="inlineStr">
        <x:is>
          <x:t xml:space="preserve">Require a GAAP-to-economic-owner-cash bridge tailored to the business model.</x:t>
        </x:is>
      </x:c>
      <x:c r="S375" s="160" t="inlineStr">
        <x:is>
          <x:t xml:space="preserve">NO</x:t>
        </x:is>
      </x:c>
      <x:c r="T375" s="160" t="inlineStr">
        <x:is>
          <x:t xml:space="preserve">HARDENED</x:t>
        </x:is>
      </x:c>
      <x:c r="U375" s="160" t="inlineStr">
        <x:is>
          <x:t xml:space="preserve">V10.5-SIM39</x:t>
        </x:is>
      </x:c>
      <x:c r="V375" s="160" t="inlineStr">
        <x:is>
          <x:t xml:space="preserve">https://www.symrise.com/investors</x:t>
        </x:is>
      </x:c>
      <x:c r="W375" s="160" t="inlineStr">
        <x:is>
          <x:t xml:space="preserve">NO</x:t>
        </x:is>
      </x:c>
      <x:c r="X375" s="160" t="inlineStr">
        <x:is>
          <x:t xml:space="preserve">NONE — DEVELOPMENT ONLY</x:t>
        </x:is>
      </x:c>
      <x:c r="Y375" s="160" t="inlineStr">
        <x:is>
          <x:t xml:space="preserve">Synthetic/adversarial model-development loop. No historical outcome is claimed; no accuracy point is awarded.</x:t>
        </x:is>
      </x:c>
    </x:row>
    <x:row r="376">
      <x:c r="A376" s="160" t="inlineStr">
        <x:is>
          <x:t xml:space="preserve">ML0371</x:t>
        </x:is>
      </x:c>
      <x:c r="B376" s="160" t="inlineStr">
        <x:is>
          <x:t xml:space="preserve">ARG-024</x:t>
        </x:is>
      </x:c>
      <x:c r="C376" s="160" t="inlineStr">
        <x:is>
          <x:t xml:space="preserve">Symrise</x:t>
        </x:is>
      </x:c>
      <x:c r="D376" s="160" t="inlineStr">
        <x:is>
          <x:t xml:space="preserve">SY1.DE</x:t>
        </x:is>
      </x:c>
      <x:c r="E376" s="160" t="inlineStr">
        <x:is>
          <x:t xml:space="preserve">Specialty Ingredients</x:t>
        </x:is>
      </x:c>
      <x:c r="F376" s="160" t="inlineStr">
        <x:is>
          <x:t xml:space="preserve">Development</x:t>
        </x:is>
      </x:c>
      <x:c r="G376" s="160" t="inlineStr">
        <x:is>
          <x:t xml:space="preserve">S03</x:t>
        </x:is>
      </x:c>
      <x:c r="H376" s="160" t="inlineStr">
        <x:is>
          <x:t xml:space="preserve">Moat Durability</x:t>
        </x:is>
      </x:c>
      <x:c r="I376" s="160" t="inlineStr">
        <x:is>
          <x:t xml:space="preserve">Moat 2036</x:t>
        </x:is>
      </x:c>
      <x:c r="J376" s="160" t="inlineStr">
        <x:is>
          <x:t xml:space="preserve">Growth continues while switching friction, pricing power or replacement difficulty quietly weakens.</x:t>
        </x:is>
      </x:c>
      <x:c r="K376" s="160" t="inlineStr">
        <x:is>
          <x:t xml:space="preserve">Innovation/customer intimacy plus diversified ingredients</x:t>
        </x:is>
      </x:c>
      <x:c r="L376" s="160" t="inlineStr">
        <x:is>
          <x:t xml:space="preserve">Normalized FCF + EV/EBITDA</x:t>
        </x:is>
      </x:c>
      <x:c r="M376" s="160" t="inlineStr">
        <x:is>
          <x:t xml:space="preserve">WATCH</x:t>
        </x:is>
      </x:c>
      <x:c r="N376" s="160" t="inlineStr">
        <x:is>
          <x:t xml:space="preserve">R-MOAT-01</x:t>
        </x:is>
      </x:c>
      <x:c r="O376" s="160" t="inlineStr">
        <x:is>
          <x:t xml:space="preserve">HARDENED</x:t>
        </x:is>
      </x:c>
      <x:c r="P376" s="160" t="inlineStr">
        <x:is>
          <x:t xml:space="preserve">ROBUST WITH RESIDUAL</x:t>
        </x:is>
      </x:c>
      <x:c r="Q376" s="160" t="inlineStr">
        <x:is>
          <x:t xml:space="preserve">The hardened rule catches the stress. Residual risk is mainly evidence quality, threshold calibration or interaction with another gate.</x:t>
        </x:is>
      </x:c>
      <x:c r="R376" s="160" t="inlineStr">
        <x:is>
          <x:t xml:space="preserve">Track moat telemetry separately from growth: retention, pricing, win/loss, replacement friction, installed-base behavior.</x:t>
        </x:is>
      </x:c>
      <x:c r="S376" s="160" t="inlineStr">
        <x:is>
          <x:t xml:space="preserve">NO</x:t>
        </x:is>
      </x:c>
      <x:c r="T376" s="160" t="inlineStr">
        <x:is>
          <x:t xml:space="preserve">HARDENED</x:t>
        </x:is>
      </x:c>
      <x:c r="U376" s="160" t="inlineStr">
        <x:is>
          <x:t xml:space="preserve">V10.5-SIM39</x:t>
        </x:is>
      </x:c>
      <x:c r="V376" s="160" t="inlineStr">
        <x:is>
          <x:t xml:space="preserve">https://www.symrise.com/investors</x:t>
        </x:is>
      </x:c>
      <x:c r="W376" s="160" t="inlineStr">
        <x:is>
          <x:t xml:space="preserve">NO</x:t>
        </x:is>
      </x:c>
      <x:c r="X376" s="160" t="inlineStr">
        <x:is>
          <x:t xml:space="preserve">NONE — DEVELOPMENT ONLY</x:t>
        </x:is>
      </x:c>
      <x:c r="Y376" s="160" t="inlineStr">
        <x:is>
          <x:t xml:space="preserve">Synthetic/adversarial model-development loop. No historical outcome is claimed; no accuracy point is awarded.</x:t>
        </x:is>
      </x:c>
    </x:row>
    <x:row r="377">
      <x:c r="A377" s="160" t="inlineStr">
        <x:is>
          <x:t xml:space="preserve">ML0372</x:t>
        </x:is>
      </x:c>
      <x:c r="B377" s="160" t="inlineStr">
        <x:is>
          <x:t xml:space="preserve">ARG-024</x:t>
        </x:is>
      </x:c>
      <x:c r="C377" s="160" t="inlineStr">
        <x:is>
          <x:t xml:space="preserve">Symrise</x:t>
        </x:is>
      </x:c>
      <x:c r="D377" s="160" t="inlineStr">
        <x:is>
          <x:t xml:space="preserve">SY1.DE</x:t>
        </x:is>
      </x:c>
      <x:c r="E377" s="160" t="inlineStr">
        <x:is>
          <x:t xml:space="preserve">Specialty Ingredients</x:t>
        </x:is>
      </x:c>
      <x:c r="F377" s="160" t="inlineStr">
        <x:is>
          <x:t xml:space="preserve">Development</x:t>
        </x:is>
      </x:c>
      <x:c r="G377" s="160" t="inlineStr">
        <x:is>
          <x:t xml:space="preserve">S04</x:t>
        </x:is>
      </x:c>
      <x:c r="H377" s="160" t="inlineStr">
        <x:is>
          <x:t xml:space="preserve">Stewardship / Capital Allocation</x:t>
        </x:is>
      </x:c>
      <x:c r="I377" s="160" t="inlineStr">
        <x:is>
          <x:t xml:space="preserve">Stewardship</x:t>
        </x:is>
      </x:c>
      <x:c r="J377" s="160" t="inlineStr">
        <x:is>
          <x:t xml:space="preserve">Management creates enterprise growth while destroying per-share value through M&amp;A, dilution, leverage or mistimed buybacks.</x:t>
        </x:is>
      </x:c>
      <x:c r="K377" s="160" t="inlineStr">
        <x:is>
          <x:t xml:space="preserve">Innovation/customer intimacy plus diversified ingredients</x:t>
        </x:is>
      </x:c>
      <x:c r="L377" s="160" t="inlineStr">
        <x:is>
          <x:t xml:space="preserve">Normalized FCF + EV/EBITDA</x:t>
        </x:is>
      </x:c>
      <x:c r="M377" s="160" t="inlineStr">
        <x:is>
          <x:t xml:space="preserve">WATCH</x:t>
        </x:is>
      </x:c>
      <x:c r="N377" s="160" t="inlineStr">
        <x:is>
          <x:t xml:space="preserve">R-STEW-01</x:t>
        </x:is>
      </x:c>
      <x:c r="O377" s="160" t="inlineStr">
        <x:is>
          <x:t xml:space="preserve">HARDENED</x:t>
        </x:is>
      </x:c>
      <x:c r="P377" s="160" t="inlineStr">
        <x:is>
          <x:t xml:space="preserve">ROBUST WITH RESIDUAL</x:t>
        </x:is>
      </x:c>
      <x:c r="Q377" s="160" t="inlineStr">
        <x:is>
          <x:t xml:space="preserve">The hardened rule catches the stress. Residual risk is mainly evidence quality, threshold calibration or interaction with another gate.</x:t>
        </x:is>
      </x:c>
      <x:c r="R377" s="160" t="inlineStr">
        <x:is>
          <x:t xml:space="preserve">Evaluate capital allocation on a per-share basis using acquisition cohorts, dilution, leverage and repurchase price discipline.</x:t>
        </x:is>
      </x:c>
      <x:c r="S377" s="160" t="inlineStr">
        <x:is>
          <x:t xml:space="preserve">NO</x:t>
        </x:is>
      </x:c>
      <x:c r="T377" s="160" t="inlineStr">
        <x:is>
          <x:t xml:space="preserve">HARDENED</x:t>
        </x:is>
      </x:c>
      <x:c r="U377" s="160" t="inlineStr">
        <x:is>
          <x:t xml:space="preserve">V10.5-SIM39</x:t>
        </x:is>
      </x:c>
      <x:c r="V377" s="160" t="inlineStr">
        <x:is>
          <x:t xml:space="preserve">https://www.symrise.com/investors</x:t>
        </x:is>
      </x:c>
      <x:c r="W377" s="160" t="inlineStr">
        <x:is>
          <x:t xml:space="preserve">NO</x:t>
        </x:is>
      </x:c>
      <x:c r="X377" s="160" t="inlineStr">
        <x:is>
          <x:t xml:space="preserve">NONE — DEVELOPMENT ONLY</x:t>
        </x:is>
      </x:c>
      <x:c r="Y377" s="160" t="inlineStr">
        <x:is>
          <x:t xml:space="preserve">Synthetic/adversarial model-development loop. No historical outcome is claimed; no accuracy point is awarded.</x:t>
        </x:is>
      </x:c>
    </x:row>
    <x:row r="378">
      <x:c r="A378" s="160" t="inlineStr">
        <x:is>
          <x:t xml:space="preserve">ML0373</x:t>
        </x:is>
      </x:c>
      <x:c r="B378" s="160" t="inlineStr">
        <x:is>
          <x:t xml:space="preserve">ARG-024</x:t>
        </x:is>
      </x:c>
      <x:c r="C378" s="160" t="inlineStr">
        <x:is>
          <x:t xml:space="preserve">Symrise</x:t>
        </x:is>
      </x:c>
      <x:c r="D378" s="160" t="inlineStr">
        <x:is>
          <x:t xml:space="preserve">SY1.DE</x:t>
        </x:is>
      </x:c>
      <x:c r="E378" s="160" t="inlineStr">
        <x:is>
          <x:t xml:space="preserve">Specialty Ingredients</x:t>
        </x:is>
      </x:c>
      <x:c r="F378" s="160" t="inlineStr">
        <x:is>
          <x:t xml:space="preserve">Development</x:t>
        </x:is>
      </x:c>
      <x:c r="G378" s="160" t="inlineStr">
        <x:is>
          <x:t xml:space="preserve">S05</x:t>
        </x:is>
      </x:c>
      <x:c r="H378" s="160" t="inlineStr">
        <x:is>
          <x:t xml:space="preserve">Survival / Funding</x:t>
        </x:is>
      </x:c>
      <x:c r="I378" s="160" t="inlineStr">
        <x:is>
          <x:t xml:space="preserve">Survival</x:t>
        </x:is>
      </x:c>
      <x:c r="J378" s="160" t="inlineStr">
        <x:is>
          <x:t xml:space="preserve">A plausible bear case exposes refinancing, liquidity, covenant, reserve, regulatory or operational fragility.</x:t>
        </x:is>
      </x:c>
      <x:c r="K378" s="160" t="inlineStr">
        <x:is>
          <x:t xml:space="preserve">Innovation/customer intimacy plus diversified ingredients</x:t>
        </x:is>
      </x:c>
      <x:c r="L378" s="160" t="inlineStr">
        <x:is>
          <x:t xml:space="preserve">Normalized FCF + EV/EBITDA</x:t>
        </x:is>
      </x:c>
      <x:c r="M378" s="160" t="inlineStr">
        <x:is>
          <x:t xml:space="preserve">WATCH</x:t>
        </x:is>
      </x:c>
      <x:c r="N378" s="160" t="inlineStr">
        <x:is>
          <x:t xml:space="preserve">R-SURV-01</x:t>
        </x:is>
      </x:c>
      <x:c r="O378" s="160" t="inlineStr">
        <x:is>
          <x:t xml:space="preserve">HARDENED</x:t>
        </x:is>
      </x:c>
      <x:c r="P378" s="160" t="inlineStr">
        <x:is>
          <x:t xml:space="preserve">ROBUST WITH RESIDUAL</x:t>
        </x:is>
      </x:c>
      <x:c r="Q378" s="160" t="inlineStr">
        <x:is>
          <x:t xml:space="preserve">The hardened rule catches the stress. Residual risk is mainly evidence quality, threshold calibration or interaction with another gate.</x:t>
        </x:is>
      </x:c>
      <x:c r="R378" s="160" t="inlineStr">
        <x:is>
          <x:t xml:space="preserve">Run a company-specific survival bridge under a severe-but-plausible bear case before any upside underwriting.</x:t>
        </x:is>
      </x:c>
      <x:c r="S378" s="160" t="inlineStr">
        <x:is>
          <x:t xml:space="preserve">NO</x:t>
        </x:is>
      </x:c>
      <x:c r="T378" s="160" t="inlineStr">
        <x:is>
          <x:t xml:space="preserve">HARDENED</x:t>
        </x:is>
      </x:c>
      <x:c r="U378" s="160" t="inlineStr">
        <x:is>
          <x:t xml:space="preserve">V10.5-SIM39</x:t>
        </x:is>
      </x:c>
      <x:c r="V378" s="160" t="inlineStr">
        <x:is>
          <x:t xml:space="preserve">https://www.symrise.com/investors</x:t>
        </x:is>
      </x:c>
      <x:c r="W378" s="160" t="inlineStr">
        <x:is>
          <x:t xml:space="preserve">NO</x:t>
        </x:is>
      </x:c>
      <x:c r="X378" s="160" t="inlineStr">
        <x:is>
          <x:t xml:space="preserve">NONE — DEVELOPMENT ONLY</x:t>
        </x:is>
      </x:c>
      <x:c r="Y378" s="160" t="inlineStr">
        <x:is>
          <x:t xml:space="preserve">Synthetic/adversarial model-development loop. No historical outcome is claimed; no accuracy point is awarded.</x:t>
        </x:is>
      </x:c>
    </x:row>
    <x:row r="379">
      <x:c r="A379" s="160" t="inlineStr">
        <x:is>
          <x:t xml:space="preserve">ML0374</x:t>
        </x:is>
      </x:c>
      <x:c r="B379" s="160" t="inlineStr">
        <x:is>
          <x:t xml:space="preserve">ARG-024</x:t>
        </x:is>
      </x:c>
      <x:c r="C379" s="160" t="inlineStr">
        <x:is>
          <x:t xml:space="preserve">Symrise</x:t>
        </x:is>
      </x:c>
      <x:c r="D379" s="160" t="inlineStr">
        <x:is>
          <x:t xml:space="preserve">SY1.DE</x:t>
        </x:is>
      </x:c>
      <x:c r="E379" s="160" t="inlineStr">
        <x:is>
          <x:t xml:space="preserve">Specialty Ingredients</x:t>
        </x:is>
      </x:c>
      <x:c r="F379" s="160" t="inlineStr">
        <x:is>
          <x:t xml:space="preserve">Development</x:t>
        </x:is>
      </x:c>
      <x:c r="G379" s="160" t="inlineStr">
        <x:is>
          <x:t xml:space="preserve">S06</x:t>
        </x:is>
      </x:c>
      <x:c r="H379" s="160" t="inlineStr">
        <x:is>
          <x:t xml:space="preserve">Margin of Safety</x:t>
        </x:is>
      </x:c>
      <x:c r="I379" s="160" t="inlineStr">
        <x:is>
          <x:t xml:space="preserve">Margin of Safety</x:t>
        </x:is>
      </x:c>
      <x:c r="J379" s="160" t="inlineStr">
        <x:is>
          <x:t xml:space="preserve">Business quality is high but the price embeds a fragile bull case.</x:t>
        </x:is>
      </x:c>
      <x:c r="K379" s="160" t="inlineStr">
        <x:is>
          <x:t xml:space="preserve">Innovation/customer intimacy plus diversified ingredients</x:t>
        </x:is>
      </x:c>
      <x:c r="L379" s="160" t="inlineStr">
        <x:is>
          <x:t xml:space="preserve">Normalized FCF + EV/EBITDA</x:t>
        </x:is>
      </x:c>
      <x:c r="M379" s="160" t="inlineStr">
        <x:is>
          <x:t xml:space="preserve">WATCH</x:t>
        </x:is>
      </x:c>
      <x:c r="N379" s="160" t="inlineStr">
        <x:is>
          <x:t xml:space="preserve">R-MOS-01</x:t>
        </x:is>
      </x:c>
      <x:c r="O379" s="160" t="inlineStr">
        <x:is>
          <x:t xml:space="preserve">HARDENED</x:t>
        </x:is>
      </x:c>
      <x:c r="P379" s="160" t="inlineStr">
        <x:is>
          <x:t xml:space="preserve">ROBUST WITH RESIDUAL</x:t>
        </x:is>
      </x:c>
      <x:c r="Q379" s="160" t="inlineStr">
        <x:is>
          <x:t xml:space="preserve">The hardened rule catches the stress. Residual risk is mainly evidence quality, threshold calibration or interaction with another gate.</x:t>
        </x:is>
      </x:c>
      <x:c r="R379" s="160" t="inlineStr">
        <x:is>
          <x:t xml:space="preserve">Separate business-quality score from price decision; require reverse valuation and bear/base/bull IV ranges.</x:t>
        </x:is>
      </x:c>
      <x:c r="S379" s="160" t="inlineStr">
        <x:is>
          <x:t xml:space="preserve">NO</x:t>
        </x:is>
      </x:c>
      <x:c r="T379" s="160" t="inlineStr">
        <x:is>
          <x:t xml:space="preserve">HARDENED</x:t>
        </x:is>
      </x:c>
      <x:c r="U379" s="160" t="inlineStr">
        <x:is>
          <x:t xml:space="preserve">V10.5-SIM39</x:t>
        </x:is>
      </x:c>
      <x:c r="V379" s="160" t="inlineStr">
        <x:is>
          <x:t xml:space="preserve">https://www.symrise.com/investors</x:t>
        </x:is>
      </x:c>
      <x:c r="W379" s="160" t="inlineStr">
        <x:is>
          <x:t xml:space="preserve">NO</x:t>
        </x:is>
      </x:c>
      <x:c r="X379" s="160" t="inlineStr">
        <x:is>
          <x:t xml:space="preserve">NONE — DEVELOPMENT ONLY</x:t>
        </x:is>
      </x:c>
      <x:c r="Y379" s="160" t="inlineStr">
        <x:is>
          <x:t xml:space="preserve">Synthetic/adversarial model-development loop. No historical outcome is claimed; no accuracy point is awarded.</x:t>
        </x:is>
      </x:c>
    </x:row>
    <x:row r="380">
      <x:c r="A380" s="160" t="inlineStr">
        <x:is>
          <x:t xml:space="preserve">ML0375</x:t>
        </x:is>
      </x:c>
      <x:c r="B380" s="160" t="inlineStr">
        <x:is>
          <x:t xml:space="preserve">ARG-024</x:t>
        </x:is>
      </x:c>
      <x:c r="C380" s="160" t="inlineStr">
        <x:is>
          <x:t xml:space="preserve">Symrise</x:t>
        </x:is>
      </x:c>
      <x:c r="D380" s="160" t="inlineStr">
        <x:is>
          <x:t xml:space="preserve">SY1.DE</x:t>
        </x:is>
      </x:c>
      <x:c r="E380" s="160" t="inlineStr">
        <x:is>
          <x:t xml:space="preserve">Specialty Ingredients</x:t>
        </x:is>
      </x:c>
      <x:c r="F380" s="160" t="inlineStr">
        <x:is>
          <x:t xml:space="preserve">Development</x:t>
        </x:is>
      </x:c>
      <x:c r="G380" s="160" t="inlineStr">
        <x:is>
          <x:t xml:space="preserve">S07</x:t>
        </x:is>
      </x:c>
      <x:c r="H380" s="160" t="inlineStr">
        <x:is>
          <x:t xml:space="preserve">Sector Shock</x:t>
        </x:is>
      </x:c>
      <x:c r="I380" s="160" t="inlineStr">
        <x:is>
          <x:t xml:space="preserve">Sector-specific</x:t>
        </x:is>
      </x:c>
      <x:c r="J380" s="160" t="inlineStr">
        <x:is>
          <x:t xml:space="preserve">Price/mix holds while customer destocking, volume softness, integration debt or formulation substitution weakens normalized FCF.</x:t>
        </x:is>
      </x:c>
      <x:c r="K380" s="160" t="inlineStr">
        <x:is>
          <x:t xml:space="preserve">Innovation/customer intimacy plus diversified ingredients</x:t>
        </x:is>
      </x:c>
      <x:c r="L380" s="160" t="inlineStr">
        <x:is>
          <x:t xml:space="preserve">Normalized FCF + EV/EBITDA</x:t>
        </x:is>
      </x:c>
      <x:c r="M380" s="160" t="inlineStr">
        <x:is>
          <x:t xml:space="preserve">WATCH</x:t>
        </x:is>
      </x:c>
      <x:c r="N380" s="160" t="inlineStr">
        <x:is>
          <x:t xml:space="preserve">R-SECTOR-SPECIALTY-INGREDIENTS</x:t>
        </x:is>
      </x:c>
      <x:c r="O380" s="160" t="inlineStr">
        <x:is>
          <x:t xml:space="preserve">BASE</x:t>
        </x:is>
      </x:c>
      <x:c r="P380" s="160" t="inlineStr">
        <x:is>
          <x:t xml:space="preserve">PARTIAL CATCH</x:t>
        </x:is>
      </x:c>
      <x:c r="Q380" s="160" t="inlineStr">
        <x:is>
          <x:t xml:space="preserve">The base refinement catches the main failure, but evidence thresholds and per-share/counterfactual details remain underspecified.</x:t>
        </x:is>
      </x:c>
      <x:c r="R380" s="160" t="inlineStr">
        <x:is>
          <x:t xml:space="preserve">Add a sector-specific transmission map with leading operating sensors, not only market-price variables. Sector rule: Price/mix holds while customer destocking, volume softness, integration debt or formulation substitution weakens normalized FCF.</x:t>
        </x:is>
      </x:c>
      <x:c r="S380" s="160" t="inlineStr">
        <x:is>
          <x:t xml:space="preserve">NO</x:t>
        </x:is>
      </x:c>
      <x:c r="T380" s="160" t="inlineStr">
        <x:is>
          <x:t xml:space="preserve">BASE</x:t>
        </x:is>
      </x:c>
      <x:c r="U380" s="160" t="inlineStr">
        <x:is>
          <x:t xml:space="preserve">V10.5-SIM39</x:t>
        </x:is>
      </x:c>
      <x:c r="V380" s="160" t="inlineStr">
        <x:is>
          <x:t xml:space="preserve">https://www.symrise.com/investors</x:t>
        </x:is>
      </x:c>
      <x:c r="W380" s="160" t="inlineStr">
        <x:is>
          <x:t xml:space="preserve">NO</x:t>
        </x:is>
      </x:c>
      <x:c r="X380" s="160" t="inlineStr">
        <x:is>
          <x:t xml:space="preserve">NONE — DEVELOPMENT ONLY</x:t>
        </x:is>
      </x:c>
      <x:c r="Y380" s="160" t="inlineStr">
        <x:is>
          <x:t xml:space="preserve">Synthetic/adversarial model-development loop. No historical outcome is claimed; no accuracy point is awarded.</x:t>
        </x:is>
      </x:c>
    </x:row>
    <x:row r="381">
      <x:c r="A381" s="160" t="inlineStr">
        <x:is>
          <x:t xml:space="preserve">ML0376</x:t>
        </x:is>
      </x:c>
      <x:c r="B381" s="160" t="inlineStr">
        <x:is>
          <x:t xml:space="preserve">ARG-024</x:t>
        </x:is>
      </x:c>
      <x:c r="C381" s="160" t="inlineStr">
        <x:is>
          <x:t xml:space="preserve">Symrise</x:t>
        </x:is>
      </x:c>
      <x:c r="D381" s="160" t="inlineStr">
        <x:is>
          <x:t xml:space="preserve">SY1.DE</x:t>
        </x:is>
      </x:c>
      <x:c r="E381" s="160" t="inlineStr">
        <x:is>
          <x:t xml:space="preserve">Specialty Ingredients</x:t>
        </x:is>
      </x:c>
      <x:c r="F381" s="160" t="inlineStr">
        <x:is>
          <x:t xml:space="preserve">Development</x:t>
        </x:is>
      </x:c>
      <x:c r="G381" s="160" t="inlineStr">
        <x:is>
          <x:t xml:space="preserve">S08</x:t>
        </x:is>
      </x:c>
      <x:c r="H381" s="160" t="inlineStr">
        <x:is>
          <x:t xml:space="preserve">Management Promise Reliability</x:t>
        </x:is>
      </x:c>
      <x:c r="I381" s="160" t="inlineStr">
        <x:is>
          <x:t xml:space="preserve">Management over-trust</x:t>
        </x:is>
      </x:c>
      <x:c r="J381" s="160" t="inlineStr">
        <x:is>
          <x:t xml:space="preserve">Guidance or strategic promises are repeated but the model lacks a contemporaneous reliability score.</x:t>
        </x:is>
      </x:c>
      <x:c r="K381" s="160" t="inlineStr">
        <x:is>
          <x:t xml:space="preserve">Innovation/customer intimacy plus diversified ingredients</x:t>
        </x:is>
      </x:c>
      <x:c r="L381" s="160" t="inlineStr">
        <x:is>
          <x:t xml:space="preserve">Normalized FCF + EV/EBITDA</x:t>
        </x:is>
      </x:c>
      <x:c r="M381" s="160" t="inlineStr">
        <x:is>
          <x:t xml:space="preserve">WATCH</x:t>
        </x:is>
      </x:c>
      <x:c r="N381" s="160" t="inlineStr">
        <x:is>
          <x:t xml:space="preserve">R-PROM-01</x:t>
        </x:is>
      </x:c>
      <x:c r="O381" s="160" t="inlineStr">
        <x:is>
          <x:t xml:space="preserve">HARDENED</x:t>
        </x:is>
      </x:c>
      <x:c r="P381" s="160" t="inlineStr">
        <x:is>
          <x:t xml:space="preserve">ROBUST WITH RESIDUAL</x:t>
        </x:is>
      </x:c>
      <x:c r="Q381" s="160" t="inlineStr">
        <x:is>
          <x:t xml:space="preserve">The hardened rule catches the stress. Residual risk is mainly evidence quality, threshold calibration or interaction with another gate.</x:t>
        </x:is>
      </x:c>
      <x:c r="R381" s="160" t="inlineStr">
        <x:is>
          <x:t xml:space="preserve">Use a promises ledger with dated promise, measurable deliverable, due date, outcome and credibility weight.</x:t>
        </x:is>
      </x:c>
      <x:c r="S381" s="160" t="inlineStr">
        <x:is>
          <x:t xml:space="preserve">NO</x:t>
        </x:is>
      </x:c>
      <x:c r="T381" s="160" t="inlineStr">
        <x:is>
          <x:t xml:space="preserve">HARDENED</x:t>
        </x:is>
      </x:c>
      <x:c r="U381" s="160" t="inlineStr">
        <x:is>
          <x:t xml:space="preserve">V10.5-SIM39</x:t>
        </x:is>
      </x:c>
      <x:c r="V381" s="160" t="inlineStr">
        <x:is>
          <x:t xml:space="preserve">https://www.symrise.com/investors</x:t>
        </x:is>
      </x:c>
      <x:c r="W381" s="160" t="inlineStr">
        <x:is>
          <x:t xml:space="preserve">NO</x:t>
        </x:is>
      </x:c>
      <x:c r="X381" s="160" t="inlineStr">
        <x:is>
          <x:t xml:space="preserve">NONE — DEVELOPMENT ONLY</x:t>
        </x:is>
      </x:c>
      <x:c r="Y381" s="160" t="inlineStr">
        <x:is>
          <x:t xml:space="preserve">Synthetic/adversarial model-development loop. No historical outcome is claimed; no accuracy point is awarded.</x:t>
        </x:is>
      </x:c>
    </x:row>
    <x:row r="382">
      <x:c r="A382" s="160" t="inlineStr">
        <x:is>
          <x:t xml:space="preserve">ML0377</x:t>
        </x:is>
      </x:c>
      <x:c r="B382" s="160" t="inlineStr">
        <x:is>
          <x:t xml:space="preserve">ARG-024</x:t>
        </x:is>
      </x:c>
      <x:c r="C382" s="160" t="inlineStr">
        <x:is>
          <x:t xml:space="preserve">Symrise</x:t>
        </x:is>
      </x:c>
      <x:c r="D382" s="160" t="inlineStr">
        <x:is>
          <x:t xml:space="preserve">SY1.DE</x:t>
        </x:is>
      </x:c>
      <x:c r="E382" s="160" t="inlineStr">
        <x:is>
          <x:t xml:space="preserve">Specialty Ingredients</x:t>
        </x:is>
      </x:c>
      <x:c r="F382" s="160" t="inlineStr">
        <x:is>
          <x:t xml:space="preserve">Development</x:t>
        </x:is>
      </x:c>
      <x:c r="G382" s="160" t="inlineStr">
        <x:is>
          <x:t xml:space="preserve">S09</x:t>
        </x:is>
      </x:c>
      <x:c r="H382" s="160" t="inlineStr">
        <x:is>
          <x:t xml:space="preserve">Data / Accounting Quality</x:t>
        </x:is>
      </x:c>
      <x:c r="I382" s="160" t="inlineStr">
        <x:is>
          <x:t xml:space="preserve">Data quality</x:t>
        </x:is>
      </x:c>
      <x:c r="J382" s="160" t="inlineStr">
        <x:is>
          <x:t xml:space="preserve">Restatement, segment reclassification, one-time item or non-economic fair-value movement distorts the apparent trend.</x:t>
        </x:is>
      </x:c>
      <x:c r="K382" s="160" t="inlineStr">
        <x:is>
          <x:t xml:space="preserve">Innovation/customer intimacy plus diversified ingredients</x:t>
        </x:is>
      </x:c>
      <x:c r="L382" s="160" t="inlineStr">
        <x:is>
          <x:t xml:space="preserve">Normalized FCF + EV/EBITDA</x:t>
        </x:is>
      </x:c>
      <x:c r="M382" s="160" t="inlineStr">
        <x:is>
          <x:t xml:space="preserve">WATCH</x:t>
        </x:is>
      </x:c>
      <x:c r="N382" s="160" t="inlineStr">
        <x:is>
          <x:t xml:space="preserve">R-DATA-01</x:t>
        </x:is>
      </x:c>
      <x:c r="O382" s="160" t="inlineStr">
        <x:is>
          <x:t xml:space="preserve">HARDENED</x:t>
        </x:is>
      </x:c>
      <x:c r="P382" s="160" t="inlineStr">
        <x:is>
          <x:t xml:space="preserve">ROBUST WITH RESIDUAL</x:t>
        </x:is>
      </x:c>
      <x:c r="Q382" s="160" t="inlineStr">
        <x:is>
          <x:t xml:space="preserve">The hardened rule catches the stress. Residual risk is mainly evidence quality, threshold calibration or interaction with another gate.</x:t>
        </x:is>
      </x:c>
      <x:c r="R382" s="160" t="inlineStr">
        <x:is>
          <x:t xml:space="preserve">Add a reporting-quality bridge and normalize accounting noise before any gate can pass.</x:t>
        </x:is>
      </x:c>
      <x:c r="S382" s="160" t="inlineStr">
        <x:is>
          <x:t xml:space="preserve">NO</x:t>
        </x:is>
      </x:c>
      <x:c r="T382" s="160" t="inlineStr">
        <x:is>
          <x:t xml:space="preserve">HARDENED</x:t>
        </x:is>
      </x:c>
      <x:c r="U382" s="160" t="inlineStr">
        <x:is>
          <x:t xml:space="preserve">V10.5-SIM39</x:t>
        </x:is>
      </x:c>
      <x:c r="V382" s="160" t="inlineStr">
        <x:is>
          <x:t xml:space="preserve">https://www.symrise.com/investors</x:t>
        </x:is>
      </x:c>
      <x:c r="W382" s="160" t="inlineStr">
        <x:is>
          <x:t xml:space="preserve">NO</x:t>
        </x:is>
      </x:c>
      <x:c r="X382" s="160" t="inlineStr">
        <x:is>
          <x:t xml:space="preserve">NONE — DEVELOPMENT ONLY</x:t>
        </x:is>
      </x:c>
      <x:c r="Y382" s="160" t="inlineStr">
        <x:is>
          <x:t xml:space="preserve">Synthetic/adversarial model-development loop. No historical outcome is claimed; no accuracy point is awarded.</x:t>
        </x:is>
      </x:c>
    </x:row>
    <x:row r="383">
      <x:c r="A383" s="160" t="inlineStr">
        <x:is>
          <x:t xml:space="preserve">ML0378</x:t>
        </x:is>
      </x:c>
      <x:c r="B383" s="160" t="inlineStr">
        <x:is>
          <x:t xml:space="preserve">ARG-024</x:t>
        </x:is>
      </x:c>
      <x:c r="C383" s="160" t="inlineStr">
        <x:is>
          <x:t xml:space="preserve">Symrise</x:t>
        </x:is>
      </x:c>
      <x:c r="D383" s="160" t="inlineStr">
        <x:is>
          <x:t xml:space="preserve">SY1.DE</x:t>
        </x:is>
      </x:c>
      <x:c r="E383" s="160" t="inlineStr">
        <x:is>
          <x:t xml:space="preserve">Specialty Ingredients</x:t>
        </x:is>
      </x:c>
      <x:c r="F383" s="160" t="inlineStr">
        <x:is>
          <x:t xml:space="preserve">Development</x:t>
        </x:is>
      </x:c>
      <x:c r="G383" s="160" t="inlineStr">
        <x:is>
          <x:t xml:space="preserve">S10</x:t>
        </x:is>
      </x:c>
      <x:c r="H383" s="160" t="inlineStr">
        <x:is>
          <x:t xml:space="preserve">Control / Counterfactual</x:t>
        </x:is>
      </x:c>
      <x:c r="I383" s="160" t="inlineStr">
        <x:is>
          <x:t xml:space="preserve">Sector beta vs company alpha</x:t>
        </x:is>
      </x:c>
      <x:c r="J383" s="160" t="inlineStr">
        <x:is>
          <x:t xml:space="preserve">A positive outcome is mostly sector beta or macro tailwind, not company-specific alpha.</x:t>
        </x:is>
      </x:c>
      <x:c r="K383" s="160" t="inlineStr">
        <x:is>
          <x:t xml:space="preserve">Innovation/customer intimacy plus diversified ingredients</x:t>
        </x:is>
      </x:c>
      <x:c r="L383" s="160" t="inlineStr">
        <x:is>
          <x:t xml:space="preserve">Normalized FCF + EV/EBITDA</x:t>
        </x:is>
      </x:c>
      <x:c r="M383" s="160" t="inlineStr">
        <x:is>
          <x:t xml:space="preserve">WATCH</x:t>
        </x:is>
      </x:c>
      <x:c r="N383" s="160" t="inlineStr">
        <x:is>
          <x:t xml:space="preserve">R-CF-01</x:t>
        </x:is>
      </x:c>
      <x:c r="O383" s="160" t="inlineStr">
        <x:is>
          <x:t xml:space="preserve">HARDENED</x:t>
        </x:is>
      </x:c>
      <x:c r="P383" s="160" t="inlineStr">
        <x:is>
          <x:t xml:space="preserve">ROBUST WITH RESIDUAL</x:t>
        </x:is>
      </x:c>
      <x:c r="Q383" s="160" t="inlineStr">
        <x:is>
          <x:t xml:space="preserve">The hardened rule catches the stress. Residual risk is mainly evidence quality, threshold calibration or interaction with another gate.</x:t>
        </x:is>
      </x:c>
      <x:c r="R383" s="160" t="inlineStr">
        <x:is>
          <x:t xml:space="preserve">Require a true economic control and counterfactual: what should have happened to a comparable company under the same shock?</x:t>
        </x:is>
      </x:c>
      <x:c r="S383" s="160" t="inlineStr">
        <x:is>
          <x:t xml:space="preserve">NO</x:t>
        </x:is>
      </x:c>
      <x:c r="T383" s="160" t="inlineStr">
        <x:is>
          <x:t xml:space="preserve">HARDENED</x:t>
        </x:is>
      </x:c>
      <x:c r="U383" s="160" t="inlineStr">
        <x:is>
          <x:t xml:space="preserve">V10.5-SIM39</x:t>
        </x:is>
      </x:c>
      <x:c r="V383" s="160" t="inlineStr">
        <x:is>
          <x:t xml:space="preserve">https://www.symrise.com/investors</x:t>
        </x:is>
      </x:c>
      <x:c r="W383" s="160" t="inlineStr">
        <x:is>
          <x:t xml:space="preserve">NO</x:t>
        </x:is>
      </x:c>
      <x:c r="X383" s="160" t="inlineStr">
        <x:is>
          <x:t xml:space="preserve">NONE — DEVELOPMENT ONLY</x:t>
        </x:is>
      </x:c>
      <x:c r="Y383" s="160" t="inlineStr">
        <x:is>
          <x:t xml:space="preserve">Synthetic/adversarial model-development loop. No historical outcome is claimed; no accuracy point is awarded.</x:t>
        </x:is>
      </x:c>
    </x:row>
    <x:row r="384">
      <x:c r="A384" s="160" t="inlineStr">
        <x:is>
          <x:t xml:space="preserve">ML0379</x:t>
        </x:is>
      </x:c>
      <x:c r="B384" s="160" t="inlineStr">
        <x:is>
          <x:t xml:space="preserve">ARG-024</x:t>
        </x:is>
      </x:c>
      <x:c r="C384" s="160" t="inlineStr">
        <x:is>
          <x:t xml:space="preserve">Symrise</x:t>
        </x:is>
      </x:c>
      <x:c r="D384" s="160" t="inlineStr">
        <x:is>
          <x:t xml:space="preserve">SY1.DE</x:t>
        </x:is>
      </x:c>
      <x:c r="E384" s="160" t="inlineStr">
        <x:is>
          <x:t xml:space="preserve">Specialty Ingredients</x:t>
        </x:is>
      </x:c>
      <x:c r="F384" s="160" t="inlineStr">
        <x:is>
          <x:t xml:space="preserve">Development</x:t>
        </x:is>
      </x:c>
      <x:c r="G384" s="160" t="inlineStr">
        <x:is>
          <x:t xml:space="preserve">S11</x:t>
        </x:is>
      </x:c>
      <x:c r="H384" s="160" t="inlineStr">
        <x:is>
          <x:t xml:space="preserve">False-Negative Discipline</x:t>
        </x:is>
      </x:c>
      <x:c r="I384" s="160" t="inlineStr">
        <x:is>
          <x:t xml:space="preserve">False negative</x:t>
        </x:is>
      </x:c>
      <x:c r="J384" s="160" t="inlineStr">
        <x:is>
          <x:t xml:space="preserve">A strict gate rejects a company that later compounds strongly for reasons the model could have known.</x:t>
        </x:is>
      </x:c>
      <x:c r="K384" s="160" t="inlineStr">
        <x:is>
          <x:t xml:space="preserve">Innovation/customer intimacy plus diversified ingredients</x:t>
        </x:is>
      </x:c>
      <x:c r="L384" s="160" t="inlineStr">
        <x:is>
          <x:t xml:space="preserve">Normalized FCF + EV/EBITDA</x:t>
        </x:is>
      </x:c>
      <x:c r="M384" s="160" t="inlineStr">
        <x:is>
          <x:t xml:space="preserve">WATCH</x:t>
        </x:is>
      </x:c>
      <x:c r="N384" s="160" t="inlineStr">
        <x:is>
          <x:t xml:space="preserve">R-FN-01</x:t>
        </x:is>
      </x:c>
      <x:c r="O384" s="160" t="inlineStr">
        <x:is>
          <x:t xml:space="preserve">HARDENED</x:t>
        </x:is>
      </x:c>
      <x:c r="P384" s="160" t="inlineStr">
        <x:is>
          <x:t xml:space="preserve">ROBUST WITH RESIDUAL</x:t>
        </x:is>
      </x:c>
      <x:c r="Q384" s="160" t="inlineStr">
        <x:is>
          <x:t xml:space="preserve">The hardened rule catches the stress. Residual risk is mainly evidence quality, threshold calibration or interaction with another gate.</x:t>
        </x:is>
      </x:c>
      <x:c r="R384" s="160" t="inlineStr">
        <x:is>
          <x:t xml:space="preserve">Track opportunity cost and classify whether the miss came from evidence timing, wrong threshold or genuinely unknowable upside.</x:t>
        </x:is>
      </x:c>
      <x:c r="S384" s="160" t="inlineStr">
        <x:is>
          <x:t xml:space="preserve">NO</x:t>
        </x:is>
      </x:c>
      <x:c r="T384" s="160" t="inlineStr">
        <x:is>
          <x:t xml:space="preserve">HARDENED</x:t>
        </x:is>
      </x:c>
      <x:c r="U384" s="160" t="inlineStr">
        <x:is>
          <x:t xml:space="preserve">V10.5-SIM39</x:t>
        </x:is>
      </x:c>
      <x:c r="V384" s="160" t="inlineStr">
        <x:is>
          <x:t xml:space="preserve">https://www.symrise.com/investors</x:t>
        </x:is>
      </x:c>
      <x:c r="W384" s="160" t="inlineStr">
        <x:is>
          <x:t xml:space="preserve">NO</x:t>
        </x:is>
      </x:c>
      <x:c r="X384" s="160" t="inlineStr">
        <x:is>
          <x:t xml:space="preserve">NONE — DEVELOPMENT ONLY</x:t>
        </x:is>
      </x:c>
      <x:c r="Y384" s="160" t="inlineStr">
        <x:is>
          <x:t xml:space="preserve">Synthetic/adversarial model-development loop. No historical outcome is claimed; no accuracy point is awarded.</x:t>
        </x:is>
      </x:c>
    </x:row>
    <x:row r="385">
      <x:c r="A385" s="160" t="inlineStr">
        <x:is>
          <x:t xml:space="preserve">ML0380</x:t>
        </x:is>
      </x:c>
      <x:c r="B385" s="160" t="inlineStr">
        <x:is>
          <x:t xml:space="preserve">ARG-024</x:t>
        </x:is>
      </x:c>
      <x:c r="C385" s="160" t="inlineStr">
        <x:is>
          <x:t xml:space="preserve">Symrise</x:t>
        </x:is>
      </x:c>
      <x:c r="D385" s="160" t="inlineStr">
        <x:is>
          <x:t xml:space="preserve">SY1.DE</x:t>
        </x:is>
      </x:c>
      <x:c r="E385" s="160" t="inlineStr">
        <x:is>
          <x:t xml:space="preserve">Specialty Ingredients</x:t>
        </x:is>
      </x:c>
      <x:c r="F385" s="160" t="inlineStr">
        <x:is>
          <x:t xml:space="preserve">Development</x:t>
        </x:is>
      </x:c>
      <x:c r="G385" s="160" t="inlineStr">
        <x:is>
          <x:t xml:space="preserve">S12</x:t>
        </x:is>
      </x:c>
      <x:c r="H385" s="160" t="inlineStr">
        <x:is>
          <x:t xml:space="preserve">Lead-Time / Early Sensor</x:t>
        </x:is>
      </x:c>
      <x:c r="I385" s="160" t="inlineStr">
        <x:is>
          <x:t xml:space="preserve">Timing / lead-time</x:t>
        </x:is>
      </x:c>
      <x:c r="J385" s="160" t="inlineStr">
        <x:is>
          <x:t xml:space="preserve">ARGUS identifies the change correctly but only after consensus and price have already reacted.</x:t>
        </x:is>
      </x:c>
      <x:c r="K385" s="160" t="inlineStr">
        <x:is>
          <x:t xml:space="preserve">Innovation/customer intimacy plus diversified ingredients</x:t>
        </x:is>
      </x:c>
      <x:c r="L385" s="160" t="inlineStr">
        <x:is>
          <x:t xml:space="preserve">Normalized FCF + EV/EBITDA</x:t>
        </x:is>
      </x:c>
      <x:c r="M385" s="160" t="inlineStr">
        <x:is>
          <x:t xml:space="preserve">WATCH</x:t>
        </x:is>
      </x:c>
      <x:c r="N385" s="160" t="inlineStr">
        <x:is>
          <x:t xml:space="preserve">R-TIME-01</x:t>
        </x:is>
      </x:c>
      <x:c r="O385" s="160" t="inlineStr">
        <x:is>
          <x:t xml:space="preserve">HARDENED</x:t>
        </x:is>
      </x:c>
      <x:c r="P385" s="160" t="inlineStr">
        <x:is>
          <x:t xml:space="preserve">ROBUST WITH RESIDUAL</x:t>
        </x:is>
      </x:c>
      <x:c r="Q385" s="160" t="inlineStr">
        <x:is>
          <x:t xml:space="preserve">The hardened rule catches the stress. Residual risk is mainly evidence quality, threshold calibration or interaction with another gate.</x:t>
        </x:is>
      </x:c>
      <x:c r="R385" s="160" t="inlineStr">
        <x:is>
          <x:t xml:space="preserve">Replace lagging financial metrics with earlier causal operating sensors and record lead time separately from correctness.</x:t>
        </x:is>
      </x:c>
      <x:c r="S385" s="160" t="inlineStr">
        <x:is>
          <x:t xml:space="preserve">NO</x:t>
        </x:is>
      </x:c>
      <x:c r="T385" s="160" t="inlineStr">
        <x:is>
          <x:t xml:space="preserve">HARDENED</x:t>
        </x:is>
      </x:c>
      <x:c r="U385" s="160" t="inlineStr">
        <x:is>
          <x:t xml:space="preserve">V10.5-SIM39</x:t>
        </x:is>
      </x:c>
      <x:c r="V385" s="160" t="inlineStr">
        <x:is>
          <x:t xml:space="preserve">https://www.symrise.com/investors</x:t>
        </x:is>
      </x:c>
      <x:c r="W385" s="160" t="inlineStr">
        <x:is>
          <x:t xml:space="preserve">NO</x:t>
        </x:is>
      </x:c>
      <x:c r="X385" s="160" t="inlineStr">
        <x:is>
          <x:t xml:space="preserve">NONE — DEVELOPMENT ONLY</x:t>
        </x:is>
      </x:c>
      <x:c r="Y385" s="160" t="inlineStr">
        <x:is>
          <x:t xml:space="preserve">Synthetic/adversarial model-development loop. No historical outcome is claimed; no accuracy point is awarded.</x:t>
        </x:is>
      </x:c>
    </x:row>
    <x:row r="386">
      <x:c r="A386" s="160" t="inlineStr">
        <x:is>
          <x:t xml:space="preserve">ML0381</x:t>
        </x:is>
      </x:c>
      <x:c r="B386" s="160" t="inlineStr">
        <x:is>
          <x:t xml:space="preserve">ARG-024</x:t>
        </x:is>
      </x:c>
      <x:c r="C386" s="160" t="inlineStr">
        <x:is>
          <x:t xml:space="preserve">Symrise</x:t>
        </x:is>
      </x:c>
      <x:c r="D386" s="160" t="inlineStr">
        <x:is>
          <x:t xml:space="preserve">SY1.DE</x:t>
        </x:is>
      </x:c>
      <x:c r="E386" s="160" t="inlineStr">
        <x:is>
          <x:t xml:space="preserve">Specialty Ingredients</x:t>
        </x:is>
      </x:c>
      <x:c r="F386" s="160" t="inlineStr">
        <x:is>
          <x:t xml:space="preserve">Development</x:t>
        </x:is>
      </x:c>
      <x:c r="G386" s="160" t="inlineStr">
        <x:is>
          <x:t xml:space="preserve">S13</x:t>
        </x:is>
      </x:c>
      <x:c r="H386" s="160" t="inlineStr">
        <x:is>
          <x:t xml:space="preserve">Cycle Normalization</x:t>
        </x:is>
      </x:c>
      <x:c r="I386" s="160" t="inlineStr">
        <x:is>
          <x:t xml:space="preserve">Wrong valuation lens</x:t>
        </x:is>
      </x:c>
      <x:c r="J386" s="160" t="inlineStr">
        <x:is>
          <x:t xml:space="preserve">Peak/trough earnings are mistaken for normalized earning power.</x:t>
        </x:is>
      </x:c>
      <x:c r="K386" s="160" t="inlineStr">
        <x:is>
          <x:t xml:space="preserve">Innovation/customer intimacy plus diversified ingredients</x:t>
        </x:is>
      </x:c>
      <x:c r="L386" s="160" t="inlineStr">
        <x:is>
          <x:t xml:space="preserve">Normalized FCF + EV/EBITDA</x:t>
        </x:is>
      </x:c>
      <x:c r="M386" s="160" t="inlineStr">
        <x:is>
          <x:t xml:space="preserve">WATCH</x:t>
        </x:is>
      </x:c>
      <x:c r="N386" s="160" t="inlineStr">
        <x:is>
          <x:t xml:space="preserve">R-CYCLE-01</x:t>
        </x:is>
      </x:c>
      <x:c r="O386" s="160" t="inlineStr">
        <x:is>
          <x:t xml:space="preserve">HARDENED</x:t>
        </x:is>
      </x:c>
      <x:c r="P386" s="160" t="inlineStr">
        <x:is>
          <x:t xml:space="preserve">ROBUST WITH RESIDUAL</x:t>
        </x:is>
      </x:c>
      <x:c r="Q386" s="160" t="inlineStr">
        <x:is>
          <x:t xml:space="preserve">The hardened rule catches the stress. Residual risk is mainly evidence quality, threshold calibration or interaction with another gate.</x:t>
        </x:is>
      </x:c>
      <x:c r="R386" s="160" t="inlineStr">
        <x:is>
          <x:t xml:space="preserve">Use sector-specific mid-cycle/NAV/rate-base/rNPV normalization before applying a valuation multiple.</x:t>
        </x:is>
      </x:c>
      <x:c r="S386" s="160" t="inlineStr">
        <x:is>
          <x:t xml:space="preserve">NO</x:t>
        </x:is>
      </x:c>
      <x:c r="T386" s="160" t="inlineStr">
        <x:is>
          <x:t xml:space="preserve">HARDENED</x:t>
        </x:is>
      </x:c>
      <x:c r="U386" s="160" t="inlineStr">
        <x:is>
          <x:t xml:space="preserve">V10.5-SIM39</x:t>
        </x:is>
      </x:c>
      <x:c r="V386" s="160" t="inlineStr">
        <x:is>
          <x:t xml:space="preserve">https://www.symrise.com/investors</x:t>
        </x:is>
      </x:c>
      <x:c r="W386" s="160" t="inlineStr">
        <x:is>
          <x:t xml:space="preserve">NO</x:t>
        </x:is>
      </x:c>
      <x:c r="X386" s="160" t="inlineStr">
        <x:is>
          <x:t xml:space="preserve">NONE — DEVELOPMENT ONLY</x:t>
        </x:is>
      </x:c>
      <x:c r="Y386" s="160" t="inlineStr">
        <x:is>
          <x:t xml:space="preserve">Synthetic/adversarial model-development loop. No historical outcome is claimed; no accuracy point is awarded.</x:t>
        </x:is>
      </x:c>
    </x:row>
    <x:row r="387">
      <x:c r="A387" s="160" t="inlineStr">
        <x:is>
          <x:t xml:space="preserve">ML0382</x:t>
        </x:is>
      </x:c>
      <x:c r="B387" s="160" t="inlineStr">
        <x:is>
          <x:t xml:space="preserve">ARG-024</x:t>
        </x:is>
      </x:c>
      <x:c r="C387" s="160" t="inlineStr">
        <x:is>
          <x:t xml:space="preserve">Symrise</x:t>
        </x:is>
      </x:c>
      <x:c r="D387" s="160" t="inlineStr">
        <x:is>
          <x:t xml:space="preserve">SY1.DE</x:t>
        </x:is>
      </x:c>
      <x:c r="E387" s="160" t="inlineStr">
        <x:is>
          <x:t xml:space="preserve">Specialty Ingredients</x:t>
        </x:is>
      </x:c>
      <x:c r="F387" s="160" t="inlineStr">
        <x:is>
          <x:t xml:space="preserve">Development</x:t>
        </x:is>
      </x:c>
      <x:c r="G387" s="160" t="inlineStr">
        <x:is>
          <x:t xml:space="preserve">S14</x:t>
        </x:is>
      </x:c>
      <x:c r="H387" s="160" t="inlineStr">
        <x:is>
          <x:t xml:space="preserve">M&amp;A / Organic Growth Separation</x:t>
        </x:is>
      </x:c>
      <x:c r="I387" s="160" t="inlineStr">
        <x:is>
          <x:t xml:space="preserve">Stewardship</x:t>
        </x:is>
      </x:c>
      <x:c r="J387" s="160" t="inlineStr">
        <x:is>
          <x:t xml:space="preserve">Acquisition-driven growth masks weak organic economics or poor incremental ROIC.</x:t>
        </x:is>
      </x:c>
      <x:c r="K387" s="160" t="inlineStr">
        <x:is>
          <x:t xml:space="preserve">Innovation/customer intimacy plus diversified ingredients</x:t>
        </x:is>
      </x:c>
      <x:c r="L387" s="160" t="inlineStr">
        <x:is>
          <x:t xml:space="preserve">Normalized FCF + EV/EBITDA</x:t>
        </x:is>
      </x:c>
      <x:c r="M387" s="160" t="inlineStr">
        <x:is>
          <x:t xml:space="preserve">WATCH</x:t>
        </x:is>
      </x:c>
      <x:c r="N387" s="160" t="inlineStr">
        <x:is>
          <x:t xml:space="preserve">R-MA-01</x:t>
        </x:is>
      </x:c>
      <x:c r="O387" s="160" t="inlineStr">
        <x:is>
          <x:t xml:space="preserve">HARDENED</x:t>
        </x:is>
      </x:c>
      <x:c r="P387" s="160" t="inlineStr">
        <x:is>
          <x:t xml:space="preserve">ROBUST WITH RESIDUAL</x:t>
        </x:is>
      </x:c>
      <x:c r="Q387" s="160" t="inlineStr">
        <x:is>
          <x:t xml:space="preserve">The hardened rule catches the stress. Residual risk is mainly evidence quality, threshold calibration or interaction with another gate.</x:t>
        </x:is>
      </x:c>
      <x:c r="R387" s="160" t="inlineStr">
        <x:is>
          <x:t xml:space="preserve">Bridge organic growth, acquired growth, purchase price, integration costs and acquisition-cohort ROIC.</x:t>
        </x:is>
      </x:c>
      <x:c r="S387" s="160" t="inlineStr">
        <x:is>
          <x:t xml:space="preserve">NO</x:t>
        </x:is>
      </x:c>
      <x:c r="T387" s="160" t="inlineStr">
        <x:is>
          <x:t xml:space="preserve">HARDENED</x:t>
        </x:is>
      </x:c>
      <x:c r="U387" s="160" t="inlineStr">
        <x:is>
          <x:t xml:space="preserve">V10.5-SIM39</x:t>
        </x:is>
      </x:c>
      <x:c r="V387" s="160" t="inlineStr">
        <x:is>
          <x:t xml:space="preserve">https://www.symrise.com/investors</x:t>
        </x:is>
      </x:c>
      <x:c r="W387" s="160" t="inlineStr">
        <x:is>
          <x:t xml:space="preserve">NO</x:t>
        </x:is>
      </x:c>
      <x:c r="X387" s="160" t="inlineStr">
        <x:is>
          <x:t xml:space="preserve">NONE — DEVELOPMENT ONLY</x:t>
        </x:is>
      </x:c>
      <x:c r="Y387" s="160" t="inlineStr">
        <x:is>
          <x:t xml:space="preserve">Synthetic/adversarial model-development loop. No historical outcome is claimed; no accuracy point is awarded.</x:t>
        </x:is>
      </x:c>
    </x:row>
    <x:row r="388">
      <x:c r="A388" s="160" t="inlineStr">
        <x:is>
          <x:t xml:space="preserve">ML0383</x:t>
        </x:is>
      </x:c>
      <x:c r="B388" s="160" t="inlineStr">
        <x:is>
          <x:t xml:space="preserve">ARG-024</x:t>
        </x:is>
      </x:c>
      <x:c r="C388" s="160" t="inlineStr">
        <x:is>
          <x:t xml:space="preserve">Symrise</x:t>
        </x:is>
      </x:c>
      <x:c r="D388" s="160" t="inlineStr">
        <x:is>
          <x:t xml:space="preserve">SY1.DE</x:t>
        </x:is>
      </x:c>
      <x:c r="E388" s="160" t="inlineStr">
        <x:is>
          <x:t xml:space="preserve">Specialty Ingredients</x:t>
        </x:is>
      </x:c>
      <x:c r="F388" s="160" t="inlineStr">
        <x:is>
          <x:t xml:space="preserve">Development</x:t>
        </x:is>
      </x:c>
      <x:c r="G388" s="160" t="inlineStr">
        <x:is>
          <x:t xml:space="preserve">S15</x:t>
        </x:is>
      </x:c>
      <x:c r="H388" s="160" t="inlineStr">
        <x:is>
          <x:t xml:space="preserve">Financing / Dilution Per Share</x:t>
        </x:is>
      </x:c>
      <x:c r="I388" s="160" t="inlineStr">
        <x:is>
          <x:t xml:space="preserve">Stewardship</x:t>
        </x:is>
      </x:c>
      <x:c r="J388" s="160" t="inlineStr">
        <x:is>
          <x:t xml:space="preserve">Cash balance or revenue growth improves while financing causes material per-share value leakage.</x:t>
        </x:is>
      </x:c>
      <x:c r="K388" s="160" t="inlineStr">
        <x:is>
          <x:t xml:space="preserve">Innovation/customer intimacy plus diversified ingredients</x:t>
        </x:is>
      </x:c>
      <x:c r="L388" s="160" t="inlineStr">
        <x:is>
          <x:t xml:space="preserve">Normalized FCF + EV/EBITDA</x:t>
        </x:is>
      </x:c>
      <x:c r="M388" s="160" t="inlineStr">
        <x:is>
          <x:t xml:space="preserve">WATCH</x:t>
        </x:is>
      </x:c>
      <x:c r="N388" s="160" t="inlineStr">
        <x:is>
          <x:t xml:space="preserve">R-DIL-01</x:t>
        </x:is>
      </x:c>
      <x:c r="O388" s="160" t="inlineStr">
        <x:is>
          <x:t xml:space="preserve">HARDENED</x:t>
        </x:is>
      </x:c>
      <x:c r="P388" s="160" t="inlineStr">
        <x:is>
          <x:t xml:space="preserve">ROBUST WITH RESIDUAL</x:t>
        </x:is>
      </x:c>
      <x:c r="Q388" s="160" t="inlineStr">
        <x:is>
          <x:t xml:space="preserve">The hardened rule catches the stress. Residual risk is mainly evidence quality, threshold calibration or interaction with another gate.</x:t>
        </x:is>
      </x:c>
      <x:c r="R388" s="160" t="inlineStr">
        <x:is>
          <x:t xml:space="preserve">Reconcile share-count growth, SBC, equity issuance, buybacks and net cash changes to per-share intrinsic value.</x:t>
        </x:is>
      </x:c>
      <x:c r="S388" s="160" t="inlineStr">
        <x:is>
          <x:t xml:space="preserve">NO</x:t>
        </x:is>
      </x:c>
      <x:c r="T388" s="160" t="inlineStr">
        <x:is>
          <x:t xml:space="preserve">HARDENED</x:t>
        </x:is>
      </x:c>
      <x:c r="U388" s="160" t="inlineStr">
        <x:is>
          <x:t xml:space="preserve">V10.5-SIM39</x:t>
        </x:is>
      </x:c>
      <x:c r="V388" s="160" t="inlineStr">
        <x:is>
          <x:t xml:space="preserve">https://www.symrise.com/investors</x:t>
        </x:is>
      </x:c>
      <x:c r="W388" s="160" t="inlineStr">
        <x:is>
          <x:t xml:space="preserve">NO</x:t>
        </x:is>
      </x:c>
      <x:c r="X388" s="160" t="inlineStr">
        <x:is>
          <x:t xml:space="preserve">NONE — DEVELOPMENT ONLY</x:t>
        </x:is>
      </x:c>
      <x:c r="Y388" s="160" t="inlineStr">
        <x:is>
          <x:t xml:space="preserve">Synthetic/adversarial model-development loop. No historical outcome is claimed; no accuracy point is awarded.</x:t>
        </x:is>
      </x:c>
    </x:row>
    <x:row r="389">
      <x:c r="A389" s="160" t="inlineStr">
        <x:is>
          <x:t xml:space="preserve">ML0384</x:t>
        </x:is>
      </x:c>
      <x:c r="B389" s="160" t="inlineStr">
        <x:is>
          <x:t xml:space="preserve">ARG-024</x:t>
        </x:is>
      </x:c>
      <x:c r="C389" s="160" t="inlineStr">
        <x:is>
          <x:t xml:space="preserve">Symrise</x:t>
        </x:is>
      </x:c>
      <x:c r="D389" s="160" t="inlineStr">
        <x:is>
          <x:t xml:space="preserve">SY1.DE</x:t>
        </x:is>
      </x:c>
      <x:c r="E389" s="160" t="inlineStr">
        <x:is>
          <x:t xml:space="preserve">Specialty Ingredients</x:t>
        </x:is>
      </x:c>
      <x:c r="F389" s="160" t="inlineStr">
        <x:is>
          <x:t xml:space="preserve">Development</x:t>
        </x:is>
      </x:c>
      <x:c r="G389" s="160" t="inlineStr">
        <x:is>
          <x:t xml:space="preserve">S16</x:t>
        </x:is>
      </x:c>
      <x:c r="H389" s="160" t="inlineStr">
        <x:is>
          <x:t xml:space="preserve">Concentration / Tail Risk</x:t>
        </x:is>
      </x:c>
      <x:c r="I389" s="160" t="inlineStr">
        <x:is>
          <x:t xml:space="preserve">Survival</x:t>
        </x:is>
      </x:c>
      <x:c r="J389" s="160" t="inlineStr">
        <x:is>
          <x:t xml:space="preserve">A concentrated supplier, geography, customer, product, patent, regulatory or technology dependency creates asymmetric permanent-loss risk.</x:t>
        </x:is>
      </x:c>
      <x:c r="K389" s="160" t="inlineStr">
        <x:is>
          <x:t xml:space="preserve">Innovation/customer intimacy plus diversified ingredients</x:t>
        </x:is>
      </x:c>
      <x:c r="L389" s="160" t="inlineStr">
        <x:is>
          <x:t xml:space="preserve">Normalized FCF + EV/EBITDA</x:t>
        </x:is>
      </x:c>
      <x:c r="M389" s="160" t="inlineStr">
        <x:is>
          <x:t xml:space="preserve">WATCH</x:t>
        </x:is>
      </x:c>
      <x:c r="N389" s="160" t="inlineStr">
        <x:is>
          <x:t xml:space="preserve">R-TAIL-01</x:t>
        </x:is>
      </x:c>
      <x:c r="O389" s="160" t="inlineStr">
        <x:is>
          <x:t xml:space="preserve">HARDENED</x:t>
        </x:is>
      </x:c>
      <x:c r="P389" s="160" t="inlineStr">
        <x:is>
          <x:t xml:space="preserve">ROBUST WITH RESIDUAL</x:t>
        </x:is>
      </x:c>
      <x:c r="Q389" s="160" t="inlineStr">
        <x:is>
          <x:t xml:space="preserve">The hardened rule catches the stress. Residual risk is mainly evidence quality, threshold calibration or interaction with another gate.</x:t>
        </x:is>
      </x:c>
      <x:c r="R389" s="160" t="inlineStr">
        <x:is>
          <x:t xml:space="preserve">Maintain an explicit concentration/tail-risk register with probability, severity, mitigation and required margin-of-safety premium.</x:t>
        </x:is>
      </x:c>
      <x:c r="S389" s="160" t="inlineStr">
        <x:is>
          <x:t xml:space="preserve">NO</x:t>
        </x:is>
      </x:c>
      <x:c r="T389" s="160" t="inlineStr">
        <x:is>
          <x:t xml:space="preserve">HARDENED</x:t>
        </x:is>
      </x:c>
      <x:c r="U389" s="160" t="inlineStr">
        <x:is>
          <x:t xml:space="preserve">V10.5-SIM39</x:t>
        </x:is>
      </x:c>
      <x:c r="V389" s="160" t="inlineStr">
        <x:is>
          <x:t xml:space="preserve">https://www.symrise.com/investors</x:t>
        </x:is>
      </x:c>
      <x:c r="W389" s="160" t="inlineStr">
        <x:is>
          <x:t xml:space="preserve">NO</x:t>
        </x:is>
      </x:c>
      <x:c r="X389" s="160" t="inlineStr">
        <x:is>
          <x:t xml:space="preserve">NONE — DEVELOPMENT ONLY</x:t>
        </x:is>
      </x:c>
      <x:c r="Y389" s="160" t="inlineStr">
        <x:is>
          <x:t xml:space="preserve">Synthetic/adversarial model-development loop. No historical outcome is claimed; no accuracy point is awarded.</x:t>
        </x:is>
      </x:c>
    </x:row>
    <x:row r="390">
      <x:c r="A390" s="160" t="inlineStr">
        <x:is>
          <x:t xml:space="preserve">ML0385</x:t>
        </x:is>
      </x:c>
      <x:c r="B390" s="160" t="inlineStr">
        <x:is>
          <x:t xml:space="preserve">ARG-025</x:t>
        </x:is>
      </x:c>
      <x:c r="C390" s="160" t="inlineStr">
        <x:is>
          <x:t xml:space="preserve">Croda International</x:t>
        </x:is>
      </x:c>
      <x:c r="D390" s="160" t="inlineStr">
        <x:is>
          <x:t xml:space="preserve">CRDA.L</x:t>
        </x:is>
      </x:c>
      <x:c r="E390" s="160" t="inlineStr">
        <x:is>
          <x:t xml:space="preserve">Specialty Ingredients</x:t>
        </x:is>
      </x:c>
      <x:c r="F390" s="160" t="inlineStr">
        <x:is>
          <x:t xml:space="preserve">Development</x:t>
        </x:is>
      </x:c>
      <x:c r="G390" s="160" t="inlineStr">
        <x:is>
          <x:t xml:space="preserve">S01</x:t>
        </x:is>
      </x:c>
      <x:c r="H390" s="160" t="inlineStr">
        <x:is>
          <x:t xml:space="preserve">Understanding Gate</x:t>
        </x:is>
      </x:c>
      <x:c r="I390" s="160" t="inlineStr">
        <x:is>
          <x:t xml:space="preserve">Understanding</x:t>
        </x:is>
      </x:c>
      <x:c r="J390" s="160" t="inlineStr">
        <x:is>
          <x:t xml:space="preserve">Causal engine / customer ROI chain breaks under a misleading headline KPI.</x:t>
        </x:is>
      </x:c>
      <x:c r="K390" s="160" t="inlineStr">
        <x:is>
          <x:t xml:space="preserve">Specialty formulations × volume/mix − utilization drag</x:t>
        </x:is>
      </x:c>
      <x:c r="L390" s="160" t="inlineStr">
        <x:is>
          <x:t xml:space="preserve">Normalized FCF + recovery scenarios</x:t>
        </x:is>
      </x:c>
      <x:c r="M390" s="160" t="inlineStr">
        <x:is>
          <x:t xml:space="preserve">WATCH</x:t>
        </x:is>
      </x:c>
      <x:c r="N390" s="160" t="inlineStr">
        <x:is>
          <x:t xml:space="preserve">R-ENG-01</x:t>
        </x:is>
      </x:c>
      <x:c r="O390" s="160" t="inlineStr">
        <x:is>
          <x:t xml:space="preserve">HARDENED</x:t>
        </x:is>
      </x:c>
      <x:c r="P390" s="160" t="inlineStr">
        <x:is>
          <x:t xml:space="preserve">ROBUST WITH RESIDUAL</x:t>
        </x:is>
      </x:c>
      <x:c r="Q390" s="160" t="inlineStr">
        <x:is>
          <x:t xml:space="preserve">The hardened rule catches the stress. Residual risk is mainly evidence quality, threshold calibration or interaction with another gate.</x:t>
        </x:is>
      </x:c>
      <x:c r="R390" s="160" t="inlineStr">
        <x:is>
          <x:t xml:space="preserve">Force an explicit engine tree: customer job → unit economics → revenue driver → owner-value bridge.</x:t>
        </x:is>
      </x:c>
      <x:c r="S390" s="160" t="inlineStr">
        <x:is>
          <x:t xml:space="preserve">YES — SIMULATION ONLY</x:t>
        </x:is>
      </x:c>
      <x:c r="T390" s="160" t="inlineStr">
        <x:is>
          <x:t xml:space="preserve">COUNTER-EVIDENCE</x:t>
        </x:is>
      </x:c>
      <x:c r="U390" s="160" t="inlineStr">
        <x:is>
          <x:t xml:space="preserve">V10.5-SIM40</x:t>
        </x:is>
      </x:c>
      <x:c r="V390" s="160" t="inlineStr">
        <x:is>
          <x:t xml:space="preserve">https://www.croda.com/en-gb/investors</x:t>
        </x:is>
      </x:c>
      <x:c r="W390" s="160" t="inlineStr">
        <x:is>
          <x:t xml:space="preserve">NO</x:t>
        </x:is>
      </x:c>
      <x:c r="X390" s="160" t="inlineStr">
        <x:is>
          <x:t xml:space="preserve">NONE — DEVELOPMENT ONLY</x:t>
        </x:is>
      </x:c>
      <x:c r="Y390" s="160" t="inlineStr">
        <x:is>
          <x:t xml:space="preserve">Synthetic/adversarial model-development loop. No historical outcome is claimed; no accuracy point is awarded.</x:t>
        </x:is>
      </x:c>
    </x:row>
    <x:row r="391">
      <x:c r="A391" s="160" t="inlineStr">
        <x:is>
          <x:t xml:space="preserve">ML0386</x:t>
        </x:is>
      </x:c>
      <x:c r="B391" s="160" t="inlineStr">
        <x:is>
          <x:t xml:space="preserve">ARG-025</x:t>
        </x:is>
      </x:c>
      <x:c r="C391" s="160" t="inlineStr">
        <x:is>
          <x:t xml:space="preserve">Croda International</x:t>
        </x:is>
      </x:c>
      <x:c r="D391" s="160" t="inlineStr">
        <x:is>
          <x:t xml:space="preserve">CRDA.L</x:t>
        </x:is>
      </x:c>
      <x:c r="E391" s="160" t="inlineStr">
        <x:is>
          <x:t xml:space="preserve">Specialty Ingredients</x:t>
        </x:is>
      </x:c>
      <x:c r="F391" s="160" t="inlineStr">
        <x:is>
          <x:t xml:space="preserve">Development</x:t>
        </x:is>
      </x:c>
      <x:c r="G391" s="160" t="inlineStr">
        <x:is>
          <x:t xml:space="preserve">S02</x:t>
        </x:is>
      </x:c>
      <x:c r="H391" s="160" t="inlineStr">
        <x:is>
          <x:t xml:space="preserve">Owner Earnings Normalization</x:t>
        </x:is>
      </x:c>
      <x:c r="I391" s="160" t="inlineStr">
        <x:is>
          <x:t xml:space="preserve">Owner Earnings</x:t>
        </x:is>
      </x:c>
      <x:c r="J391" s="160" t="inlineStr">
        <x:is>
          <x:t xml:space="preserve">Reported earnings/FCF overstates economic cash because recurring reinvestment or non-cash compensation is misclassified.</x:t>
        </x:is>
      </x:c>
      <x:c r="K391" s="160" t="inlineStr">
        <x:is>
          <x:t xml:space="preserve">Specialty formulations × volume/mix − utilization drag</x:t>
        </x:is>
      </x:c>
      <x:c r="L391" s="160" t="inlineStr">
        <x:is>
          <x:t xml:space="preserve">Normalized FCF + recovery scenarios</x:t>
        </x:is>
      </x:c>
      <x:c r="M391" s="160" t="inlineStr">
        <x:is>
          <x:t xml:space="preserve">WATCH</x:t>
        </x:is>
      </x:c>
      <x:c r="N391" s="160" t="inlineStr">
        <x:is>
          <x:t xml:space="preserve">R-OE-01</x:t>
        </x:is>
      </x:c>
      <x:c r="O391" s="160" t="inlineStr">
        <x:is>
          <x:t xml:space="preserve">HARDENED</x:t>
        </x:is>
      </x:c>
      <x:c r="P391" s="160" t="inlineStr">
        <x:is>
          <x:t xml:space="preserve">ROBUST WITH RESIDUAL</x:t>
        </x:is>
      </x:c>
      <x:c r="Q391" s="160" t="inlineStr">
        <x:is>
          <x:t xml:space="preserve">The hardened rule catches the stress. Residual risk is mainly evidence quality, threshold calibration or interaction with another gate.</x:t>
        </x:is>
      </x:c>
      <x:c r="R391" s="160" t="inlineStr">
        <x:is>
          <x:t xml:space="preserve">Require a GAAP-to-economic-owner-cash bridge tailored to the business model.</x:t>
        </x:is>
      </x:c>
      <x:c r="S391" s="160" t="inlineStr">
        <x:is>
          <x:t xml:space="preserve">YES — SIMULATION ONLY</x:t>
        </x:is>
      </x:c>
      <x:c r="T391" s="160" t="inlineStr">
        <x:is>
          <x:t xml:space="preserve">COUNTER-EVIDENCE</x:t>
        </x:is>
      </x:c>
      <x:c r="U391" s="160" t="inlineStr">
        <x:is>
          <x:t xml:space="preserve">V10.5-SIM41</x:t>
        </x:is>
      </x:c>
      <x:c r="V391" s="160" t="inlineStr">
        <x:is>
          <x:t xml:space="preserve">https://www.croda.com/en-gb/investors</x:t>
        </x:is>
      </x:c>
      <x:c r="W391" s="160" t="inlineStr">
        <x:is>
          <x:t xml:space="preserve">NO</x:t>
        </x:is>
      </x:c>
      <x:c r="X391" s="160" t="inlineStr">
        <x:is>
          <x:t xml:space="preserve">NONE — DEVELOPMENT ONLY</x:t>
        </x:is>
      </x:c>
      <x:c r="Y391" s="160" t="inlineStr">
        <x:is>
          <x:t xml:space="preserve">Synthetic/adversarial model-development loop. No historical outcome is claimed; no accuracy point is awarded.</x:t>
        </x:is>
      </x:c>
    </x:row>
    <x:row r="392">
      <x:c r="A392" s="160" t="inlineStr">
        <x:is>
          <x:t xml:space="preserve">ML0387</x:t>
        </x:is>
      </x:c>
      <x:c r="B392" s="160" t="inlineStr">
        <x:is>
          <x:t xml:space="preserve">ARG-025</x:t>
        </x:is>
      </x:c>
      <x:c r="C392" s="160" t="inlineStr">
        <x:is>
          <x:t xml:space="preserve">Croda International</x:t>
        </x:is>
      </x:c>
      <x:c r="D392" s="160" t="inlineStr">
        <x:is>
          <x:t xml:space="preserve">CRDA.L</x:t>
        </x:is>
      </x:c>
      <x:c r="E392" s="160" t="inlineStr">
        <x:is>
          <x:t xml:space="preserve">Specialty Ingredients</x:t>
        </x:is>
      </x:c>
      <x:c r="F392" s="160" t="inlineStr">
        <x:is>
          <x:t xml:space="preserve">Development</x:t>
        </x:is>
      </x:c>
      <x:c r="G392" s="160" t="inlineStr">
        <x:is>
          <x:t xml:space="preserve">S03</x:t>
        </x:is>
      </x:c>
      <x:c r="H392" s="160" t="inlineStr">
        <x:is>
          <x:t xml:space="preserve">Moat Durability</x:t>
        </x:is>
      </x:c>
      <x:c r="I392" s="160" t="inlineStr">
        <x:is>
          <x:t xml:space="preserve">Moat 2036</x:t>
        </x:is>
      </x:c>
      <x:c r="J392" s="160" t="inlineStr">
        <x:is>
          <x:t xml:space="preserve">Growth continues while switching friction, pricing power or replacement difficulty quietly weakens.</x:t>
        </x:is>
      </x:c>
      <x:c r="K392" s="160" t="inlineStr">
        <x:is>
          <x:t xml:space="preserve">Specialty formulations × volume/mix − utilization drag</x:t>
        </x:is>
      </x:c>
      <x:c r="L392" s="160" t="inlineStr">
        <x:is>
          <x:t xml:space="preserve">Normalized FCF + recovery scenarios</x:t>
        </x:is>
      </x:c>
      <x:c r="M392" s="160" t="inlineStr">
        <x:is>
          <x:t xml:space="preserve">WATCH</x:t>
        </x:is>
      </x:c>
      <x:c r="N392" s="160" t="inlineStr">
        <x:is>
          <x:t xml:space="preserve">R-MOAT-01</x:t>
        </x:is>
      </x:c>
      <x:c r="O392" s="160" t="inlineStr">
        <x:is>
          <x:t xml:space="preserve">HARDENED</x:t>
        </x:is>
      </x:c>
      <x:c r="P392" s="160" t="inlineStr">
        <x:is>
          <x:t xml:space="preserve">ROBUST WITH RESIDUAL</x:t>
        </x:is>
      </x:c>
      <x:c r="Q392" s="160" t="inlineStr">
        <x:is>
          <x:t xml:space="preserve">The hardened rule catches the stress. Residual risk is mainly evidence quality, threshold calibration or interaction with another gate.</x:t>
        </x:is>
      </x:c>
      <x:c r="R392" s="160" t="inlineStr">
        <x:is>
          <x:t xml:space="preserve">Track moat telemetry separately from growth: retention, pricing, win/loss, replacement friction, installed-base behavior.</x:t>
        </x:is>
      </x:c>
      <x:c r="S392" s="160" t="inlineStr">
        <x:is>
          <x:t xml:space="preserve">YES — SIMULATION ONLY</x:t>
        </x:is>
      </x:c>
      <x:c r="T392" s="160" t="inlineStr">
        <x:is>
          <x:t xml:space="preserve">COUNTER-EVIDENCE</x:t>
        </x:is>
      </x:c>
      <x:c r="U392" s="160" t="inlineStr">
        <x:is>
          <x:t xml:space="preserve">V10.5-SIM42</x:t>
        </x:is>
      </x:c>
      <x:c r="V392" s="160" t="inlineStr">
        <x:is>
          <x:t xml:space="preserve">https://www.croda.com/en-gb/investors</x:t>
        </x:is>
      </x:c>
      <x:c r="W392" s="160" t="inlineStr">
        <x:is>
          <x:t xml:space="preserve">NO</x:t>
        </x:is>
      </x:c>
      <x:c r="X392" s="160" t="inlineStr">
        <x:is>
          <x:t xml:space="preserve">NONE — DEVELOPMENT ONLY</x:t>
        </x:is>
      </x:c>
      <x:c r="Y392" s="160" t="inlineStr">
        <x:is>
          <x:t xml:space="preserve">Synthetic/adversarial model-development loop. No historical outcome is claimed; no accuracy point is awarded.</x:t>
        </x:is>
      </x:c>
    </x:row>
    <x:row r="393">
      <x:c r="A393" s="160" t="inlineStr">
        <x:is>
          <x:t xml:space="preserve">ML0388</x:t>
        </x:is>
      </x:c>
      <x:c r="B393" s="160" t="inlineStr">
        <x:is>
          <x:t xml:space="preserve">ARG-025</x:t>
        </x:is>
      </x:c>
      <x:c r="C393" s="160" t="inlineStr">
        <x:is>
          <x:t xml:space="preserve">Croda International</x:t>
        </x:is>
      </x:c>
      <x:c r="D393" s="160" t="inlineStr">
        <x:is>
          <x:t xml:space="preserve">CRDA.L</x:t>
        </x:is>
      </x:c>
      <x:c r="E393" s="160" t="inlineStr">
        <x:is>
          <x:t xml:space="preserve">Specialty Ingredients</x:t>
        </x:is>
      </x:c>
      <x:c r="F393" s="160" t="inlineStr">
        <x:is>
          <x:t xml:space="preserve">Development</x:t>
        </x:is>
      </x:c>
      <x:c r="G393" s="160" t="inlineStr">
        <x:is>
          <x:t xml:space="preserve">S04</x:t>
        </x:is>
      </x:c>
      <x:c r="H393" s="160" t="inlineStr">
        <x:is>
          <x:t xml:space="preserve">Stewardship / Capital Allocation</x:t>
        </x:is>
      </x:c>
      <x:c r="I393" s="160" t="inlineStr">
        <x:is>
          <x:t xml:space="preserve">Stewardship</x:t>
        </x:is>
      </x:c>
      <x:c r="J393" s="160" t="inlineStr">
        <x:is>
          <x:t xml:space="preserve">Management creates enterprise growth while destroying per-share value through M&amp;A, dilution, leverage or mistimed buybacks.</x:t>
        </x:is>
      </x:c>
      <x:c r="K393" s="160" t="inlineStr">
        <x:is>
          <x:t xml:space="preserve">Specialty formulations × volume/mix − utilization drag</x:t>
        </x:is>
      </x:c>
      <x:c r="L393" s="160" t="inlineStr">
        <x:is>
          <x:t xml:space="preserve">Normalized FCF + recovery scenarios</x:t>
        </x:is>
      </x:c>
      <x:c r="M393" s="160" t="inlineStr">
        <x:is>
          <x:t xml:space="preserve">WATCH</x:t>
        </x:is>
      </x:c>
      <x:c r="N393" s="160" t="inlineStr">
        <x:is>
          <x:t xml:space="preserve">R-STEW-01</x:t>
        </x:is>
      </x:c>
      <x:c r="O393" s="160" t="inlineStr">
        <x:is>
          <x:t xml:space="preserve">HARDENED</x:t>
        </x:is>
      </x:c>
      <x:c r="P393" s="160" t="inlineStr">
        <x:is>
          <x:t xml:space="preserve">ROBUST WITH RESIDUAL</x:t>
        </x:is>
      </x:c>
      <x:c r="Q393" s="160" t="inlineStr">
        <x:is>
          <x:t xml:space="preserve">The hardened rule catches the stress. Residual risk is mainly evidence quality, threshold calibration or interaction with another gate.</x:t>
        </x:is>
      </x:c>
      <x:c r="R393" s="160" t="inlineStr">
        <x:is>
          <x:t xml:space="preserve">Evaluate capital allocation on a per-share basis using acquisition cohorts, dilution, leverage and repurchase price discipline.</x:t>
        </x:is>
      </x:c>
      <x:c r="S393" s="160" t="inlineStr">
        <x:is>
          <x:t xml:space="preserve">YES — SIMULATION ONLY</x:t>
        </x:is>
      </x:c>
      <x:c r="T393" s="160" t="inlineStr">
        <x:is>
          <x:t xml:space="preserve">COUNTER-EVIDENCE</x:t>
        </x:is>
      </x:c>
      <x:c r="U393" s="160" t="inlineStr">
        <x:is>
          <x:t xml:space="preserve">V10.5-SIM43</x:t>
        </x:is>
      </x:c>
      <x:c r="V393" s="160" t="inlineStr">
        <x:is>
          <x:t xml:space="preserve">https://www.croda.com/en-gb/investors</x:t>
        </x:is>
      </x:c>
      <x:c r="W393" s="160" t="inlineStr">
        <x:is>
          <x:t xml:space="preserve">NO</x:t>
        </x:is>
      </x:c>
      <x:c r="X393" s="160" t="inlineStr">
        <x:is>
          <x:t xml:space="preserve">NONE — DEVELOPMENT ONLY</x:t>
        </x:is>
      </x:c>
      <x:c r="Y393" s="160" t="inlineStr">
        <x:is>
          <x:t xml:space="preserve">Synthetic/adversarial model-development loop. No historical outcome is claimed; no accuracy point is awarded.</x:t>
        </x:is>
      </x:c>
    </x:row>
    <x:row r="394">
      <x:c r="A394" s="160" t="inlineStr">
        <x:is>
          <x:t xml:space="preserve">ML0389</x:t>
        </x:is>
      </x:c>
      <x:c r="B394" s="160" t="inlineStr">
        <x:is>
          <x:t xml:space="preserve">ARG-025</x:t>
        </x:is>
      </x:c>
      <x:c r="C394" s="160" t="inlineStr">
        <x:is>
          <x:t xml:space="preserve">Croda International</x:t>
        </x:is>
      </x:c>
      <x:c r="D394" s="160" t="inlineStr">
        <x:is>
          <x:t xml:space="preserve">CRDA.L</x:t>
        </x:is>
      </x:c>
      <x:c r="E394" s="160" t="inlineStr">
        <x:is>
          <x:t xml:space="preserve">Specialty Ingredients</x:t>
        </x:is>
      </x:c>
      <x:c r="F394" s="160" t="inlineStr">
        <x:is>
          <x:t xml:space="preserve">Development</x:t>
        </x:is>
      </x:c>
      <x:c r="G394" s="160" t="inlineStr">
        <x:is>
          <x:t xml:space="preserve">S05</x:t>
        </x:is>
      </x:c>
      <x:c r="H394" s="160" t="inlineStr">
        <x:is>
          <x:t xml:space="preserve">Survival / Funding</x:t>
        </x:is>
      </x:c>
      <x:c r="I394" s="160" t="inlineStr">
        <x:is>
          <x:t xml:space="preserve">Survival</x:t>
        </x:is>
      </x:c>
      <x:c r="J394" s="160" t="inlineStr">
        <x:is>
          <x:t xml:space="preserve">A plausible bear case exposes refinancing, liquidity, covenant, reserve, regulatory or operational fragility.</x:t>
        </x:is>
      </x:c>
      <x:c r="K394" s="160" t="inlineStr">
        <x:is>
          <x:t xml:space="preserve">Specialty formulations × volume/mix − utilization drag</x:t>
        </x:is>
      </x:c>
      <x:c r="L394" s="160" t="inlineStr">
        <x:is>
          <x:t xml:space="preserve">Normalized FCF + recovery scenarios</x:t>
        </x:is>
      </x:c>
      <x:c r="M394" s="160" t="inlineStr">
        <x:is>
          <x:t xml:space="preserve">WATCH</x:t>
        </x:is>
      </x:c>
      <x:c r="N394" s="160" t="inlineStr">
        <x:is>
          <x:t xml:space="preserve">R-SURV-01</x:t>
        </x:is>
      </x:c>
      <x:c r="O394" s="160" t="inlineStr">
        <x:is>
          <x:t xml:space="preserve">HARDENED</x:t>
        </x:is>
      </x:c>
      <x:c r="P394" s="160" t="inlineStr">
        <x:is>
          <x:t xml:space="preserve">ROBUST WITH RESIDUAL</x:t>
        </x:is>
      </x:c>
      <x:c r="Q394" s="160" t="inlineStr">
        <x:is>
          <x:t xml:space="preserve">The hardened rule catches the stress. Residual risk is mainly evidence quality, threshold calibration or interaction with another gate.</x:t>
        </x:is>
      </x:c>
      <x:c r="R394" s="160" t="inlineStr">
        <x:is>
          <x:t xml:space="preserve">Run a company-specific survival bridge under a severe-but-plausible bear case before any upside underwriting.</x:t>
        </x:is>
      </x:c>
      <x:c r="S394" s="160" t="inlineStr">
        <x:is>
          <x:t xml:space="preserve">YES — SIMULATION ONLY</x:t>
        </x:is>
      </x:c>
      <x:c r="T394" s="160" t="inlineStr">
        <x:is>
          <x:t xml:space="preserve">COUNTER-EVIDENCE</x:t>
        </x:is>
      </x:c>
      <x:c r="U394" s="160" t="inlineStr">
        <x:is>
          <x:t xml:space="preserve">V10.5-SIM44</x:t>
        </x:is>
      </x:c>
      <x:c r="V394" s="160" t="inlineStr">
        <x:is>
          <x:t xml:space="preserve">https://www.croda.com/en-gb/investors</x:t>
        </x:is>
      </x:c>
      <x:c r="W394" s="160" t="inlineStr">
        <x:is>
          <x:t xml:space="preserve">NO</x:t>
        </x:is>
      </x:c>
      <x:c r="X394" s="160" t="inlineStr">
        <x:is>
          <x:t xml:space="preserve">NONE — DEVELOPMENT ONLY</x:t>
        </x:is>
      </x:c>
      <x:c r="Y394" s="160" t="inlineStr">
        <x:is>
          <x:t xml:space="preserve">Synthetic/adversarial model-development loop. No historical outcome is claimed; no accuracy point is awarded.</x:t>
        </x:is>
      </x:c>
    </x:row>
    <x:row r="395">
      <x:c r="A395" s="160" t="inlineStr">
        <x:is>
          <x:t xml:space="preserve">ML0390</x:t>
        </x:is>
      </x:c>
      <x:c r="B395" s="160" t="inlineStr">
        <x:is>
          <x:t xml:space="preserve">ARG-025</x:t>
        </x:is>
      </x:c>
      <x:c r="C395" s="160" t="inlineStr">
        <x:is>
          <x:t xml:space="preserve">Croda International</x:t>
        </x:is>
      </x:c>
      <x:c r="D395" s="160" t="inlineStr">
        <x:is>
          <x:t xml:space="preserve">CRDA.L</x:t>
        </x:is>
      </x:c>
      <x:c r="E395" s="160" t="inlineStr">
        <x:is>
          <x:t xml:space="preserve">Specialty Ingredients</x:t>
        </x:is>
      </x:c>
      <x:c r="F395" s="160" t="inlineStr">
        <x:is>
          <x:t xml:space="preserve">Development</x:t>
        </x:is>
      </x:c>
      <x:c r="G395" s="160" t="inlineStr">
        <x:is>
          <x:t xml:space="preserve">S06</x:t>
        </x:is>
      </x:c>
      <x:c r="H395" s="160" t="inlineStr">
        <x:is>
          <x:t xml:space="preserve">Margin of Safety</x:t>
        </x:is>
      </x:c>
      <x:c r="I395" s="160" t="inlineStr">
        <x:is>
          <x:t xml:space="preserve">Margin of Safety</x:t>
        </x:is>
      </x:c>
      <x:c r="J395" s="160" t="inlineStr">
        <x:is>
          <x:t xml:space="preserve">Business quality is high but the price embeds a fragile bull case.</x:t>
        </x:is>
      </x:c>
      <x:c r="K395" s="160" t="inlineStr">
        <x:is>
          <x:t xml:space="preserve">Specialty formulations × volume/mix − utilization drag</x:t>
        </x:is>
      </x:c>
      <x:c r="L395" s="160" t="inlineStr">
        <x:is>
          <x:t xml:space="preserve">Normalized FCF + recovery scenarios</x:t>
        </x:is>
      </x:c>
      <x:c r="M395" s="160" t="inlineStr">
        <x:is>
          <x:t xml:space="preserve">WATCH</x:t>
        </x:is>
      </x:c>
      <x:c r="N395" s="160" t="inlineStr">
        <x:is>
          <x:t xml:space="preserve">R-MOS-01</x:t>
        </x:is>
      </x:c>
      <x:c r="O395" s="160" t="inlineStr">
        <x:is>
          <x:t xml:space="preserve">HARDENED</x:t>
        </x:is>
      </x:c>
      <x:c r="P395" s="160" t="inlineStr">
        <x:is>
          <x:t xml:space="preserve">ROBUST WITH RESIDUAL</x:t>
        </x:is>
      </x:c>
      <x:c r="Q395" s="160" t="inlineStr">
        <x:is>
          <x:t xml:space="preserve">The hardened rule catches the stress. Residual risk is mainly evidence quality, threshold calibration or interaction with another gate.</x:t>
        </x:is>
      </x:c>
      <x:c r="R395" s="160" t="inlineStr">
        <x:is>
          <x:t xml:space="preserve">Separate business-quality score from price decision; require reverse valuation and bear/base/bull IV ranges.</x:t>
        </x:is>
      </x:c>
      <x:c r="S395" s="160" t="inlineStr">
        <x:is>
          <x:t xml:space="preserve">YES — SIMULATION ONLY</x:t>
        </x:is>
      </x:c>
      <x:c r="T395" s="160" t="inlineStr">
        <x:is>
          <x:t xml:space="preserve">COUNTER-EVIDENCE</x:t>
        </x:is>
      </x:c>
      <x:c r="U395" s="160" t="inlineStr">
        <x:is>
          <x:t xml:space="preserve">V10.5-SIM45</x:t>
        </x:is>
      </x:c>
      <x:c r="V395" s="160" t="inlineStr">
        <x:is>
          <x:t xml:space="preserve">https://www.croda.com/en-gb/investors</x:t>
        </x:is>
      </x:c>
      <x:c r="W395" s="160" t="inlineStr">
        <x:is>
          <x:t xml:space="preserve">NO</x:t>
        </x:is>
      </x:c>
      <x:c r="X395" s="160" t="inlineStr">
        <x:is>
          <x:t xml:space="preserve">NONE — DEVELOPMENT ONLY</x:t>
        </x:is>
      </x:c>
      <x:c r="Y395" s="160" t="inlineStr">
        <x:is>
          <x:t xml:space="preserve">Synthetic/adversarial model-development loop. No historical outcome is claimed; no accuracy point is awarded.</x:t>
        </x:is>
      </x:c>
    </x:row>
    <x:row r="396">
      <x:c r="A396" s="160" t="inlineStr">
        <x:is>
          <x:t xml:space="preserve">ML0391</x:t>
        </x:is>
      </x:c>
      <x:c r="B396" s="160" t="inlineStr">
        <x:is>
          <x:t xml:space="preserve">ARG-025</x:t>
        </x:is>
      </x:c>
      <x:c r="C396" s="160" t="inlineStr">
        <x:is>
          <x:t xml:space="preserve">Croda International</x:t>
        </x:is>
      </x:c>
      <x:c r="D396" s="160" t="inlineStr">
        <x:is>
          <x:t xml:space="preserve">CRDA.L</x:t>
        </x:is>
      </x:c>
      <x:c r="E396" s="160" t="inlineStr">
        <x:is>
          <x:t xml:space="preserve">Specialty Ingredients</x:t>
        </x:is>
      </x:c>
      <x:c r="F396" s="160" t="inlineStr">
        <x:is>
          <x:t xml:space="preserve">Development</x:t>
        </x:is>
      </x:c>
      <x:c r="G396" s="160" t="inlineStr">
        <x:is>
          <x:t xml:space="preserve">S07</x:t>
        </x:is>
      </x:c>
      <x:c r="H396" s="160" t="inlineStr">
        <x:is>
          <x:t xml:space="preserve">Sector Shock</x:t>
        </x:is>
      </x:c>
      <x:c r="I396" s="160" t="inlineStr">
        <x:is>
          <x:t xml:space="preserve">Sector-specific</x:t>
        </x:is>
      </x:c>
      <x:c r="J396" s="160" t="inlineStr">
        <x:is>
          <x:t xml:space="preserve">Price/mix holds while customer destocking, volume softness, integration debt or formulation substitution weakens normalized FCF.</x:t>
        </x:is>
      </x:c>
      <x:c r="K396" s="160" t="inlineStr">
        <x:is>
          <x:t xml:space="preserve">Specialty formulations × volume/mix − utilization drag</x:t>
        </x:is>
      </x:c>
      <x:c r="L396" s="160" t="inlineStr">
        <x:is>
          <x:t xml:space="preserve">Normalized FCF + recovery scenarios</x:t>
        </x:is>
      </x:c>
      <x:c r="M396" s="160" t="inlineStr">
        <x:is>
          <x:t xml:space="preserve">WATCH</x:t>
        </x:is>
      </x:c>
      <x:c r="N396" s="160" t="inlineStr">
        <x:is>
          <x:t xml:space="preserve">R-SECTOR-SPECIALTY-INGREDIENTS</x:t>
        </x:is>
      </x:c>
      <x:c r="O396" s="160" t="inlineStr">
        <x:is>
          <x:t xml:space="preserve">BASE</x:t>
        </x:is>
      </x:c>
      <x:c r="P396" s="160" t="inlineStr">
        <x:is>
          <x:t xml:space="preserve">PARTIAL CATCH</x:t>
        </x:is>
      </x:c>
      <x:c r="Q396" s="160" t="inlineStr">
        <x:is>
          <x:t xml:space="preserve">The base refinement catches the main failure, but evidence thresholds and per-share/counterfactual details remain underspecified.</x:t>
        </x:is>
      </x:c>
      <x:c r="R396" s="160" t="inlineStr">
        <x:is>
          <x:t xml:space="preserve">Add a sector-specific transmission map with leading operating sensors, not only market-price variables. Sector rule: Price/mix holds while customer destocking, volume softness, integration debt or formulation substitution weakens normalized FCF.</x:t>
        </x:is>
      </x:c>
      <x:c r="S396" s="160" t="inlineStr">
        <x:is>
          <x:t xml:space="preserve">YES — SIMULATION ONLY</x:t>
        </x:is>
      </x:c>
      <x:c r="T396" s="160" t="inlineStr">
        <x:is>
          <x:t xml:space="preserve">HARDENED</x:t>
        </x:is>
      </x:c>
      <x:c r="U396" s="160" t="inlineStr">
        <x:is>
          <x:t xml:space="preserve">V10.5-SIM46</x:t>
        </x:is>
      </x:c>
      <x:c r="V396" s="160" t="inlineStr">
        <x:is>
          <x:t xml:space="preserve">https://www.croda.com/en-gb/investors</x:t>
        </x:is>
      </x:c>
      <x:c r="W396" s="160" t="inlineStr">
        <x:is>
          <x:t xml:space="preserve">NO</x:t>
        </x:is>
      </x:c>
      <x:c r="X396" s="160" t="inlineStr">
        <x:is>
          <x:t xml:space="preserve">NONE — DEVELOPMENT ONLY</x:t>
        </x:is>
      </x:c>
      <x:c r="Y396" s="160" t="inlineStr">
        <x:is>
          <x:t xml:space="preserve">Synthetic/adversarial model-development loop. No historical outcome is claimed; no accuracy point is awarded.</x:t>
        </x:is>
      </x:c>
    </x:row>
    <x:row r="397">
      <x:c r="A397" s="160" t="inlineStr">
        <x:is>
          <x:t xml:space="preserve">ML0392</x:t>
        </x:is>
      </x:c>
      <x:c r="B397" s="160" t="inlineStr">
        <x:is>
          <x:t xml:space="preserve">ARG-025</x:t>
        </x:is>
      </x:c>
      <x:c r="C397" s="160" t="inlineStr">
        <x:is>
          <x:t xml:space="preserve">Croda International</x:t>
        </x:is>
      </x:c>
      <x:c r="D397" s="160" t="inlineStr">
        <x:is>
          <x:t xml:space="preserve">CRDA.L</x:t>
        </x:is>
      </x:c>
      <x:c r="E397" s="160" t="inlineStr">
        <x:is>
          <x:t xml:space="preserve">Specialty Ingredients</x:t>
        </x:is>
      </x:c>
      <x:c r="F397" s="160" t="inlineStr">
        <x:is>
          <x:t xml:space="preserve">Development</x:t>
        </x:is>
      </x:c>
      <x:c r="G397" s="160" t="inlineStr">
        <x:is>
          <x:t xml:space="preserve">S08</x:t>
        </x:is>
      </x:c>
      <x:c r="H397" s="160" t="inlineStr">
        <x:is>
          <x:t xml:space="preserve">Management Promise Reliability</x:t>
        </x:is>
      </x:c>
      <x:c r="I397" s="160" t="inlineStr">
        <x:is>
          <x:t xml:space="preserve">Management over-trust</x:t>
        </x:is>
      </x:c>
      <x:c r="J397" s="160" t="inlineStr">
        <x:is>
          <x:t xml:space="preserve">Guidance or strategic promises are repeated but the model lacks a contemporaneous reliability score.</x:t>
        </x:is>
      </x:c>
      <x:c r="K397" s="160" t="inlineStr">
        <x:is>
          <x:t xml:space="preserve">Specialty formulations × volume/mix − utilization drag</x:t>
        </x:is>
      </x:c>
      <x:c r="L397" s="160" t="inlineStr">
        <x:is>
          <x:t xml:space="preserve">Normalized FCF + recovery scenarios</x:t>
        </x:is>
      </x:c>
      <x:c r="M397" s="160" t="inlineStr">
        <x:is>
          <x:t xml:space="preserve">WATCH</x:t>
        </x:is>
      </x:c>
      <x:c r="N397" s="160" t="inlineStr">
        <x:is>
          <x:t xml:space="preserve">R-PROM-01</x:t>
        </x:is>
      </x:c>
      <x:c r="O397" s="160" t="inlineStr">
        <x:is>
          <x:t xml:space="preserve">HARDENED</x:t>
        </x:is>
      </x:c>
      <x:c r="P397" s="160" t="inlineStr">
        <x:is>
          <x:t xml:space="preserve">ROBUST WITH RESIDUAL</x:t>
        </x:is>
      </x:c>
      <x:c r="Q397" s="160" t="inlineStr">
        <x:is>
          <x:t xml:space="preserve">The hardened rule catches the stress. Residual risk is mainly evidence quality, threshold calibration or interaction with another gate.</x:t>
        </x:is>
      </x:c>
      <x:c r="R397" s="160" t="inlineStr">
        <x:is>
          <x:t xml:space="preserve">Use a promises ledger with dated promise, measurable deliverable, due date, outcome and credibility weight.</x:t>
        </x:is>
      </x:c>
      <x:c r="S397" s="160" t="inlineStr">
        <x:is>
          <x:t xml:space="preserve">YES — SIMULATION ONLY</x:t>
        </x:is>
      </x:c>
      <x:c r="T397" s="160" t="inlineStr">
        <x:is>
          <x:t xml:space="preserve">COUNTER-EVIDENCE</x:t>
        </x:is>
      </x:c>
      <x:c r="U397" s="160" t="inlineStr">
        <x:is>
          <x:t xml:space="preserve">V10.5-SIM47</x:t>
        </x:is>
      </x:c>
      <x:c r="V397" s="160" t="inlineStr">
        <x:is>
          <x:t xml:space="preserve">https://www.croda.com/en-gb/investors</x:t>
        </x:is>
      </x:c>
      <x:c r="W397" s="160" t="inlineStr">
        <x:is>
          <x:t xml:space="preserve">NO</x:t>
        </x:is>
      </x:c>
      <x:c r="X397" s="160" t="inlineStr">
        <x:is>
          <x:t xml:space="preserve">NONE — DEVELOPMENT ONLY</x:t>
        </x:is>
      </x:c>
      <x:c r="Y397" s="160" t="inlineStr">
        <x:is>
          <x:t xml:space="preserve">Synthetic/adversarial model-development loop. No historical outcome is claimed; no accuracy point is awarded.</x:t>
        </x:is>
      </x:c>
    </x:row>
    <x:row r="398">
      <x:c r="A398" s="160" t="inlineStr">
        <x:is>
          <x:t xml:space="preserve">ML0393</x:t>
        </x:is>
      </x:c>
      <x:c r="B398" s="160" t="inlineStr">
        <x:is>
          <x:t xml:space="preserve">ARG-025</x:t>
        </x:is>
      </x:c>
      <x:c r="C398" s="160" t="inlineStr">
        <x:is>
          <x:t xml:space="preserve">Croda International</x:t>
        </x:is>
      </x:c>
      <x:c r="D398" s="160" t="inlineStr">
        <x:is>
          <x:t xml:space="preserve">CRDA.L</x:t>
        </x:is>
      </x:c>
      <x:c r="E398" s="160" t="inlineStr">
        <x:is>
          <x:t xml:space="preserve">Specialty Ingredients</x:t>
        </x:is>
      </x:c>
      <x:c r="F398" s="160" t="inlineStr">
        <x:is>
          <x:t xml:space="preserve">Development</x:t>
        </x:is>
      </x:c>
      <x:c r="G398" s="160" t="inlineStr">
        <x:is>
          <x:t xml:space="preserve">S09</x:t>
        </x:is>
      </x:c>
      <x:c r="H398" s="160" t="inlineStr">
        <x:is>
          <x:t xml:space="preserve">Data / Accounting Quality</x:t>
        </x:is>
      </x:c>
      <x:c r="I398" s="160" t="inlineStr">
        <x:is>
          <x:t xml:space="preserve">Data quality</x:t>
        </x:is>
      </x:c>
      <x:c r="J398" s="160" t="inlineStr">
        <x:is>
          <x:t xml:space="preserve">Restatement, segment reclassification, one-time item or non-economic fair-value movement distorts the apparent trend.</x:t>
        </x:is>
      </x:c>
      <x:c r="K398" s="160" t="inlineStr">
        <x:is>
          <x:t xml:space="preserve">Specialty formulations × volume/mix − utilization drag</x:t>
        </x:is>
      </x:c>
      <x:c r="L398" s="160" t="inlineStr">
        <x:is>
          <x:t xml:space="preserve">Normalized FCF + recovery scenarios</x:t>
        </x:is>
      </x:c>
      <x:c r="M398" s="160" t="inlineStr">
        <x:is>
          <x:t xml:space="preserve">WATCH</x:t>
        </x:is>
      </x:c>
      <x:c r="N398" s="160" t="inlineStr">
        <x:is>
          <x:t xml:space="preserve">R-DATA-01</x:t>
        </x:is>
      </x:c>
      <x:c r="O398" s="160" t="inlineStr">
        <x:is>
          <x:t xml:space="preserve">HARDENED</x:t>
        </x:is>
      </x:c>
      <x:c r="P398" s="160" t="inlineStr">
        <x:is>
          <x:t xml:space="preserve">ROBUST WITH RESIDUAL</x:t>
        </x:is>
      </x:c>
      <x:c r="Q398" s="160" t="inlineStr">
        <x:is>
          <x:t xml:space="preserve">The hardened rule catches the stress. Residual risk is mainly evidence quality, threshold calibration or interaction with another gate.</x:t>
        </x:is>
      </x:c>
      <x:c r="R398" s="160" t="inlineStr">
        <x:is>
          <x:t xml:space="preserve">Add a reporting-quality bridge and normalize accounting noise before any gate can pass.</x:t>
        </x:is>
      </x:c>
      <x:c r="S398" s="160" t="inlineStr">
        <x:is>
          <x:t xml:space="preserve">YES — SIMULATION ONLY</x:t>
        </x:is>
      </x:c>
      <x:c r="T398" s="160" t="inlineStr">
        <x:is>
          <x:t xml:space="preserve">COUNTER-EVIDENCE</x:t>
        </x:is>
      </x:c>
      <x:c r="U398" s="160" t="inlineStr">
        <x:is>
          <x:t xml:space="preserve">V10.5-SIM48</x:t>
        </x:is>
      </x:c>
      <x:c r="V398" s="160" t="inlineStr">
        <x:is>
          <x:t xml:space="preserve">https://www.croda.com/en-gb/investors</x:t>
        </x:is>
      </x:c>
      <x:c r="W398" s="160" t="inlineStr">
        <x:is>
          <x:t xml:space="preserve">NO</x:t>
        </x:is>
      </x:c>
      <x:c r="X398" s="160" t="inlineStr">
        <x:is>
          <x:t xml:space="preserve">NONE — DEVELOPMENT ONLY</x:t>
        </x:is>
      </x:c>
      <x:c r="Y398" s="160" t="inlineStr">
        <x:is>
          <x:t xml:space="preserve">Synthetic/adversarial model-development loop. No historical outcome is claimed; no accuracy point is awarded.</x:t>
        </x:is>
      </x:c>
    </x:row>
    <x:row r="399">
      <x:c r="A399" s="160" t="inlineStr">
        <x:is>
          <x:t xml:space="preserve">ML0394</x:t>
        </x:is>
      </x:c>
      <x:c r="B399" s="160" t="inlineStr">
        <x:is>
          <x:t xml:space="preserve">ARG-025</x:t>
        </x:is>
      </x:c>
      <x:c r="C399" s="160" t="inlineStr">
        <x:is>
          <x:t xml:space="preserve">Croda International</x:t>
        </x:is>
      </x:c>
      <x:c r="D399" s="160" t="inlineStr">
        <x:is>
          <x:t xml:space="preserve">CRDA.L</x:t>
        </x:is>
      </x:c>
      <x:c r="E399" s="160" t="inlineStr">
        <x:is>
          <x:t xml:space="preserve">Specialty Ingredients</x:t>
        </x:is>
      </x:c>
      <x:c r="F399" s="160" t="inlineStr">
        <x:is>
          <x:t xml:space="preserve">Development</x:t>
        </x:is>
      </x:c>
      <x:c r="G399" s="160" t="inlineStr">
        <x:is>
          <x:t xml:space="preserve">S10</x:t>
        </x:is>
      </x:c>
      <x:c r="H399" s="160" t="inlineStr">
        <x:is>
          <x:t xml:space="preserve">Control / Counterfactual</x:t>
        </x:is>
      </x:c>
      <x:c r="I399" s="160" t="inlineStr">
        <x:is>
          <x:t xml:space="preserve">Sector beta vs company alpha</x:t>
        </x:is>
      </x:c>
      <x:c r="J399" s="160" t="inlineStr">
        <x:is>
          <x:t xml:space="preserve">A positive outcome is mostly sector beta or macro tailwind, not company-specific alpha.</x:t>
        </x:is>
      </x:c>
      <x:c r="K399" s="160" t="inlineStr">
        <x:is>
          <x:t xml:space="preserve">Specialty formulations × volume/mix − utilization drag</x:t>
        </x:is>
      </x:c>
      <x:c r="L399" s="160" t="inlineStr">
        <x:is>
          <x:t xml:space="preserve">Normalized FCF + recovery scenarios</x:t>
        </x:is>
      </x:c>
      <x:c r="M399" s="160" t="inlineStr">
        <x:is>
          <x:t xml:space="preserve">WATCH</x:t>
        </x:is>
      </x:c>
      <x:c r="N399" s="160" t="inlineStr">
        <x:is>
          <x:t xml:space="preserve">R-CF-01</x:t>
        </x:is>
      </x:c>
      <x:c r="O399" s="160" t="inlineStr">
        <x:is>
          <x:t xml:space="preserve">HARDENED</x:t>
        </x:is>
      </x:c>
      <x:c r="P399" s="160" t="inlineStr">
        <x:is>
          <x:t xml:space="preserve">ROBUST WITH RESIDUAL</x:t>
        </x:is>
      </x:c>
      <x:c r="Q399" s="160" t="inlineStr">
        <x:is>
          <x:t xml:space="preserve">The hardened rule catches the stress. Residual risk is mainly evidence quality, threshold calibration or interaction with another gate.</x:t>
        </x:is>
      </x:c>
      <x:c r="R399" s="160" t="inlineStr">
        <x:is>
          <x:t xml:space="preserve">Require a true economic control and counterfactual: what should have happened to a comparable company under the same shock?</x:t>
        </x:is>
      </x:c>
      <x:c r="S399" s="160" t="inlineStr">
        <x:is>
          <x:t xml:space="preserve">YES — SIMULATION ONLY</x:t>
        </x:is>
      </x:c>
      <x:c r="T399" s="160" t="inlineStr">
        <x:is>
          <x:t xml:space="preserve">COUNTER-EVIDENCE</x:t>
        </x:is>
      </x:c>
      <x:c r="U399" s="160" t="inlineStr">
        <x:is>
          <x:t xml:space="preserve">V10.5-SIM49</x:t>
        </x:is>
      </x:c>
      <x:c r="V399" s="160" t="inlineStr">
        <x:is>
          <x:t xml:space="preserve">https://www.croda.com/en-gb/investors</x:t>
        </x:is>
      </x:c>
      <x:c r="W399" s="160" t="inlineStr">
        <x:is>
          <x:t xml:space="preserve">NO</x:t>
        </x:is>
      </x:c>
      <x:c r="X399" s="160" t="inlineStr">
        <x:is>
          <x:t xml:space="preserve">NONE — DEVELOPMENT ONLY</x:t>
        </x:is>
      </x:c>
      <x:c r="Y399" s="160" t="inlineStr">
        <x:is>
          <x:t xml:space="preserve">Synthetic/adversarial model-development loop. No historical outcome is claimed; no accuracy point is awarded.</x:t>
        </x:is>
      </x:c>
    </x:row>
    <x:row r="400">
      <x:c r="A400" s="160" t="inlineStr">
        <x:is>
          <x:t xml:space="preserve">ML0395</x:t>
        </x:is>
      </x:c>
      <x:c r="B400" s="160" t="inlineStr">
        <x:is>
          <x:t xml:space="preserve">ARG-025</x:t>
        </x:is>
      </x:c>
      <x:c r="C400" s="160" t="inlineStr">
        <x:is>
          <x:t xml:space="preserve">Croda International</x:t>
        </x:is>
      </x:c>
      <x:c r="D400" s="160" t="inlineStr">
        <x:is>
          <x:t xml:space="preserve">CRDA.L</x:t>
        </x:is>
      </x:c>
      <x:c r="E400" s="160" t="inlineStr">
        <x:is>
          <x:t xml:space="preserve">Specialty Ingredients</x:t>
        </x:is>
      </x:c>
      <x:c r="F400" s="160" t="inlineStr">
        <x:is>
          <x:t xml:space="preserve">Development</x:t>
        </x:is>
      </x:c>
      <x:c r="G400" s="160" t="inlineStr">
        <x:is>
          <x:t xml:space="preserve">S11</x:t>
        </x:is>
      </x:c>
      <x:c r="H400" s="160" t="inlineStr">
        <x:is>
          <x:t xml:space="preserve">False-Negative Discipline</x:t>
        </x:is>
      </x:c>
      <x:c r="I400" s="160" t="inlineStr">
        <x:is>
          <x:t xml:space="preserve">False negative</x:t>
        </x:is>
      </x:c>
      <x:c r="J400" s="160" t="inlineStr">
        <x:is>
          <x:t xml:space="preserve">A strict gate rejects a company that later compounds strongly for reasons the model could have known.</x:t>
        </x:is>
      </x:c>
      <x:c r="K400" s="160" t="inlineStr">
        <x:is>
          <x:t xml:space="preserve">Specialty formulations × volume/mix − utilization drag</x:t>
        </x:is>
      </x:c>
      <x:c r="L400" s="160" t="inlineStr">
        <x:is>
          <x:t xml:space="preserve">Normalized FCF + recovery scenarios</x:t>
        </x:is>
      </x:c>
      <x:c r="M400" s="160" t="inlineStr">
        <x:is>
          <x:t xml:space="preserve">WATCH</x:t>
        </x:is>
      </x:c>
      <x:c r="N400" s="160" t="inlineStr">
        <x:is>
          <x:t xml:space="preserve">R-FN-01</x:t>
        </x:is>
      </x:c>
      <x:c r="O400" s="160" t="inlineStr">
        <x:is>
          <x:t xml:space="preserve">HARDENED</x:t>
        </x:is>
      </x:c>
      <x:c r="P400" s="160" t="inlineStr">
        <x:is>
          <x:t xml:space="preserve">ROBUST WITH RESIDUAL</x:t>
        </x:is>
      </x:c>
      <x:c r="Q400" s="160" t="inlineStr">
        <x:is>
          <x:t xml:space="preserve">The hardened rule catches the stress. Residual risk is mainly evidence quality, threshold calibration or interaction with another gate.</x:t>
        </x:is>
      </x:c>
      <x:c r="R400" s="160" t="inlineStr">
        <x:is>
          <x:t xml:space="preserve">Track opportunity cost and classify whether the miss came from evidence timing, wrong threshold or genuinely unknowable upside.</x:t>
        </x:is>
      </x:c>
      <x:c r="S400" s="160" t="inlineStr">
        <x:is>
          <x:t xml:space="preserve">YES — SIMULATION ONLY</x:t>
        </x:is>
      </x:c>
      <x:c r="T400" s="160" t="inlineStr">
        <x:is>
          <x:t xml:space="preserve">COUNTER-EVIDENCE</x:t>
        </x:is>
      </x:c>
      <x:c r="U400" s="160" t="inlineStr">
        <x:is>
          <x:t xml:space="preserve">V10.5-SIM50</x:t>
        </x:is>
      </x:c>
      <x:c r="V400" s="160" t="inlineStr">
        <x:is>
          <x:t xml:space="preserve">https://www.croda.com/en-gb/investors</x:t>
        </x:is>
      </x:c>
      <x:c r="W400" s="160" t="inlineStr">
        <x:is>
          <x:t xml:space="preserve">NO</x:t>
        </x:is>
      </x:c>
      <x:c r="X400" s="160" t="inlineStr">
        <x:is>
          <x:t xml:space="preserve">NONE — DEVELOPMENT ONLY</x:t>
        </x:is>
      </x:c>
      <x:c r="Y400" s="160" t="inlineStr">
        <x:is>
          <x:t xml:space="preserve">Synthetic/adversarial model-development loop. No historical outcome is claimed; no accuracy point is awarded.</x:t>
        </x:is>
      </x:c>
    </x:row>
    <x:row r="401">
      <x:c r="A401" s="160" t="inlineStr">
        <x:is>
          <x:t xml:space="preserve">ML0396</x:t>
        </x:is>
      </x:c>
      <x:c r="B401" s="160" t="inlineStr">
        <x:is>
          <x:t xml:space="preserve">ARG-025</x:t>
        </x:is>
      </x:c>
      <x:c r="C401" s="160" t="inlineStr">
        <x:is>
          <x:t xml:space="preserve">Croda International</x:t>
        </x:is>
      </x:c>
      <x:c r="D401" s="160" t="inlineStr">
        <x:is>
          <x:t xml:space="preserve">CRDA.L</x:t>
        </x:is>
      </x:c>
      <x:c r="E401" s="160" t="inlineStr">
        <x:is>
          <x:t xml:space="preserve">Specialty Ingredients</x:t>
        </x:is>
      </x:c>
      <x:c r="F401" s="160" t="inlineStr">
        <x:is>
          <x:t xml:space="preserve">Development</x:t>
        </x:is>
      </x:c>
      <x:c r="G401" s="160" t="inlineStr">
        <x:is>
          <x:t xml:space="preserve">S12</x:t>
        </x:is>
      </x:c>
      <x:c r="H401" s="160" t="inlineStr">
        <x:is>
          <x:t xml:space="preserve">Lead-Time / Early Sensor</x:t>
        </x:is>
      </x:c>
      <x:c r="I401" s="160" t="inlineStr">
        <x:is>
          <x:t xml:space="preserve">Timing / lead-time</x:t>
        </x:is>
      </x:c>
      <x:c r="J401" s="160" t="inlineStr">
        <x:is>
          <x:t xml:space="preserve">ARGUS identifies the change correctly but only after consensus and price have already reacted.</x:t>
        </x:is>
      </x:c>
      <x:c r="K401" s="160" t="inlineStr">
        <x:is>
          <x:t xml:space="preserve">Specialty formulations × volume/mix − utilization drag</x:t>
        </x:is>
      </x:c>
      <x:c r="L401" s="160" t="inlineStr">
        <x:is>
          <x:t xml:space="preserve">Normalized FCF + recovery scenarios</x:t>
        </x:is>
      </x:c>
      <x:c r="M401" s="160" t="inlineStr">
        <x:is>
          <x:t xml:space="preserve">WATCH</x:t>
        </x:is>
      </x:c>
      <x:c r="N401" s="160" t="inlineStr">
        <x:is>
          <x:t xml:space="preserve">R-TIME-01</x:t>
        </x:is>
      </x:c>
      <x:c r="O401" s="160" t="inlineStr">
        <x:is>
          <x:t xml:space="preserve">HARDENED</x:t>
        </x:is>
      </x:c>
      <x:c r="P401" s="160" t="inlineStr">
        <x:is>
          <x:t xml:space="preserve">ROBUST WITH RESIDUAL</x:t>
        </x:is>
      </x:c>
      <x:c r="Q401" s="160" t="inlineStr">
        <x:is>
          <x:t xml:space="preserve">The hardened rule catches the stress. Residual risk is mainly evidence quality, threshold calibration or interaction with another gate.</x:t>
        </x:is>
      </x:c>
      <x:c r="R401" s="160" t="inlineStr">
        <x:is>
          <x:t xml:space="preserve">Replace lagging financial metrics with earlier causal operating sensors and record lead time separately from correctness.</x:t>
        </x:is>
      </x:c>
      <x:c r="S401" s="160" t="inlineStr">
        <x:is>
          <x:t xml:space="preserve">YES — SIMULATION ONLY</x:t>
        </x:is>
      </x:c>
      <x:c r="T401" s="160" t="inlineStr">
        <x:is>
          <x:t xml:space="preserve">COUNTER-EVIDENCE</x:t>
        </x:is>
      </x:c>
      <x:c r="U401" s="160" t="inlineStr">
        <x:is>
          <x:t xml:space="preserve">V10.5-SIM51</x:t>
        </x:is>
      </x:c>
      <x:c r="V401" s="160" t="inlineStr">
        <x:is>
          <x:t xml:space="preserve">https://www.croda.com/en-gb/investors</x:t>
        </x:is>
      </x:c>
      <x:c r="W401" s="160" t="inlineStr">
        <x:is>
          <x:t xml:space="preserve">NO</x:t>
        </x:is>
      </x:c>
      <x:c r="X401" s="160" t="inlineStr">
        <x:is>
          <x:t xml:space="preserve">NONE — DEVELOPMENT ONLY</x:t>
        </x:is>
      </x:c>
      <x:c r="Y401" s="160" t="inlineStr">
        <x:is>
          <x:t xml:space="preserve">Synthetic/adversarial model-development loop. No historical outcome is claimed; no accuracy point is awarded.</x:t>
        </x:is>
      </x:c>
    </x:row>
    <x:row r="402">
      <x:c r="A402" s="160" t="inlineStr">
        <x:is>
          <x:t xml:space="preserve">ML0397</x:t>
        </x:is>
      </x:c>
      <x:c r="B402" s="160" t="inlineStr">
        <x:is>
          <x:t xml:space="preserve">ARG-025</x:t>
        </x:is>
      </x:c>
      <x:c r="C402" s="160" t="inlineStr">
        <x:is>
          <x:t xml:space="preserve">Croda International</x:t>
        </x:is>
      </x:c>
      <x:c r="D402" s="160" t="inlineStr">
        <x:is>
          <x:t xml:space="preserve">CRDA.L</x:t>
        </x:is>
      </x:c>
      <x:c r="E402" s="160" t="inlineStr">
        <x:is>
          <x:t xml:space="preserve">Specialty Ingredients</x:t>
        </x:is>
      </x:c>
      <x:c r="F402" s="160" t="inlineStr">
        <x:is>
          <x:t xml:space="preserve">Development</x:t>
        </x:is>
      </x:c>
      <x:c r="G402" s="160" t="inlineStr">
        <x:is>
          <x:t xml:space="preserve">S13</x:t>
        </x:is>
      </x:c>
      <x:c r="H402" s="160" t="inlineStr">
        <x:is>
          <x:t xml:space="preserve">Cycle Normalization</x:t>
        </x:is>
      </x:c>
      <x:c r="I402" s="160" t="inlineStr">
        <x:is>
          <x:t xml:space="preserve">Wrong valuation lens</x:t>
        </x:is>
      </x:c>
      <x:c r="J402" s="160" t="inlineStr">
        <x:is>
          <x:t xml:space="preserve">Peak/trough earnings are mistaken for normalized earning power.</x:t>
        </x:is>
      </x:c>
      <x:c r="K402" s="160" t="inlineStr">
        <x:is>
          <x:t xml:space="preserve">Specialty formulations × volume/mix − utilization drag</x:t>
        </x:is>
      </x:c>
      <x:c r="L402" s="160" t="inlineStr">
        <x:is>
          <x:t xml:space="preserve">Normalized FCF + recovery scenarios</x:t>
        </x:is>
      </x:c>
      <x:c r="M402" s="160" t="inlineStr">
        <x:is>
          <x:t xml:space="preserve">WATCH</x:t>
        </x:is>
      </x:c>
      <x:c r="N402" s="160" t="inlineStr">
        <x:is>
          <x:t xml:space="preserve">R-CYCLE-01</x:t>
        </x:is>
      </x:c>
      <x:c r="O402" s="160" t="inlineStr">
        <x:is>
          <x:t xml:space="preserve">HARDENED</x:t>
        </x:is>
      </x:c>
      <x:c r="P402" s="160" t="inlineStr">
        <x:is>
          <x:t xml:space="preserve">ROBUST WITH RESIDUAL</x:t>
        </x:is>
      </x:c>
      <x:c r="Q402" s="160" t="inlineStr">
        <x:is>
          <x:t xml:space="preserve">The hardened rule catches the stress. Residual risk is mainly evidence quality, threshold calibration or interaction with another gate.</x:t>
        </x:is>
      </x:c>
      <x:c r="R402" s="160" t="inlineStr">
        <x:is>
          <x:t xml:space="preserve">Use sector-specific mid-cycle/NAV/rate-base/rNPV normalization before applying a valuation multiple.</x:t>
        </x:is>
      </x:c>
      <x:c r="S402" s="160" t="inlineStr">
        <x:is>
          <x:t xml:space="preserve">YES — SIMULATION ONLY</x:t>
        </x:is>
      </x:c>
      <x:c r="T402" s="160" t="inlineStr">
        <x:is>
          <x:t xml:space="preserve">COUNTER-EVIDENCE</x:t>
        </x:is>
      </x:c>
      <x:c r="U402" s="160" t="inlineStr">
        <x:is>
          <x:t xml:space="preserve">V10.5-SIM52</x:t>
        </x:is>
      </x:c>
      <x:c r="V402" s="160" t="inlineStr">
        <x:is>
          <x:t xml:space="preserve">https://www.croda.com/en-gb/investors</x:t>
        </x:is>
      </x:c>
      <x:c r="W402" s="160" t="inlineStr">
        <x:is>
          <x:t xml:space="preserve">NO</x:t>
        </x:is>
      </x:c>
      <x:c r="X402" s="160" t="inlineStr">
        <x:is>
          <x:t xml:space="preserve">NONE — DEVELOPMENT ONLY</x:t>
        </x:is>
      </x:c>
      <x:c r="Y402" s="160" t="inlineStr">
        <x:is>
          <x:t xml:space="preserve">Synthetic/adversarial model-development loop. No historical outcome is claimed; no accuracy point is awarded.</x:t>
        </x:is>
      </x:c>
    </x:row>
    <x:row r="403">
      <x:c r="A403" s="160" t="inlineStr">
        <x:is>
          <x:t xml:space="preserve">ML0398</x:t>
        </x:is>
      </x:c>
      <x:c r="B403" s="160" t="inlineStr">
        <x:is>
          <x:t xml:space="preserve">ARG-025</x:t>
        </x:is>
      </x:c>
      <x:c r="C403" s="160" t="inlineStr">
        <x:is>
          <x:t xml:space="preserve">Croda International</x:t>
        </x:is>
      </x:c>
      <x:c r="D403" s="160" t="inlineStr">
        <x:is>
          <x:t xml:space="preserve">CRDA.L</x:t>
        </x:is>
      </x:c>
      <x:c r="E403" s="160" t="inlineStr">
        <x:is>
          <x:t xml:space="preserve">Specialty Ingredients</x:t>
        </x:is>
      </x:c>
      <x:c r="F403" s="160" t="inlineStr">
        <x:is>
          <x:t xml:space="preserve">Development</x:t>
        </x:is>
      </x:c>
      <x:c r="G403" s="160" t="inlineStr">
        <x:is>
          <x:t xml:space="preserve">S14</x:t>
        </x:is>
      </x:c>
      <x:c r="H403" s="160" t="inlineStr">
        <x:is>
          <x:t xml:space="preserve">M&amp;A / Organic Growth Separation</x:t>
        </x:is>
      </x:c>
      <x:c r="I403" s="160" t="inlineStr">
        <x:is>
          <x:t xml:space="preserve">Stewardship</x:t>
        </x:is>
      </x:c>
      <x:c r="J403" s="160" t="inlineStr">
        <x:is>
          <x:t xml:space="preserve">Acquisition-driven growth masks weak organic economics or poor incremental ROIC.</x:t>
        </x:is>
      </x:c>
      <x:c r="K403" s="160" t="inlineStr">
        <x:is>
          <x:t xml:space="preserve">Specialty formulations × volume/mix − utilization drag</x:t>
        </x:is>
      </x:c>
      <x:c r="L403" s="160" t="inlineStr">
        <x:is>
          <x:t xml:space="preserve">Normalized FCF + recovery scenarios</x:t>
        </x:is>
      </x:c>
      <x:c r="M403" s="160" t="inlineStr">
        <x:is>
          <x:t xml:space="preserve">WATCH</x:t>
        </x:is>
      </x:c>
      <x:c r="N403" s="160" t="inlineStr">
        <x:is>
          <x:t xml:space="preserve">R-MA-01</x:t>
        </x:is>
      </x:c>
      <x:c r="O403" s="160" t="inlineStr">
        <x:is>
          <x:t xml:space="preserve">HARDENED</x:t>
        </x:is>
      </x:c>
      <x:c r="P403" s="160" t="inlineStr">
        <x:is>
          <x:t xml:space="preserve">ROBUST WITH RESIDUAL</x:t>
        </x:is>
      </x:c>
      <x:c r="Q403" s="160" t="inlineStr">
        <x:is>
          <x:t xml:space="preserve">The hardened rule catches the stress. Residual risk is mainly evidence quality, threshold calibration or interaction with another gate.</x:t>
        </x:is>
      </x:c>
      <x:c r="R403" s="160" t="inlineStr">
        <x:is>
          <x:t xml:space="preserve">Bridge organic growth, acquired growth, purchase price, integration costs and acquisition-cohort ROIC.</x:t>
        </x:is>
      </x:c>
      <x:c r="S403" s="160" t="inlineStr">
        <x:is>
          <x:t xml:space="preserve">YES — SIMULATION ONLY</x:t>
        </x:is>
      </x:c>
      <x:c r="T403" s="160" t="inlineStr">
        <x:is>
          <x:t xml:space="preserve">COUNTER-EVIDENCE</x:t>
        </x:is>
      </x:c>
      <x:c r="U403" s="160" t="inlineStr">
        <x:is>
          <x:t xml:space="preserve">V10.5-SIM53</x:t>
        </x:is>
      </x:c>
      <x:c r="V403" s="160" t="inlineStr">
        <x:is>
          <x:t xml:space="preserve">https://www.croda.com/en-gb/investors</x:t>
        </x:is>
      </x:c>
      <x:c r="W403" s="160" t="inlineStr">
        <x:is>
          <x:t xml:space="preserve">NO</x:t>
        </x:is>
      </x:c>
      <x:c r="X403" s="160" t="inlineStr">
        <x:is>
          <x:t xml:space="preserve">NONE — DEVELOPMENT ONLY</x:t>
        </x:is>
      </x:c>
      <x:c r="Y403" s="160" t="inlineStr">
        <x:is>
          <x:t xml:space="preserve">Synthetic/adversarial model-development loop. No historical outcome is claimed; no accuracy point is awarded.</x:t>
        </x:is>
      </x:c>
    </x:row>
    <x:row r="404">
      <x:c r="A404" s="160" t="inlineStr">
        <x:is>
          <x:t xml:space="preserve">ML0399</x:t>
        </x:is>
      </x:c>
      <x:c r="B404" s="160" t="inlineStr">
        <x:is>
          <x:t xml:space="preserve">ARG-025</x:t>
        </x:is>
      </x:c>
      <x:c r="C404" s="160" t="inlineStr">
        <x:is>
          <x:t xml:space="preserve">Croda International</x:t>
        </x:is>
      </x:c>
      <x:c r="D404" s="160" t="inlineStr">
        <x:is>
          <x:t xml:space="preserve">CRDA.L</x:t>
        </x:is>
      </x:c>
      <x:c r="E404" s="160" t="inlineStr">
        <x:is>
          <x:t xml:space="preserve">Specialty Ingredients</x:t>
        </x:is>
      </x:c>
      <x:c r="F404" s="160" t="inlineStr">
        <x:is>
          <x:t xml:space="preserve">Development</x:t>
        </x:is>
      </x:c>
      <x:c r="G404" s="160" t="inlineStr">
        <x:is>
          <x:t xml:space="preserve">S15</x:t>
        </x:is>
      </x:c>
      <x:c r="H404" s="160" t="inlineStr">
        <x:is>
          <x:t xml:space="preserve">Financing / Dilution Per Share</x:t>
        </x:is>
      </x:c>
      <x:c r="I404" s="160" t="inlineStr">
        <x:is>
          <x:t xml:space="preserve">Stewardship</x:t>
        </x:is>
      </x:c>
      <x:c r="J404" s="160" t="inlineStr">
        <x:is>
          <x:t xml:space="preserve">Cash balance or revenue growth improves while financing causes material per-share value leakage.</x:t>
        </x:is>
      </x:c>
      <x:c r="K404" s="160" t="inlineStr">
        <x:is>
          <x:t xml:space="preserve">Specialty formulations × volume/mix − utilization drag</x:t>
        </x:is>
      </x:c>
      <x:c r="L404" s="160" t="inlineStr">
        <x:is>
          <x:t xml:space="preserve">Normalized FCF + recovery scenarios</x:t>
        </x:is>
      </x:c>
      <x:c r="M404" s="160" t="inlineStr">
        <x:is>
          <x:t xml:space="preserve">WATCH</x:t>
        </x:is>
      </x:c>
      <x:c r="N404" s="160" t="inlineStr">
        <x:is>
          <x:t xml:space="preserve">R-DIL-01</x:t>
        </x:is>
      </x:c>
      <x:c r="O404" s="160" t="inlineStr">
        <x:is>
          <x:t xml:space="preserve">HARDENED</x:t>
        </x:is>
      </x:c>
      <x:c r="P404" s="160" t="inlineStr">
        <x:is>
          <x:t xml:space="preserve">ROBUST WITH RESIDUAL</x:t>
        </x:is>
      </x:c>
      <x:c r="Q404" s="160" t="inlineStr">
        <x:is>
          <x:t xml:space="preserve">The hardened rule catches the stress. Residual risk is mainly evidence quality, threshold calibration or interaction with another gate.</x:t>
        </x:is>
      </x:c>
      <x:c r="R404" s="160" t="inlineStr">
        <x:is>
          <x:t xml:space="preserve">Reconcile share-count growth, SBC, equity issuance, buybacks and net cash changes to per-share intrinsic value.</x:t>
        </x:is>
      </x:c>
      <x:c r="S404" s="160" t="inlineStr">
        <x:is>
          <x:t xml:space="preserve">YES — SIMULATION ONLY</x:t>
        </x:is>
      </x:c>
      <x:c r="T404" s="160" t="inlineStr">
        <x:is>
          <x:t xml:space="preserve">COUNTER-EVIDENCE</x:t>
        </x:is>
      </x:c>
      <x:c r="U404" s="160" t="inlineStr">
        <x:is>
          <x:t xml:space="preserve">V10.5-SIM54</x:t>
        </x:is>
      </x:c>
      <x:c r="V404" s="160" t="inlineStr">
        <x:is>
          <x:t xml:space="preserve">https://www.croda.com/en-gb/investors</x:t>
        </x:is>
      </x:c>
      <x:c r="W404" s="160" t="inlineStr">
        <x:is>
          <x:t xml:space="preserve">NO</x:t>
        </x:is>
      </x:c>
      <x:c r="X404" s="160" t="inlineStr">
        <x:is>
          <x:t xml:space="preserve">NONE — DEVELOPMENT ONLY</x:t>
        </x:is>
      </x:c>
      <x:c r="Y404" s="160" t="inlineStr">
        <x:is>
          <x:t xml:space="preserve">Synthetic/adversarial model-development loop. No historical outcome is claimed; no accuracy point is awarded.</x:t>
        </x:is>
      </x:c>
    </x:row>
    <x:row r="405">
      <x:c r="A405" s="160" t="inlineStr">
        <x:is>
          <x:t xml:space="preserve">ML0400</x:t>
        </x:is>
      </x:c>
      <x:c r="B405" s="160" t="inlineStr">
        <x:is>
          <x:t xml:space="preserve">ARG-025</x:t>
        </x:is>
      </x:c>
      <x:c r="C405" s="160" t="inlineStr">
        <x:is>
          <x:t xml:space="preserve">Croda International</x:t>
        </x:is>
      </x:c>
      <x:c r="D405" s="160" t="inlineStr">
        <x:is>
          <x:t xml:space="preserve">CRDA.L</x:t>
        </x:is>
      </x:c>
      <x:c r="E405" s="160" t="inlineStr">
        <x:is>
          <x:t xml:space="preserve">Specialty Ingredients</x:t>
        </x:is>
      </x:c>
      <x:c r="F405" s="160" t="inlineStr">
        <x:is>
          <x:t xml:space="preserve">Development</x:t>
        </x:is>
      </x:c>
      <x:c r="G405" s="160" t="inlineStr">
        <x:is>
          <x:t xml:space="preserve">S16</x:t>
        </x:is>
      </x:c>
      <x:c r="H405" s="160" t="inlineStr">
        <x:is>
          <x:t xml:space="preserve">Concentration / Tail Risk</x:t>
        </x:is>
      </x:c>
      <x:c r="I405" s="160" t="inlineStr">
        <x:is>
          <x:t xml:space="preserve">Survival</x:t>
        </x:is>
      </x:c>
      <x:c r="J405" s="160" t="inlineStr">
        <x:is>
          <x:t xml:space="preserve">A concentrated supplier, geography, customer, product, patent, regulatory or technology dependency creates asymmetric permanent-loss risk.</x:t>
        </x:is>
      </x:c>
      <x:c r="K405" s="160" t="inlineStr">
        <x:is>
          <x:t xml:space="preserve">Specialty formulations × volume/mix − utilization drag</x:t>
        </x:is>
      </x:c>
      <x:c r="L405" s="160" t="inlineStr">
        <x:is>
          <x:t xml:space="preserve">Normalized FCF + recovery scenarios</x:t>
        </x:is>
      </x:c>
      <x:c r="M405" s="160" t="inlineStr">
        <x:is>
          <x:t xml:space="preserve">WATCH</x:t>
        </x:is>
      </x:c>
      <x:c r="N405" s="160" t="inlineStr">
        <x:is>
          <x:t xml:space="preserve">R-TAIL-01</x:t>
        </x:is>
      </x:c>
      <x:c r="O405" s="160" t="inlineStr">
        <x:is>
          <x:t xml:space="preserve">HARDENED</x:t>
        </x:is>
      </x:c>
      <x:c r="P405" s="160" t="inlineStr">
        <x:is>
          <x:t xml:space="preserve">ROBUST WITH RESIDUAL</x:t>
        </x:is>
      </x:c>
      <x:c r="Q405" s="160" t="inlineStr">
        <x:is>
          <x:t xml:space="preserve">The hardened rule catches the stress. Residual risk is mainly evidence quality, threshold calibration or interaction with another gate.</x:t>
        </x:is>
      </x:c>
      <x:c r="R405" s="160" t="inlineStr">
        <x:is>
          <x:t xml:space="preserve">Maintain an explicit concentration/tail-risk register with probability, severity, mitigation and required margin-of-safety premium.</x:t>
        </x:is>
      </x:c>
      <x:c r="S405" s="160" t="inlineStr">
        <x:is>
          <x:t xml:space="preserve">YES — SIMULATION ONLY</x:t>
        </x:is>
      </x:c>
      <x:c r="T405" s="160" t="inlineStr">
        <x:is>
          <x:t xml:space="preserve">COUNTER-EVIDENCE</x:t>
        </x:is>
      </x:c>
      <x:c r="U405" s="160" t="inlineStr">
        <x:is>
          <x:t xml:space="preserve">V10.5-SIM55</x:t>
        </x:is>
      </x:c>
      <x:c r="V405" s="160" t="inlineStr">
        <x:is>
          <x:t xml:space="preserve">https://www.croda.com/en-gb/investors</x:t>
        </x:is>
      </x:c>
      <x:c r="W405" s="160" t="inlineStr">
        <x:is>
          <x:t xml:space="preserve">NO</x:t>
        </x:is>
      </x:c>
      <x:c r="X405" s="160" t="inlineStr">
        <x:is>
          <x:t xml:space="preserve">NONE — DEVELOPMENT ONLY</x:t>
        </x:is>
      </x:c>
      <x:c r="Y405" s="160" t="inlineStr">
        <x:is>
          <x:t xml:space="preserve">Synthetic/adversarial model-development loop. No historical outcome is claimed; no accuracy point is awarded.</x:t>
        </x:is>
      </x:c>
    </x:row>
    <x:row r="406">
      <x:c r="A406" s="160" t="inlineStr">
        <x:is>
          <x:t xml:space="preserve">ML0401</x:t>
        </x:is>
      </x:c>
      <x:c r="B406" s="160" t="inlineStr">
        <x:is>
          <x:t xml:space="preserve">ARG-026</x:t>
        </x:is>
      </x:c>
      <x:c r="C406" s="160" t="inlineStr">
        <x:is>
          <x:t xml:space="preserve">Sensient Technologies</x:t>
        </x:is>
      </x:c>
      <x:c r="D406" s="160" t="inlineStr">
        <x:is>
          <x:t xml:space="preserve">SXT</x:t>
        </x:is>
      </x:c>
      <x:c r="E406" s="160" t="inlineStr">
        <x:is>
          <x:t xml:space="preserve">Specialty Ingredients</x:t>
        </x:is>
      </x:c>
      <x:c r="F406" s="160" t="inlineStr">
        <x:is>
          <x:t xml:space="preserve">Development</x:t>
        </x:is>
      </x:c>
      <x:c r="G406" s="160" t="inlineStr">
        <x:is>
          <x:t xml:space="preserve">S01</x:t>
        </x:is>
      </x:c>
      <x:c r="H406" s="160" t="inlineStr">
        <x:is>
          <x:t xml:space="preserve">Understanding Gate</x:t>
        </x:is>
      </x:c>
      <x:c r="I406" s="160" t="inlineStr">
        <x:is>
          <x:t xml:space="preserve">Understanding</x:t>
        </x:is>
      </x:c>
      <x:c r="J406" s="160" t="inlineStr">
        <x:is>
          <x:t xml:space="preserve">Causal engine / customer ROI chain breaks under a misleading headline KPI.</x:t>
        </x:is>
      </x:c>
      <x:c r="K406" s="160" t="inlineStr">
        <x:is>
          <x:t xml:space="preserve">Innovation and formulation sales × mix/margin</x:t>
        </x:is>
      </x:c>
      <x:c r="L406" s="160" t="inlineStr">
        <x:is>
          <x:t xml:space="preserve">Normalized FCF</x:t>
        </x:is>
      </x:c>
      <x:c r="M406" s="160" t="inlineStr">
        <x:is>
          <x:t xml:space="preserve">WAIT FOR PRICE</x:t>
        </x:is>
      </x:c>
      <x:c r="N406" s="160" t="inlineStr">
        <x:is>
          <x:t xml:space="preserve">R-ENG-01</x:t>
        </x:is>
      </x:c>
      <x:c r="O406" s="160" t="inlineStr">
        <x:is>
          <x:t xml:space="preserve">COUNTER-EVIDENCE</x:t>
        </x:is>
      </x:c>
      <x:c r="P406" s="160" t="inlineStr">
        <x:is>
          <x:t xml:space="preserve">ROBUST</x:t>
        </x:is>
      </x:c>
      <x:c r="Q406" s="160" t="inlineStr">
        <x:is>
          <x:t xml:space="preserve">The mature simulation rule catches the stress without weakening a fatal gate; no rule relaxation is justified.</x:t>
        </x:is>
      </x:c>
      <x:c r="R406" s="160" t="inlineStr">
        <x:is>
          <x:t xml:space="preserve">Force an explicit engine tree: customer job → unit economics → revenue driver → owner-value bridge.</x:t>
        </x:is>
      </x:c>
      <x:c r="S406" s="160" t="inlineStr">
        <x:is>
          <x:t xml:space="preserve">NO</x:t>
        </x:is>
      </x:c>
      <x:c r="T406" s="160" t="inlineStr">
        <x:is>
          <x:t xml:space="preserve">COUNTER-EVIDENCE</x:t>
        </x:is>
      </x:c>
      <x:c r="U406" s="160" t="inlineStr">
        <x:is>
          <x:t xml:space="preserve">V10.5-SIM55</x:t>
        </x:is>
      </x:c>
      <x:c r="V406" s="160" t="inlineStr">
        <x:is>
          <x:t xml:space="preserve">https://investors.sensient.com</x:t>
        </x:is>
      </x:c>
      <x:c r="W406" s="160" t="inlineStr">
        <x:is>
          <x:t xml:space="preserve">NO</x:t>
        </x:is>
      </x:c>
      <x:c r="X406" s="160" t="inlineStr">
        <x:is>
          <x:t xml:space="preserve">NONE — DEVELOPMENT ONLY</x:t>
        </x:is>
      </x:c>
      <x:c r="Y406" s="160" t="inlineStr">
        <x:is>
          <x:t xml:space="preserve">Synthetic/adversarial model-development loop. No historical outcome is claimed; no accuracy point is awarded.</x:t>
        </x:is>
      </x:c>
    </x:row>
    <x:row r="407">
      <x:c r="A407" s="160" t="inlineStr">
        <x:is>
          <x:t xml:space="preserve">ML0402</x:t>
        </x:is>
      </x:c>
      <x:c r="B407" s="160" t="inlineStr">
        <x:is>
          <x:t xml:space="preserve">ARG-026</x:t>
        </x:is>
      </x:c>
      <x:c r="C407" s="160" t="inlineStr">
        <x:is>
          <x:t xml:space="preserve">Sensient Technologies</x:t>
        </x:is>
      </x:c>
      <x:c r="D407" s="160" t="inlineStr">
        <x:is>
          <x:t xml:space="preserve">SXT</x:t>
        </x:is>
      </x:c>
      <x:c r="E407" s="160" t="inlineStr">
        <x:is>
          <x:t xml:space="preserve">Specialty Ingredients</x:t>
        </x:is>
      </x:c>
      <x:c r="F407" s="160" t="inlineStr">
        <x:is>
          <x:t xml:space="preserve">Development</x:t>
        </x:is>
      </x:c>
      <x:c r="G407" s="160" t="inlineStr">
        <x:is>
          <x:t xml:space="preserve">S02</x:t>
        </x:is>
      </x:c>
      <x:c r="H407" s="160" t="inlineStr">
        <x:is>
          <x:t xml:space="preserve">Owner Earnings Normalization</x:t>
        </x:is>
      </x:c>
      <x:c r="I407" s="160" t="inlineStr">
        <x:is>
          <x:t xml:space="preserve">Owner Earnings</x:t>
        </x:is>
      </x:c>
      <x:c r="J407" s="160" t="inlineStr">
        <x:is>
          <x:t xml:space="preserve">Reported earnings/FCF overstates economic cash because recurring reinvestment or non-cash compensation is misclassified.</x:t>
        </x:is>
      </x:c>
      <x:c r="K407" s="160" t="inlineStr">
        <x:is>
          <x:t xml:space="preserve">Innovation and formulation sales × mix/margin</x:t>
        </x:is>
      </x:c>
      <x:c r="L407" s="160" t="inlineStr">
        <x:is>
          <x:t xml:space="preserve">Normalized FCF</x:t>
        </x:is>
      </x:c>
      <x:c r="M407" s="160" t="inlineStr">
        <x:is>
          <x:t xml:space="preserve">WAIT FOR PRICE</x:t>
        </x:is>
      </x:c>
      <x:c r="N407" s="160" t="inlineStr">
        <x:is>
          <x:t xml:space="preserve">R-OE-01</x:t>
        </x:is>
      </x:c>
      <x:c r="O407" s="160" t="inlineStr">
        <x:is>
          <x:t xml:space="preserve">COUNTER-EVIDENCE</x:t>
        </x:is>
      </x:c>
      <x:c r="P407" s="160" t="inlineStr">
        <x:is>
          <x:t xml:space="preserve">ROBUST</x:t>
        </x:is>
      </x:c>
      <x:c r="Q407" s="160" t="inlineStr">
        <x:is>
          <x:t xml:space="preserve">The mature simulation rule catches the stress without weakening a fatal gate; no rule relaxation is justified.</x:t>
        </x:is>
      </x:c>
      <x:c r="R407" s="160" t="inlineStr">
        <x:is>
          <x:t xml:space="preserve">Require a GAAP-to-economic-owner-cash bridge tailored to the business model.</x:t>
        </x:is>
      </x:c>
      <x:c r="S407" s="160" t="inlineStr">
        <x:is>
          <x:t xml:space="preserve">NO</x:t>
        </x:is>
      </x:c>
      <x:c r="T407" s="160" t="inlineStr">
        <x:is>
          <x:t xml:space="preserve">COUNTER-EVIDENCE</x:t>
        </x:is>
      </x:c>
      <x:c r="U407" s="160" t="inlineStr">
        <x:is>
          <x:t xml:space="preserve">V10.5-SIM55</x:t>
        </x:is>
      </x:c>
      <x:c r="V407" s="160" t="inlineStr">
        <x:is>
          <x:t xml:space="preserve">https://investors.sensient.com</x:t>
        </x:is>
      </x:c>
      <x:c r="W407" s="160" t="inlineStr">
        <x:is>
          <x:t xml:space="preserve">NO</x:t>
        </x:is>
      </x:c>
      <x:c r="X407" s="160" t="inlineStr">
        <x:is>
          <x:t xml:space="preserve">NONE — DEVELOPMENT ONLY</x:t>
        </x:is>
      </x:c>
      <x:c r="Y407" s="160" t="inlineStr">
        <x:is>
          <x:t xml:space="preserve">Synthetic/adversarial model-development loop. No historical outcome is claimed; no accuracy point is awarded.</x:t>
        </x:is>
      </x:c>
    </x:row>
    <x:row r="408">
      <x:c r="A408" s="160" t="inlineStr">
        <x:is>
          <x:t xml:space="preserve">ML0403</x:t>
        </x:is>
      </x:c>
      <x:c r="B408" s="160" t="inlineStr">
        <x:is>
          <x:t xml:space="preserve">ARG-026</x:t>
        </x:is>
      </x:c>
      <x:c r="C408" s="160" t="inlineStr">
        <x:is>
          <x:t xml:space="preserve">Sensient Technologies</x:t>
        </x:is>
      </x:c>
      <x:c r="D408" s="160" t="inlineStr">
        <x:is>
          <x:t xml:space="preserve">SXT</x:t>
        </x:is>
      </x:c>
      <x:c r="E408" s="160" t="inlineStr">
        <x:is>
          <x:t xml:space="preserve">Specialty Ingredients</x:t>
        </x:is>
      </x:c>
      <x:c r="F408" s="160" t="inlineStr">
        <x:is>
          <x:t xml:space="preserve">Development</x:t>
        </x:is>
      </x:c>
      <x:c r="G408" s="160" t="inlineStr">
        <x:is>
          <x:t xml:space="preserve">S03</x:t>
        </x:is>
      </x:c>
      <x:c r="H408" s="160" t="inlineStr">
        <x:is>
          <x:t xml:space="preserve">Moat Durability</x:t>
        </x:is>
      </x:c>
      <x:c r="I408" s="160" t="inlineStr">
        <x:is>
          <x:t xml:space="preserve">Moat 2036</x:t>
        </x:is>
      </x:c>
      <x:c r="J408" s="160" t="inlineStr">
        <x:is>
          <x:t xml:space="preserve">Growth continues while switching friction, pricing power or replacement difficulty quietly weakens.</x:t>
        </x:is>
      </x:c>
      <x:c r="K408" s="160" t="inlineStr">
        <x:is>
          <x:t xml:space="preserve">Innovation and formulation sales × mix/margin</x:t>
        </x:is>
      </x:c>
      <x:c r="L408" s="160" t="inlineStr">
        <x:is>
          <x:t xml:space="preserve">Normalized FCF</x:t>
        </x:is>
      </x:c>
      <x:c r="M408" s="160" t="inlineStr">
        <x:is>
          <x:t xml:space="preserve">WAIT FOR PRICE</x:t>
        </x:is>
      </x:c>
      <x:c r="N408" s="160" t="inlineStr">
        <x:is>
          <x:t xml:space="preserve">R-MOAT-01</x:t>
        </x:is>
      </x:c>
      <x:c r="O408" s="160" t="inlineStr">
        <x:is>
          <x:t xml:space="preserve">COUNTER-EVIDENCE</x:t>
        </x:is>
      </x:c>
      <x:c r="P408" s="160" t="inlineStr">
        <x:is>
          <x:t xml:space="preserve">ROBUST</x:t>
        </x:is>
      </x:c>
      <x:c r="Q408" s="160" t="inlineStr">
        <x:is>
          <x:t xml:space="preserve">The mature simulation rule catches the stress without weakening a fatal gate; no rule relaxation is justified.</x:t>
        </x:is>
      </x:c>
      <x:c r="R408" s="160" t="inlineStr">
        <x:is>
          <x:t xml:space="preserve">Track moat telemetry separately from growth: retention, pricing, win/loss, replacement friction, installed-base behavior.</x:t>
        </x:is>
      </x:c>
      <x:c r="S408" s="160" t="inlineStr">
        <x:is>
          <x:t xml:space="preserve">NO</x:t>
        </x:is>
      </x:c>
      <x:c r="T408" s="160" t="inlineStr">
        <x:is>
          <x:t xml:space="preserve">COUNTER-EVIDENCE</x:t>
        </x:is>
      </x:c>
      <x:c r="U408" s="160" t="inlineStr">
        <x:is>
          <x:t xml:space="preserve">V10.5-SIM55</x:t>
        </x:is>
      </x:c>
      <x:c r="V408" s="160" t="inlineStr">
        <x:is>
          <x:t xml:space="preserve">https://investors.sensient.com</x:t>
        </x:is>
      </x:c>
      <x:c r="W408" s="160" t="inlineStr">
        <x:is>
          <x:t xml:space="preserve">NO</x:t>
        </x:is>
      </x:c>
      <x:c r="X408" s="160" t="inlineStr">
        <x:is>
          <x:t xml:space="preserve">NONE — DEVELOPMENT ONLY</x:t>
        </x:is>
      </x:c>
      <x:c r="Y408" s="160" t="inlineStr">
        <x:is>
          <x:t xml:space="preserve">Synthetic/adversarial model-development loop. No historical outcome is claimed; no accuracy point is awarded.</x:t>
        </x:is>
      </x:c>
    </x:row>
    <x:row r="409">
      <x:c r="A409" s="160" t="inlineStr">
        <x:is>
          <x:t xml:space="preserve">ML0404</x:t>
        </x:is>
      </x:c>
      <x:c r="B409" s="160" t="inlineStr">
        <x:is>
          <x:t xml:space="preserve">ARG-026</x:t>
        </x:is>
      </x:c>
      <x:c r="C409" s="160" t="inlineStr">
        <x:is>
          <x:t xml:space="preserve">Sensient Technologies</x:t>
        </x:is>
      </x:c>
      <x:c r="D409" s="160" t="inlineStr">
        <x:is>
          <x:t xml:space="preserve">SXT</x:t>
        </x:is>
      </x:c>
      <x:c r="E409" s="160" t="inlineStr">
        <x:is>
          <x:t xml:space="preserve">Specialty Ingredients</x:t>
        </x:is>
      </x:c>
      <x:c r="F409" s="160" t="inlineStr">
        <x:is>
          <x:t xml:space="preserve">Development</x:t>
        </x:is>
      </x:c>
      <x:c r="G409" s="160" t="inlineStr">
        <x:is>
          <x:t xml:space="preserve">S04</x:t>
        </x:is>
      </x:c>
      <x:c r="H409" s="160" t="inlineStr">
        <x:is>
          <x:t xml:space="preserve">Stewardship / Capital Allocation</x:t>
        </x:is>
      </x:c>
      <x:c r="I409" s="160" t="inlineStr">
        <x:is>
          <x:t xml:space="preserve">Stewardship</x:t>
        </x:is>
      </x:c>
      <x:c r="J409" s="160" t="inlineStr">
        <x:is>
          <x:t xml:space="preserve">Management creates enterprise growth while destroying per-share value through M&amp;A, dilution, leverage or mistimed buybacks.</x:t>
        </x:is>
      </x:c>
      <x:c r="K409" s="160" t="inlineStr">
        <x:is>
          <x:t xml:space="preserve">Innovation and formulation sales × mix/margin</x:t>
        </x:is>
      </x:c>
      <x:c r="L409" s="160" t="inlineStr">
        <x:is>
          <x:t xml:space="preserve">Normalized FCF</x:t>
        </x:is>
      </x:c>
      <x:c r="M409" s="160" t="inlineStr">
        <x:is>
          <x:t xml:space="preserve">WAIT FOR PRICE</x:t>
        </x:is>
      </x:c>
      <x:c r="N409" s="160" t="inlineStr">
        <x:is>
          <x:t xml:space="preserve">R-STEW-01</x:t>
        </x:is>
      </x:c>
      <x:c r="O409" s="160" t="inlineStr">
        <x:is>
          <x:t xml:space="preserve">COUNTER-EVIDENCE</x:t>
        </x:is>
      </x:c>
      <x:c r="P409" s="160" t="inlineStr">
        <x:is>
          <x:t xml:space="preserve">ROBUST</x:t>
        </x:is>
      </x:c>
      <x:c r="Q409" s="160" t="inlineStr">
        <x:is>
          <x:t xml:space="preserve">The mature simulation rule catches the stress without weakening a fatal gate; no rule relaxation is justified.</x:t>
        </x:is>
      </x:c>
      <x:c r="R409" s="160" t="inlineStr">
        <x:is>
          <x:t xml:space="preserve">Evaluate capital allocation on a per-share basis using acquisition cohorts, dilution, leverage and repurchase price discipline.</x:t>
        </x:is>
      </x:c>
      <x:c r="S409" s="160" t="inlineStr">
        <x:is>
          <x:t xml:space="preserve">NO</x:t>
        </x:is>
      </x:c>
      <x:c r="T409" s="160" t="inlineStr">
        <x:is>
          <x:t xml:space="preserve">COUNTER-EVIDENCE</x:t>
        </x:is>
      </x:c>
      <x:c r="U409" s="160" t="inlineStr">
        <x:is>
          <x:t xml:space="preserve">V10.5-SIM55</x:t>
        </x:is>
      </x:c>
      <x:c r="V409" s="160" t="inlineStr">
        <x:is>
          <x:t xml:space="preserve">https://investors.sensient.com</x:t>
        </x:is>
      </x:c>
      <x:c r="W409" s="160" t="inlineStr">
        <x:is>
          <x:t xml:space="preserve">NO</x:t>
        </x:is>
      </x:c>
      <x:c r="X409" s="160" t="inlineStr">
        <x:is>
          <x:t xml:space="preserve">NONE — DEVELOPMENT ONLY</x:t>
        </x:is>
      </x:c>
      <x:c r="Y409" s="160" t="inlineStr">
        <x:is>
          <x:t xml:space="preserve">Synthetic/adversarial model-development loop. No historical outcome is claimed; no accuracy point is awarded.</x:t>
        </x:is>
      </x:c>
    </x:row>
    <x:row r="410">
      <x:c r="A410" s="160" t="inlineStr">
        <x:is>
          <x:t xml:space="preserve">ML0405</x:t>
        </x:is>
      </x:c>
      <x:c r="B410" s="160" t="inlineStr">
        <x:is>
          <x:t xml:space="preserve">ARG-026</x:t>
        </x:is>
      </x:c>
      <x:c r="C410" s="160" t="inlineStr">
        <x:is>
          <x:t xml:space="preserve">Sensient Technologies</x:t>
        </x:is>
      </x:c>
      <x:c r="D410" s="160" t="inlineStr">
        <x:is>
          <x:t xml:space="preserve">SXT</x:t>
        </x:is>
      </x:c>
      <x:c r="E410" s="160" t="inlineStr">
        <x:is>
          <x:t xml:space="preserve">Specialty Ingredients</x:t>
        </x:is>
      </x:c>
      <x:c r="F410" s="160" t="inlineStr">
        <x:is>
          <x:t xml:space="preserve">Development</x:t>
        </x:is>
      </x:c>
      <x:c r="G410" s="160" t="inlineStr">
        <x:is>
          <x:t xml:space="preserve">S05</x:t>
        </x:is>
      </x:c>
      <x:c r="H410" s="160" t="inlineStr">
        <x:is>
          <x:t xml:space="preserve">Survival / Funding</x:t>
        </x:is>
      </x:c>
      <x:c r="I410" s="160" t="inlineStr">
        <x:is>
          <x:t xml:space="preserve">Survival</x:t>
        </x:is>
      </x:c>
      <x:c r="J410" s="160" t="inlineStr">
        <x:is>
          <x:t xml:space="preserve">A plausible bear case exposes refinancing, liquidity, covenant, reserve, regulatory or operational fragility.</x:t>
        </x:is>
      </x:c>
      <x:c r="K410" s="160" t="inlineStr">
        <x:is>
          <x:t xml:space="preserve">Innovation and formulation sales × mix/margin</x:t>
        </x:is>
      </x:c>
      <x:c r="L410" s="160" t="inlineStr">
        <x:is>
          <x:t xml:space="preserve">Normalized FCF</x:t>
        </x:is>
      </x:c>
      <x:c r="M410" s="160" t="inlineStr">
        <x:is>
          <x:t xml:space="preserve">WAIT FOR PRICE</x:t>
        </x:is>
      </x:c>
      <x:c r="N410" s="160" t="inlineStr">
        <x:is>
          <x:t xml:space="preserve">R-SURV-01</x:t>
        </x:is>
      </x:c>
      <x:c r="O410" s="160" t="inlineStr">
        <x:is>
          <x:t xml:space="preserve">COUNTER-EVIDENCE</x:t>
        </x:is>
      </x:c>
      <x:c r="P410" s="160" t="inlineStr">
        <x:is>
          <x:t xml:space="preserve">ROBUST</x:t>
        </x:is>
      </x:c>
      <x:c r="Q410" s="160" t="inlineStr">
        <x:is>
          <x:t xml:space="preserve">The mature simulation rule catches the stress without weakening a fatal gate; no rule relaxation is justified.</x:t>
        </x:is>
      </x:c>
      <x:c r="R410" s="160" t="inlineStr">
        <x:is>
          <x:t xml:space="preserve">Run a company-specific survival bridge under a severe-but-plausible bear case before any upside underwriting.</x:t>
        </x:is>
      </x:c>
      <x:c r="S410" s="160" t="inlineStr">
        <x:is>
          <x:t xml:space="preserve">NO</x:t>
        </x:is>
      </x:c>
      <x:c r="T410" s="160" t="inlineStr">
        <x:is>
          <x:t xml:space="preserve">COUNTER-EVIDENCE</x:t>
        </x:is>
      </x:c>
      <x:c r="U410" s="160" t="inlineStr">
        <x:is>
          <x:t xml:space="preserve">V10.5-SIM55</x:t>
        </x:is>
      </x:c>
      <x:c r="V410" s="160" t="inlineStr">
        <x:is>
          <x:t xml:space="preserve">https://investors.sensient.com</x:t>
        </x:is>
      </x:c>
      <x:c r="W410" s="160" t="inlineStr">
        <x:is>
          <x:t xml:space="preserve">NO</x:t>
        </x:is>
      </x:c>
      <x:c r="X410" s="160" t="inlineStr">
        <x:is>
          <x:t xml:space="preserve">NONE — DEVELOPMENT ONLY</x:t>
        </x:is>
      </x:c>
      <x:c r="Y410" s="160" t="inlineStr">
        <x:is>
          <x:t xml:space="preserve">Synthetic/adversarial model-development loop. No historical outcome is claimed; no accuracy point is awarded.</x:t>
        </x:is>
      </x:c>
    </x:row>
    <x:row r="411">
      <x:c r="A411" s="160" t="inlineStr">
        <x:is>
          <x:t xml:space="preserve">ML0406</x:t>
        </x:is>
      </x:c>
      <x:c r="B411" s="160" t="inlineStr">
        <x:is>
          <x:t xml:space="preserve">ARG-026</x:t>
        </x:is>
      </x:c>
      <x:c r="C411" s="160" t="inlineStr">
        <x:is>
          <x:t xml:space="preserve">Sensient Technologies</x:t>
        </x:is>
      </x:c>
      <x:c r="D411" s="160" t="inlineStr">
        <x:is>
          <x:t xml:space="preserve">SXT</x:t>
        </x:is>
      </x:c>
      <x:c r="E411" s="160" t="inlineStr">
        <x:is>
          <x:t xml:space="preserve">Specialty Ingredients</x:t>
        </x:is>
      </x:c>
      <x:c r="F411" s="160" t="inlineStr">
        <x:is>
          <x:t xml:space="preserve">Development</x:t>
        </x:is>
      </x:c>
      <x:c r="G411" s="160" t="inlineStr">
        <x:is>
          <x:t xml:space="preserve">S06</x:t>
        </x:is>
      </x:c>
      <x:c r="H411" s="160" t="inlineStr">
        <x:is>
          <x:t xml:space="preserve">Margin of Safety</x:t>
        </x:is>
      </x:c>
      <x:c r="I411" s="160" t="inlineStr">
        <x:is>
          <x:t xml:space="preserve">Margin of Safety</x:t>
        </x:is>
      </x:c>
      <x:c r="J411" s="160" t="inlineStr">
        <x:is>
          <x:t xml:space="preserve">Business quality is high but the price embeds a fragile bull case.</x:t>
        </x:is>
      </x:c>
      <x:c r="K411" s="160" t="inlineStr">
        <x:is>
          <x:t xml:space="preserve">Innovation and formulation sales × mix/margin</x:t>
        </x:is>
      </x:c>
      <x:c r="L411" s="160" t="inlineStr">
        <x:is>
          <x:t xml:space="preserve">Normalized FCF</x:t>
        </x:is>
      </x:c>
      <x:c r="M411" s="160" t="inlineStr">
        <x:is>
          <x:t xml:space="preserve">WAIT FOR PRICE</x:t>
        </x:is>
      </x:c>
      <x:c r="N411" s="160" t="inlineStr">
        <x:is>
          <x:t xml:space="preserve">R-MOS-01</x:t>
        </x:is>
      </x:c>
      <x:c r="O411" s="160" t="inlineStr">
        <x:is>
          <x:t xml:space="preserve">COUNTER-EVIDENCE</x:t>
        </x:is>
      </x:c>
      <x:c r="P411" s="160" t="inlineStr">
        <x:is>
          <x:t xml:space="preserve">ROBUST</x:t>
        </x:is>
      </x:c>
      <x:c r="Q411" s="160" t="inlineStr">
        <x:is>
          <x:t xml:space="preserve">The mature simulation rule catches the stress without weakening a fatal gate; no rule relaxation is justified.</x:t>
        </x:is>
      </x:c>
      <x:c r="R411" s="160" t="inlineStr">
        <x:is>
          <x:t xml:space="preserve">Separate business-quality score from price decision; require reverse valuation and bear/base/bull IV ranges.</x:t>
        </x:is>
      </x:c>
      <x:c r="S411" s="160" t="inlineStr">
        <x:is>
          <x:t xml:space="preserve">NO</x:t>
        </x:is>
      </x:c>
      <x:c r="T411" s="160" t="inlineStr">
        <x:is>
          <x:t xml:space="preserve">COUNTER-EVIDENCE</x:t>
        </x:is>
      </x:c>
      <x:c r="U411" s="160" t="inlineStr">
        <x:is>
          <x:t xml:space="preserve">V10.5-SIM55</x:t>
        </x:is>
      </x:c>
      <x:c r="V411" s="160" t="inlineStr">
        <x:is>
          <x:t xml:space="preserve">https://investors.sensient.com</x:t>
        </x:is>
      </x:c>
      <x:c r="W411" s="160" t="inlineStr">
        <x:is>
          <x:t xml:space="preserve">NO</x:t>
        </x:is>
      </x:c>
      <x:c r="X411" s="160" t="inlineStr">
        <x:is>
          <x:t xml:space="preserve">NONE — DEVELOPMENT ONLY</x:t>
        </x:is>
      </x:c>
      <x:c r="Y411" s="160" t="inlineStr">
        <x:is>
          <x:t xml:space="preserve">Synthetic/adversarial model-development loop. No historical outcome is claimed; no accuracy point is awarded.</x:t>
        </x:is>
      </x:c>
    </x:row>
    <x:row r="412">
      <x:c r="A412" s="160" t="inlineStr">
        <x:is>
          <x:t xml:space="preserve">ML0407</x:t>
        </x:is>
      </x:c>
      <x:c r="B412" s="160" t="inlineStr">
        <x:is>
          <x:t xml:space="preserve">ARG-026</x:t>
        </x:is>
      </x:c>
      <x:c r="C412" s="160" t="inlineStr">
        <x:is>
          <x:t xml:space="preserve">Sensient Technologies</x:t>
        </x:is>
      </x:c>
      <x:c r="D412" s="160" t="inlineStr">
        <x:is>
          <x:t xml:space="preserve">SXT</x:t>
        </x:is>
      </x:c>
      <x:c r="E412" s="160" t="inlineStr">
        <x:is>
          <x:t xml:space="preserve">Specialty Ingredients</x:t>
        </x:is>
      </x:c>
      <x:c r="F412" s="160" t="inlineStr">
        <x:is>
          <x:t xml:space="preserve">Development</x:t>
        </x:is>
      </x:c>
      <x:c r="G412" s="160" t="inlineStr">
        <x:is>
          <x:t xml:space="preserve">S07</x:t>
        </x:is>
      </x:c>
      <x:c r="H412" s="160" t="inlineStr">
        <x:is>
          <x:t xml:space="preserve">Sector Shock</x:t>
        </x:is>
      </x:c>
      <x:c r="I412" s="160" t="inlineStr">
        <x:is>
          <x:t xml:space="preserve">Sector-specific</x:t>
        </x:is>
      </x:c>
      <x:c r="J412" s="160" t="inlineStr">
        <x:is>
          <x:t xml:space="preserve">Price/mix holds while customer destocking, volume softness, integration debt or formulation substitution weakens normalized FCF.</x:t>
        </x:is>
      </x:c>
      <x:c r="K412" s="160" t="inlineStr">
        <x:is>
          <x:t xml:space="preserve">Innovation and formulation sales × mix/margin</x:t>
        </x:is>
      </x:c>
      <x:c r="L412" s="160" t="inlineStr">
        <x:is>
          <x:t xml:space="preserve">Normalized FCF</x:t>
        </x:is>
      </x:c>
      <x:c r="M412" s="160" t="inlineStr">
        <x:is>
          <x:t xml:space="preserve">WAIT FOR PRICE</x:t>
        </x:is>
      </x:c>
      <x:c r="N412" s="160" t="inlineStr">
        <x:is>
          <x:t xml:space="preserve">R-SECTOR-SPECIALTY-INGREDIENTS</x:t>
        </x:is>
      </x:c>
      <x:c r="O412" s="160" t="inlineStr">
        <x:is>
          <x:t xml:space="preserve">HARDENED</x:t>
        </x:is>
      </x:c>
      <x:c r="P412" s="160" t="inlineStr">
        <x:is>
          <x:t xml:space="preserve">ROBUST WITH RESIDUAL</x:t>
        </x:is>
      </x:c>
      <x:c r="Q412" s="160" t="inlineStr">
        <x:is>
          <x:t xml:space="preserve">The hardened rule catches the stress. Residual risk is mainly evidence quality, threshold calibration or interaction with another gate.</x:t>
        </x:is>
      </x:c>
      <x:c r="R412" s="160" t="inlineStr">
        <x:is>
          <x:t xml:space="preserve">Add a sector-specific transmission map with leading operating sensors, not only market-price variables. Sector rule: Price/mix holds while customer destocking, volume softness, integration debt or formulation substitution weakens normalized FCF.</x:t>
        </x:is>
      </x:c>
      <x:c r="S412" s="160" t="inlineStr">
        <x:is>
          <x:t xml:space="preserve">NO</x:t>
        </x:is>
      </x:c>
      <x:c r="T412" s="160" t="inlineStr">
        <x:is>
          <x:t xml:space="preserve">HARDENED</x:t>
        </x:is>
      </x:c>
      <x:c r="U412" s="160" t="inlineStr">
        <x:is>
          <x:t xml:space="preserve">V10.5-SIM55</x:t>
        </x:is>
      </x:c>
      <x:c r="V412" s="160" t="inlineStr">
        <x:is>
          <x:t xml:space="preserve">https://investors.sensient.com</x:t>
        </x:is>
      </x:c>
      <x:c r="W412" s="160" t="inlineStr">
        <x:is>
          <x:t xml:space="preserve">NO</x:t>
        </x:is>
      </x:c>
      <x:c r="X412" s="160" t="inlineStr">
        <x:is>
          <x:t xml:space="preserve">NONE — DEVELOPMENT ONLY</x:t>
        </x:is>
      </x:c>
      <x:c r="Y412" s="160" t="inlineStr">
        <x:is>
          <x:t xml:space="preserve">Synthetic/adversarial model-development loop. No historical outcome is claimed; no accuracy point is awarded.</x:t>
        </x:is>
      </x:c>
    </x:row>
    <x:row r="413">
      <x:c r="A413" s="160" t="inlineStr">
        <x:is>
          <x:t xml:space="preserve">ML0408</x:t>
        </x:is>
      </x:c>
      <x:c r="B413" s="160" t="inlineStr">
        <x:is>
          <x:t xml:space="preserve">ARG-026</x:t>
        </x:is>
      </x:c>
      <x:c r="C413" s="160" t="inlineStr">
        <x:is>
          <x:t xml:space="preserve">Sensient Technologies</x:t>
        </x:is>
      </x:c>
      <x:c r="D413" s="160" t="inlineStr">
        <x:is>
          <x:t xml:space="preserve">SXT</x:t>
        </x:is>
      </x:c>
      <x:c r="E413" s="160" t="inlineStr">
        <x:is>
          <x:t xml:space="preserve">Specialty Ingredients</x:t>
        </x:is>
      </x:c>
      <x:c r="F413" s="160" t="inlineStr">
        <x:is>
          <x:t xml:space="preserve">Development</x:t>
        </x:is>
      </x:c>
      <x:c r="G413" s="160" t="inlineStr">
        <x:is>
          <x:t xml:space="preserve">S08</x:t>
        </x:is>
      </x:c>
      <x:c r="H413" s="160" t="inlineStr">
        <x:is>
          <x:t xml:space="preserve">Management Promise Reliability</x:t>
        </x:is>
      </x:c>
      <x:c r="I413" s="160" t="inlineStr">
        <x:is>
          <x:t xml:space="preserve">Management over-trust</x:t>
        </x:is>
      </x:c>
      <x:c r="J413" s="160" t="inlineStr">
        <x:is>
          <x:t xml:space="preserve">Guidance or strategic promises are repeated but the model lacks a contemporaneous reliability score.</x:t>
        </x:is>
      </x:c>
      <x:c r="K413" s="160" t="inlineStr">
        <x:is>
          <x:t xml:space="preserve">Innovation and formulation sales × mix/margin</x:t>
        </x:is>
      </x:c>
      <x:c r="L413" s="160" t="inlineStr">
        <x:is>
          <x:t xml:space="preserve">Normalized FCF</x:t>
        </x:is>
      </x:c>
      <x:c r="M413" s="160" t="inlineStr">
        <x:is>
          <x:t xml:space="preserve">WAIT FOR PRICE</x:t>
        </x:is>
      </x:c>
      <x:c r="N413" s="160" t="inlineStr">
        <x:is>
          <x:t xml:space="preserve">R-PROM-01</x:t>
        </x:is>
      </x:c>
      <x:c r="O413" s="160" t="inlineStr">
        <x:is>
          <x:t xml:space="preserve">COUNTER-EVIDENCE</x:t>
        </x:is>
      </x:c>
      <x:c r="P413" s="160" t="inlineStr">
        <x:is>
          <x:t xml:space="preserve">ROBUST</x:t>
        </x:is>
      </x:c>
      <x:c r="Q413" s="160" t="inlineStr">
        <x:is>
          <x:t xml:space="preserve">The mature simulation rule catches the stress without weakening a fatal gate; no rule relaxation is justified.</x:t>
        </x:is>
      </x:c>
      <x:c r="R413" s="160" t="inlineStr">
        <x:is>
          <x:t xml:space="preserve">Use a promises ledger with dated promise, measurable deliverable, due date, outcome and credibility weight.</x:t>
        </x:is>
      </x:c>
      <x:c r="S413" s="160" t="inlineStr">
        <x:is>
          <x:t xml:space="preserve">NO</x:t>
        </x:is>
      </x:c>
      <x:c r="T413" s="160" t="inlineStr">
        <x:is>
          <x:t xml:space="preserve">COUNTER-EVIDENCE</x:t>
        </x:is>
      </x:c>
      <x:c r="U413" s="160" t="inlineStr">
        <x:is>
          <x:t xml:space="preserve">V10.5-SIM55</x:t>
        </x:is>
      </x:c>
      <x:c r="V413" s="160" t="inlineStr">
        <x:is>
          <x:t xml:space="preserve">https://investors.sensient.com</x:t>
        </x:is>
      </x:c>
      <x:c r="W413" s="160" t="inlineStr">
        <x:is>
          <x:t xml:space="preserve">NO</x:t>
        </x:is>
      </x:c>
      <x:c r="X413" s="160" t="inlineStr">
        <x:is>
          <x:t xml:space="preserve">NONE — DEVELOPMENT ONLY</x:t>
        </x:is>
      </x:c>
      <x:c r="Y413" s="160" t="inlineStr">
        <x:is>
          <x:t xml:space="preserve">Synthetic/adversarial model-development loop. No historical outcome is claimed; no accuracy point is awarded.</x:t>
        </x:is>
      </x:c>
    </x:row>
    <x:row r="414">
      <x:c r="A414" s="160" t="inlineStr">
        <x:is>
          <x:t xml:space="preserve">ML0409</x:t>
        </x:is>
      </x:c>
      <x:c r="B414" s="160" t="inlineStr">
        <x:is>
          <x:t xml:space="preserve">ARG-026</x:t>
        </x:is>
      </x:c>
      <x:c r="C414" s="160" t="inlineStr">
        <x:is>
          <x:t xml:space="preserve">Sensient Technologies</x:t>
        </x:is>
      </x:c>
      <x:c r="D414" s="160" t="inlineStr">
        <x:is>
          <x:t xml:space="preserve">SXT</x:t>
        </x:is>
      </x:c>
      <x:c r="E414" s="160" t="inlineStr">
        <x:is>
          <x:t xml:space="preserve">Specialty Ingredients</x:t>
        </x:is>
      </x:c>
      <x:c r="F414" s="160" t="inlineStr">
        <x:is>
          <x:t xml:space="preserve">Development</x:t>
        </x:is>
      </x:c>
      <x:c r="G414" s="160" t="inlineStr">
        <x:is>
          <x:t xml:space="preserve">S09</x:t>
        </x:is>
      </x:c>
      <x:c r="H414" s="160" t="inlineStr">
        <x:is>
          <x:t xml:space="preserve">Data / Accounting Quality</x:t>
        </x:is>
      </x:c>
      <x:c r="I414" s="160" t="inlineStr">
        <x:is>
          <x:t xml:space="preserve">Data quality</x:t>
        </x:is>
      </x:c>
      <x:c r="J414" s="160" t="inlineStr">
        <x:is>
          <x:t xml:space="preserve">Restatement, segment reclassification, one-time item or non-economic fair-value movement distorts the apparent trend.</x:t>
        </x:is>
      </x:c>
      <x:c r="K414" s="160" t="inlineStr">
        <x:is>
          <x:t xml:space="preserve">Innovation and formulation sales × mix/margin</x:t>
        </x:is>
      </x:c>
      <x:c r="L414" s="160" t="inlineStr">
        <x:is>
          <x:t xml:space="preserve">Normalized FCF</x:t>
        </x:is>
      </x:c>
      <x:c r="M414" s="160" t="inlineStr">
        <x:is>
          <x:t xml:space="preserve">WAIT FOR PRICE</x:t>
        </x:is>
      </x:c>
      <x:c r="N414" s="160" t="inlineStr">
        <x:is>
          <x:t xml:space="preserve">R-DATA-01</x:t>
        </x:is>
      </x:c>
      <x:c r="O414" s="160" t="inlineStr">
        <x:is>
          <x:t xml:space="preserve">COUNTER-EVIDENCE</x:t>
        </x:is>
      </x:c>
      <x:c r="P414" s="160" t="inlineStr">
        <x:is>
          <x:t xml:space="preserve">ROBUST</x:t>
        </x:is>
      </x:c>
      <x:c r="Q414" s="160" t="inlineStr">
        <x:is>
          <x:t xml:space="preserve">The mature simulation rule catches the stress without weakening a fatal gate; no rule relaxation is justified.</x:t>
        </x:is>
      </x:c>
      <x:c r="R414" s="160" t="inlineStr">
        <x:is>
          <x:t xml:space="preserve">Add a reporting-quality bridge and normalize accounting noise before any gate can pass.</x:t>
        </x:is>
      </x:c>
      <x:c r="S414" s="160" t="inlineStr">
        <x:is>
          <x:t xml:space="preserve">NO</x:t>
        </x:is>
      </x:c>
      <x:c r="T414" s="160" t="inlineStr">
        <x:is>
          <x:t xml:space="preserve">COUNTER-EVIDENCE</x:t>
        </x:is>
      </x:c>
      <x:c r="U414" s="160" t="inlineStr">
        <x:is>
          <x:t xml:space="preserve">V10.5-SIM55</x:t>
        </x:is>
      </x:c>
      <x:c r="V414" s="160" t="inlineStr">
        <x:is>
          <x:t xml:space="preserve">https://investors.sensient.com</x:t>
        </x:is>
      </x:c>
      <x:c r="W414" s="160" t="inlineStr">
        <x:is>
          <x:t xml:space="preserve">NO</x:t>
        </x:is>
      </x:c>
      <x:c r="X414" s="160" t="inlineStr">
        <x:is>
          <x:t xml:space="preserve">NONE — DEVELOPMENT ONLY</x:t>
        </x:is>
      </x:c>
      <x:c r="Y414" s="160" t="inlineStr">
        <x:is>
          <x:t xml:space="preserve">Synthetic/adversarial model-development loop. No historical outcome is claimed; no accuracy point is awarded.</x:t>
        </x:is>
      </x:c>
    </x:row>
    <x:row r="415">
      <x:c r="A415" s="160" t="inlineStr">
        <x:is>
          <x:t xml:space="preserve">ML0410</x:t>
        </x:is>
      </x:c>
      <x:c r="B415" s="160" t="inlineStr">
        <x:is>
          <x:t xml:space="preserve">ARG-026</x:t>
        </x:is>
      </x:c>
      <x:c r="C415" s="160" t="inlineStr">
        <x:is>
          <x:t xml:space="preserve">Sensient Technologies</x:t>
        </x:is>
      </x:c>
      <x:c r="D415" s="160" t="inlineStr">
        <x:is>
          <x:t xml:space="preserve">SXT</x:t>
        </x:is>
      </x:c>
      <x:c r="E415" s="160" t="inlineStr">
        <x:is>
          <x:t xml:space="preserve">Specialty Ingredients</x:t>
        </x:is>
      </x:c>
      <x:c r="F415" s="160" t="inlineStr">
        <x:is>
          <x:t xml:space="preserve">Development</x:t>
        </x:is>
      </x:c>
      <x:c r="G415" s="160" t="inlineStr">
        <x:is>
          <x:t xml:space="preserve">S10</x:t>
        </x:is>
      </x:c>
      <x:c r="H415" s="160" t="inlineStr">
        <x:is>
          <x:t xml:space="preserve">Control / Counterfactual</x:t>
        </x:is>
      </x:c>
      <x:c r="I415" s="160" t="inlineStr">
        <x:is>
          <x:t xml:space="preserve">Sector beta vs company alpha</x:t>
        </x:is>
      </x:c>
      <x:c r="J415" s="160" t="inlineStr">
        <x:is>
          <x:t xml:space="preserve">A positive outcome is mostly sector beta or macro tailwind, not company-specific alpha.</x:t>
        </x:is>
      </x:c>
      <x:c r="K415" s="160" t="inlineStr">
        <x:is>
          <x:t xml:space="preserve">Innovation and formulation sales × mix/margin</x:t>
        </x:is>
      </x:c>
      <x:c r="L415" s="160" t="inlineStr">
        <x:is>
          <x:t xml:space="preserve">Normalized FCF</x:t>
        </x:is>
      </x:c>
      <x:c r="M415" s="160" t="inlineStr">
        <x:is>
          <x:t xml:space="preserve">WAIT FOR PRICE</x:t>
        </x:is>
      </x:c>
      <x:c r="N415" s="160" t="inlineStr">
        <x:is>
          <x:t xml:space="preserve">R-CF-01</x:t>
        </x:is>
      </x:c>
      <x:c r="O415" s="160" t="inlineStr">
        <x:is>
          <x:t xml:space="preserve">COUNTER-EVIDENCE</x:t>
        </x:is>
      </x:c>
      <x:c r="P415" s="160" t="inlineStr">
        <x:is>
          <x:t xml:space="preserve">ROBUST</x:t>
        </x:is>
      </x:c>
      <x:c r="Q415" s="160" t="inlineStr">
        <x:is>
          <x:t xml:space="preserve">The mature simulation rule catches the stress without weakening a fatal gate; no rule relaxation is justified.</x:t>
        </x:is>
      </x:c>
      <x:c r="R415" s="160" t="inlineStr">
        <x:is>
          <x:t xml:space="preserve">Require a true economic control and counterfactual: what should have happened to a comparable company under the same shock?</x:t>
        </x:is>
      </x:c>
      <x:c r="S415" s="160" t="inlineStr">
        <x:is>
          <x:t xml:space="preserve">NO</x:t>
        </x:is>
      </x:c>
      <x:c r="T415" s="160" t="inlineStr">
        <x:is>
          <x:t xml:space="preserve">COUNTER-EVIDENCE</x:t>
        </x:is>
      </x:c>
      <x:c r="U415" s="160" t="inlineStr">
        <x:is>
          <x:t xml:space="preserve">V10.5-SIM55</x:t>
        </x:is>
      </x:c>
      <x:c r="V415" s="160" t="inlineStr">
        <x:is>
          <x:t xml:space="preserve">https://investors.sensient.com</x:t>
        </x:is>
      </x:c>
      <x:c r="W415" s="160" t="inlineStr">
        <x:is>
          <x:t xml:space="preserve">NO</x:t>
        </x:is>
      </x:c>
      <x:c r="X415" s="160" t="inlineStr">
        <x:is>
          <x:t xml:space="preserve">NONE — DEVELOPMENT ONLY</x:t>
        </x:is>
      </x:c>
      <x:c r="Y415" s="160" t="inlineStr">
        <x:is>
          <x:t xml:space="preserve">Synthetic/adversarial model-development loop. No historical outcome is claimed; no accuracy point is awarded.</x:t>
        </x:is>
      </x:c>
    </x:row>
    <x:row r="416">
      <x:c r="A416" s="160" t="inlineStr">
        <x:is>
          <x:t xml:space="preserve">ML0411</x:t>
        </x:is>
      </x:c>
      <x:c r="B416" s="160" t="inlineStr">
        <x:is>
          <x:t xml:space="preserve">ARG-026</x:t>
        </x:is>
      </x:c>
      <x:c r="C416" s="160" t="inlineStr">
        <x:is>
          <x:t xml:space="preserve">Sensient Technologies</x:t>
        </x:is>
      </x:c>
      <x:c r="D416" s="160" t="inlineStr">
        <x:is>
          <x:t xml:space="preserve">SXT</x:t>
        </x:is>
      </x:c>
      <x:c r="E416" s="160" t="inlineStr">
        <x:is>
          <x:t xml:space="preserve">Specialty Ingredients</x:t>
        </x:is>
      </x:c>
      <x:c r="F416" s="160" t="inlineStr">
        <x:is>
          <x:t xml:space="preserve">Development</x:t>
        </x:is>
      </x:c>
      <x:c r="G416" s="160" t="inlineStr">
        <x:is>
          <x:t xml:space="preserve">S11</x:t>
        </x:is>
      </x:c>
      <x:c r="H416" s="160" t="inlineStr">
        <x:is>
          <x:t xml:space="preserve">False-Negative Discipline</x:t>
        </x:is>
      </x:c>
      <x:c r="I416" s="160" t="inlineStr">
        <x:is>
          <x:t xml:space="preserve">False negative</x:t>
        </x:is>
      </x:c>
      <x:c r="J416" s="160" t="inlineStr">
        <x:is>
          <x:t xml:space="preserve">A strict gate rejects a company that later compounds strongly for reasons the model could have known.</x:t>
        </x:is>
      </x:c>
      <x:c r="K416" s="160" t="inlineStr">
        <x:is>
          <x:t xml:space="preserve">Innovation and formulation sales × mix/margin</x:t>
        </x:is>
      </x:c>
      <x:c r="L416" s="160" t="inlineStr">
        <x:is>
          <x:t xml:space="preserve">Normalized FCF</x:t>
        </x:is>
      </x:c>
      <x:c r="M416" s="160" t="inlineStr">
        <x:is>
          <x:t xml:space="preserve">WAIT FOR PRICE</x:t>
        </x:is>
      </x:c>
      <x:c r="N416" s="160" t="inlineStr">
        <x:is>
          <x:t xml:space="preserve">R-FN-01</x:t>
        </x:is>
      </x:c>
      <x:c r="O416" s="160" t="inlineStr">
        <x:is>
          <x:t xml:space="preserve">COUNTER-EVIDENCE</x:t>
        </x:is>
      </x:c>
      <x:c r="P416" s="160" t="inlineStr">
        <x:is>
          <x:t xml:space="preserve">ROBUST</x:t>
        </x:is>
      </x:c>
      <x:c r="Q416" s="160" t="inlineStr">
        <x:is>
          <x:t xml:space="preserve">The mature simulation rule catches the stress without weakening a fatal gate; no rule relaxation is justified.</x:t>
        </x:is>
      </x:c>
      <x:c r="R416" s="160" t="inlineStr">
        <x:is>
          <x:t xml:space="preserve">Track opportunity cost and classify whether the miss came from evidence timing, wrong threshold or genuinely unknowable upside.</x:t>
        </x:is>
      </x:c>
      <x:c r="S416" s="160" t="inlineStr">
        <x:is>
          <x:t xml:space="preserve">NO</x:t>
        </x:is>
      </x:c>
      <x:c r="T416" s="160" t="inlineStr">
        <x:is>
          <x:t xml:space="preserve">COUNTER-EVIDENCE</x:t>
        </x:is>
      </x:c>
      <x:c r="U416" s="160" t="inlineStr">
        <x:is>
          <x:t xml:space="preserve">V10.5-SIM55</x:t>
        </x:is>
      </x:c>
      <x:c r="V416" s="160" t="inlineStr">
        <x:is>
          <x:t xml:space="preserve">https://investors.sensient.com</x:t>
        </x:is>
      </x:c>
      <x:c r="W416" s="160" t="inlineStr">
        <x:is>
          <x:t xml:space="preserve">NO</x:t>
        </x:is>
      </x:c>
      <x:c r="X416" s="160" t="inlineStr">
        <x:is>
          <x:t xml:space="preserve">NONE — DEVELOPMENT ONLY</x:t>
        </x:is>
      </x:c>
      <x:c r="Y416" s="160" t="inlineStr">
        <x:is>
          <x:t xml:space="preserve">Synthetic/adversarial model-development loop. No historical outcome is claimed; no accuracy point is awarded.</x:t>
        </x:is>
      </x:c>
    </x:row>
    <x:row r="417">
      <x:c r="A417" s="160" t="inlineStr">
        <x:is>
          <x:t xml:space="preserve">ML0412</x:t>
        </x:is>
      </x:c>
      <x:c r="B417" s="160" t="inlineStr">
        <x:is>
          <x:t xml:space="preserve">ARG-026</x:t>
        </x:is>
      </x:c>
      <x:c r="C417" s="160" t="inlineStr">
        <x:is>
          <x:t xml:space="preserve">Sensient Technologies</x:t>
        </x:is>
      </x:c>
      <x:c r="D417" s="160" t="inlineStr">
        <x:is>
          <x:t xml:space="preserve">SXT</x:t>
        </x:is>
      </x:c>
      <x:c r="E417" s="160" t="inlineStr">
        <x:is>
          <x:t xml:space="preserve">Specialty Ingredients</x:t>
        </x:is>
      </x:c>
      <x:c r="F417" s="160" t="inlineStr">
        <x:is>
          <x:t xml:space="preserve">Development</x:t>
        </x:is>
      </x:c>
      <x:c r="G417" s="160" t="inlineStr">
        <x:is>
          <x:t xml:space="preserve">S12</x:t>
        </x:is>
      </x:c>
      <x:c r="H417" s="160" t="inlineStr">
        <x:is>
          <x:t xml:space="preserve">Lead-Time / Early Sensor</x:t>
        </x:is>
      </x:c>
      <x:c r="I417" s="160" t="inlineStr">
        <x:is>
          <x:t xml:space="preserve">Timing / lead-time</x:t>
        </x:is>
      </x:c>
      <x:c r="J417" s="160" t="inlineStr">
        <x:is>
          <x:t xml:space="preserve">ARGUS identifies the change correctly but only after consensus and price have already reacted.</x:t>
        </x:is>
      </x:c>
      <x:c r="K417" s="160" t="inlineStr">
        <x:is>
          <x:t xml:space="preserve">Innovation and formulation sales × mix/margin</x:t>
        </x:is>
      </x:c>
      <x:c r="L417" s="160" t="inlineStr">
        <x:is>
          <x:t xml:space="preserve">Normalized FCF</x:t>
        </x:is>
      </x:c>
      <x:c r="M417" s="160" t="inlineStr">
        <x:is>
          <x:t xml:space="preserve">WAIT FOR PRICE</x:t>
        </x:is>
      </x:c>
      <x:c r="N417" s="160" t="inlineStr">
        <x:is>
          <x:t xml:space="preserve">R-TIME-01</x:t>
        </x:is>
      </x:c>
      <x:c r="O417" s="160" t="inlineStr">
        <x:is>
          <x:t xml:space="preserve">COUNTER-EVIDENCE</x:t>
        </x:is>
      </x:c>
      <x:c r="P417" s="160" t="inlineStr">
        <x:is>
          <x:t xml:space="preserve">ROBUST</x:t>
        </x:is>
      </x:c>
      <x:c r="Q417" s="160" t="inlineStr">
        <x:is>
          <x:t xml:space="preserve">The mature simulation rule catches the stress without weakening a fatal gate; no rule relaxation is justified.</x:t>
        </x:is>
      </x:c>
      <x:c r="R417" s="160" t="inlineStr">
        <x:is>
          <x:t xml:space="preserve">Replace lagging financial metrics with earlier causal operating sensors and record lead time separately from correctness.</x:t>
        </x:is>
      </x:c>
      <x:c r="S417" s="160" t="inlineStr">
        <x:is>
          <x:t xml:space="preserve">NO</x:t>
        </x:is>
      </x:c>
      <x:c r="T417" s="160" t="inlineStr">
        <x:is>
          <x:t xml:space="preserve">COUNTER-EVIDENCE</x:t>
        </x:is>
      </x:c>
      <x:c r="U417" s="160" t="inlineStr">
        <x:is>
          <x:t xml:space="preserve">V10.5-SIM55</x:t>
        </x:is>
      </x:c>
      <x:c r="V417" s="160" t="inlineStr">
        <x:is>
          <x:t xml:space="preserve">https://investors.sensient.com</x:t>
        </x:is>
      </x:c>
      <x:c r="W417" s="160" t="inlineStr">
        <x:is>
          <x:t xml:space="preserve">NO</x:t>
        </x:is>
      </x:c>
      <x:c r="X417" s="160" t="inlineStr">
        <x:is>
          <x:t xml:space="preserve">NONE — DEVELOPMENT ONLY</x:t>
        </x:is>
      </x:c>
      <x:c r="Y417" s="160" t="inlineStr">
        <x:is>
          <x:t xml:space="preserve">Synthetic/adversarial model-development loop. No historical outcome is claimed; no accuracy point is awarded.</x:t>
        </x:is>
      </x:c>
    </x:row>
    <x:row r="418">
      <x:c r="A418" s="160" t="inlineStr">
        <x:is>
          <x:t xml:space="preserve">ML0413</x:t>
        </x:is>
      </x:c>
      <x:c r="B418" s="160" t="inlineStr">
        <x:is>
          <x:t xml:space="preserve">ARG-026</x:t>
        </x:is>
      </x:c>
      <x:c r="C418" s="160" t="inlineStr">
        <x:is>
          <x:t xml:space="preserve">Sensient Technologies</x:t>
        </x:is>
      </x:c>
      <x:c r="D418" s="160" t="inlineStr">
        <x:is>
          <x:t xml:space="preserve">SXT</x:t>
        </x:is>
      </x:c>
      <x:c r="E418" s="160" t="inlineStr">
        <x:is>
          <x:t xml:space="preserve">Specialty Ingredients</x:t>
        </x:is>
      </x:c>
      <x:c r="F418" s="160" t="inlineStr">
        <x:is>
          <x:t xml:space="preserve">Development</x:t>
        </x:is>
      </x:c>
      <x:c r="G418" s="160" t="inlineStr">
        <x:is>
          <x:t xml:space="preserve">S13</x:t>
        </x:is>
      </x:c>
      <x:c r="H418" s="160" t="inlineStr">
        <x:is>
          <x:t xml:space="preserve">Cycle Normalization</x:t>
        </x:is>
      </x:c>
      <x:c r="I418" s="160" t="inlineStr">
        <x:is>
          <x:t xml:space="preserve">Wrong valuation lens</x:t>
        </x:is>
      </x:c>
      <x:c r="J418" s="160" t="inlineStr">
        <x:is>
          <x:t xml:space="preserve">Peak/trough earnings are mistaken for normalized earning power.</x:t>
        </x:is>
      </x:c>
      <x:c r="K418" s="160" t="inlineStr">
        <x:is>
          <x:t xml:space="preserve">Innovation and formulation sales × mix/margin</x:t>
        </x:is>
      </x:c>
      <x:c r="L418" s="160" t="inlineStr">
        <x:is>
          <x:t xml:space="preserve">Normalized FCF</x:t>
        </x:is>
      </x:c>
      <x:c r="M418" s="160" t="inlineStr">
        <x:is>
          <x:t xml:space="preserve">WAIT FOR PRICE</x:t>
        </x:is>
      </x:c>
      <x:c r="N418" s="160" t="inlineStr">
        <x:is>
          <x:t xml:space="preserve">R-CYCLE-01</x:t>
        </x:is>
      </x:c>
      <x:c r="O418" s="160" t="inlineStr">
        <x:is>
          <x:t xml:space="preserve">COUNTER-EVIDENCE</x:t>
        </x:is>
      </x:c>
      <x:c r="P418" s="160" t="inlineStr">
        <x:is>
          <x:t xml:space="preserve">ROBUST</x:t>
        </x:is>
      </x:c>
      <x:c r="Q418" s="160" t="inlineStr">
        <x:is>
          <x:t xml:space="preserve">The mature simulation rule catches the stress without weakening a fatal gate; no rule relaxation is justified.</x:t>
        </x:is>
      </x:c>
      <x:c r="R418" s="160" t="inlineStr">
        <x:is>
          <x:t xml:space="preserve">Use sector-specific mid-cycle/NAV/rate-base/rNPV normalization before applying a valuation multiple.</x:t>
        </x:is>
      </x:c>
      <x:c r="S418" s="160" t="inlineStr">
        <x:is>
          <x:t xml:space="preserve">NO</x:t>
        </x:is>
      </x:c>
      <x:c r="T418" s="160" t="inlineStr">
        <x:is>
          <x:t xml:space="preserve">COUNTER-EVIDENCE</x:t>
        </x:is>
      </x:c>
      <x:c r="U418" s="160" t="inlineStr">
        <x:is>
          <x:t xml:space="preserve">V10.5-SIM55</x:t>
        </x:is>
      </x:c>
      <x:c r="V418" s="160" t="inlineStr">
        <x:is>
          <x:t xml:space="preserve">https://investors.sensient.com</x:t>
        </x:is>
      </x:c>
      <x:c r="W418" s="160" t="inlineStr">
        <x:is>
          <x:t xml:space="preserve">NO</x:t>
        </x:is>
      </x:c>
      <x:c r="X418" s="160" t="inlineStr">
        <x:is>
          <x:t xml:space="preserve">NONE — DEVELOPMENT ONLY</x:t>
        </x:is>
      </x:c>
      <x:c r="Y418" s="160" t="inlineStr">
        <x:is>
          <x:t xml:space="preserve">Synthetic/adversarial model-development loop. No historical outcome is claimed; no accuracy point is awarded.</x:t>
        </x:is>
      </x:c>
    </x:row>
    <x:row r="419">
      <x:c r="A419" s="160" t="inlineStr">
        <x:is>
          <x:t xml:space="preserve">ML0414</x:t>
        </x:is>
      </x:c>
      <x:c r="B419" s="160" t="inlineStr">
        <x:is>
          <x:t xml:space="preserve">ARG-026</x:t>
        </x:is>
      </x:c>
      <x:c r="C419" s="160" t="inlineStr">
        <x:is>
          <x:t xml:space="preserve">Sensient Technologies</x:t>
        </x:is>
      </x:c>
      <x:c r="D419" s="160" t="inlineStr">
        <x:is>
          <x:t xml:space="preserve">SXT</x:t>
        </x:is>
      </x:c>
      <x:c r="E419" s="160" t="inlineStr">
        <x:is>
          <x:t xml:space="preserve">Specialty Ingredients</x:t>
        </x:is>
      </x:c>
      <x:c r="F419" s="160" t="inlineStr">
        <x:is>
          <x:t xml:space="preserve">Development</x:t>
        </x:is>
      </x:c>
      <x:c r="G419" s="160" t="inlineStr">
        <x:is>
          <x:t xml:space="preserve">S14</x:t>
        </x:is>
      </x:c>
      <x:c r="H419" s="160" t="inlineStr">
        <x:is>
          <x:t xml:space="preserve">M&amp;A / Organic Growth Separation</x:t>
        </x:is>
      </x:c>
      <x:c r="I419" s="160" t="inlineStr">
        <x:is>
          <x:t xml:space="preserve">Stewardship</x:t>
        </x:is>
      </x:c>
      <x:c r="J419" s="160" t="inlineStr">
        <x:is>
          <x:t xml:space="preserve">Acquisition-driven growth masks weak organic economics or poor incremental ROIC.</x:t>
        </x:is>
      </x:c>
      <x:c r="K419" s="160" t="inlineStr">
        <x:is>
          <x:t xml:space="preserve">Innovation and formulation sales × mix/margin</x:t>
        </x:is>
      </x:c>
      <x:c r="L419" s="160" t="inlineStr">
        <x:is>
          <x:t xml:space="preserve">Normalized FCF</x:t>
        </x:is>
      </x:c>
      <x:c r="M419" s="160" t="inlineStr">
        <x:is>
          <x:t xml:space="preserve">WAIT FOR PRICE</x:t>
        </x:is>
      </x:c>
      <x:c r="N419" s="160" t="inlineStr">
        <x:is>
          <x:t xml:space="preserve">R-MA-01</x:t>
        </x:is>
      </x:c>
      <x:c r="O419" s="160" t="inlineStr">
        <x:is>
          <x:t xml:space="preserve">COUNTER-EVIDENCE</x:t>
        </x:is>
      </x:c>
      <x:c r="P419" s="160" t="inlineStr">
        <x:is>
          <x:t xml:space="preserve">ROBUST</x:t>
        </x:is>
      </x:c>
      <x:c r="Q419" s="160" t="inlineStr">
        <x:is>
          <x:t xml:space="preserve">The mature simulation rule catches the stress without weakening a fatal gate; no rule relaxation is justified.</x:t>
        </x:is>
      </x:c>
      <x:c r="R419" s="160" t="inlineStr">
        <x:is>
          <x:t xml:space="preserve">Bridge organic growth, acquired growth, purchase price, integration costs and acquisition-cohort ROIC.</x:t>
        </x:is>
      </x:c>
      <x:c r="S419" s="160" t="inlineStr">
        <x:is>
          <x:t xml:space="preserve">NO</x:t>
        </x:is>
      </x:c>
      <x:c r="T419" s="160" t="inlineStr">
        <x:is>
          <x:t xml:space="preserve">COUNTER-EVIDENCE</x:t>
        </x:is>
      </x:c>
      <x:c r="U419" s="160" t="inlineStr">
        <x:is>
          <x:t xml:space="preserve">V10.5-SIM55</x:t>
        </x:is>
      </x:c>
      <x:c r="V419" s="160" t="inlineStr">
        <x:is>
          <x:t xml:space="preserve">https://investors.sensient.com</x:t>
        </x:is>
      </x:c>
      <x:c r="W419" s="160" t="inlineStr">
        <x:is>
          <x:t xml:space="preserve">NO</x:t>
        </x:is>
      </x:c>
      <x:c r="X419" s="160" t="inlineStr">
        <x:is>
          <x:t xml:space="preserve">NONE — DEVELOPMENT ONLY</x:t>
        </x:is>
      </x:c>
      <x:c r="Y419" s="160" t="inlineStr">
        <x:is>
          <x:t xml:space="preserve">Synthetic/adversarial model-development loop. No historical outcome is claimed; no accuracy point is awarded.</x:t>
        </x:is>
      </x:c>
    </x:row>
    <x:row r="420">
      <x:c r="A420" s="160" t="inlineStr">
        <x:is>
          <x:t xml:space="preserve">ML0415</x:t>
        </x:is>
      </x:c>
      <x:c r="B420" s="160" t="inlineStr">
        <x:is>
          <x:t xml:space="preserve">ARG-026</x:t>
        </x:is>
      </x:c>
      <x:c r="C420" s="160" t="inlineStr">
        <x:is>
          <x:t xml:space="preserve">Sensient Technologies</x:t>
        </x:is>
      </x:c>
      <x:c r="D420" s="160" t="inlineStr">
        <x:is>
          <x:t xml:space="preserve">SXT</x:t>
        </x:is>
      </x:c>
      <x:c r="E420" s="160" t="inlineStr">
        <x:is>
          <x:t xml:space="preserve">Specialty Ingredients</x:t>
        </x:is>
      </x:c>
      <x:c r="F420" s="160" t="inlineStr">
        <x:is>
          <x:t xml:space="preserve">Development</x:t>
        </x:is>
      </x:c>
      <x:c r="G420" s="160" t="inlineStr">
        <x:is>
          <x:t xml:space="preserve">S15</x:t>
        </x:is>
      </x:c>
      <x:c r="H420" s="160" t="inlineStr">
        <x:is>
          <x:t xml:space="preserve">Financing / Dilution Per Share</x:t>
        </x:is>
      </x:c>
      <x:c r="I420" s="160" t="inlineStr">
        <x:is>
          <x:t xml:space="preserve">Stewardship</x:t>
        </x:is>
      </x:c>
      <x:c r="J420" s="160" t="inlineStr">
        <x:is>
          <x:t xml:space="preserve">Cash balance or revenue growth improves while financing causes material per-share value leakage.</x:t>
        </x:is>
      </x:c>
      <x:c r="K420" s="160" t="inlineStr">
        <x:is>
          <x:t xml:space="preserve">Innovation and formulation sales × mix/margin</x:t>
        </x:is>
      </x:c>
      <x:c r="L420" s="160" t="inlineStr">
        <x:is>
          <x:t xml:space="preserve">Normalized FCF</x:t>
        </x:is>
      </x:c>
      <x:c r="M420" s="160" t="inlineStr">
        <x:is>
          <x:t xml:space="preserve">WAIT FOR PRICE</x:t>
        </x:is>
      </x:c>
      <x:c r="N420" s="160" t="inlineStr">
        <x:is>
          <x:t xml:space="preserve">R-DIL-01</x:t>
        </x:is>
      </x:c>
      <x:c r="O420" s="160" t="inlineStr">
        <x:is>
          <x:t xml:space="preserve">COUNTER-EVIDENCE</x:t>
        </x:is>
      </x:c>
      <x:c r="P420" s="160" t="inlineStr">
        <x:is>
          <x:t xml:space="preserve">ROBUST</x:t>
        </x:is>
      </x:c>
      <x:c r="Q420" s="160" t="inlineStr">
        <x:is>
          <x:t xml:space="preserve">The mature simulation rule catches the stress without weakening a fatal gate; no rule relaxation is justified.</x:t>
        </x:is>
      </x:c>
      <x:c r="R420" s="160" t="inlineStr">
        <x:is>
          <x:t xml:space="preserve">Reconcile share-count growth, SBC, equity issuance, buybacks and net cash changes to per-share intrinsic value.</x:t>
        </x:is>
      </x:c>
      <x:c r="S420" s="160" t="inlineStr">
        <x:is>
          <x:t xml:space="preserve">NO</x:t>
        </x:is>
      </x:c>
      <x:c r="T420" s="160" t="inlineStr">
        <x:is>
          <x:t xml:space="preserve">COUNTER-EVIDENCE</x:t>
        </x:is>
      </x:c>
      <x:c r="U420" s="160" t="inlineStr">
        <x:is>
          <x:t xml:space="preserve">V10.5-SIM55</x:t>
        </x:is>
      </x:c>
      <x:c r="V420" s="160" t="inlineStr">
        <x:is>
          <x:t xml:space="preserve">https://investors.sensient.com</x:t>
        </x:is>
      </x:c>
      <x:c r="W420" s="160" t="inlineStr">
        <x:is>
          <x:t xml:space="preserve">NO</x:t>
        </x:is>
      </x:c>
      <x:c r="X420" s="160" t="inlineStr">
        <x:is>
          <x:t xml:space="preserve">NONE — DEVELOPMENT ONLY</x:t>
        </x:is>
      </x:c>
      <x:c r="Y420" s="160" t="inlineStr">
        <x:is>
          <x:t xml:space="preserve">Synthetic/adversarial model-development loop. No historical outcome is claimed; no accuracy point is awarded.</x:t>
        </x:is>
      </x:c>
    </x:row>
    <x:row r="421">
      <x:c r="A421" s="160" t="inlineStr">
        <x:is>
          <x:t xml:space="preserve">ML0416</x:t>
        </x:is>
      </x:c>
      <x:c r="B421" s="160" t="inlineStr">
        <x:is>
          <x:t xml:space="preserve">ARG-026</x:t>
        </x:is>
      </x:c>
      <x:c r="C421" s="160" t="inlineStr">
        <x:is>
          <x:t xml:space="preserve">Sensient Technologies</x:t>
        </x:is>
      </x:c>
      <x:c r="D421" s="160" t="inlineStr">
        <x:is>
          <x:t xml:space="preserve">SXT</x:t>
        </x:is>
      </x:c>
      <x:c r="E421" s="160" t="inlineStr">
        <x:is>
          <x:t xml:space="preserve">Specialty Ingredients</x:t>
        </x:is>
      </x:c>
      <x:c r="F421" s="160" t="inlineStr">
        <x:is>
          <x:t xml:space="preserve">Development</x:t>
        </x:is>
      </x:c>
      <x:c r="G421" s="160" t="inlineStr">
        <x:is>
          <x:t xml:space="preserve">S16</x:t>
        </x:is>
      </x:c>
      <x:c r="H421" s="160" t="inlineStr">
        <x:is>
          <x:t xml:space="preserve">Concentration / Tail Risk</x:t>
        </x:is>
      </x:c>
      <x:c r="I421" s="160" t="inlineStr">
        <x:is>
          <x:t xml:space="preserve">Survival</x:t>
        </x:is>
      </x:c>
      <x:c r="J421" s="160" t="inlineStr">
        <x:is>
          <x:t xml:space="preserve">A concentrated supplier, geography, customer, product, patent, regulatory or technology dependency creates asymmetric permanent-loss risk.</x:t>
        </x:is>
      </x:c>
      <x:c r="K421" s="160" t="inlineStr">
        <x:is>
          <x:t xml:space="preserve">Innovation and formulation sales × mix/margin</x:t>
        </x:is>
      </x:c>
      <x:c r="L421" s="160" t="inlineStr">
        <x:is>
          <x:t xml:space="preserve">Normalized FCF</x:t>
        </x:is>
      </x:c>
      <x:c r="M421" s="160" t="inlineStr">
        <x:is>
          <x:t xml:space="preserve">WAIT FOR PRICE</x:t>
        </x:is>
      </x:c>
      <x:c r="N421" s="160" t="inlineStr">
        <x:is>
          <x:t xml:space="preserve">R-TAIL-01</x:t>
        </x:is>
      </x:c>
      <x:c r="O421" s="160" t="inlineStr">
        <x:is>
          <x:t xml:space="preserve">COUNTER-EVIDENCE</x:t>
        </x:is>
      </x:c>
      <x:c r="P421" s="160" t="inlineStr">
        <x:is>
          <x:t xml:space="preserve">ROBUST</x:t>
        </x:is>
      </x:c>
      <x:c r="Q421" s="160" t="inlineStr">
        <x:is>
          <x:t xml:space="preserve">The mature simulation rule catches the stress without weakening a fatal gate; no rule relaxation is justified.</x:t>
        </x:is>
      </x:c>
      <x:c r="R421" s="160" t="inlineStr">
        <x:is>
          <x:t xml:space="preserve">Maintain an explicit concentration/tail-risk register with probability, severity, mitigation and required margin-of-safety premium.</x:t>
        </x:is>
      </x:c>
      <x:c r="S421" s="160" t="inlineStr">
        <x:is>
          <x:t xml:space="preserve">NO</x:t>
        </x:is>
      </x:c>
      <x:c r="T421" s="160" t="inlineStr">
        <x:is>
          <x:t xml:space="preserve">COUNTER-EVIDENCE</x:t>
        </x:is>
      </x:c>
      <x:c r="U421" s="160" t="inlineStr">
        <x:is>
          <x:t xml:space="preserve">V10.5-SIM55</x:t>
        </x:is>
      </x:c>
      <x:c r="V421" s="160" t="inlineStr">
        <x:is>
          <x:t xml:space="preserve">https://investors.sensient.com</x:t>
        </x:is>
      </x:c>
      <x:c r="W421" s="160" t="inlineStr">
        <x:is>
          <x:t xml:space="preserve">NO</x:t>
        </x:is>
      </x:c>
      <x:c r="X421" s="160" t="inlineStr">
        <x:is>
          <x:t xml:space="preserve">NONE — DEVELOPMENT ONLY</x:t>
        </x:is>
      </x:c>
      <x:c r="Y421" s="160" t="inlineStr">
        <x:is>
          <x:t xml:space="preserve">Synthetic/adversarial model-development loop. No historical outcome is claimed; no accuracy point is awarded.</x:t>
        </x:is>
      </x:c>
    </x:row>
    <x:row r="422">
      <x:c r="A422" s="160" t="inlineStr">
        <x:is>
          <x:t xml:space="preserve">ML0417</x:t>
        </x:is>
      </x:c>
      <x:c r="B422" s="160" t="inlineStr">
        <x:is>
          <x:t xml:space="preserve">ARG-027</x:t>
        </x:is>
      </x:c>
      <x:c r="C422" s="160" t="inlineStr">
        <x:is>
          <x:t xml:space="preserve">Torpaz Industries</x:t>
        </x:is>
      </x:c>
      <x:c r="D422" s="160" t="inlineStr">
        <x:is>
          <x:t xml:space="preserve">TRPZ.TA</x:t>
        </x:is>
      </x:c>
      <x:c r="E422" s="160" t="inlineStr">
        <x:is>
          <x:t xml:space="preserve">Specialty Ingredients</x:t>
        </x:is>
      </x:c>
      <x:c r="F422" s="160" t="inlineStr">
        <x:is>
          <x:t xml:space="preserve">Development</x:t>
        </x:is>
      </x:c>
      <x:c r="G422" s="160" t="inlineStr">
        <x:is>
          <x:t xml:space="preserve">S01</x:t>
        </x:is>
      </x:c>
      <x:c r="H422" s="160" t="inlineStr">
        <x:is>
          <x:t xml:space="preserve">Understanding Gate</x:t>
        </x:is>
      </x:c>
      <x:c r="I422" s="160" t="inlineStr">
        <x:is>
          <x:t xml:space="preserve">Understanding</x:t>
        </x:is>
      </x:c>
      <x:c r="J422" s="160" t="inlineStr">
        <x:is>
          <x:t xml:space="preserve">Causal engine / customer ROI chain breaks under a misleading headline KPI.</x:t>
        </x:is>
      </x:c>
      <x:c r="K422" s="160" t="inlineStr">
        <x:is>
          <x:t xml:space="preserve">Organic growth plus acquired niche platforms</x:t>
        </x:is>
      </x:c>
      <x:c r="L422" s="160" t="inlineStr">
        <x:is>
          <x:t xml:space="preserve">Normalized FCF + acquisition-cohort ROIC</x:t>
        </x:is>
      </x:c>
      <x:c r="M422" s="160" t="inlineStr">
        <x:is>
          <x:t xml:space="preserve">WAIT FOR PRICE</x:t>
        </x:is>
      </x:c>
      <x:c r="N422" s="160" t="inlineStr">
        <x:is>
          <x:t xml:space="preserve">R-ENG-01</x:t>
        </x:is>
      </x:c>
      <x:c r="O422" s="160" t="inlineStr">
        <x:is>
          <x:t xml:space="preserve">COUNTER-EVIDENCE</x:t>
        </x:is>
      </x:c>
      <x:c r="P422" s="160" t="inlineStr">
        <x:is>
          <x:t xml:space="preserve">ROBUST</x:t>
        </x:is>
      </x:c>
      <x:c r="Q422" s="160" t="inlineStr">
        <x:is>
          <x:t xml:space="preserve">The mature simulation rule catches the stress without weakening a fatal gate; no rule relaxation is justified.</x:t>
        </x:is>
      </x:c>
      <x:c r="R422" s="160" t="inlineStr">
        <x:is>
          <x:t xml:space="preserve">Force an explicit engine tree: customer job → unit economics → revenue driver → owner-value bridge.</x:t>
        </x:is>
      </x:c>
      <x:c r="S422" s="160" t="inlineStr">
        <x:is>
          <x:t xml:space="preserve">NO</x:t>
        </x:is>
      </x:c>
      <x:c r="T422" s="160" t="inlineStr">
        <x:is>
          <x:t xml:space="preserve">COUNTER-EVIDENCE</x:t>
        </x:is>
      </x:c>
      <x:c r="U422" s="160" t="inlineStr">
        <x:is>
          <x:t xml:space="preserve">V10.5-SIM55</x:t>
        </x:is>
      </x:c>
      <x:c r="V422" s="160" t="inlineStr">
        <x:is>
          <x:t xml:space="preserve">https://market.tase.co.il/he/market_data/security/1175611/major_data</x:t>
        </x:is>
      </x:c>
      <x:c r="W422" s="160" t="inlineStr">
        <x:is>
          <x:t xml:space="preserve">NO</x:t>
        </x:is>
      </x:c>
      <x:c r="X422" s="160" t="inlineStr">
        <x:is>
          <x:t xml:space="preserve">NONE — DEVELOPMENT ONLY</x:t>
        </x:is>
      </x:c>
      <x:c r="Y422" s="160" t="inlineStr">
        <x:is>
          <x:t xml:space="preserve">Synthetic/adversarial model-development loop. No historical outcome is claimed; no accuracy point is awarded.</x:t>
        </x:is>
      </x:c>
    </x:row>
    <x:row r="423">
      <x:c r="A423" s="160" t="inlineStr">
        <x:is>
          <x:t xml:space="preserve">ML0418</x:t>
        </x:is>
      </x:c>
      <x:c r="B423" s="160" t="inlineStr">
        <x:is>
          <x:t xml:space="preserve">ARG-027</x:t>
        </x:is>
      </x:c>
      <x:c r="C423" s="160" t="inlineStr">
        <x:is>
          <x:t xml:space="preserve">Torpaz Industries</x:t>
        </x:is>
      </x:c>
      <x:c r="D423" s="160" t="inlineStr">
        <x:is>
          <x:t xml:space="preserve">TRPZ.TA</x:t>
        </x:is>
      </x:c>
      <x:c r="E423" s="160" t="inlineStr">
        <x:is>
          <x:t xml:space="preserve">Specialty Ingredients</x:t>
        </x:is>
      </x:c>
      <x:c r="F423" s="160" t="inlineStr">
        <x:is>
          <x:t xml:space="preserve">Development</x:t>
        </x:is>
      </x:c>
      <x:c r="G423" s="160" t="inlineStr">
        <x:is>
          <x:t xml:space="preserve">S02</x:t>
        </x:is>
      </x:c>
      <x:c r="H423" s="160" t="inlineStr">
        <x:is>
          <x:t xml:space="preserve">Owner Earnings Normalization</x:t>
        </x:is>
      </x:c>
      <x:c r="I423" s="160" t="inlineStr">
        <x:is>
          <x:t xml:space="preserve">Owner Earnings</x:t>
        </x:is>
      </x:c>
      <x:c r="J423" s="160" t="inlineStr">
        <x:is>
          <x:t xml:space="preserve">Reported earnings/FCF overstates economic cash because recurring reinvestment or non-cash compensation is misclassified.</x:t>
        </x:is>
      </x:c>
      <x:c r="K423" s="160" t="inlineStr">
        <x:is>
          <x:t xml:space="preserve">Organic growth plus acquired niche platforms</x:t>
        </x:is>
      </x:c>
      <x:c r="L423" s="160" t="inlineStr">
        <x:is>
          <x:t xml:space="preserve">Normalized FCF + acquisition-cohort ROIC</x:t>
        </x:is>
      </x:c>
      <x:c r="M423" s="160" t="inlineStr">
        <x:is>
          <x:t xml:space="preserve">WAIT FOR PRICE</x:t>
        </x:is>
      </x:c>
      <x:c r="N423" s="160" t="inlineStr">
        <x:is>
          <x:t xml:space="preserve">R-OE-01</x:t>
        </x:is>
      </x:c>
      <x:c r="O423" s="160" t="inlineStr">
        <x:is>
          <x:t xml:space="preserve">COUNTER-EVIDENCE</x:t>
        </x:is>
      </x:c>
      <x:c r="P423" s="160" t="inlineStr">
        <x:is>
          <x:t xml:space="preserve">ROBUST</x:t>
        </x:is>
      </x:c>
      <x:c r="Q423" s="160" t="inlineStr">
        <x:is>
          <x:t xml:space="preserve">The mature simulation rule catches the stress without weakening a fatal gate; no rule relaxation is justified.</x:t>
        </x:is>
      </x:c>
      <x:c r="R423" s="160" t="inlineStr">
        <x:is>
          <x:t xml:space="preserve">Require a GAAP-to-economic-owner-cash bridge tailored to the business model.</x:t>
        </x:is>
      </x:c>
      <x:c r="S423" s="160" t="inlineStr">
        <x:is>
          <x:t xml:space="preserve">NO</x:t>
        </x:is>
      </x:c>
      <x:c r="T423" s="160" t="inlineStr">
        <x:is>
          <x:t xml:space="preserve">COUNTER-EVIDENCE</x:t>
        </x:is>
      </x:c>
      <x:c r="U423" s="160" t="inlineStr">
        <x:is>
          <x:t xml:space="preserve">V10.5-SIM55</x:t>
        </x:is>
      </x:c>
      <x:c r="V423" s="160" t="inlineStr">
        <x:is>
          <x:t xml:space="preserve">https://market.tase.co.il/he/market_data/security/1175611/major_data</x:t>
        </x:is>
      </x:c>
      <x:c r="W423" s="160" t="inlineStr">
        <x:is>
          <x:t xml:space="preserve">NO</x:t>
        </x:is>
      </x:c>
      <x:c r="X423" s="160" t="inlineStr">
        <x:is>
          <x:t xml:space="preserve">NONE — DEVELOPMENT ONLY</x:t>
        </x:is>
      </x:c>
      <x:c r="Y423" s="160" t="inlineStr">
        <x:is>
          <x:t xml:space="preserve">Synthetic/adversarial model-development loop. No historical outcome is claimed; no accuracy point is awarded.</x:t>
        </x:is>
      </x:c>
    </x:row>
    <x:row r="424">
      <x:c r="A424" s="160" t="inlineStr">
        <x:is>
          <x:t xml:space="preserve">ML0419</x:t>
        </x:is>
      </x:c>
      <x:c r="B424" s="160" t="inlineStr">
        <x:is>
          <x:t xml:space="preserve">ARG-027</x:t>
        </x:is>
      </x:c>
      <x:c r="C424" s="160" t="inlineStr">
        <x:is>
          <x:t xml:space="preserve">Torpaz Industries</x:t>
        </x:is>
      </x:c>
      <x:c r="D424" s="160" t="inlineStr">
        <x:is>
          <x:t xml:space="preserve">TRPZ.TA</x:t>
        </x:is>
      </x:c>
      <x:c r="E424" s="160" t="inlineStr">
        <x:is>
          <x:t xml:space="preserve">Specialty Ingredients</x:t>
        </x:is>
      </x:c>
      <x:c r="F424" s="160" t="inlineStr">
        <x:is>
          <x:t xml:space="preserve">Development</x:t>
        </x:is>
      </x:c>
      <x:c r="G424" s="160" t="inlineStr">
        <x:is>
          <x:t xml:space="preserve">S03</x:t>
        </x:is>
      </x:c>
      <x:c r="H424" s="160" t="inlineStr">
        <x:is>
          <x:t xml:space="preserve">Moat Durability</x:t>
        </x:is>
      </x:c>
      <x:c r="I424" s="160" t="inlineStr">
        <x:is>
          <x:t xml:space="preserve">Moat 2036</x:t>
        </x:is>
      </x:c>
      <x:c r="J424" s="160" t="inlineStr">
        <x:is>
          <x:t xml:space="preserve">Growth continues while switching friction, pricing power or replacement difficulty quietly weakens.</x:t>
        </x:is>
      </x:c>
      <x:c r="K424" s="160" t="inlineStr">
        <x:is>
          <x:t xml:space="preserve">Organic growth plus acquired niche platforms</x:t>
        </x:is>
      </x:c>
      <x:c r="L424" s="160" t="inlineStr">
        <x:is>
          <x:t xml:space="preserve">Normalized FCF + acquisition-cohort ROIC</x:t>
        </x:is>
      </x:c>
      <x:c r="M424" s="160" t="inlineStr">
        <x:is>
          <x:t xml:space="preserve">WAIT FOR PRICE</x:t>
        </x:is>
      </x:c>
      <x:c r="N424" s="160" t="inlineStr">
        <x:is>
          <x:t xml:space="preserve">R-MOAT-01</x:t>
        </x:is>
      </x:c>
      <x:c r="O424" s="160" t="inlineStr">
        <x:is>
          <x:t xml:space="preserve">COUNTER-EVIDENCE</x:t>
        </x:is>
      </x:c>
      <x:c r="P424" s="160" t="inlineStr">
        <x:is>
          <x:t xml:space="preserve">ROBUST</x:t>
        </x:is>
      </x:c>
      <x:c r="Q424" s="160" t="inlineStr">
        <x:is>
          <x:t xml:space="preserve">The mature simulation rule catches the stress without weakening a fatal gate; no rule relaxation is justified.</x:t>
        </x:is>
      </x:c>
      <x:c r="R424" s="160" t="inlineStr">
        <x:is>
          <x:t xml:space="preserve">Track moat telemetry separately from growth: retention, pricing, win/loss, replacement friction, installed-base behavior.</x:t>
        </x:is>
      </x:c>
      <x:c r="S424" s="160" t="inlineStr">
        <x:is>
          <x:t xml:space="preserve">NO</x:t>
        </x:is>
      </x:c>
      <x:c r="T424" s="160" t="inlineStr">
        <x:is>
          <x:t xml:space="preserve">COUNTER-EVIDENCE</x:t>
        </x:is>
      </x:c>
      <x:c r="U424" s="160" t="inlineStr">
        <x:is>
          <x:t xml:space="preserve">V10.5-SIM55</x:t>
        </x:is>
      </x:c>
      <x:c r="V424" s="160" t="inlineStr">
        <x:is>
          <x:t xml:space="preserve">https://market.tase.co.il/he/market_data/security/1175611/major_data</x:t>
        </x:is>
      </x:c>
      <x:c r="W424" s="160" t="inlineStr">
        <x:is>
          <x:t xml:space="preserve">NO</x:t>
        </x:is>
      </x:c>
      <x:c r="X424" s="160" t="inlineStr">
        <x:is>
          <x:t xml:space="preserve">NONE — DEVELOPMENT ONLY</x:t>
        </x:is>
      </x:c>
      <x:c r="Y424" s="160" t="inlineStr">
        <x:is>
          <x:t xml:space="preserve">Synthetic/adversarial model-development loop. No historical outcome is claimed; no accuracy point is awarded.</x:t>
        </x:is>
      </x:c>
    </x:row>
    <x:row r="425">
      <x:c r="A425" s="160" t="inlineStr">
        <x:is>
          <x:t xml:space="preserve">ML0420</x:t>
        </x:is>
      </x:c>
      <x:c r="B425" s="160" t="inlineStr">
        <x:is>
          <x:t xml:space="preserve">ARG-027</x:t>
        </x:is>
      </x:c>
      <x:c r="C425" s="160" t="inlineStr">
        <x:is>
          <x:t xml:space="preserve">Torpaz Industries</x:t>
        </x:is>
      </x:c>
      <x:c r="D425" s="160" t="inlineStr">
        <x:is>
          <x:t xml:space="preserve">TRPZ.TA</x:t>
        </x:is>
      </x:c>
      <x:c r="E425" s="160" t="inlineStr">
        <x:is>
          <x:t xml:space="preserve">Specialty Ingredients</x:t>
        </x:is>
      </x:c>
      <x:c r="F425" s="160" t="inlineStr">
        <x:is>
          <x:t xml:space="preserve">Development</x:t>
        </x:is>
      </x:c>
      <x:c r="G425" s="160" t="inlineStr">
        <x:is>
          <x:t xml:space="preserve">S04</x:t>
        </x:is>
      </x:c>
      <x:c r="H425" s="160" t="inlineStr">
        <x:is>
          <x:t xml:space="preserve">Stewardship / Capital Allocation</x:t>
        </x:is>
      </x:c>
      <x:c r="I425" s="160" t="inlineStr">
        <x:is>
          <x:t xml:space="preserve">Stewardship</x:t>
        </x:is>
      </x:c>
      <x:c r="J425" s="160" t="inlineStr">
        <x:is>
          <x:t xml:space="preserve">Management creates enterprise growth while destroying per-share value through M&amp;A, dilution, leverage or mistimed buybacks.</x:t>
        </x:is>
      </x:c>
      <x:c r="K425" s="160" t="inlineStr">
        <x:is>
          <x:t xml:space="preserve">Organic growth plus acquired niche platforms</x:t>
        </x:is>
      </x:c>
      <x:c r="L425" s="160" t="inlineStr">
        <x:is>
          <x:t xml:space="preserve">Normalized FCF + acquisition-cohort ROIC</x:t>
        </x:is>
      </x:c>
      <x:c r="M425" s="160" t="inlineStr">
        <x:is>
          <x:t xml:space="preserve">WAIT FOR PRICE</x:t>
        </x:is>
      </x:c>
      <x:c r="N425" s="160" t="inlineStr">
        <x:is>
          <x:t xml:space="preserve">R-STEW-01</x:t>
        </x:is>
      </x:c>
      <x:c r="O425" s="160" t="inlineStr">
        <x:is>
          <x:t xml:space="preserve">COUNTER-EVIDENCE</x:t>
        </x:is>
      </x:c>
      <x:c r="P425" s="160" t="inlineStr">
        <x:is>
          <x:t xml:space="preserve">ROBUST</x:t>
        </x:is>
      </x:c>
      <x:c r="Q425" s="160" t="inlineStr">
        <x:is>
          <x:t xml:space="preserve">The mature simulation rule catches the stress without weakening a fatal gate; no rule relaxation is justified.</x:t>
        </x:is>
      </x:c>
      <x:c r="R425" s="160" t="inlineStr">
        <x:is>
          <x:t xml:space="preserve">Evaluate capital allocation on a per-share basis using acquisition cohorts, dilution, leverage and repurchase price discipline.</x:t>
        </x:is>
      </x:c>
      <x:c r="S425" s="160" t="inlineStr">
        <x:is>
          <x:t xml:space="preserve">NO</x:t>
        </x:is>
      </x:c>
      <x:c r="T425" s="160" t="inlineStr">
        <x:is>
          <x:t xml:space="preserve">COUNTER-EVIDENCE</x:t>
        </x:is>
      </x:c>
      <x:c r="U425" s="160" t="inlineStr">
        <x:is>
          <x:t xml:space="preserve">V10.5-SIM55</x:t>
        </x:is>
      </x:c>
      <x:c r="V425" s="160" t="inlineStr">
        <x:is>
          <x:t xml:space="preserve">https://market.tase.co.il/he/market_data/security/1175611/major_data</x:t>
        </x:is>
      </x:c>
      <x:c r="W425" s="160" t="inlineStr">
        <x:is>
          <x:t xml:space="preserve">NO</x:t>
        </x:is>
      </x:c>
      <x:c r="X425" s="160" t="inlineStr">
        <x:is>
          <x:t xml:space="preserve">NONE — DEVELOPMENT ONLY</x:t>
        </x:is>
      </x:c>
      <x:c r="Y425" s="160" t="inlineStr">
        <x:is>
          <x:t xml:space="preserve">Synthetic/adversarial model-development loop. No historical outcome is claimed; no accuracy point is awarded.</x:t>
        </x:is>
      </x:c>
    </x:row>
    <x:row r="426">
      <x:c r="A426" s="160" t="inlineStr">
        <x:is>
          <x:t xml:space="preserve">ML0421</x:t>
        </x:is>
      </x:c>
      <x:c r="B426" s="160" t="inlineStr">
        <x:is>
          <x:t xml:space="preserve">ARG-027</x:t>
        </x:is>
      </x:c>
      <x:c r="C426" s="160" t="inlineStr">
        <x:is>
          <x:t xml:space="preserve">Torpaz Industries</x:t>
        </x:is>
      </x:c>
      <x:c r="D426" s="160" t="inlineStr">
        <x:is>
          <x:t xml:space="preserve">TRPZ.TA</x:t>
        </x:is>
      </x:c>
      <x:c r="E426" s="160" t="inlineStr">
        <x:is>
          <x:t xml:space="preserve">Specialty Ingredients</x:t>
        </x:is>
      </x:c>
      <x:c r="F426" s="160" t="inlineStr">
        <x:is>
          <x:t xml:space="preserve">Development</x:t>
        </x:is>
      </x:c>
      <x:c r="G426" s="160" t="inlineStr">
        <x:is>
          <x:t xml:space="preserve">S05</x:t>
        </x:is>
      </x:c>
      <x:c r="H426" s="160" t="inlineStr">
        <x:is>
          <x:t xml:space="preserve">Survival / Funding</x:t>
        </x:is>
      </x:c>
      <x:c r="I426" s="160" t="inlineStr">
        <x:is>
          <x:t xml:space="preserve">Survival</x:t>
        </x:is>
      </x:c>
      <x:c r="J426" s="160" t="inlineStr">
        <x:is>
          <x:t xml:space="preserve">A plausible bear case exposes refinancing, liquidity, covenant, reserve, regulatory or operational fragility.</x:t>
        </x:is>
      </x:c>
      <x:c r="K426" s="160" t="inlineStr">
        <x:is>
          <x:t xml:space="preserve">Organic growth plus acquired niche platforms</x:t>
        </x:is>
      </x:c>
      <x:c r="L426" s="160" t="inlineStr">
        <x:is>
          <x:t xml:space="preserve">Normalized FCF + acquisition-cohort ROIC</x:t>
        </x:is>
      </x:c>
      <x:c r="M426" s="160" t="inlineStr">
        <x:is>
          <x:t xml:space="preserve">WAIT FOR PRICE</x:t>
        </x:is>
      </x:c>
      <x:c r="N426" s="160" t="inlineStr">
        <x:is>
          <x:t xml:space="preserve">R-SURV-01</x:t>
        </x:is>
      </x:c>
      <x:c r="O426" s="160" t="inlineStr">
        <x:is>
          <x:t xml:space="preserve">COUNTER-EVIDENCE</x:t>
        </x:is>
      </x:c>
      <x:c r="P426" s="160" t="inlineStr">
        <x:is>
          <x:t xml:space="preserve">ROBUST</x:t>
        </x:is>
      </x:c>
      <x:c r="Q426" s="160" t="inlineStr">
        <x:is>
          <x:t xml:space="preserve">The mature simulation rule catches the stress without weakening a fatal gate; no rule relaxation is justified.</x:t>
        </x:is>
      </x:c>
      <x:c r="R426" s="160" t="inlineStr">
        <x:is>
          <x:t xml:space="preserve">Run a company-specific survival bridge under a severe-but-plausible bear case before any upside underwriting.</x:t>
        </x:is>
      </x:c>
      <x:c r="S426" s="160" t="inlineStr">
        <x:is>
          <x:t xml:space="preserve">NO</x:t>
        </x:is>
      </x:c>
      <x:c r="T426" s="160" t="inlineStr">
        <x:is>
          <x:t xml:space="preserve">COUNTER-EVIDENCE</x:t>
        </x:is>
      </x:c>
      <x:c r="U426" s="160" t="inlineStr">
        <x:is>
          <x:t xml:space="preserve">V10.5-SIM55</x:t>
        </x:is>
      </x:c>
      <x:c r="V426" s="160" t="inlineStr">
        <x:is>
          <x:t xml:space="preserve">https://market.tase.co.il/he/market_data/security/1175611/major_data</x:t>
        </x:is>
      </x:c>
      <x:c r="W426" s="160" t="inlineStr">
        <x:is>
          <x:t xml:space="preserve">NO</x:t>
        </x:is>
      </x:c>
      <x:c r="X426" s="160" t="inlineStr">
        <x:is>
          <x:t xml:space="preserve">NONE — DEVELOPMENT ONLY</x:t>
        </x:is>
      </x:c>
      <x:c r="Y426" s="160" t="inlineStr">
        <x:is>
          <x:t xml:space="preserve">Synthetic/adversarial model-development loop. No historical outcome is claimed; no accuracy point is awarded.</x:t>
        </x:is>
      </x:c>
    </x:row>
    <x:row r="427">
      <x:c r="A427" s="160" t="inlineStr">
        <x:is>
          <x:t xml:space="preserve">ML0422</x:t>
        </x:is>
      </x:c>
      <x:c r="B427" s="160" t="inlineStr">
        <x:is>
          <x:t xml:space="preserve">ARG-027</x:t>
        </x:is>
      </x:c>
      <x:c r="C427" s="160" t="inlineStr">
        <x:is>
          <x:t xml:space="preserve">Torpaz Industries</x:t>
        </x:is>
      </x:c>
      <x:c r="D427" s="160" t="inlineStr">
        <x:is>
          <x:t xml:space="preserve">TRPZ.TA</x:t>
        </x:is>
      </x:c>
      <x:c r="E427" s="160" t="inlineStr">
        <x:is>
          <x:t xml:space="preserve">Specialty Ingredients</x:t>
        </x:is>
      </x:c>
      <x:c r="F427" s="160" t="inlineStr">
        <x:is>
          <x:t xml:space="preserve">Development</x:t>
        </x:is>
      </x:c>
      <x:c r="G427" s="160" t="inlineStr">
        <x:is>
          <x:t xml:space="preserve">S06</x:t>
        </x:is>
      </x:c>
      <x:c r="H427" s="160" t="inlineStr">
        <x:is>
          <x:t xml:space="preserve">Margin of Safety</x:t>
        </x:is>
      </x:c>
      <x:c r="I427" s="160" t="inlineStr">
        <x:is>
          <x:t xml:space="preserve">Margin of Safety</x:t>
        </x:is>
      </x:c>
      <x:c r="J427" s="160" t="inlineStr">
        <x:is>
          <x:t xml:space="preserve">Business quality is high but the price embeds a fragile bull case.</x:t>
        </x:is>
      </x:c>
      <x:c r="K427" s="160" t="inlineStr">
        <x:is>
          <x:t xml:space="preserve">Organic growth plus acquired niche platforms</x:t>
        </x:is>
      </x:c>
      <x:c r="L427" s="160" t="inlineStr">
        <x:is>
          <x:t xml:space="preserve">Normalized FCF + acquisition-cohort ROIC</x:t>
        </x:is>
      </x:c>
      <x:c r="M427" s="160" t="inlineStr">
        <x:is>
          <x:t xml:space="preserve">WAIT FOR PRICE</x:t>
        </x:is>
      </x:c>
      <x:c r="N427" s="160" t="inlineStr">
        <x:is>
          <x:t xml:space="preserve">R-MOS-01</x:t>
        </x:is>
      </x:c>
      <x:c r="O427" s="160" t="inlineStr">
        <x:is>
          <x:t xml:space="preserve">COUNTER-EVIDENCE</x:t>
        </x:is>
      </x:c>
      <x:c r="P427" s="160" t="inlineStr">
        <x:is>
          <x:t xml:space="preserve">ROBUST</x:t>
        </x:is>
      </x:c>
      <x:c r="Q427" s="160" t="inlineStr">
        <x:is>
          <x:t xml:space="preserve">The mature simulation rule catches the stress without weakening a fatal gate; no rule relaxation is justified.</x:t>
        </x:is>
      </x:c>
      <x:c r="R427" s="160" t="inlineStr">
        <x:is>
          <x:t xml:space="preserve">Separate business-quality score from price decision; require reverse valuation and bear/base/bull IV ranges.</x:t>
        </x:is>
      </x:c>
      <x:c r="S427" s="160" t="inlineStr">
        <x:is>
          <x:t xml:space="preserve">NO</x:t>
        </x:is>
      </x:c>
      <x:c r="T427" s="160" t="inlineStr">
        <x:is>
          <x:t xml:space="preserve">COUNTER-EVIDENCE</x:t>
        </x:is>
      </x:c>
      <x:c r="U427" s="160" t="inlineStr">
        <x:is>
          <x:t xml:space="preserve">V10.5-SIM55</x:t>
        </x:is>
      </x:c>
      <x:c r="V427" s="160" t="inlineStr">
        <x:is>
          <x:t xml:space="preserve">https://market.tase.co.il/he/market_data/security/1175611/major_data</x:t>
        </x:is>
      </x:c>
      <x:c r="W427" s="160" t="inlineStr">
        <x:is>
          <x:t xml:space="preserve">NO</x:t>
        </x:is>
      </x:c>
      <x:c r="X427" s="160" t="inlineStr">
        <x:is>
          <x:t xml:space="preserve">NONE — DEVELOPMENT ONLY</x:t>
        </x:is>
      </x:c>
      <x:c r="Y427" s="160" t="inlineStr">
        <x:is>
          <x:t xml:space="preserve">Synthetic/adversarial model-development loop. No historical outcome is claimed; no accuracy point is awarded.</x:t>
        </x:is>
      </x:c>
    </x:row>
    <x:row r="428">
      <x:c r="A428" s="160" t="inlineStr">
        <x:is>
          <x:t xml:space="preserve">ML0423</x:t>
        </x:is>
      </x:c>
      <x:c r="B428" s="160" t="inlineStr">
        <x:is>
          <x:t xml:space="preserve">ARG-027</x:t>
        </x:is>
      </x:c>
      <x:c r="C428" s="160" t="inlineStr">
        <x:is>
          <x:t xml:space="preserve">Torpaz Industries</x:t>
        </x:is>
      </x:c>
      <x:c r="D428" s="160" t="inlineStr">
        <x:is>
          <x:t xml:space="preserve">TRPZ.TA</x:t>
        </x:is>
      </x:c>
      <x:c r="E428" s="160" t="inlineStr">
        <x:is>
          <x:t xml:space="preserve">Specialty Ingredients</x:t>
        </x:is>
      </x:c>
      <x:c r="F428" s="160" t="inlineStr">
        <x:is>
          <x:t xml:space="preserve">Development</x:t>
        </x:is>
      </x:c>
      <x:c r="G428" s="160" t="inlineStr">
        <x:is>
          <x:t xml:space="preserve">S07</x:t>
        </x:is>
      </x:c>
      <x:c r="H428" s="160" t="inlineStr">
        <x:is>
          <x:t xml:space="preserve">Sector Shock</x:t>
        </x:is>
      </x:c>
      <x:c r="I428" s="160" t="inlineStr">
        <x:is>
          <x:t xml:space="preserve">Sector-specific</x:t>
        </x:is>
      </x:c>
      <x:c r="J428" s="160" t="inlineStr">
        <x:is>
          <x:t xml:space="preserve">Price/mix holds while customer destocking, volume softness, integration debt or formulation substitution weakens normalized FCF.</x:t>
        </x:is>
      </x:c>
      <x:c r="K428" s="160" t="inlineStr">
        <x:is>
          <x:t xml:space="preserve">Organic growth plus acquired niche platforms</x:t>
        </x:is>
      </x:c>
      <x:c r="L428" s="160" t="inlineStr">
        <x:is>
          <x:t xml:space="preserve">Normalized FCF + acquisition-cohort ROIC</x:t>
        </x:is>
      </x:c>
      <x:c r="M428" s="160" t="inlineStr">
        <x:is>
          <x:t xml:space="preserve">WAIT FOR PRICE</x:t>
        </x:is>
      </x:c>
      <x:c r="N428" s="160" t="inlineStr">
        <x:is>
          <x:t xml:space="preserve">R-SECTOR-SPECIALTY-INGREDIENTS</x:t>
        </x:is>
      </x:c>
      <x:c r="O428" s="160" t="inlineStr">
        <x:is>
          <x:t xml:space="preserve">HARDENED</x:t>
        </x:is>
      </x:c>
      <x:c r="P428" s="160" t="inlineStr">
        <x:is>
          <x:t xml:space="preserve">ROBUST WITH RESIDUAL</x:t>
        </x:is>
      </x:c>
      <x:c r="Q428" s="160" t="inlineStr">
        <x:is>
          <x:t xml:space="preserve">The hardened rule catches the stress. Residual risk is mainly evidence quality, threshold calibration or interaction with another gate.</x:t>
        </x:is>
      </x:c>
      <x:c r="R428" s="160" t="inlineStr">
        <x:is>
          <x:t xml:space="preserve">Add a sector-specific transmission map with leading operating sensors, not only market-price variables. Sector rule: Price/mix holds while customer destocking, volume softness, integration debt or formulation substitution weakens normalized FCF.</x:t>
        </x:is>
      </x:c>
      <x:c r="S428" s="160" t="inlineStr">
        <x:is>
          <x:t xml:space="preserve">YES — SIMULATION ONLY</x:t>
        </x:is>
      </x:c>
      <x:c r="T428" s="160" t="inlineStr">
        <x:is>
          <x:t xml:space="preserve">COUNTER-EVIDENCE</x:t>
        </x:is>
      </x:c>
      <x:c r="U428" s="160" t="inlineStr">
        <x:is>
          <x:t xml:space="preserve">V10.5-SIM56</x:t>
        </x:is>
      </x:c>
      <x:c r="V428" s="160" t="inlineStr">
        <x:is>
          <x:t xml:space="preserve">https://market.tase.co.il/he/market_data/security/1175611/major_data</x:t>
        </x:is>
      </x:c>
      <x:c r="W428" s="160" t="inlineStr">
        <x:is>
          <x:t xml:space="preserve">NO</x:t>
        </x:is>
      </x:c>
      <x:c r="X428" s="160" t="inlineStr">
        <x:is>
          <x:t xml:space="preserve">NONE — DEVELOPMENT ONLY</x:t>
        </x:is>
      </x:c>
      <x:c r="Y428" s="160" t="inlineStr">
        <x:is>
          <x:t xml:space="preserve">Synthetic/adversarial model-development loop. No historical outcome is claimed; no accuracy point is awarded.</x:t>
        </x:is>
      </x:c>
    </x:row>
    <x:row r="429">
      <x:c r="A429" s="160" t="inlineStr">
        <x:is>
          <x:t xml:space="preserve">ML0424</x:t>
        </x:is>
      </x:c>
      <x:c r="B429" s="160" t="inlineStr">
        <x:is>
          <x:t xml:space="preserve">ARG-027</x:t>
        </x:is>
      </x:c>
      <x:c r="C429" s="160" t="inlineStr">
        <x:is>
          <x:t xml:space="preserve">Torpaz Industries</x:t>
        </x:is>
      </x:c>
      <x:c r="D429" s="160" t="inlineStr">
        <x:is>
          <x:t xml:space="preserve">TRPZ.TA</x:t>
        </x:is>
      </x:c>
      <x:c r="E429" s="160" t="inlineStr">
        <x:is>
          <x:t xml:space="preserve">Specialty Ingredients</x:t>
        </x:is>
      </x:c>
      <x:c r="F429" s="160" t="inlineStr">
        <x:is>
          <x:t xml:space="preserve">Development</x:t>
        </x:is>
      </x:c>
      <x:c r="G429" s="160" t="inlineStr">
        <x:is>
          <x:t xml:space="preserve">S08</x:t>
        </x:is>
      </x:c>
      <x:c r="H429" s="160" t="inlineStr">
        <x:is>
          <x:t xml:space="preserve">Management Promise Reliability</x:t>
        </x:is>
      </x:c>
      <x:c r="I429" s="160" t="inlineStr">
        <x:is>
          <x:t xml:space="preserve">Management over-trust</x:t>
        </x:is>
      </x:c>
      <x:c r="J429" s="160" t="inlineStr">
        <x:is>
          <x:t xml:space="preserve">Guidance or strategic promises are repeated but the model lacks a contemporaneous reliability score.</x:t>
        </x:is>
      </x:c>
      <x:c r="K429" s="160" t="inlineStr">
        <x:is>
          <x:t xml:space="preserve">Organic growth plus acquired niche platforms</x:t>
        </x:is>
      </x:c>
      <x:c r="L429" s="160" t="inlineStr">
        <x:is>
          <x:t xml:space="preserve">Normalized FCF + acquisition-cohort ROIC</x:t>
        </x:is>
      </x:c>
      <x:c r="M429" s="160" t="inlineStr">
        <x:is>
          <x:t xml:space="preserve">WAIT FOR PRICE</x:t>
        </x:is>
      </x:c>
      <x:c r="N429" s="160" t="inlineStr">
        <x:is>
          <x:t xml:space="preserve">R-PROM-01</x:t>
        </x:is>
      </x:c>
      <x:c r="O429" s="160" t="inlineStr">
        <x:is>
          <x:t xml:space="preserve">COUNTER-EVIDENCE</x:t>
        </x:is>
      </x:c>
      <x:c r="P429" s="160" t="inlineStr">
        <x:is>
          <x:t xml:space="preserve">ROBUST</x:t>
        </x:is>
      </x:c>
      <x:c r="Q429" s="160" t="inlineStr">
        <x:is>
          <x:t xml:space="preserve">The mature simulation rule catches the stress without weakening a fatal gate; no rule relaxation is justified.</x:t>
        </x:is>
      </x:c>
      <x:c r="R429" s="160" t="inlineStr">
        <x:is>
          <x:t xml:space="preserve">Use a promises ledger with dated promise, measurable deliverable, due date, outcome and credibility weight.</x:t>
        </x:is>
      </x:c>
      <x:c r="S429" s="160" t="inlineStr">
        <x:is>
          <x:t xml:space="preserve">NO</x:t>
        </x:is>
      </x:c>
      <x:c r="T429" s="160" t="inlineStr">
        <x:is>
          <x:t xml:space="preserve">COUNTER-EVIDENCE</x:t>
        </x:is>
      </x:c>
      <x:c r="U429" s="160" t="inlineStr">
        <x:is>
          <x:t xml:space="preserve">V10.5-SIM56</x:t>
        </x:is>
      </x:c>
      <x:c r="V429" s="160" t="inlineStr">
        <x:is>
          <x:t xml:space="preserve">https://market.tase.co.il/he/market_data/security/1175611/major_data</x:t>
        </x:is>
      </x:c>
      <x:c r="W429" s="160" t="inlineStr">
        <x:is>
          <x:t xml:space="preserve">NO</x:t>
        </x:is>
      </x:c>
      <x:c r="X429" s="160" t="inlineStr">
        <x:is>
          <x:t xml:space="preserve">NONE — DEVELOPMENT ONLY</x:t>
        </x:is>
      </x:c>
      <x:c r="Y429" s="160" t="inlineStr">
        <x:is>
          <x:t xml:space="preserve">Synthetic/adversarial model-development loop. No historical outcome is claimed; no accuracy point is awarded.</x:t>
        </x:is>
      </x:c>
    </x:row>
    <x:row r="430">
      <x:c r="A430" s="160" t="inlineStr">
        <x:is>
          <x:t xml:space="preserve">ML0425</x:t>
        </x:is>
      </x:c>
      <x:c r="B430" s="160" t="inlineStr">
        <x:is>
          <x:t xml:space="preserve">ARG-027</x:t>
        </x:is>
      </x:c>
      <x:c r="C430" s="160" t="inlineStr">
        <x:is>
          <x:t xml:space="preserve">Torpaz Industries</x:t>
        </x:is>
      </x:c>
      <x:c r="D430" s="160" t="inlineStr">
        <x:is>
          <x:t xml:space="preserve">TRPZ.TA</x:t>
        </x:is>
      </x:c>
      <x:c r="E430" s="160" t="inlineStr">
        <x:is>
          <x:t xml:space="preserve">Specialty Ingredients</x:t>
        </x:is>
      </x:c>
      <x:c r="F430" s="160" t="inlineStr">
        <x:is>
          <x:t xml:space="preserve">Development</x:t>
        </x:is>
      </x:c>
      <x:c r="G430" s="160" t="inlineStr">
        <x:is>
          <x:t xml:space="preserve">S09</x:t>
        </x:is>
      </x:c>
      <x:c r="H430" s="160" t="inlineStr">
        <x:is>
          <x:t xml:space="preserve">Data / Accounting Quality</x:t>
        </x:is>
      </x:c>
      <x:c r="I430" s="160" t="inlineStr">
        <x:is>
          <x:t xml:space="preserve">Data quality</x:t>
        </x:is>
      </x:c>
      <x:c r="J430" s="160" t="inlineStr">
        <x:is>
          <x:t xml:space="preserve">Restatement, segment reclassification, one-time item or non-economic fair-value movement distorts the apparent trend.</x:t>
        </x:is>
      </x:c>
      <x:c r="K430" s="160" t="inlineStr">
        <x:is>
          <x:t xml:space="preserve">Organic growth plus acquired niche platforms</x:t>
        </x:is>
      </x:c>
      <x:c r="L430" s="160" t="inlineStr">
        <x:is>
          <x:t xml:space="preserve">Normalized FCF + acquisition-cohort ROIC</x:t>
        </x:is>
      </x:c>
      <x:c r="M430" s="160" t="inlineStr">
        <x:is>
          <x:t xml:space="preserve">WAIT FOR PRICE</x:t>
        </x:is>
      </x:c>
      <x:c r="N430" s="160" t="inlineStr">
        <x:is>
          <x:t xml:space="preserve">R-DATA-01</x:t>
        </x:is>
      </x:c>
      <x:c r="O430" s="160" t="inlineStr">
        <x:is>
          <x:t xml:space="preserve">COUNTER-EVIDENCE</x:t>
        </x:is>
      </x:c>
      <x:c r="P430" s="160" t="inlineStr">
        <x:is>
          <x:t xml:space="preserve">ROBUST</x:t>
        </x:is>
      </x:c>
      <x:c r="Q430" s="160" t="inlineStr">
        <x:is>
          <x:t xml:space="preserve">The mature simulation rule catches the stress without weakening a fatal gate; no rule relaxation is justified.</x:t>
        </x:is>
      </x:c>
      <x:c r="R430" s="160" t="inlineStr">
        <x:is>
          <x:t xml:space="preserve">Add a reporting-quality bridge and normalize accounting noise before any gate can pass.</x:t>
        </x:is>
      </x:c>
      <x:c r="S430" s="160" t="inlineStr">
        <x:is>
          <x:t xml:space="preserve">NO</x:t>
        </x:is>
      </x:c>
      <x:c r="T430" s="160" t="inlineStr">
        <x:is>
          <x:t xml:space="preserve">COUNTER-EVIDENCE</x:t>
        </x:is>
      </x:c>
      <x:c r="U430" s="160" t="inlineStr">
        <x:is>
          <x:t xml:space="preserve">V10.5-SIM56</x:t>
        </x:is>
      </x:c>
      <x:c r="V430" s="160" t="inlineStr">
        <x:is>
          <x:t xml:space="preserve">https://market.tase.co.il/he/market_data/security/1175611/major_data</x:t>
        </x:is>
      </x:c>
      <x:c r="W430" s="160" t="inlineStr">
        <x:is>
          <x:t xml:space="preserve">NO</x:t>
        </x:is>
      </x:c>
      <x:c r="X430" s="160" t="inlineStr">
        <x:is>
          <x:t xml:space="preserve">NONE — DEVELOPMENT ONLY</x:t>
        </x:is>
      </x:c>
      <x:c r="Y430" s="160" t="inlineStr">
        <x:is>
          <x:t xml:space="preserve">Synthetic/adversarial model-development loop. No historical outcome is claimed; no accuracy point is awarded.</x:t>
        </x:is>
      </x:c>
    </x:row>
    <x:row r="431">
      <x:c r="A431" s="160" t="inlineStr">
        <x:is>
          <x:t xml:space="preserve">ML0426</x:t>
        </x:is>
      </x:c>
      <x:c r="B431" s="160" t="inlineStr">
        <x:is>
          <x:t xml:space="preserve">ARG-027</x:t>
        </x:is>
      </x:c>
      <x:c r="C431" s="160" t="inlineStr">
        <x:is>
          <x:t xml:space="preserve">Torpaz Industries</x:t>
        </x:is>
      </x:c>
      <x:c r="D431" s="160" t="inlineStr">
        <x:is>
          <x:t xml:space="preserve">TRPZ.TA</x:t>
        </x:is>
      </x:c>
      <x:c r="E431" s="160" t="inlineStr">
        <x:is>
          <x:t xml:space="preserve">Specialty Ingredients</x:t>
        </x:is>
      </x:c>
      <x:c r="F431" s="160" t="inlineStr">
        <x:is>
          <x:t xml:space="preserve">Development</x:t>
        </x:is>
      </x:c>
      <x:c r="G431" s="160" t="inlineStr">
        <x:is>
          <x:t xml:space="preserve">S10</x:t>
        </x:is>
      </x:c>
      <x:c r="H431" s="160" t="inlineStr">
        <x:is>
          <x:t xml:space="preserve">Control / Counterfactual</x:t>
        </x:is>
      </x:c>
      <x:c r="I431" s="160" t="inlineStr">
        <x:is>
          <x:t xml:space="preserve">Sector beta vs company alpha</x:t>
        </x:is>
      </x:c>
      <x:c r="J431" s="160" t="inlineStr">
        <x:is>
          <x:t xml:space="preserve">A positive outcome is mostly sector beta or macro tailwind, not company-specific alpha.</x:t>
        </x:is>
      </x:c>
      <x:c r="K431" s="160" t="inlineStr">
        <x:is>
          <x:t xml:space="preserve">Organic growth plus acquired niche platforms</x:t>
        </x:is>
      </x:c>
      <x:c r="L431" s="160" t="inlineStr">
        <x:is>
          <x:t xml:space="preserve">Normalized FCF + acquisition-cohort ROIC</x:t>
        </x:is>
      </x:c>
      <x:c r="M431" s="160" t="inlineStr">
        <x:is>
          <x:t xml:space="preserve">WAIT FOR PRICE</x:t>
        </x:is>
      </x:c>
      <x:c r="N431" s="160" t="inlineStr">
        <x:is>
          <x:t xml:space="preserve">R-CF-01</x:t>
        </x:is>
      </x:c>
      <x:c r="O431" s="160" t="inlineStr">
        <x:is>
          <x:t xml:space="preserve">COUNTER-EVIDENCE</x:t>
        </x:is>
      </x:c>
      <x:c r="P431" s="160" t="inlineStr">
        <x:is>
          <x:t xml:space="preserve">ROBUST</x:t>
        </x:is>
      </x:c>
      <x:c r="Q431" s="160" t="inlineStr">
        <x:is>
          <x:t xml:space="preserve">The mature simulation rule catches the stress without weakening a fatal gate; no rule relaxation is justified.</x:t>
        </x:is>
      </x:c>
      <x:c r="R431" s="160" t="inlineStr">
        <x:is>
          <x:t xml:space="preserve">Require a true economic control and counterfactual: what should have happened to a comparable company under the same shock?</x:t>
        </x:is>
      </x:c>
      <x:c r="S431" s="160" t="inlineStr">
        <x:is>
          <x:t xml:space="preserve">NO</x:t>
        </x:is>
      </x:c>
      <x:c r="T431" s="160" t="inlineStr">
        <x:is>
          <x:t xml:space="preserve">COUNTER-EVIDENCE</x:t>
        </x:is>
      </x:c>
      <x:c r="U431" s="160" t="inlineStr">
        <x:is>
          <x:t xml:space="preserve">V10.5-SIM56</x:t>
        </x:is>
      </x:c>
      <x:c r="V431" s="160" t="inlineStr">
        <x:is>
          <x:t xml:space="preserve">https://market.tase.co.il/he/market_data/security/1175611/major_data</x:t>
        </x:is>
      </x:c>
      <x:c r="W431" s="160" t="inlineStr">
        <x:is>
          <x:t xml:space="preserve">NO</x:t>
        </x:is>
      </x:c>
      <x:c r="X431" s="160" t="inlineStr">
        <x:is>
          <x:t xml:space="preserve">NONE — DEVELOPMENT ONLY</x:t>
        </x:is>
      </x:c>
      <x:c r="Y431" s="160" t="inlineStr">
        <x:is>
          <x:t xml:space="preserve">Synthetic/adversarial model-development loop. No historical outcome is claimed; no accuracy point is awarded.</x:t>
        </x:is>
      </x:c>
    </x:row>
    <x:row r="432">
      <x:c r="A432" s="160" t="inlineStr">
        <x:is>
          <x:t xml:space="preserve">ML0427</x:t>
        </x:is>
      </x:c>
      <x:c r="B432" s="160" t="inlineStr">
        <x:is>
          <x:t xml:space="preserve">ARG-027</x:t>
        </x:is>
      </x:c>
      <x:c r="C432" s="160" t="inlineStr">
        <x:is>
          <x:t xml:space="preserve">Torpaz Industries</x:t>
        </x:is>
      </x:c>
      <x:c r="D432" s="160" t="inlineStr">
        <x:is>
          <x:t xml:space="preserve">TRPZ.TA</x:t>
        </x:is>
      </x:c>
      <x:c r="E432" s="160" t="inlineStr">
        <x:is>
          <x:t xml:space="preserve">Specialty Ingredients</x:t>
        </x:is>
      </x:c>
      <x:c r="F432" s="160" t="inlineStr">
        <x:is>
          <x:t xml:space="preserve">Development</x:t>
        </x:is>
      </x:c>
      <x:c r="G432" s="160" t="inlineStr">
        <x:is>
          <x:t xml:space="preserve">S11</x:t>
        </x:is>
      </x:c>
      <x:c r="H432" s="160" t="inlineStr">
        <x:is>
          <x:t xml:space="preserve">False-Negative Discipline</x:t>
        </x:is>
      </x:c>
      <x:c r="I432" s="160" t="inlineStr">
        <x:is>
          <x:t xml:space="preserve">False negative</x:t>
        </x:is>
      </x:c>
      <x:c r="J432" s="160" t="inlineStr">
        <x:is>
          <x:t xml:space="preserve">A strict gate rejects a company that later compounds strongly for reasons the model could have known.</x:t>
        </x:is>
      </x:c>
      <x:c r="K432" s="160" t="inlineStr">
        <x:is>
          <x:t xml:space="preserve">Organic growth plus acquired niche platforms</x:t>
        </x:is>
      </x:c>
      <x:c r="L432" s="160" t="inlineStr">
        <x:is>
          <x:t xml:space="preserve">Normalized FCF + acquisition-cohort ROIC</x:t>
        </x:is>
      </x:c>
      <x:c r="M432" s="160" t="inlineStr">
        <x:is>
          <x:t xml:space="preserve">WAIT FOR PRICE</x:t>
        </x:is>
      </x:c>
      <x:c r="N432" s="160" t="inlineStr">
        <x:is>
          <x:t xml:space="preserve">R-FN-01</x:t>
        </x:is>
      </x:c>
      <x:c r="O432" s="160" t="inlineStr">
        <x:is>
          <x:t xml:space="preserve">COUNTER-EVIDENCE</x:t>
        </x:is>
      </x:c>
      <x:c r="P432" s="160" t="inlineStr">
        <x:is>
          <x:t xml:space="preserve">ROBUST</x:t>
        </x:is>
      </x:c>
      <x:c r="Q432" s="160" t="inlineStr">
        <x:is>
          <x:t xml:space="preserve">The mature simulation rule catches the stress without weakening a fatal gate; no rule relaxation is justified.</x:t>
        </x:is>
      </x:c>
      <x:c r="R432" s="160" t="inlineStr">
        <x:is>
          <x:t xml:space="preserve">Track opportunity cost and classify whether the miss came from evidence timing, wrong threshold or genuinely unknowable upside.</x:t>
        </x:is>
      </x:c>
      <x:c r="S432" s="160" t="inlineStr">
        <x:is>
          <x:t xml:space="preserve">NO</x:t>
        </x:is>
      </x:c>
      <x:c r="T432" s="160" t="inlineStr">
        <x:is>
          <x:t xml:space="preserve">COUNTER-EVIDENCE</x:t>
        </x:is>
      </x:c>
      <x:c r="U432" s="160" t="inlineStr">
        <x:is>
          <x:t xml:space="preserve">V10.5-SIM56</x:t>
        </x:is>
      </x:c>
      <x:c r="V432" s="160" t="inlineStr">
        <x:is>
          <x:t xml:space="preserve">https://market.tase.co.il/he/market_data/security/1175611/major_data</x:t>
        </x:is>
      </x:c>
      <x:c r="W432" s="160" t="inlineStr">
        <x:is>
          <x:t xml:space="preserve">NO</x:t>
        </x:is>
      </x:c>
      <x:c r="X432" s="160" t="inlineStr">
        <x:is>
          <x:t xml:space="preserve">NONE — DEVELOPMENT ONLY</x:t>
        </x:is>
      </x:c>
      <x:c r="Y432" s="160" t="inlineStr">
        <x:is>
          <x:t xml:space="preserve">Synthetic/adversarial model-development loop. No historical outcome is claimed; no accuracy point is awarded.</x:t>
        </x:is>
      </x:c>
    </x:row>
    <x:row r="433">
      <x:c r="A433" s="160" t="inlineStr">
        <x:is>
          <x:t xml:space="preserve">ML0428</x:t>
        </x:is>
      </x:c>
      <x:c r="B433" s="160" t="inlineStr">
        <x:is>
          <x:t xml:space="preserve">ARG-027</x:t>
        </x:is>
      </x:c>
      <x:c r="C433" s="160" t="inlineStr">
        <x:is>
          <x:t xml:space="preserve">Torpaz Industries</x:t>
        </x:is>
      </x:c>
      <x:c r="D433" s="160" t="inlineStr">
        <x:is>
          <x:t xml:space="preserve">TRPZ.TA</x:t>
        </x:is>
      </x:c>
      <x:c r="E433" s="160" t="inlineStr">
        <x:is>
          <x:t xml:space="preserve">Specialty Ingredients</x:t>
        </x:is>
      </x:c>
      <x:c r="F433" s="160" t="inlineStr">
        <x:is>
          <x:t xml:space="preserve">Development</x:t>
        </x:is>
      </x:c>
      <x:c r="G433" s="160" t="inlineStr">
        <x:is>
          <x:t xml:space="preserve">S12</x:t>
        </x:is>
      </x:c>
      <x:c r="H433" s="160" t="inlineStr">
        <x:is>
          <x:t xml:space="preserve">Lead-Time / Early Sensor</x:t>
        </x:is>
      </x:c>
      <x:c r="I433" s="160" t="inlineStr">
        <x:is>
          <x:t xml:space="preserve">Timing / lead-time</x:t>
        </x:is>
      </x:c>
      <x:c r="J433" s="160" t="inlineStr">
        <x:is>
          <x:t xml:space="preserve">ARGUS identifies the change correctly but only after consensus and price have already reacted.</x:t>
        </x:is>
      </x:c>
      <x:c r="K433" s="160" t="inlineStr">
        <x:is>
          <x:t xml:space="preserve">Organic growth plus acquired niche platforms</x:t>
        </x:is>
      </x:c>
      <x:c r="L433" s="160" t="inlineStr">
        <x:is>
          <x:t xml:space="preserve">Normalized FCF + acquisition-cohort ROIC</x:t>
        </x:is>
      </x:c>
      <x:c r="M433" s="160" t="inlineStr">
        <x:is>
          <x:t xml:space="preserve">WAIT FOR PRICE</x:t>
        </x:is>
      </x:c>
      <x:c r="N433" s="160" t="inlineStr">
        <x:is>
          <x:t xml:space="preserve">R-TIME-01</x:t>
        </x:is>
      </x:c>
      <x:c r="O433" s="160" t="inlineStr">
        <x:is>
          <x:t xml:space="preserve">COUNTER-EVIDENCE</x:t>
        </x:is>
      </x:c>
      <x:c r="P433" s="160" t="inlineStr">
        <x:is>
          <x:t xml:space="preserve">ROBUST</x:t>
        </x:is>
      </x:c>
      <x:c r="Q433" s="160" t="inlineStr">
        <x:is>
          <x:t xml:space="preserve">The mature simulation rule catches the stress without weakening a fatal gate; no rule relaxation is justified.</x:t>
        </x:is>
      </x:c>
      <x:c r="R433" s="160" t="inlineStr">
        <x:is>
          <x:t xml:space="preserve">Replace lagging financial metrics with earlier causal operating sensors and record lead time separately from correctness.</x:t>
        </x:is>
      </x:c>
      <x:c r="S433" s="160" t="inlineStr">
        <x:is>
          <x:t xml:space="preserve">NO</x:t>
        </x:is>
      </x:c>
      <x:c r="T433" s="160" t="inlineStr">
        <x:is>
          <x:t xml:space="preserve">COUNTER-EVIDENCE</x:t>
        </x:is>
      </x:c>
      <x:c r="U433" s="160" t="inlineStr">
        <x:is>
          <x:t xml:space="preserve">V10.5-SIM56</x:t>
        </x:is>
      </x:c>
      <x:c r="V433" s="160" t="inlineStr">
        <x:is>
          <x:t xml:space="preserve">https://market.tase.co.il/he/market_data/security/1175611/major_data</x:t>
        </x:is>
      </x:c>
      <x:c r="W433" s="160" t="inlineStr">
        <x:is>
          <x:t xml:space="preserve">NO</x:t>
        </x:is>
      </x:c>
      <x:c r="X433" s="160" t="inlineStr">
        <x:is>
          <x:t xml:space="preserve">NONE — DEVELOPMENT ONLY</x:t>
        </x:is>
      </x:c>
      <x:c r="Y433" s="160" t="inlineStr">
        <x:is>
          <x:t xml:space="preserve">Synthetic/adversarial model-development loop. No historical outcome is claimed; no accuracy point is awarded.</x:t>
        </x:is>
      </x:c>
    </x:row>
    <x:row r="434">
      <x:c r="A434" s="160" t="inlineStr">
        <x:is>
          <x:t xml:space="preserve">ML0429</x:t>
        </x:is>
      </x:c>
      <x:c r="B434" s="160" t="inlineStr">
        <x:is>
          <x:t xml:space="preserve">ARG-027</x:t>
        </x:is>
      </x:c>
      <x:c r="C434" s="160" t="inlineStr">
        <x:is>
          <x:t xml:space="preserve">Torpaz Industries</x:t>
        </x:is>
      </x:c>
      <x:c r="D434" s="160" t="inlineStr">
        <x:is>
          <x:t xml:space="preserve">TRPZ.TA</x:t>
        </x:is>
      </x:c>
      <x:c r="E434" s="160" t="inlineStr">
        <x:is>
          <x:t xml:space="preserve">Specialty Ingredients</x:t>
        </x:is>
      </x:c>
      <x:c r="F434" s="160" t="inlineStr">
        <x:is>
          <x:t xml:space="preserve">Development</x:t>
        </x:is>
      </x:c>
      <x:c r="G434" s="160" t="inlineStr">
        <x:is>
          <x:t xml:space="preserve">S13</x:t>
        </x:is>
      </x:c>
      <x:c r="H434" s="160" t="inlineStr">
        <x:is>
          <x:t xml:space="preserve">Cycle Normalization</x:t>
        </x:is>
      </x:c>
      <x:c r="I434" s="160" t="inlineStr">
        <x:is>
          <x:t xml:space="preserve">Wrong valuation lens</x:t>
        </x:is>
      </x:c>
      <x:c r="J434" s="160" t="inlineStr">
        <x:is>
          <x:t xml:space="preserve">Peak/trough earnings are mistaken for normalized earning power.</x:t>
        </x:is>
      </x:c>
      <x:c r="K434" s="160" t="inlineStr">
        <x:is>
          <x:t xml:space="preserve">Organic growth plus acquired niche platforms</x:t>
        </x:is>
      </x:c>
      <x:c r="L434" s="160" t="inlineStr">
        <x:is>
          <x:t xml:space="preserve">Normalized FCF + acquisition-cohort ROIC</x:t>
        </x:is>
      </x:c>
      <x:c r="M434" s="160" t="inlineStr">
        <x:is>
          <x:t xml:space="preserve">WAIT FOR PRICE</x:t>
        </x:is>
      </x:c>
      <x:c r="N434" s="160" t="inlineStr">
        <x:is>
          <x:t xml:space="preserve">R-CYCLE-01</x:t>
        </x:is>
      </x:c>
      <x:c r="O434" s="160" t="inlineStr">
        <x:is>
          <x:t xml:space="preserve">COUNTER-EVIDENCE</x:t>
        </x:is>
      </x:c>
      <x:c r="P434" s="160" t="inlineStr">
        <x:is>
          <x:t xml:space="preserve">ROBUST</x:t>
        </x:is>
      </x:c>
      <x:c r="Q434" s="160" t="inlineStr">
        <x:is>
          <x:t xml:space="preserve">The mature simulation rule catches the stress without weakening a fatal gate; no rule relaxation is justified.</x:t>
        </x:is>
      </x:c>
      <x:c r="R434" s="160" t="inlineStr">
        <x:is>
          <x:t xml:space="preserve">Use sector-specific mid-cycle/NAV/rate-base/rNPV normalization before applying a valuation multiple.</x:t>
        </x:is>
      </x:c>
      <x:c r="S434" s="160" t="inlineStr">
        <x:is>
          <x:t xml:space="preserve">NO</x:t>
        </x:is>
      </x:c>
      <x:c r="T434" s="160" t="inlineStr">
        <x:is>
          <x:t xml:space="preserve">COUNTER-EVIDENCE</x:t>
        </x:is>
      </x:c>
      <x:c r="U434" s="160" t="inlineStr">
        <x:is>
          <x:t xml:space="preserve">V10.5-SIM56</x:t>
        </x:is>
      </x:c>
      <x:c r="V434" s="160" t="inlineStr">
        <x:is>
          <x:t xml:space="preserve">https://market.tase.co.il/he/market_data/security/1175611/major_data</x:t>
        </x:is>
      </x:c>
      <x:c r="W434" s="160" t="inlineStr">
        <x:is>
          <x:t xml:space="preserve">NO</x:t>
        </x:is>
      </x:c>
      <x:c r="X434" s="160" t="inlineStr">
        <x:is>
          <x:t xml:space="preserve">NONE — DEVELOPMENT ONLY</x:t>
        </x:is>
      </x:c>
      <x:c r="Y434" s="160" t="inlineStr">
        <x:is>
          <x:t xml:space="preserve">Synthetic/adversarial model-development loop. No historical outcome is claimed; no accuracy point is awarded.</x:t>
        </x:is>
      </x:c>
    </x:row>
    <x:row r="435">
      <x:c r="A435" s="160" t="inlineStr">
        <x:is>
          <x:t xml:space="preserve">ML0430</x:t>
        </x:is>
      </x:c>
      <x:c r="B435" s="160" t="inlineStr">
        <x:is>
          <x:t xml:space="preserve">ARG-027</x:t>
        </x:is>
      </x:c>
      <x:c r="C435" s="160" t="inlineStr">
        <x:is>
          <x:t xml:space="preserve">Torpaz Industries</x:t>
        </x:is>
      </x:c>
      <x:c r="D435" s="160" t="inlineStr">
        <x:is>
          <x:t xml:space="preserve">TRPZ.TA</x:t>
        </x:is>
      </x:c>
      <x:c r="E435" s="160" t="inlineStr">
        <x:is>
          <x:t xml:space="preserve">Specialty Ingredients</x:t>
        </x:is>
      </x:c>
      <x:c r="F435" s="160" t="inlineStr">
        <x:is>
          <x:t xml:space="preserve">Development</x:t>
        </x:is>
      </x:c>
      <x:c r="G435" s="160" t="inlineStr">
        <x:is>
          <x:t xml:space="preserve">S14</x:t>
        </x:is>
      </x:c>
      <x:c r="H435" s="160" t="inlineStr">
        <x:is>
          <x:t xml:space="preserve">M&amp;A / Organic Growth Separation</x:t>
        </x:is>
      </x:c>
      <x:c r="I435" s="160" t="inlineStr">
        <x:is>
          <x:t xml:space="preserve">Stewardship</x:t>
        </x:is>
      </x:c>
      <x:c r="J435" s="160" t="inlineStr">
        <x:is>
          <x:t xml:space="preserve">Acquisition-driven growth masks weak organic economics or poor incremental ROIC.</x:t>
        </x:is>
      </x:c>
      <x:c r="K435" s="160" t="inlineStr">
        <x:is>
          <x:t xml:space="preserve">Organic growth plus acquired niche platforms</x:t>
        </x:is>
      </x:c>
      <x:c r="L435" s="160" t="inlineStr">
        <x:is>
          <x:t xml:space="preserve">Normalized FCF + acquisition-cohort ROIC</x:t>
        </x:is>
      </x:c>
      <x:c r="M435" s="160" t="inlineStr">
        <x:is>
          <x:t xml:space="preserve">WAIT FOR PRICE</x:t>
        </x:is>
      </x:c>
      <x:c r="N435" s="160" t="inlineStr">
        <x:is>
          <x:t xml:space="preserve">R-MA-01</x:t>
        </x:is>
      </x:c>
      <x:c r="O435" s="160" t="inlineStr">
        <x:is>
          <x:t xml:space="preserve">COUNTER-EVIDENCE</x:t>
        </x:is>
      </x:c>
      <x:c r="P435" s="160" t="inlineStr">
        <x:is>
          <x:t xml:space="preserve">ROBUST</x:t>
        </x:is>
      </x:c>
      <x:c r="Q435" s="160" t="inlineStr">
        <x:is>
          <x:t xml:space="preserve">The mature simulation rule catches the stress without weakening a fatal gate; no rule relaxation is justified.</x:t>
        </x:is>
      </x:c>
      <x:c r="R435" s="160" t="inlineStr">
        <x:is>
          <x:t xml:space="preserve">Bridge organic growth, acquired growth, purchase price, integration costs and acquisition-cohort ROIC.</x:t>
        </x:is>
      </x:c>
      <x:c r="S435" s="160" t="inlineStr">
        <x:is>
          <x:t xml:space="preserve">NO</x:t>
        </x:is>
      </x:c>
      <x:c r="T435" s="160" t="inlineStr">
        <x:is>
          <x:t xml:space="preserve">COUNTER-EVIDENCE</x:t>
        </x:is>
      </x:c>
      <x:c r="U435" s="160" t="inlineStr">
        <x:is>
          <x:t xml:space="preserve">V10.5-SIM56</x:t>
        </x:is>
      </x:c>
      <x:c r="V435" s="160" t="inlineStr">
        <x:is>
          <x:t xml:space="preserve">https://market.tase.co.il/he/market_data/security/1175611/major_data</x:t>
        </x:is>
      </x:c>
      <x:c r="W435" s="160" t="inlineStr">
        <x:is>
          <x:t xml:space="preserve">NO</x:t>
        </x:is>
      </x:c>
      <x:c r="X435" s="160" t="inlineStr">
        <x:is>
          <x:t xml:space="preserve">NONE — DEVELOPMENT ONLY</x:t>
        </x:is>
      </x:c>
      <x:c r="Y435" s="160" t="inlineStr">
        <x:is>
          <x:t xml:space="preserve">Synthetic/adversarial model-development loop. No historical outcome is claimed; no accuracy point is awarded.</x:t>
        </x:is>
      </x:c>
    </x:row>
    <x:row r="436">
      <x:c r="A436" s="160" t="inlineStr">
        <x:is>
          <x:t xml:space="preserve">ML0431</x:t>
        </x:is>
      </x:c>
      <x:c r="B436" s="160" t="inlineStr">
        <x:is>
          <x:t xml:space="preserve">ARG-027</x:t>
        </x:is>
      </x:c>
      <x:c r="C436" s="160" t="inlineStr">
        <x:is>
          <x:t xml:space="preserve">Torpaz Industries</x:t>
        </x:is>
      </x:c>
      <x:c r="D436" s="160" t="inlineStr">
        <x:is>
          <x:t xml:space="preserve">TRPZ.TA</x:t>
        </x:is>
      </x:c>
      <x:c r="E436" s="160" t="inlineStr">
        <x:is>
          <x:t xml:space="preserve">Specialty Ingredients</x:t>
        </x:is>
      </x:c>
      <x:c r="F436" s="160" t="inlineStr">
        <x:is>
          <x:t xml:space="preserve">Development</x:t>
        </x:is>
      </x:c>
      <x:c r="G436" s="160" t="inlineStr">
        <x:is>
          <x:t xml:space="preserve">S15</x:t>
        </x:is>
      </x:c>
      <x:c r="H436" s="160" t="inlineStr">
        <x:is>
          <x:t xml:space="preserve">Financing / Dilution Per Share</x:t>
        </x:is>
      </x:c>
      <x:c r="I436" s="160" t="inlineStr">
        <x:is>
          <x:t xml:space="preserve">Stewardship</x:t>
        </x:is>
      </x:c>
      <x:c r="J436" s="160" t="inlineStr">
        <x:is>
          <x:t xml:space="preserve">Cash balance or revenue growth improves while financing causes material per-share value leakage.</x:t>
        </x:is>
      </x:c>
      <x:c r="K436" s="160" t="inlineStr">
        <x:is>
          <x:t xml:space="preserve">Organic growth plus acquired niche platforms</x:t>
        </x:is>
      </x:c>
      <x:c r="L436" s="160" t="inlineStr">
        <x:is>
          <x:t xml:space="preserve">Normalized FCF + acquisition-cohort ROIC</x:t>
        </x:is>
      </x:c>
      <x:c r="M436" s="160" t="inlineStr">
        <x:is>
          <x:t xml:space="preserve">WAIT FOR PRICE</x:t>
        </x:is>
      </x:c>
      <x:c r="N436" s="160" t="inlineStr">
        <x:is>
          <x:t xml:space="preserve">R-DIL-01</x:t>
        </x:is>
      </x:c>
      <x:c r="O436" s="160" t="inlineStr">
        <x:is>
          <x:t xml:space="preserve">COUNTER-EVIDENCE</x:t>
        </x:is>
      </x:c>
      <x:c r="P436" s="160" t="inlineStr">
        <x:is>
          <x:t xml:space="preserve">ROBUST</x:t>
        </x:is>
      </x:c>
      <x:c r="Q436" s="160" t="inlineStr">
        <x:is>
          <x:t xml:space="preserve">The mature simulation rule catches the stress without weakening a fatal gate; no rule relaxation is justified.</x:t>
        </x:is>
      </x:c>
      <x:c r="R436" s="160" t="inlineStr">
        <x:is>
          <x:t xml:space="preserve">Reconcile share-count growth, SBC, equity issuance, buybacks and net cash changes to per-share intrinsic value.</x:t>
        </x:is>
      </x:c>
      <x:c r="S436" s="160" t="inlineStr">
        <x:is>
          <x:t xml:space="preserve">NO</x:t>
        </x:is>
      </x:c>
      <x:c r="T436" s="160" t="inlineStr">
        <x:is>
          <x:t xml:space="preserve">COUNTER-EVIDENCE</x:t>
        </x:is>
      </x:c>
      <x:c r="U436" s="160" t="inlineStr">
        <x:is>
          <x:t xml:space="preserve">V10.5-SIM56</x:t>
        </x:is>
      </x:c>
      <x:c r="V436" s="160" t="inlineStr">
        <x:is>
          <x:t xml:space="preserve">https://market.tase.co.il/he/market_data/security/1175611/major_data</x:t>
        </x:is>
      </x:c>
      <x:c r="W436" s="160" t="inlineStr">
        <x:is>
          <x:t xml:space="preserve">NO</x:t>
        </x:is>
      </x:c>
      <x:c r="X436" s="160" t="inlineStr">
        <x:is>
          <x:t xml:space="preserve">NONE — DEVELOPMENT ONLY</x:t>
        </x:is>
      </x:c>
      <x:c r="Y436" s="160" t="inlineStr">
        <x:is>
          <x:t xml:space="preserve">Synthetic/adversarial model-development loop. No historical outcome is claimed; no accuracy point is awarded.</x:t>
        </x:is>
      </x:c>
    </x:row>
    <x:row r="437">
      <x:c r="A437" s="160" t="inlineStr">
        <x:is>
          <x:t xml:space="preserve">ML0432</x:t>
        </x:is>
      </x:c>
      <x:c r="B437" s="160" t="inlineStr">
        <x:is>
          <x:t xml:space="preserve">ARG-027</x:t>
        </x:is>
      </x:c>
      <x:c r="C437" s="160" t="inlineStr">
        <x:is>
          <x:t xml:space="preserve">Torpaz Industries</x:t>
        </x:is>
      </x:c>
      <x:c r="D437" s="160" t="inlineStr">
        <x:is>
          <x:t xml:space="preserve">TRPZ.TA</x:t>
        </x:is>
      </x:c>
      <x:c r="E437" s="160" t="inlineStr">
        <x:is>
          <x:t xml:space="preserve">Specialty Ingredients</x:t>
        </x:is>
      </x:c>
      <x:c r="F437" s="160" t="inlineStr">
        <x:is>
          <x:t xml:space="preserve">Development</x:t>
        </x:is>
      </x:c>
      <x:c r="G437" s="160" t="inlineStr">
        <x:is>
          <x:t xml:space="preserve">S16</x:t>
        </x:is>
      </x:c>
      <x:c r="H437" s="160" t="inlineStr">
        <x:is>
          <x:t xml:space="preserve">Concentration / Tail Risk</x:t>
        </x:is>
      </x:c>
      <x:c r="I437" s="160" t="inlineStr">
        <x:is>
          <x:t xml:space="preserve">Survival</x:t>
        </x:is>
      </x:c>
      <x:c r="J437" s="160" t="inlineStr">
        <x:is>
          <x:t xml:space="preserve">A concentrated supplier, geography, customer, product, patent, regulatory or technology dependency creates asymmetric permanent-loss risk.</x:t>
        </x:is>
      </x:c>
      <x:c r="K437" s="160" t="inlineStr">
        <x:is>
          <x:t xml:space="preserve">Organic growth plus acquired niche platforms</x:t>
        </x:is>
      </x:c>
      <x:c r="L437" s="160" t="inlineStr">
        <x:is>
          <x:t xml:space="preserve">Normalized FCF + acquisition-cohort ROIC</x:t>
        </x:is>
      </x:c>
      <x:c r="M437" s="160" t="inlineStr">
        <x:is>
          <x:t xml:space="preserve">WAIT FOR PRICE</x:t>
        </x:is>
      </x:c>
      <x:c r="N437" s="160" t="inlineStr">
        <x:is>
          <x:t xml:space="preserve">R-TAIL-01</x:t>
        </x:is>
      </x:c>
      <x:c r="O437" s="160" t="inlineStr">
        <x:is>
          <x:t xml:space="preserve">COUNTER-EVIDENCE</x:t>
        </x:is>
      </x:c>
      <x:c r="P437" s="160" t="inlineStr">
        <x:is>
          <x:t xml:space="preserve">ROBUST</x:t>
        </x:is>
      </x:c>
      <x:c r="Q437" s="160" t="inlineStr">
        <x:is>
          <x:t xml:space="preserve">The mature simulation rule catches the stress without weakening a fatal gate; no rule relaxation is justified.</x:t>
        </x:is>
      </x:c>
      <x:c r="R437" s="160" t="inlineStr">
        <x:is>
          <x:t xml:space="preserve">Maintain an explicit concentration/tail-risk register with probability, severity, mitigation and required margin-of-safety premium.</x:t>
        </x:is>
      </x:c>
      <x:c r="S437" s="160" t="inlineStr">
        <x:is>
          <x:t xml:space="preserve">NO</x:t>
        </x:is>
      </x:c>
      <x:c r="T437" s="160" t="inlineStr">
        <x:is>
          <x:t xml:space="preserve">COUNTER-EVIDENCE</x:t>
        </x:is>
      </x:c>
      <x:c r="U437" s="160" t="inlineStr">
        <x:is>
          <x:t xml:space="preserve">V10.5-SIM56</x:t>
        </x:is>
      </x:c>
      <x:c r="V437" s="160" t="inlineStr">
        <x:is>
          <x:t xml:space="preserve">https://market.tase.co.il/he/market_data/security/1175611/major_data</x:t>
        </x:is>
      </x:c>
      <x:c r="W437" s="160" t="inlineStr">
        <x:is>
          <x:t xml:space="preserve">NO</x:t>
        </x:is>
      </x:c>
      <x:c r="X437" s="160" t="inlineStr">
        <x:is>
          <x:t xml:space="preserve">NONE — DEVELOPMENT ONLY</x:t>
        </x:is>
      </x:c>
      <x:c r="Y437" s="160" t="inlineStr">
        <x:is>
          <x:t xml:space="preserve">Synthetic/adversarial model-development loop. No historical outcome is claimed; no accuracy point is awarded.</x:t>
        </x:is>
      </x:c>
    </x:row>
    <x:row r="438">
      <x:c r="A438" s="160" t="inlineStr">
        <x:is>
          <x:t xml:space="preserve">ML0433</x:t>
        </x:is>
      </x:c>
      <x:c r="B438" s="160" t="inlineStr">
        <x:is>
          <x:t xml:space="preserve">ARG-028</x:t>
        </x:is>
      </x:c>
      <x:c r="C438" s="160" t="inlineStr">
        <x:is>
          <x:t xml:space="preserve">Exxon Mobil</x:t>
        </x:is>
      </x:c>
      <x:c r="D438" s="160" t="inlineStr">
        <x:is>
          <x:t xml:space="preserve">XOM</x:t>
        </x:is>
      </x:c>
      <x:c r="E438" s="160" t="inlineStr">
        <x:is>
          <x:t xml:space="preserve">Energy</x:t>
        </x:is>
      </x:c>
      <x:c r="F438" s="160" t="inlineStr">
        <x:is>
          <x:t xml:space="preserve">Development</x:t>
        </x:is>
      </x:c>
      <x:c r="G438" s="160" t="inlineStr">
        <x:is>
          <x:t xml:space="preserve">S01</x:t>
        </x:is>
      </x:c>
      <x:c r="H438" s="160" t="inlineStr">
        <x:is>
          <x:t xml:space="preserve">Understanding Gate</x:t>
        </x:is>
      </x:c>
      <x:c r="I438" s="160" t="inlineStr">
        <x:is>
          <x:t xml:space="preserve">Understanding</x:t>
        </x:is>
      </x:c>
      <x:c r="J438" s="160" t="inlineStr">
        <x:is>
          <x:t xml:space="preserve">Causal engine / customer ROI chain breaks under a misleading headline KPI.</x:t>
        </x:is>
      </x:c>
      <x:c r="K438" s="160" t="inlineStr">
        <x:is>
          <x:t xml:space="preserve">Resources plus refining/chemicals integration</x:t>
        </x:is>
      </x:c>
      <x:c r="L438" s="160" t="inlineStr">
        <x:is>
          <x:t xml:space="preserve">NAV + mid-cycle FCF</x:t>
        </x:is>
      </x:c>
      <x:c r="M438" s="160" t="inlineStr">
        <x:is>
          <x:t xml:space="preserve">WATCH</x:t>
        </x:is>
      </x:c>
      <x:c r="N438" s="160" t="inlineStr">
        <x:is>
          <x:t xml:space="preserve">R-ENG-01</x:t>
        </x:is>
      </x:c>
      <x:c r="O438" s="160" t="inlineStr">
        <x:is>
          <x:t xml:space="preserve">COUNTER-EVIDENCE</x:t>
        </x:is>
      </x:c>
      <x:c r="P438" s="160" t="inlineStr">
        <x:is>
          <x:t xml:space="preserve">ROBUST</x:t>
        </x:is>
      </x:c>
      <x:c r="Q438" s="160" t="inlineStr">
        <x:is>
          <x:t xml:space="preserve">The mature simulation rule catches the stress without weakening a fatal gate; no rule relaxation is justified.</x:t>
        </x:is>
      </x:c>
      <x:c r="R438" s="160" t="inlineStr">
        <x:is>
          <x:t xml:space="preserve">Force an explicit engine tree: customer job → unit economics → revenue driver → owner-value bridge.</x:t>
        </x:is>
      </x:c>
      <x:c r="S438" s="160" t="inlineStr">
        <x:is>
          <x:t xml:space="preserve">NO</x:t>
        </x:is>
      </x:c>
      <x:c r="T438" s="160" t="inlineStr">
        <x:is>
          <x:t xml:space="preserve">COUNTER-EVIDENCE</x:t>
        </x:is>
      </x:c>
      <x:c r="U438" s="160" t="inlineStr">
        <x:is>
          <x:t xml:space="preserve">V10.5-SIM56</x:t>
        </x:is>
      </x:c>
      <x:c r="V438" s="160" t="inlineStr">
        <x:is>
          <x:t xml:space="preserve">https://corporate.exxonmobil.com/investors</x:t>
        </x:is>
      </x:c>
      <x:c r="W438" s="160" t="inlineStr">
        <x:is>
          <x:t xml:space="preserve">NO</x:t>
        </x:is>
      </x:c>
      <x:c r="X438" s="160" t="inlineStr">
        <x:is>
          <x:t xml:space="preserve">NONE — DEVELOPMENT ONLY</x:t>
        </x:is>
      </x:c>
      <x:c r="Y438" s="160" t="inlineStr">
        <x:is>
          <x:t xml:space="preserve">Synthetic/adversarial model-development loop. No historical outcome is claimed; no accuracy point is awarded.</x:t>
        </x:is>
      </x:c>
    </x:row>
    <x:row r="439">
      <x:c r="A439" s="160" t="inlineStr">
        <x:is>
          <x:t xml:space="preserve">ML0434</x:t>
        </x:is>
      </x:c>
      <x:c r="B439" s="160" t="inlineStr">
        <x:is>
          <x:t xml:space="preserve">ARG-028</x:t>
        </x:is>
      </x:c>
      <x:c r="C439" s="160" t="inlineStr">
        <x:is>
          <x:t xml:space="preserve">Exxon Mobil</x:t>
        </x:is>
      </x:c>
      <x:c r="D439" s="160" t="inlineStr">
        <x:is>
          <x:t xml:space="preserve">XOM</x:t>
        </x:is>
      </x:c>
      <x:c r="E439" s="160" t="inlineStr">
        <x:is>
          <x:t xml:space="preserve">Energy</x:t>
        </x:is>
      </x:c>
      <x:c r="F439" s="160" t="inlineStr">
        <x:is>
          <x:t xml:space="preserve">Development</x:t>
        </x:is>
      </x:c>
      <x:c r="G439" s="160" t="inlineStr">
        <x:is>
          <x:t xml:space="preserve">S02</x:t>
        </x:is>
      </x:c>
      <x:c r="H439" s="160" t="inlineStr">
        <x:is>
          <x:t xml:space="preserve">Owner Earnings Normalization</x:t>
        </x:is>
      </x:c>
      <x:c r="I439" s="160" t="inlineStr">
        <x:is>
          <x:t xml:space="preserve">Owner Earnings</x:t>
        </x:is>
      </x:c>
      <x:c r="J439" s="160" t="inlineStr">
        <x:is>
          <x:t xml:space="preserve">Reported earnings/FCF overstates economic cash because recurring reinvestment or non-cash compensation is misclassified.</x:t>
        </x:is>
      </x:c>
      <x:c r="K439" s="160" t="inlineStr">
        <x:is>
          <x:t xml:space="preserve">Resources plus refining/chemicals integration</x:t>
        </x:is>
      </x:c>
      <x:c r="L439" s="160" t="inlineStr">
        <x:is>
          <x:t xml:space="preserve">NAV + mid-cycle FCF</x:t>
        </x:is>
      </x:c>
      <x:c r="M439" s="160" t="inlineStr">
        <x:is>
          <x:t xml:space="preserve">WATCH</x:t>
        </x:is>
      </x:c>
      <x:c r="N439" s="160" t="inlineStr">
        <x:is>
          <x:t xml:space="preserve">R-OE-01</x:t>
        </x:is>
      </x:c>
      <x:c r="O439" s="160" t="inlineStr">
        <x:is>
          <x:t xml:space="preserve">COUNTER-EVIDENCE</x:t>
        </x:is>
      </x:c>
      <x:c r="P439" s="160" t="inlineStr">
        <x:is>
          <x:t xml:space="preserve">ROBUST</x:t>
        </x:is>
      </x:c>
      <x:c r="Q439" s="160" t="inlineStr">
        <x:is>
          <x:t xml:space="preserve">The mature simulation rule catches the stress without weakening a fatal gate; no rule relaxation is justified.</x:t>
        </x:is>
      </x:c>
      <x:c r="R439" s="160" t="inlineStr">
        <x:is>
          <x:t xml:space="preserve">Require a GAAP-to-economic-owner-cash bridge tailored to the business model.</x:t>
        </x:is>
      </x:c>
      <x:c r="S439" s="160" t="inlineStr">
        <x:is>
          <x:t xml:space="preserve">NO</x:t>
        </x:is>
      </x:c>
      <x:c r="T439" s="160" t="inlineStr">
        <x:is>
          <x:t xml:space="preserve">COUNTER-EVIDENCE</x:t>
        </x:is>
      </x:c>
      <x:c r="U439" s="160" t="inlineStr">
        <x:is>
          <x:t xml:space="preserve">V10.5-SIM56</x:t>
        </x:is>
      </x:c>
      <x:c r="V439" s="160" t="inlineStr">
        <x:is>
          <x:t xml:space="preserve">https://corporate.exxonmobil.com/investors</x:t>
        </x:is>
      </x:c>
      <x:c r="W439" s="160" t="inlineStr">
        <x:is>
          <x:t xml:space="preserve">NO</x:t>
        </x:is>
      </x:c>
      <x:c r="X439" s="160" t="inlineStr">
        <x:is>
          <x:t xml:space="preserve">NONE — DEVELOPMENT ONLY</x:t>
        </x:is>
      </x:c>
      <x:c r="Y439" s="160" t="inlineStr">
        <x:is>
          <x:t xml:space="preserve">Synthetic/adversarial model-development loop. No historical outcome is claimed; no accuracy point is awarded.</x:t>
        </x:is>
      </x:c>
    </x:row>
    <x:row r="440">
      <x:c r="A440" s="160" t="inlineStr">
        <x:is>
          <x:t xml:space="preserve">ML0435</x:t>
        </x:is>
      </x:c>
      <x:c r="B440" s="160" t="inlineStr">
        <x:is>
          <x:t xml:space="preserve">ARG-028</x:t>
        </x:is>
      </x:c>
      <x:c r="C440" s="160" t="inlineStr">
        <x:is>
          <x:t xml:space="preserve">Exxon Mobil</x:t>
        </x:is>
      </x:c>
      <x:c r="D440" s="160" t="inlineStr">
        <x:is>
          <x:t xml:space="preserve">XOM</x:t>
        </x:is>
      </x:c>
      <x:c r="E440" s="160" t="inlineStr">
        <x:is>
          <x:t xml:space="preserve">Energy</x:t>
        </x:is>
      </x:c>
      <x:c r="F440" s="160" t="inlineStr">
        <x:is>
          <x:t xml:space="preserve">Development</x:t>
        </x:is>
      </x:c>
      <x:c r="G440" s="160" t="inlineStr">
        <x:is>
          <x:t xml:space="preserve">S03</x:t>
        </x:is>
      </x:c>
      <x:c r="H440" s="160" t="inlineStr">
        <x:is>
          <x:t xml:space="preserve">Moat Durability</x:t>
        </x:is>
      </x:c>
      <x:c r="I440" s="160" t="inlineStr">
        <x:is>
          <x:t xml:space="preserve">Moat 2036</x:t>
        </x:is>
      </x:c>
      <x:c r="J440" s="160" t="inlineStr">
        <x:is>
          <x:t xml:space="preserve">Growth continues while switching friction, pricing power or replacement difficulty quietly weakens.</x:t>
        </x:is>
      </x:c>
      <x:c r="K440" s="160" t="inlineStr">
        <x:is>
          <x:t xml:space="preserve">Resources plus refining/chemicals integration</x:t>
        </x:is>
      </x:c>
      <x:c r="L440" s="160" t="inlineStr">
        <x:is>
          <x:t xml:space="preserve">NAV + mid-cycle FCF</x:t>
        </x:is>
      </x:c>
      <x:c r="M440" s="160" t="inlineStr">
        <x:is>
          <x:t xml:space="preserve">WATCH</x:t>
        </x:is>
      </x:c>
      <x:c r="N440" s="160" t="inlineStr">
        <x:is>
          <x:t xml:space="preserve">R-MOAT-01</x:t>
        </x:is>
      </x:c>
      <x:c r="O440" s="160" t="inlineStr">
        <x:is>
          <x:t xml:space="preserve">COUNTER-EVIDENCE</x:t>
        </x:is>
      </x:c>
      <x:c r="P440" s="160" t="inlineStr">
        <x:is>
          <x:t xml:space="preserve">ROBUST</x:t>
        </x:is>
      </x:c>
      <x:c r="Q440" s="160" t="inlineStr">
        <x:is>
          <x:t xml:space="preserve">The mature simulation rule catches the stress without weakening a fatal gate; no rule relaxation is justified.</x:t>
        </x:is>
      </x:c>
      <x:c r="R440" s="160" t="inlineStr">
        <x:is>
          <x:t xml:space="preserve">Track moat telemetry separately from growth: retention, pricing, win/loss, replacement friction, installed-base behavior.</x:t>
        </x:is>
      </x:c>
      <x:c r="S440" s="160" t="inlineStr">
        <x:is>
          <x:t xml:space="preserve">NO</x:t>
        </x:is>
      </x:c>
      <x:c r="T440" s="160" t="inlineStr">
        <x:is>
          <x:t xml:space="preserve">COUNTER-EVIDENCE</x:t>
        </x:is>
      </x:c>
      <x:c r="U440" s="160" t="inlineStr">
        <x:is>
          <x:t xml:space="preserve">V10.5-SIM56</x:t>
        </x:is>
      </x:c>
      <x:c r="V440" s="160" t="inlineStr">
        <x:is>
          <x:t xml:space="preserve">https://corporate.exxonmobil.com/investors</x:t>
        </x:is>
      </x:c>
      <x:c r="W440" s="160" t="inlineStr">
        <x:is>
          <x:t xml:space="preserve">NO</x:t>
        </x:is>
      </x:c>
      <x:c r="X440" s="160" t="inlineStr">
        <x:is>
          <x:t xml:space="preserve">NONE — DEVELOPMENT ONLY</x:t>
        </x:is>
      </x:c>
      <x:c r="Y440" s="160" t="inlineStr">
        <x:is>
          <x:t xml:space="preserve">Synthetic/adversarial model-development loop. No historical outcome is claimed; no accuracy point is awarded.</x:t>
        </x:is>
      </x:c>
    </x:row>
    <x:row r="441">
      <x:c r="A441" s="160" t="inlineStr">
        <x:is>
          <x:t xml:space="preserve">ML0436</x:t>
        </x:is>
      </x:c>
      <x:c r="B441" s="160" t="inlineStr">
        <x:is>
          <x:t xml:space="preserve">ARG-028</x:t>
        </x:is>
      </x:c>
      <x:c r="C441" s="160" t="inlineStr">
        <x:is>
          <x:t xml:space="preserve">Exxon Mobil</x:t>
        </x:is>
      </x:c>
      <x:c r="D441" s="160" t="inlineStr">
        <x:is>
          <x:t xml:space="preserve">XOM</x:t>
        </x:is>
      </x:c>
      <x:c r="E441" s="160" t="inlineStr">
        <x:is>
          <x:t xml:space="preserve">Energy</x:t>
        </x:is>
      </x:c>
      <x:c r="F441" s="160" t="inlineStr">
        <x:is>
          <x:t xml:space="preserve">Development</x:t>
        </x:is>
      </x:c>
      <x:c r="G441" s="160" t="inlineStr">
        <x:is>
          <x:t xml:space="preserve">S04</x:t>
        </x:is>
      </x:c>
      <x:c r="H441" s="160" t="inlineStr">
        <x:is>
          <x:t xml:space="preserve">Stewardship / Capital Allocation</x:t>
        </x:is>
      </x:c>
      <x:c r="I441" s="160" t="inlineStr">
        <x:is>
          <x:t xml:space="preserve">Stewardship</x:t>
        </x:is>
      </x:c>
      <x:c r="J441" s="160" t="inlineStr">
        <x:is>
          <x:t xml:space="preserve">Management creates enterprise growth while destroying per-share value through M&amp;A, dilution, leverage or mistimed buybacks.</x:t>
        </x:is>
      </x:c>
      <x:c r="K441" s="160" t="inlineStr">
        <x:is>
          <x:t xml:space="preserve">Resources plus refining/chemicals integration</x:t>
        </x:is>
      </x:c>
      <x:c r="L441" s="160" t="inlineStr">
        <x:is>
          <x:t xml:space="preserve">NAV + mid-cycle FCF</x:t>
        </x:is>
      </x:c>
      <x:c r="M441" s="160" t="inlineStr">
        <x:is>
          <x:t xml:space="preserve">WATCH</x:t>
        </x:is>
      </x:c>
      <x:c r="N441" s="160" t="inlineStr">
        <x:is>
          <x:t xml:space="preserve">R-STEW-01</x:t>
        </x:is>
      </x:c>
      <x:c r="O441" s="160" t="inlineStr">
        <x:is>
          <x:t xml:space="preserve">COUNTER-EVIDENCE</x:t>
        </x:is>
      </x:c>
      <x:c r="P441" s="160" t="inlineStr">
        <x:is>
          <x:t xml:space="preserve">ROBUST</x:t>
        </x:is>
      </x:c>
      <x:c r="Q441" s="160" t="inlineStr">
        <x:is>
          <x:t xml:space="preserve">The mature simulation rule catches the stress without weakening a fatal gate; no rule relaxation is justified.</x:t>
        </x:is>
      </x:c>
      <x:c r="R441" s="160" t="inlineStr">
        <x:is>
          <x:t xml:space="preserve">Evaluate capital allocation on a per-share basis using acquisition cohorts, dilution, leverage and repurchase price discipline.</x:t>
        </x:is>
      </x:c>
      <x:c r="S441" s="160" t="inlineStr">
        <x:is>
          <x:t xml:space="preserve">NO</x:t>
        </x:is>
      </x:c>
      <x:c r="T441" s="160" t="inlineStr">
        <x:is>
          <x:t xml:space="preserve">COUNTER-EVIDENCE</x:t>
        </x:is>
      </x:c>
      <x:c r="U441" s="160" t="inlineStr">
        <x:is>
          <x:t xml:space="preserve">V10.5-SIM56</x:t>
        </x:is>
      </x:c>
      <x:c r="V441" s="160" t="inlineStr">
        <x:is>
          <x:t xml:space="preserve">https://corporate.exxonmobil.com/investors</x:t>
        </x:is>
      </x:c>
      <x:c r="W441" s="160" t="inlineStr">
        <x:is>
          <x:t xml:space="preserve">NO</x:t>
        </x:is>
      </x:c>
      <x:c r="X441" s="160" t="inlineStr">
        <x:is>
          <x:t xml:space="preserve">NONE — DEVELOPMENT ONLY</x:t>
        </x:is>
      </x:c>
      <x:c r="Y441" s="160" t="inlineStr">
        <x:is>
          <x:t xml:space="preserve">Synthetic/adversarial model-development loop. No historical outcome is claimed; no accuracy point is awarded.</x:t>
        </x:is>
      </x:c>
    </x:row>
    <x:row r="442">
      <x:c r="A442" s="160" t="inlineStr">
        <x:is>
          <x:t xml:space="preserve">ML0437</x:t>
        </x:is>
      </x:c>
      <x:c r="B442" s="160" t="inlineStr">
        <x:is>
          <x:t xml:space="preserve">ARG-028</x:t>
        </x:is>
      </x:c>
      <x:c r="C442" s="160" t="inlineStr">
        <x:is>
          <x:t xml:space="preserve">Exxon Mobil</x:t>
        </x:is>
      </x:c>
      <x:c r="D442" s="160" t="inlineStr">
        <x:is>
          <x:t xml:space="preserve">XOM</x:t>
        </x:is>
      </x:c>
      <x:c r="E442" s="160" t="inlineStr">
        <x:is>
          <x:t xml:space="preserve">Energy</x:t>
        </x:is>
      </x:c>
      <x:c r="F442" s="160" t="inlineStr">
        <x:is>
          <x:t xml:space="preserve">Development</x:t>
        </x:is>
      </x:c>
      <x:c r="G442" s="160" t="inlineStr">
        <x:is>
          <x:t xml:space="preserve">S05</x:t>
        </x:is>
      </x:c>
      <x:c r="H442" s="160" t="inlineStr">
        <x:is>
          <x:t xml:space="preserve">Survival / Funding</x:t>
        </x:is>
      </x:c>
      <x:c r="I442" s="160" t="inlineStr">
        <x:is>
          <x:t xml:space="preserve">Survival</x:t>
        </x:is>
      </x:c>
      <x:c r="J442" s="160" t="inlineStr">
        <x:is>
          <x:t xml:space="preserve">A plausible bear case exposes refinancing, liquidity, covenant, reserve, regulatory or operational fragility.</x:t>
        </x:is>
      </x:c>
      <x:c r="K442" s="160" t="inlineStr">
        <x:is>
          <x:t xml:space="preserve">Resources plus refining/chemicals integration</x:t>
        </x:is>
      </x:c>
      <x:c r="L442" s="160" t="inlineStr">
        <x:is>
          <x:t xml:space="preserve">NAV + mid-cycle FCF</x:t>
        </x:is>
      </x:c>
      <x:c r="M442" s="160" t="inlineStr">
        <x:is>
          <x:t xml:space="preserve">WATCH</x:t>
        </x:is>
      </x:c>
      <x:c r="N442" s="160" t="inlineStr">
        <x:is>
          <x:t xml:space="preserve">R-SURV-01</x:t>
        </x:is>
      </x:c>
      <x:c r="O442" s="160" t="inlineStr">
        <x:is>
          <x:t xml:space="preserve">COUNTER-EVIDENCE</x:t>
        </x:is>
      </x:c>
      <x:c r="P442" s="160" t="inlineStr">
        <x:is>
          <x:t xml:space="preserve">ROBUST</x:t>
        </x:is>
      </x:c>
      <x:c r="Q442" s="160" t="inlineStr">
        <x:is>
          <x:t xml:space="preserve">The mature simulation rule catches the stress without weakening a fatal gate; no rule relaxation is justified.</x:t>
        </x:is>
      </x:c>
      <x:c r="R442" s="160" t="inlineStr">
        <x:is>
          <x:t xml:space="preserve">Run a company-specific survival bridge under a severe-but-plausible bear case before any upside underwriting.</x:t>
        </x:is>
      </x:c>
      <x:c r="S442" s="160" t="inlineStr">
        <x:is>
          <x:t xml:space="preserve">NO</x:t>
        </x:is>
      </x:c>
      <x:c r="T442" s="160" t="inlineStr">
        <x:is>
          <x:t xml:space="preserve">COUNTER-EVIDENCE</x:t>
        </x:is>
      </x:c>
      <x:c r="U442" s="160" t="inlineStr">
        <x:is>
          <x:t xml:space="preserve">V10.5-SIM56</x:t>
        </x:is>
      </x:c>
      <x:c r="V442" s="160" t="inlineStr">
        <x:is>
          <x:t xml:space="preserve">https://corporate.exxonmobil.com/investors</x:t>
        </x:is>
      </x:c>
      <x:c r="W442" s="160" t="inlineStr">
        <x:is>
          <x:t xml:space="preserve">NO</x:t>
        </x:is>
      </x:c>
      <x:c r="X442" s="160" t="inlineStr">
        <x:is>
          <x:t xml:space="preserve">NONE — DEVELOPMENT ONLY</x:t>
        </x:is>
      </x:c>
      <x:c r="Y442" s="160" t="inlineStr">
        <x:is>
          <x:t xml:space="preserve">Synthetic/adversarial model-development loop. No historical outcome is claimed; no accuracy point is awarded.</x:t>
        </x:is>
      </x:c>
    </x:row>
    <x:row r="443">
      <x:c r="A443" s="160" t="inlineStr">
        <x:is>
          <x:t xml:space="preserve">ML0438</x:t>
        </x:is>
      </x:c>
      <x:c r="B443" s="160" t="inlineStr">
        <x:is>
          <x:t xml:space="preserve">ARG-028</x:t>
        </x:is>
      </x:c>
      <x:c r="C443" s="160" t="inlineStr">
        <x:is>
          <x:t xml:space="preserve">Exxon Mobil</x:t>
        </x:is>
      </x:c>
      <x:c r="D443" s="160" t="inlineStr">
        <x:is>
          <x:t xml:space="preserve">XOM</x:t>
        </x:is>
      </x:c>
      <x:c r="E443" s="160" t="inlineStr">
        <x:is>
          <x:t xml:space="preserve">Energy</x:t>
        </x:is>
      </x:c>
      <x:c r="F443" s="160" t="inlineStr">
        <x:is>
          <x:t xml:space="preserve">Development</x:t>
        </x:is>
      </x:c>
      <x:c r="G443" s="160" t="inlineStr">
        <x:is>
          <x:t xml:space="preserve">S06</x:t>
        </x:is>
      </x:c>
      <x:c r="H443" s="160" t="inlineStr">
        <x:is>
          <x:t xml:space="preserve">Margin of Safety</x:t>
        </x:is>
      </x:c>
      <x:c r="I443" s="160" t="inlineStr">
        <x:is>
          <x:t xml:space="preserve">Margin of Safety</x:t>
        </x:is>
      </x:c>
      <x:c r="J443" s="160" t="inlineStr">
        <x:is>
          <x:t xml:space="preserve">Business quality is high but the price embeds a fragile bull case.</x:t>
        </x:is>
      </x:c>
      <x:c r="K443" s="160" t="inlineStr">
        <x:is>
          <x:t xml:space="preserve">Resources plus refining/chemicals integration</x:t>
        </x:is>
      </x:c>
      <x:c r="L443" s="160" t="inlineStr">
        <x:is>
          <x:t xml:space="preserve">NAV + mid-cycle FCF</x:t>
        </x:is>
      </x:c>
      <x:c r="M443" s="160" t="inlineStr">
        <x:is>
          <x:t xml:space="preserve">WATCH</x:t>
        </x:is>
      </x:c>
      <x:c r="N443" s="160" t="inlineStr">
        <x:is>
          <x:t xml:space="preserve">R-MOS-01</x:t>
        </x:is>
      </x:c>
      <x:c r="O443" s="160" t="inlineStr">
        <x:is>
          <x:t xml:space="preserve">COUNTER-EVIDENCE</x:t>
        </x:is>
      </x:c>
      <x:c r="P443" s="160" t="inlineStr">
        <x:is>
          <x:t xml:space="preserve">ROBUST</x:t>
        </x:is>
      </x:c>
      <x:c r="Q443" s="160" t="inlineStr">
        <x:is>
          <x:t xml:space="preserve">The mature simulation rule catches the stress without weakening a fatal gate; no rule relaxation is justified.</x:t>
        </x:is>
      </x:c>
      <x:c r="R443" s="160" t="inlineStr">
        <x:is>
          <x:t xml:space="preserve">Separate business-quality score from price decision; require reverse valuation and bear/base/bull IV ranges.</x:t>
        </x:is>
      </x:c>
      <x:c r="S443" s="160" t="inlineStr">
        <x:is>
          <x:t xml:space="preserve">NO</x:t>
        </x:is>
      </x:c>
      <x:c r="T443" s="160" t="inlineStr">
        <x:is>
          <x:t xml:space="preserve">COUNTER-EVIDENCE</x:t>
        </x:is>
      </x:c>
      <x:c r="U443" s="160" t="inlineStr">
        <x:is>
          <x:t xml:space="preserve">V10.5-SIM56</x:t>
        </x:is>
      </x:c>
      <x:c r="V443" s="160" t="inlineStr">
        <x:is>
          <x:t xml:space="preserve">https://corporate.exxonmobil.com/investors</x:t>
        </x:is>
      </x:c>
      <x:c r="W443" s="160" t="inlineStr">
        <x:is>
          <x:t xml:space="preserve">NO</x:t>
        </x:is>
      </x:c>
      <x:c r="X443" s="160" t="inlineStr">
        <x:is>
          <x:t xml:space="preserve">NONE — DEVELOPMENT ONLY</x:t>
        </x:is>
      </x:c>
      <x:c r="Y443" s="160" t="inlineStr">
        <x:is>
          <x:t xml:space="preserve">Synthetic/adversarial model-development loop. No historical outcome is claimed; no accuracy point is awarded.</x:t>
        </x:is>
      </x:c>
    </x:row>
    <x:row r="444">
      <x:c r="A444" s="160" t="inlineStr">
        <x:is>
          <x:t xml:space="preserve">ML0439</x:t>
        </x:is>
      </x:c>
      <x:c r="B444" s="160" t="inlineStr">
        <x:is>
          <x:t xml:space="preserve">ARG-028</x:t>
        </x:is>
      </x:c>
      <x:c r="C444" s="160" t="inlineStr">
        <x:is>
          <x:t xml:space="preserve">Exxon Mobil</x:t>
        </x:is>
      </x:c>
      <x:c r="D444" s="160" t="inlineStr">
        <x:is>
          <x:t xml:space="preserve">XOM</x:t>
        </x:is>
      </x:c>
      <x:c r="E444" s="160" t="inlineStr">
        <x:is>
          <x:t xml:space="preserve">Energy</x:t>
        </x:is>
      </x:c>
      <x:c r="F444" s="160" t="inlineStr">
        <x:is>
          <x:t xml:space="preserve">Development</x:t>
        </x:is>
      </x:c>
      <x:c r="G444" s="160" t="inlineStr">
        <x:is>
          <x:t xml:space="preserve">S07</x:t>
        </x:is>
      </x:c>
      <x:c r="H444" s="160" t="inlineStr">
        <x:is>
          <x:t xml:space="preserve">Sector Shock</x:t>
        </x:is>
      </x:c>
      <x:c r="I444" s="160" t="inlineStr">
        <x:is>
          <x:t xml:space="preserve">Sector-specific</x:t>
        </x:is>
      </x:c>
      <x:c r="J444" s="160" t="inlineStr">
        <x:is>
          <x:t xml:space="preserve">Commodity prices fall toward mid-cycle while sustaining capex and balance-sheet commitments remain fixed.</x:t>
        </x:is>
      </x:c>
      <x:c r="K444" s="160" t="inlineStr">
        <x:is>
          <x:t xml:space="preserve">Resources plus refining/chemicals integration</x:t>
        </x:is>
      </x:c>
      <x:c r="L444" s="160" t="inlineStr">
        <x:is>
          <x:t xml:space="preserve">NAV + mid-cycle FCF</x:t>
        </x:is>
      </x:c>
      <x:c r="M444" s="160" t="inlineStr">
        <x:is>
          <x:t xml:space="preserve">WATCH</x:t>
        </x:is>
      </x:c>
      <x:c r="N444" s="160" t="inlineStr">
        <x:is>
          <x:t xml:space="preserve">R-SECTOR-ENERGY</x:t>
        </x:is>
      </x:c>
      <x:c r="O444" s="160" t="inlineStr">
        <x:is>
          <x:t xml:space="preserve">UNFORMED</x:t>
        </x:is>
      </x:c>
      <x:c r="P444" s="160" t="inlineStr">
        <x:is>
          <x:t xml:space="preserve">FAILURE EXPOSED</x:t>
        </x:is>
      </x:c>
      <x:c r="Q444" s="160" t="inlineStr">
        <x:is>
          <x:t xml:space="preserve">The frozen V10 gate family is directionally right, but the test lacks a sufficiently explicit mechanical implementation.</x:t>
        </x:is>
      </x:c>
      <x:c r="R444" s="160" t="inlineStr">
        <x:is>
          <x:t xml:space="preserve">Add a sector-specific transmission map with leading operating sensors, not only market-price variables. Sector rule: Commodity prices fall toward mid-cycle while sustaining capex and balance-sheet commitments remain fixed.</x:t>
        </x:is>
      </x:c>
      <x:c r="S444" s="160" t="inlineStr">
        <x:is>
          <x:t xml:space="preserve">NO</x:t>
        </x:is>
      </x:c>
      <x:c r="T444" s="160" t="inlineStr">
        <x:is>
          <x:t xml:space="preserve">UNFORMED</x:t>
        </x:is>
      </x:c>
      <x:c r="U444" s="160" t="inlineStr">
        <x:is>
          <x:t xml:space="preserve">V10.5-SIM56</x:t>
        </x:is>
      </x:c>
      <x:c r="V444" s="160" t="inlineStr">
        <x:is>
          <x:t xml:space="preserve">https://corporate.exxonmobil.com/investors</x:t>
        </x:is>
      </x:c>
      <x:c r="W444" s="160" t="inlineStr">
        <x:is>
          <x:t xml:space="preserve">NO</x:t>
        </x:is>
      </x:c>
      <x:c r="X444" s="160" t="inlineStr">
        <x:is>
          <x:t xml:space="preserve">NONE — DEVELOPMENT ONLY</x:t>
        </x:is>
      </x:c>
      <x:c r="Y444" s="160" t="inlineStr">
        <x:is>
          <x:t xml:space="preserve">Synthetic/adversarial model-development loop. No historical outcome is claimed; no accuracy point is awarded.</x:t>
        </x:is>
      </x:c>
    </x:row>
    <x:row r="445">
      <x:c r="A445" s="160" t="inlineStr">
        <x:is>
          <x:t xml:space="preserve">ML0440</x:t>
        </x:is>
      </x:c>
      <x:c r="B445" s="160" t="inlineStr">
        <x:is>
          <x:t xml:space="preserve">ARG-028</x:t>
        </x:is>
      </x:c>
      <x:c r="C445" s="160" t="inlineStr">
        <x:is>
          <x:t xml:space="preserve">Exxon Mobil</x:t>
        </x:is>
      </x:c>
      <x:c r="D445" s="160" t="inlineStr">
        <x:is>
          <x:t xml:space="preserve">XOM</x:t>
        </x:is>
      </x:c>
      <x:c r="E445" s="160" t="inlineStr">
        <x:is>
          <x:t xml:space="preserve">Energy</x:t>
        </x:is>
      </x:c>
      <x:c r="F445" s="160" t="inlineStr">
        <x:is>
          <x:t xml:space="preserve">Development</x:t>
        </x:is>
      </x:c>
      <x:c r="G445" s="160" t="inlineStr">
        <x:is>
          <x:t xml:space="preserve">S08</x:t>
        </x:is>
      </x:c>
      <x:c r="H445" s="160" t="inlineStr">
        <x:is>
          <x:t xml:space="preserve">Management Promise Reliability</x:t>
        </x:is>
      </x:c>
      <x:c r="I445" s="160" t="inlineStr">
        <x:is>
          <x:t xml:space="preserve">Management over-trust</x:t>
        </x:is>
      </x:c>
      <x:c r="J445" s="160" t="inlineStr">
        <x:is>
          <x:t xml:space="preserve">Guidance or strategic promises are repeated but the model lacks a contemporaneous reliability score.</x:t>
        </x:is>
      </x:c>
      <x:c r="K445" s="160" t="inlineStr">
        <x:is>
          <x:t xml:space="preserve">Resources plus refining/chemicals integration</x:t>
        </x:is>
      </x:c>
      <x:c r="L445" s="160" t="inlineStr">
        <x:is>
          <x:t xml:space="preserve">NAV + mid-cycle FCF</x:t>
        </x:is>
      </x:c>
      <x:c r="M445" s="160" t="inlineStr">
        <x:is>
          <x:t xml:space="preserve">WATCH</x:t>
        </x:is>
      </x:c>
      <x:c r="N445" s="160" t="inlineStr">
        <x:is>
          <x:t xml:space="preserve">R-PROM-01</x:t>
        </x:is>
      </x:c>
      <x:c r="O445" s="160" t="inlineStr">
        <x:is>
          <x:t xml:space="preserve">COUNTER-EVIDENCE</x:t>
        </x:is>
      </x:c>
      <x:c r="P445" s="160" t="inlineStr">
        <x:is>
          <x:t xml:space="preserve">ROBUST</x:t>
        </x:is>
      </x:c>
      <x:c r="Q445" s="160" t="inlineStr">
        <x:is>
          <x:t xml:space="preserve">The mature simulation rule catches the stress without weakening a fatal gate; no rule relaxation is justified.</x:t>
        </x:is>
      </x:c>
      <x:c r="R445" s="160" t="inlineStr">
        <x:is>
          <x:t xml:space="preserve">Use a promises ledger with dated promise, measurable deliverable, due date, outcome and credibility weight.</x:t>
        </x:is>
      </x:c>
      <x:c r="S445" s="160" t="inlineStr">
        <x:is>
          <x:t xml:space="preserve">NO</x:t>
        </x:is>
      </x:c>
      <x:c r="T445" s="160" t="inlineStr">
        <x:is>
          <x:t xml:space="preserve">COUNTER-EVIDENCE</x:t>
        </x:is>
      </x:c>
      <x:c r="U445" s="160" t="inlineStr">
        <x:is>
          <x:t xml:space="preserve">V10.5-SIM56</x:t>
        </x:is>
      </x:c>
      <x:c r="V445" s="160" t="inlineStr">
        <x:is>
          <x:t xml:space="preserve">https://corporate.exxonmobil.com/investors</x:t>
        </x:is>
      </x:c>
      <x:c r="W445" s="160" t="inlineStr">
        <x:is>
          <x:t xml:space="preserve">NO</x:t>
        </x:is>
      </x:c>
      <x:c r="X445" s="160" t="inlineStr">
        <x:is>
          <x:t xml:space="preserve">NONE — DEVELOPMENT ONLY</x:t>
        </x:is>
      </x:c>
      <x:c r="Y445" s="160" t="inlineStr">
        <x:is>
          <x:t xml:space="preserve">Synthetic/adversarial model-development loop. No historical outcome is claimed; no accuracy point is awarded.</x:t>
        </x:is>
      </x:c>
    </x:row>
    <x:row r="446">
      <x:c r="A446" s="160" t="inlineStr">
        <x:is>
          <x:t xml:space="preserve">ML0441</x:t>
        </x:is>
      </x:c>
      <x:c r="B446" s="160" t="inlineStr">
        <x:is>
          <x:t xml:space="preserve">ARG-028</x:t>
        </x:is>
      </x:c>
      <x:c r="C446" s="160" t="inlineStr">
        <x:is>
          <x:t xml:space="preserve">Exxon Mobil</x:t>
        </x:is>
      </x:c>
      <x:c r="D446" s="160" t="inlineStr">
        <x:is>
          <x:t xml:space="preserve">XOM</x:t>
        </x:is>
      </x:c>
      <x:c r="E446" s="160" t="inlineStr">
        <x:is>
          <x:t xml:space="preserve">Energy</x:t>
        </x:is>
      </x:c>
      <x:c r="F446" s="160" t="inlineStr">
        <x:is>
          <x:t xml:space="preserve">Development</x:t>
        </x:is>
      </x:c>
      <x:c r="G446" s="160" t="inlineStr">
        <x:is>
          <x:t xml:space="preserve">S09</x:t>
        </x:is>
      </x:c>
      <x:c r="H446" s="160" t="inlineStr">
        <x:is>
          <x:t xml:space="preserve">Data / Accounting Quality</x:t>
        </x:is>
      </x:c>
      <x:c r="I446" s="160" t="inlineStr">
        <x:is>
          <x:t xml:space="preserve">Data quality</x:t>
        </x:is>
      </x:c>
      <x:c r="J446" s="160" t="inlineStr">
        <x:is>
          <x:t xml:space="preserve">Restatement, segment reclassification, one-time item or non-economic fair-value movement distorts the apparent trend.</x:t>
        </x:is>
      </x:c>
      <x:c r="K446" s="160" t="inlineStr">
        <x:is>
          <x:t xml:space="preserve">Resources plus refining/chemicals integration</x:t>
        </x:is>
      </x:c>
      <x:c r="L446" s="160" t="inlineStr">
        <x:is>
          <x:t xml:space="preserve">NAV + mid-cycle FCF</x:t>
        </x:is>
      </x:c>
      <x:c r="M446" s="160" t="inlineStr">
        <x:is>
          <x:t xml:space="preserve">WATCH</x:t>
        </x:is>
      </x:c>
      <x:c r="N446" s="160" t="inlineStr">
        <x:is>
          <x:t xml:space="preserve">R-DATA-01</x:t>
        </x:is>
      </x:c>
      <x:c r="O446" s="160" t="inlineStr">
        <x:is>
          <x:t xml:space="preserve">COUNTER-EVIDENCE</x:t>
        </x:is>
      </x:c>
      <x:c r="P446" s="160" t="inlineStr">
        <x:is>
          <x:t xml:space="preserve">ROBUST</x:t>
        </x:is>
      </x:c>
      <x:c r="Q446" s="160" t="inlineStr">
        <x:is>
          <x:t xml:space="preserve">The mature simulation rule catches the stress without weakening a fatal gate; no rule relaxation is justified.</x:t>
        </x:is>
      </x:c>
      <x:c r="R446" s="160" t="inlineStr">
        <x:is>
          <x:t xml:space="preserve">Add a reporting-quality bridge and normalize accounting noise before any gate can pass.</x:t>
        </x:is>
      </x:c>
      <x:c r="S446" s="160" t="inlineStr">
        <x:is>
          <x:t xml:space="preserve">NO</x:t>
        </x:is>
      </x:c>
      <x:c r="T446" s="160" t="inlineStr">
        <x:is>
          <x:t xml:space="preserve">COUNTER-EVIDENCE</x:t>
        </x:is>
      </x:c>
      <x:c r="U446" s="160" t="inlineStr">
        <x:is>
          <x:t xml:space="preserve">V10.5-SIM56</x:t>
        </x:is>
      </x:c>
      <x:c r="V446" s="160" t="inlineStr">
        <x:is>
          <x:t xml:space="preserve">https://corporate.exxonmobil.com/investors</x:t>
        </x:is>
      </x:c>
      <x:c r="W446" s="160" t="inlineStr">
        <x:is>
          <x:t xml:space="preserve">NO</x:t>
        </x:is>
      </x:c>
      <x:c r="X446" s="160" t="inlineStr">
        <x:is>
          <x:t xml:space="preserve">NONE — DEVELOPMENT ONLY</x:t>
        </x:is>
      </x:c>
      <x:c r="Y446" s="160" t="inlineStr">
        <x:is>
          <x:t xml:space="preserve">Synthetic/adversarial model-development loop. No historical outcome is claimed; no accuracy point is awarded.</x:t>
        </x:is>
      </x:c>
    </x:row>
    <x:row r="447">
      <x:c r="A447" s="160" t="inlineStr">
        <x:is>
          <x:t xml:space="preserve">ML0442</x:t>
        </x:is>
      </x:c>
      <x:c r="B447" s="160" t="inlineStr">
        <x:is>
          <x:t xml:space="preserve">ARG-028</x:t>
        </x:is>
      </x:c>
      <x:c r="C447" s="160" t="inlineStr">
        <x:is>
          <x:t xml:space="preserve">Exxon Mobil</x:t>
        </x:is>
      </x:c>
      <x:c r="D447" s="160" t="inlineStr">
        <x:is>
          <x:t xml:space="preserve">XOM</x:t>
        </x:is>
      </x:c>
      <x:c r="E447" s="160" t="inlineStr">
        <x:is>
          <x:t xml:space="preserve">Energy</x:t>
        </x:is>
      </x:c>
      <x:c r="F447" s="160" t="inlineStr">
        <x:is>
          <x:t xml:space="preserve">Development</x:t>
        </x:is>
      </x:c>
      <x:c r="G447" s="160" t="inlineStr">
        <x:is>
          <x:t xml:space="preserve">S10</x:t>
        </x:is>
      </x:c>
      <x:c r="H447" s="160" t="inlineStr">
        <x:is>
          <x:t xml:space="preserve">Control / Counterfactual</x:t>
        </x:is>
      </x:c>
      <x:c r="I447" s="160" t="inlineStr">
        <x:is>
          <x:t xml:space="preserve">Sector beta vs company alpha</x:t>
        </x:is>
      </x:c>
      <x:c r="J447" s="160" t="inlineStr">
        <x:is>
          <x:t xml:space="preserve">A positive outcome is mostly sector beta or macro tailwind, not company-specific alpha.</x:t>
        </x:is>
      </x:c>
      <x:c r="K447" s="160" t="inlineStr">
        <x:is>
          <x:t xml:space="preserve">Resources plus refining/chemicals integration</x:t>
        </x:is>
      </x:c>
      <x:c r="L447" s="160" t="inlineStr">
        <x:is>
          <x:t xml:space="preserve">NAV + mid-cycle FCF</x:t>
        </x:is>
      </x:c>
      <x:c r="M447" s="160" t="inlineStr">
        <x:is>
          <x:t xml:space="preserve">WATCH</x:t>
        </x:is>
      </x:c>
      <x:c r="N447" s="160" t="inlineStr">
        <x:is>
          <x:t xml:space="preserve">R-CF-01</x:t>
        </x:is>
      </x:c>
      <x:c r="O447" s="160" t="inlineStr">
        <x:is>
          <x:t xml:space="preserve">COUNTER-EVIDENCE</x:t>
        </x:is>
      </x:c>
      <x:c r="P447" s="160" t="inlineStr">
        <x:is>
          <x:t xml:space="preserve">ROBUST</x:t>
        </x:is>
      </x:c>
      <x:c r="Q447" s="160" t="inlineStr">
        <x:is>
          <x:t xml:space="preserve">The mature simulation rule catches the stress without weakening a fatal gate; no rule relaxation is justified.</x:t>
        </x:is>
      </x:c>
      <x:c r="R447" s="160" t="inlineStr">
        <x:is>
          <x:t xml:space="preserve">Require a true economic control and counterfactual: what should have happened to a comparable company under the same shock?</x:t>
        </x:is>
      </x:c>
      <x:c r="S447" s="160" t="inlineStr">
        <x:is>
          <x:t xml:space="preserve">NO</x:t>
        </x:is>
      </x:c>
      <x:c r="T447" s="160" t="inlineStr">
        <x:is>
          <x:t xml:space="preserve">COUNTER-EVIDENCE</x:t>
        </x:is>
      </x:c>
      <x:c r="U447" s="160" t="inlineStr">
        <x:is>
          <x:t xml:space="preserve">V10.5-SIM56</x:t>
        </x:is>
      </x:c>
      <x:c r="V447" s="160" t="inlineStr">
        <x:is>
          <x:t xml:space="preserve">https://corporate.exxonmobil.com/investors</x:t>
        </x:is>
      </x:c>
      <x:c r="W447" s="160" t="inlineStr">
        <x:is>
          <x:t xml:space="preserve">NO</x:t>
        </x:is>
      </x:c>
      <x:c r="X447" s="160" t="inlineStr">
        <x:is>
          <x:t xml:space="preserve">NONE — DEVELOPMENT ONLY</x:t>
        </x:is>
      </x:c>
      <x:c r="Y447" s="160" t="inlineStr">
        <x:is>
          <x:t xml:space="preserve">Synthetic/adversarial model-development loop. No historical outcome is claimed; no accuracy point is awarded.</x:t>
        </x:is>
      </x:c>
    </x:row>
    <x:row r="448">
      <x:c r="A448" s="160" t="inlineStr">
        <x:is>
          <x:t xml:space="preserve">ML0443</x:t>
        </x:is>
      </x:c>
      <x:c r="B448" s="160" t="inlineStr">
        <x:is>
          <x:t xml:space="preserve">ARG-028</x:t>
        </x:is>
      </x:c>
      <x:c r="C448" s="160" t="inlineStr">
        <x:is>
          <x:t xml:space="preserve">Exxon Mobil</x:t>
        </x:is>
      </x:c>
      <x:c r="D448" s="160" t="inlineStr">
        <x:is>
          <x:t xml:space="preserve">XOM</x:t>
        </x:is>
      </x:c>
      <x:c r="E448" s="160" t="inlineStr">
        <x:is>
          <x:t xml:space="preserve">Energy</x:t>
        </x:is>
      </x:c>
      <x:c r="F448" s="160" t="inlineStr">
        <x:is>
          <x:t xml:space="preserve">Development</x:t>
        </x:is>
      </x:c>
      <x:c r="G448" s="160" t="inlineStr">
        <x:is>
          <x:t xml:space="preserve">S11</x:t>
        </x:is>
      </x:c>
      <x:c r="H448" s="160" t="inlineStr">
        <x:is>
          <x:t xml:space="preserve">False-Negative Discipline</x:t>
        </x:is>
      </x:c>
      <x:c r="I448" s="160" t="inlineStr">
        <x:is>
          <x:t xml:space="preserve">False negative</x:t>
        </x:is>
      </x:c>
      <x:c r="J448" s="160" t="inlineStr">
        <x:is>
          <x:t xml:space="preserve">A strict gate rejects a company that later compounds strongly for reasons the model could have known.</x:t>
        </x:is>
      </x:c>
      <x:c r="K448" s="160" t="inlineStr">
        <x:is>
          <x:t xml:space="preserve">Resources plus refining/chemicals integration</x:t>
        </x:is>
      </x:c>
      <x:c r="L448" s="160" t="inlineStr">
        <x:is>
          <x:t xml:space="preserve">NAV + mid-cycle FCF</x:t>
        </x:is>
      </x:c>
      <x:c r="M448" s="160" t="inlineStr">
        <x:is>
          <x:t xml:space="preserve">WATCH</x:t>
        </x:is>
      </x:c>
      <x:c r="N448" s="160" t="inlineStr">
        <x:is>
          <x:t xml:space="preserve">R-FN-01</x:t>
        </x:is>
      </x:c>
      <x:c r="O448" s="160" t="inlineStr">
        <x:is>
          <x:t xml:space="preserve">COUNTER-EVIDENCE</x:t>
        </x:is>
      </x:c>
      <x:c r="P448" s="160" t="inlineStr">
        <x:is>
          <x:t xml:space="preserve">ROBUST</x:t>
        </x:is>
      </x:c>
      <x:c r="Q448" s="160" t="inlineStr">
        <x:is>
          <x:t xml:space="preserve">The mature simulation rule catches the stress without weakening a fatal gate; no rule relaxation is justified.</x:t>
        </x:is>
      </x:c>
      <x:c r="R448" s="160" t="inlineStr">
        <x:is>
          <x:t xml:space="preserve">Track opportunity cost and classify whether the miss came from evidence timing, wrong threshold or genuinely unknowable upside.</x:t>
        </x:is>
      </x:c>
      <x:c r="S448" s="160" t="inlineStr">
        <x:is>
          <x:t xml:space="preserve">NO</x:t>
        </x:is>
      </x:c>
      <x:c r="T448" s="160" t="inlineStr">
        <x:is>
          <x:t xml:space="preserve">COUNTER-EVIDENCE</x:t>
        </x:is>
      </x:c>
      <x:c r="U448" s="160" t="inlineStr">
        <x:is>
          <x:t xml:space="preserve">V10.5-SIM56</x:t>
        </x:is>
      </x:c>
      <x:c r="V448" s="160" t="inlineStr">
        <x:is>
          <x:t xml:space="preserve">https://corporate.exxonmobil.com/investors</x:t>
        </x:is>
      </x:c>
      <x:c r="W448" s="160" t="inlineStr">
        <x:is>
          <x:t xml:space="preserve">NO</x:t>
        </x:is>
      </x:c>
      <x:c r="X448" s="160" t="inlineStr">
        <x:is>
          <x:t xml:space="preserve">NONE — DEVELOPMENT ONLY</x:t>
        </x:is>
      </x:c>
      <x:c r="Y448" s="160" t="inlineStr">
        <x:is>
          <x:t xml:space="preserve">Synthetic/adversarial model-development loop. No historical outcome is claimed; no accuracy point is awarded.</x:t>
        </x:is>
      </x:c>
    </x:row>
    <x:row r="449">
      <x:c r="A449" s="160" t="inlineStr">
        <x:is>
          <x:t xml:space="preserve">ML0444</x:t>
        </x:is>
      </x:c>
      <x:c r="B449" s="160" t="inlineStr">
        <x:is>
          <x:t xml:space="preserve">ARG-028</x:t>
        </x:is>
      </x:c>
      <x:c r="C449" s="160" t="inlineStr">
        <x:is>
          <x:t xml:space="preserve">Exxon Mobil</x:t>
        </x:is>
      </x:c>
      <x:c r="D449" s="160" t="inlineStr">
        <x:is>
          <x:t xml:space="preserve">XOM</x:t>
        </x:is>
      </x:c>
      <x:c r="E449" s="160" t="inlineStr">
        <x:is>
          <x:t xml:space="preserve">Energy</x:t>
        </x:is>
      </x:c>
      <x:c r="F449" s="160" t="inlineStr">
        <x:is>
          <x:t xml:space="preserve">Development</x:t>
        </x:is>
      </x:c>
      <x:c r="G449" s="160" t="inlineStr">
        <x:is>
          <x:t xml:space="preserve">S12</x:t>
        </x:is>
      </x:c>
      <x:c r="H449" s="160" t="inlineStr">
        <x:is>
          <x:t xml:space="preserve">Lead-Time / Early Sensor</x:t>
        </x:is>
      </x:c>
      <x:c r="I449" s="160" t="inlineStr">
        <x:is>
          <x:t xml:space="preserve">Timing / lead-time</x:t>
        </x:is>
      </x:c>
      <x:c r="J449" s="160" t="inlineStr">
        <x:is>
          <x:t xml:space="preserve">ARGUS identifies the change correctly but only after consensus and price have already reacted.</x:t>
        </x:is>
      </x:c>
      <x:c r="K449" s="160" t="inlineStr">
        <x:is>
          <x:t xml:space="preserve">Resources plus refining/chemicals integration</x:t>
        </x:is>
      </x:c>
      <x:c r="L449" s="160" t="inlineStr">
        <x:is>
          <x:t xml:space="preserve">NAV + mid-cycle FCF</x:t>
        </x:is>
      </x:c>
      <x:c r="M449" s="160" t="inlineStr">
        <x:is>
          <x:t xml:space="preserve">WATCH</x:t>
        </x:is>
      </x:c>
      <x:c r="N449" s="160" t="inlineStr">
        <x:is>
          <x:t xml:space="preserve">R-TIME-01</x:t>
        </x:is>
      </x:c>
      <x:c r="O449" s="160" t="inlineStr">
        <x:is>
          <x:t xml:space="preserve">COUNTER-EVIDENCE</x:t>
        </x:is>
      </x:c>
      <x:c r="P449" s="160" t="inlineStr">
        <x:is>
          <x:t xml:space="preserve">ROBUST</x:t>
        </x:is>
      </x:c>
      <x:c r="Q449" s="160" t="inlineStr">
        <x:is>
          <x:t xml:space="preserve">The mature simulation rule catches the stress without weakening a fatal gate; no rule relaxation is justified.</x:t>
        </x:is>
      </x:c>
      <x:c r="R449" s="160" t="inlineStr">
        <x:is>
          <x:t xml:space="preserve">Replace lagging financial metrics with earlier causal operating sensors and record lead time separately from correctness.</x:t>
        </x:is>
      </x:c>
      <x:c r="S449" s="160" t="inlineStr">
        <x:is>
          <x:t xml:space="preserve">NO</x:t>
        </x:is>
      </x:c>
      <x:c r="T449" s="160" t="inlineStr">
        <x:is>
          <x:t xml:space="preserve">COUNTER-EVIDENCE</x:t>
        </x:is>
      </x:c>
      <x:c r="U449" s="160" t="inlineStr">
        <x:is>
          <x:t xml:space="preserve">V10.5-SIM56</x:t>
        </x:is>
      </x:c>
      <x:c r="V449" s="160" t="inlineStr">
        <x:is>
          <x:t xml:space="preserve">https://corporate.exxonmobil.com/investors</x:t>
        </x:is>
      </x:c>
      <x:c r="W449" s="160" t="inlineStr">
        <x:is>
          <x:t xml:space="preserve">NO</x:t>
        </x:is>
      </x:c>
      <x:c r="X449" s="160" t="inlineStr">
        <x:is>
          <x:t xml:space="preserve">NONE — DEVELOPMENT ONLY</x:t>
        </x:is>
      </x:c>
      <x:c r="Y449" s="160" t="inlineStr">
        <x:is>
          <x:t xml:space="preserve">Synthetic/adversarial model-development loop. No historical outcome is claimed; no accuracy point is awarded.</x:t>
        </x:is>
      </x:c>
    </x:row>
    <x:row r="450">
      <x:c r="A450" s="160" t="inlineStr">
        <x:is>
          <x:t xml:space="preserve">ML0445</x:t>
        </x:is>
      </x:c>
      <x:c r="B450" s="160" t="inlineStr">
        <x:is>
          <x:t xml:space="preserve">ARG-028</x:t>
        </x:is>
      </x:c>
      <x:c r="C450" s="160" t="inlineStr">
        <x:is>
          <x:t xml:space="preserve">Exxon Mobil</x:t>
        </x:is>
      </x:c>
      <x:c r="D450" s="160" t="inlineStr">
        <x:is>
          <x:t xml:space="preserve">XOM</x:t>
        </x:is>
      </x:c>
      <x:c r="E450" s="160" t="inlineStr">
        <x:is>
          <x:t xml:space="preserve">Energy</x:t>
        </x:is>
      </x:c>
      <x:c r="F450" s="160" t="inlineStr">
        <x:is>
          <x:t xml:space="preserve">Development</x:t>
        </x:is>
      </x:c>
      <x:c r="G450" s="160" t="inlineStr">
        <x:is>
          <x:t xml:space="preserve">S13</x:t>
        </x:is>
      </x:c>
      <x:c r="H450" s="160" t="inlineStr">
        <x:is>
          <x:t xml:space="preserve">Cycle Normalization</x:t>
        </x:is>
      </x:c>
      <x:c r="I450" s="160" t="inlineStr">
        <x:is>
          <x:t xml:space="preserve">Wrong valuation lens</x:t>
        </x:is>
      </x:c>
      <x:c r="J450" s="160" t="inlineStr">
        <x:is>
          <x:t xml:space="preserve">Peak/trough earnings are mistaken for normalized earning power.</x:t>
        </x:is>
      </x:c>
      <x:c r="K450" s="160" t="inlineStr">
        <x:is>
          <x:t xml:space="preserve">Resources plus refining/chemicals integration</x:t>
        </x:is>
      </x:c>
      <x:c r="L450" s="160" t="inlineStr">
        <x:is>
          <x:t xml:space="preserve">NAV + mid-cycle FCF</x:t>
        </x:is>
      </x:c>
      <x:c r="M450" s="160" t="inlineStr">
        <x:is>
          <x:t xml:space="preserve">WATCH</x:t>
        </x:is>
      </x:c>
      <x:c r="N450" s="160" t="inlineStr">
        <x:is>
          <x:t xml:space="preserve">R-CYCLE-01</x:t>
        </x:is>
      </x:c>
      <x:c r="O450" s="160" t="inlineStr">
        <x:is>
          <x:t xml:space="preserve">COUNTER-EVIDENCE</x:t>
        </x:is>
      </x:c>
      <x:c r="P450" s="160" t="inlineStr">
        <x:is>
          <x:t xml:space="preserve">ROBUST</x:t>
        </x:is>
      </x:c>
      <x:c r="Q450" s="160" t="inlineStr">
        <x:is>
          <x:t xml:space="preserve">The mature simulation rule catches the stress without weakening a fatal gate; no rule relaxation is justified.</x:t>
        </x:is>
      </x:c>
      <x:c r="R450" s="160" t="inlineStr">
        <x:is>
          <x:t xml:space="preserve">Use sector-specific mid-cycle/NAV/rate-base/rNPV normalization before applying a valuation multiple.</x:t>
        </x:is>
      </x:c>
      <x:c r="S450" s="160" t="inlineStr">
        <x:is>
          <x:t xml:space="preserve">NO</x:t>
        </x:is>
      </x:c>
      <x:c r="T450" s="160" t="inlineStr">
        <x:is>
          <x:t xml:space="preserve">COUNTER-EVIDENCE</x:t>
        </x:is>
      </x:c>
      <x:c r="U450" s="160" t="inlineStr">
        <x:is>
          <x:t xml:space="preserve">V10.5-SIM56</x:t>
        </x:is>
      </x:c>
      <x:c r="V450" s="160" t="inlineStr">
        <x:is>
          <x:t xml:space="preserve">https://corporate.exxonmobil.com/investors</x:t>
        </x:is>
      </x:c>
      <x:c r="W450" s="160" t="inlineStr">
        <x:is>
          <x:t xml:space="preserve">NO</x:t>
        </x:is>
      </x:c>
      <x:c r="X450" s="160" t="inlineStr">
        <x:is>
          <x:t xml:space="preserve">NONE — DEVELOPMENT ONLY</x:t>
        </x:is>
      </x:c>
      <x:c r="Y450" s="160" t="inlineStr">
        <x:is>
          <x:t xml:space="preserve">Synthetic/adversarial model-development loop. No historical outcome is claimed; no accuracy point is awarded.</x:t>
        </x:is>
      </x:c>
    </x:row>
    <x:row r="451">
      <x:c r="A451" s="160" t="inlineStr">
        <x:is>
          <x:t xml:space="preserve">ML0446</x:t>
        </x:is>
      </x:c>
      <x:c r="B451" s="160" t="inlineStr">
        <x:is>
          <x:t xml:space="preserve">ARG-028</x:t>
        </x:is>
      </x:c>
      <x:c r="C451" s="160" t="inlineStr">
        <x:is>
          <x:t xml:space="preserve">Exxon Mobil</x:t>
        </x:is>
      </x:c>
      <x:c r="D451" s="160" t="inlineStr">
        <x:is>
          <x:t xml:space="preserve">XOM</x:t>
        </x:is>
      </x:c>
      <x:c r="E451" s="160" t="inlineStr">
        <x:is>
          <x:t xml:space="preserve">Energy</x:t>
        </x:is>
      </x:c>
      <x:c r="F451" s="160" t="inlineStr">
        <x:is>
          <x:t xml:space="preserve">Development</x:t>
        </x:is>
      </x:c>
      <x:c r="G451" s="160" t="inlineStr">
        <x:is>
          <x:t xml:space="preserve">S14</x:t>
        </x:is>
      </x:c>
      <x:c r="H451" s="160" t="inlineStr">
        <x:is>
          <x:t xml:space="preserve">M&amp;A / Organic Growth Separation</x:t>
        </x:is>
      </x:c>
      <x:c r="I451" s="160" t="inlineStr">
        <x:is>
          <x:t xml:space="preserve">Stewardship</x:t>
        </x:is>
      </x:c>
      <x:c r="J451" s="160" t="inlineStr">
        <x:is>
          <x:t xml:space="preserve">Acquisition-driven growth masks weak organic economics or poor incremental ROIC.</x:t>
        </x:is>
      </x:c>
      <x:c r="K451" s="160" t="inlineStr">
        <x:is>
          <x:t xml:space="preserve">Resources plus refining/chemicals integration</x:t>
        </x:is>
      </x:c>
      <x:c r="L451" s="160" t="inlineStr">
        <x:is>
          <x:t xml:space="preserve">NAV + mid-cycle FCF</x:t>
        </x:is>
      </x:c>
      <x:c r="M451" s="160" t="inlineStr">
        <x:is>
          <x:t xml:space="preserve">WATCH</x:t>
        </x:is>
      </x:c>
      <x:c r="N451" s="160" t="inlineStr">
        <x:is>
          <x:t xml:space="preserve">R-MA-01</x:t>
        </x:is>
      </x:c>
      <x:c r="O451" s="160" t="inlineStr">
        <x:is>
          <x:t xml:space="preserve">COUNTER-EVIDENCE</x:t>
        </x:is>
      </x:c>
      <x:c r="P451" s="160" t="inlineStr">
        <x:is>
          <x:t xml:space="preserve">ROBUST</x:t>
        </x:is>
      </x:c>
      <x:c r="Q451" s="160" t="inlineStr">
        <x:is>
          <x:t xml:space="preserve">The mature simulation rule catches the stress without weakening a fatal gate; no rule relaxation is justified.</x:t>
        </x:is>
      </x:c>
      <x:c r="R451" s="160" t="inlineStr">
        <x:is>
          <x:t xml:space="preserve">Bridge organic growth, acquired growth, purchase price, integration costs and acquisition-cohort ROIC.</x:t>
        </x:is>
      </x:c>
      <x:c r="S451" s="160" t="inlineStr">
        <x:is>
          <x:t xml:space="preserve">NO</x:t>
        </x:is>
      </x:c>
      <x:c r="T451" s="160" t="inlineStr">
        <x:is>
          <x:t xml:space="preserve">COUNTER-EVIDENCE</x:t>
        </x:is>
      </x:c>
      <x:c r="U451" s="160" t="inlineStr">
        <x:is>
          <x:t xml:space="preserve">V10.5-SIM56</x:t>
        </x:is>
      </x:c>
      <x:c r="V451" s="160" t="inlineStr">
        <x:is>
          <x:t xml:space="preserve">https://corporate.exxonmobil.com/investors</x:t>
        </x:is>
      </x:c>
      <x:c r="W451" s="160" t="inlineStr">
        <x:is>
          <x:t xml:space="preserve">NO</x:t>
        </x:is>
      </x:c>
      <x:c r="X451" s="160" t="inlineStr">
        <x:is>
          <x:t xml:space="preserve">NONE — DEVELOPMENT ONLY</x:t>
        </x:is>
      </x:c>
      <x:c r="Y451" s="160" t="inlineStr">
        <x:is>
          <x:t xml:space="preserve">Synthetic/adversarial model-development loop. No historical outcome is claimed; no accuracy point is awarded.</x:t>
        </x:is>
      </x:c>
    </x:row>
    <x:row r="452">
      <x:c r="A452" s="160" t="inlineStr">
        <x:is>
          <x:t xml:space="preserve">ML0447</x:t>
        </x:is>
      </x:c>
      <x:c r="B452" s="160" t="inlineStr">
        <x:is>
          <x:t xml:space="preserve">ARG-028</x:t>
        </x:is>
      </x:c>
      <x:c r="C452" s="160" t="inlineStr">
        <x:is>
          <x:t xml:space="preserve">Exxon Mobil</x:t>
        </x:is>
      </x:c>
      <x:c r="D452" s="160" t="inlineStr">
        <x:is>
          <x:t xml:space="preserve">XOM</x:t>
        </x:is>
      </x:c>
      <x:c r="E452" s="160" t="inlineStr">
        <x:is>
          <x:t xml:space="preserve">Energy</x:t>
        </x:is>
      </x:c>
      <x:c r="F452" s="160" t="inlineStr">
        <x:is>
          <x:t xml:space="preserve">Development</x:t>
        </x:is>
      </x:c>
      <x:c r="G452" s="160" t="inlineStr">
        <x:is>
          <x:t xml:space="preserve">S15</x:t>
        </x:is>
      </x:c>
      <x:c r="H452" s="160" t="inlineStr">
        <x:is>
          <x:t xml:space="preserve">Financing / Dilution Per Share</x:t>
        </x:is>
      </x:c>
      <x:c r="I452" s="160" t="inlineStr">
        <x:is>
          <x:t xml:space="preserve">Stewardship</x:t>
        </x:is>
      </x:c>
      <x:c r="J452" s="160" t="inlineStr">
        <x:is>
          <x:t xml:space="preserve">Cash balance or revenue growth improves while financing causes material per-share value leakage.</x:t>
        </x:is>
      </x:c>
      <x:c r="K452" s="160" t="inlineStr">
        <x:is>
          <x:t xml:space="preserve">Resources plus refining/chemicals integration</x:t>
        </x:is>
      </x:c>
      <x:c r="L452" s="160" t="inlineStr">
        <x:is>
          <x:t xml:space="preserve">NAV + mid-cycle FCF</x:t>
        </x:is>
      </x:c>
      <x:c r="M452" s="160" t="inlineStr">
        <x:is>
          <x:t xml:space="preserve">WATCH</x:t>
        </x:is>
      </x:c>
      <x:c r="N452" s="160" t="inlineStr">
        <x:is>
          <x:t xml:space="preserve">R-DIL-01</x:t>
        </x:is>
      </x:c>
      <x:c r="O452" s="160" t="inlineStr">
        <x:is>
          <x:t xml:space="preserve">COUNTER-EVIDENCE</x:t>
        </x:is>
      </x:c>
      <x:c r="P452" s="160" t="inlineStr">
        <x:is>
          <x:t xml:space="preserve">ROBUST</x:t>
        </x:is>
      </x:c>
      <x:c r="Q452" s="160" t="inlineStr">
        <x:is>
          <x:t xml:space="preserve">The mature simulation rule catches the stress without weakening a fatal gate; no rule relaxation is justified.</x:t>
        </x:is>
      </x:c>
      <x:c r="R452" s="160" t="inlineStr">
        <x:is>
          <x:t xml:space="preserve">Reconcile share-count growth, SBC, equity issuance, buybacks and net cash changes to per-share intrinsic value.</x:t>
        </x:is>
      </x:c>
      <x:c r="S452" s="160" t="inlineStr">
        <x:is>
          <x:t xml:space="preserve">NO</x:t>
        </x:is>
      </x:c>
      <x:c r="T452" s="160" t="inlineStr">
        <x:is>
          <x:t xml:space="preserve">COUNTER-EVIDENCE</x:t>
        </x:is>
      </x:c>
      <x:c r="U452" s="160" t="inlineStr">
        <x:is>
          <x:t xml:space="preserve">V10.5-SIM56</x:t>
        </x:is>
      </x:c>
      <x:c r="V452" s="160" t="inlineStr">
        <x:is>
          <x:t xml:space="preserve">https://corporate.exxonmobil.com/investors</x:t>
        </x:is>
      </x:c>
      <x:c r="W452" s="160" t="inlineStr">
        <x:is>
          <x:t xml:space="preserve">NO</x:t>
        </x:is>
      </x:c>
      <x:c r="X452" s="160" t="inlineStr">
        <x:is>
          <x:t xml:space="preserve">NONE — DEVELOPMENT ONLY</x:t>
        </x:is>
      </x:c>
      <x:c r="Y452" s="160" t="inlineStr">
        <x:is>
          <x:t xml:space="preserve">Synthetic/adversarial model-development loop. No historical outcome is claimed; no accuracy point is awarded.</x:t>
        </x:is>
      </x:c>
    </x:row>
    <x:row r="453">
      <x:c r="A453" s="160" t="inlineStr">
        <x:is>
          <x:t xml:space="preserve">ML0448</x:t>
        </x:is>
      </x:c>
      <x:c r="B453" s="160" t="inlineStr">
        <x:is>
          <x:t xml:space="preserve">ARG-028</x:t>
        </x:is>
      </x:c>
      <x:c r="C453" s="160" t="inlineStr">
        <x:is>
          <x:t xml:space="preserve">Exxon Mobil</x:t>
        </x:is>
      </x:c>
      <x:c r="D453" s="160" t="inlineStr">
        <x:is>
          <x:t xml:space="preserve">XOM</x:t>
        </x:is>
      </x:c>
      <x:c r="E453" s="160" t="inlineStr">
        <x:is>
          <x:t xml:space="preserve">Energy</x:t>
        </x:is>
      </x:c>
      <x:c r="F453" s="160" t="inlineStr">
        <x:is>
          <x:t xml:space="preserve">Development</x:t>
        </x:is>
      </x:c>
      <x:c r="G453" s="160" t="inlineStr">
        <x:is>
          <x:t xml:space="preserve">S16</x:t>
        </x:is>
      </x:c>
      <x:c r="H453" s="160" t="inlineStr">
        <x:is>
          <x:t xml:space="preserve">Concentration / Tail Risk</x:t>
        </x:is>
      </x:c>
      <x:c r="I453" s="160" t="inlineStr">
        <x:is>
          <x:t xml:space="preserve">Survival</x:t>
        </x:is>
      </x:c>
      <x:c r="J453" s="160" t="inlineStr">
        <x:is>
          <x:t xml:space="preserve">A concentrated supplier, geography, customer, product, patent, regulatory or technology dependency creates asymmetric permanent-loss risk.</x:t>
        </x:is>
      </x:c>
      <x:c r="K453" s="160" t="inlineStr">
        <x:is>
          <x:t xml:space="preserve">Resources plus refining/chemicals integration</x:t>
        </x:is>
      </x:c>
      <x:c r="L453" s="160" t="inlineStr">
        <x:is>
          <x:t xml:space="preserve">NAV + mid-cycle FCF</x:t>
        </x:is>
      </x:c>
      <x:c r="M453" s="160" t="inlineStr">
        <x:is>
          <x:t xml:space="preserve">WATCH</x:t>
        </x:is>
      </x:c>
      <x:c r="N453" s="160" t="inlineStr">
        <x:is>
          <x:t xml:space="preserve">R-TAIL-01</x:t>
        </x:is>
      </x:c>
      <x:c r="O453" s="160" t="inlineStr">
        <x:is>
          <x:t xml:space="preserve">COUNTER-EVIDENCE</x:t>
        </x:is>
      </x:c>
      <x:c r="P453" s="160" t="inlineStr">
        <x:is>
          <x:t xml:space="preserve">ROBUST</x:t>
        </x:is>
      </x:c>
      <x:c r="Q453" s="160" t="inlineStr">
        <x:is>
          <x:t xml:space="preserve">The mature simulation rule catches the stress without weakening a fatal gate; no rule relaxation is justified.</x:t>
        </x:is>
      </x:c>
      <x:c r="R453" s="160" t="inlineStr">
        <x:is>
          <x:t xml:space="preserve">Maintain an explicit concentration/tail-risk register with probability, severity, mitigation and required margin-of-safety premium.</x:t>
        </x:is>
      </x:c>
      <x:c r="S453" s="160" t="inlineStr">
        <x:is>
          <x:t xml:space="preserve">NO</x:t>
        </x:is>
      </x:c>
      <x:c r="T453" s="160" t="inlineStr">
        <x:is>
          <x:t xml:space="preserve">COUNTER-EVIDENCE</x:t>
        </x:is>
      </x:c>
      <x:c r="U453" s="160" t="inlineStr">
        <x:is>
          <x:t xml:space="preserve">V10.5-SIM56</x:t>
        </x:is>
      </x:c>
      <x:c r="V453" s="160" t="inlineStr">
        <x:is>
          <x:t xml:space="preserve">https://corporate.exxonmobil.com/investors</x:t>
        </x:is>
      </x:c>
      <x:c r="W453" s="160" t="inlineStr">
        <x:is>
          <x:t xml:space="preserve">NO</x:t>
        </x:is>
      </x:c>
      <x:c r="X453" s="160" t="inlineStr">
        <x:is>
          <x:t xml:space="preserve">NONE — DEVELOPMENT ONLY</x:t>
        </x:is>
      </x:c>
      <x:c r="Y453" s="160" t="inlineStr">
        <x:is>
          <x:t xml:space="preserve">Synthetic/adversarial model-development loop. No historical outcome is claimed; no accuracy point is awarded.</x:t>
        </x:is>
      </x:c>
    </x:row>
    <x:row r="454">
      <x:c r="A454" s="160" t="inlineStr">
        <x:is>
          <x:t xml:space="preserve">ML0449</x:t>
        </x:is>
      </x:c>
      <x:c r="B454" s="160" t="inlineStr">
        <x:is>
          <x:t xml:space="preserve">ARG-029</x:t>
        </x:is>
      </x:c>
      <x:c r="C454" s="160" t="inlineStr">
        <x:is>
          <x:t xml:space="preserve">Chevron</x:t>
        </x:is>
      </x:c>
      <x:c r="D454" s="160" t="inlineStr">
        <x:is>
          <x:t xml:space="preserve">CVX</x:t>
        </x:is>
      </x:c>
      <x:c r="E454" s="160" t="inlineStr">
        <x:is>
          <x:t xml:space="preserve">Energy</x:t>
        </x:is>
      </x:c>
      <x:c r="F454" s="160" t="inlineStr">
        <x:is>
          <x:t xml:space="preserve">Development</x:t>
        </x:is>
      </x:c>
      <x:c r="G454" s="160" t="inlineStr">
        <x:is>
          <x:t xml:space="preserve">S01</x:t>
        </x:is>
      </x:c>
      <x:c r="H454" s="160" t="inlineStr">
        <x:is>
          <x:t xml:space="preserve">Understanding Gate</x:t>
        </x:is>
      </x:c>
      <x:c r="I454" s="160" t="inlineStr">
        <x:is>
          <x:t xml:space="preserve">Understanding</x:t>
        </x:is>
      </x:c>
      <x:c r="J454" s="160" t="inlineStr">
        <x:is>
          <x:t xml:space="preserve">Causal engine / customer ROI chain breaks under a misleading headline KPI.</x:t>
        </x:is>
      </x:c>
      <x:c r="K454" s="160" t="inlineStr">
        <x:is>
          <x:t xml:space="preserve">Resources plus integrated downstream cash flows</x:t>
        </x:is>
      </x:c>
      <x:c r="L454" s="160" t="inlineStr">
        <x:is>
          <x:t xml:space="preserve">NAV + mid-cycle FCF</x:t>
        </x:is>
      </x:c>
      <x:c r="M454" s="160" t="inlineStr">
        <x:is>
          <x:t xml:space="preserve">WATCH</x:t>
        </x:is>
      </x:c>
      <x:c r="N454" s="160" t="inlineStr">
        <x:is>
          <x:t xml:space="preserve">R-ENG-01</x:t>
        </x:is>
      </x:c>
      <x:c r="O454" s="160" t="inlineStr">
        <x:is>
          <x:t xml:space="preserve">COUNTER-EVIDENCE</x:t>
        </x:is>
      </x:c>
      <x:c r="P454" s="160" t="inlineStr">
        <x:is>
          <x:t xml:space="preserve">ROBUST</x:t>
        </x:is>
      </x:c>
      <x:c r="Q454" s="160" t="inlineStr">
        <x:is>
          <x:t xml:space="preserve">The mature simulation rule catches the stress without weakening a fatal gate; no rule relaxation is justified.</x:t>
        </x:is>
      </x:c>
      <x:c r="R454" s="160" t="inlineStr">
        <x:is>
          <x:t xml:space="preserve">Force an explicit engine tree: customer job → unit economics → revenue driver → owner-value bridge.</x:t>
        </x:is>
      </x:c>
      <x:c r="S454" s="160" t="inlineStr">
        <x:is>
          <x:t xml:space="preserve">NO</x:t>
        </x:is>
      </x:c>
      <x:c r="T454" s="160" t="inlineStr">
        <x:is>
          <x:t xml:space="preserve">COUNTER-EVIDENCE</x:t>
        </x:is>
      </x:c>
      <x:c r="U454" s="160" t="inlineStr">
        <x:is>
          <x:t xml:space="preserve">V10.5-SIM56</x:t>
        </x:is>
      </x:c>
      <x:c r="V454" s="160" t="inlineStr">
        <x:is>
          <x:t xml:space="preserve">https://www.chevron.com/investors</x:t>
        </x:is>
      </x:c>
      <x:c r="W454" s="160" t="inlineStr">
        <x:is>
          <x:t xml:space="preserve">NO</x:t>
        </x:is>
      </x:c>
      <x:c r="X454" s="160" t="inlineStr">
        <x:is>
          <x:t xml:space="preserve">NONE — DEVELOPMENT ONLY</x:t>
        </x:is>
      </x:c>
      <x:c r="Y454" s="160" t="inlineStr">
        <x:is>
          <x:t xml:space="preserve">Synthetic/adversarial model-development loop. No historical outcome is claimed; no accuracy point is awarded.</x:t>
        </x:is>
      </x:c>
    </x:row>
    <x:row r="455">
      <x:c r="A455" s="160" t="inlineStr">
        <x:is>
          <x:t xml:space="preserve">ML0450</x:t>
        </x:is>
      </x:c>
      <x:c r="B455" s="160" t="inlineStr">
        <x:is>
          <x:t xml:space="preserve">ARG-029</x:t>
        </x:is>
      </x:c>
      <x:c r="C455" s="160" t="inlineStr">
        <x:is>
          <x:t xml:space="preserve">Chevron</x:t>
        </x:is>
      </x:c>
      <x:c r="D455" s="160" t="inlineStr">
        <x:is>
          <x:t xml:space="preserve">CVX</x:t>
        </x:is>
      </x:c>
      <x:c r="E455" s="160" t="inlineStr">
        <x:is>
          <x:t xml:space="preserve">Energy</x:t>
        </x:is>
      </x:c>
      <x:c r="F455" s="160" t="inlineStr">
        <x:is>
          <x:t xml:space="preserve">Development</x:t>
        </x:is>
      </x:c>
      <x:c r="G455" s="160" t="inlineStr">
        <x:is>
          <x:t xml:space="preserve">S02</x:t>
        </x:is>
      </x:c>
      <x:c r="H455" s="160" t="inlineStr">
        <x:is>
          <x:t xml:space="preserve">Owner Earnings Normalization</x:t>
        </x:is>
      </x:c>
      <x:c r="I455" s="160" t="inlineStr">
        <x:is>
          <x:t xml:space="preserve">Owner Earnings</x:t>
        </x:is>
      </x:c>
      <x:c r="J455" s="160" t="inlineStr">
        <x:is>
          <x:t xml:space="preserve">Reported earnings/FCF overstates economic cash because recurring reinvestment or non-cash compensation is misclassified.</x:t>
        </x:is>
      </x:c>
      <x:c r="K455" s="160" t="inlineStr">
        <x:is>
          <x:t xml:space="preserve">Resources plus integrated downstream cash flows</x:t>
        </x:is>
      </x:c>
      <x:c r="L455" s="160" t="inlineStr">
        <x:is>
          <x:t xml:space="preserve">NAV + mid-cycle FCF</x:t>
        </x:is>
      </x:c>
      <x:c r="M455" s="160" t="inlineStr">
        <x:is>
          <x:t xml:space="preserve">WATCH</x:t>
        </x:is>
      </x:c>
      <x:c r="N455" s="160" t="inlineStr">
        <x:is>
          <x:t xml:space="preserve">R-OE-01</x:t>
        </x:is>
      </x:c>
      <x:c r="O455" s="160" t="inlineStr">
        <x:is>
          <x:t xml:space="preserve">COUNTER-EVIDENCE</x:t>
        </x:is>
      </x:c>
      <x:c r="P455" s="160" t="inlineStr">
        <x:is>
          <x:t xml:space="preserve">ROBUST</x:t>
        </x:is>
      </x:c>
      <x:c r="Q455" s="160" t="inlineStr">
        <x:is>
          <x:t xml:space="preserve">The mature simulation rule catches the stress without weakening a fatal gate; no rule relaxation is justified.</x:t>
        </x:is>
      </x:c>
      <x:c r="R455" s="160" t="inlineStr">
        <x:is>
          <x:t xml:space="preserve">Require a GAAP-to-economic-owner-cash bridge tailored to the business model.</x:t>
        </x:is>
      </x:c>
      <x:c r="S455" s="160" t="inlineStr">
        <x:is>
          <x:t xml:space="preserve">NO</x:t>
        </x:is>
      </x:c>
      <x:c r="T455" s="160" t="inlineStr">
        <x:is>
          <x:t xml:space="preserve">COUNTER-EVIDENCE</x:t>
        </x:is>
      </x:c>
      <x:c r="U455" s="160" t="inlineStr">
        <x:is>
          <x:t xml:space="preserve">V10.5-SIM56</x:t>
        </x:is>
      </x:c>
      <x:c r="V455" s="160" t="inlineStr">
        <x:is>
          <x:t xml:space="preserve">https://www.chevron.com/investors</x:t>
        </x:is>
      </x:c>
      <x:c r="W455" s="160" t="inlineStr">
        <x:is>
          <x:t xml:space="preserve">NO</x:t>
        </x:is>
      </x:c>
      <x:c r="X455" s="160" t="inlineStr">
        <x:is>
          <x:t xml:space="preserve">NONE — DEVELOPMENT ONLY</x:t>
        </x:is>
      </x:c>
      <x:c r="Y455" s="160" t="inlineStr">
        <x:is>
          <x:t xml:space="preserve">Synthetic/adversarial model-development loop. No historical outcome is claimed; no accuracy point is awarded.</x:t>
        </x:is>
      </x:c>
    </x:row>
    <x:row r="456">
      <x:c r="A456" s="160" t="inlineStr">
        <x:is>
          <x:t xml:space="preserve">ML0451</x:t>
        </x:is>
      </x:c>
      <x:c r="B456" s="160" t="inlineStr">
        <x:is>
          <x:t xml:space="preserve">ARG-029</x:t>
        </x:is>
      </x:c>
      <x:c r="C456" s="160" t="inlineStr">
        <x:is>
          <x:t xml:space="preserve">Chevron</x:t>
        </x:is>
      </x:c>
      <x:c r="D456" s="160" t="inlineStr">
        <x:is>
          <x:t xml:space="preserve">CVX</x:t>
        </x:is>
      </x:c>
      <x:c r="E456" s="160" t="inlineStr">
        <x:is>
          <x:t xml:space="preserve">Energy</x:t>
        </x:is>
      </x:c>
      <x:c r="F456" s="160" t="inlineStr">
        <x:is>
          <x:t xml:space="preserve">Development</x:t>
        </x:is>
      </x:c>
      <x:c r="G456" s="160" t="inlineStr">
        <x:is>
          <x:t xml:space="preserve">S03</x:t>
        </x:is>
      </x:c>
      <x:c r="H456" s="160" t="inlineStr">
        <x:is>
          <x:t xml:space="preserve">Moat Durability</x:t>
        </x:is>
      </x:c>
      <x:c r="I456" s="160" t="inlineStr">
        <x:is>
          <x:t xml:space="preserve">Moat 2036</x:t>
        </x:is>
      </x:c>
      <x:c r="J456" s="160" t="inlineStr">
        <x:is>
          <x:t xml:space="preserve">Growth continues while switching friction, pricing power or replacement difficulty quietly weakens.</x:t>
        </x:is>
      </x:c>
      <x:c r="K456" s="160" t="inlineStr">
        <x:is>
          <x:t xml:space="preserve">Resources plus integrated downstream cash flows</x:t>
        </x:is>
      </x:c>
      <x:c r="L456" s="160" t="inlineStr">
        <x:is>
          <x:t xml:space="preserve">NAV + mid-cycle FCF</x:t>
        </x:is>
      </x:c>
      <x:c r="M456" s="160" t="inlineStr">
        <x:is>
          <x:t xml:space="preserve">WATCH</x:t>
        </x:is>
      </x:c>
      <x:c r="N456" s="160" t="inlineStr">
        <x:is>
          <x:t xml:space="preserve">R-MOAT-01</x:t>
        </x:is>
      </x:c>
      <x:c r="O456" s="160" t="inlineStr">
        <x:is>
          <x:t xml:space="preserve">COUNTER-EVIDENCE</x:t>
        </x:is>
      </x:c>
      <x:c r="P456" s="160" t="inlineStr">
        <x:is>
          <x:t xml:space="preserve">ROBUST</x:t>
        </x:is>
      </x:c>
      <x:c r="Q456" s="160" t="inlineStr">
        <x:is>
          <x:t xml:space="preserve">The mature simulation rule catches the stress without weakening a fatal gate; no rule relaxation is justified.</x:t>
        </x:is>
      </x:c>
      <x:c r="R456" s="160" t="inlineStr">
        <x:is>
          <x:t xml:space="preserve">Track moat telemetry separately from growth: retention, pricing, win/loss, replacement friction, installed-base behavior.</x:t>
        </x:is>
      </x:c>
      <x:c r="S456" s="160" t="inlineStr">
        <x:is>
          <x:t xml:space="preserve">NO</x:t>
        </x:is>
      </x:c>
      <x:c r="T456" s="160" t="inlineStr">
        <x:is>
          <x:t xml:space="preserve">COUNTER-EVIDENCE</x:t>
        </x:is>
      </x:c>
      <x:c r="U456" s="160" t="inlineStr">
        <x:is>
          <x:t xml:space="preserve">V10.5-SIM56</x:t>
        </x:is>
      </x:c>
      <x:c r="V456" s="160" t="inlineStr">
        <x:is>
          <x:t xml:space="preserve">https://www.chevron.com/investors</x:t>
        </x:is>
      </x:c>
      <x:c r="W456" s="160" t="inlineStr">
        <x:is>
          <x:t xml:space="preserve">NO</x:t>
        </x:is>
      </x:c>
      <x:c r="X456" s="160" t="inlineStr">
        <x:is>
          <x:t xml:space="preserve">NONE — DEVELOPMENT ONLY</x:t>
        </x:is>
      </x:c>
      <x:c r="Y456" s="160" t="inlineStr">
        <x:is>
          <x:t xml:space="preserve">Synthetic/adversarial model-development loop. No historical outcome is claimed; no accuracy point is awarded.</x:t>
        </x:is>
      </x:c>
    </x:row>
    <x:row r="457">
      <x:c r="A457" s="160" t="inlineStr">
        <x:is>
          <x:t xml:space="preserve">ML0452</x:t>
        </x:is>
      </x:c>
      <x:c r="B457" s="160" t="inlineStr">
        <x:is>
          <x:t xml:space="preserve">ARG-029</x:t>
        </x:is>
      </x:c>
      <x:c r="C457" s="160" t="inlineStr">
        <x:is>
          <x:t xml:space="preserve">Chevron</x:t>
        </x:is>
      </x:c>
      <x:c r="D457" s="160" t="inlineStr">
        <x:is>
          <x:t xml:space="preserve">CVX</x:t>
        </x:is>
      </x:c>
      <x:c r="E457" s="160" t="inlineStr">
        <x:is>
          <x:t xml:space="preserve">Energy</x:t>
        </x:is>
      </x:c>
      <x:c r="F457" s="160" t="inlineStr">
        <x:is>
          <x:t xml:space="preserve">Development</x:t>
        </x:is>
      </x:c>
      <x:c r="G457" s="160" t="inlineStr">
        <x:is>
          <x:t xml:space="preserve">S04</x:t>
        </x:is>
      </x:c>
      <x:c r="H457" s="160" t="inlineStr">
        <x:is>
          <x:t xml:space="preserve">Stewardship / Capital Allocation</x:t>
        </x:is>
      </x:c>
      <x:c r="I457" s="160" t="inlineStr">
        <x:is>
          <x:t xml:space="preserve">Stewardship</x:t>
        </x:is>
      </x:c>
      <x:c r="J457" s="160" t="inlineStr">
        <x:is>
          <x:t xml:space="preserve">Management creates enterprise growth while destroying per-share value through M&amp;A, dilution, leverage or mistimed buybacks.</x:t>
        </x:is>
      </x:c>
      <x:c r="K457" s="160" t="inlineStr">
        <x:is>
          <x:t xml:space="preserve">Resources plus integrated downstream cash flows</x:t>
        </x:is>
      </x:c>
      <x:c r="L457" s="160" t="inlineStr">
        <x:is>
          <x:t xml:space="preserve">NAV + mid-cycle FCF</x:t>
        </x:is>
      </x:c>
      <x:c r="M457" s="160" t="inlineStr">
        <x:is>
          <x:t xml:space="preserve">WATCH</x:t>
        </x:is>
      </x:c>
      <x:c r="N457" s="160" t="inlineStr">
        <x:is>
          <x:t xml:space="preserve">R-STEW-01</x:t>
        </x:is>
      </x:c>
      <x:c r="O457" s="160" t="inlineStr">
        <x:is>
          <x:t xml:space="preserve">COUNTER-EVIDENCE</x:t>
        </x:is>
      </x:c>
      <x:c r="P457" s="160" t="inlineStr">
        <x:is>
          <x:t xml:space="preserve">ROBUST</x:t>
        </x:is>
      </x:c>
      <x:c r="Q457" s="160" t="inlineStr">
        <x:is>
          <x:t xml:space="preserve">The mature simulation rule catches the stress without weakening a fatal gate; no rule relaxation is justified.</x:t>
        </x:is>
      </x:c>
      <x:c r="R457" s="160" t="inlineStr">
        <x:is>
          <x:t xml:space="preserve">Evaluate capital allocation on a per-share basis using acquisition cohorts, dilution, leverage and repurchase price discipline.</x:t>
        </x:is>
      </x:c>
      <x:c r="S457" s="160" t="inlineStr">
        <x:is>
          <x:t xml:space="preserve">NO</x:t>
        </x:is>
      </x:c>
      <x:c r="T457" s="160" t="inlineStr">
        <x:is>
          <x:t xml:space="preserve">COUNTER-EVIDENCE</x:t>
        </x:is>
      </x:c>
      <x:c r="U457" s="160" t="inlineStr">
        <x:is>
          <x:t xml:space="preserve">V10.5-SIM56</x:t>
        </x:is>
      </x:c>
      <x:c r="V457" s="160" t="inlineStr">
        <x:is>
          <x:t xml:space="preserve">https://www.chevron.com/investors</x:t>
        </x:is>
      </x:c>
      <x:c r="W457" s="160" t="inlineStr">
        <x:is>
          <x:t xml:space="preserve">NO</x:t>
        </x:is>
      </x:c>
      <x:c r="X457" s="160" t="inlineStr">
        <x:is>
          <x:t xml:space="preserve">NONE — DEVELOPMENT ONLY</x:t>
        </x:is>
      </x:c>
      <x:c r="Y457" s="160" t="inlineStr">
        <x:is>
          <x:t xml:space="preserve">Synthetic/adversarial model-development loop. No historical outcome is claimed; no accuracy point is awarded.</x:t>
        </x:is>
      </x:c>
    </x:row>
    <x:row r="458">
      <x:c r="A458" s="160" t="inlineStr">
        <x:is>
          <x:t xml:space="preserve">ML0453</x:t>
        </x:is>
      </x:c>
      <x:c r="B458" s="160" t="inlineStr">
        <x:is>
          <x:t xml:space="preserve">ARG-029</x:t>
        </x:is>
      </x:c>
      <x:c r="C458" s="160" t="inlineStr">
        <x:is>
          <x:t xml:space="preserve">Chevron</x:t>
        </x:is>
      </x:c>
      <x:c r="D458" s="160" t="inlineStr">
        <x:is>
          <x:t xml:space="preserve">CVX</x:t>
        </x:is>
      </x:c>
      <x:c r="E458" s="160" t="inlineStr">
        <x:is>
          <x:t xml:space="preserve">Energy</x:t>
        </x:is>
      </x:c>
      <x:c r="F458" s="160" t="inlineStr">
        <x:is>
          <x:t xml:space="preserve">Development</x:t>
        </x:is>
      </x:c>
      <x:c r="G458" s="160" t="inlineStr">
        <x:is>
          <x:t xml:space="preserve">S05</x:t>
        </x:is>
      </x:c>
      <x:c r="H458" s="160" t="inlineStr">
        <x:is>
          <x:t xml:space="preserve">Survival / Funding</x:t>
        </x:is>
      </x:c>
      <x:c r="I458" s="160" t="inlineStr">
        <x:is>
          <x:t xml:space="preserve">Survival</x:t>
        </x:is>
      </x:c>
      <x:c r="J458" s="160" t="inlineStr">
        <x:is>
          <x:t xml:space="preserve">A plausible bear case exposes refinancing, liquidity, covenant, reserve, regulatory or operational fragility.</x:t>
        </x:is>
      </x:c>
      <x:c r="K458" s="160" t="inlineStr">
        <x:is>
          <x:t xml:space="preserve">Resources plus integrated downstream cash flows</x:t>
        </x:is>
      </x:c>
      <x:c r="L458" s="160" t="inlineStr">
        <x:is>
          <x:t xml:space="preserve">NAV + mid-cycle FCF</x:t>
        </x:is>
      </x:c>
      <x:c r="M458" s="160" t="inlineStr">
        <x:is>
          <x:t xml:space="preserve">WATCH</x:t>
        </x:is>
      </x:c>
      <x:c r="N458" s="160" t="inlineStr">
        <x:is>
          <x:t xml:space="preserve">R-SURV-01</x:t>
        </x:is>
      </x:c>
      <x:c r="O458" s="160" t="inlineStr">
        <x:is>
          <x:t xml:space="preserve">COUNTER-EVIDENCE</x:t>
        </x:is>
      </x:c>
      <x:c r="P458" s="160" t="inlineStr">
        <x:is>
          <x:t xml:space="preserve">ROBUST</x:t>
        </x:is>
      </x:c>
      <x:c r="Q458" s="160" t="inlineStr">
        <x:is>
          <x:t xml:space="preserve">The mature simulation rule catches the stress without weakening a fatal gate; no rule relaxation is justified.</x:t>
        </x:is>
      </x:c>
      <x:c r="R458" s="160" t="inlineStr">
        <x:is>
          <x:t xml:space="preserve">Run a company-specific survival bridge under a severe-but-plausible bear case before any upside underwriting.</x:t>
        </x:is>
      </x:c>
      <x:c r="S458" s="160" t="inlineStr">
        <x:is>
          <x:t xml:space="preserve">NO</x:t>
        </x:is>
      </x:c>
      <x:c r="T458" s="160" t="inlineStr">
        <x:is>
          <x:t xml:space="preserve">COUNTER-EVIDENCE</x:t>
        </x:is>
      </x:c>
      <x:c r="U458" s="160" t="inlineStr">
        <x:is>
          <x:t xml:space="preserve">V10.5-SIM56</x:t>
        </x:is>
      </x:c>
      <x:c r="V458" s="160" t="inlineStr">
        <x:is>
          <x:t xml:space="preserve">https://www.chevron.com/investors</x:t>
        </x:is>
      </x:c>
      <x:c r="W458" s="160" t="inlineStr">
        <x:is>
          <x:t xml:space="preserve">NO</x:t>
        </x:is>
      </x:c>
      <x:c r="X458" s="160" t="inlineStr">
        <x:is>
          <x:t xml:space="preserve">NONE — DEVELOPMENT ONLY</x:t>
        </x:is>
      </x:c>
      <x:c r="Y458" s="160" t="inlineStr">
        <x:is>
          <x:t xml:space="preserve">Synthetic/adversarial model-development loop. No historical outcome is claimed; no accuracy point is awarded.</x:t>
        </x:is>
      </x:c>
    </x:row>
    <x:row r="459">
      <x:c r="A459" s="160" t="inlineStr">
        <x:is>
          <x:t xml:space="preserve">ML0454</x:t>
        </x:is>
      </x:c>
      <x:c r="B459" s="160" t="inlineStr">
        <x:is>
          <x:t xml:space="preserve">ARG-029</x:t>
        </x:is>
      </x:c>
      <x:c r="C459" s="160" t="inlineStr">
        <x:is>
          <x:t xml:space="preserve">Chevron</x:t>
        </x:is>
      </x:c>
      <x:c r="D459" s="160" t="inlineStr">
        <x:is>
          <x:t xml:space="preserve">CVX</x:t>
        </x:is>
      </x:c>
      <x:c r="E459" s="160" t="inlineStr">
        <x:is>
          <x:t xml:space="preserve">Energy</x:t>
        </x:is>
      </x:c>
      <x:c r="F459" s="160" t="inlineStr">
        <x:is>
          <x:t xml:space="preserve">Development</x:t>
        </x:is>
      </x:c>
      <x:c r="G459" s="160" t="inlineStr">
        <x:is>
          <x:t xml:space="preserve">S06</x:t>
        </x:is>
      </x:c>
      <x:c r="H459" s="160" t="inlineStr">
        <x:is>
          <x:t xml:space="preserve">Margin of Safety</x:t>
        </x:is>
      </x:c>
      <x:c r="I459" s="160" t="inlineStr">
        <x:is>
          <x:t xml:space="preserve">Margin of Safety</x:t>
        </x:is>
      </x:c>
      <x:c r="J459" s="160" t="inlineStr">
        <x:is>
          <x:t xml:space="preserve">Business quality is high but the price embeds a fragile bull case.</x:t>
        </x:is>
      </x:c>
      <x:c r="K459" s="160" t="inlineStr">
        <x:is>
          <x:t xml:space="preserve">Resources plus integrated downstream cash flows</x:t>
        </x:is>
      </x:c>
      <x:c r="L459" s="160" t="inlineStr">
        <x:is>
          <x:t xml:space="preserve">NAV + mid-cycle FCF</x:t>
        </x:is>
      </x:c>
      <x:c r="M459" s="160" t="inlineStr">
        <x:is>
          <x:t xml:space="preserve">WATCH</x:t>
        </x:is>
      </x:c>
      <x:c r="N459" s="160" t="inlineStr">
        <x:is>
          <x:t xml:space="preserve">R-MOS-01</x:t>
        </x:is>
      </x:c>
      <x:c r="O459" s="160" t="inlineStr">
        <x:is>
          <x:t xml:space="preserve">COUNTER-EVIDENCE</x:t>
        </x:is>
      </x:c>
      <x:c r="P459" s="160" t="inlineStr">
        <x:is>
          <x:t xml:space="preserve">ROBUST</x:t>
        </x:is>
      </x:c>
      <x:c r="Q459" s="160" t="inlineStr">
        <x:is>
          <x:t xml:space="preserve">The mature simulation rule catches the stress without weakening a fatal gate; no rule relaxation is justified.</x:t>
        </x:is>
      </x:c>
      <x:c r="R459" s="160" t="inlineStr">
        <x:is>
          <x:t xml:space="preserve">Separate business-quality score from price decision; require reverse valuation and bear/base/bull IV ranges.</x:t>
        </x:is>
      </x:c>
      <x:c r="S459" s="160" t="inlineStr">
        <x:is>
          <x:t xml:space="preserve">NO</x:t>
        </x:is>
      </x:c>
      <x:c r="T459" s="160" t="inlineStr">
        <x:is>
          <x:t xml:space="preserve">COUNTER-EVIDENCE</x:t>
        </x:is>
      </x:c>
      <x:c r="U459" s="160" t="inlineStr">
        <x:is>
          <x:t xml:space="preserve">V10.5-SIM56</x:t>
        </x:is>
      </x:c>
      <x:c r="V459" s="160" t="inlineStr">
        <x:is>
          <x:t xml:space="preserve">https://www.chevron.com/investors</x:t>
        </x:is>
      </x:c>
      <x:c r="W459" s="160" t="inlineStr">
        <x:is>
          <x:t xml:space="preserve">NO</x:t>
        </x:is>
      </x:c>
      <x:c r="X459" s="160" t="inlineStr">
        <x:is>
          <x:t xml:space="preserve">NONE — DEVELOPMENT ONLY</x:t>
        </x:is>
      </x:c>
      <x:c r="Y459" s="160" t="inlineStr">
        <x:is>
          <x:t xml:space="preserve">Synthetic/adversarial model-development loop. No historical outcome is claimed; no accuracy point is awarded.</x:t>
        </x:is>
      </x:c>
    </x:row>
    <x:row r="460">
      <x:c r="A460" s="160" t="inlineStr">
        <x:is>
          <x:t xml:space="preserve">ML0455</x:t>
        </x:is>
      </x:c>
      <x:c r="B460" s="160" t="inlineStr">
        <x:is>
          <x:t xml:space="preserve">ARG-029</x:t>
        </x:is>
      </x:c>
      <x:c r="C460" s="160" t="inlineStr">
        <x:is>
          <x:t xml:space="preserve">Chevron</x:t>
        </x:is>
      </x:c>
      <x:c r="D460" s="160" t="inlineStr">
        <x:is>
          <x:t xml:space="preserve">CVX</x:t>
        </x:is>
      </x:c>
      <x:c r="E460" s="160" t="inlineStr">
        <x:is>
          <x:t xml:space="preserve">Energy</x:t>
        </x:is>
      </x:c>
      <x:c r="F460" s="160" t="inlineStr">
        <x:is>
          <x:t xml:space="preserve">Development</x:t>
        </x:is>
      </x:c>
      <x:c r="G460" s="160" t="inlineStr">
        <x:is>
          <x:t xml:space="preserve">S07</x:t>
        </x:is>
      </x:c>
      <x:c r="H460" s="160" t="inlineStr">
        <x:is>
          <x:t xml:space="preserve">Sector Shock</x:t>
        </x:is>
      </x:c>
      <x:c r="I460" s="160" t="inlineStr">
        <x:is>
          <x:t xml:space="preserve">Sector-specific</x:t>
        </x:is>
      </x:c>
      <x:c r="J460" s="160" t="inlineStr">
        <x:is>
          <x:t xml:space="preserve">Commodity prices fall toward mid-cycle while sustaining capex and balance-sheet commitments remain fixed.</x:t>
        </x:is>
      </x:c>
      <x:c r="K460" s="160" t="inlineStr">
        <x:is>
          <x:t xml:space="preserve">Resources plus integrated downstream cash flows</x:t>
        </x:is>
      </x:c>
      <x:c r="L460" s="160" t="inlineStr">
        <x:is>
          <x:t xml:space="preserve">NAV + mid-cycle FCF</x:t>
        </x:is>
      </x:c>
      <x:c r="M460" s="160" t="inlineStr">
        <x:is>
          <x:t xml:space="preserve">WATCH</x:t>
        </x:is>
      </x:c>
      <x:c r="N460" s="160" t="inlineStr">
        <x:is>
          <x:t xml:space="preserve">R-SECTOR-ENERGY</x:t>
        </x:is>
      </x:c>
      <x:c r="O460" s="160" t="inlineStr">
        <x:is>
          <x:t xml:space="preserve">UNFORMED</x:t>
        </x:is>
      </x:c>
      <x:c r="P460" s="160" t="inlineStr">
        <x:is>
          <x:t xml:space="preserve">FAILURE EXPOSED</x:t>
        </x:is>
      </x:c>
      <x:c r="Q460" s="160" t="inlineStr">
        <x:is>
          <x:t xml:space="preserve">The frozen V10 gate family is directionally right, but the test lacks a sufficiently explicit mechanical implementation.</x:t>
        </x:is>
      </x:c>
      <x:c r="R460" s="160" t="inlineStr">
        <x:is>
          <x:t xml:space="preserve">Add a sector-specific transmission map with leading operating sensors, not only market-price variables. Sector rule: Commodity prices fall toward mid-cycle while sustaining capex and balance-sheet commitments remain fixed.</x:t>
        </x:is>
      </x:c>
      <x:c r="S460" s="160" t="inlineStr">
        <x:is>
          <x:t xml:space="preserve">YES — SIMULATION ONLY</x:t>
        </x:is>
      </x:c>
      <x:c r="T460" s="160" t="inlineStr">
        <x:is>
          <x:t xml:space="preserve">BASE</x:t>
        </x:is>
      </x:c>
      <x:c r="U460" s="160" t="inlineStr">
        <x:is>
          <x:t xml:space="preserve">V10.5-SIM57</x:t>
        </x:is>
      </x:c>
      <x:c r="V460" s="160" t="inlineStr">
        <x:is>
          <x:t xml:space="preserve">https://www.chevron.com/investors</x:t>
        </x:is>
      </x:c>
      <x:c r="W460" s="160" t="inlineStr">
        <x:is>
          <x:t xml:space="preserve">NO</x:t>
        </x:is>
      </x:c>
      <x:c r="X460" s="160" t="inlineStr">
        <x:is>
          <x:t xml:space="preserve">NONE — DEVELOPMENT ONLY</x:t>
        </x:is>
      </x:c>
      <x:c r="Y460" s="160" t="inlineStr">
        <x:is>
          <x:t xml:space="preserve">Synthetic/adversarial model-development loop. No historical outcome is claimed; no accuracy point is awarded.</x:t>
        </x:is>
      </x:c>
    </x:row>
    <x:row r="461">
      <x:c r="A461" s="160" t="inlineStr">
        <x:is>
          <x:t xml:space="preserve">ML0456</x:t>
        </x:is>
      </x:c>
      <x:c r="B461" s="160" t="inlineStr">
        <x:is>
          <x:t xml:space="preserve">ARG-029</x:t>
        </x:is>
      </x:c>
      <x:c r="C461" s="160" t="inlineStr">
        <x:is>
          <x:t xml:space="preserve">Chevron</x:t>
        </x:is>
      </x:c>
      <x:c r="D461" s="160" t="inlineStr">
        <x:is>
          <x:t xml:space="preserve">CVX</x:t>
        </x:is>
      </x:c>
      <x:c r="E461" s="160" t="inlineStr">
        <x:is>
          <x:t xml:space="preserve">Energy</x:t>
        </x:is>
      </x:c>
      <x:c r="F461" s="160" t="inlineStr">
        <x:is>
          <x:t xml:space="preserve">Development</x:t>
        </x:is>
      </x:c>
      <x:c r="G461" s="160" t="inlineStr">
        <x:is>
          <x:t xml:space="preserve">S08</x:t>
        </x:is>
      </x:c>
      <x:c r="H461" s="160" t="inlineStr">
        <x:is>
          <x:t xml:space="preserve">Management Promise Reliability</x:t>
        </x:is>
      </x:c>
      <x:c r="I461" s="160" t="inlineStr">
        <x:is>
          <x:t xml:space="preserve">Management over-trust</x:t>
        </x:is>
      </x:c>
      <x:c r="J461" s="160" t="inlineStr">
        <x:is>
          <x:t xml:space="preserve">Guidance or strategic promises are repeated but the model lacks a contemporaneous reliability score.</x:t>
        </x:is>
      </x:c>
      <x:c r="K461" s="160" t="inlineStr">
        <x:is>
          <x:t xml:space="preserve">Resources plus integrated downstream cash flows</x:t>
        </x:is>
      </x:c>
      <x:c r="L461" s="160" t="inlineStr">
        <x:is>
          <x:t xml:space="preserve">NAV + mid-cycle FCF</x:t>
        </x:is>
      </x:c>
      <x:c r="M461" s="160" t="inlineStr">
        <x:is>
          <x:t xml:space="preserve">WATCH</x:t>
        </x:is>
      </x:c>
      <x:c r="N461" s="160" t="inlineStr">
        <x:is>
          <x:t xml:space="preserve">R-PROM-01</x:t>
        </x:is>
      </x:c>
      <x:c r="O461" s="160" t="inlineStr">
        <x:is>
          <x:t xml:space="preserve">COUNTER-EVIDENCE</x:t>
        </x:is>
      </x:c>
      <x:c r="P461" s="160" t="inlineStr">
        <x:is>
          <x:t xml:space="preserve">ROBUST</x:t>
        </x:is>
      </x:c>
      <x:c r="Q461" s="160" t="inlineStr">
        <x:is>
          <x:t xml:space="preserve">The mature simulation rule catches the stress without weakening a fatal gate; no rule relaxation is justified.</x:t>
        </x:is>
      </x:c>
      <x:c r="R461" s="160" t="inlineStr">
        <x:is>
          <x:t xml:space="preserve">Use a promises ledger with dated promise, measurable deliverable, due date, outcome and credibility weight.</x:t>
        </x:is>
      </x:c>
      <x:c r="S461" s="160" t="inlineStr">
        <x:is>
          <x:t xml:space="preserve">NO</x:t>
        </x:is>
      </x:c>
      <x:c r="T461" s="160" t="inlineStr">
        <x:is>
          <x:t xml:space="preserve">COUNTER-EVIDENCE</x:t>
        </x:is>
      </x:c>
      <x:c r="U461" s="160" t="inlineStr">
        <x:is>
          <x:t xml:space="preserve">V10.5-SIM57</x:t>
        </x:is>
      </x:c>
      <x:c r="V461" s="160" t="inlineStr">
        <x:is>
          <x:t xml:space="preserve">https://www.chevron.com/investors</x:t>
        </x:is>
      </x:c>
      <x:c r="W461" s="160" t="inlineStr">
        <x:is>
          <x:t xml:space="preserve">NO</x:t>
        </x:is>
      </x:c>
      <x:c r="X461" s="160" t="inlineStr">
        <x:is>
          <x:t xml:space="preserve">NONE — DEVELOPMENT ONLY</x:t>
        </x:is>
      </x:c>
      <x:c r="Y461" s="160" t="inlineStr">
        <x:is>
          <x:t xml:space="preserve">Synthetic/adversarial model-development loop. No historical outcome is claimed; no accuracy point is awarded.</x:t>
        </x:is>
      </x:c>
    </x:row>
    <x:row r="462">
      <x:c r="A462" s="160" t="inlineStr">
        <x:is>
          <x:t xml:space="preserve">ML0457</x:t>
        </x:is>
      </x:c>
      <x:c r="B462" s="160" t="inlineStr">
        <x:is>
          <x:t xml:space="preserve">ARG-029</x:t>
        </x:is>
      </x:c>
      <x:c r="C462" s="160" t="inlineStr">
        <x:is>
          <x:t xml:space="preserve">Chevron</x:t>
        </x:is>
      </x:c>
      <x:c r="D462" s="160" t="inlineStr">
        <x:is>
          <x:t xml:space="preserve">CVX</x:t>
        </x:is>
      </x:c>
      <x:c r="E462" s="160" t="inlineStr">
        <x:is>
          <x:t xml:space="preserve">Energy</x:t>
        </x:is>
      </x:c>
      <x:c r="F462" s="160" t="inlineStr">
        <x:is>
          <x:t xml:space="preserve">Development</x:t>
        </x:is>
      </x:c>
      <x:c r="G462" s="160" t="inlineStr">
        <x:is>
          <x:t xml:space="preserve">S09</x:t>
        </x:is>
      </x:c>
      <x:c r="H462" s="160" t="inlineStr">
        <x:is>
          <x:t xml:space="preserve">Data / Accounting Quality</x:t>
        </x:is>
      </x:c>
      <x:c r="I462" s="160" t="inlineStr">
        <x:is>
          <x:t xml:space="preserve">Data quality</x:t>
        </x:is>
      </x:c>
      <x:c r="J462" s="160" t="inlineStr">
        <x:is>
          <x:t xml:space="preserve">Restatement, segment reclassification, one-time item or non-economic fair-value movement distorts the apparent trend.</x:t>
        </x:is>
      </x:c>
      <x:c r="K462" s="160" t="inlineStr">
        <x:is>
          <x:t xml:space="preserve">Resources plus integrated downstream cash flows</x:t>
        </x:is>
      </x:c>
      <x:c r="L462" s="160" t="inlineStr">
        <x:is>
          <x:t xml:space="preserve">NAV + mid-cycle FCF</x:t>
        </x:is>
      </x:c>
      <x:c r="M462" s="160" t="inlineStr">
        <x:is>
          <x:t xml:space="preserve">WATCH</x:t>
        </x:is>
      </x:c>
      <x:c r="N462" s="160" t="inlineStr">
        <x:is>
          <x:t xml:space="preserve">R-DATA-01</x:t>
        </x:is>
      </x:c>
      <x:c r="O462" s="160" t="inlineStr">
        <x:is>
          <x:t xml:space="preserve">COUNTER-EVIDENCE</x:t>
        </x:is>
      </x:c>
      <x:c r="P462" s="160" t="inlineStr">
        <x:is>
          <x:t xml:space="preserve">ROBUST</x:t>
        </x:is>
      </x:c>
      <x:c r="Q462" s="160" t="inlineStr">
        <x:is>
          <x:t xml:space="preserve">The mature simulation rule catches the stress without weakening a fatal gate; no rule relaxation is justified.</x:t>
        </x:is>
      </x:c>
      <x:c r="R462" s="160" t="inlineStr">
        <x:is>
          <x:t xml:space="preserve">Add a reporting-quality bridge and normalize accounting noise before any gate can pass.</x:t>
        </x:is>
      </x:c>
      <x:c r="S462" s="160" t="inlineStr">
        <x:is>
          <x:t xml:space="preserve">NO</x:t>
        </x:is>
      </x:c>
      <x:c r="T462" s="160" t="inlineStr">
        <x:is>
          <x:t xml:space="preserve">COUNTER-EVIDENCE</x:t>
        </x:is>
      </x:c>
      <x:c r="U462" s="160" t="inlineStr">
        <x:is>
          <x:t xml:space="preserve">V10.5-SIM57</x:t>
        </x:is>
      </x:c>
      <x:c r="V462" s="160" t="inlineStr">
        <x:is>
          <x:t xml:space="preserve">https://www.chevron.com/investors</x:t>
        </x:is>
      </x:c>
      <x:c r="W462" s="160" t="inlineStr">
        <x:is>
          <x:t xml:space="preserve">NO</x:t>
        </x:is>
      </x:c>
      <x:c r="X462" s="160" t="inlineStr">
        <x:is>
          <x:t xml:space="preserve">NONE — DEVELOPMENT ONLY</x:t>
        </x:is>
      </x:c>
      <x:c r="Y462" s="160" t="inlineStr">
        <x:is>
          <x:t xml:space="preserve">Synthetic/adversarial model-development loop. No historical outcome is claimed; no accuracy point is awarded.</x:t>
        </x:is>
      </x:c>
    </x:row>
    <x:row r="463">
      <x:c r="A463" s="160" t="inlineStr">
        <x:is>
          <x:t xml:space="preserve">ML0458</x:t>
        </x:is>
      </x:c>
      <x:c r="B463" s="160" t="inlineStr">
        <x:is>
          <x:t xml:space="preserve">ARG-029</x:t>
        </x:is>
      </x:c>
      <x:c r="C463" s="160" t="inlineStr">
        <x:is>
          <x:t xml:space="preserve">Chevron</x:t>
        </x:is>
      </x:c>
      <x:c r="D463" s="160" t="inlineStr">
        <x:is>
          <x:t xml:space="preserve">CVX</x:t>
        </x:is>
      </x:c>
      <x:c r="E463" s="160" t="inlineStr">
        <x:is>
          <x:t xml:space="preserve">Energy</x:t>
        </x:is>
      </x:c>
      <x:c r="F463" s="160" t="inlineStr">
        <x:is>
          <x:t xml:space="preserve">Development</x:t>
        </x:is>
      </x:c>
      <x:c r="G463" s="160" t="inlineStr">
        <x:is>
          <x:t xml:space="preserve">S10</x:t>
        </x:is>
      </x:c>
      <x:c r="H463" s="160" t="inlineStr">
        <x:is>
          <x:t xml:space="preserve">Control / Counterfactual</x:t>
        </x:is>
      </x:c>
      <x:c r="I463" s="160" t="inlineStr">
        <x:is>
          <x:t xml:space="preserve">Sector beta vs company alpha</x:t>
        </x:is>
      </x:c>
      <x:c r="J463" s="160" t="inlineStr">
        <x:is>
          <x:t xml:space="preserve">A positive outcome is mostly sector beta or macro tailwind, not company-specific alpha.</x:t>
        </x:is>
      </x:c>
      <x:c r="K463" s="160" t="inlineStr">
        <x:is>
          <x:t xml:space="preserve">Resources plus integrated downstream cash flows</x:t>
        </x:is>
      </x:c>
      <x:c r="L463" s="160" t="inlineStr">
        <x:is>
          <x:t xml:space="preserve">NAV + mid-cycle FCF</x:t>
        </x:is>
      </x:c>
      <x:c r="M463" s="160" t="inlineStr">
        <x:is>
          <x:t xml:space="preserve">WATCH</x:t>
        </x:is>
      </x:c>
      <x:c r="N463" s="160" t="inlineStr">
        <x:is>
          <x:t xml:space="preserve">R-CF-01</x:t>
        </x:is>
      </x:c>
      <x:c r="O463" s="160" t="inlineStr">
        <x:is>
          <x:t xml:space="preserve">COUNTER-EVIDENCE</x:t>
        </x:is>
      </x:c>
      <x:c r="P463" s="160" t="inlineStr">
        <x:is>
          <x:t xml:space="preserve">ROBUST</x:t>
        </x:is>
      </x:c>
      <x:c r="Q463" s="160" t="inlineStr">
        <x:is>
          <x:t xml:space="preserve">The mature simulation rule catches the stress without weakening a fatal gate; no rule relaxation is justified.</x:t>
        </x:is>
      </x:c>
      <x:c r="R463" s="160" t="inlineStr">
        <x:is>
          <x:t xml:space="preserve">Require a true economic control and counterfactual: what should have happened to a comparable company under the same shock?</x:t>
        </x:is>
      </x:c>
      <x:c r="S463" s="160" t="inlineStr">
        <x:is>
          <x:t xml:space="preserve">NO</x:t>
        </x:is>
      </x:c>
      <x:c r="T463" s="160" t="inlineStr">
        <x:is>
          <x:t xml:space="preserve">COUNTER-EVIDENCE</x:t>
        </x:is>
      </x:c>
      <x:c r="U463" s="160" t="inlineStr">
        <x:is>
          <x:t xml:space="preserve">V10.5-SIM57</x:t>
        </x:is>
      </x:c>
      <x:c r="V463" s="160" t="inlineStr">
        <x:is>
          <x:t xml:space="preserve">https://www.chevron.com/investors</x:t>
        </x:is>
      </x:c>
      <x:c r="W463" s="160" t="inlineStr">
        <x:is>
          <x:t xml:space="preserve">NO</x:t>
        </x:is>
      </x:c>
      <x:c r="X463" s="160" t="inlineStr">
        <x:is>
          <x:t xml:space="preserve">NONE — DEVELOPMENT ONLY</x:t>
        </x:is>
      </x:c>
      <x:c r="Y463" s="160" t="inlineStr">
        <x:is>
          <x:t xml:space="preserve">Synthetic/adversarial model-development loop. No historical outcome is claimed; no accuracy point is awarded.</x:t>
        </x:is>
      </x:c>
    </x:row>
    <x:row r="464">
      <x:c r="A464" s="160" t="inlineStr">
        <x:is>
          <x:t xml:space="preserve">ML0459</x:t>
        </x:is>
      </x:c>
      <x:c r="B464" s="160" t="inlineStr">
        <x:is>
          <x:t xml:space="preserve">ARG-029</x:t>
        </x:is>
      </x:c>
      <x:c r="C464" s="160" t="inlineStr">
        <x:is>
          <x:t xml:space="preserve">Chevron</x:t>
        </x:is>
      </x:c>
      <x:c r="D464" s="160" t="inlineStr">
        <x:is>
          <x:t xml:space="preserve">CVX</x:t>
        </x:is>
      </x:c>
      <x:c r="E464" s="160" t="inlineStr">
        <x:is>
          <x:t xml:space="preserve">Energy</x:t>
        </x:is>
      </x:c>
      <x:c r="F464" s="160" t="inlineStr">
        <x:is>
          <x:t xml:space="preserve">Development</x:t>
        </x:is>
      </x:c>
      <x:c r="G464" s="160" t="inlineStr">
        <x:is>
          <x:t xml:space="preserve">S11</x:t>
        </x:is>
      </x:c>
      <x:c r="H464" s="160" t="inlineStr">
        <x:is>
          <x:t xml:space="preserve">False-Negative Discipline</x:t>
        </x:is>
      </x:c>
      <x:c r="I464" s="160" t="inlineStr">
        <x:is>
          <x:t xml:space="preserve">False negative</x:t>
        </x:is>
      </x:c>
      <x:c r="J464" s="160" t="inlineStr">
        <x:is>
          <x:t xml:space="preserve">A strict gate rejects a company that later compounds strongly for reasons the model could have known.</x:t>
        </x:is>
      </x:c>
      <x:c r="K464" s="160" t="inlineStr">
        <x:is>
          <x:t xml:space="preserve">Resources plus integrated downstream cash flows</x:t>
        </x:is>
      </x:c>
      <x:c r="L464" s="160" t="inlineStr">
        <x:is>
          <x:t xml:space="preserve">NAV + mid-cycle FCF</x:t>
        </x:is>
      </x:c>
      <x:c r="M464" s="160" t="inlineStr">
        <x:is>
          <x:t xml:space="preserve">WATCH</x:t>
        </x:is>
      </x:c>
      <x:c r="N464" s="160" t="inlineStr">
        <x:is>
          <x:t xml:space="preserve">R-FN-01</x:t>
        </x:is>
      </x:c>
      <x:c r="O464" s="160" t="inlineStr">
        <x:is>
          <x:t xml:space="preserve">COUNTER-EVIDENCE</x:t>
        </x:is>
      </x:c>
      <x:c r="P464" s="160" t="inlineStr">
        <x:is>
          <x:t xml:space="preserve">ROBUST</x:t>
        </x:is>
      </x:c>
      <x:c r="Q464" s="160" t="inlineStr">
        <x:is>
          <x:t xml:space="preserve">The mature simulation rule catches the stress without weakening a fatal gate; no rule relaxation is justified.</x:t>
        </x:is>
      </x:c>
      <x:c r="R464" s="160" t="inlineStr">
        <x:is>
          <x:t xml:space="preserve">Track opportunity cost and classify whether the miss came from evidence timing, wrong threshold or genuinely unknowable upside.</x:t>
        </x:is>
      </x:c>
      <x:c r="S464" s="160" t="inlineStr">
        <x:is>
          <x:t xml:space="preserve">NO</x:t>
        </x:is>
      </x:c>
      <x:c r="T464" s="160" t="inlineStr">
        <x:is>
          <x:t xml:space="preserve">COUNTER-EVIDENCE</x:t>
        </x:is>
      </x:c>
      <x:c r="U464" s="160" t="inlineStr">
        <x:is>
          <x:t xml:space="preserve">V10.5-SIM57</x:t>
        </x:is>
      </x:c>
      <x:c r="V464" s="160" t="inlineStr">
        <x:is>
          <x:t xml:space="preserve">https://www.chevron.com/investors</x:t>
        </x:is>
      </x:c>
      <x:c r="W464" s="160" t="inlineStr">
        <x:is>
          <x:t xml:space="preserve">NO</x:t>
        </x:is>
      </x:c>
      <x:c r="X464" s="160" t="inlineStr">
        <x:is>
          <x:t xml:space="preserve">NONE — DEVELOPMENT ONLY</x:t>
        </x:is>
      </x:c>
      <x:c r="Y464" s="160" t="inlineStr">
        <x:is>
          <x:t xml:space="preserve">Synthetic/adversarial model-development loop. No historical outcome is claimed; no accuracy point is awarded.</x:t>
        </x:is>
      </x:c>
    </x:row>
    <x:row r="465">
      <x:c r="A465" s="160" t="inlineStr">
        <x:is>
          <x:t xml:space="preserve">ML0460</x:t>
        </x:is>
      </x:c>
      <x:c r="B465" s="160" t="inlineStr">
        <x:is>
          <x:t xml:space="preserve">ARG-029</x:t>
        </x:is>
      </x:c>
      <x:c r="C465" s="160" t="inlineStr">
        <x:is>
          <x:t xml:space="preserve">Chevron</x:t>
        </x:is>
      </x:c>
      <x:c r="D465" s="160" t="inlineStr">
        <x:is>
          <x:t xml:space="preserve">CVX</x:t>
        </x:is>
      </x:c>
      <x:c r="E465" s="160" t="inlineStr">
        <x:is>
          <x:t xml:space="preserve">Energy</x:t>
        </x:is>
      </x:c>
      <x:c r="F465" s="160" t="inlineStr">
        <x:is>
          <x:t xml:space="preserve">Development</x:t>
        </x:is>
      </x:c>
      <x:c r="G465" s="160" t="inlineStr">
        <x:is>
          <x:t xml:space="preserve">S12</x:t>
        </x:is>
      </x:c>
      <x:c r="H465" s="160" t="inlineStr">
        <x:is>
          <x:t xml:space="preserve">Lead-Time / Early Sensor</x:t>
        </x:is>
      </x:c>
      <x:c r="I465" s="160" t="inlineStr">
        <x:is>
          <x:t xml:space="preserve">Timing / lead-time</x:t>
        </x:is>
      </x:c>
      <x:c r="J465" s="160" t="inlineStr">
        <x:is>
          <x:t xml:space="preserve">ARGUS identifies the change correctly but only after consensus and price have already reacted.</x:t>
        </x:is>
      </x:c>
      <x:c r="K465" s="160" t="inlineStr">
        <x:is>
          <x:t xml:space="preserve">Resources plus integrated downstream cash flows</x:t>
        </x:is>
      </x:c>
      <x:c r="L465" s="160" t="inlineStr">
        <x:is>
          <x:t xml:space="preserve">NAV + mid-cycle FCF</x:t>
        </x:is>
      </x:c>
      <x:c r="M465" s="160" t="inlineStr">
        <x:is>
          <x:t xml:space="preserve">WATCH</x:t>
        </x:is>
      </x:c>
      <x:c r="N465" s="160" t="inlineStr">
        <x:is>
          <x:t xml:space="preserve">R-TIME-01</x:t>
        </x:is>
      </x:c>
      <x:c r="O465" s="160" t="inlineStr">
        <x:is>
          <x:t xml:space="preserve">COUNTER-EVIDENCE</x:t>
        </x:is>
      </x:c>
      <x:c r="P465" s="160" t="inlineStr">
        <x:is>
          <x:t xml:space="preserve">ROBUST</x:t>
        </x:is>
      </x:c>
      <x:c r="Q465" s="160" t="inlineStr">
        <x:is>
          <x:t xml:space="preserve">The mature simulation rule catches the stress without weakening a fatal gate; no rule relaxation is justified.</x:t>
        </x:is>
      </x:c>
      <x:c r="R465" s="160" t="inlineStr">
        <x:is>
          <x:t xml:space="preserve">Replace lagging financial metrics with earlier causal operating sensors and record lead time separately from correctness.</x:t>
        </x:is>
      </x:c>
      <x:c r="S465" s="160" t="inlineStr">
        <x:is>
          <x:t xml:space="preserve">NO</x:t>
        </x:is>
      </x:c>
      <x:c r="T465" s="160" t="inlineStr">
        <x:is>
          <x:t xml:space="preserve">COUNTER-EVIDENCE</x:t>
        </x:is>
      </x:c>
      <x:c r="U465" s="160" t="inlineStr">
        <x:is>
          <x:t xml:space="preserve">V10.5-SIM57</x:t>
        </x:is>
      </x:c>
      <x:c r="V465" s="160" t="inlineStr">
        <x:is>
          <x:t xml:space="preserve">https://www.chevron.com/investors</x:t>
        </x:is>
      </x:c>
      <x:c r="W465" s="160" t="inlineStr">
        <x:is>
          <x:t xml:space="preserve">NO</x:t>
        </x:is>
      </x:c>
      <x:c r="X465" s="160" t="inlineStr">
        <x:is>
          <x:t xml:space="preserve">NONE — DEVELOPMENT ONLY</x:t>
        </x:is>
      </x:c>
      <x:c r="Y465" s="160" t="inlineStr">
        <x:is>
          <x:t xml:space="preserve">Synthetic/adversarial model-development loop. No historical outcome is claimed; no accuracy point is awarded.</x:t>
        </x:is>
      </x:c>
    </x:row>
    <x:row r="466">
      <x:c r="A466" s="160" t="inlineStr">
        <x:is>
          <x:t xml:space="preserve">ML0461</x:t>
        </x:is>
      </x:c>
      <x:c r="B466" s="160" t="inlineStr">
        <x:is>
          <x:t xml:space="preserve">ARG-029</x:t>
        </x:is>
      </x:c>
      <x:c r="C466" s="160" t="inlineStr">
        <x:is>
          <x:t xml:space="preserve">Chevron</x:t>
        </x:is>
      </x:c>
      <x:c r="D466" s="160" t="inlineStr">
        <x:is>
          <x:t xml:space="preserve">CVX</x:t>
        </x:is>
      </x:c>
      <x:c r="E466" s="160" t="inlineStr">
        <x:is>
          <x:t xml:space="preserve">Energy</x:t>
        </x:is>
      </x:c>
      <x:c r="F466" s="160" t="inlineStr">
        <x:is>
          <x:t xml:space="preserve">Development</x:t>
        </x:is>
      </x:c>
      <x:c r="G466" s="160" t="inlineStr">
        <x:is>
          <x:t xml:space="preserve">S13</x:t>
        </x:is>
      </x:c>
      <x:c r="H466" s="160" t="inlineStr">
        <x:is>
          <x:t xml:space="preserve">Cycle Normalization</x:t>
        </x:is>
      </x:c>
      <x:c r="I466" s="160" t="inlineStr">
        <x:is>
          <x:t xml:space="preserve">Wrong valuation lens</x:t>
        </x:is>
      </x:c>
      <x:c r="J466" s="160" t="inlineStr">
        <x:is>
          <x:t xml:space="preserve">Peak/trough earnings are mistaken for normalized earning power.</x:t>
        </x:is>
      </x:c>
      <x:c r="K466" s="160" t="inlineStr">
        <x:is>
          <x:t xml:space="preserve">Resources plus integrated downstream cash flows</x:t>
        </x:is>
      </x:c>
      <x:c r="L466" s="160" t="inlineStr">
        <x:is>
          <x:t xml:space="preserve">NAV + mid-cycle FCF</x:t>
        </x:is>
      </x:c>
      <x:c r="M466" s="160" t="inlineStr">
        <x:is>
          <x:t xml:space="preserve">WATCH</x:t>
        </x:is>
      </x:c>
      <x:c r="N466" s="160" t="inlineStr">
        <x:is>
          <x:t xml:space="preserve">R-CYCLE-01</x:t>
        </x:is>
      </x:c>
      <x:c r="O466" s="160" t="inlineStr">
        <x:is>
          <x:t xml:space="preserve">COUNTER-EVIDENCE</x:t>
        </x:is>
      </x:c>
      <x:c r="P466" s="160" t="inlineStr">
        <x:is>
          <x:t xml:space="preserve">ROBUST</x:t>
        </x:is>
      </x:c>
      <x:c r="Q466" s="160" t="inlineStr">
        <x:is>
          <x:t xml:space="preserve">The mature simulation rule catches the stress without weakening a fatal gate; no rule relaxation is justified.</x:t>
        </x:is>
      </x:c>
      <x:c r="R466" s="160" t="inlineStr">
        <x:is>
          <x:t xml:space="preserve">Use sector-specific mid-cycle/NAV/rate-base/rNPV normalization before applying a valuation multiple.</x:t>
        </x:is>
      </x:c>
      <x:c r="S466" s="160" t="inlineStr">
        <x:is>
          <x:t xml:space="preserve">NO</x:t>
        </x:is>
      </x:c>
      <x:c r="T466" s="160" t="inlineStr">
        <x:is>
          <x:t xml:space="preserve">COUNTER-EVIDENCE</x:t>
        </x:is>
      </x:c>
      <x:c r="U466" s="160" t="inlineStr">
        <x:is>
          <x:t xml:space="preserve">V10.5-SIM57</x:t>
        </x:is>
      </x:c>
      <x:c r="V466" s="160" t="inlineStr">
        <x:is>
          <x:t xml:space="preserve">https://www.chevron.com/investors</x:t>
        </x:is>
      </x:c>
      <x:c r="W466" s="160" t="inlineStr">
        <x:is>
          <x:t xml:space="preserve">NO</x:t>
        </x:is>
      </x:c>
      <x:c r="X466" s="160" t="inlineStr">
        <x:is>
          <x:t xml:space="preserve">NONE — DEVELOPMENT ONLY</x:t>
        </x:is>
      </x:c>
      <x:c r="Y466" s="160" t="inlineStr">
        <x:is>
          <x:t xml:space="preserve">Synthetic/adversarial model-development loop. No historical outcome is claimed; no accuracy point is awarded.</x:t>
        </x:is>
      </x:c>
    </x:row>
    <x:row r="467">
      <x:c r="A467" s="160" t="inlineStr">
        <x:is>
          <x:t xml:space="preserve">ML0462</x:t>
        </x:is>
      </x:c>
      <x:c r="B467" s="160" t="inlineStr">
        <x:is>
          <x:t xml:space="preserve">ARG-029</x:t>
        </x:is>
      </x:c>
      <x:c r="C467" s="160" t="inlineStr">
        <x:is>
          <x:t xml:space="preserve">Chevron</x:t>
        </x:is>
      </x:c>
      <x:c r="D467" s="160" t="inlineStr">
        <x:is>
          <x:t xml:space="preserve">CVX</x:t>
        </x:is>
      </x:c>
      <x:c r="E467" s="160" t="inlineStr">
        <x:is>
          <x:t xml:space="preserve">Energy</x:t>
        </x:is>
      </x:c>
      <x:c r="F467" s="160" t="inlineStr">
        <x:is>
          <x:t xml:space="preserve">Development</x:t>
        </x:is>
      </x:c>
      <x:c r="G467" s="160" t="inlineStr">
        <x:is>
          <x:t xml:space="preserve">S14</x:t>
        </x:is>
      </x:c>
      <x:c r="H467" s="160" t="inlineStr">
        <x:is>
          <x:t xml:space="preserve">M&amp;A / Organic Growth Separation</x:t>
        </x:is>
      </x:c>
      <x:c r="I467" s="160" t="inlineStr">
        <x:is>
          <x:t xml:space="preserve">Stewardship</x:t>
        </x:is>
      </x:c>
      <x:c r="J467" s="160" t="inlineStr">
        <x:is>
          <x:t xml:space="preserve">Acquisition-driven growth masks weak organic economics or poor incremental ROIC.</x:t>
        </x:is>
      </x:c>
      <x:c r="K467" s="160" t="inlineStr">
        <x:is>
          <x:t xml:space="preserve">Resources plus integrated downstream cash flows</x:t>
        </x:is>
      </x:c>
      <x:c r="L467" s="160" t="inlineStr">
        <x:is>
          <x:t xml:space="preserve">NAV + mid-cycle FCF</x:t>
        </x:is>
      </x:c>
      <x:c r="M467" s="160" t="inlineStr">
        <x:is>
          <x:t xml:space="preserve">WATCH</x:t>
        </x:is>
      </x:c>
      <x:c r="N467" s="160" t="inlineStr">
        <x:is>
          <x:t xml:space="preserve">R-MA-01</x:t>
        </x:is>
      </x:c>
      <x:c r="O467" s="160" t="inlineStr">
        <x:is>
          <x:t xml:space="preserve">COUNTER-EVIDENCE</x:t>
        </x:is>
      </x:c>
      <x:c r="P467" s="160" t="inlineStr">
        <x:is>
          <x:t xml:space="preserve">ROBUST</x:t>
        </x:is>
      </x:c>
      <x:c r="Q467" s="160" t="inlineStr">
        <x:is>
          <x:t xml:space="preserve">The mature simulation rule catches the stress without weakening a fatal gate; no rule relaxation is justified.</x:t>
        </x:is>
      </x:c>
      <x:c r="R467" s="160" t="inlineStr">
        <x:is>
          <x:t xml:space="preserve">Bridge organic growth, acquired growth, purchase price, integration costs and acquisition-cohort ROIC.</x:t>
        </x:is>
      </x:c>
      <x:c r="S467" s="160" t="inlineStr">
        <x:is>
          <x:t xml:space="preserve">NO</x:t>
        </x:is>
      </x:c>
      <x:c r="T467" s="160" t="inlineStr">
        <x:is>
          <x:t xml:space="preserve">COUNTER-EVIDENCE</x:t>
        </x:is>
      </x:c>
      <x:c r="U467" s="160" t="inlineStr">
        <x:is>
          <x:t xml:space="preserve">V10.5-SIM57</x:t>
        </x:is>
      </x:c>
      <x:c r="V467" s="160" t="inlineStr">
        <x:is>
          <x:t xml:space="preserve">https://www.chevron.com/investors</x:t>
        </x:is>
      </x:c>
      <x:c r="W467" s="160" t="inlineStr">
        <x:is>
          <x:t xml:space="preserve">NO</x:t>
        </x:is>
      </x:c>
      <x:c r="X467" s="160" t="inlineStr">
        <x:is>
          <x:t xml:space="preserve">NONE — DEVELOPMENT ONLY</x:t>
        </x:is>
      </x:c>
      <x:c r="Y467" s="160" t="inlineStr">
        <x:is>
          <x:t xml:space="preserve">Synthetic/adversarial model-development loop. No historical outcome is claimed; no accuracy point is awarded.</x:t>
        </x:is>
      </x:c>
    </x:row>
    <x:row r="468">
      <x:c r="A468" s="160" t="inlineStr">
        <x:is>
          <x:t xml:space="preserve">ML0463</x:t>
        </x:is>
      </x:c>
      <x:c r="B468" s="160" t="inlineStr">
        <x:is>
          <x:t xml:space="preserve">ARG-029</x:t>
        </x:is>
      </x:c>
      <x:c r="C468" s="160" t="inlineStr">
        <x:is>
          <x:t xml:space="preserve">Chevron</x:t>
        </x:is>
      </x:c>
      <x:c r="D468" s="160" t="inlineStr">
        <x:is>
          <x:t xml:space="preserve">CVX</x:t>
        </x:is>
      </x:c>
      <x:c r="E468" s="160" t="inlineStr">
        <x:is>
          <x:t xml:space="preserve">Energy</x:t>
        </x:is>
      </x:c>
      <x:c r="F468" s="160" t="inlineStr">
        <x:is>
          <x:t xml:space="preserve">Development</x:t>
        </x:is>
      </x:c>
      <x:c r="G468" s="160" t="inlineStr">
        <x:is>
          <x:t xml:space="preserve">S15</x:t>
        </x:is>
      </x:c>
      <x:c r="H468" s="160" t="inlineStr">
        <x:is>
          <x:t xml:space="preserve">Financing / Dilution Per Share</x:t>
        </x:is>
      </x:c>
      <x:c r="I468" s="160" t="inlineStr">
        <x:is>
          <x:t xml:space="preserve">Stewardship</x:t>
        </x:is>
      </x:c>
      <x:c r="J468" s="160" t="inlineStr">
        <x:is>
          <x:t xml:space="preserve">Cash balance or revenue growth improves while financing causes material per-share value leakage.</x:t>
        </x:is>
      </x:c>
      <x:c r="K468" s="160" t="inlineStr">
        <x:is>
          <x:t xml:space="preserve">Resources plus integrated downstream cash flows</x:t>
        </x:is>
      </x:c>
      <x:c r="L468" s="160" t="inlineStr">
        <x:is>
          <x:t xml:space="preserve">NAV + mid-cycle FCF</x:t>
        </x:is>
      </x:c>
      <x:c r="M468" s="160" t="inlineStr">
        <x:is>
          <x:t xml:space="preserve">WATCH</x:t>
        </x:is>
      </x:c>
      <x:c r="N468" s="160" t="inlineStr">
        <x:is>
          <x:t xml:space="preserve">R-DIL-01</x:t>
        </x:is>
      </x:c>
      <x:c r="O468" s="160" t="inlineStr">
        <x:is>
          <x:t xml:space="preserve">COUNTER-EVIDENCE</x:t>
        </x:is>
      </x:c>
      <x:c r="P468" s="160" t="inlineStr">
        <x:is>
          <x:t xml:space="preserve">ROBUST</x:t>
        </x:is>
      </x:c>
      <x:c r="Q468" s="160" t="inlineStr">
        <x:is>
          <x:t xml:space="preserve">The mature simulation rule catches the stress without weakening a fatal gate; no rule relaxation is justified.</x:t>
        </x:is>
      </x:c>
      <x:c r="R468" s="160" t="inlineStr">
        <x:is>
          <x:t xml:space="preserve">Reconcile share-count growth, SBC, equity issuance, buybacks and net cash changes to per-share intrinsic value.</x:t>
        </x:is>
      </x:c>
      <x:c r="S468" s="160" t="inlineStr">
        <x:is>
          <x:t xml:space="preserve">NO</x:t>
        </x:is>
      </x:c>
      <x:c r="T468" s="160" t="inlineStr">
        <x:is>
          <x:t xml:space="preserve">COUNTER-EVIDENCE</x:t>
        </x:is>
      </x:c>
      <x:c r="U468" s="160" t="inlineStr">
        <x:is>
          <x:t xml:space="preserve">V10.5-SIM57</x:t>
        </x:is>
      </x:c>
      <x:c r="V468" s="160" t="inlineStr">
        <x:is>
          <x:t xml:space="preserve">https://www.chevron.com/investors</x:t>
        </x:is>
      </x:c>
      <x:c r="W468" s="160" t="inlineStr">
        <x:is>
          <x:t xml:space="preserve">NO</x:t>
        </x:is>
      </x:c>
      <x:c r="X468" s="160" t="inlineStr">
        <x:is>
          <x:t xml:space="preserve">NONE — DEVELOPMENT ONLY</x:t>
        </x:is>
      </x:c>
      <x:c r="Y468" s="160" t="inlineStr">
        <x:is>
          <x:t xml:space="preserve">Synthetic/adversarial model-development loop. No historical outcome is claimed; no accuracy point is awarded.</x:t>
        </x:is>
      </x:c>
    </x:row>
    <x:row r="469">
      <x:c r="A469" s="160" t="inlineStr">
        <x:is>
          <x:t xml:space="preserve">ML0464</x:t>
        </x:is>
      </x:c>
      <x:c r="B469" s="160" t="inlineStr">
        <x:is>
          <x:t xml:space="preserve">ARG-029</x:t>
        </x:is>
      </x:c>
      <x:c r="C469" s="160" t="inlineStr">
        <x:is>
          <x:t xml:space="preserve">Chevron</x:t>
        </x:is>
      </x:c>
      <x:c r="D469" s="160" t="inlineStr">
        <x:is>
          <x:t xml:space="preserve">CVX</x:t>
        </x:is>
      </x:c>
      <x:c r="E469" s="160" t="inlineStr">
        <x:is>
          <x:t xml:space="preserve">Energy</x:t>
        </x:is>
      </x:c>
      <x:c r="F469" s="160" t="inlineStr">
        <x:is>
          <x:t xml:space="preserve">Development</x:t>
        </x:is>
      </x:c>
      <x:c r="G469" s="160" t="inlineStr">
        <x:is>
          <x:t xml:space="preserve">S16</x:t>
        </x:is>
      </x:c>
      <x:c r="H469" s="160" t="inlineStr">
        <x:is>
          <x:t xml:space="preserve">Concentration / Tail Risk</x:t>
        </x:is>
      </x:c>
      <x:c r="I469" s="160" t="inlineStr">
        <x:is>
          <x:t xml:space="preserve">Survival</x:t>
        </x:is>
      </x:c>
      <x:c r="J469" s="160" t="inlineStr">
        <x:is>
          <x:t xml:space="preserve">A concentrated supplier, geography, customer, product, patent, regulatory or technology dependency creates asymmetric permanent-loss risk.</x:t>
        </x:is>
      </x:c>
      <x:c r="K469" s="160" t="inlineStr">
        <x:is>
          <x:t xml:space="preserve">Resources plus integrated downstream cash flows</x:t>
        </x:is>
      </x:c>
      <x:c r="L469" s="160" t="inlineStr">
        <x:is>
          <x:t xml:space="preserve">NAV + mid-cycle FCF</x:t>
        </x:is>
      </x:c>
      <x:c r="M469" s="160" t="inlineStr">
        <x:is>
          <x:t xml:space="preserve">WATCH</x:t>
        </x:is>
      </x:c>
      <x:c r="N469" s="160" t="inlineStr">
        <x:is>
          <x:t xml:space="preserve">R-TAIL-01</x:t>
        </x:is>
      </x:c>
      <x:c r="O469" s="160" t="inlineStr">
        <x:is>
          <x:t xml:space="preserve">COUNTER-EVIDENCE</x:t>
        </x:is>
      </x:c>
      <x:c r="P469" s="160" t="inlineStr">
        <x:is>
          <x:t xml:space="preserve">ROBUST</x:t>
        </x:is>
      </x:c>
      <x:c r="Q469" s="160" t="inlineStr">
        <x:is>
          <x:t xml:space="preserve">The mature simulation rule catches the stress without weakening a fatal gate; no rule relaxation is justified.</x:t>
        </x:is>
      </x:c>
      <x:c r="R469" s="160" t="inlineStr">
        <x:is>
          <x:t xml:space="preserve">Maintain an explicit concentration/tail-risk register with probability, severity, mitigation and required margin-of-safety premium.</x:t>
        </x:is>
      </x:c>
      <x:c r="S469" s="160" t="inlineStr">
        <x:is>
          <x:t xml:space="preserve">NO</x:t>
        </x:is>
      </x:c>
      <x:c r="T469" s="160" t="inlineStr">
        <x:is>
          <x:t xml:space="preserve">COUNTER-EVIDENCE</x:t>
        </x:is>
      </x:c>
      <x:c r="U469" s="160" t="inlineStr">
        <x:is>
          <x:t xml:space="preserve">V10.5-SIM57</x:t>
        </x:is>
      </x:c>
      <x:c r="V469" s="160" t="inlineStr">
        <x:is>
          <x:t xml:space="preserve">https://www.chevron.com/investors</x:t>
        </x:is>
      </x:c>
      <x:c r="W469" s="160" t="inlineStr">
        <x:is>
          <x:t xml:space="preserve">NO</x:t>
        </x:is>
      </x:c>
      <x:c r="X469" s="160" t="inlineStr">
        <x:is>
          <x:t xml:space="preserve">NONE — DEVELOPMENT ONLY</x:t>
        </x:is>
      </x:c>
      <x:c r="Y469" s="160" t="inlineStr">
        <x:is>
          <x:t xml:space="preserve">Synthetic/adversarial model-development loop. No historical outcome is claimed; no accuracy point is awarded.</x:t>
        </x:is>
      </x:c>
    </x:row>
    <x:row r="470">
      <x:c r="A470" s="160" t="inlineStr">
        <x:is>
          <x:t xml:space="preserve">ML0465</x:t>
        </x:is>
      </x:c>
      <x:c r="B470" s="160" t="inlineStr">
        <x:is>
          <x:t xml:space="preserve">ARG-030</x:t>
        </x:is>
      </x:c>
      <x:c r="C470" s="160" t="inlineStr">
        <x:is>
          <x:t xml:space="preserve">ConocoPhillips</x:t>
        </x:is>
      </x:c>
      <x:c r="D470" s="160" t="inlineStr">
        <x:is>
          <x:t xml:space="preserve">COP</x:t>
        </x:is>
      </x:c>
      <x:c r="E470" s="160" t="inlineStr">
        <x:is>
          <x:t xml:space="preserve">Energy</x:t>
        </x:is>
      </x:c>
      <x:c r="F470" s="160" t="inlineStr">
        <x:is>
          <x:t xml:space="preserve">Development</x:t>
        </x:is>
      </x:c>
      <x:c r="G470" s="160" t="inlineStr">
        <x:is>
          <x:t xml:space="preserve">S01</x:t>
        </x:is>
      </x:c>
      <x:c r="H470" s="160" t="inlineStr">
        <x:is>
          <x:t xml:space="preserve">Understanding Gate</x:t>
        </x:is>
      </x:c>
      <x:c r="I470" s="160" t="inlineStr">
        <x:is>
          <x:t xml:space="preserve">Understanding</x:t>
        </x:is>
      </x:c>
      <x:c r="J470" s="160" t="inlineStr">
        <x:is>
          <x:t xml:space="preserve">Causal engine / customer ROI chain breaks under a misleading headline KPI.</x:t>
        </x:is>
      </x:c>
      <x:c r="K470" s="160" t="inlineStr">
        <x:is>
          <x:t xml:space="preserve">Production × realized price − sustaining capital</x:t>
        </x:is>
      </x:c>
      <x:c r="L470" s="160" t="inlineStr">
        <x:is>
          <x:t xml:space="preserve">NAV + mid-cycle FCF</x:t>
        </x:is>
      </x:c>
      <x:c r="M470" s="160" t="inlineStr">
        <x:is>
          <x:t xml:space="preserve">WATCH</x:t>
        </x:is>
      </x:c>
      <x:c r="N470" s="160" t="inlineStr">
        <x:is>
          <x:t xml:space="preserve">R-ENG-01</x:t>
        </x:is>
      </x:c>
      <x:c r="O470" s="160" t="inlineStr">
        <x:is>
          <x:t xml:space="preserve">COUNTER-EVIDENCE</x:t>
        </x:is>
      </x:c>
      <x:c r="P470" s="160" t="inlineStr">
        <x:is>
          <x:t xml:space="preserve">ROBUST</x:t>
        </x:is>
      </x:c>
      <x:c r="Q470" s="160" t="inlineStr">
        <x:is>
          <x:t xml:space="preserve">The mature simulation rule catches the stress without weakening a fatal gate; no rule relaxation is justified.</x:t>
        </x:is>
      </x:c>
      <x:c r="R470" s="160" t="inlineStr">
        <x:is>
          <x:t xml:space="preserve">Force an explicit engine tree: customer job → unit economics → revenue driver → owner-value bridge.</x:t>
        </x:is>
      </x:c>
      <x:c r="S470" s="160" t="inlineStr">
        <x:is>
          <x:t xml:space="preserve">NO</x:t>
        </x:is>
      </x:c>
      <x:c r="T470" s="160" t="inlineStr">
        <x:is>
          <x:t xml:space="preserve">COUNTER-EVIDENCE</x:t>
        </x:is>
      </x:c>
      <x:c r="U470" s="160" t="inlineStr">
        <x:is>
          <x:t xml:space="preserve">V10.5-SIM57</x:t>
        </x:is>
      </x:c>
      <x:c r="V470" s="160" t="inlineStr">
        <x:is>
          <x:t xml:space="preserve">https://www.conocophillips.com/investor-relations/</x:t>
        </x:is>
      </x:c>
      <x:c r="W470" s="160" t="inlineStr">
        <x:is>
          <x:t xml:space="preserve">NO</x:t>
        </x:is>
      </x:c>
      <x:c r="X470" s="160" t="inlineStr">
        <x:is>
          <x:t xml:space="preserve">NONE — DEVELOPMENT ONLY</x:t>
        </x:is>
      </x:c>
      <x:c r="Y470" s="160" t="inlineStr">
        <x:is>
          <x:t xml:space="preserve">Synthetic/adversarial model-development loop. No historical outcome is claimed; no accuracy point is awarded.</x:t>
        </x:is>
      </x:c>
    </x:row>
    <x:row r="471">
      <x:c r="A471" s="160" t="inlineStr">
        <x:is>
          <x:t xml:space="preserve">ML0466</x:t>
        </x:is>
      </x:c>
      <x:c r="B471" s="160" t="inlineStr">
        <x:is>
          <x:t xml:space="preserve">ARG-030</x:t>
        </x:is>
      </x:c>
      <x:c r="C471" s="160" t="inlineStr">
        <x:is>
          <x:t xml:space="preserve">ConocoPhillips</x:t>
        </x:is>
      </x:c>
      <x:c r="D471" s="160" t="inlineStr">
        <x:is>
          <x:t xml:space="preserve">COP</x:t>
        </x:is>
      </x:c>
      <x:c r="E471" s="160" t="inlineStr">
        <x:is>
          <x:t xml:space="preserve">Energy</x:t>
        </x:is>
      </x:c>
      <x:c r="F471" s="160" t="inlineStr">
        <x:is>
          <x:t xml:space="preserve">Development</x:t>
        </x:is>
      </x:c>
      <x:c r="G471" s="160" t="inlineStr">
        <x:is>
          <x:t xml:space="preserve">S02</x:t>
        </x:is>
      </x:c>
      <x:c r="H471" s="160" t="inlineStr">
        <x:is>
          <x:t xml:space="preserve">Owner Earnings Normalization</x:t>
        </x:is>
      </x:c>
      <x:c r="I471" s="160" t="inlineStr">
        <x:is>
          <x:t xml:space="preserve">Owner Earnings</x:t>
        </x:is>
      </x:c>
      <x:c r="J471" s="160" t="inlineStr">
        <x:is>
          <x:t xml:space="preserve">Reported earnings/FCF overstates economic cash because recurring reinvestment or non-cash compensation is misclassified.</x:t>
        </x:is>
      </x:c>
      <x:c r="K471" s="160" t="inlineStr">
        <x:is>
          <x:t xml:space="preserve">Production × realized price − sustaining capital</x:t>
        </x:is>
      </x:c>
      <x:c r="L471" s="160" t="inlineStr">
        <x:is>
          <x:t xml:space="preserve">NAV + mid-cycle FCF</x:t>
        </x:is>
      </x:c>
      <x:c r="M471" s="160" t="inlineStr">
        <x:is>
          <x:t xml:space="preserve">WATCH</x:t>
        </x:is>
      </x:c>
      <x:c r="N471" s="160" t="inlineStr">
        <x:is>
          <x:t xml:space="preserve">R-OE-01</x:t>
        </x:is>
      </x:c>
      <x:c r="O471" s="160" t="inlineStr">
        <x:is>
          <x:t xml:space="preserve">COUNTER-EVIDENCE</x:t>
        </x:is>
      </x:c>
      <x:c r="P471" s="160" t="inlineStr">
        <x:is>
          <x:t xml:space="preserve">ROBUST</x:t>
        </x:is>
      </x:c>
      <x:c r="Q471" s="160" t="inlineStr">
        <x:is>
          <x:t xml:space="preserve">The mature simulation rule catches the stress without weakening a fatal gate; no rule relaxation is justified.</x:t>
        </x:is>
      </x:c>
      <x:c r="R471" s="160" t="inlineStr">
        <x:is>
          <x:t xml:space="preserve">Require a GAAP-to-economic-owner-cash bridge tailored to the business model.</x:t>
        </x:is>
      </x:c>
      <x:c r="S471" s="160" t="inlineStr">
        <x:is>
          <x:t xml:space="preserve">NO</x:t>
        </x:is>
      </x:c>
      <x:c r="T471" s="160" t="inlineStr">
        <x:is>
          <x:t xml:space="preserve">COUNTER-EVIDENCE</x:t>
        </x:is>
      </x:c>
      <x:c r="U471" s="160" t="inlineStr">
        <x:is>
          <x:t xml:space="preserve">V10.5-SIM57</x:t>
        </x:is>
      </x:c>
      <x:c r="V471" s="160" t="inlineStr">
        <x:is>
          <x:t xml:space="preserve">https://www.conocophillips.com/investor-relations/</x:t>
        </x:is>
      </x:c>
      <x:c r="W471" s="160" t="inlineStr">
        <x:is>
          <x:t xml:space="preserve">NO</x:t>
        </x:is>
      </x:c>
      <x:c r="X471" s="160" t="inlineStr">
        <x:is>
          <x:t xml:space="preserve">NONE — DEVELOPMENT ONLY</x:t>
        </x:is>
      </x:c>
      <x:c r="Y471" s="160" t="inlineStr">
        <x:is>
          <x:t xml:space="preserve">Synthetic/adversarial model-development loop. No historical outcome is claimed; no accuracy point is awarded.</x:t>
        </x:is>
      </x:c>
    </x:row>
    <x:row r="472">
      <x:c r="A472" s="160" t="inlineStr">
        <x:is>
          <x:t xml:space="preserve">ML0467</x:t>
        </x:is>
      </x:c>
      <x:c r="B472" s="160" t="inlineStr">
        <x:is>
          <x:t xml:space="preserve">ARG-030</x:t>
        </x:is>
      </x:c>
      <x:c r="C472" s="160" t="inlineStr">
        <x:is>
          <x:t xml:space="preserve">ConocoPhillips</x:t>
        </x:is>
      </x:c>
      <x:c r="D472" s="160" t="inlineStr">
        <x:is>
          <x:t xml:space="preserve">COP</x:t>
        </x:is>
      </x:c>
      <x:c r="E472" s="160" t="inlineStr">
        <x:is>
          <x:t xml:space="preserve">Energy</x:t>
        </x:is>
      </x:c>
      <x:c r="F472" s="160" t="inlineStr">
        <x:is>
          <x:t xml:space="preserve">Development</x:t>
        </x:is>
      </x:c>
      <x:c r="G472" s="160" t="inlineStr">
        <x:is>
          <x:t xml:space="preserve">S03</x:t>
        </x:is>
      </x:c>
      <x:c r="H472" s="160" t="inlineStr">
        <x:is>
          <x:t xml:space="preserve">Moat Durability</x:t>
        </x:is>
      </x:c>
      <x:c r="I472" s="160" t="inlineStr">
        <x:is>
          <x:t xml:space="preserve">Moat 2036</x:t>
        </x:is>
      </x:c>
      <x:c r="J472" s="160" t="inlineStr">
        <x:is>
          <x:t xml:space="preserve">Growth continues while switching friction, pricing power or replacement difficulty quietly weakens.</x:t>
        </x:is>
      </x:c>
      <x:c r="K472" s="160" t="inlineStr">
        <x:is>
          <x:t xml:space="preserve">Production × realized price − sustaining capital</x:t>
        </x:is>
      </x:c>
      <x:c r="L472" s="160" t="inlineStr">
        <x:is>
          <x:t xml:space="preserve">NAV + mid-cycle FCF</x:t>
        </x:is>
      </x:c>
      <x:c r="M472" s="160" t="inlineStr">
        <x:is>
          <x:t xml:space="preserve">WATCH</x:t>
        </x:is>
      </x:c>
      <x:c r="N472" s="160" t="inlineStr">
        <x:is>
          <x:t xml:space="preserve">R-MOAT-01</x:t>
        </x:is>
      </x:c>
      <x:c r="O472" s="160" t="inlineStr">
        <x:is>
          <x:t xml:space="preserve">COUNTER-EVIDENCE</x:t>
        </x:is>
      </x:c>
      <x:c r="P472" s="160" t="inlineStr">
        <x:is>
          <x:t xml:space="preserve">ROBUST</x:t>
        </x:is>
      </x:c>
      <x:c r="Q472" s="160" t="inlineStr">
        <x:is>
          <x:t xml:space="preserve">The mature simulation rule catches the stress without weakening a fatal gate; no rule relaxation is justified.</x:t>
        </x:is>
      </x:c>
      <x:c r="R472" s="160" t="inlineStr">
        <x:is>
          <x:t xml:space="preserve">Track moat telemetry separately from growth: retention, pricing, win/loss, replacement friction, installed-base behavior.</x:t>
        </x:is>
      </x:c>
      <x:c r="S472" s="160" t="inlineStr">
        <x:is>
          <x:t xml:space="preserve">NO</x:t>
        </x:is>
      </x:c>
      <x:c r="T472" s="160" t="inlineStr">
        <x:is>
          <x:t xml:space="preserve">COUNTER-EVIDENCE</x:t>
        </x:is>
      </x:c>
      <x:c r="U472" s="160" t="inlineStr">
        <x:is>
          <x:t xml:space="preserve">V10.5-SIM57</x:t>
        </x:is>
      </x:c>
      <x:c r="V472" s="160" t="inlineStr">
        <x:is>
          <x:t xml:space="preserve">https://www.conocophillips.com/investor-relations/</x:t>
        </x:is>
      </x:c>
      <x:c r="W472" s="160" t="inlineStr">
        <x:is>
          <x:t xml:space="preserve">NO</x:t>
        </x:is>
      </x:c>
      <x:c r="X472" s="160" t="inlineStr">
        <x:is>
          <x:t xml:space="preserve">NONE — DEVELOPMENT ONLY</x:t>
        </x:is>
      </x:c>
      <x:c r="Y472" s="160" t="inlineStr">
        <x:is>
          <x:t xml:space="preserve">Synthetic/adversarial model-development loop. No historical outcome is claimed; no accuracy point is awarded.</x:t>
        </x:is>
      </x:c>
    </x:row>
    <x:row r="473">
      <x:c r="A473" s="160" t="inlineStr">
        <x:is>
          <x:t xml:space="preserve">ML0468</x:t>
        </x:is>
      </x:c>
      <x:c r="B473" s="160" t="inlineStr">
        <x:is>
          <x:t xml:space="preserve">ARG-030</x:t>
        </x:is>
      </x:c>
      <x:c r="C473" s="160" t="inlineStr">
        <x:is>
          <x:t xml:space="preserve">ConocoPhillips</x:t>
        </x:is>
      </x:c>
      <x:c r="D473" s="160" t="inlineStr">
        <x:is>
          <x:t xml:space="preserve">COP</x:t>
        </x:is>
      </x:c>
      <x:c r="E473" s="160" t="inlineStr">
        <x:is>
          <x:t xml:space="preserve">Energy</x:t>
        </x:is>
      </x:c>
      <x:c r="F473" s="160" t="inlineStr">
        <x:is>
          <x:t xml:space="preserve">Development</x:t>
        </x:is>
      </x:c>
      <x:c r="G473" s="160" t="inlineStr">
        <x:is>
          <x:t xml:space="preserve">S04</x:t>
        </x:is>
      </x:c>
      <x:c r="H473" s="160" t="inlineStr">
        <x:is>
          <x:t xml:space="preserve">Stewardship / Capital Allocation</x:t>
        </x:is>
      </x:c>
      <x:c r="I473" s="160" t="inlineStr">
        <x:is>
          <x:t xml:space="preserve">Stewardship</x:t>
        </x:is>
      </x:c>
      <x:c r="J473" s="160" t="inlineStr">
        <x:is>
          <x:t xml:space="preserve">Management creates enterprise growth while destroying per-share value through M&amp;A, dilution, leverage or mistimed buybacks.</x:t>
        </x:is>
      </x:c>
      <x:c r="K473" s="160" t="inlineStr">
        <x:is>
          <x:t xml:space="preserve">Production × realized price − sustaining capital</x:t>
        </x:is>
      </x:c>
      <x:c r="L473" s="160" t="inlineStr">
        <x:is>
          <x:t xml:space="preserve">NAV + mid-cycle FCF</x:t>
        </x:is>
      </x:c>
      <x:c r="M473" s="160" t="inlineStr">
        <x:is>
          <x:t xml:space="preserve">WATCH</x:t>
        </x:is>
      </x:c>
      <x:c r="N473" s="160" t="inlineStr">
        <x:is>
          <x:t xml:space="preserve">R-STEW-01</x:t>
        </x:is>
      </x:c>
      <x:c r="O473" s="160" t="inlineStr">
        <x:is>
          <x:t xml:space="preserve">COUNTER-EVIDENCE</x:t>
        </x:is>
      </x:c>
      <x:c r="P473" s="160" t="inlineStr">
        <x:is>
          <x:t xml:space="preserve">ROBUST</x:t>
        </x:is>
      </x:c>
      <x:c r="Q473" s="160" t="inlineStr">
        <x:is>
          <x:t xml:space="preserve">The mature simulation rule catches the stress without weakening a fatal gate; no rule relaxation is justified.</x:t>
        </x:is>
      </x:c>
      <x:c r="R473" s="160" t="inlineStr">
        <x:is>
          <x:t xml:space="preserve">Evaluate capital allocation on a per-share basis using acquisition cohorts, dilution, leverage and repurchase price discipline.</x:t>
        </x:is>
      </x:c>
      <x:c r="S473" s="160" t="inlineStr">
        <x:is>
          <x:t xml:space="preserve">NO</x:t>
        </x:is>
      </x:c>
      <x:c r="T473" s="160" t="inlineStr">
        <x:is>
          <x:t xml:space="preserve">COUNTER-EVIDENCE</x:t>
        </x:is>
      </x:c>
      <x:c r="U473" s="160" t="inlineStr">
        <x:is>
          <x:t xml:space="preserve">V10.5-SIM57</x:t>
        </x:is>
      </x:c>
      <x:c r="V473" s="160" t="inlineStr">
        <x:is>
          <x:t xml:space="preserve">https://www.conocophillips.com/investor-relations/</x:t>
        </x:is>
      </x:c>
      <x:c r="W473" s="160" t="inlineStr">
        <x:is>
          <x:t xml:space="preserve">NO</x:t>
        </x:is>
      </x:c>
      <x:c r="X473" s="160" t="inlineStr">
        <x:is>
          <x:t xml:space="preserve">NONE — DEVELOPMENT ONLY</x:t>
        </x:is>
      </x:c>
      <x:c r="Y473" s="160" t="inlineStr">
        <x:is>
          <x:t xml:space="preserve">Synthetic/adversarial model-development loop. No historical outcome is claimed; no accuracy point is awarded.</x:t>
        </x:is>
      </x:c>
    </x:row>
    <x:row r="474">
      <x:c r="A474" s="160" t="inlineStr">
        <x:is>
          <x:t xml:space="preserve">ML0469</x:t>
        </x:is>
      </x:c>
      <x:c r="B474" s="160" t="inlineStr">
        <x:is>
          <x:t xml:space="preserve">ARG-030</x:t>
        </x:is>
      </x:c>
      <x:c r="C474" s="160" t="inlineStr">
        <x:is>
          <x:t xml:space="preserve">ConocoPhillips</x:t>
        </x:is>
      </x:c>
      <x:c r="D474" s="160" t="inlineStr">
        <x:is>
          <x:t xml:space="preserve">COP</x:t>
        </x:is>
      </x:c>
      <x:c r="E474" s="160" t="inlineStr">
        <x:is>
          <x:t xml:space="preserve">Energy</x:t>
        </x:is>
      </x:c>
      <x:c r="F474" s="160" t="inlineStr">
        <x:is>
          <x:t xml:space="preserve">Development</x:t>
        </x:is>
      </x:c>
      <x:c r="G474" s="160" t="inlineStr">
        <x:is>
          <x:t xml:space="preserve">S05</x:t>
        </x:is>
      </x:c>
      <x:c r="H474" s="160" t="inlineStr">
        <x:is>
          <x:t xml:space="preserve">Survival / Funding</x:t>
        </x:is>
      </x:c>
      <x:c r="I474" s="160" t="inlineStr">
        <x:is>
          <x:t xml:space="preserve">Survival</x:t>
        </x:is>
      </x:c>
      <x:c r="J474" s="160" t="inlineStr">
        <x:is>
          <x:t xml:space="preserve">A plausible bear case exposes refinancing, liquidity, covenant, reserve, regulatory or operational fragility.</x:t>
        </x:is>
      </x:c>
      <x:c r="K474" s="160" t="inlineStr">
        <x:is>
          <x:t xml:space="preserve">Production × realized price − sustaining capital</x:t>
        </x:is>
      </x:c>
      <x:c r="L474" s="160" t="inlineStr">
        <x:is>
          <x:t xml:space="preserve">NAV + mid-cycle FCF</x:t>
        </x:is>
      </x:c>
      <x:c r="M474" s="160" t="inlineStr">
        <x:is>
          <x:t xml:space="preserve">WATCH</x:t>
        </x:is>
      </x:c>
      <x:c r="N474" s="160" t="inlineStr">
        <x:is>
          <x:t xml:space="preserve">R-SURV-01</x:t>
        </x:is>
      </x:c>
      <x:c r="O474" s="160" t="inlineStr">
        <x:is>
          <x:t xml:space="preserve">COUNTER-EVIDENCE</x:t>
        </x:is>
      </x:c>
      <x:c r="P474" s="160" t="inlineStr">
        <x:is>
          <x:t xml:space="preserve">ROBUST</x:t>
        </x:is>
      </x:c>
      <x:c r="Q474" s="160" t="inlineStr">
        <x:is>
          <x:t xml:space="preserve">The mature simulation rule catches the stress without weakening a fatal gate; no rule relaxation is justified.</x:t>
        </x:is>
      </x:c>
      <x:c r="R474" s="160" t="inlineStr">
        <x:is>
          <x:t xml:space="preserve">Run a company-specific survival bridge under a severe-but-plausible bear case before any upside underwriting.</x:t>
        </x:is>
      </x:c>
      <x:c r="S474" s="160" t="inlineStr">
        <x:is>
          <x:t xml:space="preserve">NO</x:t>
        </x:is>
      </x:c>
      <x:c r="T474" s="160" t="inlineStr">
        <x:is>
          <x:t xml:space="preserve">COUNTER-EVIDENCE</x:t>
        </x:is>
      </x:c>
      <x:c r="U474" s="160" t="inlineStr">
        <x:is>
          <x:t xml:space="preserve">V10.5-SIM57</x:t>
        </x:is>
      </x:c>
      <x:c r="V474" s="160" t="inlineStr">
        <x:is>
          <x:t xml:space="preserve">https://www.conocophillips.com/investor-relations/</x:t>
        </x:is>
      </x:c>
      <x:c r="W474" s="160" t="inlineStr">
        <x:is>
          <x:t xml:space="preserve">NO</x:t>
        </x:is>
      </x:c>
      <x:c r="X474" s="160" t="inlineStr">
        <x:is>
          <x:t xml:space="preserve">NONE — DEVELOPMENT ONLY</x:t>
        </x:is>
      </x:c>
      <x:c r="Y474" s="160" t="inlineStr">
        <x:is>
          <x:t xml:space="preserve">Synthetic/adversarial model-development loop. No historical outcome is claimed; no accuracy point is awarded.</x:t>
        </x:is>
      </x:c>
    </x:row>
    <x:row r="475">
      <x:c r="A475" s="160" t="inlineStr">
        <x:is>
          <x:t xml:space="preserve">ML0470</x:t>
        </x:is>
      </x:c>
      <x:c r="B475" s="160" t="inlineStr">
        <x:is>
          <x:t xml:space="preserve">ARG-030</x:t>
        </x:is>
      </x:c>
      <x:c r="C475" s="160" t="inlineStr">
        <x:is>
          <x:t xml:space="preserve">ConocoPhillips</x:t>
        </x:is>
      </x:c>
      <x:c r="D475" s="160" t="inlineStr">
        <x:is>
          <x:t xml:space="preserve">COP</x:t>
        </x:is>
      </x:c>
      <x:c r="E475" s="160" t="inlineStr">
        <x:is>
          <x:t xml:space="preserve">Energy</x:t>
        </x:is>
      </x:c>
      <x:c r="F475" s="160" t="inlineStr">
        <x:is>
          <x:t xml:space="preserve">Development</x:t>
        </x:is>
      </x:c>
      <x:c r="G475" s="160" t="inlineStr">
        <x:is>
          <x:t xml:space="preserve">S06</x:t>
        </x:is>
      </x:c>
      <x:c r="H475" s="160" t="inlineStr">
        <x:is>
          <x:t xml:space="preserve">Margin of Safety</x:t>
        </x:is>
      </x:c>
      <x:c r="I475" s="160" t="inlineStr">
        <x:is>
          <x:t xml:space="preserve">Margin of Safety</x:t>
        </x:is>
      </x:c>
      <x:c r="J475" s="160" t="inlineStr">
        <x:is>
          <x:t xml:space="preserve">Business quality is high but the price embeds a fragile bull case.</x:t>
        </x:is>
      </x:c>
      <x:c r="K475" s="160" t="inlineStr">
        <x:is>
          <x:t xml:space="preserve">Production × realized price − sustaining capital</x:t>
        </x:is>
      </x:c>
      <x:c r="L475" s="160" t="inlineStr">
        <x:is>
          <x:t xml:space="preserve">NAV + mid-cycle FCF</x:t>
        </x:is>
      </x:c>
      <x:c r="M475" s="160" t="inlineStr">
        <x:is>
          <x:t xml:space="preserve">WATCH</x:t>
        </x:is>
      </x:c>
      <x:c r="N475" s="160" t="inlineStr">
        <x:is>
          <x:t xml:space="preserve">R-MOS-01</x:t>
        </x:is>
      </x:c>
      <x:c r="O475" s="160" t="inlineStr">
        <x:is>
          <x:t xml:space="preserve">COUNTER-EVIDENCE</x:t>
        </x:is>
      </x:c>
      <x:c r="P475" s="160" t="inlineStr">
        <x:is>
          <x:t xml:space="preserve">ROBUST</x:t>
        </x:is>
      </x:c>
      <x:c r="Q475" s="160" t="inlineStr">
        <x:is>
          <x:t xml:space="preserve">The mature simulation rule catches the stress without weakening a fatal gate; no rule relaxation is justified.</x:t>
        </x:is>
      </x:c>
      <x:c r="R475" s="160" t="inlineStr">
        <x:is>
          <x:t xml:space="preserve">Separate business-quality score from price decision; require reverse valuation and bear/base/bull IV ranges.</x:t>
        </x:is>
      </x:c>
      <x:c r="S475" s="160" t="inlineStr">
        <x:is>
          <x:t xml:space="preserve">NO</x:t>
        </x:is>
      </x:c>
      <x:c r="T475" s="160" t="inlineStr">
        <x:is>
          <x:t xml:space="preserve">COUNTER-EVIDENCE</x:t>
        </x:is>
      </x:c>
      <x:c r="U475" s="160" t="inlineStr">
        <x:is>
          <x:t xml:space="preserve">V10.5-SIM57</x:t>
        </x:is>
      </x:c>
      <x:c r="V475" s="160" t="inlineStr">
        <x:is>
          <x:t xml:space="preserve">https://www.conocophillips.com/investor-relations/</x:t>
        </x:is>
      </x:c>
      <x:c r="W475" s="160" t="inlineStr">
        <x:is>
          <x:t xml:space="preserve">NO</x:t>
        </x:is>
      </x:c>
      <x:c r="X475" s="160" t="inlineStr">
        <x:is>
          <x:t xml:space="preserve">NONE — DEVELOPMENT ONLY</x:t>
        </x:is>
      </x:c>
      <x:c r="Y475" s="160" t="inlineStr">
        <x:is>
          <x:t xml:space="preserve">Synthetic/adversarial model-development loop. No historical outcome is claimed; no accuracy point is awarded.</x:t>
        </x:is>
      </x:c>
    </x:row>
    <x:row r="476">
      <x:c r="A476" s="160" t="inlineStr">
        <x:is>
          <x:t xml:space="preserve">ML0471</x:t>
        </x:is>
      </x:c>
      <x:c r="B476" s="160" t="inlineStr">
        <x:is>
          <x:t xml:space="preserve">ARG-030</x:t>
        </x:is>
      </x:c>
      <x:c r="C476" s="160" t="inlineStr">
        <x:is>
          <x:t xml:space="preserve">ConocoPhillips</x:t>
        </x:is>
      </x:c>
      <x:c r="D476" s="160" t="inlineStr">
        <x:is>
          <x:t xml:space="preserve">COP</x:t>
        </x:is>
      </x:c>
      <x:c r="E476" s="160" t="inlineStr">
        <x:is>
          <x:t xml:space="preserve">Energy</x:t>
        </x:is>
      </x:c>
      <x:c r="F476" s="160" t="inlineStr">
        <x:is>
          <x:t xml:space="preserve">Development</x:t>
        </x:is>
      </x:c>
      <x:c r="G476" s="160" t="inlineStr">
        <x:is>
          <x:t xml:space="preserve">S07</x:t>
        </x:is>
      </x:c>
      <x:c r="H476" s="160" t="inlineStr">
        <x:is>
          <x:t xml:space="preserve">Sector Shock</x:t>
        </x:is>
      </x:c>
      <x:c r="I476" s="160" t="inlineStr">
        <x:is>
          <x:t xml:space="preserve">Sector-specific</x:t>
        </x:is>
      </x:c>
      <x:c r="J476" s="160" t="inlineStr">
        <x:is>
          <x:t xml:space="preserve">Commodity prices fall toward mid-cycle while sustaining capex and balance-sheet commitments remain fixed.</x:t>
        </x:is>
      </x:c>
      <x:c r="K476" s="160" t="inlineStr">
        <x:is>
          <x:t xml:space="preserve">Production × realized price − sustaining capital</x:t>
        </x:is>
      </x:c>
      <x:c r="L476" s="160" t="inlineStr">
        <x:is>
          <x:t xml:space="preserve">NAV + mid-cycle FCF</x:t>
        </x:is>
      </x:c>
      <x:c r="M476" s="160" t="inlineStr">
        <x:is>
          <x:t xml:space="preserve">WATCH</x:t>
        </x:is>
      </x:c>
      <x:c r="N476" s="160" t="inlineStr">
        <x:is>
          <x:t xml:space="preserve">R-SECTOR-ENERGY</x:t>
        </x:is>
      </x:c>
      <x:c r="O476" s="160" t="inlineStr">
        <x:is>
          <x:t xml:space="preserve">BASE</x:t>
        </x:is>
      </x:c>
      <x:c r="P476" s="160" t="inlineStr">
        <x:is>
          <x:t xml:space="preserve">PARTIAL CATCH</x:t>
        </x:is>
      </x:c>
      <x:c r="Q476" s="160" t="inlineStr">
        <x:is>
          <x:t xml:space="preserve">The base refinement catches the main failure, but evidence thresholds and per-share/counterfactual details remain underspecified.</x:t>
        </x:is>
      </x:c>
      <x:c r="R476" s="160" t="inlineStr">
        <x:is>
          <x:t xml:space="preserve">Add a sector-specific transmission map with leading operating sensors, not only market-price variables. Sector rule: Commodity prices fall toward mid-cycle while sustaining capex and balance-sheet commitments remain fixed.</x:t>
        </x:is>
      </x:c>
      <x:c r="S476" s="160" t="inlineStr">
        <x:is>
          <x:t xml:space="preserve">NO</x:t>
        </x:is>
      </x:c>
      <x:c r="T476" s="160" t="inlineStr">
        <x:is>
          <x:t xml:space="preserve">BASE</x:t>
        </x:is>
      </x:c>
      <x:c r="U476" s="160" t="inlineStr">
        <x:is>
          <x:t xml:space="preserve">V10.5-SIM57</x:t>
        </x:is>
      </x:c>
      <x:c r="V476" s="160" t="inlineStr">
        <x:is>
          <x:t xml:space="preserve">https://www.conocophillips.com/investor-relations/</x:t>
        </x:is>
      </x:c>
      <x:c r="W476" s="160" t="inlineStr">
        <x:is>
          <x:t xml:space="preserve">NO</x:t>
        </x:is>
      </x:c>
      <x:c r="X476" s="160" t="inlineStr">
        <x:is>
          <x:t xml:space="preserve">NONE — DEVELOPMENT ONLY</x:t>
        </x:is>
      </x:c>
      <x:c r="Y476" s="160" t="inlineStr">
        <x:is>
          <x:t xml:space="preserve">Synthetic/adversarial model-development loop. No historical outcome is claimed; no accuracy point is awarded.</x:t>
        </x:is>
      </x:c>
    </x:row>
    <x:row r="477">
      <x:c r="A477" s="160" t="inlineStr">
        <x:is>
          <x:t xml:space="preserve">ML0472</x:t>
        </x:is>
      </x:c>
      <x:c r="B477" s="160" t="inlineStr">
        <x:is>
          <x:t xml:space="preserve">ARG-030</x:t>
        </x:is>
      </x:c>
      <x:c r="C477" s="160" t="inlineStr">
        <x:is>
          <x:t xml:space="preserve">ConocoPhillips</x:t>
        </x:is>
      </x:c>
      <x:c r="D477" s="160" t="inlineStr">
        <x:is>
          <x:t xml:space="preserve">COP</x:t>
        </x:is>
      </x:c>
      <x:c r="E477" s="160" t="inlineStr">
        <x:is>
          <x:t xml:space="preserve">Energy</x:t>
        </x:is>
      </x:c>
      <x:c r="F477" s="160" t="inlineStr">
        <x:is>
          <x:t xml:space="preserve">Development</x:t>
        </x:is>
      </x:c>
      <x:c r="G477" s="160" t="inlineStr">
        <x:is>
          <x:t xml:space="preserve">S08</x:t>
        </x:is>
      </x:c>
      <x:c r="H477" s="160" t="inlineStr">
        <x:is>
          <x:t xml:space="preserve">Management Promise Reliability</x:t>
        </x:is>
      </x:c>
      <x:c r="I477" s="160" t="inlineStr">
        <x:is>
          <x:t xml:space="preserve">Management over-trust</x:t>
        </x:is>
      </x:c>
      <x:c r="J477" s="160" t="inlineStr">
        <x:is>
          <x:t xml:space="preserve">Guidance or strategic promises are repeated but the model lacks a contemporaneous reliability score.</x:t>
        </x:is>
      </x:c>
      <x:c r="K477" s="160" t="inlineStr">
        <x:is>
          <x:t xml:space="preserve">Production × realized price − sustaining capital</x:t>
        </x:is>
      </x:c>
      <x:c r="L477" s="160" t="inlineStr">
        <x:is>
          <x:t xml:space="preserve">NAV + mid-cycle FCF</x:t>
        </x:is>
      </x:c>
      <x:c r="M477" s="160" t="inlineStr">
        <x:is>
          <x:t xml:space="preserve">WATCH</x:t>
        </x:is>
      </x:c>
      <x:c r="N477" s="160" t="inlineStr">
        <x:is>
          <x:t xml:space="preserve">R-PROM-01</x:t>
        </x:is>
      </x:c>
      <x:c r="O477" s="160" t="inlineStr">
        <x:is>
          <x:t xml:space="preserve">COUNTER-EVIDENCE</x:t>
        </x:is>
      </x:c>
      <x:c r="P477" s="160" t="inlineStr">
        <x:is>
          <x:t xml:space="preserve">ROBUST</x:t>
        </x:is>
      </x:c>
      <x:c r="Q477" s="160" t="inlineStr">
        <x:is>
          <x:t xml:space="preserve">The mature simulation rule catches the stress without weakening a fatal gate; no rule relaxation is justified.</x:t>
        </x:is>
      </x:c>
      <x:c r="R477" s="160" t="inlineStr">
        <x:is>
          <x:t xml:space="preserve">Use a promises ledger with dated promise, measurable deliverable, due date, outcome and credibility weight.</x:t>
        </x:is>
      </x:c>
      <x:c r="S477" s="160" t="inlineStr">
        <x:is>
          <x:t xml:space="preserve">NO</x:t>
        </x:is>
      </x:c>
      <x:c r="T477" s="160" t="inlineStr">
        <x:is>
          <x:t xml:space="preserve">COUNTER-EVIDENCE</x:t>
        </x:is>
      </x:c>
      <x:c r="U477" s="160" t="inlineStr">
        <x:is>
          <x:t xml:space="preserve">V10.5-SIM57</x:t>
        </x:is>
      </x:c>
      <x:c r="V477" s="160" t="inlineStr">
        <x:is>
          <x:t xml:space="preserve">https://www.conocophillips.com/investor-relations/</x:t>
        </x:is>
      </x:c>
      <x:c r="W477" s="160" t="inlineStr">
        <x:is>
          <x:t xml:space="preserve">NO</x:t>
        </x:is>
      </x:c>
      <x:c r="X477" s="160" t="inlineStr">
        <x:is>
          <x:t xml:space="preserve">NONE — DEVELOPMENT ONLY</x:t>
        </x:is>
      </x:c>
      <x:c r="Y477" s="160" t="inlineStr">
        <x:is>
          <x:t xml:space="preserve">Synthetic/adversarial model-development loop. No historical outcome is claimed; no accuracy point is awarded.</x:t>
        </x:is>
      </x:c>
    </x:row>
    <x:row r="478">
      <x:c r="A478" s="160" t="inlineStr">
        <x:is>
          <x:t xml:space="preserve">ML0473</x:t>
        </x:is>
      </x:c>
      <x:c r="B478" s="160" t="inlineStr">
        <x:is>
          <x:t xml:space="preserve">ARG-030</x:t>
        </x:is>
      </x:c>
      <x:c r="C478" s="160" t="inlineStr">
        <x:is>
          <x:t xml:space="preserve">ConocoPhillips</x:t>
        </x:is>
      </x:c>
      <x:c r="D478" s="160" t="inlineStr">
        <x:is>
          <x:t xml:space="preserve">COP</x:t>
        </x:is>
      </x:c>
      <x:c r="E478" s="160" t="inlineStr">
        <x:is>
          <x:t xml:space="preserve">Energy</x:t>
        </x:is>
      </x:c>
      <x:c r="F478" s="160" t="inlineStr">
        <x:is>
          <x:t xml:space="preserve">Development</x:t>
        </x:is>
      </x:c>
      <x:c r="G478" s="160" t="inlineStr">
        <x:is>
          <x:t xml:space="preserve">S09</x:t>
        </x:is>
      </x:c>
      <x:c r="H478" s="160" t="inlineStr">
        <x:is>
          <x:t xml:space="preserve">Data / Accounting Quality</x:t>
        </x:is>
      </x:c>
      <x:c r="I478" s="160" t="inlineStr">
        <x:is>
          <x:t xml:space="preserve">Data quality</x:t>
        </x:is>
      </x:c>
      <x:c r="J478" s="160" t="inlineStr">
        <x:is>
          <x:t xml:space="preserve">Restatement, segment reclassification, one-time item or non-economic fair-value movement distorts the apparent trend.</x:t>
        </x:is>
      </x:c>
      <x:c r="K478" s="160" t="inlineStr">
        <x:is>
          <x:t xml:space="preserve">Production × realized price − sustaining capital</x:t>
        </x:is>
      </x:c>
      <x:c r="L478" s="160" t="inlineStr">
        <x:is>
          <x:t xml:space="preserve">NAV + mid-cycle FCF</x:t>
        </x:is>
      </x:c>
      <x:c r="M478" s="160" t="inlineStr">
        <x:is>
          <x:t xml:space="preserve">WATCH</x:t>
        </x:is>
      </x:c>
      <x:c r="N478" s="160" t="inlineStr">
        <x:is>
          <x:t xml:space="preserve">R-DATA-01</x:t>
        </x:is>
      </x:c>
      <x:c r="O478" s="160" t="inlineStr">
        <x:is>
          <x:t xml:space="preserve">COUNTER-EVIDENCE</x:t>
        </x:is>
      </x:c>
      <x:c r="P478" s="160" t="inlineStr">
        <x:is>
          <x:t xml:space="preserve">ROBUST</x:t>
        </x:is>
      </x:c>
      <x:c r="Q478" s="160" t="inlineStr">
        <x:is>
          <x:t xml:space="preserve">The mature simulation rule catches the stress without weakening a fatal gate; no rule relaxation is justified.</x:t>
        </x:is>
      </x:c>
      <x:c r="R478" s="160" t="inlineStr">
        <x:is>
          <x:t xml:space="preserve">Add a reporting-quality bridge and normalize accounting noise before any gate can pass.</x:t>
        </x:is>
      </x:c>
      <x:c r="S478" s="160" t="inlineStr">
        <x:is>
          <x:t xml:space="preserve">NO</x:t>
        </x:is>
      </x:c>
      <x:c r="T478" s="160" t="inlineStr">
        <x:is>
          <x:t xml:space="preserve">COUNTER-EVIDENCE</x:t>
        </x:is>
      </x:c>
      <x:c r="U478" s="160" t="inlineStr">
        <x:is>
          <x:t xml:space="preserve">V10.5-SIM57</x:t>
        </x:is>
      </x:c>
      <x:c r="V478" s="160" t="inlineStr">
        <x:is>
          <x:t xml:space="preserve">https://www.conocophillips.com/investor-relations/</x:t>
        </x:is>
      </x:c>
      <x:c r="W478" s="160" t="inlineStr">
        <x:is>
          <x:t xml:space="preserve">NO</x:t>
        </x:is>
      </x:c>
      <x:c r="X478" s="160" t="inlineStr">
        <x:is>
          <x:t xml:space="preserve">NONE — DEVELOPMENT ONLY</x:t>
        </x:is>
      </x:c>
      <x:c r="Y478" s="160" t="inlineStr">
        <x:is>
          <x:t xml:space="preserve">Synthetic/adversarial model-development loop. No historical outcome is claimed; no accuracy point is awarded.</x:t>
        </x:is>
      </x:c>
    </x:row>
    <x:row r="479">
      <x:c r="A479" s="160" t="inlineStr">
        <x:is>
          <x:t xml:space="preserve">ML0474</x:t>
        </x:is>
      </x:c>
      <x:c r="B479" s="160" t="inlineStr">
        <x:is>
          <x:t xml:space="preserve">ARG-030</x:t>
        </x:is>
      </x:c>
      <x:c r="C479" s="160" t="inlineStr">
        <x:is>
          <x:t xml:space="preserve">ConocoPhillips</x:t>
        </x:is>
      </x:c>
      <x:c r="D479" s="160" t="inlineStr">
        <x:is>
          <x:t xml:space="preserve">COP</x:t>
        </x:is>
      </x:c>
      <x:c r="E479" s="160" t="inlineStr">
        <x:is>
          <x:t xml:space="preserve">Energy</x:t>
        </x:is>
      </x:c>
      <x:c r="F479" s="160" t="inlineStr">
        <x:is>
          <x:t xml:space="preserve">Development</x:t>
        </x:is>
      </x:c>
      <x:c r="G479" s="160" t="inlineStr">
        <x:is>
          <x:t xml:space="preserve">S10</x:t>
        </x:is>
      </x:c>
      <x:c r="H479" s="160" t="inlineStr">
        <x:is>
          <x:t xml:space="preserve">Control / Counterfactual</x:t>
        </x:is>
      </x:c>
      <x:c r="I479" s="160" t="inlineStr">
        <x:is>
          <x:t xml:space="preserve">Sector beta vs company alpha</x:t>
        </x:is>
      </x:c>
      <x:c r="J479" s="160" t="inlineStr">
        <x:is>
          <x:t xml:space="preserve">A positive outcome is mostly sector beta or macro tailwind, not company-specific alpha.</x:t>
        </x:is>
      </x:c>
      <x:c r="K479" s="160" t="inlineStr">
        <x:is>
          <x:t xml:space="preserve">Production × realized price − sustaining capital</x:t>
        </x:is>
      </x:c>
      <x:c r="L479" s="160" t="inlineStr">
        <x:is>
          <x:t xml:space="preserve">NAV + mid-cycle FCF</x:t>
        </x:is>
      </x:c>
      <x:c r="M479" s="160" t="inlineStr">
        <x:is>
          <x:t xml:space="preserve">WATCH</x:t>
        </x:is>
      </x:c>
      <x:c r="N479" s="160" t="inlineStr">
        <x:is>
          <x:t xml:space="preserve">R-CF-01</x:t>
        </x:is>
      </x:c>
      <x:c r="O479" s="160" t="inlineStr">
        <x:is>
          <x:t xml:space="preserve">COUNTER-EVIDENCE</x:t>
        </x:is>
      </x:c>
      <x:c r="P479" s="160" t="inlineStr">
        <x:is>
          <x:t xml:space="preserve">ROBUST</x:t>
        </x:is>
      </x:c>
      <x:c r="Q479" s="160" t="inlineStr">
        <x:is>
          <x:t xml:space="preserve">The mature simulation rule catches the stress without weakening a fatal gate; no rule relaxation is justified.</x:t>
        </x:is>
      </x:c>
      <x:c r="R479" s="160" t="inlineStr">
        <x:is>
          <x:t xml:space="preserve">Require a true economic control and counterfactual: what should have happened to a comparable company under the same shock?</x:t>
        </x:is>
      </x:c>
      <x:c r="S479" s="160" t="inlineStr">
        <x:is>
          <x:t xml:space="preserve">NO</x:t>
        </x:is>
      </x:c>
      <x:c r="T479" s="160" t="inlineStr">
        <x:is>
          <x:t xml:space="preserve">COUNTER-EVIDENCE</x:t>
        </x:is>
      </x:c>
      <x:c r="U479" s="160" t="inlineStr">
        <x:is>
          <x:t xml:space="preserve">V10.5-SIM57</x:t>
        </x:is>
      </x:c>
      <x:c r="V479" s="160" t="inlineStr">
        <x:is>
          <x:t xml:space="preserve">https://www.conocophillips.com/investor-relations/</x:t>
        </x:is>
      </x:c>
      <x:c r="W479" s="160" t="inlineStr">
        <x:is>
          <x:t xml:space="preserve">NO</x:t>
        </x:is>
      </x:c>
      <x:c r="X479" s="160" t="inlineStr">
        <x:is>
          <x:t xml:space="preserve">NONE — DEVELOPMENT ONLY</x:t>
        </x:is>
      </x:c>
      <x:c r="Y479" s="160" t="inlineStr">
        <x:is>
          <x:t xml:space="preserve">Synthetic/adversarial model-development loop. No historical outcome is claimed; no accuracy point is awarded.</x:t>
        </x:is>
      </x:c>
    </x:row>
    <x:row r="480">
      <x:c r="A480" s="160" t="inlineStr">
        <x:is>
          <x:t xml:space="preserve">ML0475</x:t>
        </x:is>
      </x:c>
      <x:c r="B480" s="160" t="inlineStr">
        <x:is>
          <x:t xml:space="preserve">ARG-030</x:t>
        </x:is>
      </x:c>
      <x:c r="C480" s="160" t="inlineStr">
        <x:is>
          <x:t xml:space="preserve">ConocoPhillips</x:t>
        </x:is>
      </x:c>
      <x:c r="D480" s="160" t="inlineStr">
        <x:is>
          <x:t xml:space="preserve">COP</x:t>
        </x:is>
      </x:c>
      <x:c r="E480" s="160" t="inlineStr">
        <x:is>
          <x:t xml:space="preserve">Energy</x:t>
        </x:is>
      </x:c>
      <x:c r="F480" s="160" t="inlineStr">
        <x:is>
          <x:t xml:space="preserve">Development</x:t>
        </x:is>
      </x:c>
      <x:c r="G480" s="160" t="inlineStr">
        <x:is>
          <x:t xml:space="preserve">S11</x:t>
        </x:is>
      </x:c>
      <x:c r="H480" s="160" t="inlineStr">
        <x:is>
          <x:t xml:space="preserve">False-Negative Discipline</x:t>
        </x:is>
      </x:c>
      <x:c r="I480" s="160" t="inlineStr">
        <x:is>
          <x:t xml:space="preserve">False negative</x:t>
        </x:is>
      </x:c>
      <x:c r="J480" s="160" t="inlineStr">
        <x:is>
          <x:t xml:space="preserve">A strict gate rejects a company that later compounds strongly for reasons the model could have known.</x:t>
        </x:is>
      </x:c>
      <x:c r="K480" s="160" t="inlineStr">
        <x:is>
          <x:t xml:space="preserve">Production × realized price − sustaining capital</x:t>
        </x:is>
      </x:c>
      <x:c r="L480" s="160" t="inlineStr">
        <x:is>
          <x:t xml:space="preserve">NAV + mid-cycle FCF</x:t>
        </x:is>
      </x:c>
      <x:c r="M480" s="160" t="inlineStr">
        <x:is>
          <x:t xml:space="preserve">WATCH</x:t>
        </x:is>
      </x:c>
      <x:c r="N480" s="160" t="inlineStr">
        <x:is>
          <x:t xml:space="preserve">R-FN-01</x:t>
        </x:is>
      </x:c>
      <x:c r="O480" s="160" t="inlineStr">
        <x:is>
          <x:t xml:space="preserve">COUNTER-EVIDENCE</x:t>
        </x:is>
      </x:c>
      <x:c r="P480" s="160" t="inlineStr">
        <x:is>
          <x:t xml:space="preserve">ROBUST</x:t>
        </x:is>
      </x:c>
      <x:c r="Q480" s="160" t="inlineStr">
        <x:is>
          <x:t xml:space="preserve">The mature simulation rule catches the stress without weakening a fatal gate; no rule relaxation is justified.</x:t>
        </x:is>
      </x:c>
      <x:c r="R480" s="160" t="inlineStr">
        <x:is>
          <x:t xml:space="preserve">Track opportunity cost and classify whether the miss came from evidence timing, wrong threshold or genuinely unknowable upside.</x:t>
        </x:is>
      </x:c>
      <x:c r="S480" s="160" t="inlineStr">
        <x:is>
          <x:t xml:space="preserve">NO</x:t>
        </x:is>
      </x:c>
      <x:c r="T480" s="160" t="inlineStr">
        <x:is>
          <x:t xml:space="preserve">COUNTER-EVIDENCE</x:t>
        </x:is>
      </x:c>
      <x:c r="U480" s="160" t="inlineStr">
        <x:is>
          <x:t xml:space="preserve">V10.5-SIM57</x:t>
        </x:is>
      </x:c>
      <x:c r="V480" s="160" t="inlineStr">
        <x:is>
          <x:t xml:space="preserve">https://www.conocophillips.com/investor-relations/</x:t>
        </x:is>
      </x:c>
      <x:c r="W480" s="160" t="inlineStr">
        <x:is>
          <x:t xml:space="preserve">NO</x:t>
        </x:is>
      </x:c>
      <x:c r="X480" s="160" t="inlineStr">
        <x:is>
          <x:t xml:space="preserve">NONE — DEVELOPMENT ONLY</x:t>
        </x:is>
      </x:c>
      <x:c r="Y480" s="160" t="inlineStr">
        <x:is>
          <x:t xml:space="preserve">Synthetic/adversarial model-development loop. No historical outcome is claimed; no accuracy point is awarded.</x:t>
        </x:is>
      </x:c>
    </x:row>
    <x:row r="481">
      <x:c r="A481" s="160" t="inlineStr">
        <x:is>
          <x:t xml:space="preserve">ML0476</x:t>
        </x:is>
      </x:c>
      <x:c r="B481" s="160" t="inlineStr">
        <x:is>
          <x:t xml:space="preserve">ARG-030</x:t>
        </x:is>
      </x:c>
      <x:c r="C481" s="160" t="inlineStr">
        <x:is>
          <x:t xml:space="preserve">ConocoPhillips</x:t>
        </x:is>
      </x:c>
      <x:c r="D481" s="160" t="inlineStr">
        <x:is>
          <x:t xml:space="preserve">COP</x:t>
        </x:is>
      </x:c>
      <x:c r="E481" s="160" t="inlineStr">
        <x:is>
          <x:t xml:space="preserve">Energy</x:t>
        </x:is>
      </x:c>
      <x:c r="F481" s="160" t="inlineStr">
        <x:is>
          <x:t xml:space="preserve">Development</x:t>
        </x:is>
      </x:c>
      <x:c r="G481" s="160" t="inlineStr">
        <x:is>
          <x:t xml:space="preserve">S12</x:t>
        </x:is>
      </x:c>
      <x:c r="H481" s="160" t="inlineStr">
        <x:is>
          <x:t xml:space="preserve">Lead-Time / Early Sensor</x:t>
        </x:is>
      </x:c>
      <x:c r="I481" s="160" t="inlineStr">
        <x:is>
          <x:t xml:space="preserve">Timing / lead-time</x:t>
        </x:is>
      </x:c>
      <x:c r="J481" s="160" t="inlineStr">
        <x:is>
          <x:t xml:space="preserve">ARGUS identifies the change correctly but only after consensus and price have already reacted.</x:t>
        </x:is>
      </x:c>
      <x:c r="K481" s="160" t="inlineStr">
        <x:is>
          <x:t xml:space="preserve">Production × realized price − sustaining capital</x:t>
        </x:is>
      </x:c>
      <x:c r="L481" s="160" t="inlineStr">
        <x:is>
          <x:t xml:space="preserve">NAV + mid-cycle FCF</x:t>
        </x:is>
      </x:c>
      <x:c r="M481" s="160" t="inlineStr">
        <x:is>
          <x:t xml:space="preserve">WATCH</x:t>
        </x:is>
      </x:c>
      <x:c r="N481" s="160" t="inlineStr">
        <x:is>
          <x:t xml:space="preserve">R-TIME-01</x:t>
        </x:is>
      </x:c>
      <x:c r="O481" s="160" t="inlineStr">
        <x:is>
          <x:t xml:space="preserve">COUNTER-EVIDENCE</x:t>
        </x:is>
      </x:c>
      <x:c r="P481" s="160" t="inlineStr">
        <x:is>
          <x:t xml:space="preserve">ROBUST</x:t>
        </x:is>
      </x:c>
      <x:c r="Q481" s="160" t="inlineStr">
        <x:is>
          <x:t xml:space="preserve">The mature simulation rule catches the stress without weakening a fatal gate; no rule relaxation is justified.</x:t>
        </x:is>
      </x:c>
      <x:c r="R481" s="160" t="inlineStr">
        <x:is>
          <x:t xml:space="preserve">Replace lagging financial metrics with earlier causal operating sensors and record lead time separately from correctness.</x:t>
        </x:is>
      </x:c>
      <x:c r="S481" s="160" t="inlineStr">
        <x:is>
          <x:t xml:space="preserve">NO</x:t>
        </x:is>
      </x:c>
      <x:c r="T481" s="160" t="inlineStr">
        <x:is>
          <x:t xml:space="preserve">COUNTER-EVIDENCE</x:t>
        </x:is>
      </x:c>
      <x:c r="U481" s="160" t="inlineStr">
        <x:is>
          <x:t xml:space="preserve">V10.5-SIM57</x:t>
        </x:is>
      </x:c>
      <x:c r="V481" s="160" t="inlineStr">
        <x:is>
          <x:t xml:space="preserve">https://www.conocophillips.com/investor-relations/</x:t>
        </x:is>
      </x:c>
      <x:c r="W481" s="160" t="inlineStr">
        <x:is>
          <x:t xml:space="preserve">NO</x:t>
        </x:is>
      </x:c>
      <x:c r="X481" s="160" t="inlineStr">
        <x:is>
          <x:t xml:space="preserve">NONE — DEVELOPMENT ONLY</x:t>
        </x:is>
      </x:c>
      <x:c r="Y481" s="160" t="inlineStr">
        <x:is>
          <x:t xml:space="preserve">Synthetic/adversarial model-development loop. No historical outcome is claimed; no accuracy point is awarded.</x:t>
        </x:is>
      </x:c>
    </x:row>
    <x:row r="482">
      <x:c r="A482" s="160" t="inlineStr">
        <x:is>
          <x:t xml:space="preserve">ML0477</x:t>
        </x:is>
      </x:c>
      <x:c r="B482" s="160" t="inlineStr">
        <x:is>
          <x:t xml:space="preserve">ARG-030</x:t>
        </x:is>
      </x:c>
      <x:c r="C482" s="160" t="inlineStr">
        <x:is>
          <x:t xml:space="preserve">ConocoPhillips</x:t>
        </x:is>
      </x:c>
      <x:c r="D482" s="160" t="inlineStr">
        <x:is>
          <x:t xml:space="preserve">COP</x:t>
        </x:is>
      </x:c>
      <x:c r="E482" s="160" t="inlineStr">
        <x:is>
          <x:t xml:space="preserve">Energy</x:t>
        </x:is>
      </x:c>
      <x:c r="F482" s="160" t="inlineStr">
        <x:is>
          <x:t xml:space="preserve">Development</x:t>
        </x:is>
      </x:c>
      <x:c r="G482" s="160" t="inlineStr">
        <x:is>
          <x:t xml:space="preserve">S13</x:t>
        </x:is>
      </x:c>
      <x:c r="H482" s="160" t="inlineStr">
        <x:is>
          <x:t xml:space="preserve">Cycle Normalization</x:t>
        </x:is>
      </x:c>
      <x:c r="I482" s="160" t="inlineStr">
        <x:is>
          <x:t xml:space="preserve">Wrong valuation lens</x:t>
        </x:is>
      </x:c>
      <x:c r="J482" s="160" t="inlineStr">
        <x:is>
          <x:t xml:space="preserve">Peak/trough earnings are mistaken for normalized earning power.</x:t>
        </x:is>
      </x:c>
      <x:c r="K482" s="160" t="inlineStr">
        <x:is>
          <x:t xml:space="preserve">Production × realized price − sustaining capital</x:t>
        </x:is>
      </x:c>
      <x:c r="L482" s="160" t="inlineStr">
        <x:is>
          <x:t xml:space="preserve">NAV + mid-cycle FCF</x:t>
        </x:is>
      </x:c>
      <x:c r="M482" s="160" t="inlineStr">
        <x:is>
          <x:t xml:space="preserve">WATCH</x:t>
        </x:is>
      </x:c>
      <x:c r="N482" s="160" t="inlineStr">
        <x:is>
          <x:t xml:space="preserve">R-CYCLE-01</x:t>
        </x:is>
      </x:c>
      <x:c r="O482" s="160" t="inlineStr">
        <x:is>
          <x:t xml:space="preserve">COUNTER-EVIDENCE</x:t>
        </x:is>
      </x:c>
      <x:c r="P482" s="160" t="inlineStr">
        <x:is>
          <x:t xml:space="preserve">ROBUST</x:t>
        </x:is>
      </x:c>
      <x:c r="Q482" s="160" t="inlineStr">
        <x:is>
          <x:t xml:space="preserve">The mature simulation rule catches the stress without weakening a fatal gate; no rule relaxation is justified.</x:t>
        </x:is>
      </x:c>
      <x:c r="R482" s="160" t="inlineStr">
        <x:is>
          <x:t xml:space="preserve">Use sector-specific mid-cycle/NAV/rate-base/rNPV normalization before applying a valuation multiple.</x:t>
        </x:is>
      </x:c>
      <x:c r="S482" s="160" t="inlineStr">
        <x:is>
          <x:t xml:space="preserve">NO</x:t>
        </x:is>
      </x:c>
      <x:c r="T482" s="160" t="inlineStr">
        <x:is>
          <x:t xml:space="preserve">COUNTER-EVIDENCE</x:t>
        </x:is>
      </x:c>
      <x:c r="U482" s="160" t="inlineStr">
        <x:is>
          <x:t xml:space="preserve">V10.5-SIM57</x:t>
        </x:is>
      </x:c>
      <x:c r="V482" s="160" t="inlineStr">
        <x:is>
          <x:t xml:space="preserve">https://www.conocophillips.com/investor-relations/</x:t>
        </x:is>
      </x:c>
      <x:c r="W482" s="160" t="inlineStr">
        <x:is>
          <x:t xml:space="preserve">NO</x:t>
        </x:is>
      </x:c>
      <x:c r="X482" s="160" t="inlineStr">
        <x:is>
          <x:t xml:space="preserve">NONE — DEVELOPMENT ONLY</x:t>
        </x:is>
      </x:c>
      <x:c r="Y482" s="160" t="inlineStr">
        <x:is>
          <x:t xml:space="preserve">Synthetic/adversarial model-development loop. No historical outcome is claimed; no accuracy point is awarded.</x:t>
        </x:is>
      </x:c>
    </x:row>
    <x:row r="483">
      <x:c r="A483" s="160" t="inlineStr">
        <x:is>
          <x:t xml:space="preserve">ML0478</x:t>
        </x:is>
      </x:c>
      <x:c r="B483" s="160" t="inlineStr">
        <x:is>
          <x:t xml:space="preserve">ARG-030</x:t>
        </x:is>
      </x:c>
      <x:c r="C483" s="160" t="inlineStr">
        <x:is>
          <x:t xml:space="preserve">ConocoPhillips</x:t>
        </x:is>
      </x:c>
      <x:c r="D483" s="160" t="inlineStr">
        <x:is>
          <x:t xml:space="preserve">COP</x:t>
        </x:is>
      </x:c>
      <x:c r="E483" s="160" t="inlineStr">
        <x:is>
          <x:t xml:space="preserve">Energy</x:t>
        </x:is>
      </x:c>
      <x:c r="F483" s="160" t="inlineStr">
        <x:is>
          <x:t xml:space="preserve">Development</x:t>
        </x:is>
      </x:c>
      <x:c r="G483" s="160" t="inlineStr">
        <x:is>
          <x:t xml:space="preserve">S14</x:t>
        </x:is>
      </x:c>
      <x:c r="H483" s="160" t="inlineStr">
        <x:is>
          <x:t xml:space="preserve">M&amp;A / Organic Growth Separation</x:t>
        </x:is>
      </x:c>
      <x:c r="I483" s="160" t="inlineStr">
        <x:is>
          <x:t xml:space="preserve">Stewardship</x:t>
        </x:is>
      </x:c>
      <x:c r="J483" s="160" t="inlineStr">
        <x:is>
          <x:t xml:space="preserve">Acquisition-driven growth masks weak organic economics or poor incremental ROIC.</x:t>
        </x:is>
      </x:c>
      <x:c r="K483" s="160" t="inlineStr">
        <x:is>
          <x:t xml:space="preserve">Production × realized price − sustaining capital</x:t>
        </x:is>
      </x:c>
      <x:c r="L483" s="160" t="inlineStr">
        <x:is>
          <x:t xml:space="preserve">NAV + mid-cycle FCF</x:t>
        </x:is>
      </x:c>
      <x:c r="M483" s="160" t="inlineStr">
        <x:is>
          <x:t xml:space="preserve">WATCH</x:t>
        </x:is>
      </x:c>
      <x:c r="N483" s="160" t="inlineStr">
        <x:is>
          <x:t xml:space="preserve">R-MA-01</x:t>
        </x:is>
      </x:c>
      <x:c r="O483" s="160" t="inlineStr">
        <x:is>
          <x:t xml:space="preserve">COUNTER-EVIDENCE</x:t>
        </x:is>
      </x:c>
      <x:c r="P483" s="160" t="inlineStr">
        <x:is>
          <x:t xml:space="preserve">ROBUST</x:t>
        </x:is>
      </x:c>
      <x:c r="Q483" s="160" t="inlineStr">
        <x:is>
          <x:t xml:space="preserve">The mature simulation rule catches the stress without weakening a fatal gate; no rule relaxation is justified.</x:t>
        </x:is>
      </x:c>
      <x:c r="R483" s="160" t="inlineStr">
        <x:is>
          <x:t xml:space="preserve">Bridge organic growth, acquired growth, purchase price, integration costs and acquisition-cohort ROIC.</x:t>
        </x:is>
      </x:c>
      <x:c r="S483" s="160" t="inlineStr">
        <x:is>
          <x:t xml:space="preserve">NO</x:t>
        </x:is>
      </x:c>
      <x:c r="T483" s="160" t="inlineStr">
        <x:is>
          <x:t xml:space="preserve">COUNTER-EVIDENCE</x:t>
        </x:is>
      </x:c>
      <x:c r="U483" s="160" t="inlineStr">
        <x:is>
          <x:t xml:space="preserve">V10.5-SIM57</x:t>
        </x:is>
      </x:c>
      <x:c r="V483" s="160" t="inlineStr">
        <x:is>
          <x:t xml:space="preserve">https://www.conocophillips.com/investor-relations/</x:t>
        </x:is>
      </x:c>
      <x:c r="W483" s="160" t="inlineStr">
        <x:is>
          <x:t xml:space="preserve">NO</x:t>
        </x:is>
      </x:c>
      <x:c r="X483" s="160" t="inlineStr">
        <x:is>
          <x:t xml:space="preserve">NONE — DEVELOPMENT ONLY</x:t>
        </x:is>
      </x:c>
      <x:c r="Y483" s="160" t="inlineStr">
        <x:is>
          <x:t xml:space="preserve">Synthetic/adversarial model-development loop. No historical outcome is claimed; no accuracy point is awarded.</x:t>
        </x:is>
      </x:c>
    </x:row>
    <x:row r="484">
      <x:c r="A484" s="160" t="inlineStr">
        <x:is>
          <x:t xml:space="preserve">ML0479</x:t>
        </x:is>
      </x:c>
      <x:c r="B484" s="160" t="inlineStr">
        <x:is>
          <x:t xml:space="preserve">ARG-030</x:t>
        </x:is>
      </x:c>
      <x:c r="C484" s="160" t="inlineStr">
        <x:is>
          <x:t xml:space="preserve">ConocoPhillips</x:t>
        </x:is>
      </x:c>
      <x:c r="D484" s="160" t="inlineStr">
        <x:is>
          <x:t xml:space="preserve">COP</x:t>
        </x:is>
      </x:c>
      <x:c r="E484" s="160" t="inlineStr">
        <x:is>
          <x:t xml:space="preserve">Energy</x:t>
        </x:is>
      </x:c>
      <x:c r="F484" s="160" t="inlineStr">
        <x:is>
          <x:t xml:space="preserve">Development</x:t>
        </x:is>
      </x:c>
      <x:c r="G484" s="160" t="inlineStr">
        <x:is>
          <x:t xml:space="preserve">S15</x:t>
        </x:is>
      </x:c>
      <x:c r="H484" s="160" t="inlineStr">
        <x:is>
          <x:t xml:space="preserve">Financing / Dilution Per Share</x:t>
        </x:is>
      </x:c>
      <x:c r="I484" s="160" t="inlineStr">
        <x:is>
          <x:t xml:space="preserve">Stewardship</x:t>
        </x:is>
      </x:c>
      <x:c r="J484" s="160" t="inlineStr">
        <x:is>
          <x:t xml:space="preserve">Cash balance or revenue growth improves while financing causes material per-share value leakage.</x:t>
        </x:is>
      </x:c>
      <x:c r="K484" s="160" t="inlineStr">
        <x:is>
          <x:t xml:space="preserve">Production × realized price − sustaining capital</x:t>
        </x:is>
      </x:c>
      <x:c r="L484" s="160" t="inlineStr">
        <x:is>
          <x:t xml:space="preserve">NAV + mid-cycle FCF</x:t>
        </x:is>
      </x:c>
      <x:c r="M484" s="160" t="inlineStr">
        <x:is>
          <x:t xml:space="preserve">WATCH</x:t>
        </x:is>
      </x:c>
      <x:c r="N484" s="160" t="inlineStr">
        <x:is>
          <x:t xml:space="preserve">R-DIL-01</x:t>
        </x:is>
      </x:c>
      <x:c r="O484" s="160" t="inlineStr">
        <x:is>
          <x:t xml:space="preserve">COUNTER-EVIDENCE</x:t>
        </x:is>
      </x:c>
      <x:c r="P484" s="160" t="inlineStr">
        <x:is>
          <x:t xml:space="preserve">ROBUST</x:t>
        </x:is>
      </x:c>
      <x:c r="Q484" s="160" t="inlineStr">
        <x:is>
          <x:t xml:space="preserve">The mature simulation rule catches the stress without weakening a fatal gate; no rule relaxation is justified.</x:t>
        </x:is>
      </x:c>
      <x:c r="R484" s="160" t="inlineStr">
        <x:is>
          <x:t xml:space="preserve">Reconcile share-count growth, SBC, equity issuance, buybacks and net cash changes to per-share intrinsic value.</x:t>
        </x:is>
      </x:c>
      <x:c r="S484" s="160" t="inlineStr">
        <x:is>
          <x:t xml:space="preserve">NO</x:t>
        </x:is>
      </x:c>
      <x:c r="T484" s="160" t="inlineStr">
        <x:is>
          <x:t xml:space="preserve">COUNTER-EVIDENCE</x:t>
        </x:is>
      </x:c>
      <x:c r="U484" s="160" t="inlineStr">
        <x:is>
          <x:t xml:space="preserve">V10.5-SIM57</x:t>
        </x:is>
      </x:c>
      <x:c r="V484" s="160" t="inlineStr">
        <x:is>
          <x:t xml:space="preserve">https://www.conocophillips.com/investor-relations/</x:t>
        </x:is>
      </x:c>
      <x:c r="W484" s="160" t="inlineStr">
        <x:is>
          <x:t xml:space="preserve">NO</x:t>
        </x:is>
      </x:c>
      <x:c r="X484" s="160" t="inlineStr">
        <x:is>
          <x:t xml:space="preserve">NONE — DEVELOPMENT ONLY</x:t>
        </x:is>
      </x:c>
      <x:c r="Y484" s="160" t="inlineStr">
        <x:is>
          <x:t xml:space="preserve">Synthetic/adversarial model-development loop. No historical outcome is claimed; no accuracy point is awarded.</x:t>
        </x:is>
      </x:c>
    </x:row>
    <x:row r="485">
      <x:c r="A485" s="160" t="inlineStr">
        <x:is>
          <x:t xml:space="preserve">ML0480</x:t>
        </x:is>
      </x:c>
      <x:c r="B485" s="160" t="inlineStr">
        <x:is>
          <x:t xml:space="preserve">ARG-030</x:t>
        </x:is>
      </x:c>
      <x:c r="C485" s="160" t="inlineStr">
        <x:is>
          <x:t xml:space="preserve">ConocoPhillips</x:t>
        </x:is>
      </x:c>
      <x:c r="D485" s="160" t="inlineStr">
        <x:is>
          <x:t xml:space="preserve">COP</x:t>
        </x:is>
      </x:c>
      <x:c r="E485" s="160" t="inlineStr">
        <x:is>
          <x:t xml:space="preserve">Energy</x:t>
        </x:is>
      </x:c>
      <x:c r="F485" s="160" t="inlineStr">
        <x:is>
          <x:t xml:space="preserve">Development</x:t>
        </x:is>
      </x:c>
      <x:c r="G485" s="160" t="inlineStr">
        <x:is>
          <x:t xml:space="preserve">S16</x:t>
        </x:is>
      </x:c>
      <x:c r="H485" s="160" t="inlineStr">
        <x:is>
          <x:t xml:space="preserve">Concentration / Tail Risk</x:t>
        </x:is>
      </x:c>
      <x:c r="I485" s="160" t="inlineStr">
        <x:is>
          <x:t xml:space="preserve">Survival</x:t>
        </x:is>
      </x:c>
      <x:c r="J485" s="160" t="inlineStr">
        <x:is>
          <x:t xml:space="preserve">A concentrated supplier, geography, customer, product, patent, regulatory or technology dependency creates asymmetric permanent-loss risk.</x:t>
        </x:is>
      </x:c>
      <x:c r="K485" s="160" t="inlineStr">
        <x:is>
          <x:t xml:space="preserve">Production × realized price − sustaining capital</x:t>
        </x:is>
      </x:c>
      <x:c r="L485" s="160" t="inlineStr">
        <x:is>
          <x:t xml:space="preserve">NAV + mid-cycle FCF</x:t>
        </x:is>
      </x:c>
      <x:c r="M485" s="160" t="inlineStr">
        <x:is>
          <x:t xml:space="preserve">WATCH</x:t>
        </x:is>
      </x:c>
      <x:c r="N485" s="160" t="inlineStr">
        <x:is>
          <x:t xml:space="preserve">R-TAIL-01</x:t>
        </x:is>
      </x:c>
      <x:c r="O485" s="160" t="inlineStr">
        <x:is>
          <x:t xml:space="preserve">COUNTER-EVIDENCE</x:t>
        </x:is>
      </x:c>
      <x:c r="P485" s="160" t="inlineStr">
        <x:is>
          <x:t xml:space="preserve">ROBUST</x:t>
        </x:is>
      </x:c>
      <x:c r="Q485" s="160" t="inlineStr">
        <x:is>
          <x:t xml:space="preserve">The mature simulation rule catches the stress without weakening a fatal gate; no rule relaxation is justified.</x:t>
        </x:is>
      </x:c>
      <x:c r="R485" s="160" t="inlineStr">
        <x:is>
          <x:t xml:space="preserve">Maintain an explicit concentration/tail-risk register with probability, severity, mitigation and required margin-of-safety premium.</x:t>
        </x:is>
      </x:c>
      <x:c r="S485" s="160" t="inlineStr">
        <x:is>
          <x:t xml:space="preserve">NO</x:t>
        </x:is>
      </x:c>
      <x:c r="T485" s="160" t="inlineStr">
        <x:is>
          <x:t xml:space="preserve">COUNTER-EVIDENCE</x:t>
        </x:is>
      </x:c>
      <x:c r="U485" s="160" t="inlineStr">
        <x:is>
          <x:t xml:space="preserve">V10.5-SIM57</x:t>
        </x:is>
      </x:c>
      <x:c r="V485" s="160" t="inlineStr">
        <x:is>
          <x:t xml:space="preserve">https://www.conocophillips.com/investor-relations/</x:t>
        </x:is>
      </x:c>
      <x:c r="W485" s="160" t="inlineStr">
        <x:is>
          <x:t xml:space="preserve">NO</x:t>
        </x:is>
      </x:c>
      <x:c r="X485" s="160" t="inlineStr">
        <x:is>
          <x:t xml:space="preserve">NONE — DEVELOPMENT ONLY</x:t>
        </x:is>
      </x:c>
      <x:c r="Y485" s="160" t="inlineStr">
        <x:is>
          <x:t xml:space="preserve">Synthetic/adversarial model-development loop. No historical outcome is claimed; no accuracy point is awarded.</x:t>
        </x:is>
      </x:c>
    </x:row>
    <x:row r="486">
      <x:c r="A486" s="160" t="inlineStr">
        <x:is>
          <x:t xml:space="preserve">ML0481</x:t>
        </x:is>
      </x:c>
      <x:c r="B486" s="160" t="inlineStr">
        <x:is>
          <x:t xml:space="preserve">ARG-031</x:t>
        </x:is>
      </x:c>
      <x:c r="C486" s="160" t="inlineStr">
        <x:is>
          <x:t xml:space="preserve">Occidental Petroleum</x:t>
        </x:is>
      </x:c>
      <x:c r="D486" s="160" t="inlineStr">
        <x:is>
          <x:t xml:space="preserve">OXY</x:t>
        </x:is>
      </x:c>
      <x:c r="E486" s="160" t="inlineStr">
        <x:is>
          <x:t xml:space="preserve">Energy</x:t>
        </x:is>
      </x:c>
      <x:c r="F486" s="160" t="inlineStr">
        <x:is>
          <x:t xml:space="preserve">Development</x:t>
        </x:is>
      </x:c>
      <x:c r="G486" s="160" t="inlineStr">
        <x:is>
          <x:t xml:space="preserve">S01</x:t>
        </x:is>
      </x:c>
      <x:c r="H486" s="160" t="inlineStr">
        <x:is>
          <x:t xml:space="preserve">Understanding Gate</x:t>
        </x:is>
      </x:c>
      <x:c r="I486" s="160" t="inlineStr">
        <x:is>
          <x:t xml:space="preserve">Understanding</x:t>
        </x:is>
      </x:c>
      <x:c r="J486" s="160" t="inlineStr">
        <x:is>
          <x:t xml:space="preserve">Causal engine / customer ROI chain breaks under a misleading headline KPI.</x:t>
        </x:is>
      </x:c>
      <x:c r="K486" s="160" t="inlineStr">
        <x:is>
          <x:t xml:space="preserve">Production and chemicals cash flow minus leverage</x:t>
        </x:is>
      </x:c>
      <x:c r="L486" s="160" t="inlineStr">
        <x:is>
          <x:t xml:space="preserve">NAV + mid-cycle FCF</x:t>
        </x:is>
      </x:c>
      <x:c r="M486" s="160" t="inlineStr">
        <x:is>
          <x:t xml:space="preserve">WATCH</x:t>
        </x:is>
      </x:c>
      <x:c r="N486" s="160" t="inlineStr">
        <x:is>
          <x:t xml:space="preserve">R-ENG-01</x:t>
        </x:is>
      </x:c>
      <x:c r="O486" s="160" t="inlineStr">
        <x:is>
          <x:t xml:space="preserve">COUNTER-EVIDENCE</x:t>
        </x:is>
      </x:c>
      <x:c r="P486" s="160" t="inlineStr">
        <x:is>
          <x:t xml:space="preserve">ROBUST</x:t>
        </x:is>
      </x:c>
      <x:c r="Q486" s="160" t="inlineStr">
        <x:is>
          <x:t xml:space="preserve">The mature simulation rule catches the stress without weakening a fatal gate; no rule relaxation is justified.</x:t>
        </x:is>
      </x:c>
      <x:c r="R486" s="160" t="inlineStr">
        <x:is>
          <x:t xml:space="preserve">Force an explicit engine tree: customer job → unit economics → revenue driver → owner-value bridge.</x:t>
        </x:is>
      </x:c>
      <x:c r="S486" s="160" t="inlineStr">
        <x:is>
          <x:t xml:space="preserve">NO</x:t>
        </x:is>
      </x:c>
      <x:c r="T486" s="160" t="inlineStr">
        <x:is>
          <x:t xml:space="preserve">COUNTER-EVIDENCE</x:t>
        </x:is>
      </x:c>
      <x:c r="U486" s="160" t="inlineStr">
        <x:is>
          <x:t xml:space="preserve">V10.5-SIM57</x:t>
        </x:is>
      </x:c>
      <x:c r="V486" s="160" t="inlineStr">
        <x:is>
          <x:t xml:space="preserve">https://www.oxy.com/investors/</x:t>
        </x:is>
      </x:c>
      <x:c r="W486" s="160" t="inlineStr">
        <x:is>
          <x:t xml:space="preserve">NO</x:t>
        </x:is>
      </x:c>
      <x:c r="X486" s="160" t="inlineStr">
        <x:is>
          <x:t xml:space="preserve">NONE — DEVELOPMENT ONLY</x:t>
        </x:is>
      </x:c>
      <x:c r="Y486" s="160" t="inlineStr">
        <x:is>
          <x:t xml:space="preserve">Synthetic/adversarial model-development loop. No historical outcome is claimed; no accuracy point is awarded.</x:t>
        </x:is>
      </x:c>
    </x:row>
    <x:row r="487">
      <x:c r="A487" s="160" t="inlineStr">
        <x:is>
          <x:t xml:space="preserve">ML0482</x:t>
        </x:is>
      </x:c>
      <x:c r="B487" s="160" t="inlineStr">
        <x:is>
          <x:t xml:space="preserve">ARG-031</x:t>
        </x:is>
      </x:c>
      <x:c r="C487" s="160" t="inlineStr">
        <x:is>
          <x:t xml:space="preserve">Occidental Petroleum</x:t>
        </x:is>
      </x:c>
      <x:c r="D487" s="160" t="inlineStr">
        <x:is>
          <x:t xml:space="preserve">OXY</x:t>
        </x:is>
      </x:c>
      <x:c r="E487" s="160" t="inlineStr">
        <x:is>
          <x:t xml:space="preserve">Energy</x:t>
        </x:is>
      </x:c>
      <x:c r="F487" s="160" t="inlineStr">
        <x:is>
          <x:t xml:space="preserve">Development</x:t>
        </x:is>
      </x:c>
      <x:c r="G487" s="160" t="inlineStr">
        <x:is>
          <x:t xml:space="preserve">S02</x:t>
        </x:is>
      </x:c>
      <x:c r="H487" s="160" t="inlineStr">
        <x:is>
          <x:t xml:space="preserve">Owner Earnings Normalization</x:t>
        </x:is>
      </x:c>
      <x:c r="I487" s="160" t="inlineStr">
        <x:is>
          <x:t xml:space="preserve">Owner Earnings</x:t>
        </x:is>
      </x:c>
      <x:c r="J487" s="160" t="inlineStr">
        <x:is>
          <x:t xml:space="preserve">Reported earnings/FCF overstates economic cash because recurring reinvestment or non-cash compensation is misclassified.</x:t>
        </x:is>
      </x:c>
      <x:c r="K487" s="160" t="inlineStr">
        <x:is>
          <x:t xml:space="preserve">Production and chemicals cash flow minus leverage</x:t>
        </x:is>
      </x:c>
      <x:c r="L487" s="160" t="inlineStr">
        <x:is>
          <x:t xml:space="preserve">NAV + mid-cycle FCF</x:t>
        </x:is>
      </x:c>
      <x:c r="M487" s="160" t="inlineStr">
        <x:is>
          <x:t xml:space="preserve">WATCH</x:t>
        </x:is>
      </x:c>
      <x:c r="N487" s="160" t="inlineStr">
        <x:is>
          <x:t xml:space="preserve">R-OE-01</x:t>
        </x:is>
      </x:c>
      <x:c r="O487" s="160" t="inlineStr">
        <x:is>
          <x:t xml:space="preserve">COUNTER-EVIDENCE</x:t>
        </x:is>
      </x:c>
      <x:c r="P487" s="160" t="inlineStr">
        <x:is>
          <x:t xml:space="preserve">ROBUST</x:t>
        </x:is>
      </x:c>
      <x:c r="Q487" s="160" t="inlineStr">
        <x:is>
          <x:t xml:space="preserve">The mature simulation rule catches the stress without weakening a fatal gate; no rule relaxation is justified.</x:t>
        </x:is>
      </x:c>
      <x:c r="R487" s="160" t="inlineStr">
        <x:is>
          <x:t xml:space="preserve">Require a GAAP-to-economic-owner-cash bridge tailored to the business model.</x:t>
        </x:is>
      </x:c>
      <x:c r="S487" s="160" t="inlineStr">
        <x:is>
          <x:t xml:space="preserve">NO</x:t>
        </x:is>
      </x:c>
      <x:c r="T487" s="160" t="inlineStr">
        <x:is>
          <x:t xml:space="preserve">COUNTER-EVIDENCE</x:t>
        </x:is>
      </x:c>
      <x:c r="U487" s="160" t="inlineStr">
        <x:is>
          <x:t xml:space="preserve">V10.5-SIM57</x:t>
        </x:is>
      </x:c>
      <x:c r="V487" s="160" t="inlineStr">
        <x:is>
          <x:t xml:space="preserve">https://www.oxy.com/investors/</x:t>
        </x:is>
      </x:c>
      <x:c r="W487" s="160" t="inlineStr">
        <x:is>
          <x:t xml:space="preserve">NO</x:t>
        </x:is>
      </x:c>
      <x:c r="X487" s="160" t="inlineStr">
        <x:is>
          <x:t xml:space="preserve">NONE — DEVELOPMENT ONLY</x:t>
        </x:is>
      </x:c>
      <x:c r="Y487" s="160" t="inlineStr">
        <x:is>
          <x:t xml:space="preserve">Synthetic/adversarial model-development loop. No historical outcome is claimed; no accuracy point is awarded.</x:t>
        </x:is>
      </x:c>
    </x:row>
    <x:row r="488">
      <x:c r="A488" s="160" t="inlineStr">
        <x:is>
          <x:t xml:space="preserve">ML0483</x:t>
        </x:is>
      </x:c>
      <x:c r="B488" s="160" t="inlineStr">
        <x:is>
          <x:t xml:space="preserve">ARG-031</x:t>
        </x:is>
      </x:c>
      <x:c r="C488" s="160" t="inlineStr">
        <x:is>
          <x:t xml:space="preserve">Occidental Petroleum</x:t>
        </x:is>
      </x:c>
      <x:c r="D488" s="160" t="inlineStr">
        <x:is>
          <x:t xml:space="preserve">OXY</x:t>
        </x:is>
      </x:c>
      <x:c r="E488" s="160" t="inlineStr">
        <x:is>
          <x:t xml:space="preserve">Energy</x:t>
        </x:is>
      </x:c>
      <x:c r="F488" s="160" t="inlineStr">
        <x:is>
          <x:t xml:space="preserve">Development</x:t>
        </x:is>
      </x:c>
      <x:c r="G488" s="160" t="inlineStr">
        <x:is>
          <x:t xml:space="preserve">S03</x:t>
        </x:is>
      </x:c>
      <x:c r="H488" s="160" t="inlineStr">
        <x:is>
          <x:t xml:space="preserve">Moat Durability</x:t>
        </x:is>
      </x:c>
      <x:c r="I488" s="160" t="inlineStr">
        <x:is>
          <x:t xml:space="preserve">Moat 2036</x:t>
        </x:is>
      </x:c>
      <x:c r="J488" s="160" t="inlineStr">
        <x:is>
          <x:t xml:space="preserve">Growth continues while switching friction, pricing power or replacement difficulty quietly weakens.</x:t>
        </x:is>
      </x:c>
      <x:c r="K488" s="160" t="inlineStr">
        <x:is>
          <x:t xml:space="preserve">Production and chemicals cash flow minus leverage</x:t>
        </x:is>
      </x:c>
      <x:c r="L488" s="160" t="inlineStr">
        <x:is>
          <x:t xml:space="preserve">NAV + mid-cycle FCF</x:t>
        </x:is>
      </x:c>
      <x:c r="M488" s="160" t="inlineStr">
        <x:is>
          <x:t xml:space="preserve">WATCH</x:t>
        </x:is>
      </x:c>
      <x:c r="N488" s="160" t="inlineStr">
        <x:is>
          <x:t xml:space="preserve">R-MOAT-01</x:t>
        </x:is>
      </x:c>
      <x:c r="O488" s="160" t="inlineStr">
        <x:is>
          <x:t xml:space="preserve">COUNTER-EVIDENCE</x:t>
        </x:is>
      </x:c>
      <x:c r="P488" s="160" t="inlineStr">
        <x:is>
          <x:t xml:space="preserve">ROBUST</x:t>
        </x:is>
      </x:c>
      <x:c r="Q488" s="160" t="inlineStr">
        <x:is>
          <x:t xml:space="preserve">The mature simulation rule catches the stress without weakening a fatal gate; no rule relaxation is justified.</x:t>
        </x:is>
      </x:c>
      <x:c r="R488" s="160" t="inlineStr">
        <x:is>
          <x:t xml:space="preserve">Track moat telemetry separately from growth: retention, pricing, win/loss, replacement friction, installed-base behavior.</x:t>
        </x:is>
      </x:c>
      <x:c r="S488" s="160" t="inlineStr">
        <x:is>
          <x:t xml:space="preserve">NO</x:t>
        </x:is>
      </x:c>
      <x:c r="T488" s="160" t="inlineStr">
        <x:is>
          <x:t xml:space="preserve">COUNTER-EVIDENCE</x:t>
        </x:is>
      </x:c>
      <x:c r="U488" s="160" t="inlineStr">
        <x:is>
          <x:t xml:space="preserve">V10.5-SIM57</x:t>
        </x:is>
      </x:c>
      <x:c r="V488" s="160" t="inlineStr">
        <x:is>
          <x:t xml:space="preserve">https://www.oxy.com/investors/</x:t>
        </x:is>
      </x:c>
      <x:c r="W488" s="160" t="inlineStr">
        <x:is>
          <x:t xml:space="preserve">NO</x:t>
        </x:is>
      </x:c>
      <x:c r="X488" s="160" t="inlineStr">
        <x:is>
          <x:t xml:space="preserve">NONE — DEVELOPMENT ONLY</x:t>
        </x:is>
      </x:c>
      <x:c r="Y488" s="160" t="inlineStr">
        <x:is>
          <x:t xml:space="preserve">Synthetic/adversarial model-development loop. No historical outcome is claimed; no accuracy point is awarded.</x:t>
        </x:is>
      </x:c>
    </x:row>
    <x:row r="489">
      <x:c r="A489" s="160" t="inlineStr">
        <x:is>
          <x:t xml:space="preserve">ML0484</x:t>
        </x:is>
      </x:c>
      <x:c r="B489" s="160" t="inlineStr">
        <x:is>
          <x:t xml:space="preserve">ARG-031</x:t>
        </x:is>
      </x:c>
      <x:c r="C489" s="160" t="inlineStr">
        <x:is>
          <x:t xml:space="preserve">Occidental Petroleum</x:t>
        </x:is>
      </x:c>
      <x:c r="D489" s="160" t="inlineStr">
        <x:is>
          <x:t xml:space="preserve">OXY</x:t>
        </x:is>
      </x:c>
      <x:c r="E489" s="160" t="inlineStr">
        <x:is>
          <x:t xml:space="preserve">Energy</x:t>
        </x:is>
      </x:c>
      <x:c r="F489" s="160" t="inlineStr">
        <x:is>
          <x:t xml:space="preserve">Development</x:t>
        </x:is>
      </x:c>
      <x:c r="G489" s="160" t="inlineStr">
        <x:is>
          <x:t xml:space="preserve">S04</x:t>
        </x:is>
      </x:c>
      <x:c r="H489" s="160" t="inlineStr">
        <x:is>
          <x:t xml:space="preserve">Stewardship / Capital Allocation</x:t>
        </x:is>
      </x:c>
      <x:c r="I489" s="160" t="inlineStr">
        <x:is>
          <x:t xml:space="preserve">Stewardship</x:t>
        </x:is>
      </x:c>
      <x:c r="J489" s="160" t="inlineStr">
        <x:is>
          <x:t xml:space="preserve">Management creates enterprise growth while destroying per-share value through M&amp;A, dilution, leverage or mistimed buybacks.</x:t>
        </x:is>
      </x:c>
      <x:c r="K489" s="160" t="inlineStr">
        <x:is>
          <x:t xml:space="preserve">Production and chemicals cash flow minus leverage</x:t>
        </x:is>
      </x:c>
      <x:c r="L489" s="160" t="inlineStr">
        <x:is>
          <x:t xml:space="preserve">NAV + mid-cycle FCF</x:t>
        </x:is>
      </x:c>
      <x:c r="M489" s="160" t="inlineStr">
        <x:is>
          <x:t xml:space="preserve">WATCH</x:t>
        </x:is>
      </x:c>
      <x:c r="N489" s="160" t="inlineStr">
        <x:is>
          <x:t xml:space="preserve">R-STEW-01</x:t>
        </x:is>
      </x:c>
      <x:c r="O489" s="160" t="inlineStr">
        <x:is>
          <x:t xml:space="preserve">COUNTER-EVIDENCE</x:t>
        </x:is>
      </x:c>
      <x:c r="P489" s="160" t="inlineStr">
        <x:is>
          <x:t xml:space="preserve">ROBUST</x:t>
        </x:is>
      </x:c>
      <x:c r="Q489" s="160" t="inlineStr">
        <x:is>
          <x:t xml:space="preserve">The mature simulation rule catches the stress without weakening a fatal gate; no rule relaxation is justified.</x:t>
        </x:is>
      </x:c>
      <x:c r="R489" s="160" t="inlineStr">
        <x:is>
          <x:t xml:space="preserve">Evaluate capital allocation on a per-share basis using acquisition cohorts, dilution, leverage and repurchase price discipline.</x:t>
        </x:is>
      </x:c>
      <x:c r="S489" s="160" t="inlineStr">
        <x:is>
          <x:t xml:space="preserve">NO</x:t>
        </x:is>
      </x:c>
      <x:c r="T489" s="160" t="inlineStr">
        <x:is>
          <x:t xml:space="preserve">COUNTER-EVIDENCE</x:t>
        </x:is>
      </x:c>
      <x:c r="U489" s="160" t="inlineStr">
        <x:is>
          <x:t xml:space="preserve">V10.5-SIM57</x:t>
        </x:is>
      </x:c>
      <x:c r="V489" s="160" t="inlineStr">
        <x:is>
          <x:t xml:space="preserve">https://www.oxy.com/investors/</x:t>
        </x:is>
      </x:c>
      <x:c r="W489" s="160" t="inlineStr">
        <x:is>
          <x:t xml:space="preserve">NO</x:t>
        </x:is>
      </x:c>
      <x:c r="X489" s="160" t="inlineStr">
        <x:is>
          <x:t xml:space="preserve">NONE — DEVELOPMENT ONLY</x:t>
        </x:is>
      </x:c>
      <x:c r="Y489" s="160" t="inlineStr">
        <x:is>
          <x:t xml:space="preserve">Synthetic/adversarial model-development loop. No historical outcome is claimed; no accuracy point is awarded.</x:t>
        </x:is>
      </x:c>
    </x:row>
    <x:row r="490">
      <x:c r="A490" s="160" t="inlineStr">
        <x:is>
          <x:t xml:space="preserve">ML0485</x:t>
        </x:is>
      </x:c>
      <x:c r="B490" s="160" t="inlineStr">
        <x:is>
          <x:t xml:space="preserve">ARG-031</x:t>
        </x:is>
      </x:c>
      <x:c r="C490" s="160" t="inlineStr">
        <x:is>
          <x:t xml:space="preserve">Occidental Petroleum</x:t>
        </x:is>
      </x:c>
      <x:c r="D490" s="160" t="inlineStr">
        <x:is>
          <x:t xml:space="preserve">OXY</x:t>
        </x:is>
      </x:c>
      <x:c r="E490" s="160" t="inlineStr">
        <x:is>
          <x:t xml:space="preserve">Energy</x:t>
        </x:is>
      </x:c>
      <x:c r="F490" s="160" t="inlineStr">
        <x:is>
          <x:t xml:space="preserve">Development</x:t>
        </x:is>
      </x:c>
      <x:c r="G490" s="160" t="inlineStr">
        <x:is>
          <x:t xml:space="preserve">S05</x:t>
        </x:is>
      </x:c>
      <x:c r="H490" s="160" t="inlineStr">
        <x:is>
          <x:t xml:space="preserve">Survival / Funding</x:t>
        </x:is>
      </x:c>
      <x:c r="I490" s="160" t="inlineStr">
        <x:is>
          <x:t xml:space="preserve">Survival</x:t>
        </x:is>
      </x:c>
      <x:c r="J490" s="160" t="inlineStr">
        <x:is>
          <x:t xml:space="preserve">A plausible bear case exposes refinancing, liquidity, covenant, reserve, regulatory or operational fragility.</x:t>
        </x:is>
      </x:c>
      <x:c r="K490" s="160" t="inlineStr">
        <x:is>
          <x:t xml:space="preserve">Production and chemicals cash flow minus leverage</x:t>
        </x:is>
      </x:c>
      <x:c r="L490" s="160" t="inlineStr">
        <x:is>
          <x:t xml:space="preserve">NAV + mid-cycle FCF</x:t>
        </x:is>
      </x:c>
      <x:c r="M490" s="160" t="inlineStr">
        <x:is>
          <x:t xml:space="preserve">WATCH</x:t>
        </x:is>
      </x:c>
      <x:c r="N490" s="160" t="inlineStr">
        <x:is>
          <x:t xml:space="preserve">R-SURV-01</x:t>
        </x:is>
      </x:c>
      <x:c r="O490" s="160" t="inlineStr">
        <x:is>
          <x:t xml:space="preserve">COUNTER-EVIDENCE</x:t>
        </x:is>
      </x:c>
      <x:c r="P490" s="160" t="inlineStr">
        <x:is>
          <x:t xml:space="preserve">ROBUST</x:t>
        </x:is>
      </x:c>
      <x:c r="Q490" s="160" t="inlineStr">
        <x:is>
          <x:t xml:space="preserve">The mature simulation rule catches the stress without weakening a fatal gate; no rule relaxation is justified.</x:t>
        </x:is>
      </x:c>
      <x:c r="R490" s="160" t="inlineStr">
        <x:is>
          <x:t xml:space="preserve">Run a company-specific survival bridge under a severe-but-plausible bear case before any upside underwriting.</x:t>
        </x:is>
      </x:c>
      <x:c r="S490" s="160" t="inlineStr">
        <x:is>
          <x:t xml:space="preserve">NO</x:t>
        </x:is>
      </x:c>
      <x:c r="T490" s="160" t="inlineStr">
        <x:is>
          <x:t xml:space="preserve">COUNTER-EVIDENCE</x:t>
        </x:is>
      </x:c>
      <x:c r="U490" s="160" t="inlineStr">
        <x:is>
          <x:t xml:space="preserve">V10.5-SIM57</x:t>
        </x:is>
      </x:c>
      <x:c r="V490" s="160" t="inlineStr">
        <x:is>
          <x:t xml:space="preserve">https://www.oxy.com/investors/</x:t>
        </x:is>
      </x:c>
      <x:c r="W490" s="160" t="inlineStr">
        <x:is>
          <x:t xml:space="preserve">NO</x:t>
        </x:is>
      </x:c>
      <x:c r="X490" s="160" t="inlineStr">
        <x:is>
          <x:t xml:space="preserve">NONE — DEVELOPMENT ONLY</x:t>
        </x:is>
      </x:c>
      <x:c r="Y490" s="160" t="inlineStr">
        <x:is>
          <x:t xml:space="preserve">Synthetic/adversarial model-development loop. No historical outcome is claimed; no accuracy point is awarded.</x:t>
        </x:is>
      </x:c>
    </x:row>
    <x:row r="491">
      <x:c r="A491" s="160" t="inlineStr">
        <x:is>
          <x:t xml:space="preserve">ML0486</x:t>
        </x:is>
      </x:c>
      <x:c r="B491" s="160" t="inlineStr">
        <x:is>
          <x:t xml:space="preserve">ARG-031</x:t>
        </x:is>
      </x:c>
      <x:c r="C491" s="160" t="inlineStr">
        <x:is>
          <x:t xml:space="preserve">Occidental Petroleum</x:t>
        </x:is>
      </x:c>
      <x:c r="D491" s="160" t="inlineStr">
        <x:is>
          <x:t xml:space="preserve">OXY</x:t>
        </x:is>
      </x:c>
      <x:c r="E491" s="160" t="inlineStr">
        <x:is>
          <x:t xml:space="preserve">Energy</x:t>
        </x:is>
      </x:c>
      <x:c r="F491" s="160" t="inlineStr">
        <x:is>
          <x:t xml:space="preserve">Development</x:t>
        </x:is>
      </x:c>
      <x:c r="G491" s="160" t="inlineStr">
        <x:is>
          <x:t xml:space="preserve">S06</x:t>
        </x:is>
      </x:c>
      <x:c r="H491" s="160" t="inlineStr">
        <x:is>
          <x:t xml:space="preserve">Margin of Safety</x:t>
        </x:is>
      </x:c>
      <x:c r="I491" s="160" t="inlineStr">
        <x:is>
          <x:t xml:space="preserve">Margin of Safety</x:t>
        </x:is>
      </x:c>
      <x:c r="J491" s="160" t="inlineStr">
        <x:is>
          <x:t xml:space="preserve">Business quality is high but the price embeds a fragile bull case.</x:t>
        </x:is>
      </x:c>
      <x:c r="K491" s="160" t="inlineStr">
        <x:is>
          <x:t xml:space="preserve">Production and chemicals cash flow minus leverage</x:t>
        </x:is>
      </x:c>
      <x:c r="L491" s="160" t="inlineStr">
        <x:is>
          <x:t xml:space="preserve">NAV + mid-cycle FCF</x:t>
        </x:is>
      </x:c>
      <x:c r="M491" s="160" t="inlineStr">
        <x:is>
          <x:t xml:space="preserve">WATCH</x:t>
        </x:is>
      </x:c>
      <x:c r="N491" s="160" t="inlineStr">
        <x:is>
          <x:t xml:space="preserve">R-MOS-01</x:t>
        </x:is>
      </x:c>
      <x:c r="O491" s="160" t="inlineStr">
        <x:is>
          <x:t xml:space="preserve">COUNTER-EVIDENCE</x:t>
        </x:is>
      </x:c>
      <x:c r="P491" s="160" t="inlineStr">
        <x:is>
          <x:t xml:space="preserve">ROBUST</x:t>
        </x:is>
      </x:c>
      <x:c r="Q491" s="160" t="inlineStr">
        <x:is>
          <x:t xml:space="preserve">The mature simulation rule catches the stress without weakening a fatal gate; no rule relaxation is justified.</x:t>
        </x:is>
      </x:c>
      <x:c r="R491" s="160" t="inlineStr">
        <x:is>
          <x:t xml:space="preserve">Separate business-quality score from price decision; require reverse valuation and bear/base/bull IV ranges.</x:t>
        </x:is>
      </x:c>
      <x:c r="S491" s="160" t="inlineStr">
        <x:is>
          <x:t xml:space="preserve">NO</x:t>
        </x:is>
      </x:c>
      <x:c r="T491" s="160" t="inlineStr">
        <x:is>
          <x:t xml:space="preserve">COUNTER-EVIDENCE</x:t>
        </x:is>
      </x:c>
      <x:c r="U491" s="160" t="inlineStr">
        <x:is>
          <x:t xml:space="preserve">V10.5-SIM57</x:t>
        </x:is>
      </x:c>
      <x:c r="V491" s="160" t="inlineStr">
        <x:is>
          <x:t xml:space="preserve">https://www.oxy.com/investors/</x:t>
        </x:is>
      </x:c>
      <x:c r="W491" s="160" t="inlineStr">
        <x:is>
          <x:t xml:space="preserve">NO</x:t>
        </x:is>
      </x:c>
      <x:c r="X491" s="160" t="inlineStr">
        <x:is>
          <x:t xml:space="preserve">NONE — DEVELOPMENT ONLY</x:t>
        </x:is>
      </x:c>
      <x:c r="Y491" s="160" t="inlineStr">
        <x:is>
          <x:t xml:space="preserve">Synthetic/adversarial model-development loop. No historical outcome is claimed; no accuracy point is awarded.</x:t>
        </x:is>
      </x:c>
    </x:row>
    <x:row r="492">
      <x:c r="A492" s="160" t="inlineStr">
        <x:is>
          <x:t xml:space="preserve">ML0487</x:t>
        </x:is>
      </x:c>
      <x:c r="B492" s="160" t="inlineStr">
        <x:is>
          <x:t xml:space="preserve">ARG-031</x:t>
        </x:is>
      </x:c>
      <x:c r="C492" s="160" t="inlineStr">
        <x:is>
          <x:t xml:space="preserve">Occidental Petroleum</x:t>
        </x:is>
      </x:c>
      <x:c r="D492" s="160" t="inlineStr">
        <x:is>
          <x:t xml:space="preserve">OXY</x:t>
        </x:is>
      </x:c>
      <x:c r="E492" s="160" t="inlineStr">
        <x:is>
          <x:t xml:space="preserve">Energy</x:t>
        </x:is>
      </x:c>
      <x:c r="F492" s="160" t="inlineStr">
        <x:is>
          <x:t xml:space="preserve">Development</x:t>
        </x:is>
      </x:c>
      <x:c r="G492" s="160" t="inlineStr">
        <x:is>
          <x:t xml:space="preserve">S07</x:t>
        </x:is>
      </x:c>
      <x:c r="H492" s="160" t="inlineStr">
        <x:is>
          <x:t xml:space="preserve">Sector Shock</x:t>
        </x:is>
      </x:c>
      <x:c r="I492" s="160" t="inlineStr">
        <x:is>
          <x:t xml:space="preserve">Sector-specific</x:t>
        </x:is>
      </x:c>
      <x:c r="J492" s="160" t="inlineStr">
        <x:is>
          <x:t xml:space="preserve">Commodity prices fall toward mid-cycle while sustaining capex and balance-sheet commitments remain fixed.</x:t>
        </x:is>
      </x:c>
      <x:c r="K492" s="160" t="inlineStr">
        <x:is>
          <x:t xml:space="preserve">Production and chemicals cash flow minus leverage</x:t>
        </x:is>
      </x:c>
      <x:c r="L492" s="160" t="inlineStr">
        <x:is>
          <x:t xml:space="preserve">NAV + mid-cycle FCF</x:t>
        </x:is>
      </x:c>
      <x:c r="M492" s="160" t="inlineStr">
        <x:is>
          <x:t xml:space="preserve">WATCH</x:t>
        </x:is>
      </x:c>
      <x:c r="N492" s="160" t="inlineStr">
        <x:is>
          <x:t xml:space="preserve">R-SECTOR-ENERGY</x:t>
        </x:is>
      </x:c>
      <x:c r="O492" s="160" t="inlineStr">
        <x:is>
          <x:t xml:space="preserve">BASE</x:t>
        </x:is>
      </x:c>
      <x:c r="P492" s="160" t="inlineStr">
        <x:is>
          <x:t xml:space="preserve">PARTIAL CATCH</x:t>
        </x:is>
      </x:c>
      <x:c r="Q492" s="160" t="inlineStr">
        <x:is>
          <x:t xml:space="preserve">The base refinement catches the main failure, but evidence thresholds and per-share/counterfactual details remain underspecified.</x:t>
        </x:is>
      </x:c>
      <x:c r="R492" s="160" t="inlineStr">
        <x:is>
          <x:t xml:space="preserve">Add a sector-specific transmission map with leading operating sensors, not only market-price variables. Sector rule: Commodity prices fall toward mid-cycle while sustaining capex and balance-sheet commitments remain fixed.</x:t>
        </x:is>
      </x:c>
      <x:c r="S492" s="160" t="inlineStr">
        <x:is>
          <x:t xml:space="preserve">YES — SIMULATION ONLY</x:t>
        </x:is>
      </x:c>
      <x:c r="T492" s="160" t="inlineStr">
        <x:is>
          <x:t xml:space="preserve">HARDENED</x:t>
        </x:is>
      </x:c>
      <x:c r="U492" s="160" t="inlineStr">
        <x:is>
          <x:t xml:space="preserve">V10.5-SIM58</x:t>
        </x:is>
      </x:c>
      <x:c r="V492" s="160" t="inlineStr">
        <x:is>
          <x:t xml:space="preserve">https://www.oxy.com/investors/</x:t>
        </x:is>
      </x:c>
      <x:c r="W492" s="160" t="inlineStr">
        <x:is>
          <x:t xml:space="preserve">NO</x:t>
        </x:is>
      </x:c>
      <x:c r="X492" s="160" t="inlineStr">
        <x:is>
          <x:t xml:space="preserve">NONE — DEVELOPMENT ONLY</x:t>
        </x:is>
      </x:c>
      <x:c r="Y492" s="160" t="inlineStr">
        <x:is>
          <x:t xml:space="preserve">Synthetic/adversarial model-development loop. No historical outcome is claimed; no accuracy point is awarded.</x:t>
        </x:is>
      </x:c>
    </x:row>
    <x:row r="493">
      <x:c r="A493" s="160" t="inlineStr">
        <x:is>
          <x:t xml:space="preserve">ML0488</x:t>
        </x:is>
      </x:c>
      <x:c r="B493" s="160" t="inlineStr">
        <x:is>
          <x:t xml:space="preserve">ARG-031</x:t>
        </x:is>
      </x:c>
      <x:c r="C493" s="160" t="inlineStr">
        <x:is>
          <x:t xml:space="preserve">Occidental Petroleum</x:t>
        </x:is>
      </x:c>
      <x:c r="D493" s="160" t="inlineStr">
        <x:is>
          <x:t xml:space="preserve">OXY</x:t>
        </x:is>
      </x:c>
      <x:c r="E493" s="160" t="inlineStr">
        <x:is>
          <x:t xml:space="preserve">Energy</x:t>
        </x:is>
      </x:c>
      <x:c r="F493" s="160" t="inlineStr">
        <x:is>
          <x:t xml:space="preserve">Development</x:t>
        </x:is>
      </x:c>
      <x:c r="G493" s="160" t="inlineStr">
        <x:is>
          <x:t xml:space="preserve">S08</x:t>
        </x:is>
      </x:c>
      <x:c r="H493" s="160" t="inlineStr">
        <x:is>
          <x:t xml:space="preserve">Management Promise Reliability</x:t>
        </x:is>
      </x:c>
      <x:c r="I493" s="160" t="inlineStr">
        <x:is>
          <x:t xml:space="preserve">Management over-trust</x:t>
        </x:is>
      </x:c>
      <x:c r="J493" s="160" t="inlineStr">
        <x:is>
          <x:t xml:space="preserve">Guidance or strategic promises are repeated but the model lacks a contemporaneous reliability score.</x:t>
        </x:is>
      </x:c>
      <x:c r="K493" s="160" t="inlineStr">
        <x:is>
          <x:t xml:space="preserve">Production and chemicals cash flow minus leverage</x:t>
        </x:is>
      </x:c>
      <x:c r="L493" s="160" t="inlineStr">
        <x:is>
          <x:t xml:space="preserve">NAV + mid-cycle FCF</x:t>
        </x:is>
      </x:c>
      <x:c r="M493" s="160" t="inlineStr">
        <x:is>
          <x:t xml:space="preserve">WATCH</x:t>
        </x:is>
      </x:c>
      <x:c r="N493" s="160" t="inlineStr">
        <x:is>
          <x:t xml:space="preserve">R-PROM-01</x:t>
        </x:is>
      </x:c>
      <x:c r="O493" s="160" t="inlineStr">
        <x:is>
          <x:t xml:space="preserve">COUNTER-EVIDENCE</x:t>
        </x:is>
      </x:c>
      <x:c r="P493" s="160" t="inlineStr">
        <x:is>
          <x:t xml:space="preserve">ROBUST</x:t>
        </x:is>
      </x:c>
      <x:c r="Q493" s="160" t="inlineStr">
        <x:is>
          <x:t xml:space="preserve">The mature simulation rule catches the stress without weakening a fatal gate; no rule relaxation is justified.</x:t>
        </x:is>
      </x:c>
      <x:c r="R493" s="160" t="inlineStr">
        <x:is>
          <x:t xml:space="preserve">Use a promises ledger with dated promise, measurable deliverable, due date, outcome and credibility weight.</x:t>
        </x:is>
      </x:c>
      <x:c r="S493" s="160" t="inlineStr">
        <x:is>
          <x:t xml:space="preserve">NO</x:t>
        </x:is>
      </x:c>
      <x:c r="T493" s="160" t="inlineStr">
        <x:is>
          <x:t xml:space="preserve">COUNTER-EVIDENCE</x:t>
        </x:is>
      </x:c>
      <x:c r="U493" s="160" t="inlineStr">
        <x:is>
          <x:t xml:space="preserve">V10.5-SIM58</x:t>
        </x:is>
      </x:c>
      <x:c r="V493" s="160" t="inlineStr">
        <x:is>
          <x:t xml:space="preserve">https://www.oxy.com/investors/</x:t>
        </x:is>
      </x:c>
      <x:c r="W493" s="160" t="inlineStr">
        <x:is>
          <x:t xml:space="preserve">NO</x:t>
        </x:is>
      </x:c>
      <x:c r="X493" s="160" t="inlineStr">
        <x:is>
          <x:t xml:space="preserve">NONE — DEVELOPMENT ONLY</x:t>
        </x:is>
      </x:c>
      <x:c r="Y493" s="160" t="inlineStr">
        <x:is>
          <x:t xml:space="preserve">Synthetic/adversarial model-development loop. No historical outcome is claimed; no accuracy point is awarded.</x:t>
        </x:is>
      </x:c>
    </x:row>
    <x:row r="494">
      <x:c r="A494" s="160" t="inlineStr">
        <x:is>
          <x:t xml:space="preserve">ML0489</x:t>
        </x:is>
      </x:c>
      <x:c r="B494" s="160" t="inlineStr">
        <x:is>
          <x:t xml:space="preserve">ARG-031</x:t>
        </x:is>
      </x:c>
      <x:c r="C494" s="160" t="inlineStr">
        <x:is>
          <x:t xml:space="preserve">Occidental Petroleum</x:t>
        </x:is>
      </x:c>
      <x:c r="D494" s="160" t="inlineStr">
        <x:is>
          <x:t xml:space="preserve">OXY</x:t>
        </x:is>
      </x:c>
      <x:c r="E494" s="160" t="inlineStr">
        <x:is>
          <x:t xml:space="preserve">Energy</x:t>
        </x:is>
      </x:c>
      <x:c r="F494" s="160" t="inlineStr">
        <x:is>
          <x:t xml:space="preserve">Development</x:t>
        </x:is>
      </x:c>
      <x:c r="G494" s="160" t="inlineStr">
        <x:is>
          <x:t xml:space="preserve">S09</x:t>
        </x:is>
      </x:c>
      <x:c r="H494" s="160" t="inlineStr">
        <x:is>
          <x:t xml:space="preserve">Data / Accounting Quality</x:t>
        </x:is>
      </x:c>
      <x:c r="I494" s="160" t="inlineStr">
        <x:is>
          <x:t xml:space="preserve">Data quality</x:t>
        </x:is>
      </x:c>
      <x:c r="J494" s="160" t="inlineStr">
        <x:is>
          <x:t xml:space="preserve">Restatement, segment reclassification, one-time item or non-economic fair-value movement distorts the apparent trend.</x:t>
        </x:is>
      </x:c>
      <x:c r="K494" s="160" t="inlineStr">
        <x:is>
          <x:t xml:space="preserve">Production and chemicals cash flow minus leverage</x:t>
        </x:is>
      </x:c>
      <x:c r="L494" s="160" t="inlineStr">
        <x:is>
          <x:t xml:space="preserve">NAV + mid-cycle FCF</x:t>
        </x:is>
      </x:c>
      <x:c r="M494" s="160" t="inlineStr">
        <x:is>
          <x:t xml:space="preserve">WATCH</x:t>
        </x:is>
      </x:c>
      <x:c r="N494" s="160" t="inlineStr">
        <x:is>
          <x:t xml:space="preserve">R-DATA-01</x:t>
        </x:is>
      </x:c>
      <x:c r="O494" s="160" t="inlineStr">
        <x:is>
          <x:t xml:space="preserve">COUNTER-EVIDENCE</x:t>
        </x:is>
      </x:c>
      <x:c r="P494" s="160" t="inlineStr">
        <x:is>
          <x:t xml:space="preserve">ROBUST</x:t>
        </x:is>
      </x:c>
      <x:c r="Q494" s="160" t="inlineStr">
        <x:is>
          <x:t xml:space="preserve">The mature simulation rule catches the stress without weakening a fatal gate; no rule relaxation is justified.</x:t>
        </x:is>
      </x:c>
      <x:c r="R494" s="160" t="inlineStr">
        <x:is>
          <x:t xml:space="preserve">Add a reporting-quality bridge and normalize accounting noise before any gate can pass.</x:t>
        </x:is>
      </x:c>
      <x:c r="S494" s="160" t="inlineStr">
        <x:is>
          <x:t xml:space="preserve">NO</x:t>
        </x:is>
      </x:c>
      <x:c r="T494" s="160" t="inlineStr">
        <x:is>
          <x:t xml:space="preserve">COUNTER-EVIDENCE</x:t>
        </x:is>
      </x:c>
      <x:c r="U494" s="160" t="inlineStr">
        <x:is>
          <x:t xml:space="preserve">V10.5-SIM58</x:t>
        </x:is>
      </x:c>
      <x:c r="V494" s="160" t="inlineStr">
        <x:is>
          <x:t xml:space="preserve">https://www.oxy.com/investors/</x:t>
        </x:is>
      </x:c>
      <x:c r="W494" s="160" t="inlineStr">
        <x:is>
          <x:t xml:space="preserve">NO</x:t>
        </x:is>
      </x:c>
      <x:c r="X494" s="160" t="inlineStr">
        <x:is>
          <x:t xml:space="preserve">NONE — DEVELOPMENT ONLY</x:t>
        </x:is>
      </x:c>
      <x:c r="Y494" s="160" t="inlineStr">
        <x:is>
          <x:t xml:space="preserve">Synthetic/adversarial model-development loop. No historical outcome is claimed; no accuracy point is awarded.</x:t>
        </x:is>
      </x:c>
    </x:row>
    <x:row r="495">
      <x:c r="A495" s="160" t="inlineStr">
        <x:is>
          <x:t xml:space="preserve">ML0490</x:t>
        </x:is>
      </x:c>
      <x:c r="B495" s="160" t="inlineStr">
        <x:is>
          <x:t xml:space="preserve">ARG-031</x:t>
        </x:is>
      </x:c>
      <x:c r="C495" s="160" t="inlineStr">
        <x:is>
          <x:t xml:space="preserve">Occidental Petroleum</x:t>
        </x:is>
      </x:c>
      <x:c r="D495" s="160" t="inlineStr">
        <x:is>
          <x:t xml:space="preserve">OXY</x:t>
        </x:is>
      </x:c>
      <x:c r="E495" s="160" t="inlineStr">
        <x:is>
          <x:t xml:space="preserve">Energy</x:t>
        </x:is>
      </x:c>
      <x:c r="F495" s="160" t="inlineStr">
        <x:is>
          <x:t xml:space="preserve">Development</x:t>
        </x:is>
      </x:c>
      <x:c r="G495" s="160" t="inlineStr">
        <x:is>
          <x:t xml:space="preserve">S10</x:t>
        </x:is>
      </x:c>
      <x:c r="H495" s="160" t="inlineStr">
        <x:is>
          <x:t xml:space="preserve">Control / Counterfactual</x:t>
        </x:is>
      </x:c>
      <x:c r="I495" s="160" t="inlineStr">
        <x:is>
          <x:t xml:space="preserve">Sector beta vs company alpha</x:t>
        </x:is>
      </x:c>
      <x:c r="J495" s="160" t="inlineStr">
        <x:is>
          <x:t xml:space="preserve">A positive outcome is mostly sector beta or macro tailwind, not company-specific alpha.</x:t>
        </x:is>
      </x:c>
      <x:c r="K495" s="160" t="inlineStr">
        <x:is>
          <x:t xml:space="preserve">Production and chemicals cash flow minus leverage</x:t>
        </x:is>
      </x:c>
      <x:c r="L495" s="160" t="inlineStr">
        <x:is>
          <x:t xml:space="preserve">NAV + mid-cycle FCF</x:t>
        </x:is>
      </x:c>
      <x:c r="M495" s="160" t="inlineStr">
        <x:is>
          <x:t xml:space="preserve">WATCH</x:t>
        </x:is>
      </x:c>
      <x:c r="N495" s="160" t="inlineStr">
        <x:is>
          <x:t xml:space="preserve">R-CF-01</x:t>
        </x:is>
      </x:c>
      <x:c r="O495" s="160" t="inlineStr">
        <x:is>
          <x:t xml:space="preserve">COUNTER-EVIDENCE</x:t>
        </x:is>
      </x:c>
      <x:c r="P495" s="160" t="inlineStr">
        <x:is>
          <x:t xml:space="preserve">ROBUST</x:t>
        </x:is>
      </x:c>
      <x:c r="Q495" s="160" t="inlineStr">
        <x:is>
          <x:t xml:space="preserve">The mature simulation rule catches the stress without weakening a fatal gate; no rule relaxation is justified.</x:t>
        </x:is>
      </x:c>
      <x:c r="R495" s="160" t="inlineStr">
        <x:is>
          <x:t xml:space="preserve">Require a true economic control and counterfactual: what should have happened to a comparable company under the same shock?</x:t>
        </x:is>
      </x:c>
      <x:c r="S495" s="160" t="inlineStr">
        <x:is>
          <x:t xml:space="preserve">NO</x:t>
        </x:is>
      </x:c>
      <x:c r="T495" s="160" t="inlineStr">
        <x:is>
          <x:t xml:space="preserve">COUNTER-EVIDENCE</x:t>
        </x:is>
      </x:c>
      <x:c r="U495" s="160" t="inlineStr">
        <x:is>
          <x:t xml:space="preserve">V10.5-SIM58</x:t>
        </x:is>
      </x:c>
      <x:c r="V495" s="160" t="inlineStr">
        <x:is>
          <x:t xml:space="preserve">https://www.oxy.com/investors/</x:t>
        </x:is>
      </x:c>
      <x:c r="W495" s="160" t="inlineStr">
        <x:is>
          <x:t xml:space="preserve">NO</x:t>
        </x:is>
      </x:c>
      <x:c r="X495" s="160" t="inlineStr">
        <x:is>
          <x:t xml:space="preserve">NONE — DEVELOPMENT ONLY</x:t>
        </x:is>
      </x:c>
      <x:c r="Y495" s="160" t="inlineStr">
        <x:is>
          <x:t xml:space="preserve">Synthetic/adversarial model-development loop. No historical outcome is claimed; no accuracy point is awarded.</x:t>
        </x:is>
      </x:c>
    </x:row>
    <x:row r="496">
      <x:c r="A496" s="160" t="inlineStr">
        <x:is>
          <x:t xml:space="preserve">ML0491</x:t>
        </x:is>
      </x:c>
      <x:c r="B496" s="160" t="inlineStr">
        <x:is>
          <x:t xml:space="preserve">ARG-031</x:t>
        </x:is>
      </x:c>
      <x:c r="C496" s="160" t="inlineStr">
        <x:is>
          <x:t xml:space="preserve">Occidental Petroleum</x:t>
        </x:is>
      </x:c>
      <x:c r="D496" s="160" t="inlineStr">
        <x:is>
          <x:t xml:space="preserve">OXY</x:t>
        </x:is>
      </x:c>
      <x:c r="E496" s="160" t="inlineStr">
        <x:is>
          <x:t xml:space="preserve">Energy</x:t>
        </x:is>
      </x:c>
      <x:c r="F496" s="160" t="inlineStr">
        <x:is>
          <x:t xml:space="preserve">Development</x:t>
        </x:is>
      </x:c>
      <x:c r="G496" s="160" t="inlineStr">
        <x:is>
          <x:t xml:space="preserve">S11</x:t>
        </x:is>
      </x:c>
      <x:c r="H496" s="160" t="inlineStr">
        <x:is>
          <x:t xml:space="preserve">False-Negative Discipline</x:t>
        </x:is>
      </x:c>
      <x:c r="I496" s="160" t="inlineStr">
        <x:is>
          <x:t xml:space="preserve">False negative</x:t>
        </x:is>
      </x:c>
      <x:c r="J496" s="160" t="inlineStr">
        <x:is>
          <x:t xml:space="preserve">A strict gate rejects a company that later compounds strongly for reasons the model could have known.</x:t>
        </x:is>
      </x:c>
      <x:c r="K496" s="160" t="inlineStr">
        <x:is>
          <x:t xml:space="preserve">Production and chemicals cash flow minus leverage</x:t>
        </x:is>
      </x:c>
      <x:c r="L496" s="160" t="inlineStr">
        <x:is>
          <x:t xml:space="preserve">NAV + mid-cycle FCF</x:t>
        </x:is>
      </x:c>
      <x:c r="M496" s="160" t="inlineStr">
        <x:is>
          <x:t xml:space="preserve">WATCH</x:t>
        </x:is>
      </x:c>
      <x:c r="N496" s="160" t="inlineStr">
        <x:is>
          <x:t xml:space="preserve">R-FN-01</x:t>
        </x:is>
      </x:c>
      <x:c r="O496" s="160" t="inlineStr">
        <x:is>
          <x:t xml:space="preserve">COUNTER-EVIDENCE</x:t>
        </x:is>
      </x:c>
      <x:c r="P496" s="160" t="inlineStr">
        <x:is>
          <x:t xml:space="preserve">ROBUST</x:t>
        </x:is>
      </x:c>
      <x:c r="Q496" s="160" t="inlineStr">
        <x:is>
          <x:t xml:space="preserve">The mature simulation rule catches the stress without weakening a fatal gate; no rule relaxation is justified.</x:t>
        </x:is>
      </x:c>
      <x:c r="R496" s="160" t="inlineStr">
        <x:is>
          <x:t xml:space="preserve">Track opportunity cost and classify whether the miss came from evidence timing, wrong threshold or genuinely unknowable upside.</x:t>
        </x:is>
      </x:c>
      <x:c r="S496" s="160" t="inlineStr">
        <x:is>
          <x:t xml:space="preserve">NO</x:t>
        </x:is>
      </x:c>
      <x:c r="T496" s="160" t="inlineStr">
        <x:is>
          <x:t xml:space="preserve">COUNTER-EVIDENCE</x:t>
        </x:is>
      </x:c>
      <x:c r="U496" s="160" t="inlineStr">
        <x:is>
          <x:t xml:space="preserve">V10.5-SIM58</x:t>
        </x:is>
      </x:c>
      <x:c r="V496" s="160" t="inlineStr">
        <x:is>
          <x:t xml:space="preserve">https://www.oxy.com/investors/</x:t>
        </x:is>
      </x:c>
      <x:c r="W496" s="160" t="inlineStr">
        <x:is>
          <x:t xml:space="preserve">NO</x:t>
        </x:is>
      </x:c>
      <x:c r="X496" s="160" t="inlineStr">
        <x:is>
          <x:t xml:space="preserve">NONE — DEVELOPMENT ONLY</x:t>
        </x:is>
      </x:c>
      <x:c r="Y496" s="160" t="inlineStr">
        <x:is>
          <x:t xml:space="preserve">Synthetic/adversarial model-development loop. No historical outcome is claimed; no accuracy point is awarded.</x:t>
        </x:is>
      </x:c>
    </x:row>
    <x:row r="497">
      <x:c r="A497" s="160" t="inlineStr">
        <x:is>
          <x:t xml:space="preserve">ML0492</x:t>
        </x:is>
      </x:c>
      <x:c r="B497" s="160" t="inlineStr">
        <x:is>
          <x:t xml:space="preserve">ARG-031</x:t>
        </x:is>
      </x:c>
      <x:c r="C497" s="160" t="inlineStr">
        <x:is>
          <x:t xml:space="preserve">Occidental Petroleum</x:t>
        </x:is>
      </x:c>
      <x:c r="D497" s="160" t="inlineStr">
        <x:is>
          <x:t xml:space="preserve">OXY</x:t>
        </x:is>
      </x:c>
      <x:c r="E497" s="160" t="inlineStr">
        <x:is>
          <x:t xml:space="preserve">Energy</x:t>
        </x:is>
      </x:c>
      <x:c r="F497" s="160" t="inlineStr">
        <x:is>
          <x:t xml:space="preserve">Development</x:t>
        </x:is>
      </x:c>
      <x:c r="G497" s="160" t="inlineStr">
        <x:is>
          <x:t xml:space="preserve">S12</x:t>
        </x:is>
      </x:c>
      <x:c r="H497" s="160" t="inlineStr">
        <x:is>
          <x:t xml:space="preserve">Lead-Time / Early Sensor</x:t>
        </x:is>
      </x:c>
      <x:c r="I497" s="160" t="inlineStr">
        <x:is>
          <x:t xml:space="preserve">Timing / lead-time</x:t>
        </x:is>
      </x:c>
      <x:c r="J497" s="160" t="inlineStr">
        <x:is>
          <x:t xml:space="preserve">ARGUS identifies the change correctly but only after consensus and price have already reacted.</x:t>
        </x:is>
      </x:c>
      <x:c r="K497" s="160" t="inlineStr">
        <x:is>
          <x:t xml:space="preserve">Production and chemicals cash flow minus leverage</x:t>
        </x:is>
      </x:c>
      <x:c r="L497" s="160" t="inlineStr">
        <x:is>
          <x:t xml:space="preserve">NAV + mid-cycle FCF</x:t>
        </x:is>
      </x:c>
      <x:c r="M497" s="160" t="inlineStr">
        <x:is>
          <x:t xml:space="preserve">WATCH</x:t>
        </x:is>
      </x:c>
      <x:c r="N497" s="160" t="inlineStr">
        <x:is>
          <x:t xml:space="preserve">R-TIME-01</x:t>
        </x:is>
      </x:c>
      <x:c r="O497" s="160" t="inlineStr">
        <x:is>
          <x:t xml:space="preserve">COUNTER-EVIDENCE</x:t>
        </x:is>
      </x:c>
      <x:c r="P497" s="160" t="inlineStr">
        <x:is>
          <x:t xml:space="preserve">ROBUST</x:t>
        </x:is>
      </x:c>
      <x:c r="Q497" s="160" t="inlineStr">
        <x:is>
          <x:t xml:space="preserve">The mature simulation rule catches the stress without weakening a fatal gate; no rule relaxation is justified.</x:t>
        </x:is>
      </x:c>
      <x:c r="R497" s="160" t="inlineStr">
        <x:is>
          <x:t xml:space="preserve">Replace lagging financial metrics with earlier causal operating sensors and record lead time separately from correctness.</x:t>
        </x:is>
      </x:c>
      <x:c r="S497" s="160" t="inlineStr">
        <x:is>
          <x:t xml:space="preserve">NO</x:t>
        </x:is>
      </x:c>
      <x:c r="T497" s="160" t="inlineStr">
        <x:is>
          <x:t xml:space="preserve">COUNTER-EVIDENCE</x:t>
        </x:is>
      </x:c>
      <x:c r="U497" s="160" t="inlineStr">
        <x:is>
          <x:t xml:space="preserve">V10.5-SIM58</x:t>
        </x:is>
      </x:c>
      <x:c r="V497" s="160" t="inlineStr">
        <x:is>
          <x:t xml:space="preserve">https://www.oxy.com/investors/</x:t>
        </x:is>
      </x:c>
      <x:c r="W497" s="160" t="inlineStr">
        <x:is>
          <x:t xml:space="preserve">NO</x:t>
        </x:is>
      </x:c>
      <x:c r="X497" s="160" t="inlineStr">
        <x:is>
          <x:t xml:space="preserve">NONE — DEVELOPMENT ONLY</x:t>
        </x:is>
      </x:c>
      <x:c r="Y497" s="160" t="inlineStr">
        <x:is>
          <x:t xml:space="preserve">Synthetic/adversarial model-development loop. No historical outcome is claimed; no accuracy point is awarded.</x:t>
        </x:is>
      </x:c>
    </x:row>
    <x:row r="498">
      <x:c r="A498" s="160" t="inlineStr">
        <x:is>
          <x:t xml:space="preserve">ML0493</x:t>
        </x:is>
      </x:c>
      <x:c r="B498" s="160" t="inlineStr">
        <x:is>
          <x:t xml:space="preserve">ARG-031</x:t>
        </x:is>
      </x:c>
      <x:c r="C498" s="160" t="inlineStr">
        <x:is>
          <x:t xml:space="preserve">Occidental Petroleum</x:t>
        </x:is>
      </x:c>
      <x:c r="D498" s="160" t="inlineStr">
        <x:is>
          <x:t xml:space="preserve">OXY</x:t>
        </x:is>
      </x:c>
      <x:c r="E498" s="160" t="inlineStr">
        <x:is>
          <x:t xml:space="preserve">Energy</x:t>
        </x:is>
      </x:c>
      <x:c r="F498" s="160" t="inlineStr">
        <x:is>
          <x:t xml:space="preserve">Development</x:t>
        </x:is>
      </x:c>
      <x:c r="G498" s="160" t="inlineStr">
        <x:is>
          <x:t xml:space="preserve">S13</x:t>
        </x:is>
      </x:c>
      <x:c r="H498" s="160" t="inlineStr">
        <x:is>
          <x:t xml:space="preserve">Cycle Normalization</x:t>
        </x:is>
      </x:c>
      <x:c r="I498" s="160" t="inlineStr">
        <x:is>
          <x:t xml:space="preserve">Wrong valuation lens</x:t>
        </x:is>
      </x:c>
      <x:c r="J498" s="160" t="inlineStr">
        <x:is>
          <x:t xml:space="preserve">Peak/trough earnings are mistaken for normalized earning power.</x:t>
        </x:is>
      </x:c>
      <x:c r="K498" s="160" t="inlineStr">
        <x:is>
          <x:t xml:space="preserve">Production and chemicals cash flow minus leverage</x:t>
        </x:is>
      </x:c>
      <x:c r="L498" s="160" t="inlineStr">
        <x:is>
          <x:t xml:space="preserve">NAV + mid-cycle FCF</x:t>
        </x:is>
      </x:c>
      <x:c r="M498" s="160" t="inlineStr">
        <x:is>
          <x:t xml:space="preserve">WATCH</x:t>
        </x:is>
      </x:c>
      <x:c r="N498" s="160" t="inlineStr">
        <x:is>
          <x:t xml:space="preserve">R-CYCLE-01</x:t>
        </x:is>
      </x:c>
      <x:c r="O498" s="160" t="inlineStr">
        <x:is>
          <x:t xml:space="preserve">COUNTER-EVIDENCE</x:t>
        </x:is>
      </x:c>
      <x:c r="P498" s="160" t="inlineStr">
        <x:is>
          <x:t xml:space="preserve">ROBUST</x:t>
        </x:is>
      </x:c>
      <x:c r="Q498" s="160" t="inlineStr">
        <x:is>
          <x:t xml:space="preserve">The mature simulation rule catches the stress without weakening a fatal gate; no rule relaxation is justified.</x:t>
        </x:is>
      </x:c>
      <x:c r="R498" s="160" t="inlineStr">
        <x:is>
          <x:t xml:space="preserve">Use sector-specific mid-cycle/NAV/rate-base/rNPV normalization before applying a valuation multiple.</x:t>
        </x:is>
      </x:c>
      <x:c r="S498" s="160" t="inlineStr">
        <x:is>
          <x:t xml:space="preserve">NO</x:t>
        </x:is>
      </x:c>
      <x:c r="T498" s="160" t="inlineStr">
        <x:is>
          <x:t xml:space="preserve">COUNTER-EVIDENCE</x:t>
        </x:is>
      </x:c>
      <x:c r="U498" s="160" t="inlineStr">
        <x:is>
          <x:t xml:space="preserve">V10.5-SIM58</x:t>
        </x:is>
      </x:c>
      <x:c r="V498" s="160" t="inlineStr">
        <x:is>
          <x:t xml:space="preserve">https://www.oxy.com/investors/</x:t>
        </x:is>
      </x:c>
      <x:c r="W498" s="160" t="inlineStr">
        <x:is>
          <x:t xml:space="preserve">NO</x:t>
        </x:is>
      </x:c>
      <x:c r="X498" s="160" t="inlineStr">
        <x:is>
          <x:t xml:space="preserve">NONE — DEVELOPMENT ONLY</x:t>
        </x:is>
      </x:c>
      <x:c r="Y498" s="160" t="inlineStr">
        <x:is>
          <x:t xml:space="preserve">Synthetic/adversarial model-development loop. No historical outcome is claimed; no accuracy point is awarded.</x:t>
        </x:is>
      </x:c>
    </x:row>
    <x:row r="499">
      <x:c r="A499" s="160" t="inlineStr">
        <x:is>
          <x:t xml:space="preserve">ML0494</x:t>
        </x:is>
      </x:c>
      <x:c r="B499" s="160" t="inlineStr">
        <x:is>
          <x:t xml:space="preserve">ARG-031</x:t>
        </x:is>
      </x:c>
      <x:c r="C499" s="160" t="inlineStr">
        <x:is>
          <x:t xml:space="preserve">Occidental Petroleum</x:t>
        </x:is>
      </x:c>
      <x:c r="D499" s="160" t="inlineStr">
        <x:is>
          <x:t xml:space="preserve">OXY</x:t>
        </x:is>
      </x:c>
      <x:c r="E499" s="160" t="inlineStr">
        <x:is>
          <x:t xml:space="preserve">Energy</x:t>
        </x:is>
      </x:c>
      <x:c r="F499" s="160" t="inlineStr">
        <x:is>
          <x:t xml:space="preserve">Development</x:t>
        </x:is>
      </x:c>
      <x:c r="G499" s="160" t="inlineStr">
        <x:is>
          <x:t xml:space="preserve">S14</x:t>
        </x:is>
      </x:c>
      <x:c r="H499" s="160" t="inlineStr">
        <x:is>
          <x:t xml:space="preserve">M&amp;A / Organic Growth Separation</x:t>
        </x:is>
      </x:c>
      <x:c r="I499" s="160" t="inlineStr">
        <x:is>
          <x:t xml:space="preserve">Stewardship</x:t>
        </x:is>
      </x:c>
      <x:c r="J499" s="160" t="inlineStr">
        <x:is>
          <x:t xml:space="preserve">Acquisition-driven growth masks weak organic economics or poor incremental ROIC.</x:t>
        </x:is>
      </x:c>
      <x:c r="K499" s="160" t="inlineStr">
        <x:is>
          <x:t xml:space="preserve">Production and chemicals cash flow minus leverage</x:t>
        </x:is>
      </x:c>
      <x:c r="L499" s="160" t="inlineStr">
        <x:is>
          <x:t xml:space="preserve">NAV + mid-cycle FCF</x:t>
        </x:is>
      </x:c>
      <x:c r="M499" s="160" t="inlineStr">
        <x:is>
          <x:t xml:space="preserve">WATCH</x:t>
        </x:is>
      </x:c>
      <x:c r="N499" s="160" t="inlineStr">
        <x:is>
          <x:t xml:space="preserve">R-MA-01</x:t>
        </x:is>
      </x:c>
      <x:c r="O499" s="160" t="inlineStr">
        <x:is>
          <x:t xml:space="preserve">COUNTER-EVIDENCE</x:t>
        </x:is>
      </x:c>
      <x:c r="P499" s="160" t="inlineStr">
        <x:is>
          <x:t xml:space="preserve">ROBUST</x:t>
        </x:is>
      </x:c>
      <x:c r="Q499" s="160" t="inlineStr">
        <x:is>
          <x:t xml:space="preserve">The mature simulation rule catches the stress without weakening a fatal gate; no rule relaxation is justified.</x:t>
        </x:is>
      </x:c>
      <x:c r="R499" s="160" t="inlineStr">
        <x:is>
          <x:t xml:space="preserve">Bridge organic growth, acquired growth, purchase price, integration costs and acquisition-cohort ROIC.</x:t>
        </x:is>
      </x:c>
      <x:c r="S499" s="160" t="inlineStr">
        <x:is>
          <x:t xml:space="preserve">NO</x:t>
        </x:is>
      </x:c>
      <x:c r="T499" s="160" t="inlineStr">
        <x:is>
          <x:t xml:space="preserve">COUNTER-EVIDENCE</x:t>
        </x:is>
      </x:c>
      <x:c r="U499" s="160" t="inlineStr">
        <x:is>
          <x:t xml:space="preserve">V10.5-SIM58</x:t>
        </x:is>
      </x:c>
      <x:c r="V499" s="160" t="inlineStr">
        <x:is>
          <x:t xml:space="preserve">https://www.oxy.com/investors/</x:t>
        </x:is>
      </x:c>
      <x:c r="W499" s="160" t="inlineStr">
        <x:is>
          <x:t xml:space="preserve">NO</x:t>
        </x:is>
      </x:c>
      <x:c r="X499" s="160" t="inlineStr">
        <x:is>
          <x:t xml:space="preserve">NONE — DEVELOPMENT ONLY</x:t>
        </x:is>
      </x:c>
      <x:c r="Y499" s="160" t="inlineStr">
        <x:is>
          <x:t xml:space="preserve">Synthetic/adversarial model-development loop. No historical outcome is claimed; no accuracy point is awarded.</x:t>
        </x:is>
      </x:c>
    </x:row>
    <x:row r="500">
      <x:c r="A500" s="160" t="inlineStr">
        <x:is>
          <x:t xml:space="preserve">ML0495</x:t>
        </x:is>
      </x:c>
      <x:c r="B500" s="160" t="inlineStr">
        <x:is>
          <x:t xml:space="preserve">ARG-031</x:t>
        </x:is>
      </x:c>
      <x:c r="C500" s="160" t="inlineStr">
        <x:is>
          <x:t xml:space="preserve">Occidental Petroleum</x:t>
        </x:is>
      </x:c>
      <x:c r="D500" s="160" t="inlineStr">
        <x:is>
          <x:t xml:space="preserve">OXY</x:t>
        </x:is>
      </x:c>
      <x:c r="E500" s="160" t="inlineStr">
        <x:is>
          <x:t xml:space="preserve">Energy</x:t>
        </x:is>
      </x:c>
      <x:c r="F500" s="160" t="inlineStr">
        <x:is>
          <x:t xml:space="preserve">Development</x:t>
        </x:is>
      </x:c>
      <x:c r="G500" s="160" t="inlineStr">
        <x:is>
          <x:t xml:space="preserve">S15</x:t>
        </x:is>
      </x:c>
      <x:c r="H500" s="160" t="inlineStr">
        <x:is>
          <x:t xml:space="preserve">Financing / Dilution Per Share</x:t>
        </x:is>
      </x:c>
      <x:c r="I500" s="160" t="inlineStr">
        <x:is>
          <x:t xml:space="preserve">Stewardship</x:t>
        </x:is>
      </x:c>
      <x:c r="J500" s="160" t="inlineStr">
        <x:is>
          <x:t xml:space="preserve">Cash balance or revenue growth improves while financing causes material per-share value leakage.</x:t>
        </x:is>
      </x:c>
      <x:c r="K500" s="160" t="inlineStr">
        <x:is>
          <x:t xml:space="preserve">Production and chemicals cash flow minus leverage</x:t>
        </x:is>
      </x:c>
      <x:c r="L500" s="160" t="inlineStr">
        <x:is>
          <x:t xml:space="preserve">NAV + mid-cycle FCF</x:t>
        </x:is>
      </x:c>
      <x:c r="M500" s="160" t="inlineStr">
        <x:is>
          <x:t xml:space="preserve">WATCH</x:t>
        </x:is>
      </x:c>
      <x:c r="N500" s="160" t="inlineStr">
        <x:is>
          <x:t xml:space="preserve">R-DIL-01</x:t>
        </x:is>
      </x:c>
      <x:c r="O500" s="160" t="inlineStr">
        <x:is>
          <x:t xml:space="preserve">COUNTER-EVIDENCE</x:t>
        </x:is>
      </x:c>
      <x:c r="P500" s="160" t="inlineStr">
        <x:is>
          <x:t xml:space="preserve">ROBUST</x:t>
        </x:is>
      </x:c>
      <x:c r="Q500" s="160" t="inlineStr">
        <x:is>
          <x:t xml:space="preserve">The mature simulation rule catches the stress without weakening a fatal gate; no rule relaxation is justified.</x:t>
        </x:is>
      </x:c>
      <x:c r="R500" s="160" t="inlineStr">
        <x:is>
          <x:t xml:space="preserve">Reconcile share-count growth, SBC, equity issuance, buybacks and net cash changes to per-share intrinsic value.</x:t>
        </x:is>
      </x:c>
      <x:c r="S500" s="160" t="inlineStr">
        <x:is>
          <x:t xml:space="preserve">NO</x:t>
        </x:is>
      </x:c>
      <x:c r="T500" s="160" t="inlineStr">
        <x:is>
          <x:t xml:space="preserve">COUNTER-EVIDENCE</x:t>
        </x:is>
      </x:c>
      <x:c r="U500" s="160" t="inlineStr">
        <x:is>
          <x:t xml:space="preserve">V10.5-SIM58</x:t>
        </x:is>
      </x:c>
      <x:c r="V500" s="160" t="inlineStr">
        <x:is>
          <x:t xml:space="preserve">https://www.oxy.com/investors/</x:t>
        </x:is>
      </x:c>
      <x:c r="W500" s="160" t="inlineStr">
        <x:is>
          <x:t xml:space="preserve">NO</x:t>
        </x:is>
      </x:c>
      <x:c r="X500" s="160" t="inlineStr">
        <x:is>
          <x:t xml:space="preserve">NONE — DEVELOPMENT ONLY</x:t>
        </x:is>
      </x:c>
      <x:c r="Y500" s="160" t="inlineStr">
        <x:is>
          <x:t xml:space="preserve">Synthetic/adversarial model-development loop. No historical outcome is claimed; no accuracy point is awarded.</x:t>
        </x:is>
      </x:c>
    </x:row>
    <x:row r="501">
      <x:c r="A501" s="160" t="inlineStr">
        <x:is>
          <x:t xml:space="preserve">ML0496</x:t>
        </x:is>
      </x:c>
      <x:c r="B501" s="160" t="inlineStr">
        <x:is>
          <x:t xml:space="preserve">ARG-031</x:t>
        </x:is>
      </x:c>
      <x:c r="C501" s="160" t="inlineStr">
        <x:is>
          <x:t xml:space="preserve">Occidental Petroleum</x:t>
        </x:is>
      </x:c>
      <x:c r="D501" s="160" t="inlineStr">
        <x:is>
          <x:t xml:space="preserve">OXY</x:t>
        </x:is>
      </x:c>
      <x:c r="E501" s="160" t="inlineStr">
        <x:is>
          <x:t xml:space="preserve">Energy</x:t>
        </x:is>
      </x:c>
      <x:c r="F501" s="160" t="inlineStr">
        <x:is>
          <x:t xml:space="preserve">Development</x:t>
        </x:is>
      </x:c>
      <x:c r="G501" s="160" t="inlineStr">
        <x:is>
          <x:t xml:space="preserve">S16</x:t>
        </x:is>
      </x:c>
      <x:c r="H501" s="160" t="inlineStr">
        <x:is>
          <x:t xml:space="preserve">Concentration / Tail Risk</x:t>
        </x:is>
      </x:c>
      <x:c r="I501" s="160" t="inlineStr">
        <x:is>
          <x:t xml:space="preserve">Survival</x:t>
        </x:is>
      </x:c>
      <x:c r="J501" s="160" t="inlineStr">
        <x:is>
          <x:t xml:space="preserve">A concentrated supplier, geography, customer, product, patent, regulatory or technology dependency creates asymmetric permanent-loss risk.</x:t>
        </x:is>
      </x:c>
      <x:c r="K501" s="160" t="inlineStr">
        <x:is>
          <x:t xml:space="preserve">Production and chemicals cash flow minus leverage</x:t>
        </x:is>
      </x:c>
      <x:c r="L501" s="160" t="inlineStr">
        <x:is>
          <x:t xml:space="preserve">NAV + mid-cycle FCF</x:t>
        </x:is>
      </x:c>
      <x:c r="M501" s="160" t="inlineStr">
        <x:is>
          <x:t xml:space="preserve">WATCH</x:t>
        </x:is>
      </x:c>
      <x:c r="N501" s="160" t="inlineStr">
        <x:is>
          <x:t xml:space="preserve">R-TAIL-01</x:t>
        </x:is>
      </x:c>
      <x:c r="O501" s="160" t="inlineStr">
        <x:is>
          <x:t xml:space="preserve">COUNTER-EVIDENCE</x:t>
        </x:is>
      </x:c>
      <x:c r="P501" s="160" t="inlineStr">
        <x:is>
          <x:t xml:space="preserve">ROBUST</x:t>
        </x:is>
      </x:c>
      <x:c r="Q501" s="160" t="inlineStr">
        <x:is>
          <x:t xml:space="preserve">The mature simulation rule catches the stress without weakening a fatal gate; no rule relaxation is justified.</x:t>
        </x:is>
      </x:c>
      <x:c r="R501" s="160" t="inlineStr">
        <x:is>
          <x:t xml:space="preserve">Maintain an explicit concentration/tail-risk register with probability, severity, mitigation and required margin-of-safety premium.</x:t>
        </x:is>
      </x:c>
      <x:c r="S501" s="160" t="inlineStr">
        <x:is>
          <x:t xml:space="preserve">NO</x:t>
        </x:is>
      </x:c>
      <x:c r="T501" s="160" t="inlineStr">
        <x:is>
          <x:t xml:space="preserve">COUNTER-EVIDENCE</x:t>
        </x:is>
      </x:c>
      <x:c r="U501" s="160" t="inlineStr">
        <x:is>
          <x:t xml:space="preserve">V10.5-SIM58</x:t>
        </x:is>
      </x:c>
      <x:c r="V501" s="160" t="inlineStr">
        <x:is>
          <x:t xml:space="preserve">https://www.oxy.com/investors/</x:t>
        </x:is>
      </x:c>
      <x:c r="W501" s="160" t="inlineStr">
        <x:is>
          <x:t xml:space="preserve">NO</x:t>
        </x:is>
      </x:c>
      <x:c r="X501" s="160" t="inlineStr">
        <x:is>
          <x:t xml:space="preserve">NONE — DEVELOPMENT ONLY</x:t>
        </x:is>
      </x:c>
      <x:c r="Y501" s="160" t="inlineStr">
        <x:is>
          <x:t xml:space="preserve">Synthetic/adversarial model-development loop. No historical outcome is claimed; no accuracy point is awarded.</x:t>
        </x:is>
      </x:c>
    </x:row>
    <x:row r="502">
      <x:c r="A502" s="160" t="inlineStr">
        <x:is>
          <x:t xml:space="preserve">ML0497</x:t>
        </x:is>
      </x:c>
      <x:c r="B502" s="160" t="inlineStr">
        <x:is>
          <x:t xml:space="preserve">ARG-032</x:t>
        </x:is>
      </x:c>
      <x:c r="C502" s="160" t="inlineStr">
        <x:is>
          <x:t xml:space="preserve">SLB</x:t>
        </x:is>
      </x:c>
      <x:c r="D502" s="160" t="inlineStr">
        <x:is>
          <x:t xml:space="preserve">SLB</x:t>
        </x:is>
      </x:c>
      <x:c r="E502" s="160" t="inlineStr">
        <x:is>
          <x:t xml:space="preserve">Energy</x:t>
        </x:is>
      </x:c>
      <x:c r="F502" s="160" t="inlineStr">
        <x:is>
          <x:t xml:space="preserve">Development</x:t>
        </x:is>
      </x:c>
      <x:c r="G502" s="160" t="inlineStr">
        <x:is>
          <x:t xml:space="preserve">S01</x:t>
        </x:is>
      </x:c>
      <x:c r="H502" s="160" t="inlineStr">
        <x:is>
          <x:t xml:space="preserve">Understanding Gate</x:t>
        </x:is>
      </x:c>
      <x:c r="I502" s="160" t="inlineStr">
        <x:is>
          <x:t xml:space="preserve">Understanding</x:t>
        </x:is>
      </x:c>
      <x:c r="J502" s="160" t="inlineStr">
        <x:is>
          <x:t xml:space="preserve">Causal engine / customer ROI chain breaks under a misleading headline KPI.</x:t>
        </x:is>
      </x:c>
      <x:c r="K502" s="160" t="inlineStr">
        <x:is>
          <x:t xml:space="preserve">International activity × pricing × service mix</x:t>
        </x:is>
      </x:c>
      <x:c r="L502" s="160" t="inlineStr">
        <x:is>
          <x:t xml:space="preserve">Mid-cycle FCF</x:t>
        </x:is>
      </x:c>
      <x:c r="M502" s="160" t="inlineStr">
        <x:is>
          <x:t xml:space="preserve">WATCH</x:t>
        </x:is>
      </x:c>
      <x:c r="N502" s="160" t="inlineStr">
        <x:is>
          <x:t xml:space="preserve">R-ENG-01</x:t>
        </x:is>
      </x:c>
      <x:c r="O502" s="160" t="inlineStr">
        <x:is>
          <x:t xml:space="preserve">COUNTER-EVIDENCE</x:t>
        </x:is>
      </x:c>
      <x:c r="P502" s="160" t="inlineStr">
        <x:is>
          <x:t xml:space="preserve">ROBUST</x:t>
        </x:is>
      </x:c>
      <x:c r="Q502" s="160" t="inlineStr">
        <x:is>
          <x:t xml:space="preserve">The mature simulation rule catches the stress without weakening a fatal gate; no rule relaxation is justified.</x:t>
        </x:is>
      </x:c>
      <x:c r="R502" s="160" t="inlineStr">
        <x:is>
          <x:t xml:space="preserve">Force an explicit engine tree: customer job → unit economics → revenue driver → owner-value bridge.</x:t>
        </x:is>
      </x:c>
      <x:c r="S502" s="160" t="inlineStr">
        <x:is>
          <x:t xml:space="preserve">NO</x:t>
        </x:is>
      </x:c>
      <x:c r="T502" s="160" t="inlineStr">
        <x:is>
          <x:t xml:space="preserve">COUNTER-EVIDENCE</x:t>
        </x:is>
      </x:c>
      <x:c r="U502" s="160" t="inlineStr">
        <x:is>
          <x:t xml:space="preserve">V10.5-SIM58</x:t>
        </x:is>
      </x:c>
      <x:c r="V502" s="160" t="inlineStr">
        <x:is>
          <x:t xml:space="preserve">https://investors.slb.com</x:t>
        </x:is>
      </x:c>
      <x:c r="W502" s="160" t="inlineStr">
        <x:is>
          <x:t xml:space="preserve">NO</x:t>
        </x:is>
      </x:c>
      <x:c r="X502" s="160" t="inlineStr">
        <x:is>
          <x:t xml:space="preserve">NONE — DEVELOPMENT ONLY</x:t>
        </x:is>
      </x:c>
      <x:c r="Y502" s="160" t="inlineStr">
        <x:is>
          <x:t xml:space="preserve">Synthetic/adversarial model-development loop. No historical outcome is claimed; no accuracy point is awarded.</x:t>
        </x:is>
      </x:c>
    </x:row>
    <x:row r="503">
      <x:c r="A503" s="160" t="inlineStr">
        <x:is>
          <x:t xml:space="preserve">ML0498</x:t>
        </x:is>
      </x:c>
      <x:c r="B503" s="160" t="inlineStr">
        <x:is>
          <x:t xml:space="preserve">ARG-032</x:t>
        </x:is>
      </x:c>
      <x:c r="C503" s="160" t="inlineStr">
        <x:is>
          <x:t xml:space="preserve">SLB</x:t>
        </x:is>
      </x:c>
      <x:c r="D503" s="160" t="inlineStr">
        <x:is>
          <x:t xml:space="preserve">SLB</x:t>
        </x:is>
      </x:c>
      <x:c r="E503" s="160" t="inlineStr">
        <x:is>
          <x:t xml:space="preserve">Energy</x:t>
        </x:is>
      </x:c>
      <x:c r="F503" s="160" t="inlineStr">
        <x:is>
          <x:t xml:space="preserve">Development</x:t>
        </x:is>
      </x:c>
      <x:c r="G503" s="160" t="inlineStr">
        <x:is>
          <x:t xml:space="preserve">S02</x:t>
        </x:is>
      </x:c>
      <x:c r="H503" s="160" t="inlineStr">
        <x:is>
          <x:t xml:space="preserve">Owner Earnings Normalization</x:t>
        </x:is>
      </x:c>
      <x:c r="I503" s="160" t="inlineStr">
        <x:is>
          <x:t xml:space="preserve">Owner Earnings</x:t>
        </x:is>
      </x:c>
      <x:c r="J503" s="160" t="inlineStr">
        <x:is>
          <x:t xml:space="preserve">Reported earnings/FCF overstates economic cash because recurring reinvestment or non-cash compensation is misclassified.</x:t>
        </x:is>
      </x:c>
      <x:c r="K503" s="160" t="inlineStr">
        <x:is>
          <x:t xml:space="preserve">International activity × pricing × service mix</x:t>
        </x:is>
      </x:c>
      <x:c r="L503" s="160" t="inlineStr">
        <x:is>
          <x:t xml:space="preserve">Mid-cycle FCF</x:t>
        </x:is>
      </x:c>
      <x:c r="M503" s="160" t="inlineStr">
        <x:is>
          <x:t xml:space="preserve">WATCH</x:t>
        </x:is>
      </x:c>
      <x:c r="N503" s="160" t="inlineStr">
        <x:is>
          <x:t xml:space="preserve">R-OE-01</x:t>
        </x:is>
      </x:c>
      <x:c r="O503" s="160" t="inlineStr">
        <x:is>
          <x:t xml:space="preserve">COUNTER-EVIDENCE</x:t>
        </x:is>
      </x:c>
      <x:c r="P503" s="160" t="inlineStr">
        <x:is>
          <x:t xml:space="preserve">ROBUST</x:t>
        </x:is>
      </x:c>
      <x:c r="Q503" s="160" t="inlineStr">
        <x:is>
          <x:t xml:space="preserve">The mature simulation rule catches the stress without weakening a fatal gate; no rule relaxation is justified.</x:t>
        </x:is>
      </x:c>
      <x:c r="R503" s="160" t="inlineStr">
        <x:is>
          <x:t xml:space="preserve">Require a GAAP-to-economic-owner-cash bridge tailored to the business model.</x:t>
        </x:is>
      </x:c>
      <x:c r="S503" s="160" t="inlineStr">
        <x:is>
          <x:t xml:space="preserve">NO</x:t>
        </x:is>
      </x:c>
      <x:c r="T503" s="160" t="inlineStr">
        <x:is>
          <x:t xml:space="preserve">COUNTER-EVIDENCE</x:t>
        </x:is>
      </x:c>
      <x:c r="U503" s="160" t="inlineStr">
        <x:is>
          <x:t xml:space="preserve">V10.5-SIM58</x:t>
        </x:is>
      </x:c>
      <x:c r="V503" s="160" t="inlineStr">
        <x:is>
          <x:t xml:space="preserve">https://investors.slb.com</x:t>
        </x:is>
      </x:c>
      <x:c r="W503" s="160" t="inlineStr">
        <x:is>
          <x:t xml:space="preserve">NO</x:t>
        </x:is>
      </x:c>
      <x:c r="X503" s="160" t="inlineStr">
        <x:is>
          <x:t xml:space="preserve">NONE — DEVELOPMENT ONLY</x:t>
        </x:is>
      </x:c>
      <x:c r="Y503" s="160" t="inlineStr">
        <x:is>
          <x:t xml:space="preserve">Synthetic/adversarial model-development loop. No historical outcome is claimed; no accuracy point is awarded.</x:t>
        </x:is>
      </x:c>
    </x:row>
    <x:row r="504">
      <x:c r="A504" s="160" t="inlineStr">
        <x:is>
          <x:t xml:space="preserve">ML0499</x:t>
        </x:is>
      </x:c>
      <x:c r="B504" s="160" t="inlineStr">
        <x:is>
          <x:t xml:space="preserve">ARG-032</x:t>
        </x:is>
      </x:c>
      <x:c r="C504" s="160" t="inlineStr">
        <x:is>
          <x:t xml:space="preserve">SLB</x:t>
        </x:is>
      </x:c>
      <x:c r="D504" s="160" t="inlineStr">
        <x:is>
          <x:t xml:space="preserve">SLB</x:t>
        </x:is>
      </x:c>
      <x:c r="E504" s="160" t="inlineStr">
        <x:is>
          <x:t xml:space="preserve">Energy</x:t>
        </x:is>
      </x:c>
      <x:c r="F504" s="160" t="inlineStr">
        <x:is>
          <x:t xml:space="preserve">Development</x:t>
        </x:is>
      </x:c>
      <x:c r="G504" s="160" t="inlineStr">
        <x:is>
          <x:t xml:space="preserve">S03</x:t>
        </x:is>
      </x:c>
      <x:c r="H504" s="160" t="inlineStr">
        <x:is>
          <x:t xml:space="preserve">Moat Durability</x:t>
        </x:is>
      </x:c>
      <x:c r="I504" s="160" t="inlineStr">
        <x:is>
          <x:t xml:space="preserve">Moat 2036</x:t>
        </x:is>
      </x:c>
      <x:c r="J504" s="160" t="inlineStr">
        <x:is>
          <x:t xml:space="preserve">Growth continues while switching friction, pricing power or replacement difficulty quietly weakens.</x:t>
        </x:is>
      </x:c>
      <x:c r="K504" s="160" t="inlineStr">
        <x:is>
          <x:t xml:space="preserve">International activity × pricing × service mix</x:t>
        </x:is>
      </x:c>
      <x:c r="L504" s="160" t="inlineStr">
        <x:is>
          <x:t xml:space="preserve">Mid-cycle FCF</x:t>
        </x:is>
      </x:c>
      <x:c r="M504" s="160" t="inlineStr">
        <x:is>
          <x:t xml:space="preserve">WATCH</x:t>
        </x:is>
      </x:c>
      <x:c r="N504" s="160" t="inlineStr">
        <x:is>
          <x:t xml:space="preserve">R-MOAT-01</x:t>
        </x:is>
      </x:c>
      <x:c r="O504" s="160" t="inlineStr">
        <x:is>
          <x:t xml:space="preserve">COUNTER-EVIDENCE</x:t>
        </x:is>
      </x:c>
      <x:c r="P504" s="160" t="inlineStr">
        <x:is>
          <x:t xml:space="preserve">ROBUST</x:t>
        </x:is>
      </x:c>
      <x:c r="Q504" s="160" t="inlineStr">
        <x:is>
          <x:t xml:space="preserve">The mature simulation rule catches the stress without weakening a fatal gate; no rule relaxation is justified.</x:t>
        </x:is>
      </x:c>
      <x:c r="R504" s="160" t="inlineStr">
        <x:is>
          <x:t xml:space="preserve">Track moat telemetry separately from growth: retention, pricing, win/loss, replacement friction, installed-base behavior.</x:t>
        </x:is>
      </x:c>
      <x:c r="S504" s="160" t="inlineStr">
        <x:is>
          <x:t xml:space="preserve">NO</x:t>
        </x:is>
      </x:c>
      <x:c r="T504" s="160" t="inlineStr">
        <x:is>
          <x:t xml:space="preserve">COUNTER-EVIDENCE</x:t>
        </x:is>
      </x:c>
      <x:c r="U504" s="160" t="inlineStr">
        <x:is>
          <x:t xml:space="preserve">V10.5-SIM58</x:t>
        </x:is>
      </x:c>
      <x:c r="V504" s="160" t="inlineStr">
        <x:is>
          <x:t xml:space="preserve">https://investors.slb.com</x:t>
        </x:is>
      </x:c>
      <x:c r="W504" s="160" t="inlineStr">
        <x:is>
          <x:t xml:space="preserve">NO</x:t>
        </x:is>
      </x:c>
      <x:c r="X504" s="160" t="inlineStr">
        <x:is>
          <x:t xml:space="preserve">NONE — DEVELOPMENT ONLY</x:t>
        </x:is>
      </x:c>
      <x:c r="Y504" s="160" t="inlineStr">
        <x:is>
          <x:t xml:space="preserve">Synthetic/adversarial model-development loop. No historical outcome is claimed; no accuracy point is awarded.</x:t>
        </x:is>
      </x:c>
    </x:row>
    <x:row r="505">
      <x:c r="A505" s="160" t="inlineStr">
        <x:is>
          <x:t xml:space="preserve">ML0500</x:t>
        </x:is>
      </x:c>
      <x:c r="B505" s="160" t="inlineStr">
        <x:is>
          <x:t xml:space="preserve">ARG-032</x:t>
        </x:is>
      </x:c>
      <x:c r="C505" s="160" t="inlineStr">
        <x:is>
          <x:t xml:space="preserve">SLB</x:t>
        </x:is>
      </x:c>
      <x:c r="D505" s="160" t="inlineStr">
        <x:is>
          <x:t xml:space="preserve">SLB</x:t>
        </x:is>
      </x:c>
      <x:c r="E505" s="160" t="inlineStr">
        <x:is>
          <x:t xml:space="preserve">Energy</x:t>
        </x:is>
      </x:c>
      <x:c r="F505" s="160" t="inlineStr">
        <x:is>
          <x:t xml:space="preserve">Development</x:t>
        </x:is>
      </x:c>
      <x:c r="G505" s="160" t="inlineStr">
        <x:is>
          <x:t xml:space="preserve">S04</x:t>
        </x:is>
      </x:c>
      <x:c r="H505" s="160" t="inlineStr">
        <x:is>
          <x:t xml:space="preserve">Stewardship / Capital Allocation</x:t>
        </x:is>
      </x:c>
      <x:c r="I505" s="160" t="inlineStr">
        <x:is>
          <x:t xml:space="preserve">Stewardship</x:t>
        </x:is>
      </x:c>
      <x:c r="J505" s="160" t="inlineStr">
        <x:is>
          <x:t xml:space="preserve">Management creates enterprise growth while destroying per-share value through M&amp;A, dilution, leverage or mistimed buybacks.</x:t>
        </x:is>
      </x:c>
      <x:c r="K505" s="160" t="inlineStr">
        <x:is>
          <x:t xml:space="preserve">International activity × pricing × service mix</x:t>
        </x:is>
      </x:c>
      <x:c r="L505" s="160" t="inlineStr">
        <x:is>
          <x:t xml:space="preserve">Mid-cycle FCF</x:t>
        </x:is>
      </x:c>
      <x:c r="M505" s="160" t="inlineStr">
        <x:is>
          <x:t xml:space="preserve">WATCH</x:t>
        </x:is>
      </x:c>
      <x:c r="N505" s="160" t="inlineStr">
        <x:is>
          <x:t xml:space="preserve">R-STEW-01</x:t>
        </x:is>
      </x:c>
      <x:c r="O505" s="160" t="inlineStr">
        <x:is>
          <x:t xml:space="preserve">COUNTER-EVIDENCE</x:t>
        </x:is>
      </x:c>
      <x:c r="P505" s="160" t="inlineStr">
        <x:is>
          <x:t xml:space="preserve">ROBUST</x:t>
        </x:is>
      </x:c>
      <x:c r="Q505" s="160" t="inlineStr">
        <x:is>
          <x:t xml:space="preserve">The mature simulation rule catches the stress without weakening a fatal gate; no rule relaxation is justified.</x:t>
        </x:is>
      </x:c>
      <x:c r="R505" s="160" t="inlineStr">
        <x:is>
          <x:t xml:space="preserve">Evaluate capital allocation on a per-share basis using acquisition cohorts, dilution, leverage and repurchase price discipline.</x:t>
        </x:is>
      </x:c>
      <x:c r="S505" s="160" t="inlineStr">
        <x:is>
          <x:t xml:space="preserve">NO</x:t>
        </x:is>
      </x:c>
      <x:c r="T505" s="160" t="inlineStr">
        <x:is>
          <x:t xml:space="preserve">COUNTER-EVIDENCE</x:t>
        </x:is>
      </x:c>
      <x:c r="U505" s="160" t="inlineStr">
        <x:is>
          <x:t xml:space="preserve">V10.5-SIM58</x:t>
        </x:is>
      </x:c>
      <x:c r="V505" s="160" t="inlineStr">
        <x:is>
          <x:t xml:space="preserve">https://investors.slb.com</x:t>
        </x:is>
      </x:c>
      <x:c r="W505" s="160" t="inlineStr">
        <x:is>
          <x:t xml:space="preserve">NO</x:t>
        </x:is>
      </x:c>
      <x:c r="X505" s="160" t="inlineStr">
        <x:is>
          <x:t xml:space="preserve">NONE — DEVELOPMENT ONLY</x:t>
        </x:is>
      </x:c>
      <x:c r="Y505" s="160" t="inlineStr">
        <x:is>
          <x:t xml:space="preserve">Synthetic/adversarial model-development loop. No historical outcome is claimed; no accuracy point is awarded.</x:t>
        </x:is>
      </x:c>
    </x:row>
    <x:row r="506">
      <x:c r="A506" s="160" t="inlineStr">
        <x:is>
          <x:t xml:space="preserve">ML0501</x:t>
        </x:is>
      </x:c>
      <x:c r="B506" s="160" t="inlineStr">
        <x:is>
          <x:t xml:space="preserve">ARG-032</x:t>
        </x:is>
      </x:c>
      <x:c r="C506" s="160" t="inlineStr">
        <x:is>
          <x:t xml:space="preserve">SLB</x:t>
        </x:is>
      </x:c>
      <x:c r="D506" s="160" t="inlineStr">
        <x:is>
          <x:t xml:space="preserve">SLB</x:t>
        </x:is>
      </x:c>
      <x:c r="E506" s="160" t="inlineStr">
        <x:is>
          <x:t xml:space="preserve">Energy</x:t>
        </x:is>
      </x:c>
      <x:c r="F506" s="160" t="inlineStr">
        <x:is>
          <x:t xml:space="preserve">Development</x:t>
        </x:is>
      </x:c>
      <x:c r="G506" s="160" t="inlineStr">
        <x:is>
          <x:t xml:space="preserve">S05</x:t>
        </x:is>
      </x:c>
      <x:c r="H506" s="160" t="inlineStr">
        <x:is>
          <x:t xml:space="preserve">Survival / Funding</x:t>
        </x:is>
      </x:c>
      <x:c r="I506" s="160" t="inlineStr">
        <x:is>
          <x:t xml:space="preserve">Survival</x:t>
        </x:is>
      </x:c>
      <x:c r="J506" s="160" t="inlineStr">
        <x:is>
          <x:t xml:space="preserve">A plausible bear case exposes refinancing, liquidity, covenant, reserve, regulatory or operational fragility.</x:t>
        </x:is>
      </x:c>
      <x:c r="K506" s="160" t="inlineStr">
        <x:is>
          <x:t xml:space="preserve">International activity × pricing × service mix</x:t>
        </x:is>
      </x:c>
      <x:c r="L506" s="160" t="inlineStr">
        <x:is>
          <x:t xml:space="preserve">Mid-cycle FCF</x:t>
        </x:is>
      </x:c>
      <x:c r="M506" s="160" t="inlineStr">
        <x:is>
          <x:t xml:space="preserve">WATCH</x:t>
        </x:is>
      </x:c>
      <x:c r="N506" s="160" t="inlineStr">
        <x:is>
          <x:t xml:space="preserve">R-SURV-01</x:t>
        </x:is>
      </x:c>
      <x:c r="O506" s="160" t="inlineStr">
        <x:is>
          <x:t xml:space="preserve">COUNTER-EVIDENCE</x:t>
        </x:is>
      </x:c>
      <x:c r="P506" s="160" t="inlineStr">
        <x:is>
          <x:t xml:space="preserve">ROBUST</x:t>
        </x:is>
      </x:c>
      <x:c r="Q506" s="160" t="inlineStr">
        <x:is>
          <x:t xml:space="preserve">The mature simulation rule catches the stress without weakening a fatal gate; no rule relaxation is justified.</x:t>
        </x:is>
      </x:c>
      <x:c r="R506" s="160" t="inlineStr">
        <x:is>
          <x:t xml:space="preserve">Run a company-specific survival bridge under a severe-but-plausible bear case before any upside underwriting.</x:t>
        </x:is>
      </x:c>
      <x:c r="S506" s="160" t="inlineStr">
        <x:is>
          <x:t xml:space="preserve">NO</x:t>
        </x:is>
      </x:c>
      <x:c r="T506" s="160" t="inlineStr">
        <x:is>
          <x:t xml:space="preserve">COUNTER-EVIDENCE</x:t>
        </x:is>
      </x:c>
      <x:c r="U506" s="160" t="inlineStr">
        <x:is>
          <x:t xml:space="preserve">V10.5-SIM58</x:t>
        </x:is>
      </x:c>
      <x:c r="V506" s="160" t="inlineStr">
        <x:is>
          <x:t xml:space="preserve">https://investors.slb.com</x:t>
        </x:is>
      </x:c>
      <x:c r="W506" s="160" t="inlineStr">
        <x:is>
          <x:t xml:space="preserve">NO</x:t>
        </x:is>
      </x:c>
      <x:c r="X506" s="160" t="inlineStr">
        <x:is>
          <x:t xml:space="preserve">NONE — DEVELOPMENT ONLY</x:t>
        </x:is>
      </x:c>
      <x:c r="Y506" s="160" t="inlineStr">
        <x:is>
          <x:t xml:space="preserve">Synthetic/adversarial model-development loop. No historical outcome is claimed; no accuracy point is awarded.</x:t>
        </x:is>
      </x:c>
    </x:row>
    <x:row r="507">
      <x:c r="A507" s="160" t="inlineStr">
        <x:is>
          <x:t xml:space="preserve">ML0502</x:t>
        </x:is>
      </x:c>
      <x:c r="B507" s="160" t="inlineStr">
        <x:is>
          <x:t xml:space="preserve">ARG-032</x:t>
        </x:is>
      </x:c>
      <x:c r="C507" s="160" t="inlineStr">
        <x:is>
          <x:t xml:space="preserve">SLB</x:t>
        </x:is>
      </x:c>
      <x:c r="D507" s="160" t="inlineStr">
        <x:is>
          <x:t xml:space="preserve">SLB</x:t>
        </x:is>
      </x:c>
      <x:c r="E507" s="160" t="inlineStr">
        <x:is>
          <x:t xml:space="preserve">Energy</x:t>
        </x:is>
      </x:c>
      <x:c r="F507" s="160" t="inlineStr">
        <x:is>
          <x:t xml:space="preserve">Development</x:t>
        </x:is>
      </x:c>
      <x:c r="G507" s="160" t="inlineStr">
        <x:is>
          <x:t xml:space="preserve">S06</x:t>
        </x:is>
      </x:c>
      <x:c r="H507" s="160" t="inlineStr">
        <x:is>
          <x:t xml:space="preserve">Margin of Safety</x:t>
        </x:is>
      </x:c>
      <x:c r="I507" s="160" t="inlineStr">
        <x:is>
          <x:t xml:space="preserve">Margin of Safety</x:t>
        </x:is>
      </x:c>
      <x:c r="J507" s="160" t="inlineStr">
        <x:is>
          <x:t xml:space="preserve">Business quality is high but the price embeds a fragile bull case.</x:t>
        </x:is>
      </x:c>
      <x:c r="K507" s="160" t="inlineStr">
        <x:is>
          <x:t xml:space="preserve">International activity × pricing × service mix</x:t>
        </x:is>
      </x:c>
      <x:c r="L507" s="160" t="inlineStr">
        <x:is>
          <x:t xml:space="preserve">Mid-cycle FCF</x:t>
        </x:is>
      </x:c>
      <x:c r="M507" s="160" t="inlineStr">
        <x:is>
          <x:t xml:space="preserve">WATCH</x:t>
        </x:is>
      </x:c>
      <x:c r="N507" s="160" t="inlineStr">
        <x:is>
          <x:t xml:space="preserve">R-MOS-01</x:t>
        </x:is>
      </x:c>
      <x:c r="O507" s="160" t="inlineStr">
        <x:is>
          <x:t xml:space="preserve">COUNTER-EVIDENCE</x:t>
        </x:is>
      </x:c>
      <x:c r="P507" s="160" t="inlineStr">
        <x:is>
          <x:t xml:space="preserve">ROBUST</x:t>
        </x:is>
      </x:c>
      <x:c r="Q507" s="160" t="inlineStr">
        <x:is>
          <x:t xml:space="preserve">The mature simulation rule catches the stress without weakening a fatal gate; no rule relaxation is justified.</x:t>
        </x:is>
      </x:c>
      <x:c r="R507" s="160" t="inlineStr">
        <x:is>
          <x:t xml:space="preserve">Separate business-quality score from price decision; require reverse valuation and bear/base/bull IV ranges.</x:t>
        </x:is>
      </x:c>
      <x:c r="S507" s="160" t="inlineStr">
        <x:is>
          <x:t xml:space="preserve">NO</x:t>
        </x:is>
      </x:c>
      <x:c r="T507" s="160" t="inlineStr">
        <x:is>
          <x:t xml:space="preserve">COUNTER-EVIDENCE</x:t>
        </x:is>
      </x:c>
      <x:c r="U507" s="160" t="inlineStr">
        <x:is>
          <x:t xml:space="preserve">V10.5-SIM58</x:t>
        </x:is>
      </x:c>
      <x:c r="V507" s="160" t="inlineStr">
        <x:is>
          <x:t xml:space="preserve">https://investors.slb.com</x:t>
        </x:is>
      </x:c>
      <x:c r="W507" s="160" t="inlineStr">
        <x:is>
          <x:t xml:space="preserve">NO</x:t>
        </x:is>
      </x:c>
      <x:c r="X507" s="160" t="inlineStr">
        <x:is>
          <x:t xml:space="preserve">NONE — DEVELOPMENT ONLY</x:t>
        </x:is>
      </x:c>
      <x:c r="Y507" s="160" t="inlineStr">
        <x:is>
          <x:t xml:space="preserve">Synthetic/adversarial model-development loop. No historical outcome is claimed; no accuracy point is awarded.</x:t>
        </x:is>
      </x:c>
    </x:row>
    <x:row r="508">
      <x:c r="A508" s="160" t="inlineStr">
        <x:is>
          <x:t xml:space="preserve">ML0503</x:t>
        </x:is>
      </x:c>
      <x:c r="B508" s="160" t="inlineStr">
        <x:is>
          <x:t xml:space="preserve">ARG-032</x:t>
        </x:is>
      </x:c>
      <x:c r="C508" s="160" t="inlineStr">
        <x:is>
          <x:t xml:space="preserve">SLB</x:t>
        </x:is>
      </x:c>
      <x:c r="D508" s="160" t="inlineStr">
        <x:is>
          <x:t xml:space="preserve">SLB</x:t>
        </x:is>
      </x:c>
      <x:c r="E508" s="160" t="inlineStr">
        <x:is>
          <x:t xml:space="preserve">Energy</x:t>
        </x:is>
      </x:c>
      <x:c r="F508" s="160" t="inlineStr">
        <x:is>
          <x:t xml:space="preserve">Development</x:t>
        </x:is>
      </x:c>
      <x:c r="G508" s="160" t="inlineStr">
        <x:is>
          <x:t xml:space="preserve">S07</x:t>
        </x:is>
      </x:c>
      <x:c r="H508" s="160" t="inlineStr">
        <x:is>
          <x:t xml:space="preserve">Sector Shock</x:t>
        </x:is>
      </x:c>
      <x:c r="I508" s="160" t="inlineStr">
        <x:is>
          <x:t xml:space="preserve">Sector-specific</x:t>
        </x:is>
      </x:c>
      <x:c r="J508" s="160" t="inlineStr">
        <x:is>
          <x:t xml:space="preserve">Commodity prices fall toward mid-cycle while sustaining capex and balance-sheet commitments remain fixed.</x:t>
        </x:is>
      </x:c>
      <x:c r="K508" s="160" t="inlineStr">
        <x:is>
          <x:t xml:space="preserve">International activity × pricing × service mix</x:t>
        </x:is>
      </x:c>
      <x:c r="L508" s="160" t="inlineStr">
        <x:is>
          <x:t xml:space="preserve">Mid-cycle FCF</x:t>
        </x:is>
      </x:c>
      <x:c r="M508" s="160" t="inlineStr">
        <x:is>
          <x:t xml:space="preserve">WATCH</x:t>
        </x:is>
      </x:c>
      <x:c r="N508" s="160" t="inlineStr">
        <x:is>
          <x:t xml:space="preserve">R-SECTOR-ENERGY</x:t>
        </x:is>
      </x:c>
      <x:c r="O508" s="160" t="inlineStr">
        <x:is>
          <x:t xml:space="preserve">HARDENED</x:t>
        </x:is>
      </x:c>
      <x:c r="P508" s="160" t="inlineStr">
        <x:is>
          <x:t xml:space="preserve">ROBUST WITH RESIDUAL</x:t>
        </x:is>
      </x:c>
      <x:c r="Q508" s="160" t="inlineStr">
        <x:is>
          <x:t xml:space="preserve">The hardened rule catches the stress. Residual risk is mainly evidence quality, threshold calibration or interaction with another gate.</x:t>
        </x:is>
      </x:c>
      <x:c r="R508" s="160" t="inlineStr">
        <x:is>
          <x:t xml:space="preserve">Add a sector-specific transmission map with leading operating sensors, not only market-price variables. Sector rule: Commodity prices fall toward mid-cycle while sustaining capex and balance-sheet commitments remain fixed.</x:t>
        </x:is>
      </x:c>
      <x:c r="S508" s="160" t="inlineStr">
        <x:is>
          <x:t xml:space="preserve">NO</x:t>
        </x:is>
      </x:c>
      <x:c r="T508" s="160" t="inlineStr">
        <x:is>
          <x:t xml:space="preserve">HARDENED</x:t>
        </x:is>
      </x:c>
      <x:c r="U508" s="160" t="inlineStr">
        <x:is>
          <x:t xml:space="preserve">V10.5-SIM58</x:t>
        </x:is>
      </x:c>
      <x:c r="V508" s="160" t="inlineStr">
        <x:is>
          <x:t xml:space="preserve">https://investors.slb.com</x:t>
        </x:is>
      </x:c>
      <x:c r="W508" s="160" t="inlineStr">
        <x:is>
          <x:t xml:space="preserve">NO</x:t>
        </x:is>
      </x:c>
      <x:c r="X508" s="160" t="inlineStr">
        <x:is>
          <x:t xml:space="preserve">NONE — DEVELOPMENT ONLY</x:t>
        </x:is>
      </x:c>
      <x:c r="Y508" s="160" t="inlineStr">
        <x:is>
          <x:t xml:space="preserve">Synthetic/adversarial model-development loop. No historical outcome is claimed; no accuracy point is awarded.</x:t>
        </x:is>
      </x:c>
    </x:row>
    <x:row r="509">
      <x:c r="A509" s="160" t="inlineStr">
        <x:is>
          <x:t xml:space="preserve">ML0504</x:t>
        </x:is>
      </x:c>
      <x:c r="B509" s="160" t="inlineStr">
        <x:is>
          <x:t xml:space="preserve">ARG-032</x:t>
        </x:is>
      </x:c>
      <x:c r="C509" s="160" t="inlineStr">
        <x:is>
          <x:t xml:space="preserve">SLB</x:t>
        </x:is>
      </x:c>
      <x:c r="D509" s="160" t="inlineStr">
        <x:is>
          <x:t xml:space="preserve">SLB</x:t>
        </x:is>
      </x:c>
      <x:c r="E509" s="160" t="inlineStr">
        <x:is>
          <x:t xml:space="preserve">Energy</x:t>
        </x:is>
      </x:c>
      <x:c r="F509" s="160" t="inlineStr">
        <x:is>
          <x:t xml:space="preserve">Development</x:t>
        </x:is>
      </x:c>
      <x:c r="G509" s="160" t="inlineStr">
        <x:is>
          <x:t xml:space="preserve">S08</x:t>
        </x:is>
      </x:c>
      <x:c r="H509" s="160" t="inlineStr">
        <x:is>
          <x:t xml:space="preserve">Management Promise Reliability</x:t>
        </x:is>
      </x:c>
      <x:c r="I509" s="160" t="inlineStr">
        <x:is>
          <x:t xml:space="preserve">Management over-trust</x:t>
        </x:is>
      </x:c>
      <x:c r="J509" s="160" t="inlineStr">
        <x:is>
          <x:t xml:space="preserve">Guidance or strategic promises are repeated but the model lacks a contemporaneous reliability score.</x:t>
        </x:is>
      </x:c>
      <x:c r="K509" s="160" t="inlineStr">
        <x:is>
          <x:t xml:space="preserve">International activity × pricing × service mix</x:t>
        </x:is>
      </x:c>
      <x:c r="L509" s="160" t="inlineStr">
        <x:is>
          <x:t xml:space="preserve">Mid-cycle FCF</x:t>
        </x:is>
      </x:c>
      <x:c r="M509" s="160" t="inlineStr">
        <x:is>
          <x:t xml:space="preserve">WATCH</x:t>
        </x:is>
      </x:c>
      <x:c r="N509" s="160" t="inlineStr">
        <x:is>
          <x:t xml:space="preserve">R-PROM-01</x:t>
        </x:is>
      </x:c>
      <x:c r="O509" s="160" t="inlineStr">
        <x:is>
          <x:t xml:space="preserve">COUNTER-EVIDENCE</x:t>
        </x:is>
      </x:c>
      <x:c r="P509" s="160" t="inlineStr">
        <x:is>
          <x:t xml:space="preserve">ROBUST</x:t>
        </x:is>
      </x:c>
      <x:c r="Q509" s="160" t="inlineStr">
        <x:is>
          <x:t xml:space="preserve">The mature simulation rule catches the stress without weakening a fatal gate; no rule relaxation is justified.</x:t>
        </x:is>
      </x:c>
      <x:c r="R509" s="160" t="inlineStr">
        <x:is>
          <x:t xml:space="preserve">Use a promises ledger with dated promise, measurable deliverable, due date, outcome and credibility weight.</x:t>
        </x:is>
      </x:c>
      <x:c r="S509" s="160" t="inlineStr">
        <x:is>
          <x:t xml:space="preserve">NO</x:t>
        </x:is>
      </x:c>
      <x:c r="T509" s="160" t="inlineStr">
        <x:is>
          <x:t xml:space="preserve">COUNTER-EVIDENCE</x:t>
        </x:is>
      </x:c>
      <x:c r="U509" s="160" t="inlineStr">
        <x:is>
          <x:t xml:space="preserve">V10.5-SIM58</x:t>
        </x:is>
      </x:c>
      <x:c r="V509" s="160" t="inlineStr">
        <x:is>
          <x:t xml:space="preserve">https://investors.slb.com</x:t>
        </x:is>
      </x:c>
      <x:c r="W509" s="160" t="inlineStr">
        <x:is>
          <x:t xml:space="preserve">NO</x:t>
        </x:is>
      </x:c>
      <x:c r="X509" s="160" t="inlineStr">
        <x:is>
          <x:t xml:space="preserve">NONE — DEVELOPMENT ONLY</x:t>
        </x:is>
      </x:c>
      <x:c r="Y509" s="160" t="inlineStr">
        <x:is>
          <x:t xml:space="preserve">Synthetic/adversarial model-development loop. No historical outcome is claimed; no accuracy point is awarded.</x:t>
        </x:is>
      </x:c>
    </x:row>
    <x:row r="510">
      <x:c r="A510" s="160" t="inlineStr">
        <x:is>
          <x:t xml:space="preserve">ML0505</x:t>
        </x:is>
      </x:c>
      <x:c r="B510" s="160" t="inlineStr">
        <x:is>
          <x:t xml:space="preserve">ARG-032</x:t>
        </x:is>
      </x:c>
      <x:c r="C510" s="160" t="inlineStr">
        <x:is>
          <x:t xml:space="preserve">SLB</x:t>
        </x:is>
      </x:c>
      <x:c r="D510" s="160" t="inlineStr">
        <x:is>
          <x:t xml:space="preserve">SLB</x:t>
        </x:is>
      </x:c>
      <x:c r="E510" s="160" t="inlineStr">
        <x:is>
          <x:t xml:space="preserve">Energy</x:t>
        </x:is>
      </x:c>
      <x:c r="F510" s="160" t="inlineStr">
        <x:is>
          <x:t xml:space="preserve">Development</x:t>
        </x:is>
      </x:c>
      <x:c r="G510" s="160" t="inlineStr">
        <x:is>
          <x:t xml:space="preserve">S09</x:t>
        </x:is>
      </x:c>
      <x:c r="H510" s="160" t="inlineStr">
        <x:is>
          <x:t xml:space="preserve">Data / Accounting Quality</x:t>
        </x:is>
      </x:c>
      <x:c r="I510" s="160" t="inlineStr">
        <x:is>
          <x:t xml:space="preserve">Data quality</x:t>
        </x:is>
      </x:c>
      <x:c r="J510" s="160" t="inlineStr">
        <x:is>
          <x:t xml:space="preserve">Restatement, segment reclassification, one-time item or non-economic fair-value movement distorts the apparent trend.</x:t>
        </x:is>
      </x:c>
      <x:c r="K510" s="160" t="inlineStr">
        <x:is>
          <x:t xml:space="preserve">International activity × pricing × service mix</x:t>
        </x:is>
      </x:c>
      <x:c r="L510" s="160" t="inlineStr">
        <x:is>
          <x:t xml:space="preserve">Mid-cycle FCF</x:t>
        </x:is>
      </x:c>
      <x:c r="M510" s="160" t="inlineStr">
        <x:is>
          <x:t xml:space="preserve">WATCH</x:t>
        </x:is>
      </x:c>
      <x:c r="N510" s="160" t="inlineStr">
        <x:is>
          <x:t xml:space="preserve">R-DATA-01</x:t>
        </x:is>
      </x:c>
      <x:c r="O510" s="160" t="inlineStr">
        <x:is>
          <x:t xml:space="preserve">COUNTER-EVIDENCE</x:t>
        </x:is>
      </x:c>
      <x:c r="P510" s="160" t="inlineStr">
        <x:is>
          <x:t xml:space="preserve">ROBUST</x:t>
        </x:is>
      </x:c>
      <x:c r="Q510" s="160" t="inlineStr">
        <x:is>
          <x:t xml:space="preserve">The mature simulation rule catches the stress without weakening a fatal gate; no rule relaxation is justified.</x:t>
        </x:is>
      </x:c>
      <x:c r="R510" s="160" t="inlineStr">
        <x:is>
          <x:t xml:space="preserve">Add a reporting-quality bridge and normalize accounting noise before any gate can pass.</x:t>
        </x:is>
      </x:c>
      <x:c r="S510" s="160" t="inlineStr">
        <x:is>
          <x:t xml:space="preserve">NO</x:t>
        </x:is>
      </x:c>
      <x:c r="T510" s="160" t="inlineStr">
        <x:is>
          <x:t xml:space="preserve">COUNTER-EVIDENCE</x:t>
        </x:is>
      </x:c>
      <x:c r="U510" s="160" t="inlineStr">
        <x:is>
          <x:t xml:space="preserve">V10.5-SIM58</x:t>
        </x:is>
      </x:c>
      <x:c r="V510" s="160" t="inlineStr">
        <x:is>
          <x:t xml:space="preserve">https://investors.slb.com</x:t>
        </x:is>
      </x:c>
      <x:c r="W510" s="160" t="inlineStr">
        <x:is>
          <x:t xml:space="preserve">NO</x:t>
        </x:is>
      </x:c>
      <x:c r="X510" s="160" t="inlineStr">
        <x:is>
          <x:t xml:space="preserve">NONE — DEVELOPMENT ONLY</x:t>
        </x:is>
      </x:c>
      <x:c r="Y510" s="160" t="inlineStr">
        <x:is>
          <x:t xml:space="preserve">Synthetic/adversarial model-development loop. No historical outcome is claimed; no accuracy point is awarded.</x:t>
        </x:is>
      </x:c>
    </x:row>
    <x:row r="511">
      <x:c r="A511" s="160" t="inlineStr">
        <x:is>
          <x:t xml:space="preserve">ML0506</x:t>
        </x:is>
      </x:c>
      <x:c r="B511" s="160" t="inlineStr">
        <x:is>
          <x:t xml:space="preserve">ARG-032</x:t>
        </x:is>
      </x:c>
      <x:c r="C511" s="160" t="inlineStr">
        <x:is>
          <x:t xml:space="preserve">SLB</x:t>
        </x:is>
      </x:c>
      <x:c r="D511" s="160" t="inlineStr">
        <x:is>
          <x:t xml:space="preserve">SLB</x:t>
        </x:is>
      </x:c>
      <x:c r="E511" s="160" t="inlineStr">
        <x:is>
          <x:t xml:space="preserve">Energy</x:t>
        </x:is>
      </x:c>
      <x:c r="F511" s="160" t="inlineStr">
        <x:is>
          <x:t xml:space="preserve">Development</x:t>
        </x:is>
      </x:c>
      <x:c r="G511" s="160" t="inlineStr">
        <x:is>
          <x:t xml:space="preserve">S10</x:t>
        </x:is>
      </x:c>
      <x:c r="H511" s="160" t="inlineStr">
        <x:is>
          <x:t xml:space="preserve">Control / Counterfactual</x:t>
        </x:is>
      </x:c>
      <x:c r="I511" s="160" t="inlineStr">
        <x:is>
          <x:t xml:space="preserve">Sector beta vs company alpha</x:t>
        </x:is>
      </x:c>
      <x:c r="J511" s="160" t="inlineStr">
        <x:is>
          <x:t xml:space="preserve">A positive outcome is mostly sector beta or macro tailwind, not company-specific alpha.</x:t>
        </x:is>
      </x:c>
      <x:c r="K511" s="160" t="inlineStr">
        <x:is>
          <x:t xml:space="preserve">International activity × pricing × service mix</x:t>
        </x:is>
      </x:c>
      <x:c r="L511" s="160" t="inlineStr">
        <x:is>
          <x:t xml:space="preserve">Mid-cycle FCF</x:t>
        </x:is>
      </x:c>
      <x:c r="M511" s="160" t="inlineStr">
        <x:is>
          <x:t xml:space="preserve">WATCH</x:t>
        </x:is>
      </x:c>
      <x:c r="N511" s="160" t="inlineStr">
        <x:is>
          <x:t xml:space="preserve">R-CF-01</x:t>
        </x:is>
      </x:c>
      <x:c r="O511" s="160" t="inlineStr">
        <x:is>
          <x:t xml:space="preserve">COUNTER-EVIDENCE</x:t>
        </x:is>
      </x:c>
      <x:c r="P511" s="160" t="inlineStr">
        <x:is>
          <x:t xml:space="preserve">ROBUST</x:t>
        </x:is>
      </x:c>
      <x:c r="Q511" s="160" t="inlineStr">
        <x:is>
          <x:t xml:space="preserve">The mature simulation rule catches the stress without weakening a fatal gate; no rule relaxation is justified.</x:t>
        </x:is>
      </x:c>
      <x:c r="R511" s="160" t="inlineStr">
        <x:is>
          <x:t xml:space="preserve">Require a true economic control and counterfactual: what should have happened to a comparable company under the same shock?</x:t>
        </x:is>
      </x:c>
      <x:c r="S511" s="160" t="inlineStr">
        <x:is>
          <x:t xml:space="preserve">NO</x:t>
        </x:is>
      </x:c>
      <x:c r="T511" s="160" t="inlineStr">
        <x:is>
          <x:t xml:space="preserve">COUNTER-EVIDENCE</x:t>
        </x:is>
      </x:c>
      <x:c r="U511" s="160" t="inlineStr">
        <x:is>
          <x:t xml:space="preserve">V10.5-SIM58</x:t>
        </x:is>
      </x:c>
      <x:c r="V511" s="160" t="inlineStr">
        <x:is>
          <x:t xml:space="preserve">https://investors.slb.com</x:t>
        </x:is>
      </x:c>
      <x:c r="W511" s="160" t="inlineStr">
        <x:is>
          <x:t xml:space="preserve">NO</x:t>
        </x:is>
      </x:c>
      <x:c r="X511" s="160" t="inlineStr">
        <x:is>
          <x:t xml:space="preserve">NONE — DEVELOPMENT ONLY</x:t>
        </x:is>
      </x:c>
      <x:c r="Y511" s="160" t="inlineStr">
        <x:is>
          <x:t xml:space="preserve">Synthetic/adversarial model-development loop. No historical outcome is claimed; no accuracy point is awarded.</x:t>
        </x:is>
      </x:c>
    </x:row>
    <x:row r="512">
      <x:c r="A512" s="160" t="inlineStr">
        <x:is>
          <x:t xml:space="preserve">ML0507</x:t>
        </x:is>
      </x:c>
      <x:c r="B512" s="160" t="inlineStr">
        <x:is>
          <x:t xml:space="preserve">ARG-032</x:t>
        </x:is>
      </x:c>
      <x:c r="C512" s="160" t="inlineStr">
        <x:is>
          <x:t xml:space="preserve">SLB</x:t>
        </x:is>
      </x:c>
      <x:c r="D512" s="160" t="inlineStr">
        <x:is>
          <x:t xml:space="preserve">SLB</x:t>
        </x:is>
      </x:c>
      <x:c r="E512" s="160" t="inlineStr">
        <x:is>
          <x:t xml:space="preserve">Energy</x:t>
        </x:is>
      </x:c>
      <x:c r="F512" s="160" t="inlineStr">
        <x:is>
          <x:t xml:space="preserve">Development</x:t>
        </x:is>
      </x:c>
      <x:c r="G512" s="160" t="inlineStr">
        <x:is>
          <x:t xml:space="preserve">S11</x:t>
        </x:is>
      </x:c>
      <x:c r="H512" s="160" t="inlineStr">
        <x:is>
          <x:t xml:space="preserve">False-Negative Discipline</x:t>
        </x:is>
      </x:c>
      <x:c r="I512" s="160" t="inlineStr">
        <x:is>
          <x:t xml:space="preserve">False negative</x:t>
        </x:is>
      </x:c>
      <x:c r="J512" s="160" t="inlineStr">
        <x:is>
          <x:t xml:space="preserve">A strict gate rejects a company that later compounds strongly for reasons the model could have known.</x:t>
        </x:is>
      </x:c>
      <x:c r="K512" s="160" t="inlineStr">
        <x:is>
          <x:t xml:space="preserve">International activity × pricing × service mix</x:t>
        </x:is>
      </x:c>
      <x:c r="L512" s="160" t="inlineStr">
        <x:is>
          <x:t xml:space="preserve">Mid-cycle FCF</x:t>
        </x:is>
      </x:c>
      <x:c r="M512" s="160" t="inlineStr">
        <x:is>
          <x:t xml:space="preserve">WATCH</x:t>
        </x:is>
      </x:c>
      <x:c r="N512" s="160" t="inlineStr">
        <x:is>
          <x:t xml:space="preserve">R-FN-01</x:t>
        </x:is>
      </x:c>
      <x:c r="O512" s="160" t="inlineStr">
        <x:is>
          <x:t xml:space="preserve">COUNTER-EVIDENCE</x:t>
        </x:is>
      </x:c>
      <x:c r="P512" s="160" t="inlineStr">
        <x:is>
          <x:t xml:space="preserve">ROBUST</x:t>
        </x:is>
      </x:c>
      <x:c r="Q512" s="160" t="inlineStr">
        <x:is>
          <x:t xml:space="preserve">The mature simulation rule catches the stress without weakening a fatal gate; no rule relaxation is justified.</x:t>
        </x:is>
      </x:c>
      <x:c r="R512" s="160" t="inlineStr">
        <x:is>
          <x:t xml:space="preserve">Track opportunity cost and classify whether the miss came from evidence timing, wrong threshold or genuinely unknowable upside.</x:t>
        </x:is>
      </x:c>
      <x:c r="S512" s="160" t="inlineStr">
        <x:is>
          <x:t xml:space="preserve">NO</x:t>
        </x:is>
      </x:c>
      <x:c r="T512" s="160" t="inlineStr">
        <x:is>
          <x:t xml:space="preserve">COUNTER-EVIDENCE</x:t>
        </x:is>
      </x:c>
      <x:c r="U512" s="160" t="inlineStr">
        <x:is>
          <x:t xml:space="preserve">V10.5-SIM58</x:t>
        </x:is>
      </x:c>
      <x:c r="V512" s="160" t="inlineStr">
        <x:is>
          <x:t xml:space="preserve">https://investors.slb.com</x:t>
        </x:is>
      </x:c>
      <x:c r="W512" s="160" t="inlineStr">
        <x:is>
          <x:t xml:space="preserve">NO</x:t>
        </x:is>
      </x:c>
      <x:c r="X512" s="160" t="inlineStr">
        <x:is>
          <x:t xml:space="preserve">NONE — DEVELOPMENT ONLY</x:t>
        </x:is>
      </x:c>
      <x:c r="Y512" s="160" t="inlineStr">
        <x:is>
          <x:t xml:space="preserve">Synthetic/adversarial model-development loop. No historical outcome is claimed; no accuracy point is awarded.</x:t>
        </x:is>
      </x:c>
    </x:row>
    <x:row r="513">
      <x:c r="A513" s="160" t="inlineStr">
        <x:is>
          <x:t xml:space="preserve">ML0508</x:t>
        </x:is>
      </x:c>
      <x:c r="B513" s="160" t="inlineStr">
        <x:is>
          <x:t xml:space="preserve">ARG-032</x:t>
        </x:is>
      </x:c>
      <x:c r="C513" s="160" t="inlineStr">
        <x:is>
          <x:t xml:space="preserve">SLB</x:t>
        </x:is>
      </x:c>
      <x:c r="D513" s="160" t="inlineStr">
        <x:is>
          <x:t xml:space="preserve">SLB</x:t>
        </x:is>
      </x:c>
      <x:c r="E513" s="160" t="inlineStr">
        <x:is>
          <x:t xml:space="preserve">Energy</x:t>
        </x:is>
      </x:c>
      <x:c r="F513" s="160" t="inlineStr">
        <x:is>
          <x:t xml:space="preserve">Development</x:t>
        </x:is>
      </x:c>
      <x:c r="G513" s="160" t="inlineStr">
        <x:is>
          <x:t xml:space="preserve">S12</x:t>
        </x:is>
      </x:c>
      <x:c r="H513" s="160" t="inlineStr">
        <x:is>
          <x:t xml:space="preserve">Lead-Time / Early Sensor</x:t>
        </x:is>
      </x:c>
      <x:c r="I513" s="160" t="inlineStr">
        <x:is>
          <x:t xml:space="preserve">Timing / lead-time</x:t>
        </x:is>
      </x:c>
      <x:c r="J513" s="160" t="inlineStr">
        <x:is>
          <x:t xml:space="preserve">ARGUS identifies the change correctly but only after consensus and price have already reacted.</x:t>
        </x:is>
      </x:c>
      <x:c r="K513" s="160" t="inlineStr">
        <x:is>
          <x:t xml:space="preserve">International activity × pricing × service mix</x:t>
        </x:is>
      </x:c>
      <x:c r="L513" s="160" t="inlineStr">
        <x:is>
          <x:t xml:space="preserve">Mid-cycle FCF</x:t>
        </x:is>
      </x:c>
      <x:c r="M513" s="160" t="inlineStr">
        <x:is>
          <x:t xml:space="preserve">WATCH</x:t>
        </x:is>
      </x:c>
      <x:c r="N513" s="160" t="inlineStr">
        <x:is>
          <x:t xml:space="preserve">R-TIME-01</x:t>
        </x:is>
      </x:c>
      <x:c r="O513" s="160" t="inlineStr">
        <x:is>
          <x:t xml:space="preserve">COUNTER-EVIDENCE</x:t>
        </x:is>
      </x:c>
      <x:c r="P513" s="160" t="inlineStr">
        <x:is>
          <x:t xml:space="preserve">ROBUST</x:t>
        </x:is>
      </x:c>
      <x:c r="Q513" s="160" t="inlineStr">
        <x:is>
          <x:t xml:space="preserve">The mature simulation rule catches the stress without weakening a fatal gate; no rule relaxation is justified.</x:t>
        </x:is>
      </x:c>
      <x:c r="R513" s="160" t="inlineStr">
        <x:is>
          <x:t xml:space="preserve">Replace lagging financial metrics with earlier causal operating sensors and record lead time separately from correctness.</x:t>
        </x:is>
      </x:c>
      <x:c r="S513" s="160" t="inlineStr">
        <x:is>
          <x:t xml:space="preserve">NO</x:t>
        </x:is>
      </x:c>
      <x:c r="T513" s="160" t="inlineStr">
        <x:is>
          <x:t xml:space="preserve">COUNTER-EVIDENCE</x:t>
        </x:is>
      </x:c>
      <x:c r="U513" s="160" t="inlineStr">
        <x:is>
          <x:t xml:space="preserve">V10.5-SIM58</x:t>
        </x:is>
      </x:c>
      <x:c r="V513" s="160" t="inlineStr">
        <x:is>
          <x:t xml:space="preserve">https://investors.slb.com</x:t>
        </x:is>
      </x:c>
      <x:c r="W513" s="160" t="inlineStr">
        <x:is>
          <x:t xml:space="preserve">NO</x:t>
        </x:is>
      </x:c>
      <x:c r="X513" s="160" t="inlineStr">
        <x:is>
          <x:t xml:space="preserve">NONE — DEVELOPMENT ONLY</x:t>
        </x:is>
      </x:c>
      <x:c r="Y513" s="160" t="inlineStr">
        <x:is>
          <x:t xml:space="preserve">Synthetic/adversarial model-development loop. No historical outcome is claimed; no accuracy point is awarded.</x:t>
        </x:is>
      </x:c>
    </x:row>
    <x:row r="514">
      <x:c r="A514" s="160" t="inlineStr">
        <x:is>
          <x:t xml:space="preserve">ML0509</x:t>
        </x:is>
      </x:c>
      <x:c r="B514" s="160" t="inlineStr">
        <x:is>
          <x:t xml:space="preserve">ARG-032</x:t>
        </x:is>
      </x:c>
      <x:c r="C514" s="160" t="inlineStr">
        <x:is>
          <x:t xml:space="preserve">SLB</x:t>
        </x:is>
      </x:c>
      <x:c r="D514" s="160" t="inlineStr">
        <x:is>
          <x:t xml:space="preserve">SLB</x:t>
        </x:is>
      </x:c>
      <x:c r="E514" s="160" t="inlineStr">
        <x:is>
          <x:t xml:space="preserve">Energy</x:t>
        </x:is>
      </x:c>
      <x:c r="F514" s="160" t="inlineStr">
        <x:is>
          <x:t xml:space="preserve">Development</x:t>
        </x:is>
      </x:c>
      <x:c r="G514" s="160" t="inlineStr">
        <x:is>
          <x:t xml:space="preserve">S13</x:t>
        </x:is>
      </x:c>
      <x:c r="H514" s="160" t="inlineStr">
        <x:is>
          <x:t xml:space="preserve">Cycle Normalization</x:t>
        </x:is>
      </x:c>
      <x:c r="I514" s="160" t="inlineStr">
        <x:is>
          <x:t xml:space="preserve">Wrong valuation lens</x:t>
        </x:is>
      </x:c>
      <x:c r="J514" s="160" t="inlineStr">
        <x:is>
          <x:t xml:space="preserve">Peak/trough earnings are mistaken for normalized earning power.</x:t>
        </x:is>
      </x:c>
      <x:c r="K514" s="160" t="inlineStr">
        <x:is>
          <x:t xml:space="preserve">International activity × pricing × service mix</x:t>
        </x:is>
      </x:c>
      <x:c r="L514" s="160" t="inlineStr">
        <x:is>
          <x:t xml:space="preserve">Mid-cycle FCF</x:t>
        </x:is>
      </x:c>
      <x:c r="M514" s="160" t="inlineStr">
        <x:is>
          <x:t xml:space="preserve">WATCH</x:t>
        </x:is>
      </x:c>
      <x:c r="N514" s="160" t="inlineStr">
        <x:is>
          <x:t xml:space="preserve">R-CYCLE-01</x:t>
        </x:is>
      </x:c>
      <x:c r="O514" s="160" t="inlineStr">
        <x:is>
          <x:t xml:space="preserve">COUNTER-EVIDENCE</x:t>
        </x:is>
      </x:c>
      <x:c r="P514" s="160" t="inlineStr">
        <x:is>
          <x:t xml:space="preserve">ROBUST</x:t>
        </x:is>
      </x:c>
      <x:c r="Q514" s="160" t="inlineStr">
        <x:is>
          <x:t xml:space="preserve">The mature simulation rule catches the stress without weakening a fatal gate; no rule relaxation is justified.</x:t>
        </x:is>
      </x:c>
      <x:c r="R514" s="160" t="inlineStr">
        <x:is>
          <x:t xml:space="preserve">Use sector-specific mid-cycle/NAV/rate-base/rNPV normalization before applying a valuation multiple.</x:t>
        </x:is>
      </x:c>
      <x:c r="S514" s="160" t="inlineStr">
        <x:is>
          <x:t xml:space="preserve">NO</x:t>
        </x:is>
      </x:c>
      <x:c r="T514" s="160" t="inlineStr">
        <x:is>
          <x:t xml:space="preserve">COUNTER-EVIDENCE</x:t>
        </x:is>
      </x:c>
      <x:c r="U514" s="160" t="inlineStr">
        <x:is>
          <x:t xml:space="preserve">V10.5-SIM58</x:t>
        </x:is>
      </x:c>
      <x:c r="V514" s="160" t="inlineStr">
        <x:is>
          <x:t xml:space="preserve">https://investors.slb.com</x:t>
        </x:is>
      </x:c>
      <x:c r="W514" s="160" t="inlineStr">
        <x:is>
          <x:t xml:space="preserve">NO</x:t>
        </x:is>
      </x:c>
      <x:c r="X514" s="160" t="inlineStr">
        <x:is>
          <x:t xml:space="preserve">NONE — DEVELOPMENT ONLY</x:t>
        </x:is>
      </x:c>
      <x:c r="Y514" s="160" t="inlineStr">
        <x:is>
          <x:t xml:space="preserve">Synthetic/adversarial model-development loop. No historical outcome is claimed; no accuracy point is awarded.</x:t>
        </x:is>
      </x:c>
    </x:row>
    <x:row r="515">
      <x:c r="A515" s="160" t="inlineStr">
        <x:is>
          <x:t xml:space="preserve">ML0510</x:t>
        </x:is>
      </x:c>
      <x:c r="B515" s="160" t="inlineStr">
        <x:is>
          <x:t xml:space="preserve">ARG-032</x:t>
        </x:is>
      </x:c>
      <x:c r="C515" s="160" t="inlineStr">
        <x:is>
          <x:t xml:space="preserve">SLB</x:t>
        </x:is>
      </x:c>
      <x:c r="D515" s="160" t="inlineStr">
        <x:is>
          <x:t xml:space="preserve">SLB</x:t>
        </x:is>
      </x:c>
      <x:c r="E515" s="160" t="inlineStr">
        <x:is>
          <x:t xml:space="preserve">Energy</x:t>
        </x:is>
      </x:c>
      <x:c r="F515" s="160" t="inlineStr">
        <x:is>
          <x:t xml:space="preserve">Development</x:t>
        </x:is>
      </x:c>
      <x:c r="G515" s="160" t="inlineStr">
        <x:is>
          <x:t xml:space="preserve">S14</x:t>
        </x:is>
      </x:c>
      <x:c r="H515" s="160" t="inlineStr">
        <x:is>
          <x:t xml:space="preserve">M&amp;A / Organic Growth Separation</x:t>
        </x:is>
      </x:c>
      <x:c r="I515" s="160" t="inlineStr">
        <x:is>
          <x:t xml:space="preserve">Stewardship</x:t>
        </x:is>
      </x:c>
      <x:c r="J515" s="160" t="inlineStr">
        <x:is>
          <x:t xml:space="preserve">Acquisition-driven growth masks weak organic economics or poor incremental ROIC.</x:t>
        </x:is>
      </x:c>
      <x:c r="K515" s="160" t="inlineStr">
        <x:is>
          <x:t xml:space="preserve">International activity × pricing × service mix</x:t>
        </x:is>
      </x:c>
      <x:c r="L515" s="160" t="inlineStr">
        <x:is>
          <x:t xml:space="preserve">Mid-cycle FCF</x:t>
        </x:is>
      </x:c>
      <x:c r="M515" s="160" t="inlineStr">
        <x:is>
          <x:t xml:space="preserve">WATCH</x:t>
        </x:is>
      </x:c>
      <x:c r="N515" s="160" t="inlineStr">
        <x:is>
          <x:t xml:space="preserve">R-MA-01</x:t>
        </x:is>
      </x:c>
      <x:c r="O515" s="160" t="inlineStr">
        <x:is>
          <x:t xml:space="preserve">COUNTER-EVIDENCE</x:t>
        </x:is>
      </x:c>
      <x:c r="P515" s="160" t="inlineStr">
        <x:is>
          <x:t xml:space="preserve">ROBUST</x:t>
        </x:is>
      </x:c>
      <x:c r="Q515" s="160" t="inlineStr">
        <x:is>
          <x:t xml:space="preserve">The mature simulation rule catches the stress without weakening a fatal gate; no rule relaxation is justified.</x:t>
        </x:is>
      </x:c>
      <x:c r="R515" s="160" t="inlineStr">
        <x:is>
          <x:t xml:space="preserve">Bridge organic growth, acquired growth, purchase price, integration costs and acquisition-cohort ROIC.</x:t>
        </x:is>
      </x:c>
      <x:c r="S515" s="160" t="inlineStr">
        <x:is>
          <x:t xml:space="preserve">NO</x:t>
        </x:is>
      </x:c>
      <x:c r="T515" s="160" t="inlineStr">
        <x:is>
          <x:t xml:space="preserve">COUNTER-EVIDENCE</x:t>
        </x:is>
      </x:c>
      <x:c r="U515" s="160" t="inlineStr">
        <x:is>
          <x:t xml:space="preserve">V10.5-SIM58</x:t>
        </x:is>
      </x:c>
      <x:c r="V515" s="160" t="inlineStr">
        <x:is>
          <x:t xml:space="preserve">https://investors.slb.com</x:t>
        </x:is>
      </x:c>
      <x:c r="W515" s="160" t="inlineStr">
        <x:is>
          <x:t xml:space="preserve">NO</x:t>
        </x:is>
      </x:c>
      <x:c r="X515" s="160" t="inlineStr">
        <x:is>
          <x:t xml:space="preserve">NONE — DEVELOPMENT ONLY</x:t>
        </x:is>
      </x:c>
      <x:c r="Y515" s="160" t="inlineStr">
        <x:is>
          <x:t xml:space="preserve">Synthetic/adversarial model-development loop. No historical outcome is claimed; no accuracy point is awarded.</x:t>
        </x:is>
      </x:c>
    </x:row>
    <x:row r="516">
      <x:c r="A516" s="160" t="inlineStr">
        <x:is>
          <x:t xml:space="preserve">ML0511</x:t>
        </x:is>
      </x:c>
      <x:c r="B516" s="160" t="inlineStr">
        <x:is>
          <x:t xml:space="preserve">ARG-032</x:t>
        </x:is>
      </x:c>
      <x:c r="C516" s="160" t="inlineStr">
        <x:is>
          <x:t xml:space="preserve">SLB</x:t>
        </x:is>
      </x:c>
      <x:c r="D516" s="160" t="inlineStr">
        <x:is>
          <x:t xml:space="preserve">SLB</x:t>
        </x:is>
      </x:c>
      <x:c r="E516" s="160" t="inlineStr">
        <x:is>
          <x:t xml:space="preserve">Energy</x:t>
        </x:is>
      </x:c>
      <x:c r="F516" s="160" t="inlineStr">
        <x:is>
          <x:t xml:space="preserve">Development</x:t>
        </x:is>
      </x:c>
      <x:c r="G516" s="160" t="inlineStr">
        <x:is>
          <x:t xml:space="preserve">S15</x:t>
        </x:is>
      </x:c>
      <x:c r="H516" s="160" t="inlineStr">
        <x:is>
          <x:t xml:space="preserve">Financing / Dilution Per Share</x:t>
        </x:is>
      </x:c>
      <x:c r="I516" s="160" t="inlineStr">
        <x:is>
          <x:t xml:space="preserve">Stewardship</x:t>
        </x:is>
      </x:c>
      <x:c r="J516" s="160" t="inlineStr">
        <x:is>
          <x:t xml:space="preserve">Cash balance or revenue growth improves while financing causes material per-share value leakage.</x:t>
        </x:is>
      </x:c>
      <x:c r="K516" s="160" t="inlineStr">
        <x:is>
          <x:t xml:space="preserve">International activity × pricing × service mix</x:t>
        </x:is>
      </x:c>
      <x:c r="L516" s="160" t="inlineStr">
        <x:is>
          <x:t xml:space="preserve">Mid-cycle FCF</x:t>
        </x:is>
      </x:c>
      <x:c r="M516" s="160" t="inlineStr">
        <x:is>
          <x:t xml:space="preserve">WATCH</x:t>
        </x:is>
      </x:c>
      <x:c r="N516" s="160" t="inlineStr">
        <x:is>
          <x:t xml:space="preserve">R-DIL-01</x:t>
        </x:is>
      </x:c>
      <x:c r="O516" s="160" t="inlineStr">
        <x:is>
          <x:t xml:space="preserve">COUNTER-EVIDENCE</x:t>
        </x:is>
      </x:c>
      <x:c r="P516" s="160" t="inlineStr">
        <x:is>
          <x:t xml:space="preserve">ROBUST</x:t>
        </x:is>
      </x:c>
      <x:c r="Q516" s="160" t="inlineStr">
        <x:is>
          <x:t xml:space="preserve">The mature simulation rule catches the stress without weakening a fatal gate; no rule relaxation is justified.</x:t>
        </x:is>
      </x:c>
      <x:c r="R516" s="160" t="inlineStr">
        <x:is>
          <x:t xml:space="preserve">Reconcile share-count growth, SBC, equity issuance, buybacks and net cash changes to per-share intrinsic value.</x:t>
        </x:is>
      </x:c>
      <x:c r="S516" s="160" t="inlineStr">
        <x:is>
          <x:t xml:space="preserve">NO</x:t>
        </x:is>
      </x:c>
      <x:c r="T516" s="160" t="inlineStr">
        <x:is>
          <x:t xml:space="preserve">COUNTER-EVIDENCE</x:t>
        </x:is>
      </x:c>
      <x:c r="U516" s="160" t="inlineStr">
        <x:is>
          <x:t xml:space="preserve">V10.5-SIM58</x:t>
        </x:is>
      </x:c>
      <x:c r="V516" s="160" t="inlineStr">
        <x:is>
          <x:t xml:space="preserve">https://investors.slb.com</x:t>
        </x:is>
      </x:c>
      <x:c r="W516" s="160" t="inlineStr">
        <x:is>
          <x:t xml:space="preserve">NO</x:t>
        </x:is>
      </x:c>
      <x:c r="X516" s="160" t="inlineStr">
        <x:is>
          <x:t xml:space="preserve">NONE — DEVELOPMENT ONLY</x:t>
        </x:is>
      </x:c>
      <x:c r="Y516" s="160" t="inlineStr">
        <x:is>
          <x:t xml:space="preserve">Synthetic/adversarial model-development loop. No historical outcome is claimed; no accuracy point is awarded.</x:t>
        </x:is>
      </x:c>
    </x:row>
    <x:row r="517">
      <x:c r="A517" s="160" t="inlineStr">
        <x:is>
          <x:t xml:space="preserve">ML0512</x:t>
        </x:is>
      </x:c>
      <x:c r="B517" s="160" t="inlineStr">
        <x:is>
          <x:t xml:space="preserve">ARG-032</x:t>
        </x:is>
      </x:c>
      <x:c r="C517" s="160" t="inlineStr">
        <x:is>
          <x:t xml:space="preserve">SLB</x:t>
        </x:is>
      </x:c>
      <x:c r="D517" s="160" t="inlineStr">
        <x:is>
          <x:t xml:space="preserve">SLB</x:t>
        </x:is>
      </x:c>
      <x:c r="E517" s="160" t="inlineStr">
        <x:is>
          <x:t xml:space="preserve">Energy</x:t>
        </x:is>
      </x:c>
      <x:c r="F517" s="160" t="inlineStr">
        <x:is>
          <x:t xml:space="preserve">Development</x:t>
        </x:is>
      </x:c>
      <x:c r="G517" s="160" t="inlineStr">
        <x:is>
          <x:t xml:space="preserve">S16</x:t>
        </x:is>
      </x:c>
      <x:c r="H517" s="160" t="inlineStr">
        <x:is>
          <x:t xml:space="preserve">Concentration / Tail Risk</x:t>
        </x:is>
      </x:c>
      <x:c r="I517" s="160" t="inlineStr">
        <x:is>
          <x:t xml:space="preserve">Survival</x:t>
        </x:is>
      </x:c>
      <x:c r="J517" s="160" t="inlineStr">
        <x:is>
          <x:t xml:space="preserve">A concentrated supplier, geography, customer, product, patent, regulatory or technology dependency creates asymmetric permanent-loss risk.</x:t>
        </x:is>
      </x:c>
      <x:c r="K517" s="160" t="inlineStr">
        <x:is>
          <x:t xml:space="preserve">International activity × pricing × service mix</x:t>
        </x:is>
      </x:c>
      <x:c r="L517" s="160" t="inlineStr">
        <x:is>
          <x:t xml:space="preserve">Mid-cycle FCF</x:t>
        </x:is>
      </x:c>
      <x:c r="M517" s="160" t="inlineStr">
        <x:is>
          <x:t xml:space="preserve">WATCH</x:t>
        </x:is>
      </x:c>
      <x:c r="N517" s="160" t="inlineStr">
        <x:is>
          <x:t xml:space="preserve">R-TAIL-01</x:t>
        </x:is>
      </x:c>
      <x:c r="O517" s="160" t="inlineStr">
        <x:is>
          <x:t xml:space="preserve">COUNTER-EVIDENCE</x:t>
        </x:is>
      </x:c>
      <x:c r="P517" s="160" t="inlineStr">
        <x:is>
          <x:t xml:space="preserve">ROBUST</x:t>
        </x:is>
      </x:c>
      <x:c r="Q517" s="160" t="inlineStr">
        <x:is>
          <x:t xml:space="preserve">The mature simulation rule catches the stress without weakening a fatal gate; no rule relaxation is justified.</x:t>
        </x:is>
      </x:c>
      <x:c r="R517" s="160" t="inlineStr">
        <x:is>
          <x:t xml:space="preserve">Maintain an explicit concentration/tail-risk register with probability, severity, mitigation and required margin-of-safety premium.</x:t>
        </x:is>
      </x:c>
      <x:c r="S517" s="160" t="inlineStr">
        <x:is>
          <x:t xml:space="preserve">NO</x:t>
        </x:is>
      </x:c>
      <x:c r="T517" s="160" t="inlineStr">
        <x:is>
          <x:t xml:space="preserve">COUNTER-EVIDENCE</x:t>
        </x:is>
      </x:c>
      <x:c r="U517" s="160" t="inlineStr">
        <x:is>
          <x:t xml:space="preserve">V10.5-SIM58</x:t>
        </x:is>
      </x:c>
      <x:c r="V517" s="160" t="inlineStr">
        <x:is>
          <x:t xml:space="preserve">https://investors.slb.com</x:t>
        </x:is>
      </x:c>
      <x:c r="W517" s="160" t="inlineStr">
        <x:is>
          <x:t xml:space="preserve">NO</x:t>
        </x:is>
      </x:c>
      <x:c r="X517" s="160" t="inlineStr">
        <x:is>
          <x:t xml:space="preserve">NONE — DEVELOPMENT ONLY</x:t>
        </x:is>
      </x:c>
      <x:c r="Y517" s="160" t="inlineStr">
        <x:is>
          <x:t xml:space="preserve">Synthetic/adversarial model-development loop. No historical outcome is claimed; no accuracy point is awarded.</x:t>
        </x:is>
      </x:c>
    </x:row>
    <x:row r="518">
      <x:c r="A518" s="160" t="inlineStr">
        <x:is>
          <x:t xml:space="preserve">ML0513</x:t>
        </x:is>
      </x:c>
      <x:c r="B518" s="160" t="inlineStr">
        <x:is>
          <x:t xml:space="preserve">ARG-033</x:t>
        </x:is>
      </x:c>
      <x:c r="C518" s="160" t="inlineStr">
        <x:is>
          <x:t xml:space="preserve">Fidelity National Information Services</x:t>
        </x:is>
      </x:c>
      <x:c r="D518" s="160" t="inlineStr">
        <x:is>
          <x:t xml:space="preserve">FIS</x:t>
        </x:is>
      </x:c>
      <x:c r="E518" s="160" t="inlineStr">
        <x:is>
          <x:t xml:space="preserve">Software &amp; Payments</x:t>
        </x:is>
      </x:c>
      <x:c r="F518" s="160" t="inlineStr">
        <x:is>
          <x:t xml:space="preserve">Development</x:t>
        </x:is>
      </x:c>
      <x:c r="G518" s="160" t="inlineStr">
        <x:is>
          <x:t xml:space="preserve">S01</x:t>
        </x:is>
      </x:c>
      <x:c r="H518" s="160" t="inlineStr">
        <x:is>
          <x:t xml:space="preserve">Understanding Gate</x:t>
        </x:is>
      </x:c>
      <x:c r="I518" s="160" t="inlineStr">
        <x:is>
          <x:t xml:space="preserve">Understanding</x:t>
        </x:is>
      </x:c>
      <x:c r="J518" s="160" t="inlineStr">
        <x:is>
          <x:t xml:space="preserve">Causal engine / customer ROI chain breaks under a misleading headline KPI.</x:t>
        </x:is>
      </x:c>
      <x:c r="K518" s="160" t="inlineStr">
        <x:is>
          <x:t xml:space="preserve">Sticky financial infrastructure plus FCF and deleveraging</x:t>
        </x:is>
      </x:c>
      <x:c r="L518" s="160" t="inlineStr">
        <x:is>
          <x:t xml:space="preserve">Owner earnings + leverage-adjusted IV</x:t>
        </x:is>
      </x:c>
      <x:c r="M518" s="160" t="inlineStr">
        <x:is>
          <x:t xml:space="preserve">PROVE IT</x:t>
        </x:is>
      </x:c>
      <x:c r="N518" s="160" t="inlineStr">
        <x:is>
          <x:t xml:space="preserve">R-ENG-01</x:t>
        </x:is>
      </x:c>
      <x:c r="O518" s="160" t="inlineStr">
        <x:is>
          <x:t xml:space="preserve">COUNTER-EVIDENCE</x:t>
        </x:is>
      </x:c>
      <x:c r="P518" s="160" t="inlineStr">
        <x:is>
          <x:t xml:space="preserve">ROBUST</x:t>
        </x:is>
      </x:c>
      <x:c r="Q518" s="160" t="inlineStr">
        <x:is>
          <x:t xml:space="preserve">The mature simulation rule catches the stress without weakening a fatal gate; no rule relaxation is justified.</x:t>
        </x:is>
      </x:c>
      <x:c r="R518" s="160" t="inlineStr">
        <x:is>
          <x:t xml:space="preserve">Force an explicit engine tree: customer job → unit economics → revenue driver → owner-value bridge.</x:t>
        </x:is>
      </x:c>
      <x:c r="S518" s="160" t="inlineStr">
        <x:is>
          <x:t xml:space="preserve">NO</x:t>
        </x:is>
      </x:c>
      <x:c r="T518" s="160" t="inlineStr">
        <x:is>
          <x:t xml:space="preserve">COUNTER-EVIDENCE</x:t>
        </x:is>
      </x:c>
      <x:c r="U518" s="160" t="inlineStr">
        <x:is>
          <x:t xml:space="preserve">V10.5-SIM58</x:t>
        </x:is>
      </x:c>
      <x:c r="V518" s="160" t="inlineStr">
        <x:is>
          <x:t xml:space="preserve">https://www.investors.fisglobal.com</x:t>
        </x:is>
      </x:c>
      <x:c r="W518" s="160" t="inlineStr">
        <x:is>
          <x:t xml:space="preserve">NO</x:t>
        </x:is>
      </x:c>
      <x:c r="X518" s="160" t="inlineStr">
        <x:is>
          <x:t xml:space="preserve">NONE — DEVELOPMENT ONLY</x:t>
        </x:is>
      </x:c>
      <x:c r="Y518" s="160" t="inlineStr">
        <x:is>
          <x:t xml:space="preserve">Synthetic/adversarial model-development loop. No historical outcome is claimed; no accuracy point is awarded.</x:t>
        </x:is>
      </x:c>
    </x:row>
    <x:row r="519">
      <x:c r="A519" s="160" t="inlineStr">
        <x:is>
          <x:t xml:space="preserve">ML0514</x:t>
        </x:is>
      </x:c>
      <x:c r="B519" s="160" t="inlineStr">
        <x:is>
          <x:t xml:space="preserve">ARG-033</x:t>
        </x:is>
      </x:c>
      <x:c r="C519" s="160" t="inlineStr">
        <x:is>
          <x:t xml:space="preserve">Fidelity National Information Services</x:t>
        </x:is>
      </x:c>
      <x:c r="D519" s="160" t="inlineStr">
        <x:is>
          <x:t xml:space="preserve">FIS</x:t>
        </x:is>
      </x:c>
      <x:c r="E519" s="160" t="inlineStr">
        <x:is>
          <x:t xml:space="preserve">Software &amp; Payments</x:t>
        </x:is>
      </x:c>
      <x:c r="F519" s="160" t="inlineStr">
        <x:is>
          <x:t xml:space="preserve">Development</x:t>
        </x:is>
      </x:c>
      <x:c r="G519" s="160" t="inlineStr">
        <x:is>
          <x:t xml:space="preserve">S02</x:t>
        </x:is>
      </x:c>
      <x:c r="H519" s="160" t="inlineStr">
        <x:is>
          <x:t xml:space="preserve">Owner Earnings Normalization</x:t>
        </x:is>
      </x:c>
      <x:c r="I519" s="160" t="inlineStr">
        <x:is>
          <x:t xml:space="preserve">Owner Earnings</x:t>
        </x:is>
      </x:c>
      <x:c r="J519" s="160" t="inlineStr">
        <x:is>
          <x:t xml:space="preserve">Reported earnings/FCF overstates economic cash because recurring reinvestment or non-cash compensation is misclassified.</x:t>
        </x:is>
      </x:c>
      <x:c r="K519" s="160" t="inlineStr">
        <x:is>
          <x:t xml:space="preserve">Sticky financial infrastructure plus FCF and deleveraging</x:t>
        </x:is>
      </x:c>
      <x:c r="L519" s="160" t="inlineStr">
        <x:is>
          <x:t xml:space="preserve">Owner earnings + leverage-adjusted IV</x:t>
        </x:is>
      </x:c>
      <x:c r="M519" s="160" t="inlineStr">
        <x:is>
          <x:t xml:space="preserve">PROVE IT</x:t>
        </x:is>
      </x:c>
      <x:c r="N519" s="160" t="inlineStr">
        <x:is>
          <x:t xml:space="preserve">R-OE-01</x:t>
        </x:is>
      </x:c>
      <x:c r="O519" s="160" t="inlineStr">
        <x:is>
          <x:t xml:space="preserve">COUNTER-EVIDENCE</x:t>
        </x:is>
      </x:c>
      <x:c r="P519" s="160" t="inlineStr">
        <x:is>
          <x:t xml:space="preserve">ROBUST</x:t>
        </x:is>
      </x:c>
      <x:c r="Q519" s="160" t="inlineStr">
        <x:is>
          <x:t xml:space="preserve">The mature simulation rule catches the stress without weakening a fatal gate; no rule relaxation is justified.</x:t>
        </x:is>
      </x:c>
      <x:c r="R519" s="160" t="inlineStr">
        <x:is>
          <x:t xml:space="preserve">Require a GAAP-to-economic-owner-cash bridge tailored to the business model.</x:t>
        </x:is>
      </x:c>
      <x:c r="S519" s="160" t="inlineStr">
        <x:is>
          <x:t xml:space="preserve">NO</x:t>
        </x:is>
      </x:c>
      <x:c r="T519" s="160" t="inlineStr">
        <x:is>
          <x:t xml:space="preserve">COUNTER-EVIDENCE</x:t>
        </x:is>
      </x:c>
      <x:c r="U519" s="160" t="inlineStr">
        <x:is>
          <x:t xml:space="preserve">V10.5-SIM58</x:t>
        </x:is>
      </x:c>
      <x:c r="V519" s="160" t="inlineStr">
        <x:is>
          <x:t xml:space="preserve">https://www.investors.fisglobal.com</x:t>
        </x:is>
      </x:c>
      <x:c r="W519" s="160" t="inlineStr">
        <x:is>
          <x:t xml:space="preserve">NO</x:t>
        </x:is>
      </x:c>
      <x:c r="X519" s="160" t="inlineStr">
        <x:is>
          <x:t xml:space="preserve">NONE — DEVELOPMENT ONLY</x:t>
        </x:is>
      </x:c>
      <x:c r="Y519" s="160" t="inlineStr">
        <x:is>
          <x:t xml:space="preserve">Synthetic/adversarial model-development loop. No historical outcome is claimed; no accuracy point is awarded.</x:t>
        </x:is>
      </x:c>
    </x:row>
    <x:row r="520">
      <x:c r="A520" s="160" t="inlineStr">
        <x:is>
          <x:t xml:space="preserve">ML0515</x:t>
        </x:is>
      </x:c>
      <x:c r="B520" s="160" t="inlineStr">
        <x:is>
          <x:t xml:space="preserve">ARG-033</x:t>
        </x:is>
      </x:c>
      <x:c r="C520" s="160" t="inlineStr">
        <x:is>
          <x:t xml:space="preserve">Fidelity National Information Services</x:t>
        </x:is>
      </x:c>
      <x:c r="D520" s="160" t="inlineStr">
        <x:is>
          <x:t xml:space="preserve">FIS</x:t>
        </x:is>
      </x:c>
      <x:c r="E520" s="160" t="inlineStr">
        <x:is>
          <x:t xml:space="preserve">Software &amp; Payments</x:t>
        </x:is>
      </x:c>
      <x:c r="F520" s="160" t="inlineStr">
        <x:is>
          <x:t xml:space="preserve">Development</x:t>
        </x:is>
      </x:c>
      <x:c r="G520" s="160" t="inlineStr">
        <x:is>
          <x:t xml:space="preserve">S03</x:t>
        </x:is>
      </x:c>
      <x:c r="H520" s="160" t="inlineStr">
        <x:is>
          <x:t xml:space="preserve">Moat Durability</x:t>
        </x:is>
      </x:c>
      <x:c r="I520" s="160" t="inlineStr">
        <x:is>
          <x:t xml:space="preserve">Moat 2036</x:t>
        </x:is>
      </x:c>
      <x:c r="J520" s="160" t="inlineStr">
        <x:is>
          <x:t xml:space="preserve">Growth continues while switching friction, pricing power or replacement difficulty quietly weakens.</x:t>
        </x:is>
      </x:c>
      <x:c r="K520" s="160" t="inlineStr">
        <x:is>
          <x:t xml:space="preserve">Sticky financial infrastructure plus FCF and deleveraging</x:t>
        </x:is>
      </x:c>
      <x:c r="L520" s="160" t="inlineStr">
        <x:is>
          <x:t xml:space="preserve">Owner earnings + leverage-adjusted IV</x:t>
        </x:is>
      </x:c>
      <x:c r="M520" s="160" t="inlineStr">
        <x:is>
          <x:t xml:space="preserve">PROVE IT</x:t>
        </x:is>
      </x:c>
      <x:c r="N520" s="160" t="inlineStr">
        <x:is>
          <x:t xml:space="preserve">R-MOAT-01</x:t>
        </x:is>
      </x:c>
      <x:c r="O520" s="160" t="inlineStr">
        <x:is>
          <x:t xml:space="preserve">COUNTER-EVIDENCE</x:t>
        </x:is>
      </x:c>
      <x:c r="P520" s="160" t="inlineStr">
        <x:is>
          <x:t xml:space="preserve">ROBUST</x:t>
        </x:is>
      </x:c>
      <x:c r="Q520" s="160" t="inlineStr">
        <x:is>
          <x:t xml:space="preserve">The mature simulation rule catches the stress without weakening a fatal gate; no rule relaxation is justified.</x:t>
        </x:is>
      </x:c>
      <x:c r="R520" s="160" t="inlineStr">
        <x:is>
          <x:t xml:space="preserve">Track moat telemetry separately from growth: retention, pricing, win/loss, replacement friction, installed-base behavior.</x:t>
        </x:is>
      </x:c>
      <x:c r="S520" s="160" t="inlineStr">
        <x:is>
          <x:t xml:space="preserve">NO</x:t>
        </x:is>
      </x:c>
      <x:c r="T520" s="160" t="inlineStr">
        <x:is>
          <x:t xml:space="preserve">COUNTER-EVIDENCE</x:t>
        </x:is>
      </x:c>
      <x:c r="U520" s="160" t="inlineStr">
        <x:is>
          <x:t xml:space="preserve">V10.5-SIM58</x:t>
        </x:is>
      </x:c>
      <x:c r="V520" s="160" t="inlineStr">
        <x:is>
          <x:t xml:space="preserve">https://www.investors.fisglobal.com</x:t>
        </x:is>
      </x:c>
      <x:c r="W520" s="160" t="inlineStr">
        <x:is>
          <x:t xml:space="preserve">NO</x:t>
        </x:is>
      </x:c>
      <x:c r="X520" s="160" t="inlineStr">
        <x:is>
          <x:t xml:space="preserve">NONE — DEVELOPMENT ONLY</x:t>
        </x:is>
      </x:c>
      <x:c r="Y520" s="160" t="inlineStr">
        <x:is>
          <x:t xml:space="preserve">Synthetic/adversarial model-development loop. No historical outcome is claimed; no accuracy point is awarded.</x:t>
        </x:is>
      </x:c>
    </x:row>
    <x:row r="521">
      <x:c r="A521" s="160" t="inlineStr">
        <x:is>
          <x:t xml:space="preserve">ML0516</x:t>
        </x:is>
      </x:c>
      <x:c r="B521" s="160" t="inlineStr">
        <x:is>
          <x:t xml:space="preserve">ARG-033</x:t>
        </x:is>
      </x:c>
      <x:c r="C521" s="160" t="inlineStr">
        <x:is>
          <x:t xml:space="preserve">Fidelity National Information Services</x:t>
        </x:is>
      </x:c>
      <x:c r="D521" s="160" t="inlineStr">
        <x:is>
          <x:t xml:space="preserve">FIS</x:t>
        </x:is>
      </x:c>
      <x:c r="E521" s="160" t="inlineStr">
        <x:is>
          <x:t xml:space="preserve">Software &amp; Payments</x:t>
        </x:is>
      </x:c>
      <x:c r="F521" s="160" t="inlineStr">
        <x:is>
          <x:t xml:space="preserve">Development</x:t>
        </x:is>
      </x:c>
      <x:c r="G521" s="160" t="inlineStr">
        <x:is>
          <x:t xml:space="preserve">S04</x:t>
        </x:is>
      </x:c>
      <x:c r="H521" s="160" t="inlineStr">
        <x:is>
          <x:t xml:space="preserve">Stewardship / Capital Allocation</x:t>
        </x:is>
      </x:c>
      <x:c r="I521" s="160" t="inlineStr">
        <x:is>
          <x:t xml:space="preserve">Stewardship</x:t>
        </x:is>
      </x:c>
      <x:c r="J521" s="160" t="inlineStr">
        <x:is>
          <x:t xml:space="preserve">Management creates enterprise growth while destroying per-share value through M&amp;A, dilution, leverage or mistimed buybacks.</x:t>
        </x:is>
      </x:c>
      <x:c r="K521" s="160" t="inlineStr">
        <x:is>
          <x:t xml:space="preserve">Sticky financial infrastructure plus FCF and deleveraging</x:t>
        </x:is>
      </x:c>
      <x:c r="L521" s="160" t="inlineStr">
        <x:is>
          <x:t xml:space="preserve">Owner earnings + leverage-adjusted IV</x:t>
        </x:is>
      </x:c>
      <x:c r="M521" s="160" t="inlineStr">
        <x:is>
          <x:t xml:space="preserve">PROVE IT</x:t>
        </x:is>
      </x:c>
      <x:c r="N521" s="160" t="inlineStr">
        <x:is>
          <x:t xml:space="preserve">R-STEW-01</x:t>
        </x:is>
      </x:c>
      <x:c r="O521" s="160" t="inlineStr">
        <x:is>
          <x:t xml:space="preserve">COUNTER-EVIDENCE</x:t>
        </x:is>
      </x:c>
      <x:c r="P521" s="160" t="inlineStr">
        <x:is>
          <x:t xml:space="preserve">ROBUST</x:t>
        </x:is>
      </x:c>
      <x:c r="Q521" s="160" t="inlineStr">
        <x:is>
          <x:t xml:space="preserve">The mature simulation rule catches the stress without weakening a fatal gate; no rule relaxation is justified.</x:t>
        </x:is>
      </x:c>
      <x:c r="R521" s="160" t="inlineStr">
        <x:is>
          <x:t xml:space="preserve">Evaluate capital allocation on a per-share basis using acquisition cohorts, dilution, leverage and repurchase price discipline.</x:t>
        </x:is>
      </x:c>
      <x:c r="S521" s="160" t="inlineStr">
        <x:is>
          <x:t xml:space="preserve">NO</x:t>
        </x:is>
      </x:c>
      <x:c r="T521" s="160" t="inlineStr">
        <x:is>
          <x:t xml:space="preserve">COUNTER-EVIDENCE</x:t>
        </x:is>
      </x:c>
      <x:c r="U521" s="160" t="inlineStr">
        <x:is>
          <x:t xml:space="preserve">V10.5-SIM58</x:t>
        </x:is>
      </x:c>
      <x:c r="V521" s="160" t="inlineStr">
        <x:is>
          <x:t xml:space="preserve">https://www.investors.fisglobal.com</x:t>
        </x:is>
      </x:c>
      <x:c r="W521" s="160" t="inlineStr">
        <x:is>
          <x:t xml:space="preserve">NO</x:t>
        </x:is>
      </x:c>
      <x:c r="X521" s="160" t="inlineStr">
        <x:is>
          <x:t xml:space="preserve">NONE — DEVELOPMENT ONLY</x:t>
        </x:is>
      </x:c>
      <x:c r="Y521" s="160" t="inlineStr">
        <x:is>
          <x:t xml:space="preserve">Synthetic/adversarial model-development loop. No historical outcome is claimed; no accuracy point is awarded.</x:t>
        </x:is>
      </x:c>
    </x:row>
    <x:row r="522">
      <x:c r="A522" s="160" t="inlineStr">
        <x:is>
          <x:t xml:space="preserve">ML0517</x:t>
        </x:is>
      </x:c>
      <x:c r="B522" s="160" t="inlineStr">
        <x:is>
          <x:t xml:space="preserve">ARG-033</x:t>
        </x:is>
      </x:c>
      <x:c r="C522" s="160" t="inlineStr">
        <x:is>
          <x:t xml:space="preserve">Fidelity National Information Services</x:t>
        </x:is>
      </x:c>
      <x:c r="D522" s="160" t="inlineStr">
        <x:is>
          <x:t xml:space="preserve">FIS</x:t>
        </x:is>
      </x:c>
      <x:c r="E522" s="160" t="inlineStr">
        <x:is>
          <x:t xml:space="preserve">Software &amp; Payments</x:t>
        </x:is>
      </x:c>
      <x:c r="F522" s="160" t="inlineStr">
        <x:is>
          <x:t xml:space="preserve">Development</x:t>
        </x:is>
      </x:c>
      <x:c r="G522" s="160" t="inlineStr">
        <x:is>
          <x:t xml:space="preserve">S05</x:t>
        </x:is>
      </x:c>
      <x:c r="H522" s="160" t="inlineStr">
        <x:is>
          <x:t xml:space="preserve">Survival / Funding</x:t>
        </x:is>
      </x:c>
      <x:c r="I522" s="160" t="inlineStr">
        <x:is>
          <x:t xml:space="preserve">Survival</x:t>
        </x:is>
      </x:c>
      <x:c r="J522" s="160" t="inlineStr">
        <x:is>
          <x:t xml:space="preserve">A plausible bear case exposes refinancing, liquidity, covenant, reserve, regulatory or operational fragility.</x:t>
        </x:is>
      </x:c>
      <x:c r="K522" s="160" t="inlineStr">
        <x:is>
          <x:t xml:space="preserve">Sticky financial infrastructure plus FCF and deleveraging</x:t>
        </x:is>
      </x:c>
      <x:c r="L522" s="160" t="inlineStr">
        <x:is>
          <x:t xml:space="preserve">Owner earnings + leverage-adjusted IV</x:t>
        </x:is>
      </x:c>
      <x:c r="M522" s="160" t="inlineStr">
        <x:is>
          <x:t xml:space="preserve">PROVE IT</x:t>
        </x:is>
      </x:c>
      <x:c r="N522" s="160" t="inlineStr">
        <x:is>
          <x:t xml:space="preserve">R-SURV-01</x:t>
        </x:is>
      </x:c>
      <x:c r="O522" s="160" t="inlineStr">
        <x:is>
          <x:t xml:space="preserve">COUNTER-EVIDENCE</x:t>
        </x:is>
      </x:c>
      <x:c r="P522" s="160" t="inlineStr">
        <x:is>
          <x:t xml:space="preserve">ROBUST</x:t>
        </x:is>
      </x:c>
      <x:c r="Q522" s="160" t="inlineStr">
        <x:is>
          <x:t xml:space="preserve">The mature simulation rule catches the stress without weakening a fatal gate; no rule relaxation is justified.</x:t>
        </x:is>
      </x:c>
      <x:c r="R522" s="160" t="inlineStr">
        <x:is>
          <x:t xml:space="preserve">Run a company-specific survival bridge under a severe-but-plausible bear case before any upside underwriting.</x:t>
        </x:is>
      </x:c>
      <x:c r="S522" s="160" t="inlineStr">
        <x:is>
          <x:t xml:space="preserve">NO</x:t>
        </x:is>
      </x:c>
      <x:c r="T522" s="160" t="inlineStr">
        <x:is>
          <x:t xml:space="preserve">COUNTER-EVIDENCE</x:t>
        </x:is>
      </x:c>
      <x:c r="U522" s="160" t="inlineStr">
        <x:is>
          <x:t xml:space="preserve">V10.5-SIM58</x:t>
        </x:is>
      </x:c>
      <x:c r="V522" s="160" t="inlineStr">
        <x:is>
          <x:t xml:space="preserve">https://www.investors.fisglobal.com</x:t>
        </x:is>
      </x:c>
      <x:c r="W522" s="160" t="inlineStr">
        <x:is>
          <x:t xml:space="preserve">NO</x:t>
        </x:is>
      </x:c>
      <x:c r="X522" s="160" t="inlineStr">
        <x:is>
          <x:t xml:space="preserve">NONE — DEVELOPMENT ONLY</x:t>
        </x:is>
      </x:c>
      <x:c r="Y522" s="160" t="inlineStr">
        <x:is>
          <x:t xml:space="preserve">Synthetic/adversarial model-development loop. No historical outcome is claimed; no accuracy point is awarded.</x:t>
        </x:is>
      </x:c>
    </x:row>
    <x:row r="523">
      <x:c r="A523" s="160" t="inlineStr">
        <x:is>
          <x:t xml:space="preserve">ML0518</x:t>
        </x:is>
      </x:c>
      <x:c r="B523" s="160" t="inlineStr">
        <x:is>
          <x:t xml:space="preserve">ARG-033</x:t>
        </x:is>
      </x:c>
      <x:c r="C523" s="160" t="inlineStr">
        <x:is>
          <x:t xml:space="preserve">Fidelity National Information Services</x:t>
        </x:is>
      </x:c>
      <x:c r="D523" s="160" t="inlineStr">
        <x:is>
          <x:t xml:space="preserve">FIS</x:t>
        </x:is>
      </x:c>
      <x:c r="E523" s="160" t="inlineStr">
        <x:is>
          <x:t xml:space="preserve">Software &amp; Payments</x:t>
        </x:is>
      </x:c>
      <x:c r="F523" s="160" t="inlineStr">
        <x:is>
          <x:t xml:space="preserve">Development</x:t>
        </x:is>
      </x:c>
      <x:c r="G523" s="160" t="inlineStr">
        <x:is>
          <x:t xml:space="preserve">S06</x:t>
        </x:is>
      </x:c>
      <x:c r="H523" s="160" t="inlineStr">
        <x:is>
          <x:t xml:space="preserve">Margin of Safety</x:t>
        </x:is>
      </x:c>
      <x:c r="I523" s="160" t="inlineStr">
        <x:is>
          <x:t xml:space="preserve">Margin of Safety</x:t>
        </x:is>
      </x:c>
      <x:c r="J523" s="160" t="inlineStr">
        <x:is>
          <x:t xml:space="preserve">Business quality is high but the price embeds a fragile bull case.</x:t>
        </x:is>
      </x:c>
      <x:c r="K523" s="160" t="inlineStr">
        <x:is>
          <x:t xml:space="preserve">Sticky financial infrastructure plus FCF and deleveraging</x:t>
        </x:is>
      </x:c>
      <x:c r="L523" s="160" t="inlineStr">
        <x:is>
          <x:t xml:space="preserve">Owner earnings + leverage-adjusted IV</x:t>
        </x:is>
      </x:c>
      <x:c r="M523" s="160" t="inlineStr">
        <x:is>
          <x:t xml:space="preserve">PROVE IT</x:t>
        </x:is>
      </x:c>
      <x:c r="N523" s="160" t="inlineStr">
        <x:is>
          <x:t xml:space="preserve">R-MOS-01</x:t>
        </x:is>
      </x:c>
      <x:c r="O523" s="160" t="inlineStr">
        <x:is>
          <x:t xml:space="preserve">COUNTER-EVIDENCE</x:t>
        </x:is>
      </x:c>
      <x:c r="P523" s="160" t="inlineStr">
        <x:is>
          <x:t xml:space="preserve">ROBUST</x:t>
        </x:is>
      </x:c>
      <x:c r="Q523" s="160" t="inlineStr">
        <x:is>
          <x:t xml:space="preserve">The mature simulation rule catches the stress without weakening a fatal gate; no rule relaxation is justified.</x:t>
        </x:is>
      </x:c>
      <x:c r="R523" s="160" t="inlineStr">
        <x:is>
          <x:t xml:space="preserve">Separate business-quality score from price decision; require reverse valuation and bear/base/bull IV ranges.</x:t>
        </x:is>
      </x:c>
      <x:c r="S523" s="160" t="inlineStr">
        <x:is>
          <x:t xml:space="preserve">NO</x:t>
        </x:is>
      </x:c>
      <x:c r="T523" s="160" t="inlineStr">
        <x:is>
          <x:t xml:space="preserve">COUNTER-EVIDENCE</x:t>
        </x:is>
      </x:c>
      <x:c r="U523" s="160" t="inlineStr">
        <x:is>
          <x:t xml:space="preserve">V10.5-SIM58</x:t>
        </x:is>
      </x:c>
      <x:c r="V523" s="160" t="inlineStr">
        <x:is>
          <x:t xml:space="preserve">https://www.investors.fisglobal.com</x:t>
        </x:is>
      </x:c>
      <x:c r="W523" s="160" t="inlineStr">
        <x:is>
          <x:t xml:space="preserve">NO</x:t>
        </x:is>
      </x:c>
      <x:c r="X523" s="160" t="inlineStr">
        <x:is>
          <x:t xml:space="preserve">NONE — DEVELOPMENT ONLY</x:t>
        </x:is>
      </x:c>
      <x:c r="Y523" s="160" t="inlineStr">
        <x:is>
          <x:t xml:space="preserve">Synthetic/adversarial model-development loop. No historical outcome is claimed; no accuracy point is awarded.</x:t>
        </x:is>
      </x:c>
    </x:row>
    <x:row r="524">
      <x:c r="A524" s="160" t="inlineStr">
        <x:is>
          <x:t xml:space="preserve">ML0519</x:t>
        </x:is>
      </x:c>
      <x:c r="B524" s="160" t="inlineStr">
        <x:is>
          <x:t xml:space="preserve">ARG-033</x:t>
        </x:is>
      </x:c>
      <x:c r="C524" s="160" t="inlineStr">
        <x:is>
          <x:t xml:space="preserve">Fidelity National Information Services</x:t>
        </x:is>
      </x:c>
      <x:c r="D524" s="160" t="inlineStr">
        <x:is>
          <x:t xml:space="preserve">FIS</x:t>
        </x:is>
      </x:c>
      <x:c r="E524" s="160" t="inlineStr">
        <x:is>
          <x:t xml:space="preserve">Software &amp; Payments</x:t>
        </x:is>
      </x:c>
      <x:c r="F524" s="160" t="inlineStr">
        <x:is>
          <x:t xml:space="preserve">Development</x:t>
        </x:is>
      </x:c>
      <x:c r="G524" s="160" t="inlineStr">
        <x:is>
          <x:t xml:space="preserve">S07</x:t>
        </x:is>
      </x:c>
      <x:c r="H524" s="160" t="inlineStr">
        <x:is>
          <x:t xml:space="preserve">Sector Shock</x:t>
        </x:is>
      </x:c>
      <x:c r="I524" s="160" t="inlineStr">
        <x:is>
          <x:t xml:space="preserve">Sector-specific</x:t>
        </x:is>
      </x:c>
      <x:c r="J524" s="160" t="inlineStr">
        <x:is>
          <x:t xml:space="preserve">Revenue/ARR grows while retention quality, take rate, SBC, AI capex or competitive substitution weakens owner earnings.</x:t>
        </x:is>
      </x:c>
      <x:c r="K524" s="160" t="inlineStr">
        <x:is>
          <x:t xml:space="preserve">Sticky financial infrastructure plus FCF and deleveraging</x:t>
        </x:is>
      </x:c>
      <x:c r="L524" s="160" t="inlineStr">
        <x:is>
          <x:t xml:space="preserve">Owner earnings + leverage-adjusted IV</x:t>
        </x:is>
      </x:c>
      <x:c r="M524" s="160" t="inlineStr">
        <x:is>
          <x:t xml:space="preserve">PROVE IT</x:t>
        </x:is>
      </x:c>
      <x:c r="N524" s="160" t="inlineStr">
        <x:is>
          <x:t xml:space="preserve">R-SECTOR-SOFTWARE-PAYMENTS</x:t>
        </x:is>
      </x:c>
      <x:c r="O524" s="160" t="inlineStr">
        <x:is>
          <x:t xml:space="preserve">UNFORMED</x:t>
        </x:is>
      </x:c>
      <x:c r="P524" s="160" t="inlineStr">
        <x:is>
          <x:t xml:space="preserve">WEAKNESS EXPOSED</x:t>
        </x:is>
      </x:c>
      <x:c r="Q524" s="160" t="inlineStr">
        <x:is>
          <x:t xml:space="preserve">The frozen V10 gate family is directionally right, but the test lacks a sufficiently explicit mechanical implementation.</x:t>
        </x:is>
      </x:c>
      <x:c r="R524"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S524" s="160" t="inlineStr">
        <x:is>
          <x:t xml:space="preserve">NO</x:t>
        </x:is>
      </x:c>
      <x:c r="T524" s="160" t="inlineStr">
        <x:is>
          <x:t xml:space="preserve">UNFORMED</x:t>
        </x:is>
      </x:c>
      <x:c r="U524" s="160" t="inlineStr">
        <x:is>
          <x:t xml:space="preserve">V10.5-SIM58</x:t>
        </x:is>
      </x:c>
      <x:c r="V524" s="160" t="inlineStr">
        <x:is>
          <x:t xml:space="preserve">https://www.investors.fisglobal.com</x:t>
        </x:is>
      </x:c>
      <x:c r="W524" s="160" t="inlineStr">
        <x:is>
          <x:t xml:space="preserve">NO</x:t>
        </x:is>
      </x:c>
      <x:c r="X524" s="160" t="inlineStr">
        <x:is>
          <x:t xml:space="preserve">NONE — DEVELOPMENT ONLY</x:t>
        </x:is>
      </x:c>
      <x:c r="Y524" s="160" t="inlineStr">
        <x:is>
          <x:t xml:space="preserve">Synthetic/adversarial model-development loop. No historical outcome is claimed; no accuracy point is awarded.</x:t>
        </x:is>
      </x:c>
    </x:row>
    <x:row r="525">
      <x:c r="A525" s="160" t="inlineStr">
        <x:is>
          <x:t xml:space="preserve">ML0520</x:t>
        </x:is>
      </x:c>
      <x:c r="B525" s="160" t="inlineStr">
        <x:is>
          <x:t xml:space="preserve">ARG-033</x:t>
        </x:is>
      </x:c>
      <x:c r="C525" s="160" t="inlineStr">
        <x:is>
          <x:t xml:space="preserve">Fidelity National Information Services</x:t>
        </x:is>
      </x:c>
      <x:c r="D525" s="160" t="inlineStr">
        <x:is>
          <x:t xml:space="preserve">FIS</x:t>
        </x:is>
      </x:c>
      <x:c r="E525" s="160" t="inlineStr">
        <x:is>
          <x:t xml:space="preserve">Software &amp; Payments</x:t>
        </x:is>
      </x:c>
      <x:c r="F525" s="160" t="inlineStr">
        <x:is>
          <x:t xml:space="preserve">Development</x:t>
        </x:is>
      </x:c>
      <x:c r="G525" s="160" t="inlineStr">
        <x:is>
          <x:t xml:space="preserve">S08</x:t>
        </x:is>
      </x:c>
      <x:c r="H525" s="160" t="inlineStr">
        <x:is>
          <x:t xml:space="preserve">Management Promise Reliability</x:t>
        </x:is>
      </x:c>
      <x:c r="I525" s="160" t="inlineStr">
        <x:is>
          <x:t xml:space="preserve">Management over-trust</x:t>
        </x:is>
      </x:c>
      <x:c r="J525" s="160" t="inlineStr">
        <x:is>
          <x:t xml:space="preserve">Guidance or strategic promises are repeated but the model lacks a contemporaneous reliability score.</x:t>
        </x:is>
      </x:c>
      <x:c r="K525" s="160" t="inlineStr">
        <x:is>
          <x:t xml:space="preserve">Sticky financial infrastructure plus FCF and deleveraging</x:t>
        </x:is>
      </x:c>
      <x:c r="L525" s="160" t="inlineStr">
        <x:is>
          <x:t xml:space="preserve">Owner earnings + leverage-adjusted IV</x:t>
        </x:is>
      </x:c>
      <x:c r="M525" s="160" t="inlineStr">
        <x:is>
          <x:t xml:space="preserve">PROVE IT</x:t>
        </x:is>
      </x:c>
      <x:c r="N525" s="160" t="inlineStr">
        <x:is>
          <x:t xml:space="preserve">R-PROM-01</x:t>
        </x:is>
      </x:c>
      <x:c r="O525" s="160" t="inlineStr">
        <x:is>
          <x:t xml:space="preserve">COUNTER-EVIDENCE</x:t>
        </x:is>
      </x:c>
      <x:c r="P525" s="160" t="inlineStr">
        <x:is>
          <x:t xml:space="preserve">ROBUST</x:t>
        </x:is>
      </x:c>
      <x:c r="Q525" s="160" t="inlineStr">
        <x:is>
          <x:t xml:space="preserve">The mature simulation rule catches the stress without weakening a fatal gate; no rule relaxation is justified.</x:t>
        </x:is>
      </x:c>
      <x:c r="R525" s="160" t="inlineStr">
        <x:is>
          <x:t xml:space="preserve">Use a promises ledger with dated promise, measurable deliverable, due date, outcome and credibility weight.</x:t>
        </x:is>
      </x:c>
      <x:c r="S525" s="160" t="inlineStr">
        <x:is>
          <x:t xml:space="preserve">NO</x:t>
        </x:is>
      </x:c>
      <x:c r="T525" s="160" t="inlineStr">
        <x:is>
          <x:t xml:space="preserve">COUNTER-EVIDENCE</x:t>
        </x:is>
      </x:c>
      <x:c r="U525" s="160" t="inlineStr">
        <x:is>
          <x:t xml:space="preserve">V10.5-SIM58</x:t>
        </x:is>
      </x:c>
      <x:c r="V525" s="160" t="inlineStr">
        <x:is>
          <x:t xml:space="preserve">https://www.investors.fisglobal.com</x:t>
        </x:is>
      </x:c>
      <x:c r="W525" s="160" t="inlineStr">
        <x:is>
          <x:t xml:space="preserve">NO</x:t>
        </x:is>
      </x:c>
      <x:c r="X525" s="160" t="inlineStr">
        <x:is>
          <x:t xml:space="preserve">NONE — DEVELOPMENT ONLY</x:t>
        </x:is>
      </x:c>
      <x:c r="Y525" s="160" t="inlineStr">
        <x:is>
          <x:t xml:space="preserve">Synthetic/adversarial model-development loop. No historical outcome is claimed; no accuracy point is awarded.</x:t>
        </x:is>
      </x:c>
    </x:row>
    <x:row r="526">
      <x:c r="A526" s="160" t="inlineStr">
        <x:is>
          <x:t xml:space="preserve">ML0521</x:t>
        </x:is>
      </x:c>
      <x:c r="B526" s="160" t="inlineStr">
        <x:is>
          <x:t xml:space="preserve">ARG-033</x:t>
        </x:is>
      </x:c>
      <x:c r="C526" s="160" t="inlineStr">
        <x:is>
          <x:t xml:space="preserve">Fidelity National Information Services</x:t>
        </x:is>
      </x:c>
      <x:c r="D526" s="160" t="inlineStr">
        <x:is>
          <x:t xml:space="preserve">FIS</x:t>
        </x:is>
      </x:c>
      <x:c r="E526" s="160" t="inlineStr">
        <x:is>
          <x:t xml:space="preserve">Software &amp; Payments</x:t>
        </x:is>
      </x:c>
      <x:c r="F526" s="160" t="inlineStr">
        <x:is>
          <x:t xml:space="preserve">Development</x:t>
        </x:is>
      </x:c>
      <x:c r="G526" s="160" t="inlineStr">
        <x:is>
          <x:t xml:space="preserve">S09</x:t>
        </x:is>
      </x:c>
      <x:c r="H526" s="160" t="inlineStr">
        <x:is>
          <x:t xml:space="preserve">Data / Accounting Quality</x:t>
        </x:is>
      </x:c>
      <x:c r="I526" s="160" t="inlineStr">
        <x:is>
          <x:t xml:space="preserve">Data quality</x:t>
        </x:is>
      </x:c>
      <x:c r="J526" s="160" t="inlineStr">
        <x:is>
          <x:t xml:space="preserve">Restatement, segment reclassification, one-time item or non-economic fair-value movement distorts the apparent trend.</x:t>
        </x:is>
      </x:c>
      <x:c r="K526" s="160" t="inlineStr">
        <x:is>
          <x:t xml:space="preserve">Sticky financial infrastructure plus FCF and deleveraging</x:t>
        </x:is>
      </x:c>
      <x:c r="L526" s="160" t="inlineStr">
        <x:is>
          <x:t xml:space="preserve">Owner earnings + leverage-adjusted IV</x:t>
        </x:is>
      </x:c>
      <x:c r="M526" s="160" t="inlineStr">
        <x:is>
          <x:t xml:space="preserve">PROVE IT</x:t>
        </x:is>
      </x:c>
      <x:c r="N526" s="160" t="inlineStr">
        <x:is>
          <x:t xml:space="preserve">R-DATA-01</x:t>
        </x:is>
      </x:c>
      <x:c r="O526" s="160" t="inlineStr">
        <x:is>
          <x:t xml:space="preserve">COUNTER-EVIDENCE</x:t>
        </x:is>
      </x:c>
      <x:c r="P526" s="160" t="inlineStr">
        <x:is>
          <x:t xml:space="preserve">ROBUST</x:t>
        </x:is>
      </x:c>
      <x:c r="Q526" s="160" t="inlineStr">
        <x:is>
          <x:t xml:space="preserve">The mature simulation rule catches the stress without weakening a fatal gate; no rule relaxation is justified.</x:t>
        </x:is>
      </x:c>
      <x:c r="R526" s="160" t="inlineStr">
        <x:is>
          <x:t xml:space="preserve">Add a reporting-quality bridge and normalize accounting noise before any gate can pass.</x:t>
        </x:is>
      </x:c>
      <x:c r="S526" s="160" t="inlineStr">
        <x:is>
          <x:t xml:space="preserve">NO</x:t>
        </x:is>
      </x:c>
      <x:c r="T526" s="160" t="inlineStr">
        <x:is>
          <x:t xml:space="preserve">COUNTER-EVIDENCE</x:t>
        </x:is>
      </x:c>
      <x:c r="U526" s="160" t="inlineStr">
        <x:is>
          <x:t xml:space="preserve">V10.5-SIM58</x:t>
        </x:is>
      </x:c>
      <x:c r="V526" s="160" t="inlineStr">
        <x:is>
          <x:t xml:space="preserve">https://www.investors.fisglobal.com</x:t>
        </x:is>
      </x:c>
      <x:c r="W526" s="160" t="inlineStr">
        <x:is>
          <x:t xml:space="preserve">NO</x:t>
        </x:is>
      </x:c>
      <x:c r="X526" s="160" t="inlineStr">
        <x:is>
          <x:t xml:space="preserve">NONE — DEVELOPMENT ONLY</x:t>
        </x:is>
      </x:c>
      <x:c r="Y526" s="160" t="inlineStr">
        <x:is>
          <x:t xml:space="preserve">Synthetic/adversarial model-development loop. No historical outcome is claimed; no accuracy point is awarded.</x:t>
        </x:is>
      </x:c>
    </x:row>
    <x:row r="527">
      <x:c r="A527" s="160" t="inlineStr">
        <x:is>
          <x:t xml:space="preserve">ML0522</x:t>
        </x:is>
      </x:c>
      <x:c r="B527" s="160" t="inlineStr">
        <x:is>
          <x:t xml:space="preserve">ARG-033</x:t>
        </x:is>
      </x:c>
      <x:c r="C527" s="160" t="inlineStr">
        <x:is>
          <x:t xml:space="preserve">Fidelity National Information Services</x:t>
        </x:is>
      </x:c>
      <x:c r="D527" s="160" t="inlineStr">
        <x:is>
          <x:t xml:space="preserve">FIS</x:t>
        </x:is>
      </x:c>
      <x:c r="E527" s="160" t="inlineStr">
        <x:is>
          <x:t xml:space="preserve">Software &amp; Payments</x:t>
        </x:is>
      </x:c>
      <x:c r="F527" s="160" t="inlineStr">
        <x:is>
          <x:t xml:space="preserve">Development</x:t>
        </x:is>
      </x:c>
      <x:c r="G527" s="160" t="inlineStr">
        <x:is>
          <x:t xml:space="preserve">S10</x:t>
        </x:is>
      </x:c>
      <x:c r="H527" s="160" t="inlineStr">
        <x:is>
          <x:t xml:space="preserve">Control / Counterfactual</x:t>
        </x:is>
      </x:c>
      <x:c r="I527" s="160" t="inlineStr">
        <x:is>
          <x:t xml:space="preserve">Sector beta vs company alpha</x:t>
        </x:is>
      </x:c>
      <x:c r="J527" s="160" t="inlineStr">
        <x:is>
          <x:t xml:space="preserve">A positive outcome is mostly sector beta or macro tailwind, not company-specific alpha.</x:t>
        </x:is>
      </x:c>
      <x:c r="K527" s="160" t="inlineStr">
        <x:is>
          <x:t xml:space="preserve">Sticky financial infrastructure plus FCF and deleveraging</x:t>
        </x:is>
      </x:c>
      <x:c r="L527" s="160" t="inlineStr">
        <x:is>
          <x:t xml:space="preserve">Owner earnings + leverage-adjusted IV</x:t>
        </x:is>
      </x:c>
      <x:c r="M527" s="160" t="inlineStr">
        <x:is>
          <x:t xml:space="preserve">PROVE IT</x:t>
        </x:is>
      </x:c>
      <x:c r="N527" s="160" t="inlineStr">
        <x:is>
          <x:t xml:space="preserve">R-CF-01</x:t>
        </x:is>
      </x:c>
      <x:c r="O527" s="160" t="inlineStr">
        <x:is>
          <x:t xml:space="preserve">COUNTER-EVIDENCE</x:t>
        </x:is>
      </x:c>
      <x:c r="P527" s="160" t="inlineStr">
        <x:is>
          <x:t xml:space="preserve">ROBUST</x:t>
        </x:is>
      </x:c>
      <x:c r="Q527" s="160" t="inlineStr">
        <x:is>
          <x:t xml:space="preserve">The mature simulation rule catches the stress without weakening a fatal gate; no rule relaxation is justified.</x:t>
        </x:is>
      </x:c>
      <x:c r="R527" s="160" t="inlineStr">
        <x:is>
          <x:t xml:space="preserve">Require a true economic control and counterfactual: what should have happened to a comparable company under the same shock?</x:t>
        </x:is>
      </x:c>
      <x:c r="S527" s="160" t="inlineStr">
        <x:is>
          <x:t xml:space="preserve">NO</x:t>
        </x:is>
      </x:c>
      <x:c r="T527" s="160" t="inlineStr">
        <x:is>
          <x:t xml:space="preserve">COUNTER-EVIDENCE</x:t>
        </x:is>
      </x:c>
      <x:c r="U527" s="160" t="inlineStr">
        <x:is>
          <x:t xml:space="preserve">V10.5-SIM58</x:t>
        </x:is>
      </x:c>
      <x:c r="V527" s="160" t="inlineStr">
        <x:is>
          <x:t xml:space="preserve">https://www.investors.fisglobal.com</x:t>
        </x:is>
      </x:c>
      <x:c r="W527" s="160" t="inlineStr">
        <x:is>
          <x:t xml:space="preserve">NO</x:t>
        </x:is>
      </x:c>
      <x:c r="X527" s="160" t="inlineStr">
        <x:is>
          <x:t xml:space="preserve">NONE — DEVELOPMENT ONLY</x:t>
        </x:is>
      </x:c>
      <x:c r="Y527" s="160" t="inlineStr">
        <x:is>
          <x:t xml:space="preserve">Synthetic/adversarial model-development loop. No historical outcome is claimed; no accuracy point is awarded.</x:t>
        </x:is>
      </x:c>
    </x:row>
    <x:row r="528">
      <x:c r="A528" s="160" t="inlineStr">
        <x:is>
          <x:t xml:space="preserve">ML0523</x:t>
        </x:is>
      </x:c>
      <x:c r="B528" s="160" t="inlineStr">
        <x:is>
          <x:t xml:space="preserve">ARG-033</x:t>
        </x:is>
      </x:c>
      <x:c r="C528" s="160" t="inlineStr">
        <x:is>
          <x:t xml:space="preserve">Fidelity National Information Services</x:t>
        </x:is>
      </x:c>
      <x:c r="D528" s="160" t="inlineStr">
        <x:is>
          <x:t xml:space="preserve">FIS</x:t>
        </x:is>
      </x:c>
      <x:c r="E528" s="160" t="inlineStr">
        <x:is>
          <x:t xml:space="preserve">Software &amp; Payments</x:t>
        </x:is>
      </x:c>
      <x:c r="F528" s="160" t="inlineStr">
        <x:is>
          <x:t xml:space="preserve">Development</x:t>
        </x:is>
      </x:c>
      <x:c r="G528" s="160" t="inlineStr">
        <x:is>
          <x:t xml:space="preserve">S11</x:t>
        </x:is>
      </x:c>
      <x:c r="H528" s="160" t="inlineStr">
        <x:is>
          <x:t xml:space="preserve">False-Negative Discipline</x:t>
        </x:is>
      </x:c>
      <x:c r="I528" s="160" t="inlineStr">
        <x:is>
          <x:t xml:space="preserve">False negative</x:t>
        </x:is>
      </x:c>
      <x:c r="J528" s="160" t="inlineStr">
        <x:is>
          <x:t xml:space="preserve">A strict gate rejects a company that later compounds strongly for reasons the model could have known.</x:t>
        </x:is>
      </x:c>
      <x:c r="K528" s="160" t="inlineStr">
        <x:is>
          <x:t xml:space="preserve">Sticky financial infrastructure plus FCF and deleveraging</x:t>
        </x:is>
      </x:c>
      <x:c r="L528" s="160" t="inlineStr">
        <x:is>
          <x:t xml:space="preserve">Owner earnings + leverage-adjusted IV</x:t>
        </x:is>
      </x:c>
      <x:c r="M528" s="160" t="inlineStr">
        <x:is>
          <x:t xml:space="preserve">PROVE IT</x:t>
        </x:is>
      </x:c>
      <x:c r="N528" s="160" t="inlineStr">
        <x:is>
          <x:t xml:space="preserve">R-FN-01</x:t>
        </x:is>
      </x:c>
      <x:c r="O528" s="160" t="inlineStr">
        <x:is>
          <x:t xml:space="preserve">COUNTER-EVIDENCE</x:t>
        </x:is>
      </x:c>
      <x:c r="P528" s="160" t="inlineStr">
        <x:is>
          <x:t xml:space="preserve">ROBUST</x:t>
        </x:is>
      </x:c>
      <x:c r="Q528" s="160" t="inlineStr">
        <x:is>
          <x:t xml:space="preserve">The mature simulation rule catches the stress without weakening a fatal gate; no rule relaxation is justified.</x:t>
        </x:is>
      </x:c>
      <x:c r="R528" s="160" t="inlineStr">
        <x:is>
          <x:t xml:space="preserve">Track opportunity cost and classify whether the miss came from evidence timing, wrong threshold or genuinely unknowable upside.</x:t>
        </x:is>
      </x:c>
      <x:c r="S528" s="160" t="inlineStr">
        <x:is>
          <x:t xml:space="preserve">NO</x:t>
        </x:is>
      </x:c>
      <x:c r="T528" s="160" t="inlineStr">
        <x:is>
          <x:t xml:space="preserve">COUNTER-EVIDENCE</x:t>
        </x:is>
      </x:c>
      <x:c r="U528" s="160" t="inlineStr">
        <x:is>
          <x:t xml:space="preserve">V10.5-SIM58</x:t>
        </x:is>
      </x:c>
      <x:c r="V528" s="160" t="inlineStr">
        <x:is>
          <x:t xml:space="preserve">https://www.investors.fisglobal.com</x:t>
        </x:is>
      </x:c>
      <x:c r="W528" s="160" t="inlineStr">
        <x:is>
          <x:t xml:space="preserve">NO</x:t>
        </x:is>
      </x:c>
      <x:c r="X528" s="160" t="inlineStr">
        <x:is>
          <x:t xml:space="preserve">NONE — DEVELOPMENT ONLY</x:t>
        </x:is>
      </x:c>
      <x:c r="Y528" s="160" t="inlineStr">
        <x:is>
          <x:t xml:space="preserve">Synthetic/adversarial model-development loop. No historical outcome is claimed; no accuracy point is awarded.</x:t>
        </x:is>
      </x:c>
    </x:row>
    <x:row r="529">
      <x:c r="A529" s="160" t="inlineStr">
        <x:is>
          <x:t xml:space="preserve">ML0524</x:t>
        </x:is>
      </x:c>
      <x:c r="B529" s="160" t="inlineStr">
        <x:is>
          <x:t xml:space="preserve">ARG-033</x:t>
        </x:is>
      </x:c>
      <x:c r="C529" s="160" t="inlineStr">
        <x:is>
          <x:t xml:space="preserve">Fidelity National Information Services</x:t>
        </x:is>
      </x:c>
      <x:c r="D529" s="160" t="inlineStr">
        <x:is>
          <x:t xml:space="preserve">FIS</x:t>
        </x:is>
      </x:c>
      <x:c r="E529" s="160" t="inlineStr">
        <x:is>
          <x:t xml:space="preserve">Software &amp; Payments</x:t>
        </x:is>
      </x:c>
      <x:c r="F529" s="160" t="inlineStr">
        <x:is>
          <x:t xml:space="preserve">Development</x:t>
        </x:is>
      </x:c>
      <x:c r="G529" s="160" t="inlineStr">
        <x:is>
          <x:t xml:space="preserve">S12</x:t>
        </x:is>
      </x:c>
      <x:c r="H529" s="160" t="inlineStr">
        <x:is>
          <x:t xml:space="preserve">Lead-Time / Early Sensor</x:t>
        </x:is>
      </x:c>
      <x:c r="I529" s="160" t="inlineStr">
        <x:is>
          <x:t xml:space="preserve">Timing / lead-time</x:t>
        </x:is>
      </x:c>
      <x:c r="J529" s="160" t="inlineStr">
        <x:is>
          <x:t xml:space="preserve">ARGUS identifies the change correctly but only after consensus and price have already reacted.</x:t>
        </x:is>
      </x:c>
      <x:c r="K529" s="160" t="inlineStr">
        <x:is>
          <x:t xml:space="preserve">Sticky financial infrastructure plus FCF and deleveraging</x:t>
        </x:is>
      </x:c>
      <x:c r="L529" s="160" t="inlineStr">
        <x:is>
          <x:t xml:space="preserve">Owner earnings + leverage-adjusted IV</x:t>
        </x:is>
      </x:c>
      <x:c r="M529" s="160" t="inlineStr">
        <x:is>
          <x:t xml:space="preserve">PROVE IT</x:t>
        </x:is>
      </x:c>
      <x:c r="N529" s="160" t="inlineStr">
        <x:is>
          <x:t xml:space="preserve">R-TIME-01</x:t>
        </x:is>
      </x:c>
      <x:c r="O529" s="160" t="inlineStr">
        <x:is>
          <x:t xml:space="preserve">COUNTER-EVIDENCE</x:t>
        </x:is>
      </x:c>
      <x:c r="P529" s="160" t="inlineStr">
        <x:is>
          <x:t xml:space="preserve">ROBUST</x:t>
        </x:is>
      </x:c>
      <x:c r="Q529" s="160" t="inlineStr">
        <x:is>
          <x:t xml:space="preserve">The mature simulation rule catches the stress without weakening a fatal gate; no rule relaxation is justified.</x:t>
        </x:is>
      </x:c>
      <x:c r="R529" s="160" t="inlineStr">
        <x:is>
          <x:t xml:space="preserve">Replace lagging financial metrics with earlier causal operating sensors and record lead time separately from correctness.</x:t>
        </x:is>
      </x:c>
      <x:c r="S529" s="160" t="inlineStr">
        <x:is>
          <x:t xml:space="preserve">NO</x:t>
        </x:is>
      </x:c>
      <x:c r="T529" s="160" t="inlineStr">
        <x:is>
          <x:t xml:space="preserve">COUNTER-EVIDENCE</x:t>
        </x:is>
      </x:c>
      <x:c r="U529" s="160" t="inlineStr">
        <x:is>
          <x:t xml:space="preserve">V10.5-SIM58</x:t>
        </x:is>
      </x:c>
      <x:c r="V529" s="160" t="inlineStr">
        <x:is>
          <x:t xml:space="preserve">https://www.investors.fisglobal.com</x:t>
        </x:is>
      </x:c>
      <x:c r="W529" s="160" t="inlineStr">
        <x:is>
          <x:t xml:space="preserve">NO</x:t>
        </x:is>
      </x:c>
      <x:c r="X529" s="160" t="inlineStr">
        <x:is>
          <x:t xml:space="preserve">NONE — DEVELOPMENT ONLY</x:t>
        </x:is>
      </x:c>
      <x:c r="Y529" s="160" t="inlineStr">
        <x:is>
          <x:t xml:space="preserve">Synthetic/adversarial model-development loop. No historical outcome is claimed; no accuracy point is awarded.</x:t>
        </x:is>
      </x:c>
    </x:row>
    <x:row r="530">
      <x:c r="A530" s="160" t="inlineStr">
        <x:is>
          <x:t xml:space="preserve">ML0525</x:t>
        </x:is>
      </x:c>
      <x:c r="B530" s="160" t="inlineStr">
        <x:is>
          <x:t xml:space="preserve">ARG-033</x:t>
        </x:is>
      </x:c>
      <x:c r="C530" s="160" t="inlineStr">
        <x:is>
          <x:t xml:space="preserve">Fidelity National Information Services</x:t>
        </x:is>
      </x:c>
      <x:c r="D530" s="160" t="inlineStr">
        <x:is>
          <x:t xml:space="preserve">FIS</x:t>
        </x:is>
      </x:c>
      <x:c r="E530" s="160" t="inlineStr">
        <x:is>
          <x:t xml:space="preserve">Software &amp; Payments</x:t>
        </x:is>
      </x:c>
      <x:c r="F530" s="160" t="inlineStr">
        <x:is>
          <x:t xml:space="preserve">Development</x:t>
        </x:is>
      </x:c>
      <x:c r="G530" s="160" t="inlineStr">
        <x:is>
          <x:t xml:space="preserve">S13</x:t>
        </x:is>
      </x:c>
      <x:c r="H530" s="160" t="inlineStr">
        <x:is>
          <x:t xml:space="preserve">Cycle Normalization</x:t>
        </x:is>
      </x:c>
      <x:c r="I530" s="160" t="inlineStr">
        <x:is>
          <x:t xml:space="preserve">Wrong valuation lens</x:t>
        </x:is>
      </x:c>
      <x:c r="J530" s="160" t="inlineStr">
        <x:is>
          <x:t xml:space="preserve">Peak/trough earnings are mistaken for normalized earning power.</x:t>
        </x:is>
      </x:c>
      <x:c r="K530" s="160" t="inlineStr">
        <x:is>
          <x:t xml:space="preserve">Sticky financial infrastructure plus FCF and deleveraging</x:t>
        </x:is>
      </x:c>
      <x:c r="L530" s="160" t="inlineStr">
        <x:is>
          <x:t xml:space="preserve">Owner earnings + leverage-adjusted IV</x:t>
        </x:is>
      </x:c>
      <x:c r="M530" s="160" t="inlineStr">
        <x:is>
          <x:t xml:space="preserve">PROVE IT</x:t>
        </x:is>
      </x:c>
      <x:c r="N530" s="160" t="inlineStr">
        <x:is>
          <x:t xml:space="preserve">R-CYCLE-01</x:t>
        </x:is>
      </x:c>
      <x:c r="O530" s="160" t="inlineStr">
        <x:is>
          <x:t xml:space="preserve">COUNTER-EVIDENCE</x:t>
        </x:is>
      </x:c>
      <x:c r="P530" s="160" t="inlineStr">
        <x:is>
          <x:t xml:space="preserve">ROBUST</x:t>
        </x:is>
      </x:c>
      <x:c r="Q530" s="160" t="inlineStr">
        <x:is>
          <x:t xml:space="preserve">The mature simulation rule catches the stress without weakening a fatal gate; no rule relaxation is justified.</x:t>
        </x:is>
      </x:c>
      <x:c r="R530" s="160" t="inlineStr">
        <x:is>
          <x:t xml:space="preserve">Use sector-specific mid-cycle/NAV/rate-base/rNPV normalization before applying a valuation multiple.</x:t>
        </x:is>
      </x:c>
      <x:c r="S530" s="160" t="inlineStr">
        <x:is>
          <x:t xml:space="preserve">NO</x:t>
        </x:is>
      </x:c>
      <x:c r="T530" s="160" t="inlineStr">
        <x:is>
          <x:t xml:space="preserve">COUNTER-EVIDENCE</x:t>
        </x:is>
      </x:c>
      <x:c r="U530" s="160" t="inlineStr">
        <x:is>
          <x:t xml:space="preserve">V10.5-SIM58</x:t>
        </x:is>
      </x:c>
      <x:c r="V530" s="160" t="inlineStr">
        <x:is>
          <x:t xml:space="preserve">https://www.investors.fisglobal.com</x:t>
        </x:is>
      </x:c>
      <x:c r="W530" s="160" t="inlineStr">
        <x:is>
          <x:t xml:space="preserve">NO</x:t>
        </x:is>
      </x:c>
      <x:c r="X530" s="160" t="inlineStr">
        <x:is>
          <x:t xml:space="preserve">NONE — DEVELOPMENT ONLY</x:t>
        </x:is>
      </x:c>
      <x:c r="Y530" s="160" t="inlineStr">
        <x:is>
          <x:t xml:space="preserve">Synthetic/adversarial model-development loop. No historical outcome is claimed; no accuracy point is awarded.</x:t>
        </x:is>
      </x:c>
    </x:row>
    <x:row r="531">
      <x:c r="A531" s="160" t="inlineStr">
        <x:is>
          <x:t xml:space="preserve">ML0526</x:t>
        </x:is>
      </x:c>
      <x:c r="B531" s="160" t="inlineStr">
        <x:is>
          <x:t xml:space="preserve">ARG-033</x:t>
        </x:is>
      </x:c>
      <x:c r="C531" s="160" t="inlineStr">
        <x:is>
          <x:t xml:space="preserve">Fidelity National Information Services</x:t>
        </x:is>
      </x:c>
      <x:c r="D531" s="160" t="inlineStr">
        <x:is>
          <x:t xml:space="preserve">FIS</x:t>
        </x:is>
      </x:c>
      <x:c r="E531" s="160" t="inlineStr">
        <x:is>
          <x:t xml:space="preserve">Software &amp; Payments</x:t>
        </x:is>
      </x:c>
      <x:c r="F531" s="160" t="inlineStr">
        <x:is>
          <x:t xml:space="preserve">Development</x:t>
        </x:is>
      </x:c>
      <x:c r="G531" s="160" t="inlineStr">
        <x:is>
          <x:t xml:space="preserve">S14</x:t>
        </x:is>
      </x:c>
      <x:c r="H531" s="160" t="inlineStr">
        <x:is>
          <x:t xml:space="preserve">M&amp;A / Organic Growth Separation</x:t>
        </x:is>
      </x:c>
      <x:c r="I531" s="160" t="inlineStr">
        <x:is>
          <x:t xml:space="preserve">Stewardship</x:t>
        </x:is>
      </x:c>
      <x:c r="J531" s="160" t="inlineStr">
        <x:is>
          <x:t xml:space="preserve">Acquisition-driven growth masks weak organic economics or poor incremental ROIC.</x:t>
        </x:is>
      </x:c>
      <x:c r="K531" s="160" t="inlineStr">
        <x:is>
          <x:t xml:space="preserve">Sticky financial infrastructure plus FCF and deleveraging</x:t>
        </x:is>
      </x:c>
      <x:c r="L531" s="160" t="inlineStr">
        <x:is>
          <x:t xml:space="preserve">Owner earnings + leverage-adjusted IV</x:t>
        </x:is>
      </x:c>
      <x:c r="M531" s="160" t="inlineStr">
        <x:is>
          <x:t xml:space="preserve">PROVE IT</x:t>
        </x:is>
      </x:c>
      <x:c r="N531" s="160" t="inlineStr">
        <x:is>
          <x:t xml:space="preserve">R-MA-01</x:t>
        </x:is>
      </x:c>
      <x:c r="O531" s="160" t="inlineStr">
        <x:is>
          <x:t xml:space="preserve">COUNTER-EVIDENCE</x:t>
        </x:is>
      </x:c>
      <x:c r="P531" s="160" t="inlineStr">
        <x:is>
          <x:t xml:space="preserve">ROBUST</x:t>
        </x:is>
      </x:c>
      <x:c r="Q531" s="160" t="inlineStr">
        <x:is>
          <x:t xml:space="preserve">The mature simulation rule catches the stress without weakening a fatal gate; no rule relaxation is justified.</x:t>
        </x:is>
      </x:c>
      <x:c r="R531" s="160" t="inlineStr">
        <x:is>
          <x:t xml:space="preserve">Bridge organic growth, acquired growth, purchase price, integration costs and acquisition-cohort ROIC.</x:t>
        </x:is>
      </x:c>
      <x:c r="S531" s="160" t="inlineStr">
        <x:is>
          <x:t xml:space="preserve">NO</x:t>
        </x:is>
      </x:c>
      <x:c r="T531" s="160" t="inlineStr">
        <x:is>
          <x:t xml:space="preserve">COUNTER-EVIDENCE</x:t>
        </x:is>
      </x:c>
      <x:c r="U531" s="160" t="inlineStr">
        <x:is>
          <x:t xml:space="preserve">V10.5-SIM58</x:t>
        </x:is>
      </x:c>
      <x:c r="V531" s="160" t="inlineStr">
        <x:is>
          <x:t xml:space="preserve">https://www.investors.fisglobal.com</x:t>
        </x:is>
      </x:c>
      <x:c r="W531" s="160" t="inlineStr">
        <x:is>
          <x:t xml:space="preserve">NO</x:t>
        </x:is>
      </x:c>
      <x:c r="X531" s="160" t="inlineStr">
        <x:is>
          <x:t xml:space="preserve">NONE — DEVELOPMENT ONLY</x:t>
        </x:is>
      </x:c>
      <x:c r="Y531" s="160" t="inlineStr">
        <x:is>
          <x:t xml:space="preserve">Synthetic/adversarial model-development loop. No historical outcome is claimed; no accuracy point is awarded.</x:t>
        </x:is>
      </x:c>
    </x:row>
    <x:row r="532">
      <x:c r="A532" s="160" t="inlineStr">
        <x:is>
          <x:t xml:space="preserve">ML0527</x:t>
        </x:is>
      </x:c>
      <x:c r="B532" s="160" t="inlineStr">
        <x:is>
          <x:t xml:space="preserve">ARG-033</x:t>
        </x:is>
      </x:c>
      <x:c r="C532" s="160" t="inlineStr">
        <x:is>
          <x:t xml:space="preserve">Fidelity National Information Services</x:t>
        </x:is>
      </x:c>
      <x:c r="D532" s="160" t="inlineStr">
        <x:is>
          <x:t xml:space="preserve">FIS</x:t>
        </x:is>
      </x:c>
      <x:c r="E532" s="160" t="inlineStr">
        <x:is>
          <x:t xml:space="preserve">Software &amp; Payments</x:t>
        </x:is>
      </x:c>
      <x:c r="F532" s="160" t="inlineStr">
        <x:is>
          <x:t xml:space="preserve">Development</x:t>
        </x:is>
      </x:c>
      <x:c r="G532" s="160" t="inlineStr">
        <x:is>
          <x:t xml:space="preserve">S15</x:t>
        </x:is>
      </x:c>
      <x:c r="H532" s="160" t="inlineStr">
        <x:is>
          <x:t xml:space="preserve">Financing / Dilution Per Share</x:t>
        </x:is>
      </x:c>
      <x:c r="I532" s="160" t="inlineStr">
        <x:is>
          <x:t xml:space="preserve">Stewardship</x:t>
        </x:is>
      </x:c>
      <x:c r="J532" s="160" t="inlineStr">
        <x:is>
          <x:t xml:space="preserve">Cash balance or revenue growth improves while financing causes material per-share value leakage.</x:t>
        </x:is>
      </x:c>
      <x:c r="K532" s="160" t="inlineStr">
        <x:is>
          <x:t xml:space="preserve">Sticky financial infrastructure plus FCF and deleveraging</x:t>
        </x:is>
      </x:c>
      <x:c r="L532" s="160" t="inlineStr">
        <x:is>
          <x:t xml:space="preserve">Owner earnings + leverage-adjusted IV</x:t>
        </x:is>
      </x:c>
      <x:c r="M532" s="160" t="inlineStr">
        <x:is>
          <x:t xml:space="preserve">PROVE IT</x:t>
        </x:is>
      </x:c>
      <x:c r="N532" s="160" t="inlineStr">
        <x:is>
          <x:t xml:space="preserve">R-DIL-01</x:t>
        </x:is>
      </x:c>
      <x:c r="O532" s="160" t="inlineStr">
        <x:is>
          <x:t xml:space="preserve">COUNTER-EVIDENCE</x:t>
        </x:is>
      </x:c>
      <x:c r="P532" s="160" t="inlineStr">
        <x:is>
          <x:t xml:space="preserve">ROBUST</x:t>
        </x:is>
      </x:c>
      <x:c r="Q532" s="160" t="inlineStr">
        <x:is>
          <x:t xml:space="preserve">The mature simulation rule catches the stress without weakening a fatal gate; no rule relaxation is justified.</x:t>
        </x:is>
      </x:c>
      <x:c r="R532" s="160" t="inlineStr">
        <x:is>
          <x:t xml:space="preserve">Reconcile share-count growth, SBC, equity issuance, buybacks and net cash changes to per-share intrinsic value.</x:t>
        </x:is>
      </x:c>
      <x:c r="S532" s="160" t="inlineStr">
        <x:is>
          <x:t xml:space="preserve">NO</x:t>
        </x:is>
      </x:c>
      <x:c r="T532" s="160" t="inlineStr">
        <x:is>
          <x:t xml:space="preserve">COUNTER-EVIDENCE</x:t>
        </x:is>
      </x:c>
      <x:c r="U532" s="160" t="inlineStr">
        <x:is>
          <x:t xml:space="preserve">V10.5-SIM58</x:t>
        </x:is>
      </x:c>
      <x:c r="V532" s="160" t="inlineStr">
        <x:is>
          <x:t xml:space="preserve">https://www.investors.fisglobal.com</x:t>
        </x:is>
      </x:c>
      <x:c r="W532" s="160" t="inlineStr">
        <x:is>
          <x:t xml:space="preserve">NO</x:t>
        </x:is>
      </x:c>
      <x:c r="X532" s="160" t="inlineStr">
        <x:is>
          <x:t xml:space="preserve">NONE — DEVELOPMENT ONLY</x:t>
        </x:is>
      </x:c>
      <x:c r="Y532" s="160" t="inlineStr">
        <x:is>
          <x:t xml:space="preserve">Synthetic/adversarial model-development loop. No historical outcome is claimed; no accuracy point is awarded.</x:t>
        </x:is>
      </x:c>
    </x:row>
    <x:row r="533">
      <x:c r="A533" s="160" t="inlineStr">
        <x:is>
          <x:t xml:space="preserve">ML0528</x:t>
        </x:is>
      </x:c>
      <x:c r="B533" s="160" t="inlineStr">
        <x:is>
          <x:t xml:space="preserve">ARG-033</x:t>
        </x:is>
      </x:c>
      <x:c r="C533" s="160" t="inlineStr">
        <x:is>
          <x:t xml:space="preserve">Fidelity National Information Services</x:t>
        </x:is>
      </x:c>
      <x:c r="D533" s="160" t="inlineStr">
        <x:is>
          <x:t xml:space="preserve">FIS</x:t>
        </x:is>
      </x:c>
      <x:c r="E533" s="160" t="inlineStr">
        <x:is>
          <x:t xml:space="preserve">Software &amp; Payments</x:t>
        </x:is>
      </x:c>
      <x:c r="F533" s="160" t="inlineStr">
        <x:is>
          <x:t xml:space="preserve">Development</x:t>
        </x:is>
      </x:c>
      <x:c r="G533" s="160" t="inlineStr">
        <x:is>
          <x:t xml:space="preserve">S16</x:t>
        </x:is>
      </x:c>
      <x:c r="H533" s="160" t="inlineStr">
        <x:is>
          <x:t xml:space="preserve">Concentration / Tail Risk</x:t>
        </x:is>
      </x:c>
      <x:c r="I533" s="160" t="inlineStr">
        <x:is>
          <x:t xml:space="preserve">Survival</x:t>
        </x:is>
      </x:c>
      <x:c r="J533" s="160" t="inlineStr">
        <x:is>
          <x:t xml:space="preserve">A concentrated supplier, geography, customer, product, patent, regulatory or technology dependency creates asymmetric permanent-loss risk.</x:t>
        </x:is>
      </x:c>
      <x:c r="K533" s="160" t="inlineStr">
        <x:is>
          <x:t xml:space="preserve">Sticky financial infrastructure plus FCF and deleveraging</x:t>
        </x:is>
      </x:c>
      <x:c r="L533" s="160" t="inlineStr">
        <x:is>
          <x:t xml:space="preserve">Owner earnings + leverage-adjusted IV</x:t>
        </x:is>
      </x:c>
      <x:c r="M533" s="160" t="inlineStr">
        <x:is>
          <x:t xml:space="preserve">PROVE IT</x:t>
        </x:is>
      </x:c>
      <x:c r="N533" s="160" t="inlineStr">
        <x:is>
          <x:t xml:space="preserve">R-TAIL-01</x:t>
        </x:is>
      </x:c>
      <x:c r="O533" s="160" t="inlineStr">
        <x:is>
          <x:t xml:space="preserve">COUNTER-EVIDENCE</x:t>
        </x:is>
      </x:c>
      <x:c r="P533" s="160" t="inlineStr">
        <x:is>
          <x:t xml:space="preserve">ROBUST</x:t>
        </x:is>
      </x:c>
      <x:c r="Q533" s="160" t="inlineStr">
        <x:is>
          <x:t xml:space="preserve">The mature simulation rule catches the stress without weakening a fatal gate; no rule relaxation is justified.</x:t>
        </x:is>
      </x:c>
      <x:c r="R533" s="160" t="inlineStr">
        <x:is>
          <x:t xml:space="preserve">Maintain an explicit concentration/tail-risk register with probability, severity, mitigation and required margin-of-safety premium.</x:t>
        </x:is>
      </x:c>
      <x:c r="S533" s="160" t="inlineStr">
        <x:is>
          <x:t xml:space="preserve">NO</x:t>
        </x:is>
      </x:c>
      <x:c r="T533" s="160" t="inlineStr">
        <x:is>
          <x:t xml:space="preserve">COUNTER-EVIDENCE</x:t>
        </x:is>
      </x:c>
      <x:c r="U533" s="160" t="inlineStr">
        <x:is>
          <x:t xml:space="preserve">V10.5-SIM58</x:t>
        </x:is>
      </x:c>
      <x:c r="V533" s="160" t="inlineStr">
        <x:is>
          <x:t xml:space="preserve">https://www.investors.fisglobal.com</x:t>
        </x:is>
      </x:c>
      <x:c r="W533" s="160" t="inlineStr">
        <x:is>
          <x:t xml:space="preserve">NO</x:t>
        </x:is>
      </x:c>
      <x:c r="X533" s="160" t="inlineStr">
        <x:is>
          <x:t xml:space="preserve">NONE — DEVELOPMENT ONLY</x:t>
        </x:is>
      </x:c>
      <x:c r="Y533" s="160" t="inlineStr">
        <x:is>
          <x:t xml:space="preserve">Synthetic/adversarial model-development loop. No historical outcome is claimed; no accuracy point is awarded.</x:t>
        </x:is>
      </x:c>
    </x:row>
    <x:row r="534">
      <x:c r="A534" s="160" t="inlineStr">
        <x:is>
          <x:t xml:space="preserve">ML0529</x:t>
        </x:is>
      </x:c>
      <x:c r="B534" s="160" t="inlineStr">
        <x:is>
          <x:t xml:space="preserve">ARG-034</x:t>
        </x:is>
      </x:c>
      <x:c r="C534" s="160" t="inlineStr">
        <x:is>
          <x:t xml:space="preserve">Fiserv</x:t>
        </x:is>
      </x:c>
      <x:c r="D534" s="160" t="inlineStr">
        <x:is>
          <x:t xml:space="preserve">FISV</x:t>
        </x:is>
      </x:c>
      <x:c r="E534" s="160" t="inlineStr">
        <x:is>
          <x:t xml:space="preserve">Software &amp; Payments</x:t>
        </x:is>
      </x:c>
      <x:c r="F534" s="160" t="inlineStr">
        <x:is>
          <x:t xml:space="preserve">Development</x:t>
        </x:is>
      </x:c>
      <x:c r="G534" s="160" t="inlineStr">
        <x:is>
          <x:t xml:space="preserve">S01</x:t>
        </x:is>
      </x:c>
      <x:c r="H534" s="160" t="inlineStr">
        <x:is>
          <x:t xml:space="preserve">Understanding Gate</x:t>
        </x:is>
      </x:c>
      <x:c r="I534" s="160" t="inlineStr">
        <x:is>
          <x:t xml:space="preserve">Understanding</x:t>
        </x:is>
      </x:c>
      <x:c r="J534" s="160" t="inlineStr">
        <x:is>
          <x:t xml:space="preserve">Causal engine / customer ROI chain breaks under a misleading headline KPI.</x:t>
        </x:is>
      </x:c>
      <x:c r="K534" s="160" t="inlineStr">
        <x:is>
          <x:t xml:space="preserve">Merchant/bank technology volumes and recurring revenue</x:t>
        </x:is>
      </x:c>
      <x:c r="L534" s="160" t="inlineStr">
        <x:is>
          <x:t xml:space="preserve">Owner earnings + reverse DCF</x:t>
        </x:is>
      </x:c>
      <x:c r="M534" s="160" t="inlineStr">
        <x:is>
          <x:t xml:space="preserve">WAIT / VALUE-TRAP RISK</x:t>
        </x:is>
      </x:c>
      <x:c r="N534" s="160" t="inlineStr">
        <x:is>
          <x:t xml:space="preserve">R-ENG-01</x:t>
        </x:is>
      </x:c>
      <x:c r="O534" s="160" t="inlineStr">
        <x:is>
          <x:t xml:space="preserve">COUNTER-EVIDENCE</x:t>
        </x:is>
      </x:c>
      <x:c r="P534" s="160" t="inlineStr">
        <x:is>
          <x:t xml:space="preserve">ROBUST</x:t>
        </x:is>
      </x:c>
      <x:c r="Q534" s="160" t="inlineStr">
        <x:is>
          <x:t xml:space="preserve">The mature simulation rule catches the stress without weakening a fatal gate; no rule relaxation is justified.</x:t>
        </x:is>
      </x:c>
      <x:c r="R534" s="160" t="inlineStr">
        <x:is>
          <x:t xml:space="preserve">Force an explicit engine tree: customer job → unit economics → revenue driver → owner-value bridge.</x:t>
        </x:is>
      </x:c>
      <x:c r="S534" s="160" t="inlineStr">
        <x:is>
          <x:t xml:space="preserve">NO</x:t>
        </x:is>
      </x:c>
      <x:c r="T534" s="160" t="inlineStr">
        <x:is>
          <x:t xml:space="preserve">COUNTER-EVIDENCE</x:t>
        </x:is>
      </x:c>
      <x:c r="U534" s="160" t="inlineStr">
        <x:is>
          <x:t xml:space="preserve">V10.5-SIM58</x:t>
        </x:is>
      </x:c>
      <x:c r="V534" s="160" t="inlineStr">
        <x:is>
          <x:t xml:space="preserve">https://investors.fiserv.com</x:t>
        </x:is>
      </x:c>
      <x:c r="W534" s="160" t="inlineStr">
        <x:is>
          <x:t xml:space="preserve">NO</x:t>
        </x:is>
      </x:c>
      <x:c r="X534" s="160" t="inlineStr">
        <x:is>
          <x:t xml:space="preserve">NONE — DEVELOPMENT ONLY</x:t>
        </x:is>
      </x:c>
      <x:c r="Y534" s="160" t="inlineStr">
        <x:is>
          <x:t xml:space="preserve">Synthetic/adversarial model-development loop. No historical outcome is claimed; no accuracy point is awarded.</x:t>
        </x:is>
      </x:c>
    </x:row>
    <x:row r="535">
      <x:c r="A535" s="160" t="inlineStr">
        <x:is>
          <x:t xml:space="preserve">ML0530</x:t>
        </x:is>
      </x:c>
      <x:c r="B535" s="160" t="inlineStr">
        <x:is>
          <x:t xml:space="preserve">ARG-034</x:t>
        </x:is>
      </x:c>
      <x:c r="C535" s="160" t="inlineStr">
        <x:is>
          <x:t xml:space="preserve">Fiserv</x:t>
        </x:is>
      </x:c>
      <x:c r="D535" s="160" t="inlineStr">
        <x:is>
          <x:t xml:space="preserve">FISV</x:t>
        </x:is>
      </x:c>
      <x:c r="E535" s="160" t="inlineStr">
        <x:is>
          <x:t xml:space="preserve">Software &amp; Payments</x:t>
        </x:is>
      </x:c>
      <x:c r="F535" s="160" t="inlineStr">
        <x:is>
          <x:t xml:space="preserve">Development</x:t>
        </x:is>
      </x:c>
      <x:c r="G535" s="160" t="inlineStr">
        <x:is>
          <x:t xml:space="preserve">S02</x:t>
        </x:is>
      </x:c>
      <x:c r="H535" s="160" t="inlineStr">
        <x:is>
          <x:t xml:space="preserve">Owner Earnings Normalization</x:t>
        </x:is>
      </x:c>
      <x:c r="I535" s="160" t="inlineStr">
        <x:is>
          <x:t xml:space="preserve">Owner Earnings</x:t>
        </x:is>
      </x:c>
      <x:c r="J535" s="160" t="inlineStr">
        <x:is>
          <x:t xml:space="preserve">Reported earnings/FCF overstates economic cash because recurring reinvestment or non-cash compensation is misclassified.</x:t>
        </x:is>
      </x:c>
      <x:c r="K535" s="160" t="inlineStr">
        <x:is>
          <x:t xml:space="preserve">Merchant/bank technology volumes and recurring revenue</x:t>
        </x:is>
      </x:c>
      <x:c r="L535" s="160" t="inlineStr">
        <x:is>
          <x:t xml:space="preserve">Owner earnings + reverse DCF</x:t>
        </x:is>
      </x:c>
      <x:c r="M535" s="160" t="inlineStr">
        <x:is>
          <x:t xml:space="preserve">WAIT / VALUE-TRAP RISK</x:t>
        </x:is>
      </x:c>
      <x:c r="N535" s="160" t="inlineStr">
        <x:is>
          <x:t xml:space="preserve">R-OE-01</x:t>
        </x:is>
      </x:c>
      <x:c r="O535" s="160" t="inlineStr">
        <x:is>
          <x:t xml:space="preserve">COUNTER-EVIDENCE</x:t>
        </x:is>
      </x:c>
      <x:c r="P535" s="160" t="inlineStr">
        <x:is>
          <x:t xml:space="preserve">ROBUST</x:t>
        </x:is>
      </x:c>
      <x:c r="Q535" s="160" t="inlineStr">
        <x:is>
          <x:t xml:space="preserve">The mature simulation rule catches the stress without weakening a fatal gate; no rule relaxation is justified.</x:t>
        </x:is>
      </x:c>
      <x:c r="R535" s="160" t="inlineStr">
        <x:is>
          <x:t xml:space="preserve">Require a GAAP-to-economic-owner-cash bridge tailored to the business model.</x:t>
        </x:is>
      </x:c>
      <x:c r="S535" s="160" t="inlineStr">
        <x:is>
          <x:t xml:space="preserve">NO</x:t>
        </x:is>
      </x:c>
      <x:c r="T535" s="160" t="inlineStr">
        <x:is>
          <x:t xml:space="preserve">COUNTER-EVIDENCE</x:t>
        </x:is>
      </x:c>
      <x:c r="U535" s="160" t="inlineStr">
        <x:is>
          <x:t xml:space="preserve">V10.5-SIM58</x:t>
        </x:is>
      </x:c>
      <x:c r="V535" s="160" t="inlineStr">
        <x:is>
          <x:t xml:space="preserve">https://investors.fiserv.com</x:t>
        </x:is>
      </x:c>
      <x:c r="W535" s="160" t="inlineStr">
        <x:is>
          <x:t xml:space="preserve">NO</x:t>
        </x:is>
      </x:c>
      <x:c r="X535" s="160" t="inlineStr">
        <x:is>
          <x:t xml:space="preserve">NONE — DEVELOPMENT ONLY</x:t>
        </x:is>
      </x:c>
      <x:c r="Y535" s="160" t="inlineStr">
        <x:is>
          <x:t xml:space="preserve">Synthetic/adversarial model-development loop. No historical outcome is claimed; no accuracy point is awarded.</x:t>
        </x:is>
      </x:c>
    </x:row>
    <x:row r="536">
      <x:c r="A536" s="160" t="inlineStr">
        <x:is>
          <x:t xml:space="preserve">ML0531</x:t>
        </x:is>
      </x:c>
      <x:c r="B536" s="160" t="inlineStr">
        <x:is>
          <x:t xml:space="preserve">ARG-034</x:t>
        </x:is>
      </x:c>
      <x:c r="C536" s="160" t="inlineStr">
        <x:is>
          <x:t xml:space="preserve">Fiserv</x:t>
        </x:is>
      </x:c>
      <x:c r="D536" s="160" t="inlineStr">
        <x:is>
          <x:t xml:space="preserve">FISV</x:t>
        </x:is>
      </x:c>
      <x:c r="E536" s="160" t="inlineStr">
        <x:is>
          <x:t xml:space="preserve">Software &amp; Payments</x:t>
        </x:is>
      </x:c>
      <x:c r="F536" s="160" t="inlineStr">
        <x:is>
          <x:t xml:space="preserve">Development</x:t>
        </x:is>
      </x:c>
      <x:c r="G536" s="160" t="inlineStr">
        <x:is>
          <x:t xml:space="preserve">S03</x:t>
        </x:is>
      </x:c>
      <x:c r="H536" s="160" t="inlineStr">
        <x:is>
          <x:t xml:space="preserve">Moat Durability</x:t>
        </x:is>
      </x:c>
      <x:c r="I536" s="160" t="inlineStr">
        <x:is>
          <x:t xml:space="preserve">Moat 2036</x:t>
        </x:is>
      </x:c>
      <x:c r="J536" s="160" t="inlineStr">
        <x:is>
          <x:t xml:space="preserve">Growth continues while switching friction, pricing power or replacement difficulty quietly weakens.</x:t>
        </x:is>
      </x:c>
      <x:c r="K536" s="160" t="inlineStr">
        <x:is>
          <x:t xml:space="preserve">Merchant/bank technology volumes and recurring revenue</x:t>
        </x:is>
      </x:c>
      <x:c r="L536" s="160" t="inlineStr">
        <x:is>
          <x:t xml:space="preserve">Owner earnings + reverse DCF</x:t>
        </x:is>
      </x:c>
      <x:c r="M536" s="160" t="inlineStr">
        <x:is>
          <x:t xml:space="preserve">WAIT / VALUE-TRAP RISK</x:t>
        </x:is>
      </x:c>
      <x:c r="N536" s="160" t="inlineStr">
        <x:is>
          <x:t xml:space="preserve">R-MOAT-01</x:t>
        </x:is>
      </x:c>
      <x:c r="O536" s="160" t="inlineStr">
        <x:is>
          <x:t xml:space="preserve">COUNTER-EVIDENCE</x:t>
        </x:is>
      </x:c>
      <x:c r="P536" s="160" t="inlineStr">
        <x:is>
          <x:t xml:space="preserve">ROBUST</x:t>
        </x:is>
      </x:c>
      <x:c r="Q536" s="160" t="inlineStr">
        <x:is>
          <x:t xml:space="preserve">The mature simulation rule catches the stress without weakening a fatal gate; no rule relaxation is justified.</x:t>
        </x:is>
      </x:c>
      <x:c r="R536" s="160" t="inlineStr">
        <x:is>
          <x:t xml:space="preserve">Track moat telemetry separately from growth: retention, pricing, win/loss, replacement friction, installed-base behavior.</x:t>
        </x:is>
      </x:c>
      <x:c r="S536" s="160" t="inlineStr">
        <x:is>
          <x:t xml:space="preserve">NO</x:t>
        </x:is>
      </x:c>
      <x:c r="T536" s="160" t="inlineStr">
        <x:is>
          <x:t xml:space="preserve">COUNTER-EVIDENCE</x:t>
        </x:is>
      </x:c>
      <x:c r="U536" s="160" t="inlineStr">
        <x:is>
          <x:t xml:space="preserve">V10.5-SIM58</x:t>
        </x:is>
      </x:c>
      <x:c r="V536" s="160" t="inlineStr">
        <x:is>
          <x:t xml:space="preserve">https://investors.fiserv.com</x:t>
        </x:is>
      </x:c>
      <x:c r="W536" s="160" t="inlineStr">
        <x:is>
          <x:t xml:space="preserve">NO</x:t>
        </x:is>
      </x:c>
      <x:c r="X536" s="160" t="inlineStr">
        <x:is>
          <x:t xml:space="preserve">NONE — DEVELOPMENT ONLY</x:t>
        </x:is>
      </x:c>
      <x:c r="Y536" s="160" t="inlineStr">
        <x:is>
          <x:t xml:space="preserve">Synthetic/adversarial model-development loop. No historical outcome is claimed; no accuracy point is awarded.</x:t>
        </x:is>
      </x:c>
    </x:row>
    <x:row r="537">
      <x:c r="A537" s="160" t="inlineStr">
        <x:is>
          <x:t xml:space="preserve">ML0532</x:t>
        </x:is>
      </x:c>
      <x:c r="B537" s="160" t="inlineStr">
        <x:is>
          <x:t xml:space="preserve">ARG-034</x:t>
        </x:is>
      </x:c>
      <x:c r="C537" s="160" t="inlineStr">
        <x:is>
          <x:t xml:space="preserve">Fiserv</x:t>
        </x:is>
      </x:c>
      <x:c r="D537" s="160" t="inlineStr">
        <x:is>
          <x:t xml:space="preserve">FISV</x:t>
        </x:is>
      </x:c>
      <x:c r="E537" s="160" t="inlineStr">
        <x:is>
          <x:t xml:space="preserve">Software &amp; Payments</x:t>
        </x:is>
      </x:c>
      <x:c r="F537" s="160" t="inlineStr">
        <x:is>
          <x:t xml:space="preserve">Development</x:t>
        </x:is>
      </x:c>
      <x:c r="G537" s="160" t="inlineStr">
        <x:is>
          <x:t xml:space="preserve">S04</x:t>
        </x:is>
      </x:c>
      <x:c r="H537" s="160" t="inlineStr">
        <x:is>
          <x:t xml:space="preserve">Stewardship / Capital Allocation</x:t>
        </x:is>
      </x:c>
      <x:c r="I537" s="160" t="inlineStr">
        <x:is>
          <x:t xml:space="preserve">Stewardship</x:t>
        </x:is>
      </x:c>
      <x:c r="J537" s="160" t="inlineStr">
        <x:is>
          <x:t xml:space="preserve">Management creates enterprise growth while destroying per-share value through M&amp;A, dilution, leverage or mistimed buybacks.</x:t>
        </x:is>
      </x:c>
      <x:c r="K537" s="160" t="inlineStr">
        <x:is>
          <x:t xml:space="preserve">Merchant/bank technology volumes and recurring revenue</x:t>
        </x:is>
      </x:c>
      <x:c r="L537" s="160" t="inlineStr">
        <x:is>
          <x:t xml:space="preserve">Owner earnings + reverse DCF</x:t>
        </x:is>
      </x:c>
      <x:c r="M537" s="160" t="inlineStr">
        <x:is>
          <x:t xml:space="preserve">WAIT / VALUE-TRAP RISK</x:t>
        </x:is>
      </x:c>
      <x:c r="N537" s="160" t="inlineStr">
        <x:is>
          <x:t xml:space="preserve">R-STEW-01</x:t>
        </x:is>
      </x:c>
      <x:c r="O537" s="160" t="inlineStr">
        <x:is>
          <x:t xml:space="preserve">COUNTER-EVIDENCE</x:t>
        </x:is>
      </x:c>
      <x:c r="P537" s="160" t="inlineStr">
        <x:is>
          <x:t xml:space="preserve">ROBUST</x:t>
        </x:is>
      </x:c>
      <x:c r="Q537" s="160" t="inlineStr">
        <x:is>
          <x:t xml:space="preserve">The mature simulation rule catches the stress without weakening a fatal gate; no rule relaxation is justified.</x:t>
        </x:is>
      </x:c>
      <x:c r="R537" s="160" t="inlineStr">
        <x:is>
          <x:t xml:space="preserve">Evaluate capital allocation on a per-share basis using acquisition cohorts, dilution, leverage and repurchase price discipline.</x:t>
        </x:is>
      </x:c>
      <x:c r="S537" s="160" t="inlineStr">
        <x:is>
          <x:t xml:space="preserve">NO</x:t>
        </x:is>
      </x:c>
      <x:c r="T537" s="160" t="inlineStr">
        <x:is>
          <x:t xml:space="preserve">COUNTER-EVIDENCE</x:t>
        </x:is>
      </x:c>
      <x:c r="U537" s="160" t="inlineStr">
        <x:is>
          <x:t xml:space="preserve">V10.5-SIM58</x:t>
        </x:is>
      </x:c>
      <x:c r="V537" s="160" t="inlineStr">
        <x:is>
          <x:t xml:space="preserve">https://investors.fiserv.com</x:t>
        </x:is>
      </x:c>
      <x:c r="W537" s="160" t="inlineStr">
        <x:is>
          <x:t xml:space="preserve">NO</x:t>
        </x:is>
      </x:c>
      <x:c r="X537" s="160" t="inlineStr">
        <x:is>
          <x:t xml:space="preserve">NONE — DEVELOPMENT ONLY</x:t>
        </x:is>
      </x:c>
      <x:c r="Y537" s="160" t="inlineStr">
        <x:is>
          <x:t xml:space="preserve">Synthetic/adversarial model-development loop. No historical outcome is claimed; no accuracy point is awarded.</x:t>
        </x:is>
      </x:c>
    </x:row>
    <x:row r="538">
      <x:c r="A538" s="160" t="inlineStr">
        <x:is>
          <x:t xml:space="preserve">ML0533</x:t>
        </x:is>
      </x:c>
      <x:c r="B538" s="160" t="inlineStr">
        <x:is>
          <x:t xml:space="preserve">ARG-034</x:t>
        </x:is>
      </x:c>
      <x:c r="C538" s="160" t="inlineStr">
        <x:is>
          <x:t xml:space="preserve">Fiserv</x:t>
        </x:is>
      </x:c>
      <x:c r="D538" s="160" t="inlineStr">
        <x:is>
          <x:t xml:space="preserve">FISV</x:t>
        </x:is>
      </x:c>
      <x:c r="E538" s="160" t="inlineStr">
        <x:is>
          <x:t xml:space="preserve">Software &amp; Payments</x:t>
        </x:is>
      </x:c>
      <x:c r="F538" s="160" t="inlineStr">
        <x:is>
          <x:t xml:space="preserve">Development</x:t>
        </x:is>
      </x:c>
      <x:c r="G538" s="160" t="inlineStr">
        <x:is>
          <x:t xml:space="preserve">S05</x:t>
        </x:is>
      </x:c>
      <x:c r="H538" s="160" t="inlineStr">
        <x:is>
          <x:t xml:space="preserve">Survival / Funding</x:t>
        </x:is>
      </x:c>
      <x:c r="I538" s="160" t="inlineStr">
        <x:is>
          <x:t xml:space="preserve">Survival</x:t>
        </x:is>
      </x:c>
      <x:c r="J538" s="160" t="inlineStr">
        <x:is>
          <x:t xml:space="preserve">A plausible bear case exposes refinancing, liquidity, covenant, reserve, regulatory or operational fragility.</x:t>
        </x:is>
      </x:c>
      <x:c r="K538" s="160" t="inlineStr">
        <x:is>
          <x:t xml:space="preserve">Merchant/bank technology volumes and recurring revenue</x:t>
        </x:is>
      </x:c>
      <x:c r="L538" s="160" t="inlineStr">
        <x:is>
          <x:t xml:space="preserve">Owner earnings + reverse DCF</x:t>
        </x:is>
      </x:c>
      <x:c r="M538" s="160" t="inlineStr">
        <x:is>
          <x:t xml:space="preserve">WAIT / VALUE-TRAP RISK</x:t>
        </x:is>
      </x:c>
      <x:c r="N538" s="160" t="inlineStr">
        <x:is>
          <x:t xml:space="preserve">R-SURV-01</x:t>
        </x:is>
      </x:c>
      <x:c r="O538" s="160" t="inlineStr">
        <x:is>
          <x:t xml:space="preserve">COUNTER-EVIDENCE</x:t>
        </x:is>
      </x:c>
      <x:c r="P538" s="160" t="inlineStr">
        <x:is>
          <x:t xml:space="preserve">ROBUST</x:t>
        </x:is>
      </x:c>
      <x:c r="Q538" s="160" t="inlineStr">
        <x:is>
          <x:t xml:space="preserve">The mature simulation rule catches the stress without weakening a fatal gate; no rule relaxation is justified.</x:t>
        </x:is>
      </x:c>
      <x:c r="R538" s="160" t="inlineStr">
        <x:is>
          <x:t xml:space="preserve">Run a company-specific survival bridge under a severe-but-plausible bear case before any upside underwriting.</x:t>
        </x:is>
      </x:c>
      <x:c r="S538" s="160" t="inlineStr">
        <x:is>
          <x:t xml:space="preserve">NO</x:t>
        </x:is>
      </x:c>
      <x:c r="T538" s="160" t="inlineStr">
        <x:is>
          <x:t xml:space="preserve">COUNTER-EVIDENCE</x:t>
        </x:is>
      </x:c>
      <x:c r="U538" s="160" t="inlineStr">
        <x:is>
          <x:t xml:space="preserve">V10.5-SIM58</x:t>
        </x:is>
      </x:c>
      <x:c r="V538" s="160" t="inlineStr">
        <x:is>
          <x:t xml:space="preserve">https://investors.fiserv.com</x:t>
        </x:is>
      </x:c>
      <x:c r="W538" s="160" t="inlineStr">
        <x:is>
          <x:t xml:space="preserve">NO</x:t>
        </x:is>
      </x:c>
      <x:c r="X538" s="160" t="inlineStr">
        <x:is>
          <x:t xml:space="preserve">NONE — DEVELOPMENT ONLY</x:t>
        </x:is>
      </x:c>
      <x:c r="Y538" s="160" t="inlineStr">
        <x:is>
          <x:t xml:space="preserve">Synthetic/adversarial model-development loop. No historical outcome is claimed; no accuracy point is awarded.</x:t>
        </x:is>
      </x:c>
    </x:row>
    <x:row r="539">
      <x:c r="A539" s="160" t="inlineStr">
        <x:is>
          <x:t xml:space="preserve">ML0534</x:t>
        </x:is>
      </x:c>
      <x:c r="B539" s="160" t="inlineStr">
        <x:is>
          <x:t xml:space="preserve">ARG-034</x:t>
        </x:is>
      </x:c>
      <x:c r="C539" s="160" t="inlineStr">
        <x:is>
          <x:t xml:space="preserve">Fiserv</x:t>
        </x:is>
      </x:c>
      <x:c r="D539" s="160" t="inlineStr">
        <x:is>
          <x:t xml:space="preserve">FISV</x:t>
        </x:is>
      </x:c>
      <x:c r="E539" s="160" t="inlineStr">
        <x:is>
          <x:t xml:space="preserve">Software &amp; Payments</x:t>
        </x:is>
      </x:c>
      <x:c r="F539" s="160" t="inlineStr">
        <x:is>
          <x:t xml:space="preserve">Development</x:t>
        </x:is>
      </x:c>
      <x:c r="G539" s="160" t="inlineStr">
        <x:is>
          <x:t xml:space="preserve">S06</x:t>
        </x:is>
      </x:c>
      <x:c r="H539" s="160" t="inlineStr">
        <x:is>
          <x:t xml:space="preserve">Margin of Safety</x:t>
        </x:is>
      </x:c>
      <x:c r="I539" s="160" t="inlineStr">
        <x:is>
          <x:t xml:space="preserve">Margin of Safety</x:t>
        </x:is>
      </x:c>
      <x:c r="J539" s="160" t="inlineStr">
        <x:is>
          <x:t xml:space="preserve">Business quality is high but the price embeds a fragile bull case.</x:t>
        </x:is>
      </x:c>
      <x:c r="K539" s="160" t="inlineStr">
        <x:is>
          <x:t xml:space="preserve">Merchant/bank technology volumes and recurring revenue</x:t>
        </x:is>
      </x:c>
      <x:c r="L539" s="160" t="inlineStr">
        <x:is>
          <x:t xml:space="preserve">Owner earnings + reverse DCF</x:t>
        </x:is>
      </x:c>
      <x:c r="M539" s="160" t="inlineStr">
        <x:is>
          <x:t xml:space="preserve">WAIT / VALUE-TRAP RISK</x:t>
        </x:is>
      </x:c>
      <x:c r="N539" s="160" t="inlineStr">
        <x:is>
          <x:t xml:space="preserve">R-MOS-01</x:t>
        </x:is>
      </x:c>
      <x:c r="O539" s="160" t="inlineStr">
        <x:is>
          <x:t xml:space="preserve">COUNTER-EVIDENCE</x:t>
        </x:is>
      </x:c>
      <x:c r="P539" s="160" t="inlineStr">
        <x:is>
          <x:t xml:space="preserve">ROBUST</x:t>
        </x:is>
      </x:c>
      <x:c r="Q539" s="160" t="inlineStr">
        <x:is>
          <x:t xml:space="preserve">The mature simulation rule catches the stress without weakening a fatal gate; no rule relaxation is justified.</x:t>
        </x:is>
      </x:c>
      <x:c r="R539" s="160" t="inlineStr">
        <x:is>
          <x:t xml:space="preserve">Separate business-quality score from price decision; require reverse valuation and bear/base/bull IV ranges.</x:t>
        </x:is>
      </x:c>
      <x:c r="S539" s="160" t="inlineStr">
        <x:is>
          <x:t xml:space="preserve">NO</x:t>
        </x:is>
      </x:c>
      <x:c r="T539" s="160" t="inlineStr">
        <x:is>
          <x:t xml:space="preserve">COUNTER-EVIDENCE</x:t>
        </x:is>
      </x:c>
      <x:c r="U539" s="160" t="inlineStr">
        <x:is>
          <x:t xml:space="preserve">V10.5-SIM58</x:t>
        </x:is>
      </x:c>
      <x:c r="V539" s="160" t="inlineStr">
        <x:is>
          <x:t xml:space="preserve">https://investors.fiserv.com</x:t>
        </x:is>
      </x:c>
      <x:c r="W539" s="160" t="inlineStr">
        <x:is>
          <x:t xml:space="preserve">NO</x:t>
        </x:is>
      </x:c>
      <x:c r="X539" s="160" t="inlineStr">
        <x:is>
          <x:t xml:space="preserve">NONE — DEVELOPMENT ONLY</x:t>
        </x:is>
      </x:c>
      <x:c r="Y539" s="160" t="inlineStr">
        <x:is>
          <x:t xml:space="preserve">Synthetic/adversarial model-development loop. No historical outcome is claimed; no accuracy point is awarded.</x:t>
        </x:is>
      </x:c>
    </x:row>
    <x:row r="540">
      <x:c r="A540" s="160" t="inlineStr">
        <x:is>
          <x:t xml:space="preserve">ML0535</x:t>
        </x:is>
      </x:c>
      <x:c r="B540" s="160" t="inlineStr">
        <x:is>
          <x:t xml:space="preserve">ARG-034</x:t>
        </x:is>
      </x:c>
      <x:c r="C540" s="160" t="inlineStr">
        <x:is>
          <x:t xml:space="preserve">Fiserv</x:t>
        </x:is>
      </x:c>
      <x:c r="D540" s="160" t="inlineStr">
        <x:is>
          <x:t xml:space="preserve">FISV</x:t>
        </x:is>
      </x:c>
      <x:c r="E540" s="160" t="inlineStr">
        <x:is>
          <x:t xml:space="preserve">Software &amp; Payments</x:t>
        </x:is>
      </x:c>
      <x:c r="F540" s="160" t="inlineStr">
        <x:is>
          <x:t xml:space="preserve">Development</x:t>
        </x:is>
      </x:c>
      <x:c r="G540" s="160" t="inlineStr">
        <x:is>
          <x:t xml:space="preserve">S07</x:t>
        </x:is>
      </x:c>
      <x:c r="H540" s="160" t="inlineStr">
        <x:is>
          <x:t xml:space="preserve">Sector Shock</x:t>
        </x:is>
      </x:c>
      <x:c r="I540" s="160" t="inlineStr">
        <x:is>
          <x:t xml:space="preserve">Sector-specific</x:t>
        </x:is>
      </x:c>
      <x:c r="J540" s="160" t="inlineStr">
        <x:is>
          <x:t xml:space="preserve">Revenue/ARR grows while retention quality, take rate, SBC, AI capex or competitive substitution weakens owner earnings.</x:t>
        </x:is>
      </x:c>
      <x:c r="K540" s="160" t="inlineStr">
        <x:is>
          <x:t xml:space="preserve">Merchant/bank technology volumes and recurring revenue</x:t>
        </x:is>
      </x:c>
      <x:c r="L540" s="160" t="inlineStr">
        <x:is>
          <x:t xml:space="preserve">Owner earnings + reverse DCF</x:t>
        </x:is>
      </x:c>
      <x:c r="M540" s="160" t="inlineStr">
        <x:is>
          <x:t xml:space="preserve">WAIT / VALUE-TRAP RISK</x:t>
        </x:is>
      </x:c>
      <x:c r="N540" s="160" t="inlineStr">
        <x:is>
          <x:t xml:space="preserve">R-SECTOR-SOFTWARE-PAYMENTS</x:t>
        </x:is>
      </x:c>
      <x:c r="O540" s="160" t="inlineStr">
        <x:is>
          <x:t xml:space="preserve">UNFORMED</x:t>
        </x:is>
      </x:c>
      <x:c r="P540" s="160" t="inlineStr">
        <x:is>
          <x:t xml:space="preserve">WEAKNESS EXPOSED</x:t>
        </x:is>
      </x:c>
      <x:c r="Q540" s="160" t="inlineStr">
        <x:is>
          <x:t xml:space="preserve">The frozen V10 gate family is directionally right, but the test lacks a sufficiently explicit mechanical implementation.</x:t>
        </x:is>
      </x:c>
      <x:c r="R540"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S540" s="160" t="inlineStr">
        <x:is>
          <x:t xml:space="preserve">YES — SIMULATION ONLY</x:t>
        </x:is>
      </x:c>
      <x:c r="T540" s="160" t="inlineStr">
        <x:is>
          <x:t xml:space="preserve">BASE</x:t>
        </x:is>
      </x:c>
      <x:c r="U540" s="160" t="inlineStr">
        <x:is>
          <x:t xml:space="preserve">V10.5-SIM59</x:t>
        </x:is>
      </x:c>
      <x:c r="V540" s="160" t="inlineStr">
        <x:is>
          <x:t xml:space="preserve">https://investors.fiserv.com</x:t>
        </x:is>
      </x:c>
      <x:c r="W540" s="160" t="inlineStr">
        <x:is>
          <x:t xml:space="preserve">NO</x:t>
        </x:is>
      </x:c>
      <x:c r="X540" s="160" t="inlineStr">
        <x:is>
          <x:t xml:space="preserve">NONE — DEVELOPMENT ONLY</x:t>
        </x:is>
      </x:c>
      <x:c r="Y540" s="160" t="inlineStr">
        <x:is>
          <x:t xml:space="preserve">Synthetic/adversarial model-development loop. No historical outcome is claimed; no accuracy point is awarded.</x:t>
        </x:is>
      </x:c>
    </x:row>
    <x:row r="541">
      <x:c r="A541" s="160" t="inlineStr">
        <x:is>
          <x:t xml:space="preserve">ML0536</x:t>
        </x:is>
      </x:c>
      <x:c r="B541" s="160" t="inlineStr">
        <x:is>
          <x:t xml:space="preserve">ARG-034</x:t>
        </x:is>
      </x:c>
      <x:c r="C541" s="160" t="inlineStr">
        <x:is>
          <x:t xml:space="preserve">Fiserv</x:t>
        </x:is>
      </x:c>
      <x:c r="D541" s="160" t="inlineStr">
        <x:is>
          <x:t xml:space="preserve">FISV</x:t>
        </x:is>
      </x:c>
      <x:c r="E541" s="160" t="inlineStr">
        <x:is>
          <x:t xml:space="preserve">Software &amp; Payments</x:t>
        </x:is>
      </x:c>
      <x:c r="F541" s="160" t="inlineStr">
        <x:is>
          <x:t xml:space="preserve">Development</x:t>
        </x:is>
      </x:c>
      <x:c r="G541" s="160" t="inlineStr">
        <x:is>
          <x:t xml:space="preserve">S08</x:t>
        </x:is>
      </x:c>
      <x:c r="H541" s="160" t="inlineStr">
        <x:is>
          <x:t xml:space="preserve">Management Promise Reliability</x:t>
        </x:is>
      </x:c>
      <x:c r="I541" s="160" t="inlineStr">
        <x:is>
          <x:t xml:space="preserve">Management over-trust</x:t>
        </x:is>
      </x:c>
      <x:c r="J541" s="160" t="inlineStr">
        <x:is>
          <x:t xml:space="preserve">Guidance or strategic promises are repeated but the model lacks a contemporaneous reliability score.</x:t>
        </x:is>
      </x:c>
      <x:c r="K541" s="160" t="inlineStr">
        <x:is>
          <x:t xml:space="preserve">Merchant/bank technology volumes and recurring revenue</x:t>
        </x:is>
      </x:c>
      <x:c r="L541" s="160" t="inlineStr">
        <x:is>
          <x:t xml:space="preserve">Owner earnings + reverse DCF</x:t>
        </x:is>
      </x:c>
      <x:c r="M541" s="160" t="inlineStr">
        <x:is>
          <x:t xml:space="preserve">WAIT / VALUE-TRAP RISK</x:t>
        </x:is>
      </x:c>
      <x:c r="N541" s="160" t="inlineStr">
        <x:is>
          <x:t xml:space="preserve">R-PROM-01</x:t>
        </x:is>
      </x:c>
      <x:c r="O541" s="160" t="inlineStr">
        <x:is>
          <x:t xml:space="preserve">COUNTER-EVIDENCE</x:t>
        </x:is>
      </x:c>
      <x:c r="P541" s="160" t="inlineStr">
        <x:is>
          <x:t xml:space="preserve">ROBUST</x:t>
        </x:is>
      </x:c>
      <x:c r="Q541" s="160" t="inlineStr">
        <x:is>
          <x:t xml:space="preserve">The mature simulation rule catches the stress without weakening a fatal gate; no rule relaxation is justified.</x:t>
        </x:is>
      </x:c>
      <x:c r="R541" s="160" t="inlineStr">
        <x:is>
          <x:t xml:space="preserve">Use a promises ledger with dated promise, measurable deliverable, due date, outcome and credibility weight.</x:t>
        </x:is>
      </x:c>
      <x:c r="S541" s="160" t="inlineStr">
        <x:is>
          <x:t xml:space="preserve">NO</x:t>
        </x:is>
      </x:c>
      <x:c r="T541" s="160" t="inlineStr">
        <x:is>
          <x:t xml:space="preserve">COUNTER-EVIDENCE</x:t>
        </x:is>
      </x:c>
      <x:c r="U541" s="160" t="inlineStr">
        <x:is>
          <x:t xml:space="preserve">V10.5-SIM59</x:t>
        </x:is>
      </x:c>
      <x:c r="V541" s="160" t="inlineStr">
        <x:is>
          <x:t xml:space="preserve">https://investors.fiserv.com</x:t>
        </x:is>
      </x:c>
      <x:c r="W541" s="160" t="inlineStr">
        <x:is>
          <x:t xml:space="preserve">NO</x:t>
        </x:is>
      </x:c>
      <x:c r="X541" s="160" t="inlineStr">
        <x:is>
          <x:t xml:space="preserve">NONE — DEVELOPMENT ONLY</x:t>
        </x:is>
      </x:c>
      <x:c r="Y541" s="160" t="inlineStr">
        <x:is>
          <x:t xml:space="preserve">Synthetic/adversarial model-development loop. No historical outcome is claimed; no accuracy point is awarded.</x:t>
        </x:is>
      </x:c>
    </x:row>
    <x:row r="542">
      <x:c r="A542" s="160" t="inlineStr">
        <x:is>
          <x:t xml:space="preserve">ML0537</x:t>
        </x:is>
      </x:c>
      <x:c r="B542" s="160" t="inlineStr">
        <x:is>
          <x:t xml:space="preserve">ARG-034</x:t>
        </x:is>
      </x:c>
      <x:c r="C542" s="160" t="inlineStr">
        <x:is>
          <x:t xml:space="preserve">Fiserv</x:t>
        </x:is>
      </x:c>
      <x:c r="D542" s="160" t="inlineStr">
        <x:is>
          <x:t xml:space="preserve">FISV</x:t>
        </x:is>
      </x:c>
      <x:c r="E542" s="160" t="inlineStr">
        <x:is>
          <x:t xml:space="preserve">Software &amp; Payments</x:t>
        </x:is>
      </x:c>
      <x:c r="F542" s="160" t="inlineStr">
        <x:is>
          <x:t xml:space="preserve">Development</x:t>
        </x:is>
      </x:c>
      <x:c r="G542" s="160" t="inlineStr">
        <x:is>
          <x:t xml:space="preserve">S09</x:t>
        </x:is>
      </x:c>
      <x:c r="H542" s="160" t="inlineStr">
        <x:is>
          <x:t xml:space="preserve">Data / Accounting Quality</x:t>
        </x:is>
      </x:c>
      <x:c r="I542" s="160" t="inlineStr">
        <x:is>
          <x:t xml:space="preserve">Data quality</x:t>
        </x:is>
      </x:c>
      <x:c r="J542" s="160" t="inlineStr">
        <x:is>
          <x:t xml:space="preserve">Restatement, segment reclassification, one-time item or non-economic fair-value movement distorts the apparent trend.</x:t>
        </x:is>
      </x:c>
      <x:c r="K542" s="160" t="inlineStr">
        <x:is>
          <x:t xml:space="preserve">Merchant/bank technology volumes and recurring revenue</x:t>
        </x:is>
      </x:c>
      <x:c r="L542" s="160" t="inlineStr">
        <x:is>
          <x:t xml:space="preserve">Owner earnings + reverse DCF</x:t>
        </x:is>
      </x:c>
      <x:c r="M542" s="160" t="inlineStr">
        <x:is>
          <x:t xml:space="preserve">WAIT / VALUE-TRAP RISK</x:t>
        </x:is>
      </x:c>
      <x:c r="N542" s="160" t="inlineStr">
        <x:is>
          <x:t xml:space="preserve">R-DATA-01</x:t>
        </x:is>
      </x:c>
      <x:c r="O542" s="160" t="inlineStr">
        <x:is>
          <x:t xml:space="preserve">COUNTER-EVIDENCE</x:t>
        </x:is>
      </x:c>
      <x:c r="P542" s="160" t="inlineStr">
        <x:is>
          <x:t xml:space="preserve">ROBUST</x:t>
        </x:is>
      </x:c>
      <x:c r="Q542" s="160" t="inlineStr">
        <x:is>
          <x:t xml:space="preserve">The mature simulation rule catches the stress without weakening a fatal gate; no rule relaxation is justified.</x:t>
        </x:is>
      </x:c>
      <x:c r="R542" s="160" t="inlineStr">
        <x:is>
          <x:t xml:space="preserve">Add a reporting-quality bridge and normalize accounting noise before any gate can pass.</x:t>
        </x:is>
      </x:c>
      <x:c r="S542" s="160" t="inlineStr">
        <x:is>
          <x:t xml:space="preserve">NO</x:t>
        </x:is>
      </x:c>
      <x:c r="T542" s="160" t="inlineStr">
        <x:is>
          <x:t xml:space="preserve">COUNTER-EVIDENCE</x:t>
        </x:is>
      </x:c>
      <x:c r="U542" s="160" t="inlineStr">
        <x:is>
          <x:t xml:space="preserve">V10.5-SIM59</x:t>
        </x:is>
      </x:c>
      <x:c r="V542" s="160" t="inlineStr">
        <x:is>
          <x:t xml:space="preserve">https://investors.fiserv.com</x:t>
        </x:is>
      </x:c>
      <x:c r="W542" s="160" t="inlineStr">
        <x:is>
          <x:t xml:space="preserve">NO</x:t>
        </x:is>
      </x:c>
      <x:c r="X542" s="160" t="inlineStr">
        <x:is>
          <x:t xml:space="preserve">NONE — DEVELOPMENT ONLY</x:t>
        </x:is>
      </x:c>
      <x:c r="Y542" s="160" t="inlineStr">
        <x:is>
          <x:t xml:space="preserve">Synthetic/adversarial model-development loop. No historical outcome is claimed; no accuracy point is awarded.</x:t>
        </x:is>
      </x:c>
    </x:row>
    <x:row r="543">
      <x:c r="A543" s="160" t="inlineStr">
        <x:is>
          <x:t xml:space="preserve">ML0538</x:t>
        </x:is>
      </x:c>
      <x:c r="B543" s="160" t="inlineStr">
        <x:is>
          <x:t xml:space="preserve">ARG-034</x:t>
        </x:is>
      </x:c>
      <x:c r="C543" s="160" t="inlineStr">
        <x:is>
          <x:t xml:space="preserve">Fiserv</x:t>
        </x:is>
      </x:c>
      <x:c r="D543" s="160" t="inlineStr">
        <x:is>
          <x:t xml:space="preserve">FISV</x:t>
        </x:is>
      </x:c>
      <x:c r="E543" s="160" t="inlineStr">
        <x:is>
          <x:t xml:space="preserve">Software &amp; Payments</x:t>
        </x:is>
      </x:c>
      <x:c r="F543" s="160" t="inlineStr">
        <x:is>
          <x:t xml:space="preserve">Development</x:t>
        </x:is>
      </x:c>
      <x:c r="G543" s="160" t="inlineStr">
        <x:is>
          <x:t xml:space="preserve">S10</x:t>
        </x:is>
      </x:c>
      <x:c r="H543" s="160" t="inlineStr">
        <x:is>
          <x:t xml:space="preserve">Control / Counterfactual</x:t>
        </x:is>
      </x:c>
      <x:c r="I543" s="160" t="inlineStr">
        <x:is>
          <x:t xml:space="preserve">Sector beta vs company alpha</x:t>
        </x:is>
      </x:c>
      <x:c r="J543" s="160" t="inlineStr">
        <x:is>
          <x:t xml:space="preserve">A positive outcome is mostly sector beta or macro tailwind, not company-specific alpha.</x:t>
        </x:is>
      </x:c>
      <x:c r="K543" s="160" t="inlineStr">
        <x:is>
          <x:t xml:space="preserve">Merchant/bank technology volumes and recurring revenue</x:t>
        </x:is>
      </x:c>
      <x:c r="L543" s="160" t="inlineStr">
        <x:is>
          <x:t xml:space="preserve">Owner earnings + reverse DCF</x:t>
        </x:is>
      </x:c>
      <x:c r="M543" s="160" t="inlineStr">
        <x:is>
          <x:t xml:space="preserve">WAIT / VALUE-TRAP RISK</x:t>
        </x:is>
      </x:c>
      <x:c r="N543" s="160" t="inlineStr">
        <x:is>
          <x:t xml:space="preserve">R-CF-01</x:t>
        </x:is>
      </x:c>
      <x:c r="O543" s="160" t="inlineStr">
        <x:is>
          <x:t xml:space="preserve">COUNTER-EVIDENCE</x:t>
        </x:is>
      </x:c>
      <x:c r="P543" s="160" t="inlineStr">
        <x:is>
          <x:t xml:space="preserve">ROBUST</x:t>
        </x:is>
      </x:c>
      <x:c r="Q543" s="160" t="inlineStr">
        <x:is>
          <x:t xml:space="preserve">The mature simulation rule catches the stress without weakening a fatal gate; no rule relaxation is justified.</x:t>
        </x:is>
      </x:c>
      <x:c r="R543" s="160" t="inlineStr">
        <x:is>
          <x:t xml:space="preserve">Require a true economic control and counterfactual: what should have happened to a comparable company under the same shock?</x:t>
        </x:is>
      </x:c>
      <x:c r="S543" s="160" t="inlineStr">
        <x:is>
          <x:t xml:space="preserve">NO</x:t>
        </x:is>
      </x:c>
      <x:c r="T543" s="160" t="inlineStr">
        <x:is>
          <x:t xml:space="preserve">COUNTER-EVIDENCE</x:t>
        </x:is>
      </x:c>
      <x:c r="U543" s="160" t="inlineStr">
        <x:is>
          <x:t xml:space="preserve">V10.5-SIM59</x:t>
        </x:is>
      </x:c>
      <x:c r="V543" s="160" t="inlineStr">
        <x:is>
          <x:t xml:space="preserve">https://investors.fiserv.com</x:t>
        </x:is>
      </x:c>
      <x:c r="W543" s="160" t="inlineStr">
        <x:is>
          <x:t xml:space="preserve">NO</x:t>
        </x:is>
      </x:c>
      <x:c r="X543" s="160" t="inlineStr">
        <x:is>
          <x:t xml:space="preserve">NONE — DEVELOPMENT ONLY</x:t>
        </x:is>
      </x:c>
      <x:c r="Y543" s="160" t="inlineStr">
        <x:is>
          <x:t xml:space="preserve">Synthetic/adversarial model-development loop. No historical outcome is claimed; no accuracy point is awarded.</x:t>
        </x:is>
      </x:c>
    </x:row>
    <x:row r="544">
      <x:c r="A544" s="160" t="inlineStr">
        <x:is>
          <x:t xml:space="preserve">ML0539</x:t>
        </x:is>
      </x:c>
      <x:c r="B544" s="160" t="inlineStr">
        <x:is>
          <x:t xml:space="preserve">ARG-034</x:t>
        </x:is>
      </x:c>
      <x:c r="C544" s="160" t="inlineStr">
        <x:is>
          <x:t xml:space="preserve">Fiserv</x:t>
        </x:is>
      </x:c>
      <x:c r="D544" s="160" t="inlineStr">
        <x:is>
          <x:t xml:space="preserve">FISV</x:t>
        </x:is>
      </x:c>
      <x:c r="E544" s="160" t="inlineStr">
        <x:is>
          <x:t xml:space="preserve">Software &amp; Payments</x:t>
        </x:is>
      </x:c>
      <x:c r="F544" s="160" t="inlineStr">
        <x:is>
          <x:t xml:space="preserve">Development</x:t>
        </x:is>
      </x:c>
      <x:c r="G544" s="160" t="inlineStr">
        <x:is>
          <x:t xml:space="preserve">S11</x:t>
        </x:is>
      </x:c>
      <x:c r="H544" s="160" t="inlineStr">
        <x:is>
          <x:t xml:space="preserve">False-Negative Discipline</x:t>
        </x:is>
      </x:c>
      <x:c r="I544" s="160" t="inlineStr">
        <x:is>
          <x:t xml:space="preserve">False negative</x:t>
        </x:is>
      </x:c>
      <x:c r="J544" s="160" t="inlineStr">
        <x:is>
          <x:t xml:space="preserve">A strict gate rejects a company that later compounds strongly for reasons the model could have known.</x:t>
        </x:is>
      </x:c>
      <x:c r="K544" s="160" t="inlineStr">
        <x:is>
          <x:t xml:space="preserve">Merchant/bank technology volumes and recurring revenue</x:t>
        </x:is>
      </x:c>
      <x:c r="L544" s="160" t="inlineStr">
        <x:is>
          <x:t xml:space="preserve">Owner earnings + reverse DCF</x:t>
        </x:is>
      </x:c>
      <x:c r="M544" s="160" t="inlineStr">
        <x:is>
          <x:t xml:space="preserve">WAIT / VALUE-TRAP RISK</x:t>
        </x:is>
      </x:c>
      <x:c r="N544" s="160" t="inlineStr">
        <x:is>
          <x:t xml:space="preserve">R-FN-01</x:t>
        </x:is>
      </x:c>
      <x:c r="O544" s="160" t="inlineStr">
        <x:is>
          <x:t xml:space="preserve">COUNTER-EVIDENCE</x:t>
        </x:is>
      </x:c>
      <x:c r="P544" s="160" t="inlineStr">
        <x:is>
          <x:t xml:space="preserve">ROBUST</x:t>
        </x:is>
      </x:c>
      <x:c r="Q544" s="160" t="inlineStr">
        <x:is>
          <x:t xml:space="preserve">The mature simulation rule catches the stress without weakening a fatal gate; no rule relaxation is justified.</x:t>
        </x:is>
      </x:c>
      <x:c r="R544" s="160" t="inlineStr">
        <x:is>
          <x:t xml:space="preserve">Track opportunity cost and classify whether the miss came from evidence timing, wrong threshold or genuinely unknowable upside.</x:t>
        </x:is>
      </x:c>
      <x:c r="S544" s="160" t="inlineStr">
        <x:is>
          <x:t xml:space="preserve">NO</x:t>
        </x:is>
      </x:c>
      <x:c r="T544" s="160" t="inlineStr">
        <x:is>
          <x:t xml:space="preserve">COUNTER-EVIDENCE</x:t>
        </x:is>
      </x:c>
      <x:c r="U544" s="160" t="inlineStr">
        <x:is>
          <x:t xml:space="preserve">V10.5-SIM59</x:t>
        </x:is>
      </x:c>
      <x:c r="V544" s="160" t="inlineStr">
        <x:is>
          <x:t xml:space="preserve">https://investors.fiserv.com</x:t>
        </x:is>
      </x:c>
      <x:c r="W544" s="160" t="inlineStr">
        <x:is>
          <x:t xml:space="preserve">NO</x:t>
        </x:is>
      </x:c>
      <x:c r="X544" s="160" t="inlineStr">
        <x:is>
          <x:t xml:space="preserve">NONE — DEVELOPMENT ONLY</x:t>
        </x:is>
      </x:c>
      <x:c r="Y544" s="160" t="inlineStr">
        <x:is>
          <x:t xml:space="preserve">Synthetic/adversarial model-development loop. No historical outcome is claimed; no accuracy point is awarded.</x:t>
        </x:is>
      </x:c>
    </x:row>
    <x:row r="545">
      <x:c r="A545" s="160" t="inlineStr">
        <x:is>
          <x:t xml:space="preserve">ML0540</x:t>
        </x:is>
      </x:c>
      <x:c r="B545" s="160" t="inlineStr">
        <x:is>
          <x:t xml:space="preserve">ARG-034</x:t>
        </x:is>
      </x:c>
      <x:c r="C545" s="160" t="inlineStr">
        <x:is>
          <x:t xml:space="preserve">Fiserv</x:t>
        </x:is>
      </x:c>
      <x:c r="D545" s="160" t="inlineStr">
        <x:is>
          <x:t xml:space="preserve">FISV</x:t>
        </x:is>
      </x:c>
      <x:c r="E545" s="160" t="inlineStr">
        <x:is>
          <x:t xml:space="preserve">Software &amp; Payments</x:t>
        </x:is>
      </x:c>
      <x:c r="F545" s="160" t="inlineStr">
        <x:is>
          <x:t xml:space="preserve">Development</x:t>
        </x:is>
      </x:c>
      <x:c r="G545" s="160" t="inlineStr">
        <x:is>
          <x:t xml:space="preserve">S12</x:t>
        </x:is>
      </x:c>
      <x:c r="H545" s="160" t="inlineStr">
        <x:is>
          <x:t xml:space="preserve">Lead-Time / Early Sensor</x:t>
        </x:is>
      </x:c>
      <x:c r="I545" s="160" t="inlineStr">
        <x:is>
          <x:t xml:space="preserve">Timing / lead-time</x:t>
        </x:is>
      </x:c>
      <x:c r="J545" s="160" t="inlineStr">
        <x:is>
          <x:t xml:space="preserve">ARGUS identifies the change correctly but only after consensus and price have already reacted.</x:t>
        </x:is>
      </x:c>
      <x:c r="K545" s="160" t="inlineStr">
        <x:is>
          <x:t xml:space="preserve">Merchant/bank technology volumes and recurring revenue</x:t>
        </x:is>
      </x:c>
      <x:c r="L545" s="160" t="inlineStr">
        <x:is>
          <x:t xml:space="preserve">Owner earnings + reverse DCF</x:t>
        </x:is>
      </x:c>
      <x:c r="M545" s="160" t="inlineStr">
        <x:is>
          <x:t xml:space="preserve">WAIT / VALUE-TRAP RISK</x:t>
        </x:is>
      </x:c>
      <x:c r="N545" s="160" t="inlineStr">
        <x:is>
          <x:t xml:space="preserve">R-TIME-01</x:t>
        </x:is>
      </x:c>
      <x:c r="O545" s="160" t="inlineStr">
        <x:is>
          <x:t xml:space="preserve">COUNTER-EVIDENCE</x:t>
        </x:is>
      </x:c>
      <x:c r="P545" s="160" t="inlineStr">
        <x:is>
          <x:t xml:space="preserve">ROBUST</x:t>
        </x:is>
      </x:c>
      <x:c r="Q545" s="160" t="inlineStr">
        <x:is>
          <x:t xml:space="preserve">The mature simulation rule catches the stress without weakening a fatal gate; no rule relaxation is justified.</x:t>
        </x:is>
      </x:c>
      <x:c r="R545" s="160" t="inlineStr">
        <x:is>
          <x:t xml:space="preserve">Replace lagging financial metrics with earlier causal operating sensors and record lead time separately from correctness.</x:t>
        </x:is>
      </x:c>
      <x:c r="S545" s="160" t="inlineStr">
        <x:is>
          <x:t xml:space="preserve">NO</x:t>
        </x:is>
      </x:c>
      <x:c r="T545" s="160" t="inlineStr">
        <x:is>
          <x:t xml:space="preserve">COUNTER-EVIDENCE</x:t>
        </x:is>
      </x:c>
      <x:c r="U545" s="160" t="inlineStr">
        <x:is>
          <x:t xml:space="preserve">V10.5-SIM59</x:t>
        </x:is>
      </x:c>
      <x:c r="V545" s="160" t="inlineStr">
        <x:is>
          <x:t xml:space="preserve">https://investors.fiserv.com</x:t>
        </x:is>
      </x:c>
      <x:c r="W545" s="160" t="inlineStr">
        <x:is>
          <x:t xml:space="preserve">NO</x:t>
        </x:is>
      </x:c>
      <x:c r="X545" s="160" t="inlineStr">
        <x:is>
          <x:t xml:space="preserve">NONE — DEVELOPMENT ONLY</x:t>
        </x:is>
      </x:c>
      <x:c r="Y545" s="160" t="inlineStr">
        <x:is>
          <x:t xml:space="preserve">Synthetic/adversarial model-development loop. No historical outcome is claimed; no accuracy point is awarded.</x:t>
        </x:is>
      </x:c>
    </x:row>
    <x:row r="546">
      <x:c r="A546" s="160" t="inlineStr">
        <x:is>
          <x:t xml:space="preserve">ML0541</x:t>
        </x:is>
      </x:c>
      <x:c r="B546" s="160" t="inlineStr">
        <x:is>
          <x:t xml:space="preserve">ARG-034</x:t>
        </x:is>
      </x:c>
      <x:c r="C546" s="160" t="inlineStr">
        <x:is>
          <x:t xml:space="preserve">Fiserv</x:t>
        </x:is>
      </x:c>
      <x:c r="D546" s="160" t="inlineStr">
        <x:is>
          <x:t xml:space="preserve">FISV</x:t>
        </x:is>
      </x:c>
      <x:c r="E546" s="160" t="inlineStr">
        <x:is>
          <x:t xml:space="preserve">Software &amp; Payments</x:t>
        </x:is>
      </x:c>
      <x:c r="F546" s="160" t="inlineStr">
        <x:is>
          <x:t xml:space="preserve">Development</x:t>
        </x:is>
      </x:c>
      <x:c r="G546" s="160" t="inlineStr">
        <x:is>
          <x:t xml:space="preserve">S13</x:t>
        </x:is>
      </x:c>
      <x:c r="H546" s="160" t="inlineStr">
        <x:is>
          <x:t xml:space="preserve">Cycle Normalization</x:t>
        </x:is>
      </x:c>
      <x:c r="I546" s="160" t="inlineStr">
        <x:is>
          <x:t xml:space="preserve">Wrong valuation lens</x:t>
        </x:is>
      </x:c>
      <x:c r="J546" s="160" t="inlineStr">
        <x:is>
          <x:t xml:space="preserve">Peak/trough earnings are mistaken for normalized earning power.</x:t>
        </x:is>
      </x:c>
      <x:c r="K546" s="160" t="inlineStr">
        <x:is>
          <x:t xml:space="preserve">Merchant/bank technology volumes and recurring revenue</x:t>
        </x:is>
      </x:c>
      <x:c r="L546" s="160" t="inlineStr">
        <x:is>
          <x:t xml:space="preserve">Owner earnings + reverse DCF</x:t>
        </x:is>
      </x:c>
      <x:c r="M546" s="160" t="inlineStr">
        <x:is>
          <x:t xml:space="preserve">WAIT / VALUE-TRAP RISK</x:t>
        </x:is>
      </x:c>
      <x:c r="N546" s="160" t="inlineStr">
        <x:is>
          <x:t xml:space="preserve">R-CYCLE-01</x:t>
        </x:is>
      </x:c>
      <x:c r="O546" s="160" t="inlineStr">
        <x:is>
          <x:t xml:space="preserve">COUNTER-EVIDENCE</x:t>
        </x:is>
      </x:c>
      <x:c r="P546" s="160" t="inlineStr">
        <x:is>
          <x:t xml:space="preserve">ROBUST</x:t>
        </x:is>
      </x:c>
      <x:c r="Q546" s="160" t="inlineStr">
        <x:is>
          <x:t xml:space="preserve">The mature simulation rule catches the stress without weakening a fatal gate; no rule relaxation is justified.</x:t>
        </x:is>
      </x:c>
      <x:c r="R546" s="160" t="inlineStr">
        <x:is>
          <x:t xml:space="preserve">Use sector-specific mid-cycle/NAV/rate-base/rNPV normalization before applying a valuation multiple.</x:t>
        </x:is>
      </x:c>
      <x:c r="S546" s="160" t="inlineStr">
        <x:is>
          <x:t xml:space="preserve">NO</x:t>
        </x:is>
      </x:c>
      <x:c r="T546" s="160" t="inlineStr">
        <x:is>
          <x:t xml:space="preserve">COUNTER-EVIDENCE</x:t>
        </x:is>
      </x:c>
      <x:c r="U546" s="160" t="inlineStr">
        <x:is>
          <x:t xml:space="preserve">V10.5-SIM59</x:t>
        </x:is>
      </x:c>
      <x:c r="V546" s="160" t="inlineStr">
        <x:is>
          <x:t xml:space="preserve">https://investors.fiserv.com</x:t>
        </x:is>
      </x:c>
      <x:c r="W546" s="160" t="inlineStr">
        <x:is>
          <x:t xml:space="preserve">NO</x:t>
        </x:is>
      </x:c>
      <x:c r="X546" s="160" t="inlineStr">
        <x:is>
          <x:t xml:space="preserve">NONE — DEVELOPMENT ONLY</x:t>
        </x:is>
      </x:c>
      <x:c r="Y546" s="160" t="inlineStr">
        <x:is>
          <x:t xml:space="preserve">Synthetic/adversarial model-development loop. No historical outcome is claimed; no accuracy point is awarded.</x:t>
        </x:is>
      </x:c>
    </x:row>
    <x:row r="547">
      <x:c r="A547" s="160" t="inlineStr">
        <x:is>
          <x:t xml:space="preserve">ML0542</x:t>
        </x:is>
      </x:c>
      <x:c r="B547" s="160" t="inlineStr">
        <x:is>
          <x:t xml:space="preserve">ARG-034</x:t>
        </x:is>
      </x:c>
      <x:c r="C547" s="160" t="inlineStr">
        <x:is>
          <x:t xml:space="preserve">Fiserv</x:t>
        </x:is>
      </x:c>
      <x:c r="D547" s="160" t="inlineStr">
        <x:is>
          <x:t xml:space="preserve">FISV</x:t>
        </x:is>
      </x:c>
      <x:c r="E547" s="160" t="inlineStr">
        <x:is>
          <x:t xml:space="preserve">Software &amp; Payments</x:t>
        </x:is>
      </x:c>
      <x:c r="F547" s="160" t="inlineStr">
        <x:is>
          <x:t xml:space="preserve">Development</x:t>
        </x:is>
      </x:c>
      <x:c r="G547" s="160" t="inlineStr">
        <x:is>
          <x:t xml:space="preserve">S14</x:t>
        </x:is>
      </x:c>
      <x:c r="H547" s="160" t="inlineStr">
        <x:is>
          <x:t xml:space="preserve">M&amp;A / Organic Growth Separation</x:t>
        </x:is>
      </x:c>
      <x:c r="I547" s="160" t="inlineStr">
        <x:is>
          <x:t xml:space="preserve">Stewardship</x:t>
        </x:is>
      </x:c>
      <x:c r="J547" s="160" t="inlineStr">
        <x:is>
          <x:t xml:space="preserve">Acquisition-driven growth masks weak organic economics or poor incremental ROIC.</x:t>
        </x:is>
      </x:c>
      <x:c r="K547" s="160" t="inlineStr">
        <x:is>
          <x:t xml:space="preserve">Merchant/bank technology volumes and recurring revenue</x:t>
        </x:is>
      </x:c>
      <x:c r="L547" s="160" t="inlineStr">
        <x:is>
          <x:t xml:space="preserve">Owner earnings + reverse DCF</x:t>
        </x:is>
      </x:c>
      <x:c r="M547" s="160" t="inlineStr">
        <x:is>
          <x:t xml:space="preserve">WAIT / VALUE-TRAP RISK</x:t>
        </x:is>
      </x:c>
      <x:c r="N547" s="160" t="inlineStr">
        <x:is>
          <x:t xml:space="preserve">R-MA-01</x:t>
        </x:is>
      </x:c>
      <x:c r="O547" s="160" t="inlineStr">
        <x:is>
          <x:t xml:space="preserve">COUNTER-EVIDENCE</x:t>
        </x:is>
      </x:c>
      <x:c r="P547" s="160" t="inlineStr">
        <x:is>
          <x:t xml:space="preserve">ROBUST</x:t>
        </x:is>
      </x:c>
      <x:c r="Q547" s="160" t="inlineStr">
        <x:is>
          <x:t xml:space="preserve">The mature simulation rule catches the stress without weakening a fatal gate; no rule relaxation is justified.</x:t>
        </x:is>
      </x:c>
      <x:c r="R547" s="160" t="inlineStr">
        <x:is>
          <x:t xml:space="preserve">Bridge organic growth, acquired growth, purchase price, integration costs and acquisition-cohort ROIC.</x:t>
        </x:is>
      </x:c>
      <x:c r="S547" s="160" t="inlineStr">
        <x:is>
          <x:t xml:space="preserve">NO</x:t>
        </x:is>
      </x:c>
      <x:c r="T547" s="160" t="inlineStr">
        <x:is>
          <x:t xml:space="preserve">COUNTER-EVIDENCE</x:t>
        </x:is>
      </x:c>
      <x:c r="U547" s="160" t="inlineStr">
        <x:is>
          <x:t xml:space="preserve">V10.5-SIM59</x:t>
        </x:is>
      </x:c>
      <x:c r="V547" s="160" t="inlineStr">
        <x:is>
          <x:t xml:space="preserve">https://investors.fiserv.com</x:t>
        </x:is>
      </x:c>
      <x:c r="W547" s="160" t="inlineStr">
        <x:is>
          <x:t xml:space="preserve">NO</x:t>
        </x:is>
      </x:c>
      <x:c r="X547" s="160" t="inlineStr">
        <x:is>
          <x:t xml:space="preserve">NONE — DEVELOPMENT ONLY</x:t>
        </x:is>
      </x:c>
      <x:c r="Y547" s="160" t="inlineStr">
        <x:is>
          <x:t xml:space="preserve">Synthetic/adversarial model-development loop. No historical outcome is claimed; no accuracy point is awarded.</x:t>
        </x:is>
      </x:c>
    </x:row>
    <x:row r="548">
      <x:c r="A548" s="160" t="inlineStr">
        <x:is>
          <x:t xml:space="preserve">ML0543</x:t>
        </x:is>
      </x:c>
      <x:c r="B548" s="160" t="inlineStr">
        <x:is>
          <x:t xml:space="preserve">ARG-034</x:t>
        </x:is>
      </x:c>
      <x:c r="C548" s="160" t="inlineStr">
        <x:is>
          <x:t xml:space="preserve">Fiserv</x:t>
        </x:is>
      </x:c>
      <x:c r="D548" s="160" t="inlineStr">
        <x:is>
          <x:t xml:space="preserve">FISV</x:t>
        </x:is>
      </x:c>
      <x:c r="E548" s="160" t="inlineStr">
        <x:is>
          <x:t xml:space="preserve">Software &amp; Payments</x:t>
        </x:is>
      </x:c>
      <x:c r="F548" s="160" t="inlineStr">
        <x:is>
          <x:t xml:space="preserve">Development</x:t>
        </x:is>
      </x:c>
      <x:c r="G548" s="160" t="inlineStr">
        <x:is>
          <x:t xml:space="preserve">S15</x:t>
        </x:is>
      </x:c>
      <x:c r="H548" s="160" t="inlineStr">
        <x:is>
          <x:t xml:space="preserve">Financing / Dilution Per Share</x:t>
        </x:is>
      </x:c>
      <x:c r="I548" s="160" t="inlineStr">
        <x:is>
          <x:t xml:space="preserve">Stewardship</x:t>
        </x:is>
      </x:c>
      <x:c r="J548" s="160" t="inlineStr">
        <x:is>
          <x:t xml:space="preserve">Cash balance or revenue growth improves while financing causes material per-share value leakage.</x:t>
        </x:is>
      </x:c>
      <x:c r="K548" s="160" t="inlineStr">
        <x:is>
          <x:t xml:space="preserve">Merchant/bank technology volumes and recurring revenue</x:t>
        </x:is>
      </x:c>
      <x:c r="L548" s="160" t="inlineStr">
        <x:is>
          <x:t xml:space="preserve">Owner earnings + reverse DCF</x:t>
        </x:is>
      </x:c>
      <x:c r="M548" s="160" t="inlineStr">
        <x:is>
          <x:t xml:space="preserve">WAIT / VALUE-TRAP RISK</x:t>
        </x:is>
      </x:c>
      <x:c r="N548" s="160" t="inlineStr">
        <x:is>
          <x:t xml:space="preserve">R-DIL-01</x:t>
        </x:is>
      </x:c>
      <x:c r="O548" s="160" t="inlineStr">
        <x:is>
          <x:t xml:space="preserve">COUNTER-EVIDENCE</x:t>
        </x:is>
      </x:c>
      <x:c r="P548" s="160" t="inlineStr">
        <x:is>
          <x:t xml:space="preserve">ROBUST</x:t>
        </x:is>
      </x:c>
      <x:c r="Q548" s="160" t="inlineStr">
        <x:is>
          <x:t xml:space="preserve">The mature simulation rule catches the stress without weakening a fatal gate; no rule relaxation is justified.</x:t>
        </x:is>
      </x:c>
      <x:c r="R548" s="160" t="inlineStr">
        <x:is>
          <x:t xml:space="preserve">Reconcile share-count growth, SBC, equity issuance, buybacks and net cash changes to per-share intrinsic value.</x:t>
        </x:is>
      </x:c>
      <x:c r="S548" s="160" t="inlineStr">
        <x:is>
          <x:t xml:space="preserve">NO</x:t>
        </x:is>
      </x:c>
      <x:c r="T548" s="160" t="inlineStr">
        <x:is>
          <x:t xml:space="preserve">COUNTER-EVIDENCE</x:t>
        </x:is>
      </x:c>
      <x:c r="U548" s="160" t="inlineStr">
        <x:is>
          <x:t xml:space="preserve">V10.5-SIM59</x:t>
        </x:is>
      </x:c>
      <x:c r="V548" s="160" t="inlineStr">
        <x:is>
          <x:t xml:space="preserve">https://investors.fiserv.com</x:t>
        </x:is>
      </x:c>
      <x:c r="W548" s="160" t="inlineStr">
        <x:is>
          <x:t xml:space="preserve">NO</x:t>
        </x:is>
      </x:c>
      <x:c r="X548" s="160" t="inlineStr">
        <x:is>
          <x:t xml:space="preserve">NONE — DEVELOPMENT ONLY</x:t>
        </x:is>
      </x:c>
      <x:c r="Y548" s="160" t="inlineStr">
        <x:is>
          <x:t xml:space="preserve">Synthetic/adversarial model-development loop. No historical outcome is claimed; no accuracy point is awarded.</x:t>
        </x:is>
      </x:c>
    </x:row>
    <x:row r="549">
      <x:c r="A549" s="160" t="inlineStr">
        <x:is>
          <x:t xml:space="preserve">ML0544</x:t>
        </x:is>
      </x:c>
      <x:c r="B549" s="160" t="inlineStr">
        <x:is>
          <x:t xml:space="preserve">ARG-034</x:t>
        </x:is>
      </x:c>
      <x:c r="C549" s="160" t="inlineStr">
        <x:is>
          <x:t xml:space="preserve">Fiserv</x:t>
        </x:is>
      </x:c>
      <x:c r="D549" s="160" t="inlineStr">
        <x:is>
          <x:t xml:space="preserve">FISV</x:t>
        </x:is>
      </x:c>
      <x:c r="E549" s="160" t="inlineStr">
        <x:is>
          <x:t xml:space="preserve">Software &amp; Payments</x:t>
        </x:is>
      </x:c>
      <x:c r="F549" s="160" t="inlineStr">
        <x:is>
          <x:t xml:space="preserve">Development</x:t>
        </x:is>
      </x:c>
      <x:c r="G549" s="160" t="inlineStr">
        <x:is>
          <x:t xml:space="preserve">S16</x:t>
        </x:is>
      </x:c>
      <x:c r="H549" s="160" t="inlineStr">
        <x:is>
          <x:t xml:space="preserve">Concentration / Tail Risk</x:t>
        </x:is>
      </x:c>
      <x:c r="I549" s="160" t="inlineStr">
        <x:is>
          <x:t xml:space="preserve">Survival</x:t>
        </x:is>
      </x:c>
      <x:c r="J549" s="160" t="inlineStr">
        <x:is>
          <x:t xml:space="preserve">A concentrated supplier, geography, customer, product, patent, regulatory or technology dependency creates asymmetric permanent-loss risk.</x:t>
        </x:is>
      </x:c>
      <x:c r="K549" s="160" t="inlineStr">
        <x:is>
          <x:t xml:space="preserve">Merchant/bank technology volumes and recurring revenue</x:t>
        </x:is>
      </x:c>
      <x:c r="L549" s="160" t="inlineStr">
        <x:is>
          <x:t xml:space="preserve">Owner earnings + reverse DCF</x:t>
        </x:is>
      </x:c>
      <x:c r="M549" s="160" t="inlineStr">
        <x:is>
          <x:t xml:space="preserve">WAIT / VALUE-TRAP RISK</x:t>
        </x:is>
      </x:c>
      <x:c r="N549" s="160" t="inlineStr">
        <x:is>
          <x:t xml:space="preserve">R-TAIL-01</x:t>
        </x:is>
      </x:c>
      <x:c r="O549" s="160" t="inlineStr">
        <x:is>
          <x:t xml:space="preserve">COUNTER-EVIDENCE</x:t>
        </x:is>
      </x:c>
      <x:c r="P549" s="160" t="inlineStr">
        <x:is>
          <x:t xml:space="preserve">ROBUST</x:t>
        </x:is>
      </x:c>
      <x:c r="Q549" s="160" t="inlineStr">
        <x:is>
          <x:t xml:space="preserve">The mature simulation rule catches the stress without weakening a fatal gate; no rule relaxation is justified.</x:t>
        </x:is>
      </x:c>
      <x:c r="R549" s="160" t="inlineStr">
        <x:is>
          <x:t xml:space="preserve">Maintain an explicit concentration/tail-risk register with probability, severity, mitigation and required margin-of-safety premium.</x:t>
        </x:is>
      </x:c>
      <x:c r="S549" s="160" t="inlineStr">
        <x:is>
          <x:t xml:space="preserve">NO</x:t>
        </x:is>
      </x:c>
      <x:c r="T549" s="160" t="inlineStr">
        <x:is>
          <x:t xml:space="preserve">COUNTER-EVIDENCE</x:t>
        </x:is>
      </x:c>
      <x:c r="U549" s="160" t="inlineStr">
        <x:is>
          <x:t xml:space="preserve">V10.5-SIM59</x:t>
        </x:is>
      </x:c>
      <x:c r="V549" s="160" t="inlineStr">
        <x:is>
          <x:t xml:space="preserve">https://investors.fiserv.com</x:t>
        </x:is>
      </x:c>
      <x:c r="W549" s="160" t="inlineStr">
        <x:is>
          <x:t xml:space="preserve">NO</x:t>
        </x:is>
      </x:c>
      <x:c r="X549" s="160" t="inlineStr">
        <x:is>
          <x:t xml:space="preserve">NONE — DEVELOPMENT ONLY</x:t>
        </x:is>
      </x:c>
      <x:c r="Y549" s="160" t="inlineStr">
        <x:is>
          <x:t xml:space="preserve">Synthetic/adversarial model-development loop. No historical outcome is claimed; no accuracy point is awarded.</x:t>
        </x:is>
      </x:c>
    </x:row>
    <x:row r="550">
      <x:c r="A550" s="160" t="inlineStr">
        <x:is>
          <x:t xml:space="preserve">ML0545</x:t>
        </x:is>
      </x:c>
      <x:c r="B550" s="160" t="inlineStr">
        <x:is>
          <x:t xml:space="preserve">ARG-035</x:t>
        </x:is>
      </x:c>
      <x:c r="C550" s="160" t="inlineStr">
        <x:is>
          <x:t xml:space="preserve">PayPal</x:t>
        </x:is>
      </x:c>
      <x:c r="D550" s="160" t="inlineStr">
        <x:is>
          <x:t xml:space="preserve">PYPL</x:t>
        </x:is>
      </x:c>
      <x:c r="E550" s="160" t="inlineStr">
        <x:is>
          <x:t xml:space="preserve">Software &amp; Payments</x:t>
        </x:is>
      </x:c>
      <x:c r="F550" s="160" t="inlineStr">
        <x:is>
          <x:t xml:space="preserve">Development</x:t>
        </x:is>
      </x:c>
      <x:c r="G550" s="160" t="inlineStr">
        <x:is>
          <x:t xml:space="preserve">S01</x:t>
        </x:is>
      </x:c>
      <x:c r="H550" s="160" t="inlineStr">
        <x:is>
          <x:t xml:space="preserve">Understanding Gate</x:t>
        </x:is>
      </x:c>
      <x:c r="I550" s="160" t="inlineStr">
        <x:is>
          <x:t xml:space="preserve">Understanding</x:t>
        </x:is>
      </x:c>
      <x:c r="J550" s="160" t="inlineStr">
        <x:is>
          <x:t xml:space="preserve">Causal engine / customer ROI chain breaks under a misleading headline KPI.</x:t>
        </x:is>
      </x:c>
      <x:c r="K550" s="160" t="inlineStr">
        <x:is>
          <x:t xml:space="preserve">Branded/unbranded payment volume × take rate − reinvestment</x:t>
        </x:is>
      </x:c>
      <x:c r="L550" s="160" t="inlineStr">
        <x:is>
          <x:t xml:space="preserve">Owner earnings + reverse DCF</x:t>
        </x:is>
      </x:c>
      <x:c r="M550" s="160" t="inlineStr">
        <x:is>
          <x:t xml:space="preserve">WATCH</x:t>
        </x:is>
      </x:c>
      <x:c r="N550" s="160" t="inlineStr">
        <x:is>
          <x:t xml:space="preserve">R-ENG-01</x:t>
        </x:is>
      </x:c>
      <x:c r="O550" s="160" t="inlineStr">
        <x:is>
          <x:t xml:space="preserve">COUNTER-EVIDENCE</x:t>
        </x:is>
      </x:c>
      <x:c r="P550" s="160" t="inlineStr">
        <x:is>
          <x:t xml:space="preserve">ROBUST</x:t>
        </x:is>
      </x:c>
      <x:c r="Q550" s="160" t="inlineStr">
        <x:is>
          <x:t xml:space="preserve">The mature simulation rule catches the stress without weakening a fatal gate; no rule relaxation is justified.</x:t>
        </x:is>
      </x:c>
      <x:c r="R550" s="160" t="inlineStr">
        <x:is>
          <x:t xml:space="preserve">Force an explicit engine tree: customer job → unit economics → revenue driver → owner-value bridge.</x:t>
        </x:is>
      </x:c>
      <x:c r="S550" s="160" t="inlineStr">
        <x:is>
          <x:t xml:space="preserve">NO</x:t>
        </x:is>
      </x:c>
      <x:c r="T550" s="160" t="inlineStr">
        <x:is>
          <x:t xml:space="preserve">COUNTER-EVIDENCE</x:t>
        </x:is>
      </x:c>
      <x:c r="U550" s="160" t="inlineStr">
        <x:is>
          <x:t xml:space="preserve">V10.5-SIM59</x:t>
        </x:is>
      </x:c>
      <x:c r="V550" s="160" t="inlineStr">
        <x:is>
          <x:t xml:space="preserve">https://investor.pypl.com</x:t>
        </x:is>
      </x:c>
      <x:c r="W550" s="160" t="inlineStr">
        <x:is>
          <x:t xml:space="preserve">NO</x:t>
        </x:is>
      </x:c>
      <x:c r="X550" s="160" t="inlineStr">
        <x:is>
          <x:t xml:space="preserve">NONE — DEVELOPMENT ONLY</x:t>
        </x:is>
      </x:c>
      <x:c r="Y550" s="160" t="inlineStr">
        <x:is>
          <x:t xml:space="preserve">Synthetic/adversarial model-development loop. No historical outcome is claimed; no accuracy point is awarded.</x:t>
        </x:is>
      </x:c>
    </x:row>
    <x:row r="551">
      <x:c r="A551" s="160" t="inlineStr">
        <x:is>
          <x:t xml:space="preserve">ML0546</x:t>
        </x:is>
      </x:c>
      <x:c r="B551" s="160" t="inlineStr">
        <x:is>
          <x:t xml:space="preserve">ARG-035</x:t>
        </x:is>
      </x:c>
      <x:c r="C551" s="160" t="inlineStr">
        <x:is>
          <x:t xml:space="preserve">PayPal</x:t>
        </x:is>
      </x:c>
      <x:c r="D551" s="160" t="inlineStr">
        <x:is>
          <x:t xml:space="preserve">PYPL</x:t>
        </x:is>
      </x:c>
      <x:c r="E551" s="160" t="inlineStr">
        <x:is>
          <x:t xml:space="preserve">Software &amp; Payments</x:t>
        </x:is>
      </x:c>
      <x:c r="F551" s="160" t="inlineStr">
        <x:is>
          <x:t xml:space="preserve">Development</x:t>
        </x:is>
      </x:c>
      <x:c r="G551" s="160" t="inlineStr">
        <x:is>
          <x:t xml:space="preserve">S02</x:t>
        </x:is>
      </x:c>
      <x:c r="H551" s="160" t="inlineStr">
        <x:is>
          <x:t xml:space="preserve">Owner Earnings Normalization</x:t>
        </x:is>
      </x:c>
      <x:c r="I551" s="160" t="inlineStr">
        <x:is>
          <x:t xml:space="preserve">Owner Earnings</x:t>
        </x:is>
      </x:c>
      <x:c r="J551" s="160" t="inlineStr">
        <x:is>
          <x:t xml:space="preserve">Reported earnings/FCF overstates economic cash because recurring reinvestment or non-cash compensation is misclassified.</x:t>
        </x:is>
      </x:c>
      <x:c r="K551" s="160" t="inlineStr">
        <x:is>
          <x:t xml:space="preserve">Branded/unbranded payment volume × take rate − reinvestment</x:t>
        </x:is>
      </x:c>
      <x:c r="L551" s="160" t="inlineStr">
        <x:is>
          <x:t xml:space="preserve">Owner earnings + reverse DCF</x:t>
        </x:is>
      </x:c>
      <x:c r="M551" s="160" t="inlineStr">
        <x:is>
          <x:t xml:space="preserve">WATCH</x:t>
        </x:is>
      </x:c>
      <x:c r="N551" s="160" t="inlineStr">
        <x:is>
          <x:t xml:space="preserve">R-OE-01</x:t>
        </x:is>
      </x:c>
      <x:c r="O551" s="160" t="inlineStr">
        <x:is>
          <x:t xml:space="preserve">COUNTER-EVIDENCE</x:t>
        </x:is>
      </x:c>
      <x:c r="P551" s="160" t="inlineStr">
        <x:is>
          <x:t xml:space="preserve">ROBUST</x:t>
        </x:is>
      </x:c>
      <x:c r="Q551" s="160" t="inlineStr">
        <x:is>
          <x:t xml:space="preserve">The mature simulation rule catches the stress without weakening a fatal gate; no rule relaxation is justified.</x:t>
        </x:is>
      </x:c>
      <x:c r="R551" s="160" t="inlineStr">
        <x:is>
          <x:t xml:space="preserve">Require a GAAP-to-economic-owner-cash bridge tailored to the business model.</x:t>
        </x:is>
      </x:c>
      <x:c r="S551" s="160" t="inlineStr">
        <x:is>
          <x:t xml:space="preserve">NO</x:t>
        </x:is>
      </x:c>
      <x:c r="T551" s="160" t="inlineStr">
        <x:is>
          <x:t xml:space="preserve">COUNTER-EVIDENCE</x:t>
        </x:is>
      </x:c>
      <x:c r="U551" s="160" t="inlineStr">
        <x:is>
          <x:t xml:space="preserve">V10.5-SIM59</x:t>
        </x:is>
      </x:c>
      <x:c r="V551" s="160" t="inlineStr">
        <x:is>
          <x:t xml:space="preserve">https://investor.pypl.com</x:t>
        </x:is>
      </x:c>
      <x:c r="W551" s="160" t="inlineStr">
        <x:is>
          <x:t xml:space="preserve">NO</x:t>
        </x:is>
      </x:c>
      <x:c r="X551" s="160" t="inlineStr">
        <x:is>
          <x:t xml:space="preserve">NONE — DEVELOPMENT ONLY</x:t>
        </x:is>
      </x:c>
      <x:c r="Y551" s="160" t="inlineStr">
        <x:is>
          <x:t xml:space="preserve">Synthetic/adversarial model-development loop. No historical outcome is claimed; no accuracy point is awarded.</x:t>
        </x:is>
      </x:c>
    </x:row>
    <x:row r="552">
      <x:c r="A552" s="160" t="inlineStr">
        <x:is>
          <x:t xml:space="preserve">ML0547</x:t>
        </x:is>
      </x:c>
      <x:c r="B552" s="160" t="inlineStr">
        <x:is>
          <x:t xml:space="preserve">ARG-035</x:t>
        </x:is>
      </x:c>
      <x:c r="C552" s="160" t="inlineStr">
        <x:is>
          <x:t xml:space="preserve">PayPal</x:t>
        </x:is>
      </x:c>
      <x:c r="D552" s="160" t="inlineStr">
        <x:is>
          <x:t xml:space="preserve">PYPL</x:t>
        </x:is>
      </x:c>
      <x:c r="E552" s="160" t="inlineStr">
        <x:is>
          <x:t xml:space="preserve">Software &amp; Payments</x:t>
        </x:is>
      </x:c>
      <x:c r="F552" s="160" t="inlineStr">
        <x:is>
          <x:t xml:space="preserve">Development</x:t>
        </x:is>
      </x:c>
      <x:c r="G552" s="160" t="inlineStr">
        <x:is>
          <x:t xml:space="preserve">S03</x:t>
        </x:is>
      </x:c>
      <x:c r="H552" s="160" t="inlineStr">
        <x:is>
          <x:t xml:space="preserve">Moat Durability</x:t>
        </x:is>
      </x:c>
      <x:c r="I552" s="160" t="inlineStr">
        <x:is>
          <x:t xml:space="preserve">Moat 2036</x:t>
        </x:is>
      </x:c>
      <x:c r="J552" s="160" t="inlineStr">
        <x:is>
          <x:t xml:space="preserve">Growth continues while switching friction, pricing power or replacement difficulty quietly weakens.</x:t>
        </x:is>
      </x:c>
      <x:c r="K552" s="160" t="inlineStr">
        <x:is>
          <x:t xml:space="preserve">Branded/unbranded payment volume × take rate − reinvestment</x:t>
        </x:is>
      </x:c>
      <x:c r="L552" s="160" t="inlineStr">
        <x:is>
          <x:t xml:space="preserve">Owner earnings + reverse DCF</x:t>
        </x:is>
      </x:c>
      <x:c r="M552" s="160" t="inlineStr">
        <x:is>
          <x:t xml:space="preserve">WATCH</x:t>
        </x:is>
      </x:c>
      <x:c r="N552" s="160" t="inlineStr">
        <x:is>
          <x:t xml:space="preserve">R-MOAT-01</x:t>
        </x:is>
      </x:c>
      <x:c r="O552" s="160" t="inlineStr">
        <x:is>
          <x:t xml:space="preserve">COUNTER-EVIDENCE</x:t>
        </x:is>
      </x:c>
      <x:c r="P552" s="160" t="inlineStr">
        <x:is>
          <x:t xml:space="preserve">ROBUST</x:t>
        </x:is>
      </x:c>
      <x:c r="Q552" s="160" t="inlineStr">
        <x:is>
          <x:t xml:space="preserve">The mature simulation rule catches the stress without weakening a fatal gate; no rule relaxation is justified.</x:t>
        </x:is>
      </x:c>
      <x:c r="R552" s="160" t="inlineStr">
        <x:is>
          <x:t xml:space="preserve">Track moat telemetry separately from growth: retention, pricing, win/loss, replacement friction, installed-base behavior.</x:t>
        </x:is>
      </x:c>
      <x:c r="S552" s="160" t="inlineStr">
        <x:is>
          <x:t xml:space="preserve">NO</x:t>
        </x:is>
      </x:c>
      <x:c r="T552" s="160" t="inlineStr">
        <x:is>
          <x:t xml:space="preserve">COUNTER-EVIDENCE</x:t>
        </x:is>
      </x:c>
      <x:c r="U552" s="160" t="inlineStr">
        <x:is>
          <x:t xml:space="preserve">V10.5-SIM59</x:t>
        </x:is>
      </x:c>
      <x:c r="V552" s="160" t="inlineStr">
        <x:is>
          <x:t xml:space="preserve">https://investor.pypl.com</x:t>
        </x:is>
      </x:c>
      <x:c r="W552" s="160" t="inlineStr">
        <x:is>
          <x:t xml:space="preserve">NO</x:t>
        </x:is>
      </x:c>
      <x:c r="X552" s="160" t="inlineStr">
        <x:is>
          <x:t xml:space="preserve">NONE — DEVELOPMENT ONLY</x:t>
        </x:is>
      </x:c>
      <x:c r="Y552" s="160" t="inlineStr">
        <x:is>
          <x:t xml:space="preserve">Synthetic/adversarial model-development loop. No historical outcome is claimed; no accuracy point is awarded.</x:t>
        </x:is>
      </x:c>
    </x:row>
    <x:row r="553">
      <x:c r="A553" s="160" t="inlineStr">
        <x:is>
          <x:t xml:space="preserve">ML0548</x:t>
        </x:is>
      </x:c>
      <x:c r="B553" s="160" t="inlineStr">
        <x:is>
          <x:t xml:space="preserve">ARG-035</x:t>
        </x:is>
      </x:c>
      <x:c r="C553" s="160" t="inlineStr">
        <x:is>
          <x:t xml:space="preserve">PayPal</x:t>
        </x:is>
      </x:c>
      <x:c r="D553" s="160" t="inlineStr">
        <x:is>
          <x:t xml:space="preserve">PYPL</x:t>
        </x:is>
      </x:c>
      <x:c r="E553" s="160" t="inlineStr">
        <x:is>
          <x:t xml:space="preserve">Software &amp; Payments</x:t>
        </x:is>
      </x:c>
      <x:c r="F553" s="160" t="inlineStr">
        <x:is>
          <x:t xml:space="preserve">Development</x:t>
        </x:is>
      </x:c>
      <x:c r="G553" s="160" t="inlineStr">
        <x:is>
          <x:t xml:space="preserve">S04</x:t>
        </x:is>
      </x:c>
      <x:c r="H553" s="160" t="inlineStr">
        <x:is>
          <x:t xml:space="preserve">Stewardship / Capital Allocation</x:t>
        </x:is>
      </x:c>
      <x:c r="I553" s="160" t="inlineStr">
        <x:is>
          <x:t xml:space="preserve">Stewardship</x:t>
        </x:is>
      </x:c>
      <x:c r="J553" s="160" t="inlineStr">
        <x:is>
          <x:t xml:space="preserve">Management creates enterprise growth while destroying per-share value through M&amp;A, dilution, leverage or mistimed buybacks.</x:t>
        </x:is>
      </x:c>
      <x:c r="K553" s="160" t="inlineStr">
        <x:is>
          <x:t xml:space="preserve">Branded/unbranded payment volume × take rate − reinvestment</x:t>
        </x:is>
      </x:c>
      <x:c r="L553" s="160" t="inlineStr">
        <x:is>
          <x:t xml:space="preserve">Owner earnings + reverse DCF</x:t>
        </x:is>
      </x:c>
      <x:c r="M553" s="160" t="inlineStr">
        <x:is>
          <x:t xml:space="preserve">WATCH</x:t>
        </x:is>
      </x:c>
      <x:c r="N553" s="160" t="inlineStr">
        <x:is>
          <x:t xml:space="preserve">R-STEW-01</x:t>
        </x:is>
      </x:c>
      <x:c r="O553" s="160" t="inlineStr">
        <x:is>
          <x:t xml:space="preserve">COUNTER-EVIDENCE</x:t>
        </x:is>
      </x:c>
      <x:c r="P553" s="160" t="inlineStr">
        <x:is>
          <x:t xml:space="preserve">ROBUST</x:t>
        </x:is>
      </x:c>
      <x:c r="Q553" s="160" t="inlineStr">
        <x:is>
          <x:t xml:space="preserve">The mature simulation rule catches the stress without weakening a fatal gate; no rule relaxation is justified.</x:t>
        </x:is>
      </x:c>
      <x:c r="R553" s="160" t="inlineStr">
        <x:is>
          <x:t xml:space="preserve">Evaluate capital allocation on a per-share basis using acquisition cohorts, dilution, leverage and repurchase price discipline.</x:t>
        </x:is>
      </x:c>
      <x:c r="S553" s="160" t="inlineStr">
        <x:is>
          <x:t xml:space="preserve">NO</x:t>
        </x:is>
      </x:c>
      <x:c r="T553" s="160" t="inlineStr">
        <x:is>
          <x:t xml:space="preserve">COUNTER-EVIDENCE</x:t>
        </x:is>
      </x:c>
      <x:c r="U553" s="160" t="inlineStr">
        <x:is>
          <x:t xml:space="preserve">V10.5-SIM59</x:t>
        </x:is>
      </x:c>
      <x:c r="V553" s="160" t="inlineStr">
        <x:is>
          <x:t xml:space="preserve">https://investor.pypl.com</x:t>
        </x:is>
      </x:c>
      <x:c r="W553" s="160" t="inlineStr">
        <x:is>
          <x:t xml:space="preserve">NO</x:t>
        </x:is>
      </x:c>
      <x:c r="X553" s="160" t="inlineStr">
        <x:is>
          <x:t xml:space="preserve">NONE — DEVELOPMENT ONLY</x:t>
        </x:is>
      </x:c>
      <x:c r="Y553" s="160" t="inlineStr">
        <x:is>
          <x:t xml:space="preserve">Synthetic/adversarial model-development loop. No historical outcome is claimed; no accuracy point is awarded.</x:t>
        </x:is>
      </x:c>
    </x:row>
    <x:row r="554">
      <x:c r="A554" s="160" t="inlineStr">
        <x:is>
          <x:t xml:space="preserve">ML0549</x:t>
        </x:is>
      </x:c>
      <x:c r="B554" s="160" t="inlineStr">
        <x:is>
          <x:t xml:space="preserve">ARG-035</x:t>
        </x:is>
      </x:c>
      <x:c r="C554" s="160" t="inlineStr">
        <x:is>
          <x:t xml:space="preserve">PayPal</x:t>
        </x:is>
      </x:c>
      <x:c r="D554" s="160" t="inlineStr">
        <x:is>
          <x:t xml:space="preserve">PYPL</x:t>
        </x:is>
      </x:c>
      <x:c r="E554" s="160" t="inlineStr">
        <x:is>
          <x:t xml:space="preserve">Software &amp; Payments</x:t>
        </x:is>
      </x:c>
      <x:c r="F554" s="160" t="inlineStr">
        <x:is>
          <x:t xml:space="preserve">Development</x:t>
        </x:is>
      </x:c>
      <x:c r="G554" s="160" t="inlineStr">
        <x:is>
          <x:t xml:space="preserve">S05</x:t>
        </x:is>
      </x:c>
      <x:c r="H554" s="160" t="inlineStr">
        <x:is>
          <x:t xml:space="preserve">Survival / Funding</x:t>
        </x:is>
      </x:c>
      <x:c r="I554" s="160" t="inlineStr">
        <x:is>
          <x:t xml:space="preserve">Survival</x:t>
        </x:is>
      </x:c>
      <x:c r="J554" s="160" t="inlineStr">
        <x:is>
          <x:t xml:space="preserve">A plausible bear case exposes refinancing, liquidity, covenant, reserve, regulatory or operational fragility.</x:t>
        </x:is>
      </x:c>
      <x:c r="K554" s="160" t="inlineStr">
        <x:is>
          <x:t xml:space="preserve">Branded/unbranded payment volume × take rate − reinvestment</x:t>
        </x:is>
      </x:c>
      <x:c r="L554" s="160" t="inlineStr">
        <x:is>
          <x:t xml:space="preserve">Owner earnings + reverse DCF</x:t>
        </x:is>
      </x:c>
      <x:c r="M554" s="160" t="inlineStr">
        <x:is>
          <x:t xml:space="preserve">WATCH</x:t>
        </x:is>
      </x:c>
      <x:c r="N554" s="160" t="inlineStr">
        <x:is>
          <x:t xml:space="preserve">R-SURV-01</x:t>
        </x:is>
      </x:c>
      <x:c r="O554" s="160" t="inlineStr">
        <x:is>
          <x:t xml:space="preserve">COUNTER-EVIDENCE</x:t>
        </x:is>
      </x:c>
      <x:c r="P554" s="160" t="inlineStr">
        <x:is>
          <x:t xml:space="preserve">ROBUST</x:t>
        </x:is>
      </x:c>
      <x:c r="Q554" s="160" t="inlineStr">
        <x:is>
          <x:t xml:space="preserve">The mature simulation rule catches the stress without weakening a fatal gate; no rule relaxation is justified.</x:t>
        </x:is>
      </x:c>
      <x:c r="R554" s="160" t="inlineStr">
        <x:is>
          <x:t xml:space="preserve">Run a company-specific survival bridge under a severe-but-plausible bear case before any upside underwriting.</x:t>
        </x:is>
      </x:c>
      <x:c r="S554" s="160" t="inlineStr">
        <x:is>
          <x:t xml:space="preserve">NO</x:t>
        </x:is>
      </x:c>
      <x:c r="T554" s="160" t="inlineStr">
        <x:is>
          <x:t xml:space="preserve">COUNTER-EVIDENCE</x:t>
        </x:is>
      </x:c>
      <x:c r="U554" s="160" t="inlineStr">
        <x:is>
          <x:t xml:space="preserve">V10.5-SIM59</x:t>
        </x:is>
      </x:c>
      <x:c r="V554" s="160" t="inlineStr">
        <x:is>
          <x:t xml:space="preserve">https://investor.pypl.com</x:t>
        </x:is>
      </x:c>
      <x:c r="W554" s="160" t="inlineStr">
        <x:is>
          <x:t xml:space="preserve">NO</x:t>
        </x:is>
      </x:c>
      <x:c r="X554" s="160" t="inlineStr">
        <x:is>
          <x:t xml:space="preserve">NONE — DEVELOPMENT ONLY</x:t>
        </x:is>
      </x:c>
      <x:c r="Y554" s="160" t="inlineStr">
        <x:is>
          <x:t xml:space="preserve">Synthetic/adversarial model-development loop. No historical outcome is claimed; no accuracy point is awarded.</x:t>
        </x:is>
      </x:c>
    </x:row>
    <x:row r="555">
      <x:c r="A555" s="160" t="inlineStr">
        <x:is>
          <x:t xml:space="preserve">ML0550</x:t>
        </x:is>
      </x:c>
      <x:c r="B555" s="160" t="inlineStr">
        <x:is>
          <x:t xml:space="preserve">ARG-035</x:t>
        </x:is>
      </x:c>
      <x:c r="C555" s="160" t="inlineStr">
        <x:is>
          <x:t xml:space="preserve">PayPal</x:t>
        </x:is>
      </x:c>
      <x:c r="D555" s="160" t="inlineStr">
        <x:is>
          <x:t xml:space="preserve">PYPL</x:t>
        </x:is>
      </x:c>
      <x:c r="E555" s="160" t="inlineStr">
        <x:is>
          <x:t xml:space="preserve">Software &amp; Payments</x:t>
        </x:is>
      </x:c>
      <x:c r="F555" s="160" t="inlineStr">
        <x:is>
          <x:t xml:space="preserve">Development</x:t>
        </x:is>
      </x:c>
      <x:c r="G555" s="160" t="inlineStr">
        <x:is>
          <x:t xml:space="preserve">S06</x:t>
        </x:is>
      </x:c>
      <x:c r="H555" s="160" t="inlineStr">
        <x:is>
          <x:t xml:space="preserve">Margin of Safety</x:t>
        </x:is>
      </x:c>
      <x:c r="I555" s="160" t="inlineStr">
        <x:is>
          <x:t xml:space="preserve">Margin of Safety</x:t>
        </x:is>
      </x:c>
      <x:c r="J555" s="160" t="inlineStr">
        <x:is>
          <x:t xml:space="preserve">Business quality is high but the price embeds a fragile bull case.</x:t>
        </x:is>
      </x:c>
      <x:c r="K555" s="160" t="inlineStr">
        <x:is>
          <x:t xml:space="preserve">Branded/unbranded payment volume × take rate − reinvestment</x:t>
        </x:is>
      </x:c>
      <x:c r="L555" s="160" t="inlineStr">
        <x:is>
          <x:t xml:space="preserve">Owner earnings + reverse DCF</x:t>
        </x:is>
      </x:c>
      <x:c r="M555" s="160" t="inlineStr">
        <x:is>
          <x:t xml:space="preserve">WATCH</x:t>
        </x:is>
      </x:c>
      <x:c r="N555" s="160" t="inlineStr">
        <x:is>
          <x:t xml:space="preserve">R-MOS-01</x:t>
        </x:is>
      </x:c>
      <x:c r="O555" s="160" t="inlineStr">
        <x:is>
          <x:t xml:space="preserve">COUNTER-EVIDENCE</x:t>
        </x:is>
      </x:c>
      <x:c r="P555" s="160" t="inlineStr">
        <x:is>
          <x:t xml:space="preserve">ROBUST</x:t>
        </x:is>
      </x:c>
      <x:c r="Q555" s="160" t="inlineStr">
        <x:is>
          <x:t xml:space="preserve">The mature simulation rule catches the stress without weakening a fatal gate; no rule relaxation is justified.</x:t>
        </x:is>
      </x:c>
      <x:c r="R555" s="160" t="inlineStr">
        <x:is>
          <x:t xml:space="preserve">Separate business-quality score from price decision; require reverse valuation and bear/base/bull IV ranges.</x:t>
        </x:is>
      </x:c>
      <x:c r="S555" s="160" t="inlineStr">
        <x:is>
          <x:t xml:space="preserve">NO</x:t>
        </x:is>
      </x:c>
      <x:c r="T555" s="160" t="inlineStr">
        <x:is>
          <x:t xml:space="preserve">COUNTER-EVIDENCE</x:t>
        </x:is>
      </x:c>
      <x:c r="U555" s="160" t="inlineStr">
        <x:is>
          <x:t xml:space="preserve">V10.5-SIM59</x:t>
        </x:is>
      </x:c>
      <x:c r="V555" s="160" t="inlineStr">
        <x:is>
          <x:t xml:space="preserve">https://investor.pypl.com</x:t>
        </x:is>
      </x:c>
      <x:c r="W555" s="160" t="inlineStr">
        <x:is>
          <x:t xml:space="preserve">NO</x:t>
        </x:is>
      </x:c>
      <x:c r="X555" s="160" t="inlineStr">
        <x:is>
          <x:t xml:space="preserve">NONE — DEVELOPMENT ONLY</x:t>
        </x:is>
      </x:c>
      <x:c r="Y555" s="160" t="inlineStr">
        <x:is>
          <x:t xml:space="preserve">Synthetic/adversarial model-development loop. No historical outcome is claimed; no accuracy point is awarded.</x:t>
        </x:is>
      </x:c>
    </x:row>
    <x:row r="556">
      <x:c r="A556" s="160" t="inlineStr">
        <x:is>
          <x:t xml:space="preserve">ML0551</x:t>
        </x:is>
      </x:c>
      <x:c r="B556" s="160" t="inlineStr">
        <x:is>
          <x:t xml:space="preserve">ARG-035</x:t>
        </x:is>
      </x:c>
      <x:c r="C556" s="160" t="inlineStr">
        <x:is>
          <x:t xml:space="preserve">PayPal</x:t>
        </x:is>
      </x:c>
      <x:c r="D556" s="160" t="inlineStr">
        <x:is>
          <x:t xml:space="preserve">PYPL</x:t>
        </x:is>
      </x:c>
      <x:c r="E556" s="160" t="inlineStr">
        <x:is>
          <x:t xml:space="preserve">Software &amp; Payments</x:t>
        </x:is>
      </x:c>
      <x:c r="F556" s="160" t="inlineStr">
        <x:is>
          <x:t xml:space="preserve">Development</x:t>
        </x:is>
      </x:c>
      <x:c r="G556" s="160" t="inlineStr">
        <x:is>
          <x:t xml:space="preserve">S07</x:t>
        </x:is>
      </x:c>
      <x:c r="H556" s="160" t="inlineStr">
        <x:is>
          <x:t xml:space="preserve">Sector Shock</x:t>
        </x:is>
      </x:c>
      <x:c r="I556" s="160" t="inlineStr">
        <x:is>
          <x:t xml:space="preserve">Sector-specific</x:t>
        </x:is>
      </x:c>
      <x:c r="J556" s="160" t="inlineStr">
        <x:is>
          <x:t xml:space="preserve">Revenue/ARR grows while retention quality, take rate, SBC, AI capex or competitive substitution weakens owner earnings.</x:t>
        </x:is>
      </x:c>
      <x:c r="K556" s="160" t="inlineStr">
        <x:is>
          <x:t xml:space="preserve">Branded/unbranded payment volume × take rate − reinvestment</x:t>
        </x:is>
      </x:c>
      <x:c r="L556" s="160" t="inlineStr">
        <x:is>
          <x:t xml:space="preserve">Owner earnings + reverse DCF</x:t>
        </x:is>
      </x:c>
      <x:c r="M556" s="160" t="inlineStr">
        <x:is>
          <x:t xml:space="preserve">WATCH</x:t>
        </x:is>
      </x:c>
      <x:c r="N556" s="160" t="inlineStr">
        <x:is>
          <x:t xml:space="preserve">R-SECTOR-SOFTWARE-PAYMENTS</x:t>
        </x:is>
      </x:c>
      <x:c r="O556" s="160" t="inlineStr">
        <x:is>
          <x:t xml:space="preserve">BASE</x:t>
        </x:is>
      </x:c>
      <x:c r="P556" s="160" t="inlineStr">
        <x:is>
          <x:t xml:space="preserve">PARTIAL CATCH</x:t>
        </x:is>
      </x:c>
      <x:c r="Q556" s="160" t="inlineStr">
        <x:is>
          <x:t xml:space="preserve">The base refinement catches the main failure, but evidence thresholds and per-share/counterfactual details remain underspecified.</x:t>
        </x:is>
      </x:c>
      <x:c r="R556"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S556" s="160" t="inlineStr">
        <x:is>
          <x:t xml:space="preserve">NO</x:t>
        </x:is>
      </x:c>
      <x:c r="T556" s="160" t="inlineStr">
        <x:is>
          <x:t xml:space="preserve">BASE</x:t>
        </x:is>
      </x:c>
      <x:c r="U556" s="160" t="inlineStr">
        <x:is>
          <x:t xml:space="preserve">V10.5-SIM59</x:t>
        </x:is>
      </x:c>
      <x:c r="V556" s="160" t="inlineStr">
        <x:is>
          <x:t xml:space="preserve">https://investor.pypl.com</x:t>
        </x:is>
      </x:c>
      <x:c r="W556" s="160" t="inlineStr">
        <x:is>
          <x:t xml:space="preserve">NO</x:t>
        </x:is>
      </x:c>
      <x:c r="X556" s="160" t="inlineStr">
        <x:is>
          <x:t xml:space="preserve">NONE — DEVELOPMENT ONLY</x:t>
        </x:is>
      </x:c>
      <x:c r="Y556" s="160" t="inlineStr">
        <x:is>
          <x:t xml:space="preserve">Synthetic/adversarial model-development loop. No historical outcome is claimed; no accuracy point is awarded.</x:t>
        </x:is>
      </x:c>
    </x:row>
    <x:row r="557">
      <x:c r="A557" s="160" t="inlineStr">
        <x:is>
          <x:t xml:space="preserve">ML0552</x:t>
        </x:is>
      </x:c>
      <x:c r="B557" s="160" t="inlineStr">
        <x:is>
          <x:t xml:space="preserve">ARG-035</x:t>
        </x:is>
      </x:c>
      <x:c r="C557" s="160" t="inlineStr">
        <x:is>
          <x:t xml:space="preserve">PayPal</x:t>
        </x:is>
      </x:c>
      <x:c r="D557" s="160" t="inlineStr">
        <x:is>
          <x:t xml:space="preserve">PYPL</x:t>
        </x:is>
      </x:c>
      <x:c r="E557" s="160" t="inlineStr">
        <x:is>
          <x:t xml:space="preserve">Software &amp; Payments</x:t>
        </x:is>
      </x:c>
      <x:c r="F557" s="160" t="inlineStr">
        <x:is>
          <x:t xml:space="preserve">Development</x:t>
        </x:is>
      </x:c>
      <x:c r="G557" s="160" t="inlineStr">
        <x:is>
          <x:t xml:space="preserve">S08</x:t>
        </x:is>
      </x:c>
      <x:c r="H557" s="160" t="inlineStr">
        <x:is>
          <x:t xml:space="preserve">Management Promise Reliability</x:t>
        </x:is>
      </x:c>
      <x:c r="I557" s="160" t="inlineStr">
        <x:is>
          <x:t xml:space="preserve">Management over-trust</x:t>
        </x:is>
      </x:c>
      <x:c r="J557" s="160" t="inlineStr">
        <x:is>
          <x:t xml:space="preserve">Guidance or strategic promises are repeated but the model lacks a contemporaneous reliability score.</x:t>
        </x:is>
      </x:c>
      <x:c r="K557" s="160" t="inlineStr">
        <x:is>
          <x:t xml:space="preserve">Branded/unbranded payment volume × take rate − reinvestment</x:t>
        </x:is>
      </x:c>
      <x:c r="L557" s="160" t="inlineStr">
        <x:is>
          <x:t xml:space="preserve">Owner earnings + reverse DCF</x:t>
        </x:is>
      </x:c>
      <x:c r="M557" s="160" t="inlineStr">
        <x:is>
          <x:t xml:space="preserve">WATCH</x:t>
        </x:is>
      </x:c>
      <x:c r="N557" s="160" t="inlineStr">
        <x:is>
          <x:t xml:space="preserve">R-PROM-01</x:t>
        </x:is>
      </x:c>
      <x:c r="O557" s="160" t="inlineStr">
        <x:is>
          <x:t xml:space="preserve">COUNTER-EVIDENCE</x:t>
        </x:is>
      </x:c>
      <x:c r="P557" s="160" t="inlineStr">
        <x:is>
          <x:t xml:space="preserve">ROBUST</x:t>
        </x:is>
      </x:c>
      <x:c r="Q557" s="160" t="inlineStr">
        <x:is>
          <x:t xml:space="preserve">The mature simulation rule catches the stress without weakening a fatal gate; no rule relaxation is justified.</x:t>
        </x:is>
      </x:c>
      <x:c r="R557" s="160" t="inlineStr">
        <x:is>
          <x:t xml:space="preserve">Use a promises ledger with dated promise, measurable deliverable, due date, outcome and credibility weight.</x:t>
        </x:is>
      </x:c>
      <x:c r="S557" s="160" t="inlineStr">
        <x:is>
          <x:t xml:space="preserve">NO</x:t>
        </x:is>
      </x:c>
      <x:c r="T557" s="160" t="inlineStr">
        <x:is>
          <x:t xml:space="preserve">COUNTER-EVIDENCE</x:t>
        </x:is>
      </x:c>
      <x:c r="U557" s="160" t="inlineStr">
        <x:is>
          <x:t xml:space="preserve">V10.5-SIM59</x:t>
        </x:is>
      </x:c>
      <x:c r="V557" s="160" t="inlineStr">
        <x:is>
          <x:t xml:space="preserve">https://investor.pypl.com</x:t>
        </x:is>
      </x:c>
      <x:c r="W557" s="160" t="inlineStr">
        <x:is>
          <x:t xml:space="preserve">NO</x:t>
        </x:is>
      </x:c>
      <x:c r="X557" s="160" t="inlineStr">
        <x:is>
          <x:t xml:space="preserve">NONE — DEVELOPMENT ONLY</x:t>
        </x:is>
      </x:c>
      <x:c r="Y557" s="160" t="inlineStr">
        <x:is>
          <x:t xml:space="preserve">Synthetic/adversarial model-development loop. No historical outcome is claimed; no accuracy point is awarded.</x:t>
        </x:is>
      </x:c>
    </x:row>
    <x:row r="558">
      <x:c r="A558" s="160" t="inlineStr">
        <x:is>
          <x:t xml:space="preserve">ML0553</x:t>
        </x:is>
      </x:c>
      <x:c r="B558" s="160" t="inlineStr">
        <x:is>
          <x:t xml:space="preserve">ARG-035</x:t>
        </x:is>
      </x:c>
      <x:c r="C558" s="160" t="inlineStr">
        <x:is>
          <x:t xml:space="preserve">PayPal</x:t>
        </x:is>
      </x:c>
      <x:c r="D558" s="160" t="inlineStr">
        <x:is>
          <x:t xml:space="preserve">PYPL</x:t>
        </x:is>
      </x:c>
      <x:c r="E558" s="160" t="inlineStr">
        <x:is>
          <x:t xml:space="preserve">Software &amp; Payments</x:t>
        </x:is>
      </x:c>
      <x:c r="F558" s="160" t="inlineStr">
        <x:is>
          <x:t xml:space="preserve">Development</x:t>
        </x:is>
      </x:c>
      <x:c r="G558" s="160" t="inlineStr">
        <x:is>
          <x:t xml:space="preserve">S09</x:t>
        </x:is>
      </x:c>
      <x:c r="H558" s="160" t="inlineStr">
        <x:is>
          <x:t xml:space="preserve">Data / Accounting Quality</x:t>
        </x:is>
      </x:c>
      <x:c r="I558" s="160" t="inlineStr">
        <x:is>
          <x:t xml:space="preserve">Data quality</x:t>
        </x:is>
      </x:c>
      <x:c r="J558" s="160" t="inlineStr">
        <x:is>
          <x:t xml:space="preserve">Restatement, segment reclassification, one-time item or non-economic fair-value movement distorts the apparent trend.</x:t>
        </x:is>
      </x:c>
      <x:c r="K558" s="160" t="inlineStr">
        <x:is>
          <x:t xml:space="preserve">Branded/unbranded payment volume × take rate − reinvestment</x:t>
        </x:is>
      </x:c>
      <x:c r="L558" s="160" t="inlineStr">
        <x:is>
          <x:t xml:space="preserve">Owner earnings + reverse DCF</x:t>
        </x:is>
      </x:c>
      <x:c r="M558" s="160" t="inlineStr">
        <x:is>
          <x:t xml:space="preserve">WATCH</x:t>
        </x:is>
      </x:c>
      <x:c r="N558" s="160" t="inlineStr">
        <x:is>
          <x:t xml:space="preserve">R-DATA-01</x:t>
        </x:is>
      </x:c>
      <x:c r="O558" s="160" t="inlineStr">
        <x:is>
          <x:t xml:space="preserve">COUNTER-EVIDENCE</x:t>
        </x:is>
      </x:c>
      <x:c r="P558" s="160" t="inlineStr">
        <x:is>
          <x:t xml:space="preserve">ROBUST</x:t>
        </x:is>
      </x:c>
      <x:c r="Q558" s="160" t="inlineStr">
        <x:is>
          <x:t xml:space="preserve">The mature simulation rule catches the stress without weakening a fatal gate; no rule relaxation is justified.</x:t>
        </x:is>
      </x:c>
      <x:c r="R558" s="160" t="inlineStr">
        <x:is>
          <x:t xml:space="preserve">Add a reporting-quality bridge and normalize accounting noise before any gate can pass.</x:t>
        </x:is>
      </x:c>
      <x:c r="S558" s="160" t="inlineStr">
        <x:is>
          <x:t xml:space="preserve">NO</x:t>
        </x:is>
      </x:c>
      <x:c r="T558" s="160" t="inlineStr">
        <x:is>
          <x:t xml:space="preserve">COUNTER-EVIDENCE</x:t>
        </x:is>
      </x:c>
      <x:c r="U558" s="160" t="inlineStr">
        <x:is>
          <x:t xml:space="preserve">V10.5-SIM59</x:t>
        </x:is>
      </x:c>
      <x:c r="V558" s="160" t="inlineStr">
        <x:is>
          <x:t xml:space="preserve">https://investor.pypl.com</x:t>
        </x:is>
      </x:c>
      <x:c r="W558" s="160" t="inlineStr">
        <x:is>
          <x:t xml:space="preserve">NO</x:t>
        </x:is>
      </x:c>
      <x:c r="X558" s="160" t="inlineStr">
        <x:is>
          <x:t xml:space="preserve">NONE — DEVELOPMENT ONLY</x:t>
        </x:is>
      </x:c>
      <x:c r="Y558" s="160" t="inlineStr">
        <x:is>
          <x:t xml:space="preserve">Synthetic/adversarial model-development loop. No historical outcome is claimed; no accuracy point is awarded.</x:t>
        </x:is>
      </x:c>
    </x:row>
    <x:row r="559">
      <x:c r="A559" s="160" t="inlineStr">
        <x:is>
          <x:t xml:space="preserve">ML0554</x:t>
        </x:is>
      </x:c>
      <x:c r="B559" s="160" t="inlineStr">
        <x:is>
          <x:t xml:space="preserve">ARG-035</x:t>
        </x:is>
      </x:c>
      <x:c r="C559" s="160" t="inlineStr">
        <x:is>
          <x:t xml:space="preserve">PayPal</x:t>
        </x:is>
      </x:c>
      <x:c r="D559" s="160" t="inlineStr">
        <x:is>
          <x:t xml:space="preserve">PYPL</x:t>
        </x:is>
      </x:c>
      <x:c r="E559" s="160" t="inlineStr">
        <x:is>
          <x:t xml:space="preserve">Software &amp; Payments</x:t>
        </x:is>
      </x:c>
      <x:c r="F559" s="160" t="inlineStr">
        <x:is>
          <x:t xml:space="preserve">Development</x:t>
        </x:is>
      </x:c>
      <x:c r="G559" s="160" t="inlineStr">
        <x:is>
          <x:t xml:space="preserve">S10</x:t>
        </x:is>
      </x:c>
      <x:c r="H559" s="160" t="inlineStr">
        <x:is>
          <x:t xml:space="preserve">Control / Counterfactual</x:t>
        </x:is>
      </x:c>
      <x:c r="I559" s="160" t="inlineStr">
        <x:is>
          <x:t xml:space="preserve">Sector beta vs company alpha</x:t>
        </x:is>
      </x:c>
      <x:c r="J559" s="160" t="inlineStr">
        <x:is>
          <x:t xml:space="preserve">A positive outcome is mostly sector beta or macro tailwind, not company-specific alpha.</x:t>
        </x:is>
      </x:c>
      <x:c r="K559" s="160" t="inlineStr">
        <x:is>
          <x:t xml:space="preserve">Branded/unbranded payment volume × take rate − reinvestment</x:t>
        </x:is>
      </x:c>
      <x:c r="L559" s="160" t="inlineStr">
        <x:is>
          <x:t xml:space="preserve">Owner earnings + reverse DCF</x:t>
        </x:is>
      </x:c>
      <x:c r="M559" s="160" t="inlineStr">
        <x:is>
          <x:t xml:space="preserve">WATCH</x:t>
        </x:is>
      </x:c>
      <x:c r="N559" s="160" t="inlineStr">
        <x:is>
          <x:t xml:space="preserve">R-CF-01</x:t>
        </x:is>
      </x:c>
      <x:c r="O559" s="160" t="inlineStr">
        <x:is>
          <x:t xml:space="preserve">COUNTER-EVIDENCE</x:t>
        </x:is>
      </x:c>
      <x:c r="P559" s="160" t="inlineStr">
        <x:is>
          <x:t xml:space="preserve">ROBUST</x:t>
        </x:is>
      </x:c>
      <x:c r="Q559" s="160" t="inlineStr">
        <x:is>
          <x:t xml:space="preserve">The mature simulation rule catches the stress without weakening a fatal gate; no rule relaxation is justified.</x:t>
        </x:is>
      </x:c>
      <x:c r="R559" s="160" t="inlineStr">
        <x:is>
          <x:t xml:space="preserve">Require a true economic control and counterfactual: what should have happened to a comparable company under the same shock?</x:t>
        </x:is>
      </x:c>
      <x:c r="S559" s="160" t="inlineStr">
        <x:is>
          <x:t xml:space="preserve">NO</x:t>
        </x:is>
      </x:c>
      <x:c r="T559" s="160" t="inlineStr">
        <x:is>
          <x:t xml:space="preserve">COUNTER-EVIDENCE</x:t>
        </x:is>
      </x:c>
      <x:c r="U559" s="160" t="inlineStr">
        <x:is>
          <x:t xml:space="preserve">V10.5-SIM59</x:t>
        </x:is>
      </x:c>
      <x:c r="V559" s="160" t="inlineStr">
        <x:is>
          <x:t xml:space="preserve">https://investor.pypl.com</x:t>
        </x:is>
      </x:c>
      <x:c r="W559" s="160" t="inlineStr">
        <x:is>
          <x:t xml:space="preserve">NO</x:t>
        </x:is>
      </x:c>
      <x:c r="X559" s="160" t="inlineStr">
        <x:is>
          <x:t xml:space="preserve">NONE — DEVELOPMENT ONLY</x:t>
        </x:is>
      </x:c>
      <x:c r="Y559" s="160" t="inlineStr">
        <x:is>
          <x:t xml:space="preserve">Synthetic/adversarial model-development loop. No historical outcome is claimed; no accuracy point is awarded.</x:t>
        </x:is>
      </x:c>
    </x:row>
    <x:row r="560">
      <x:c r="A560" s="160" t="inlineStr">
        <x:is>
          <x:t xml:space="preserve">ML0555</x:t>
        </x:is>
      </x:c>
      <x:c r="B560" s="160" t="inlineStr">
        <x:is>
          <x:t xml:space="preserve">ARG-035</x:t>
        </x:is>
      </x:c>
      <x:c r="C560" s="160" t="inlineStr">
        <x:is>
          <x:t xml:space="preserve">PayPal</x:t>
        </x:is>
      </x:c>
      <x:c r="D560" s="160" t="inlineStr">
        <x:is>
          <x:t xml:space="preserve">PYPL</x:t>
        </x:is>
      </x:c>
      <x:c r="E560" s="160" t="inlineStr">
        <x:is>
          <x:t xml:space="preserve">Software &amp; Payments</x:t>
        </x:is>
      </x:c>
      <x:c r="F560" s="160" t="inlineStr">
        <x:is>
          <x:t xml:space="preserve">Development</x:t>
        </x:is>
      </x:c>
      <x:c r="G560" s="160" t="inlineStr">
        <x:is>
          <x:t xml:space="preserve">S11</x:t>
        </x:is>
      </x:c>
      <x:c r="H560" s="160" t="inlineStr">
        <x:is>
          <x:t xml:space="preserve">False-Negative Discipline</x:t>
        </x:is>
      </x:c>
      <x:c r="I560" s="160" t="inlineStr">
        <x:is>
          <x:t xml:space="preserve">False negative</x:t>
        </x:is>
      </x:c>
      <x:c r="J560" s="160" t="inlineStr">
        <x:is>
          <x:t xml:space="preserve">A strict gate rejects a company that later compounds strongly for reasons the model could have known.</x:t>
        </x:is>
      </x:c>
      <x:c r="K560" s="160" t="inlineStr">
        <x:is>
          <x:t xml:space="preserve">Branded/unbranded payment volume × take rate − reinvestment</x:t>
        </x:is>
      </x:c>
      <x:c r="L560" s="160" t="inlineStr">
        <x:is>
          <x:t xml:space="preserve">Owner earnings + reverse DCF</x:t>
        </x:is>
      </x:c>
      <x:c r="M560" s="160" t="inlineStr">
        <x:is>
          <x:t xml:space="preserve">WATCH</x:t>
        </x:is>
      </x:c>
      <x:c r="N560" s="160" t="inlineStr">
        <x:is>
          <x:t xml:space="preserve">R-FN-01</x:t>
        </x:is>
      </x:c>
      <x:c r="O560" s="160" t="inlineStr">
        <x:is>
          <x:t xml:space="preserve">COUNTER-EVIDENCE</x:t>
        </x:is>
      </x:c>
      <x:c r="P560" s="160" t="inlineStr">
        <x:is>
          <x:t xml:space="preserve">ROBUST</x:t>
        </x:is>
      </x:c>
      <x:c r="Q560" s="160" t="inlineStr">
        <x:is>
          <x:t xml:space="preserve">The mature simulation rule catches the stress without weakening a fatal gate; no rule relaxation is justified.</x:t>
        </x:is>
      </x:c>
      <x:c r="R560" s="160" t="inlineStr">
        <x:is>
          <x:t xml:space="preserve">Track opportunity cost and classify whether the miss came from evidence timing, wrong threshold or genuinely unknowable upside.</x:t>
        </x:is>
      </x:c>
      <x:c r="S560" s="160" t="inlineStr">
        <x:is>
          <x:t xml:space="preserve">NO</x:t>
        </x:is>
      </x:c>
      <x:c r="T560" s="160" t="inlineStr">
        <x:is>
          <x:t xml:space="preserve">COUNTER-EVIDENCE</x:t>
        </x:is>
      </x:c>
      <x:c r="U560" s="160" t="inlineStr">
        <x:is>
          <x:t xml:space="preserve">V10.5-SIM59</x:t>
        </x:is>
      </x:c>
      <x:c r="V560" s="160" t="inlineStr">
        <x:is>
          <x:t xml:space="preserve">https://investor.pypl.com</x:t>
        </x:is>
      </x:c>
      <x:c r="W560" s="160" t="inlineStr">
        <x:is>
          <x:t xml:space="preserve">NO</x:t>
        </x:is>
      </x:c>
      <x:c r="X560" s="160" t="inlineStr">
        <x:is>
          <x:t xml:space="preserve">NONE — DEVELOPMENT ONLY</x:t>
        </x:is>
      </x:c>
      <x:c r="Y560" s="160" t="inlineStr">
        <x:is>
          <x:t xml:space="preserve">Synthetic/adversarial model-development loop. No historical outcome is claimed; no accuracy point is awarded.</x:t>
        </x:is>
      </x:c>
    </x:row>
    <x:row r="561">
      <x:c r="A561" s="160" t="inlineStr">
        <x:is>
          <x:t xml:space="preserve">ML0556</x:t>
        </x:is>
      </x:c>
      <x:c r="B561" s="160" t="inlineStr">
        <x:is>
          <x:t xml:space="preserve">ARG-035</x:t>
        </x:is>
      </x:c>
      <x:c r="C561" s="160" t="inlineStr">
        <x:is>
          <x:t xml:space="preserve">PayPal</x:t>
        </x:is>
      </x:c>
      <x:c r="D561" s="160" t="inlineStr">
        <x:is>
          <x:t xml:space="preserve">PYPL</x:t>
        </x:is>
      </x:c>
      <x:c r="E561" s="160" t="inlineStr">
        <x:is>
          <x:t xml:space="preserve">Software &amp; Payments</x:t>
        </x:is>
      </x:c>
      <x:c r="F561" s="160" t="inlineStr">
        <x:is>
          <x:t xml:space="preserve">Development</x:t>
        </x:is>
      </x:c>
      <x:c r="G561" s="160" t="inlineStr">
        <x:is>
          <x:t xml:space="preserve">S12</x:t>
        </x:is>
      </x:c>
      <x:c r="H561" s="160" t="inlineStr">
        <x:is>
          <x:t xml:space="preserve">Lead-Time / Early Sensor</x:t>
        </x:is>
      </x:c>
      <x:c r="I561" s="160" t="inlineStr">
        <x:is>
          <x:t xml:space="preserve">Timing / lead-time</x:t>
        </x:is>
      </x:c>
      <x:c r="J561" s="160" t="inlineStr">
        <x:is>
          <x:t xml:space="preserve">ARGUS identifies the change correctly but only after consensus and price have already reacted.</x:t>
        </x:is>
      </x:c>
      <x:c r="K561" s="160" t="inlineStr">
        <x:is>
          <x:t xml:space="preserve">Branded/unbranded payment volume × take rate − reinvestment</x:t>
        </x:is>
      </x:c>
      <x:c r="L561" s="160" t="inlineStr">
        <x:is>
          <x:t xml:space="preserve">Owner earnings + reverse DCF</x:t>
        </x:is>
      </x:c>
      <x:c r="M561" s="160" t="inlineStr">
        <x:is>
          <x:t xml:space="preserve">WATCH</x:t>
        </x:is>
      </x:c>
      <x:c r="N561" s="160" t="inlineStr">
        <x:is>
          <x:t xml:space="preserve">R-TIME-01</x:t>
        </x:is>
      </x:c>
      <x:c r="O561" s="160" t="inlineStr">
        <x:is>
          <x:t xml:space="preserve">COUNTER-EVIDENCE</x:t>
        </x:is>
      </x:c>
      <x:c r="P561" s="160" t="inlineStr">
        <x:is>
          <x:t xml:space="preserve">ROBUST</x:t>
        </x:is>
      </x:c>
      <x:c r="Q561" s="160" t="inlineStr">
        <x:is>
          <x:t xml:space="preserve">The mature simulation rule catches the stress without weakening a fatal gate; no rule relaxation is justified.</x:t>
        </x:is>
      </x:c>
      <x:c r="R561" s="160" t="inlineStr">
        <x:is>
          <x:t xml:space="preserve">Replace lagging financial metrics with earlier causal operating sensors and record lead time separately from correctness.</x:t>
        </x:is>
      </x:c>
      <x:c r="S561" s="160" t="inlineStr">
        <x:is>
          <x:t xml:space="preserve">NO</x:t>
        </x:is>
      </x:c>
      <x:c r="T561" s="160" t="inlineStr">
        <x:is>
          <x:t xml:space="preserve">COUNTER-EVIDENCE</x:t>
        </x:is>
      </x:c>
      <x:c r="U561" s="160" t="inlineStr">
        <x:is>
          <x:t xml:space="preserve">V10.5-SIM59</x:t>
        </x:is>
      </x:c>
      <x:c r="V561" s="160" t="inlineStr">
        <x:is>
          <x:t xml:space="preserve">https://investor.pypl.com</x:t>
        </x:is>
      </x:c>
      <x:c r="W561" s="160" t="inlineStr">
        <x:is>
          <x:t xml:space="preserve">NO</x:t>
        </x:is>
      </x:c>
      <x:c r="X561" s="160" t="inlineStr">
        <x:is>
          <x:t xml:space="preserve">NONE — DEVELOPMENT ONLY</x:t>
        </x:is>
      </x:c>
      <x:c r="Y561" s="160" t="inlineStr">
        <x:is>
          <x:t xml:space="preserve">Synthetic/adversarial model-development loop. No historical outcome is claimed; no accuracy point is awarded.</x:t>
        </x:is>
      </x:c>
    </x:row>
    <x:row r="562">
      <x:c r="A562" s="160" t="inlineStr">
        <x:is>
          <x:t xml:space="preserve">ML0557</x:t>
        </x:is>
      </x:c>
      <x:c r="B562" s="160" t="inlineStr">
        <x:is>
          <x:t xml:space="preserve">ARG-035</x:t>
        </x:is>
      </x:c>
      <x:c r="C562" s="160" t="inlineStr">
        <x:is>
          <x:t xml:space="preserve">PayPal</x:t>
        </x:is>
      </x:c>
      <x:c r="D562" s="160" t="inlineStr">
        <x:is>
          <x:t xml:space="preserve">PYPL</x:t>
        </x:is>
      </x:c>
      <x:c r="E562" s="160" t="inlineStr">
        <x:is>
          <x:t xml:space="preserve">Software &amp; Payments</x:t>
        </x:is>
      </x:c>
      <x:c r="F562" s="160" t="inlineStr">
        <x:is>
          <x:t xml:space="preserve">Development</x:t>
        </x:is>
      </x:c>
      <x:c r="G562" s="160" t="inlineStr">
        <x:is>
          <x:t xml:space="preserve">S13</x:t>
        </x:is>
      </x:c>
      <x:c r="H562" s="160" t="inlineStr">
        <x:is>
          <x:t xml:space="preserve">Cycle Normalization</x:t>
        </x:is>
      </x:c>
      <x:c r="I562" s="160" t="inlineStr">
        <x:is>
          <x:t xml:space="preserve">Wrong valuation lens</x:t>
        </x:is>
      </x:c>
      <x:c r="J562" s="160" t="inlineStr">
        <x:is>
          <x:t xml:space="preserve">Peak/trough earnings are mistaken for normalized earning power.</x:t>
        </x:is>
      </x:c>
      <x:c r="K562" s="160" t="inlineStr">
        <x:is>
          <x:t xml:space="preserve">Branded/unbranded payment volume × take rate − reinvestment</x:t>
        </x:is>
      </x:c>
      <x:c r="L562" s="160" t="inlineStr">
        <x:is>
          <x:t xml:space="preserve">Owner earnings + reverse DCF</x:t>
        </x:is>
      </x:c>
      <x:c r="M562" s="160" t="inlineStr">
        <x:is>
          <x:t xml:space="preserve">WATCH</x:t>
        </x:is>
      </x:c>
      <x:c r="N562" s="160" t="inlineStr">
        <x:is>
          <x:t xml:space="preserve">R-CYCLE-01</x:t>
        </x:is>
      </x:c>
      <x:c r="O562" s="160" t="inlineStr">
        <x:is>
          <x:t xml:space="preserve">COUNTER-EVIDENCE</x:t>
        </x:is>
      </x:c>
      <x:c r="P562" s="160" t="inlineStr">
        <x:is>
          <x:t xml:space="preserve">ROBUST</x:t>
        </x:is>
      </x:c>
      <x:c r="Q562" s="160" t="inlineStr">
        <x:is>
          <x:t xml:space="preserve">The mature simulation rule catches the stress without weakening a fatal gate; no rule relaxation is justified.</x:t>
        </x:is>
      </x:c>
      <x:c r="R562" s="160" t="inlineStr">
        <x:is>
          <x:t xml:space="preserve">Use sector-specific mid-cycle/NAV/rate-base/rNPV normalization before applying a valuation multiple.</x:t>
        </x:is>
      </x:c>
      <x:c r="S562" s="160" t="inlineStr">
        <x:is>
          <x:t xml:space="preserve">NO</x:t>
        </x:is>
      </x:c>
      <x:c r="T562" s="160" t="inlineStr">
        <x:is>
          <x:t xml:space="preserve">COUNTER-EVIDENCE</x:t>
        </x:is>
      </x:c>
      <x:c r="U562" s="160" t="inlineStr">
        <x:is>
          <x:t xml:space="preserve">V10.5-SIM59</x:t>
        </x:is>
      </x:c>
      <x:c r="V562" s="160" t="inlineStr">
        <x:is>
          <x:t xml:space="preserve">https://investor.pypl.com</x:t>
        </x:is>
      </x:c>
      <x:c r="W562" s="160" t="inlineStr">
        <x:is>
          <x:t xml:space="preserve">NO</x:t>
        </x:is>
      </x:c>
      <x:c r="X562" s="160" t="inlineStr">
        <x:is>
          <x:t xml:space="preserve">NONE — DEVELOPMENT ONLY</x:t>
        </x:is>
      </x:c>
      <x:c r="Y562" s="160" t="inlineStr">
        <x:is>
          <x:t xml:space="preserve">Synthetic/adversarial model-development loop. No historical outcome is claimed; no accuracy point is awarded.</x:t>
        </x:is>
      </x:c>
    </x:row>
    <x:row r="563">
      <x:c r="A563" s="160" t="inlineStr">
        <x:is>
          <x:t xml:space="preserve">ML0558</x:t>
        </x:is>
      </x:c>
      <x:c r="B563" s="160" t="inlineStr">
        <x:is>
          <x:t xml:space="preserve">ARG-035</x:t>
        </x:is>
      </x:c>
      <x:c r="C563" s="160" t="inlineStr">
        <x:is>
          <x:t xml:space="preserve">PayPal</x:t>
        </x:is>
      </x:c>
      <x:c r="D563" s="160" t="inlineStr">
        <x:is>
          <x:t xml:space="preserve">PYPL</x:t>
        </x:is>
      </x:c>
      <x:c r="E563" s="160" t="inlineStr">
        <x:is>
          <x:t xml:space="preserve">Software &amp; Payments</x:t>
        </x:is>
      </x:c>
      <x:c r="F563" s="160" t="inlineStr">
        <x:is>
          <x:t xml:space="preserve">Development</x:t>
        </x:is>
      </x:c>
      <x:c r="G563" s="160" t="inlineStr">
        <x:is>
          <x:t xml:space="preserve">S14</x:t>
        </x:is>
      </x:c>
      <x:c r="H563" s="160" t="inlineStr">
        <x:is>
          <x:t xml:space="preserve">M&amp;A / Organic Growth Separation</x:t>
        </x:is>
      </x:c>
      <x:c r="I563" s="160" t="inlineStr">
        <x:is>
          <x:t xml:space="preserve">Stewardship</x:t>
        </x:is>
      </x:c>
      <x:c r="J563" s="160" t="inlineStr">
        <x:is>
          <x:t xml:space="preserve">Acquisition-driven growth masks weak organic economics or poor incremental ROIC.</x:t>
        </x:is>
      </x:c>
      <x:c r="K563" s="160" t="inlineStr">
        <x:is>
          <x:t xml:space="preserve">Branded/unbranded payment volume × take rate − reinvestment</x:t>
        </x:is>
      </x:c>
      <x:c r="L563" s="160" t="inlineStr">
        <x:is>
          <x:t xml:space="preserve">Owner earnings + reverse DCF</x:t>
        </x:is>
      </x:c>
      <x:c r="M563" s="160" t="inlineStr">
        <x:is>
          <x:t xml:space="preserve">WATCH</x:t>
        </x:is>
      </x:c>
      <x:c r="N563" s="160" t="inlineStr">
        <x:is>
          <x:t xml:space="preserve">R-MA-01</x:t>
        </x:is>
      </x:c>
      <x:c r="O563" s="160" t="inlineStr">
        <x:is>
          <x:t xml:space="preserve">COUNTER-EVIDENCE</x:t>
        </x:is>
      </x:c>
      <x:c r="P563" s="160" t="inlineStr">
        <x:is>
          <x:t xml:space="preserve">ROBUST</x:t>
        </x:is>
      </x:c>
      <x:c r="Q563" s="160" t="inlineStr">
        <x:is>
          <x:t xml:space="preserve">The mature simulation rule catches the stress without weakening a fatal gate; no rule relaxation is justified.</x:t>
        </x:is>
      </x:c>
      <x:c r="R563" s="160" t="inlineStr">
        <x:is>
          <x:t xml:space="preserve">Bridge organic growth, acquired growth, purchase price, integration costs and acquisition-cohort ROIC.</x:t>
        </x:is>
      </x:c>
      <x:c r="S563" s="160" t="inlineStr">
        <x:is>
          <x:t xml:space="preserve">NO</x:t>
        </x:is>
      </x:c>
      <x:c r="T563" s="160" t="inlineStr">
        <x:is>
          <x:t xml:space="preserve">COUNTER-EVIDENCE</x:t>
        </x:is>
      </x:c>
      <x:c r="U563" s="160" t="inlineStr">
        <x:is>
          <x:t xml:space="preserve">V10.5-SIM59</x:t>
        </x:is>
      </x:c>
      <x:c r="V563" s="160" t="inlineStr">
        <x:is>
          <x:t xml:space="preserve">https://investor.pypl.com</x:t>
        </x:is>
      </x:c>
      <x:c r="W563" s="160" t="inlineStr">
        <x:is>
          <x:t xml:space="preserve">NO</x:t>
        </x:is>
      </x:c>
      <x:c r="X563" s="160" t="inlineStr">
        <x:is>
          <x:t xml:space="preserve">NONE — DEVELOPMENT ONLY</x:t>
        </x:is>
      </x:c>
      <x:c r="Y563" s="160" t="inlineStr">
        <x:is>
          <x:t xml:space="preserve">Synthetic/adversarial model-development loop. No historical outcome is claimed; no accuracy point is awarded.</x:t>
        </x:is>
      </x:c>
    </x:row>
    <x:row r="564">
      <x:c r="A564" s="160" t="inlineStr">
        <x:is>
          <x:t xml:space="preserve">ML0559</x:t>
        </x:is>
      </x:c>
      <x:c r="B564" s="160" t="inlineStr">
        <x:is>
          <x:t xml:space="preserve">ARG-035</x:t>
        </x:is>
      </x:c>
      <x:c r="C564" s="160" t="inlineStr">
        <x:is>
          <x:t xml:space="preserve">PayPal</x:t>
        </x:is>
      </x:c>
      <x:c r="D564" s="160" t="inlineStr">
        <x:is>
          <x:t xml:space="preserve">PYPL</x:t>
        </x:is>
      </x:c>
      <x:c r="E564" s="160" t="inlineStr">
        <x:is>
          <x:t xml:space="preserve">Software &amp; Payments</x:t>
        </x:is>
      </x:c>
      <x:c r="F564" s="160" t="inlineStr">
        <x:is>
          <x:t xml:space="preserve">Development</x:t>
        </x:is>
      </x:c>
      <x:c r="G564" s="160" t="inlineStr">
        <x:is>
          <x:t xml:space="preserve">S15</x:t>
        </x:is>
      </x:c>
      <x:c r="H564" s="160" t="inlineStr">
        <x:is>
          <x:t xml:space="preserve">Financing / Dilution Per Share</x:t>
        </x:is>
      </x:c>
      <x:c r="I564" s="160" t="inlineStr">
        <x:is>
          <x:t xml:space="preserve">Stewardship</x:t>
        </x:is>
      </x:c>
      <x:c r="J564" s="160" t="inlineStr">
        <x:is>
          <x:t xml:space="preserve">Cash balance or revenue growth improves while financing causes material per-share value leakage.</x:t>
        </x:is>
      </x:c>
      <x:c r="K564" s="160" t="inlineStr">
        <x:is>
          <x:t xml:space="preserve">Branded/unbranded payment volume × take rate − reinvestment</x:t>
        </x:is>
      </x:c>
      <x:c r="L564" s="160" t="inlineStr">
        <x:is>
          <x:t xml:space="preserve">Owner earnings + reverse DCF</x:t>
        </x:is>
      </x:c>
      <x:c r="M564" s="160" t="inlineStr">
        <x:is>
          <x:t xml:space="preserve">WATCH</x:t>
        </x:is>
      </x:c>
      <x:c r="N564" s="160" t="inlineStr">
        <x:is>
          <x:t xml:space="preserve">R-DIL-01</x:t>
        </x:is>
      </x:c>
      <x:c r="O564" s="160" t="inlineStr">
        <x:is>
          <x:t xml:space="preserve">COUNTER-EVIDENCE</x:t>
        </x:is>
      </x:c>
      <x:c r="P564" s="160" t="inlineStr">
        <x:is>
          <x:t xml:space="preserve">ROBUST</x:t>
        </x:is>
      </x:c>
      <x:c r="Q564" s="160" t="inlineStr">
        <x:is>
          <x:t xml:space="preserve">The mature simulation rule catches the stress without weakening a fatal gate; no rule relaxation is justified.</x:t>
        </x:is>
      </x:c>
      <x:c r="R564" s="160" t="inlineStr">
        <x:is>
          <x:t xml:space="preserve">Reconcile share-count growth, SBC, equity issuance, buybacks and net cash changes to per-share intrinsic value.</x:t>
        </x:is>
      </x:c>
      <x:c r="S564" s="160" t="inlineStr">
        <x:is>
          <x:t xml:space="preserve">NO</x:t>
        </x:is>
      </x:c>
      <x:c r="T564" s="160" t="inlineStr">
        <x:is>
          <x:t xml:space="preserve">COUNTER-EVIDENCE</x:t>
        </x:is>
      </x:c>
      <x:c r="U564" s="160" t="inlineStr">
        <x:is>
          <x:t xml:space="preserve">V10.5-SIM59</x:t>
        </x:is>
      </x:c>
      <x:c r="V564" s="160" t="inlineStr">
        <x:is>
          <x:t xml:space="preserve">https://investor.pypl.com</x:t>
        </x:is>
      </x:c>
      <x:c r="W564" s="160" t="inlineStr">
        <x:is>
          <x:t xml:space="preserve">NO</x:t>
        </x:is>
      </x:c>
      <x:c r="X564" s="160" t="inlineStr">
        <x:is>
          <x:t xml:space="preserve">NONE — DEVELOPMENT ONLY</x:t>
        </x:is>
      </x:c>
      <x:c r="Y564" s="160" t="inlineStr">
        <x:is>
          <x:t xml:space="preserve">Synthetic/adversarial model-development loop. No historical outcome is claimed; no accuracy point is awarded.</x:t>
        </x:is>
      </x:c>
    </x:row>
    <x:row r="565">
      <x:c r="A565" s="160" t="inlineStr">
        <x:is>
          <x:t xml:space="preserve">ML0560</x:t>
        </x:is>
      </x:c>
      <x:c r="B565" s="160" t="inlineStr">
        <x:is>
          <x:t xml:space="preserve">ARG-035</x:t>
        </x:is>
      </x:c>
      <x:c r="C565" s="160" t="inlineStr">
        <x:is>
          <x:t xml:space="preserve">PayPal</x:t>
        </x:is>
      </x:c>
      <x:c r="D565" s="160" t="inlineStr">
        <x:is>
          <x:t xml:space="preserve">PYPL</x:t>
        </x:is>
      </x:c>
      <x:c r="E565" s="160" t="inlineStr">
        <x:is>
          <x:t xml:space="preserve">Software &amp; Payments</x:t>
        </x:is>
      </x:c>
      <x:c r="F565" s="160" t="inlineStr">
        <x:is>
          <x:t xml:space="preserve">Development</x:t>
        </x:is>
      </x:c>
      <x:c r="G565" s="160" t="inlineStr">
        <x:is>
          <x:t xml:space="preserve">S16</x:t>
        </x:is>
      </x:c>
      <x:c r="H565" s="160" t="inlineStr">
        <x:is>
          <x:t xml:space="preserve">Concentration / Tail Risk</x:t>
        </x:is>
      </x:c>
      <x:c r="I565" s="160" t="inlineStr">
        <x:is>
          <x:t xml:space="preserve">Survival</x:t>
        </x:is>
      </x:c>
      <x:c r="J565" s="160" t="inlineStr">
        <x:is>
          <x:t xml:space="preserve">A concentrated supplier, geography, customer, product, patent, regulatory or technology dependency creates asymmetric permanent-loss risk.</x:t>
        </x:is>
      </x:c>
      <x:c r="K565" s="160" t="inlineStr">
        <x:is>
          <x:t xml:space="preserve">Branded/unbranded payment volume × take rate − reinvestment</x:t>
        </x:is>
      </x:c>
      <x:c r="L565" s="160" t="inlineStr">
        <x:is>
          <x:t xml:space="preserve">Owner earnings + reverse DCF</x:t>
        </x:is>
      </x:c>
      <x:c r="M565" s="160" t="inlineStr">
        <x:is>
          <x:t xml:space="preserve">WATCH</x:t>
        </x:is>
      </x:c>
      <x:c r="N565" s="160" t="inlineStr">
        <x:is>
          <x:t xml:space="preserve">R-TAIL-01</x:t>
        </x:is>
      </x:c>
      <x:c r="O565" s="160" t="inlineStr">
        <x:is>
          <x:t xml:space="preserve">COUNTER-EVIDENCE</x:t>
        </x:is>
      </x:c>
      <x:c r="P565" s="160" t="inlineStr">
        <x:is>
          <x:t xml:space="preserve">ROBUST</x:t>
        </x:is>
      </x:c>
      <x:c r="Q565" s="160" t="inlineStr">
        <x:is>
          <x:t xml:space="preserve">The mature simulation rule catches the stress without weakening a fatal gate; no rule relaxation is justified.</x:t>
        </x:is>
      </x:c>
      <x:c r="R565" s="160" t="inlineStr">
        <x:is>
          <x:t xml:space="preserve">Maintain an explicit concentration/tail-risk register with probability, severity, mitigation and required margin-of-safety premium.</x:t>
        </x:is>
      </x:c>
      <x:c r="S565" s="160" t="inlineStr">
        <x:is>
          <x:t xml:space="preserve">NO</x:t>
        </x:is>
      </x:c>
      <x:c r="T565" s="160" t="inlineStr">
        <x:is>
          <x:t xml:space="preserve">COUNTER-EVIDENCE</x:t>
        </x:is>
      </x:c>
      <x:c r="U565" s="160" t="inlineStr">
        <x:is>
          <x:t xml:space="preserve">V10.5-SIM59</x:t>
        </x:is>
      </x:c>
      <x:c r="V565" s="160" t="inlineStr">
        <x:is>
          <x:t xml:space="preserve">https://investor.pypl.com</x:t>
        </x:is>
      </x:c>
      <x:c r="W565" s="160" t="inlineStr">
        <x:is>
          <x:t xml:space="preserve">NO</x:t>
        </x:is>
      </x:c>
      <x:c r="X565" s="160" t="inlineStr">
        <x:is>
          <x:t xml:space="preserve">NONE — DEVELOPMENT ONLY</x:t>
        </x:is>
      </x:c>
      <x:c r="Y565" s="160" t="inlineStr">
        <x:is>
          <x:t xml:space="preserve">Synthetic/adversarial model-development loop. No historical outcome is claimed; no accuracy point is awarded.</x:t>
        </x:is>
      </x:c>
    </x:row>
    <x:row r="566">
      <x:c r="A566" s="160" t="inlineStr">
        <x:is>
          <x:t xml:space="preserve">ML0561</x:t>
        </x:is>
      </x:c>
      <x:c r="B566" s="160" t="inlineStr">
        <x:is>
          <x:t xml:space="preserve">ARG-036</x:t>
        </x:is>
      </x:c>
      <x:c r="C566" s="160" t="inlineStr">
        <x:is>
          <x:t xml:space="preserve">JPMorgan Chase</x:t>
        </x:is>
      </x:c>
      <x:c r="D566" s="160" t="inlineStr">
        <x:is>
          <x:t xml:space="preserve">JPM</x:t>
        </x:is>
      </x:c>
      <x:c r="E566" s="160" t="inlineStr">
        <x:is>
          <x:t xml:space="preserve">Banks</x:t>
        </x:is>
      </x:c>
      <x:c r="F566" s="160" t="inlineStr">
        <x:is>
          <x:t xml:space="preserve">Development</x:t>
        </x:is>
      </x:c>
      <x:c r="G566" s="160" t="inlineStr">
        <x:is>
          <x:t xml:space="preserve">S01</x:t>
        </x:is>
      </x:c>
      <x:c r="H566" s="160" t="inlineStr">
        <x:is>
          <x:t xml:space="preserve">Understanding Gate</x:t>
        </x:is>
      </x:c>
      <x:c r="I566" s="160" t="inlineStr">
        <x:is>
          <x:t xml:space="preserve">Understanding</x:t>
        </x:is>
      </x:c>
      <x:c r="J566" s="160" t="inlineStr">
        <x:is>
          <x:t xml:space="preserve">Causal engine / customer ROI chain breaks under a misleading headline KPI.</x:t>
        </x:is>
      </x:c>
      <x:c r="K566" s="160" t="inlineStr">
        <x:is>
          <x:t xml:space="preserve">Deposit franchise, lending, markets and fees</x:t>
        </x:is>
      </x:c>
      <x:c r="L566" s="160" t="inlineStr">
        <x:is>
          <x:t xml:space="preserve">Tangible book + normalized earnings</x:t>
        </x:is>
      </x:c>
      <x:c r="M566" s="160" t="inlineStr">
        <x:is>
          <x:t xml:space="preserve">WATCH</x:t>
        </x:is>
      </x:c>
      <x:c r="N566" s="160" t="inlineStr">
        <x:is>
          <x:t xml:space="preserve">R-ENG-01</x:t>
        </x:is>
      </x:c>
      <x:c r="O566" s="160" t="inlineStr">
        <x:is>
          <x:t xml:space="preserve">COUNTER-EVIDENCE</x:t>
        </x:is>
      </x:c>
      <x:c r="P566" s="160" t="inlineStr">
        <x:is>
          <x:t xml:space="preserve">ROBUST</x:t>
        </x:is>
      </x:c>
      <x:c r="Q566" s="160" t="inlineStr">
        <x:is>
          <x:t xml:space="preserve">The mature simulation rule catches the stress without weakening a fatal gate; no rule relaxation is justified.</x:t>
        </x:is>
      </x:c>
      <x:c r="R566" s="160" t="inlineStr">
        <x:is>
          <x:t xml:space="preserve">Force an explicit engine tree: customer job → unit economics → revenue driver → owner-value bridge.</x:t>
        </x:is>
      </x:c>
      <x:c r="S566" s="160" t="inlineStr">
        <x:is>
          <x:t xml:space="preserve">NO</x:t>
        </x:is>
      </x:c>
      <x:c r="T566" s="160" t="inlineStr">
        <x:is>
          <x:t xml:space="preserve">COUNTER-EVIDENCE</x:t>
        </x:is>
      </x:c>
      <x:c r="U566" s="160" t="inlineStr">
        <x:is>
          <x:t xml:space="preserve">V10.5-SIM59</x:t>
        </x:is>
      </x:c>
      <x:c r="V566" s="160" t="inlineStr">
        <x:is>
          <x:t xml:space="preserve">https://www.jpmorganchase.com/ir</x:t>
        </x:is>
      </x:c>
      <x:c r="W566" s="160" t="inlineStr">
        <x:is>
          <x:t xml:space="preserve">NO</x:t>
        </x:is>
      </x:c>
      <x:c r="X566" s="160" t="inlineStr">
        <x:is>
          <x:t xml:space="preserve">NONE — DEVELOPMENT ONLY</x:t>
        </x:is>
      </x:c>
      <x:c r="Y566" s="160" t="inlineStr">
        <x:is>
          <x:t xml:space="preserve">Synthetic/adversarial model-development loop. No historical outcome is claimed; no accuracy point is awarded.</x:t>
        </x:is>
      </x:c>
    </x:row>
    <x:row r="567">
      <x:c r="A567" s="160" t="inlineStr">
        <x:is>
          <x:t xml:space="preserve">ML0562</x:t>
        </x:is>
      </x:c>
      <x:c r="B567" s="160" t="inlineStr">
        <x:is>
          <x:t xml:space="preserve">ARG-036</x:t>
        </x:is>
      </x:c>
      <x:c r="C567" s="160" t="inlineStr">
        <x:is>
          <x:t xml:space="preserve">JPMorgan Chase</x:t>
        </x:is>
      </x:c>
      <x:c r="D567" s="160" t="inlineStr">
        <x:is>
          <x:t xml:space="preserve">JPM</x:t>
        </x:is>
      </x:c>
      <x:c r="E567" s="160" t="inlineStr">
        <x:is>
          <x:t xml:space="preserve">Banks</x:t>
        </x:is>
      </x:c>
      <x:c r="F567" s="160" t="inlineStr">
        <x:is>
          <x:t xml:space="preserve">Development</x:t>
        </x:is>
      </x:c>
      <x:c r="G567" s="160" t="inlineStr">
        <x:is>
          <x:t xml:space="preserve">S02</x:t>
        </x:is>
      </x:c>
      <x:c r="H567" s="160" t="inlineStr">
        <x:is>
          <x:t xml:space="preserve">Owner Earnings Normalization</x:t>
        </x:is>
      </x:c>
      <x:c r="I567" s="160" t="inlineStr">
        <x:is>
          <x:t xml:space="preserve">Owner Earnings</x:t>
        </x:is>
      </x:c>
      <x:c r="J567" s="160" t="inlineStr">
        <x:is>
          <x:t xml:space="preserve">Reported earnings/FCF overstates economic cash because recurring reinvestment or non-cash compensation is misclassified.</x:t>
        </x:is>
      </x:c>
      <x:c r="K567" s="160" t="inlineStr">
        <x:is>
          <x:t xml:space="preserve">Deposit franchise, lending, markets and fees</x:t>
        </x:is>
      </x:c>
      <x:c r="L567" s="160" t="inlineStr">
        <x:is>
          <x:t xml:space="preserve">Tangible book + normalized earnings</x:t>
        </x:is>
      </x:c>
      <x:c r="M567" s="160" t="inlineStr">
        <x:is>
          <x:t xml:space="preserve">WATCH</x:t>
        </x:is>
      </x:c>
      <x:c r="N567" s="160" t="inlineStr">
        <x:is>
          <x:t xml:space="preserve">R-OE-01</x:t>
        </x:is>
      </x:c>
      <x:c r="O567" s="160" t="inlineStr">
        <x:is>
          <x:t xml:space="preserve">COUNTER-EVIDENCE</x:t>
        </x:is>
      </x:c>
      <x:c r="P567" s="160" t="inlineStr">
        <x:is>
          <x:t xml:space="preserve">ROBUST</x:t>
        </x:is>
      </x:c>
      <x:c r="Q567" s="160" t="inlineStr">
        <x:is>
          <x:t xml:space="preserve">The mature simulation rule catches the stress without weakening a fatal gate; no rule relaxation is justified.</x:t>
        </x:is>
      </x:c>
      <x:c r="R567" s="160" t="inlineStr">
        <x:is>
          <x:t xml:space="preserve">Require a GAAP-to-economic-owner-cash bridge tailored to the business model.</x:t>
        </x:is>
      </x:c>
      <x:c r="S567" s="160" t="inlineStr">
        <x:is>
          <x:t xml:space="preserve">NO</x:t>
        </x:is>
      </x:c>
      <x:c r="T567" s="160" t="inlineStr">
        <x:is>
          <x:t xml:space="preserve">COUNTER-EVIDENCE</x:t>
        </x:is>
      </x:c>
      <x:c r="U567" s="160" t="inlineStr">
        <x:is>
          <x:t xml:space="preserve">V10.5-SIM59</x:t>
        </x:is>
      </x:c>
      <x:c r="V567" s="160" t="inlineStr">
        <x:is>
          <x:t xml:space="preserve">https://www.jpmorganchase.com/ir</x:t>
        </x:is>
      </x:c>
      <x:c r="W567" s="160" t="inlineStr">
        <x:is>
          <x:t xml:space="preserve">NO</x:t>
        </x:is>
      </x:c>
      <x:c r="X567" s="160" t="inlineStr">
        <x:is>
          <x:t xml:space="preserve">NONE — DEVELOPMENT ONLY</x:t>
        </x:is>
      </x:c>
      <x:c r="Y567" s="160" t="inlineStr">
        <x:is>
          <x:t xml:space="preserve">Synthetic/adversarial model-development loop. No historical outcome is claimed; no accuracy point is awarded.</x:t>
        </x:is>
      </x:c>
    </x:row>
    <x:row r="568">
      <x:c r="A568" s="160" t="inlineStr">
        <x:is>
          <x:t xml:space="preserve">ML0563</x:t>
        </x:is>
      </x:c>
      <x:c r="B568" s="160" t="inlineStr">
        <x:is>
          <x:t xml:space="preserve">ARG-036</x:t>
        </x:is>
      </x:c>
      <x:c r="C568" s="160" t="inlineStr">
        <x:is>
          <x:t xml:space="preserve">JPMorgan Chase</x:t>
        </x:is>
      </x:c>
      <x:c r="D568" s="160" t="inlineStr">
        <x:is>
          <x:t xml:space="preserve">JPM</x:t>
        </x:is>
      </x:c>
      <x:c r="E568" s="160" t="inlineStr">
        <x:is>
          <x:t xml:space="preserve">Banks</x:t>
        </x:is>
      </x:c>
      <x:c r="F568" s="160" t="inlineStr">
        <x:is>
          <x:t xml:space="preserve">Development</x:t>
        </x:is>
      </x:c>
      <x:c r="G568" s="160" t="inlineStr">
        <x:is>
          <x:t xml:space="preserve">S03</x:t>
        </x:is>
      </x:c>
      <x:c r="H568" s="160" t="inlineStr">
        <x:is>
          <x:t xml:space="preserve">Moat Durability</x:t>
        </x:is>
      </x:c>
      <x:c r="I568" s="160" t="inlineStr">
        <x:is>
          <x:t xml:space="preserve">Moat 2036</x:t>
        </x:is>
      </x:c>
      <x:c r="J568" s="160" t="inlineStr">
        <x:is>
          <x:t xml:space="preserve">Growth continues while switching friction, pricing power or replacement difficulty quietly weakens.</x:t>
        </x:is>
      </x:c>
      <x:c r="K568" s="160" t="inlineStr">
        <x:is>
          <x:t xml:space="preserve">Deposit franchise, lending, markets and fees</x:t>
        </x:is>
      </x:c>
      <x:c r="L568" s="160" t="inlineStr">
        <x:is>
          <x:t xml:space="preserve">Tangible book + normalized earnings</x:t>
        </x:is>
      </x:c>
      <x:c r="M568" s="160" t="inlineStr">
        <x:is>
          <x:t xml:space="preserve">WATCH</x:t>
        </x:is>
      </x:c>
      <x:c r="N568" s="160" t="inlineStr">
        <x:is>
          <x:t xml:space="preserve">R-MOAT-01</x:t>
        </x:is>
      </x:c>
      <x:c r="O568" s="160" t="inlineStr">
        <x:is>
          <x:t xml:space="preserve">COUNTER-EVIDENCE</x:t>
        </x:is>
      </x:c>
      <x:c r="P568" s="160" t="inlineStr">
        <x:is>
          <x:t xml:space="preserve">ROBUST</x:t>
        </x:is>
      </x:c>
      <x:c r="Q568" s="160" t="inlineStr">
        <x:is>
          <x:t xml:space="preserve">The mature simulation rule catches the stress without weakening a fatal gate; no rule relaxation is justified.</x:t>
        </x:is>
      </x:c>
      <x:c r="R568" s="160" t="inlineStr">
        <x:is>
          <x:t xml:space="preserve">Track moat telemetry separately from growth: retention, pricing, win/loss, replacement friction, installed-base behavior.</x:t>
        </x:is>
      </x:c>
      <x:c r="S568" s="160" t="inlineStr">
        <x:is>
          <x:t xml:space="preserve">NO</x:t>
        </x:is>
      </x:c>
      <x:c r="T568" s="160" t="inlineStr">
        <x:is>
          <x:t xml:space="preserve">COUNTER-EVIDENCE</x:t>
        </x:is>
      </x:c>
      <x:c r="U568" s="160" t="inlineStr">
        <x:is>
          <x:t xml:space="preserve">V10.5-SIM59</x:t>
        </x:is>
      </x:c>
      <x:c r="V568" s="160" t="inlineStr">
        <x:is>
          <x:t xml:space="preserve">https://www.jpmorganchase.com/ir</x:t>
        </x:is>
      </x:c>
      <x:c r="W568" s="160" t="inlineStr">
        <x:is>
          <x:t xml:space="preserve">NO</x:t>
        </x:is>
      </x:c>
      <x:c r="X568" s="160" t="inlineStr">
        <x:is>
          <x:t xml:space="preserve">NONE — DEVELOPMENT ONLY</x:t>
        </x:is>
      </x:c>
      <x:c r="Y568" s="160" t="inlineStr">
        <x:is>
          <x:t xml:space="preserve">Synthetic/adversarial model-development loop. No historical outcome is claimed; no accuracy point is awarded.</x:t>
        </x:is>
      </x:c>
    </x:row>
    <x:row r="569">
      <x:c r="A569" s="160" t="inlineStr">
        <x:is>
          <x:t xml:space="preserve">ML0564</x:t>
        </x:is>
      </x:c>
      <x:c r="B569" s="160" t="inlineStr">
        <x:is>
          <x:t xml:space="preserve">ARG-036</x:t>
        </x:is>
      </x:c>
      <x:c r="C569" s="160" t="inlineStr">
        <x:is>
          <x:t xml:space="preserve">JPMorgan Chase</x:t>
        </x:is>
      </x:c>
      <x:c r="D569" s="160" t="inlineStr">
        <x:is>
          <x:t xml:space="preserve">JPM</x:t>
        </x:is>
      </x:c>
      <x:c r="E569" s="160" t="inlineStr">
        <x:is>
          <x:t xml:space="preserve">Banks</x:t>
        </x:is>
      </x:c>
      <x:c r="F569" s="160" t="inlineStr">
        <x:is>
          <x:t xml:space="preserve">Development</x:t>
        </x:is>
      </x:c>
      <x:c r="G569" s="160" t="inlineStr">
        <x:is>
          <x:t xml:space="preserve">S04</x:t>
        </x:is>
      </x:c>
      <x:c r="H569" s="160" t="inlineStr">
        <x:is>
          <x:t xml:space="preserve">Stewardship / Capital Allocation</x:t>
        </x:is>
      </x:c>
      <x:c r="I569" s="160" t="inlineStr">
        <x:is>
          <x:t xml:space="preserve">Stewardship</x:t>
        </x:is>
      </x:c>
      <x:c r="J569" s="160" t="inlineStr">
        <x:is>
          <x:t xml:space="preserve">Management creates enterprise growth while destroying per-share value through M&amp;A, dilution, leverage or mistimed buybacks.</x:t>
        </x:is>
      </x:c>
      <x:c r="K569" s="160" t="inlineStr">
        <x:is>
          <x:t xml:space="preserve">Deposit franchise, lending, markets and fees</x:t>
        </x:is>
      </x:c>
      <x:c r="L569" s="160" t="inlineStr">
        <x:is>
          <x:t xml:space="preserve">Tangible book + normalized earnings</x:t>
        </x:is>
      </x:c>
      <x:c r="M569" s="160" t="inlineStr">
        <x:is>
          <x:t xml:space="preserve">WATCH</x:t>
        </x:is>
      </x:c>
      <x:c r="N569" s="160" t="inlineStr">
        <x:is>
          <x:t xml:space="preserve">R-STEW-01</x:t>
        </x:is>
      </x:c>
      <x:c r="O569" s="160" t="inlineStr">
        <x:is>
          <x:t xml:space="preserve">COUNTER-EVIDENCE</x:t>
        </x:is>
      </x:c>
      <x:c r="P569" s="160" t="inlineStr">
        <x:is>
          <x:t xml:space="preserve">ROBUST</x:t>
        </x:is>
      </x:c>
      <x:c r="Q569" s="160" t="inlineStr">
        <x:is>
          <x:t xml:space="preserve">The mature simulation rule catches the stress without weakening a fatal gate; no rule relaxation is justified.</x:t>
        </x:is>
      </x:c>
      <x:c r="R569" s="160" t="inlineStr">
        <x:is>
          <x:t xml:space="preserve">Evaluate capital allocation on a per-share basis using acquisition cohorts, dilution, leverage and repurchase price discipline.</x:t>
        </x:is>
      </x:c>
      <x:c r="S569" s="160" t="inlineStr">
        <x:is>
          <x:t xml:space="preserve">NO</x:t>
        </x:is>
      </x:c>
      <x:c r="T569" s="160" t="inlineStr">
        <x:is>
          <x:t xml:space="preserve">COUNTER-EVIDENCE</x:t>
        </x:is>
      </x:c>
      <x:c r="U569" s="160" t="inlineStr">
        <x:is>
          <x:t xml:space="preserve">V10.5-SIM59</x:t>
        </x:is>
      </x:c>
      <x:c r="V569" s="160" t="inlineStr">
        <x:is>
          <x:t xml:space="preserve">https://www.jpmorganchase.com/ir</x:t>
        </x:is>
      </x:c>
      <x:c r="W569" s="160" t="inlineStr">
        <x:is>
          <x:t xml:space="preserve">NO</x:t>
        </x:is>
      </x:c>
      <x:c r="X569" s="160" t="inlineStr">
        <x:is>
          <x:t xml:space="preserve">NONE — DEVELOPMENT ONLY</x:t>
        </x:is>
      </x:c>
      <x:c r="Y569" s="160" t="inlineStr">
        <x:is>
          <x:t xml:space="preserve">Synthetic/adversarial model-development loop. No historical outcome is claimed; no accuracy point is awarded.</x:t>
        </x:is>
      </x:c>
    </x:row>
    <x:row r="570">
      <x:c r="A570" s="160" t="inlineStr">
        <x:is>
          <x:t xml:space="preserve">ML0565</x:t>
        </x:is>
      </x:c>
      <x:c r="B570" s="160" t="inlineStr">
        <x:is>
          <x:t xml:space="preserve">ARG-036</x:t>
        </x:is>
      </x:c>
      <x:c r="C570" s="160" t="inlineStr">
        <x:is>
          <x:t xml:space="preserve">JPMorgan Chase</x:t>
        </x:is>
      </x:c>
      <x:c r="D570" s="160" t="inlineStr">
        <x:is>
          <x:t xml:space="preserve">JPM</x:t>
        </x:is>
      </x:c>
      <x:c r="E570" s="160" t="inlineStr">
        <x:is>
          <x:t xml:space="preserve">Banks</x:t>
        </x:is>
      </x:c>
      <x:c r="F570" s="160" t="inlineStr">
        <x:is>
          <x:t xml:space="preserve">Development</x:t>
        </x:is>
      </x:c>
      <x:c r="G570" s="160" t="inlineStr">
        <x:is>
          <x:t xml:space="preserve">S05</x:t>
        </x:is>
      </x:c>
      <x:c r="H570" s="160" t="inlineStr">
        <x:is>
          <x:t xml:space="preserve">Survival / Funding</x:t>
        </x:is>
      </x:c>
      <x:c r="I570" s="160" t="inlineStr">
        <x:is>
          <x:t xml:space="preserve">Survival</x:t>
        </x:is>
      </x:c>
      <x:c r="J570" s="160" t="inlineStr">
        <x:is>
          <x:t xml:space="preserve">A plausible bear case exposes refinancing, liquidity, covenant, reserve, regulatory or operational fragility.</x:t>
        </x:is>
      </x:c>
      <x:c r="K570" s="160" t="inlineStr">
        <x:is>
          <x:t xml:space="preserve">Deposit franchise, lending, markets and fees</x:t>
        </x:is>
      </x:c>
      <x:c r="L570" s="160" t="inlineStr">
        <x:is>
          <x:t xml:space="preserve">Tangible book + normalized earnings</x:t>
        </x:is>
      </x:c>
      <x:c r="M570" s="160" t="inlineStr">
        <x:is>
          <x:t xml:space="preserve">WATCH</x:t>
        </x:is>
      </x:c>
      <x:c r="N570" s="160" t="inlineStr">
        <x:is>
          <x:t xml:space="preserve">R-SURV-01</x:t>
        </x:is>
      </x:c>
      <x:c r="O570" s="160" t="inlineStr">
        <x:is>
          <x:t xml:space="preserve">COUNTER-EVIDENCE</x:t>
        </x:is>
      </x:c>
      <x:c r="P570" s="160" t="inlineStr">
        <x:is>
          <x:t xml:space="preserve">ROBUST</x:t>
        </x:is>
      </x:c>
      <x:c r="Q570" s="160" t="inlineStr">
        <x:is>
          <x:t xml:space="preserve">The mature simulation rule catches the stress without weakening a fatal gate; no rule relaxation is justified.</x:t>
        </x:is>
      </x:c>
      <x:c r="R570" s="160" t="inlineStr">
        <x:is>
          <x:t xml:space="preserve">Run a company-specific survival bridge under a severe-but-plausible bear case before any upside underwriting.</x:t>
        </x:is>
      </x:c>
      <x:c r="S570" s="160" t="inlineStr">
        <x:is>
          <x:t xml:space="preserve">NO</x:t>
        </x:is>
      </x:c>
      <x:c r="T570" s="160" t="inlineStr">
        <x:is>
          <x:t xml:space="preserve">COUNTER-EVIDENCE</x:t>
        </x:is>
      </x:c>
      <x:c r="U570" s="160" t="inlineStr">
        <x:is>
          <x:t xml:space="preserve">V10.5-SIM59</x:t>
        </x:is>
      </x:c>
      <x:c r="V570" s="160" t="inlineStr">
        <x:is>
          <x:t xml:space="preserve">https://www.jpmorganchase.com/ir</x:t>
        </x:is>
      </x:c>
      <x:c r="W570" s="160" t="inlineStr">
        <x:is>
          <x:t xml:space="preserve">NO</x:t>
        </x:is>
      </x:c>
      <x:c r="X570" s="160" t="inlineStr">
        <x:is>
          <x:t xml:space="preserve">NONE — DEVELOPMENT ONLY</x:t>
        </x:is>
      </x:c>
      <x:c r="Y570" s="160" t="inlineStr">
        <x:is>
          <x:t xml:space="preserve">Synthetic/adversarial model-development loop. No historical outcome is claimed; no accuracy point is awarded.</x:t>
        </x:is>
      </x:c>
    </x:row>
    <x:row r="571">
      <x:c r="A571" s="160" t="inlineStr">
        <x:is>
          <x:t xml:space="preserve">ML0566</x:t>
        </x:is>
      </x:c>
      <x:c r="B571" s="160" t="inlineStr">
        <x:is>
          <x:t xml:space="preserve">ARG-036</x:t>
        </x:is>
      </x:c>
      <x:c r="C571" s="160" t="inlineStr">
        <x:is>
          <x:t xml:space="preserve">JPMorgan Chase</x:t>
        </x:is>
      </x:c>
      <x:c r="D571" s="160" t="inlineStr">
        <x:is>
          <x:t xml:space="preserve">JPM</x:t>
        </x:is>
      </x:c>
      <x:c r="E571" s="160" t="inlineStr">
        <x:is>
          <x:t xml:space="preserve">Banks</x:t>
        </x:is>
      </x:c>
      <x:c r="F571" s="160" t="inlineStr">
        <x:is>
          <x:t xml:space="preserve">Development</x:t>
        </x:is>
      </x:c>
      <x:c r="G571" s="160" t="inlineStr">
        <x:is>
          <x:t xml:space="preserve">S06</x:t>
        </x:is>
      </x:c>
      <x:c r="H571" s="160" t="inlineStr">
        <x:is>
          <x:t xml:space="preserve">Margin of Safety</x:t>
        </x:is>
      </x:c>
      <x:c r="I571" s="160" t="inlineStr">
        <x:is>
          <x:t xml:space="preserve">Margin of Safety</x:t>
        </x:is>
      </x:c>
      <x:c r="J571" s="160" t="inlineStr">
        <x:is>
          <x:t xml:space="preserve">Business quality is high but the price embeds a fragile bull case.</x:t>
        </x:is>
      </x:c>
      <x:c r="K571" s="160" t="inlineStr">
        <x:is>
          <x:t xml:space="preserve">Deposit franchise, lending, markets and fees</x:t>
        </x:is>
      </x:c>
      <x:c r="L571" s="160" t="inlineStr">
        <x:is>
          <x:t xml:space="preserve">Tangible book + normalized earnings</x:t>
        </x:is>
      </x:c>
      <x:c r="M571" s="160" t="inlineStr">
        <x:is>
          <x:t xml:space="preserve">WATCH</x:t>
        </x:is>
      </x:c>
      <x:c r="N571" s="160" t="inlineStr">
        <x:is>
          <x:t xml:space="preserve">R-MOS-01</x:t>
        </x:is>
      </x:c>
      <x:c r="O571" s="160" t="inlineStr">
        <x:is>
          <x:t xml:space="preserve">COUNTER-EVIDENCE</x:t>
        </x:is>
      </x:c>
      <x:c r="P571" s="160" t="inlineStr">
        <x:is>
          <x:t xml:space="preserve">ROBUST</x:t>
        </x:is>
      </x:c>
      <x:c r="Q571" s="160" t="inlineStr">
        <x:is>
          <x:t xml:space="preserve">The mature simulation rule catches the stress without weakening a fatal gate; no rule relaxation is justified.</x:t>
        </x:is>
      </x:c>
      <x:c r="R571" s="160" t="inlineStr">
        <x:is>
          <x:t xml:space="preserve">Separate business-quality score from price decision; require reverse valuation and bear/base/bull IV ranges.</x:t>
        </x:is>
      </x:c>
      <x:c r="S571" s="160" t="inlineStr">
        <x:is>
          <x:t xml:space="preserve">NO</x:t>
        </x:is>
      </x:c>
      <x:c r="T571" s="160" t="inlineStr">
        <x:is>
          <x:t xml:space="preserve">COUNTER-EVIDENCE</x:t>
        </x:is>
      </x:c>
      <x:c r="U571" s="160" t="inlineStr">
        <x:is>
          <x:t xml:space="preserve">V10.5-SIM59</x:t>
        </x:is>
      </x:c>
      <x:c r="V571" s="160" t="inlineStr">
        <x:is>
          <x:t xml:space="preserve">https://www.jpmorganchase.com/ir</x:t>
        </x:is>
      </x:c>
      <x:c r="W571" s="160" t="inlineStr">
        <x:is>
          <x:t xml:space="preserve">NO</x:t>
        </x:is>
      </x:c>
      <x:c r="X571" s="160" t="inlineStr">
        <x:is>
          <x:t xml:space="preserve">NONE — DEVELOPMENT ONLY</x:t>
        </x:is>
      </x:c>
      <x:c r="Y571" s="160" t="inlineStr">
        <x:is>
          <x:t xml:space="preserve">Synthetic/adversarial model-development loop. No historical outcome is claimed; no accuracy point is awarded.</x:t>
        </x:is>
      </x:c>
    </x:row>
    <x:row r="572">
      <x:c r="A572" s="160" t="inlineStr">
        <x:is>
          <x:t xml:space="preserve">ML0567</x:t>
        </x:is>
      </x:c>
      <x:c r="B572" s="160" t="inlineStr">
        <x:is>
          <x:t xml:space="preserve">ARG-036</x:t>
        </x:is>
      </x:c>
      <x:c r="C572" s="160" t="inlineStr">
        <x:is>
          <x:t xml:space="preserve">JPMorgan Chase</x:t>
        </x:is>
      </x:c>
      <x:c r="D572" s="160" t="inlineStr">
        <x:is>
          <x:t xml:space="preserve">JPM</x:t>
        </x:is>
      </x:c>
      <x:c r="E572" s="160" t="inlineStr">
        <x:is>
          <x:t xml:space="preserve">Banks</x:t>
        </x:is>
      </x:c>
      <x:c r="F572" s="160" t="inlineStr">
        <x:is>
          <x:t xml:space="preserve">Development</x:t>
        </x:is>
      </x:c>
      <x:c r="G572" s="160" t="inlineStr">
        <x:is>
          <x:t xml:space="preserve">S07</x:t>
        </x:is>
      </x:c>
      <x:c r="H572" s="160" t="inlineStr">
        <x:is>
          <x:t xml:space="preserve">Sector Shock</x:t>
        </x:is>
      </x:c>
      <x:c r="I572" s="160" t="inlineStr">
        <x:is>
          <x:t xml:space="preserve">Sector-specific</x:t>
        </x:is>
      </x:c>
      <x:c r="J572" s="160" t="inlineStr">
        <x:is>
          <x:t xml:space="preserve">NIM or fee income improves but deposit beta, credit losses, capital requirements or duration risk erodes normalized ROTCE.</x:t>
        </x:is>
      </x:c>
      <x:c r="K572" s="160" t="inlineStr">
        <x:is>
          <x:t xml:space="preserve">Deposit franchise, lending, markets and fees</x:t>
        </x:is>
      </x:c>
      <x:c r="L572" s="160" t="inlineStr">
        <x:is>
          <x:t xml:space="preserve">Tangible book + normalized earnings</x:t>
        </x:is>
      </x:c>
      <x:c r="M572" s="160" t="inlineStr">
        <x:is>
          <x:t xml:space="preserve">WATCH</x:t>
        </x:is>
      </x:c>
      <x:c r="N572" s="160" t="inlineStr">
        <x:is>
          <x:t xml:space="preserve">R-SECTOR-BANKS</x:t>
        </x:is>
      </x:c>
      <x:c r="O572" s="160" t="inlineStr">
        <x:is>
          <x:t xml:space="preserve">UNFORMED</x:t>
        </x:is>
      </x:c>
      <x:c r="P572" s="160" t="inlineStr">
        <x:is>
          <x:t xml:space="preserve">FAILURE EXPOSED</x:t>
        </x:is>
      </x:c>
      <x:c r="Q572" s="160" t="inlineStr">
        <x:is>
          <x:t xml:space="preserve">The frozen V10 gate family is directionally right, but the test lacks a sufficiently explicit mechanical implementation.</x:t>
        </x:is>
      </x:c>
      <x:c r="R572" s="160" t="inlineStr">
        <x:is>
          <x:t xml:space="preserve">Add a sector-specific transmission map with leading operating sensors, not only market-price variables. Sector rule: NIM or fee income improves but deposit beta, credit losses, capital requirements or duration risk erodes normalized ROTCE.</x:t>
        </x:is>
      </x:c>
      <x:c r="S572" s="160" t="inlineStr">
        <x:is>
          <x:t xml:space="preserve">NO</x:t>
        </x:is>
      </x:c>
      <x:c r="T572" s="160" t="inlineStr">
        <x:is>
          <x:t xml:space="preserve">UNFORMED</x:t>
        </x:is>
      </x:c>
      <x:c r="U572" s="160" t="inlineStr">
        <x:is>
          <x:t xml:space="preserve">V10.5-SIM59</x:t>
        </x:is>
      </x:c>
      <x:c r="V572" s="160" t="inlineStr">
        <x:is>
          <x:t xml:space="preserve">https://www.jpmorganchase.com/ir</x:t>
        </x:is>
      </x:c>
      <x:c r="W572" s="160" t="inlineStr">
        <x:is>
          <x:t xml:space="preserve">NO</x:t>
        </x:is>
      </x:c>
      <x:c r="X572" s="160" t="inlineStr">
        <x:is>
          <x:t xml:space="preserve">NONE — DEVELOPMENT ONLY</x:t>
        </x:is>
      </x:c>
      <x:c r="Y572" s="160" t="inlineStr">
        <x:is>
          <x:t xml:space="preserve">Synthetic/adversarial model-development loop. No historical outcome is claimed; no accuracy point is awarded.</x:t>
        </x:is>
      </x:c>
    </x:row>
    <x:row r="573">
      <x:c r="A573" s="160" t="inlineStr">
        <x:is>
          <x:t xml:space="preserve">ML0568</x:t>
        </x:is>
      </x:c>
      <x:c r="B573" s="160" t="inlineStr">
        <x:is>
          <x:t xml:space="preserve">ARG-036</x:t>
        </x:is>
      </x:c>
      <x:c r="C573" s="160" t="inlineStr">
        <x:is>
          <x:t xml:space="preserve">JPMorgan Chase</x:t>
        </x:is>
      </x:c>
      <x:c r="D573" s="160" t="inlineStr">
        <x:is>
          <x:t xml:space="preserve">JPM</x:t>
        </x:is>
      </x:c>
      <x:c r="E573" s="160" t="inlineStr">
        <x:is>
          <x:t xml:space="preserve">Banks</x:t>
        </x:is>
      </x:c>
      <x:c r="F573" s="160" t="inlineStr">
        <x:is>
          <x:t xml:space="preserve">Development</x:t>
        </x:is>
      </x:c>
      <x:c r="G573" s="160" t="inlineStr">
        <x:is>
          <x:t xml:space="preserve">S08</x:t>
        </x:is>
      </x:c>
      <x:c r="H573" s="160" t="inlineStr">
        <x:is>
          <x:t xml:space="preserve">Management Promise Reliability</x:t>
        </x:is>
      </x:c>
      <x:c r="I573" s="160" t="inlineStr">
        <x:is>
          <x:t xml:space="preserve">Management over-trust</x:t>
        </x:is>
      </x:c>
      <x:c r="J573" s="160" t="inlineStr">
        <x:is>
          <x:t xml:space="preserve">Guidance or strategic promises are repeated but the model lacks a contemporaneous reliability score.</x:t>
        </x:is>
      </x:c>
      <x:c r="K573" s="160" t="inlineStr">
        <x:is>
          <x:t xml:space="preserve">Deposit franchise, lending, markets and fees</x:t>
        </x:is>
      </x:c>
      <x:c r="L573" s="160" t="inlineStr">
        <x:is>
          <x:t xml:space="preserve">Tangible book + normalized earnings</x:t>
        </x:is>
      </x:c>
      <x:c r="M573" s="160" t="inlineStr">
        <x:is>
          <x:t xml:space="preserve">WATCH</x:t>
        </x:is>
      </x:c>
      <x:c r="N573" s="160" t="inlineStr">
        <x:is>
          <x:t xml:space="preserve">R-PROM-01</x:t>
        </x:is>
      </x:c>
      <x:c r="O573" s="160" t="inlineStr">
        <x:is>
          <x:t xml:space="preserve">COUNTER-EVIDENCE</x:t>
        </x:is>
      </x:c>
      <x:c r="P573" s="160" t="inlineStr">
        <x:is>
          <x:t xml:space="preserve">ROBUST</x:t>
        </x:is>
      </x:c>
      <x:c r="Q573" s="160" t="inlineStr">
        <x:is>
          <x:t xml:space="preserve">The mature simulation rule catches the stress without weakening a fatal gate; no rule relaxation is justified.</x:t>
        </x:is>
      </x:c>
      <x:c r="R573" s="160" t="inlineStr">
        <x:is>
          <x:t xml:space="preserve">Use a promises ledger with dated promise, measurable deliverable, due date, outcome and credibility weight.</x:t>
        </x:is>
      </x:c>
      <x:c r="S573" s="160" t="inlineStr">
        <x:is>
          <x:t xml:space="preserve">NO</x:t>
        </x:is>
      </x:c>
      <x:c r="T573" s="160" t="inlineStr">
        <x:is>
          <x:t xml:space="preserve">COUNTER-EVIDENCE</x:t>
        </x:is>
      </x:c>
      <x:c r="U573" s="160" t="inlineStr">
        <x:is>
          <x:t xml:space="preserve">V10.5-SIM59</x:t>
        </x:is>
      </x:c>
      <x:c r="V573" s="160" t="inlineStr">
        <x:is>
          <x:t xml:space="preserve">https://www.jpmorganchase.com/ir</x:t>
        </x:is>
      </x:c>
      <x:c r="W573" s="160" t="inlineStr">
        <x:is>
          <x:t xml:space="preserve">NO</x:t>
        </x:is>
      </x:c>
      <x:c r="X573" s="160" t="inlineStr">
        <x:is>
          <x:t xml:space="preserve">NONE — DEVELOPMENT ONLY</x:t>
        </x:is>
      </x:c>
      <x:c r="Y573" s="160" t="inlineStr">
        <x:is>
          <x:t xml:space="preserve">Synthetic/adversarial model-development loop. No historical outcome is claimed; no accuracy point is awarded.</x:t>
        </x:is>
      </x:c>
    </x:row>
    <x:row r="574">
      <x:c r="A574" s="160" t="inlineStr">
        <x:is>
          <x:t xml:space="preserve">ML0569</x:t>
        </x:is>
      </x:c>
      <x:c r="B574" s="160" t="inlineStr">
        <x:is>
          <x:t xml:space="preserve">ARG-036</x:t>
        </x:is>
      </x:c>
      <x:c r="C574" s="160" t="inlineStr">
        <x:is>
          <x:t xml:space="preserve">JPMorgan Chase</x:t>
        </x:is>
      </x:c>
      <x:c r="D574" s="160" t="inlineStr">
        <x:is>
          <x:t xml:space="preserve">JPM</x:t>
        </x:is>
      </x:c>
      <x:c r="E574" s="160" t="inlineStr">
        <x:is>
          <x:t xml:space="preserve">Banks</x:t>
        </x:is>
      </x:c>
      <x:c r="F574" s="160" t="inlineStr">
        <x:is>
          <x:t xml:space="preserve">Development</x:t>
        </x:is>
      </x:c>
      <x:c r="G574" s="160" t="inlineStr">
        <x:is>
          <x:t xml:space="preserve">S09</x:t>
        </x:is>
      </x:c>
      <x:c r="H574" s="160" t="inlineStr">
        <x:is>
          <x:t xml:space="preserve">Data / Accounting Quality</x:t>
        </x:is>
      </x:c>
      <x:c r="I574" s="160" t="inlineStr">
        <x:is>
          <x:t xml:space="preserve">Data quality</x:t>
        </x:is>
      </x:c>
      <x:c r="J574" s="160" t="inlineStr">
        <x:is>
          <x:t xml:space="preserve">Restatement, segment reclassification, one-time item or non-economic fair-value movement distorts the apparent trend.</x:t>
        </x:is>
      </x:c>
      <x:c r="K574" s="160" t="inlineStr">
        <x:is>
          <x:t xml:space="preserve">Deposit franchise, lending, markets and fees</x:t>
        </x:is>
      </x:c>
      <x:c r="L574" s="160" t="inlineStr">
        <x:is>
          <x:t xml:space="preserve">Tangible book + normalized earnings</x:t>
        </x:is>
      </x:c>
      <x:c r="M574" s="160" t="inlineStr">
        <x:is>
          <x:t xml:space="preserve">WATCH</x:t>
        </x:is>
      </x:c>
      <x:c r="N574" s="160" t="inlineStr">
        <x:is>
          <x:t xml:space="preserve">R-DATA-01</x:t>
        </x:is>
      </x:c>
      <x:c r="O574" s="160" t="inlineStr">
        <x:is>
          <x:t xml:space="preserve">COUNTER-EVIDENCE</x:t>
        </x:is>
      </x:c>
      <x:c r="P574" s="160" t="inlineStr">
        <x:is>
          <x:t xml:space="preserve">ROBUST</x:t>
        </x:is>
      </x:c>
      <x:c r="Q574" s="160" t="inlineStr">
        <x:is>
          <x:t xml:space="preserve">The mature simulation rule catches the stress without weakening a fatal gate; no rule relaxation is justified.</x:t>
        </x:is>
      </x:c>
      <x:c r="R574" s="160" t="inlineStr">
        <x:is>
          <x:t xml:space="preserve">Add a reporting-quality bridge and normalize accounting noise before any gate can pass.</x:t>
        </x:is>
      </x:c>
      <x:c r="S574" s="160" t="inlineStr">
        <x:is>
          <x:t xml:space="preserve">NO</x:t>
        </x:is>
      </x:c>
      <x:c r="T574" s="160" t="inlineStr">
        <x:is>
          <x:t xml:space="preserve">COUNTER-EVIDENCE</x:t>
        </x:is>
      </x:c>
      <x:c r="U574" s="160" t="inlineStr">
        <x:is>
          <x:t xml:space="preserve">V10.5-SIM59</x:t>
        </x:is>
      </x:c>
      <x:c r="V574" s="160" t="inlineStr">
        <x:is>
          <x:t xml:space="preserve">https://www.jpmorganchase.com/ir</x:t>
        </x:is>
      </x:c>
      <x:c r="W574" s="160" t="inlineStr">
        <x:is>
          <x:t xml:space="preserve">NO</x:t>
        </x:is>
      </x:c>
      <x:c r="X574" s="160" t="inlineStr">
        <x:is>
          <x:t xml:space="preserve">NONE — DEVELOPMENT ONLY</x:t>
        </x:is>
      </x:c>
      <x:c r="Y574" s="160" t="inlineStr">
        <x:is>
          <x:t xml:space="preserve">Synthetic/adversarial model-development loop. No historical outcome is claimed; no accuracy point is awarded.</x:t>
        </x:is>
      </x:c>
    </x:row>
    <x:row r="575">
      <x:c r="A575" s="160" t="inlineStr">
        <x:is>
          <x:t xml:space="preserve">ML0570</x:t>
        </x:is>
      </x:c>
      <x:c r="B575" s="160" t="inlineStr">
        <x:is>
          <x:t xml:space="preserve">ARG-036</x:t>
        </x:is>
      </x:c>
      <x:c r="C575" s="160" t="inlineStr">
        <x:is>
          <x:t xml:space="preserve">JPMorgan Chase</x:t>
        </x:is>
      </x:c>
      <x:c r="D575" s="160" t="inlineStr">
        <x:is>
          <x:t xml:space="preserve">JPM</x:t>
        </x:is>
      </x:c>
      <x:c r="E575" s="160" t="inlineStr">
        <x:is>
          <x:t xml:space="preserve">Banks</x:t>
        </x:is>
      </x:c>
      <x:c r="F575" s="160" t="inlineStr">
        <x:is>
          <x:t xml:space="preserve">Development</x:t>
        </x:is>
      </x:c>
      <x:c r="G575" s="160" t="inlineStr">
        <x:is>
          <x:t xml:space="preserve">S10</x:t>
        </x:is>
      </x:c>
      <x:c r="H575" s="160" t="inlineStr">
        <x:is>
          <x:t xml:space="preserve">Control / Counterfactual</x:t>
        </x:is>
      </x:c>
      <x:c r="I575" s="160" t="inlineStr">
        <x:is>
          <x:t xml:space="preserve">Sector beta vs company alpha</x:t>
        </x:is>
      </x:c>
      <x:c r="J575" s="160" t="inlineStr">
        <x:is>
          <x:t xml:space="preserve">A positive outcome is mostly sector beta or macro tailwind, not company-specific alpha.</x:t>
        </x:is>
      </x:c>
      <x:c r="K575" s="160" t="inlineStr">
        <x:is>
          <x:t xml:space="preserve">Deposit franchise, lending, markets and fees</x:t>
        </x:is>
      </x:c>
      <x:c r="L575" s="160" t="inlineStr">
        <x:is>
          <x:t xml:space="preserve">Tangible book + normalized earnings</x:t>
        </x:is>
      </x:c>
      <x:c r="M575" s="160" t="inlineStr">
        <x:is>
          <x:t xml:space="preserve">WATCH</x:t>
        </x:is>
      </x:c>
      <x:c r="N575" s="160" t="inlineStr">
        <x:is>
          <x:t xml:space="preserve">R-CF-01</x:t>
        </x:is>
      </x:c>
      <x:c r="O575" s="160" t="inlineStr">
        <x:is>
          <x:t xml:space="preserve">COUNTER-EVIDENCE</x:t>
        </x:is>
      </x:c>
      <x:c r="P575" s="160" t="inlineStr">
        <x:is>
          <x:t xml:space="preserve">ROBUST</x:t>
        </x:is>
      </x:c>
      <x:c r="Q575" s="160" t="inlineStr">
        <x:is>
          <x:t xml:space="preserve">The mature simulation rule catches the stress without weakening a fatal gate; no rule relaxation is justified.</x:t>
        </x:is>
      </x:c>
      <x:c r="R575" s="160" t="inlineStr">
        <x:is>
          <x:t xml:space="preserve">Require a true economic control and counterfactual: what should have happened to a comparable company under the same shock?</x:t>
        </x:is>
      </x:c>
      <x:c r="S575" s="160" t="inlineStr">
        <x:is>
          <x:t xml:space="preserve">NO</x:t>
        </x:is>
      </x:c>
      <x:c r="T575" s="160" t="inlineStr">
        <x:is>
          <x:t xml:space="preserve">COUNTER-EVIDENCE</x:t>
        </x:is>
      </x:c>
      <x:c r="U575" s="160" t="inlineStr">
        <x:is>
          <x:t xml:space="preserve">V10.5-SIM59</x:t>
        </x:is>
      </x:c>
      <x:c r="V575" s="160" t="inlineStr">
        <x:is>
          <x:t xml:space="preserve">https://www.jpmorganchase.com/ir</x:t>
        </x:is>
      </x:c>
      <x:c r="W575" s="160" t="inlineStr">
        <x:is>
          <x:t xml:space="preserve">NO</x:t>
        </x:is>
      </x:c>
      <x:c r="X575" s="160" t="inlineStr">
        <x:is>
          <x:t xml:space="preserve">NONE — DEVELOPMENT ONLY</x:t>
        </x:is>
      </x:c>
      <x:c r="Y575" s="160" t="inlineStr">
        <x:is>
          <x:t xml:space="preserve">Synthetic/adversarial model-development loop. No historical outcome is claimed; no accuracy point is awarded.</x:t>
        </x:is>
      </x:c>
    </x:row>
    <x:row r="576">
      <x:c r="A576" s="160" t="inlineStr">
        <x:is>
          <x:t xml:space="preserve">ML0571</x:t>
        </x:is>
      </x:c>
      <x:c r="B576" s="160" t="inlineStr">
        <x:is>
          <x:t xml:space="preserve">ARG-036</x:t>
        </x:is>
      </x:c>
      <x:c r="C576" s="160" t="inlineStr">
        <x:is>
          <x:t xml:space="preserve">JPMorgan Chase</x:t>
        </x:is>
      </x:c>
      <x:c r="D576" s="160" t="inlineStr">
        <x:is>
          <x:t xml:space="preserve">JPM</x:t>
        </x:is>
      </x:c>
      <x:c r="E576" s="160" t="inlineStr">
        <x:is>
          <x:t xml:space="preserve">Banks</x:t>
        </x:is>
      </x:c>
      <x:c r="F576" s="160" t="inlineStr">
        <x:is>
          <x:t xml:space="preserve">Development</x:t>
        </x:is>
      </x:c>
      <x:c r="G576" s="160" t="inlineStr">
        <x:is>
          <x:t xml:space="preserve">S11</x:t>
        </x:is>
      </x:c>
      <x:c r="H576" s="160" t="inlineStr">
        <x:is>
          <x:t xml:space="preserve">False-Negative Discipline</x:t>
        </x:is>
      </x:c>
      <x:c r="I576" s="160" t="inlineStr">
        <x:is>
          <x:t xml:space="preserve">False negative</x:t>
        </x:is>
      </x:c>
      <x:c r="J576" s="160" t="inlineStr">
        <x:is>
          <x:t xml:space="preserve">A strict gate rejects a company that later compounds strongly for reasons the model could have known.</x:t>
        </x:is>
      </x:c>
      <x:c r="K576" s="160" t="inlineStr">
        <x:is>
          <x:t xml:space="preserve">Deposit franchise, lending, markets and fees</x:t>
        </x:is>
      </x:c>
      <x:c r="L576" s="160" t="inlineStr">
        <x:is>
          <x:t xml:space="preserve">Tangible book + normalized earnings</x:t>
        </x:is>
      </x:c>
      <x:c r="M576" s="160" t="inlineStr">
        <x:is>
          <x:t xml:space="preserve">WATCH</x:t>
        </x:is>
      </x:c>
      <x:c r="N576" s="160" t="inlineStr">
        <x:is>
          <x:t xml:space="preserve">R-FN-01</x:t>
        </x:is>
      </x:c>
      <x:c r="O576" s="160" t="inlineStr">
        <x:is>
          <x:t xml:space="preserve">COUNTER-EVIDENCE</x:t>
        </x:is>
      </x:c>
      <x:c r="P576" s="160" t="inlineStr">
        <x:is>
          <x:t xml:space="preserve">ROBUST</x:t>
        </x:is>
      </x:c>
      <x:c r="Q576" s="160" t="inlineStr">
        <x:is>
          <x:t xml:space="preserve">The mature simulation rule catches the stress without weakening a fatal gate; no rule relaxation is justified.</x:t>
        </x:is>
      </x:c>
      <x:c r="R576" s="160" t="inlineStr">
        <x:is>
          <x:t xml:space="preserve">Track opportunity cost and classify whether the miss came from evidence timing, wrong threshold or genuinely unknowable upside.</x:t>
        </x:is>
      </x:c>
      <x:c r="S576" s="160" t="inlineStr">
        <x:is>
          <x:t xml:space="preserve">NO</x:t>
        </x:is>
      </x:c>
      <x:c r="T576" s="160" t="inlineStr">
        <x:is>
          <x:t xml:space="preserve">COUNTER-EVIDENCE</x:t>
        </x:is>
      </x:c>
      <x:c r="U576" s="160" t="inlineStr">
        <x:is>
          <x:t xml:space="preserve">V10.5-SIM59</x:t>
        </x:is>
      </x:c>
      <x:c r="V576" s="160" t="inlineStr">
        <x:is>
          <x:t xml:space="preserve">https://www.jpmorganchase.com/ir</x:t>
        </x:is>
      </x:c>
      <x:c r="W576" s="160" t="inlineStr">
        <x:is>
          <x:t xml:space="preserve">NO</x:t>
        </x:is>
      </x:c>
      <x:c r="X576" s="160" t="inlineStr">
        <x:is>
          <x:t xml:space="preserve">NONE — DEVELOPMENT ONLY</x:t>
        </x:is>
      </x:c>
      <x:c r="Y576" s="160" t="inlineStr">
        <x:is>
          <x:t xml:space="preserve">Synthetic/adversarial model-development loop. No historical outcome is claimed; no accuracy point is awarded.</x:t>
        </x:is>
      </x:c>
    </x:row>
    <x:row r="577">
      <x:c r="A577" s="160" t="inlineStr">
        <x:is>
          <x:t xml:space="preserve">ML0572</x:t>
        </x:is>
      </x:c>
      <x:c r="B577" s="160" t="inlineStr">
        <x:is>
          <x:t xml:space="preserve">ARG-036</x:t>
        </x:is>
      </x:c>
      <x:c r="C577" s="160" t="inlineStr">
        <x:is>
          <x:t xml:space="preserve">JPMorgan Chase</x:t>
        </x:is>
      </x:c>
      <x:c r="D577" s="160" t="inlineStr">
        <x:is>
          <x:t xml:space="preserve">JPM</x:t>
        </x:is>
      </x:c>
      <x:c r="E577" s="160" t="inlineStr">
        <x:is>
          <x:t xml:space="preserve">Banks</x:t>
        </x:is>
      </x:c>
      <x:c r="F577" s="160" t="inlineStr">
        <x:is>
          <x:t xml:space="preserve">Development</x:t>
        </x:is>
      </x:c>
      <x:c r="G577" s="160" t="inlineStr">
        <x:is>
          <x:t xml:space="preserve">S12</x:t>
        </x:is>
      </x:c>
      <x:c r="H577" s="160" t="inlineStr">
        <x:is>
          <x:t xml:space="preserve">Lead-Time / Early Sensor</x:t>
        </x:is>
      </x:c>
      <x:c r="I577" s="160" t="inlineStr">
        <x:is>
          <x:t xml:space="preserve">Timing / lead-time</x:t>
        </x:is>
      </x:c>
      <x:c r="J577" s="160" t="inlineStr">
        <x:is>
          <x:t xml:space="preserve">ARGUS identifies the change correctly but only after consensus and price have already reacted.</x:t>
        </x:is>
      </x:c>
      <x:c r="K577" s="160" t="inlineStr">
        <x:is>
          <x:t xml:space="preserve">Deposit franchise, lending, markets and fees</x:t>
        </x:is>
      </x:c>
      <x:c r="L577" s="160" t="inlineStr">
        <x:is>
          <x:t xml:space="preserve">Tangible book + normalized earnings</x:t>
        </x:is>
      </x:c>
      <x:c r="M577" s="160" t="inlineStr">
        <x:is>
          <x:t xml:space="preserve">WATCH</x:t>
        </x:is>
      </x:c>
      <x:c r="N577" s="160" t="inlineStr">
        <x:is>
          <x:t xml:space="preserve">R-TIME-01</x:t>
        </x:is>
      </x:c>
      <x:c r="O577" s="160" t="inlineStr">
        <x:is>
          <x:t xml:space="preserve">COUNTER-EVIDENCE</x:t>
        </x:is>
      </x:c>
      <x:c r="P577" s="160" t="inlineStr">
        <x:is>
          <x:t xml:space="preserve">ROBUST</x:t>
        </x:is>
      </x:c>
      <x:c r="Q577" s="160" t="inlineStr">
        <x:is>
          <x:t xml:space="preserve">The mature simulation rule catches the stress without weakening a fatal gate; no rule relaxation is justified.</x:t>
        </x:is>
      </x:c>
      <x:c r="R577" s="160" t="inlineStr">
        <x:is>
          <x:t xml:space="preserve">Replace lagging financial metrics with earlier causal operating sensors and record lead time separately from correctness.</x:t>
        </x:is>
      </x:c>
      <x:c r="S577" s="160" t="inlineStr">
        <x:is>
          <x:t xml:space="preserve">NO</x:t>
        </x:is>
      </x:c>
      <x:c r="T577" s="160" t="inlineStr">
        <x:is>
          <x:t xml:space="preserve">COUNTER-EVIDENCE</x:t>
        </x:is>
      </x:c>
      <x:c r="U577" s="160" t="inlineStr">
        <x:is>
          <x:t xml:space="preserve">V10.5-SIM59</x:t>
        </x:is>
      </x:c>
      <x:c r="V577" s="160" t="inlineStr">
        <x:is>
          <x:t xml:space="preserve">https://www.jpmorganchase.com/ir</x:t>
        </x:is>
      </x:c>
      <x:c r="W577" s="160" t="inlineStr">
        <x:is>
          <x:t xml:space="preserve">NO</x:t>
        </x:is>
      </x:c>
      <x:c r="X577" s="160" t="inlineStr">
        <x:is>
          <x:t xml:space="preserve">NONE — DEVELOPMENT ONLY</x:t>
        </x:is>
      </x:c>
      <x:c r="Y577" s="160" t="inlineStr">
        <x:is>
          <x:t xml:space="preserve">Synthetic/adversarial model-development loop. No historical outcome is claimed; no accuracy point is awarded.</x:t>
        </x:is>
      </x:c>
    </x:row>
    <x:row r="578">
      <x:c r="A578" s="160" t="inlineStr">
        <x:is>
          <x:t xml:space="preserve">ML0573</x:t>
        </x:is>
      </x:c>
      <x:c r="B578" s="160" t="inlineStr">
        <x:is>
          <x:t xml:space="preserve">ARG-036</x:t>
        </x:is>
      </x:c>
      <x:c r="C578" s="160" t="inlineStr">
        <x:is>
          <x:t xml:space="preserve">JPMorgan Chase</x:t>
        </x:is>
      </x:c>
      <x:c r="D578" s="160" t="inlineStr">
        <x:is>
          <x:t xml:space="preserve">JPM</x:t>
        </x:is>
      </x:c>
      <x:c r="E578" s="160" t="inlineStr">
        <x:is>
          <x:t xml:space="preserve">Banks</x:t>
        </x:is>
      </x:c>
      <x:c r="F578" s="160" t="inlineStr">
        <x:is>
          <x:t xml:space="preserve">Development</x:t>
        </x:is>
      </x:c>
      <x:c r="G578" s="160" t="inlineStr">
        <x:is>
          <x:t xml:space="preserve">S13</x:t>
        </x:is>
      </x:c>
      <x:c r="H578" s="160" t="inlineStr">
        <x:is>
          <x:t xml:space="preserve">Cycle Normalization</x:t>
        </x:is>
      </x:c>
      <x:c r="I578" s="160" t="inlineStr">
        <x:is>
          <x:t xml:space="preserve">Wrong valuation lens</x:t>
        </x:is>
      </x:c>
      <x:c r="J578" s="160" t="inlineStr">
        <x:is>
          <x:t xml:space="preserve">Peak/trough earnings are mistaken for normalized earning power.</x:t>
        </x:is>
      </x:c>
      <x:c r="K578" s="160" t="inlineStr">
        <x:is>
          <x:t xml:space="preserve">Deposit franchise, lending, markets and fees</x:t>
        </x:is>
      </x:c>
      <x:c r="L578" s="160" t="inlineStr">
        <x:is>
          <x:t xml:space="preserve">Tangible book + normalized earnings</x:t>
        </x:is>
      </x:c>
      <x:c r="M578" s="160" t="inlineStr">
        <x:is>
          <x:t xml:space="preserve">WATCH</x:t>
        </x:is>
      </x:c>
      <x:c r="N578" s="160" t="inlineStr">
        <x:is>
          <x:t xml:space="preserve">R-CYCLE-01</x:t>
        </x:is>
      </x:c>
      <x:c r="O578" s="160" t="inlineStr">
        <x:is>
          <x:t xml:space="preserve">COUNTER-EVIDENCE</x:t>
        </x:is>
      </x:c>
      <x:c r="P578" s="160" t="inlineStr">
        <x:is>
          <x:t xml:space="preserve">ROBUST</x:t>
        </x:is>
      </x:c>
      <x:c r="Q578" s="160" t="inlineStr">
        <x:is>
          <x:t xml:space="preserve">The mature simulation rule catches the stress without weakening a fatal gate; no rule relaxation is justified.</x:t>
        </x:is>
      </x:c>
      <x:c r="R578" s="160" t="inlineStr">
        <x:is>
          <x:t xml:space="preserve">Use sector-specific mid-cycle/NAV/rate-base/rNPV normalization before applying a valuation multiple.</x:t>
        </x:is>
      </x:c>
      <x:c r="S578" s="160" t="inlineStr">
        <x:is>
          <x:t xml:space="preserve">NO</x:t>
        </x:is>
      </x:c>
      <x:c r="T578" s="160" t="inlineStr">
        <x:is>
          <x:t xml:space="preserve">COUNTER-EVIDENCE</x:t>
        </x:is>
      </x:c>
      <x:c r="U578" s="160" t="inlineStr">
        <x:is>
          <x:t xml:space="preserve">V10.5-SIM59</x:t>
        </x:is>
      </x:c>
      <x:c r="V578" s="160" t="inlineStr">
        <x:is>
          <x:t xml:space="preserve">https://www.jpmorganchase.com/ir</x:t>
        </x:is>
      </x:c>
      <x:c r="W578" s="160" t="inlineStr">
        <x:is>
          <x:t xml:space="preserve">NO</x:t>
        </x:is>
      </x:c>
      <x:c r="X578" s="160" t="inlineStr">
        <x:is>
          <x:t xml:space="preserve">NONE — DEVELOPMENT ONLY</x:t>
        </x:is>
      </x:c>
      <x:c r="Y578" s="160" t="inlineStr">
        <x:is>
          <x:t xml:space="preserve">Synthetic/adversarial model-development loop. No historical outcome is claimed; no accuracy point is awarded.</x:t>
        </x:is>
      </x:c>
    </x:row>
    <x:row r="579">
      <x:c r="A579" s="160" t="inlineStr">
        <x:is>
          <x:t xml:space="preserve">ML0574</x:t>
        </x:is>
      </x:c>
      <x:c r="B579" s="160" t="inlineStr">
        <x:is>
          <x:t xml:space="preserve">ARG-036</x:t>
        </x:is>
      </x:c>
      <x:c r="C579" s="160" t="inlineStr">
        <x:is>
          <x:t xml:space="preserve">JPMorgan Chase</x:t>
        </x:is>
      </x:c>
      <x:c r="D579" s="160" t="inlineStr">
        <x:is>
          <x:t xml:space="preserve">JPM</x:t>
        </x:is>
      </x:c>
      <x:c r="E579" s="160" t="inlineStr">
        <x:is>
          <x:t xml:space="preserve">Banks</x:t>
        </x:is>
      </x:c>
      <x:c r="F579" s="160" t="inlineStr">
        <x:is>
          <x:t xml:space="preserve">Development</x:t>
        </x:is>
      </x:c>
      <x:c r="G579" s="160" t="inlineStr">
        <x:is>
          <x:t xml:space="preserve">S14</x:t>
        </x:is>
      </x:c>
      <x:c r="H579" s="160" t="inlineStr">
        <x:is>
          <x:t xml:space="preserve">M&amp;A / Organic Growth Separation</x:t>
        </x:is>
      </x:c>
      <x:c r="I579" s="160" t="inlineStr">
        <x:is>
          <x:t xml:space="preserve">Stewardship</x:t>
        </x:is>
      </x:c>
      <x:c r="J579" s="160" t="inlineStr">
        <x:is>
          <x:t xml:space="preserve">Acquisition-driven growth masks weak organic economics or poor incremental ROIC.</x:t>
        </x:is>
      </x:c>
      <x:c r="K579" s="160" t="inlineStr">
        <x:is>
          <x:t xml:space="preserve">Deposit franchise, lending, markets and fees</x:t>
        </x:is>
      </x:c>
      <x:c r="L579" s="160" t="inlineStr">
        <x:is>
          <x:t xml:space="preserve">Tangible book + normalized earnings</x:t>
        </x:is>
      </x:c>
      <x:c r="M579" s="160" t="inlineStr">
        <x:is>
          <x:t xml:space="preserve">WATCH</x:t>
        </x:is>
      </x:c>
      <x:c r="N579" s="160" t="inlineStr">
        <x:is>
          <x:t xml:space="preserve">R-MA-01</x:t>
        </x:is>
      </x:c>
      <x:c r="O579" s="160" t="inlineStr">
        <x:is>
          <x:t xml:space="preserve">COUNTER-EVIDENCE</x:t>
        </x:is>
      </x:c>
      <x:c r="P579" s="160" t="inlineStr">
        <x:is>
          <x:t xml:space="preserve">ROBUST</x:t>
        </x:is>
      </x:c>
      <x:c r="Q579" s="160" t="inlineStr">
        <x:is>
          <x:t xml:space="preserve">The mature simulation rule catches the stress without weakening a fatal gate; no rule relaxation is justified.</x:t>
        </x:is>
      </x:c>
      <x:c r="R579" s="160" t="inlineStr">
        <x:is>
          <x:t xml:space="preserve">Bridge organic growth, acquired growth, purchase price, integration costs and acquisition-cohort ROIC.</x:t>
        </x:is>
      </x:c>
      <x:c r="S579" s="160" t="inlineStr">
        <x:is>
          <x:t xml:space="preserve">NO</x:t>
        </x:is>
      </x:c>
      <x:c r="T579" s="160" t="inlineStr">
        <x:is>
          <x:t xml:space="preserve">COUNTER-EVIDENCE</x:t>
        </x:is>
      </x:c>
      <x:c r="U579" s="160" t="inlineStr">
        <x:is>
          <x:t xml:space="preserve">V10.5-SIM59</x:t>
        </x:is>
      </x:c>
      <x:c r="V579" s="160" t="inlineStr">
        <x:is>
          <x:t xml:space="preserve">https://www.jpmorganchase.com/ir</x:t>
        </x:is>
      </x:c>
      <x:c r="W579" s="160" t="inlineStr">
        <x:is>
          <x:t xml:space="preserve">NO</x:t>
        </x:is>
      </x:c>
      <x:c r="X579" s="160" t="inlineStr">
        <x:is>
          <x:t xml:space="preserve">NONE — DEVELOPMENT ONLY</x:t>
        </x:is>
      </x:c>
      <x:c r="Y579" s="160" t="inlineStr">
        <x:is>
          <x:t xml:space="preserve">Synthetic/adversarial model-development loop. No historical outcome is claimed; no accuracy point is awarded.</x:t>
        </x:is>
      </x:c>
    </x:row>
    <x:row r="580">
      <x:c r="A580" s="160" t="inlineStr">
        <x:is>
          <x:t xml:space="preserve">ML0575</x:t>
        </x:is>
      </x:c>
      <x:c r="B580" s="160" t="inlineStr">
        <x:is>
          <x:t xml:space="preserve">ARG-036</x:t>
        </x:is>
      </x:c>
      <x:c r="C580" s="160" t="inlineStr">
        <x:is>
          <x:t xml:space="preserve">JPMorgan Chase</x:t>
        </x:is>
      </x:c>
      <x:c r="D580" s="160" t="inlineStr">
        <x:is>
          <x:t xml:space="preserve">JPM</x:t>
        </x:is>
      </x:c>
      <x:c r="E580" s="160" t="inlineStr">
        <x:is>
          <x:t xml:space="preserve">Banks</x:t>
        </x:is>
      </x:c>
      <x:c r="F580" s="160" t="inlineStr">
        <x:is>
          <x:t xml:space="preserve">Development</x:t>
        </x:is>
      </x:c>
      <x:c r="G580" s="160" t="inlineStr">
        <x:is>
          <x:t xml:space="preserve">S15</x:t>
        </x:is>
      </x:c>
      <x:c r="H580" s="160" t="inlineStr">
        <x:is>
          <x:t xml:space="preserve">Financing / Dilution Per Share</x:t>
        </x:is>
      </x:c>
      <x:c r="I580" s="160" t="inlineStr">
        <x:is>
          <x:t xml:space="preserve">Stewardship</x:t>
        </x:is>
      </x:c>
      <x:c r="J580" s="160" t="inlineStr">
        <x:is>
          <x:t xml:space="preserve">Cash balance or revenue growth improves while financing causes material per-share value leakage.</x:t>
        </x:is>
      </x:c>
      <x:c r="K580" s="160" t="inlineStr">
        <x:is>
          <x:t xml:space="preserve">Deposit franchise, lending, markets and fees</x:t>
        </x:is>
      </x:c>
      <x:c r="L580" s="160" t="inlineStr">
        <x:is>
          <x:t xml:space="preserve">Tangible book + normalized earnings</x:t>
        </x:is>
      </x:c>
      <x:c r="M580" s="160" t="inlineStr">
        <x:is>
          <x:t xml:space="preserve">WATCH</x:t>
        </x:is>
      </x:c>
      <x:c r="N580" s="160" t="inlineStr">
        <x:is>
          <x:t xml:space="preserve">R-DIL-01</x:t>
        </x:is>
      </x:c>
      <x:c r="O580" s="160" t="inlineStr">
        <x:is>
          <x:t xml:space="preserve">COUNTER-EVIDENCE</x:t>
        </x:is>
      </x:c>
      <x:c r="P580" s="160" t="inlineStr">
        <x:is>
          <x:t xml:space="preserve">ROBUST</x:t>
        </x:is>
      </x:c>
      <x:c r="Q580" s="160" t="inlineStr">
        <x:is>
          <x:t xml:space="preserve">The mature simulation rule catches the stress without weakening a fatal gate; no rule relaxation is justified.</x:t>
        </x:is>
      </x:c>
      <x:c r="R580" s="160" t="inlineStr">
        <x:is>
          <x:t xml:space="preserve">Reconcile share-count growth, SBC, equity issuance, buybacks and net cash changes to per-share intrinsic value.</x:t>
        </x:is>
      </x:c>
      <x:c r="S580" s="160" t="inlineStr">
        <x:is>
          <x:t xml:space="preserve">NO</x:t>
        </x:is>
      </x:c>
      <x:c r="T580" s="160" t="inlineStr">
        <x:is>
          <x:t xml:space="preserve">COUNTER-EVIDENCE</x:t>
        </x:is>
      </x:c>
      <x:c r="U580" s="160" t="inlineStr">
        <x:is>
          <x:t xml:space="preserve">V10.5-SIM59</x:t>
        </x:is>
      </x:c>
      <x:c r="V580" s="160" t="inlineStr">
        <x:is>
          <x:t xml:space="preserve">https://www.jpmorganchase.com/ir</x:t>
        </x:is>
      </x:c>
      <x:c r="W580" s="160" t="inlineStr">
        <x:is>
          <x:t xml:space="preserve">NO</x:t>
        </x:is>
      </x:c>
      <x:c r="X580" s="160" t="inlineStr">
        <x:is>
          <x:t xml:space="preserve">NONE — DEVELOPMENT ONLY</x:t>
        </x:is>
      </x:c>
      <x:c r="Y580" s="160" t="inlineStr">
        <x:is>
          <x:t xml:space="preserve">Synthetic/adversarial model-development loop. No historical outcome is claimed; no accuracy point is awarded.</x:t>
        </x:is>
      </x:c>
    </x:row>
    <x:row r="581">
      <x:c r="A581" s="160" t="inlineStr">
        <x:is>
          <x:t xml:space="preserve">ML0576</x:t>
        </x:is>
      </x:c>
      <x:c r="B581" s="160" t="inlineStr">
        <x:is>
          <x:t xml:space="preserve">ARG-036</x:t>
        </x:is>
      </x:c>
      <x:c r="C581" s="160" t="inlineStr">
        <x:is>
          <x:t xml:space="preserve">JPMorgan Chase</x:t>
        </x:is>
      </x:c>
      <x:c r="D581" s="160" t="inlineStr">
        <x:is>
          <x:t xml:space="preserve">JPM</x:t>
        </x:is>
      </x:c>
      <x:c r="E581" s="160" t="inlineStr">
        <x:is>
          <x:t xml:space="preserve">Banks</x:t>
        </x:is>
      </x:c>
      <x:c r="F581" s="160" t="inlineStr">
        <x:is>
          <x:t xml:space="preserve">Development</x:t>
        </x:is>
      </x:c>
      <x:c r="G581" s="160" t="inlineStr">
        <x:is>
          <x:t xml:space="preserve">S16</x:t>
        </x:is>
      </x:c>
      <x:c r="H581" s="160" t="inlineStr">
        <x:is>
          <x:t xml:space="preserve">Concentration / Tail Risk</x:t>
        </x:is>
      </x:c>
      <x:c r="I581" s="160" t="inlineStr">
        <x:is>
          <x:t xml:space="preserve">Survival</x:t>
        </x:is>
      </x:c>
      <x:c r="J581" s="160" t="inlineStr">
        <x:is>
          <x:t xml:space="preserve">A concentrated supplier, geography, customer, product, patent, regulatory or technology dependency creates asymmetric permanent-loss risk.</x:t>
        </x:is>
      </x:c>
      <x:c r="K581" s="160" t="inlineStr">
        <x:is>
          <x:t xml:space="preserve">Deposit franchise, lending, markets and fees</x:t>
        </x:is>
      </x:c>
      <x:c r="L581" s="160" t="inlineStr">
        <x:is>
          <x:t xml:space="preserve">Tangible book + normalized earnings</x:t>
        </x:is>
      </x:c>
      <x:c r="M581" s="160" t="inlineStr">
        <x:is>
          <x:t xml:space="preserve">WATCH</x:t>
        </x:is>
      </x:c>
      <x:c r="N581" s="160" t="inlineStr">
        <x:is>
          <x:t xml:space="preserve">R-TAIL-01</x:t>
        </x:is>
      </x:c>
      <x:c r="O581" s="160" t="inlineStr">
        <x:is>
          <x:t xml:space="preserve">COUNTER-EVIDENCE</x:t>
        </x:is>
      </x:c>
      <x:c r="P581" s="160" t="inlineStr">
        <x:is>
          <x:t xml:space="preserve">ROBUST</x:t>
        </x:is>
      </x:c>
      <x:c r="Q581" s="160" t="inlineStr">
        <x:is>
          <x:t xml:space="preserve">The mature simulation rule catches the stress without weakening a fatal gate; no rule relaxation is justified.</x:t>
        </x:is>
      </x:c>
      <x:c r="R581" s="160" t="inlineStr">
        <x:is>
          <x:t xml:space="preserve">Maintain an explicit concentration/tail-risk register with probability, severity, mitigation and required margin-of-safety premium.</x:t>
        </x:is>
      </x:c>
      <x:c r="S581" s="160" t="inlineStr">
        <x:is>
          <x:t xml:space="preserve">NO</x:t>
        </x:is>
      </x:c>
      <x:c r="T581" s="160" t="inlineStr">
        <x:is>
          <x:t xml:space="preserve">COUNTER-EVIDENCE</x:t>
        </x:is>
      </x:c>
      <x:c r="U581" s="160" t="inlineStr">
        <x:is>
          <x:t xml:space="preserve">V10.5-SIM59</x:t>
        </x:is>
      </x:c>
      <x:c r="V581" s="160" t="inlineStr">
        <x:is>
          <x:t xml:space="preserve">https://www.jpmorganchase.com/ir</x:t>
        </x:is>
      </x:c>
      <x:c r="W581" s="160" t="inlineStr">
        <x:is>
          <x:t xml:space="preserve">NO</x:t>
        </x:is>
      </x:c>
      <x:c r="X581" s="160" t="inlineStr">
        <x:is>
          <x:t xml:space="preserve">NONE — DEVELOPMENT ONLY</x:t>
        </x:is>
      </x:c>
      <x:c r="Y581" s="160" t="inlineStr">
        <x:is>
          <x:t xml:space="preserve">Synthetic/adversarial model-development loop. No historical outcome is claimed; no accuracy point is awarded.</x:t>
        </x:is>
      </x:c>
    </x:row>
    <x:row r="582">
      <x:c r="A582" s="160" t="inlineStr">
        <x:is>
          <x:t xml:space="preserve">ML0577</x:t>
        </x:is>
      </x:c>
      <x:c r="B582" s="160" t="inlineStr">
        <x:is>
          <x:t xml:space="preserve">ARG-037</x:t>
        </x:is>
      </x:c>
      <x:c r="C582" s="160" t="inlineStr">
        <x:is>
          <x:t xml:space="preserve">Bank of America</x:t>
        </x:is>
      </x:c>
      <x:c r="D582" s="160" t="inlineStr">
        <x:is>
          <x:t xml:space="preserve">BAC</x:t>
        </x:is>
      </x:c>
      <x:c r="E582" s="160" t="inlineStr">
        <x:is>
          <x:t xml:space="preserve">Banks</x:t>
        </x:is>
      </x:c>
      <x:c r="F582" s="160" t="inlineStr">
        <x:is>
          <x:t xml:space="preserve">Development</x:t>
        </x:is>
      </x:c>
      <x:c r="G582" s="160" t="inlineStr">
        <x:is>
          <x:t xml:space="preserve">S01</x:t>
        </x:is>
      </x:c>
      <x:c r="H582" s="160" t="inlineStr">
        <x:is>
          <x:t xml:space="preserve">Understanding Gate</x:t>
        </x:is>
      </x:c>
      <x:c r="I582" s="160" t="inlineStr">
        <x:is>
          <x:t xml:space="preserve">Understanding</x:t>
        </x:is>
      </x:c>
      <x:c r="J582" s="160" t="inlineStr">
        <x:is>
          <x:t xml:space="preserve">Causal engine / customer ROI chain breaks under a misleading headline KPI.</x:t>
        </x:is>
      </x:c>
      <x:c r="K582" s="160" t="inlineStr">
        <x:is>
          <x:t xml:space="preserve">Deposit base, lending and fee income</x:t>
        </x:is>
      </x:c>
      <x:c r="L582" s="160" t="inlineStr">
        <x:is>
          <x:t xml:space="preserve">Tangible book + normalized earnings</x:t>
        </x:is>
      </x:c>
      <x:c r="M582" s="160" t="inlineStr">
        <x:is>
          <x:t xml:space="preserve">WATCH</x:t>
        </x:is>
      </x:c>
      <x:c r="N582" s="160" t="inlineStr">
        <x:is>
          <x:t xml:space="preserve">R-ENG-01</x:t>
        </x:is>
      </x:c>
      <x:c r="O582" s="160" t="inlineStr">
        <x:is>
          <x:t xml:space="preserve">COUNTER-EVIDENCE</x:t>
        </x:is>
      </x:c>
      <x:c r="P582" s="160" t="inlineStr">
        <x:is>
          <x:t xml:space="preserve">ROBUST</x:t>
        </x:is>
      </x:c>
      <x:c r="Q582" s="160" t="inlineStr">
        <x:is>
          <x:t xml:space="preserve">The mature simulation rule catches the stress without weakening a fatal gate; no rule relaxation is justified.</x:t>
        </x:is>
      </x:c>
      <x:c r="R582" s="160" t="inlineStr">
        <x:is>
          <x:t xml:space="preserve">Force an explicit engine tree: customer job → unit economics → revenue driver → owner-value bridge.</x:t>
        </x:is>
      </x:c>
      <x:c r="S582" s="160" t="inlineStr">
        <x:is>
          <x:t xml:space="preserve">NO</x:t>
        </x:is>
      </x:c>
      <x:c r="T582" s="160" t="inlineStr">
        <x:is>
          <x:t xml:space="preserve">COUNTER-EVIDENCE</x:t>
        </x:is>
      </x:c>
      <x:c r="U582" s="160" t="inlineStr">
        <x:is>
          <x:t xml:space="preserve">V10.5-SIM59</x:t>
        </x:is>
      </x:c>
      <x:c r="V582" s="160" t="inlineStr">
        <x:is>
          <x:t xml:space="preserve">https://investor.bankofamerica.com</x:t>
        </x:is>
      </x:c>
      <x:c r="W582" s="160" t="inlineStr">
        <x:is>
          <x:t xml:space="preserve">NO</x:t>
        </x:is>
      </x:c>
      <x:c r="X582" s="160" t="inlineStr">
        <x:is>
          <x:t xml:space="preserve">NONE — DEVELOPMENT ONLY</x:t>
        </x:is>
      </x:c>
      <x:c r="Y582" s="160" t="inlineStr">
        <x:is>
          <x:t xml:space="preserve">Synthetic/adversarial model-development loop. No historical outcome is claimed; no accuracy point is awarded.</x:t>
        </x:is>
      </x:c>
    </x:row>
    <x:row r="583">
      <x:c r="A583" s="160" t="inlineStr">
        <x:is>
          <x:t xml:space="preserve">ML0578</x:t>
        </x:is>
      </x:c>
      <x:c r="B583" s="160" t="inlineStr">
        <x:is>
          <x:t xml:space="preserve">ARG-037</x:t>
        </x:is>
      </x:c>
      <x:c r="C583" s="160" t="inlineStr">
        <x:is>
          <x:t xml:space="preserve">Bank of America</x:t>
        </x:is>
      </x:c>
      <x:c r="D583" s="160" t="inlineStr">
        <x:is>
          <x:t xml:space="preserve">BAC</x:t>
        </x:is>
      </x:c>
      <x:c r="E583" s="160" t="inlineStr">
        <x:is>
          <x:t xml:space="preserve">Banks</x:t>
        </x:is>
      </x:c>
      <x:c r="F583" s="160" t="inlineStr">
        <x:is>
          <x:t xml:space="preserve">Development</x:t>
        </x:is>
      </x:c>
      <x:c r="G583" s="160" t="inlineStr">
        <x:is>
          <x:t xml:space="preserve">S02</x:t>
        </x:is>
      </x:c>
      <x:c r="H583" s="160" t="inlineStr">
        <x:is>
          <x:t xml:space="preserve">Owner Earnings Normalization</x:t>
        </x:is>
      </x:c>
      <x:c r="I583" s="160" t="inlineStr">
        <x:is>
          <x:t xml:space="preserve">Owner Earnings</x:t>
        </x:is>
      </x:c>
      <x:c r="J583" s="160" t="inlineStr">
        <x:is>
          <x:t xml:space="preserve">Reported earnings/FCF overstates economic cash because recurring reinvestment or non-cash compensation is misclassified.</x:t>
        </x:is>
      </x:c>
      <x:c r="K583" s="160" t="inlineStr">
        <x:is>
          <x:t xml:space="preserve">Deposit base, lending and fee income</x:t>
        </x:is>
      </x:c>
      <x:c r="L583" s="160" t="inlineStr">
        <x:is>
          <x:t xml:space="preserve">Tangible book + normalized earnings</x:t>
        </x:is>
      </x:c>
      <x:c r="M583" s="160" t="inlineStr">
        <x:is>
          <x:t xml:space="preserve">WATCH</x:t>
        </x:is>
      </x:c>
      <x:c r="N583" s="160" t="inlineStr">
        <x:is>
          <x:t xml:space="preserve">R-OE-01</x:t>
        </x:is>
      </x:c>
      <x:c r="O583" s="160" t="inlineStr">
        <x:is>
          <x:t xml:space="preserve">COUNTER-EVIDENCE</x:t>
        </x:is>
      </x:c>
      <x:c r="P583" s="160" t="inlineStr">
        <x:is>
          <x:t xml:space="preserve">ROBUST</x:t>
        </x:is>
      </x:c>
      <x:c r="Q583" s="160" t="inlineStr">
        <x:is>
          <x:t xml:space="preserve">The mature simulation rule catches the stress without weakening a fatal gate; no rule relaxation is justified.</x:t>
        </x:is>
      </x:c>
      <x:c r="R583" s="160" t="inlineStr">
        <x:is>
          <x:t xml:space="preserve">Require a GAAP-to-economic-owner-cash bridge tailored to the business model.</x:t>
        </x:is>
      </x:c>
      <x:c r="S583" s="160" t="inlineStr">
        <x:is>
          <x:t xml:space="preserve">NO</x:t>
        </x:is>
      </x:c>
      <x:c r="T583" s="160" t="inlineStr">
        <x:is>
          <x:t xml:space="preserve">COUNTER-EVIDENCE</x:t>
        </x:is>
      </x:c>
      <x:c r="U583" s="160" t="inlineStr">
        <x:is>
          <x:t xml:space="preserve">V10.5-SIM59</x:t>
        </x:is>
      </x:c>
      <x:c r="V583" s="160" t="inlineStr">
        <x:is>
          <x:t xml:space="preserve">https://investor.bankofamerica.com</x:t>
        </x:is>
      </x:c>
      <x:c r="W583" s="160" t="inlineStr">
        <x:is>
          <x:t xml:space="preserve">NO</x:t>
        </x:is>
      </x:c>
      <x:c r="X583" s="160" t="inlineStr">
        <x:is>
          <x:t xml:space="preserve">NONE — DEVELOPMENT ONLY</x:t>
        </x:is>
      </x:c>
      <x:c r="Y583" s="160" t="inlineStr">
        <x:is>
          <x:t xml:space="preserve">Synthetic/adversarial model-development loop. No historical outcome is claimed; no accuracy point is awarded.</x:t>
        </x:is>
      </x:c>
    </x:row>
    <x:row r="584">
      <x:c r="A584" s="160" t="inlineStr">
        <x:is>
          <x:t xml:space="preserve">ML0579</x:t>
        </x:is>
      </x:c>
      <x:c r="B584" s="160" t="inlineStr">
        <x:is>
          <x:t xml:space="preserve">ARG-037</x:t>
        </x:is>
      </x:c>
      <x:c r="C584" s="160" t="inlineStr">
        <x:is>
          <x:t xml:space="preserve">Bank of America</x:t>
        </x:is>
      </x:c>
      <x:c r="D584" s="160" t="inlineStr">
        <x:is>
          <x:t xml:space="preserve">BAC</x:t>
        </x:is>
      </x:c>
      <x:c r="E584" s="160" t="inlineStr">
        <x:is>
          <x:t xml:space="preserve">Banks</x:t>
        </x:is>
      </x:c>
      <x:c r="F584" s="160" t="inlineStr">
        <x:is>
          <x:t xml:space="preserve">Development</x:t>
        </x:is>
      </x:c>
      <x:c r="G584" s="160" t="inlineStr">
        <x:is>
          <x:t xml:space="preserve">S03</x:t>
        </x:is>
      </x:c>
      <x:c r="H584" s="160" t="inlineStr">
        <x:is>
          <x:t xml:space="preserve">Moat Durability</x:t>
        </x:is>
      </x:c>
      <x:c r="I584" s="160" t="inlineStr">
        <x:is>
          <x:t xml:space="preserve">Moat 2036</x:t>
        </x:is>
      </x:c>
      <x:c r="J584" s="160" t="inlineStr">
        <x:is>
          <x:t xml:space="preserve">Growth continues while switching friction, pricing power or replacement difficulty quietly weakens.</x:t>
        </x:is>
      </x:c>
      <x:c r="K584" s="160" t="inlineStr">
        <x:is>
          <x:t xml:space="preserve">Deposit base, lending and fee income</x:t>
        </x:is>
      </x:c>
      <x:c r="L584" s="160" t="inlineStr">
        <x:is>
          <x:t xml:space="preserve">Tangible book + normalized earnings</x:t>
        </x:is>
      </x:c>
      <x:c r="M584" s="160" t="inlineStr">
        <x:is>
          <x:t xml:space="preserve">WATCH</x:t>
        </x:is>
      </x:c>
      <x:c r="N584" s="160" t="inlineStr">
        <x:is>
          <x:t xml:space="preserve">R-MOAT-01</x:t>
        </x:is>
      </x:c>
      <x:c r="O584" s="160" t="inlineStr">
        <x:is>
          <x:t xml:space="preserve">COUNTER-EVIDENCE</x:t>
        </x:is>
      </x:c>
      <x:c r="P584" s="160" t="inlineStr">
        <x:is>
          <x:t xml:space="preserve">ROBUST</x:t>
        </x:is>
      </x:c>
      <x:c r="Q584" s="160" t="inlineStr">
        <x:is>
          <x:t xml:space="preserve">The mature simulation rule catches the stress without weakening a fatal gate; no rule relaxation is justified.</x:t>
        </x:is>
      </x:c>
      <x:c r="R584" s="160" t="inlineStr">
        <x:is>
          <x:t xml:space="preserve">Track moat telemetry separately from growth: retention, pricing, win/loss, replacement friction, installed-base behavior.</x:t>
        </x:is>
      </x:c>
      <x:c r="S584" s="160" t="inlineStr">
        <x:is>
          <x:t xml:space="preserve">NO</x:t>
        </x:is>
      </x:c>
      <x:c r="T584" s="160" t="inlineStr">
        <x:is>
          <x:t xml:space="preserve">COUNTER-EVIDENCE</x:t>
        </x:is>
      </x:c>
      <x:c r="U584" s="160" t="inlineStr">
        <x:is>
          <x:t xml:space="preserve">V10.5-SIM59</x:t>
        </x:is>
      </x:c>
      <x:c r="V584" s="160" t="inlineStr">
        <x:is>
          <x:t xml:space="preserve">https://investor.bankofamerica.com</x:t>
        </x:is>
      </x:c>
      <x:c r="W584" s="160" t="inlineStr">
        <x:is>
          <x:t xml:space="preserve">NO</x:t>
        </x:is>
      </x:c>
      <x:c r="X584" s="160" t="inlineStr">
        <x:is>
          <x:t xml:space="preserve">NONE — DEVELOPMENT ONLY</x:t>
        </x:is>
      </x:c>
      <x:c r="Y584" s="160" t="inlineStr">
        <x:is>
          <x:t xml:space="preserve">Synthetic/adversarial model-development loop. No historical outcome is claimed; no accuracy point is awarded.</x:t>
        </x:is>
      </x:c>
    </x:row>
    <x:row r="585">
      <x:c r="A585" s="160" t="inlineStr">
        <x:is>
          <x:t xml:space="preserve">ML0580</x:t>
        </x:is>
      </x:c>
      <x:c r="B585" s="160" t="inlineStr">
        <x:is>
          <x:t xml:space="preserve">ARG-037</x:t>
        </x:is>
      </x:c>
      <x:c r="C585" s="160" t="inlineStr">
        <x:is>
          <x:t xml:space="preserve">Bank of America</x:t>
        </x:is>
      </x:c>
      <x:c r="D585" s="160" t="inlineStr">
        <x:is>
          <x:t xml:space="preserve">BAC</x:t>
        </x:is>
      </x:c>
      <x:c r="E585" s="160" t="inlineStr">
        <x:is>
          <x:t xml:space="preserve">Banks</x:t>
        </x:is>
      </x:c>
      <x:c r="F585" s="160" t="inlineStr">
        <x:is>
          <x:t xml:space="preserve">Development</x:t>
        </x:is>
      </x:c>
      <x:c r="G585" s="160" t="inlineStr">
        <x:is>
          <x:t xml:space="preserve">S04</x:t>
        </x:is>
      </x:c>
      <x:c r="H585" s="160" t="inlineStr">
        <x:is>
          <x:t xml:space="preserve">Stewardship / Capital Allocation</x:t>
        </x:is>
      </x:c>
      <x:c r="I585" s="160" t="inlineStr">
        <x:is>
          <x:t xml:space="preserve">Stewardship</x:t>
        </x:is>
      </x:c>
      <x:c r="J585" s="160" t="inlineStr">
        <x:is>
          <x:t xml:space="preserve">Management creates enterprise growth while destroying per-share value through M&amp;A, dilution, leverage or mistimed buybacks.</x:t>
        </x:is>
      </x:c>
      <x:c r="K585" s="160" t="inlineStr">
        <x:is>
          <x:t xml:space="preserve">Deposit base, lending and fee income</x:t>
        </x:is>
      </x:c>
      <x:c r="L585" s="160" t="inlineStr">
        <x:is>
          <x:t xml:space="preserve">Tangible book + normalized earnings</x:t>
        </x:is>
      </x:c>
      <x:c r="M585" s="160" t="inlineStr">
        <x:is>
          <x:t xml:space="preserve">WATCH</x:t>
        </x:is>
      </x:c>
      <x:c r="N585" s="160" t="inlineStr">
        <x:is>
          <x:t xml:space="preserve">R-STEW-01</x:t>
        </x:is>
      </x:c>
      <x:c r="O585" s="160" t="inlineStr">
        <x:is>
          <x:t xml:space="preserve">COUNTER-EVIDENCE</x:t>
        </x:is>
      </x:c>
      <x:c r="P585" s="160" t="inlineStr">
        <x:is>
          <x:t xml:space="preserve">ROBUST</x:t>
        </x:is>
      </x:c>
      <x:c r="Q585" s="160" t="inlineStr">
        <x:is>
          <x:t xml:space="preserve">The mature simulation rule catches the stress without weakening a fatal gate; no rule relaxation is justified.</x:t>
        </x:is>
      </x:c>
      <x:c r="R585" s="160" t="inlineStr">
        <x:is>
          <x:t xml:space="preserve">Evaluate capital allocation on a per-share basis using acquisition cohorts, dilution, leverage and repurchase price discipline.</x:t>
        </x:is>
      </x:c>
      <x:c r="S585" s="160" t="inlineStr">
        <x:is>
          <x:t xml:space="preserve">NO</x:t>
        </x:is>
      </x:c>
      <x:c r="T585" s="160" t="inlineStr">
        <x:is>
          <x:t xml:space="preserve">COUNTER-EVIDENCE</x:t>
        </x:is>
      </x:c>
      <x:c r="U585" s="160" t="inlineStr">
        <x:is>
          <x:t xml:space="preserve">V10.5-SIM59</x:t>
        </x:is>
      </x:c>
      <x:c r="V585" s="160" t="inlineStr">
        <x:is>
          <x:t xml:space="preserve">https://investor.bankofamerica.com</x:t>
        </x:is>
      </x:c>
      <x:c r="W585" s="160" t="inlineStr">
        <x:is>
          <x:t xml:space="preserve">NO</x:t>
        </x:is>
      </x:c>
      <x:c r="X585" s="160" t="inlineStr">
        <x:is>
          <x:t xml:space="preserve">NONE — DEVELOPMENT ONLY</x:t>
        </x:is>
      </x:c>
      <x:c r="Y585" s="160" t="inlineStr">
        <x:is>
          <x:t xml:space="preserve">Synthetic/adversarial model-development loop. No historical outcome is claimed; no accuracy point is awarded.</x:t>
        </x:is>
      </x:c>
    </x:row>
    <x:row r="586">
      <x:c r="A586" s="160" t="inlineStr">
        <x:is>
          <x:t xml:space="preserve">ML0581</x:t>
        </x:is>
      </x:c>
      <x:c r="B586" s="160" t="inlineStr">
        <x:is>
          <x:t xml:space="preserve">ARG-037</x:t>
        </x:is>
      </x:c>
      <x:c r="C586" s="160" t="inlineStr">
        <x:is>
          <x:t xml:space="preserve">Bank of America</x:t>
        </x:is>
      </x:c>
      <x:c r="D586" s="160" t="inlineStr">
        <x:is>
          <x:t xml:space="preserve">BAC</x:t>
        </x:is>
      </x:c>
      <x:c r="E586" s="160" t="inlineStr">
        <x:is>
          <x:t xml:space="preserve">Banks</x:t>
        </x:is>
      </x:c>
      <x:c r="F586" s="160" t="inlineStr">
        <x:is>
          <x:t xml:space="preserve">Development</x:t>
        </x:is>
      </x:c>
      <x:c r="G586" s="160" t="inlineStr">
        <x:is>
          <x:t xml:space="preserve">S05</x:t>
        </x:is>
      </x:c>
      <x:c r="H586" s="160" t="inlineStr">
        <x:is>
          <x:t xml:space="preserve">Survival / Funding</x:t>
        </x:is>
      </x:c>
      <x:c r="I586" s="160" t="inlineStr">
        <x:is>
          <x:t xml:space="preserve">Survival</x:t>
        </x:is>
      </x:c>
      <x:c r="J586" s="160" t="inlineStr">
        <x:is>
          <x:t xml:space="preserve">A plausible bear case exposes refinancing, liquidity, covenant, reserve, regulatory or operational fragility.</x:t>
        </x:is>
      </x:c>
      <x:c r="K586" s="160" t="inlineStr">
        <x:is>
          <x:t xml:space="preserve">Deposit base, lending and fee income</x:t>
        </x:is>
      </x:c>
      <x:c r="L586" s="160" t="inlineStr">
        <x:is>
          <x:t xml:space="preserve">Tangible book + normalized earnings</x:t>
        </x:is>
      </x:c>
      <x:c r="M586" s="160" t="inlineStr">
        <x:is>
          <x:t xml:space="preserve">WATCH</x:t>
        </x:is>
      </x:c>
      <x:c r="N586" s="160" t="inlineStr">
        <x:is>
          <x:t xml:space="preserve">R-SURV-01</x:t>
        </x:is>
      </x:c>
      <x:c r="O586" s="160" t="inlineStr">
        <x:is>
          <x:t xml:space="preserve">COUNTER-EVIDENCE</x:t>
        </x:is>
      </x:c>
      <x:c r="P586" s="160" t="inlineStr">
        <x:is>
          <x:t xml:space="preserve">ROBUST</x:t>
        </x:is>
      </x:c>
      <x:c r="Q586" s="160" t="inlineStr">
        <x:is>
          <x:t xml:space="preserve">The mature simulation rule catches the stress without weakening a fatal gate; no rule relaxation is justified.</x:t>
        </x:is>
      </x:c>
      <x:c r="R586" s="160" t="inlineStr">
        <x:is>
          <x:t xml:space="preserve">Run a company-specific survival bridge under a severe-but-plausible bear case before any upside underwriting.</x:t>
        </x:is>
      </x:c>
      <x:c r="S586" s="160" t="inlineStr">
        <x:is>
          <x:t xml:space="preserve">NO</x:t>
        </x:is>
      </x:c>
      <x:c r="T586" s="160" t="inlineStr">
        <x:is>
          <x:t xml:space="preserve">COUNTER-EVIDENCE</x:t>
        </x:is>
      </x:c>
      <x:c r="U586" s="160" t="inlineStr">
        <x:is>
          <x:t xml:space="preserve">V10.5-SIM59</x:t>
        </x:is>
      </x:c>
      <x:c r="V586" s="160" t="inlineStr">
        <x:is>
          <x:t xml:space="preserve">https://investor.bankofamerica.com</x:t>
        </x:is>
      </x:c>
      <x:c r="W586" s="160" t="inlineStr">
        <x:is>
          <x:t xml:space="preserve">NO</x:t>
        </x:is>
      </x:c>
      <x:c r="X586" s="160" t="inlineStr">
        <x:is>
          <x:t xml:space="preserve">NONE — DEVELOPMENT ONLY</x:t>
        </x:is>
      </x:c>
      <x:c r="Y586" s="160" t="inlineStr">
        <x:is>
          <x:t xml:space="preserve">Synthetic/adversarial model-development loop. No historical outcome is claimed; no accuracy point is awarded.</x:t>
        </x:is>
      </x:c>
    </x:row>
    <x:row r="587">
      <x:c r="A587" s="160" t="inlineStr">
        <x:is>
          <x:t xml:space="preserve">ML0582</x:t>
        </x:is>
      </x:c>
      <x:c r="B587" s="160" t="inlineStr">
        <x:is>
          <x:t xml:space="preserve">ARG-037</x:t>
        </x:is>
      </x:c>
      <x:c r="C587" s="160" t="inlineStr">
        <x:is>
          <x:t xml:space="preserve">Bank of America</x:t>
        </x:is>
      </x:c>
      <x:c r="D587" s="160" t="inlineStr">
        <x:is>
          <x:t xml:space="preserve">BAC</x:t>
        </x:is>
      </x:c>
      <x:c r="E587" s="160" t="inlineStr">
        <x:is>
          <x:t xml:space="preserve">Banks</x:t>
        </x:is>
      </x:c>
      <x:c r="F587" s="160" t="inlineStr">
        <x:is>
          <x:t xml:space="preserve">Development</x:t>
        </x:is>
      </x:c>
      <x:c r="G587" s="160" t="inlineStr">
        <x:is>
          <x:t xml:space="preserve">S06</x:t>
        </x:is>
      </x:c>
      <x:c r="H587" s="160" t="inlineStr">
        <x:is>
          <x:t xml:space="preserve">Margin of Safety</x:t>
        </x:is>
      </x:c>
      <x:c r="I587" s="160" t="inlineStr">
        <x:is>
          <x:t xml:space="preserve">Margin of Safety</x:t>
        </x:is>
      </x:c>
      <x:c r="J587" s="160" t="inlineStr">
        <x:is>
          <x:t xml:space="preserve">Business quality is high but the price embeds a fragile bull case.</x:t>
        </x:is>
      </x:c>
      <x:c r="K587" s="160" t="inlineStr">
        <x:is>
          <x:t xml:space="preserve">Deposit base, lending and fee income</x:t>
        </x:is>
      </x:c>
      <x:c r="L587" s="160" t="inlineStr">
        <x:is>
          <x:t xml:space="preserve">Tangible book + normalized earnings</x:t>
        </x:is>
      </x:c>
      <x:c r="M587" s="160" t="inlineStr">
        <x:is>
          <x:t xml:space="preserve">WATCH</x:t>
        </x:is>
      </x:c>
      <x:c r="N587" s="160" t="inlineStr">
        <x:is>
          <x:t xml:space="preserve">R-MOS-01</x:t>
        </x:is>
      </x:c>
      <x:c r="O587" s="160" t="inlineStr">
        <x:is>
          <x:t xml:space="preserve">COUNTER-EVIDENCE</x:t>
        </x:is>
      </x:c>
      <x:c r="P587" s="160" t="inlineStr">
        <x:is>
          <x:t xml:space="preserve">ROBUST</x:t>
        </x:is>
      </x:c>
      <x:c r="Q587" s="160" t="inlineStr">
        <x:is>
          <x:t xml:space="preserve">The mature simulation rule catches the stress without weakening a fatal gate; no rule relaxation is justified.</x:t>
        </x:is>
      </x:c>
      <x:c r="R587" s="160" t="inlineStr">
        <x:is>
          <x:t xml:space="preserve">Separate business-quality score from price decision; require reverse valuation and bear/base/bull IV ranges.</x:t>
        </x:is>
      </x:c>
      <x:c r="S587" s="160" t="inlineStr">
        <x:is>
          <x:t xml:space="preserve">NO</x:t>
        </x:is>
      </x:c>
      <x:c r="T587" s="160" t="inlineStr">
        <x:is>
          <x:t xml:space="preserve">COUNTER-EVIDENCE</x:t>
        </x:is>
      </x:c>
      <x:c r="U587" s="160" t="inlineStr">
        <x:is>
          <x:t xml:space="preserve">V10.5-SIM59</x:t>
        </x:is>
      </x:c>
      <x:c r="V587" s="160" t="inlineStr">
        <x:is>
          <x:t xml:space="preserve">https://investor.bankofamerica.com</x:t>
        </x:is>
      </x:c>
      <x:c r="W587" s="160" t="inlineStr">
        <x:is>
          <x:t xml:space="preserve">NO</x:t>
        </x:is>
      </x:c>
      <x:c r="X587" s="160" t="inlineStr">
        <x:is>
          <x:t xml:space="preserve">NONE — DEVELOPMENT ONLY</x:t>
        </x:is>
      </x:c>
      <x:c r="Y587" s="160" t="inlineStr">
        <x:is>
          <x:t xml:space="preserve">Synthetic/adversarial model-development loop. No historical outcome is claimed; no accuracy point is awarded.</x:t>
        </x:is>
      </x:c>
    </x:row>
    <x:row r="588">
      <x:c r="A588" s="160" t="inlineStr">
        <x:is>
          <x:t xml:space="preserve">ML0583</x:t>
        </x:is>
      </x:c>
      <x:c r="B588" s="160" t="inlineStr">
        <x:is>
          <x:t xml:space="preserve">ARG-037</x:t>
        </x:is>
      </x:c>
      <x:c r="C588" s="160" t="inlineStr">
        <x:is>
          <x:t xml:space="preserve">Bank of America</x:t>
        </x:is>
      </x:c>
      <x:c r="D588" s="160" t="inlineStr">
        <x:is>
          <x:t xml:space="preserve">BAC</x:t>
        </x:is>
      </x:c>
      <x:c r="E588" s="160" t="inlineStr">
        <x:is>
          <x:t xml:space="preserve">Banks</x:t>
        </x:is>
      </x:c>
      <x:c r="F588" s="160" t="inlineStr">
        <x:is>
          <x:t xml:space="preserve">Development</x:t>
        </x:is>
      </x:c>
      <x:c r="G588" s="160" t="inlineStr">
        <x:is>
          <x:t xml:space="preserve">S07</x:t>
        </x:is>
      </x:c>
      <x:c r="H588" s="160" t="inlineStr">
        <x:is>
          <x:t xml:space="preserve">Sector Shock</x:t>
        </x:is>
      </x:c>
      <x:c r="I588" s="160" t="inlineStr">
        <x:is>
          <x:t xml:space="preserve">Sector-specific</x:t>
        </x:is>
      </x:c>
      <x:c r="J588" s="160" t="inlineStr">
        <x:is>
          <x:t xml:space="preserve">NIM or fee income improves but deposit beta, credit losses, capital requirements or duration risk erodes normalized ROTCE.</x:t>
        </x:is>
      </x:c>
      <x:c r="K588" s="160" t="inlineStr">
        <x:is>
          <x:t xml:space="preserve">Deposit base, lending and fee income</x:t>
        </x:is>
      </x:c>
      <x:c r="L588" s="160" t="inlineStr">
        <x:is>
          <x:t xml:space="preserve">Tangible book + normalized earnings</x:t>
        </x:is>
      </x:c>
      <x:c r="M588" s="160" t="inlineStr">
        <x:is>
          <x:t xml:space="preserve">WATCH</x:t>
        </x:is>
      </x:c>
      <x:c r="N588" s="160" t="inlineStr">
        <x:is>
          <x:t xml:space="preserve">R-SECTOR-BANKS</x:t>
        </x:is>
      </x:c>
      <x:c r="O588" s="160" t="inlineStr">
        <x:is>
          <x:t xml:space="preserve">UNFORMED</x:t>
        </x:is>
      </x:c>
      <x:c r="P588" s="160" t="inlineStr">
        <x:is>
          <x:t xml:space="preserve">FAILURE EXPOSED</x:t>
        </x:is>
      </x:c>
      <x:c r="Q588" s="160" t="inlineStr">
        <x:is>
          <x:t xml:space="preserve">The frozen V10 gate family is directionally right, but the test lacks a sufficiently explicit mechanical implementation.</x:t>
        </x:is>
      </x:c>
      <x:c r="R588" s="160" t="inlineStr">
        <x:is>
          <x:t xml:space="preserve">Add a sector-specific transmission map with leading operating sensors, not only market-price variables. Sector rule: NIM or fee income improves but deposit beta, credit losses, capital requirements or duration risk erodes normalized ROTCE.</x:t>
        </x:is>
      </x:c>
      <x:c r="S588" s="160" t="inlineStr">
        <x:is>
          <x:t xml:space="preserve">YES — SIMULATION ONLY</x:t>
        </x:is>
      </x:c>
      <x:c r="T588" s="160" t="inlineStr">
        <x:is>
          <x:t xml:space="preserve">BASE</x:t>
        </x:is>
      </x:c>
      <x:c r="U588" s="160" t="inlineStr">
        <x:is>
          <x:t xml:space="preserve">V10.5-SIM60</x:t>
        </x:is>
      </x:c>
      <x:c r="V588" s="160" t="inlineStr">
        <x:is>
          <x:t xml:space="preserve">https://investor.bankofamerica.com</x:t>
        </x:is>
      </x:c>
      <x:c r="W588" s="160" t="inlineStr">
        <x:is>
          <x:t xml:space="preserve">NO</x:t>
        </x:is>
      </x:c>
      <x:c r="X588" s="160" t="inlineStr">
        <x:is>
          <x:t xml:space="preserve">NONE — DEVELOPMENT ONLY</x:t>
        </x:is>
      </x:c>
      <x:c r="Y588" s="160" t="inlineStr">
        <x:is>
          <x:t xml:space="preserve">Synthetic/adversarial model-development loop. No historical outcome is claimed; no accuracy point is awarded.</x:t>
        </x:is>
      </x:c>
    </x:row>
    <x:row r="589">
      <x:c r="A589" s="160" t="inlineStr">
        <x:is>
          <x:t xml:space="preserve">ML0584</x:t>
        </x:is>
      </x:c>
      <x:c r="B589" s="160" t="inlineStr">
        <x:is>
          <x:t xml:space="preserve">ARG-037</x:t>
        </x:is>
      </x:c>
      <x:c r="C589" s="160" t="inlineStr">
        <x:is>
          <x:t xml:space="preserve">Bank of America</x:t>
        </x:is>
      </x:c>
      <x:c r="D589" s="160" t="inlineStr">
        <x:is>
          <x:t xml:space="preserve">BAC</x:t>
        </x:is>
      </x:c>
      <x:c r="E589" s="160" t="inlineStr">
        <x:is>
          <x:t xml:space="preserve">Banks</x:t>
        </x:is>
      </x:c>
      <x:c r="F589" s="160" t="inlineStr">
        <x:is>
          <x:t xml:space="preserve">Development</x:t>
        </x:is>
      </x:c>
      <x:c r="G589" s="160" t="inlineStr">
        <x:is>
          <x:t xml:space="preserve">S08</x:t>
        </x:is>
      </x:c>
      <x:c r="H589" s="160" t="inlineStr">
        <x:is>
          <x:t xml:space="preserve">Management Promise Reliability</x:t>
        </x:is>
      </x:c>
      <x:c r="I589" s="160" t="inlineStr">
        <x:is>
          <x:t xml:space="preserve">Management over-trust</x:t>
        </x:is>
      </x:c>
      <x:c r="J589" s="160" t="inlineStr">
        <x:is>
          <x:t xml:space="preserve">Guidance or strategic promises are repeated but the model lacks a contemporaneous reliability score.</x:t>
        </x:is>
      </x:c>
      <x:c r="K589" s="160" t="inlineStr">
        <x:is>
          <x:t xml:space="preserve">Deposit base, lending and fee income</x:t>
        </x:is>
      </x:c>
      <x:c r="L589" s="160" t="inlineStr">
        <x:is>
          <x:t xml:space="preserve">Tangible book + normalized earnings</x:t>
        </x:is>
      </x:c>
      <x:c r="M589" s="160" t="inlineStr">
        <x:is>
          <x:t xml:space="preserve">WATCH</x:t>
        </x:is>
      </x:c>
      <x:c r="N589" s="160" t="inlineStr">
        <x:is>
          <x:t xml:space="preserve">R-PROM-01</x:t>
        </x:is>
      </x:c>
      <x:c r="O589" s="160" t="inlineStr">
        <x:is>
          <x:t xml:space="preserve">COUNTER-EVIDENCE</x:t>
        </x:is>
      </x:c>
      <x:c r="P589" s="160" t="inlineStr">
        <x:is>
          <x:t xml:space="preserve">ROBUST</x:t>
        </x:is>
      </x:c>
      <x:c r="Q589" s="160" t="inlineStr">
        <x:is>
          <x:t xml:space="preserve">The mature simulation rule catches the stress without weakening a fatal gate; no rule relaxation is justified.</x:t>
        </x:is>
      </x:c>
      <x:c r="R589" s="160" t="inlineStr">
        <x:is>
          <x:t xml:space="preserve">Use a promises ledger with dated promise, measurable deliverable, due date, outcome and credibility weight.</x:t>
        </x:is>
      </x:c>
      <x:c r="S589" s="160" t="inlineStr">
        <x:is>
          <x:t xml:space="preserve">NO</x:t>
        </x:is>
      </x:c>
      <x:c r="T589" s="160" t="inlineStr">
        <x:is>
          <x:t xml:space="preserve">COUNTER-EVIDENCE</x:t>
        </x:is>
      </x:c>
      <x:c r="U589" s="160" t="inlineStr">
        <x:is>
          <x:t xml:space="preserve">V10.5-SIM60</x:t>
        </x:is>
      </x:c>
      <x:c r="V589" s="160" t="inlineStr">
        <x:is>
          <x:t xml:space="preserve">https://investor.bankofamerica.com</x:t>
        </x:is>
      </x:c>
      <x:c r="W589" s="160" t="inlineStr">
        <x:is>
          <x:t xml:space="preserve">NO</x:t>
        </x:is>
      </x:c>
      <x:c r="X589" s="160" t="inlineStr">
        <x:is>
          <x:t xml:space="preserve">NONE — DEVELOPMENT ONLY</x:t>
        </x:is>
      </x:c>
      <x:c r="Y589" s="160" t="inlineStr">
        <x:is>
          <x:t xml:space="preserve">Synthetic/adversarial model-development loop. No historical outcome is claimed; no accuracy point is awarded.</x:t>
        </x:is>
      </x:c>
    </x:row>
    <x:row r="590">
      <x:c r="A590" s="160" t="inlineStr">
        <x:is>
          <x:t xml:space="preserve">ML0585</x:t>
        </x:is>
      </x:c>
      <x:c r="B590" s="160" t="inlineStr">
        <x:is>
          <x:t xml:space="preserve">ARG-037</x:t>
        </x:is>
      </x:c>
      <x:c r="C590" s="160" t="inlineStr">
        <x:is>
          <x:t xml:space="preserve">Bank of America</x:t>
        </x:is>
      </x:c>
      <x:c r="D590" s="160" t="inlineStr">
        <x:is>
          <x:t xml:space="preserve">BAC</x:t>
        </x:is>
      </x:c>
      <x:c r="E590" s="160" t="inlineStr">
        <x:is>
          <x:t xml:space="preserve">Banks</x:t>
        </x:is>
      </x:c>
      <x:c r="F590" s="160" t="inlineStr">
        <x:is>
          <x:t xml:space="preserve">Development</x:t>
        </x:is>
      </x:c>
      <x:c r="G590" s="160" t="inlineStr">
        <x:is>
          <x:t xml:space="preserve">S09</x:t>
        </x:is>
      </x:c>
      <x:c r="H590" s="160" t="inlineStr">
        <x:is>
          <x:t xml:space="preserve">Data / Accounting Quality</x:t>
        </x:is>
      </x:c>
      <x:c r="I590" s="160" t="inlineStr">
        <x:is>
          <x:t xml:space="preserve">Data quality</x:t>
        </x:is>
      </x:c>
      <x:c r="J590" s="160" t="inlineStr">
        <x:is>
          <x:t xml:space="preserve">Restatement, segment reclassification, one-time item or non-economic fair-value movement distorts the apparent trend.</x:t>
        </x:is>
      </x:c>
      <x:c r="K590" s="160" t="inlineStr">
        <x:is>
          <x:t xml:space="preserve">Deposit base, lending and fee income</x:t>
        </x:is>
      </x:c>
      <x:c r="L590" s="160" t="inlineStr">
        <x:is>
          <x:t xml:space="preserve">Tangible book + normalized earnings</x:t>
        </x:is>
      </x:c>
      <x:c r="M590" s="160" t="inlineStr">
        <x:is>
          <x:t xml:space="preserve">WATCH</x:t>
        </x:is>
      </x:c>
      <x:c r="N590" s="160" t="inlineStr">
        <x:is>
          <x:t xml:space="preserve">R-DATA-01</x:t>
        </x:is>
      </x:c>
      <x:c r="O590" s="160" t="inlineStr">
        <x:is>
          <x:t xml:space="preserve">COUNTER-EVIDENCE</x:t>
        </x:is>
      </x:c>
      <x:c r="P590" s="160" t="inlineStr">
        <x:is>
          <x:t xml:space="preserve">ROBUST</x:t>
        </x:is>
      </x:c>
      <x:c r="Q590" s="160" t="inlineStr">
        <x:is>
          <x:t xml:space="preserve">The mature simulation rule catches the stress without weakening a fatal gate; no rule relaxation is justified.</x:t>
        </x:is>
      </x:c>
      <x:c r="R590" s="160" t="inlineStr">
        <x:is>
          <x:t xml:space="preserve">Add a reporting-quality bridge and normalize accounting noise before any gate can pass.</x:t>
        </x:is>
      </x:c>
      <x:c r="S590" s="160" t="inlineStr">
        <x:is>
          <x:t xml:space="preserve">NO</x:t>
        </x:is>
      </x:c>
      <x:c r="T590" s="160" t="inlineStr">
        <x:is>
          <x:t xml:space="preserve">COUNTER-EVIDENCE</x:t>
        </x:is>
      </x:c>
      <x:c r="U590" s="160" t="inlineStr">
        <x:is>
          <x:t xml:space="preserve">V10.5-SIM60</x:t>
        </x:is>
      </x:c>
      <x:c r="V590" s="160" t="inlineStr">
        <x:is>
          <x:t xml:space="preserve">https://investor.bankofamerica.com</x:t>
        </x:is>
      </x:c>
      <x:c r="W590" s="160" t="inlineStr">
        <x:is>
          <x:t xml:space="preserve">NO</x:t>
        </x:is>
      </x:c>
      <x:c r="X590" s="160" t="inlineStr">
        <x:is>
          <x:t xml:space="preserve">NONE — DEVELOPMENT ONLY</x:t>
        </x:is>
      </x:c>
      <x:c r="Y590" s="160" t="inlineStr">
        <x:is>
          <x:t xml:space="preserve">Synthetic/adversarial model-development loop. No historical outcome is claimed; no accuracy point is awarded.</x:t>
        </x:is>
      </x:c>
    </x:row>
    <x:row r="591">
      <x:c r="A591" s="160" t="inlineStr">
        <x:is>
          <x:t xml:space="preserve">ML0586</x:t>
        </x:is>
      </x:c>
      <x:c r="B591" s="160" t="inlineStr">
        <x:is>
          <x:t xml:space="preserve">ARG-037</x:t>
        </x:is>
      </x:c>
      <x:c r="C591" s="160" t="inlineStr">
        <x:is>
          <x:t xml:space="preserve">Bank of America</x:t>
        </x:is>
      </x:c>
      <x:c r="D591" s="160" t="inlineStr">
        <x:is>
          <x:t xml:space="preserve">BAC</x:t>
        </x:is>
      </x:c>
      <x:c r="E591" s="160" t="inlineStr">
        <x:is>
          <x:t xml:space="preserve">Banks</x:t>
        </x:is>
      </x:c>
      <x:c r="F591" s="160" t="inlineStr">
        <x:is>
          <x:t xml:space="preserve">Development</x:t>
        </x:is>
      </x:c>
      <x:c r="G591" s="160" t="inlineStr">
        <x:is>
          <x:t xml:space="preserve">S10</x:t>
        </x:is>
      </x:c>
      <x:c r="H591" s="160" t="inlineStr">
        <x:is>
          <x:t xml:space="preserve">Control / Counterfactual</x:t>
        </x:is>
      </x:c>
      <x:c r="I591" s="160" t="inlineStr">
        <x:is>
          <x:t xml:space="preserve">Sector beta vs company alpha</x:t>
        </x:is>
      </x:c>
      <x:c r="J591" s="160" t="inlineStr">
        <x:is>
          <x:t xml:space="preserve">A positive outcome is mostly sector beta or macro tailwind, not company-specific alpha.</x:t>
        </x:is>
      </x:c>
      <x:c r="K591" s="160" t="inlineStr">
        <x:is>
          <x:t xml:space="preserve">Deposit base, lending and fee income</x:t>
        </x:is>
      </x:c>
      <x:c r="L591" s="160" t="inlineStr">
        <x:is>
          <x:t xml:space="preserve">Tangible book + normalized earnings</x:t>
        </x:is>
      </x:c>
      <x:c r="M591" s="160" t="inlineStr">
        <x:is>
          <x:t xml:space="preserve">WATCH</x:t>
        </x:is>
      </x:c>
      <x:c r="N591" s="160" t="inlineStr">
        <x:is>
          <x:t xml:space="preserve">R-CF-01</x:t>
        </x:is>
      </x:c>
      <x:c r="O591" s="160" t="inlineStr">
        <x:is>
          <x:t xml:space="preserve">COUNTER-EVIDENCE</x:t>
        </x:is>
      </x:c>
      <x:c r="P591" s="160" t="inlineStr">
        <x:is>
          <x:t xml:space="preserve">ROBUST</x:t>
        </x:is>
      </x:c>
      <x:c r="Q591" s="160" t="inlineStr">
        <x:is>
          <x:t xml:space="preserve">The mature simulation rule catches the stress without weakening a fatal gate; no rule relaxation is justified.</x:t>
        </x:is>
      </x:c>
      <x:c r="R591" s="160" t="inlineStr">
        <x:is>
          <x:t xml:space="preserve">Require a true economic control and counterfactual: what should have happened to a comparable company under the same shock?</x:t>
        </x:is>
      </x:c>
      <x:c r="S591" s="160" t="inlineStr">
        <x:is>
          <x:t xml:space="preserve">NO</x:t>
        </x:is>
      </x:c>
      <x:c r="T591" s="160" t="inlineStr">
        <x:is>
          <x:t xml:space="preserve">COUNTER-EVIDENCE</x:t>
        </x:is>
      </x:c>
      <x:c r="U591" s="160" t="inlineStr">
        <x:is>
          <x:t xml:space="preserve">V10.5-SIM60</x:t>
        </x:is>
      </x:c>
      <x:c r="V591" s="160" t="inlineStr">
        <x:is>
          <x:t xml:space="preserve">https://investor.bankofamerica.com</x:t>
        </x:is>
      </x:c>
      <x:c r="W591" s="160" t="inlineStr">
        <x:is>
          <x:t xml:space="preserve">NO</x:t>
        </x:is>
      </x:c>
      <x:c r="X591" s="160" t="inlineStr">
        <x:is>
          <x:t xml:space="preserve">NONE — DEVELOPMENT ONLY</x:t>
        </x:is>
      </x:c>
      <x:c r="Y591" s="160" t="inlineStr">
        <x:is>
          <x:t xml:space="preserve">Synthetic/adversarial model-development loop. No historical outcome is claimed; no accuracy point is awarded.</x:t>
        </x:is>
      </x:c>
    </x:row>
    <x:row r="592">
      <x:c r="A592" s="160" t="inlineStr">
        <x:is>
          <x:t xml:space="preserve">ML0587</x:t>
        </x:is>
      </x:c>
      <x:c r="B592" s="160" t="inlineStr">
        <x:is>
          <x:t xml:space="preserve">ARG-037</x:t>
        </x:is>
      </x:c>
      <x:c r="C592" s="160" t="inlineStr">
        <x:is>
          <x:t xml:space="preserve">Bank of America</x:t>
        </x:is>
      </x:c>
      <x:c r="D592" s="160" t="inlineStr">
        <x:is>
          <x:t xml:space="preserve">BAC</x:t>
        </x:is>
      </x:c>
      <x:c r="E592" s="160" t="inlineStr">
        <x:is>
          <x:t xml:space="preserve">Banks</x:t>
        </x:is>
      </x:c>
      <x:c r="F592" s="160" t="inlineStr">
        <x:is>
          <x:t xml:space="preserve">Development</x:t>
        </x:is>
      </x:c>
      <x:c r="G592" s="160" t="inlineStr">
        <x:is>
          <x:t xml:space="preserve">S11</x:t>
        </x:is>
      </x:c>
      <x:c r="H592" s="160" t="inlineStr">
        <x:is>
          <x:t xml:space="preserve">False-Negative Discipline</x:t>
        </x:is>
      </x:c>
      <x:c r="I592" s="160" t="inlineStr">
        <x:is>
          <x:t xml:space="preserve">False negative</x:t>
        </x:is>
      </x:c>
      <x:c r="J592" s="160" t="inlineStr">
        <x:is>
          <x:t xml:space="preserve">A strict gate rejects a company that later compounds strongly for reasons the model could have known.</x:t>
        </x:is>
      </x:c>
      <x:c r="K592" s="160" t="inlineStr">
        <x:is>
          <x:t xml:space="preserve">Deposit base, lending and fee income</x:t>
        </x:is>
      </x:c>
      <x:c r="L592" s="160" t="inlineStr">
        <x:is>
          <x:t xml:space="preserve">Tangible book + normalized earnings</x:t>
        </x:is>
      </x:c>
      <x:c r="M592" s="160" t="inlineStr">
        <x:is>
          <x:t xml:space="preserve">WATCH</x:t>
        </x:is>
      </x:c>
      <x:c r="N592" s="160" t="inlineStr">
        <x:is>
          <x:t xml:space="preserve">R-FN-01</x:t>
        </x:is>
      </x:c>
      <x:c r="O592" s="160" t="inlineStr">
        <x:is>
          <x:t xml:space="preserve">COUNTER-EVIDENCE</x:t>
        </x:is>
      </x:c>
      <x:c r="P592" s="160" t="inlineStr">
        <x:is>
          <x:t xml:space="preserve">ROBUST</x:t>
        </x:is>
      </x:c>
      <x:c r="Q592" s="160" t="inlineStr">
        <x:is>
          <x:t xml:space="preserve">The mature simulation rule catches the stress without weakening a fatal gate; no rule relaxation is justified.</x:t>
        </x:is>
      </x:c>
      <x:c r="R592" s="160" t="inlineStr">
        <x:is>
          <x:t xml:space="preserve">Track opportunity cost and classify whether the miss came from evidence timing, wrong threshold or genuinely unknowable upside.</x:t>
        </x:is>
      </x:c>
      <x:c r="S592" s="160" t="inlineStr">
        <x:is>
          <x:t xml:space="preserve">NO</x:t>
        </x:is>
      </x:c>
      <x:c r="T592" s="160" t="inlineStr">
        <x:is>
          <x:t xml:space="preserve">COUNTER-EVIDENCE</x:t>
        </x:is>
      </x:c>
      <x:c r="U592" s="160" t="inlineStr">
        <x:is>
          <x:t xml:space="preserve">V10.5-SIM60</x:t>
        </x:is>
      </x:c>
      <x:c r="V592" s="160" t="inlineStr">
        <x:is>
          <x:t xml:space="preserve">https://investor.bankofamerica.com</x:t>
        </x:is>
      </x:c>
      <x:c r="W592" s="160" t="inlineStr">
        <x:is>
          <x:t xml:space="preserve">NO</x:t>
        </x:is>
      </x:c>
      <x:c r="X592" s="160" t="inlineStr">
        <x:is>
          <x:t xml:space="preserve">NONE — DEVELOPMENT ONLY</x:t>
        </x:is>
      </x:c>
      <x:c r="Y592" s="160" t="inlineStr">
        <x:is>
          <x:t xml:space="preserve">Synthetic/adversarial model-development loop. No historical outcome is claimed; no accuracy point is awarded.</x:t>
        </x:is>
      </x:c>
    </x:row>
    <x:row r="593">
      <x:c r="A593" s="160" t="inlineStr">
        <x:is>
          <x:t xml:space="preserve">ML0588</x:t>
        </x:is>
      </x:c>
      <x:c r="B593" s="160" t="inlineStr">
        <x:is>
          <x:t xml:space="preserve">ARG-037</x:t>
        </x:is>
      </x:c>
      <x:c r="C593" s="160" t="inlineStr">
        <x:is>
          <x:t xml:space="preserve">Bank of America</x:t>
        </x:is>
      </x:c>
      <x:c r="D593" s="160" t="inlineStr">
        <x:is>
          <x:t xml:space="preserve">BAC</x:t>
        </x:is>
      </x:c>
      <x:c r="E593" s="160" t="inlineStr">
        <x:is>
          <x:t xml:space="preserve">Banks</x:t>
        </x:is>
      </x:c>
      <x:c r="F593" s="160" t="inlineStr">
        <x:is>
          <x:t xml:space="preserve">Development</x:t>
        </x:is>
      </x:c>
      <x:c r="G593" s="160" t="inlineStr">
        <x:is>
          <x:t xml:space="preserve">S12</x:t>
        </x:is>
      </x:c>
      <x:c r="H593" s="160" t="inlineStr">
        <x:is>
          <x:t xml:space="preserve">Lead-Time / Early Sensor</x:t>
        </x:is>
      </x:c>
      <x:c r="I593" s="160" t="inlineStr">
        <x:is>
          <x:t xml:space="preserve">Timing / lead-time</x:t>
        </x:is>
      </x:c>
      <x:c r="J593" s="160" t="inlineStr">
        <x:is>
          <x:t xml:space="preserve">ARGUS identifies the change correctly but only after consensus and price have already reacted.</x:t>
        </x:is>
      </x:c>
      <x:c r="K593" s="160" t="inlineStr">
        <x:is>
          <x:t xml:space="preserve">Deposit base, lending and fee income</x:t>
        </x:is>
      </x:c>
      <x:c r="L593" s="160" t="inlineStr">
        <x:is>
          <x:t xml:space="preserve">Tangible book + normalized earnings</x:t>
        </x:is>
      </x:c>
      <x:c r="M593" s="160" t="inlineStr">
        <x:is>
          <x:t xml:space="preserve">WATCH</x:t>
        </x:is>
      </x:c>
      <x:c r="N593" s="160" t="inlineStr">
        <x:is>
          <x:t xml:space="preserve">R-TIME-01</x:t>
        </x:is>
      </x:c>
      <x:c r="O593" s="160" t="inlineStr">
        <x:is>
          <x:t xml:space="preserve">COUNTER-EVIDENCE</x:t>
        </x:is>
      </x:c>
      <x:c r="P593" s="160" t="inlineStr">
        <x:is>
          <x:t xml:space="preserve">ROBUST</x:t>
        </x:is>
      </x:c>
      <x:c r="Q593" s="160" t="inlineStr">
        <x:is>
          <x:t xml:space="preserve">The mature simulation rule catches the stress without weakening a fatal gate; no rule relaxation is justified.</x:t>
        </x:is>
      </x:c>
      <x:c r="R593" s="160" t="inlineStr">
        <x:is>
          <x:t xml:space="preserve">Replace lagging financial metrics with earlier causal operating sensors and record lead time separately from correctness.</x:t>
        </x:is>
      </x:c>
      <x:c r="S593" s="160" t="inlineStr">
        <x:is>
          <x:t xml:space="preserve">NO</x:t>
        </x:is>
      </x:c>
      <x:c r="T593" s="160" t="inlineStr">
        <x:is>
          <x:t xml:space="preserve">COUNTER-EVIDENCE</x:t>
        </x:is>
      </x:c>
      <x:c r="U593" s="160" t="inlineStr">
        <x:is>
          <x:t xml:space="preserve">V10.5-SIM60</x:t>
        </x:is>
      </x:c>
      <x:c r="V593" s="160" t="inlineStr">
        <x:is>
          <x:t xml:space="preserve">https://investor.bankofamerica.com</x:t>
        </x:is>
      </x:c>
      <x:c r="W593" s="160" t="inlineStr">
        <x:is>
          <x:t xml:space="preserve">NO</x:t>
        </x:is>
      </x:c>
      <x:c r="X593" s="160" t="inlineStr">
        <x:is>
          <x:t xml:space="preserve">NONE — DEVELOPMENT ONLY</x:t>
        </x:is>
      </x:c>
      <x:c r="Y593" s="160" t="inlineStr">
        <x:is>
          <x:t xml:space="preserve">Synthetic/adversarial model-development loop. No historical outcome is claimed; no accuracy point is awarded.</x:t>
        </x:is>
      </x:c>
    </x:row>
    <x:row r="594">
      <x:c r="A594" s="160" t="inlineStr">
        <x:is>
          <x:t xml:space="preserve">ML0589</x:t>
        </x:is>
      </x:c>
      <x:c r="B594" s="160" t="inlineStr">
        <x:is>
          <x:t xml:space="preserve">ARG-037</x:t>
        </x:is>
      </x:c>
      <x:c r="C594" s="160" t="inlineStr">
        <x:is>
          <x:t xml:space="preserve">Bank of America</x:t>
        </x:is>
      </x:c>
      <x:c r="D594" s="160" t="inlineStr">
        <x:is>
          <x:t xml:space="preserve">BAC</x:t>
        </x:is>
      </x:c>
      <x:c r="E594" s="160" t="inlineStr">
        <x:is>
          <x:t xml:space="preserve">Banks</x:t>
        </x:is>
      </x:c>
      <x:c r="F594" s="160" t="inlineStr">
        <x:is>
          <x:t xml:space="preserve">Development</x:t>
        </x:is>
      </x:c>
      <x:c r="G594" s="160" t="inlineStr">
        <x:is>
          <x:t xml:space="preserve">S13</x:t>
        </x:is>
      </x:c>
      <x:c r="H594" s="160" t="inlineStr">
        <x:is>
          <x:t xml:space="preserve">Cycle Normalization</x:t>
        </x:is>
      </x:c>
      <x:c r="I594" s="160" t="inlineStr">
        <x:is>
          <x:t xml:space="preserve">Wrong valuation lens</x:t>
        </x:is>
      </x:c>
      <x:c r="J594" s="160" t="inlineStr">
        <x:is>
          <x:t xml:space="preserve">Peak/trough earnings are mistaken for normalized earning power.</x:t>
        </x:is>
      </x:c>
      <x:c r="K594" s="160" t="inlineStr">
        <x:is>
          <x:t xml:space="preserve">Deposit base, lending and fee income</x:t>
        </x:is>
      </x:c>
      <x:c r="L594" s="160" t="inlineStr">
        <x:is>
          <x:t xml:space="preserve">Tangible book + normalized earnings</x:t>
        </x:is>
      </x:c>
      <x:c r="M594" s="160" t="inlineStr">
        <x:is>
          <x:t xml:space="preserve">WATCH</x:t>
        </x:is>
      </x:c>
      <x:c r="N594" s="160" t="inlineStr">
        <x:is>
          <x:t xml:space="preserve">R-CYCLE-01</x:t>
        </x:is>
      </x:c>
      <x:c r="O594" s="160" t="inlineStr">
        <x:is>
          <x:t xml:space="preserve">COUNTER-EVIDENCE</x:t>
        </x:is>
      </x:c>
      <x:c r="P594" s="160" t="inlineStr">
        <x:is>
          <x:t xml:space="preserve">ROBUST</x:t>
        </x:is>
      </x:c>
      <x:c r="Q594" s="160" t="inlineStr">
        <x:is>
          <x:t xml:space="preserve">The mature simulation rule catches the stress without weakening a fatal gate; no rule relaxation is justified.</x:t>
        </x:is>
      </x:c>
      <x:c r="R594" s="160" t="inlineStr">
        <x:is>
          <x:t xml:space="preserve">Use sector-specific mid-cycle/NAV/rate-base/rNPV normalization before applying a valuation multiple.</x:t>
        </x:is>
      </x:c>
      <x:c r="S594" s="160" t="inlineStr">
        <x:is>
          <x:t xml:space="preserve">NO</x:t>
        </x:is>
      </x:c>
      <x:c r="T594" s="160" t="inlineStr">
        <x:is>
          <x:t xml:space="preserve">COUNTER-EVIDENCE</x:t>
        </x:is>
      </x:c>
      <x:c r="U594" s="160" t="inlineStr">
        <x:is>
          <x:t xml:space="preserve">V10.5-SIM60</x:t>
        </x:is>
      </x:c>
      <x:c r="V594" s="160" t="inlineStr">
        <x:is>
          <x:t xml:space="preserve">https://investor.bankofamerica.com</x:t>
        </x:is>
      </x:c>
      <x:c r="W594" s="160" t="inlineStr">
        <x:is>
          <x:t xml:space="preserve">NO</x:t>
        </x:is>
      </x:c>
      <x:c r="X594" s="160" t="inlineStr">
        <x:is>
          <x:t xml:space="preserve">NONE — DEVELOPMENT ONLY</x:t>
        </x:is>
      </x:c>
      <x:c r="Y594" s="160" t="inlineStr">
        <x:is>
          <x:t xml:space="preserve">Synthetic/adversarial model-development loop. No historical outcome is claimed; no accuracy point is awarded.</x:t>
        </x:is>
      </x:c>
    </x:row>
    <x:row r="595">
      <x:c r="A595" s="160" t="inlineStr">
        <x:is>
          <x:t xml:space="preserve">ML0590</x:t>
        </x:is>
      </x:c>
      <x:c r="B595" s="160" t="inlineStr">
        <x:is>
          <x:t xml:space="preserve">ARG-037</x:t>
        </x:is>
      </x:c>
      <x:c r="C595" s="160" t="inlineStr">
        <x:is>
          <x:t xml:space="preserve">Bank of America</x:t>
        </x:is>
      </x:c>
      <x:c r="D595" s="160" t="inlineStr">
        <x:is>
          <x:t xml:space="preserve">BAC</x:t>
        </x:is>
      </x:c>
      <x:c r="E595" s="160" t="inlineStr">
        <x:is>
          <x:t xml:space="preserve">Banks</x:t>
        </x:is>
      </x:c>
      <x:c r="F595" s="160" t="inlineStr">
        <x:is>
          <x:t xml:space="preserve">Development</x:t>
        </x:is>
      </x:c>
      <x:c r="G595" s="160" t="inlineStr">
        <x:is>
          <x:t xml:space="preserve">S14</x:t>
        </x:is>
      </x:c>
      <x:c r="H595" s="160" t="inlineStr">
        <x:is>
          <x:t xml:space="preserve">M&amp;A / Organic Growth Separation</x:t>
        </x:is>
      </x:c>
      <x:c r="I595" s="160" t="inlineStr">
        <x:is>
          <x:t xml:space="preserve">Stewardship</x:t>
        </x:is>
      </x:c>
      <x:c r="J595" s="160" t="inlineStr">
        <x:is>
          <x:t xml:space="preserve">Acquisition-driven growth masks weak organic economics or poor incremental ROIC.</x:t>
        </x:is>
      </x:c>
      <x:c r="K595" s="160" t="inlineStr">
        <x:is>
          <x:t xml:space="preserve">Deposit base, lending and fee income</x:t>
        </x:is>
      </x:c>
      <x:c r="L595" s="160" t="inlineStr">
        <x:is>
          <x:t xml:space="preserve">Tangible book + normalized earnings</x:t>
        </x:is>
      </x:c>
      <x:c r="M595" s="160" t="inlineStr">
        <x:is>
          <x:t xml:space="preserve">WATCH</x:t>
        </x:is>
      </x:c>
      <x:c r="N595" s="160" t="inlineStr">
        <x:is>
          <x:t xml:space="preserve">R-MA-01</x:t>
        </x:is>
      </x:c>
      <x:c r="O595" s="160" t="inlineStr">
        <x:is>
          <x:t xml:space="preserve">COUNTER-EVIDENCE</x:t>
        </x:is>
      </x:c>
      <x:c r="P595" s="160" t="inlineStr">
        <x:is>
          <x:t xml:space="preserve">ROBUST</x:t>
        </x:is>
      </x:c>
      <x:c r="Q595" s="160" t="inlineStr">
        <x:is>
          <x:t xml:space="preserve">The mature simulation rule catches the stress without weakening a fatal gate; no rule relaxation is justified.</x:t>
        </x:is>
      </x:c>
      <x:c r="R595" s="160" t="inlineStr">
        <x:is>
          <x:t xml:space="preserve">Bridge organic growth, acquired growth, purchase price, integration costs and acquisition-cohort ROIC.</x:t>
        </x:is>
      </x:c>
      <x:c r="S595" s="160" t="inlineStr">
        <x:is>
          <x:t xml:space="preserve">NO</x:t>
        </x:is>
      </x:c>
      <x:c r="T595" s="160" t="inlineStr">
        <x:is>
          <x:t xml:space="preserve">COUNTER-EVIDENCE</x:t>
        </x:is>
      </x:c>
      <x:c r="U595" s="160" t="inlineStr">
        <x:is>
          <x:t xml:space="preserve">V10.5-SIM60</x:t>
        </x:is>
      </x:c>
      <x:c r="V595" s="160" t="inlineStr">
        <x:is>
          <x:t xml:space="preserve">https://investor.bankofamerica.com</x:t>
        </x:is>
      </x:c>
      <x:c r="W595" s="160" t="inlineStr">
        <x:is>
          <x:t xml:space="preserve">NO</x:t>
        </x:is>
      </x:c>
      <x:c r="X595" s="160" t="inlineStr">
        <x:is>
          <x:t xml:space="preserve">NONE — DEVELOPMENT ONLY</x:t>
        </x:is>
      </x:c>
      <x:c r="Y595" s="160" t="inlineStr">
        <x:is>
          <x:t xml:space="preserve">Synthetic/adversarial model-development loop. No historical outcome is claimed; no accuracy point is awarded.</x:t>
        </x:is>
      </x:c>
    </x:row>
    <x:row r="596">
      <x:c r="A596" s="160" t="inlineStr">
        <x:is>
          <x:t xml:space="preserve">ML0591</x:t>
        </x:is>
      </x:c>
      <x:c r="B596" s="160" t="inlineStr">
        <x:is>
          <x:t xml:space="preserve">ARG-037</x:t>
        </x:is>
      </x:c>
      <x:c r="C596" s="160" t="inlineStr">
        <x:is>
          <x:t xml:space="preserve">Bank of America</x:t>
        </x:is>
      </x:c>
      <x:c r="D596" s="160" t="inlineStr">
        <x:is>
          <x:t xml:space="preserve">BAC</x:t>
        </x:is>
      </x:c>
      <x:c r="E596" s="160" t="inlineStr">
        <x:is>
          <x:t xml:space="preserve">Banks</x:t>
        </x:is>
      </x:c>
      <x:c r="F596" s="160" t="inlineStr">
        <x:is>
          <x:t xml:space="preserve">Development</x:t>
        </x:is>
      </x:c>
      <x:c r="G596" s="160" t="inlineStr">
        <x:is>
          <x:t xml:space="preserve">S15</x:t>
        </x:is>
      </x:c>
      <x:c r="H596" s="160" t="inlineStr">
        <x:is>
          <x:t xml:space="preserve">Financing / Dilution Per Share</x:t>
        </x:is>
      </x:c>
      <x:c r="I596" s="160" t="inlineStr">
        <x:is>
          <x:t xml:space="preserve">Stewardship</x:t>
        </x:is>
      </x:c>
      <x:c r="J596" s="160" t="inlineStr">
        <x:is>
          <x:t xml:space="preserve">Cash balance or revenue growth improves while financing causes material per-share value leakage.</x:t>
        </x:is>
      </x:c>
      <x:c r="K596" s="160" t="inlineStr">
        <x:is>
          <x:t xml:space="preserve">Deposit base, lending and fee income</x:t>
        </x:is>
      </x:c>
      <x:c r="L596" s="160" t="inlineStr">
        <x:is>
          <x:t xml:space="preserve">Tangible book + normalized earnings</x:t>
        </x:is>
      </x:c>
      <x:c r="M596" s="160" t="inlineStr">
        <x:is>
          <x:t xml:space="preserve">WATCH</x:t>
        </x:is>
      </x:c>
      <x:c r="N596" s="160" t="inlineStr">
        <x:is>
          <x:t xml:space="preserve">R-DIL-01</x:t>
        </x:is>
      </x:c>
      <x:c r="O596" s="160" t="inlineStr">
        <x:is>
          <x:t xml:space="preserve">COUNTER-EVIDENCE</x:t>
        </x:is>
      </x:c>
      <x:c r="P596" s="160" t="inlineStr">
        <x:is>
          <x:t xml:space="preserve">ROBUST</x:t>
        </x:is>
      </x:c>
      <x:c r="Q596" s="160" t="inlineStr">
        <x:is>
          <x:t xml:space="preserve">The mature simulation rule catches the stress without weakening a fatal gate; no rule relaxation is justified.</x:t>
        </x:is>
      </x:c>
      <x:c r="R596" s="160" t="inlineStr">
        <x:is>
          <x:t xml:space="preserve">Reconcile share-count growth, SBC, equity issuance, buybacks and net cash changes to per-share intrinsic value.</x:t>
        </x:is>
      </x:c>
      <x:c r="S596" s="160" t="inlineStr">
        <x:is>
          <x:t xml:space="preserve">NO</x:t>
        </x:is>
      </x:c>
      <x:c r="T596" s="160" t="inlineStr">
        <x:is>
          <x:t xml:space="preserve">COUNTER-EVIDENCE</x:t>
        </x:is>
      </x:c>
      <x:c r="U596" s="160" t="inlineStr">
        <x:is>
          <x:t xml:space="preserve">V10.5-SIM60</x:t>
        </x:is>
      </x:c>
      <x:c r="V596" s="160" t="inlineStr">
        <x:is>
          <x:t xml:space="preserve">https://investor.bankofamerica.com</x:t>
        </x:is>
      </x:c>
      <x:c r="W596" s="160" t="inlineStr">
        <x:is>
          <x:t xml:space="preserve">NO</x:t>
        </x:is>
      </x:c>
      <x:c r="X596" s="160" t="inlineStr">
        <x:is>
          <x:t xml:space="preserve">NONE — DEVELOPMENT ONLY</x:t>
        </x:is>
      </x:c>
      <x:c r="Y596" s="160" t="inlineStr">
        <x:is>
          <x:t xml:space="preserve">Synthetic/adversarial model-development loop. No historical outcome is claimed; no accuracy point is awarded.</x:t>
        </x:is>
      </x:c>
    </x:row>
    <x:row r="597">
      <x:c r="A597" s="160" t="inlineStr">
        <x:is>
          <x:t xml:space="preserve">ML0592</x:t>
        </x:is>
      </x:c>
      <x:c r="B597" s="160" t="inlineStr">
        <x:is>
          <x:t xml:space="preserve">ARG-037</x:t>
        </x:is>
      </x:c>
      <x:c r="C597" s="160" t="inlineStr">
        <x:is>
          <x:t xml:space="preserve">Bank of America</x:t>
        </x:is>
      </x:c>
      <x:c r="D597" s="160" t="inlineStr">
        <x:is>
          <x:t xml:space="preserve">BAC</x:t>
        </x:is>
      </x:c>
      <x:c r="E597" s="160" t="inlineStr">
        <x:is>
          <x:t xml:space="preserve">Banks</x:t>
        </x:is>
      </x:c>
      <x:c r="F597" s="160" t="inlineStr">
        <x:is>
          <x:t xml:space="preserve">Development</x:t>
        </x:is>
      </x:c>
      <x:c r="G597" s="160" t="inlineStr">
        <x:is>
          <x:t xml:space="preserve">S16</x:t>
        </x:is>
      </x:c>
      <x:c r="H597" s="160" t="inlineStr">
        <x:is>
          <x:t xml:space="preserve">Concentration / Tail Risk</x:t>
        </x:is>
      </x:c>
      <x:c r="I597" s="160" t="inlineStr">
        <x:is>
          <x:t xml:space="preserve">Survival</x:t>
        </x:is>
      </x:c>
      <x:c r="J597" s="160" t="inlineStr">
        <x:is>
          <x:t xml:space="preserve">A concentrated supplier, geography, customer, product, patent, regulatory or technology dependency creates asymmetric permanent-loss risk.</x:t>
        </x:is>
      </x:c>
      <x:c r="K597" s="160" t="inlineStr">
        <x:is>
          <x:t xml:space="preserve">Deposit base, lending and fee income</x:t>
        </x:is>
      </x:c>
      <x:c r="L597" s="160" t="inlineStr">
        <x:is>
          <x:t xml:space="preserve">Tangible book + normalized earnings</x:t>
        </x:is>
      </x:c>
      <x:c r="M597" s="160" t="inlineStr">
        <x:is>
          <x:t xml:space="preserve">WATCH</x:t>
        </x:is>
      </x:c>
      <x:c r="N597" s="160" t="inlineStr">
        <x:is>
          <x:t xml:space="preserve">R-TAIL-01</x:t>
        </x:is>
      </x:c>
      <x:c r="O597" s="160" t="inlineStr">
        <x:is>
          <x:t xml:space="preserve">COUNTER-EVIDENCE</x:t>
        </x:is>
      </x:c>
      <x:c r="P597" s="160" t="inlineStr">
        <x:is>
          <x:t xml:space="preserve">ROBUST</x:t>
        </x:is>
      </x:c>
      <x:c r="Q597" s="160" t="inlineStr">
        <x:is>
          <x:t xml:space="preserve">The mature simulation rule catches the stress without weakening a fatal gate; no rule relaxation is justified.</x:t>
        </x:is>
      </x:c>
      <x:c r="R597" s="160" t="inlineStr">
        <x:is>
          <x:t xml:space="preserve">Maintain an explicit concentration/tail-risk register with probability, severity, mitigation and required margin-of-safety premium.</x:t>
        </x:is>
      </x:c>
      <x:c r="S597" s="160" t="inlineStr">
        <x:is>
          <x:t xml:space="preserve">NO</x:t>
        </x:is>
      </x:c>
      <x:c r="T597" s="160" t="inlineStr">
        <x:is>
          <x:t xml:space="preserve">COUNTER-EVIDENCE</x:t>
        </x:is>
      </x:c>
      <x:c r="U597" s="160" t="inlineStr">
        <x:is>
          <x:t xml:space="preserve">V10.5-SIM60</x:t>
        </x:is>
      </x:c>
      <x:c r="V597" s="160" t="inlineStr">
        <x:is>
          <x:t xml:space="preserve">https://investor.bankofamerica.com</x:t>
        </x:is>
      </x:c>
      <x:c r="W597" s="160" t="inlineStr">
        <x:is>
          <x:t xml:space="preserve">NO</x:t>
        </x:is>
      </x:c>
      <x:c r="X597" s="160" t="inlineStr">
        <x:is>
          <x:t xml:space="preserve">NONE — DEVELOPMENT ONLY</x:t>
        </x:is>
      </x:c>
      <x:c r="Y597" s="160" t="inlineStr">
        <x:is>
          <x:t xml:space="preserve">Synthetic/adversarial model-development loop. No historical outcome is claimed; no accuracy point is awarded.</x:t>
        </x:is>
      </x:c>
    </x:row>
    <x:row r="598">
      <x:c r="A598" s="160" t="inlineStr">
        <x:is>
          <x:t xml:space="preserve">ML0593</x:t>
        </x:is>
      </x:c>
      <x:c r="B598" s="160" t="inlineStr">
        <x:is>
          <x:t xml:space="preserve">ARG-038</x:t>
        </x:is>
      </x:c>
      <x:c r="C598" s="160" t="inlineStr">
        <x:is>
          <x:t xml:space="preserve">Citigroup</x:t>
        </x:is>
      </x:c>
      <x:c r="D598" s="160" t="inlineStr">
        <x:is>
          <x:t xml:space="preserve">C</x:t>
        </x:is>
      </x:c>
      <x:c r="E598" s="160" t="inlineStr">
        <x:is>
          <x:t xml:space="preserve">Banks</x:t>
        </x:is>
      </x:c>
      <x:c r="F598" s="160" t="inlineStr">
        <x:is>
          <x:t xml:space="preserve">Development</x:t>
        </x:is>
      </x:c>
      <x:c r="G598" s="160" t="inlineStr">
        <x:is>
          <x:t xml:space="preserve">S01</x:t>
        </x:is>
      </x:c>
      <x:c r="H598" s="160" t="inlineStr">
        <x:is>
          <x:t xml:space="preserve">Understanding Gate</x:t>
        </x:is>
      </x:c>
      <x:c r="I598" s="160" t="inlineStr">
        <x:is>
          <x:t xml:space="preserve">Understanding</x:t>
        </x:is>
      </x:c>
      <x:c r="J598" s="160" t="inlineStr">
        <x:is>
          <x:t xml:space="preserve">Causal engine / customer ROI chain breaks under a misleading headline KPI.</x:t>
        </x:is>
      </x:c>
      <x:c r="K598" s="160" t="inlineStr">
        <x:is>
          <x:t xml:space="preserve">Institutional/consumer franchises minus transformation costs</x:t>
        </x:is>
      </x:c>
      <x:c r="L598" s="160" t="inlineStr">
        <x:is>
          <x:t xml:space="preserve">Tangible book + normalized ROTCE</x:t>
        </x:is>
      </x:c>
      <x:c r="M598" s="160" t="inlineStr">
        <x:is>
          <x:t xml:space="preserve">WATCH</x:t>
        </x:is>
      </x:c>
      <x:c r="N598" s="160" t="inlineStr">
        <x:is>
          <x:t xml:space="preserve">R-ENG-01</x:t>
        </x:is>
      </x:c>
      <x:c r="O598" s="160" t="inlineStr">
        <x:is>
          <x:t xml:space="preserve">COUNTER-EVIDENCE</x:t>
        </x:is>
      </x:c>
      <x:c r="P598" s="160" t="inlineStr">
        <x:is>
          <x:t xml:space="preserve">ROBUST</x:t>
        </x:is>
      </x:c>
      <x:c r="Q598" s="160" t="inlineStr">
        <x:is>
          <x:t xml:space="preserve">The mature simulation rule catches the stress without weakening a fatal gate; no rule relaxation is justified.</x:t>
        </x:is>
      </x:c>
      <x:c r="R598" s="160" t="inlineStr">
        <x:is>
          <x:t xml:space="preserve">Force an explicit engine tree: customer job → unit economics → revenue driver → owner-value bridge.</x:t>
        </x:is>
      </x:c>
      <x:c r="S598" s="160" t="inlineStr">
        <x:is>
          <x:t xml:space="preserve">NO</x:t>
        </x:is>
      </x:c>
      <x:c r="T598" s="160" t="inlineStr">
        <x:is>
          <x:t xml:space="preserve">COUNTER-EVIDENCE</x:t>
        </x:is>
      </x:c>
      <x:c r="U598" s="160" t="inlineStr">
        <x:is>
          <x:t xml:space="preserve">V10.5-SIM60</x:t>
        </x:is>
      </x:c>
      <x:c r="V598" s="160" t="inlineStr">
        <x:is>
          <x:t xml:space="preserve">https://www.citigroup.com/citi/investor</x:t>
        </x:is>
      </x:c>
      <x:c r="W598" s="160" t="inlineStr">
        <x:is>
          <x:t xml:space="preserve">NO</x:t>
        </x:is>
      </x:c>
      <x:c r="X598" s="160" t="inlineStr">
        <x:is>
          <x:t xml:space="preserve">NONE — DEVELOPMENT ONLY</x:t>
        </x:is>
      </x:c>
      <x:c r="Y598" s="160" t="inlineStr">
        <x:is>
          <x:t xml:space="preserve">Synthetic/adversarial model-development loop. No historical outcome is claimed; no accuracy point is awarded.</x:t>
        </x:is>
      </x:c>
    </x:row>
    <x:row r="599">
      <x:c r="A599" s="160" t="inlineStr">
        <x:is>
          <x:t xml:space="preserve">ML0594</x:t>
        </x:is>
      </x:c>
      <x:c r="B599" s="160" t="inlineStr">
        <x:is>
          <x:t xml:space="preserve">ARG-038</x:t>
        </x:is>
      </x:c>
      <x:c r="C599" s="160" t="inlineStr">
        <x:is>
          <x:t xml:space="preserve">Citigroup</x:t>
        </x:is>
      </x:c>
      <x:c r="D599" s="160" t="inlineStr">
        <x:is>
          <x:t xml:space="preserve">C</x:t>
        </x:is>
      </x:c>
      <x:c r="E599" s="160" t="inlineStr">
        <x:is>
          <x:t xml:space="preserve">Banks</x:t>
        </x:is>
      </x:c>
      <x:c r="F599" s="160" t="inlineStr">
        <x:is>
          <x:t xml:space="preserve">Development</x:t>
        </x:is>
      </x:c>
      <x:c r="G599" s="160" t="inlineStr">
        <x:is>
          <x:t xml:space="preserve">S02</x:t>
        </x:is>
      </x:c>
      <x:c r="H599" s="160" t="inlineStr">
        <x:is>
          <x:t xml:space="preserve">Owner Earnings Normalization</x:t>
        </x:is>
      </x:c>
      <x:c r="I599" s="160" t="inlineStr">
        <x:is>
          <x:t xml:space="preserve">Owner Earnings</x:t>
        </x:is>
      </x:c>
      <x:c r="J599" s="160" t="inlineStr">
        <x:is>
          <x:t xml:space="preserve">Reported earnings/FCF overstates economic cash because recurring reinvestment or non-cash compensation is misclassified.</x:t>
        </x:is>
      </x:c>
      <x:c r="K599" s="160" t="inlineStr">
        <x:is>
          <x:t xml:space="preserve">Institutional/consumer franchises minus transformation costs</x:t>
        </x:is>
      </x:c>
      <x:c r="L599" s="160" t="inlineStr">
        <x:is>
          <x:t xml:space="preserve">Tangible book + normalized ROTCE</x:t>
        </x:is>
      </x:c>
      <x:c r="M599" s="160" t="inlineStr">
        <x:is>
          <x:t xml:space="preserve">WATCH</x:t>
        </x:is>
      </x:c>
      <x:c r="N599" s="160" t="inlineStr">
        <x:is>
          <x:t xml:space="preserve">R-OE-01</x:t>
        </x:is>
      </x:c>
      <x:c r="O599" s="160" t="inlineStr">
        <x:is>
          <x:t xml:space="preserve">COUNTER-EVIDENCE</x:t>
        </x:is>
      </x:c>
      <x:c r="P599" s="160" t="inlineStr">
        <x:is>
          <x:t xml:space="preserve">ROBUST</x:t>
        </x:is>
      </x:c>
      <x:c r="Q599" s="160" t="inlineStr">
        <x:is>
          <x:t xml:space="preserve">The mature simulation rule catches the stress without weakening a fatal gate; no rule relaxation is justified.</x:t>
        </x:is>
      </x:c>
      <x:c r="R599" s="160" t="inlineStr">
        <x:is>
          <x:t xml:space="preserve">Require a GAAP-to-economic-owner-cash bridge tailored to the business model.</x:t>
        </x:is>
      </x:c>
      <x:c r="S599" s="160" t="inlineStr">
        <x:is>
          <x:t xml:space="preserve">NO</x:t>
        </x:is>
      </x:c>
      <x:c r="T599" s="160" t="inlineStr">
        <x:is>
          <x:t xml:space="preserve">COUNTER-EVIDENCE</x:t>
        </x:is>
      </x:c>
      <x:c r="U599" s="160" t="inlineStr">
        <x:is>
          <x:t xml:space="preserve">V10.5-SIM60</x:t>
        </x:is>
      </x:c>
      <x:c r="V599" s="160" t="inlineStr">
        <x:is>
          <x:t xml:space="preserve">https://www.citigroup.com/citi/investor</x:t>
        </x:is>
      </x:c>
      <x:c r="W599" s="160" t="inlineStr">
        <x:is>
          <x:t xml:space="preserve">NO</x:t>
        </x:is>
      </x:c>
      <x:c r="X599" s="160" t="inlineStr">
        <x:is>
          <x:t xml:space="preserve">NONE — DEVELOPMENT ONLY</x:t>
        </x:is>
      </x:c>
      <x:c r="Y599" s="160" t="inlineStr">
        <x:is>
          <x:t xml:space="preserve">Synthetic/adversarial model-development loop. No historical outcome is claimed; no accuracy point is awarded.</x:t>
        </x:is>
      </x:c>
    </x:row>
    <x:row r="600">
      <x:c r="A600" s="160" t="inlineStr">
        <x:is>
          <x:t xml:space="preserve">ML0595</x:t>
        </x:is>
      </x:c>
      <x:c r="B600" s="160" t="inlineStr">
        <x:is>
          <x:t xml:space="preserve">ARG-038</x:t>
        </x:is>
      </x:c>
      <x:c r="C600" s="160" t="inlineStr">
        <x:is>
          <x:t xml:space="preserve">Citigroup</x:t>
        </x:is>
      </x:c>
      <x:c r="D600" s="160" t="inlineStr">
        <x:is>
          <x:t xml:space="preserve">C</x:t>
        </x:is>
      </x:c>
      <x:c r="E600" s="160" t="inlineStr">
        <x:is>
          <x:t xml:space="preserve">Banks</x:t>
        </x:is>
      </x:c>
      <x:c r="F600" s="160" t="inlineStr">
        <x:is>
          <x:t xml:space="preserve">Development</x:t>
        </x:is>
      </x:c>
      <x:c r="G600" s="160" t="inlineStr">
        <x:is>
          <x:t xml:space="preserve">S03</x:t>
        </x:is>
      </x:c>
      <x:c r="H600" s="160" t="inlineStr">
        <x:is>
          <x:t xml:space="preserve">Moat Durability</x:t>
        </x:is>
      </x:c>
      <x:c r="I600" s="160" t="inlineStr">
        <x:is>
          <x:t xml:space="preserve">Moat 2036</x:t>
        </x:is>
      </x:c>
      <x:c r="J600" s="160" t="inlineStr">
        <x:is>
          <x:t xml:space="preserve">Growth continues while switching friction, pricing power or replacement difficulty quietly weakens.</x:t>
        </x:is>
      </x:c>
      <x:c r="K600" s="160" t="inlineStr">
        <x:is>
          <x:t xml:space="preserve">Institutional/consumer franchises minus transformation costs</x:t>
        </x:is>
      </x:c>
      <x:c r="L600" s="160" t="inlineStr">
        <x:is>
          <x:t xml:space="preserve">Tangible book + normalized ROTCE</x:t>
        </x:is>
      </x:c>
      <x:c r="M600" s="160" t="inlineStr">
        <x:is>
          <x:t xml:space="preserve">WATCH</x:t>
        </x:is>
      </x:c>
      <x:c r="N600" s="160" t="inlineStr">
        <x:is>
          <x:t xml:space="preserve">R-MOAT-01</x:t>
        </x:is>
      </x:c>
      <x:c r="O600" s="160" t="inlineStr">
        <x:is>
          <x:t xml:space="preserve">COUNTER-EVIDENCE</x:t>
        </x:is>
      </x:c>
      <x:c r="P600" s="160" t="inlineStr">
        <x:is>
          <x:t xml:space="preserve">ROBUST</x:t>
        </x:is>
      </x:c>
      <x:c r="Q600" s="160" t="inlineStr">
        <x:is>
          <x:t xml:space="preserve">The mature simulation rule catches the stress without weakening a fatal gate; no rule relaxation is justified.</x:t>
        </x:is>
      </x:c>
      <x:c r="R600" s="160" t="inlineStr">
        <x:is>
          <x:t xml:space="preserve">Track moat telemetry separately from growth: retention, pricing, win/loss, replacement friction, installed-base behavior.</x:t>
        </x:is>
      </x:c>
      <x:c r="S600" s="160" t="inlineStr">
        <x:is>
          <x:t xml:space="preserve">NO</x:t>
        </x:is>
      </x:c>
      <x:c r="T600" s="160" t="inlineStr">
        <x:is>
          <x:t xml:space="preserve">COUNTER-EVIDENCE</x:t>
        </x:is>
      </x:c>
      <x:c r="U600" s="160" t="inlineStr">
        <x:is>
          <x:t xml:space="preserve">V10.5-SIM60</x:t>
        </x:is>
      </x:c>
      <x:c r="V600" s="160" t="inlineStr">
        <x:is>
          <x:t xml:space="preserve">https://www.citigroup.com/citi/investor</x:t>
        </x:is>
      </x:c>
      <x:c r="W600" s="160" t="inlineStr">
        <x:is>
          <x:t xml:space="preserve">NO</x:t>
        </x:is>
      </x:c>
      <x:c r="X600" s="160" t="inlineStr">
        <x:is>
          <x:t xml:space="preserve">NONE — DEVELOPMENT ONLY</x:t>
        </x:is>
      </x:c>
      <x:c r="Y600" s="160" t="inlineStr">
        <x:is>
          <x:t xml:space="preserve">Synthetic/adversarial model-development loop. No historical outcome is claimed; no accuracy point is awarded.</x:t>
        </x:is>
      </x:c>
    </x:row>
    <x:row r="601">
      <x:c r="A601" s="160" t="inlineStr">
        <x:is>
          <x:t xml:space="preserve">ML0596</x:t>
        </x:is>
      </x:c>
      <x:c r="B601" s="160" t="inlineStr">
        <x:is>
          <x:t xml:space="preserve">ARG-038</x:t>
        </x:is>
      </x:c>
      <x:c r="C601" s="160" t="inlineStr">
        <x:is>
          <x:t xml:space="preserve">Citigroup</x:t>
        </x:is>
      </x:c>
      <x:c r="D601" s="160" t="inlineStr">
        <x:is>
          <x:t xml:space="preserve">C</x:t>
        </x:is>
      </x:c>
      <x:c r="E601" s="160" t="inlineStr">
        <x:is>
          <x:t xml:space="preserve">Banks</x:t>
        </x:is>
      </x:c>
      <x:c r="F601" s="160" t="inlineStr">
        <x:is>
          <x:t xml:space="preserve">Development</x:t>
        </x:is>
      </x:c>
      <x:c r="G601" s="160" t="inlineStr">
        <x:is>
          <x:t xml:space="preserve">S04</x:t>
        </x:is>
      </x:c>
      <x:c r="H601" s="160" t="inlineStr">
        <x:is>
          <x:t xml:space="preserve">Stewardship / Capital Allocation</x:t>
        </x:is>
      </x:c>
      <x:c r="I601" s="160" t="inlineStr">
        <x:is>
          <x:t xml:space="preserve">Stewardship</x:t>
        </x:is>
      </x:c>
      <x:c r="J601" s="160" t="inlineStr">
        <x:is>
          <x:t xml:space="preserve">Management creates enterprise growth while destroying per-share value through M&amp;A, dilution, leverage or mistimed buybacks.</x:t>
        </x:is>
      </x:c>
      <x:c r="K601" s="160" t="inlineStr">
        <x:is>
          <x:t xml:space="preserve">Institutional/consumer franchises minus transformation costs</x:t>
        </x:is>
      </x:c>
      <x:c r="L601" s="160" t="inlineStr">
        <x:is>
          <x:t xml:space="preserve">Tangible book + normalized ROTCE</x:t>
        </x:is>
      </x:c>
      <x:c r="M601" s="160" t="inlineStr">
        <x:is>
          <x:t xml:space="preserve">WATCH</x:t>
        </x:is>
      </x:c>
      <x:c r="N601" s="160" t="inlineStr">
        <x:is>
          <x:t xml:space="preserve">R-STEW-01</x:t>
        </x:is>
      </x:c>
      <x:c r="O601" s="160" t="inlineStr">
        <x:is>
          <x:t xml:space="preserve">COUNTER-EVIDENCE</x:t>
        </x:is>
      </x:c>
      <x:c r="P601" s="160" t="inlineStr">
        <x:is>
          <x:t xml:space="preserve">ROBUST</x:t>
        </x:is>
      </x:c>
      <x:c r="Q601" s="160" t="inlineStr">
        <x:is>
          <x:t xml:space="preserve">The mature simulation rule catches the stress without weakening a fatal gate; no rule relaxation is justified.</x:t>
        </x:is>
      </x:c>
      <x:c r="R601" s="160" t="inlineStr">
        <x:is>
          <x:t xml:space="preserve">Evaluate capital allocation on a per-share basis using acquisition cohorts, dilution, leverage and repurchase price discipline.</x:t>
        </x:is>
      </x:c>
      <x:c r="S601" s="160" t="inlineStr">
        <x:is>
          <x:t xml:space="preserve">NO</x:t>
        </x:is>
      </x:c>
      <x:c r="T601" s="160" t="inlineStr">
        <x:is>
          <x:t xml:space="preserve">COUNTER-EVIDENCE</x:t>
        </x:is>
      </x:c>
      <x:c r="U601" s="160" t="inlineStr">
        <x:is>
          <x:t xml:space="preserve">V10.5-SIM60</x:t>
        </x:is>
      </x:c>
      <x:c r="V601" s="160" t="inlineStr">
        <x:is>
          <x:t xml:space="preserve">https://www.citigroup.com/citi/investor</x:t>
        </x:is>
      </x:c>
      <x:c r="W601" s="160" t="inlineStr">
        <x:is>
          <x:t xml:space="preserve">NO</x:t>
        </x:is>
      </x:c>
      <x:c r="X601" s="160" t="inlineStr">
        <x:is>
          <x:t xml:space="preserve">NONE — DEVELOPMENT ONLY</x:t>
        </x:is>
      </x:c>
      <x:c r="Y601" s="160" t="inlineStr">
        <x:is>
          <x:t xml:space="preserve">Synthetic/adversarial model-development loop. No historical outcome is claimed; no accuracy point is awarded.</x:t>
        </x:is>
      </x:c>
    </x:row>
    <x:row r="602">
      <x:c r="A602" s="160" t="inlineStr">
        <x:is>
          <x:t xml:space="preserve">ML0597</x:t>
        </x:is>
      </x:c>
      <x:c r="B602" s="160" t="inlineStr">
        <x:is>
          <x:t xml:space="preserve">ARG-038</x:t>
        </x:is>
      </x:c>
      <x:c r="C602" s="160" t="inlineStr">
        <x:is>
          <x:t xml:space="preserve">Citigroup</x:t>
        </x:is>
      </x:c>
      <x:c r="D602" s="160" t="inlineStr">
        <x:is>
          <x:t xml:space="preserve">C</x:t>
        </x:is>
      </x:c>
      <x:c r="E602" s="160" t="inlineStr">
        <x:is>
          <x:t xml:space="preserve">Banks</x:t>
        </x:is>
      </x:c>
      <x:c r="F602" s="160" t="inlineStr">
        <x:is>
          <x:t xml:space="preserve">Development</x:t>
        </x:is>
      </x:c>
      <x:c r="G602" s="160" t="inlineStr">
        <x:is>
          <x:t xml:space="preserve">S05</x:t>
        </x:is>
      </x:c>
      <x:c r="H602" s="160" t="inlineStr">
        <x:is>
          <x:t xml:space="preserve">Survival / Funding</x:t>
        </x:is>
      </x:c>
      <x:c r="I602" s="160" t="inlineStr">
        <x:is>
          <x:t xml:space="preserve">Survival</x:t>
        </x:is>
      </x:c>
      <x:c r="J602" s="160" t="inlineStr">
        <x:is>
          <x:t xml:space="preserve">A plausible bear case exposes refinancing, liquidity, covenant, reserve, regulatory or operational fragility.</x:t>
        </x:is>
      </x:c>
      <x:c r="K602" s="160" t="inlineStr">
        <x:is>
          <x:t xml:space="preserve">Institutional/consumer franchises minus transformation costs</x:t>
        </x:is>
      </x:c>
      <x:c r="L602" s="160" t="inlineStr">
        <x:is>
          <x:t xml:space="preserve">Tangible book + normalized ROTCE</x:t>
        </x:is>
      </x:c>
      <x:c r="M602" s="160" t="inlineStr">
        <x:is>
          <x:t xml:space="preserve">WATCH</x:t>
        </x:is>
      </x:c>
      <x:c r="N602" s="160" t="inlineStr">
        <x:is>
          <x:t xml:space="preserve">R-SURV-01</x:t>
        </x:is>
      </x:c>
      <x:c r="O602" s="160" t="inlineStr">
        <x:is>
          <x:t xml:space="preserve">COUNTER-EVIDENCE</x:t>
        </x:is>
      </x:c>
      <x:c r="P602" s="160" t="inlineStr">
        <x:is>
          <x:t xml:space="preserve">ROBUST</x:t>
        </x:is>
      </x:c>
      <x:c r="Q602" s="160" t="inlineStr">
        <x:is>
          <x:t xml:space="preserve">The mature simulation rule catches the stress without weakening a fatal gate; no rule relaxation is justified.</x:t>
        </x:is>
      </x:c>
      <x:c r="R602" s="160" t="inlineStr">
        <x:is>
          <x:t xml:space="preserve">Run a company-specific survival bridge under a severe-but-plausible bear case before any upside underwriting.</x:t>
        </x:is>
      </x:c>
      <x:c r="S602" s="160" t="inlineStr">
        <x:is>
          <x:t xml:space="preserve">NO</x:t>
        </x:is>
      </x:c>
      <x:c r="T602" s="160" t="inlineStr">
        <x:is>
          <x:t xml:space="preserve">COUNTER-EVIDENCE</x:t>
        </x:is>
      </x:c>
      <x:c r="U602" s="160" t="inlineStr">
        <x:is>
          <x:t xml:space="preserve">V10.5-SIM60</x:t>
        </x:is>
      </x:c>
      <x:c r="V602" s="160" t="inlineStr">
        <x:is>
          <x:t xml:space="preserve">https://www.citigroup.com/citi/investor</x:t>
        </x:is>
      </x:c>
      <x:c r="W602" s="160" t="inlineStr">
        <x:is>
          <x:t xml:space="preserve">NO</x:t>
        </x:is>
      </x:c>
      <x:c r="X602" s="160" t="inlineStr">
        <x:is>
          <x:t xml:space="preserve">NONE — DEVELOPMENT ONLY</x:t>
        </x:is>
      </x:c>
      <x:c r="Y602" s="160" t="inlineStr">
        <x:is>
          <x:t xml:space="preserve">Synthetic/adversarial model-development loop. No historical outcome is claimed; no accuracy point is awarded.</x:t>
        </x:is>
      </x:c>
    </x:row>
    <x:row r="603">
      <x:c r="A603" s="160" t="inlineStr">
        <x:is>
          <x:t xml:space="preserve">ML0598</x:t>
        </x:is>
      </x:c>
      <x:c r="B603" s="160" t="inlineStr">
        <x:is>
          <x:t xml:space="preserve">ARG-038</x:t>
        </x:is>
      </x:c>
      <x:c r="C603" s="160" t="inlineStr">
        <x:is>
          <x:t xml:space="preserve">Citigroup</x:t>
        </x:is>
      </x:c>
      <x:c r="D603" s="160" t="inlineStr">
        <x:is>
          <x:t xml:space="preserve">C</x:t>
        </x:is>
      </x:c>
      <x:c r="E603" s="160" t="inlineStr">
        <x:is>
          <x:t xml:space="preserve">Banks</x:t>
        </x:is>
      </x:c>
      <x:c r="F603" s="160" t="inlineStr">
        <x:is>
          <x:t xml:space="preserve">Development</x:t>
        </x:is>
      </x:c>
      <x:c r="G603" s="160" t="inlineStr">
        <x:is>
          <x:t xml:space="preserve">S06</x:t>
        </x:is>
      </x:c>
      <x:c r="H603" s="160" t="inlineStr">
        <x:is>
          <x:t xml:space="preserve">Margin of Safety</x:t>
        </x:is>
      </x:c>
      <x:c r="I603" s="160" t="inlineStr">
        <x:is>
          <x:t xml:space="preserve">Margin of Safety</x:t>
        </x:is>
      </x:c>
      <x:c r="J603" s="160" t="inlineStr">
        <x:is>
          <x:t xml:space="preserve">Business quality is high but the price embeds a fragile bull case.</x:t>
        </x:is>
      </x:c>
      <x:c r="K603" s="160" t="inlineStr">
        <x:is>
          <x:t xml:space="preserve">Institutional/consumer franchises minus transformation costs</x:t>
        </x:is>
      </x:c>
      <x:c r="L603" s="160" t="inlineStr">
        <x:is>
          <x:t xml:space="preserve">Tangible book + normalized ROTCE</x:t>
        </x:is>
      </x:c>
      <x:c r="M603" s="160" t="inlineStr">
        <x:is>
          <x:t xml:space="preserve">WATCH</x:t>
        </x:is>
      </x:c>
      <x:c r="N603" s="160" t="inlineStr">
        <x:is>
          <x:t xml:space="preserve">R-MOS-01</x:t>
        </x:is>
      </x:c>
      <x:c r="O603" s="160" t="inlineStr">
        <x:is>
          <x:t xml:space="preserve">COUNTER-EVIDENCE</x:t>
        </x:is>
      </x:c>
      <x:c r="P603" s="160" t="inlineStr">
        <x:is>
          <x:t xml:space="preserve">ROBUST</x:t>
        </x:is>
      </x:c>
      <x:c r="Q603" s="160" t="inlineStr">
        <x:is>
          <x:t xml:space="preserve">The mature simulation rule catches the stress without weakening a fatal gate; no rule relaxation is justified.</x:t>
        </x:is>
      </x:c>
      <x:c r="R603" s="160" t="inlineStr">
        <x:is>
          <x:t xml:space="preserve">Separate business-quality score from price decision; require reverse valuation and bear/base/bull IV ranges.</x:t>
        </x:is>
      </x:c>
      <x:c r="S603" s="160" t="inlineStr">
        <x:is>
          <x:t xml:space="preserve">NO</x:t>
        </x:is>
      </x:c>
      <x:c r="T603" s="160" t="inlineStr">
        <x:is>
          <x:t xml:space="preserve">COUNTER-EVIDENCE</x:t>
        </x:is>
      </x:c>
      <x:c r="U603" s="160" t="inlineStr">
        <x:is>
          <x:t xml:space="preserve">V10.5-SIM60</x:t>
        </x:is>
      </x:c>
      <x:c r="V603" s="160" t="inlineStr">
        <x:is>
          <x:t xml:space="preserve">https://www.citigroup.com/citi/investor</x:t>
        </x:is>
      </x:c>
      <x:c r="W603" s="160" t="inlineStr">
        <x:is>
          <x:t xml:space="preserve">NO</x:t>
        </x:is>
      </x:c>
      <x:c r="X603" s="160" t="inlineStr">
        <x:is>
          <x:t xml:space="preserve">NONE — DEVELOPMENT ONLY</x:t>
        </x:is>
      </x:c>
      <x:c r="Y603" s="160" t="inlineStr">
        <x:is>
          <x:t xml:space="preserve">Synthetic/adversarial model-development loop. No historical outcome is claimed; no accuracy point is awarded.</x:t>
        </x:is>
      </x:c>
    </x:row>
    <x:row r="604">
      <x:c r="A604" s="160" t="inlineStr">
        <x:is>
          <x:t xml:space="preserve">ML0599</x:t>
        </x:is>
      </x:c>
      <x:c r="B604" s="160" t="inlineStr">
        <x:is>
          <x:t xml:space="preserve">ARG-038</x:t>
        </x:is>
      </x:c>
      <x:c r="C604" s="160" t="inlineStr">
        <x:is>
          <x:t xml:space="preserve">Citigroup</x:t>
        </x:is>
      </x:c>
      <x:c r="D604" s="160" t="inlineStr">
        <x:is>
          <x:t xml:space="preserve">C</x:t>
        </x:is>
      </x:c>
      <x:c r="E604" s="160" t="inlineStr">
        <x:is>
          <x:t xml:space="preserve">Banks</x:t>
        </x:is>
      </x:c>
      <x:c r="F604" s="160" t="inlineStr">
        <x:is>
          <x:t xml:space="preserve">Development</x:t>
        </x:is>
      </x:c>
      <x:c r="G604" s="160" t="inlineStr">
        <x:is>
          <x:t xml:space="preserve">S07</x:t>
        </x:is>
      </x:c>
      <x:c r="H604" s="160" t="inlineStr">
        <x:is>
          <x:t xml:space="preserve">Sector Shock</x:t>
        </x:is>
      </x:c>
      <x:c r="I604" s="160" t="inlineStr">
        <x:is>
          <x:t xml:space="preserve">Sector-specific</x:t>
        </x:is>
      </x:c>
      <x:c r="J604" s="160" t="inlineStr">
        <x:is>
          <x:t xml:space="preserve">NIM or fee income improves but deposit beta, credit losses, capital requirements or duration risk erodes normalized ROTCE.</x:t>
        </x:is>
      </x:c>
      <x:c r="K604" s="160" t="inlineStr">
        <x:is>
          <x:t xml:space="preserve">Institutional/consumer franchises minus transformation costs</x:t>
        </x:is>
      </x:c>
      <x:c r="L604" s="160" t="inlineStr">
        <x:is>
          <x:t xml:space="preserve">Tangible book + normalized ROTCE</x:t>
        </x:is>
      </x:c>
      <x:c r="M604" s="160" t="inlineStr">
        <x:is>
          <x:t xml:space="preserve">WATCH</x:t>
        </x:is>
      </x:c>
      <x:c r="N604" s="160" t="inlineStr">
        <x:is>
          <x:t xml:space="preserve">R-SECTOR-BANKS</x:t>
        </x:is>
      </x:c>
      <x:c r="O604" s="160" t="inlineStr">
        <x:is>
          <x:t xml:space="preserve">BASE</x:t>
        </x:is>
      </x:c>
      <x:c r="P604" s="160" t="inlineStr">
        <x:is>
          <x:t xml:space="preserve">PARTIAL CATCH</x:t>
        </x:is>
      </x:c>
      <x:c r="Q604" s="160" t="inlineStr">
        <x:is>
          <x:t xml:space="preserve">The base refinement catches the main failure, but evidence thresholds and per-share/counterfactual details remain underspecified.</x:t>
        </x:is>
      </x:c>
      <x:c r="R604" s="160" t="inlineStr">
        <x:is>
          <x:t xml:space="preserve">Add a sector-specific transmission map with leading operating sensors, not only market-price variables. Sector rule: NIM or fee income improves but deposit beta, credit losses, capital requirements or duration risk erodes normalized ROTCE.</x:t>
        </x:is>
      </x:c>
      <x:c r="S604" s="160" t="inlineStr">
        <x:is>
          <x:t xml:space="preserve">NO</x:t>
        </x:is>
      </x:c>
      <x:c r="T604" s="160" t="inlineStr">
        <x:is>
          <x:t xml:space="preserve">BASE</x:t>
        </x:is>
      </x:c>
      <x:c r="U604" s="160" t="inlineStr">
        <x:is>
          <x:t xml:space="preserve">V10.5-SIM60</x:t>
        </x:is>
      </x:c>
      <x:c r="V604" s="160" t="inlineStr">
        <x:is>
          <x:t xml:space="preserve">https://www.citigroup.com/citi/investor</x:t>
        </x:is>
      </x:c>
      <x:c r="W604" s="160" t="inlineStr">
        <x:is>
          <x:t xml:space="preserve">NO</x:t>
        </x:is>
      </x:c>
      <x:c r="X604" s="160" t="inlineStr">
        <x:is>
          <x:t xml:space="preserve">NONE — DEVELOPMENT ONLY</x:t>
        </x:is>
      </x:c>
      <x:c r="Y604" s="160" t="inlineStr">
        <x:is>
          <x:t xml:space="preserve">Synthetic/adversarial model-development loop. No historical outcome is claimed; no accuracy point is awarded.</x:t>
        </x:is>
      </x:c>
    </x:row>
    <x:row r="605">
      <x:c r="A605" s="160" t="inlineStr">
        <x:is>
          <x:t xml:space="preserve">ML0600</x:t>
        </x:is>
      </x:c>
      <x:c r="B605" s="160" t="inlineStr">
        <x:is>
          <x:t xml:space="preserve">ARG-038</x:t>
        </x:is>
      </x:c>
      <x:c r="C605" s="160" t="inlineStr">
        <x:is>
          <x:t xml:space="preserve">Citigroup</x:t>
        </x:is>
      </x:c>
      <x:c r="D605" s="160" t="inlineStr">
        <x:is>
          <x:t xml:space="preserve">C</x:t>
        </x:is>
      </x:c>
      <x:c r="E605" s="160" t="inlineStr">
        <x:is>
          <x:t xml:space="preserve">Banks</x:t>
        </x:is>
      </x:c>
      <x:c r="F605" s="160" t="inlineStr">
        <x:is>
          <x:t xml:space="preserve">Development</x:t>
        </x:is>
      </x:c>
      <x:c r="G605" s="160" t="inlineStr">
        <x:is>
          <x:t xml:space="preserve">S08</x:t>
        </x:is>
      </x:c>
      <x:c r="H605" s="160" t="inlineStr">
        <x:is>
          <x:t xml:space="preserve">Management Promise Reliability</x:t>
        </x:is>
      </x:c>
      <x:c r="I605" s="160" t="inlineStr">
        <x:is>
          <x:t xml:space="preserve">Management over-trust</x:t>
        </x:is>
      </x:c>
      <x:c r="J605" s="160" t="inlineStr">
        <x:is>
          <x:t xml:space="preserve">Guidance or strategic promises are repeated but the model lacks a contemporaneous reliability score.</x:t>
        </x:is>
      </x:c>
      <x:c r="K605" s="160" t="inlineStr">
        <x:is>
          <x:t xml:space="preserve">Institutional/consumer franchises minus transformation costs</x:t>
        </x:is>
      </x:c>
      <x:c r="L605" s="160" t="inlineStr">
        <x:is>
          <x:t xml:space="preserve">Tangible book + normalized ROTCE</x:t>
        </x:is>
      </x:c>
      <x:c r="M605" s="160" t="inlineStr">
        <x:is>
          <x:t xml:space="preserve">WATCH</x:t>
        </x:is>
      </x:c>
      <x:c r="N605" s="160" t="inlineStr">
        <x:is>
          <x:t xml:space="preserve">R-PROM-01</x:t>
        </x:is>
      </x:c>
      <x:c r="O605" s="160" t="inlineStr">
        <x:is>
          <x:t xml:space="preserve">COUNTER-EVIDENCE</x:t>
        </x:is>
      </x:c>
      <x:c r="P605" s="160" t="inlineStr">
        <x:is>
          <x:t xml:space="preserve">ROBUST</x:t>
        </x:is>
      </x:c>
      <x:c r="Q605" s="160" t="inlineStr">
        <x:is>
          <x:t xml:space="preserve">The mature simulation rule catches the stress without weakening a fatal gate; no rule relaxation is justified.</x:t>
        </x:is>
      </x:c>
      <x:c r="R605" s="160" t="inlineStr">
        <x:is>
          <x:t xml:space="preserve">Use a promises ledger with dated promise, measurable deliverable, due date, outcome and credibility weight.</x:t>
        </x:is>
      </x:c>
      <x:c r="S605" s="160" t="inlineStr">
        <x:is>
          <x:t xml:space="preserve">NO</x:t>
        </x:is>
      </x:c>
      <x:c r="T605" s="160" t="inlineStr">
        <x:is>
          <x:t xml:space="preserve">COUNTER-EVIDENCE</x:t>
        </x:is>
      </x:c>
      <x:c r="U605" s="160" t="inlineStr">
        <x:is>
          <x:t xml:space="preserve">V10.5-SIM60</x:t>
        </x:is>
      </x:c>
      <x:c r="V605" s="160" t="inlineStr">
        <x:is>
          <x:t xml:space="preserve">https://www.citigroup.com/citi/investor</x:t>
        </x:is>
      </x:c>
      <x:c r="W605" s="160" t="inlineStr">
        <x:is>
          <x:t xml:space="preserve">NO</x:t>
        </x:is>
      </x:c>
      <x:c r="X605" s="160" t="inlineStr">
        <x:is>
          <x:t xml:space="preserve">NONE — DEVELOPMENT ONLY</x:t>
        </x:is>
      </x:c>
      <x:c r="Y605" s="160" t="inlineStr">
        <x:is>
          <x:t xml:space="preserve">Synthetic/adversarial model-development loop. No historical outcome is claimed; no accuracy point is awarded.</x:t>
        </x:is>
      </x:c>
    </x:row>
    <x:row r="606">
      <x:c r="A606" s="160" t="inlineStr">
        <x:is>
          <x:t xml:space="preserve">ML0601</x:t>
        </x:is>
      </x:c>
      <x:c r="B606" s="160" t="inlineStr">
        <x:is>
          <x:t xml:space="preserve">ARG-038</x:t>
        </x:is>
      </x:c>
      <x:c r="C606" s="160" t="inlineStr">
        <x:is>
          <x:t xml:space="preserve">Citigroup</x:t>
        </x:is>
      </x:c>
      <x:c r="D606" s="160" t="inlineStr">
        <x:is>
          <x:t xml:space="preserve">C</x:t>
        </x:is>
      </x:c>
      <x:c r="E606" s="160" t="inlineStr">
        <x:is>
          <x:t xml:space="preserve">Banks</x:t>
        </x:is>
      </x:c>
      <x:c r="F606" s="160" t="inlineStr">
        <x:is>
          <x:t xml:space="preserve">Development</x:t>
        </x:is>
      </x:c>
      <x:c r="G606" s="160" t="inlineStr">
        <x:is>
          <x:t xml:space="preserve">S09</x:t>
        </x:is>
      </x:c>
      <x:c r="H606" s="160" t="inlineStr">
        <x:is>
          <x:t xml:space="preserve">Data / Accounting Quality</x:t>
        </x:is>
      </x:c>
      <x:c r="I606" s="160" t="inlineStr">
        <x:is>
          <x:t xml:space="preserve">Data quality</x:t>
        </x:is>
      </x:c>
      <x:c r="J606" s="160" t="inlineStr">
        <x:is>
          <x:t xml:space="preserve">Restatement, segment reclassification, one-time item or non-economic fair-value movement distorts the apparent trend.</x:t>
        </x:is>
      </x:c>
      <x:c r="K606" s="160" t="inlineStr">
        <x:is>
          <x:t xml:space="preserve">Institutional/consumer franchises minus transformation costs</x:t>
        </x:is>
      </x:c>
      <x:c r="L606" s="160" t="inlineStr">
        <x:is>
          <x:t xml:space="preserve">Tangible book + normalized ROTCE</x:t>
        </x:is>
      </x:c>
      <x:c r="M606" s="160" t="inlineStr">
        <x:is>
          <x:t xml:space="preserve">WATCH</x:t>
        </x:is>
      </x:c>
      <x:c r="N606" s="160" t="inlineStr">
        <x:is>
          <x:t xml:space="preserve">R-DATA-01</x:t>
        </x:is>
      </x:c>
      <x:c r="O606" s="160" t="inlineStr">
        <x:is>
          <x:t xml:space="preserve">COUNTER-EVIDENCE</x:t>
        </x:is>
      </x:c>
      <x:c r="P606" s="160" t="inlineStr">
        <x:is>
          <x:t xml:space="preserve">ROBUST</x:t>
        </x:is>
      </x:c>
      <x:c r="Q606" s="160" t="inlineStr">
        <x:is>
          <x:t xml:space="preserve">The mature simulation rule catches the stress without weakening a fatal gate; no rule relaxation is justified.</x:t>
        </x:is>
      </x:c>
      <x:c r="R606" s="160" t="inlineStr">
        <x:is>
          <x:t xml:space="preserve">Add a reporting-quality bridge and normalize accounting noise before any gate can pass.</x:t>
        </x:is>
      </x:c>
      <x:c r="S606" s="160" t="inlineStr">
        <x:is>
          <x:t xml:space="preserve">NO</x:t>
        </x:is>
      </x:c>
      <x:c r="T606" s="160" t="inlineStr">
        <x:is>
          <x:t xml:space="preserve">COUNTER-EVIDENCE</x:t>
        </x:is>
      </x:c>
      <x:c r="U606" s="160" t="inlineStr">
        <x:is>
          <x:t xml:space="preserve">V10.5-SIM60</x:t>
        </x:is>
      </x:c>
      <x:c r="V606" s="160" t="inlineStr">
        <x:is>
          <x:t xml:space="preserve">https://www.citigroup.com/citi/investor</x:t>
        </x:is>
      </x:c>
      <x:c r="W606" s="160" t="inlineStr">
        <x:is>
          <x:t xml:space="preserve">NO</x:t>
        </x:is>
      </x:c>
      <x:c r="X606" s="160" t="inlineStr">
        <x:is>
          <x:t xml:space="preserve">NONE — DEVELOPMENT ONLY</x:t>
        </x:is>
      </x:c>
      <x:c r="Y606" s="160" t="inlineStr">
        <x:is>
          <x:t xml:space="preserve">Synthetic/adversarial model-development loop. No historical outcome is claimed; no accuracy point is awarded.</x:t>
        </x:is>
      </x:c>
    </x:row>
    <x:row r="607">
      <x:c r="A607" s="160" t="inlineStr">
        <x:is>
          <x:t xml:space="preserve">ML0602</x:t>
        </x:is>
      </x:c>
      <x:c r="B607" s="160" t="inlineStr">
        <x:is>
          <x:t xml:space="preserve">ARG-038</x:t>
        </x:is>
      </x:c>
      <x:c r="C607" s="160" t="inlineStr">
        <x:is>
          <x:t xml:space="preserve">Citigroup</x:t>
        </x:is>
      </x:c>
      <x:c r="D607" s="160" t="inlineStr">
        <x:is>
          <x:t xml:space="preserve">C</x:t>
        </x:is>
      </x:c>
      <x:c r="E607" s="160" t="inlineStr">
        <x:is>
          <x:t xml:space="preserve">Banks</x:t>
        </x:is>
      </x:c>
      <x:c r="F607" s="160" t="inlineStr">
        <x:is>
          <x:t xml:space="preserve">Development</x:t>
        </x:is>
      </x:c>
      <x:c r="G607" s="160" t="inlineStr">
        <x:is>
          <x:t xml:space="preserve">S10</x:t>
        </x:is>
      </x:c>
      <x:c r="H607" s="160" t="inlineStr">
        <x:is>
          <x:t xml:space="preserve">Control / Counterfactual</x:t>
        </x:is>
      </x:c>
      <x:c r="I607" s="160" t="inlineStr">
        <x:is>
          <x:t xml:space="preserve">Sector beta vs company alpha</x:t>
        </x:is>
      </x:c>
      <x:c r="J607" s="160" t="inlineStr">
        <x:is>
          <x:t xml:space="preserve">A positive outcome is mostly sector beta or macro tailwind, not company-specific alpha.</x:t>
        </x:is>
      </x:c>
      <x:c r="K607" s="160" t="inlineStr">
        <x:is>
          <x:t xml:space="preserve">Institutional/consumer franchises minus transformation costs</x:t>
        </x:is>
      </x:c>
      <x:c r="L607" s="160" t="inlineStr">
        <x:is>
          <x:t xml:space="preserve">Tangible book + normalized ROTCE</x:t>
        </x:is>
      </x:c>
      <x:c r="M607" s="160" t="inlineStr">
        <x:is>
          <x:t xml:space="preserve">WATCH</x:t>
        </x:is>
      </x:c>
      <x:c r="N607" s="160" t="inlineStr">
        <x:is>
          <x:t xml:space="preserve">R-CF-01</x:t>
        </x:is>
      </x:c>
      <x:c r="O607" s="160" t="inlineStr">
        <x:is>
          <x:t xml:space="preserve">COUNTER-EVIDENCE</x:t>
        </x:is>
      </x:c>
      <x:c r="P607" s="160" t="inlineStr">
        <x:is>
          <x:t xml:space="preserve">ROBUST</x:t>
        </x:is>
      </x:c>
      <x:c r="Q607" s="160" t="inlineStr">
        <x:is>
          <x:t xml:space="preserve">The mature simulation rule catches the stress without weakening a fatal gate; no rule relaxation is justified.</x:t>
        </x:is>
      </x:c>
      <x:c r="R607" s="160" t="inlineStr">
        <x:is>
          <x:t xml:space="preserve">Require a true economic control and counterfactual: what should have happened to a comparable company under the same shock?</x:t>
        </x:is>
      </x:c>
      <x:c r="S607" s="160" t="inlineStr">
        <x:is>
          <x:t xml:space="preserve">NO</x:t>
        </x:is>
      </x:c>
      <x:c r="T607" s="160" t="inlineStr">
        <x:is>
          <x:t xml:space="preserve">COUNTER-EVIDENCE</x:t>
        </x:is>
      </x:c>
      <x:c r="U607" s="160" t="inlineStr">
        <x:is>
          <x:t xml:space="preserve">V10.5-SIM60</x:t>
        </x:is>
      </x:c>
      <x:c r="V607" s="160" t="inlineStr">
        <x:is>
          <x:t xml:space="preserve">https://www.citigroup.com/citi/investor</x:t>
        </x:is>
      </x:c>
      <x:c r="W607" s="160" t="inlineStr">
        <x:is>
          <x:t xml:space="preserve">NO</x:t>
        </x:is>
      </x:c>
      <x:c r="X607" s="160" t="inlineStr">
        <x:is>
          <x:t xml:space="preserve">NONE — DEVELOPMENT ONLY</x:t>
        </x:is>
      </x:c>
      <x:c r="Y607" s="160" t="inlineStr">
        <x:is>
          <x:t xml:space="preserve">Synthetic/adversarial model-development loop. No historical outcome is claimed; no accuracy point is awarded.</x:t>
        </x:is>
      </x:c>
    </x:row>
    <x:row r="608">
      <x:c r="A608" s="160" t="inlineStr">
        <x:is>
          <x:t xml:space="preserve">ML0603</x:t>
        </x:is>
      </x:c>
      <x:c r="B608" s="160" t="inlineStr">
        <x:is>
          <x:t xml:space="preserve">ARG-038</x:t>
        </x:is>
      </x:c>
      <x:c r="C608" s="160" t="inlineStr">
        <x:is>
          <x:t xml:space="preserve">Citigroup</x:t>
        </x:is>
      </x:c>
      <x:c r="D608" s="160" t="inlineStr">
        <x:is>
          <x:t xml:space="preserve">C</x:t>
        </x:is>
      </x:c>
      <x:c r="E608" s="160" t="inlineStr">
        <x:is>
          <x:t xml:space="preserve">Banks</x:t>
        </x:is>
      </x:c>
      <x:c r="F608" s="160" t="inlineStr">
        <x:is>
          <x:t xml:space="preserve">Development</x:t>
        </x:is>
      </x:c>
      <x:c r="G608" s="160" t="inlineStr">
        <x:is>
          <x:t xml:space="preserve">S11</x:t>
        </x:is>
      </x:c>
      <x:c r="H608" s="160" t="inlineStr">
        <x:is>
          <x:t xml:space="preserve">False-Negative Discipline</x:t>
        </x:is>
      </x:c>
      <x:c r="I608" s="160" t="inlineStr">
        <x:is>
          <x:t xml:space="preserve">False negative</x:t>
        </x:is>
      </x:c>
      <x:c r="J608" s="160" t="inlineStr">
        <x:is>
          <x:t xml:space="preserve">A strict gate rejects a company that later compounds strongly for reasons the model could have known.</x:t>
        </x:is>
      </x:c>
      <x:c r="K608" s="160" t="inlineStr">
        <x:is>
          <x:t xml:space="preserve">Institutional/consumer franchises minus transformation costs</x:t>
        </x:is>
      </x:c>
      <x:c r="L608" s="160" t="inlineStr">
        <x:is>
          <x:t xml:space="preserve">Tangible book + normalized ROTCE</x:t>
        </x:is>
      </x:c>
      <x:c r="M608" s="160" t="inlineStr">
        <x:is>
          <x:t xml:space="preserve">WATCH</x:t>
        </x:is>
      </x:c>
      <x:c r="N608" s="160" t="inlineStr">
        <x:is>
          <x:t xml:space="preserve">R-FN-01</x:t>
        </x:is>
      </x:c>
      <x:c r="O608" s="160" t="inlineStr">
        <x:is>
          <x:t xml:space="preserve">COUNTER-EVIDENCE</x:t>
        </x:is>
      </x:c>
      <x:c r="P608" s="160" t="inlineStr">
        <x:is>
          <x:t xml:space="preserve">ROBUST</x:t>
        </x:is>
      </x:c>
      <x:c r="Q608" s="160" t="inlineStr">
        <x:is>
          <x:t xml:space="preserve">The mature simulation rule catches the stress without weakening a fatal gate; no rule relaxation is justified.</x:t>
        </x:is>
      </x:c>
      <x:c r="R608" s="160" t="inlineStr">
        <x:is>
          <x:t xml:space="preserve">Track opportunity cost and classify whether the miss came from evidence timing, wrong threshold or genuinely unknowable upside.</x:t>
        </x:is>
      </x:c>
      <x:c r="S608" s="160" t="inlineStr">
        <x:is>
          <x:t xml:space="preserve">NO</x:t>
        </x:is>
      </x:c>
      <x:c r="T608" s="160" t="inlineStr">
        <x:is>
          <x:t xml:space="preserve">COUNTER-EVIDENCE</x:t>
        </x:is>
      </x:c>
      <x:c r="U608" s="160" t="inlineStr">
        <x:is>
          <x:t xml:space="preserve">V10.5-SIM60</x:t>
        </x:is>
      </x:c>
      <x:c r="V608" s="160" t="inlineStr">
        <x:is>
          <x:t xml:space="preserve">https://www.citigroup.com/citi/investor</x:t>
        </x:is>
      </x:c>
      <x:c r="W608" s="160" t="inlineStr">
        <x:is>
          <x:t xml:space="preserve">NO</x:t>
        </x:is>
      </x:c>
      <x:c r="X608" s="160" t="inlineStr">
        <x:is>
          <x:t xml:space="preserve">NONE — DEVELOPMENT ONLY</x:t>
        </x:is>
      </x:c>
      <x:c r="Y608" s="160" t="inlineStr">
        <x:is>
          <x:t xml:space="preserve">Synthetic/adversarial model-development loop. No historical outcome is claimed; no accuracy point is awarded.</x:t>
        </x:is>
      </x:c>
    </x:row>
    <x:row r="609">
      <x:c r="A609" s="160" t="inlineStr">
        <x:is>
          <x:t xml:space="preserve">ML0604</x:t>
        </x:is>
      </x:c>
      <x:c r="B609" s="160" t="inlineStr">
        <x:is>
          <x:t xml:space="preserve">ARG-038</x:t>
        </x:is>
      </x:c>
      <x:c r="C609" s="160" t="inlineStr">
        <x:is>
          <x:t xml:space="preserve">Citigroup</x:t>
        </x:is>
      </x:c>
      <x:c r="D609" s="160" t="inlineStr">
        <x:is>
          <x:t xml:space="preserve">C</x:t>
        </x:is>
      </x:c>
      <x:c r="E609" s="160" t="inlineStr">
        <x:is>
          <x:t xml:space="preserve">Banks</x:t>
        </x:is>
      </x:c>
      <x:c r="F609" s="160" t="inlineStr">
        <x:is>
          <x:t xml:space="preserve">Development</x:t>
        </x:is>
      </x:c>
      <x:c r="G609" s="160" t="inlineStr">
        <x:is>
          <x:t xml:space="preserve">S12</x:t>
        </x:is>
      </x:c>
      <x:c r="H609" s="160" t="inlineStr">
        <x:is>
          <x:t xml:space="preserve">Lead-Time / Early Sensor</x:t>
        </x:is>
      </x:c>
      <x:c r="I609" s="160" t="inlineStr">
        <x:is>
          <x:t xml:space="preserve">Timing / lead-time</x:t>
        </x:is>
      </x:c>
      <x:c r="J609" s="160" t="inlineStr">
        <x:is>
          <x:t xml:space="preserve">ARGUS identifies the change correctly but only after consensus and price have already reacted.</x:t>
        </x:is>
      </x:c>
      <x:c r="K609" s="160" t="inlineStr">
        <x:is>
          <x:t xml:space="preserve">Institutional/consumer franchises minus transformation costs</x:t>
        </x:is>
      </x:c>
      <x:c r="L609" s="160" t="inlineStr">
        <x:is>
          <x:t xml:space="preserve">Tangible book + normalized ROTCE</x:t>
        </x:is>
      </x:c>
      <x:c r="M609" s="160" t="inlineStr">
        <x:is>
          <x:t xml:space="preserve">WATCH</x:t>
        </x:is>
      </x:c>
      <x:c r="N609" s="160" t="inlineStr">
        <x:is>
          <x:t xml:space="preserve">R-TIME-01</x:t>
        </x:is>
      </x:c>
      <x:c r="O609" s="160" t="inlineStr">
        <x:is>
          <x:t xml:space="preserve">COUNTER-EVIDENCE</x:t>
        </x:is>
      </x:c>
      <x:c r="P609" s="160" t="inlineStr">
        <x:is>
          <x:t xml:space="preserve">ROBUST</x:t>
        </x:is>
      </x:c>
      <x:c r="Q609" s="160" t="inlineStr">
        <x:is>
          <x:t xml:space="preserve">The mature simulation rule catches the stress without weakening a fatal gate; no rule relaxation is justified.</x:t>
        </x:is>
      </x:c>
      <x:c r="R609" s="160" t="inlineStr">
        <x:is>
          <x:t xml:space="preserve">Replace lagging financial metrics with earlier causal operating sensors and record lead time separately from correctness.</x:t>
        </x:is>
      </x:c>
      <x:c r="S609" s="160" t="inlineStr">
        <x:is>
          <x:t xml:space="preserve">NO</x:t>
        </x:is>
      </x:c>
      <x:c r="T609" s="160" t="inlineStr">
        <x:is>
          <x:t xml:space="preserve">COUNTER-EVIDENCE</x:t>
        </x:is>
      </x:c>
      <x:c r="U609" s="160" t="inlineStr">
        <x:is>
          <x:t xml:space="preserve">V10.5-SIM60</x:t>
        </x:is>
      </x:c>
      <x:c r="V609" s="160" t="inlineStr">
        <x:is>
          <x:t xml:space="preserve">https://www.citigroup.com/citi/investor</x:t>
        </x:is>
      </x:c>
      <x:c r="W609" s="160" t="inlineStr">
        <x:is>
          <x:t xml:space="preserve">NO</x:t>
        </x:is>
      </x:c>
      <x:c r="X609" s="160" t="inlineStr">
        <x:is>
          <x:t xml:space="preserve">NONE — DEVELOPMENT ONLY</x:t>
        </x:is>
      </x:c>
      <x:c r="Y609" s="160" t="inlineStr">
        <x:is>
          <x:t xml:space="preserve">Synthetic/adversarial model-development loop. No historical outcome is claimed; no accuracy point is awarded.</x:t>
        </x:is>
      </x:c>
    </x:row>
    <x:row r="610">
      <x:c r="A610" s="160" t="inlineStr">
        <x:is>
          <x:t xml:space="preserve">ML0605</x:t>
        </x:is>
      </x:c>
      <x:c r="B610" s="160" t="inlineStr">
        <x:is>
          <x:t xml:space="preserve">ARG-038</x:t>
        </x:is>
      </x:c>
      <x:c r="C610" s="160" t="inlineStr">
        <x:is>
          <x:t xml:space="preserve">Citigroup</x:t>
        </x:is>
      </x:c>
      <x:c r="D610" s="160" t="inlineStr">
        <x:is>
          <x:t xml:space="preserve">C</x:t>
        </x:is>
      </x:c>
      <x:c r="E610" s="160" t="inlineStr">
        <x:is>
          <x:t xml:space="preserve">Banks</x:t>
        </x:is>
      </x:c>
      <x:c r="F610" s="160" t="inlineStr">
        <x:is>
          <x:t xml:space="preserve">Development</x:t>
        </x:is>
      </x:c>
      <x:c r="G610" s="160" t="inlineStr">
        <x:is>
          <x:t xml:space="preserve">S13</x:t>
        </x:is>
      </x:c>
      <x:c r="H610" s="160" t="inlineStr">
        <x:is>
          <x:t xml:space="preserve">Cycle Normalization</x:t>
        </x:is>
      </x:c>
      <x:c r="I610" s="160" t="inlineStr">
        <x:is>
          <x:t xml:space="preserve">Wrong valuation lens</x:t>
        </x:is>
      </x:c>
      <x:c r="J610" s="160" t="inlineStr">
        <x:is>
          <x:t xml:space="preserve">Peak/trough earnings are mistaken for normalized earning power.</x:t>
        </x:is>
      </x:c>
      <x:c r="K610" s="160" t="inlineStr">
        <x:is>
          <x:t xml:space="preserve">Institutional/consumer franchises minus transformation costs</x:t>
        </x:is>
      </x:c>
      <x:c r="L610" s="160" t="inlineStr">
        <x:is>
          <x:t xml:space="preserve">Tangible book + normalized ROTCE</x:t>
        </x:is>
      </x:c>
      <x:c r="M610" s="160" t="inlineStr">
        <x:is>
          <x:t xml:space="preserve">WATCH</x:t>
        </x:is>
      </x:c>
      <x:c r="N610" s="160" t="inlineStr">
        <x:is>
          <x:t xml:space="preserve">R-CYCLE-01</x:t>
        </x:is>
      </x:c>
      <x:c r="O610" s="160" t="inlineStr">
        <x:is>
          <x:t xml:space="preserve">COUNTER-EVIDENCE</x:t>
        </x:is>
      </x:c>
      <x:c r="P610" s="160" t="inlineStr">
        <x:is>
          <x:t xml:space="preserve">ROBUST</x:t>
        </x:is>
      </x:c>
      <x:c r="Q610" s="160" t="inlineStr">
        <x:is>
          <x:t xml:space="preserve">The mature simulation rule catches the stress without weakening a fatal gate; no rule relaxation is justified.</x:t>
        </x:is>
      </x:c>
      <x:c r="R610" s="160" t="inlineStr">
        <x:is>
          <x:t xml:space="preserve">Use sector-specific mid-cycle/NAV/rate-base/rNPV normalization before applying a valuation multiple.</x:t>
        </x:is>
      </x:c>
      <x:c r="S610" s="160" t="inlineStr">
        <x:is>
          <x:t xml:space="preserve">NO</x:t>
        </x:is>
      </x:c>
      <x:c r="T610" s="160" t="inlineStr">
        <x:is>
          <x:t xml:space="preserve">COUNTER-EVIDENCE</x:t>
        </x:is>
      </x:c>
      <x:c r="U610" s="160" t="inlineStr">
        <x:is>
          <x:t xml:space="preserve">V10.5-SIM60</x:t>
        </x:is>
      </x:c>
      <x:c r="V610" s="160" t="inlineStr">
        <x:is>
          <x:t xml:space="preserve">https://www.citigroup.com/citi/investor</x:t>
        </x:is>
      </x:c>
      <x:c r="W610" s="160" t="inlineStr">
        <x:is>
          <x:t xml:space="preserve">NO</x:t>
        </x:is>
      </x:c>
      <x:c r="X610" s="160" t="inlineStr">
        <x:is>
          <x:t xml:space="preserve">NONE — DEVELOPMENT ONLY</x:t>
        </x:is>
      </x:c>
      <x:c r="Y610" s="160" t="inlineStr">
        <x:is>
          <x:t xml:space="preserve">Synthetic/adversarial model-development loop. No historical outcome is claimed; no accuracy point is awarded.</x:t>
        </x:is>
      </x:c>
    </x:row>
    <x:row r="611">
      <x:c r="A611" s="160" t="inlineStr">
        <x:is>
          <x:t xml:space="preserve">ML0606</x:t>
        </x:is>
      </x:c>
      <x:c r="B611" s="160" t="inlineStr">
        <x:is>
          <x:t xml:space="preserve">ARG-038</x:t>
        </x:is>
      </x:c>
      <x:c r="C611" s="160" t="inlineStr">
        <x:is>
          <x:t xml:space="preserve">Citigroup</x:t>
        </x:is>
      </x:c>
      <x:c r="D611" s="160" t="inlineStr">
        <x:is>
          <x:t xml:space="preserve">C</x:t>
        </x:is>
      </x:c>
      <x:c r="E611" s="160" t="inlineStr">
        <x:is>
          <x:t xml:space="preserve">Banks</x:t>
        </x:is>
      </x:c>
      <x:c r="F611" s="160" t="inlineStr">
        <x:is>
          <x:t xml:space="preserve">Development</x:t>
        </x:is>
      </x:c>
      <x:c r="G611" s="160" t="inlineStr">
        <x:is>
          <x:t xml:space="preserve">S14</x:t>
        </x:is>
      </x:c>
      <x:c r="H611" s="160" t="inlineStr">
        <x:is>
          <x:t xml:space="preserve">M&amp;A / Organic Growth Separation</x:t>
        </x:is>
      </x:c>
      <x:c r="I611" s="160" t="inlineStr">
        <x:is>
          <x:t xml:space="preserve">Stewardship</x:t>
        </x:is>
      </x:c>
      <x:c r="J611" s="160" t="inlineStr">
        <x:is>
          <x:t xml:space="preserve">Acquisition-driven growth masks weak organic economics or poor incremental ROIC.</x:t>
        </x:is>
      </x:c>
      <x:c r="K611" s="160" t="inlineStr">
        <x:is>
          <x:t xml:space="preserve">Institutional/consumer franchises minus transformation costs</x:t>
        </x:is>
      </x:c>
      <x:c r="L611" s="160" t="inlineStr">
        <x:is>
          <x:t xml:space="preserve">Tangible book + normalized ROTCE</x:t>
        </x:is>
      </x:c>
      <x:c r="M611" s="160" t="inlineStr">
        <x:is>
          <x:t xml:space="preserve">WATCH</x:t>
        </x:is>
      </x:c>
      <x:c r="N611" s="160" t="inlineStr">
        <x:is>
          <x:t xml:space="preserve">R-MA-01</x:t>
        </x:is>
      </x:c>
      <x:c r="O611" s="160" t="inlineStr">
        <x:is>
          <x:t xml:space="preserve">COUNTER-EVIDENCE</x:t>
        </x:is>
      </x:c>
      <x:c r="P611" s="160" t="inlineStr">
        <x:is>
          <x:t xml:space="preserve">ROBUST</x:t>
        </x:is>
      </x:c>
      <x:c r="Q611" s="160" t="inlineStr">
        <x:is>
          <x:t xml:space="preserve">The mature simulation rule catches the stress without weakening a fatal gate; no rule relaxation is justified.</x:t>
        </x:is>
      </x:c>
      <x:c r="R611" s="160" t="inlineStr">
        <x:is>
          <x:t xml:space="preserve">Bridge organic growth, acquired growth, purchase price, integration costs and acquisition-cohort ROIC.</x:t>
        </x:is>
      </x:c>
      <x:c r="S611" s="160" t="inlineStr">
        <x:is>
          <x:t xml:space="preserve">NO</x:t>
        </x:is>
      </x:c>
      <x:c r="T611" s="160" t="inlineStr">
        <x:is>
          <x:t xml:space="preserve">COUNTER-EVIDENCE</x:t>
        </x:is>
      </x:c>
      <x:c r="U611" s="160" t="inlineStr">
        <x:is>
          <x:t xml:space="preserve">V10.5-SIM60</x:t>
        </x:is>
      </x:c>
      <x:c r="V611" s="160" t="inlineStr">
        <x:is>
          <x:t xml:space="preserve">https://www.citigroup.com/citi/investor</x:t>
        </x:is>
      </x:c>
      <x:c r="W611" s="160" t="inlineStr">
        <x:is>
          <x:t xml:space="preserve">NO</x:t>
        </x:is>
      </x:c>
      <x:c r="X611" s="160" t="inlineStr">
        <x:is>
          <x:t xml:space="preserve">NONE — DEVELOPMENT ONLY</x:t>
        </x:is>
      </x:c>
      <x:c r="Y611" s="160" t="inlineStr">
        <x:is>
          <x:t xml:space="preserve">Synthetic/adversarial model-development loop. No historical outcome is claimed; no accuracy point is awarded.</x:t>
        </x:is>
      </x:c>
    </x:row>
    <x:row r="612">
      <x:c r="A612" s="160" t="inlineStr">
        <x:is>
          <x:t xml:space="preserve">ML0607</x:t>
        </x:is>
      </x:c>
      <x:c r="B612" s="160" t="inlineStr">
        <x:is>
          <x:t xml:space="preserve">ARG-038</x:t>
        </x:is>
      </x:c>
      <x:c r="C612" s="160" t="inlineStr">
        <x:is>
          <x:t xml:space="preserve">Citigroup</x:t>
        </x:is>
      </x:c>
      <x:c r="D612" s="160" t="inlineStr">
        <x:is>
          <x:t xml:space="preserve">C</x:t>
        </x:is>
      </x:c>
      <x:c r="E612" s="160" t="inlineStr">
        <x:is>
          <x:t xml:space="preserve">Banks</x:t>
        </x:is>
      </x:c>
      <x:c r="F612" s="160" t="inlineStr">
        <x:is>
          <x:t xml:space="preserve">Development</x:t>
        </x:is>
      </x:c>
      <x:c r="G612" s="160" t="inlineStr">
        <x:is>
          <x:t xml:space="preserve">S15</x:t>
        </x:is>
      </x:c>
      <x:c r="H612" s="160" t="inlineStr">
        <x:is>
          <x:t xml:space="preserve">Financing / Dilution Per Share</x:t>
        </x:is>
      </x:c>
      <x:c r="I612" s="160" t="inlineStr">
        <x:is>
          <x:t xml:space="preserve">Stewardship</x:t>
        </x:is>
      </x:c>
      <x:c r="J612" s="160" t="inlineStr">
        <x:is>
          <x:t xml:space="preserve">Cash balance or revenue growth improves while financing causes material per-share value leakage.</x:t>
        </x:is>
      </x:c>
      <x:c r="K612" s="160" t="inlineStr">
        <x:is>
          <x:t xml:space="preserve">Institutional/consumer franchises minus transformation costs</x:t>
        </x:is>
      </x:c>
      <x:c r="L612" s="160" t="inlineStr">
        <x:is>
          <x:t xml:space="preserve">Tangible book + normalized ROTCE</x:t>
        </x:is>
      </x:c>
      <x:c r="M612" s="160" t="inlineStr">
        <x:is>
          <x:t xml:space="preserve">WATCH</x:t>
        </x:is>
      </x:c>
      <x:c r="N612" s="160" t="inlineStr">
        <x:is>
          <x:t xml:space="preserve">R-DIL-01</x:t>
        </x:is>
      </x:c>
      <x:c r="O612" s="160" t="inlineStr">
        <x:is>
          <x:t xml:space="preserve">COUNTER-EVIDENCE</x:t>
        </x:is>
      </x:c>
      <x:c r="P612" s="160" t="inlineStr">
        <x:is>
          <x:t xml:space="preserve">ROBUST</x:t>
        </x:is>
      </x:c>
      <x:c r="Q612" s="160" t="inlineStr">
        <x:is>
          <x:t xml:space="preserve">The mature simulation rule catches the stress without weakening a fatal gate; no rule relaxation is justified.</x:t>
        </x:is>
      </x:c>
      <x:c r="R612" s="160" t="inlineStr">
        <x:is>
          <x:t xml:space="preserve">Reconcile share-count growth, SBC, equity issuance, buybacks and net cash changes to per-share intrinsic value.</x:t>
        </x:is>
      </x:c>
      <x:c r="S612" s="160" t="inlineStr">
        <x:is>
          <x:t xml:space="preserve">NO</x:t>
        </x:is>
      </x:c>
      <x:c r="T612" s="160" t="inlineStr">
        <x:is>
          <x:t xml:space="preserve">COUNTER-EVIDENCE</x:t>
        </x:is>
      </x:c>
      <x:c r="U612" s="160" t="inlineStr">
        <x:is>
          <x:t xml:space="preserve">V10.5-SIM60</x:t>
        </x:is>
      </x:c>
      <x:c r="V612" s="160" t="inlineStr">
        <x:is>
          <x:t xml:space="preserve">https://www.citigroup.com/citi/investor</x:t>
        </x:is>
      </x:c>
      <x:c r="W612" s="160" t="inlineStr">
        <x:is>
          <x:t xml:space="preserve">NO</x:t>
        </x:is>
      </x:c>
      <x:c r="X612" s="160" t="inlineStr">
        <x:is>
          <x:t xml:space="preserve">NONE — DEVELOPMENT ONLY</x:t>
        </x:is>
      </x:c>
      <x:c r="Y612" s="160" t="inlineStr">
        <x:is>
          <x:t xml:space="preserve">Synthetic/adversarial model-development loop. No historical outcome is claimed; no accuracy point is awarded.</x:t>
        </x:is>
      </x:c>
    </x:row>
    <x:row r="613">
      <x:c r="A613" s="160" t="inlineStr">
        <x:is>
          <x:t xml:space="preserve">ML0608</x:t>
        </x:is>
      </x:c>
      <x:c r="B613" s="160" t="inlineStr">
        <x:is>
          <x:t xml:space="preserve">ARG-038</x:t>
        </x:is>
      </x:c>
      <x:c r="C613" s="160" t="inlineStr">
        <x:is>
          <x:t xml:space="preserve">Citigroup</x:t>
        </x:is>
      </x:c>
      <x:c r="D613" s="160" t="inlineStr">
        <x:is>
          <x:t xml:space="preserve">C</x:t>
        </x:is>
      </x:c>
      <x:c r="E613" s="160" t="inlineStr">
        <x:is>
          <x:t xml:space="preserve">Banks</x:t>
        </x:is>
      </x:c>
      <x:c r="F613" s="160" t="inlineStr">
        <x:is>
          <x:t xml:space="preserve">Development</x:t>
        </x:is>
      </x:c>
      <x:c r="G613" s="160" t="inlineStr">
        <x:is>
          <x:t xml:space="preserve">S16</x:t>
        </x:is>
      </x:c>
      <x:c r="H613" s="160" t="inlineStr">
        <x:is>
          <x:t xml:space="preserve">Concentration / Tail Risk</x:t>
        </x:is>
      </x:c>
      <x:c r="I613" s="160" t="inlineStr">
        <x:is>
          <x:t xml:space="preserve">Survival</x:t>
        </x:is>
      </x:c>
      <x:c r="J613" s="160" t="inlineStr">
        <x:is>
          <x:t xml:space="preserve">A concentrated supplier, geography, customer, product, patent, regulatory or technology dependency creates asymmetric permanent-loss risk.</x:t>
        </x:is>
      </x:c>
      <x:c r="K613" s="160" t="inlineStr">
        <x:is>
          <x:t xml:space="preserve">Institutional/consumer franchises minus transformation costs</x:t>
        </x:is>
      </x:c>
      <x:c r="L613" s="160" t="inlineStr">
        <x:is>
          <x:t xml:space="preserve">Tangible book + normalized ROTCE</x:t>
        </x:is>
      </x:c>
      <x:c r="M613" s="160" t="inlineStr">
        <x:is>
          <x:t xml:space="preserve">WATCH</x:t>
        </x:is>
      </x:c>
      <x:c r="N613" s="160" t="inlineStr">
        <x:is>
          <x:t xml:space="preserve">R-TAIL-01</x:t>
        </x:is>
      </x:c>
      <x:c r="O613" s="160" t="inlineStr">
        <x:is>
          <x:t xml:space="preserve">COUNTER-EVIDENCE</x:t>
        </x:is>
      </x:c>
      <x:c r="P613" s="160" t="inlineStr">
        <x:is>
          <x:t xml:space="preserve">ROBUST</x:t>
        </x:is>
      </x:c>
      <x:c r="Q613" s="160" t="inlineStr">
        <x:is>
          <x:t xml:space="preserve">The mature simulation rule catches the stress without weakening a fatal gate; no rule relaxation is justified.</x:t>
        </x:is>
      </x:c>
      <x:c r="R613" s="160" t="inlineStr">
        <x:is>
          <x:t xml:space="preserve">Maintain an explicit concentration/tail-risk register with probability, severity, mitigation and required margin-of-safety premium.</x:t>
        </x:is>
      </x:c>
      <x:c r="S613" s="160" t="inlineStr">
        <x:is>
          <x:t xml:space="preserve">NO</x:t>
        </x:is>
      </x:c>
      <x:c r="T613" s="160" t="inlineStr">
        <x:is>
          <x:t xml:space="preserve">COUNTER-EVIDENCE</x:t>
        </x:is>
      </x:c>
      <x:c r="U613" s="160" t="inlineStr">
        <x:is>
          <x:t xml:space="preserve">V10.5-SIM60</x:t>
        </x:is>
      </x:c>
      <x:c r="V613" s="160" t="inlineStr">
        <x:is>
          <x:t xml:space="preserve">https://www.citigroup.com/citi/investor</x:t>
        </x:is>
      </x:c>
      <x:c r="W613" s="160" t="inlineStr">
        <x:is>
          <x:t xml:space="preserve">NO</x:t>
        </x:is>
      </x:c>
      <x:c r="X613" s="160" t="inlineStr">
        <x:is>
          <x:t xml:space="preserve">NONE — DEVELOPMENT ONLY</x:t>
        </x:is>
      </x:c>
      <x:c r="Y613" s="160" t="inlineStr">
        <x:is>
          <x:t xml:space="preserve">Synthetic/adversarial model-development loop. No historical outcome is claimed; no accuracy point is awarded.</x:t>
        </x:is>
      </x:c>
    </x:row>
    <x:row r="614">
      <x:c r="A614" s="160" t="inlineStr">
        <x:is>
          <x:t xml:space="preserve">ML0609</x:t>
        </x:is>
      </x:c>
      <x:c r="B614" s="160" t="inlineStr">
        <x:is>
          <x:t xml:space="preserve">ARG-039</x:t>
        </x:is>
      </x:c>
      <x:c r="C614" s="160" t="inlineStr">
        <x:is>
          <x:t xml:space="preserve">Goldman Sachs</x:t>
        </x:is>
      </x:c>
      <x:c r="D614" s="160" t="inlineStr">
        <x:is>
          <x:t xml:space="preserve">GS</x:t>
        </x:is>
      </x:c>
      <x:c r="E614" s="160" t="inlineStr">
        <x:is>
          <x:t xml:space="preserve">Capital Markets</x:t>
        </x:is>
      </x:c>
      <x:c r="F614" s="160" t="inlineStr">
        <x:is>
          <x:t xml:space="preserve">Development</x:t>
        </x:is>
      </x:c>
      <x:c r="G614" s="160" t="inlineStr">
        <x:is>
          <x:t xml:space="preserve">S01</x:t>
        </x:is>
      </x:c>
      <x:c r="H614" s="160" t="inlineStr">
        <x:is>
          <x:t xml:space="preserve">Understanding Gate</x:t>
        </x:is>
      </x:c>
      <x:c r="I614" s="160" t="inlineStr">
        <x:is>
          <x:t xml:space="preserve">Understanding</x:t>
        </x:is>
      </x:c>
      <x:c r="J614" s="160" t="inlineStr">
        <x:is>
          <x:t xml:space="preserve">Causal engine / customer ROI chain breaks under a misleading headline KPI.</x:t>
        </x:is>
      </x:c>
      <x:c r="K614" s="160" t="inlineStr">
        <x:is>
          <x:t xml:space="preserve">Advisory/trading/asset-management revenue minus compensation</x:t>
        </x:is>
      </x:c>
      <x:c r="L614" s="160" t="inlineStr">
        <x:is>
          <x:t xml:space="preserve">Normalized earnings + tangible book</x:t>
        </x:is>
      </x:c>
      <x:c r="M614" s="160" t="inlineStr">
        <x:is>
          <x:t xml:space="preserve">WATCH</x:t>
        </x:is>
      </x:c>
      <x:c r="N614" s="160" t="inlineStr">
        <x:is>
          <x:t xml:space="preserve">R-ENG-01</x:t>
        </x:is>
      </x:c>
      <x:c r="O614" s="160" t="inlineStr">
        <x:is>
          <x:t xml:space="preserve">COUNTER-EVIDENCE</x:t>
        </x:is>
      </x:c>
      <x:c r="P614" s="160" t="inlineStr">
        <x:is>
          <x:t xml:space="preserve">ROBUST</x:t>
        </x:is>
      </x:c>
      <x:c r="Q614" s="160" t="inlineStr">
        <x:is>
          <x:t xml:space="preserve">The mature simulation rule catches the stress without weakening a fatal gate; no rule relaxation is justified.</x:t>
        </x:is>
      </x:c>
      <x:c r="R614" s="160" t="inlineStr">
        <x:is>
          <x:t xml:space="preserve">Force an explicit engine tree: customer job → unit economics → revenue driver → owner-value bridge.</x:t>
        </x:is>
      </x:c>
      <x:c r="S614" s="160" t="inlineStr">
        <x:is>
          <x:t xml:space="preserve">NO</x:t>
        </x:is>
      </x:c>
      <x:c r="T614" s="160" t="inlineStr">
        <x:is>
          <x:t xml:space="preserve">COUNTER-EVIDENCE</x:t>
        </x:is>
      </x:c>
      <x:c r="U614" s="160" t="inlineStr">
        <x:is>
          <x:t xml:space="preserve">V10.5-SIM60</x:t>
        </x:is>
      </x:c>
      <x:c r="V614" s="160" t="inlineStr">
        <x:is>
          <x:t xml:space="preserve">https://www.goldmansachs.com/investor-relations</x:t>
        </x:is>
      </x:c>
      <x:c r="W614" s="160" t="inlineStr">
        <x:is>
          <x:t xml:space="preserve">NO</x:t>
        </x:is>
      </x:c>
      <x:c r="X614" s="160" t="inlineStr">
        <x:is>
          <x:t xml:space="preserve">NONE — DEVELOPMENT ONLY</x:t>
        </x:is>
      </x:c>
      <x:c r="Y614" s="160" t="inlineStr">
        <x:is>
          <x:t xml:space="preserve">Synthetic/adversarial model-development loop. No historical outcome is claimed; no accuracy point is awarded.</x:t>
        </x:is>
      </x:c>
    </x:row>
    <x:row r="615">
      <x:c r="A615" s="160" t="inlineStr">
        <x:is>
          <x:t xml:space="preserve">ML0610</x:t>
        </x:is>
      </x:c>
      <x:c r="B615" s="160" t="inlineStr">
        <x:is>
          <x:t xml:space="preserve">ARG-039</x:t>
        </x:is>
      </x:c>
      <x:c r="C615" s="160" t="inlineStr">
        <x:is>
          <x:t xml:space="preserve">Goldman Sachs</x:t>
        </x:is>
      </x:c>
      <x:c r="D615" s="160" t="inlineStr">
        <x:is>
          <x:t xml:space="preserve">GS</x:t>
        </x:is>
      </x:c>
      <x:c r="E615" s="160" t="inlineStr">
        <x:is>
          <x:t xml:space="preserve">Capital Markets</x:t>
        </x:is>
      </x:c>
      <x:c r="F615" s="160" t="inlineStr">
        <x:is>
          <x:t xml:space="preserve">Development</x:t>
        </x:is>
      </x:c>
      <x:c r="G615" s="160" t="inlineStr">
        <x:is>
          <x:t xml:space="preserve">S02</x:t>
        </x:is>
      </x:c>
      <x:c r="H615" s="160" t="inlineStr">
        <x:is>
          <x:t xml:space="preserve">Owner Earnings Normalization</x:t>
        </x:is>
      </x:c>
      <x:c r="I615" s="160" t="inlineStr">
        <x:is>
          <x:t xml:space="preserve">Owner Earnings</x:t>
        </x:is>
      </x:c>
      <x:c r="J615" s="160" t="inlineStr">
        <x:is>
          <x:t xml:space="preserve">Reported earnings/FCF overstates economic cash because recurring reinvestment or non-cash compensation is misclassified.</x:t>
        </x:is>
      </x:c>
      <x:c r="K615" s="160" t="inlineStr">
        <x:is>
          <x:t xml:space="preserve">Advisory/trading/asset-management revenue minus compensation</x:t>
        </x:is>
      </x:c>
      <x:c r="L615" s="160" t="inlineStr">
        <x:is>
          <x:t xml:space="preserve">Normalized earnings + tangible book</x:t>
        </x:is>
      </x:c>
      <x:c r="M615" s="160" t="inlineStr">
        <x:is>
          <x:t xml:space="preserve">WATCH</x:t>
        </x:is>
      </x:c>
      <x:c r="N615" s="160" t="inlineStr">
        <x:is>
          <x:t xml:space="preserve">R-OE-01</x:t>
        </x:is>
      </x:c>
      <x:c r="O615" s="160" t="inlineStr">
        <x:is>
          <x:t xml:space="preserve">COUNTER-EVIDENCE</x:t>
        </x:is>
      </x:c>
      <x:c r="P615" s="160" t="inlineStr">
        <x:is>
          <x:t xml:space="preserve">ROBUST</x:t>
        </x:is>
      </x:c>
      <x:c r="Q615" s="160" t="inlineStr">
        <x:is>
          <x:t xml:space="preserve">The mature simulation rule catches the stress without weakening a fatal gate; no rule relaxation is justified.</x:t>
        </x:is>
      </x:c>
      <x:c r="R615" s="160" t="inlineStr">
        <x:is>
          <x:t xml:space="preserve">Require a GAAP-to-economic-owner-cash bridge tailored to the business model.</x:t>
        </x:is>
      </x:c>
      <x:c r="S615" s="160" t="inlineStr">
        <x:is>
          <x:t xml:space="preserve">NO</x:t>
        </x:is>
      </x:c>
      <x:c r="T615" s="160" t="inlineStr">
        <x:is>
          <x:t xml:space="preserve">COUNTER-EVIDENCE</x:t>
        </x:is>
      </x:c>
      <x:c r="U615" s="160" t="inlineStr">
        <x:is>
          <x:t xml:space="preserve">V10.5-SIM60</x:t>
        </x:is>
      </x:c>
      <x:c r="V615" s="160" t="inlineStr">
        <x:is>
          <x:t xml:space="preserve">https://www.goldmansachs.com/investor-relations</x:t>
        </x:is>
      </x:c>
      <x:c r="W615" s="160" t="inlineStr">
        <x:is>
          <x:t xml:space="preserve">NO</x:t>
        </x:is>
      </x:c>
      <x:c r="X615" s="160" t="inlineStr">
        <x:is>
          <x:t xml:space="preserve">NONE — DEVELOPMENT ONLY</x:t>
        </x:is>
      </x:c>
      <x:c r="Y615" s="160" t="inlineStr">
        <x:is>
          <x:t xml:space="preserve">Synthetic/adversarial model-development loop. No historical outcome is claimed; no accuracy point is awarded.</x:t>
        </x:is>
      </x:c>
    </x:row>
    <x:row r="616">
      <x:c r="A616" s="160" t="inlineStr">
        <x:is>
          <x:t xml:space="preserve">ML0611</x:t>
        </x:is>
      </x:c>
      <x:c r="B616" s="160" t="inlineStr">
        <x:is>
          <x:t xml:space="preserve">ARG-039</x:t>
        </x:is>
      </x:c>
      <x:c r="C616" s="160" t="inlineStr">
        <x:is>
          <x:t xml:space="preserve">Goldman Sachs</x:t>
        </x:is>
      </x:c>
      <x:c r="D616" s="160" t="inlineStr">
        <x:is>
          <x:t xml:space="preserve">GS</x:t>
        </x:is>
      </x:c>
      <x:c r="E616" s="160" t="inlineStr">
        <x:is>
          <x:t xml:space="preserve">Capital Markets</x:t>
        </x:is>
      </x:c>
      <x:c r="F616" s="160" t="inlineStr">
        <x:is>
          <x:t xml:space="preserve">Development</x:t>
        </x:is>
      </x:c>
      <x:c r="G616" s="160" t="inlineStr">
        <x:is>
          <x:t xml:space="preserve">S03</x:t>
        </x:is>
      </x:c>
      <x:c r="H616" s="160" t="inlineStr">
        <x:is>
          <x:t xml:space="preserve">Moat Durability</x:t>
        </x:is>
      </x:c>
      <x:c r="I616" s="160" t="inlineStr">
        <x:is>
          <x:t xml:space="preserve">Moat 2036</x:t>
        </x:is>
      </x:c>
      <x:c r="J616" s="160" t="inlineStr">
        <x:is>
          <x:t xml:space="preserve">Growth continues while switching friction, pricing power or replacement difficulty quietly weakens.</x:t>
        </x:is>
      </x:c>
      <x:c r="K616" s="160" t="inlineStr">
        <x:is>
          <x:t xml:space="preserve">Advisory/trading/asset-management revenue minus compensation</x:t>
        </x:is>
      </x:c>
      <x:c r="L616" s="160" t="inlineStr">
        <x:is>
          <x:t xml:space="preserve">Normalized earnings + tangible book</x:t>
        </x:is>
      </x:c>
      <x:c r="M616" s="160" t="inlineStr">
        <x:is>
          <x:t xml:space="preserve">WATCH</x:t>
        </x:is>
      </x:c>
      <x:c r="N616" s="160" t="inlineStr">
        <x:is>
          <x:t xml:space="preserve">R-MOAT-01</x:t>
        </x:is>
      </x:c>
      <x:c r="O616" s="160" t="inlineStr">
        <x:is>
          <x:t xml:space="preserve">COUNTER-EVIDENCE</x:t>
        </x:is>
      </x:c>
      <x:c r="P616" s="160" t="inlineStr">
        <x:is>
          <x:t xml:space="preserve">ROBUST</x:t>
        </x:is>
      </x:c>
      <x:c r="Q616" s="160" t="inlineStr">
        <x:is>
          <x:t xml:space="preserve">The mature simulation rule catches the stress without weakening a fatal gate; no rule relaxation is justified.</x:t>
        </x:is>
      </x:c>
      <x:c r="R616" s="160" t="inlineStr">
        <x:is>
          <x:t xml:space="preserve">Track moat telemetry separately from growth: retention, pricing, win/loss, replacement friction, installed-base behavior.</x:t>
        </x:is>
      </x:c>
      <x:c r="S616" s="160" t="inlineStr">
        <x:is>
          <x:t xml:space="preserve">NO</x:t>
        </x:is>
      </x:c>
      <x:c r="T616" s="160" t="inlineStr">
        <x:is>
          <x:t xml:space="preserve">COUNTER-EVIDENCE</x:t>
        </x:is>
      </x:c>
      <x:c r="U616" s="160" t="inlineStr">
        <x:is>
          <x:t xml:space="preserve">V10.5-SIM60</x:t>
        </x:is>
      </x:c>
      <x:c r="V616" s="160" t="inlineStr">
        <x:is>
          <x:t xml:space="preserve">https://www.goldmansachs.com/investor-relations</x:t>
        </x:is>
      </x:c>
      <x:c r="W616" s="160" t="inlineStr">
        <x:is>
          <x:t xml:space="preserve">NO</x:t>
        </x:is>
      </x:c>
      <x:c r="X616" s="160" t="inlineStr">
        <x:is>
          <x:t xml:space="preserve">NONE — DEVELOPMENT ONLY</x:t>
        </x:is>
      </x:c>
      <x:c r="Y616" s="160" t="inlineStr">
        <x:is>
          <x:t xml:space="preserve">Synthetic/adversarial model-development loop. No historical outcome is claimed; no accuracy point is awarded.</x:t>
        </x:is>
      </x:c>
    </x:row>
    <x:row r="617">
      <x:c r="A617" s="160" t="inlineStr">
        <x:is>
          <x:t xml:space="preserve">ML0612</x:t>
        </x:is>
      </x:c>
      <x:c r="B617" s="160" t="inlineStr">
        <x:is>
          <x:t xml:space="preserve">ARG-039</x:t>
        </x:is>
      </x:c>
      <x:c r="C617" s="160" t="inlineStr">
        <x:is>
          <x:t xml:space="preserve">Goldman Sachs</x:t>
        </x:is>
      </x:c>
      <x:c r="D617" s="160" t="inlineStr">
        <x:is>
          <x:t xml:space="preserve">GS</x:t>
        </x:is>
      </x:c>
      <x:c r="E617" s="160" t="inlineStr">
        <x:is>
          <x:t xml:space="preserve">Capital Markets</x:t>
        </x:is>
      </x:c>
      <x:c r="F617" s="160" t="inlineStr">
        <x:is>
          <x:t xml:space="preserve">Development</x:t>
        </x:is>
      </x:c>
      <x:c r="G617" s="160" t="inlineStr">
        <x:is>
          <x:t xml:space="preserve">S04</x:t>
        </x:is>
      </x:c>
      <x:c r="H617" s="160" t="inlineStr">
        <x:is>
          <x:t xml:space="preserve">Stewardship / Capital Allocation</x:t>
        </x:is>
      </x:c>
      <x:c r="I617" s="160" t="inlineStr">
        <x:is>
          <x:t xml:space="preserve">Stewardship</x:t>
        </x:is>
      </x:c>
      <x:c r="J617" s="160" t="inlineStr">
        <x:is>
          <x:t xml:space="preserve">Management creates enterprise growth while destroying per-share value through M&amp;A, dilution, leverage or mistimed buybacks.</x:t>
        </x:is>
      </x:c>
      <x:c r="K617" s="160" t="inlineStr">
        <x:is>
          <x:t xml:space="preserve">Advisory/trading/asset-management revenue minus compensation</x:t>
        </x:is>
      </x:c>
      <x:c r="L617" s="160" t="inlineStr">
        <x:is>
          <x:t xml:space="preserve">Normalized earnings + tangible book</x:t>
        </x:is>
      </x:c>
      <x:c r="M617" s="160" t="inlineStr">
        <x:is>
          <x:t xml:space="preserve">WATCH</x:t>
        </x:is>
      </x:c>
      <x:c r="N617" s="160" t="inlineStr">
        <x:is>
          <x:t xml:space="preserve">R-STEW-01</x:t>
        </x:is>
      </x:c>
      <x:c r="O617" s="160" t="inlineStr">
        <x:is>
          <x:t xml:space="preserve">COUNTER-EVIDENCE</x:t>
        </x:is>
      </x:c>
      <x:c r="P617" s="160" t="inlineStr">
        <x:is>
          <x:t xml:space="preserve">ROBUST</x:t>
        </x:is>
      </x:c>
      <x:c r="Q617" s="160" t="inlineStr">
        <x:is>
          <x:t xml:space="preserve">The mature simulation rule catches the stress without weakening a fatal gate; no rule relaxation is justified.</x:t>
        </x:is>
      </x:c>
      <x:c r="R617" s="160" t="inlineStr">
        <x:is>
          <x:t xml:space="preserve">Evaluate capital allocation on a per-share basis using acquisition cohorts, dilution, leverage and repurchase price discipline.</x:t>
        </x:is>
      </x:c>
      <x:c r="S617" s="160" t="inlineStr">
        <x:is>
          <x:t xml:space="preserve">NO</x:t>
        </x:is>
      </x:c>
      <x:c r="T617" s="160" t="inlineStr">
        <x:is>
          <x:t xml:space="preserve">COUNTER-EVIDENCE</x:t>
        </x:is>
      </x:c>
      <x:c r="U617" s="160" t="inlineStr">
        <x:is>
          <x:t xml:space="preserve">V10.5-SIM60</x:t>
        </x:is>
      </x:c>
      <x:c r="V617" s="160" t="inlineStr">
        <x:is>
          <x:t xml:space="preserve">https://www.goldmansachs.com/investor-relations</x:t>
        </x:is>
      </x:c>
      <x:c r="W617" s="160" t="inlineStr">
        <x:is>
          <x:t xml:space="preserve">NO</x:t>
        </x:is>
      </x:c>
      <x:c r="X617" s="160" t="inlineStr">
        <x:is>
          <x:t xml:space="preserve">NONE — DEVELOPMENT ONLY</x:t>
        </x:is>
      </x:c>
      <x:c r="Y617" s="160" t="inlineStr">
        <x:is>
          <x:t xml:space="preserve">Synthetic/adversarial model-development loop. No historical outcome is claimed; no accuracy point is awarded.</x:t>
        </x:is>
      </x:c>
    </x:row>
    <x:row r="618">
      <x:c r="A618" s="160" t="inlineStr">
        <x:is>
          <x:t xml:space="preserve">ML0613</x:t>
        </x:is>
      </x:c>
      <x:c r="B618" s="160" t="inlineStr">
        <x:is>
          <x:t xml:space="preserve">ARG-039</x:t>
        </x:is>
      </x:c>
      <x:c r="C618" s="160" t="inlineStr">
        <x:is>
          <x:t xml:space="preserve">Goldman Sachs</x:t>
        </x:is>
      </x:c>
      <x:c r="D618" s="160" t="inlineStr">
        <x:is>
          <x:t xml:space="preserve">GS</x:t>
        </x:is>
      </x:c>
      <x:c r="E618" s="160" t="inlineStr">
        <x:is>
          <x:t xml:space="preserve">Capital Markets</x:t>
        </x:is>
      </x:c>
      <x:c r="F618" s="160" t="inlineStr">
        <x:is>
          <x:t xml:space="preserve">Development</x:t>
        </x:is>
      </x:c>
      <x:c r="G618" s="160" t="inlineStr">
        <x:is>
          <x:t xml:space="preserve">S05</x:t>
        </x:is>
      </x:c>
      <x:c r="H618" s="160" t="inlineStr">
        <x:is>
          <x:t xml:space="preserve">Survival / Funding</x:t>
        </x:is>
      </x:c>
      <x:c r="I618" s="160" t="inlineStr">
        <x:is>
          <x:t xml:space="preserve">Survival</x:t>
        </x:is>
      </x:c>
      <x:c r="J618" s="160" t="inlineStr">
        <x:is>
          <x:t xml:space="preserve">A plausible bear case exposes refinancing, liquidity, covenant, reserve, regulatory or operational fragility.</x:t>
        </x:is>
      </x:c>
      <x:c r="K618" s="160" t="inlineStr">
        <x:is>
          <x:t xml:space="preserve">Advisory/trading/asset-management revenue minus compensation</x:t>
        </x:is>
      </x:c>
      <x:c r="L618" s="160" t="inlineStr">
        <x:is>
          <x:t xml:space="preserve">Normalized earnings + tangible book</x:t>
        </x:is>
      </x:c>
      <x:c r="M618" s="160" t="inlineStr">
        <x:is>
          <x:t xml:space="preserve">WATCH</x:t>
        </x:is>
      </x:c>
      <x:c r="N618" s="160" t="inlineStr">
        <x:is>
          <x:t xml:space="preserve">R-SURV-01</x:t>
        </x:is>
      </x:c>
      <x:c r="O618" s="160" t="inlineStr">
        <x:is>
          <x:t xml:space="preserve">COUNTER-EVIDENCE</x:t>
        </x:is>
      </x:c>
      <x:c r="P618" s="160" t="inlineStr">
        <x:is>
          <x:t xml:space="preserve">ROBUST</x:t>
        </x:is>
      </x:c>
      <x:c r="Q618" s="160" t="inlineStr">
        <x:is>
          <x:t xml:space="preserve">The mature simulation rule catches the stress without weakening a fatal gate; no rule relaxation is justified.</x:t>
        </x:is>
      </x:c>
      <x:c r="R618" s="160" t="inlineStr">
        <x:is>
          <x:t xml:space="preserve">Run a company-specific survival bridge under a severe-but-plausible bear case before any upside underwriting.</x:t>
        </x:is>
      </x:c>
      <x:c r="S618" s="160" t="inlineStr">
        <x:is>
          <x:t xml:space="preserve">NO</x:t>
        </x:is>
      </x:c>
      <x:c r="T618" s="160" t="inlineStr">
        <x:is>
          <x:t xml:space="preserve">COUNTER-EVIDENCE</x:t>
        </x:is>
      </x:c>
      <x:c r="U618" s="160" t="inlineStr">
        <x:is>
          <x:t xml:space="preserve">V10.5-SIM60</x:t>
        </x:is>
      </x:c>
      <x:c r="V618" s="160" t="inlineStr">
        <x:is>
          <x:t xml:space="preserve">https://www.goldmansachs.com/investor-relations</x:t>
        </x:is>
      </x:c>
      <x:c r="W618" s="160" t="inlineStr">
        <x:is>
          <x:t xml:space="preserve">NO</x:t>
        </x:is>
      </x:c>
      <x:c r="X618" s="160" t="inlineStr">
        <x:is>
          <x:t xml:space="preserve">NONE — DEVELOPMENT ONLY</x:t>
        </x:is>
      </x:c>
      <x:c r="Y618" s="160" t="inlineStr">
        <x:is>
          <x:t xml:space="preserve">Synthetic/adversarial model-development loop. No historical outcome is claimed; no accuracy point is awarded.</x:t>
        </x:is>
      </x:c>
    </x:row>
    <x:row r="619">
      <x:c r="A619" s="160" t="inlineStr">
        <x:is>
          <x:t xml:space="preserve">ML0614</x:t>
        </x:is>
      </x:c>
      <x:c r="B619" s="160" t="inlineStr">
        <x:is>
          <x:t xml:space="preserve">ARG-039</x:t>
        </x:is>
      </x:c>
      <x:c r="C619" s="160" t="inlineStr">
        <x:is>
          <x:t xml:space="preserve">Goldman Sachs</x:t>
        </x:is>
      </x:c>
      <x:c r="D619" s="160" t="inlineStr">
        <x:is>
          <x:t xml:space="preserve">GS</x:t>
        </x:is>
      </x:c>
      <x:c r="E619" s="160" t="inlineStr">
        <x:is>
          <x:t xml:space="preserve">Capital Markets</x:t>
        </x:is>
      </x:c>
      <x:c r="F619" s="160" t="inlineStr">
        <x:is>
          <x:t xml:space="preserve">Development</x:t>
        </x:is>
      </x:c>
      <x:c r="G619" s="160" t="inlineStr">
        <x:is>
          <x:t xml:space="preserve">S06</x:t>
        </x:is>
      </x:c>
      <x:c r="H619" s="160" t="inlineStr">
        <x:is>
          <x:t xml:space="preserve">Margin of Safety</x:t>
        </x:is>
      </x:c>
      <x:c r="I619" s="160" t="inlineStr">
        <x:is>
          <x:t xml:space="preserve">Margin of Safety</x:t>
        </x:is>
      </x:c>
      <x:c r="J619" s="160" t="inlineStr">
        <x:is>
          <x:t xml:space="preserve">Business quality is high but the price embeds a fragile bull case.</x:t>
        </x:is>
      </x:c>
      <x:c r="K619" s="160" t="inlineStr">
        <x:is>
          <x:t xml:space="preserve">Advisory/trading/asset-management revenue minus compensation</x:t>
        </x:is>
      </x:c>
      <x:c r="L619" s="160" t="inlineStr">
        <x:is>
          <x:t xml:space="preserve">Normalized earnings + tangible book</x:t>
        </x:is>
      </x:c>
      <x:c r="M619" s="160" t="inlineStr">
        <x:is>
          <x:t xml:space="preserve">WATCH</x:t>
        </x:is>
      </x:c>
      <x:c r="N619" s="160" t="inlineStr">
        <x:is>
          <x:t xml:space="preserve">R-MOS-01</x:t>
        </x:is>
      </x:c>
      <x:c r="O619" s="160" t="inlineStr">
        <x:is>
          <x:t xml:space="preserve">COUNTER-EVIDENCE</x:t>
        </x:is>
      </x:c>
      <x:c r="P619" s="160" t="inlineStr">
        <x:is>
          <x:t xml:space="preserve">ROBUST</x:t>
        </x:is>
      </x:c>
      <x:c r="Q619" s="160" t="inlineStr">
        <x:is>
          <x:t xml:space="preserve">The mature simulation rule catches the stress without weakening a fatal gate; no rule relaxation is justified.</x:t>
        </x:is>
      </x:c>
      <x:c r="R619" s="160" t="inlineStr">
        <x:is>
          <x:t xml:space="preserve">Separate business-quality score from price decision; require reverse valuation and bear/base/bull IV ranges.</x:t>
        </x:is>
      </x:c>
      <x:c r="S619" s="160" t="inlineStr">
        <x:is>
          <x:t xml:space="preserve">NO</x:t>
        </x:is>
      </x:c>
      <x:c r="T619" s="160" t="inlineStr">
        <x:is>
          <x:t xml:space="preserve">COUNTER-EVIDENCE</x:t>
        </x:is>
      </x:c>
      <x:c r="U619" s="160" t="inlineStr">
        <x:is>
          <x:t xml:space="preserve">V10.5-SIM60</x:t>
        </x:is>
      </x:c>
      <x:c r="V619" s="160" t="inlineStr">
        <x:is>
          <x:t xml:space="preserve">https://www.goldmansachs.com/investor-relations</x:t>
        </x:is>
      </x:c>
      <x:c r="W619" s="160" t="inlineStr">
        <x:is>
          <x:t xml:space="preserve">NO</x:t>
        </x:is>
      </x:c>
      <x:c r="X619" s="160" t="inlineStr">
        <x:is>
          <x:t xml:space="preserve">NONE — DEVELOPMENT ONLY</x:t>
        </x:is>
      </x:c>
      <x:c r="Y619" s="160" t="inlineStr">
        <x:is>
          <x:t xml:space="preserve">Synthetic/adversarial model-development loop. No historical outcome is claimed; no accuracy point is awarded.</x:t>
        </x:is>
      </x:c>
    </x:row>
    <x:row r="620">
      <x:c r="A620" s="160" t="inlineStr">
        <x:is>
          <x:t xml:space="preserve">ML0615</x:t>
        </x:is>
      </x:c>
      <x:c r="B620" s="160" t="inlineStr">
        <x:is>
          <x:t xml:space="preserve">ARG-039</x:t>
        </x:is>
      </x:c>
      <x:c r="C620" s="160" t="inlineStr">
        <x:is>
          <x:t xml:space="preserve">Goldman Sachs</x:t>
        </x:is>
      </x:c>
      <x:c r="D620" s="160" t="inlineStr">
        <x:is>
          <x:t xml:space="preserve">GS</x:t>
        </x:is>
      </x:c>
      <x:c r="E620" s="160" t="inlineStr">
        <x:is>
          <x:t xml:space="preserve">Capital Markets</x:t>
        </x:is>
      </x:c>
      <x:c r="F620" s="160" t="inlineStr">
        <x:is>
          <x:t xml:space="preserve">Development</x:t>
        </x:is>
      </x:c>
      <x:c r="G620" s="160" t="inlineStr">
        <x:is>
          <x:t xml:space="preserve">S07</x:t>
        </x:is>
      </x:c>
      <x:c r="H620" s="160" t="inlineStr">
        <x:is>
          <x:t xml:space="preserve">Sector Shock</x:t>
        </x:is>
      </x:c>
      <x:c r="I620" s="160" t="inlineStr">
        <x:is>
          <x:t xml:space="preserve">Sector-specific</x:t>
        </x:is>
      </x:c>
      <x:c r="J620" s="160" t="inlineStr">
        <x:is>
          <x:t xml:space="preserve">Trading/advisory rebounds but compensation and cycle normalization absorb much of the apparent operating leverage.</x:t>
        </x:is>
      </x:c>
      <x:c r="K620" s="160" t="inlineStr">
        <x:is>
          <x:t xml:space="preserve">Advisory/trading/asset-management revenue minus compensation</x:t>
        </x:is>
      </x:c>
      <x:c r="L620" s="160" t="inlineStr">
        <x:is>
          <x:t xml:space="preserve">Normalized earnings + tangible book</x:t>
        </x:is>
      </x:c>
      <x:c r="M620" s="160" t="inlineStr">
        <x:is>
          <x:t xml:space="preserve">WATCH</x:t>
        </x:is>
      </x:c>
      <x:c r="N620" s="160" t="inlineStr">
        <x:is>
          <x:t xml:space="preserve">R-SECTOR-CAPITAL-MARKETS</x:t>
        </x:is>
      </x:c>
      <x:c r="O620" s="160" t="inlineStr">
        <x:is>
          <x:t xml:space="preserve">UNFORMED</x:t>
        </x:is>
      </x:c>
      <x:c r="P620" s="160" t="inlineStr">
        <x:is>
          <x:t xml:space="preserve">WEAKNESS EXPOSED</x:t>
        </x:is>
      </x:c>
      <x:c r="Q620" s="160" t="inlineStr">
        <x:is>
          <x:t xml:space="preserve">The frozen V10 gate family is directionally right, but the test lacks a sufficiently explicit mechanical implementation.</x:t>
        </x:is>
      </x:c>
      <x:c r="R620" s="160" t="inlineStr">
        <x:is>
          <x:t xml:space="preserve">Add a sector-specific transmission map with leading operating sensors, not only market-price variables. Sector rule: Trading/advisory rebounds but compensation and cycle normalization absorb much of the apparent operating leverage.</x:t>
        </x:is>
      </x:c>
      <x:c r="S620" s="160" t="inlineStr">
        <x:is>
          <x:t xml:space="preserve">NO</x:t>
        </x:is>
      </x:c>
      <x:c r="T620" s="160" t="inlineStr">
        <x:is>
          <x:t xml:space="preserve">UNFORMED</x:t>
        </x:is>
      </x:c>
      <x:c r="U620" s="160" t="inlineStr">
        <x:is>
          <x:t xml:space="preserve">V10.5-SIM60</x:t>
        </x:is>
      </x:c>
      <x:c r="V620" s="160" t="inlineStr">
        <x:is>
          <x:t xml:space="preserve">https://www.goldmansachs.com/investor-relations</x:t>
        </x:is>
      </x:c>
      <x:c r="W620" s="160" t="inlineStr">
        <x:is>
          <x:t xml:space="preserve">NO</x:t>
        </x:is>
      </x:c>
      <x:c r="X620" s="160" t="inlineStr">
        <x:is>
          <x:t xml:space="preserve">NONE — DEVELOPMENT ONLY</x:t>
        </x:is>
      </x:c>
      <x:c r="Y620" s="160" t="inlineStr">
        <x:is>
          <x:t xml:space="preserve">Synthetic/adversarial model-development loop. No historical outcome is claimed; no accuracy point is awarded.</x:t>
        </x:is>
      </x:c>
    </x:row>
    <x:row r="621">
      <x:c r="A621" s="160" t="inlineStr">
        <x:is>
          <x:t xml:space="preserve">ML0616</x:t>
        </x:is>
      </x:c>
      <x:c r="B621" s="160" t="inlineStr">
        <x:is>
          <x:t xml:space="preserve">ARG-039</x:t>
        </x:is>
      </x:c>
      <x:c r="C621" s="160" t="inlineStr">
        <x:is>
          <x:t xml:space="preserve">Goldman Sachs</x:t>
        </x:is>
      </x:c>
      <x:c r="D621" s="160" t="inlineStr">
        <x:is>
          <x:t xml:space="preserve">GS</x:t>
        </x:is>
      </x:c>
      <x:c r="E621" s="160" t="inlineStr">
        <x:is>
          <x:t xml:space="preserve">Capital Markets</x:t>
        </x:is>
      </x:c>
      <x:c r="F621" s="160" t="inlineStr">
        <x:is>
          <x:t xml:space="preserve">Development</x:t>
        </x:is>
      </x:c>
      <x:c r="G621" s="160" t="inlineStr">
        <x:is>
          <x:t xml:space="preserve">S08</x:t>
        </x:is>
      </x:c>
      <x:c r="H621" s="160" t="inlineStr">
        <x:is>
          <x:t xml:space="preserve">Management Promise Reliability</x:t>
        </x:is>
      </x:c>
      <x:c r="I621" s="160" t="inlineStr">
        <x:is>
          <x:t xml:space="preserve">Management over-trust</x:t>
        </x:is>
      </x:c>
      <x:c r="J621" s="160" t="inlineStr">
        <x:is>
          <x:t xml:space="preserve">Guidance or strategic promises are repeated but the model lacks a contemporaneous reliability score.</x:t>
        </x:is>
      </x:c>
      <x:c r="K621" s="160" t="inlineStr">
        <x:is>
          <x:t xml:space="preserve">Advisory/trading/asset-management revenue minus compensation</x:t>
        </x:is>
      </x:c>
      <x:c r="L621" s="160" t="inlineStr">
        <x:is>
          <x:t xml:space="preserve">Normalized earnings + tangible book</x:t>
        </x:is>
      </x:c>
      <x:c r="M621" s="160" t="inlineStr">
        <x:is>
          <x:t xml:space="preserve">WATCH</x:t>
        </x:is>
      </x:c>
      <x:c r="N621" s="160" t="inlineStr">
        <x:is>
          <x:t xml:space="preserve">R-PROM-01</x:t>
        </x:is>
      </x:c>
      <x:c r="O621" s="160" t="inlineStr">
        <x:is>
          <x:t xml:space="preserve">COUNTER-EVIDENCE</x:t>
        </x:is>
      </x:c>
      <x:c r="P621" s="160" t="inlineStr">
        <x:is>
          <x:t xml:space="preserve">ROBUST</x:t>
        </x:is>
      </x:c>
      <x:c r="Q621" s="160" t="inlineStr">
        <x:is>
          <x:t xml:space="preserve">The mature simulation rule catches the stress without weakening a fatal gate; no rule relaxation is justified.</x:t>
        </x:is>
      </x:c>
      <x:c r="R621" s="160" t="inlineStr">
        <x:is>
          <x:t xml:space="preserve">Use a promises ledger with dated promise, measurable deliverable, due date, outcome and credibility weight.</x:t>
        </x:is>
      </x:c>
      <x:c r="S621" s="160" t="inlineStr">
        <x:is>
          <x:t xml:space="preserve">NO</x:t>
        </x:is>
      </x:c>
      <x:c r="T621" s="160" t="inlineStr">
        <x:is>
          <x:t xml:space="preserve">COUNTER-EVIDENCE</x:t>
        </x:is>
      </x:c>
      <x:c r="U621" s="160" t="inlineStr">
        <x:is>
          <x:t xml:space="preserve">V10.5-SIM60</x:t>
        </x:is>
      </x:c>
      <x:c r="V621" s="160" t="inlineStr">
        <x:is>
          <x:t xml:space="preserve">https://www.goldmansachs.com/investor-relations</x:t>
        </x:is>
      </x:c>
      <x:c r="W621" s="160" t="inlineStr">
        <x:is>
          <x:t xml:space="preserve">NO</x:t>
        </x:is>
      </x:c>
      <x:c r="X621" s="160" t="inlineStr">
        <x:is>
          <x:t xml:space="preserve">NONE — DEVELOPMENT ONLY</x:t>
        </x:is>
      </x:c>
      <x:c r="Y621" s="160" t="inlineStr">
        <x:is>
          <x:t xml:space="preserve">Synthetic/adversarial model-development loop. No historical outcome is claimed; no accuracy point is awarded.</x:t>
        </x:is>
      </x:c>
    </x:row>
    <x:row r="622">
      <x:c r="A622" s="160" t="inlineStr">
        <x:is>
          <x:t xml:space="preserve">ML0617</x:t>
        </x:is>
      </x:c>
      <x:c r="B622" s="160" t="inlineStr">
        <x:is>
          <x:t xml:space="preserve">ARG-039</x:t>
        </x:is>
      </x:c>
      <x:c r="C622" s="160" t="inlineStr">
        <x:is>
          <x:t xml:space="preserve">Goldman Sachs</x:t>
        </x:is>
      </x:c>
      <x:c r="D622" s="160" t="inlineStr">
        <x:is>
          <x:t xml:space="preserve">GS</x:t>
        </x:is>
      </x:c>
      <x:c r="E622" s="160" t="inlineStr">
        <x:is>
          <x:t xml:space="preserve">Capital Markets</x:t>
        </x:is>
      </x:c>
      <x:c r="F622" s="160" t="inlineStr">
        <x:is>
          <x:t xml:space="preserve">Development</x:t>
        </x:is>
      </x:c>
      <x:c r="G622" s="160" t="inlineStr">
        <x:is>
          <x:t xml:space="preserve">S09</x:t>
        </x:is>
      </x:c>
      <x:c r="H622" s="160" t="inlineStr">
        <x:is>
          <x:t xml:space="preserve">Data / Accounting Quality</x:t>
        </x:is>
      </x:c>
      <x:c r="I622" s="160" t="inlineStr">
        <x:is>
          <x:t xml:space="preserve">Data quality</x:t>
        </x:is>
      </x:c>
      <x:c r="J622" s="160" t="inlineStr">
        <x:is>
          <x:t xml:space="preserve">Restatement, segment reclassification, one-time item or non-economic fair-value movement distorts the apparent trend.</x:t>
        </x:is>
      </x:c>
      <x:c r="K622" s="160" t="inlineStr">
        <x:is>
          <x:t xml:space="preserve">Advisory/trading/asset-management revenue minus compensation</x:t>
        </x:is>
      </x:c>
      <x:c r="L622" s="160" t="inlineStr">
        <x:is>
          <x:t xml:space="preserve">Normalized earnings + tangible book</x:t>
        </x:is>
      </x:c>
      <x:c r="M622" s="160" t="inlineStr">
        <x:is>
          <x:t xml:space="preserve">WATCH</x:t>
        </x:is>
      </x:c>
      <x:c r="N622" s="160" t="inlineStr">
        <x:is>
          <x:t xml:space="preserve">R-DATA-01</x:t>
        </x:is>
      </x:c>
      <x:c r="O622" s="160" t="inlineStr">
        <x:is>
          <x:t xml:space="preserve">COUNTER-EVIDENCE</x:t>
        </x:is>
      </x:c>
      <x:c r="P622" s="160" t="inlineStr">
        <x:is>
          <x:t xml:space="preserve">ROBUST</x:t>
        </x:is>
      </x:c>
      <x:c r="Q622" s="160" t="inlineStr">
        <x:is>
          <x:t xml:space="preserve">The mature simulation rule catches the stress without weakening a fatal gate; no rule relaxation is justified.</x:t>
        </x:is>
      </x:c>
      <x:c r="R622" s="160" t="inlineStr">
        <x:is>
          <x:t xml:space="preserve">Add a reporting-quality bridge and normalize accounting noise before any gate can pass.</x:t>
        </x:is>
      </x:c>
      <x:c r="S622" s="160" t="inlineStr">
        <x:is>
          <x:t xml:space="preserve">NO</x:t>
        </x:is>
      </x:c>
      <x:c r="T622" s="160" t="inlineStr">
        <x:is>
          <x:t xml:space="preserve">COUNTER-EVIDENCE</x:t>
        </x:is>
      </x:c>
      <x:c r="U622" s="160" t="inlineStr">
        <x:is>
          <x:t xml:space="preserve">V10.5-SIM60</x:t>
        </x:is>
      </x:c>
      <x:c r="V622" s="160" t="inlineStr">
        <x:is>
          <x:t xml:space="preserve">https://www.goldmansachs.com/investor-relations</x:t>
        </x:is>
      </x:c>
      <x:c r="W622" s="160" t="inlineStr">
        <x:is>
          <x:t xml:space="preserve">NO</x:t>
        </x:is>
      </x:c>
      <x:c r="X622" s="160" t="inlineStr">
        <x:is>
          <x:t xml:space="preserve">NONE — DEVELOPMENT ONLY</x:t>
        </x:is>
      </x:c>
      <x:c r="Y622" s="160" t="inlineStr">
        <x:is>
          <x:t xml:space="preserve">Synthetic/adversarial model-development loop. No historical outcome is claimed; no accuracy point is awarded.</x:t>
        </x:is>
      </x:c>
    </x:row>
    <x:row r="623">
      <x:c r="A623" s="160" t="inlineStr">
        <x:is>
          <x:t xml:space="preserve">ML0618</x:t>
        </x:is>
      </x:c>
      <x:c r="B623" s="160" t="inlineStr">
        <x:is>
          <x:t xml:space="preserve">ARG-039</x:t>
        </x:is>
      </x:c>
      <x:c r="C623" s="160" t="inlineStr">
        <x:is>
          <x:t xml:space="preserve">Goldman Sachs</x:t>
        </x:is>
      </x:c>
      <x:c r="D623" s="160" t="inlineStr">
        <x:is>
          <x:t xml:space="preserve">GS</x:t>
        </x:is>
      </x:c>
      <x:c r="E623" s="160" t="inlineStr">
        <x:is>
          <x:t xml:space="preserve">Capital Markets</x:t>
        </x:is>
      </x:c>
      <x:c r="F623" s="160" t="inlineStr">
        <x:is>
          <x:t xml:space="preserve">Development</x:t>
        </x:is>
      </x:c>
      <x:c r="G623" s="160" t="inlineStr">
        <x:is>
          <x:t xml:space="preserve">S10</x:t>
        </x:is>
      </x:c>
      <x:c r="H623" s="160" t="inlineStr">
        <x:is>
          <x:t xml:space="preserve">Control / Counterfactual</x:t>
        </x:is>
      </x:c>
      <x:c r="I623" s="160" t="inlineStr">
        <x:is>
          <x:t xml:space="preserve">Sector beta vs company alpha</x:t>
        </x:is>
      </x:c>
      <x:c r="J623" s="160" t="inlineStr">
        <x:is>
          <x:t xml:space="preserve">A positive outcome is mostly sector beta or macro tailwind, not company-specific alpha.</x:t>
        </x:is>
      </x:c>
      <x:c r="K623" s="160" t="inlineStr">
        <x:is>
          <x:t xml:space="preserve">Advisory/trading/asset-management revenue minus compensation</x:t>
        </x:is>
      </x:c>
      <x:c r="L623" s="160" t="inlineStr">
        <x:is>
          <x:t xml:space="preserve">Normalized earnings + tangible book</x:t>
        </x:is>
      </x:c>
      <x:c r="M623" s="160" t="inlineStr">
        <x:is>
          <x:t xml:space="preserve">WATCH</x:t>
        </x:is>
      </x:c>
      <x:c r="N623" s="160" t="inlineStr">
        <x:is>
          <x:t xml:space="preserve">R-CF-01</x:t>
        </x:is>
      </x:c>
      <x:c r="O623" s="160" t="inlineStr">
        <x:is>
          <x:t xml:space="preserve">COUNTER-EVIDENCE</x:t>
        </x:is>
      </x:c>
      <x:c r="P623" s="160" t="inlineStr">
        <x:is>
          <x:t xml:space="preserve">ROBUST</x:t>
        </x:is>
      </x:c>
      <x:c r="Q623" s="160" t="inlineStr">
        <x:is>
          <x:t xml:space="preserve">The mature simulation rule catches the stress without weakening a fatal gate; no rule relaxation is justified.</x:t>
        </x:is>
      </x:c>
      <x:c r="R623" s="160" t="inlineStr">
        <x:is>
          <x:t xml:space="preserve">Require a true economic control and counterfactual: what should have happened to a comparable company under the same shock?</x:t>
        </x:is>
      </x:c>
      <x:c r="S623" s="160" t="inlineStr">
        <x:is>
          <x:t xml:space="preserve">NO</x:t>
        </x:is>
      </x:c>
      <x:c r="T623" s="160" t="inlineStr">
        <x:is>
          <x:t xml:space="preserve">COUNTER-EVIDENCE</x:t>
        </x:is>
      </x:c>
      <x:c r="U623" s="160" t="inlineStr">
        <x:is>
          <x:t xml:space="preserve">V10.5-SIM60</x:t>
        </x:is>
      </x:c>
      <x:c r="V623" s="160" t="inlineStr">
        <x:is>
          <x:t xml:space="preserve">https://www.goldmansachs.com/investor-relations</x:t>
        </x:is>
      </x:c>
      <x:c r="W623" s="160" t="inlineStr">
        <x:is>
          <x:t xml:space="preserve">NO</x:t>
        </x:is>
      </x:c>
      <x:c r="X623" s="160" t="inlineStr">
        <x:is>
          <x:t xml:space="preserve">NONE — DEVELOPMENT ONLY</x:t>
        </x:is>
      </x:c>
      <x:c r="Y623" s="160" t="inlineStr">
        <x:is>
          <x:t xml:space="preserve">Synthetic/adversarial model-development loop. No historical outcome is claimed; no accuracy point is awarded.</x:t>
        </x:is>
      </x:c>
    </x:row>
    <x:row r="624">
      <x:c r="A624" s="160" t="inlineStr">
        <x:is>
          <x:t xml:space="preserve">ML0619</x:t>
        </x:is>
      </x:c>
      <x:c r="B624" s="160" t="inlineStr">
        <x:is>
          <x:t xml:space="preserve">ARG-039</x:t>
        </x:is>
      </x:c>
      <x:c r="C624" s="160" t="inlineStr">
        <x:is>
          <x:t xml:space="preserve">Goldman Sachs</x:t>
        </x:is>
      </x:c>
      <x:c r="D624" s="160" t="inlineStr">
        <x:is>
          <x:t xml:space="preserve">GS</x:t>
        </x:is>
      </x:c>
      <x:c r="E624" s="160" t="inlineStr">
        <x:is>
          <x:t xml:space="preserve">Capital Markets</x:t>
        </x:is>
      </x:c>
      <x:c r="F624" s="160" t="inlineStr">
        <x:is>
          <x:t xml:space="preserve">Development</x:t>
        </x:is>
      </x:c>
      <x:c r="G624" s="160" t="inlineStr">
        <x:is>
          <x:t xml:space="preserve">S11</x:t>
        </x:is>
      </x:c>
      <x:c r="H624" s="160" t="inlineStr">
        <x:is>
          <x:t xml:space="preserve">False-Negative Discipline</x:t>
        </x:is>
      </x:c>
      <x:c r="I624" s="160" t="inlineStr">
        <x:is>
          <x:t xml:space="preserve">False negative</x:t>
        </x:is>
      </x:c>
      <x:c r="J624" s="160" t="inlineStr">
        <x:is>
          <x:t xml:space="preserve">A strict gate rejects a company that later compounds strongly for reasons the model could have known.</x:t>
        </x:is>
      </x:c>
      <x:c r="K624" s="160" t="inlineStr">
        <x:is>
          <x:t xml:space="preserve">Advisory/trading/asset-management revenue minus compensation</x:t>
        </x:is>
      </x:c>
      <x:c r="L624" s="160" t="inlineStr">
        <x:is>
          <x:t xml:space="preserve">Normalized earnings + tangible book</x:t>
        </x:is>
      </x:c>
      <x:c r="M624" s="160" t="inlineStr">
        <x:is>
          <x:t xml:space="preserve">WATCH</x:t>
        </x:is>
      </x:c>
      <x:c r="N624" s="160" t="inlineStr">
        <x:is>
          <x:t xml:space="preserve">R-FN-01</x:t>
        </x:is>
      </x:c>
      <x:c r="O624" s="160" t="inlineStr">
        <x:is>
          <x:t xml:space="preserve">COUNTER-EVIDENCE</x:t>
        </x:is>
      </x:c>
      <x:c r="P624" s="160" t="inlineStr">
        <x:is>
          <x:t xml:space="preserve">ROBUST</x:t>
        </x:is>
      </x:c>
      <x:c r="Q624" s="160" t="inlineStr">
        <x:is>
          <x:t xml:space="preserve">The mature simulation rule catches the stress without weakening a fatal gate; no rule relaxation is justified.</x:t>
        </x:is>
      </x:c>
      <x:c r="R624" s="160" t="inlineStr">
        <x:is>
          <x:t xml:space="preserve">Track opportunity cost and classify whether the miss came from evidence timing, wrong threshold or genuinely unknowable upside.</x:t>
        </x:is>
      </x:c>
      <x:c r="S624" s="160" t="inlineStr">
        <x:is>
          <x:t xml:space="preserve">NO</x:t>
        </x:is>
      </x:c>
      <x:c r="T624" s="160" t="inlineStr">
        <x:is>
          <x:t xml:space="preserve">COUNTER-EVIDENCE</x:t>
        </x:is>
      </x:c>
      <x:c r="U624" s="160" t="inlineStr">
        <x:is>
          <x:t xml:space="preserve">V10.5-SIM60</x:t>
        </x:is>
      </x:c>
      <x:c r="V624" s="160" t="inlineStr">
        <x:is>
          <x:t xml:space="preserve">https://www.goldmansachs.com/investor-relations</x:t>
        </x:is>
      </x:c>
      <x:c r="W624" s="160" t="inlineStr">
        <x:is>
          <x:t xml:space="preserve">NO</x:t>
        </x:is>
      </x:c>
      <x:c r="X624" s="160" t="inlineStr">
        <x:is>
          <x:t xml:space="preserve">NONE — DEVELOPMENT ONLY</x:t>
        </x:is>
      </x:c>
      <x:c r="Y624" s="160" t="inlineStr">
        <x:is>
          <x:t xml:space="preserve">Synthetic/adversarial model-development loop. No historical outcome is claimed; no accuracy point is awarded.</x:t>
        </x:is>
      </x:c>
    </x:row>
    <x:row r="625">
      <x:c r="A625" s="160" t="inlineStr">
        <x:is>
          <x:t xml:space="preserve">ML0620</x:t>
        </x:is>
      </x:c>
      <x:c r="B625" s="160" t="inlineStr">
        <x:is>
          <x:t xml:space="preserve">ARG-039</x:t>
        </x:is>
      </x:c>
      <x:c r="C625" s="160" t="inlineStr">
        <x:is>
          <x:t xml:space="preserve">Goldman Sachs</x:t>
        </x:is>
      </x:c>
      <x:c r="D625" s="160" t="inlineStr">
        <x:is>
          <x:t xml:space="preserve">GS</x:t>
        </x:is>
      </x:c>
      <x:c r="E625" s="160" t="inlineStr">
        <x:is>
          <x:t xml:space="preserve">Capital Markets</x:t>
        </x:is>
      </x:c>
      <x:c r="F625" s="160" t="inlineStr">
        <x:is>
          <x:t xml:space="preserve">Development</x:t>
        </x:is>
      </x:c>
      <x:c r="G625" s="160" t="inlineStr">
        <x:is>
          <x:t xml:space="preserve">S12</x:t>
        </x:is>
      </x:c>
      <x:c r="H625" s="160" t="inlineStr">
        <x:is>
          <x:t xml:space="preserve">Lead-Time / Early Sensor</x:t>
        </x:is>
      </x:c>
      <x:c r="I625" s="160" t="inlineStr">
        <x:is>
          <x:t xml:space="preserve">Timing / lead-time</x:t>
        </x:is>
      </x:c>
      <x:c r="J625" s="160" t="inlineStr">
        <x:is>
          <x:t xml:space="preserve">ARGUS identifies the change correctly but only after consensus and price have already reacted.</x:t>
        </x:is>
      </x:c>
      <x:c r="K625" s="160" t="inlineStr">
        <x:is>
          <x:t xml:space="preserve">Advisory/trading/asset-management revenue minus compensation</x:t>
        </x:is>
      </x:c>
      <x:c r="L625" s="160" t="inlineStr">
        <x:is>
          <x:t xml:space="preserve">Normalized earnings + tangible book</x:t>
        </x:is>
      </x:c>
      <x:c r="M625" s="160" t="inlineStr">
        <x:is>
          <x:t xml:space="preserve">WATCH</x:t>
        </x:is>
      </x:c>
      <x:c r="N625" s="160" t="inlineStr">
        <x:is>
          <x:t xml:space="preserve">R-TIME-01</x:t>
        </x:is>
      </x:c>
      <x:c r="O625" s="160" t="inlineStr">
        <x:is>
          <x:t xml:space="preserve">COUNTER-EVIDENCE</x:t>
        </x:is>
      </x:c>
      <x:c r="P625" s="160" t="inlineStr">
        <x:is>
          <x:t xml:space="preserve">ROBUST</x:t>
        </x:is>
      </x:c>
      <x:c r="Q625" s="160" t="inlineStr">
        <x:is>
          <x:t xml:space="preserve">The mature simulation rule catches the stress without weakening a fatal gate; no rule relaxation is justified.</x:t>
        </x:is>
      </x:c>
      <x:c r="R625" s="160" t="inlineStr">
        <x:is>
          <x:t xml:space="preserve">Replace lagging financial metrics with earlier causal operating sensors and record lead time separately from correctness.</x:t>
        </x:is>
      </x:c>
      <x:c r="S625" s="160" t="inlineStr">
        <x:is>
          <x:t xml:space="preserve">NO</x:t>
        </x:is>
      </x:c>
      <x:c r="T625" s="160" t="inlineStr">
        <x:is>
          <x:t xml:space="preserve">COUNTER-EVIDENCE</x:t>
        </x:is>
      </x:c>
      <x:c r="U625" s="160" t="inlineStr">
        <x:is>
          <x:t xml:space="preserve">V10.5-SIM60</x:t>
        </x:is>
      </x:c>
      <x:c r="V625" s="160" t="inlineStr">
        <x:is>
          <x:t xml:space="preserve">https://www.goldmansachs.com/investor-relations</x:t>
        </x:is>
      </x:c>
      <x:c r="W625" s="160" t="inlineStr">
        <x:is>
          <x:t xml:space="preserve">NO</x:t>
        </x:is>
      </x:c>
      <x:c r="X625" s="160" t="inlineStr">
        <x:is>
          <x:t xml:space="preserve">NONE — DEVELOPMENT ONLY</x:t>
        </x:is>
      </x:c>
      <x:c r="Y625" s="160" t="inlineStr">
        <x:is>
          <x:t xml:space="preserve">Synthetic/adversarial model-development loop. No historical outcome is claimed; no accuracy point is awarded.</x:t>
        </x:is>
      </x:c>
    </x:row>
    <x:row r="626">
      <x:c r="A626" s="160" t="inlineStr">
        <x:is>
          <x:t xml:space="preserve">ML0621</x:t>
        </x:is>
      </x:c>
      <x:c r="B626" s="160" t="inlineStr">
        <x:is>
          <x:t xml:space="preserve">ARG-039</x:t>
        </x:is>
      </x:c>
      <x:c r="C626" s="160" t="inlineStr">
        <x:is>
          <x:t xml:space="preserve">Goldman Sachs</x:t>
        </x:is>
      </x:c>
      <x:c r="D626" s="160" t="inlineStr">
        <x:is>
          <x:t xml:space="preserve">GS</x:t>
        </x:is>
      </x:c>
      <x:c r="E626" s="160" t="inlineStr">
        <x:is>
          <x:t xml:space="preserve">Capital Markets</x:t>
        </x:is>
      </x:c>
      <x:c r="F626" s="160" t="inlineStr">
        <x:is>
          <x:t xml:space="preserve">Development</x:t>
        </x:is>
      </x:c>
      <x:c r="G626" s="160" t="inlineStr">
        <x:is>
          <x:t xml:space="preserve">S13</x:t>
        </x:is>
      </x:c>
      <x:c r="H626" s="160" t="inlineStr">
        <x:is>
          <x:t xml:space="preserve">Cycle Normalization</x:t>
        </x:is>
      </x:c>
      <x:c r="I626" s="160" t="inlineStr">
        <x:is>
          <x:t xml:space="preserve">Wrong valuation lens</x:t>
        </x:is>
      </x:c>
      <x:c r="J626" s="160" t="inlineStr">
        <x:is>
          <x:t xml:space="preserve">Peak/trough earnings are mistaken for normalized earning power.</x:t>
        </x:is>
      </x:c>
      <x:c r="K626" s="160" t="inlineStr">
        <x:is>
          <x:t xml:space="preserve">Advisory/trading/asset-management revenue minus compensation</x:t>
        </x:is>
      </x:c>
      <x:c r="L626" s="160" t="inlineStr">
        <x:is>
          <x:t xml:space="preserve">Normalized earnings + tangible book</x:t>
        </x:is>
      </x:c>
      <x:c r="M626" s="160" t="inlineStr">
        <x:is>
          <x:t xml:space="preserve">WATCH</x:t>
        </x:is>
      </x:c>
      <x:c r="N626" s="160" t="inlineStr">
        <x:is>
          <x:t xml:space="preserve">R-CYCLE-01</x:t>
        </x:is>
      </x:c>
      <x:c r="O626" s="160" t="inlineStr">
        <x:is>
          <x:t xml:space="preserve">COUNTER-EVIDENCE</x:t>
        </x:is>
      </x:c>
      <x:c r="P626" s="160" t="inlineStr">
        <x:is>
          <x:t xml:space="preserve">ROBUST</x:t>
        </x:is>
      </x:c>
      <x:c r="Q626" s="160" t="inlineStr">
        <x:is>
          <x:t xml:space="preserve">The mature simulation rule catches the stress without weakening a fatal gate; no rule relaxation is justified.</x:t>
        </x:is>
      </x:c>
      <x:c r="R626" s="160" t="inlineStr">
        <x:is>
          <x:t xml:space="preserve">Use sector-specific mid-cycle/NAV/rate-base/rNPV normalization before applying a valuation multiple.</x:t>
        </x:is>
      </x:c>
      <x:c r="S626" s="160" t="inlineStr">
        <x:is>
          <x:t xml:space="preserve">NO</x:t>
        </x:is>
      </x:c>
      <x:c r="T626" s="160" t="inlineStr">
        <x:is>
          <x:t xml:space="preserve">COUNTER-EVIDENCE</x:t>
        </x:is>
      </x:c>
      <x:c r="U626" s="160" t="inlineStr">
        <x:is>
          <x:t xml:space="preserve">V10.5-SIM60</x:t>
        </x:is>
      </x:c>
      <x:c r="V626" s="160" t="inlineStr">
        <x:is>
          <x:t xml:space="preserve">https://www.goldmansachs.com/investor-relations</x:t>
        </x:is>
      </x:c>
      <x:c r="W626" s="160" t="inlineStr">
        <x:is>
          <x:t xml:space="preserve">NO</x:t>
        </x:is>
      </x:c>
      <x:c r="X626" s="160" t="inlineStr">
        <x:is>
          <x:t xml:space="preserve">NONE — DEVELOPMENT ONLY</x:t>
        </x:is>
      </x:c>
      <x:c r="Y626" s="160" t="inlineStr">
        <x:is>
          <x:t xml:space="preserve">Synthetic/adversarial model-development loop. No historical outcome is claimed; no accuracy point is awarded.</x:t>
        </x:is>
      </x:c>
    </x:row>
    <x:row r="627">
      <x:c r="A627" s="160" t="inlineStr">
        <x:is>
          <x:t xml:space="preserve">ML0622</x:t>
        </x:is>
      </x:c>
      <x:c r="B627" s="160" t="inlineStr">
        <x:is>
          <x:t xml:space="preserve">ARG-039</x:t>
        </x:is>
      </x:c>
      <x:c r="C627" s="160" t="inlineStr">
        <x:is>
          <x:t xml:space="preserve">Goldman Sachs</x:t>
        </x:is>
      </x:c>
      <x:c r="D627" s="160" t="inlineStr">
        <x:is>
          <x:t xml:space="preserve">GS</x:t>
        </x:is>
      </x:c>
      <x:c r="E627" s="160" t="inlineStr">
        <x:is>
          <x:t xml:space="preserve">Capital Markets</x:t>
        </x:is>
      </x:c>
      <x:c r="F627" s="160" t="inlineStr">
        <x:is>
          <x:t xml:space="preserve">Development</x:t>
        </x:is>
      </x:c>
      <x:c r="G627" s="160" t="inlineStr">
        <x:is>
          <x:t xml:space="preserve">S14</x:t>
        </x:is>
      </x:c>
      <x:c r="H627" s="160" t="inlineStr">
        <x:is>
          <x:t xml:space="preserve">M&amp;A / Organic Growth Separation</x:t>
        </x:is>
      </x:c>
      <x:c r="I627" s="160" t="inlineStr">
        <x:is>
          <x:t xml:space="preserve">Stewardship</x:t>
        </x:is>
      </x:c>
      <x:c r="J627" s="160" t="inlineStr">
        <x:is>
          <x:t xml:space="preserve">Acquisition-driven growth masks weak organic economics or poor incremental ROIC.</x:t>
        </x:is>
      </x:c>
      <x:c r="K627" s="160" t="inlineStr">
        <x:is>
          <x:t xml:space="preserve">Advisory/trading/asset-management revenue minus compensation</x:t>
        </x:is>
      </x:c>
      <x:c r="L627" s="160" t="inlineStr">
        <x:is>
          <x:t xml:space="preserve">Normalized earnings + tangible book</x:t>
        </x:is>
      </x:c>
      <x:c r="M627" s="160" t="inlineStr">
        <x:is>
          <x:t xml:space="preserve">WATCH</x:t>
        </x:is>
      </x:c>
      <x:c r="N627" s="160" t="inlineStr">
        <x:is>
          <x:t xml:space="preserve">R-MA-01</x:t>
        </x:is>
      </x:c>
      <x:c r="O627" s="160" t="inlineStr">
        <x:is>
          <x:t xml:space="preserve">COUNTER-EVIDENCE</x:t>
        </x:is>
      </x:c>
      <x:c r="P627" s="160" t="inlineStr">
        <x:is>
          <x:t xml:space="preserve">ROBUST</x:t>
        </x:is>
      </x:c>
      <x:c r="Q627" s="160" t="inlineStr">
        <x:is>
          <x:t xml:space="preserve">The mature simulation rule catches the stress without weakening a fatal gate; no rule relaxation is justified.</x:t>
        </x:is>
      </x:c>
      <x:c r="R627" s="160" t="inlineStr">
        <x:is>
          <x:t xml:space="preserve">Bridge organic growth, acquired growth, purchase price, integration costs and acquisition-cohort ROIC.</x:t>
        </x:is>
      </x:c>
      <x:c r="S627" s="160" t="inlineStr">
        <x:is>
          <x:t xml:space="preserve">NO</x:t>
        </x:is>
      </x:c>
      <x:c r="T627" s="160" t="inlineStr">
        <x:is>
          <x:t xml:space="preserve">COUNTER-EVIDENCE</x:t>
        </x:is>
      </x:c>
      <x:c r="U627" s="160" t="inlineStr">
        <x:is>
          <x:t xml:space="preserve">V10.5-SIM60</x:t>
        </x:is>
      </x:c>
      <x:c r="V627" s="160" t="inlineStr">
        <x:is>
          <x:t xml:space="preserve">https://www.goldmansachs.com/investor-relations</x:t>
        </x:is>
      </x:c>
      <x:c r="W627" s="160" t="inlineStr">
        <x:is>
          <x:t xml:space="preserve">NO</x:t>
        </x:is>
      </x:c>
      <x:c r="X627" s="160" t="inlineStr">
        <x:is>
          <x:t xml:space="preserve">NONE — DEVELOPMENT ONLY</x:t>
        </x:is>
      </x:c>
      <x:c r="Y627" s="160" t="inlineStr">
        <x:is>
          <x:t xml:space="preserve">Synthetic/adversarial model-development loop. No historical outcome is claimed; no accuracy point is awarded.</x:t>
        </x:is>
      </x:c>
    </x:row>
    <x:row r="628">
      <x:c r="A628" s="160" t="inlineStr">
        <x:is>
          <x:t xml:space="preserve">ML0623</x:t>
        </x:is>
      </x:c>
      <x:c r="B628" s="160" t="inlineStr">
        <x:is>
          <x:t xml:space="preserve">ARG-039</x:t>
        </x:is>
      </x:c>
      <x:c r="C628" s="160" t="inlineStr">
        <x:is>
          <x:t xml:space="preserve">Goldman Sachs</x:t>
        </x:is>
      </x:c>
      <x:c r="D628" s="160" t="inlineStr">
        <x:is>
          <x:t xml:space="preserve">GS</x:t>
        </x:is>
      </x:c>
      <x:c r="E628" s="160" t="inlineStr">
        <x:is>
          <x:t xml:space="preserve">Capital Markets</x:t>
        </x:is>
      </x:c>
      <x:c r="F628" s="160" t="inlineStr">
        <x:is>
          <x:t xml:space="preserve">Development</x:t>
        </x:is>
      </x:c>
      <x:c r="G628" s="160" t="inlineStr">
        <x:is>
          <x:t xml:space="preserve">S15</x:t>
        </x:is>
      </x:c>
      <x:c r="H628" s="160" t="inlineStr">
        <x:is>
          <x:t xml:space="preserve">Financing / Dilution Per Share</x:t>
        </x:is>
      </x:c>
      <x:c r="I628" s="160" t="inlineStr">
        <x:is>
          <x:t xml:space="preserve">Stewardship</x:t>
        </x:is>
      </x:c>
      <x:c r="J628" s="160" t="inlineStr">
        <x:is>
          <x:t xml:space="preserve">Cash balance or revenue growth improves while financing causes material per-share value leakage.</x:t>
        </x:is>
      </x:c>
      <x:c r="K628" s="160" t="inlineStr">
        <x:is>
          <x:t xml:space="preserve">Advisory/trading/asset-management revenue minus compensation</x:t>
        </x:is>
      </x:c>
      <x:c r="L628" s="160" t="inlineStr">
        <x:is>
          <x:t xml:space="preserve">Normalized earnings + tangible book</x:t>
        </x:is>
      </x:c>
      <x:c r="M628" s="160" t="inlineStr">
        <x:is>
          <x:t xml:space="preserve">WATCH</x:t>
        </x:is>
      </x:c>
      <x:c r="N628" s="160" t="inlineStr">
        <x:is>
          <x:t xml:space="preserve">R-DIL-01</x:t>
        </x:is>
      </x:c>
      <x:c r="O628" s="160" t="inlineStr">
        <x:is>
          <x:t xml:space="preserve">COUNTER-EVIDENCE</x:t>
        </x:is>
      </x:c>
      <x:c r="P628" s="160" t="inlineStr">
        <x:is>
          <x:t xml:space="preserve">ROBUST</x:t>
        </x:is>
      </x:c>
      <x:c r="Q628" s="160" t="inlineStr">
        <x:is>
          <x:t xml:space="preserve">The mature simulation rule catches the stress without weakening a fatal gate; no rule relaxation is justified.</x:t>
        </x:is>
      </x:c>
      <x:c r="R628" s="160" t="inlineStr">
        <x:is>
          <x:t xml:space="preserve">Reconcile share-count growth, SBC, equity issuance, buybacks and net cash changes to per-share intrinsic value.</x:t>
        </x:is>
      </x:c>
      <x:c r="S628" s="160" t="inlineStr">
        <x:is>
          <x:t xml:space="preserve">NO</x:t>
        </x:is>
      </x:c>
      <x:c r="T628" s="160" t="inlineStr">
        <x:is>
          <x:t xml:space="preserve">COUNTER-EVIDENCE</x:t>
        </x:is>
      </x:c>
      <x:c r="U628" s="160" t="inlineStr">
        <x:is>
          <x:t xml:space="preserve">V10.5-SIM60</x:t>
        </x:is>
      </x:c>
      <x:c r="V628" s="160" t="inlineStr">
        <x:is>
          <x:t xml:space="preserve">https://www.goldmansachs.com/investor-relations</x:t>
        </x:is>
      </x:c>
      <x:c r="W628" s="160" t="inlineStr">
        <x:is>
          <x:t xml:space="preserve">NO</x:t>
        </x:is>
      </x:c>
      <x:c r="X628" s="160" t="inlineStr">
        <x:is>
          <x:t xml:space="preserve">NONE — DEVELOPMENT ONLY</x:t>
        </x:is>
      </x:c>
      <x:c r="Y628" s="160" t="inlineStr">
        <x:is>
          <x:t xml:space="preserve">Synthetic/adversarial model-development loop. No historical outcome is claimed; no accuracy point is awarded.</x:t>
        </x:is>
      </x:c>
    </x:row>
    <x:row r="629">
      <x:c r="A629" s="160" t="inlineStr">
        <x:is>
          <x:t xml:space="preserve">ML0624</x:t>
        </x:is>
      </x:c>
      <x:c r="B629" s="160" t="inlineStr">
        <x:is>
          <x:t xml:space="preserve">ARG-039</x:t>
        </x:is>
      </x:c>
      <x:c r="C629" s="160" t="inlineStr">
        <x:is>
          <x:t xml:space="preserve">Goldman Sachs</x:t>
        </x:is>
      </x:c>
      <x:c r="D629" s="160" t="inlineStr">
        <x:is>
          <x:t xml:space="preserve">GS</x:t>
        </x:is>
      </x:c>
      <x:c r="E629" s="160" t="inlineStr">
        <x:is>
          <x:t xml:space="preserve">Capital Markets</x:t>
        </x:is>
      </x:c>
      <x:c r="F629" s="160" t="inlineStr">
        <x:is>
          <x:t xml:space="preserve">Development</x:t>
        </x:is>
      </x:c>
      <x:c r="G629" s="160" t="inlineStr">
        <x:is>
          <x:t xml:space="preserve">S16</x:t>
        </x:is>
      </x:c>
      <x:c r="H629" s="160" t="inlineStr">
        <x:is>
          <x:t xml:space="preserve">Concentration / Tail Risk</x:t>
        </x:is>
      </x:c>
      <x:c r="I629" s="160" t="inlineStr">
        <x:is>
          <x:t xml:space="preserve">Survival</x:t>
        </x:is>
      </x:c>
      <x:c r="J629" s="160" t="inlineStr">
        <x:is>
          <x:t xml:space="preserve">A concentrated supplier, geography, customer, product, patent, regulatory or technology dependency creates asymmetric permanent-loss risk.</x:t>
        </x:is>
      </x:c>
      <x:c r="K629" s="160" t="inlineStr">
        <x:is>
          <x:t xml:space="preserve">Advisory/trading/asset-management revenue minus compensation</x:t>
        </x:is>
      </x:c>
      <x:c r="L629" s="160" t="inlineStr">
        <x:is>
          <x:t xml:space="preserve">Normalized earnings + tangible book</x:t>
        </x:is>
      </x:c>
      <x:c r="M629" s="160" t="inlineStr">
        <x:is>
          <x:t xml:space="preserve">WATCH</x:t>
        </x:is>
      </x:c>
      <x:c r="N629" s="160" t="inlineStr">
        <x:is>
          <x:t xml:space="preserve">R-TAIL-01</x:t>
        </x:is>
      </x:c>
      <x:c r="O629" s="160" t="inlineStr">
        <x:is>
          <x:t xml:space="preserve">COUNTER-EVIDENCE</x:t>
        </x:is>
      </x:c>
      <x:c r="P629" s="160" t="inlineStr">
        <x:is>
          <x:t xml:space="preserve">ROBUST</x:t>
        </x:is>
      </x:c>
      <x:c r="Q629" s="160" t="inlineStr">
        <x:is>
          <x:t xml:space="preserve">The mature simulation rule catches the stress without weakening a fatal gate; no rule relaxation is justified.</x:t>
        </x:is>
      </x:c>
      <x:c r="R629" s="160" t="inlineStr">
        <x:is>
          <x:t xml:space="preserve">Maintain an explicit concentration/tail-risk register with probability, severity, mitigation and required margin-of-safety premium.</x:t>
        </x:is>
      </x:c>
      <x:c r="S629" s="160" t="inlineStr">
        <x:is>
          <x:t xml:space="preserve">NO</x:t>
        </x:is>
      </x:c>
      <x:c r="T629" s="160" t="inlineStr">
        <x:is>
          <x:t xml:space="preserve">COUNTER-EVIDENCE</x:t>
        </x:is>
      </x:c>
      <x:c r="U629" s="160" t="inlineStr">
        <x:is>
          <x:t xml:space="preserve">V10.5-SIM60</x:t>
        </x:is>
      </x:c>
      <x:c r="V629" s="160" t="inlineStr">
        <x:is>
          <x:t xml:space="preserve">https://www.goldmansachs.com/investor-relations</x:t>
        </x:is>
      </x:c>
      <x:c r="W629" s="160" t="inlineStr">
        <x:is>
          <x:t xml:space="preserve">NO</x:t>
        </x:is>
      </x:c>
      <x:c r="X629" s="160" t="inlineStr">
        <x:is>
          <x:t xml:space="preserve">NONE — DEVELOPMENT ONLY</x:t>
        </x:is>
      </x:c>
      <x:c r="Y629" s="160" t="inlineStr">
        <x:is>
          <x:t xml:space="preserve">Synthetic/adversarial model-development loop. No historical outcome is claimed; no accuracy point is awarded.</x:t>
        </x:is>
      </x:c>
    </x:row>
    <x:row r="630">
      <x:c r="A630" s="160" t="inlineStr">
        <x:is>
          <x:t xml:space="preserve">ML0625</x:t>
        </x:is>
      </x:c>
      <x:c r="B630" s="160" t="inlineStr">
        <x:is>
          <x:t xml:space="preserve">ARG-040</x:t>
        </x:is>
      </x:c>
      <x:c r="C630" s="160" t="inlineStr">
        <x:is>
          <x:t xml:space="preserve">Berkshire Hathaway</x:t>
        </x:is>
      </x:c>
      <x:c r="D630" s="160" t="inlineStr">
        <x:is>
          <x:t xml:space="preserve">BRK.B</x:t>
        </x:is>
      </x:c>
      <x:c r="E630" s="160" t="inlineStr">
        <x:is>
          <x:t xml:space="preserve">Insurance</x:t>
        </x:is>
      </x:c>
      <x:c r="F630" s="160" t="inlineStr">
        <x:is>
          <x:t xml:space="preserve">Development</x:t>
        </x:is>
      </x:c>
      <x:c r="G630" s="160" t="inlineStr">
        <x:is>
          <x:t xml:space="preserve">S01</x:t>
        </x:is>
      </x:c>
      <x:c r="H630" s="160" t="inlineStr">
        <x:is>
          <x:t xml:space="preserve">Understanding Gate</x:t>
        </x:is>
      </x:c>
      <x:c r="I630" s="160" t="inlineStr">
        <x:is>
          <x:t xml:space="preserve">Understanding</x:t>
        </x:is>
      </x:c>
      <x:c r="J630" s="160" t="inlineStr">
        <x:is>
          <x:t xml:space="preserve">Causal engine / customer ROI chain breaks under a misleading headline KPI.</x:t>
        </x:is>
      </x:c>
      <x:c r="K630" s="160" t="inlineStr">
        <x:is>
          <x:t xml:space="preserve">Underwriting float plus operating businesses/investments</x:t>
        </x:is>
      </x:c>
      <x:c r="L630" s="160" t="inlineStr">
        <x:is>
          <x:t xml:space="preserve">SOTP + owner earnings</x:t>
        </x:is>
      </x:c>
      <x:c r="M630" s="160" t="inlineStr">
        <x:is>
          <x:t xml:space="preserve">WATCH</x:t>
        </x:is>
      </x:c>
      <x:c r="N630" s="160" t="inlineStr">
        <x:is>
          <x:t xml:space="preserve">R-ENG-01</x:t>
        </x:is>
      </x:c>
      <x:c r="O630" s="160" t="inlineStr">
        <x:is>
          <x:t xml:space="preserve">COUNTER-EVIDENCE</x:t>
        </x:is>
      </x:c>
      <x:c r="P630" s="160" t="inlineStr">
        <x:is>
          <x:t xml:space="preserve">ROBUST</x:t>
        </x:is>
      </x:c>
      <x:c r="Q630" s="160" t="inlineStr">
        <x:is>
          <x:t xml:space="preserve">The mature simulation rule catches the stress without weakening a fatal gate; no rule relaxation is justified.</x:t>
        </x:is>
      </x:c>
      <x:c r="R630" s="160" t="inlineStr">
        <x:is>
          <x:t xml:space="preserve">Force an explicit engine tree: customer job → unit economics → revenue driver → owner-value bridge.</x:t>
        </x:is>
      </x:c>
      <x:c r="S630" s="160" t="inlineStr">
        <x:is>
          <x:t xml:space="preserve">NO</x:t>
        </x:is>
      </x:c>
      <x:c r="T630" s="160" t="inlineStr">
        <x:is>
          <x:t xml:space="preserve">COUNTER-EVIDENCE</x:t>
        </x:is>
      </x:c>
      <x:c r="U630" s="160" t="inlineStr">
        <x:is>
          <x:t xml:space="preserve">V10.5-SIM60</x:t>
        </x:is>
      </x:c>
      <x:c r="V630" s="160" t="inlineStr">
        <x:is>
          <x:t xml:space="preserve">https://www.berkshirehathaway.com/reports.html</x:t>
        </x:is>
      </x:c>
      <x:c r="W630" s="160" t="inlineStr">
        <x:is>
          <x:t xml:space="preserve">NO</x:t>
        </x:is>
      </x:c>
      <x:c r="X630" s="160" t="inlineStr">
        <x:is>
          <x:t xml:space="preserve">NONE — DEVELOPMENT ONLY</x:t>
        </x:is>
      </x:c>
      <x:c r="Y630" s="160" t="inlineStr">
        <x:is>
          <x:t xml:space="preserve">Synthetic/adversarial model-development loop. No historical outcome is claimed; no accuracy point is awarded.</x:t>
        </x:is>
      </x:c>
    </x:row>
    <x:row r="631">
      <x:c r="A631" s="160" t="inlineStr">
        <x:is>
          <x:t xml:space="preserve">ML0626</x:t>
        </x:is>
      </x:c>
      <x:c r="B631" s="160" t="inlineStr">
        <x:is>
          <x:t xml:space="preserve">ARG-040</x:t>
        </x:is>
      </x:c>
      <x:c r="C631" s="160" t="inlineStr">
        <x:is>
          <x:t xml:space="preserve">Berkshire Hathaway</x:t>
        </x:is>
      </x:c>
      <x:c r="D631" s="160" t="inlineStr">
        <x:is>
          <x:t xml:space="preserve">BRK.B</x:t>
        </x:is>
      </x:c>
      <x:c r="E631" s="160" t="inlineStr">
        <x:is>
          <x:t xml:space="preserve">Insurance</x:t>
        </x:is>
      </x:c>
      <x:c r="F631" s="160" t="inlineStr">
        <x:is>
          <x:t xml:space="preserve">Development</x:t>
        </x:is>
      </x:c>
      <x:c r="G631" s="160" t="inlineStr">
        <x:is>
          <x:t xml:space="preserve">S02</x:t>
        </x:is>
      </x:c>
      <x:c r="H631" s="160" t="inlineStr">
        <x:is>
          <x:t xml:space="preserve">Owner Earnings Normalization</x:t>
        </x:is>
      </x:c>
      <x:c r="I631" s="160" t="inlineStr">
        <x:is>
          <x:t xml:space="preserve">Owner Earnings</x:t>
        </x:is>
      </x:c>
      <x:c r="J631" s="160" t="inlineStr">
        <x:is>
          <x:t xml:space="preserve">Reported earnings/FCF overstates economic cash because recurring reinvestment or non-cash compensation is misclassified.</x:t>
        </x:is>
      </x:c>
      <x:c r="K631" s="160" t="inlineStr">
        <x:is>
          <x:t xml:space="preserve">Underwriting float plus operating businesses/investments</x:t>
        </x:is>
      </x:c>
      <x:c r="L631" s="160" t="inlineStr">
        <x:is>
          <x:t xml:space="preserve">SOTP + owner earnings</x:t>
        </x:is>
      </x:c>
      <x:c r="M631" s="160" t="inlineStr">
        <x:is>
          <x:t xml:space="preserve">WATCH</x:t>
        </x:is>
      </x:c>
      <x:c r="N631" s="160" t="inlineStr">
        <x:is>
          <x:t xml:space="preserve">R-OE-01</x:t>
        </x:is>
      </x:c>
      <x:c r="O631" s="160" t="inlineStr">
        <x:is>
          <x:t xml:space="preserve">COUNTER-EVIDENCE</x:t>
        </x:is>
      </x:c>
      <x:c r="P631" s="160" t="inlineStr">
        <x:is>
          <x:t xml:space="preserve">ROBUST</x:t>
        </x:is>
      </x:c>
      <x:c r="Q631" s="160" t="inlineStr">
        <x:is>
          <x:t xml:space="preserve">The mature simulation rule catches the stress without weakening a fatal gate; no rule relaxation is justified.</x:t>
        </x:is>
      </x:c>
      <x:c r="R631" s="160" t="inlineStr">
        <x:is>
          <x:t xml:space="preserve">Require a GAAP-to-economic-owner-cash bridge tailored to the business model.</x:t>
        </x:is>
      </x:c>
      <x:c r="S631" s="160" t="inlineStr">
        <x:is>
          <x:t xml:space="preserve">NO</x:t>
        </x:is>
      </x:c>
      <x:c r="T631" s="160" t="inlineStr">
        <x:is>
          <x:t xml:space="preserve">COUNTER-EVIDENCE</x:t>
        </x:is>
      </x:c>
      <x:c r="U631" s="160" t="inlineStr">
        <x:is>
          <x:t xml:space="preserve">V10.5-SIM60</x:t>
        </x:is>
      </x:c>
      <x:c r="V631" s="160" t="inlineStr">
        <x:is>
          <x:t xml:space="preserve">https://www.berkshirehathaway.com/reports.html</x:t>
        </x:is>
      </x:c>
      <x:c r="W631" s="160" t="inlineStr">
        <x:is>
          <x:t xml:space="preserve">NO</x:t>
        </x:is>
      </x:c>
      <x:c r="X631" s="160" t="inlineStr">
        <x:is>
          <x:t xml:space="preserve">NONE — DEVELOPMENT ONLY</x:t>
        </x:is>
      </x:c>
      <x:c r="Y631" s="160" t="inlineStr">
        <x:is>
          <x:t xml:space="preserve">Synthetic/adversarial model-development loop. No historical outcome is claimed; no accuracy point is awarded.</x:t>
        </x:is>
      </x:c>
    </x:row>
    <x:row r="632">
      <x:c r="A632" s="160" t="inlineStr">
        <x:is>
          <x:t xml:space="preserve">ML0627</x:t>
        </x:is>
      </x:c>
      <x:c r="B632" s="160" t="inlineStr">
        <x:is>
          <x:t xml:space="preserve">ARG-040</x:t>
        </x:is>
      </x:c>
      <x:c r="C632" s="160" t="inlineStr">
        <x:is>
          <x:t xml:space="preserve">Berkshire Hathaway</x:t>
        </x:is>
      </x:c>
      <x:c r="D632" s="160" t="inlineStr">
        <x:is>
          <x:t xml:space="preserve">BRK.B</x:t>
        </x:is>
      </x:c>
      <x:c r="E632" s="160" t="inlineStr">
        <x:is>
          <x:t xml:space="preserve">Insurance</x:t>
        </x:is>
      </x:c>
      <x:c r="F632" s="160" t="inlineStr">
        <x:is>
          <x:t xml:space="preserve">Development</x:t>
        </x:is>
      </x:c>
      <x:c r="G632" s="160" t="inlineStr">
        <x:is>
          <x:t xml:space="preserve">S03</x:t>
        </x:is>
      </x:c>
      <x:c r="H632" s="160" t="inlineStr">
        <x:is>
          <x:t xml:space="preserve">Moat Durability</x:t>
        </x:is>
      </x:c>
      <x:c r="I632" s="160" t="inlineStr">
        <x:is>
          <x:t xml:space="preserve">Moat 2036</x:t>
        </x:is>
      </x:c>
      <x:c r="J632" s="160" t="inlineStr">
        <x:is>
          <x:t xml:space="preserve">Growth continues while switching friction, pricing power or replacement difficulty quietly weakens.</x:t>
        </x:is>
      </x:c>
      <x:c r="K632" s="160" t="inlineStr">
        <x:is>
          <x:t xml:space="preserve">Underwriting float plus operating businesses/investments</x:t>
        </x:is>
      </x:c>
      <x:c r="L632" s="160" t="inlineStr">
        <x:is>
          <x:t xml:space="preserve">SOTP + owner earnings</x:t>
        </x:is>
      </x:c>
      <x:c r="M632" s="160" t="inlineStr">
        <x:is>
          <x:t xml:space="preserve">WATCH</x:t>
        </x:is>
      </x:c>
      <x:c r="N632" s="160" t="inlineStr">
        <x:is>
          <x:t xml:space="preserve">R-MOAT-01</x:t>
        </x:is>
      </x:c>
      <x:c r="O632" s="160" t="inlineStr">
        <x:is>
          <x:t xml:space="preserve">COUNTER-EVIDENCE</x:t>
        </x:is>
      </x:c>
      <x:c r="P632" s="160" t="inlineStr">
        <x:is>
          <x:t xml:space="preserve">ROBUST</x:t>
        </x:is>
      </x:c>
      <x:c r="Q632" s="160" t="inlineStr">
        <x:is>
          <x:t xml:space="preserve">The mature simulation rule catches the stress without weakening a fatal gate; no rule relaxation is justified.</x:t>
        </x:is>
      </x:c>
      <x:c r="R632" s="160" t="inlineStr">
        <x:is>
          <x:t xml:space="preserve">Track moat telemetry separately from growth: retention, pricing, win/loss, replacement friction, installed-base behavior.</x:t>
        </x:is>
      </x:c>
      <x:c r="S632" s="160" t="inlineStr">
        <x:is>
          <x:t xml:space="preserve">NO</x:t>
        </x:is>
      </x:c>
      <x:c r="T632" s="160" t="inlineStr">
        <x:is>
          <x:t xml:space="preserve">COUNTER-EVIDENCE</x:t>
        </x:is>
      </x:c>
      <x:c r="U632" s="160" t="inlineStr">
        <x:is>
          <x:t xml:space="preserve">V10.5-SIM60</x:t>
        </x:is>
      </x:c>
      <x:c r="V632" s="160" t="inlineStr">
        <x:is>
          <x:t xml:space="preserve">https://www.berkshirehathaway.com/reports.html</x:t>
        </x:is>
      </x:c>
      <x:c r="W632" s="160" t="inlineStr">
        <x:is>
          <x:t xml:space="preserve">NO</x:t>
        </x:is>
      </x:c>
      <x:c r="X632" s="160" t="inlineStr">
        <x:is>
          <x:t xml:space="preserve">NONE — DEVELOPMENT ONLY</x:t>
        </x:is>
      </x:c>
      <x:c r="Y632" s="160" t="inlineStr">
        <x:is>
          <x:t xml:space="preserve">Synthetic/adversarial model-development loop. No historical outcome is claimed; no accuracy point is awarded.</x:t>
        </x:is>
      </x:c>
    </x:row>
    <x:row r="633">
      <x:c r="A633" s="160" t="inlineStr">
        <x:is>
          <x:t xml:space="preserve">ML0628</x:t>
        </x:is>
      </x:c>
      <x:c r="B633" s="160" t="inlineStr">
        <x:is>
          <x:t xml:space="preserve">ARG-040</x:t>
        </x:is>
      </x:c>
      <x:c r="C633" s="160" t="inlineStr">
        <x:is>
          <x:t xml:space="preserve">Berkshire Hathaway</x:t>
        </x:is>
      </x:c>
      <x:c r="D633" s="160" t="inlineStr">
        <x:is>
          <x:t xml:space="preserve">BRK.B</x:t>
        </x:is>
      </x:c>
      <x:c r="E633" s="160" t="inlineStr">
        <x:is>
          <x:t xml:space="preserve">Insurance</x:t>
        </x:is>
      </x:c>
      <x:c r="F633" s="160" t="inlineStr">
        <x:is>
          <x:t xml:space="preserve">Development</x:t>
        </x:is>
      </x:c>
      <x:c r="G633" s="160" t="inlineStr">
        <x:is>
          <x:t xml:space="preserve">S04</x:t>
        </x:is>
      </x:c>
      <x:c r="H633" s="160" t="inlineStr">
        <x:is>
          <x:t xml:space="preserve">Stewardship / Capital Allocation</x:t>
        </x:is>
      </x:c>
      <x:c r="I633" s="160" t="inlineStr">
        <x:is>
          <x:t xml:space="preserve">Stewardship</x:t>
        </x:is>
      </x:c>
      <x:c r="J633" s="160" t="inlineStr">
        <x:is>
          <x:t xml:space="preserve">Management creates enterprise growth while destroying per-share value through M&amp;A, dilution, leverage or mistimed buybacks.</x:t>
        </x:is>
      </x:c>
      <x:c r="K633" s="160" t="inlineStr">
        <x:is>
          <x:t xml:space="preserve">Underwriting float plus operating businesses/investments</x:t>
        </x:is>
      </x:c>
      <x:c r="L633" s="160" t="inlineStr">
        <x:is>
          <x:t xml:space="preserve">SOTP + owner earnings</x:t>
        </x:is>
      </x:c>
      <x:c r="M633" s="160" t="inlineStr">
        <x:is>
          <x:t xml:space="preserve">WATCH</x:t>
        </x:is>
      </x:c>
      <x:c r="N633" s="160" t="inlineStr">
        <x:is>
          <x:t xml:space="preserve">R-STEW-01</x:t>
        </x:is>
      </x:c>
      <x:c r="O633" s="160" t="inlineStr">
        <x:is>
          <x:t xml:space="preserve">COUNTER-EVIDENCE</x:t>
        </x:is>
      </x:c>
      <x:c r="P633" s="160" t="inlineStr">
        <x:is>
          <x:t xml:space="preserve">ROBUST</x:t>
        </x:is>
      </x:c>
      <x:c r="Q633" s="160" t="inlineStr">
        <x:is>
          <x:t xml:space="preserve">The mature simulation rule catches the stress without weakening a fatal gate; no rule relaxation is justified.</x:t>
        </x:is>
      </x:c>
      <x:c r="R633" s="160" t="inlineStr">
        <x:is>
          <x:t xml:space="preserve">Evaluate capital allocation on a per-share basis using acquisition cohorts, dilution, leverage and repurchase price discipline.</x:t>
        </x:is>
      </x:c>
      <x:c r="S633" s="160" t="inlineStr">
        <x:is>
          <x:t xml:space="preserve">NO</x:t>
        </x:is>
      </x:c>
      <x:c r="T633" s="160" t="inlineStr">
        <x:is>
          <x:t xml:space="preserve">COUNTER-EVIDENCE</x:t>
        </x:is>
      </x:c>
      <x:c r="U633" s="160" t="inlineStr">
        <x:is>
          <x:t xml:space="preserve">V10.5-SIM60</x:t>
        </x:is>
      </x:c>
      <x:c r="V633" s="160" t="inlineStr">
        <x:is>
          <x:t xml:space="preserve">https://www.berkshirehathaway.com/reports.html</x:t>
        </x:is>
      </x:c>
      <x:c r="W633" s="160" t="inlineStr">
        <x:is>
          <x:t xml:space="preserve">NO</x:t>
        </x:is>
      </x:c>
      <x:c r="X633" s="160" t="inlineStr">
        <x:is>
          <x:t xml:space="preserve">NONE — DEVELOPMENT ONLY</x:t>
        </x:is>
      </x:c>
      <x:c r="Y633" s="160" t="inlineStr">
        <x:is>
          <x:t xml:space="preserve">Synthetic/adversarial model-development loop. No historical outcome is claimed; no accuracy point is awarded.</x:t>
        </x:is>
      </x:c>
    </x:row>
    <x:row r="634">
      <x:c r="A634" s="160" t="inlineStr">
        <x:is>
          <x:t xml:space="preserve">ML0629</x:t>
        </x:is>
      </x:c>
      <x:c r="B634" s="160" t="inlineStr">
        <x:is>
          <x:t xml:space="preserve">ARG-040</x:t>
        </x:is>
      </x:c>
      <x:c r="C634" s="160" t="inlineStr">
        <x:is>
          <x:t xml:space="preserve">Berkshire Hathaway</x:t>
        </x:is>
      </x:c>
      <x:c r="D634" s="160" t="inlineStr">
        <x:is>
          <x:t xml:space="preserve">BRK.B</x:t>
        </x:is>
      </x:c>
      <x:c r="E634" s="160" t="inlineStr">
        <x:is>
          <x:t xml:space="preserve">Insurance</x:t>
        </x:is>
      </x:c>
      <x:c r="F634" s="160" t="inlineStr">
        <x:is>
          <x:t xml:space="preserve">Development</x:t>
        </x:is>
      </x:c>
      <x:c r="G634" s="160" t="inlineStr">
        <x:is>
          <x:t xml:space="preserve">S05</x:t>
        </x:is>
      </x:c>
      <x:c r="H634" s="160" t="inlineStr">
        <x:is>
          <x:t xml:space="preserve">Survival / Funding</x:t>
        </x:is>
      </x:c>
      <x:c r="I634" s="160" t="inlineStr">
        <x:is>
          <x:t xml:space="preserve">Survival</x:t>
        </x:is>
      </x:c>
      <x:c r="J634" s="160" t="inlineStr">
        <x:is>
          <x:t xml:space="preserve">A plausible bear case exposes refinancing, liquidity, covenant, reserve, regulatory or operational fragility.</x:t>
        </x:is>
      </x:c>
      <x:c r="K634" s="160" t="inlineStr">
        <x:is>
          <x:t xml:space="preserve">Underwriting float plus operating businesses/investments</x:t>
        </x:is>
      </x:c>
      <x:c r="L634" s="160" t="inlineStr">
        <x:is>
          <x:t xml:space="preserve">SOTP + owner earnings</x:t>
        </x:is>
      </x:c>
      <x:c r="M634" s="160" t="inlineStr">
        <x:is>
          <x:t xml:space="preserve">WATCH</x:t>
        </x:is>
      </x:c>
      <x:c r="N634" s="160" t="inlineStr">
        <x:is>
          <x:t xml:space="preserve">R-SURV-01</x:t>
        </x:is>
      </x:c>
      <x:c r="O634" s="160" t="inlineStr">
        <x:is>
          <x:t xml:space="preserve">COUNTER-EVIDENCE</x:t>
        </x:is>
      </x:c>
      <x:c r="P634" s="160" t="inlineStr">
        <x:is>
          <x:t xml:space="preserve">ROBUST</x:t>
        </x:is>
      </x:c>
      <x:c r="Q634" s="160" t="inlineStr">
        <x:is>
          <x:t xml:space="preserve">The mature simulation rule catches the stress without weakening a fatal gate; no rule relaxation is justified.</x:t>
        </x:is>
      </x:c>
      <x:c r="R634" s="160" t="inlineStr">
        <x:is>
          <x:t xml:space="preserve">Run a company-specific survival bridge under a severe-but-plausible bear case before any upside underwriting.</x:t>
        </x:is>
      </x:c>
      <x:c r="S634" s="160" t="inlineStr">
        <x:is>
          <x:t xml:space="preserve">NO</x:t>
        </x:is>
      </x:c>
      <x:c r="T634" s="160" t="inlineStr">
        <x:is>
          <x:t xml:space="preserve">COUNTER-EVIDENCE</x:t>
        </x:is>
      </x:c>
      <x:c r="U634" s="160" t="inlineStr">
        <x:is>
          <x:t xml:space="preserve">V10.5-SIM60</x:t>
        </x:is>
      </x:c>
      <x:c r="V634" s="160" t="inlineStr">
        <x:is>
          <x:t xml:space="preserve">https://www.berkshirehathaway.com/reports.html</x:t>
        </x:is>
      </x:c>
      <x:c r="W634" s="160" t="inlineStr">
        <x:is>
          <x:t xml:space="preserve">NO</x:t>
        </x:is>
      </x:c>
      <x:c r="X634" s="160" t="inlineStr">
        <x:is>
          <x:t xml:space="preserve">NONE — DEVELOPMENT ONLY</x:t>
        </x:is>
      </x:c>
      <x:c r="Y634" s="160" t="inlineStr">
        <x:is>
          <x:t xml:space="preserve">Synthetic/adversarial model-development loop. No historical outcome is claimed; no accuracy point is awarded.</x:t>
        </x:is>
      </x:c>
    </x:row>
    <x:row r="635">
      <x:c r="A635" s="160" t="inlineStr">
        <x:is>
          <x:t xml:space="preserve">ML0630</x:t>
        </x:is>
      </x:c>
      <x:c r="B635" s="160" t="inlineStr">
        <x:is>
          <x:t xml:space="preserve">ARG-040</x:t>
        </x:is>
      </x:c>
      <x:c r="C635" s="160" t="inlineStr">
        <x:is>
          <x:t xml:space="preserve">Berkshire Hathaway</x:t>
        </x:is>
      </x:c>
      <x:c r="D635" s="160" t="inlineStr">
        <x:is>
          <x:t xml:space="preserve">BRK.B</x:t>
        </x:is>
      </x:c>
      <x:c r="E635" s="160" t="inlineStr">
        <x:is>
          <x:t xml:space="preserve">Insurance</x:t>
        </x:is>
      </x:c>
      <x:c r="F635" s="160" t="inlineStr">
        <x:is>
          <x:t xml:space="preserve">Development</x:t>
        </x:is>
      </x:c>
      <x:c r="G635" s="160" t="inlineStr">
        <x:is>
          <x:t xml:space="preserve">S06</x:t>
        </x:is>
      </x:c>
      <x:c r="H635" s="160" t="inlineStr">
        <x:is>
          <x:t xml:space="preserve">Margin of Safety</x:t>
        </x:is>
      </x:c>
      <x:c r="I635" s="160" t="inlineStr">
        <x:is>
          <x:t xml:space="preserve">Margin of Safety</x:t>
        </x:is>
      </x:c>
      <x:c r="J635" s="160" t="inlineStr">
        <x:is>
          <x:t xml:space="preserve">Business quality is high but the price embeds a fragile bull case.</x:t>
        </x:is>
      </x:c>
      <x:c r="K635" s="160" t="inlineStr">
        <x:is>
          <x:t xml:space="preserve">Underwriting float plus operating businesses/investments</x:t>
        </x:is>
      </x:c>
      <x:c r="L635" s="160" t="inlineStr">
        <x:is>
          <x:t xml:space="preserve">SOTP + owner earnings</x:t>
        </x:is>
      </x:c>
      <x:c r="M635" s="160" t="inlineStr">
        <x:is>
          <x:t xml:space="preserve">WATCH</x:t>
        </x:is>
      </x:c>
      <x:c r="N635" s="160" t="inlineStr">
        <x:is>
          <x:t xml:space="preserve">R-MOS-01</x:t>
        </x:is>
      </x:c>
      <x:c r="O635" s="160" t="inlineStr">
        <x:is>
          <x:t xml:space="preserve">COUNTER-EVIDENCE</x:t>
        </x:is>
      </x:c>
      <x:c r="P635" s="160" t="inlineStr">
        <x:is>
          <x:t xml:space="preserve">ROBUST</x:t>
        </x:is>
      </x:c>
      <x:c r="Q635" s="160" t="inlineStr">
        <x:is>
          <x:t xml:space="preserve">The mature simulation rule catches the stress without weakening a fatal gate; no rule relaxation is justified.</x:t>
        </x:is>
      </x:c>
      <x:c r="R635" s="160" t="inlineStr">
        <x:is>
          <x:t xml:space="preserve">Separate business-quality score from price decision; require reverse valuation and bear/base/bull IV ranges.</x:t>
        </x:is>
      </x:c>
      <x:c r="S635" s="160" t="inlineStr">
        <x:is>
          <x:t xml:space="preserve">NO</x:t>
        </x:is>
      </x:c>
      <x:c r="T635" s="160" t="inlineStr">
        <x:is>
          <x:t xml:space="preserve">COUNTER-EVIDENCE</x:t>
        </x:is>
      </x:c>
      <x:c r="U635" s="160" t="inlineStr">
        <x:is>
          <x:t xml:space="preserve">V10.5-SIM60</x:t>
        </x:is>
      </x:c>
      <x:c r="V635" s="160" t="inlineStr">
        <x:is>
          <x:t xml:space="preserve">https://www.berkshirehathaway.com/reports.html</x:t>
        </x:is>
      </x:c>
      <x:c r="W635" s="160" t="inlineStr">
        <x:is>
          <x:t xml:space="preserve">NO</x:t>
        </x:is>
      </x:c>
      <x:c r="X635" s="160" t="inlineStr">
        <x:is>
          <x:t xml:space="preserve">NONE — DEVELOPMENT ONLY</x:t>
        </x:is>
      </x:c>
      <x:c r="Y635" s="160" t="inlineStr">
        <x:is>
          <x:t xml:space="preserve">Synthetic/adversarial model-development loop. No historical outcome is claimed; no accuracy point is awarded.</x:t>
        </x:is>
      </x:c>
    </x:row>
    <x:row r="636">
      <x:c r="A636" s="160" t="inlineStr">
        <x:is>
          <x:t xml:space="preserve">ML0631</x:t>
        </x:is>
      </x:c>
      <x:c r="B636" s="160" t="inlineStr">
        <x:is>
          <x:t xml:space="preserve">ARG-040</x:t>
        </x:is>
      </x:c>
      <x:c r="C636" s="160" t="inlineStr">
        <x:is>
          <x:t xml:space="preserve">Berkshire Hathaway</x:t>
        </x:is>
      </x:c>
      <x:c r="D636" s="160" t="inlineStr">
        <x:is>
          <x:t xml:space="preserve">BRK.B</x:t>
        </x:is>
      </x:c>
      <x:c r="E636" s="160" t="inlineStr">
        <x:is>
          <x:t xml:space="preserve">Insurance</x:t>
        </x:is>
      </x:c>
      <x:c r="F636" s="160" t="inlineStr">
        <x:is>
          <x:t xml:space="preserve">Development</x:t>
        </x:is>
      </x:c>
      <x:c r="G636" s="160" t="inlineStr">
        <x:is>
          <x:t xml:space="preserve">S07</x:t>
        </x:is>
      </x:c>
      <x:c r="H636" s="160" t="inlineStr">
        <x:is>
          <x:t xml:space="preserve">Sector Shock</x:t>
        </x:is>
      </x:c>
      <x:c r="I636" s="160" t="inlineStr">
        <x:is>
          <x:t xml:space="preserve">Sector-specific</x:t>
        </x:is>
      </x:c>
      <x:c r="J636" s="160" t="inlineStr">
        <x:is>
          <x:t xml:space="preserve">Premium growth looks strong while reserve adequacy, catastrophe exposure or pricing-cycle deterioration threatens book-value compounding.</x:t>
        </x:is>
      </x:c>
      <x:c r="K636" s="160" t="inlineStr">
        <x:is>
          <x:t xml:space="preserve">Underwriting float plus operating businesses/investments</x:t>
        </x:is>
      </x:c>
      <x:c r="L636" s="160" t="inlineStr">
        <x:is>
          <x:t xml:space="preserve">SOTP + owner earnings</x:t>
        </x:is>
      </x:c>
      <x:c r="M636" s="160" t="inlineStr">
        <x:is>
          <x:t xml:space="preserve">WATCH</x:t>
        </x:is>
      </x:c>
      <x:c r="N636" s="160" t="inlineStr">
        <x:is>
          <x:t xml:space="preserve">R-SECTOR-INSURANCE</x:t>
        </x:is>
      </x:c>
      <x:c r="O636" s="160" t="inlineStr">
        <x:is>
          <x:t xml:space="preserve">UNFORMED</x:t>
        </x:is>
      </x:c>
      <x:c r="P636" s="160" t="inlineStr">
        <x:is>
          <x:t xml:space="preserve">FAILURE EXPOSED</x:t>
        </x:is>
      </x:c>
      <x:c r="Q636" s="160" t="inlineStr">
        <x:is>
          <x:t xml:space="preserve">The frozen V10 gate family is directionally right, but the test lacks a sufficiently explicit mechanical implementation.</x:t>
        </x:is>
      </x:c>
      <x:c r="R636" s="160" t="inlineStr">
        <x:is>
          <x:t xml:space="preserve">Add a sector-specific transmission map with leading operating sensors, not only market-price variables. Sector rule: Premium growth looks strong while reserve adequacy, catastrophe exposure or pricing-cycle deterioration threatens book-value compounding.</x:t>
        </x:is>
      </x:c>
      <x:c r="S636" s="160" t="inlineStr">
        <x:is>
          <x:t xml:space="preserve">NO</x:t>
        </x:is>
      </x:c>
      <x:c r="T636" s="160" t="inlineStr">
        <x:is>
          <x:t xml:space="preserve">UNFORMED</x:t>
        </x:is>
      </x:c>
      <x:c r="U636" s="160" t="inlineStr">
        <x:is>
          <x:t xml:space="preserve">V10.5-SIM60</x:t>
        </x:is>
      </x:c>
      <x:c r="V636" s="160" t="inlineStr">
        <x:is>
          <x:t xml:space="preserve">https://www.berkshirehathaway.com/reports.html</x:t>
        </x:is>
      </x:c>
      <x:c r="W636" s="160" t="inlineStr">
        <x:is>
          <x:t xml:space="preserve">NO</x:t>
        </x:is>
      </x:c>
      <x:c r="X636" s="160" t="inlineStr">
        <x:is>
          <x:t xml:space="preserve">NONE — DEVELOPMENT ONLY</x:t>
        </x:is>
      </x:c>
      <x:c r="Y636" s="160" t="inlineStr">
        <x:is>
          <x:t xml:space="preserve">Synthetic/adversarial model-development loop. No historical outcome is claimed; no accuracy point is awarded.</x:t>
        </x:is>
      </x:c>
    </x:row>
    <x:row r="637">
      <x:c r="A637" s="160" t="inlineStr">
        <x:is>
          <x:t xml:space="preserve">ML0632</x:t>
        </x:is>
      </x:c>
      <x:c r="B637" s="160" t="inlineStr">
        <x:is>
          <x:t xml:space="preserve">ARG-040</x:t>
        </x:is>
      </x:c>
      <x:c r="C637" s="160" t="inlineStr">
        <x:is>
          <x:t xml:space="preserve">Berkshire Hathaway</x:t>
        </x:is>
      </x:c>
      <x:c r="D637" s="160" t="inlineStr">
        <x:is>
          <x:t xml:space="preserve">BRK.B</x:t>
        </x:is>
      </x:c>
      <x:c r="E637" s="160" t="inlineStr">
        <x:is>
          <x:t xml:space="preserve">Insurance</x:t>
        </x:is>
      </x:c>
      <x:c r="F637" s="160" t="inlineStr">
        <x:is>
          <x:t xml:space="preserve">Development</x:t>
        </x:is>
      </x:c>
      <x:c r="G637" s="160" t="inlineStr">
        <x:is>
          <x:t xml:space="preserve">S08</x:t>
        </x:is>
      </x:c>
      <x:c r="H637" s="160" t="inlineStr">
        <x:is>
          <x:t xml:space="preserve">Management Promise Reliability</x:t>
        </x:is>
      </x:c>
      <x:c r="I637" s="160" t="inlineStr">
        <x:is>
          <x:t xml:space="preserve">Management over-trust</x:t>
        </x:is>
      </x:c>
      <x:c r="J637" s="160" t="inlineStr">
        <x:is>
          <x:t xml:space="preserve">Guidance or strategic promises are repeated but the model lacks a contemporaneous reliability score.</x:t>
        </x:is>
      </x:c>
      <x:c r="K637" s="160" t="inlineStr">
        <x:is>
          <x:t xml:space="preserve">Underwriting float plus operating businesses/investments</x:t>
        </x:is>
      </x:c>
      <x:c r="L637" s="160" t="inlineStr">
        <x:is>
          <x:t xml:space="preserve">SOTP + owner earnings</x:t>
        </x:is>
      </x:c>
      <x:c r="M637" s="160" t="inlineStr">
        <x:is>
          <x:t xml:space="preserve">WATCH</x:t>
        </x:is>
      </x:c>
      <x:c r="N637" s="160" t="inlineStr">
        <x:is>
          <x:t xml:space="preserve">R-PROM-01</x:t>
        </x:is>
      </x:c>
      <x:c r="O637" s="160" t="inlineStr">
        <x:is>
          <x:t xml:space="preserve">COUNTER-EVIDENCE</x:t>
        </x:is>
      </x:c>
      <x:c r="P637" s="160" t="inlineStr">
        <x:is>
          <x:t xml:space="preserve">ROBUST</x:t>
        </x:is>
      </x:c>
      <x:c r="Q637" s="160" t="inlineStr">
        <x:is>
          <x:t xml:space="preserve">The mature simulation rule catches the stress without weakening a fatal gate; no rule relaxation is justified.</x:t>
        </x:is>
      </x:c>
      <x:c r="R637" s="160" t="inlineStr">
        <x:is>
          <x:t xml:space="preserve">Use a promises ledger with dated promise, measurable deliverable, due date, outcome and credibility weight.</x:t>
        </x:is>
      </x:c>
      <x:c r="S637" s="160" t="inlineStr">
        <x:is>
          <x:t xml:space="preserve">NO</x:t>
        </x:is>
      </x:c>
      <x:c r="T637" s="160" t="inlineStr">
        <x:is>
          <x:t xml:space="preserve">COUNTER-EVIDENCE</x:t>
        </x:is>
      </x:c>
      <x:c r="U637" s="160" t="inlineStr">
        <x:is>
          <x:t xml:space="preserve">V10.5-SIM60</x:t>
        </x:is>
      </x:c>
      <x:c r="V637" s="160" t="inlineStr">
        <x:is>
          <x:t xml:space="preserve">https://www.berkshirehathaway.com/reports.html</x:t>
        </x:is>
      </x:c>
      <x:c r="W637" s="160" t="inlineStr">
        <x:is>
          <x:t xml:space="preserve">NO</x:t>
        </x:is>
      </x:c>
      <x:c r="X637" s="160" t="inlineStr">
        <x:is>
          <x:t xml:space="preserve">NONE — DEVELOPMENT ONLY</x:t>
        </x:is>
      </x:c>
      <x:c r="Y637" s="160" t="inlineStr">
        <x:is>
          <x:t xml:space="preserve">Synthetic/adversarial model-development loop. No historical outcome is claimed; no accuracy point is awarded.</x:t>
        </x:is>
      </x:c>
    </x:row>
    <x:row r="638">
      <x:c r="A638" s="160" t="inlineStr">
        <x:is>
          <x:t xml:space="preserve">ML0633</x:t>
        </x:is>
      </x:c>
      <x:c r="B638" s="160" t="inlineStr">
        <x:is>
          <x:t xml:space="preserve">ARG-040</x:t>
        </x:is>
      </x:c>
      <x:c r="C638" s="160" t="inlineStr">
        <x:is>
          <x:t xml:space="preserve">Berkshire Hathaway</x:t>
        </x:is>
      </x:c>
      <x:c r="D638" s="160" t="inlineStr">
        <x:is>
          <x:t xml:space="preserve">BRK.B</x:t>
        </x:is>
      </x:c>
      <x:c r="E638" s="160" t="inlineStr">
        <x:is>
          <x:t xml:space="preserve">Insurance</x:t>
        </x:is>
      </x:c>
      <x:c r="F638" s="160" t="inlineStr">
        <x:is>
          <x:t xml:space="preserve">Development</x:t>
        </x:is>
      </x:c>
      <x:c r="G638" s="160" t="inlineStr">
        <x:is>
          <x:t xml:space="preserve">S09</x:t>
        </x:is>
      </x:c>
      <x:c r="H638" s="160" t="inlineStr">
        <x:is>
          <x:t xml:space="preserve">Data / Accounting Quality</x:t>
        </x:is>
      </x:c>
      <x:c r="I638" s="160" t="inlineStr">
        <x:is>
          <x:t xml:space="preserve">Data quality</x:t>
        </x:is>
      </x:c>
      <x:c r="J638" s="160" t="inlineStr">
        <x:is>
          <x:t xml:space="preserve">Restatement, segment reclassification, one-time item or non-economic fair-value movement distorts the apparent trend.</x:t>
        </x:is>
      </x:c>
      <x:c r="K638" s="160" t="inlineStr">
        <x:is>
          <x:t xml:space="preserve">Underwriting float plus operating businesses/investments</x:t>
        </x:is>
      </x:c>
      <x:c r="L638" s="160" t="inlineStr">
        <x:is>
          <x:t xml:space="preserve">SOTP + owner earnings</x:t>
        </x:is>
      </x:c>
      <x:c r="M638" s="160" t="inlineStr">
        <x:is>
          <x:t xml:space="preserve">WATCH</x:t>
        </x:is>
      </x:c>
      <x:c r="N638" s="160" t="inlineStr">
        <x:is>
          <x:t xml:space="preserve">R-DATA-01</x:t>
        </x:is>
      </x:c>
      <x:c r="O638" s="160" t="inlineStr">
        <x:is>
          <x:t xml:space="preserve">COUNTER-EVIDENCE</x:t>
        </x:is>
      </x:c>
      <x:c r="P638" s="160" t="inlineStr">
        <x:is>
          <x:t xml:space="preserve">ROBUST</x:t>
        </x:is>
      </x:c>
      <x:c r="Q638" s="160" t="inlineStr">
        <x:is>
          <x:t xml:space="preserve">The mature simulation rule catches the stress without weakening a fatal gate; no rule relaxation is justified.</x:t>
        </x:is>
      </x:c>
      <x:c r="R638" s="160" t="inlineStr">
        <x:is>
          <x:t xml:space="preserve">Add a reporting-quality bridge and normalize accounting noise before any gate can pass.</x:t>
        </x:is>
      </x:c>
      <x:c r="S638" s="160" t="inlineStr">
        <x:is>
          <x:t xml:space="preserve">NO</x:t>
        </x:is>
      </x:c>
      <x:c r="T638" s="160" t="inlineStr">
        <x:is>
          <x:t xml:space="preserve">COUNTER-EVIDENCE</x:t>
        </x:is>
      </x:c>
      <x:c r="U638" s="160" t="inlineStr">
        <x:is>
          <x:t xml:space="preserve">V10.5-SIM60</x:t>
        </x:is>
      </x:c>
      <x:c r="V638" s="160" t="inlineStr">
        <x:is>
          <x:t xml:space="preserve">https://www.berkshirehathaway.com/reports.html</x:t>
        </x:is>
      </x:c>
      <x:c r="W638" s="160" t="inlineStr">
        <x:is>
          <x:t xml:space="preserve">NO</x:t>
        </x:is>
      </x:c>
      <x:c r="X638" s="160" t="inlineStr">
        <x:is>
          <x:t xml:space="preserve">NONE — DEVELOPMENT ONLY</x:t>
        </x:is>
      </x:c>
      <x:c r="Y638" s="160" t="inlineStr">
        <x:is>
          <x:t xml:space="preserve">Synthetic/adversarial model-development loop. No historical outcome is claimed; no accuracy point is awarded.</x:t>
        </x:is>
      </x:c>
    </x:row>
    <x:row r="639">
      <x:c r="A639" s="160" t="inlineStr">
        <x:is>
          <x:t xml:space="preserve">ML0634</x:t>
        </x:is>
      </x:c>
      <x:c r="B639" s="160" t="inlineStr">
        <x:is>
          <x:t xml:space="preserve">ARG-040</x:t>
        </x:is>
      </x:c>
      <x:c r="C639" s="160" t="inlineStr">
        <x:is>
          <x:t xml:space="preserve">Berkshire Hathaway</x:t>
        </x:is>
      </x:c>
      <x:c r="D639" s="160" t="inlineStr">
        <x:is>
          <x:t xml:space="preserve">BRK.B</x:t>
        </x:is>
      </x:c>
      <x:c r="E639" s="160" t="inlineStr">
        <x:is>
          <x:t xml:space="preserve">Insurance</x:t>
        </x:is>
      </x:c>
      <x:c r="F639" s="160" t="inlineStr">
        <x:is>
          <x:t xml:space="preserve">Development</x:t>
        </x:is>
      </x:c>
      <x:c r="G639" s="160" t="inlineStr">
        <x:is>
          <x:t xml:space="preserve">S10</x:t>
        </x:is>
      </x:c>
      <x:c r="H639" s="160" t="inlineStr">
        <x:is>
          <x:t xml:space="preserve">Control / Counterfactual</x:t>
        </x:is>
      </x:c>
      <x:c r="I639" s="160" t="inlineStr">
        <x:is>
          <x:t xml:space="preserve">Sector beta vs company alpha</x:t>
        </x:is>
      </x:c>
      <x:c r="J639" s="160" t="inlineStr">
        <x:is>
          <x:t xml:space="preserve">A positive outcome is mostly sector beta or macro tailwind, not company-specific alpha.</x:t>
        </x:is>
      </x:c>
      <x:c r="K639" s="160" t="inlineStr">
        <x:is>
          <x:t xml:space="preserve">Underwriting float plus operating businesses/investments</x:t>
        </x:is>
      </x:c>
      <x:c r="L639" s="160" t="inlineStr">
        <x:is>
          <x:t xml:space="preserve">SOTP + owner earnings</x:t>
        </x:is>
      </x:c>
      <x:c r="M639" s="160" t="inlineStr">
        <x:is>
          <x:t xml:space="preserve">WATCH</x:t>
        </x:is>
      </x:c>
      <x:c r="N639" s="160" t="inlineStr">
        <x:is>
          <x:t xml:space="preserve">R-CF-01</x:t>
        </x:is>
      </x:c>
      <x:c r="O639" s="160" t="inlineStr">
        <x:is>
          <x:t xml:space="preserve">COUNTER-EVIDENCE</x:t>
        </x:is>
      </x:c>
      <x:c r="P639" s="160" t="inlineStr">
        <x:is>
          <x:t xml:space="preserve">ROBUST</x:t>
        </x:is>
      </x:c>
      <x:c r="Q639" s="160" t="inlineStr">
        <x:is>
          <x:t xml:space="preserve">The mature simulation rule catches the stress without weakening a fatal gate; no rule relaxation is justified.</x:t>
        </x:is>
      </x:c>
      <x:c r="R639" s="160" t="inlineStr">
        <x:is>
          <x:t xml:space="preserve">Require a true economic control and counterfactual: what should have happened to a comparable company under the same shock?</x:t>
        </x:is>
      </x:c>
      <x:c r="S639" s="160" t="inlineStr">
        <x:is>
          <x:t xml:space="preserve">NO</x:t>
        </x:is>
      </x:c>
      <x:c r="T639" s="160" t="inlineStr">
        <x:is>
          <x:t xml:space="preserve">COUNTER-EVIDENCE</x:t>
        </x:is>
      </x:c>
      <x:c r="U639" s="160" t="inlineStr">
        <x:is>
          <x:t xml:space="preserve">V10.5-SIM60</x:t>
        </x:is>
      </x:c>
      <x:c r="V639" s="160" t="inlineStr">
        <x:is>
          <x:t xml:space="preserve">https://www.berkshirehathaway.com/reports.html</x:t>
        </x:is>
      </x:c>
      <x:c r="W639" s="160" t="inlineStr">
        <x:is>
          <x:t xml:space="preserve">NO</x:t>
        </x:is>
      </x:c>
      <x:c r="X639" s="160" t="inlineStr">
        <x:is>
          <x:t xml:space="preserve">NONE — DEVELOPMENT ONLY</x:t>
        </x:is>
      </x:c>
      <x:c r="Y639" s="160" t="inlineStr">
        <x:is>
          <x:t xml:space="preserve">Synthetic/adversarial model-development loop. No historical outcome is claimed; no accuracy point is awarded.</x:t>
        </x:is>
      </x:c>
    </x:row>
    <x:row r="640">
      <x:c r="A640" s="160" t="inlineStr">
        <x:is>
          <x:t xml:space="preserve">ML0635</x:t>
        </x:is>
      </x:c>
      <x:c r="B640" s="160" t="inlineStr">
        <x:is>
          <x:t xml:space="preserve">ARG-040</x:t>
        </x:is>
      </x:c>
      <x:c r="C640" s="160" t="inlineStr">
        <x:is>
          <x:t xml:space="preserve">Berkshire Hathaway</x:t>
        </x:is>
      </x:c>
      <x:c r="D640" s="160" t="inlineStr">
        <x:is>
          <x:t xml:space="preserve">BRK.B</x:t>
        </x:is>
      </x:c>
      <x:c r="E640" s="160" t="inlineStr">
        <x:is>
          <x:t xml:space="preserve">Insurance</x:t>
        </x:is>
      </x:c>
      <x:c r="F640" s="160" t="inlineStr">
        <x:is>
          <x:t xml:space="preserve">Development</x:t>
        </x:is>
      </x:c>
      <x:c r="G640" s="160" t="inlineStr">
        <x:is>
          <x:t xml:space="preserve">S11</x:t>
        </x:is>
      </x:c>
      <x:c r="H640" s="160" t="inlineStr">
        <x:is>
          <x:t xml:space="preserve">False-Negative Discipline</x:t>
        </x:is>
      </x:c>
      <x:c r="I640" s="160" t="inlineStr">
        <x:is>
          <x:t xml:space="preserve">False negative</x:t>
        </x:is>
      </x:c>
      <x:c r="J640" s="160" t="inlineStr">
        <x:is>
          <x:t xml:space="preserve">A strict gate rejects a company that later compounds strongly for reasons the model could have known.</x:t>
        </x:is>
      </x:c>
      <x:c r="K640" s="160" t="inlineStr">
        <x:is>
          <x:t xml:space="preserve">Underwriting float plus operating businesses/investments</x:t>
        </x:is>
      </x:c>
      <x:c r="L640" s="160" t="inlineStr">
        <x:is>
          <x:t xml:space="preserve">SOTP + owner earnings</x:t>
        </x:is>
      </x:c>
      <x:c r="M640" s="160" t="inlineStr">
        <x:is>
          <x:t xml:space="preserve">WATCH</x:t>
        </x:is>
      </x:c>
      <x:c r="N640" s="160" t="inlineStr">
        <x:is>
          <x:t xml:space="preserve">R-FN-01</x:t>
        </x:is>
      </x:c>
      <x:c r="O640" s="160" t="inlineStr">
        <x:is>
          <x:t xml:space="preserve">COUNTER-EVIDENCE</x:t>
        </x:is>
      </x:c>
      <x:c r="P640" s="160" t="inlineStr">
        <x:is>
          <x:t xml:space="preserve">ROBUST</x:t>
        </x:is>
      </x:c>
      <x:c r="Q640" s="160" t="inlineStr">
        <x:is>
          <x:t xml:space="preserve">The mature simulation rule catches the stress without weakening a fatal gate; no rule relaxation is justified.</x:t>
        </x:is>
      </x:c>
      <x:c r="R640" s="160" t="inlineStr">
        <x:is>
          <x:t xml:space="preserve">Track opportunity cost and classify whether the miss came from evidence timing, wrong threshold or genuinely unknowable upside.</x:t>
        </x:is>
      </x:c>
      <x:c r="S640" s="160" t="inlineStr">
        <x:is>
          <x:t xml:space="preserve">NO</x:t>
        </x:is>
      </x:c>
      <x:c r="T640" s="160" t="inlineStr">
        <x:is>
          <x:t xml:space="preserve">COUNTER-EVIDENCE</x:t>
        </x:is>
      </x:c>
      <x:c r="U640" s="160" t="inlineStr">
        <x:is>
          <x:t xml:space="preserve">V10.5-SIM60</x:t>
        </x:is>
      </x:c>
      <x:c r="V640" s="160" t="inlineStr">
        <x:is>
          <x:t xml:space="preserve">https://www.berkshirehathaway.com/reports.html</x:t>
        </x:is>
      </x:c>
      <x:c r="W640" s="160" t="inlineStr">
        <x:is>
          <x:t xml:space="preserve">NO</x:t>
        </x:is>
      </x:c>
      <x:c r="X640" s="160" t="inlineStr">
        <x:is>
          <x:t xml:space="preserve">NONE — DEVELOPMENT ONLY</x:t>
        </x:is>
      </x:c>
      <x:c r="Y640" s="160" t="inlineStr">
        <x:is>
          <x:t xml:space="preserve">Synthetic/adversarial model-development loop. No historical outcome is claimed; no accuracy point is awarded.</x:t>
        </x:is>
      </x:c>
    </x:row>
    <x:row r="641">
      <x:c r="A641" s="160" t="inlineStr">
        <x:is>
          <x:t xml:space="preserve">ML0636</x:t>
        </x:is>
      </x:c>
      <x:c r="B641" s="160" t="inlineStr">
        <x:is>
          <x:t xml:space="preserve">ARG-040</x:t>
        </x:is>
      </x:c>
      <x:c r="C641" s="160" t="inlineStr">
        <x:is>
          <x:t xml:space="preserve">Berkshire Hathaway</x:t>
        </x:is>
      </x:c>
      <x:c r="D641" s="160" t="inlineStr">
        <x:is>
          <x:t xml:space="preserve">BRK.B</x:t>
        </x:is>
      </x:c>
      <x:c r="E641" s="160" t="inlineStr">
        <x:is>
          <x:t xml:space="preserve">Insurance</x:t>
        </x:is>
      </x:c>
      <x:c r="F641" s="160" t="inlineStr">
        <x:is>
          <x:t xml:space="preserve">Development</x:t>
        </x:is>
      </x:c>
      <x:c r="G641" s="160" t="inlineStr">
        <x:is>
          <x:t xml:space="preserve">S12</x:t>
        </x:is>
      </x:c>
      <x:c r="H641" s="160" t="inlineStr">
        <x:is>
          <x:t xml:space="preserve">Lead-Time / Early Sensor</x:t>
        </x:is>
      </x:c>
      <x:c r="I641" s="160" t="inlineStr">
        <x:is>
          <x:t xml:space="preserve">Timing / lead-time</x:t>
        </x:is>
      </x:c>
      <x:c r="J641" s="160" t="inlineStr">
        <x:is>
          <x:t xml:space="preserve">ARGUS identifies the change correctly but only after consensus and price have already reacted.</x:t>
        </x:is>
      </x:c>
      <x:c r="K641" s="160" t="inlineStr">
        <x:is>
          <x:t xml:space="preserve">Underwriting float plus operating businesses/investments</x:t>
        </x:is>
      </x:c>
      <x:c r="L641" s="160" t="inlineStr">
        <x:is>
          <x:t xml:space="preserve">SOTP + owner earnings</x:t>
        </x:is>
      </x:c>
      <x:c r="M641" s="160" t="inlineStr">
        <x:is>
          <x:t xml:space="preserve">WATCH</x:t>
        </x:is>
      </x:c>
      <x:c r="N641" s="160" t="inlineStr">
        <x:is>
          <x:t xml:space="preserve">R-TIME-01</x:t>
        </x:is>
      </x:c>
      <x:c r="O641" s="160" t="inlineStr">
        <x:is>
          <x:t xml:space="preserve">COUNTER-EVIDENCE</x:t>
        </x:is>
      </x:c>
      <x:c r="P641" s="160" t="inlineStr">
        <x:is>
          <x:t xml:space="preserve">ROBUST</x:t>
        </x:is>
      </x:c>
      <x:c r="Q641" s="160" t="inlineStr">
        <x:is>
          <x:t xml:space="preserve">The mature simulation rule catches the stress without weakening a fatal gate; no rule relaxation is justified.</x:t>
        </x:is>
      </x:c>
      <x:c r="R641" s="160" t="inlineStr">
        <x:is>
          <x:t xml:space="preserve">Replace lagging financial metrics with earlier causal operating sensors and record lead time separately from correctness.</x:t>
        </x:is>
      </x:c>
      <x:c r="S641" s="160" t="inlineStr">
        <x:is>
          <x:t xml:space="preserve">NO</x:t>
        </x:is>
      </x:c>
      <x:c r="T641" s="160" t="inlineStr">
        <x:is>
          <x:t xml:space="preserve">COUNTER-EVIDENCE</x:t>
        </x:is>
      </x:c>
      <x:c r="U641" s="160" t="inlineStr">
        <x:is>
          <x:t xml:space="preserve">V10.5-SIM60</x:t>
        </x:is>
      </x:c>
      <x:c r="V641" s="160" t="inlineStr">
        <x:is>
          <x:t xml:space="preserve">https://www.berkshirehathaway.com/reports.html</x:t>
        </x:is>
      </x:c>
      <x:c r="W641" s="160" t="inlineStr">
        <x:is>
          <x:t xml:space="preserve">NO</x:t>
        </x:is>
      </x:c>
      <x:c r="X641" s="160" t="inlineStr">
        <x:is>
          <x:t xml:space="preserve">NONE — DEVELOPMENT ONLY</x:t>
        </x:is>
      </x:c>
      <x:c r="Y641" s="160" t="inlineStr">
        <x:is>
          <x:t xml:space="preserve">Synthetic/adversarial model-development loop. No historical outcome is claimed; no accuracy point is awarded.</x:t>
        </x:is>
      </x:c>
    </x:row>
    <x:row r="642">
      <x:c r="A642" s="160" t="inlineStr">
        <x:is>
          <x:t xml:space="preserve">ML0637</x:t>
        </x:is>
      </x:c>
      <x:c r="B642" s="160" t="inlineStr">
        <x:is>
          <x:t xml:space="preserve">ARG-040</x:t>
        </x:is>
      </x:c>
      <x:c r="C642" s="160" t="inlineStr">
        <x:is>
          <x:t xml:space="preserve">Berkshire Hathaway</x:t>
        </x:is>
      </x:c>
      <x:c r="D642" s="160" t="inlineStr">
        <x:is>
          <x:t xml:space="preserve">BRK.B</x:t>
        </x:is>
      </x:c>
      <x:c r="E642" s="160" t="inlineStr">
        <x:is>
          <x:t xml:space="preserve">Insurance</x:t>
        </x:is>
      </x:c>
      <x:c r="F642" s="160" t="inlineStr">
        <x:is>
          <x:t xml:space="preserve">Development</x:t>
        </x:is>
      </x:c>
      <x:c r="G642" s="160" t="inlineStr">
        <x:is>
          <x:t xml:space="preserve">S13</x:t>
        </x:is>
      </x:c>
      <x:c r="H642" s="160" t="inlineStr">
        <x:is>
          <x:t xml:space="preserve">Cycle Normalization</x:t>
        </x:is>
      </x:c>
      <x:c r="I642" s="160" t="inlineStr">
        <x:is>
          <x:t xml:space="preserve">Wrong valuation lens</x:t>
        </x:is>
      </x:c>
      <x:c r="J642" s="160" t="inlineStr">
        <x:is>
          <x:t xml:space="preserve">Peak/trough earnings are mistaken for normalized earning power.</x:t>
        </x:is>
      </x:c>
      <x:c r="K642" s="160" t="inlineStr">
        <x:is>
          <x:t xml:space="preserve">Underwriting float plus operating businesses/investments</x:t>
        </x:is>
      </x:c>
      <x:c r="L642" s="160" t="inlineStr">
        <x:is>
          <x:t xml:space="preserve">SOTP + owner earnings</x:t>
        </x:is>
      </x:c>
      <x:c r="M642" s="160" t="inlineStr">
        <x:is>
          <x:t xml:space="preserve">WATCH</x:t>
        </x:is>
      </x:c>
      <x:c r="N642" s="160" t="inlineStr">
        <x:is>
          <x:t xml:space="preserve">R-CYCLE-01</x:t>
        </x:is>
      </x:c>
      <x:c r="O642" s="160" t="inlineStr">
        <x:is>
          <x:t xml:space="preserve">COUNTER-EVIDENCE</x:t>
        </x:is>
      </x:c>
      <x:c r="P642" s="160" t="inlineStr">
        <x:is>
          <x:t xml:space="preserve">ROBUST</x:t>
        </x:is>
      </x:c>
      <x:c r="Q642" s="160" t="inlineStr">
        <x:is>
          <x:t xml:space="preserve">The mature simulation rule catches the stress without weakening a fatal gate; no rule relaxation is justified.</x:t>
        </x:is>
      </x:c>
      <x:c r="R642" s="160" t="inlineStr">
        <x:is>
          <x:t xml:space="preserve">Use sector-specific mid-cycle/NAV/rate-base/rNPV normalization before applying a valuation multiple.</x:t>
        </x:is>
      </x:c>
      <x:c r="S642" s="160" t="inlineStr">
        <x:is>
          <x:t xml:space="preserve">NO</x:t>
        </x:is>
      </x:c>
      <x:c r="T642" s="160" t="inlineStr">
        <x:is>
          <x:t xml:space="preserve">COUNTER-EVIDENCE</x:t>
        </x:is>
      </x:c>
      <x:c r="U642" s="160" t="inlineStr">
        <x:is>
          <x:t xml:space="preserve">V10.5-SIM60</x:t>
        </x:is>
      </x:c>
      <x:c r="V642" s="160" t="inlineStr">
        <x:is>
          <x:t xml:space="preserve">https://www.berkshirehathaway.com/reports.html</x:t>
        </x:is>
      </x:c>
      <x:c r="W642" s="160" t="inlineStr">
        <x:is>
          <x:t xml:space="preserve">NO</x:t>
        </x:is>
      </x:c>
      <x:c r="X642" s="160" t="inlineStr">
        <x:is>
          <x:t xml:space="preserve">NONE — DEVELOPMENT ONLY</x:t>
        </x:is>
      </x:c>
      <x:c r="Y642" s="160" t="inlineStr">
        <x:is>
          <x:t xml:space="preserve">Synthetic/adversarial model-development loop. No historical outcome is claimed; no accuracy point is awarded.</x:t>
        </x:is>
      </x:c>
    </x:row>
    <x:row r="643">
      <x:c r="A643" s="160" t="inlineStr">
        <x:is>
          <x:t xml:space="preserve">ML0638</x:t>
        </x:is>
      </x:c>
      <x:c r="B643" s="160" t="inlineStr">
        <x:is>
          <x:t xml:space="preserve">ARG-040</x:t>
        </x:is>
      </x:c>
      <x:c r="C643" s="160" t="inlineStr">
        <x:is>
          <x:t xml:space="preserve">Berkshire Hathaway</x:t>
        </x:is>
      </x:c>
      <x:c r="D643" s="160" t="inlineStr">
        <x:is>
          <x:t xml:space="preserve">BRK.B</x:t>
        </x:is>
      </x:c>
      <x:c r="E643" s="160" t="inlineStr">
        <x:is>
          <x:t xml:space="preserve">Insurance</x:t>
        </x:is>
      </x:c>
      <x:c r="F643" s="160" t="inlineStr">
        <x:is>
          <x:t xml:space="preserve">Development</x:t>
        </x:is>
      </x:c>
      <x:c r="G643" s="160" t="inlineStr">
        <x:is>
          <x:t xml:space="preserve">S14</x:t>
        </x:is>
      </x:c>
      <x:c r="H643" s="160" t="inlineStr">
        <x:is>
          <x:t xml:space="preserve">M&amp;A / Organic Growth Separation</x:t>
        </x:is>
      </x:c>
      <x:c r="I643" s="160" t="inlineStr">
        <x:is>
          <x:t xml:space="preserve">Stewardship</x:t>
        </x:is>
      </x:c>
      <x:c r="J643" s="160" t="inlineStr">
        <x:is>
          <x:t xml:space="preserve">Acquisition-driven growth masks weak organic economics or poor incremental ROIC.</x:t>
        </x:is>
      </x:c>
      <x:c r="K643" s="160" t="inlineStr">
        <x:is>
          <x:t xml:space="preserve">Underwriting float plus operating businesses/investments</x:t>
        </x:is>
      </x:c>
      <x:c r="L643" s="160" t="inlineStr">
        <x:is>
          <x:t xml:space="preserve">SOTP + owner earnings</x:t>
        </x:is>
      </x:c>
      <x:c r="M643" s="160" t="inlineStr">
        <x:is>
          <x:t xml:space="preserve">WATCH</x:t>
        </x:is>
      </x:c>
      <x:c r="N643" s="160" t="inlineStr">
        <x:is>
          <x:t xml:space="preserve">R-MA-01</x:t>
        </x:is>
      </x:c>
      <x:c r="O643" s="160" t="inlineStr">
        <x:is>
          <x:t xml:space="preserve">COUNTER-EVIDENCE</x:t>
        </x:is>
      </x:c>
      <x:c r="P643" s="160" t="inlineStr">
        <x:is>
          <x:t xml:space="preserve">ROBUST</x:t>
        </x:is>
      </x:c>
      <x:c r="Q643" s="160" t="inlineStr">
        <x:is>
          <x:t xml:space="preserve">The mature simulation rule catches the stress without weakening a fatal gate; no rule relaxation is justified.</x:t>
        </x:is>
      </x:c>
      <x:c r="R643" s="160" t="inlineStr">
        <x:is>
          <x:t xml:space="preserve">Bridge organic growth, acquired growth, purchase price, integration costs and acquisition-cohort ROIC.</x:t>
        </x:is>
      </x:c>
      <x:c r="S643" s="160" t="inlineStr">
        <x:is>
          <x:t xml:space="preserve">NO</x:t>
        </x:is>
      </x:c>
      <x:c r="T643" s="160" t="inlineStr">
        <x:is>
          <x:t xml:space="preserve">COUNTER-EVIDENCE</x:t>
        </x:is>
      </x:c>
      <x:c r="U643" s="160" t="inlineStr">
        <x:is>
          <x:t xml:space="preserve">V10.5-SIM60</x:t>
        </x:is>
      </x:c>
      <x:c r="V643" s="160" t="inlineStr">
        <x:is>
          <x:t xml:space="preserve">https://www.berkshirehathaway.com/reports.html</x:t>
        </x:is>
      </x:c>
      <x:c r="W643" s="160" t="inlineStr">
        <x:is>
          <x:t xml:space="preserve">NO</x:t>
        </x:is>
      </x:c>
      <x:c r="X643" s="160" t="inlineStr">
        <x:is>
          <x:t xml:space="preserve">NONE — DEVELOPMENT ONLY</x:t>
        </x:is>
      </x:c>
      <x:c r="Y643" s="160" t="inlineStr">
        <x:is>
          <x:t xml:space="preserve">Synthetic/adversarial model-development loop. No historical outcome is claimed; no accuracy point is awarded.</x:t>
        </x:is>
      </x:c>
    </x:row>
    <x:row r="644">
      <x:c r="A644" s="160" t="inlineStr">
        <x:is>
          <x:t xml:space="preserve">ML0639</x:t>
        </x:is>
      </x:c>
      <x:c r="B644" s="160" t="inlineStr">
        <x:is>
          <x:t xml:space="preserve">ARG-040</x:t>
        </x:is>
      </x:c>
      <x:c r="C644" s="160" t="inlineStr">
        <x:is>
          <x:t xml:space="preserve">Berkshire Hathaway</x:t>
        </x:is>
      </x:c>
      <x:c r="D644" s="160" t="inlineStr">
        <x:is>
          <x:t xml:space="preserve">BRK.B</x:t>
        </x:is>
      </x:c>
      <x:c r="E644" s="160" t="inlineStr">
        <x:is>
          <x:t xml:space="preserve">Insurance</x:t>
        </x:is>
      </x:c>
      <x:c r="F644" s="160" t="inlineStr">
        <x:is>
          <x:t xml:space="preserve">Development</x:t>
        </x:is>
      </x:c>
      <x:c r="G644" s="160" t="inlineStr">
        <x:is>
          <x:t xml:space="preserve">S15</x:t>
        </x:is>
      </x:c>
      <x:c r="H644" s="160" t="inlineStr">
        <x:is>
          <x:t xml:space="preserve">Financing / Dilution Per Share</x:t>
        </x:is>
      </x:c>
      <x:c r="I644" s="160" t="inlineStr">
        <x:is>
          <x:t xml:space="preserve">Stewardship</x:t>
        </x:is>
      </x:c>
      <x:c r="J644" s="160" t="inlineStr">
        <x:is>
          <x:t xml:space="preserve">Cash balance or revenue growth improves while financing causes material per-share value leakage.</x:t>
        </x:is>
      </x:c>
      <x:c r="K644" s="160" t="inlineStr">
        <x:is>
          <x:t xml:space="preserve">Underwriting float plus operating businesses/investments</x:t>
        </x:is>
      </x:c>
      <x:c r="L644" s="160" t="inlineStr">
        <x:is>
          <x:t xml:space="preserve">SOTP + owner earnings</x:t>
        </x:is>
      </x:c>
      <x:c r="M644" s="160" t="inlineStr">
        <x:is>
          <x:t xml:space="preserve">WATCH</x:t>
        </x:is>
      </x:c>
      <x:c r="N644" s="160" t="inlineStr">
        <x:is>
          <x:t xml:space="preserve">R-DIL-01</x:t>
        </x:is>
      </x:c>
      <x:c r="O644" s="160" t="inlineStr">
        <x:is>
          <x:t xml:space="preserve">COUNTER-EVIDENCE</x:t>
        </x:is>
      </x:c>
      <x:c r="P644" s="160" t="inlineStr">
        <x:is>
          <x:t xml:space="preserve">ROBUST</x:t>
        </x:is>
      </x:c>
      <x:c r="Q644" s="160" t="inlineStr">
        <x:is>
          <x:t xml:space="preserve">The mature simulation rule catches the stress without weakening a fatal gate; no rule relaxation is justified.</x:t>
        </x:is>
      </x:c>
      <x:c r="R644" s="160" t="inlineStr">
        <x:is>
          <x:t xml:space="preserve">Reconcile share-count growth, SBC, equity issuance, buybacks and net cash changes to per-share intrinsic value.</x:t>
        </x:is>
      </x:c>
      <x:c r="S644" s="160" t="inlineStr">
        <x:is>
          <x:t xml:space="preserve">NO</x:t>
        </x:is>
      </x:c>
      <x:c r="T644" s="160" t="inlineStr">
        <x:is>
          <x:t xml:space="preserve">COUNTER-EVIDENCE</x:t>
        </x:is>
      </x:c>
      <x:c r="U644" s="160" t="inlineStr">
        <x:is>
          <x:t xml:space="preserve">V10.5-SIM60</x:t>
        </x:is>
      </x:c>
      <x:c r="V644" s="160" t="inlineStr">
        <x:is>
          <x:t xml:space="preserve">https://www.berkshirehathaway.com/reports.html</x:t>
        </x:is>
      </x:c>
      <x:c r="W644" s="160" t="inlineStr">
        <x:is>
          <x:t xml:space="preserve">NO</x:t>
        </x:is>
      </x:c>
      <x:c r="X644" s="160" t="inlineStr">
        <x:is>
          <x:t xml:space="preserve">NONE — DEVELOPMENT ONLY</x:t>
        </x:is>
      </x:c>
      <x:c r="Y644" s="160" t="inlineStr">
        <x:is>
          <x:t xml:space="preserve">Synthetic/adversarial model-development loop. No historical outcome is claimed; no accuracy point is awarded.</x:t>
        </x:is>
      </x:c>
    </x:row>
    <x:row r="645">
      <x:c r="A645" s="160" t="inlineStr">
        <x:is>
          <x:t xml:space="preserve">ML0640</x:t>
        </x:is>
      </x:c>
      <x:c r="B645" s="160" t="inlineStr">
        <x:is>
          <x:t xml:space="preserve">ARG-040</x:t>
        </x:is>
      </x:c>
      <x:c r="C645" s="160" t="inlineStr">
        <x:is>
          <x:t xml:space="preserve">Berkshire Hathaway</x:t>
        </x:is>
      </x:c>
      <x:c r="D645" s="160" t="inlineStr">
        <x:is>
          <x:t xml:space="preserve">BRK.B</x:t>
        </x:is>
      </x:c>
      <x:c r="E645" s="160" t="inlineStr">
        <x:is>
          <x:t xml:space="preserve">Insurance</x:t>
        </x:is>
      </x:c>
      <x:c r="F645" s="160" t="inlineStr">
        <x:is>
          <x:t xml:space="preserve">Development</x:t>
        </x:is>
      </x:c>
      <x:c r="G645" s="160" t="inlineStr">
        <x:is>
          <x:t xml:space="preserve">S16</x:t>
        </x:is>
      </x:c>
      <x:c r="H645" s="160" t="inlineStr">
        <x:is>
          <x:t xml:space="preserve">Concentration / Tail Risk</x:t>
        </x:is>
      </x:c>
      <x:c r="I645" s="160" t="inlineStr">
        <x:is>
          <x:t xml:space="preserve">Survival</x:t>
        </x:is>
      </x:c>
      <x:c r="J645" s="160" t="inlineStr">
        <x:is>
          <x:t xml:space="preserve">A concentrated supplier, geography, customer, product, patent, regulatory or technology dependency creates asymmetric permanent-loss risk.</x:t>
        </x:is>
      </x:c>
      <x:c r="K645" s="160" t="inlineStr">
        <x:is>
          <x:t xml:space="preserve">Underwriting float plus operating businesses/investments</x:t>
        </x:is>
      </x:c>
      <x:c r="L645" s="160" t="inlineStr">
        <x:is>
          <x:t xml:space="preserve">SOTP + owner earnings</x:t>
        </x:is>
      </x:c>
      <x:c r="M645" s="160" t="inlineStr">
        <x:is>
          <x:t xml:space="preserve">WATCH</x:t>
        </x:is>
      </x:c>
      <x:c r="N645" s="160" t="inlineStr">
        <x:is>
          <x:t xml:space="preserve">R-TAIL-01</x:t>
        </x:is>
      </x:c>
      <x:c r="O645" s="160" t="inlineStr">
        <x:is>
          <x:t xml:space="preserve">COUNTER-EVIDENCE</x:t>
        </x:is>
      </x:c>
      <x:c r="P645" s="160" t="inlineStr">
        <x:is>
          <x:t xml:space="preserve">ROBUST</x:t>
        </x:is>
      </x:c>
      <x:c r="Q645" s="160" t="inlineStr">
        <x:is>
          <x:t xml:space="preserve">The mature simulation rule catches the stress without weakening a fatal gate; no rule relaxation is justified.</x:t>
        </x:is>
      </x:c>
      <x:c r="R645" s="160" t="inlineStr">
        <x:is>
          <x:t xml:space="preserve">Maintain an explicit concentration/tail-risk register with probability, severity, mitigation and required margin-of-safety premium.</x:t>
        </x:is>
      </x:c>
      <x:c r="S645" s="160" t="inlineStr">
        <x:is>
          <x:t xml:space="preserve">NO</x:t>
        </x:is>
      </x:c>
      <x:c r="T645" s="160" t="inlineStr">
        <x:is>
          <x:t xml:space="preserve">COUNTER-EVIDENCE</x:t>
        </x:is>
      </x:c>
      <x:c r="U645" s="160" t="inlineStr">
        <x:is>
          <x:t xml:space="preserve">V10.5-SIM60</x:t>
        </x:is>
      </x:c>
      <x:c r="V645" s="160" t="inlineStr">
        <x:is>
          <x:t xml:space="preserve">https://www.berkshirehathaway.com/reports.html</x:t>
        </x:is>
      </x:c>
      <x:c r="W645" s="160" t="inlineStr">
        <x:is>
          <x:t xml:space="preserve">NO</x:t>
        </x:is>
      </x:c>
      <x:c r="X645" s="160" t="inlineStr">
        <x:is>
          <x:t xml:space="preserve">NONE — DEVELOPMENT ONLY</x:t>
        </x:is>
      </x:c>
      <x:c r="Y645" s="160" t="inlineStr">
        <x:is>
          <x:t xml:space="preserve">Synthetic/adversarial model-development loop. No historical outcome is claimed; no accuracy point is awarded.</x:t>
        </x:is>
      </x:c>
    </x:row>
    <x:row r="646">
      <x:c r="A646" s="160" t="inlineStr">
        <x:is>
          <x:t xml:space="preserve">ML0641</x:t>
        </x:is>
      </x:c>
      <x:c r="B646" s="160" t="inlineStr">
        <x:is>
          <x:t xml:space="preserve">ARG-041</x:t>
        </x:is>
      </x:c>
      <x:c r="C646" s="160" t="inlineStr">
        <x:is>
          <x:t xml:space="preserve">Chubb</x:t>
        </x:is>
      </x:c>
      <x:c r="D646" s="160" t="inlineStr">
        <x:is>
          <x:t xml:space="preserve">CB</x:t>
        </x:is>
      </x:c>
      <x:c r="E646" s="160" t="inlineStr">
        <x:is>
          <x:t xml:space="preserve">Insurance</x:t>
        </x:is>
      </x:c>
      <x:c r="F646" s="160" t="inlineStr">
        <x:is>
          <x:t xml:space="preserve">Development</x:t>
        </x:is>
      </x:c>
      <x:c r="G646" s="160" t="inlineStr">
        <x:is>
          <x:t xml:space="preserve">S01</x:t>
        </x:is>
      </x:c>
      <x:c r="H646" s="160" t="inlineStr">
        <x:is>
          <x:t xml:space="preserve">Understanding Gate</x:t>
        </x:is>
      </x:c>
      <x:c r="I646" s="160" t="inlineStr">
        <x:is>
          <x:t xml:space="preserve">Understanding</x:t>
        </x:is>
      </x:c>
      <x:c r="J646" s="160" t="inlineStr">
        <x:is>
          <x:t xml:space="preserve">Causal engine / customer ROI chain breaks under a misleading headline KPI.</x:t>
        </x:is>
      </x:c>
      <x:c r="K646" s="160" t="inlineStr">
        <x:is>
          <x:t xml:space="preserve">Underwriting profit plus investment income on float</x:t>
        </x:is>
      </x:c>
      <x:c r="L646" s="160" t="inlineStr">
        <x:is>
          <x:t xml:space="preserve">Book value growth + normalized underwriting</x:t>
        </x:is>
      </x:c>
      <x:c r="M646" s="160" t="inlineStr">
        <x:is>
          <x:t xml:space="preserve">MEETING CONTROL</x:t>
        </x:is>
      </x:c>
      <x:c r="N646" s="160" t="inlineStr">
        <x:is>
          <x:t xml:space="preserve">R-ENG-01</x:t>
        </x:is>
      </x:c>
      <x:c r="O646" s="160" t="inlineStr">
        <x:is>
          <x:t xml:space="preserve">COUNTER-EVIDENCE</x:t>
        </x:is>
      </x:c>
      <x:c r="P646" s="160" t="inlineStr">
        <x:is>
          <x:t xml:space="preserve">ROBUST</x:t>
        </x:is>
      </x:c>
      <x:c r="Q646" s="160" t="inlineStr">
        <x:is>
          <x:t xml:space="preserve">The mature simulation rule catches the stress without weakening a fatal gate; no rule relaxation is justified.</x:t>
        </x:is>
      </x:c>
      <x:c r="R646" s="160" t="inlineStr">
        <x:is>
          <x:t xml:space="preserve">Force an explicit engine tree: customer job → unit economics → revenue driver → owner-value bridge.</x:t>
        </x:is>
      </x:c>
      <x:c r="S646" s="160" t="inlineStr">
        <x:is>
          <x:t xml:space="preserve">NO</x:t>
        </x:is>
      </x:c>
      <x:c r="T646" s="160" t="inlineStr">
        <x:is>
          <x:t xml:space="preserve">COUNTER-EVIDENCE</x:t>
        </x:is>
      </x:c>
      <x:c r="U646" s="160" t="inlineStr">
        <x:is>
          <x:t xml:space="preserve">V10.5-SIM60</x:t>
        </x:is>
      </x:c>
      <x:c r="V646" s="160" t="inlineStr">
        <x:is>
          <x:t xml:space="preserve">https://investors.chubb.com</x:t>
        </x:is>
      </x:c>
      <x:c r="W646" s="160" t="inlineStr">
        <x:is>
          <x:t xml:space="preserve">NO</x:t>
        </x:is>
      </x:c>
      <x:c r="X646" s="160" t="inlineStr">
        <x:is>
          <x:t xml:space="preserve">NONE — DEVELOPMENT ONLY</x:t>
        </x:is>
      </x:c>
      <x:c r="Y646" s="160" t="inlineStr">
        <x:is>
          <x:t xml:space="preserve">Synthetic/adversarial model-development loop. No historical outcome is claimed; no accuracy point is awarded.</x:t>
        </x:is>
      </x:c>
    </x:row>
    <x:row r="647">
      <x:c r="A647" s="160" t="inlineStr">
        <x:is>
          <x:t xml:space="preserve">ML0642</x:t>
        </x:is>
      </x:c>
      <x:c r="B647" s="160" t="inlineStr">
        <x:is>
          <x:t xml:space="preserve">ARG-041</x:t>
        </x:is>
      </x:c>
      <x:c r="C647" s="160" t="inlineStr">
        <x:is>
          <x:t xml:space="preserve">Chubb</x:t>
        </x:is>
      </x:c>
      <x:c r="D647" s="160" t="inlineStr">
        <x:is>
          <x:t xml:space="preserve">CB</x:t>
        </x:is>
      </x:c>
      <x:c r="E647" s="160" t="inlineStr">
        <x:is>
          <x:t xml:space="preserve">Insurance</x:t>
        </x:is>
      </x:c>
      <x:c r="F647" s="160" t="inlineStr">
        <x:is>
          <x:t xml:space="preserve">Development</x:t>
        </x:is>
      </x:c>
      <x:c r="G647" s="160" t="inlineStr">
        <x:is>
          <x:t xml:space="preserve">S02</x:t>
        </x:is>
      </x:c>
      <x:c r="H647" s="160" t="inlineStr">
        <x:is>
          <x:t xml:space="preserve">Owner Earnings Normalization</x:t>
        </x:is>
      </x:c>
      <x:c r="I647" s="160" t="inlineStr">
        <x:is>
          <x:t xml:space="preserve">Owner Earnings</x:t>
        </x:is>
      </x:c>
      <x:c r="J647" s="160" t="inlineStr">
        <x:is>
          <x:t xml:space="preserve">Reported earnings/FCF overstates economic cash because recurring reinvestment or non-cash compensation is misclassified.</x:t>
        </x:is>
      </x:c>
      <x:c r="K647" s="160" t="inlineStr">
        <x:is>
          <x:t xml:space="preserve">Underwriting profit plus investment income on float</x:t>
        </x:is>
      </x:c>
      <x:c r="L647" s="160" t="inlineStr">
        <x:is>
          <x:t xml:space="preserve">Book value growth + normalized underwriting</x:t>
        </x:is>
      </x:c>
      <x:c r="M647" s="160" t="inlineStr">
        <x:is>
          <x:t xml:space="preserve">MEETING CONTROL</x:t>
        </x:is>
      </x:c>
      <x:c r="N647" s="160" t="inlineStr">
        <x:is>
          <x:t xml:space="preserve">R-OE-01</x:t>
        </x:is>
      </x:c>
      <x:c r="O647" s="160" t="inlineStr">
        <x:is>
          <x:t xml:space="preserve">COUNTER-EVIDENCE</x:t>
        </x:is>
      </x:c>
      <x:c r="P647" s="160" t="inlineStr">
        <x:is>
          <x:t xml:space="preserve">ROBUST</x:t>
        </x:is>
      </x:c>
      <x:c r="Q647" s="160" t="inlineStr">
        <x:is>
          <x:t xml:space="preserve">The mature simulation rule catches the stress without weakening a fatal gate; no rule relaxation is justified.</x:t>
        </x:is>
      </x:c>
      <x:c r="R647" s="160" t="inlineStr">
        <x:is>
          <x:t xml:space="preserve">Require a GAAP-to-economic-owner-cash bridge tailored to the business model.</x:t>
        </x:is>
      </x:c>
      <x:c r="S647" s="160" t="inlineStr">
        <x:is>
          <x:t xml:space="preserve">NO</x:t>
        </x:is>
      </x:c>
      <x:c r="T647" s="160" t="inlineStr">
        <x:is>
          <x:t xml:space="preserve">COUNTER-EVIDENCE</x:t>
        </x:is>
      </x:c>
      <x:c r="U647" s="160" t="inlineStr">
        <x:is>
          <x:t xml:space="preserve">V10.5-SIM60</x:t>
        </x:is>
      </x:c>
      <x:c r="V647" s="160" t="inlineStr">
        <x:is>
          <x:t xml:space="preserve">https://investors.chubb.com</x:t>
        </x:is>
      </x:c>
      <x:c r="W647" s="160" t="inlineStr">
        <x:is>
          <x:t xml:space="preserve">NO</x:t>
        </x:is>
      </x:c>
      <x:c r="X647" s="160" t="inlineStr">
        <x:is>
          <x:t xml:space="preserve">NONE — DEVELOPMENT ONLY</x:t>
        </x:is>
      </x:c>
      <x:c r="Y647" s="160" t="inlineStr">
        <x:is>
          <x:t xml:space="preserve">Synthetic/adversarial model-development loop. No historical outcome is claimed; no accuracy point is awarded.</x:t>
        </x:is>
      </x:c>
    </x:row>
    <x:row r="648">
      <x:c r="A648" s="160" t="inlineStr">
        <x:is>
          <x:t xml:space="preserve">ML0643</x:t>
        </x:is>
      </x:c>
      <x:c r="B648" s="160" t="inlineStr">
        <x:is>
          <x:t xml:space="preserve">ARG-041</x:t>
        </x:is>
      </x:c>
      <x:c r="C648" s="160" t="inlineStr">
        <x:is>
          <x:t xml:space="preserve">Chubb</x:t>
        </x:is>
      </x:c>
      <x:c r="D648" s="160" t="inlineStr">
        <x:is>
          <x:t xml:space="preserve">CB</x:t>
        </x:is>
      </x:c>
      <x:c r="E648" s="160" t="inlineStr">
        <x:is>
          <x:t xml:space="preserve">Insurance</x:t>
        </x:is>
      </x:c>
      <x:c r="F648" s="160" t="inlineStr">
        <x:is>
          <x:t xml:space="preserve">Development</x:t>
        </x:is>
      </x:c>
      <x:c r="G648" s="160" t="inlineStr">
        <x:is>
          <x:t xml:space="preserve">S03</x:t>
        </x:is>
      </x:c>
      <x:c r="H648" s="160" t="inlineStr">
        <x:is>
          <x:t xml:space="preserve">Moat Durability</x:t>
        </x:is>
      </x:c>
      <x:c r="I648" s="160" t="inlineStr">
        <x:is>
          <x:t xml:space="preserve">Moat 2036</x:t>
        </x:is>
      </x:c>
      <x:c r="J648" s="160" t="inlineStr">
        <x:is>
          <x:t xml:space="preserve">Growth continues while switching friction, pricing power or replacement difficulty quietly weakens.</x:t>
        </x:is>
      </x:c>
      <x:c r="K648" s="160" t="inlineStr">
        <x:is>
          <x:t xml:space="preserve">Underwriting profit plus investment income on float</x:t>
        </x:is>
      </x:c>
      <x:c r="L648" s="160" t="inlineStr">
        <x:is>
          <x:t xml:space="preserve">Book value growth + normalized underwriting</x:t>
        </x:is>
      </x:c>
      <x:c r="M648" s="160" t="inlineStr">
        <x:is>
          <x:t xml:space="preserve">MEETING CONTROL</x:t>
        </x:is>
      </x:c>
      <x:c r="N648" s="160" t="inlineStr">
        <x:is>
          <x:t xml:space="preserve">R-MOAT-01</x:t>
        </x:is>
      </x:c>
      <x:c r="O648" s="160" t="inlineStr">
        <x:is>
          <x:t xml:space="preserve">COUNTER-EVIDENCE</x:t>
        </x:is>
      </x:c>
      <x:c r="P648" s="160" t="inlineStr">
        <x:is>
          <x:t xml:space="preserve">ROBUST</x:t>
        </x:is>
      </x:c>
      <x:c r="Q648" s="160" t="inlineStr">
        <x:is>
          <x:t xml:space="preserve">The mature simulation rule catches the stress without weakening a fatal gate; no rule relaxation is justified.</x:t>
        </x:is>
      </x:c>
      <x:c r="R648" s="160" t="inlineStr">
        <x:is>
          <x:t xml:space="preserve">Track moat telemetry separately from growth: retention, pricing, win/loss, replacement friction, installed-base behavior.</x:t>
        </x:is>
      </x:c>
      <x:c r="S648" s="160" t="inlineStr">
        <x:is>
          <x:t xml:space="preserve">NO</x:t>
        </x:is>
      </x:c>
      <x:c r="T648" s="160" t="inlineStr">
        <x:is>
          <x:t xml:space="preserve">COUNTER-EVIDENCE</x:t>
        </x:is>
      </x:c>
      <x:c r="U648" s="160" t="inlineStr">
        <x:is>
          <x:t xml:space="preserve">V10.5-SIM60</x:t>
        </x:is>
      </x:c>
      <x:c r="V648" s="160" t="inlineStr">
        <x:is>
          <x:t xml:space="preserve">https://investors.chubb.com</x:t>
        </x:is>
      </x:c>
      <x:c r="W648" s="160" t="inlineStr">
        <x:is>
          <x:t xml:space="preserve">NO</x:t>
        </x:is>
      </x:c>
      <x:c r="X648" s="160" t="inlineStr">
        <x:is>
          <x:t xml:space="preserve">NONE — DEVELOPMENT ONLY</x:t>
        </x:is>
      </x:c>
      <x:c r="Y648" s="160" t="inlineStr">
        <x:is>
          <x:t xml:space="preserve">Synthetic/adversarial model-development loop. No historical outcome is claimed; no accuracy point is awarded.</x:t>
        </x:is>
      </x:c>
    </x:row>
    <x:row r="649">
      <x:c r="A649" s="160" t="inlineStr">
        <x:is>
          <x:t xml:space="preserve">ML0644</x:t>
        </x:is>
      </x:c>
      <x:c r="B649" s="160" t="inlineStr">
        <x:is>
          <x:t xml:space="preserve">ARG-041</x:t>
        </x:is>
      </x:c>
      <x:c r="C649" s="160" t="inlineStr">
        <x:is>
          <x:t xml:space="preserve">Chubb</x:t>
        </x:is>
      </x:c>
      <x:c r="D649" s="160" t="inlineStr">
        <x:is>
          <x:t xml:space="preserve">CB</x:t>
        </x:is>
      </x:c>
      <x:c r="E649" s="160" t="inlineStr">
        <x:is>
          <x:t xml:space="preserve">Insurance</x:t>
        </x:is>
      </x:c>
      <x:c r="F649" s="160" t="inlineStr">
        <x:is>
          <x:t xml:space="preserve">Development</x:t>
        </x:is>
      </x:c>
      <x:c r="G649" s="160" t="inlineStr">
        <x:is>
          <x:t xml:space="preserve">S04</x:t>
        </x:is>
      </x:c>
      <x:c r="H649" s="160" t="inlineStr">
        <x:is>
          <x:t xml:space="preserve">Stewardship / Capital Allocation</x:t>
        </x:is>
      </x:c>
      <x:c r="I649" s="160" t="inlineStr">
        <x:is>
          <x:t xml:space="preserve">Stewardship</x:t>
        </x:is>
      </x:c>
      <x:c r="J649" s="160" t="inlineStr">
        <x:is>
          <x:t xml:space="preserve">Management creates enterprise growth while destroying per-share value through M&amp;A, dilution, leverage or mistimed buybacks.</x:t>
        </x:is>
      </x:c>
      <x:c r="K649" s="160" t="inlineStr">
        <x:is>
          <x:t xml:space="preserve">Underwriting profit plus investment income on float</x:t>
        </x:is>
      </x:c>
      <x:c r="L649" s="160" t="inlineStr">
        <x:is>
          <x:t xml:space="preserve">Book value growth + normalized underwriting</x:t>
        </x:is>
      </x:c>
      <x:c r="M649" s="160" t="inlineStr">
        <x:is>
          <x:t xml:space="preserve">MEETING CONTROL</x:t>
        </x:is>
      </x:c>
      <x:c r="N649" s="160" t="inlineStr">
        <x:is>
          <x:t xml:space="preserve">R-STEW-01</x:t>
        </x:is>
      </x:c>
      <x:c r="O649" s="160" t="inlineStr">
        <x:is>
          <x:t xml:space="preserve">COUNTER-EVIDENCE</x:t>
        </x:is>
      </x:c>
      <x:c r="P649" s="160" t="inlineStr">
        <x:is>
          <x:t xml:space="preserve">ROBUST</x:t>
        </x:is>
      </x:c>
      <x:c r="Q649" s="160" t="inlineStr">
        <x:is>
          <x:t xml:space="preserve">The mature simulation rule catches the stress without weakening a fatal gate; no rule relaxation is justified.</x:t>
        </x:is>
      </x:c>
      <x:c r="R649" s="160" t="inlineStr">
        <x:is>
          <x:t xml:space="preserve">Evaluate capital allocation on a per-share basis using acquisition cohorts, dilution, leverage and repurchase price discipline.</x:t>
        </x:is>
      </x:c>
      <x:c r="S649" s="160" t="inlineStr">
        <x:is>
          <x:t xml:space="preserve">NO</x:t>
        </x:is>
      </x:c>
      <x:c r="T649" s="160" t="inlineStr">
        <x:is>
          <x:t xml:space="preserve">COUNTER-EVIDENCE</x:t>
        </x:is>
      </x:c>
      <x:c r="U649" s="160" t="inlineStr">
        <x:is>
          <x:t xml:space="preserve">V10.5-SIM60</x:t>
        </x:is>
      </x:c>
      <x:c r="V649" s="160" t="inlineStr">
        <x:is>
          <x:t xml:space="preserve">https://investors.chubb.com</x:t>
        </x:is>
      </x:c>
      <x:c r="W649" s="160" t="inlineStr">
        <x:is>
          <x:t xml:space="preserve">NO</x:t>
        </x:is>
      </x:c>
      <x:c r="X649" s="160" t="inlineStr">
        <x:is>
          <x:t xml:space="preserve">NONE — DEVELOPMENT ONLY</x:t>
        </x:is>
      </x:c>
      <x:c r="Y649" s="160" t="inlineStr">
        <x:is>
          <x:t xml:space="preserve">Synthetic/adversarial model-development loop. No historical outcome is claimed; no accuracy point is awarded.</x:t>
        </x:is>
      </x:c>
    </x:row>
    <x:row r="650">
      <x:c r="A650" s="160" t="inlineStr">
        <x:is>
          <x:t xml:space="preserve">ML0645</x:t>
        </x:is>
      </x:c>
      <x:c r="B650" s="160" t="inlineStr">
        <x:is>
          <x:t xml:space="preserve">ARG-041</x:t>
        </x:is>
      </x:c>
      <x:c r="C650" s="160" t="inlineStr">
        <x:is>
          <x:t xml:space="preserve">Chubb</x:t>
        </x:is>
      </x:c>
      <x:c r="D650" s="160" t="inlineStr">
        <x:is>
          <x:t xml:space="preserve">CB</x:t>
        </x:is>
      </x:c>
      <x:c r="E650" s="160" t="inlineStr">
        <x:is>
          <x:t xml:space="preserve">Insurance</x:t>
        </x:is>
      </x:c>
      <x:c r="F650" s="160" t="inlineStr">
        <x:is>
          <x:t xml:space="preserve">Development</x:t>
        </x:is>
      </x:c>
      <x:c r="G650" s="160" t="inlineStr">
        <x:is>
          <x:t xml:space="preserve">S05</x:t>
        </x:is>
      </x:c>
      <x:c r="H650" s="160" t="inlineStr">
        <x:is>
          <x:t xml:space="preserve">Survival / Funding</x:t>
        </x:is>
      </x:c>
      <x:c r="I650" s="160" t="inlineStr">
        <x:is>
          <x:t xml:space="preserve">Survival</x:t>
        </x:is>
      </x:c>
      <x:c r="J650" s="160" t="inlineStr">
        <x:is>
          <x:t xml:space="preserve">A plausible bear case exposes refinancing, liquidity, covenant, reserve, regulatory or operational fragility.</x:t>
        </x:is>
      </x:c>
      <x:c r="K650" s="160" t="inlineStr">
        <x:is>
          <x:t xml:space="preserve">Underwriting profit plus investment income on float</x:t>
        </x:is>
      </x:c>
      <x:c r="L650" s="160" t="inlineStr">
        <x:is>
          <x:t xml:space="preserve">Book value growth + normalized underwriting</x:t>
        </x:is>
      </x:c>
      <x:c r="M650" s="160" t="inlineStr">
        <x:is>
          <x:t xml:space="preserve">MEETING CONTROL</x:t>
        </x:is>
      </x:c>
      <x:c r="N650" s="160" t="inlineStr">
        <x:is>
          <x:t xml:space="preserve">R-SURV-01</x:t>
        </x:is>
      </x:c>
      <x:c r="O650" s="160" t="inlineStr">
        <x:is>
          <x:t xml:space="preserve">COUNTER-EVIDENCE</x:t>
        </x:is>
      </x:c>
      <x:c r="P650" s="160" t="inlineStr">
        <x:is>
          <x:t xml:space="preserve">ROBUST</x:t>
        </x:is>
      </x:c>
      <x:c r="Q650" s="160" t="inlineStr">
        <x:is>
          <x:t xml:space="preserve">The mature simulation rule catches the stress without weakening a fatal gate; no rule relaxation is justified.</x:t>
        </x:is>
      </x:c>
      <x:c r="R650" s="160" t="inlineStr">
        <x:is>
          <x:t xml:space="preserve">Run a company-specific survival bridge under a severe-but-plausible bear case before any upside underwriting.</x:t>
        </x:is>
      </x:c>
      <x:c r="S650" s="160" t="inlineStr">
        <x:is>
          <x:t xml:space="preserve">NO</x:t>
        </x:is>
      </x:c>
      <x:c r="T650" s="160" t="inlineStr">
        <x:is>
          <x:t xml:space="preserve">COUNTER-EVIDENCE</x:t>
        </x:is>
      </x:c>
      <x:c r="U650" s="160" t="inlineStr">
        <x:is>
          <x:t xml:space="preserve">V10.5-SIM60</x:t>
        </x:is>
      </x:c>
      <x:c r="V650" s="160" t="inlineStr">
        <x:is>
          <x:t xml:space="preserve">https://investors.chubb.com</x:t>
        </x:is>
      </x:c>
      <x:c r="W650" s="160" t="inlineStr">
        <x:is>
          <x:t xml:space="preserve">NO</x:t>
        </x:is>
      </x:c>
      <x:c r="X650" s="160" t="inlineStr">
        <x:is>
          <x:t xml:space="preserve">NONE — DEVELOPMENT ONLY</x:t>
        </x:is>
      </x:c>
      <x:c r="Y650" s="160" t="inlineStr">
        <x:is>
          <x:t xml:space="preserve">Synthetic/adversarial model-development loop. No historical outcome is claimed; no accuracy point is awarded.</x:t>
        </x:is>
      </x:c>
    </x:row>
    <x:row r="651">
      <x:c r="A651" s="160" t="inlineStr">
        <x:is>
          <x:t xml:space="preserve">ML0646</x:t>
        </x:is>
      </x:c>
      <x:c r="B651" s="160" t="inlineStr">
        <x:is>
          <x:t xml:space="preserve">ARG-041</x:t>
        </x:is>
      </x:c>
      <x:c r="C651" s="160" t="inlineStr">
        <x:is>
          <x:t xml:space="preserve">Chubb</x:t>
        </x:is>
      </x:c>
      <x:c r="D651" s="160" t="inlineStr">
        <x:is>
          <x:t xml:space="preserve">CB</x:t>
        </x:is>
      </x:c>
      <x:c r="E651" s="160" t="inlineStr">
        <x:is>
          <x:t xml:space="preserve">Insurance</x:t>
        </x:is>
      </x:c>
      <x:c r="F651" s="160" t="inlineStr">
        <x:is>
          <x:t xml:space="preserve">Development</x:t>
        </x:is>
      </x:c>
      <x:c r="G651" s="160" t="inlineStr">
        <x:is>
          <x:t xml:space="preserve">S06</x:t>
        </x:is>
      </x:c>
      <x:c r="H651" s="160" t="inlineStr">
        <x:is>
          <x:t xml:space="preserve">Margin of Safety</x:t>
        </x:is>
      </x:c>
      <x:c r="I651" s="160" t="inlineStr">
        <x:is>
          <x:t xml:space="preserve">Margin of Safety</x:t>
        </x:is>
      </x:c>
      <x:c r="J651" s="160" t="inlineStr">
        <x:is>
          <x:t xml:space="preserve">Business quality is high but the price embeds a fragile bull case.</x:t>
        </x:is>
      </x:c>
      <x:c r="K651" s="160" t="inlineStr">
        <x:is>
          <x:t xml:space="preserve">Underwriting profit plus investment income on float</x:t>
        </x:is>
      </x:c>
      <x:c r="L651" s="160" t="inlineStr">
        <x:is>
          <x:t xml:space="preserve">Book value growth + normalized underwriting</x:t>
        </x:is>
      </x:c>
      <x:c r="M651" s="160" t="inlineStr">
        <x:is>
          <x:t xml:space="preserve">MEETING CONTROL</x:t>
        </x:is>
      </x:c>
      <x:c r="N651" s="160" t="inlineStr">
        <x:is>
          <x:t xml:space="preserve">R-MOS-01</x:t>
        </x:is>
      </x:c>
      <x:c r="O651" s="160" t="inlineStr">
        <x:is>
          <x:t xml:space="preserve">COUNTER-EVIDENCE</x:t>
        </x:is>
      </x:c>
      <x:c r="P651" s="160" t="inlineStr">
        <x:is>
          <x:t xml:space="preserve">ROBUST</x:t>
        </x:is>
      </x:c>
      <x:c r="Q651" s="160" t="inlineStr">
        <x:is>
          <x:t xml:space="preserve">The mature simulation rule catches the stress without weakening a fatal gate; no rule relaxation is justified.</x:t>
        </x:is>
      </x:c>
      <x:c r="R651" s="160" t="inlineStr">
        <x:is>
          <x:t xml:space="preserve">Separate business-quality score from price decision; require reverse valuation and bear/base/bull IV ranges.</x:t>
        </x:is>
      </x:c>
      <x:c r="S651" s="160" t="inlineStr">
        <x:is>
          <x:t xml:space="preserve">NO</x:t>
        </x:is>
      </x:c>
      <x:c r="T651" s="160" t="inlineStr">
        <x:is>
          <x:t xml:space="preserve">COUNTER-EVIDENCE</x:t>
        </x:is>
      </x:c>
      <x:c r="U651" s="160" t="inlineStr">
        <x:is>
          <x:t xml:space="preserve">V10.5-SIM60</x:t>
        </x:is>
      </x:c>
      <x:c r="V651" s="160" t="inlineStr">
        <x:is>
          <x:t xml:space="preserve">https://investors.chubb.com</x:t>
        </x:is>
      </x:c>
      <x:c r="W651" s="160" t="inlineStr">
        <x:is>
          <x:t xml:space="preserve">NO</x:t>
        </x:is>
      </x:c>
      <x:c r="X651" s="160" t="inlineStr">
        <x:is>
          <x:t xml:space="preserve">NONE — DEVELOPMENT ONLY</x:t>
        </x:is>
      </x:c>
      <x:c r="Y651" s="160" t="inlineStr">
        <x:is>
          <x:t xml:space="preserve">Synthetic/adversarial model-development loop. No historical outcome is claimed; no accuracy point is awarded.</x:t>
        </x:is>
      </x:c>
    </x:row>
    <x:row r="652">
      <x:c r="A652" s="160" t="inlineStr">
        <x:is>
          <x:t xml:space="preserve">ML0647</x:t>
        </x:is>
      </x:c>
      <x:c r="B652" s="160" t="inlineStr">
        <x:is>
          <x:t xml:space="preserve">ARG-041</x:t>
        </x:is>
      </x:c>
      <x:c r="C652" s="160" t="inlineStr">
        <x:is>
          <x:t xml:space="preserve">Chubb</x:t>
        </x:is>
      </x:c>
      <x:c r="D652" s="160" t="inlineStr">
        <x:is>
          <x:t xml:space="preserve">CB</x:t>
        </x:is>
      </x:c>
      <x:c r="E652" s="160" t="inlineStr">
        <x:is>
          <x:t xml:space="preserve">Insurance</x:t>
        </x:is>
      </x:c>
      <x:c r="F652" s="160" t="inlineStr">
        <x:is>
          <x:t xml:space="preserve">Development</x:t>
        </x:is>
      </x:c>
      <x:c r="G652" s="160" t="inlineStr">
        <x:is>
          <x:t xml:space="preserve">S07</x:t>
        </x:is>
      </x:c>
      <x:c r="H652" s="160" t="inlineStr">
        <x:is>
          <x:t xml:space="preserve">Sector Shock</x:t>
        </x:is>
      </x:c>
      <x:c r="I652" s="160" t="inlineStr">
        <x:is>
          <x:t xml:space="preserve">Sector-specific</x:t>
        </x:is>
      </x:c>
      <x:c r="J652" s="160" t="inlineStr">
        <x:is>
          <x:t xml:space="preserve">Premium growth looks strong while reserve adequacy, catastrophe exposure or pricing-cycle deterioration threatens book-value compounding.</x:t>
        </x:is>
      </x:c>
      <x:c r="K652" s="160" t="inlineStr">
        <x:is>
          <x:t xml:space="preserve">Underwriting profit plus investment income on float</x:t>
        </x:is>
      </x:c>
      <x:c r="L652" s="160" t="inlineStr">
        <x:is>
          <x:t xml:space="preserve">Book value growth + normalized underwriting</x:t>
        </x:is>
      </x:c>
      <x:c r="M652" s="160" t="inlineStr">
        <x:is>
          <x:t xml:space="preserve">MEETING CONTROL</x:t>
        </x:is>
      </x:c>
      <x:c r="N652" s="160" t="inlineStr">
        <x:is>
          <x:t xml:space="preserve">R-SECTOR-INSURANCE</x:t>
        </x:is>
      </x:c>
      <x:c r="O652" s="160" t="inlineStr">
        <x:is>
          <x:t xml:space="preserve">UNFORMED</x:t>
        </x:is>
      </x:c>
      <x:c r="P652" s="160" t="inlineStr">
        <x:is>
          <x:t xml:space="preserve">FAILURE EXPOSED</x:t>
        </x:is>
      </x:c>
      <x:c r="Q652" s="160" t="inlineStr">
        <x:is>
          <x:t xml:space="preserve">The frozen V10 gate family is directionally right, but the test lacks a sufficiently explicit mechanical implementation.</x:t>
        </x:is>
      </x:c>
      <x:c r="R652" s="160" t="inlineStr">
        <x:is>
          <x:t xml:space="preserve">Add a sector-specific transmission map with leading operating sensors, not only market-price variables. Sector rule: Premium growth looks strong while reserve adequacy, catastrophe exposure or pricing-cycle deterioration threatens book-value compounding.</x:t>
        </x:is>
      </x:c>
      <x:c r="S652" s="160" t="inlineStr">
        <x:is>
          <x:t xml:space="preserve">YES — SIMULATION ONLY</x:t>
        </x:is>
      </x:c>
      <x:c r="T652" s="160" t="inlineStr">
        <x:is>
          <x:t xml:space="preserve">BASE</x:t>
        </x:is>
      </x:c>
      <x:c r="U652" s="160" t="inlineStr">
        <x:is>
          <x:t xml:space="preserve">V10.5-SIM61</x:t>
        </x:is>
      </x:c>
      <x:c r="V652" s="160" t="inlineStr">
        <x:is>
          <x:t xml:space="preserve">https://investors.chubb.com</x:t>
        </x:is>
      </x:c>
      <x:c r="W652" s="160" t="inlineStr">
        <x:is>
          <x:t xml:space="preserve">NO</x:t>
        </x:is>
      </x:c>
      <x:c r="X652" s="160" t="inlineStr">
        <x:is>
          <x:t xml:space="preserve">NONE — DEVELOPMENT ONLY</x:t>
        </x:is>
      </x:c>
      <x:c r="Y652" s="160" t="inlineStr">
        <x:is>
          <x:t xml:space="preserve">Synthetic/adversarial model-development loop. No historical outcome is claimed; no accuracy point is awarded.</x:t>
        </x:is>
      </x:c>
    </x:row>
    <x:row r="653">
      <x:c r="A653" s="160" t="inlineStr">
        <x:is>
          <x:t xml:space="preserve">ML0648</x:t>
        </x:is>
      </x:c>
      <x:c r="B653" s="160" t="inlineStr">
        <x:is>
          <x:t xml:space="preserve">ARG-041</x:t>
        </x:is>
      </x:c>
      <x:c r="C653" s="160" t="inlineStr">
        <x:is>
          <x:t xml:space="preserve">Chubb</x:t>
        </x:is>
      </x:c>
      <x:c r="D653" s="160" t="inlineStr">
        <x:is>
          <x:t xml:space="preserve">CB</x:t>
        </x:is>
      </x:c>
      <x:c r="E653" s="160" t="inlineStr">
        <x:is>
          <x:t xml:space="preserve">Insurance</x:t>
        </x:is>
      </x:c>
      <x:c r="F653" s="160" t="inlineStr">
        <x:is>
          <x:t xml:space="preserve">Development</x:t>
        </x:is>
      </x:c>
      <x:c r="G653" s="160" t="inlineStr">
        <x:is>
          <x:t xml:space="preserve">S08</x:t>
        </x:is>
      </x:c>
      <x:c r="H653" s="160" t="inlineStr">
        <x:is>
          <x:t xml:space="preserve">Management Promise Reliability</x:t>
        </x:is>
      </x:c>
      <x:c r="I653" s="160" t="inlineStr">
        <x:is>
          <x:t xml:space="preserve">Management over-trust</x:t>
        </x:is>
      </x:c>
      <x:c r="J653" s="160" t="inlineStr">
        <x:is>
          <x:t xml:space="preserve">Guidance or strategic promises are repeated but the model lacks a contemporaneous reliability score.</x:t>
        </x:is>
      </x:c>
      <x:c r="K653" s="160" t="inlineStr">
        <x:is>
          <x:t xml:space="preserve">Underwriting profit plus investment income on float</x:t>
        </x:is>
      </x:c>
      <x:c r="L653" s="160" t="inlineStr">
        <x:is>
          <x:t xml:space="preserve">Book value growth + normalized underwriting</x:t>
        </x:is>
      </x:c>
      <x:c r="M653" s="160" t="inlineStr">
        <x:is>
          <x:t xml:space="preserve">MEETING CONTROL</x:t>
        </x:is>
      </x:c>
      <x:c r="N653" s="160" t="inlineStr">
        <x:is>
          <x:t xml:space="preserve">R-PROM-01</x:t>
        </x:is>
      </x:c>
      <x:c r="O653" s="160" t="inlineStr">
        <x:is>
          <x:t xml:space="preserve">COUNTER-EVIDENCE</x:t>
        </x:is>
      </x:c>
      <x:c r="P653" s="160" t="inlineStr">
        <x:is>
          <x:t xml:space="preserve">ROBUST</x:t>
        </x:is>
      </x:c>
      <x:c r="Q653" s="160" t="inlineStr">
        <x:is>
          <x:t xml:space="preserve">The mature simulation rule catches the stress without weakening a fatal gate; no rule relaxation is justified.</x:t>
        </x:is>
      </x:c>
      <x:c r="R653" s="160" t="inlineStr">
        <x:is>
          <x:t xml:space="preserve">Use a promises ledger with dated promise, measurable deliverable, due date, outcome and credibility weight.</x:t>
        </x:is>
      </x:c>
      <x:c r="S653" s="160" t="inlineStr">
        <x:is>
          <x:t xml:space="preserve">NO</x:t>
        </x:is>
      </x:c>
      <x:c r="T653" s="160" t="inlineStr">
        <x:is>
          <x:t xml:space="preserve">COUNTER-EVIDENCE</x:t>
        </x:is>
      </x:c>
      <x:c r="U653" s="160" t="inlineStr">
        <x:is>
          <x:t xml:space="preserve">V10.5-SIM61</x:t>
        </x:is>
      </x:c>
      <x:c r="V653" s="160" t="inlineStr">
        <x:is>
          <x:t xml:space="preserve">https://investors.chubb.com</x:t>
        </x:is>
      </x:c>
      <x:c r="W653" s="160" t="inlineStr">
        <x:is>
          <x:t xml:space="preserve">NO</x:t>
        </x:is>
      </x:c>
      <x:c r="X653" s="160" t="inlineStr">
        <x:is>
          <x:t xml:space="preserve">NONE — DEVELOPMENT ONLY</x:t>
        </x:is>
      </x:c>
      <x:c r="Y653" s="160" t="inlineStr">
        <x:is>
          <x:t xml:space="preserve">Synthetic/adversarial model-development loop. No historical outcome is claimed; no accuracy point is awarded.</x:t>
        </x:is>
      </x:c>
    </x:row>
    <x:row r="654">
      <x:c r="A654" s="160" t="inlineStr">
        <x:is>
          <x:t xml:space="preserve">ML0649</x:t>
        </x:is>
      </x:c>
      <x:c r="B654" s="160" t="inlineStr">
        <x:is>
          <x:t xml:space="preserve">ARG-041</x:t>
        </x:is>
      </x:c>
      <x:c r="C654" s="160" t="inlineStr">
        <x:is>
          <x:t xml:space="preserve">Chubb</x:t>
        </x:is>
      </x:c>
      <x:c r="D654" s="160" t="inlineStr">
        <x:is>
          <x:t xml:space="preserve">CB</x:t>
        </x:is>
      </x:c>
      <x:c r="E654" s="160" t="inlineStr">
        <x:is>
          <x:t xml:space="preserve">Insurance</x:t>
        </x:is>
      </x:c>
      <x:c r="F654" s="160" t="inlineStr">
        <x:is>
          <x:t xml:space="preserve">Development</x:t>
        </x:is>
      </x:c>
      <x:c r="G654" s="160" t="inlineStr">
        <x:is>
          <x:t xml:space="preserve">S09</x:t>
        </x:is>
      </x:c>
      <x:c r="H654" s="160" t="inlineStr">
        <x:is>
          <x:t xml:space="preserve">Data / Accounting Quality</x:t>
        </x:is>
      </x:c>
      <x:c r="I654" s="160" t="inlineStr">
        <x:is>
          <x:t xml:space="preserve">Data quality</x:t>
        </x:is>
      </x:c>
      <x:c r="J654" s="160" t="inlineStr">
        <x:is>
          <x:t xml:space="preserve">Restatement, segment reclassification, one-time item or non-economic fair-value movement distorts the apparent trend.</x:t>
        </x:is>
      </x:c>
      <x:c r="K654" s="160" t="inlineStr">
        <x:is>
          <x:t xml:space="preserve">Underwriting profit plus investment income on float</x:t>
        </x:is>
      </x:c>
      <x:c r="L654" s="160" t="inlineStr">
        <x:is>
          <x:t xml:space="preserve">Book value growth + normalized underwriting</x:t>
        </x:is>
      </x:c>
      <x:c r="M654" s="160" t="inlineStr">
        <x:is>
          <x:t xml:space="preserve">MEETING CONTROL</x:t>
        </x:is>
      </x:c>
      <x:c r="N654" s="160" t="inlineStr">
        <x:is>
          <x:t xml:space="preserve">R-DATA-01</x:t>
        </x:is>
      </x:c>
      <x:c r="O654" s="160" t="inlineStr">
        <x:is>
          <x:t xml:space="preserve">COUNTER-EVIDENCE</x:t>
        </x:is>
      </x:c>
      <x:c r="P654" s="160" t="inlineStr">
        <x:is>
          <x:t xml:space="preserve">ROBUST</x:t>
        </x:is>
      </x:c>
      <x:c r="Q654" s="160" t="inlineStr">
        <x:is>
          <x:t xml:space="preserve">The mature simulation rule catches the stress without weakening a fatal gate; no rule relaxation is justified.</x:t>
        </x:is>
      </x:c>
      <x:c r="R654" s="160" t="inlineStr">
        <x:is>
          <x:t xml:space="preserve">Add a reporting-quality bridge and normalize accounting noise before any gate can pass.</x:t>
        </x:is>
      </x:c>
      <x:c r="S654" s="160" t="inlineStr">
        <x:is>
          <x:t xml:space="preserve">NO</x:t>
        </x:is>
      </x:c>
      <x:c r="T654" s="160" t="inlineStr">
        <x:is>
          <x:t xml:space="preserve">COUNTER-EVIDENCE</x:t>
        </x:is>
      </x:c>
      <x:c r="U654" s="160" t="inlineStr">
        <x:is>
          <x:t xml:space="preserve">V10.5-SIM61</x:t>
        </x:is>
      </x:c>
      <x:c r="V654" s="160" t="inlineStr">
        <x:is>
          <x:t xml:space="preserve">https://investors.chubb.com</x:t>
        </x:is>
      </x:c>
      <x:c r="W654" s="160" t="inlineStr">
        <x:is>
          <x:t xml:space="preserve">NO</x:t>
        </x:is>
      </x:c>
      <x:c r="X654" s="160" t="inlineStr">
        <x:is>
          <x:t xml:space="preserve">NONE — DEVELOPMENT ONLY</x:t>
        </x:is>
      </x:c>
      <x:c r="Y654" s="160" t="inlineStr">
        <x:is>
          <x:t xml:space="preserve">Synthetic/adversarial model-development loop. No historical outcome is claimed; no accuracy point is awarded.</x:t>
        </x:is>
      </x:c>
    </x:row>
    <x:row r="655">
      <x:c r="A655" s="160" t="inlineStr">
        <x:is>
          <x:t xml:space="preserve">ML0650</x:t>
        </x:is>
      </x:c>
      <x:c r="B655" s="160" t="inlineStr">
        <x:is>
          <x:t xml:space="preserve">ARG-041</x:t>
        </x:is>
      </x:c>
      <x:c r="C655" s="160" t="inlineStr">
        <x:is>
          <x:t xml:space="preserve">Chubb</x:t>
        </x:is>
      </x:c>
      <x:c r="D655" s="160" t="inlineStr">
        <x:is>
          <x:t xml:space="preserve">CB</x:t>
        </x:is>
      </x:c>
      <x:c r="E655" s="160" t="inlineStr">
        <x:is>
          <x:t xml:space="preserve">Insurance</x:t>
        </x:is>
      </x:c>
      <x:c r="F655" s="160" t="inlineStr">
        <x:is>
          <x:t xml:space="preserve">Development</x:t>
        </x:is>
      </x:c>
      <x:c r="G655" s="160" t="inlineStr">
        <x:is>
          <x:t xml:space="preserve">S10</x:t>
        </x:is>
      </x:c>
      <x:c r="H655" s="160" t="inlineStr">
        <x:is>
          <x:t xml:space="preserve">Control / Counterfactual</x:t>
        </x:is>
      </x:c>
      <x:c r="I655" s="160" t="inlineStr">
        <x:is>
          <x:t xml:space="preserve">Sector beta vs company alpha</x:t>
        </x:is>
      </x:c>
      <x:c r="J655" s="160" t="inlineStr">
        <x:is>
          <x:t xml:space="preserve">A positive outcome is mostly sector beta or macro tailwind, not company-specific alpha.</x:t>
        </x:is>
      </x:c>
      <x:c r="K655" s="160" t="inlineStr">
        <x:is>
          <x:t xml:space="preserve">Underwriting profit plus investment income on float</x:t>
        </x:is>
      </x:c>
      <x:c r="L655" s="160" t="inlineStr">
        <x:is>
          <x:t xml:space="preserve">Book value growth + normalized underwriting</x:t>
        </x:is>
      </x:c>
      <x:c r="M655" s="160" t="inlineStr">
        <x:is>
          <x:t xml:space="preserve">MEETING CONTROL</x:t>
        </x:is>
      </x:c>
      <x:c r="N655" s="160" t="inlineStr">
        <x:is>
          <x:t xml:space="preserve">R-CF-01</x:t>
        </x:is>
      </x:c>
      <x:c r="O655" s="160" t="inlineStr">
        <x:is>
          <x:t xml:space="preserve">COUNTER-EVIDENCE</x:t>
        </x:is>
      </x:c>
      <x:c r="P655" s="160" t="inlineStr">
        <x:is>
          <x:t xml:space="preserve">ROBUST</x:t>
        </x:is>
      </x:c>
      <x:c r="Q655" s="160" t="inlineStr">
        <x:is>
          <x:t xml:space="preserve">The mature simulation rule catches the stress without weakening a fatal gate; no rule relaxation is justified.</x:t>
        </x:is>
      </x:c>
      <x:c r="R655" s="160" t="inlineStr">
        <x:is>
          <x:t xml:space="preserve">Require a true economic control and counterfactual: what should have happened to a comparable company under the same shock?</x:t>
        </x:is>
      </x:c>
      <x:c r="S655" s="160" t="inlineStr">
        <x:is>
          <x:t xml:space="preserve">NO</x:t>
        </x:is>
      </x:c>
      <x:c r="T655" s="160" t="inlineStr">
        <x:is>
          <x:t xml:space="preserve">COUNTER-EVIDENCE</x:t>
        </x:is>
      </x:c>
      <x:c r="U655" s="160" t="inlineStr">
        <x:is>
          <x:t xml:space="preserve">V10.5-SIM61</x:t>
        </x:is>
      </x:c>
      <x:c r="V655" s="160" t="inlineStr">
        <x:is>
          <x:t xml:space="preserve">https://investors.chubb.com</x:t>
        </x:is>
      </x:c>
      <x:c r="W655" s="160" t="inlineStr">
        <x:is>
          <x:t xml:space="preserve">NO</x:t>
        </x:is>
      </x:c>
      <x:c r="X655" s="160" t="inlineStr">
        <x:is>
          <x:t xml:space="preserve">NONE — DEVELOPMENT ONLY</x:t>
        </x:is>
      </x:c>
      <x:c r="Y655" s="160" t="inlineStr">
        <x:is>
          <x:t xml:space="preserve">Synthetic/adversarial model-development loop. No historical outcome is claimed; no accuracy point is awarded.</x:t>
        </x:is>
      </x:c>
    </x:row>
    <x:row r="656">
      <x:c r="A656" s="160" t="inlineStr">
        <x:is>
          <x:t xml:space="preserve">ML0651</x:t>
        </x:is>
      </x:c>
      <x:c r="B656" s="160" t="inlineStr">
        <x:is>
          <x:t xml:space="preserve">ARG-041</x:t>
        </x:is>
      </x:c>
      <x:c r="C656" s="160" t="inlineStr">
        <x:is>
          <x:t xml:space="preserve">Chubb</x:t>
        </x:is>
      </x:c>
      <x:c r="D656" s="160" t="inlineStr">
        <x:is>
          <x:t xml:space="preserve">CB</x:t>
        </x:is>
      </x:c>
      <x:c r="E656" s="160" t="inlineStr">
        <x:is>
          <x:t xml:space="preserve">Insurance</x:t>
        </x:is>
      </x:c>
      <x:c r="F656" s="160" t="inlineStr">
        <x:is>
          <x:t xml:space="preserve">Development</x:t>
        </x:is>
      </x:c>
      <x:c r="G656" s="160" t="inlineStr">
        <x:is>
          <x:t xml:space="preserve">S11</x:t>
        </x:is>
      </x:c>
      <x:c r="H656" s="160" t="inlineStr">
        <x:is>
          <x:t xml:space="preserve">False-Negative Discipline</x:t>
        </x:is>
      </x:c>
      <x:c r="I656" s="160" t="inlineStr">
        <x:is>
          <x:t xml:space="preserve">False negative</x:t>
        </x:is>
      </x:c>
      <x:c r="J656" s="160" t="inlineStr">
        <x:is>
          <x:t xml:space="preserve">A strict gate rejects a company that later compounds strongly for reasons the model could have known.</x:t>
        </x:is>
      </x:c>
      <x:c r="K656" s="160" t="inlineStr">
        <x:is>
          <x:t xml:space="preserve">Underwriting profit plus investment income on float</x:t>
        </x:is>
      </x:c>
      <x:c r="L656" s="160" t="inlineStr">
        <x:is>
          <x:t xml:space="preserve">Book value growth + normalized underwriting</x:t>
        </x:is>
      </x:c>
      <x:c r="M656" s="160" t="inlineStr">
        <x:is>
          <x:t xml:space="preserve">MEETING CONTROL</x:t>
        </x:is>
      </x:c>
      <x:c r="N656" s="160" t="inlineStr">
        <x:is>
          <x:t xml:space="preserve">R-FN-01</x:t>
        </x:is>
      </x:c>
      <x:c r="O656" s="160" t="inlineStr">
        <x:is>
          <x:t xml:space="preserve">COUNTER-EVIDENCE</x:t>
        </x:is>
      </x:c>
      <x:c r="P656" s="160" t="inlineStr">
        <x:is>
          <x:t xml:space="preserve">ROBUST</x:t>
        </x:is>
      </x:c>
      <x:c r="Q656" s="160" t="inlineStr">
        <x:is>
          <x:t xml:space="preserve">The mature simulation rule catches the stress without weakening a fatal gate; no rule relaxation is justified.</x:t>
        </x:is>
      </x:c>
      <x:c r="R656" s="160" t="inlineStr">
        <x:is>
          <x:t xml:space="preserve">Track opportunity cost and classify whether the miss came from evidence timing, wrong threshold or genuinely unknowable upside.</x:t>
        </x:is>
      </x:c>
      <x:c r="S656" s="160" t="inlineStr">
        <x:is>
          <x:t xml:space="preserve">NO</x:t>
        </x:is>
      </x:c>
      <x:c r="T656" s="160" t="inlineStr">
        <x:is>
          <x:t xml:space="preserve">COUNTER-EVIDENCE</x:t>
        </x:is>
      </x:c>
      <x:c r="U656" s="160" t="inlineStr">
        <x:is>
          <x:t xml:space="preserve">V10.5-SIM61</x:t>
        </x:is>
      </x:c>
      <x:c r="V656" s="160" t="inlineStr">
        <x:is>
          <x:t xml:space="preserve">https://investors.chubb.com</x:t>
        </x:is>
      </x:c>
      <x:c r="W656" s="160" t="inlineStr">
        <x:is>
          <x:t xml:space="preserve">NO</x:t>
        </x:is>
      </x:c>
      <x:c r="X656" s="160" t="inlineStr">
        <x:is>
          <x:t xml:space="preserve">NONE — DEVELOPMENT ONLY</x:t>
        </x:is>
      </x:c>
      <x:c r="Y656" s="160" t="inlineStr">
        <x:is>
          <x:t xml:space="preserve">Synthetic/adversarial model-development loop. No historical outcome is claimed; no accuracy point is awarded.</x:t>
        </x:is>
      </x:c>
    </x:row>
    <x:row r="657">
      <x:c r="A657" s="160" t="inlineStr">
        <x:is>
          <x:t xml:space="preserve">ML0652</x:t>
        </x:is>
      </x:c>
      <x:c r="B657" s="160" t="inlineStr">
        <x:is>
          <x:t xml:space="preserve">ARG-041</x:t>
        </x:is>
      </x:c>
      <x:c r="C657" s="160" t="inlineStr">
        <x:is>
          <x:t xml:space="preserve">Chubb</x:t>
        </x:is>
      </x:c>
      <x:c r="D657" s="160" t="inlineStr">
        <x:is>
          <x:t xml:space="preserve">CB</x:t>
        </x:is>
      </x:c>
      <x:c r="E657" s="160" t="inlineStr">
        <x:is>
          <x:t xml:space="preserve">Insurance</x:t>
        </x:is>
      </x:c>
      <x:c r="F657" s="160" t="inlineStr">
        <x:is>
          <x:t xml:space="preserve">Development</x:t>
        </x:is>
      </x:c>
      <x:c r="G657" s="160" t="inlineStr">
        <x:is>
          <x:t xml:space="preserve">S12</x:t>
        </x:is>
      </x:c>
      <x:c r="H657" s="160" t="inlineStr">
        <x:is>
          <x:t xml:space="preserve">Lead-Time / Early Sensor</x:t>
        </x:is>
      </x:c>
      <x:c r="I657" s="160" t="inlineStr">
        <x:is>
          <x:t xml:space="preserve">Timing / lead-time</x:t>
        </x:is>
      </x:c>
      <x:c r="J657" s="160" t="inlineStr">
        <x:is>
          <x:t xml:space="preserve">ARGUS identifies the change correctly but only after consensus and price have already reacted.</x:t>
        </x:is>
      </x:c>
      <x:c r="K657" s="160" t="inlineStr">
        <x:is>
          <x:t xml:space="preserve">Underwriting profit plus investment income on float</x:t>
        </x:is>
      </x:c>
      <x:c r="L657" s="160" t="inlineStr">
        <x:is>
          <x:t xml:space="preserve">Book value growth + normalized underwriting</x:t>
        </x:is>
      </x:c>
      <x:c r="M657" s="160" t="inlineStr">
        <x:is>
          <x:t xml:space="preserve">MEETING CONTROL</x:t>
        </x:is>
      </x:c>
      <x:c r="N657" s="160" t="inlineStr">
        <x:is>
          <x:t xml:space="preserve">R-TIME-01</x:t>
        </x:is>
      </x:c>
      <x:c r="O657" s="160" t="inlineStr">
        <x:is>
          <x:t xml:space="preserve">COUNTER-EVIDENCE</x:t>
        </x:is>
      </x:c>
      <x:c r="P657" s="160" t="inlineStr">
        <x:is>
          <x:t xml:space="preserve">ROBUST</x:t>
        </x:is>
      </x:c>
      <x:c r="Q657" s="160" t="inlineStr">
        <x:is>
          <x:t xml:space="preserve">The mature simulation rule catches the stress without weakening a fatal gate; no rule relaxation is justified.</x:t>
        </x:is>
      </x:c>
      <x:c r="R657" s="160" t="inlineStr">
        <x:is>
          <x:t xml:space="preserve">Replace lagging financial metrics with earlier causal operating sensors and record lead time separately from correctness.</x:t>
        </x:is>
      </x:c>
      <x:c r="S657" s="160" t="inlineStr">
        <x:is>
          <x:t xml:space="preserve">NO</x:t>
        </x:is>
      </x:c>
      <x:c r="T657" s="160" t="inlineStr">
        <x:is>
          <x:t xml:space="preserve">COUNTER-EVIDENCE</x:t>
        </x:is>
      </x:c>
      <x:c r="U657" s="160" t="inlineStr">
        <x:is>
          <x:t xml:space="preserve">V10.5-SIM61</x:t>
        </x:is>
      </x:c>
      <x:c r="V657" s="160" t="inlineStr">
        <x:is>
          <x:t xml:space="preserve">https://investors.chubb.com</x:t>
        </x:is>
      </x:c>
      <x:c r="W657" s="160" t="inlineStr">
        <x:is>
          <x:t xml:space="preserve">NO</x:t>
        </x:is>
      </x:c>
      <x:c r="X657" s="160" t="inlineStr">
        <x:is>
          <x:t xml:space="preserve">NONE — DEVELOPMENT ONLY</x:t>
        </x:is>
      </x:c>
      <x:c r="Y657" s="160" t="inlineStr">
        <x:is>
          <x:t xml:space="preserve">Synthetic/adversarial model-development loop. No historical outcome is claimed; no accuracy point is awarded.</x:t>
        </x:is>
      </x:c>
    </x:row>
    <x:row r="658">
      <x:c r="A658" s="160" t="inlineStr">
        <x:is>
          <x:t xml:space="preserve">ML0653</x:t>
        </x:is>
      </x:c>
      <x:c r="B658" s="160" t="inlineStr">
        <x:is>
          <x:t xml:space="preserve">ARG-041</x:t>
        </x:is>
      </x:c>
      <x:c r="C658" s="160" t="inlineStr">
        <x:is>
          <x:t xml:space="preserve">Chubb</x:t>
        </x:is>
      </x:c>
      <x:c r="D658" s="160" t="inlineStr">
        <x:is>
          <x:t xml:space="preserve">CB</x:t>
        </x:is>
      </x:c>
      <x:c r="E658" s="160" t="inlineStr">
        <x:is>
          <x:t xml:space="preserve">Insurance</x:t>
        </x:is>
      </x:c>
      <x:c r="F658" s="160" t="inlineStr">
        <x:is>
          <x:t xml:space="preserve">Development</x:t>
        </x:is>
      </x:c>
      <x:c r="G658" s="160" t="inlineStr">
        <x:is>
          <x:t xml:space="preserve">S13</x:t>
        </x:is>
      </x:c>
      <x:c r="H658" s="160" t="inlineStr">
        <x:is>
          <x:t xml:space="preserve">Cycle Normalization</x:t>
        </x:is>
      </x:c>
      <x:c r="I658" s="160" t="inlineStr">
        <x:is>
          <x:t xml:space="preserve">Wrong valuation lens</x:t>
        </x:is>
      </x:c>
      <x:c r="J658" s="160" t="inlineStr">
        <x:is>
          <x:t xml:space="preserve">Peak/trough earnings are mistaken for normalized earning power.</x:t>
        </x:is>
      </x:c>
      <x:c r="K658" s="160" t="inlineStr">
        <x:is>
          <x:t xml:space="preserve">Underwriting profit plus investment income on float</x:t>
        </x:is>
      </x:c>
      <x:c r="L658" s="160" t="inlineStr">
        <x:is>
          <x:t xml:space="preserve">Book value growth + normalized underwriting</x:t>
        </x:is>
      </x:c>
      <x:c r="M658" s="160" t="inlineStr">
        <x:is>
          <x:t xml:space="preserve">MEETING CONTROL</x:t>
        </x:is>
      </x:c>
      <x:c r="N658" s="160" t="inlineStr">
        <x:is>
          <x:t xml:space="preserve">R-CYCLE-01</x:t>
        </x:is>
      </x:c>
      <x:c r="O658" s="160" t="inlineStr">
        <x:is>
          <x:t xml:space="preserve">COUNTER-EVIDENCE</x:t>
        </x:is>
      </x:c>
      <x:c r="P658" s="160" t="inlineStr">
        <x:is>
          <x:t xml:space="preserve">ROBUST</x:t>
        </x:is>
      </x:c>
      <x:c r="Q658" s="160" t="inlineStr">
        <x:is>
          <x:t xml:space="preserve">The mature simulation rule catches the stress without weakening a fatal gate; no rule relaxation is justified.</x:t>
        </x:is>
      </x:c>
      <x:c r="R658" s="160" t="inlineStr">
        <x:is>
          <x:t xml:space="preserve">Use sector-specific mid-cycle/NAV/rate-base/rNPV normalization before applying a valuation multiple.</x:t>
        </x:is>
      </x:c>
      <x:c r="S658" s="160" t="inlineStr">
        <x:is>
          <x:t xml:space="preserve">NO</x:t>
        </x:is>
      </x:c>
      <x:c r="T658" s="160" t="inlineStr">
        <x:is>
          <x:t xml:space="preserve">COUNTER-EVIDENCE</x:t>
        </x:is>
      </x:c>
      <x:c r="U658" s="160" t="inlineStr">
        <x:is>
          <x:t xml:space="preserve">V10.5-SIM61</x:t>
        </x:is>
      </x:c>
      <x:c r="V658" s="160" t="inlineStr">
        <x:is>
          <x:t xml:space="preserve">https://investors.chubb.com</x:t>
        </x:is>
      </x:c>
      <x:c r="W658" s="160" t="inlineStr">
        <x:is>
          <x:t xml:space="preserve">NO</x:t>
        </x:is>
      </x:c>
      <x:c r="X658" s="160" t="inlineStr">
        <x:is>
          <x:t xml:space="preserve">NONE — DEVELOPMENT ONLY</x:t>
        </x:is>
      </x:c>
      <x:c r="Y658" s="160" t="inlineStr">
        <x:is>
          <x:t xml:space="preserve">Synthetic/adversarial model-development loop. No historical outcome is claimed; no accuracy point is awarded.</x:t>
        </x:is>
      </x:c>
    </x:row>
    <x:row r="659">
      <x:c r="A659" s="160" t="inlineStr">
        <x:is>
          <x:t xml:space="preserve">ML0654</x:t>
        </x:is>
      </x:c>
      <x:c r="B659" s="160" t="inlineStr">
        <x:is>
          <x:t xml:space="preserve">ARG-041</x:t>
        </x:is>
      </x:c>
      <x:c r="C659" s="160" t="inlineStr">
        <x:is>
          <x:t xml:space="preserve">Chubb</x:t>
        </x:is>
      </x:c>
      <x:c r="D659" s="160" t="inlineStr">
        <x:is>
          <x:t xml:space="preserve">CB</x:t>
        </x:is>
      </x:c>
      <x:c r="E659" s="160" t="inlineStr">
        <x:is>
          <x:t xml:space="preserve">Insurance</x:t>
        </x:is>
      </x:c>
      <x:c r="F659" s="160" t="inlineStr">
        <x:is>
          <x:t xml:space="preserve">Development</x:t>
        </x:is>
      </x:c>
      <x:c r="G659" s="160" t="inlineStr">
        <x:is>
          <x:t xml:space="preserve">S14</x:t>
        </x:is>
      </x:c>
      <x:c r="H659" s="160" t="inlineStr">
        <x:is>
          <x:t xml:space="preserve">M&amp;A / Organic Growth Separation</x:t>
        </x:is>
      </x:c>
      <x:c r="I659" s="160" t="inlineStr">
        <x:is>
          <x:t xml:space="preserve">Stewardship</x:t>
        </x:is>
      </x:c>
      <x:c r="J659" s="160" t="inlineStr">
        <x:is>
          <x:t xml:space="preserve">Acquisition-driven growth masks weak organic economics or poor incremental ROIC.</x:t>
        </x:is>
      </x:c>
      <x:c r="K659" s="160" t="inlineStr">
        <x:is>
          <x:t xml:space="preserve">Underwriting profit plus investment income on float</x:t>
        </x:is>
      </x:c>
      <x:c r="L659" s="160" t="inlineStr">
        <x:is>
          <x:t xml:space="preserve">Book value growth + normalized underwriting</x:t>
        </x:is>
      </x:c>
      <x:c r="M659" s="160" t="inlineStr">
        <x:is>
          <x:t xml:space="preserve">MEETING CONTROL</x:t>
        </x:is>
      </x:c>
      <x:c r="N659" s="160" t="inlineStr">
        <x:is>
          <x:t xml:space="preserve">R-MA-01</x:t>
        </x:is>
      </x:c>
      <x:c r="O659" s="160" t="inlineStr">
        <x:is>
          <x:t xml:space="preserve">COUNTER-EVIDENCE</x:t>
        </x:is>
      </x:c>
      <x:c r="P659" s="160" t="inlineStr">
        <x:is>
          <x:t xml:space="preserve">ROBUST</x:t>
        </x:is>
      </x:c>
      <x:c r="Q659" s="160" t="inlineStr">
        <x:is>
          <x:t xml:space="preserve">The mature simulation rule catches the stress without weakening a fatal gate; no rule relaxation is justified.</x:t>
        </x:is>
      </x:c>
      <x:c r="R659" s="160" t="inlineStr">
        <x:is>
          <x:t xml:space="preserve">Bridge organic growth, acquired growth, purchase price, integration costs and acquisition-cohort ROIC.</x:t>
        </x:is>
      </x:c>
      <x:c r="S659" s="160" t="inlineStr">
        <x:is>
          <x:t xml:space="preserve">NO</x:t>
        </x:is>
      </x:c>
      <x:c r="T659" s="160" t="inlineStr">
        <x:is>
          <x:t xml:space="preserve">COUNTER-EVIDENCE</x:t>
        </x:is>
      </x:c>
      <x:c r="U659" s="160" t="inlineStr">
        <x:is>
          <x:t xml:space="preserve">V10.5-SIM61</x:t>
        </x:is>
      </x:c>
      <x:c r="V659" s="160" t="inlineStr">
        <x:is>
          <x:t xml:space="preserve">https://investors.chubb.com</x:t>
        </x:is>
      </x:c>
      <x:c r="W659" s="160" t="inlineStr">
        <x:is>
          <x:t xml:space="preserve">NO</x:t>
        </x:is>
      </x:c>
      <x:c r="X659" s="160" t="inlineStr">
        <x:is>
          <x:t xml:space="preserve">NONE — DEVELOPMENT ONLY</x:t>
        </x:is>
      </x:c>
      <x:c r="Y659" s="160" t="inlineStr">
        <x:is>
          <x:t xml:space="preserve">Synthetic/adversarial model-development loop. No historical outcome is claimed; no accuracy point is awarded.</x:t>
        </x:is>
      </x:c>
    </x:row>
    <x:row r="660">
      <x:c r="A660" s="160" t="inlineStr">
        <x:is>
          <x:t xml:space="preserve">ML0655</x:t>
        </x:is>
      </x:c>
      <x:c r="B660" s="160" t="inlineStr">
        <x:is>
          <x:t xml:space="preserve">ARG-041</x:t>
        </x:is>
      </x:c>
      <x:c r="C660" s="160" t="inlineStr">
        <x:is>
          <x:t xml:space="preserve">Chubb</x:t>
        </x:is>
      </x:c>
      <x:c r="D660" s="160" t="inlineStr">
        <x:is>
          <x:t xml:space="preserve">CB</x:t>
        </x:is>
      </x:c>
      <x:c r="E660" s="160" t="inlineStr">
        <x:is>
          <x:t xml:space="preserve">Insurance</x:t>
        </x:is>
      </x:c>
      <x:c r="F660" s="160" t="inlineStr">
        <x:is>
          <x:t xml:space="preserve">Development</x:t>
        </x:is>
      </x:c>
      <x:c r="G660" s="160" t="inlineStr">
        <x:is>
          <x:t xml:space="preserve">S15</x:t>
        </x:is>
      </x:c>
      <x:c r="H660" s="160" t="inlineStr">
        <x:is>
          <x:t xml:space="preserve">Financing / Dilution Per Share</x:t>
        </x:is>
      </x:c>
      <x:c r="I660" s="160" t="inlineStr">
        <x:is>
          <x:t xml:space="preserve">Stewardship</x:t>
        </x:is>
      </x:c>
      <x:c r="J660" s="160" t="inlineStr">
        <x:is>
          <x:t xml:space="preserve">Cash balance or revenue growth improves while financing causes material per-share value leakage.</x:t>
        </x:is>
      </x:c>
      <x:c r="K660" s="160" t="inlineStr">
        <x:is>
          <x:t xml:space="preserve">Underwriting profit plus investment income on float</x:t>
        </x:is>
      </x:c>
      <x:c r="L660" s="160" t="inlineStr">
        <x:is>
          <x:t xml:space="preserve">Book value growth + normalized underwriting</x:t>
        </x:is>
      </x:c>
      <x:c r="M660" s="160" t="inlineStr">
        <x:is>
          <x:t xml:space="preserve">MEETING CONTROL</x:t>
        </x:is>
      </x:c>
      <x:c r="N660" s="160" t="inlineStr">
        <x:is>
          <x:t xml:space="preserve">R-DIL-01</x:t>
        </x:is>
      </x:c>
      <x:c r="O660" s="160" t="inlineStr">
        <x:is>
          <x:t xml:space="preserve">COUNTER-EVIDENCE</x:t>
        </x:is>
      </x:c>
      <x:c r="P660" s="160" t="inlineStr">
        <x:is>
          <x:t xml:space="preserve">ROBUST</x:t>
        </x:is>
      </x:c>
      <x:c r="Q660" s="160" t="inlineStr">
        <x:is>
          <x:t xml:space="preserve">The mature simulation rule catches the stress without weakening a fatal gate; no rule relaxation is justified.</x:t>
        </x:is>
      </x:c>
      <x:c r="R660" s="160" t="inlineStr">
        <x:is>
          <x:t xml:space="preserve">Reconcile share-count growth, SBC, equity issuance, buybacks and net cash changes to per-share intrinsic value.</x:t>
        </x:is>
      </x:c>
      <x:c r="S660" s="160" t="inlineStr">
        <x:is>
          <x:t xml:space="preserve">NO</x:t>
        </x:is>
      </x:c>
      <x:c r="T660" s="160" t="inlineStr">
        <x:is>
          <x:t xml:space="preserve">COUNTER-EVIDENCE</x:t>
        </x:is>
      </x:c>
      <x:c r="U660" s="160" t="inlineStr">
        <x:is>
          <x:t xml:space="preserve">V10.5-SIM61</x:t>
        </x:is>
      </x:c>
      <x:c r="V660" s="160" t="inlineStr">
        <x:is>
          <x:t xml:space="preserve">https://investors.chubb.com</x:t>
        </x:is>
      </x:c>
      <x:c r="W660" s="160" t="inlineStr">
        <x:is>
          <x:t xml:space="preserve">NO</x:t>
        </x:is>
      </x:c>
      <x:c r="X660" s="160" t="inlineStr">
        <x:is>
          <x:t xml:space="preserve">NONE — DEVELOPMENT ONLY</x:t>
        </x:is>
      </x:c>
      <x:c r="Y660" s="160" t="inlineStr">
        <x:is>
          <x:t xml:space="preserve">Synthetic/adversarial model-development loop. No historical outcome is claimed; no accuracy point is awarded.</x:t>
        </x:is>
      </x:c>
    </x:row>
    <x:row r="661">
      <x:c r="A661" s="160" t="inlineStr">
        <x:is>
          <x:t xml:space="preserve">ML0656</x:t>
        </x:is>
      </x:c>
      <x:c r="B661" s="160" t="inlineStr">
        <x:is>
          <x:t xml:space="preserve">ARG-041</x:t>
        </x:is>
      </x:c>
      <x:c r="C661" s="160" t="inlineStr">
        <x:is>
          <x:t xml:space="preserve">Chubb</x:t>
        </x:is>
      </x:c>
      <x:c r="D661" s="160" t="inlineStr">
        <x:is>
          <x:t xml:space="preserve">CB</x:t>
        </x:is>
      </x:c>
      <x:c r="E661" s="160" t="inlineStr">
        <x:is>
          <x:t xml:space="preserve">Insurance</x:t>
        </x:is>
      </x:c>
      <x:c r="F661" s="160" t="inlineStr">
        <x:is>
          <x:t xml:space="preserve">Development</x:t>
        </x:is>
      </x:c>
      <x:c r="G661" s="160" t="inlineStr">
        <x:is>
          <x:t xml:space="preserve">S16</x:t>
        </x:is>
      </x:c>
      <x:c r="H661" s="160" t="inlineStr">
        <x:is>
          <x:t xml:space="preserve">Concentration / Tail Risk</x:t>
        </x:is>
      </x:c>
      <x:c r="I661" s="160" t="inlineStr">
        <x:is>
          <x:t xml:space="preserve">Survival</x:t>
        </x:is>
      </x:c>
      <x:c r="J661" s="160" t="inlineStr">
        <x:is>
          <x:t xml:space="preserve">A concentrated supplier, geography, customer, product, patent, regulatory or technology dependency creates asymmetric permanent-loss risk.</x:t>
        </x:is>
      </x:c>
      <x:c r="K661" s="160" t="inlineStr">
        <x:is>
          <x:t xml:space="preserve">Underwriting profit plus investment income on float</x:t>
        </x:is>
      </x:c>
      <x:c r="L661" s="160" t="inlineStr">
        <x:is>
          <x:t xml:space="preserve">Book value growth + normalized underwriting</x:t>
        </x:is>
      </x:c>
      <x:c r="M661" s="160" t="inlineStr">
        <x:is>
          <x:t xml:space="preserve">MEETING CONTROL</x:t>
        </x:is>
      </x:c>
      <x:c r="N661" s="160" t="inlineStr">
        <x:is>
          <x:t xml:space="preserve">R-TAIL-01</x:t>
        </x:is>
      </x:c>
      <x:c r="O661" s="160" t="inlineStr">
        <x:is>
          <x:t xml:space="preserve">COUNTER-EVIDENCE</x:t>
        </x:is>
      </x:c>
      <x:c r="P661" s="160" t="inlineStr">
        <x:is>
          <x:t xml:space="preserve">ROBUST</x:t>
        </x:is>
      </x:c>
      <x:c r="Q661" s="160" t="inlineStr">
        <x:is>
          <x:t xml:space="preserve">The mature simulation rule catches the stress without weakening a fatal gate; no rule relaxation is justified.</x:t>
        </x:is>
      </x:c>
      <x:c r="R661" s="160" t="inlineStr">
        <x:is>
          <x:t xml:space="preserve">Maintain an explicit concentration/tail-risk register with probability, severity, mitigation and required margin-of-safety premium.</x:t>
        </x:is>
      </x:c>
      <x:c r="S661" s="160" t="inlineStr">
        <x:is>
          <x:t xml:space="preserve">NO</x:t>
        </x:is>
      </x:c>
      <x:c r="T661" s="160" t="inlineStr">
        <x:is>
          <x:t xml:space="preserve">COUNTER-EVIDENCE</x:t>
        </x:is>
      </x:c>
      <x:c r="U661" s="160" t="inlineStr">
        <x:is>
          <x:t xml:space="preserve">V10.5-SIM61</x:t>
        </x:is>
      </x:c>
      <x:c r="V661" s="160" t="inlineStr">
        <x:is>
          <x:t xml:space="preserve">https://investors.chubb.com</x:t>
        </x:is>
      </x:c>
      <x:c r="W661" s="160" t="inlineStr">
        <x:is>
          <x:t xml:space="preserve">NO</x:t>
        </x:is>
      </x:c>
      <x:c r="X661" s="160" t="inlineStr">
        <x:is>
          <x:t xml:space="preserve">NONE — DEVELOPMENT ONLY</x:t>
        </x:is>
      </x:c>
      <x:c r="Y661" s="160" t="inlineStr">
        <x:is>
          <x:t xml:space="preserve">Synthetic/adversarial model-development loop. No historical outcome is claimed; no accuracy point is awarded.</x:t>
        </x:is>
      </x:c>
    </x:row>
    <x:row r="662">
      <x:c r="A662" s="160" t="inlineStr">
        <x:is>
          <x:t xml:space="preserve">ML0657</x:t>
        </x:is>
      </x:c>
      <x:c r="B662" s="160" t="inlineStr">
        <x:is>
          <x:t xml:space="preserve">ARG-042</x:t>
        </x:is>
      </x:c>
      <x:c r="C662" s="160" t="inlineStr">
        <x:is>
          <x:t xml:space="preserve">Progressive</x:t>
        </x:is>
      </x:c>
      <x:c r="D662" s="160" t="inlineStr">
        <x:is>
          <x:t xml:space="preserve">PGR</x:t>
        </x:is>
      </x:c>
      <x:c r="E662" s="160" t="inlineStr">
        <x:is>
          <x:t xml:space="preserve">Insurance</x:t>
        </x:is>
      </x:c>
      <x:c r="F662" s="160" t="inlineStr">
        <x:is>
          <x:t xml:space="preserve">Development</x:t>
        </x:is>
      </x:c>
      <x:c r="G662" s="160" t="inlineStr">
        <x:is>
          <x:t xml:space="preserve">S01</x:t>
        </x:is>
      </x:c>
      <x:c r="H662" s="160" t="inlineStr">
        <x:is>
          <x:t xml:space="preserve">Understanding Gate</x:t>
        </x:is>
      </x:c>
      <x:c r="I662" s="160" t="inlineStr">
        <x:is>
          <x:t xml:space="preserve">Understanding</x:t>
        </x:is>
      </x:c>
      <x:c r="J662" s="160" t="inlineStr">
        <x:is>
          <x:t xml:space="preserve">Causal engine / customer ROI chain breaks under a misleading headline KPI.</x:t>
        </x:is>
      </x:c>
      <x:c r="K662" s="160" t="inlineStr">
        <x:is>
          <x:t xml:space="preserve">Policies × underwriting margin plus float income</x:t>
        </x:is>
      </x:c>
      <x:c r="L662" s="160" t="inlineStr">
        <x:is>
          <x:t xml:space="preserve">Book/earnings growth + reverse DCF</x:t>
        </x:is>
      </x:c>
      <x:c r="M662" s="160" t="inlineStr">
        <x:is>
          <x:t xml:space="preserve">WAIT FOR PRICE</x:t>
        </x:is>
      </x:c>
      <x:c r="N662" s="160" t="inlineStr">
        <x:is>
          <x:t xml:space="preserve">R-ENG-01</x:t>
        </x:is>
      </x:c>
      <x:c r="O662" s="160" t="inlineStr">
        <x:is>
          <x:t xml:space="preserve">COUNTER-EVIDENCE</x:t>
        </x:is>
      </x:c>
      <x:c r="P662" s="160" t="inlineStr">
        <x:is>
          <x:t xml:space="preserve">ROBUST</x:t>
        </x:is>
      </x:c>
      <x:c r="Q662" s="160" t="inlineStr">
        <x:is>
          <x:t xml:space="preserve">The mature simulation rule catches the stress without weakening a fatal gate; no rule relaxation is justified.</x:t>
        </x:is>
      </x:c>
      <x:c r="R662" s="160" t="inlineStr">
        <x:is>
          <x:t xml:space="preserve">Force an explicit engine tree: customer job → unit economics → revenue driver → owner-value bridge.</x:t>
        </x:is>
      </x:c>
      <x:c r="S662" s="160" t="inlineStr">
        <x:is>
          <x:t xml:space="preserve">NO</x:t>
        </x:is>
      </x:c>
      <x:c r="T662" s="160" t="inlineStr">
        <x:is>
          <x:t xml:space="preserve">COUNTER-EVIDENCE</x:t>
        </x:is>
      </x:c>
      <x:c r="U662" s="160" t="inlineStr">
        <x:is>
          <x:t xml:space="preserve">V10.5-SIM61</x:t>
        </x:is>
      </x:c>
      <x:c r="V662" s="160" t="inlineStr">
        <x:is>
          <x:t xml:space="preserve">https://investors.progressive.com</x:t>
        </x:is>
      </x:c>
      <x:c r="W662" s="160" t="inlineStr">
        <x:is>
          <x:t xml:space="preserve">NO</x:t>
        </x:is>
      </x:c>
      <x:c r="X662" s="160" t="inlineStr">
        <x:is>
          <x:t xml:space="preserve">NONE — DEVELOPMENT ONLY</x:t>
        </x:is>
      </x:c>
      <x:c r="Y662" s="160" t="inlineStr">
        <x:is>
          <x:t xml:space="preserve">Synthetic/adversarial model-development loop. No historical outcome is claimed; no accuracy point is awarded.</x:t>
        </x:is>
      </x:c>
    </x:row>
    <x:row r="663">
      <x:c r="A663" s="160" t="inlineStr">
        <x:is>
          <x:t xml:space="preserve">ML0658</x:t>
        </x:is>
      </x:c>
      <x:c r="B663" s="160" t="inlineStr">
        <x:is>
          <x:t xml:space="preserve">ARG-042</x:t>
        </x:is>
      </x:c>
      <x:c r="C663" s="160" t="inlineStr">
        <x:is>
          <x:t xml:space="preserve">Progressive</x:t>
        </x:is>
      </x:c>
      <x:c r="D663" s="160" t="inlineStr">
        <x:is>
          <x:t xml:space="preserve">PGR</x:t>
        </x:is>
      </x:c>
      <x:c r="E663" s="160" t="inlineStr">
        <x:is>
          <x:t xml:space="preserve">Insurance</x:t>
        </x:is>
      </x:c>
      <x:c r="F663" s="160" t="inlineStr">
        <x:is>
          <x:t xml:space="preserve">Development</x:t>
        </x:is>
      </x:c>
      <x:c r="G663" s="160" t="inlineStr">
        <x:is>
          <x:t xml:space="preserve">S02</x:t>
        </x:is>
      </x:c>
      <x:c r="H663" s="160" t="inlineStr">
        <x:is>
          <x:t xml:space="preserve">Owner Earnings Normalization</x:t>
        </x:is>
      </x:c>
      <x:c r="I663" s="160" t="inlineStr">
        <x:is>
          <x:t xml:space="preserve">Owner Earnings</x:t>
        </x:is>
      </x:c>
      <x:c r="J663" s="160" t="inlineStr">
        <x:is>
          <x:t xml:space="preserve">Reported earnings/FCF overstates economic cash because recurring reinvestment or non-cash compensation is misclassified.</x:t>
        </x:is>
      </x:c>
      <x:c r="K663" s="160" t="inlineStr">
        <x:is>
          <x:t xml:space="preserve">Policies × underwriting margin plus float income</x:t>
        </x:is>
      </x:c>
      <x:c r="L663" s="160" t="inlineStr">
        <x:is>
          <x:t xml:space="preserve">Book/earnings growth + reverse DCF</x:t>
        </x:is>
      </x:c>
      <x:c r="M663" s="160" t="inlineStr">
        <x:is>
          <x:t xml:space="preserve">WAIT FOR PRICE</x:t>
        </x:is>
      </x:c>
      <x:c r="N663" s="160" t="inlineStr">
        <x:is>
          <x:t xml:space="preserve">R-OE-01</x:t>
        </x:is>
      </x:c>
      <x:c r="O663" s="160" t="inlineStr">
        <x:is>
          <x:t xml:space="preserve">COUNTER-EVIDENCE</x:t>
        </x:is>
      </x:c>
      <x:c r="P663" s="160" t="inlineStr">
        <x:is>
          <x:t xml:space="preserve">ROBUST</x:t>
        </x:is>
      </x:c>
      <x:c r="Q663" s="160" t="inlineStr">
        <x:is>
          <x:t xml:space="preserve">The mature simulation rule catches the stress without weakening a fatal gate; no rule relaxation is justified.</x:t>
        </x:is>
      </x:c>
      <x:c r="R663" s="160" t="inlineStr">
        <x:is>
          <x:t xml:space="preserve">Require a GAAP-to-economic-owner-cash bridge tailored to the business model.</x:t>
        </x:is>
      </x:c>
      <x:c r="S663" s="160" t="inlineStr">
        <x:is>
          <x:t xml:space="preserve">NO</x:t>
        </x:is>
      </x:c>
      <x:c r="T663" s="160" t="inlineStr">
        <x:is>
          <x:t xml:space="preserve">COUNTER-EVIDENCE</x:t>
        </x:is>
      </x:c>
      <x:c r="U663" s="160" t="inlineStr">
        <x:is>
          <x:t xml:space="preserve">V10.5-SIM61</x:t>
        </x:is>
      </x:c>
      <x:c r="V663" s="160" t="inlineStr">
        <x:is>
          <x:t xml:space="preserve">https://investors.progressive.com</x:t>
        </x:is>
      </x:c>
      <x:c r="W663" s="160" t="inlineStr">
        <x:is>
          <x:t xml:space="preserve">NO</x:t>
        </x:is>
      </x:c>
      <x:c r="X663" s="160" t="inlineStr">
        <x:is>
          <x:t xml:space="preserve">NONE — DEVELOPMENT ONLY</x:t>
        </x:is>
      </x:c>
      <x:c r="Y663" s="160" t="inlineStr">
        <x:is>
          <x:t xml:space="preserve">Synthetic/adversarial model-development loop. No historical outcome is claimed; no accuracy point is awarded.</x:t>
        </x:is>
      </x:c>
    </x:row>
    <x:row r="664">
      <x:c r="A664" s="160" t="inlineStr">
        <x:is>
          <x:t xml:space="preserve">ML0659</x:t>
        </x:is>
      </x:c>
      <x:c r="B664" s="160" t="inlineStr">
        <x:is>
          <x:t xml:space="preserve">ARG-042</x:t>
        </x:is>
      </x:c>
      <x:c r="C664" s="160" t="inlineStr">
        <x:is>
          <x:t xml:space="preserve">Progressive</x:t>
        </x:is>
      </x:c>
      <x:c r="D664" s="160" t="inlineStr">
        <x:is>
          <x:t xml:space="preserve">PGR</x:t>
        </x:is>
      </x:c>
      <x:c r="E664" s="160" t="inlineStr">
        <x:is>
          <x:t xml:space="preserve">Insurance</x:t>
        </x:is>
      </x:c>
      <x:c r="F664" s="160" t="inlineStr">
        <x:is>
          <x:t xml:space="preserve">Development</x:t>
        </x:is>
      </x:c>
      <x:c r="G664" s="160" t="inlineStr">
        <x:is>
          <x:t xml:space="preserve">S03</x:t>
        </x:is>
      </x:c>
      <x:c r="H664" s="160" t="inlineStr">
        <x:is>
          <x:t xml:space="preserve">Moat Durability</x:t>
        </x:is>
      </x:c>
      <x:c r="I664" s="160" t="inlineStr">
        <x:is>
          <x:t xml:space="preserve">Moat 2036</x:t>
        </x:is>
      </x:c>
      <x:c r="J664" s="160" t="inlineStr">
        <x:is>
          <x:t xml:space="preserve">Growth continues while switching friction, pricing power or replacement difficulty quietly weakens.</x:t>
        </x:is>
      </x:c>
      <x:c r="K664" s="160" t="inlineStr">
        <x:is>
          <x:t xml:space="preserve">Policies × underwriting margin plus float income</x:t>
        </x:is>
      </x:c>
      <x:c r="L664" s="160" t="inlineStr">
        <x:is>
          <x:t xml:space="preserve">Book/earnings growth + reverse DCF</x:t>
        </x:is>
      </x:c>
      <x:c r="M664" s="160" t="inlineStr">
        <x:is>
          <x:t xml:space="preserve">WAIT FOR PRICE</x:t>
        </x:is>
      </x:c>
      <x:c r="N664" s="160" t="inlineStr">
        <x:is>
          <x:t xml:space="preserve">R-MOAT-01</x:t>
        </x:is>
      </x:c>
      <x:c r="O664" s="160" t="inlineStr">
        <x:is>
          <x:t xml:space="preserve">COUNTER-EVIDENCE</x:t>
        </x:is>
      </x:c>
      <x:c r="P664" s="160" t="inlineStr">
        <x:is>
          <x:t xml:space="preserve">ROBUST</x:t>
        </x:is>
      </x:c>
      <x:c r="Q664" s="160" t="inlineStr">
        <x:is>
          <x:t xml:space="preserve">The mature simulation rule catches the stress without weakening a fatal gate; no rule relaxation is justified.</x:t>
        </x:is>
      </x:c>
      <x:c r="R664" s="160" t="inlineStr">
        <x:is>
          <x:t xml:space="preserve">Track moat telemetry separately from growth: retention, pricing, win/loss, replacement friction, installed-base behavior.</x:t>
        </x:is>
      </x:c>
      <x:c r="S664" s="160" t="inlineStr">
        <x:is>
          <x:t xml:space="preserve">NO</x:t>
        </x:is>
      </x:c>
      <x:c r="T664" s="160" t="inlineStr">
        <x:is>
          <x:t xml:space="preserve">COUNTER-EVIDENCE</x:t>
        </x:is>
      </x:c>
      <x:c r="U664" s="160" t="inlineStr">
        <x:is>
          <x:t xml:space="preserve">V10.5-SIM61</x:t>
        </x:is>
      </x:c>
      <x:c r="V664" s="160" t="inlineStr">
        <x:is>
          <x:t xml:space="preserve">https://investors.progressive.com</x:t>
        </x:is>
      </x:c>
      <x:c r="W664" s="160" t="inlineStr">
        <x:is>
          <x:t xml:space="preserve">NO</x:t>
        </x:is>
      </x:c>
      <x:c r="X664" s="160" t="inlineStr">
        <x:is>
          <x:t xml:space="preserve">NONE — DEVELOPMENT ONLY</x:t>
        </x:is>
      </x:c>
      <x:c r="Y664" s="160" t="inlineStr">
        <x:is>
          <x:t xml:space="preserve">Synthetic/adversarial model-development loop. No historical outcome is claimed; no accuracy point is awarded.</x:t>
        </x:is>
      </x:c>
    </x:row>
    <x:row r="665">
      <x:c r="A665" s="160" t="inlineStr">
        <x:is>
          <x:t xml:space="preserve">ML0660</x:t>
        </x:is>
      </x:c>
      <x:c r="B665" s="160" t="inlineStr">
        <x:is>
          <x:t xml:space="preserve">ARG-042</x:t>
        </x:is>
      </x:c>
      <x:c r="C665" s="160" t="inlineStr">
        <x:is>
          <x:t xml:space="preserve">Progressive</x:t>
        </x:is>
      </x:c>
      <x:c r="D665" s="160" t="inlineStr">
        <x:is>
          <x:t xml:space="preserve">PGR</x:t>
        </x:is>
      </x:c>
      <x:c r="E665" s="160" t="inlineStr">
        <x:is>
          <x:t xml:space="preserve">Insurance</x:t>
        </x:is>
      </x:c>
      <x:c r="F665" s="160" t="inlineStr">
        <x:is>
          <x:t xml:space="preserve">Development</x:t>
        </x:is>
      </x:c>
      <x:c r="G665" s="160" t="inlineStr">
        <x:is>
          <x:t xml:space="preserve">S04</x:t>
        </x:is>
      </x:c>
      <x:c r="H665" s="160" t="inlineStr">
        <x:is>
          <x:t xml:space="preserve">Stewardship / Capital Allocation</x:t>
        </x:is>
      </x:c>
      <x:c r="I665" s="160" t="inlineStr">
        <x:is>
          <x:t xml:space="preserve">Stewardship</x:t>
        </x:is>
      </x:c>
      <x:c r="J665" s="160" t="inlineStr">
        <x:is>
          <x:t xml:space="preserve">Management creates enterprise growth while destroying per-share value through M&amp;A, dilution, leverage or mistimed buybacks.</x:t>
        </x:is>
      </x:c>
      <x:c r="K665" s="160" t="inlineStr">
        <x:is>
          <x:t xml:space="preserve">Policies × underwriting margin plus float income</x:t>
        </x:is>
      </x:c>
      <x:c r="L665" s="160" t="inlineStr">
        <x:is>
          <x:t xml:space="preserve">Book/earnings growth + reverse DCF</x:t>
        </x:is>
      </x:c>
      <x:c r="M665" s="160" t="inlineStr">
        <x:is>
          <x:t xml:space="preserve">WAIT FOR PRICE</x:t>
        </x:is>
      </x:c>
      <x:c r="N665" s="160" t="inlineStr">
        <x:is>
          <x:t xml:space="preserve">R-STEW-01</x:t>
        </x:is>
      </x:c>
      <x:c r="O665" s="160" t="inlineStr">
        <x:is>
          <x:t xml:space="preserve">COUNTER-EVIDENCE</x:t>
        </x:is>
      </x:c>
      <x:c r="P665" s="160" t="inlineStr">
        <x:is>
          <x:t xml:space="preserve">ROBUST</x:t>
        </x:is>
      </x:c>
      <x:c r="Q665" s="160" t="inlineStr">
        <x:is>
          <x:t xml:space="preserve">The mature simulation rule catches the stress without weakening a fatal gate; no rule relaxation is justified.</x:t>
        </x:is>
      </x:c>
      <x:c r="R665" s="160" t="inlineStr">
        <x:is>
          <x:t xml:space="preserve">Evaluate capital allocation on a per-share basis using acquisition cohorts, dilution, leverage and repurchase price discipline.</x:t>
        </x:is>
      </x:c>
      <x:c r="S665" s="160" t="inlineStr">
        <x:is>
          <x:t xml:space="preserve">NO</x:t>
        </x:is>
      </x:c>
      <x:c r="T665" s="160" t="inlineStr">
        <x:is>
          <x:t xml:space="preserve">COUNTER-EVIDENCE</x:t>
        </x:is>
      </x:c>
      <x:c r="U665" s="160" t="inlineStr">
        <x:is>
          <x:t xml:space="preserve">V10.5-SIM61</x:t>
        </x:is>
      </x:c>
      <x:c r="V665" s="160" t="inlineStr">
        <x:is>
          <x:t xml:space="preserve">https://investors.progressive.com</x:t>
        </x:is>
      </x:c>
      <x:c r="W665" s="160" t="inlineStr">
        <x:is>
          <x:t xml:space="preserve">NO</x:t>
        </x:is>
      </x:c>
      <x:c r="X665" s="160" t="inlineStr">
        <x:is>
          <x:t xml:space="preserve">NONE — DEVELOPMENT ONLY</x:t>
        </x:is>
      </x:c>
      <x:c r="Y665" s="160" t="inlineStr">
        <x:is>
          <x:t xml:space="preserve">Synthetic/adversarial model-development loop. No historical outcome is claimed; no accuracy point is awarded.</x:t>
        </x:is>
      </x:c>
    </x:row>
    <x:row r="666">
      <x:c r="A666" s="160" t="inlineStr">
        <x:is>
          <x:t xml:space="preserve">ML0661</x:t>
        </x:is>
      </x:c>
      <x:c r="B666" s="160" t="inlineStr">
        <x:is>
          <x:t xml:space="preserve">ARG-042</x:t>
        </x:is>
      </x:c>
      <x:c r="C666" s="160" t="inlineStr">
        <x:is>
          <x:t xml:space="preserve">Progressive</x:t>
        </x:is>
      </x:c>
      <x:c r="D666" s="160" t="inlineStr">
        <x:is>
          <x:t xml:space="preserve">PGR</x:t>
        </x:is>
      </x:c>
      <x:c r="E666" s="160" t="inlineStr">
        <x:is>
          <x:t xml:space="preserve">Insurance</x:t>
        </x:is>
      </x:c>
      <x:c r="F666" s="160" t="inlineStr">
        <x:is>
          <x:t xml:space="preserve">Development</x:t>
        </x:is>
      </x:c>
      <x:c r="G666" s="160" t="inlineStr">
        <x:is>
          <x:t xml:space="preserve">S05</x:t>
        </x:is>
      </x:c>
      <x:c r="H666" s="160" t="inlineStr">
        <x:is>
          <x:t xml:space="preserve">Survival / Funding</x:t>
        </x:is>
      </x:c>
      <x:c r="I666" s="160" t="inlineStr">
        <x:is>
          <x:t xml:space="preserve">Survival</x:t>
        </x:is>
      </x:c>
      <x:c r="J666" s="160" t="inlineStr">
        <x:is>
          <x:t xml:space="preserve">A plausible bear case exposes refinancing, liquidity, covenant, reserve, regulatory or operational fragility.</x:t>
        </x:is>
      </x:c>
      <x:c r="K666" s="160" t="inlineStr">
        <x:is>
          <x:t xml:space="preserve">Policies × underwriting margin plus float income</x:t>
        </x:is>
      </x:c>
      <x:c r="L666" s="160" t="inlineStr">
        <x:is>
          <x:t xml:space="preserve">Book/earnings growth + reverse DCF</x:t>
        </x:is>
      </x:c>
      <x:c r="M666" s="160" t="inlineStr">
        <x:is>
          <x:t xml:space="preserve">WAIT FOR PRICE</x:t>
        </x:is>
      </x:c>
      <x:c r="N666" s="160" t="inlineStr">
        <x:is>
          <x:t xml:space="preserve">R-SURV-01</x:t>
        </x:is>
      </x:c>
      <x:c r="O666" s="160" t="inlineStr">
        <x:is>
          <x:t xml:space="preserve">COUNTER-EVIDENCE</x:t>
        </x:is>
      </x:c>
      <x:c r="P666" s="160" t="inlineStr">
        <x:is>
          <x:t xml:space="preserve">ROBUST</x:t>
        </x:is>
      </x:c>
      <x:c r="Q666" s="160" t="inlineStr">
        <x:is>
          <x:t xml:space="preserve">The mature simulation rule catches the stress without weakening a fatal gate; no rule relaxation is justified.</x:t>
        </x:is>
      </x:c>
      <x:c r="R666" s="160" t="inlineStr">
        <x:is>
          <x:t xml:space="preserve">Run a company-specific survival bridge under a severe-but-plausible bear case before any upside underwriting.</x:t>
        </x:is>
      </x:c>
      <x:c r="S666" s="160" t="inlineStr">
        <x:is>
          <x:t xml:space="preserve">NO</x:t>
        </x:is>
      </x:c>
      <x:c r="T666" s="160" t="inlineStr">
        <x:is>
          <x:t xml:space="preserve">COUNTER-EVIDENCE</x:t>
        </x:is>
      </x:c>
      <x:c r="U666" s="160" t="inlineStr">
        <x:is>
          <x:t xml:space="preserve">V10.5-SIM61</x:t>
        </x:is>
      </x:c>
      <x:c r="V666" s="160" t="inlineStr">
        <x:is>
          <x:t xml:space="preserve">https://investors.progressive.com</x:t>
        </x:is>
      </x:c>
      <x:c r="W666" s="160" t="inlineStr">
        <x:is>
          <x:t xml:space="preserve">NO</x:t>
        </x:is>
      </x:c>
      <x:c r="X666" s="160" t="inlineStr">
        <x:is>
          <x:t xml:space="preserve">NONE — DEVELOPMENT ONLY</x:t>
        </x:is>
      </x:c>
      <x:c r="Y666" s="160" t="inlineStr">
        <x:is>
          <x:t xml:space="preserve">Synthetic/adversarial model-development loop. No historical outcome is claimed; no accuracy point is awarded.</x:t>
        </x:is>
      </x:c>
    </x:row>
    <x:row r="667">
      <x:c r="A667" s="160" t="inlineStr">
        <x:is>
          <x:t xml:space="preserve">ML0662</x:t>
        </x:is>
      </x:c>
      <x:c r="B667" s="160" t="inlineStr">
        <x:is>
          <x:t xml:space="preserve">ARG-042</x:t>
        </x:is>
      </x:c>
      <x:c r="C667" s="160" t="inlineStr">
        <x:is>
          <x:t xml:space="preserve">Progressive</x:t>
        </x:is>
      </x:c>
      <x:c r="D667" s="160" t="inlineStr">
        <x:is>
          <x:t xml:space="preserve">PGR</x:t>
        </x:is>
      </x:c>
      <x:c r="E667" s="160" t="inlineStr">
        <x:is>
          <x:t xml:space="preserve">Insurance</x:t>
        </x:is>
      </x:c>
      <x:c r="F667" s="160" t="inlineStr">
        <x:is>
          <x:t xml:space="preserve">Development</x:t>
        </x:is>
      </x:c>
      <x:c r="G667" s="160" t="inlineStr">
        <x:is>
          <x:t xml:space="preserve">S06</x:t>
        </x:is>
      </x:c>
      <x:c r="H667" s="160" t="inlineStr">
        <x:is>
          <x:t xml:space="preserve">Margin of Safety</x:t>
        </x:is>
      </x:c>
      <x:c r="I667" s="160" t="inlineStr">
        <x:is>
          <x:t xml:space="preserve">Margin of Safety</x:t>
        </x:is>
      </x:c>
      <x:c r="J667" s="160" t="inlineStr">
        <x:is>
          <x:t xml:space="preserve">Business quality is high but the price embeds a fragile bull case.</x:t>
        </x:is>
      </x:c>
      <x:c r="K667" s="160" t="inlineStr">
        <x:is>
          <x:t xml:space="preserve">Policies × underwriting margin plus float income</x:t>
        </x:is>
      </x:c>
      <x:c r="L667" s="160" t="inlineStr">
        <x:is>
          <x:t xml:space="preserve">Book/earnings growth + reverse DCF</x:t>
        </x:is>
      </x:c>
      <x:c r="M667" s="160" t="inlineStr">
        <x:is>
          <x:t xml:space="preserve">WAIT FOR PRICE</x:t>
        </x:is>
      </x:c>
      <x:c r="N667" s="160" t="inlineStr">
        <x:is>
          <x:t xml:space="preserve">R-MOS-01</x:t>
        </x:is>
      </x:c>
      <x:c r="O667" s="160" t="inlineStr">
        <x:is>
          <x:t xml:space="preserve">COUNTER-EVIDENCE</x:t>
        </x:is>
      </x:c>
      <x:c r="P667" s="160" t="inlineStr">
        <x:is>
          <x:t xml:space="preserve">ROBUST</x:t>
        </x:is>
      </x:c>
      <x:c r="Q667" s="160" t="inlineStr">
        <x:is>
          <x:t xml:space="preserve">The mature simulation rule catches the stress without weakening a fatal gate; no rule relaxation is justified.</x:t>
        </x:is>
      </x:c>
      <x:c r="R667" s="160" t="inlineStr">
        <x:is>
          <x:t xml:space="preserve">Separate business-quality score from price decision; require reverse valuation and bear/base/bull IV ranges.</x:t>
        </x:is>
      </x:c>
      <x:c r="S667" s="160" t="inlineStr">
        <x:is>
          <x:t xml:space="preserve">NO</x:t>
        </x:is>
      </x:c>
      <x:c r="T667" s="160" t="inlineStr">
        <x:is>
          <x:t xml:space="preserve">COUNTER-EVIDENCE</x:t>
        </x:is>
      </x:c>
      <x:c r="U667" s="160" t="inlineStr">
        <x:is>
          <x:t xml:space="preserve">V10.5-SIM61</x:t>
        </x:is>
      </x:c>
      <x:c r="V667" s="160" t="inlineStr">
        <x:is>
          <x:t xml:space="preserve">https://investors.progressive.com</x:t>
        </x:is>
      </x:c>
      <x:c r="W667" s="160" t="inlineStr">
        <x:is>
          <x:t xml:space="preserve">NO</x:t>
        </x:is>
      </x:c>
      <x:c r="X667" s="160" t="inlineStr">
        <x:is>
          <x:t xml:space="preserve">NONE — DEVELOPMENT ONLY</x:t>
        </x:is>
      </x:c>
      <x:c r="Y667" s="160" t="inlineStr">
        <x:is>
          <x:t xml:space="preserve">Synthetic/adversarial model-development loop. No historical outcome is claimed; no accuracy point is awarded.</x:t>
        </x:is>
      </x:c>
    </x:row>
    <x:row r="668">
      <x:c r="A668" s="160" t="inlineStr">
        <x:is>
          <x:t xml:space="preserve">ML0663</x:t>
        </x:is>
      </x:c>
      <x:c r="B668" s="160" t="inlineStr">
        <x:is>
          <x:t xml:space="preserve">ARG-042</x:t>
        </x:is>
      </x:c>
      <x:c r="C668" s="160" t="inlineStr">
        <x:is>
          <x:t xml:space="preserve">Progressive</x:t>
        </x:is>
      </x:c>
      <x:c r="D668" s="160" t="inlineStr">
        <x:is>
          <x:t xml:space="preserve">PGR</x:t>
        </x:is>
      </x:c>
      <x:c r="E668" s="160" t="inlineStr">
        <x:is>
          <x:t xml:space="preserve">Insurance</x:t>
        </x:is>
      </x:c>
      <x:c r="F668" s="160" t="inlineStr">
        <x:is>
          <x:t xml:space="preserve">Development</x:t>
        </x:is>
      </x:c>
      <x:c r="G668" s="160" t="inlineStr">
        <x:is>
          <x:t xml:space="preserve">S07</x:t>
        </x:is>
      </x:c>
      <x:c r="H668" s="160" t="inlineStr">
        <x:is>
          <x:t xml:space="preserve">Sector Shock</x:t>
        </x:is>
      </x:c>
      <x:c r="I668" s="160" t="inlineStr">
        <x:is>
          <x:t xml:space="preserve">Sector-specific</x:t>
        </x:is>
      </x:c>
      <x:c r="J668" s="160" t="inlineStr">
        <x:is>
          <x:t xml:space="preserve">Premium growth looks strong while reserve adequacy, catastrophe exposure or pricing-cycle deterioration threatens book-value compounding.</x:t>
        </x:is>
      </x:c>
      <x:c r="K668" s="160" t="inlineStr">
        <x:is>
          <x:t xml:space="preserve">Policies × underwriting margin plus float income</x:t>
        </x:is>
      </x:c>
      <x:c r="L668" s="160" t="inlineStr">
        <x:is>
          <x:t xml:space="preserve">Book/earnings growth + reverse DCF</x:t>
        </x:is>
      </x:c>
      <x:c r="M668" s="160" t="inlineStr">
        <x:is>
          <x:t xml:space="preserve">WAIT FOR PRICE</x:t>
        </x:is>
      </x:c>
      <x:c r="N668" s="160" t="inlineStr">
        <x:is>
          <x:t xml:space="preserve">R-SECTOR-INSURANCE</x:t>
        </x:is>
      </x:c>
      <x:c r="O668" s="160" t="inlineStr">
        <x:is>
          <x:t xml:space="preserve">BASE</x:t>
        </x:is>
      </x:c>
      <x:c r="P668" s="160" t="inlineStr">
        <x:is>
          <x:t xml:space="preserve">PARTIAL CATCH</x:t>
        </x:is>
      </x:c>
      <x:c r="Q668" s="160" t="inlineStr">
        <x:is>
          <x:t xml:space="preserve">The base refinement catches the main failure, but evidence thresholds and per-share/counterfactual details remain underspecified.</x:t>
        </x:is>
      </x:c>
      <x:c r="R668" s="160" t="inlineStr">
        <x:is>
          <x:t xml:space="preserve">Add a sector-specific transmission map with leading operating sensors, not only market-price variables. Sector rule: Premium growth looks strong while reserve adequacy, catastrophe exposure or pricing-cycle deterioration threatens book-value compounding.</x:t>
        </x:is>
      </x:c>
      <x:c r="S668" s="160" t="inlineStr">
        <x:is>
          <x:t xml:space="preserve">NO</x:t>
        </x:is>
      </x:c>
      <x:c r="T668" s="160" t="inlineStr">
        <x:is>
          <x:t xml:space="preserve">BASE</x:t>
        </x:is>
      </x:c>
      <x:c r="U668" s="160" t="inlineStr">
        <x:is>
          <x:t xml:space="preserve">V10.5-SIM61</x:t>
        </x:is>
      </x:c>
      <x:c r="V668" s="160" t="inlineStr">
        <x:is>
          <x:t xml:space="preserve">https://investors.progressive.com</x:t>
        </x:is>
      </x:c>
      <x:c r="W668" s="160" t="inlineStr">
        <x:is>
          <x:t xml:space="preserve">NO</x:t>
        </x:is>
      </x:c>
      <x:c r="X668" s="160" t="inlineStr">
        <x:is>
          <x:t xml:space="preserve">NONE — DEVELOPMENT ONLY</x:t>
        </x:is>
      </x:c>
      <x:c r="Y668" s="160" t="inlineStr">
        <x:is>
          <x:t xml:space="preserve">Synthetic/adversarial model-development loop. No historical outcome is claimed; no accuracy point is awarded.</x:t>
        </x:is>
      </x:c>
    </x:row>
    <x:row r="669">
      <x:c r="A669" s="160" t="inlineStr">
        <x:is>
          <x:t xml:space="preserve">ML0664</x:t>
        </x:is>
      </x:c>
      <x:c r="B669" s="160" t="inlineStr">
        <x:is>
          <x:t xml:space="preserve">ARG-042</x:t>
        </x:is>
      </x:c>
      <x:c r="C669" s="160" t="inlineStr">
        <x:is>
          <x:t xml:space="preserve">Progressive</x:t>
        </x:is>
      </x:c>
      <x:c r="D669" s="160" t="inlineStr">
        <x:is>
          <x:t xml:space="preserve">PGR</x:t>
        </x:is>
      </x:c>
      <x:c r="E669" s="160" t="inlineStr">
        <x:is>
          <x:t xml:space="preserve">Insurance</x:t>
        </x:is>
      </x:c>
      <x:c r="F669" s="160" t="inlineStr">
        <x:is>
          <x:t xml:space="preserve">Development</x:t>
        </x:is>
      </x:c>
      <x:c r="G669" s="160" t="inlineStr">
        <x:is>
          <x:t xml:space="preserve">S08</x:t>
        </x:is>
      </x:c>
      <x:c r="H669" s="160" t="inlineStr">
        <x:is>
          <x:t xml:space="preserve">Management Promise Reliability</x:t>
        </x:is>
      </x:c>
      <x:c r="I669" s="160" t="inlineStr">
        <x:is>
          <x:t xml:space="preserve">Management over-trust</x:t>
        </x:is>
      </x:c>
      <x:c r="J669" s="160" t="inlineStr">
        <x:is>
          <x:t xml:space="preserve">Guidance or strategic promises are repeated but the model lacks a contemporaneous reliability score.</x:t>
        </x:is>
      </x:c>
      <x:c r="K669" s="160" t="inlineStr">
        <x:is>
          <x:t xml:space="preserve">Policies × underwriting margin plus float income</x:t>
        </x:is>
      </x:c>
      <x:c r="L669" s="160" t="inlineStr">
        <x:is>
          <x:t xml:space="preserve">Book/earnings growth + reverse DCF</x:t>
        </x:is>
      </x:c>
      <x:c r="M669" s="160" t="inlineStr">
        <x:is>
          <x:t xml:space="preserve">WAIT FOR PRICE</x:t>
        </x:is>
      </x:c>
      <x:c r="N669" s="160" t="inlineStr">
        <x:is>
          <x:t xml:space="preserve">R-PROM-01</x:t>
        </x:is>
      </x:c>
      <x:c r="O669" s="160" t="inlineStr">
        <x:is>
          <x:t xml:space="preserve">COUNTER-EVIDENCE</x:t>
        </x:is>
      </x:c>
      <x:c r="P669" s="160" t="inlineStr">
        <x:is>
          <x:t xml:space="preserve">ROBUST</x:t>
        </x:is>
      </x:c>
      <x:c r="Q669" s="160" t="inlineStr">
        <x:is>
          <x:t xml:space="preserve">The mature simulation rule catches the stress without weakening a fatal gate; no rule relaxation is justified.</x:t>
        </x:is>
      </x:c>
      <x:c r="R669" s="160" t="inlineStr">
        <x:is>
          <x:t xml:space="preserve">Use a promises ledger with dated promise, measurable deliverable, due date, outcome and credibility weight.</x:t>
        </x:is>
      </x:c>
      <x:c r="S669" s="160" t="inlineStr">
        <x:is>
          <x:t xml:space="preserve">NO</x:t>
        </x:is>
      </x:c>
      <x:c r="T669" s="160" t="inlineStr">
        <x:is>
          <x:t xml:space="preserve">COUNTER-EVIDENCE</x:t>
        </x:is>
      </x:c>
      <x:c r="U669" s="160" t="inlineStr">
        <x:is>
          <x:t xml:space="preserve">V10.5-SIM61</x:t>
        </x:is>
      </x:c>
      <x:c r="V669" s="160" t="inlineStr">
        <x:is>
          <x:t xml:space="preserve">https://investors.progressive.com</x:t>
        </x:is>
      </x:c>
      <x:c r="W669" s="160" t="inlineStr">
        <x:is>
          <x:t xml:space="preserve">NO</x:t>
        </x:is>
      </x:c>
      <x:c r="X669" s="160" t="inlineStr">
        <x:is>
          <x:t xml:space="preserve">NONE — DEVELOPMENT ONLY</x:t>
        </x:is>
      </x:c>
      <x:c r="Y669" s="160" t="inlineStr">
        <x:is>
          <x:t xml:space="preserve">Synthetic/adversarial model-development loop. No historical outcome is claimed; no accuracy point is awarded.</x:t>
        </x:is>
      </x:c>
    </x:row>
    <x:row r="670">
      <x:c r="A670" s="160" t="inlineStr">
        <x:is>
          <x:t xml:space="preserve">ML0665</x:t>
        </x:is>
      </x:c>
      <x:c r="B670" s="160" t="inlineStr">
        <x:is>
          <x:t xml:space="preserve">ARG-042</x:t>
        </x:is>
      </x:c>
      <x:c r="C670" s="160" t="inlineStr">
        <x:is>
          <x:t xml:space="preserve">Progressive</x:t>
        </x:is>
      </x:c>
      <x:c r="D670" s="160" t="inlineStr">
        <x:is>
          <x:t xml:space="preserve">PGR</x:t>
        </x:is>
      </x:c>
      <x:c r="E670" s="160" t="inlineStr">
        <x:is>
          <x:t xml:space="preserve">Insurance</x:t>
        </x:is>
      </x:c>
      <x:c r="F670" s="160" t="inlineStr">
        <x:is>
          <x:t xml:space="preserve">Development</x:t>
        </x:is>
      </x:c>
      <x:c r="G670" s="160" t="inlineStr">
        <x:is>
          <x:t xml:space="preserve">S09</x:t>
        </x:is>
      </x:c>
      <x:c r="H670" s="160" t="inlineStr">
        <x:is>
          <x:t xml:space="preserve">Data / Accounting Quality</x:t>
        </x:is>
      </x:c>
      <x:c r="I670" s="160" t="inlineStr">
        <x:is>
          <x:t xml:space="preserve">Data quality</x:t>
        </x:is>
      </x:c>
      <x:c r="J670" s="160" t="inlineStr">
        <x:is>
          <x:t xml:space="preserve">Restatement, segment reclassification, one-time item or non-economic fair-value movement distorts the apparent trend.</x:t>
        </x:is>
      </x:c>
      <x:c r="K670" s="160" t="inlineStr">
        <x:is>
          <x:t xml:space="preserve">Policies × underwriting margin plus float income</x:t>
        </x:is>
      </x:c>
      <x:c r="L670" s="160" t="inlineStr">
        <x:is>
          <x:t xml:space="preserve">Book/earnings growth + reverse DCF</x:t>
        </x:is>
      </x:c>
      <x:c r="M670" s="160" t="inlineStr">
        <x:is>
          <x:t xml:space="preserve">WAIT FOR PRICE</x:t>
        </x:is>
      </x:c>
      <x:c r="N670" s="160" t="inlineStr">
        <x:is>
          <x:t xml:space="preserve">R-DATA-01</x:t>
        </x:is>
      </x:c>
      <x:c r="O670" s="160" t="inlineStr">
        <x:is>
          <x:t xml:space="preserve">COUNTER-EVIDENCE</x:t>
        </x:is>
      </x:c>
      <x:c r="P670" s="160" t="inlineStr">
        <x:is>
          <x:t xml:space="preserve">ROBUST</x:t>
        </x:is>
      </x:c>
      <x:c r="Q670" s="160" t="inlineStr">
        <x:is>
          <x:t xml:space="preserve">The mature simulation rule catches the stress without weakening a fatal gate; no rule relaxation is justified.</x:t>
        </x:is>
      </x:c>
      <x:c r="R670" s="160" t="inlineStr">
        <x:is>
          <x:t xml:space="preserve">Add a reporting-quality bridge and normalize accounting noise before any gate can pass.</x:t>
        </x:is>
      </x:c>
      <x:c r="S670" s="160" t="inlineStr">
        <x:is>
          <x:t xml:space="preserve">NO</x:t>
        </x:is>
      </x:c>
      <x:c r="T670" s="160" t="inlineStr">
        <x:is>
          <x:t xml:space="preserve">COUNTER-EVIDENCE</x:t>
        </x:is>
      </x:c>
      <x:c r="U670" s="160" t="inlineStr">
        <x:is>
          <x:t xml:space="preserve">V10.5-SIM61</x:t>
        </x:is>
      </x:c>
      <x:c r="V670" s="160" t="inlineStr">
        <x:is>
          <x:t xml:space="preserve">https://investors.progressive.com</x:t>
        </x:is>
      </x:c>
      <x:c r="W670" s="160" t="inlineStr">
        <x:is>
          <x:t xml:space="preserve">NO</x:t>
        </x:is>
      </x:c>
      <x:c r="X670" s="160" t="inlineStr">
        <x:is>
          <x:t xml:space="preserve">NONE — DEVELOPMENT ONLY</x:t>
        </x:is>
      </x:c>
      <x:c r="Y670" s="160" t="inlineStr">
        <x:is>
          <x:t xml:space="preserve">Synthetic/adversarial model-development loop. No historical outcome is claimed; no accuracy point is awarded.</x:t>
        </x:is>
      </x:c>
    </x:row>
    <x:row r="671">
      <x:c r="A671" s="160" t="inlineStr">
        <x:is>
          <x:t xml:space="preserve">ML0666</x:t>
        </x:is>
      </x:c>
      <x:c r="B671" s="160" t="inlineStr">
        <x:is>
          <x:t xml:space="preserve">ARG-042</x:t>
        </x:is>
      </x:c>
      <x:c r="C671" s="160" t="inlineStr">
        <x:is>
          <x:t xml:space="preserve">Progressive</x:t>
        </x:is>
      </x:c>
      <x:c r="D671" s="160" t="inlineStr">
        <x:is>
          <x:t xml:space="preserve">PGR</x:t>
        </x:is>
      </x:c>
      <x:c r="E671" s="160" t="inlineStr">
        <x:is>
          <x:t xml:space="preserve">Insurance</x:t>
        </x:is>
      </x:c>
      <x:c r="F671" s="160" t="inlineStr">
        <x:is>
          <x:t xml:space="preserve">Development</x:t>
        </x:is>
      </x:c>
      <x:c r="G671" s="160" t="inlineStr">
        <x:is>
          <x:t xml:space="preserve">S10</x:t>
        </x:is>
      </x:c>
      <x:c r="H671" s="160" t="inlineStr">
        <x:is>
          <x:t xml:space="preserve">Control / Counterfactual</x:t>
        </x:is>
      </x:c>
      <x:c r="I671" s="160" t="inlineStr">
        <x:is>
          <x:t xml:space="preserve">Sector beta vs company alpha</x:t>
        </x:is>
      </x:c>
      <x:c r="J671" s="160" t="inlineStr">
        <x:is>
          <x:t xml:space="preserve">A positive outcome is mostly sector beta or macro tailwind, not company-specific alpha.</x:t>
        </x:is>
      </x:c>
      <x:c r="K671" s="160" t="inlineStr">
        <x:is>
          <x:t xml:space="preserve">Policies × underwriting margin plus float income</x:t>
        </x:is>
      </x:c>
      <x:c r="L671" s="160" t="inlineStr">
        <x:is>
          <x:t xml:space="preserve">Book/earnings growth + reverse DCF</x:t>
        </x:is>
      </x:c>
      <x:c r="M671" s="160" t="inlineStr">
        <x:is>
          <x:t xml:space="preserve">WAIT FOR PRICE</x:t>
        </x:is>
      </x:c>
      <x:c r="N671" s="160" t="inlineStr">
        <x:is>
          <x:t xml:space="preserve">R-CF-01</x:t>
        </x:is>
      </x:c>
      <x:c r="O671" s="160" t="inlineStr">
        <x:is>
          <x:t xml:space="preserve">COUNTER-EVIDENCE</x:t>
        </x:is>
      </x:c>
      <x:c r="P671" s="160" t="inlineStr">
        <x:is>
          <x:t xml:space="preserve">ROBUST</x:t>
        </x:is>
      </x:c>
      <x:c r="Q671" s="160" t="inlineStr">
        <x:is>
          <x:t xml:space="preserve">The mature simulation rule catches the stress without weakening a fatal gate; no rule relaxation is justified.</x:t>
        </x:is>
      </x:c>
      <x:c r="R671" s="160" t="inlineStr">
        <x:is>
          <x:t xml:space="preserve">Require a true economic control and counterfactual: what should have happened to a comparable company under the same shock?</x:t>
        </x:is>
      </x:c>
      <x:c r="S671" s="160" t="inlineStr">
        <x:is>
          <x:t xml:space="preserve">NO</x:t>
        </x:is>
      </x:c>
      <x:c r="T671" s="160" t="inlineStr">
        <x:is>
          <x:t xml:space="preserve">COUNTER-EVIDENCE</x:t>
        </x:is>
      </x:c>
      <x:c r="U671" s="160" t="inlineStr">
        <x:is>
          <x:t xml:space="preserve">V10.5-SIM61</x:t>
        </x:is>
      </x:c>
      <x:c r="V671" s="160" t="inlineStr">
        <x:is>
          <x:t xml:space="preserve">https://investors.progressive.com</x:t>
        </x:is>
      </x:c>
      <x:c r="W671" s="160" t="inlineStr">
        <x:is>
          <x:t xml:space="preserve">NO</x:t>
        </x:is>
      </x:c>
      <x:c r="X671" s="160" t="inlineStr">
        <x:is>
          <x:t xml:space="preserve">NONE — DEVELOPMENT ONLY</x:t>
        </x:is>
      </x:c>
      <x:c r="Y671" s="160" t="inlineStr">
        <x:is>
          <x:t xml:space="preserve">Synthetic/adversarial model-development loop. No historical outcome is claimed; no accuracy point is awarded.</x:t>
        </x:is>
      </x:c>
    </x:row>
    <x:row r="672">
      <x:c r="A672" s="160" t="inlineStr">
        <x:is>
          <x:t xml:space="preserve">ML0667</x:t>
        </x:is>
      </x:c>
      <x:c r="B672" s="160" t="inlineStr">
        <x:is>
          <x:t xml:space="preserve">ARG-042</x:t>
        </x:is>
      </x:c>
      <x:c r="C672" s="160" t="inlineStr">
        <x:is>
          <x:t xml:space="preserve">Progressive</x:t>
        </x:is>
      </x:c>
      <x:c r="D672" s="160" t="inlineStr">
        <x:is>
          <x:t xml:space="preserve">PGR</x:t>
        </x:is>
      </x:c>
      <x:c r="E672" s="160" t="inlineStr">
        <x:is>
          <x:t xml:space="preserve">Insurance</x:t>
        </x:is>
      </x:c>
      <x:c r="F672" s="160" t="inlineStr">
        <x:is>
          <x:t xml:space="preserve">Development</x:t>
        </x:is>
      </x:c>
      <x:c r="G672" s="160" t="inlineStr">
        <x:is>
          <x:t xml:space="preserve">S11</x:t>
        </x:is>
      </x:c>
      <x:c r="H672" s="160" t="inlineStr">
        <x:is>
          <x:t xml:space="preserve">False-Negative Discipline</x:t>
        </x:is>
      </x:c>
      <x:c r="I672" s="160" t="inlineStr">
        <x:is>
          <x:t xml:space="preserve">False negative</x:t>
        </x:is>
      </x:c>
      <x:c r="J672" s="160" t="inlineStr">
        <x:is>
          <x:t xml:space="preserve">A strict gate rejects a company that later compounds strongly for reasons the model could have known.</x:t>
        </x:is>
      </x:c>
      <x:c r="K672" s="160" t="inlineStr">
        <x:is>
          <x:t xml:space="preserve">Policies × underwriting margin plus float income</x:t>
        </x:is>
      </x:c>
      <x:c r="L672" s="160" t="inlineStr">
        <x:is>
          <x:t xml:space="preserve">Book/earnings growth + reverse DCF</x:t>
        </x:is>
      </x:c>
      <x:c r="M672" s="160" t="inlineStr">
        <x:is>
          <x:t xml:space="preserve">WAIT FOR PRICE</x:t>
        </x:is>
      </x:c>
      <x:c r="N672" s="160" t="inlineStr">
        <x:is>
          <x:t xml:space="preserve">R-FN-01</x:t>
        </x:is>
      </x:c>
      <x:c r="O672" s="160" t="inlineStr">
        <x:is>
          <x:t xml:space="preserve">COUNTER-EVIDENCE</x:t>
        </x:is>
      </x:c>
      <x:c r="P672" s="160" t="inlineStr">
        <x:is>
          <x:t xml:space="preserve">ROBUST</x:t>
        </x:is>
      </x:c>
      <x:c r="Q672" s="160" t="inlineStr">
        <x:is>
          <x:t xml:space="preserve">The mature simulation rule catches the stress without weakening a fatal gate; no rule relaxation is justified.</x:t>
        </x:is>
      </x:c>
      <x:c r="R672" s="160" t="inlineStr">
        <x:is>
          <x:t xml:space="preserve">Track opportunity cost and classify whether the miss came from evidence timing, wrong threshold or genuinely unknowable upside.</x:t>
        </x:is>
      </x:c>
      <x:c r="S672" s="160" t="inlineStr">
        <x:is>
          <x:t xml:space="preserve">NO</x:t>
        </x:is>
      </x:c>
      <x:c r="T672" s="160" t="inlineStr">
        <x:is>
          <x:t xml:space="preserve">COUNTER-EVIDENCE</x:t>
        </x:is>
      </x:c>
      <x:c r="U672" s="160" t="inlineStr">
        <x:is>
          <x:t xml:space="preserve">V10.5-SIM61</x:t>
        </x:is>
      </x:c>
      <x:c r="V672" s="160" t="inlineStr">
        <x:is>
          <x:t xml:space="preserve">https://investors.progressive.com</x:t>
        </x:is>
      </x:c>
      <x:c r="W672" s="160" t="inlineStr">
        <x:is>
          <x:t xml:space="preserve">NO</x:t>
        </x:is>
      </x:c>
      <x:c r="X672" s="160" t="inlineStr">
        <x:is>
          <x:t xml:space="preserve">NONE — DEVELOPMENT ONLY</x:t>
        </x:is>
      </x:c>
      <x:c r="Y672" s="160" t="inlineStr">
        <x:is>
          <x:t xml:space="preserve">Synthetic/adversarial model-development loop. No historical outcome is claimed; no accuracy point is awarded.</x:t>
        </x:is>
      </x:c>
    </x:row>
    <x:row r="673">
      <x:c r="A673" s="160" t="inlineStr">
        <x:is>
          <x:t xml:space="preserve">ML0668</x:t>
        </x:is>
      </x:c>
      <x:c r="B673" s="160" t="inlineStr">
        <x:is>
          <x:t xml:space="preserve">ARG-042</x:t>
        </x:is>
      </x:c>
      <x:c r="C673" s="160" t="inlineStr">
        <x:is>
          <x:t xml:space="preserve">Progressive</x:t>
        </x:is>
      </x:c>
      <x:c r="D673" s="160" t="inlineStr">
        <x:is>
          <x:t xml:space="preserve">PGR</x:t>
        </x:is>
      </x:c>
      <x:c r="E673" s="160" t="inlineStr">
        <x:is>
          <x:t xml:space="preserve">Insurance</x:t>
        </x:is>
      </x:c>
      <x:c r="F673" s="160" t="inlineStr">
        <x:is>
          <x:t xml:space="preserve">Development</x:t>
        </x:is>
      </x:c>
      <x:c r="G673" s="160" t="inlineStr">
        <x:is>
          <x:t xml:space="preserve">S12</x:t>
        </x:is>
      </x:c>
      <x:c r="H673" s="160" t="inlineStr">
        <x:is>
          <x:t xml:space="preserve">Lead-Time / Early Sensor</x:t>
        </x:is>
      </x:c>
      <x:c r="I673" s="160" t="inlineStr">
        <x:is>
          <x:t xml:space="preserve">Timing / lead-time</x:t>
        </x:is>
      </x:c>
      <x:c r="J673" s="160" t="inlineStr">
        <x:is>
          <x:t xml:space="preserve">ARGUS identifies the change correctly but only after consensus and price have already reacted.</x:t>
        </x:is>
      </x:c>
      <x:c r="K673" s="160" t="inlineStr">
        <x:is>
          <x:t xml:space="preserve">Policies × underwriting margin plus float income</x:t>
        </x:is>
      </x:c>
      <x:c r="L673" s="160" t="inlineStr">
        <x:is>
          <x:t xml:space="preserve">Book/earnings growth + reverse DCF</x:t>
        </x:is>
      </x:c>
      <x:c r="M673" s="160" t="inlineStr">
        <x:is>
          <x:t xml:space="preserve">WAIT FOR PRICE</x:t>
        </x:is>
      </x:c>
      <x:c r="N673" s="160" t="inlineStr">
        <x:is>
          <x:t xml:space="preserve">R-TIME-01</x:t>
        </x:is>
      </x:c>
      <x:c r="O673" s="160" t="inlineStr">
        <x:is>
          <x:t xml:space="preserve">COUNTER-EVIDENCE</x:t>
        </x:is>
      </x:c>
      <x:c r="P673" s="160" t="inlineStr">
        <x:is>
          <x:t xml:space="preserve">ROBUST</x:t>
        </x:is>
      </x:c>
      <x:c r="Q673" s="160" t="inlineStr">
        <x:is>
          <x:t xml:space="preserve">The mature simulation rule catches the stress without weakening a fatal gate; no rule relaxation is justified.</x:t>
        </x:is>
      </x:c>
      <x:c r="R673" s="160" t="inlineStr">
        <x:is>
          <x:t xml:space="preserve">Replace lagging financial metrics with earlier causal operating sensors and record lead time separately from correctness.</x:t>
        </x:is>
      </x:c>
      <x:c r="S673" s="160" t="inlineStr">
        <x:is>
          <x:t xml:space="preserve">NO</x:t>
        </x:is>
      </x:c>
      <x:c r="T673" s="160" t="inlineStr">
        <x:is>
          <x:t xml:space="preserve">COUNTER-EVIDENCE</x:t>
        </x:is>
      </x:c>
      <x:c r="U673" s="160" t="inlineStr">
        <x:is>
          <x:t xml:space="preserve">V10.5-SIM61</x:t>
        </x:is>
      </x:c>
      <x:c r="V673" s="160" t="inlineStr">
        <x:is>
          <x:t xml:space="preserve">https://investors.progressive.com</x:t>
        </x:is>
      </x:c>
      <x:c r="W673" s="160" t="inlineStr">
        <x:is>
          <x:t xml:space="preserve">NO</x:t>
        </x:is>
      </x:c>
      <x:c r="X673" s="160" t="inlineStr">
        <x:is>
          <x:t xml:space="preserve">NONE — DEVELOPMENT ONLY</x:t>
        </x:is>
      </x:c>
      <x:c r="Y673" s="160" t="inlineStr">
        <x:is>
          <x:t xml:space="preserve">Synthetic/adversarial model-development loop. No historical outcome is claimed; no accuracy point is awarded.</x:t>
        </x:is>
      </x:c>
    </x:row>
    <x:row r="674">
      <x:c r="A674" s="160" t="inlineStr">
        <x:is>
          <x:t xml:space="preserve">ML0669</x:t>
        </x:is>
      </x:c>
      <x:c r="B674" s="160" t="inlineStr">
        <x:is>
          <x:t xml:space="preserve">ARG-042</x:t>
        </x:is>
      </x:c>
      <x:c r="C674" s="160" t="inlineStr">
        <x:is>
          <x:t xml:space="preserve">Progressive</x:t>
        </x:is>
      </x:c>
      <x:c r="D674" s="160" t="inlineStr">
        <x:is>
          <x:t xml:space="preserve">PGR</x:t>
        </x:is>
      </x:c>
      <x:c r="E674" s="160" t="inlineStr">
        <x:is>
          <x:t xml:space="preserve">Insurance</x:t>
        </x:is>
      </x:c>
      <x:c r="F674" s="160" t="inlineStr">
        <x:is>
          <x:t xml:space="preserve">Development</x:t>
        </x:is>
      </x:c>
      <x:c r="G674" s="160" t="inlineStr">
        <x:is>
          <x:t xml:space="preserve">S13</x:t>
        </x:is>
      </x:c>
      <x:c r="H674" s="160" t="inlineStr">
        <x:is>
          <x:t xml:space="preserve">Cycle Normalization</x:t>
        </x:is>
      </x:c>
      <x:c r="I674" s="160" t="inlineStr">
        <x:is>
          <x:t xml:space="preserve">Wrong valuation lens</x:t>
        </x:is>
      </x:c>
      <x:c r="J674" s="160" t="inlineStr">
        <x:is>
          <x:t xml:space="preserve">Peak/trough earnings are mistaken for normalized earning power.</x:t>
        </x:is>
      </x:c>
      <x:c r="K674" s="160" t="inlineStr">
        <x:is>
          <x:t xml:space="preserve">Policies × underwriting margin plus float income</x:t>
        </x:is>
      </x:c>
      <x:c r="L674" s="160" t="inlineStr">
        <x:is>
          <x:t xml:space="preserve">Book/earnings growth + reverse DCF</x:t>
        </x:is>
      </x:c>
      <x:c r="M674" s="160" t="inlineStr">
        <x:is>
          <x:t xml:space="preserve">WAIT FOR PRICE</x:t>
        </x:is>
      </x:c>
      <x:c r="N674" s="160" t="inlineStr">
        <x:is>
          <x:t xml:space="preserve">R-CYCLE-01</x:t>
        </x:is>
      </x:c>
      <x:c r="O674" s="160" t="inlineStr">
        <x:is>
          <x:t xml:space="preserve">COUNTER-EVIDENCE</x:t>
        </x:is>
      </x:c>
      <x:c r="P674" s="160" t="inlineStr">
        <x:is>
          <x:t xml:space="preserve">ROBUST</x:t>
        </x:is>
      </x:c>
      <x:c r="Q674" s="160" t="inlineStr">
        <x:is>
          <x:t xml:space="preserve">The mature simulation rule catches the stress without weakening a fatal gate; no rule relaxation is justified.</x:t>
        </x:is>
      </x:c>
      <x:c r="R674" s="160" t="inlineStr">
        <x:is>
          <x:t xml:space="preserve">Use sector-specific mid-cycle/NAV/rate-base/rNPV normalization before applying a valuation multiple.</x:t>
        </x:is>
      </x:c>
      <x:c r="S674" s="160" t="inlineStr">
        <x:is>
          <x:t xml:space="preserve">NO</x:t>
        </x:is>
      </x:c>
      <x:c r="T674" s="160" t="inlineStr">
        <x:is>
          <x:t xml:space="preserve">COUNTER-EVIDENCE</x:t>
        </x:is>
      </x:c>
      <x:c r="U674" s="160" t="inlineStr">
        <x:is>
          <x:t xml:space="preserve">V10.5-SIM61</x:t>
        </x:is>
      </x:c>
      <x:c r="V674" s="160" t="inlineStr">
        <x:is>
          <x:t xml:space="preserve">https://investors.progressive.com</x:t>
        </x:is>
      </x:c>
      <x:c r="W674" s="160" t="inlineStr">
        <x:is>
          <x:t xml:space="preserve">NO</x:t>
        </x:is>
      </x:c>
      <x:c r="X674" s="160" t="inlineStr">
        <x:is>
          <x:t xml:space="preserve">NONE — DEVELOPMENT ONLY</x:t>
        </x:is>
      </x:c>
      <x:c r="Y674" s="160" t="inlineStr">
        <x:is>
          <x:t xml:space="preserve">Synthetic/adversarial model-development loop. No historical outcome is claimed; no accuracy point is awarded.</x:t>
        </x:is>
      </x:c>
    </x:row>
    <x:row r="675">
      <x:c r="A675" s="160" t="inlineStr">
        <x:is>
          <x:t xml:space="preserve">ML0670</x:t>
        </x:is>
      </x:c>
      <x:c r="B675" s="160" t="inlineStr">
        <x:is>
          <x:t xml:space="preserve">ARG-042</x:t>
        </x:is>
      </x:c>
      <x:c r="C675" s="160" t="inlineStr">
        <x:is>
          <x:t xml:space="preserve">Progressive</x:t>
        </x:is>
      </x:c>
      <x:c r="D675" s="160" t="inlineStr">
        <x:is>
          <x:t xml:space="preserve">PGR</x:t>
        </x:is>
      </x:c>
      <x:c r="E675" s="160" t="inlineStr">
        <x:is>
          <x:t xml:space="preserve">Insurance</x:t>
        </x:is>
      </x:c>
      <x:c r="F675" s="160" t="inlineStr">
        <x:is>
          <x:t xml:space="preserve">Development</x:t>
        </x:is>
      </x:c>
      <x:c r="G675" s="160" t="inlineStr">
        <x:is>
          <x:t xml:space="preserve">S14</x:t>
        </x:is>
      </x:c>
      <x:c r="H675" s="160" t="inlineStr">
        <x:is>
          <x:t xml:space="preserve">M&amp;A / Organic Growth Separation</x:t>
        </x:is>
      </x:c>
      <x:c r="I675" s="160" t="inlineStr">
        <x:is>
          <x:t xml:space="preserve">Stewardship</x:t>
        </x:is>
      </x:c>
      <x:c r="J675" s="160" t="inlineStr">
        <x:is>
          <x:t xml:space="preserve">Acquisition-driven growth masks weak organic economics or poor incremental ROIC.</x:t>
        </x:is>
      </x:c>
      <x:c r="K675" s="160" t="inlineStr">
        <x:is>
          <x:t xml:space="preserve">Policies × underwriting margin plus float income</x:t>
        </x:is>
      </x:c>
      <x:c r="L675" s="160" t="inlineStr">
        <x:is>
          <x:t xml:space="preserve">Book/earnings growth + reverse DCF</x:t>
        </x:is>
      </x:c>
      <x:c r="M675" s="160" t="inlineStr">
        <x:is>
          <x:t xml:space="preserve">WAIT FOR PRICE</x:t>
        </x:is>
      </x:c>
      <x:c r="N675" s="160" t="inlineStr">
        <x:is>
          <x:t xml:space="preserve">R-MA-01</x:t>
        </x:is>
      </x:c>
      <x:c r="O675" s="160" t="inlineStr">
        <x:is>
          <x:t xml:space="preserve">COUNTER-EVIDENCE</x:t>
        </x:is>
      </x:c>
      <x:c r="P675" s="160" t="inlineStr">
        <x:is>
          <x:t xml:space="preserve">ROBUST</x:t>
        </x:is>
      </x:c>
      <x:c r="Q675" s="160" t="inlineStr">
        <x:is>
          <x:t xml:space="preserve">The mature simulation rule catches the stress without weakening a fatal gate; no rule relaxation is justified.</x:t>
        </x:is>
      </x:c>
      <x:c r="R675" s="160" t="inlineStr">
        <x:is>
          <x:t xml:space="preserve">Bridge organic growth, acquired growth, purchase price, integration costs and acquisition-cohort ROIC.</x:t>
        </x:is>
      </x:c>
      <x:c r="S675" s="160" t="inlineStr">
        <x:is>
          <x:t xml:space="preserve">NO</x:t>
        </x:is>
      </x:c>
      <x:c r="T675" s="160" t="inlineStr">
        <x:is>
          <x:t xml:space="preserve">COUNTER-EVIDENCE</x:t>
        </x:is>
      </x:c>
      <x:c r="U675" s="160" t="inlineStr">
        <x:is>
          <x:t xml:space="preserve">V10.5-SIM61</x:t>
        </x:is>
      </x:c>
      <x:c r="V675" s="160" t="inlineStr">
        <x:is>
          <x:t xml:space="preserve">https://investors.progressive.com</x:t>
        </x:is>
      </x:c>
      <x:c r="W675" s="160" t="inlineStr">
        <x:is>
          <x:t xml:space="preserve">NO</x:t>
        </x:is>
      </x:c>
      <x:c r="X675" s="160" t="inlineStr">
        <x:is>
          <x:t xml:space="preserve">NONE — DEVELOPMENT ONLY</x:t>
        </x:is>
      </x:c>
      <x:c r="Y675" s="160" t="inlineStr">
        <x:is>
          <x:t xml:space="preserve">Synthetic/adversarial model-development loop. No historical outcome is claimed; no accuracy point is awarded.</x:t>
        </x:is>
      </x:c>
    </x:row>
    <x:row r="676">
      <x:c r="A676" s="160" t="inlineStr">
        <x:is>
          <x:t xml:space="preserve">ML0671</x:t>
        </x:is>
      </x:c>
      <x:c r="B676" s="160" t="inlineStr">
        <x:is>
          <x:t xml:space="preserve">ARG-042</x:t>
        </x:is>
      </x:c>
      <x:c r="C676" s="160" t="inlineStr">
        <x:is>
          <x:t xml:space="preserve">Progressive</x:t>
        </x:is>
      </x:c>
      <x:c r="D676" s="160" t="inlineStr">
        <x:is>
          <x:t xml:space="preserve">PGR</x:t>
        </x:is>
      </x:c>
      <x:c r="E676" s="160" t="inlineStr">
        <x:is>
          <x:t xml:space="preserve">Insurance</x:t>
        </x:is>
      </x:c>
      <x:c r="F676" s="160" t="inlineStr">
        <x:is>
          <x:t xml:space="preserve">Development</x:t>
        </x:is>
      </x:c>
      <x:c r="G676" s="160" t="inlineStr">
        <x:is>
          <x:t xml:space="preserve">S15</x:t>
        </x:is>
      </x:c>
      <x:c r="H676" s="160" t="inlineStr">
        <x:is>
          <x:t xml:space="preserve">Financing / Dilution Per Share</x:t>
        </x:is>
      </x:c>
      <x:c r="I676" s="160" t="inlineStr">
        <x:is>
          <x:t xml:space="preserve">Stewardship</x:t>
        </x:is>
      </x:c>
      <x:c r="J676" s="160" t="inlineStr">
        <x:is>
          <x:t xml:space="preserve">Cash balance or revenue growth improves while financing causes material per-share value leakage.</x:t>
        </x:is>
      </x:c>
      <x:c r="K676" s="160" t="inlineStr">
        <x:is>
          <x:t xml:space="preserve">Policies × underwriting margin plus float income</x:t>
        </x:is>
      </x:c>
      <x:c r="L676" s="160" t="inlineStr">
        <x:is>
          <x:t xml:space="preserve">Book/earnings growth + reverse DCF</x:t>
        </x:is>
      </x:c>
      <x:c r="M676" s="160" t="inlineStr">
        <x:is>
          <x:t xml:space="preserve">WAIT FOR PRICE</x:t>
        </x:is>
      </x:c>
      <x:c r="N676" s="160" t="inlineStr">
        <x:is>
          <x:t xml:space="preserve">R-DIL-01</x:t>
        </x:is>
      </x:c>
      <x:c r="O676" s="160" t="inlineStr">
        <x:is>
          <x:t xml:space="preserve">COUNTER-EVIDENCE</x:t>
        </x:is>
      </x:c>
      <x:c r="P676" s="160" t="inlineStr">
        <x:is>
          <x:t xml:space="preserve">ROBUST</x:t>
        </x:is>
      </x:c>
      <x:c r="Q676" s="160" t="inlineStr">
        <x:is>
          <x:t xml:space="preserve">The mature simulation rule catches the stress without weakening a fatal gate; no rule relaxation is justified.</x:t>
        </x:is>
      </x:c>
      <x:c r="R676" s="160" t="inlineStr">
        <x:is>
          <x:t xml:space="preserve">Reconcile share-count growth, SBC, equity issuance, buybacks and net cash changes to per-share intrinsic value.</x:t>
        </x:is>
      </x:c>
      <x:c r="S676" s="160" t="inlineStr">
        <x:is>
          <x:t xml:space="preserve">NO</x:t>
        </x:is>
      </x:c>
      <x:c r="T676" s="160" t="inlineStr">
        <x:is>
          <x:t xml:space="preserve">COUNTER-EVIDENCE</x:t>
        </x:is>
      </x:c>
      <x:c r="U676" s="160" t="inlineStr">
        <x:is>
          <x:t xml:space="preserve">V10.5-SIM61</x:t>
        </x:is>
      </x:c>
      <x:c r="V676" s="160" t="inlineStr">
        <x:is>
          <x:t xml:space="preserve">https://investors.progressive.com</x:t>
        </x:is>
      </x:c>
      <x:c r="W676" s="160" t="inlineStr">
        <x:is>
          <x:t xml:space="preserve">NO</x:t>
        </x:is>
      </x:c>
      <x:c r="X676" s="160" t="inlineStr">
        <x:is>
          <x:t xml:space="preserve">NONE — DEVELOPMENT ONLY</x:t>
        </x:is>
      </x:c>
      <x:c r="Y676" s="160" t="inlineStr">
        <x:is>
          <x:t xml:space="preserve">Synthetic/adversarial model-development loop. No historical outcome is claimed; no accuracy point is awarded.</x:t>
        </x:is>
      </x:c>
    </x:row>
    <x:row r="677">
      <x:c r="A677" s="160" t="inlineStr">
        <x:is>
          <x:t xml:space="preserve">ML0672</x:t>
        </x:is>
      </x:c>
      <x:c r="B677" s="160" t="inlineStr">
        <x:is>
          <x:t xml:space="preserve">ARG-042</x:t>
        </x:is>
      </x:c>
      <x:c r="C677" s="160" t="inlineStr">
        <x:is>
          <x:t xml:space="preserve">Progressive</x:t>
        </x:is>
      </x:c>
      <x:c r="D677" s="160" t="inlineStr">
        <x:is>
          <x:t xml:space="preserve">PGR</x:t>
        </x:is>
      </x:c>
      <x:c r="E677" s="160" t="inlineStr">
        <x:is>
          <x:t xml:space="preserve">Insurance</x:t>
        </x:is>
      </x:c>
      <x:c r="F677" s="160" t="inlineStr">
        <x:is>
          <x:t xml:space="preserve">Development</x:t>
        </x:is>
      </x:c>
      <x:c r="G677" s="160" t="inlineStr">
        <x:is>
          <x:t xml:space="preserve">S16</x:t>
        </x:is>
      </x:c>
      <x:c r="H677" s="160" t="inlineStr">
        <x:is>
          <x:t xml:space="preserve">Concentration / Tail Risk</x:t>
        </x:is>
      </x:c>
      <x:c r="I677" s="160" t="inlineStr">
        <x:is>
          <x:t xml:space="preserve">Survival</x:t>
        </x:is>
      </x:c>
      <x:c r="J677" s="160" t="inlineStr">
        <x:is>
          <x:t xml:space="preserve">A concentrated supplier, geography, customer, product, patent, regulatory or technology dependency creates asymmetric permanent-loss risk.</x:t>
        </x:is>
      </x:c>
      <x:c r="K677" s="160" t="inlineStr">
        <x:is>
          <x:t xml:space="preserve">Policies × underwriting margin plus float income</x:t>
        </x:is>
      </x:c>
      <x:c r="L677" s="160" t="inlineStr">
        <x:is>
          <x:t xml:space="preserve">Book/earnings growth + reverse DCF</x:t>
        </x:is>
      </x:c>
      <x:c r="M677" s="160" t="inlineStr">
        <x:is>
          <x:t xml:space="preserve">WAIT FOR PRICE</x:t>
        </x:is>
      </x:c>
      <x:c r="N677" s="160" t="inlineStr">
        <x:is>
          <x:t xml:space="preserve">R-TAIL-01</x:t>
        </x:is>
      </x:c>
      <x:c r="O677" s="160" t="inlineStr">
        <x:is>
          <x:t xml:space="preserve">COUNTER-EVIDENCE</x:t>
        </x:is>
      </x:c>
      <x:c r="P677" s="160" t="inlineStr">
        <x:is>
          <x:t xml:space="preserve">ROBUST</x:t>
        </x:is>
      </x:c>
      <x:c r="Q677" s="160" t="inlineStr">
        <x:is>
          <x:t xml:space="preserve">The mature simulation rule catches the stress without weakening a fatal gate; no rule relaxation is justified.</x:t>
        </x:is>
      </x:c>
      <x:c r="R677" s="160" t="inlineStr">
        <x:is>
          <x:t xml:space="preserve">Maintain an explicit concentration/tail-risk register with probability, severity, mitigation and required margin-of-safety premium.</x:t>
        </x:is>
      </x:c>
      <x:c r="S677" s="160" t="inlineStr">
        <x:is>
          <x:t xml:space="preserve">NO</x:t>
        </x:is>
      </x:c>
      <x:c r="T677" s="160" t="inlineStr">
        <x:is>
          <x:t xml:space="preserve">COUNTER-EVIDENCE</x:t>
        </x:is>
      </x:c>
      <x:c r="U677" s="160" t="inlineStr">
        <x:is>
          <x:t xml:space="preserve">V10.5-SIM61</x:t>
        </x:is>
      </x:c>
      <x:c r="V677" s="160" t="inlineStr">
        <x:is>
          <x:t xml:space="preserve">https://investors.progressive.com</x:t>
        </x:is>
      </x:c>
      <x:c r="W677" s="160" t="inlineStr">
        <x:is>
          <x:t xml:space="preserve">NO</x:t>
        </x:is>
      </x:c>
      <x:c r="X677" s="160" t="inlineStr">
        <x:is>
          <x:t xml:space="preserve">NONE — DEVELOPMENT ONLY</x:t>
        </x:is>
      </x:c>
      <x:c r="Y677" s="160" t="inlineStr">
        <x:is>
          <x:t xml:space="preserve">Synthetic/adversarial model-development loop. No historical outcome is claimed; no accuracy point is awarded.</x:t>
        </x:is>
      </x:c>
    </x:row>
    <x:row r="678">
      <x:c r="A678" s="160" t="inlineStr">
        <x:is>
          <x:t xml:space="preserve">ML0673</x:t>
        </x:is>
      </x:c>
      <x:c r="B678" s="160" t="inlineStr">
        <x:is>
          <x:t xml:space="preserve">ARG-043</x:t>
        </x:is>
      </x:c>
      <x:c r="C678" s="160" t="inlineStr">
        <x:is>
          <x:t xml:space="preserve">Microsoft</x:t>
        </x:is>
      </x:c>
      <x:c r="D678" s="160" t="inlineStr">
        <x:is>
          <x:t xml:space="preserve">MSFT</x:t>
        </x:is>
      </x:c>
      <x:c r="E678" s="160" t="inlineStr">
        <x:is>
          <x:t xml:space="preserve">Software &amp; Payments</x:t>
        </x:is>
      </x:c>
      <x:c r="F678" s="160" t="inlineStr">
        <x:is>
          <x:t xml:space="preserve">Development</x:t>
        </x:is>
      </x:c>
      <x:c r="G678" s="160" t="inlineStr">
        <x:is>
          <x:t xml:space="preserve">S01</x:t>
        </x:is>
      </x:c>
      <x:c r="H678" s="160" t="inlineStr">
        <x:is>
          <x:t xml:space="preserve">Understanding Gate</x:t>
        </x:is>
      </x:c>
      <x:c r="I678" s="160" t="inlineStr">
        <x:is>
          <x:t xml:space="preserve">Understanding</x:t>
        </x:is>
      </x:c>
      <x:c r="J678" s="160" t="inlineStr">
        <x:is>
          <x:t xml:space="preserve">Causal engine / customer ROI chain breaks under a misleading headline KPI.</x:t>
        </x:is>
      </x:c>
      <x:c r="K678" s="160" t="inlineStr">
        <x:is>
          <x:t xml:space="preserve">Cloud/subscription ecosystem minus AI capex</x:t>
        </x:is>
      </x:c>
      <x:c r="L678" s="160" t="inlineStr">
        <x:is>
          <x:t xml:space="preserve">Owner earnings + reverse DCF</x:t>
        </x:is>
      </x:c>
      <x:c r="M678" s="160" t="inlineStr">
        <x:is>
          <x:t xml:space="preserve">WATCH</x:t>
        </x:is>
      </x:c>
      <x:c r="N678" s="160" t="inlineStr">
        <x:is>
          <x:t xml:space="preserve">R-ENG-01</x:t>
        </x:is>
      </x:c>
      <x:c r="O678" s="160" t="inlineStr">
        <x:is>
          <x:t xml:space="preserve">COUNTER-EVIDENCE</x:t>
        </x:is>
      </x:c>
      <x:c r="P678" s="160" t="inlineStr">
        <x:is>
          <x:t xml:space="preserve">ROBUST</x:t>
        </x:is>
      </x:c>
      <x:c r="Q678" s="160" t="inlineStr">
        <x:is>
          <x:t xml:space="preserve">The mature simulation rule catches the stress without weakening a fatal gate; no rule relaxation is justified.</x:t>
        </x:is>
      </x:c>
      <x:c r="R678" s="160" t="inlineStr">
        <x:is>
          <x:t xml:space="preserve">Force an explicit engine tree: customer job → unit economics → revenue driver → owner-value bridge.</x:t>
        </x:is>
      </x:c>
      <x:c r="S678" s="160" t="inlineStr">
        <x:is>
          <x:t xml:space="preserve">NO</x:t>
        </x:is>
      </x:c>
      <x:c r="T678" s="160" t="inlineStr">
        <x:is>
          <x:t xml:space="preserve">COUNTER-EVIDENCE</x:t>
        </x:is>
      </x:c>
      <x:c r="U678" s="160" t="inlineStr">
        <x:is>
          <x:t xml:space="preserve">V10.5-SIM61</x:t>
        </x:is>
      </x:c>
      <x:c r="V678" s="160" t="inlineStr">
        <x:is>
          <x:t xml:space="preserve">https://www.microsoft.com/en-us/Investor</x:t>
        </x:is>
      </x:c>
      <x:c r="W678" s="160" t="inlineStr">
        <x:is>
          <x:t xml:space="preserve">NO</x:t>
        </x:is>
      </x:c>
      <x:c r="X678" s="160" t="inlineStr">
        <x:is>
          <x:t xml:space="preserve">NONE — DEVELOPMENT ONLY</x:t>
        </x:is>
      </x:c>
      <x:c r="Y678" s="160" t="inlineStr">
        <x:is>
          <x:t xml:space="preserve">Synthetic/adversarial model-development loop. No historical outcome is claimed; no accuracy point is awarded.</x:t>
        </x:is>
      </x:c>
    </x:row>
    <x:row r="679">
      <x:c r="A679" s="160" t="inlineStr">
        <x:is>
          <x:t xml:space="preserve">ML0674</x:t>
        </x:is>
      </x:c>
      <x:c r="B679" s="160" t="inlineStr">
        <x:is>
          <x:t xml:space="preserve">ARG-043</x:t>
        </x:is>
      </x:c>
      <x:c r="C679" s="160" t="inlineStr">
        <x:is>
          <x:t xml:space="preserve">Microsoft</x:t>
        </x:is>
      </x:c>
      <x:c r="D679" s="160" t="inlineStr">
        <x:is>
          <x:t xml:space="preserve">MSFT</x:t>
        </x:is>
      </x:c>
      <x:c r="E679" s="160" t="inlineStr">
        <x:is>
          <x:t xml:space="preserve">Software &amp; Payments</x:t>
        </x:is>
      </x:c>
      <x:c r="F679" s="160" t="inlineStr">
        <x:is>
          <x:t xml:space="preserve">Development</x:t>
        </x:is>
      </x:c>
      <x:c r="G679" s="160" t="inlineStr">
        <x:is>
          <x:t xml:space="preserve">S02</x:t>
        </x:is>
      </x:c>
      <x:c r="H679" s="160" t="inlineStr">
        <x:is>
          <x:t xml:space="preserve">Owner Earnings Normalization</x:t>
        </x:is>
      </x:c>
      <x:c r="I679" s="160" t="inlineStr">
        <x:is>
          <x:t xml:space="preserve">Owner Earnings</x:t>
        </x:is>
      </x:c>
      <x:c r="J679" s="160" t="inlineStr">
        <x:is>
          <x:t xml:space="preserve">Reported earnings/FCF overstates economic cash because recurring reinvestment or non-cash compensation is misclassified.</x:t>
        </x:is>
      </x:c>
      <x:c r="K679" s="160" t="inlineStr">
        <x:is>
          <x:t xml:space="preserve">Cloud/subscription ecosystem minus AI capex</x:t>
        </x:is>
      </x:c>
      <x:c r="L679" s="160" t="inlineStr">
        <x:is>
          <x:t xml:space="preserve">Owner earnings + reverse DCF</x:t>
        </x:is>
      </x:c>
      <x:c r="M679" s="160" t="inlineStr">
        <x:is>
          <x:t xml:space="preserve">WATCH</x:t>
        </x:is>
      </x:c>
      <x:c r="N679" s="160" t="inlineStr">
        <x:is>
          <x:t xml:space="preserve">R-OE-01</x:t>
        </x:is>
      </x:c>
      <x:c r="O679" s="160" t="inlineStr">
        <x:is>
          <x:t xml:space="preserve">COUNTER-EVIDENCE</x:t>
        </x:is>
      </x:c>
      <x:c r="P679" s="160" t="inlineStr">
        <x:is>
          <x:t xml:space="preserve">ROBUST</x:t>
        </x:is>
      </x:c>
      <x:c r="Q679" s="160" t="inlineStr">
        <x:is>
          <x:t xml:space="preserve">The mature simulation rule catches the stress without weakening a fatal gate; no rule relaxation is justified.</x:t>
        </x:is>
      </x:c>
      <x:c r="R679" s="160" t="inlineStr">
        <x:is>
          <x:t xml:space="preserve">Require a GAAP-to-economic-owner-cash bridge tailored to the business model.</x:t>
        </x:is>
      </x:c>
      <x:c r="S679" s="160" t="inlineStr">
        <x:is>
          <x:t xml:space="preserve">NO</x:t>
        </x:is>
      </x:c>
      <x:c r="T679" s="160" t="inlineStr">
        <x:is>
          <x:t xml:space="preserve">COUNTER-EVIDENCE</x:t>
        </x:is>
      </x:c>
      <x:c r="U679" s="160" t="inlineStr">
        <x:is>
          <x:t xml:space="preserve">V10.5-SIM61</x:t>
        </x:is>
      </x:c>
      <x:c r="V679" s="160" t="inlineStr">
        <x:is>
          <x:t xml:space="preserve">https://www.microsoft.com/en-us/Investor</x:t>
        </x:is>
      </x:c>
      <x:c r="W679" s="160" t="inlineStr">
        <x:is>
          <x:t xml:space="preserve">NO</x:t>
        </x:is>
      </x:c>
      <x:c r="X679" s="160" t="inlineStr">
        <x:is>
          <x:t xml:space="preserve">NONE — DEVELOPMENT ONLY</x:t>
        </x:is>
      </x:c>
      <x:c r="Y679" s="160" t="inlineStr">
        <x:is>
          <x:t xml:space="preserve">Synthetic/adversarial model-development loop. No historical outcome is claimed; no accuracy point is awarded.</x:t>
        </x:is>
      </x:c>
    </x:row>
    <x:row r="680">
      <x:c r="A680" s="160" t="inlineStr">
        <x:is>
          <x:t xml:space="preserve">ML0675</x:t>
        </x:is>
      </x:c>
      <x:c r="B680" s="160" t="inlineStr">
        <x:is>
          <x:t xml:space="preserve">ARG-043</x:t>
        </x:is>
      </x:c>
      <x:c r="C680" s="160" t="inlineStr">
        <x:is>
          <x:t xml:space="preserve">Microsoft</x:t>
        </x:is>
      </x:c>
      <x:c r="D680" s="160" t="inlineStr">
        <x:is>
          <x:t xml:space="preserve">MSFT</x:t>
        </x:is>
      </x:c>
      <x:c r="E680" s="160" t="inlineStr">
        <x:is>
          <x:t xml:space="preserve">Software &amp; Payments</x:t>
        </x:is>
      </x:c>
      <x:c r="F680" s="160" t="inlineStr">
        <x:is>
          <x:t xml:space="preserve">Development</x:t>
        </x:is>
      </x:c>
      <x:c r="G680" s="160" t="inlineStr">
        <x:is>
          <x:t xml:space="preserve">S03</x:t>
        </x:is>
      </x:c>
      <x:c r="H680" s="160" t="inlineStr">
        <x:is>
          <x:t xml:space="preserve">Moat Durability</x:t>
        </x:is>
      </x:c>
      <x:c r="I680" s="160" t="inlineStr">
        <x:is>
          <x:t xml:space="preserve">Moat 2036</x:t>
        </x:is>
      </x:c>
      <x:c r="J680" s="160" t="inlineStr">
        <x:is>
          <x:t xml:space="preserve">Growth continues while switching friction, pricing power or replacement difficulty quietly weakens.</x:t>
        </x:is>
      </x:c>
      <x:c r="K680" s="160" t="inlineStr">
        <x:is>
          <x:t xml:space="preserve">Cloud/subscription ecosystem minus AI capex</x:t>
        </x:is>
      </x:c>
      <x:c r="L680" s="160" t="inlineStr">
        <x:is>
          <x:t xml:space="preserve">Owner earnings + reverse DCF</x:t>
        </x:is>
      </x:c>
      <x:c r="M680" s="160" t="inlineStr">
        <x:is>
          <x:t xml:space="preserve">WATCH</x:t>
        </x:is>
      </x:c>
      <x:c r="N680" s="160" t="inlineStr">
        <x:is>
          <x:t xml:space="preserve">R-MOAT-01</x:t>
        </x:is>
      </x:c>
      <x:c r="O680" s="160" t="inlineStr">
        <x:is>
          <x:t xml:space="preserve">COUNTER-EVIDENCE</x:t>
        </x:is>
      </x:c>
      <x:c r="P680" s="160" t="inlineStr">
        <x:is>
          <x:t xml:space="preserve">ROBUST</x:t>
        </x:is>
      </x:c>
      <x:c r="Q680" s="160" t="inlineStr">
        <x:is>
          <x:t xml:space="preserve">The mature simulation rule catches the stress without weakening a fatal gate; no rule relaxation is justified.</x:t>
        </x:is>
      </x:c>
      <x:c r="R680" s="160" t="inlineStr">
        <x:is>
          <x:t xml:space="preserve">Track moat telemetry separately from growth: retention, pricing, win/loss, replacement friction, installed-base behavior.</x:t>
        </x:is>
      </x:c>
      <x:c r="S680" s="160" t="inlineStr">
        <x:is>
          <x:t xml:space="preserve">NO</x:t>
        </x:is>
      </x:c>
      <x:c r="T680" s="160" t="inlineStr">
        <x:is>
          <x:t xml:space="preserve">COUNTER-EVIDENCE</x:t>
        </x:is>
      </x:c>
      <x:c r="U680" s="160" t="inlineStr">
        <x:is>
          <x:t xml:space="preserve">V10.5-SIM61</x:t>
        </x:is>
      </x:c>
      <x:c r="V680" s="160" t="inlineStr">
        <x:is>
          <x:t xml:space="preserve">https://www.microsoft.com/en-us/Investor</x:t>
        </x:is>
      </x:c>
      <x:c r="W680" s="160" t="inlineStr">
        <x:is>
          <x:t xml:space="preserve">NO</x:t>
        </x:is>
      </x:c>
      <x:c r="X680" s="160" t="inlineStr">
        <x:is>
          <x:t xml:space="preserve">NONE — DEVELOPMENT ONLY</x:t>
        </x:is>
      </x:c>
      <x:c r="Y680" s="160" t="inlineStr">
        <x:is>
          <x:t xml:space="preserve">Synthetic/adversarial model-development loop. No historical outcome is claimed; no accuracy point is awarded.</x:t>
        </x:is>
      </x:c>
    </x:row>
    <x:row r="681">
      <x:c r="A681" s="160" t="inlineStr">
        <x:is>
          <x:t xml:space="preserve">ML0676</x:t>
        </x:is>
      </x:c>
      <x:c r="B681" s="160" t="inlineStr">
        <x:is>
          <x:t xml:space="preserve">ARG-043</x:t>
        </x:is>
      </x:c>
      <x:c r="C681" s="160" t="inlineStr">
        <x:is>
          <x:t xml:space="preserve">Microsoft</x:t>
        </x:is>
      </x:c>
      <x:c r="D681" s="160" t="inlineStr">
        <x:is>
          <x:t xml:space="preserve">MSFT</x:t>
        </x:is>
      </x:c>
      <x:c r="E681" s="160" t="inlineStr">
        <x:is>
          <x:t xml:space="preserve">Software &amp; Payments</x:t>
        </x:is>
      </x:c>
      <x:c r="F681" s="160" t="inlineStr">
        <x:is>
          <x:t xml:space="preserve">Development</x:t>
        </x:is>
      </x:c>
      <x:c r="G681" s="160" t="inlineStr">
        <x:is>
          <x:t xml:space="preserve">S04</x:t>
        </x:is>
      </x:c>
      <x:c r="H681" s="160" t="inlineStr">
        <x:is>
          <x:t xml:space="preserve">Stewardship / Capital Allocation</x:t>
        </x:is>
      </x:c>
      <x:c r="I681" s="160" t="inlineStr">
        <x:is>
          <x:t xml:space="preserve">Stewardship</x:t>
        </x:is>
      </x:c>
      <x:c r="J681" s="160" t="inlineStr">
        <x:is>
          <x:t xml:space="preserve">Management creates enterprise growth while destroying per-share value through M&amp;A, dilution, leverage or mistimed buybacks.</x:t>
        </x:is>
      </x:c>
      <x:c r="K681" s="160" t="inlineStr">
        <x:is>
          <x:t xml:space="preserve">Cloud/subscription ecosystem minus AI capex</x:t>
        </x:is>
      </x:c>
      <x:c r="L681" s="160" t="inlineStr">
        <x:is>
          <x:t xml:space="preserve">Owner earnings + reverse DCF</x:t>
        </x:is>
      </x:c>
      <x:c r="M681" s="160" t="inlineStr">
        <x:is>
          <x:t xml:space="preserve">WATCH</x:t>
        </x:is>
      </x:c>
      <x:c r="N681" s="160" t="inlineStr">
        <x:is>
          <x:t xml:space="preserve">R-STEW-01</x:t>
        </x:is>
      </x:c>
      <x:c r="O681" s="160" t="inlineStr">
        <x:is>
          <x:t xml:space="preserve">COUNTER-EVIDENCE</x:t>
        </x:is>
      </x:c>
      <x:c r="P681" s="160" t="inlineStr">
        <x:is>
          <x:t xml:space="preserve">ROBUST</x:t>
        </x:is>
      </x:c>
      <x:c r="Q681" s="160" t="inlineStr">
        <x:is>
          <x:t xml:space="preserve">The mature simulation rule catches the stress without weakening a fatal gate; no rule relaxation is justified.</x:t>
        </x:is>
      </x:c>
      <x:c r="R681" s="160" t="inlineStr">
        <x:is>
          <x:t xml:space="preserve">Evaluate capital allocation on a per-share basis using acquisition cohorts, dilution, leverage and repurchase price discipline.</x:t>
        </x:is>
      </x:c>
      <x:c r="S681" s="160" t="inlineStr">
        <x:is>
          <x:t xml:space="preserve">NO</x:t>
        </x:is>
      </x:c>
      <x:c r="T681" s="160" t="inlineStr">
        <x:is>
          <x:t xml:space="preserve">COUNTER-EVIDENCE</x:t>
        </x:is>
      </x:c>
      <x:c r="U681" s="160" t="inlineStr">
        <x:is>
          <x:t xml:space="preserve">V10.5-SIM61</x:t>
        </x:is>
      </x:c>
      <x:c r="V681" s="160" t="inlineStr">
        <x:is>
          <x:t xml:space="preserve">https://www.microsoft.com/en-us/Investor</x:t>
        </x:is>
      </x:c>
      <x:c r="W681" s="160" t="inlineStr">
        <x:is>
          <x:t xml:space="preserve">NO</x:t>
        </x:is>
      </x:c>
      <x:c r="X681" s="160" t="inlineStr">
        <x:is>
          <x:t xml:space="preserve">NONE — DEVELOPMENT ONLY</x:t>
        </x:is>
      </x:c>
      <x:c r="Y681" s="160" t="inlineStr">
        <x:is>
          <x:t xml:space="preserve">Synthetic/adversarial model-development loop. No historical outcome is claimed; no accuracy point is awarded.</x:t>
        </x:is>
      </x:c>
    </x:row>
    <x:row r="682">
      <x:c r="A682" s="160" t="inlineStr">
        <x:is>
          <x:t xml:space="preserve">ML0677</x:t>
        </x:is>
      </x:c>
      <x:c r="B682" s="160" t="inlineStr">
        <x:is>
          <x:t xml:space="preserve">ARG-043</x:t>
        </x:is>
      </x:c>
      <x:c r="C682" s="160" t="inlineStr">
        <x:is>
          <x:t xml:space="preserve">Microsoft</x:t>
        </x:is>
      </x:c>
      <x:c r="D682" s="160" t="inlineStr">
        <x:is>
          <x:t xml:space="preserve">MSFT</x:t>
        </x:is>
      </x:c>
      <x:c r="E682" s="160" t="inlineStr">
        <x:is>
          <x:t xml:space="preserve">Software &amp; Payments</x:t>
        </x:is>
      </x:c>
      <x:c r="F682" s="160" t="inlineStr">
        <x:is>
          <x:t xml:space="preserve">Development</x:t>
        </x:is>
      </x:c>
      <x:c r="G682" s="160" t="inlineStr">
        <x:is>
          <x:t xml:space="preserve">S05</x:t>
        </x:is>
      </x:c>
      <x:c r="H682" s="160" t="inlineStr">
        <x:is>
          <x:t xml:space="preserve">Survival / Funding</x:t>
        </x:is>
      </x:c>
      <x:c r="I682" s="160" t="inlineStr">
        <x:is>
          <x:t xml:space="preserve">Survival</x:t>
        </x:is>
      </x:c>
      <x:c r="J682" s="160" t="inlineStr">
        <x:is>
          <x:t xml:space="preserve">A plausible bear case exposes refinancing, liquidity, covenant, reserve, regulatory or operational fragility.</x:t>
        </x:is>
      </x:c>
      <x:c r="K682" s="160" t="inlineStr">
        <x:is>
          <x:t xml:space="preserve">Cloud/subscription ecosystem minus AI capex</x:t>
        </x:is>
      </x:c>
      <x:c r="L682" s="160" t="inlineStr">
        <x:is>
          <x:t xml:space="preserve">Owner earnings + reverse DCF</x:t>
        </x:is>
      </x:c>
      <x:c r="M682" s="160" t="inlineStr">
        <x:is>
          <x:t xml:space="preserve">WATCH</x:t>
        </x:is>
      </x:c>
      <x:c r="N682" s="160" t="inlineStr">
        <x:is>
          <x:t xml:space="preserve">R-SURV-01</x:t>
        </x:is>
      </x:c>
      <x:c r="O682" s="160" t="inlineStr">
        <x:is>
          <x:t xml:space="preserve">COUNTER-EVIDENCE</x:t>
        </x:is>
      </x:c>
      <x:c r="P682" s="160" t="inlineStr">
        <x:is>
          <x:t xml:space="preserve">ROBUST</x:t>
        </x:is>
      </x:c>
      <x:c r="Q682" s="160" t="inlineStr">
        <x:is>
          <x:t xml:space="preserve">The mature simulation rule catches the stress without weakening a fatal gate; no rule relaxation is justified.</x:t>
        </x:is>
      </x:c>
      <x:c r="R682" s="160" t="inlineStr">
        <x:is>
          <x:t xml:space="preserve">Run a company-specific survival bridge under a severe-but-plausible bear case before any upside underwriting.</x:t>
        </x:is>
      </x:c>
      <x:c r="S682" s="160" t="inlineStr">
        <x:is>
          <x:t xml:space="preserve">NO</x:t>
        </x:is>
      </x:c>
      <x:c r="T682" s="160" t="inlineStr">
        <x:is>
          <x:t xml:space="preserve">COUNTER-EVIDENCE</x:t>
        </x:is>
      </x:c>
      <x:c r="U682" s="160" t="inlineStr">
        <x:is>
          <x:t xml:space="preserve">V10.5-SIM61</x:t>
        </x:is>
      </x:c>
      <x:c r="V682" s="160" t="inlineStr">
        <x:is>
          <x:t xml:space="preserve">https://www.microsoft.com/en-us/Investor</x:t>
        </x:is>
      </x:c>
      <x:c r="W682" s="160" t="inlineStr">
        <x:is>
          <x:t xml:space="preserve">NO</x:t>
        </x:is>
      </x:c>
      <x:c r="X682" s="160" t="inlineStr">
        <x:is>
          <x:t xml:space="preserve">NONE — DEVELOPMENT ONLY</x:t>
        </x:is>
      </x:c>
      <x:c r="Y682" s="160" t="inlineStr">
        <x:is>
          <x:t xml:space="preserve">Synthetic/adversarial model-development loop. No historical outcome is claimed; no accuracy point is awarded.</x:t>
        </x:is>
      </x:c>
    </x:row>
    <x:row r="683">
      <x:c r="A683" s="160" t="inlineStr">
        <x:is>
          <x:t xml:space="preserve">ML0678</x:t>
        </x:is>
      </x:c>
      <x:c r="B683" s="160" t="inlineStr">
        <x:is>
          <x:t xml:space="preserve">ARG-043</x:t>
        </x:is>
      </x:c>
      <x:c r="C683" s="160" t="inlineStr">
        <x:is>
          <x:t xml:space="preserve">Microsoft</x:t>
        </x:is>
      </x:c>
      <x:c r="D683" s="160" t="inlineStr">
        <x:is>
          <x:t xml:space="preserve">MSFT</x:t>
        </x:is>
      </x:c>
      <x:c r="E683" s="160" t="inlineStr">
        <x:is>
          <x:t xml:space="preserve">Software &amp; Payments</x:t>
        </x:is>
      </x:c>
      <x:c r="F683" s="160" t="inlineStr">
        <x:is>
          <x:t xml:space="preserve">Development</x:t>
        </x:is>
      </x:c>
      <x:c r="G683" s="160" t="inlineStr">
        <x:is>
          <x:t xml:space="preserve">S06</x:t>
        </x:is>
      </x:c>
      <x:c r="H683" s="160" t="inlineStr">
        <x:is>
          <x:t xml:space="preserve">Margin of Safety</x:t>
        </x:is>
      </x:c>
      <x:c r="I683" s="160" t="inlineStr">
        <x:is>
          <x:t xml:space="preserve">Margin of Safety</x:t>
        </x:is>
      </x:c>
      <x:c r="J683" s="160" t="inlineStr">
        <x:is>
          <x:t xml:space="preserve">Business quality is high but the price embeds a fragile bull case.</x:t>
        </x:is>
      </x:c>
      <x:c r="K683" s="160" t="inlineStr">
        <x:is>
          <x:t xml:space="preserve">Cloud/subscription ecosystem minus AI capex</x:t>
        </x:is>
      </x:c>
      <x:c r="L683" s="160" t="inlineStr">
        <x:is>
          <x:t xml:space="preserve">Owner earnings + reverse DCF</x:t>
        </x:is>
      </x:c>
      <x:c r="M683" s="160" t="inlineStr">
        <x:is>
          <x:t xml:space="preserve">WATCH</x:t>
        </x:is>
      </x:c>
      <x:c r="N683" s="160" t="inlineStr">
        <x:is>
          <x:t xml:space="preserve">R-MOS-01</x:t>
        </x:is>
      </x:c>
      <x:c r="O683" s="160" t="inlineStr">
        <x:is>
          <x:t xml:space="preserve">COUNTER-EVIDENCE</x:t>
        </x:is>
      </x:c>
      <x:c r="P683" s="160" t="inlineStr">
        <x:is>
          <x:t xml:space="preserve">ROBUST</x:t>
        </x:is>
      </x:c>
      <x:c r="Q683" s="160" t="inlineStr">
        <x:is>
          <x:t xml:space="preserve">The mature simulation rule catches the stress without weakening a fatal gate; no rule relaxation is justified.</x:t>
        </x:is>
      </x:c>
      <x:c r="R683" s="160" t="inlineStr">
        <x:is>
          <x:t xml:space="preserve">Separate business-quality score from price decision; require reverse valuation and bear/base/bull IV ranges.</x:t>
        </x:is>
      </x:c>
      <x:c r="S683" s="160" t="inlineStr">
        <x:is>
          <x:t xml:space="preserve">NO</x:t>
        </x:is>
      </x:c>
      <x:c r="T683" s="160" t="inlineStr">
        <x:is>
          <x:t xml:space="preserve">COUNTER-EVIDENCE</x:t>
        </x:is>
      </x:c>
      <x:c r="U683" s="160" t="inlineStr">
        <x:is>
          <x:t xml:space="preserve">V10.5-SIM61</x:t>
        </x:is>
      </x:c>
      <x:c r="V683" s="160" t="inlineStr">
        <x:is>
          <x:t xml:space="preserve">https://www.microsoft.com/en-us/Investor</x:t>
        </x:is>
      </x:c>
      <x:c r="W683" s="160" t="inlineStr">
        <x:is>
          <x:t xml:space="preserve">NO</x:t>
        </x:is>
      </x:c>
      <x:c r="X683" s="160" t="inlineStr">
        <x:is>
          <x:t xml:space="preserve">NONE — DEVELOPMENT ONLY</x:t>
        </x:is>
      </x:c>
      <x:c r="Y683" s="160" t="inlineStr">
        <x:is>
          <x:t xml:space="preserve">Synthetic/adversarial model-development loop. No historical outcome is claimed; no accuracy point is awarded.</x:t>
        </x:is>
      </x:c>
    </x:row>
    <x:row r="684">
      <x:c r="A684" s="160" t="inlineStr">
        <x:is>
          <x:t xml:space="preserve">ML0679</x:t>
        </x:is>
      </x:c>
      <x:c r="B684" s="160" t="inlineStr">
        <x:is>
          <x:t xml:space="preserve">ARG-043</x:t>
        </x:is>
      </x:c>
      <x:c r="C684" s="160" t="inlineStr">
        <x:is>
          <x:t xml:space="preserve">Microsoft</x:t>
        </x:is>
      </x:c>
      <x:c r="D684" s="160" t="inlineStr">
        <x:is>
          <x:t xml:space="preserve">MSFT</x:t>
        </x:is>
      </x:c>
      <x:c r="E684" s="160" t="inlineStr">
        <x:is>
          <x:t xml:space="preserve">Software &amp; Payments</x:t>
        </x:is>
      </x:c>
      <x:c r="F684" s="160" t="inlineStr">
        <x:is>
          <x:t xml:space="preserve">Development</x:t>
        </x:is>
      </x:c>
      <x:c r="G684" s="160" t="inlineStr">
        <x:is>
          <x:t xml:space="preserve">S07</x:t>
        </x:is>
      </x:c>
      <x:c r="H684" s="160" t="inlineStr">
        <x:is>
          <x:t xml:space="preserve">Sector Shock</x:t>
        </x:is>
      </x:c>
      <x:c r="I684" s="160" t="inlineStr">
        <x:is>
          <x:t xml:space="preserve">Sector-specific</x:t>
        </x:is>
      </x:c>
      <x:c r="J684" s="160" t="inlineStr">
        <x:is>
          <x:t xml:space="preserve">Revenue/ARR grows while retention quality, take rate, SBC, AI capex or competitive substitution weakens owner earnings.</x:t>
        </x:is>
      </x:c>
      <x:c r="K684" s="160" t="inlineStr">
        <x:is>
          <x:t xml:space="preserve">Cloud/subscription ecosystem minus AI capex</x:t>
        </x:is>
      </x:c>
      <x:c r="L684" s="160" t="inlineStr">
        <x:is>
          <x:t xml:space="preserve">Owner earnings + reverse DCF</x:t>
        </x:is>
      </x:c>
      <x:c r="M684" s="160" t="inlineStr">
        <x:is>
          <x:t xml:space="preserve">WATCH</x:t>
        </x:is>
      </x:c>
      <x:c r="N684" s="160" t="inlineStr">
        <x:is>
          <x:t xml:space="preserve">R-SECTOR-SOFTWARE-PAYMENTS</x:t>
        </x:is>
      </x:c>
      <x:c r="O684" s="160" t="inlineStr">
        <x:is>
          <x:t xml:space="preserve">BASE</x:t>
        </x:is>
      </x:c>
      <x:c r="P684" s="160" t="inlineStr">
        <x:is>
          <x:t xml:space="preserve">PARTIAL CATCH</x:t>
        </x:is>
      </x:c>
      <x:c r="Q684" s="160" t="inlineStr">
        <x:is>
          <x:t xml:space="preserve">The base refinement catches the main failure, but evidence thresholds and per-share/counterfactual details remain underspecified.</x:t>
        </x:is>
      </x:c>
      <x:c r="R684"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S684" s="160" t="inlineStr">
        <x:is>
          <x:t xml:space="preserve">YES — SIMULATION ONLY</x:t>
        </x:is>
      </x:c>
      <x:c r="T684" s="160" t="inlineStr">
        <x:is>
          <x:t xml:space="preserve">HARDENED</x:t>
        </x:is>
      </x:c>
      <x:c r="U684" s="160" t="inlineStr">
        <x:is>
          <x:t xml:space="preserve">V10.5-SIM62</x:t>
        </x:is>
      </x:c>
      <x:c r="V684" s="160" t="inlineStr">
        <x:is>
          <x:t xml:space="preserve">https://www.microsoft.com/en-us/Investor</x:t>
        </x:is>
      </x:c>
      <x:c r="W684" s="160" t="inlineStr">
        <x:is>
          <x:t xml:space="preserve">NO</x:t>
        </x:is>
      </x:c>
      <x:c r="X684" s="160" t="inlineStr">
        <x:is>
          <x:t xml:space="preserve">NONE — DEVELOPMENT ONLY</x:t>
        </x:is>
      </x:c>
      <x:c r="Y684" s="160" t="inlineStr">
        <x:is>
          <x:t xml:space="preserve">Synthetic/adversarial model-development loop. No historical outcome is claimed; no accuracy point is awarded.</x:t>
        </x:is>
      </x:c>
    </x:row>
    <x:row r="685">
      <x:c r="A685" s="160" t="inlineStr">
        <x:is>
          <x:t xml:space="preserve">ML0680</x:t>
        </x:is>
      </x:c>
      <x:c r="B685" s="160" t="inlineStr">
        <x:is>
          <x:t xml:space="preserve">ARG-043</x:t>
        </x:is>
      </x:c>
      <x:c r="C685" s="160" t="inlineStr">
        <x:is>
          <x:t xml:space="preserve">Microsoft</x:t>
        </x:is>
      </x:c>
      <x:c r="D685" s="160" t="inlineStr">
        <x:is>
          <x:t xml:space="preserve">MSFT</x:t>
        </x:is>
      </x:c>
      <x:c r="E685" s="160" t="inlineStr">
        <x:is>
          <x:t xml:space="preserve">Software &amp; Payments</x:t>
        </x:is>
      </x:c>
      <x:c r="F685" s="160" t="inlineStr">
        <x:is>
          <x:t xml:space="preserve">Development</x:t>
        </x:is>
      </x:c>
      <x:c r="G685" s="160" t="inlineStr">
        <x:is>
          <x:t xml:space="preserve">S08</x:t>
        </x:is>
      </x:c>
      <x:c r="H685" s="160" t="inlineStr">
        <x:is>
          <x:t xml:space="preserve">Management Promise Reliability</x:t>
        </x:is>
      </x:c>
      <x:c r="I685" s="160" t="inlineStr">
        <x:is>
          <x:t xml:space="preserve">Management over-trust</x:t>
        </x:is>
      </x:c>
      <x:c r="J685" s="160" t="inlineStr">
        <x:is>
          <x:t xml:space="preserve">Guidance or strategic promises are repeated but the model lacks a contemporaneous reliability score.</x:t>
        </x:is>
      </x:c>
      <x:c r="K685" s="160" t="inlineStr">
        <x:is>
          <x:t xml:space="preserve">Cloud/subscription ecosystem minus AI capex</x:t>
        </x:is>
      </x:c>
      <x:c r="L685" s="160" t="inlineStr">
        <x:is>
          <x:t xml:space="preserve">Owner earnings + reverse DCF</x:t>
        </x:is>
      </x:c>
      <x:c r="M685" s="160" t="inlineStr">
        <x:is>
          <x:t xml:space="preserve">WATCH</x:t>
        </x:is>
      </x:c>
      <x:c r="N685" s="160" t="inlineStr">
        <x:is>
          <x:t xml:space="preserve">R-PROM-01</x:t>
        </x:is>
      </x:c>
      <x:c r="O685" s="160" t="inlineStr">
        <x:is>
          <x:t xml:space="preserve">COUNTER-EVIDENCE</x:t>
        </x:is>
      </x:c>
      <x:c r="P685" s="160" t="inlineStr">
        <x:is>
          <x:t xml:space="preserve">ROBUST</x:t>
        </x:is>
      </x:c>
      <x:c r="Q685" s="160" t="inlineStr">
        <x:is>
          <x:t xml:space="preserve">The mature simulation rule catches the stress without weakening a fatal gate; no rule relaxation is justified.</x:t>
        </x:is>
      </x:c>
      <x:c r="R685" s="160" t="inlineStr">
        <x:is>
          <x:t xml:space="preserve">Use a promises ledger with dated promise, measurable deliverable, due date, outcome and credibility weight.</x:t>
        </x:is>
      </x:c>
      <x:c r="S685" s="160" t="inlineStr">
        <x:is>
          <x:t xml:space="preserve">NO</x:t>
        </x:is>
      </x:c>
      <x:c r="T685" s="160" t="inlineStr">
        <x:is>
          <x:t xml:space="preserve">COUNTER-EVIDENCE</x:t>
        </x:is>
      </x:c>
      <x:c r="U685" s="160" t="inlineStr">
        <x:is>
          <x:t xml:space="preserve">V10.5-SIM62</x:t>
        </x:is>
      </x:c>
      <x:c r="V685" s="160" t="inlineStr">
        <x:is>
          <x:t xml:space="preserve">https://www.microsoft.com/en-us/Investor</x:t>
        </x:is>
      </x:c>
      <x:c r="W685" s="160" t="inlineStr">
        <x:is>
          <x:t xml:space="preserve">NO</x:t>
        </x:is>
      </x:c>
      <x:c r="X685" s="160" t="inlineStr">
        <x:is>
          <x:t xml:space="preserve">NONE — DEVELOPMENT ONLY</x:t>
        </x:is>
      </x:c>
      <x:c r="Y685" s="160" t="inlineStr">
        <x:is>
          <x:t xml:space="preserve">Synthetic/adversarial model-development loop. No historical outcome is claimed; no accuracy point is awarded.</x:t>
        </x:is>
      </x:c>
    </x:row>
    <x:row r="686">
      <x:c r="A686" s="160" t="inlineStr">
        <x:is>
          <x:t xml:space="preserve">ML0681</x:t>
        </x:is>
      </x:c>
      <x:c r="B686" s="160" t="inlineStr">
        <x:is>
          <x:t xml:space="preserve">ARG-043</x:t>
        </x:is>
      </x:c>
      <x:c r="C686" s="160" t="inlineStr">
        <x:is>
          <x:t xml:space="preserve">Microsoft</x:t>
        </x:is>
      </x:c>
      <x:c r="D686" s="160" t="inlineStr">
        <x:is>
          <x:t xml:space="preserve">MSFT</x:t>
        </x:is>
      </x:c>
      <x:c r="E686" s="160" t="inlineStr">
        <x:is>
          <x:t xml:space="preserve">Software &amp; Payments</x:t>
        </x:is>
      </x:c>
      <x:c r="F686" s="160" t="inlineStr">
        <x:is>
          <x:t xml:space="preserve">Development</x:t>
        </x:is>
      </x:c>
      <x:c r="G686" s="160" t="inlineStr">
        <x:is>
          <x:t xml:space="preserve">S09</x:t>
        </x:is>
      </x:c>
      <x:c r="H686" s="160" t="inlineStr">
        <x:is>
          <x:t xml:space="preserve">Data / Accounting Quality</x:t>
        </x:is>
      </x:c>
      <x:c r="I686" s="160" t="inlineStr">
        <x:is>
          <x:t xml:space="preserve">Data quality</x:t>
        </x:is>
      </x:c>
      <x:c r="J686" s="160" t="inlineStr">
        <x:is>
          <x:t xml:space="preserve">Restatement, segment reclassification, one-time item or non-economic fair-value movement distorts the apparent trend.</x:t>
        </x:is>
      </x:c>
      <x:c r="K686" s="160" t="inlineStr">
        <x:is>
          <x:t xml:space="preserve">Cloud/subscription ecosystem minus AI capex</x:t>
        </x:is>
      </x:c>
      <x:c r="L686" s="160" t="inlineStr">
        <x:is>
          <x:t xml:space="preserve">Owner earnings + reverse DCF</x:t>
        </x:is>
      </x:c>
      <x:c r="M686" s="160" t="inlineStr">
        <x:is>
          <x:t xml:space="preserve">WATCH</x:t>
        </x:is>
      </x:c>
      <x:c r="N686" s="160" t="inlineStr">
        <x:is>
          <x:t xml:space="preserve">R-DATA-01</x:t>
        </x:is>
      </x:c>
      <x:c r="O686" s="160" t="inlineStr">
        <x:is>
          <x:t xml:space="preserve">COUNTER-EVIDENCE</x:t>
        </x:is>
      </x:c>
      <x:c r="P686" s="160" t="inlineStr">
        <x:is>
          <x:t xml:space="preserve">ROBUST</x:t>
        </x:is>
      </x:c>
      <x:c r="Q686" s="160" t="inlineStr">
        <x:is>
          <x:t xml:space="preserve">The mature simulation rule catches the stress without weakening a fatal gate; no rule relaxation is justified.</x:t>
        </x:is>
      </x:c>
      <x:c r="R686" s="160" t="inlineStr">
        <x:is>
          <x:t xml:space="preserve">Add a reporting-quality bridge and normalize accounting noise before any gate can pass.</x:t>
        </x:is>
      </x:c>
      <x:c r="S686" s="160" t="inlineStr">
        <x:is>
          <x:t xml:space="preserve">NO</x:t>
        </x:is>
      </x:c>
      <x:c r="T686" s="160" t="inlineStr">
        <x:is>
          <x:t xml:space="preserve">COUNTER-EVIDENCE</x:t>
        </x:is>
      </x:c>
      <x:c r="U686" s="160" t="inlineStr">
        <x:is>
          <x:t xml:space="preserve">V10.5-SIM62</x:t>
        </x:is>
      </x:c>
      <x:c r="V686" s="160" t="inlineStr">
        <x:is>
          <x:t xml:space="preserve">https://www.microsoft.com/en-us/Investor</x:t>
        </x:is>
      </x:c>
      <x:c r="W686" s="160" t="inlineStr">
        <x:is>
          <x:t xml:space="preserve">NO</x:t>
        </x:is>
      </x:c>
      <x:c r="X686" s="160" t="inlineStr">
        <x:is>
          <x:t xml:space="preserve">NONE — DEVELOPMENT ONLY</x:t>
        </x:is>
      </x:c>
      <x:c r="Y686" s="160" t="inlineStr">
        <x:is>
          <x:t xml:space="preserve">Synthetic/adversarial model-development loop. No historical outcome is claimed; no accuracy point is awarded.</x:t>
        </x:is>
      </x:c>
    </x:row>
    <x:row r="687">
      <x:c r="A687" s="160" t="inlineStr">
        <x:is>
          <x:t xml:space="preserve">ML0682</x:t>
        </x:is>
      </x:c>
      <x:c r="B687" s="160" t="inlineStr">
        <x:is>
          <x:t xml:space="preserve">ARG-043</x:t>
        </x:is>
      </x:c>
      <x:c r="C687" s="160" t="inlineStr">
        <x:is>
          <x:t xml:space="preserve">Microsoft</x:t>
        </x:is>
      </x:c>
      <x:c r="D687" s="160" t="inlineStr">
        <x:is>
          <x:t xml:space="preserve">MSFT</x:t>
        </x:is>
      </x:c>
      <x:c r="E687" s="160" t="inlineStr">
        <x:is>
          <x:t xml:space="preserve">Software &amp; Payments</x:t>
        </x:is>
      </x:c>
      <x:c r="F687" s="160" t="inlineStr">
        <x:is>
          <x:t xml:space="preserve">Development</x:t>
        </x:is>
      </x:c>
      <x:c r="G687" s="160" t="inlineStr">
        <x:is>
          <x:t xml:space="preserve">S10</x:t>
        </x:is>
      </x:c>
      <x:c r="H687" s="160" t="inlineStr">
        <x:is>
          <x:t xml:space="preserve">Control / Counterfactual</x:t>
        </x:is>
      </x:c>
      <x:c r="I687" s="160" t="inlineStr">
        <x:is>
          <x:t xml:space="preserve">Sector beta vs company alpha</x:t>
        </x:is>
      </x:c>
      <x:c r="J687" s="160" t="inlineStr">
        <x:is>
          <x:t xml:space="preserve">A positive outcome is mostly sector beta or macro tailwind, not company-specific alpha.</x:t>
        </x:is>
      </x:c>
      <x:c r="K687" s="160" t="inlineStr">
        <x:is>
          <x:t xml:space="preserve">Cloud/subscription ecosystem minus AI capex</x:t>
        </x:is>
      </x:c>
      <x:c r="L687" s="160" t="inlineStr">
        <x:is>
          <x:t xml:space="preserve">Owner earnings + reverse DCF</x:t>
        </x:is>
      </x:c>
      <x:c r="M687" s="160" t="inlineStr">
        <x:is>
          <x:t xml:space="preserve">WATCH</x:t>
        </x:is>
      </x:c>
      <x:c r="N687" s="160" t="inlineStr">
        <x:is>
          <x:t xml:space="preserve">R-CF-01</x:t>
        </x:is>
      </x:c>
      <x:c r="O687" s="160" t="inlineStr">
        <x:is>
          <x:t xml:space="preserve">COUNTER-EVIDENCE</x:t>
        </x:is>
      </x:c>
      <x:c r="P687" s="160" t="inlineStr">
        <x:is>
          <x:t xml:space="preserve">ROBUST</x:t>
        </x:is>
      </x:c>
      <x:c r="Q687" s="160" t="inlineStr">
        <x:is>
          <x:t xml:space="preserve">The mature simulation rule catches the stress without weakening a fatal gate; no rule relaxation is justified.</x:t>
        </x:is>
      </x:c>
      <x:c r="R687" s="160" t="inlineStr">
        <x:is>
          <x:t xml:space="preserve">Require a true economic control and counterfactual: what should have happened to a comparable company under the same shock?</x:t>
        </x:is>
      </x:c>
      <x:c r="S687" s="160" t="inlineStr">
        <x:is>
          <x:t xml:space="preserve">NO</x:t>
        </x:is>
      </x:c>
      <x:c r="T687" s="160" t="inlineStr">
        <x:is>
          <x:t xml:space="preserve">COUNTER-EVIDENCE</x:t>
        </x:is>
      </x:c>
      <x:c r="U687" s="160" t="inlineStr">
        <x:is>
          <x:t xml:space="preserve">V10.5-SIM62</x:t>
        </x:is>
      </x:c>
      <x:c r="V687" s="160" t="inlineStr">
        <x:is>
          <x:t xml:space="preserve">https://www.microsoft.com/en-us/Investor</x:t>
        </x:is>
      </x:c>
      <x:c r="W687" s="160" t="inlineStr">
        <x:is>
          <x:t xml:space="preserve">NO</x:t>
        </x:is>
      </x:c>
      <x:c r="X687" s="160" t="inlineStr">
        <x:is>
          <x:t xml:space="preserve">NONE — DEVELOPMENT ONLY</x:t>
        </x:is>
      </x:c>
      <x:c r="Y687" s="160" t="inlineStr">
        <x:is>
          <x:t xml:space="preserve">Synthetic/adversarial model-development loop. No historical outcome is claimed; no accuracy point is awarded.</x:t>
        </x:is>
      </x:c>
    </x:row>
    <x:row r="688">
      <x:c r="A688" s="160" t="inlineStr">
        <x:is>
          <x:t xml:space="preserve">ML0683</x:t>
        </x:is>
      </x:c>
      <x:c r="B688" s="160" t="inlineStr">
        <x:is>
          <x:t xml:space="preserve">ARG-043</x:t>
        </x:is>
      </x:c>
      <x:c r="C688" s="160" t="inlineStr">
        <x:is>
          <x:t xml:space="preserve">Microsoft</x:t>
        </x:is>
      </x:c>
      <x:c r="D688" s="160" t="inlineStr">
        <x:is>
          <x:t xml:space="preserve">MSFT</x:t>
        </x:is>
      </x:c>
      <x:c r="E688" s="160" t="inlineStr">
        <x:is>
          <x:t xml:space="preserve">Software &amp; Payments</x:t>
        </x:is>
      </x:c>
      <x:c r="F688" s="160" t="inlineStr">
        <x:is>
          <x:t xml:space="preserve">Development</x:t>
        </x:is>
      </x:c>
      <x:c r="G688" s="160" t="inlineStr">
        <x:is>
          <x:t xml:space="preserve">S11</x:t>
        </x:is>
      </x:c>
      <x:c r="H688" s="160" t="inlineStr">
        <x:is>
          <x:t xml:space="preserve">False-Negative Discipline</x:t>
        </x:is>
      </x:c>
      <x:c r="I688" s="160" t="inlineStr">
        <x:is>
          <x:t xml:space="preserve">False negative</x:t>
        </x:is>
      </x:c>
      <x:c r="J688" s="160" t="inlineStr">
        <x:is>
          <x:t xml:space="preserve">A strict gate rejects a company that later compounds strongly for reasons the model could have known.</x:t>
        </x:is>
      </x:c>
      <x:c r="K688" s="160" t="inlineStr">
        <x:is>
          <x:t xml:space="preserve">Cloud/subscription ecosystem minus AI capex</x:t>
        </x:is>
      </x:c>
      <x:c r="L688" s="160" t="inlineStr">
        <x:is>
          <x:t xml:space="preserve">Owner earnings + reverse DCF</x:t>
        </x:is>
      </x:c>
      <x:c r="M688" s="160" t="inlineStr">
        <x:is>
          <x:t xml:space="preserve">WATCH</x:t>
        </x:is>
      </x:c>
      <x:c r="N688" s="160" t="inlineStr">
        <x:is>
          <x:t xml:space="preserve">R-FN-01</x:t>
        </x:is>
      </x:c>
      <x:c r="O688" s="160" t="inlineStr">
        <x:is>
          <x:t xml:space="preserve">COUNTER-EVIDENCE</x:t>
        </x:is>
      </x:c>
      <x:c r="P688" s="160" t="inlineStr">
        <x:is>
          <x:t xml:space="preserve">ROBUST</x:t>
        </x:is>
      </x:c>
      <x:c r="Q688" s="160" t="inlineStr">
        <x:is>
          <x:t xml:space="preserve">The mature simulation rule catches the stress without weakening a fatal gate; no rule relaxation is justified.</x:t>
        </x:is>
      </x:c>
      <x:c r="R688" s="160" t="inlineStr">
        <x:is>
          <x:t xml:space="preserve">Track opportunity cost and classify whether the miss came from evidence timing, wrong threshold or genuinely unknowable upside.</x:t>
        </x:is>
      </x:c>
      <x:c r="S688" s="160" t="inlineStr">
        <x:is>
          <x:t xml:space="preserve">NO</x:t>
        </x:is>
      </x:c>
      <x:c r="T688" s="160" t="inlineStr">
        <x:is>
          <x:t xml:space="preserve">COUNTER-EVIDENCE</x:t>
        </x:is>
      </x:c>
      <x:c r="U688" s="160" t="inlineStr">
        <x:is>
          <x:t xml:space="preserve">V10.5-SIM62</x:t>
        </x:is>
      </x:c>
      <x:c r="V688" s="160" t="inlineStr">
        <x:is>
          <x:t xml:space="preserve">https://www.microsoft.com/en-us/Investor</x:t>
        </x:is>
      </x:c>
      <x:c r="W688" s="160" t="inlineStr">
        <x:is>
          <x:t xml:space="preserve">NO</x:t>
        </x:is>
      </x:c>
      <x:c r="X688" s="160" t="inlineStr">
        <x:is>
          <x:t xml:space="preserve">NONE — DEVELOPMENT ONLY</x:t>
        </x:is>
      </x:c>
      <x:c r="Y688" s="160" t="inlineStr">
        <x:is>
          <x:t xml:space="preserve">Synthetic/adversarial model-development loop. No historical outcome is claimed; no accuracy point is awarded.</x:t>
        </x:is>
      </x:c>
    </x:row>
    <x:row r="689">
      <x:c r="A689" s="160" t="inlineStr">
        <x:is>
          <x:t xml:space="preserve">ML0684</x:t>
        </x:is>
      </x:c>
      <x:c r="B689" s="160" t="inlineStr">
        <x:is>
          <x:t xml:space="preserve">ARG-043</x:t>
        </x:is>
      </x:c>
      <x:c r="C689" s="160" t="inlineStr">
        <x:is>
          <x:t xml:space="preserve">Microsoft</x:t>
        </x:is>
      </x:c>
      <x:c r="D689" s="160" t="inlineStr">
        <x:is>
          <x:t xml:space="preserve">MSFT</x:t>
        </x:is>
      </x:c>
      <x:c r="E689" s="160" t="inlineStr">
        <x:is>
          <x:t xml:space="preserve">Software &amp; Payments</x:t>
        </x:is>
      </x:c>
      <x:c r="F689" s="160" t="inlineStr">
        <x:is>
          <x:t xml:space="preserve">Development</x:t>
        </x:is>
      </x:c>
      <x:c r="G689" s="160" t="inlineStr">
        <x:is>
          <x:t xml:space="preserve">S12</x:t>
        </x:is>
      </x:c>
      <x:c r="H689" s="160" t="inlineStr">
        <x:is>
          <x:t xml:space="preserve">Lead-Time / Early Sensor</x:t>
        </x:is>
      </x:c>
      <x:c r="I689" s="160" t="inlineStr">
        <x:is>
          <x:t xml:space="preserve">Timing / lead-time</x:t>
        </x:is>
      </x:c>
      <x:c r="J689" s="160" t="inlineStr">
        <x:is>
          <x:t xml:space="preserve">ARGUS identifies the change correctly but only after consensus and price have already reacted.</x:t>
        </x:is>
      </x:c>
      <x:c r="K689" s="160" t="inlineStr">
        <x:is>
          <x:t xml:space="preserve">Cloud/subscription ecosystem minus AI capex</x:t>
        </x:is>
      </x:c>
      <x:c r="L689" s="160" t="inlineStr">
        <x:is>
          <x:t xml:space="preserve">Owner earnings + reverse DCF</x:t>
        </x:is>
      </x:c>
      <x:c r="M689" s="160" t="inlineStr">
        <x:is>
          <x:t xml:space="preserve">WATCH</x:t>
        </x:is>
      </x:c>
      <x:c r="N689" s="160" t="inlineStr">
        <x:is>
          <x:t xml:space="preserve">R-TIME-01</x:t>
        </x:is>
      </x:c>
      <x:c r="O689" s="160" t="inlineStr">
        <x:is>
          <x:t xml:space="preserve">COUNTER-EVIDENCE</x:t>
        </x:is>
      </x:c>
      <x:c r="P689" s="160" t="inlineStr">
        <x:is>
          <x:t xml:space="preserve">ROBUST</x:t>
        </x:is>
      </x:c>
      <x:c r="Q689" s="160" t="inlineStr">
        <x:is>
          <x:t xml:space="preserve">The mature simulation rule catches the stress without weakening a fatal gate; no rule relaxation is justified.</x:t>
        </x:is>
      </x:c>
      <x:c r="R689" s="160" t="inlineStr">
        <x:is>
          <x:t xml:space="preserve">Replace lagging financial metrics with earlier causal operating sensors and record lead time separately from correctness.</x:t>
        </x:is>
      </x:c>
      <x:c r="S689" s="160" t="inlineStr">
        <x:is>
          <x:t xml:space="preserve">NO</x:t>
        </x:is>
      </x:c>
      <x:c r="T689" s="160" t="inlineStr">
        <x:is>
          <x:t xml:space="preserve">COUNTER-EVIDENCE</x:t>
        </x:is>
      </x:c>
      <x:c r="U689" s="160" t="inlineStr">
        <x:is>
          <x:t xml:space="preserve">V10.5-SIM62</x:t>
        </x:is>
      </x:c>
      <x:c r="V689" s="160" t="inlineStr">
        <x:is>
          <x:t xml:space="preserve">https://www.microsoft.com/en-us/Investor</x:t>
        </x:is>
      </x:c>
      <x:c r="W689" s="160" t="inlineStr">
        <x:is>
          <x:t xml:space="preserve">NO</x:t>
        </x:is>
      </x:c>
      <x:c r="X689" s="160" t="inlineStr">
        <x:is>
          <x:t xml:space="preserve">NONE — DEVELOPMENT ONLY</x:t>
        </x:is>
      </x:c>
      <x:c r="Y689" s="160" t="inlineStr">
        <x:is>
          <x:t xml:space="preserve">Synthetic/adversarial model-development loop. No historical outcome is claimed; no accuracy point is awarded.</x:t>
        </x:is>
      </x:c>
    </x:row>
    <x:row r="690">
      <x:c r="A690" s="160" t="inlineStr">
        <x:is>
          <x:t xml:space="preserve">ML0685</x:t>
        </x:is>
      </x:c>
      <x:c r="B690" s="160" t="inlineStr">
        <x:is>
          <x:t xml:space="preserve">ARG-043</x:t>
        </x:is>
      </x:c>
      <x:c r="C690" s="160" t="inlineStr">
        <x:is>
          <x:t xml:space="preserve">Microsoft</x:t>
        </x:is>
      </x:c>
      <x:c r="D690" s="160" t="inlineStr">
        <x:is>
          <x:t xml:space="preserve">MSFT</x:t>
        </x:is>
      </x:c>
      <x:c r="E690" s="160" t="inlineStr">
        <x:is>
          <x:t xml:space="preserve">Software &amp; Payments</x:t>
        </x:is>
      </x:c>
      <x:c r="F690" s="160" t="inlineStr">
        <x:is>
          <x:t xml:space="preserve">Development</x:t>
        </x:is>
      </x:c>
      <x:c r="G690" s="160" t="inlineStr">
        <x:is>
          <x:t xml:space="preserve">S13</x:t>
        </x:is>
      </x:c>
      <x:c r="H690" s="160" t="inlineStr">
        <x:is>
          <x:t xml:space="preserve">Cycle Normalization</x:t>
        </x:is>
      </x:c>
      <x:c r="I690" s="160" t="inlineStr">
        <x:is>
          <x:t xml:space="preserve">Wrong valuation lens</x:t>
        </x:is>
      </x:c>
      <x:c r="J690" s="160" t="inlineStr">
        <x:is>
          <x:t xml:space="preserve">Peak/trough earnings are mistaken for normalized earning power.</x:t>
        </x:is>
      </x:c>
      <x:c r="K690" s="160" t="inlineStr">
        <x:is>
          <x:t xml:space="preserve">Cloud/subscription ecosystem minus AI capex</x:t>
        </x:is>
      </x:c>
      <x:c r="L690" s="160" t="inlineStr">
        <x:is>
          <x:t xml:space="preserve">Owner earnings + reverse DCF</x:t>
        </x:is>
      </x:c>
      <x:c r="M690" s="160" t="inlineStr">
        <x:is>
          <x:t xml:space="preserve">WATCH</x:t>
        </x:is>
      </x:c>
      <x:c r="N690" s="160" t="inlineStr">
        <x:is>
          <x:t xml:space="preserve">R-CYCLE-01</x:t>
        </x:is>
      </x:c>
      <x:c r="O690" s="160" t="inlineStr">
        <x:is>
          <x:t xml:space="preserve">COUNTER-EVIDENCE</x:t>
        </x:is>
      </x:c>
      <x:c r="P690" s="160" t="inlineStr">
        <x:is>
          <x:t xml:space="preserve">ROBUST</x:t>
        </x:is>
      </x:c>
      <x:c r="Q690" s="160" t="inlineStr">
        <x:is>
          <x:t xml:space="preserve">The mature simulation rule catches the stress without weakening a fatal gate; no rule relaxation is justified.</x:t>
        </x:is>
      </x:c>
      <x:c r="R690" s="160" t="inlineStr">
        <x:is>
          <x:t xml:space="preserve">Use sector-specific mid-cycle/NAV/rate-base/rNPV normalization before applying a valuation multiple.</x:t>
        </x:is>
      </x:c>
      <x:c r="S690" s="160" t="inlineStr">
        <x:is>
          <x:t xml:space="preserve">NO</x:t>
        </x:is>
      </x:c>
      <x:c r="T690" s="160" t="inlineStr">
        <x:is>
          <x:t xml:space="preserve">COUNTER-EVIDENCE</x:t>
        </x:is>
      </x:c>
      <x:c r="U690" s="160" t="inlineStr">
        <x:is>
          <x:t xml:space="preserve">V10.5-SIM62</x:t>
        </x:is>
      </x:c>
      <x:c r="V690" s="160" t="inlineStr">
        <x:is>
          <x:t xml:space="preserve">https://www.microsoft.com/en-us/Investor</x:t>
        </x:is>
      </x:c>
      <x:c r="W690" s="160" t="inlineStr">
        <x:is>
          <x:t xml:space="preserve">NO</x:t>
        </x:is>
      </x:c>
      <x:c r="X690" s="160" t="inlineStr">
        <x:is>
          <x:t xml:space="preserve">NONE — DEVELOPMENT ONLY</x:t>
        </x:is>
      </x:c>
      <x:c r="Y690" s="160" t="inlineStr">
        <x:is>
          <x:t xml:space="preserve">Synthetic/adversarial model-development loop. No historical outcome is claimed; no accuracy point is awarded.</x:t>
        </x:is>
      </x:c>
    </x:row>
    <x:row r="691">
      <x:c r="A691" s="160" t="inlineStr">
        <x:is>
          <x:t xml:space="preserve">ML0686</x:t>
        </x:is>
      </x:c>
      <x:c r="B691" s="160" t="inlineStr">
        <x:is>
          <x:t xml:space="preserve">ARG-043</x:t>
        </x:is>
      </x:c>
      <x:c r="C691" s="160" t="inlineStr">
        <x:is>
          <x:t xml:space="preserve">Microsoft</x:t>
        </x:is>
      </x:c>
      <x:c r="D691" s="160" t="inlineStr">
        <x:is>
          <x:t xml:space="preserve">MSFT</x:t>
        </x:is>
      </x:c>
      <x:c r="E691" s="160" t="inlineStr">
        <x:is>
          <x:t xml:space="preserve">Software &amp; Payments</x:t>
        </x:is>
      </x:c>
      <x:c r="F691" s="160" t="inlineStr">
        <x:is>
          <x:t xml:space="preserve">Development</x:t>
        </x:is>
      </x:c>
      <x:c r="G691" s="160" t="inlineStr">
        <x:is>
          <x:t xml:space="preserve">S14</x:t>
        </x:is>
      </x:c>
      <x:c r="H691" s="160" t="inlineStr">
        <x:is>
          <x:t xml:space="preserve">M&amp;A / Organic Growth Separation</x:t>
        </x:is>
      </x:c>
      <x:c r="I691" s="160" t="inlineStr">
        <x:is>
          <x:t xml:space="preserve">Stewardship</x:t>
        </x:is>
      </x:c>
      <x:c r="J691" s="160" t="inlineStr">
        <x:is>
          <x:t xml:space="preserve">Acquisition-driven growth masks weak organic economics or poor incremental ROIC.</x:t>
        </x:is>
      </x:c>
      <x:c r="K691" s="160" t="inlineStr">
        <x:is>
          <x:t xml:space="preserve">Cloud/subscription ecosystem minus AI capex</x:t>
        </x:is>
      </x:c>
      <x:c r="L691" s="160" t="inlineStr">
        <x:is>
          <x:t xml:space="preserve">Owner earnings + reverse DCF</x:t>
        </x:is>
      </x:c>
      <x:c r="M691" s="160" t="inlineStr">
        <x:is>
          <x:t xml:space="preserve">WATCH</x:t>
        </x:is>
      </x:c>
      <x:c r="N691" s="160" t="inlineStr">
        <x:is>
          <x:t xml:space="preserve">R-MA-01</x:t>
        </x:is>
      </x:c>
      <x:c r="O691" s="160" t="inlineStr">
        <x:is>
          <x:t xml:space="preserve">COUNTER-EVIDENCE</x:t>
        </x:is>
      </x:c>
      <x:c r="P691" s="160" t="inlineStr">
        <x:is>
          <x:t xml:space="preserve">ROBUST</x:t>
        </x:is>
      </x:c>
      <x:c r="Q691" s="160" t="inlineStr">
        <x:is>
          <x:t xml:space="preserve">The mature simulation rule catches the stress without weakening a fatal gate; no rule relaxation is justified.</x:t>
        </x:is>
      </x:c>
      <x:c r="R691" s="160" t="inlineStr">
        <x:is>
          <x:t xml:space="preserve">Bridge organic growth, acquired growth, purchase price, integration costs and acquisition-cohort ROIC.</x:t>
        </x:is>
      </x:c>
      <x:c r="S691" s="160" t="inlineStr">
        <x:is>
          <x:t xml:space="preserve">NO</x:t>
        </x:is>
      </x:c>
      <x:c r="T691" s="160" t="inlineStr">
        <x:is>
          <x:t xml:space="preserve">COUNTER-EVIDENCE</x:t>
        </x:is>
      </x:c>
      <x:c r="U691" s="160" t="inlineStr">
        <x:is>
          <x:t xml:space="preserve">V10.5-SIM62</x:t>
        </x:is>
      </x:c>
      <x:c r="V691" s="160" t="inlineStr">
        <x:is>
          <x:t xml:space="preserve">https://www.microsoft.com/en-us/Investor</x:t>
        </x:is>
      </x:c>
      <x:c r="W691" s="160" t="inlineStr">
        <x:is>
          <x:t xml:space="preserve">NO</x:t>
        </x:is>
      </x:c>
      <x:c r="X691" s="160" t="inlineStr">
        <x:is>
          <x:t xml:space="preserve">NONE — DEVELOPMENT ONLY</x:t>
        </x:is>
      </x:c>
      <x:c r="Y691" s="160" t="inlineStr">
        <x:is>
          <x:t xml:space="preserve">Synthetic/adversarial model-development loop. No historical outcome is claimed; no accuracy point is awarded.</x:t>
        </x:is>
      </x:c>
    </x:row>
    <x:row r="692">
      <x:c r="A692" s="160" t="inlineStr">
        <x:is>
          <x:t xml:space="preserve">ML0687</x:t>
        </x:is>
      </x:c>
      <x:c r="B692" s="160" t="inlineStr">
        <x:is>
          <x:t xml:space="preserve">ARG-043</x:t>
        </x:is>
      </x:c>
      <x:c r="C692" s="160" t="inlineStr">
        <x:is>
          <x:t xml:space="preserve">Microsoft</x:t>
        </x:is>
      </x:c>
      <x:c r="D692" s="160" t="inlineStr">
        <x:is>
          <x:t xml:space="preserve">MSFT</x:t>
        </x:is>
      </x:c>
      <x:c r="E692" s="160" t="inlineStr">
        <x:is>
          <x:t xml:space="preserve">Software &amp; Payments</x:t>
        </x:is>
      </x:c>
      <x:c r="F692" s="160" t="inlineStr">
        <x:is>
          <x:t xml:space="preserve">Development</x:t>
        </x:is>
      </x:c>
      <x:c r="G692" s="160" t="inlineStr">
        <x:is>
          <x:t xml:space="preserve">S15</x:t>
        </x:is>
      </x:c>
      <x:c r="H692" s="160" t="inlineStr">
        <x:is>
          <x:t xml:space="preserve">Financing / Dilution Per Share</x:t>
        </x:is>
      </x:c>
      <x:c r="I692" s="160" t="inlineStr">
        <x:is>
          <x:t xml:space="preserve">Stewardship</x:t>
        </x:is>
      </x:c>
      <x:c r="J692" s="160" t="inlineStr">
        <x:is>
          <x:t xml:space="preserve">Cash balance or revenue growth improves while financing causes material per-share value leakage.</x:t>
        </x:is>
      </x:c>
      <x:c r="K692" s="160" t="inlineStr">
        <x:is>
          <x:t xml:space="preserve">Cloud/subscription ecosystem minus AI capex</x:t>
        </x:is>
      </x:c>
      <x:c r="L692" s="160" t="inlineStr">
        <x:is>
          <x:t xml:space="preserve">Owner earnings + reverse DCF</x:t>
        </x:is>
      </x:c>
      <x:c r="M692" s="160" t="inlineStr">
        <x:is>
          <x:t xml:space="preserve">WATCH</x:t>
        </x:is>
      </x:c>
      <x:c r="N692" s="160" t="inlineStr">
        <x:is>
          <x:t xml:space="preserve">R-DIL-01</x:t>
        </x:is>
      </x:c>
      <x:c r="O692" s="160" t="inlineStr">
        <x:is>
          <x:t xml:space="preserve">COUNTER-EVIDENCE</x:t>
        </x:is>
      </x:c>
      <x:c r="P692" s="160" t="inlineStr">
        <x:is>
          <x:t xml:space="preserve">ROBUST</x:t>
        </x:is>
      </x:c>
      <x:c r="Q692" s="160" t="inlineStr">
        <x:is>
          <x:t xml:space="preserve">The mature simulation rule catches the stress without weakening a fatal gate; no rule relaxation is justified.</x:t>
        </x:is>
      </x:c>
      <x:c r="R692" s="160" t="inlineStr">
        <x:is>
          <x:t xml:space="preserve">Reconcile share-count growth, SBC, equity issuance, buybacks and net cash changes to per-share intrinsic value.</x:t>
        </x:is>
      </x:c>
      <x:c r="S692" s="160" t="inlineStr">
        <x:is>
          <x:t xml:space="preserve">NO</x:t>
        </x:is>
      </x:c>
      <x:c r="T692" s="160" t="inlineStr">
        <x:is>
          <x:t xml:space="preserve">COUNTER-EVIDENCE</x:t>
        </x:is>
      </x:c>
      <x:c r="U692" s="160" t="inlineStr">
        <x:is>
          <x:t xml:space="preserve">V10.5-SIM62</x:t>
        </x:is>
      </x:c>
      <x:c r="V692" s="160" t="inlineStr">
        <x:is>
          <x:t xml:space="preserve">https://www.microsoft.com/en-us/Investor</x:t>
        </x:is>
      </x:c>
      <x:c r="W692" s="160" t="inlineStr">
        <x:is>
          <x:t xml:space="preserve">NO</x:t>
        </x:is>
      </x:c>
      <x:c r="X692" s="160" t="inlineStr">
        <x:is>
          <x:t xml:space="preserve">NONE — DEVELOPMENT ONLY</x:t>
        </x:is>
      </x:c>
      <x:c r="Y692" s="160" t="inlineStr">
        <x:is>
          <x:t xml:space="preserve">Synthetic/adversarial model-development loop. No historical outcome is claimed; no accuracy point is awarded.</x:t>
        </x:is>
      </x:c>
    </x:row>
    <x:row r="693">
      <x:c r="A693" s="160" t="inlineStr">
        <x:is>
          <x:t xml:space="preserve">ML0688</x:t>
        </x:is>
      </x:c>
      <x:c r="B693" s="160" t="inlineStr">
        <x:is>
          <x:t xml:space="preserve">ARG-043</x:t>
        </x:is>
      </x:c>
      <x:c r="C693" s="160" t="inlineStr">
        <x:is>
          <x:t xml:space="preserve">Microsoft</x:t>
        </x:is>
      </x:c>
      <x:c r="D693" s="160" t="inlineStr">
        <x:is>
          <x:t xml:space="preserve">MSFT</x:t>
        </x:is>
      </x:c>
      <x:c r="E693" s="160" t="inlineStr">
        <x:is>
          <x:t xml:space="preserve">Software &amp; Payments</x:t>
        </x:is>
      </x:c>
      <x:c r="F693" s="160" t="inlineStr">
        <x:is>
          <x:t xml:space="preserve">Development</x:t>
        </x:is>
      </x:c>
      <x:c r="G693" s="160" t="inlineStr">
        <x:is>
          <x:t xml:space="preserve">S16</x:t>
        </x:is>
      </x:c>
      <x:c r="H693" s="160" t="inlineStr">
        <x:is>
          <x:t xml:space="preserve">Concentration / Tail Risk</x:t>
        </x:is>
      </x:c>
      <x:c r="I693" s="160" t="inlineStr">
        <x:is>
          <x:t xml:space="preserve">Survival</x:t>
        </x:is>
      </x:c>
      <x:c r="J693" s="160" t="inlineStr">
        <x:is>
          <x:t xml:space="preserve">A concentrated supplier, geography, customer, product, patent, regulatory or technology dependency creates asymmetric permanent-loss risk.</x:t>
        </x:is>
      </x:c>
      <x:c r="K693" s="160" t="inlineStr">
        <x:is>
          <x:t xml:space="preserve">Cloud/subscription ecosystem minus AI capex</x:t>
        </x:is>
      </x:c>
      <x:c r="L693" s="160" t="inlineStr">
        <x:is>
          <x:t xml:space="preserve">Owner earnings + reverse DCF</x:t>
        </x:is>
      </x:c>
      <x:c r="M693" s="160" t="inlineStr">
        <x:is>
          <x:t xml:space="preserve">WATCH</x:t>
        </x:is>
      </x:c>
      <x:c r="N693" s="160" t="inlineStr">
        <x:is>
          <x:t xml:space="preserve">R-TAIL-01</x:t>
        </x:is>
      </x:c>
      <x:c r="O693" s="160" t="inlineStr">
        <x:is>
          <x:t xml:space="preserve">COUNTER-EVIDENCE</x:t>
        </x:is>
      </x:c>
      <x:c r="P693" s="160" t="inlineStr">
        <x:is>
          <x:t xml:space="preserve">ROBUST</x:t>
        </x:is>
      </x:c>
      <x:c r="Q693" s="160" t="inlineStr">
        <x:is>
          <x:t xml:space="preserve">The mature simulation rule catches the stress without weakening a fatal gate; no rule relaxation is justified.</x:t>
        </x:is>
      </x:c>
      <x:c r="R693" s="160" t="inlineStr">
        <x:is>
          <x:t xml:space="preserve">Maintain an explicit concentration/tail-risk register with probability, severity, mitigation and required margin-of-safety premium.</x:t>
        </x:is>
      </x:c>
      <x:c r="S693" s="160" t="inlineStr">
        <x:is>
          <x:t xml:space="preserve">NO</x:t>
        </x:is>
      </x:c>
      <x:c r="T693" s="160" t="inlineStr">
        <x:is>
          <x:t xml:space="preserve">COUNTER-EVIDENCE</x:t>
        </x:is>
      </x:c>
      <x:c r="U693" s="160" t="inlineStr">
        <x:is>
          <x:t xml:space="preserve">V10.5-SIM62</x:t>
        </x:is>
      </x:c>
      <x:c r="V693" s="160" t="inlineStr">
        <x:is>
          <x:t xml:space="preserve">https://www.microsoft.com/en-us/Investor</x:t>
        </x:is>
      </x:c>
      <x:c r="W693" s="160" t="inlineStr">
        <x:is>
          <x:t xml:space="preserve">NO</x:t>
        </x:is>
      </x:c>
      <x:c r="X693" s="160" t="inlineStr">
        <x:is>
          <x:t xml:space="preserve">NONE — DEVELOPMENT ONLY</x:t>
        </x:is>
      </x:c>
      <x:c r="Y693" s="160" t="inlineStr">
        <x:is>
          <x:t xml:space="preserve">Synthetic/adversarial model-development loop. No historical outcome is claimed; no accuracy point is awarded.</x:t>
        </x:is>
      </x:c>
    </x:row>
    <x:row r="694">
      <x:c r="A694" s="160" t="inlineStr">
        <x:is>
          <x:t xml:space="preserve">ML0689</x:t>
        </x:is>
      </x:c>
      <x:c r="B694" s="160" t="inlineStr">
        <x:is>
          <x:t xml:space="preserve">ARG-044</x:t>
        </x:is>
      </x:c>
      <x:c r="C694" s="160" t="inlineStr">
        <x:is>
          <x:t xml:space="preserve">Alphabet</x:t>
        </x:is>
      </x:c>
      <x:c r="D694" s="160" t="inlineStr">
        <x:is>
          <x:t xml:space="preserve">GOOGL</x:t>
        </x:is>
      </x:c>
      <x:c r="E694" s="160" t="inlineStr">
        <x:is>
          <x:t xml:space="preserve">Media &amp; Internet</x:t>
        </x:is>
      </x:c>
      <x:c r="F694" s="160" t="inlineStr">
        <x:is>
          <x:t xml:space="preserve">Development</x:t>
        </x:is>
      </x:c>
      <x:c r="G694" s="160" t="inlineStr">
        <x:is>
          <x:t xml:space="preserve">S01</x:t>
        </x:is>
      </x:c>
      <x:c r="H694" s="160" t="inlineStr">
        <x:is>
          <x:t xml:space="preserve">Understanding Gate</x:t>
        </x:is>
      </x:c>
      <x:c r="I694" s="160" t="inlineStr">
        <x:is>
          <x:t xml:space="preserve">Understanding</x:t>
        </x:is>
      </x:c>
      <x:c r="J694" s="160" t="inlineStr">
        <x:is>
          <x:t xml:space="preserve">Causal engine / customer ROI chain breaks under a misleading headline KPI.</x:t>
        </x:is>
      </x:c>
      <x:c r="K694" s="160" t="inlineStr">
        <x:is>
          <x:t xml:space="preserve">Traffic × monetization plus cloud economics minus AI capex</x:t>
        </x:is>
      </x:c>
      <x:c r="L694" s="160" t="inlineStr">
        <x:is>
          <x:t xml:space="preserve">Owner earnings + SOTP</x:t>
        </x:is>
      </x:c>
      <x:c r="M694" s="160" t="inlineStr">
        <x:is>
          <x:t xml:space="preserve">WATCH</x:t>
        </x:is>
      </x:c>
      <x:c r="N694" s="160" t="inlineStr">
        <x:is>
          <x:t xml:space="preserve">R-ENG-01</x:t>
        </x:is>
      </x:c>
      <x:c r="O694" s="160" t="inlineStr">
        <x:is>
          <x:t xml:space="preserve">COUNTER-EVIDENCE</x:t>
        </x:is>
      </x:c>
      <x:c r="P694" s="160" t="inlineStr">
        <x:is>
          <x:t xml:space="preserve">ROBUST</x:t>
        </x:is>
      </x:c>
      <x:c r="Q694" s="160" t="inlineStr">
        <x:is>
          <x:t xml:space="preserve">The mature simulation rule catches the stress without weakening a fatal gate; no rule relaxation is justified.</x:t>
        </x:is>
      </x:c>
      <x:c r="R694" s="160" t="inlineStr">
        <x:is>
          <x:t xml:space="preserve">Force an explicit engine tree: customer job → unit economics → revenue driver → owner-value bridge.</x:t>
        </x:is>
      </x:c>
      <x:c r="S694" s="160" t="inlineStr">
        <x:is>
          <x:t xml:space="preserve">NO</x:t>
        </x:is>
      </x:c>
      <x:c r="T694" s="160" t="inlineStr">
        <x:is>
          <x:t xml:space="preserve">COUNTER-EVIDENCE</x:t>
        </x:is>
      </x:c>
      <x:c r="U694" s="160" t="inlineStr">
        <x:is>
          <x:t xml:space="preserve">V10.5-SIM62</x:t>
        </x:is>
      </x:c>
      <x:c r="V694" s="160" t="inlineStr">
        <x:is>
          <x:t xml:space="preserve">https://abc.xyz/investor/</x:t>
        </x:is>
      </x:c>
      <x:c r="W694" s="160" t="inlineStr">
        <x:is>
          <x:t xml:space="preserve">NO</x:t>
        </x:is>
      </x:c>
      <x:c r="X694" s="160" t="inlineStr">
        <x:is>
          <x:t xml:space="preserve">NONE — DEVELOPMENT ONLY</x:t>
        </x:is>
      </x:c>
      <x:c r="Y694" s="160" t="inlineStr">
        <x:is>
          <x:t xml:space="preserve">Synthetic/adversarial model-development loop. No historical outcome is claimed; no accuracy point is awarded.</x:t>
        </x:is>
      </x:c>
    </x:row>
    <x:row r="695">
      <x:c r="A695" s="160" t="inlineStr">
        <x:is>
          <x:t xml:space="preserve">ML0690</x:t>
        </x:is>
      </x:c>
      <x:c r="B695" s="160" t="inlineStr">
        <x:is>
          <x:t xml:space="preserve">ARG-044</x:t>
        </x:is>
      </x:c>
      <x:c r="C695" s="160" t="inlineStr">
        <x:is>
          <x:t xml:space="preserve">Alphabet</x:t>
        </x:is>
      </x:c>
      <x:c r="D695" s="160" t="inlineStr">
        <x:is>
          <x:t xml:space="preserve">GOOGL</x:t>
        </x:is>
      </x:c>
      <x:c r="E695" s="160" t="inlineStr">
        <x:is>
          <x:t xml:space="preserve">Media &amp; Internet</x:t>
        </x:is>
      </x:c>
      <x:c r="F695" s="160" t="inlineStr">
        <x:is>
          <x:t xml:space="preserve">Development</x:t>
        </x:is>
      </x:c>
      <x:c r="G695" s="160" t="inlineStr">
        <x:is>
          <x:t xml:space="preserve">S02</x:t>
        </x:is>
      </x:c>
      <x:c r="H695" s="160" t="inlineStr">
        <x:is>
          <x:t xml:space="preserve">Owner Earnings Normalization</x:t>
        </x:is>
      </x:c>
      <x:c r="I695" s="160" t="inlineStr">
        <x:is>
          <x:t xml:space="preserve">Owner Earnings</x:t>
        </x:is>
      </x:c>
      <x:c r="J695" s="160" t="inlineStr">
        <x:is>
          <x:t xml:space="preserve">Reported earnings/FCF overstates economic cash because recurring reinvestment or non-cash compensation is misclassified.</x:t>
        </x:is>
      </x:c>
      <x:c r="K695" s="160" t="inlineStr">
        <x:is>
          <x:t xml:space="preserve">Traffic × monetization plus cloud economics minus AI capex</x:t>
        </x:is>
      </x:c>
      <x:c r="L695" s="160" t="inlineStr">
        <x:is>
          <x:t xml:space="preserve">Owner earnings + SOTP</x:t>
        </x:is>
      </x:c>
      <x:c r="M695" s="160" t="inlineStr">
        <x:is>
          <x:t xml:space="preserve">WATCH</x:t>
        </x:is>
      </x:c>
      <x:c r="N695" s="160" t="inlineStr">
        <x:is>
          <x:t xml:space="preserve">R-OE-01</x:t>
        </x:is>
      </x:c>
      <x:c r="O695" s="160" t="inlineStr">
        <x:is>
          <x:t xml:space="preserve">COUNTER-EVIDENCE</x:t>
        </x:is>
      </x:c>
      <x:c r="P695" s="160" t="inlineStr">
        <x:is>
          <x:t xml:space="preserve">ROBUST</x:t>
        </x:is>
      </x:c>
      <x:c r="Q695" s="160" t="inlineStr">
        <x:is>
          <x:t xml:space="preserve">The mature simulation rule catches the stress without weakening a fatal gate; no rule relaxation is justified.</x:t>
        </x:is>
      </x:c>
      <x:c r="R695" s="160" t="inlineStr">
        <x:is>
          <x:t xml:space="preserve">Require a GAAP-to-economic-owner-cash bridge tailored to the business model.</x:t>
        </x:is>
      </x:c>
      <x:c r="S695" s="160" t="inlineStr">
        <x:is>
          <x:t xml:space="preserve">NO</x:t>
        </x:is>
      </x:c>
      <x:c r="T695" s="160" t="inlineStr">
        <x:is>
          <x:t xml:space="preserve">COUNTER-EVIDENCE</x:t>
        </x:is>
      </x:c>
      <x:c r="U695" s="160" t="inlineStr">
        <x:is>
          <x:t xml:space="preserve">V10.5-SIM62</x:t>
        </x:is>
      </x:c>
      <x:c r="V695" s="160" t="inlineStr">
        <x:is>
          <x:t xml:space="preserve">https://abc.xyz/investor/</x:t>
        </x:is>
      </x:c>
      <x:c r="W695" s="160" t="inlineStr">
        <x:is>
          <x:t xml:space="preserve">NO</x:t>
        </x:is>
      </x:c>
      <x:c r="X695" s="160" t="inlineStr">
        <x:is>
          <x:t xml:space="preserve">NONE — DEVELOPMENT ONLY</x:t>
        </x:is>
      </x:c>
      <x:c r="Y695" s="160" t="inlineStr">
        <x:is>
          <x:t xml:space="preserve">Synthetic/adversarial model-development loop. No historical outcome is claimed; no accuracy point is awarded.</x:t>
        </x:is>
      </x:c>
    </x:row>
    <x:row r="696">
      <x:c r="A696" s="160" t="inlineStr">
        <x:is>
          <x:t xml:space="preserve">ML0691</x:t>
        </x:is>
      </x:c>
      <x:c r="B696" s="160" t="inlineStr">
        <x:is>
          <x:t xml:space="preserve">ARG-044</x:t>
        </x:is>
      </x:c>
      <x:c r="C696" s="160" t="inlineStr">
        <x:is>
          <x:t xml:space="preserve">Alphabet</x:t>
        </x:is>
      </x:c>
      <x:c r="D696" s="160" t="inlineStr">
        <x:is>
          <x:t xml:space="preserve">GOOGL</x:t>
        </x:is>
      </x:c>
      <x:c r="E696" s="160" t="inlineStr">
        <x:is>
          <x:t xml:space="preserve">Media &amp; Internet</x:t>
        </x:is>
      </x:c>
      <x:c r="F696" s="160" t="inlineStr">
        <x:is>
          <x:t xml:space="preserve">Development</x:t>
        </x:is>
      </x:c>
      <x:c r="G696" s="160" t="inlineStr">
        <x:is>
          <x:t xml:space="preserve">S03</x:t>
        </x:is>
      </x:c>
      <x:c r="H696" s="160" t="inlineStr">
        <x:is>
          <x:t xml:space="preserve">Moat Durability</x:t>
        </x:is>
      </x:c>
      <x:c r="I696" s="160" t="inlineStr">
        <x:is>
          <x:t xml:space="preserve">Moat 2036</x:t>
        </x:is>
      </x:c>
      <x:c r="J696" s="160" t="inlineStr">
        <x:is>
          <x:t xml:space="preserve">Growth continues while switching friction, pricing power or replacement difficulty quietly weakens.</x:t>
        </x:is>
      </x:c>
      <x:c r="K696" s="160" t="inlineStr">
        <x:is>
          <x:t xml:space="preserve">Traffic × monetization plus cloud economics minus AI capex</x:t>
        </x:is>
      </x:c>
      <x:c r="L696" s="160" t="inlineStr">
        <x:is>
          <x:t xml:space="preserve">Owner earnings + SOTP</x:t>
        </x:is>
      </x:c>
      <x:c r="M696" s="160" t="inlineStr">
        <x:is>
          <x:t xml:space="preserve">WATCH</x:t>
        </x:is>
      </x:c>
      <x:c r="N696" s="160" t="inlineStr">
        <x:is>
          <x:t xml:space="preserve">R-MOAT-01</x:t>
        </x:is>
      </x:c>
      <x:c r="O696" s="160" t="inlineStr">
        <x:is>
          <x:t xml:space="preserve">COUNTER-EVIDENCE</x:t>
        </x:is>
      </x:c>
      <x:c r="P696" s="160" t="inlineStr">
        <x:is>
          <x:t xml:space="preserve">ROBUST</x:t>
        </x:is>
      </x:c>
      <x:c r="Q696" s="160" t="inlineStr">
        <x:is>
          <x:t xml:space="preserve">The mature simulation rule catches the stress without weakening a fatal gate; no rule relaxation is justified.</x:t>
        </x:is>
      </x:c>
      <x:c r="R696" s="160" t="inlineStr">
        <x:is>
          <x:t xml:space="preserve">Track moat telemetry separately from growth: retention, pricing, win/loss, replacement friction, installed-base behavior.</x:t>
        </x:is>
      </x:c>
      <x:c r="S696" s="160" t="inlineStr">
        <x:is>
          <x:t xml:space="preserve">NO</x:t>
        </x:is>
      </x:c>
      <x:c r="T696" s="160" t="inlineStr">
        <x:is>
          <x:t xml:space="preserve">COUNTER-EVIDENCE</x:t>
        </x:is>
      </x:c>
      <x:c r="U696" s="160" t="inlineStr">
        <x:is>
          <x:t xml:space="preserve">V10.5-SIM62</x:t>
        </x:is>
      </x:c>
      <x:c r="V696" s="160" t="inlineStr">
        <x:is>
          <x:t xml:space="preserve">https://abc.xyz/investor/</x:t>
        </x:is>
      </x:c>
      <x:c r="W696" s="160" t="inlineStr">
        <x:is>
          <x:t xml:space="preserve">NO</x:t>
        </x:is>
      </x:c>
      <x:c r="X696" s="160" t="inlineStr">
        <x:is>
          <x:t xml:space="preserve">NONE — DEVELOPMENT ONLY</x:t>
        </x:is>
      </x:c>
      <x:c r="Y696" s="160" t="inlineStr">
        <x:is>
          <x:t xml:space="preserve">Synthetic/adversarial model-development loop. No historical outcome is claimed; no accuracy point is awarded.</x:t>
        </x:is>
      </x:c>
    </x:row>
    <x:row r="697">
      <x:c r="A697" s="160" t="inlineStr">
        <x:is>
          <x:t xml:space="preserve">ML0692</x:t>
        </x:is>
      </x:c>
      <x:c r="B697" s="160" t="inlineStr">
        <x:is>
          <x:t xml:space="preserve">ARG-044</x:t>
        </x:is>
      </x:c>
      <x:c r="C697" s="160" t="inlineStr">
        <x:is>
          <x:t xml:space="preserve">Alphabet</x:t>
        </x:is>
      </x:c>
      <x:c r="D697" s="160" t="inlineStr">
        <x:is>
          <x:t xml:space="preserve">GOOGL</x:t>
        </x:is>
      </x:c>
      <x:c r="E697" s="160" t="inlineStr">
        <x:is>
          <x:t xml:space="preserve">Media &amp; Internet</x:t>
        </x:is>
      </x:c>
      <x:c r="F697" s="160" t="inlineStr">
        <x:is>
          <x:t xml:space="preserve">Development</x:t>
        </x:is>
      </x:c>
      <x:c r="G697" s="160" t="inlineStr">
        <x:is>
          <x:t xml:space="preserve">S04</x:t>
        </x:is>
      </x:c>
      <x:c r="H697" s="160" t="inlineStr">
        <x:is>
          <x:t xml:space="preserve">Stewardship / Capital Allocation</x:t>
        </x:is>
      </x:c>
      <x:c r="I697" s="160" t="inlineStr">
        <x:is>
          <x:t xml:space="preserve">Stewardship</x:t>
        </x:is>
      </x:c>
      <x:c r="J697" s="160" t="inlineStr">
        <x:is>
          <x:t xml:space="preserve">Management creates enterprise growth while destroying per-share value through M&amp;A, dilution, leverage or mistimed buybacks.</x:t>
        </x:is>
      </x:c>
      <x:c r="K697" s="160" t="inlineStr">
        <x:is>
          <x:t xml:space="preserve">Traffic × monetization plus cloud economics minus AI capex</x:t>
        </x:is>
      </x:c>
      <x:c r="L697" s="160" t="inlineStr">
        <x:is>
          <x:t xml:space="preserve">Owner earnings + SOTP</x:t>
        </x:is>
      </x:c>
      <x:c r="M697" s="160" t="inlineStr">
        <x:is>
          <x:t xml:space="preserve">WATCH</x:t>
        </x:is>
      </x:c>
      <x:c r="N697" s="160" t="inlineStr">
        <x:is>
          <x:t xml:space="preserve">R-STEW-01</x:t>
        </x:is>
      </x:c>
      <x:c r="O697" s="160" t="inlineStr">
        <x:is>
          <x:t xml:space="preserve">COUNTER-EVIDENCE</x:t>
        </x:is>
      </x:c>
      <x:c r="P697" s="160" t="inlineStr">
        <x:is>
          <x:t xml:space="preserve">ROBUST</x:t>
        </x:is>
      </x:c>
      <x:c r="Q697" s="160" t="inlineStr">
        <x:is>
          <x:t xml:space="preserve">The mature simulation rule catches the stress without weakening a fatal gate; no rule relaxation is justified.</x:t>
        </x:is>
      </x:c>
      <x:c r="R697" s="160" t="inlineStr">
        <x:is>
          <x:t xml:space="preserve">Evaluate capital allocation on a per-share basis using acquisition cohorts, dilution, leverage and repurchase price discipline.</x:t>
        </x:is>
      </x:c>
      <x:c r="S697" s="160" t="inlineStr">
        <x:is>
          <x:t xml:space="preserve">NO</x:t>
        </x:is>
      </x:c>
      <x:c r="T697" s="160" t="inlineStr">
        <x:is>
          <x:t xml:space="preserve">COUNTER-EVIDENCE</x:t>
        </x:is>
      </x:c>
      <x:c r="U697" s="160" t="inlineStr">
        <x:is>
          <x:t xml:space="preserve">V10.5-SIM62</x:t>
        </x:is>
      </x:c>
      <x:c r="V697" s="160" t="inlineStr">
        <x:is>
          <x:t xml:space="preserve">https://abc.xyz/investor/</x:t>
        </x:is>
      </x:c>
      <x:c r="W697" s="160" t="inlineStr">
        <x:is>
          <x:t xml:space="preserve">NO</x:t>
        </x:is>
      </x:c>
      <x:c r="X697" s="160" t="inlineStr">
        <x:is>
          <x:t xml:space="preserve">NONE — DEVELOPMENT ONLY</x:t>
        </x:is>
      </x:c>
      <x:c r="Y697" s="160" t="inlineStr">
        <x:is>
          <x:t xml:space="preserve">Synthetic/adversarial model-development loop. No historical outcome is claimed; no accuracy point is awarded.</x:t>
        </x:is>
      </x:c>
    </x:row>
    <x:row r="698">
      <x:c r="A698" s="160" t="inlineStr">
        <x:is>
          <x:t xml:space="preserve">ML0693</x:t>
        </x:is>
      </x:c>
      <x:c r="B698" s="160" t="inlineStr">
        <x:is>
          <x:t xml:space="preserve">ARG-044</x:t>
        </x:is>
      </x:c>
      <x:c r="C698" s="160" t="inlineStr">
        <x:is>
          <x:t xml:space="preserve">Alphabet</x:t>
        </x:is>
      </x:c>
      <x:c r="D698" s="160" t="inlineStr">
        <x:is>
          <x:t xml:space="preserve">GOOGL</x:t>
        </x:is>
      </x:c>
      <x:c r="E698" s="160" t="inlineStr">
        <x:is>
          <x:t xml:space="preserve">Media &amp; Internet</x:t>
        </x:is>
      </x:c>
      <x:c r="F698" s="160" t="inlineStr">
        <x:is>
          <x:t xml:space="preserve">Development</x:t>
        </x:is>
      </x:c>
      <x:c r="G698" s="160" t="inlineStr">
        <x:is>
          <x:t xml:space="preserve">S05</x:t>
        </x:is>
      </x:c>
      <x:c r="H698" s="160" t="inlineStr">
        <x:is>
          <x:t xml:space="preserve">Survival / Funding</x:t>
        </x:is>
      </x:c>
      <x:c r="I698" s="160" t="inlineStr">
        <x:is>
          <x:t xml:space="preserve">Survival</x:t>
        </x:is>
      </x:c>
      <x:c r="J698" s="160" t="inlineStr">
        <x:is>
          <x:t xml:space="preserve">A plausible bear case exposes refinancing, liquidity, covenant, reserve, regulatory or operational fragility.</x:t>
        </x:is>
      </x:c>
      <x:c r="K698" s="160" t="inlineStr">
        <x:is>
          <x:t xml:space="preserve">Traffic × monetization plus cloud economics minus AI capex</x:t>
        </x:is>
      </x:c>
      <x:c r="L698" s="160" t="inlineStr">
        <x:is>
          <x:t xml:space="preserve">Owner earnings + SOTP</x:t>
        </x:is>
      </x:c>
      <x:c r="M698" s="160" t="inlineStr">
        <x:is>
          <x:t xml:space="preserve">WATCH</x:t>
        </x:is>
      </x:c>
      <x:c r="N698" s="160" t="inlineStr">
        <x:is>
          <x:t xml:space="preserve">R-SURV-01</x:t>
        </x:is>
      </x:c>
      <x:c r="O698" s="160" t="inlineStr">
        <x:is>
          <x:t xml:space="preserve">COUNTER-EVIDENCE</x:t>
        </x:is>
      </x:c>
      <x:c r="P698" s="160" t="inlineStr">
        <x:is>
          <x:t xml:space="preserve">ROBUST</x:t>
        </x:is>
      </x:c>
      <x:c r="Q698" s="160" t="inlineStr">
        <x:is>
          <x:t xml:space="preserve">The mature simulation rule catches the stress without weakening a fatal gate; no rule relaxation is justified.</x:t>
        </x:is>
      </x:c>
      <x:c r="R698" s="160" t="inlineStr">
        <x:is>
          <x:t xml:space="preserve">Run a company-specific survival bridge under a severe-but-plausible bear case before any upside underwriting.</x:t>
        </x:is>
      </x:c>
      <x:c r="S698" s="160" t="inlineStr">
        <x:is>
          <x:t xml:space="preserve">NO</x:t>
        </x:is>
      </x:c>
      <x:c r="T698" s="160" t="inlineStr">
        <x:is>
          <x:t xml:space="preserve">COUNTER-EVIDENCE</x:t>
        </x:is>
      </x:c>
      <x:c r="U698" s="160" t="inlineStr">
        <x:is>
          <x:t xml:space="preserve">V10.5-SIM62</x:t>
        </x:is>
      </x:c>
      <x:c r="V698" s="160" t="inlineStr">
        <x:is>
          <x:t xml:space="preserve">https://abc.xyz/investor/</x:t>
        </x:is>
      </x:c>
      <x:c r="W698" s="160" t="inlineStr">
        <x:is>
          <x:t xml:space="preserve">NO</x:t>
        </x:is>
      </x:c>
      <x:c r="X698" s="160" t="inlineStr">
        <x:is>
          <x:t xml:space="preserve">NONE — DEVELOPMENT ONLY</x:t>
        </x:is>
      </x:c>
      <x:c r="Y698" s="160" t="inlineStr">
        <x:is>
          <x:t xml:space="preserve">Synthetic/adversarial model-development loop. No historical outcome is claimed; no accuracy point is awarded.</x:t>
        </x:is>
      </x:c>
    </x:row>
    <x:row r="699">
      <x:c r="A699" s="160" t="inlineStr">
        <x:is>
          <x:t xml:space="preserve">ML0694</x:t>
        </x:is>
      </x:c>
      <x:c r="B699" s="160" t="inlineStr">
        <x:is>
          <x:t xml:space="preserve">ARG-044</x:t>
        </x:is>
      </x:c>
      <x:c r="C699" s="160" t="inlineStr">
        <x:is>
          <x:t xml:space="preserve">Alphabet</x:t>
        </x:is>
      </x:c>
      <x:c r="D699" s="160" t="inlineStr">
        <x:is>
          <x:t xml:space="preserve">GOOGL</x:t>
        </x:is>
      </x:c>
      <x:c r="E699" s="160" t="inlineStr">
        <x:is>
          <x:t xml:space="preserve">Media &amp; Internet</x:t>
        </x:is>
      </x:c>
      <x:c r="F699" s="160" t="inlineStr">
        <x:is>
          <x:t xml:space="preserve">Development</x:t>
        </x:is>
      </x:c>
      <x:c r="G699" s="160" t="inlineStr">
        <x:is>
          <x:t xml:space="preserve">S06</x:t>
        </x:is>
      </x:c>
      <x:c r="H699" s="160" t="inlineStr">
        <x:is>
          <x:t xml:space="preserve">Margin of Safety</x:t>
        </x:is>
      </x:c>
      <x:c r="I699" s="160" t="inlineStr">
        <x:is>
          <x:t xml:space="preserve">Margin of Safety</x:t>
        </x:is>
      </x:c>
      <x:c r="J699" s="160" t="inlineStr">
        <x:is>
          <x:t xml:space="preserve">Business quality is high but the price embeds a fragile bull case.</x:t>
        </x:is>
      </x:c>
      <x:c r="K699" s="160" t="inlineStr">
        <x:is>
          <x:t xml:space="preserve">Traffic × monetization plus cloud economics minus AI capex</x:t>
        </x:is>
      </x:c>
      <x:c r="L699" s="160" t="inlineStr">
        <x:is>
          <x:t xml:space="preserve">Owner earnings + SOTP</x:t>
        </x:is>
      </x:c>
      <x:c r="M699" s="160" t="inlineStr">
        <x:is>
          <x:t xml:space="preserve">WATCH</x:t>
        </x:is>
      </x:c>
      <x:c r="N699" s="160" t="inlineStr">
        <x:is>
          <x:t xml:space="preserve">R-MOS-01</x:t>
        </x:is>
      </x:c>
      <x:c r="O699" s="160" t="inlineStr">
        <x:is>
          <x:t xml:space="preserve">COUNTER-EVIDENCE</x:t>
        </x:is>
      </x:c>
      <x:c r="P699" s="160" t="inlineStr">
        <x:is>
          <x:t xml:space="preserve">ROBUST</x:t>
        </x:is>
      </x:c>
      <x:c r="Q699" s="160" t="inlineStr">
        <x:is>
          <x:t xml:space="preserve">The mature simulation rule catches the stress without weakening a fatal gate; no rule relaxation is justified.</x:t>
        </x:is>
      </x:c>
      <x:c r="R699" s="160" t="inlineStr">
        <x:is>
          <x:t xml:space="preserve">Separate business-quality score from price decision; require reverse valuation and bear/base/bull IV ranges.</x:t>
        </x:is>
      </x:c>
      <x:c r="S699" s="160" t="inlineStr">
        <x:is>
          <x:t xml:space="preserve">NO</x:t>
        </x:is>
      </x:c>
      <x:c r="T699" s="160" t="inlineStr">
        <x:is>
          <x:t xml:space="preserve">COUNTER-EVIDENCE</x:t>
        </x:is>
      </x:c>
      <x:c r="U699" s="160" t="inlineStr">
        <x:is>
          <x:t xml:space="preserve">V10.5-SIM62</x:t>
        </x:is>
      </x:c>
      <x:c r="V699" s="160" t="inlineStr">
        <x:is>
          <x:t xml:space="preserve">https://abc.xyz/investor/</x:t>
        </x:is>
      </x:c>
      <x:c r="W699" s="160" t="inlineStr">
        <x:is>
          <x:t xml:space="preserve">NO</x:t>
        </x:is>
      </x:c>
      <x:c r="X699" s="160" t="inlineStr">
        <x:is>
          <x:t xml:space="preserve">NONE — DEVELOPMENT ONLY</x:t>
        </x:is>
      </x:c>
      <x:c r="Y699" s="160" t="inlineStr">
        <x:is>
          <x:t xml:space="preserve">Synthetic/adversarial model-development loop. No historical outcome is claimed; no accuracy point is awarded.</x:t>
        </x:is>
      </x:c>
    </x:row>
    <x:row r="700">
      <x:c r="A700" s="160" t="inlineStr">
        <x:is>
          <x:t xml:space="preserve">ML0695</x:t>
        </x:is>
      </x:c>
      <x:c r="B700" s="160" t="inlineStr">
        <x:is>
          <x:t xml:space="preserve">ARG-044</x:t>
        </x:is>
      </x:c>
      <x:c r="C700" s="160" t="inlineStr">
        <x:is>
          <x:t xml:space="preserve">Alphabet</x:t>
        </x:is>
      </x:c>
      <x:c r="D700" s="160" t="inlineStr">
        <x:is>
          <x:t xml:space="preserve">GOOGL</x:t>
        </x:is>
      </x:c>
      <x:c r="E700" s="160" t="inlineStr">
        <x:is>
          <x:t xml:space="preserve">Media &amp; Internet</x:t>
        </x:is>
      </x:c>
      <x:c r="F700" s="160" t="inlineStr">
        <x:is>
          <x:t xml:space="preserve">Development</x:t>
        </x:is>
      </x:c>
      <x:c r="G700" s="160" t="inlineStr">
        <x:is>
          <x:t xml:space="preserve">S07</x:t>
        </x:is>
      </x:c>
      <x:c r="H700" s="160" t="inlineStr">
        <x:is>
          <x:t xml:space="preserve">Sector Shock</x:t>
        </x:is>
      </x:c>
      <x:c r="I700" s="160" t="inlineStr">
        <x:is>
          <x:t xml:space="preserve">Sector-specific</x:t>
        </x:is>
      </x:c>
      <x:c r="J700" s="160" t="inlineStr">
        <x:is>
          <x:t xml:space="preserve">Engagement grows while monetization quality, regulatory risk or infrastructure capex reduces incremental owner returns.</x:t>
        </x:is>
      </x:c>
      <x:c r="K700" s="160" t="inlineStr">
        <x:is>
          <x:t xml:space="preserve">Traffic × monetization plus cloud economics minus AI capex</x:t>
        </x:is>
      </x:c>
      <x:c r="L700" s="160" t="inlineStr">
        <x:is>
          <x:t xml:space="preserve">Owner earnings + SOTP</x:t>
        </x:is>
      </x:c>
      <x:c r="M700" s="160" t="inlineStr">
        <x:is>
          <x:t xml:space="preserve">WATCH</x:t>
        </x:is>
      </x:c>
      <x:c r="N700" s="160" t="inlineStr">
        <x:is>
          <x:t xml:space="preserve">R-SECTOR-MEDIA-INTERNET</x:t>
        </x:is>
      </x:c>
      <x:c r="O700" s="160" t="inlineStr">
        <x:is>
          <x:t xml:space="preserve">UNFORMED</x:t>
        </x:is>
      </x:c>
      <x:c r="P700" s="160" t="inlineStr">
        <x:is>
          <x:t xml:space="preserve">WEAKNESS EXPOSED</x:t>
        </x:is>
      </x:c>
      <x:c r="Q700" s="160" t="inlineStr">
        <x:is>
          <x:t xml:space="preserve">The frozen V10 gate family is directionally right, but the test lacks a sufficiently explicit mechanical implementation.</x:t>
        </x:is>
      </x:c>
      <x:c r="R700" s="160" t="inlineStr">
        <x:is>
          <x:t xml:space="preserve">Add a sector-specific transmission map with leading operating sensors, not only market-price variables. Sector rule: Engagement grows while monetization quality, regulatory risk or infrastructure capex reduces incremental owner returns.</x:t>
        </x:is>
      </x:c>
      <x:c r="S700" s="160" t="inlineStr">
        <x:is>
          <x:t xml:space="preserve">NO</x:t>
        </x:is>
      </x:c>
      <x:c r="T700" s="160" t="inlineStr">
        <x:is>
          <x:t xml:space="preserve">UNFORMED</x:t>
        </x:is>
      </x:c>
      <x:c r="U700" s="160" t="inlineStr">
        <x:is>
          <x:t xml:space="preserve">V10.5-SIM62</x:t>
        </x:is>
      </x:c>
      <x:c r="V700" s="160" t="inlineStr">
        <x:is>
          <x:t xml:space="preserve">https://abc.xyz/investor/</x:t>
        </x:is>
      </x:c>
      <x:c r="W700" s="160" t="inlineStr">
        <x:is>
          <x:t xml:space="preserve">NO</x:t>
        </x:is>
      </x:c>
      <x:c r="X700" s="160" t="inlineStr">
        <x:is>
          <x:t xml:space="preserve">NONE — DEVELOPMENT ONLY</x:t>
        </x:is>
      </x:c>
      <x:c r="Y700" s="160" t="inlineStr">
        <x:is>
          <x:t xml:space="preserve">Synthetic/adversarial model-development loop. No historical outcome is claimed; no accuracy point is awarded.</x:t>
        </x:is>
      </x:c>
    </x:row>
    <x:row r="701">
      <x:c r="A701" s="160" t="inlineStr">
        <x:is>
          <x:t xml:space="preserve">ML0696</x:t>
        </x:is>
      </x:c>
      <x:c r="B701" s="160" t="inlineStr">
        <x:is>
          <x:t xml:space="preserve">ARG-044</x:t>
        </x:is>
      </x:c>
      <x:c r="C701" s="160" t="inlineStr">
        <x:is>
          <x:t xml:space="preserve">Alphabet</x:t>
        </x:is>
      </x:c>
      <x:c r="D701" s="160" t="inlineStr">
        <x:is>
          <x:t xml:space="preserve">GOOGL</x:t>
        </x:is>
      </x:c>
      <x:c r="E701" s="160" t="inlineStr">
        <x:is>
          <x:t xml:space="preserve">Media &amp; Internet</x:t>
        </x:is>
      </x:c>
      <x:c r="F701" s="160" t="inlineStr">
        <x:is>
          <x:t xml:space="preserve">Development</x:t>
        </x:is>
      </x:c>
      <x:c r="G701" s="160" t="inlineStr">
        <x:is>
          <x:t xml:space="preserve">S08</x:t>
        </x:is>
      </x:c>
      <x:c r="H701" s="160" t="inlineStr">
        <x:is>
          <x:t xml:space="preserve">Management Promise Reliability</x:t>
        </x:is>
      </x:c>
      <x:c r="I701" s="160" t="inlineStr">
        <x:is>
          <x:t xml:space="preserve">Management over-trust</x:t>
        </x:is>
      </x:c>
      <x:c r="J701" s="160" t="inlineStr">
        <x:is>
          <x:t xml:space="preserve">Guidance or strategic promises are repeated but the model lacks a contemporaneous reliability score.</x:t>
        </x:is>
      </x:c>
      <x:c r="K701" s="160" t="inlineStr">
        <x:is>
          <x:t xml:space="preserve">Traffic × monetization plus cloud economics minus AI capex</x:t>
        </x:is>
      </x:c>
      <x:c r="L701" s="160" t="inlineStr">
        <x:is>
          <x:t xml:space="preserve">Owner earnings + SOTP</x:t>
        </x:is>
      </x:c>
      <x:c r="M701" s="160" t="inlineStr">
        <x:is>
          <x:t xml:space="preserve">WATCH</x:t>
        </x:is>
      </x:c>
      <x:c r="N701" s="160" t="inlineStr">
        <x:is>
          <x:t xml:space="preserve">R-PROM-01</x:t>
        </x:is>
      </x:c>
      <x:c r="O701" s="160" t="inlineStr">
        <x:is>
          <x:t xml:space="preserve">COUNTER-EVIDENCE</x:t>
        </x:is>
      </x:c>
      <x:c r="P701" s="160" t="inlineStr">
        <x:is>
          <x:t xml:space="preserve">ROBUST</x:t>
        </x:is>
      </x:c>
      <x:c r="Q701" s="160" t="inlineStr">
        <x:is>
          <x:t xml:space="preserve">The mature simulation rule catches the stress without weakening a fatal gate; no rule relaxation is justified.</x:t>
        </x:is>
      </x:c>
      <x:c r="R701" s="160" t="inlineStr">
        <x:is>
          <x:t xml:space="preserve">Use a promises ledger with dated promise, measurable deliverable, due date, outcome and credibility weight.</x:t>
        </x:is>
      </x:c>
      <x:c r="S701" s="160" t="inlineStr">
        <x:is>
          <x:t xml:space="preserve">NO</x:t>
        </x:is>
      </x:c>
      <x:c r="T701" s="160" t="inlineStr">
        <x:is>
          <x:t xml:space="preserve">COUNTER-EVIDENCE</x:t>
        </x:is>
      </x:c>
      <x:c r="U701" s="160" t="inlineStr">
        <x:is>
          <x:t xml:space="preserve">V10.5-SIM62</x:t>
        </x:is>
      </x:c>
      <x:c r="V701" s="160" t="inlineStr">
        <x:is>
          <x:t xml:space="preserve">https://abc.xyz/investor/</x:t>
        </x:is>
      </x:c>
      <x:c r="W701" s="160" t="inlineStr">
        <x:is>
          <x:t xml:space="preserve">NO</x:t>
        </x:is>
      </x:c>
      <x:c r="X701" s="160" t="inlineStr">
        <x:is>
          <x:t xml:space="preserve">NONE — DEVELOPMENT ONLY</x:t>
        </x:is>
      </x:c>
      <x:c r="Y701" s="160" t="inlineStr">
        <x:is>
          <x:t xml:space="preserve">Synthetic/adversarial model-development loop. No historical outcome is claimed; no accuracy point is awarded.</x:t>
        </x:is>
      </x:c>
    </x:row>
    <x:row r="702">
      <x:c r="A702" s="160" t="inlineStr">
        <x:is>
          <x:t xml:space="preserve">ML0697</x:t>
        </x:is>
      </x:c>
      <x:c r="B702" s="160" t="inlineStr">
        <x:is>
          <x:t xml:space="preserve">ARG-044</x:t>
        </x:is>
      </x:c>
      <x:c r="C702" s="160" t="inlineStr">
        <x:is>
          <x:t xml:space="preserve">Alphabet</x:t>
        </x:is>
      </x:c>
      <x:c r="D702" s="160" t="inlineStr">
        <x:is>
          <x:t xml:space="preserve">GOOGL</x:t>
        </x:is>
      </x:c>
      <x:c r="E702" s="160" t="inlineStr">
        <x:is>
          <x:t xml:space="preserve">Media &amp; Internet</x:t>
        </x:is>
      </x:c>
      <x:c r="F702" s="160" t="inlineStr">
        <x:is>
          <x:t xml:space="preserve">Development</x:t>
        </x:is>
      </x:c>
      <x:c r="G702" s="160" t="inlineStr">
        <x:is>
          <x:t xml:space="preserve">S09</x:t>
        </x:is>
      </x:c>
      <x:c r="H702" s="160" t="inlineStr">
        <x:is>
          <x:t xml:space="preserve">Data / Accounting Quality</x:t>
        </x:is>
      </x:c>
      <x:c r="I702" s="160" t="inlineStr">
        <x:is>
          <x:t xml:space="preserve">Data quality</x:t>
        </x:is>
      </x:c>
      <x:c r="J702" s="160" t="inlineStr">
        <x:is>
          <x:t xml:space="preserve">Restatement, segment reclassification, one-time item or non-economic fair-value movement distorts the apparent trend.</x:t>
        </x:is>
      </x:c>
      <x:c r="K702" s="160" t="inlineStr">
        <x:is>
          <x:t xml:space="preserve">Traffic × monetization plus cloud economics minus AI capex</x:t>
        </x:is>
      </x:c>
      <x:c r="L702" s="160" t="inlineStr">
        <x:is>
          <x:t xml:space="preserve">Owner earnings + SOTP</x:t>
        </x:is>
      </x:c>
      <x:c r="M702" s="160" t="inlineStr">
        <x:is>
          <x:t xml:space="preserve">WATCH</x:t>
        </x:is>
      </x:c>
      <x:c r="N702" s="160" t="inlineStr">
        <x:is>
          <x:t xml:space="preserve">R-DATA-01</x:t>
        </x:is>
      </x:c>
      <x:c r="O702" s="160" t="inlineStr">
        <x:is>
          <x:t xml:space="preserve">COUNTER-EVIDENCE</x:t>
        </x:is>
      </x:c>
      <x:c r="P702" s="160" t="inlineStr">
        <x:is>
          <x:t xml:space="preserve">ROBUST</x:t>
        </x:is>
      </x:c>
      <x:c r="Q702" s="160" t="inlineStr">
        <x:is>
          <x:t xml:space="preserve">The mature simulation rule catches the stress without weakening a fatal gate; no rule relaxation is justified.</x:t>
        </x:is>
      </x:c>
      <x:c r="R702" s="160" t="inlineStr">
        <x:is>
          <x:t xml:space="preserve">Add a reporting-quality bridge and normalize accounting noise before any gate can pass.</x:t>
        </x:is>
      </x:c>
      <x:c r="S702" s="160" t="inlineStr">
        <x:is>
          <x:t xml:space="preserve">NO</x:t>
        </x:is>
      </x:c>
      <x:c r="T702" s="160" t="inlineStr">
        <x:is>
          <x:t xml:space="preserve">COUNTER-EVIDENCE</x:t>
        </x:is>
      </x:c>
      <x:c r="U702" s="160" t="inlineStr">
        <x:is>
          <x:t xml:space="preserve">V10.5-SIM62</x:t>
        </x:is>
      </x:c>
      <x:c r="V702" s="160" t="inlineStr">
        <x:is>
          <x:t xml:space="preserve">https://abc.xyz/investor/</x:t>
        </x:is>
      </x:c>
      <x:c r="W702" s="160" t="inlineStr">
        <x:is>
          <x:t xml:space="preserve">NO</x:t>
        </x:is>
      </x:c>
      <x:c r="X702" s="160" t="inlineStr">
        <x:is>
          <x:t xml:space="preserve">NONE — DEVELOPMENT ONLY</x:t>
        </x:is>
      </x:c>
      <x:c r="Y702" s="160" t="inlineStr">
        <x:is>
          <x:t xml:space="preserve">Synthetic/adversarial model-development loop. No historical outcome is claimed; no accuracy point is awarded.</x:t>
        </x:is>
      </x:c>
    </x:row>
    <x:row r="703">
      <x:c r="A703" s="160" t="inlineStr">
        <x:is>
          <x:t xml:space="preserve">ML0698</x:t>
        </x:is>
      </x:c>
      <x:c r="B703" s="160" t="inlineStr">
        <x:is>
          <x:t xml:space="preserve">ARG-044</x:t>
        </x:is>
      </x:c>
      <x:c r="C703" s="160" t="inlineStr">
        <x:is>
          <x:t xml:space="preserve">Alphabet</x:t>
        </x:is>
      </x:c>
      <x:c r="D703" s="160" t="inlineStr">
        <x:is>
          <x:t xml:space="preserve">GOOGL</x:t>
        </x:is>
      </x:c>
      <x:c r="E703" s="160" t="inlineStr">
        <x:is>
          <x:t xml:space="preserve">Media &amp; Internet</x:t>
        </x:is>
      </x:c>
      <x:c r="F703" s="160" t="inlineStr">
        <x:is>
          <x:t xml:space="preserve">Development</x:t>
        </x:is>
      </x:c>
      <x:c r="G703" s="160" t="inlineStr">
        <x:is>
          <x:t xml:space="preserve">S10</x:t>
        </x:is>
      </x:c>
      <x:c r="H703" s="160" t="inlineStr">
        <x:is>
          <x:t xml:space="preserve">Control / Counterfactual</x:t>
        </x:is>
      </x:c>
      <x:c r="I703" s="160" t="inlineStr">
        <x:is>
          <x:t xml:space="preserve">Sector beta vs company alpha</x:t>
        </x:is>
      </x:c>
      <x:c r="J703" s="160" t="inlineStr">
        <x:is>
          <x:t xml:space="preserve">A positive outcome is mostly sector beta or macro tailwind, not company-specific alpha.</x:t>
        </x:is>
      </x:c>
      <x:c r="K703" s="160" t="inlineStr">
        <x:is>
          <x:t xml:space="preserve">Traffic × monetization plus cloud economics minus AI capex</x:t>
        </x:is>
      </x:c>
      <x:c r="L703" s="160" t="inlineStr">
        <x:is>
          <x:t xml:space="preserve">Owner earnings + SOTP</x:t>
        </x:is>
      </x:c>
      <x:c r="M703" s="160" t="inlineStr">
        <x:is>
          <x:t xml:space="preserve">WATCH</x:t>
        </x:is>
      </x:c>
      <x:c r="N703" s="160" t="inlineStr">
        <x:is>
          <x:t xml:space="preserve">R-CF-01</x:t>
        </x:is>
      </x:c>
      <x:c r="O703" s="160" t="inlineStr">
        <x:is>
          <x:t xml:space="preserve">COUNTER-EVIDENCE</x:t>
        </x:is>
      </x:c>
      <x:c r="P703" s="160" t="inlineStr">
        <x:is>
          <x:t xml:space="preserve">ROBUST</x:t>
        </x:is>
      </x:c>
      <x:c r="Q703" s="160" t="inlineStr">
        <x:is>
          <x:t xml:space="preserve">The mature simulation rule catches the stress without weakening a fatal gate; no rule relaxation is justified.</x:t>
        </x:is>
      </x:c>
      <x:c r="R703" s="160" t="inlineStr">
        <x:is>
          <x:t xml:space="preserve">Require a true economic control and counterfactual: what should have happened to a comparable company under the same shock?</x:t>
        </x:is>
      </x:c>
      <x:c r="S703" s="160" t="inlineStr">
        <x:is>
          <x:t xml:space="preserve">NO</x:t>
        </x:is>
      </x:c>
      <x:c r="T703" s="160" t="inlineStr">
        <x:is>
          <x:t xml:space="preserve">COUNTER-EVIDENCE</x:t>
        </x:is>
      </x:c>
      <x:c r="U703" s="160" t="inlineStr">
        <x:is>
          <x:t xml:space="preserve">V10.5-SIM62</x:t>
        </x:is>
      </x:c>
      <x:c r="V703" s="160" t="inlineStr">
        <x:is>
          <x:t xml:space="preserve">https://abc.xyz/investor/</x:t>
        </x:is>
      </x:c>
      <x:c r="W703" s="160" t="inlineStr">
        <x:is>
          <x:t xml:space="preserve">NO</x:t>
        </x:is>
      </x:c>
      <x:c r="X703" s="160" t="inlineStr">
        <x:is>
          <x:t xml:space="preserve">NONE — DEVELOPMENT ONLY</x:t>
        </x:is>
      </x:c>
      <x:c r="Y703" s="160" t="inlineStr">
        <x:is>
          <x:t xml:space="preserve">Synthetic/adversarial model-development loop. No historical outcome is claimed; no accuracy point is awarded.</x:t>
        </x:is>
      </x:c>
    </x:row>
    <x:row r="704">
      <x:c r="A704" s="160" t="inlineStr">
        <x:is>
          <x:t xml:space="preserve">ML0699</x:t>
        </x:is>
      </x:c>
      <x:c r="B704" s="160" t="inlineStr">
        <x:is>
          <x:t xml:space="preserve">ARG-044</x:t>
        </x:is>
      </x:c>
      <x:c r="C704" s="160" t="inlineStr">
        <x:is>
          <x:t xml:space="preserve">Alphabet</x:t>
        </x:is>
      </x:c>
      <x:c r="D704" s="160" t="inlineStr">
        <x:is>
          <x:t xml:space="preserve">GOOGL</x:t>
        </x:is>
      </x:c>
      <x:c r="E704" s="160" t="inlineStr">
        <x:is>
          <x:t xml:space="preserve">Media &amp; Internet</x:t>
        </x:is>
      </x:c>
      <x:c r="F704" s="160" t="inlineStr">
        <x:is>
          <x:t xml:space="preserve">Development</x:t>
        </x:is>
      </x:c>
      <x:c r="G704" s="160" t="inlineStr">
        <x:is>
          <x:t xml:space="preserve">S11</x:t>
        </x:is>
      </x:c>
      <x:c r="H704" s="160" t="inlineStr">
        <x:is>
          <x:t xml:space="preserve">False-Negative Discipline</x:t>
        </x:is>
      </x:c>
      <x:c r="I704" s="160" t="inlineStr">
        <x:is>
          <x:t xml:space="preserve">False negative</x:t>
        </x:is>
      </x:c>
      <x:c r="J704" s="160" t="inlineStr">
        <x:is>
          <x:t xml:space="preserve">A strict gate rejects a company that later compounds strongly for reasons the model could have known.</x:t>
        </x:is>
      </x:c>
      <x:c r="K704" s="160" t="inlineStr">
        <x:is>
          <x:t xml:space="preserve">Traffic × monetization plus cloud economics minus AI capex</x:t>
        </x:is>
      </x:c>
      <x:c r="L704" s="160" t="inlineStr">
        <x:is>
          <x:t xml:space="preserve">Owner earnings + SOTP</x:t>
        </x:is>
      </x:c>
      <x:c r="M704" s="160" t="inlineStr">
        <x:is>
          <x:t xml:space="preserve">WATCH</x:t>
        </x:is>
      </x:c>
      <x:c r="N704" s="160" t="inlineStr">
        <x:is>
          <x:t xml:space="preserve">R-FN-01</x:t>
        </x:is>
      </x:c>
      <x:c r="O704" s="160" t="inlineStr">
        <x:is>
          <x:t xml:space="preserve">COUNTER-EVIDENCE</x:t>
        </x:is>
      </x:c>
      <x:c r="P704" s="160" t="inlineStr">
        <x:is>
          <x:t xml:space="preserve">ROBUST</x:t>
        </x:is>
      </x:c>
      <x:c r="Q704" s="160" t="inlineStr">
        <x:is>
          <x:t xml:space="preserve">The mature simulation rule catches the stress without weakening a fatal gate; no rule relaxation is justified.</x:t>
        </x:is>
      </x:c>
      <x:c r="R704" s="160" t="inlineStr">
        <x:is>
          <x:t xml:space="preserve">Track opportunity cost and classify whether the miss came from evidence timing, wrong threshold or genuinely unknowable upside.</x:t>
        </x:is>
      </x:c>
      <x:c r="S704" s="160" t="inlineStr">
        <x:is>
          <x:t xml:space="preserve">NO</x:t>
        </x:is>
      </x:c>
      <x:c r="T704" s="160" t="inlineStr">
        <x:is>
          <x:t xml:space="preserve">COUNTER-EVIDENCE</x:t>
        </x:is>
      </x:c>
      <x:c r="U704" s="160" t="inlineStr">
        <x:is>
          <x:t xml:space="preserve">V10.5-SIM62</x:t>
        </x:is>
      </x:c>
      <x:c r="V704" s="160" t="inlineStr">
        <x:is>
          <x:t xml:space="preserve">https://abc.xyz/investor/</x:t>
        </x:is>
      </x:c>
      <x:c r="W704" s="160" t="inlineStr">
        <x:is>
          <x:t xml:space="preserve">NO</x:t>
        </x:is>
      </x:c>
      <x:c r="X704" s="160" t="inlineStr">
        <x:is>
          <x:t xml:space="preserve">NONE — DEVELOPMENT ONLY</x:t>
        </x:is>
      </x:c>
      <x:c r="Y704" s="160" t="inlineStr">
        <x:is>
          <x:t xml:space="preserve">Synthetic/adversarial model-development loop. No historical outcome is claimed; no accuracy point is awarded.</x:t>
        </x:is>
      </x:c>
    </x:row>
    <x:row r="705">
      <x:c r="A705" s="160" t="inlineStr">
        <x:is>
          <x:t xml:space="preserve">ML0700</x:t>
        </x:is>
      </x:c>
      <x:c r="B705" s="160" t="inlineStr">
        <x:is>
          <x:t xml:space="preserve">ARG-044</x:t>
        </x:is>
      </x:c>
      <x:c r="C705" s="160" t="inlineStr">
        <x:is>
          <x:t xml:space="preserve">Alphabet</x:t>
        </x:is>
      </x:c>
      <x:c r="D705" s="160" t="inlineStr">
        <x:is>
          <x:t xml:space="preserve">GOOGL</x:t>
        </x:is>
      </x:c>
      <x:c r="E705" s="160" t="inlineStr">
        <x:is>
          <x:t xml:space="preserve">Media &amp; Internet</x:t>
        </x:is>
      </x:c>
      <x:c r="F705" s="160" t="inlineStr">
        <x:is>
          <x:t xml:space="preserve">Development</x:t>
        </x:is>
      </x:c>
      <x:c r="G705" s="160" t="inlineStr">
        <x:is>
          <x:t xml:space="preserve">S12</x:t>
        </x:is>
      </x:c>
      <x:c r="H705" s="160" t="inlineStr">
        <x:is>
          <x:t xml:space="preserve">Lead-Time / Early Sensor</x:t>
        </x:is>
      </x:c>
      <x:c r="I705" s="160" t="inlineStr">
        <x:is>
          <x:t xml:space="preserve">Timing / lead-time</x:t>
        </x:is>
      </x:c>
      <x:c r="J705" s="160" t="inlineStr">
        <x:is>
          <x:t xml:space="preserve">ARGUS identifies the change correctly but only after consensus and price have already reacted.</x:t>
        </x:is>
      </x:c>
      <x:c r="K705" s="160" t="inlineStr">
        <x:is>
          <x:t xml:space="preserve">Traffic × monetization plus cloud economics minus AI capex</x:t>
        </x:is>
      </x:c>
      <x:c r="L705" s="160" t="inlineStr">
        <x:is>
          <x:t xml:space="preserve">Owner earnings + SOTP</x:t>
        </x:is>
      </x:c>
      <x:c r="M705" s="160" t="inlineStr">
        <x:is>
          <x:t xml:space="preserve">WATCH</x:t>
        </x:is>
      </x:c>
      <x:c r="N705" s="160" t="inlineStr">
        <x:is>
          <x:t xml:space="preserve">R-TIME-01</x:t>
        </x:is>
      </x:c>
      <x:c r="O705" s="160" t="inlineStr">
        <x:is>
          <x:t xml:space="preserve">COUNTER-EVIDENCE</x:t>
        </x:is>
      </x:c>
      <x:c r="P705" s="160" t="inlineStr">
        <x:is>
          <x:t xml:space="preserve">ROBUST</x:t>
        </x:is>
      </x:c>
      <x:c r="Q705" s="160" t="inlineStr">
        <x:is>
          <x:t xml:space="preserve">The mature simulation rule catches the stress without weakening a fatal gate; no rule relaxation is justified.</x:t>
        </x:is>
      </x:c>
      <x:c r="R705" s="160" t="inlineStr">
        <x:is>
          <x:t xml:space="preserve">Replace lagging financial metrics with earlier causal operating sensors and record lead time separately from correctness.</x:t>
        </x:is>
      </x:c>
      <x:c r="S705" s="160" t="inlineStr">
        <x:is>
          <x:t xml:space="preserve">NO</x:t>
        </x:is>
      </x:c>
      <x:c r="T705" s="160" t="inlineStr">
        <x:is>
          <x:t xml:space="preserve">COUNTER-EVIDENCE</x:t>
        </x:is>
      </x:c>
      <x:c r="U705" s="160" t="inlineStr">
        <x:is>
          <x:t xml:space="preserve">V10.5-SIM62</x:t>
        </x:is>
      </x:c>
      <x:c r="V705" s="160" t="inlineStr">
        <x:is>
          <x:t xml:space="preserve">https://abc.xyz/investor/</x:t>
        </x:is>
      </x:c>
      <x:c r="W705" s="160" t="inlineStr">
        <x:is>
          <x:t xml:space="preserve">NO</x:t>
        </x:is>
      </x:c>
      <x:c r="X705" s="160" t="inlineStr">
        <x:is>
          <x:t xml:space="preserve">NONE — DEVELOPMENT ONLY</x:t>
        </x:is>
      </x:c>
      <x:c r="Y705" s="160" t="inlineStr">
        <x:is>
          <x:t xml:space="preserve">Synthetic/adversarial model-development loop. No historical outcome is claimed; no accuracy point is awarded.</x:t>
        </x:is>
      </x:c>
    </x:row>
    <x:row r="706">
      <x:c r="A706" s="160" t="inlineStr">
        <x:is>
          <x:t xml:space="preserve">ML0701</x:t>
        </x:is>
      </x:c>
      <x:c r="B706" s="160" t="inlineStr">
        <x:is>
          <x:t xml:space="preserve">ARG-044</x:t>
        </x:is>
      </x:c>
      <x:c r="C706" s="160" t="inlineStr">
        <x:is>
          <x:t xml:space="preserve">Alphabet</x:t>
        </x:is>
      </x:c>
      <x:c r="D706" s="160" t="inlineStr">
        <x:is>
          <x:t xml:space="preserve">GOOGL</x:t>
        </x:is>
      </x:c>
      <x:c r="E706" s="160" t="inlineStr">
        <x:is>
          <x:t xml:space="preserve">Media &amp; Internet</x:t>
        </x:is>
      </x:c>
      <x:c r="F706" s="160" t="inlineStr">
        <x:is>
          <x:t xml:space="preserve">Development</x:t>
        </x:is>
      </x:c>
      <x:c r="G706" s="160" t="inlineStr">
        <x:is>
          <x:t xml:space="preserve">S13</x:t>
        </x:is>
      </x:c>
      <x:c r="H706" s="160" t="inlineStr">
        <x:is>
          <x:t xml:space="preserve">Cycle Normalization</x:t>
        </x:is>
      </x:c>
      <x:c r="I706" s="160" t="inlineStr">
        <x:is>
          <x:t xml:space="preserve">Wrong valuation lens</x:t>
        </x:is>
      </x:c>
      <x:c r="J706" s="160" t="inlineStr">
        <x:is>
          <x:t xml:space="preserve">Peak/trough earnings are mistaken for normalized earning power.</x:t>
        </x:is>
      </x:c>
      <x:c r="K706" s="160" t="inlineStr">
        <x:is>
          <x:t xml:space="preserve">Traffic × monetization plus cloud economics minus AI capex</x:t>
        </x:is>
      </x:c>
      <x:c r="L706" s="160" t="inlineStr">
        <x:is>
          <x:t xml:space="preserve">Owner earnings + SOTP</x:t>
        </x:is>
      </x:c>
      <x:c r="M706" s="160" t="inlineStr">
        <x:is>
          <x:t xml:space="preserve">WATCH</x:t>
        </x:is>
      </x:c>
      <x:c r="N706" s="160" t="inlineStr">
        <x:is>
          <x:t xml:space="preserve">R-CYCLE-01</x:t>
        </x:is>
      </x:c>
      <x:c r="O706" s="160" t="inlineStr">
        <x:is>
          <x:t xml:space="preserve">COUNTER-EVIDENCE</x:t>
        </x:is>
      </x:c>
      <x:c r="P706" s="160" t="inlineStr">
        <x:is>
          <x:t xml:space="preserve">ROBUST</x:t>
        </x:is>
      </x:c>
      <x:c r="Q706" s="160" t="inlineStr">
        <x:is>
          <x:t xml:space="preserve">The mature simulation rule catches the stress without weakening a fatal gate; no rule relaxation is justified.</x:t>
        </x:is>
      </x:c>
      <x:c r="R706" s="160" t="inlineStr">
        <x:is>
          <x:t xml:space="preserve">Use sector-specific mid-cycle/NAV/rate-base/rNPV normalization before applying a valuation multiple.</x:t>
        </x:is>
      </x:c>
      <x:c r="S706" s="160" t="inlineStr">
        <x:is>
          <x:t xml:space="preserve">NO</x:t>
        </x:is>
      </x:c>
      <x:c r="T706" s="160" t="inlineStr">
        <x:is>
          <x:t xml:space="preserve">COUNTER-EVIDENCE</x:t>
        </x:is>
      </x:c>
      <x:c r="U706" s="160" t="inlineStr">
        <x:is>
          <x:t xml:space="preserve">V10.5-SIM62</x:t>
        </x:is>
      </x:c>
      <x:c r="V706" s="160" t="inlineStr">
        <x:is>
          <x:t xml:space="preserve">https://abc.xyz/investor/</x:t>
        </x:is>
      </x:c>
      <x:c r="W706" s="160" t="inlineStr">
        <x:is>
          <x:t xml:space="preserve">NO</x:t>
        </x:is>
      </x:c>
      <x:c r="X706" s="160" t="inlineStr">
        <x:is>
          <x:t xml:space="preserve">NONE — DEVELOPMENT ONLY</x:t>
        </x:is>
      </x:c>
      <x:c r="Y706" s="160" t="inlineStr">
        <x:is>
          <x:t xml:space="preserve">Synthetic/adversarial model-development loop. No historical outcome is claimed; no accuracy point is awarded.</x:t>
        </x:is>
      </x:c>
    </x:row>
    <x:row r="707">
      <x:c r="A707" s="160" t="inlineStr">
        <x:is>
          <x:t xml:space="preserve">ML0702</x:t>
        </x:is>
      </x:c>
      <x:c r="B707" s="160" t="inlineStr">
        <x:is>
          <x:t xml:space="preserve">ARG-044</x:t>
        </x:is>
      </x:c>
      <x:c r="C707" s="160" t="inlineStr">
        <x:is>
          <x:t xml:space="preserve">Alphabet</x:t>
        </x:is>
      </x:c>
      <x:c r="D707" s="160" t="inlineStr">
        <x:is>
          <x:t xml:space="preserve">GOOGL</x:t>
        </x:is>
      </x:c>
      <x:c r="E707" s="160" t="inlineStr">
        <x:is>
          <x:t xml:space="preserve">Media &amp; Internet</x:t>
        </x:is>
      </x:c>
      <x:c r="F707" s="160" t="inlineStr">
        <x:is>
          <x:t xml:space="preserve">Development</x:t>
        </x:is>
      </x:c>
      <x:c r="G707" s="160" t="inlineStr">
        <x:is>
          <x:t xml:space="preserve">S14</x:t>
        </x:is>
      </x:c>
      <x:c r="H707" s="160" t="inlineStr">
        <x:is>
          <x:t xml:space="preserve">M&amp;A / Organic Growth Separation</x:t>
        </x:is>
      </x:c>
      <x:c r="I707" s="160" t="inlineStr">
        <x:is>
          <x:t xml:space="preserve">Stewardship</x:t>
        </x:is>
      </x:c>
      <x:c r="J707" s="160" t="inlineStr">
        <x:is>
          <x:t xml:space="preserve">Acquisition-driven growth masks weak organic economics or poor incremental ROIC.</x:t>
        </x:is>
      </x:c>
      <x:c r="K707" s="160" t="inlineStr">
        <x:is>
          <x:t xml:space="preserve">Traffic × monetization plus cloud economics minus AI capex</x:t>
        </x:is>
      </x:c>
      <x:c r="L707" s="160" t="inlineStr">
        <x:is>
          <x:t xml:space="preserve">Owner earnings + SOTP</x:t>
        </x:is>
      </x:c>
      <x:c r="M707" s="160" t="inlineStr">
        <x:is>
          <x:t xml:space="preserve">WATCH</x:t>
        </x:is>
      </x:c>
      <x:c r="N707" s="160" t="inlineStr">
        <x:is>
          <x:t xml:space="preserve">R-MA-01</x:t>
        </x:is>
      </x:c>
      <x:c r="O707" s="160" t="inlineStr">
        <x:is>
          <x:t xml:space="preserve">COUNTER-EVIDENCE</x:t>
        </x:is>
      </x:c>
      <x:c r="P707" s="160" t="inlineStr">
        <x:is>
          <x:t xml:space="preserve">ROBUST</x:t>
        </x:is>
      </x:c>
      <x:c r="Q707" s="160" t="inlineStr">
        <x:is>
          <x:t xml:space="preserve">The mature simulation rule catches the stress without weakening a fatal gate; no rule relaxation is justified.</x:t>
        </x:is>
      </x:c>
      <x:c r="R707" s="160" t="inlineStr">
        <x:is>
          <x:t xml:space="preserve">Bridge organic growth, acquired growth, purchase price, integration costs and acquisition-cohort ROIC.</x:t>
        </x:is>
      </x:c>
      <x:c r="S707" s="160" t="inlineStr">
        <x:is>
          <x:t xml:space="preserve">NO</x:t>
        </x:is>
      </x:c>
      <x:c r="T707" s="160" t="inlineStr">
        <x:is>
          <x:t xml:space="preserve">COUNTER-EVIDENCE</x:t>
        </x:is>
      </x:c>
      <x:c r="U707" s="160" t="inlineStr">
        <x:is>
          <x:t xml:space="preserve">V10.5-SIM62</x:t>
        </x:is>
      </x:c>
      <x:c r="V707" s="160" t="inlineStr">
        <x:is>
          <x:t xml:space="preserve">https://abc.xyz/investor/</x:t>
        </x:is>
      </x:c>
      <x:c r="W707" s="160" t="inlineStr">
        <x:is>
          <x:t xml:space="preserve">NO</x:t>
        </x:is>
      </x:c>
      <x:c r="X707" s="160" t="inlineStr">
        <x:is>
          <x:t xml:space="preserve">NONE — DEVELOPMENT ONLY</x:t>
        </x:is>
      </x:c>
      <x:c r="Y707" s="160" t="inlineStr">
        <x:is>
          <x:t xml:space="preserve">Synthetic/adversarial model-development loop. No historical outcome is claimed; no accuracy point is awarded.</x:t>
        </x:is>
      </x:c>
    </x:row>
    <x:row r="708">
      <x:c r="A708" s="160" t="inlineStr">
        <x:is>
          <x:t xml:space="preserve">ML0703</x:t>
        </x:is>
      </x:c>
      <x:c r="B708" s="160" t="inlineStr">
        <x:is>
          <x:t xml:space="preserve">ARG-044</x:t>
        </x:is>
      </x:c>
      <x:c r="C708" s="160" t="inlineStr">
        <x:is>
          <x:t xml:space="preserve">Alphabet</x:t>
        </x:is>
      </x:c>
      <x:c r="D708" s="160" t="inlineStr">
        <x:is>
          <x:t xml:space="preserve">GOOGL</x:t>
        </x:is>
      </x:c>
      <x:c r="E708" s="160" t="inlineStr">
        <x:is>
          <x:t xml:space="preserve">Media &amp; Internet</x:t>
        </x:is>
      </x:c>
      <x:c r="F708" s="160" t="inlineStr">
        <x:is>
          <x:t xml:space="preserve">Development</x:t>
        </x:is>
      </x:c>
      <x:c r="G708" s="160" t="inlineStr">
        <x:is>
          <x:t xml:space="preserve">S15</x:t>
        </x:is>
      </x:c>
      <x:c r="H708" s="160" t="inlineStr">
        <x:is>
          <x:t xml:space="preserve">Financing / Dilution Per Share</x:t>
        </x:is>
      </x:c>
      <x:c r="I708" s="160" t="inlineStr">
        <x:is>
          <x:t xml:space="preserve">Stewardship</x:t>
        </x:is>
      </x:c>
      <x:c r="J708" s="160" t="inlineStr">
        <x:is>
          <x:t xml:space="preserve">Cash balance or revenue growth improves while financing causes material per-share value leakage.</x:t>
        </x:is>
      </x:c>
      <x:c r="K708" s="160" t="inlineStr">
        <x:is>
          <x:t xml:space="preserve">Traffic × monetization plus cloud economics minus AI capex</x:t>
        </x:is>
      </x:c>
      <x:c r="L708" s="160" t="inlineStr">
        <x:is>
          <x:t xml:space="preserve">Owner earnings + SOTP</x:t>
        </x:is>
      </x:c>
      <x:c r="M708" s="160" t="inlineStr">
        <x:is>
          <x:t xml:space="preserve">WATCH</x:t>
        </x:is>
      </x:c>
      <x:c r="N708" s="160" t="inlineStr">
        <x:is>
          <x:t xml:space="preserve">R-DIL-01</x:t>
        </x:is>
      </x:c>
      <x:c r="O708" s="160" t="inlineStr">
        <x:is>
          <x:t xml:space="preserve">COUNTER-EVIDENCE</x:t>
        </x:is>
      </x:c>
      <x:c r="P708" s="160" t="inlineStr">
        <x:is>
          <x:t xml:space="preserve">ROBUST</x:t>
        </x:is>
      </x:c>
      <x:c r="Q708" s="160" t="inlineStr">
        <x:is>
          <x:t xml:space="preserve">The mature simulation rule catches the stress without weakening a fatal gate; no rule relaxation is justified.</x:t>
        </x:is>
      </x:c>
      <x:c r="R708" s="160" t="inlineStr">
        <x:is>
          <x:t xml:space="preserve">Reconcile share-count growth, SBC, equity issuance, buybacks and net cash changes to per-share intrinsic value.</x:t>
        </x:is>
      </x:c>
      <x:c r="S708" s="160" t="inlineStr">
        <x:is>
          <x:t xml:space="preserve">NO</x:t>
        </x:is>
      </x:c>
      <x:c r="T708" s="160" t="inlineStr">
        <x:is>
          <x:t xml:space="preserve">COUNTER-EVIDENCE</x:t>
        </x:is>
      </x:c>
      <x:c r="U708" s="160" t="inlineStr">
        <x:is>
          <x:t xml:space="preserve">V10.5-SIM62</x:t>
        </x:is>
      </x:c>
      <x:c r="V708" s="160" t="inlineStr">
        <x:is>
          <x:t xml:space="preserve">https://abc.xyz/investor/</x:t>
        </x:is>
      </x:c>
      <x:c r="W708" s="160" t="inlineStr">
        <x:is>
          <x:t xml:space="preserve">NO</x:t>
        </x:is>
      </x:c>
      <x:c r="X708" s="160" t="inlineStr">
        <x:is>
          <x:t xml:space="preserve">NONE — DEVELOPMENT ONLY</x:t>
        </x:is>
      </x:c>
      <x:c r="Y708" s="160" t="inlineStr">
        <x:is>
          <x:t xml:space="preserve">Synthetic/adversarial model-development loop. No historical outcome is claimed; no accuracy point is awarded.</x:t>
        </x:is>
      </x:c>
    </x:row>
    <x:row r="709">
      <x:c r="A709" s="160" t="inlineStr">
        <x:is>
          <x:t xml:space="preserve">ML0704</x:t>
        </x:is>
      </x:c>
      <x:c r="B709" s="160" t="inlineStr">
        <x:is>
          <x:t xml:space="preserve">ARG-044</x:t>
        </x:is>
      </x:c>
      <x:c r="C709" s="160" t="inlineStr">
        <x:is>
          <x:t xml:space="preserve">Alphabet</x:t>
        </x:is>
      </x:c>
      <x:c r="D709" s="160" t="inlineStr">
        <x:is>
          <x:t xml:space="preserve">GOOGL</x:t>
        </x:is>
      </x:c>
      <x:c r="E709" s="160" t="inlineStr">
        <x:is>
          <x:t xml:space="preserve">Media &amp; Internet</x:t>
        </x:is>
      </x:c>
      <x:c r="F709" s="160" t="inlineStr">
        <x:is>
          <x:t xml:space="preserve">Development</x:t>
        </x:is>
      </x:c>
      <x:c r="G709" s="160" t="inlineStr">
        <x:is>
          <x:t xml:space="preserve">S16</x:t>
        </x:is>
      </x:c>
      <x:c r="H709" s="160" t="inlineStr">
        <x:is>
          <x:t xml:space="preserve">Concentration / Tail Risk</x:t>
        </x:is>
      </x:c>
      <x:c r="I709" s="160" t="inlineStr">
        <x:is>
          <x:t xml:space="preserve">Survival</x:t>
        </x:is>
      </x:c>
      <x:c r="J709" s="160" t="inlineStr">
        <x:is>
          <x:t xml:space="preserve">A concentrated supplier, geography, customer, product, patent, regulatory or technology dependency creates asymmetric permanent-loss risk.</x:t>
        </x:is>
      </x:c>
      <x:c r="K709" s="160" t="inlineStr">
        <x:is>
          <x:t xml:space="preserve">Traffic × monetization plus cloud economics minus AI capex</x:t>
        </x:is>
      </x:c>
      <x:c r="L709" s="160" t="inlineStr">
        <x:is>
          <x:t xml:space="preserve">Owner earnings + SOTP</x:t>
        </x:is>
      </x:c>
      <x:c r="M709" s="160" t="inlineStr">
        <x:is>
          <x:t xml:space="preserve">WATCH</x:t>
        </x:is>
      </x:c>
      <x:c r="N709" s="160" t="inlineStr">
        <x:is>
          <x:t xml:space="preserve">R-TAIL-01</x:t>
        </x:is>
      </x:c>
      <x:c r="O709" s="160" t="inlineStr">
        <x:is>
          <x:t xml:space="preserve">COUNTER-EVIDENCE</x:t>
        </x:is>
      </x:c>
      <x:c r="P709" s="160" t="inlineStr">
        <x:is>
          <x:t xml:space="preserve">ROBUST</x:t>
        </x:is>
      </x:c>
      <x:c r="Q709" s="160" t="inlineStr">
        <x:is>
          <x:t xml:space="preserve">The mature simulation rule catches the stress without weakening a fatal gate; no rule relaxation is justified.</x:t>
        </x:is>
      </x:c>
      <x:c r="R709" s="160" t="inlineStr">
        <x:is>
          <x:t xml:space="preserve">Maintain an explicit concentration/tail-risk register with probability, severity, mitigation and required margin-of-safety premium.</x:t>
        </x:is>
      </x:c>
      <x:c r="S709" s="160" t="inlineStr">
        <x:is>
          <x:t xml:space="preserve">NO</x:t>
        </x:is>
      </x:c>
      <x:c r="T709" s="160" t="inlineStr">
        <x:is>
          <x:t xml:space="preserve">COUNTER-EVIDENCE</x:t>
        </x:is>
      </x:c>
      <x:c r="U709" s="160" t="inlineStr">
        <x:is>
          <x:t xml:space="preserve">V10.5-SIM62</x:t>
        </x:is>
      </x:c>
      <x:c r="V709" s="160" t="inlineStr">
        <x:is>
          <x:t xml:space="preserve">https://abc.xyz/investor/</x:t>
        </x:is>
      </x:c>
      <x:c r="W709" s="160" t="inlineStr">
        <x:is>
          <x:t xml:space="preserve">NO</x:t>
        </x:is>
      </x:c>
      <x:c r="X709" s="160" t="inlineStr">
        <x:is>
          <x:t xml:space="preserve">NONE — DEVELOPMENT ONLY</x:t>
        </x:is>
      </x:c>
      <x:c r="Y709" s="160" t="inlineStr">
        <x:is>
          <x:t xml:space="preserve">Synthetic/adversarial model-development loop. No historical outcome is claimed; no accuracy point is awarded.</x:t>
        </x:is>
      </x:c>
    </x:row>
    <x:row r="710">
      <x:c r="A710" s="160" t="inlineStr">
        <x:is>
          <x:t xml:space="preserve">ML0705</x:t>
        </x:is>
      </x:c>
      <x:c r="B710" s="160" t="inlineStr">
        <x:is>
          <x:t xml:space="preserve">ARG-045</x:t>
        </x:is>
      </x:c>
      <x:c r="C710" s="160" t="inlineStr">
        <x:is>
          <x:t xml:space="preserve">Meta Platforms</x:t>
        </x:is>
      </x:c>
      <x:c r="D710" s="160" t="inlineStr">
        <x:is>
          <x:t xml:space="preserve">META</x:t>
        </x:is>
      </x:c>
      <x:c r="E710" s="160" t="inlineStr">
        <x:is>
          <x:t xml:space="preserve">Media &amp; Internet</x:t>
        </x:is>
      </x:c>
      <x:c r="F710" s="160" t="inlineStr">
        <x:is>
          <x:t xml:space="preserve">Development</x:t>
        </x:is>
      </x:c>
      <x:c r="G710" s="160" t="inlineStr">
        <x:is>
          <x:t xml:space="preserve">S01</x:t>
        </x:is>
      </x:c>
      <x:c r="H710" s="160" t="inlineStr">
        <x:is>
          <x:t xml:space="preserve">Understanding Gate</x:t>
        </x:is>
      </x:c>
      <x:c r="I710" s="160" t="inlineStr">
        <x:is>
          <x:t xml:space="preserve">Understanding</x:t>
        </x:is>
      </x:c>
      <x:c r="J710" s="160" t="inlineStr">
        <x:is>
          <x:t xml:space="preserve">Causal engine / customer ROI chain breaks under a misleading headline KPI.</x:t>
        </x:is>
      </x:c>
      <x:c r="K710" s="160" t="inlineStr">
        <x:is>
          <x:t xml:space="preserve">Engagement × ad monetization − AI/infrastructure capex</x:t>
        </x:is>
      </x:c>
      <x:c r="L710" s="160" t="inlineStr">
        <x:is>
          <x:t xml:space="preserve">Owner earnings + reverse DCF</x:t>
        </x:is>
      </x:c>
      <x:c r="M710" s="160" t="inlineStr">
        <x:is>
          <x:t xml:space="preserve">WATCH</x:t>
        </x:is>
      </x:c>
      <x:c r="N710" s="160" t="inlineStr">
        <x:is>
          <x:t xml:space="preserve">R-ENG-01</x:t>
        </x:is>
      </x:c>
      <x:c r="O710" s="160" t="inlineStr">
        <x:is>
          <x:t xml:space="preserve">COUNTER-EVIDENCE</x:t>
        </x:is>
      </x:c>
      <x:c r="P710" s="160" t="inlineStr">
        <x:is>
          <x:t xml:space="preserve">ROBUST</x:t>
        </x:is>
      </x:c>
      <x:c r="Q710" s="160" t="inlineStr">
        <x:is>
          <x:t xml:space="preserve">The mature simulation rule catches the stress without weakening a fatal gate; no rule relaxation is justified.</x:t>
        </x:is>
      </x:c>
      <x:c r="R710" s="160" t="inlineStr">
        <x:is>
          <x:t xml:space="preserve">Force an explicit engine tree: customer job → unit economics → revenue driver → owner-value bridge.</x:t>
        </x:is>
      </x:c>
      <x:c r="S710" s="160" t="inlineStr">
        <x:is>
          <x:t xml:space="preserve">NO</x:t>
        </x:is>
      </x:c>
      <x:c r="T710" s="160" t="inlineStr">
        <x:is>
          <x:t xml:space="preserve">COUNTER-EVIDENCE</x:t>
        </x:is>
      </x:c>
      <x:c r="U710" s="160" t="inlineStr">
        <x:is>
          <x:t xml:space="preserve">V10.5-SIM62</x:t>
        </x:is>
      </x:c>
      <x:c r="V710" s="160" t="inlineStr">
        <x:is>
          <x:t xml:space="preserve">https://investor.atmeta.com</x:t>
        </x:is>
      </x:c>
      <x:c r="W710" s="160" t="inlineStr">
        <x:is>
          <x:t xml:space="preserve">NO</x:t>
        </x:is>
      </x:c>
      <x:c r="X710" s="160" t="inlineStr">
        <x:is>
          <x:t xml:space="preserve">NONE — DEVELOPMENT ONLY</x:t>
        </x:is>
      </x:c>
      <x:c r="Y710" s="160" t="inlineStr">
        <x:is>
          <x:t xml:space="preserve">Synthetic/adversarial model-development loop. No historical outcome is claimed; no accuracy point is awarded.</x:t>
        </x:is>
      </x:c>
    </x:row>
    <x:row r="711">
      <x:c r="A711" s="160" t="inlineStr">
        <x:is>
          <x:t xml:space="preserve">ML0706</x:t>
        </x:is>
      </x:c>
      <x:c r="B711" s="160" t="inlineStr">
        <x:is>
          <x:t xml:space="preserve">ARG-045</x:t>
        </x:is>
      </x:c>
      <x:c r="C711" s="160" t="inlineStr">
        <x:is>
          <x:t xml:space="preserve">Meta Platforms</x:t>
        </x:is>
      </x:c>
      <x:c r="D711" s="160" t="inlineStr">
        <x:is>
          <x:t xml:space="preserve">META</x:t>
        </x:is>
      </x:c>
      <x:c r="E711" s="160" t="inlineStr">
        <x:is>
          <x:t xml:space="preserve">Media &amp; Internet</x:t>
        </x:is>
      </x:c>
      <x:c r="F711" s="160" t="inlineStr">
        <x:is>
          <x:t xml:space="preserve">Development</x:t>
        </x:is>
      </x:c>
      <x:c r="G711" s="160" t="inlineStr">
        <x:is>
          <x:t xml:space="preserve">S02</x:t>
        </x:is>
      </x:c>
      <x:c r="H711" s="160" t="inlineStr">
        <x:is>
          <x:t xml:space="preserve">Owner Earnings Normalization</x:t>
        </x:is>
      </x:c>
      <x:c r="I711" s="160" t="inlineStr">
        <x:is>
          <x:t xml:space="preserve">Owner Earnings</x:t>
        </x:is>
      </x:c>
      <x:c r="J711" s="160" t="inlineStr">
        <x:is>
          <x:t xml:space="preserve">Reported earnings/FCF overstates economic cash because recurring reinvestment or non-cash compensation is misclassified.</x:t>
        </x:is>
      </x:c>
      <x:c r="K711" s="160" t="inlineStr">
        <x:is>
          <x:t xml:space="preserve">Engagement × ad monetization − AI/infrastructure capex</x:t>
        </x:is>
      </x:c>
      <x:c r="L711" s="160" t="inlineStr">
        <x:is>
          <x:t xml:space="preserve">Owner earnings + reverse DCF</x:t>
        </x:is>
      </x:c>
      <x:c r="M711" s="160" t="inlineStr">
        <x:is>
          <x:t xml:space="preserve">WATCH</x:t>
        </x:is>
      </x:c>
      <x:c r="N711" s="160" t="inlineStr">
        <x:is>
          <x:t xml:space="preserve">R-OE-01</x:t>
        </x:is>
      </x:c>
      <x:c r="O711" s="160" t="inlineStr">
        <x:is>
          <x:t xml:space="preserve">COUNTER-EVIDENCE</x:t>
        </x:is>
      </x:c>
      <x:c r="P711" s="160" t="inlineStr">
        <x:is>
          <x:t xml:space="preserve">ROBUST</x:t>
        </x:is>
      </x:c>
      <x:c r="Q711" s="160" t="inlineStr">
        <x:is>
          <x:t xml:space="preserve">The mature simulation rule catches the stress without weakening a fatal gate; no rule relaxation is justified.</x:t>
        </x:is>
      </x:c>
      <x:c r="R711" s="160" t="inlineStr">
        <x:is>
          <x:t xml:space="preserve">Require a GAAP-to-economic-owner-cash bridge tailored to the business model.</x:t>
        </x:is>
      </x:c>
      <x:c r="S711" s="160" t="inlineStr">
        <x:is>
          <x:t xml:space="preserve">NO</x:t>
        </x:is>
      </x:c>
      <x:c r="T711" s="160" t="inlineStr">
        <x:is>
          <x:t xml:space="preserve">COUNTER-EVIDENCE</x:t>
        </x:is>
      </x:c>
      <x:c r="U711" s="160" t="inlineStr">
        <x:is>
          <x:t xml:space="preserve">V10.5-SIM62</x:t>
        </x:is>
      </x:c>
      <x:c r="V711" s="160" t="inlineStr">
        <x:is>
          <x:t xml:space="preserve">https://investor.atmeta.com</x:t>
        </x:is>
      </x:c>
      <x:c r="W711" s="160" t="inlineStr">
        <x:is>
          <x:t xml:space="preserve">NO</x:t>
        </x:is>
      </x:c>
      <x:c r="X711" s="160" t="inlineStr">
        <x:is>
          <x:t xml:space="preserve">NONE — DEVELOPMENT ONLY</x:t>
        </x:is>
      </x:c>
      <x:c r="Y711" s="160" t="inlineStr">
        <x:is>
          <x:t xml:space="preserve">Synthetic/adversarial model-development loop. No historical outcome is claimed; no accuracy point is awarded.</x:t>
        </x:is>
      </x:c>
    </x:row>
    <x:row r="712">
      <x:c r="A712" s="160" t="inlineStr">
        <x:is>
          <x:t xml:space="preserve">ML0707</x:t>
        </x:is>
      </x:c>
      <x:c r="B712" s="160" t="inlineStr">
        <x:is>
          <x:t xml:space="preserve">ARG-045</x:t>
        </x:is>
      </x:c>
      <x:c r="C712" s="160" t="inlineStr">
        <x:is>
          <x:t xml:space="preserve">Meta Platforms</x:t>
        </x:is>
      </x:c>
      <x:c r="D712" s="160" t="inlineStr">
        <x:is>
          <x:t xml:space="preserve">META</x:t>
        </x:is>
      </x:c>
      <x:c r="E712" s="160" t="inlineStr">
        <x:is>
          <x:t xml:space="preserve">Media &amp; Internet</x:t>
        </x:is>
      </x:c>
      <x:c r="F712" s="160" t="inlineStr">
        <x:is>
          <x:t xml:space="preserve">Development</x:t>
        </x:is>
      </x:c>
      <x:c r="G712" s="160" t="inlineStr">
        <x:is>
          <x:t xml:space="preserve">S03</x:t>
        </x:is>
      </x:c>
      <x:c r="H712" s="160" t="inlineStr">
        <x:is>
          <x:t xml:space="preserve">Moat Durability</x:t>
        </x:is>
      </x:c>
      <x:c r="I712" s="160" t="inlineStr">
        <x:is>
          <x:t xml:space="preserve">Moat 2036</x:t>
        </x:is>
      </x:c>
      <x:c r="J712" s="160" t="inlineStr">
        <x:is>
          <x:t xml:space="preserve">Growth continues while switching friction, pricing power or replacement difficulty quietly weakens.</x:t>
        </x:is>
      </x:c>
      <x:c r="K712" s="160" t="inlineStr">
        <x:is>
          <x:t xml:space="preserve">Engagement × ad monetization − AI/infrastructure capex</x:t>
        </x:is>
      </x:c>
      <x:c r="L712" s="160" t="inlineStr">
        <x:is>
          <x:t xml:space="preserve">Owner earnings + reverse DCF</x:t>
        </x:is>
      </x:c>
      <x:c r="M712" s="160" t="inlineStr">
        <x:is>
          <x:t xml:space="preserve">WATCH</x:t>
        </x:is>
      </x:c>
      <x:c r="N712" s="160" t="inlineStr">
        <x:is>
          <x:t xml:space="preserve">R-MOAT-01</x:t>
        </x:is>
      </x:c>
      <x:c r="O712" s="160" t="inlineStr">
        <x:is>
          <x:t xml:space="preserve">COUNTER-EVIDENCE</x:t>
        </x:is>
      </x:c>
      <x:c r="P712" s="160" t="inlineStr">
        <x:is>
          <x:t xml:space="preserve">ROBUST</x:t>
        </x:is>
      </x:c>
      <x:c r="Q712" s="160" t="inlineStr">
        <x:is>
          <x:t xml:space="preserve">The mature simulation rule catches the stress without weakening a fatal gate; no rule relaxation is justified.</x:t>
        </x:is>
      </x:c>
      <x:c r="R712" s="160" t="inlineStr">
        <x:is>
          <x:t xml:space="preserve">Track moat telemetry separately from growth: retention, pricing, win/loss, replacement friction, installed-base behavior.</x:t>
        </x:is>
      </x:c>
      <x:c r="S712" s="160" t="inlineStr">
        <x:is>
          <x:t xml:space="preserve">NO</x:t>
        </x:is>
      </x:c>
      <x:c r="T712" s="160" t="inlineStr">
        <x:is>
          <x:t xml:space="preserve">COUNTER-EVIDENCE</x:t>
        </x:is>
      </x:c>
      <x:c r="U712" s="160" t="inlineStr">
        <x:is>
          <x:t xml:space="preserve">V10.5-SIM62</x:t>
        </x:is>
      </x:c>
      <x:c r="V712" s="160" t="inlineStr">
        <x:is>
          <x:t xml:space="preserve">https://investor.atmeta.com</x:t>
        </x:is>
      </x:c>
      <x:c r="W712" s="160" t="inlineStr">
        <x:is>
          <x:t xml:space="preserve">NO</x:t>
        </x:is>
      </x:c>
      <x:c r="X712" s="160" t="inlineStr">
        <x:is>
          <x:t xml:space="preserve">NONE — DEVELOPMENT ONLY</x:t>
        </x:is>
      </x:c>
      <x:c r="Y712" s="160" t="inlineStr">
        <x:is>
          <x:t xml:space="preserve">Synthetic/adversarial model-development loop. No historical outcome is claimed; no accuracy point is awarded.</x:t>
        </x:is>
      </x:c>
    </x:row>
    <x:row r="713">
      <x:c r="A713" s="160" t="inlineStr">
        <x:is>
          <x:t xml:space="preserve">ML0708</x:t>
        </x:is>
      </x:c>
      <x:c r="B713" s="160" t="inlineStr">
        <x:is>
          <x:t xml:space="preserve">ARG-045</x:t>
        </x:is>
      </x:c>
      <x:c r="C713" s="160" t="inlineStr">
        <x:is>
          <x:t xml:space="preserve">Meta Platforms</x:t>
        </x:is>
      </x:c>
      <x:c r="D713" s="160" t="inlineStr">
        <x:is>
          <x:t xml:space="preserve">META</x:t>
        </x:is>
      </x:c>
      <x:c r="E713" s="160" t="inlineStr">
        <x:is>
          <x:t xml:space="preserve">Media &amp; Internet</x:t>
        </x:is>
      </x:c>
      <x:c r="F713" s="160" t="inlineStr">
        <x:is>
          <x:t xml:space="preserve">Development</x:t>
        </x:is>
      </x:c>
      <x:c r="G713" s="160" t="inlineStr">
        <x:is>
          <x:t xml:space="preserve">S04</x:t>
        </x:is>
      </x:c>
      <x:c r="H713" s="160" t="inlineStr">
        <x:is>
          <x:t xml:space="preserve">Stewardship / Capital Allocation</x:t>
        </x:is>
      </x:c>
      <x:c r="I713" s="160" t="inlineStr">
        <x:is>
          <x:t xml:space="preserve">Stewardship</x:t>
        </x:is>
      </x:c>
      <x:c r="J713" s="160" t="inlineStr">
        <x:is>
          <x:t xml:space="preserve">Management creates enterprise growth while destroying per-share value through M&amp;A, dilution, leverage or mistimed buybacks.</x:t>
        </x:is>
      </x:c>
      <x:c r="K713" s="160" t="inlineStr">
        <x:is>
          <x:t xml:space="preserve">Engagement × ad monetization − AI/infrastructure capex</x:t>
        </x:is>
      </x:c>
      <x:c r="L713" s="160" t="inlineStr">
        <x:is>
          <x:t xml:space="preserve">Owner earnings + reverse DCF</x:t>
        </x:is>
      </x:c>
      <x:c r="M713" s="160" t="inlineStr">
        <x:is>
          <x:t xml:space="preserve">WATCH</x:t>
        </x:is>
      </x:c>
      <x:c r="N713" s="160" t="inlineStr">
        <x:is>
          <x:t xml:space="preserve">R-STEW-01</x:t>
        </x:is>
      </x:c>
      <x:c r="O713" s="160" t="inlineStr">
        <x:is>
          <x:t xml:space="preserve">COUNTER-EVIDENCE</x:t>
        </x:is>
      </x:c>
      <x:c r="P713" s="160" t="inlineStr">
        <x:is>
          <x:t xml:space="preserve">ROBUST</x:t>
        </x:is>
      </x:c>
      <x:c r="Q713" s="160" t="inlineStr">
        <x:is>
          <x:t xml:space="preserve">The mature simulation rule catches the stress without weakening a fatal gate; no rule relaxation is justified.</x:t>
        </x:is>
      </x:c>
      <x:c r="R713" s="160" t="inlineStr">
        <x:is>
          <x:t xml:space="preserve">Evaluate capital allocation on a per-share basis using acquisition cohorts, dilution, leverage and repurchase price discipline.</x:t>
        </x:is>
      </x:c>
      <x:c r="S713" s="160" t="inlineStr">
        <x:is>
          <x:t xml:space="preserve">NO</x:t>
        </x:is>
      </x:c>
      <x:c r="T713" s="160" t="inlineStr">
        <x:is>
          <x:t xml:space="preserve">COUNTER-EVIDENCE</x:t>
        </x:is>
      </x:c>
      <x:c r="U713" s="160" t="inlineStr">
        <x:is>
          <x:t xml:space="preserve">V10.5-SIM62</x:t>
        </x:is>
      </x:c>
      <x:c r="V713" s="160" t="inlineStr">
        <x:is>
          <x:t xml:space="preserve">https://investor.atmeta.com</x:t>
        </x:is>
      </x:c>
      <x:c r="W713" s="160" t="inlineStr">
        <x:is>
          <x:t xml:space="preserve">NO</x:t>
        </x:is>
      </x:c>
      <x:c r="X713" s="160" t="inlineStr">
        <x:is>
          <x:t xml:space="preserve">NONE — DEVELOPMENT ONLY</x:t>
        </x:is>
      </x:c>
      <x:c r="Y713" s="160" t="inlineStr">
        <x:is>
          <x:t xml:space="preserve">Synthetic/adversarial model-development loop. No historical outcome is claimed; no accuracy point is awarded.</x:t>
        </x:is>
      </x:c>
    </x:row>
    <x:row r="714">
      <x:c r="A714" s="160" t="inlineStr">
        <x:is>
          <x:t xml:space="preserve">ML0709</x:t>
        </x:is>
      </x:c>
      <x:c r="B714" s="160" t="inlineStr">
        <x:is>
          <x:t xml:space="preserve">ARG-045</x:t>
        </x:is>
      </x:c>
      <x:c r="C714" s="160" t="inlineStr">
        <x:is>
          <x:t xml:space="preserve">Meta Platforms</x:t>
        </x:is>
      </x:c>
      <x:c r="D714" s="160" t="inlineStr">
        <x:is>
          <x:t xml:space="preserve">META</x:t>
        </x:is>
      </x:c>
      <x:c r="E714" s="160" t="inlineStr">
        <x:is>
          <x:t xml:space="preserve">Media &amp; Internet</x:t>
        </x:is>
      </x:c>
      <x:c r="F714" s="160" t="inlineStr">
        <x:is>
          <x:t xml:space="preserve">Development</x:t>
        </x:is>
      </x:c>
      <x:c r="G714" s="160" t="inlineStr">
        <x:is>
          <x:t xml:space="preserve">S05</x:t>
        </x:is>
      </x:c>
      <x:c r="H714" s="160" t="inlineStr">
        <x:is>
          <x:t xml:space="preserve">Survival / Funding</x:t>
        </x:is>
      </x:c>
      <x:c r="I714" s="160" t="inlineStr">
        <x:is>
          <x:t xml:space="preserve">Survival</x:t>
        </x:is>
      </x:c>
      <x:c r="J714" s="160" t="inlineStr">
        <x:is>
          <x:t xml:space="preserve">A plausible bear case exposes refinancing, liquidity, covenant, reserve, regulatory or operational fragility.</x:t>
        </x:is>
      </x:c>
      <x:c r="K714" s="160" t="inlineStr">
        <x:is>
          <x:t xml:space="preserve">Engagement × ad monetization − AI/infrastructure capex</x:t>
        </x:is>
      </x:c>
      <x:c r="L714" s="160" t="inlineStr">
        <x:is>
          <x:t xml:space="preserve">Owner earnings + reverse DCF</x:t>
        </x:is>
      </x:c>
      <x:c r="M714" s="160" t="inlineStr">
        <x:is>
          <x:t xml:space="preserve">WATCH</x:t>
        </x:is>
      </x:c>
      <x:c r="N714" s="160" t="inlineStr">
        <x:is>
          <x:t xml:space="preserve">R-SURV-01</x:t>
        </x:is>
      </x:c>
      <x:c r="O714" s="160" t="inlineStr">
        <x:is>
          <x:t xml:space="preserve">COUNTER-EVIDENCE</x:t>
        </x:is>
      </x:c>
      <x:c r="P714" s="160" t="inlineStr">
        <x:is>
          <x:t xml:space="preserve">ROBUST</x:t>
        </x:is>
      </x:c>
      <x:c r="Q714" s="160" t="inlineStr">
        <x:is>
          <x:t xml:space="preserve">The mature simulation rule catches the stress without weakening a fatal gate; no rule relaxation is justified.</x:t>
        </x:is>
      </x:c>
      <x:c r="R714" s="160" t="inlineStr">
        <x:is>
          <x:t xml:space="preserve">Run a company-specific survival bridge under a severe-but-plausible bear case before any upside underwriting.</x:t>
        </x:is>
      </x:c>
      <x:c r="S714" s="160" t="inlineStr">
        <x:is>
          <x:t xml:space="preserve">NO</x:t>
        </x:is>
      </x:c>
      <x:c r="T714" s="160" t="inlineStr">
        <x:is>
          <x:t xml:space="preserve">COUNTER-EVIDENCE</x:t>
        </x:is>
      </x:c>
      <x:c r="U714" s="160" t="inlineStr">
        <x:is>
          <x:t xml:space="preserve">V10.5-SIM62</x:t>
        </x:is>
      </x:c>
      <x:c r="V714" s="160" t="inlineStr">
        <x:is>
          <x:t xml:space="preserve">https://investor.atmeta.com</x:t>
        </x:is>
      </x:c>
      <x:c r="W714" s="160" t="inlineStr">
        <x:is>
          <x:t xml:space="preserve">NO</x:t>
        </x:is>
      </x:c>
      <x:c r="X714" s="160" t="inlineStr">
        <x:is>
          <x:t xml:space="preserve">NONE — DEVELOPMENT ONLY</x:t>
        </x:is>
      </x:c>
      <x:c r="Y714" s="160" t="inlineStr">
        <x:is>
          <x:t xml:space="preserve">Synthetic/adversarial model-development loop. No historical outcome is claimed; no accuracy point is awarded.</x:t>
        </x:is>
      </x:c>
    </x:row>
    <x:row r="715">
      <x:c r="A715" s="160" t="inlineStr">
        <x:is>
          <x:t xml:space="preserve">ML0710</x:t>
        </x:is>
      </x:c>
      <x:c r="B715" s="160" t="inlineStr">
        <x:is>
          <x:t xml:space="preserve">ARG-045</x:t>
        </x:is>
      </x:c>
      <x:c r="C715" s="160" t="inlineStr">
        <x:is>
          <x:t xml:space="preserve">Meta Platforms</x:t>
        </x:is>
      </x:c>
      <x:c r="D715" s="160" t="inlineStr">
        <x:is>
          <x:t xml:space="preserve">META</x:t>
        </x:is>
      </x:c>
      <x:c r="E715" s="160" t="inlineStr">
        <x:is>
          <x:t xml:space="preserve">Media &amp; Internet</x:t>
        </x:is>
      </x:c>
      <x:c r="F715" s="160" t="inlineStr">
        <x:is>
          <x:t xml:space="preserve">Development</x:t>
        </x:is>
      </x:c>
      <x:c r="G715" s="160" t="inlineStr">
        <x:is>
          <x:t xml:space="preserve">S06</x:t>
        </x:is>
      </x:c>
      <x:c r="H715" s="160" t="inlineStr">
        <x:is>
          <x:t xml:space="preserve">Margin of Safety</x:t>
        </x:is>
      </x:c>
      <x:c r="I715" s="160" t="inlineStr">
        <x:is>
          <x:t xml:space="preserve">Margin of Safety</x:t>
        </x:is>
      </x:c>
      <x:c r="J715" s="160" t="inlineStr">
        <x:is>
          <x:t xml:space="preserve">Business quality is high but the price embeds a fragile bull case.</x:t>
        </x:is>
      </x:c>
      <x:c r="K715" s="160" t="inlineStr">
        <x:is>
          <x:t xml:space="preserve">Engagement × ad monetization − AI/infrastructure capex</x:t>
        </x:is>
      </x:c>
      <x:c r="L715" s="160" t="inlineStr">
        <x:is>
          <x:t xml:space="preserve">Owner earnings + reverse DCF</x:t>
        </x:is>
      </x:c>
      <x:c r="M715" s="160" t="inlineStr">
        <x:is>
          <x:t xml:space="preserve">WATCH</x:t>
        </x:is>
      </x:c>
      <x:c r="N715" s="160" t="inlineStr">
        <x:is>
          <x:t xml:space="preserve">R-MOS-01</x:t>
        </x:is>
      </x:c>
      <x:c r="O715" s="160" t="inlineStr">
        <x:is>
          <x:t xml:space="preserve">COUNTER-EVIDENCE</x:t>
        </x:is>
      </x:c>
      <x:c r="P715" s="160" t="inlineStr">
        <x:is>
          <x:t xml:space="preserve">ROBUST</x:t>
        </x:is>
      </x:c>
      <x:c r="Q715" s="160" t="inlineStr">
        <x:is>
          <x:t xml:space="preserve">The mature simulation rule catches the stress without weakening a fatal gate; no rule relaxation is justified.</x:t>
        </x:is>
      </x:c>
      <x:c r="R715" s="160" t="inlineStr">
        <x:is>
          <x:t xml:space="preserve">Separate business-quality score from price decision; require reverse valuation and bear/base/bull IV ranges.</x:t>
        </x:is>
      </x:c>
      <x:c r="S715" s="160" t="inlineStr">
        <x:is>
          <x:t xml:space="preserve">NO</x:t>
        </x:is>
      </x:c>
      <x:c r="T715" s="160" t="inlineStr">
        <x:is>
          <x:t xml:space="preserve">COUNTER-EVIDENCE</x:t>
        </x:is>
      </x:c>
      <x:c r="U715" s="160" t="inlineStr">
        <x:is>
          <x:t xml:space="preserve">V10.5-SIM62</x:t>
        </x:is>
      </x:c>
      <x:c r="V715" s="160" t="inlineStr">
        <x:is>
          <x:t xml:space="preserve">https://investor.atmeta.com</x:t>
        </x:is>
      </x:c>
      <x:c r="W715" s="160" t="inlineStr">
        <x:is>
          <x:t xml:space="preserve">NO</x:t>
        </x:is>
      </x:c>
      <x:c r="X715" s="160" t="inlineStr">
        <x:is>
          <x:t xml:space="preserve">NONE — DEVELOPMENT ONLY</x:t>
        </x:is>
      </x:c>
      <x:c r="Y715" s="160" t="inlineStr">
        <x:is>
          <x:t xml:space="preserve">Synthetic/adversarial model-development loop. No historical outcome is claimed; no accuracy point is awarded.</x:t>
        </x:is>
      </x:c>
    </x:row>
    <x:row r="716">
      <x:c r="A716" s="160" t="inlineStr">
        <x:is>
          <x:t xml:space="preserve">ML0711</x:t>
        </x:is>
      </x:c>
      <x:c r="B716" s="160" t="inlineStr">
        <x:is>
          <x:t xml:space="preserve">ARG-045</x:t>
        </x:is>
      </x:c>
      <x:c r="C716" s="160" t="inlineStr">
        <x:is>
          <x:t xml:space="preserve">Meta Platforms</x:t>
        </x:is>
      </x:c>
      <x:c r="D716" s="160" t="inlineStr">
        <x:is>
          <x:t xml:space="preserve">META</x:t>
        </x:is>
      </x:c>
      <x:c r="E716" s="160" t="inlineStr">
        <x:is>
          <x:t xml:space="preserve">Media &amp; Internet</x:t>
        </x:is>
      </x:c>
      <x:c r="F716" s="160" t="inlineStr">
        <x:is>
          <x:t xml:space="preserve">Development</x:t>
        </x:is>
      </x:c>
      <x:c r="G716" s="160" t="inlineStr">
        <x:is>
          <x:t xml:space="preserve">S07</x:t>
        </x:is>
      </x:c>
      <x:c r="H716" s="160" t="inlineStr">
        <x:is>
          <x:t xml:space="preserve">Sector Shock</x:t>
        </x:is>
      </x:c>
      <x:c r="I716" s="160" t="inlineStr">
        <x:is>
          <x:t xml:space="preserve">Sector-specific</x:t>
        </x:is>
      </x:c>
      <x:c r="J716" s="160" t="inlineStr">
        <x:is>
          <x:t xml:space="preserve">Engagement grows while monetization quality, regulatory risk or infrastructure capex reduces incremental owner returns.</x:t>
        </x:is>
      </x:c>
      <x:c r="K716" s="160" t="inlineStr">
        <x:is>
          <x:t xml:space="preserve">Engagement × ad monetization − AI/infrastructure capex</x:t>
        </x:is>
      </x:c>
      <x:c r="L716" s="160" t="inlineStr">
        <x:is>
          <x:t xml:space="preserve">Owner earnings + reverse DCF</x:t>
        </x:is>
      </x:c>
      <x:c r="M716" s="160" t="inlineStr">
        <x:is>
          <x:t xml:space="preserve">WATCH</x:t>
        </x:is>
      </x:c>
      <x:c r="N716" s="160" t="inlineStr">
        <x:is>
          <x:t xml:space="preserve">R-SECTOR-MEDIA-INTERNET</x:t>
        </x:is>
      </x:c>
      <x:c r="O716" s="160" t="inlineStr">
        <x:is>
          <x:t xml:space="preserve">UNFORMED</x:t>
        </x:is>
      </x:c>
      <x:c r="P716" s="160" t="inlineStr">
        <x:is>
          <x:t xml:space="preserve">WEAKNESS EXPOSED</x:t>
        </x:is>
      </x:c>
      <x:c r="Q716" s="160" t="inlineStr">
        <x:is>
          <x:t xml:space="preserve">The frozen V10 gate family is directionally right, but the test lacks a sufficiently explicit mechanical implementation.</x:t>
        </x:is>
      </x:c>
      <x:c r="R716" s="160" t="inlineStr">
        <x:is>
          <x:t xml:space="preserve">Add a sector-specific transmission map with leading operating sensors, not only market-price variables. Sector rule: Engagement grows while monetization quality, regulatory risk or infrastructure capex reduces incremental owner returns.</x:t>
        </x:is>
      </x:c>
      <x:c r="S716" s="160" t="inlineStr">
        <x:is>
          <x:t xml:space="preserve">YES — SIMULATION ONLY</x:t>
        </x:is>
      </x:c>
      <x:c r="T716" s="160" t="inlineStr">
        <x:is>
          <x:t xml:space="preserve">BASE</x:t>
        </x:is>
      </x:c>
      <x:c r="U716" s="160" t="inlineStr">
        <x:is>
          <x:t xml:space="preserve">V10.5-SIM63</x:t>
        </x:is>
      </x:c>
      <x:c r="V716" s="160" t="inlineStr">
        <x:is>
          <x:t xml:space="preserve">https://investor.atmeta.com</x:t>
        </x:is>
      </x:c>
      <x:c r="W716" s="160" t="inlineStr">
        <x:is>
          <x:t xml:space="preserve">NO</x:t>
        </x:is>
      </x:c>
      <x:c r="X716" s="160" t="inlineStr">
        <x:is>
          <x:t xml:space="preserve">NONE — DEVELOPMENT ONLY</x:t>
        </x:is>
      </x:c>
      <x:c r="Y716" s="160" t="inlineStr">
        <x:is>
          <x:t xml:space="preserve">Synthetic/adversarial model-development loop. No historical outcome is claimed; no accuracy point is awarded.</x:t>
        </x:is>
      </x:c>
    </x:row>
    <x:row r="717">
      <x:c r="A717" s="160" t="inlineStr">
        <x:is>
          <x:t xml:space="preserve">ML0712</x:t>
        </x:is>
      </x:c>
      <x:c r="B717" s="160" t="inlineStr">
        <x:is>
          <x:t xml:space="preserve">ARG-045</x:t>
        </x:is>
      </x:c>
      <x:c r="C717" s="160" t="inlineStr">
        <x:is>
          <x:t xml:space="preserve">Meta Platforms</x:t>
        </x:is>
      </x:c>
      <x:c r="D717" s="160" t="inlineStr">
        <x:is>
          <x:t xml:space="preserve">META</x:t>
        </x:is>
      </x:c>
      <x:c r="E717" s="160" t="inlineStr">
        <x:is>
          <x:t xml:space="preserve">Media &amp; Internet</x:t>
        </x:is>
      </x:c>
      <x:c r="F717" s="160" t="inlineStr">
        <x:is>
          <x:t xml:space="preserve">Development</x:t>
        </x:is>
      </x:c>
      <x:c r="G717" s="160" t="inlineStr">
        <x:is>
          <x:t xml:space="preserve">S08</x:t>
        </x:is>
      </x:c>
      <x:c r="H717" s="160" t="inlineStr">
        <x:is>
          <x:t xml:space="preserve">Management Promise Reliability</x:t>
        </x:is>
      </x:c>
      <x:c r="I717" s="160" t="inlineStr">
        <x:is>
          <x:t xml:space="preserve">Management over-trust</x:t>
        </x:is>
      </x:c>
      <x:c r="J717" s="160" t="inlineStr">
        <x:is>
          <x:t xml:space="preserve">Guidance or strategic promises are repeated but the model lacks a contemporaneous reliability score.</x:t>
        </x:is>
      </x:c>
      <x:c r="K717" s="160" t="inlineStr">
        <x:is>
          <x:t xml:space="preserve">Engagement × ad monetization − AI/infrastructure capex</x:t>
        </x:is>
      </x:c>
      <x:c r="L717" s="160" t="inlineStr">
        <x:is>
          <x:t xml:space="preserve">Owner earnings + reverse DCF</x:t>
        </x:is>
      </x:c>
      <x:c r="M717" s="160" t="inlineStr">
        <x:is>
          <x:t xml:space="preserve">WATCH</x:t>
        </x:is>
      </x:c>
      <x:c r="N717" s="160" t="inlineStr">
        <x:is>
          <x:t xml:space="preserve">R-PROM-01</x:t>
        </x:is>
      </x:c>
      <x:c r="O717" s="160" t="inlineStr">
        <x:is>
          <x:t xml:space="preserve">COUNTER-EVIDENCE</x:t>
        </x:is>
      </x:c>
      <x:c r="P717" s="160" t="inlineStr">
        <x:is>
          <x:t xml:space="preserve">ROBUST</x:t>
        </x:is>
      </x:c>
      <x:c r="Q717" s="160" t="inlineStr">
        <x:is>
          <x:t xml:space="preserve">The mature simulation rule catches the stress without weakening a fatal gate; no rule relaxation is justified.</x:t>
        </x:is>
      </x:c>
      <x:c r="R717" s="160" t="inlineStr">
        <x:is>
          <x:t xml:space="preserve">Use a promises ledger with dated promise, measurable deliverable, due date, outcome and credibility weight.</x:t>
        </x:is>
      </x:c>
      <x:c r="S717" s="160" t="inlineStr">
        <x:is>
          <x:t xml:space="preserve">NO</x:t>
        </x:is>
      </x:c>
      <x:c r="T717" s="160" t="inlineStr">
        <x:is>
          <x:t xml:space="preserve">COUNTER-EVIDENCE</x:t>
        </x:is>
      </x:c>
      <x:c r="U717" s="160" t="inlineStr">
        <x:is>
          <x:t xml:space="preserve">V10.5-SIM63</x:t>
        </x:is>
      </x:c>
      <x:c r="V717" s="160" t="inlineStr">
        <x:is>
          <x:t xml:space="preserve">https://investor.atmeta.com</x:t>
        </x:is>
      </x:c>
      <x:c r="W717" s="160" t="inlineStr">
        <x:is>
          <x:t xml:space="preserve">NO</x:t>
        </x:is>
      </x:c>
      <x:c r="X717" s="160" t="inlineStr">
        <x:is>
          <x:t xml:space="preserve">NONE — DEVELOPMENT ONLY</x:t>
        </x:is>
      </x:c>
      <x:c r="Y717" s="160" t="inlineStr">
        <x:is>
          <x:t xml:space="preserve">Synthetic/adversarial model-development loop. No historical outcome is claimed; no accuracy point is awarded.</x:t>
        </x:is>
      </x:c>
    </x:row>
    <x:row r="718">
      <x:c r="A718" s="160" t="inlineStr">
        <x:is>
          <x:t xml:space="preserve">ML0713</x:t>
        </x:is>
      </x:c>
      <x:c r="B718" s="160" t="inlineStr">
        <x:is>
          <x:t xml:space="preserve">ARG-045</x:t>
        </x:is>
      </x:c>
      <x:c r="C718" s="160" t="inlineStr">
        <x:is>
          <x:t xml:space="preserve">Meta Platforms</x:t>
        </x:is>
      </x:c>
      <x:c r="D718" s="160" t="inlineStr">
        <x:is>
          <x:t xml:space="preserve">META</x:t>
        </x:is>
      </x:c>
      <x:c r="E718" s="160" t="inlineStr">
        <x:is>
          <x:t xml:space="preserve">Media &amp; Internet</x:t>
        </x:is>
      </x:c>
      <x:c r="F718" s="160" t="inlineStr">
        <x:is>
          <x:t xml:space="preserve">Development</x:t>
        </x:is>
      </x:c>
      <x:c r="G718" s="160" t="inlineStr">
        <x:is>
          <x:t xml:space="preserve">S09</x:t>
        </x:is>
      </x:c>
      <x:c r="H718" s="160" t="inlineStr">
        <x:is>
          <x:t xml:space="preserve">Data / Accounting Quality</x:t>
        </x:is>
      </x:c>
      <x:c r="I718" s="160" t="inlineStr">
        <x:is>
          <x:t xml:space="preserve">Data quality</x:t>
        </x:is>
      </x:c>
      <x:c r="J718" s="160" t="inlineStr">
        <x:is>
          <x:t xml:space="preserve">Restatement, segment reclassification, one-time item or non-economic fair-value movement distorts the apparent trend.</x:t>
        </x:is>
      </x:c>
      <x:c r="K718" s="160" t="inlineStr">
        <x:is>
          <x:t xml:space="preserve">Engagement × ad monetization − AI/infrastructure capex</x:t>
        </x:is>
      </x:c>
      <x:c r="L718" s="160" t="inlineStr">
        <x:is>
          <x:t xml:space="preserve">Owner earnings + reverse DCF</x:t>
        </x:is>
      </x:c>
      <x:c r="M718" s="160" t="inlineStr">
        <x:is>
          <x:t xml:space="preserve">WATCH</x:t>
        </x:is>
      </x:c>
      <x:c r="N718" s="160" t="inlineStr">
        <x:is>
          <x:t xml:space="preserve">R-DATA-01</x:t>
        </x:is>
      </x:c>
      <x:c r="O718" s="160" t="inlineStr">
        <x:is>
          <x:t xml:space="preserve">COUNTER-EVIDENCE</x:t>
        </x:is>
      </x:c>
      <x:c r="P718" s="160" t="inlineStr">
        <x:is>
          <x:t xml:space="preserve">ROBUST</x:t>
        </x:is>
      </x:c>
      <x:c r="Q718" s="160" t="inlineStr">
        <x:is>
          <x:t xml:space="preserve">The mature simulation rule catches the stress without weakening a fatal gate; no rule relaxation is justified.</x:t>
        </x:is>
      </x:c>
      <x:c r="R718" s="160" t="inlineStr">
        <x:is>
          <x:t xml:space="preserve">Add a reporting-quality bridge and normalize accounting noise before any gate can pass.</x:t>
        </x:is>
      </x:c>
      <x:c r="S718" s="160" t="inlineStr">
        <x:is>
          <x:t xml:space="preserve">NO</x:t>
        </x:is>
      </x:c>
      <x:c r="T718" s="160" t="inlineStr">
        <x:is>
          <x:t xml:space="preserve">COUNTER-EVIDENCE</x:t>
        </x:is>
      </x:c>
      <x:c r="U718" s="160" t="inlineStr">
        <x:is>
          <x:t xml:space="preserve">V10.5-SIM63</x:t>
        </x:is>
      </x:c>
      <x:c r="V718" s="160" t="inlineStr">
        <x:is>
          <x:t xml:space="preserve">https://investor.atmeta.com</x:t>
        </x:is>
      </x:c>
      <x:c r="W718" s="160" t="inlineStr">
        <x:is>
          <x:t xml:space="preserve">NO</x:t>
        </x:is>
      </x:c>
      <x:c r="X718" s="160" t="inlineStr">
        <x:is>
          <x:t xml:space="preserve">NONE — DEVELOPMENT ONLY</x:t>
        </x:is>
      </x:c>
      <x:c r="Y718" s="160" t="inlineStr">
        <x:is>
          <x:t xml:space="preserve">Synthetic/adversarial model-development loop. No historical outcome is claimed; no accuracy point is awarded.</x:t>
        </x:is>
      </x:c>
    </x:row>
    <x:row r="719">
      <x:c r="A719" s="160" t="inlineStr">
        <x:is>
          <x:t xml:space="preserve">ML0714</x:t>
        </x:is>
      </x:c>
      <x:c r="B719" s="160" t="inlineStr">
        <x:is>
          <x:t xml:space="preserve">ARG-045</x:t>
        </x:is>
      </x:c>
      <x:c r="C719" s="160" t="inlineStr">
        <x:is>
          <x:t xml:space="preserve">Meta Platforms</x:t>
        </x:is>
      </x:c>
      <x:c r="D719" s="160" t="inlineStr">
        <x:is>
          <x:t xml:space="preserve">META</x:t>
        </x:is>
      </x:c>
      <x:c r="E719" s="160" t="inlineStr">
        <x:is>
          <x:t xml:space="preserve">Media &amp; Internet</x:t>
        </x:is>
      </x:c>
      <x:c r="F719" s="160" t="inlineStr">
        <x:is>
          <x:t xml:space="preserve">Development</x:t>
        </x:is>
      </x:c>
      <x:c r="G719" s="160" t="inlineStr">
        <x:is>
          <x:t xml:space="preserve">S10</x:t>
        </x:is>
      </x:c>
      <x:c r="H719" s="160" t="inlineStr">
        <x:is>
          <x:t xml:space="preserve">Control / Counterfactual</x:t>
        </x:is>
      </x:c>
      <x:c r="I719" s="160" t="inlineStr">
        <x:is>
          <x:t xml:space="preserve">Sector beta vs company alpha</x:t>
        </x:is>
      </x:c>
      <x:c r="J719" s="160" t="inlineStr">
        <x:is>
          <x:t xml:space="preserve">A positive outcome is mostly sector beta or macro tailwind, not company-specific alpha.</x:t>
        </x:is>
      </x:c>
      <x:c r="K719" s="160" t="inlineStr">
        <x:is>
          <x:t xml:space="preserve">Engagement × ad monetization − AI/infrastructure capex</x:t>
        </x:is>
      </x:c>
      <x:c r="L719" s="160" t="inlineStr">
        <x:is>
          <x:t xml:space="preserve">Owner earnings + reverse DCF</x:t>
        </x:is>
      </x:c>
      <x:c r="M719" s="160" t="inlineStr">
        <x:is>
          <x:t xml:space="preserve">WATCH</x:t>
        </x:is>
      </x:c>
      <x:c r="N719" s="160" t="inlineStr">
        <x:is>
          <x:t xml:space="preserve">R-CF-01</x:t>
        </x:is>
      </x:c>
      <x:c r="O719" s="160" t="inlineStr">
        <x:is>
          <x:t xml:space="preserve">COUNTER-EVIDENCE</x:t>
        </x:is>
      </x:c>
      <x:c r="P719" s="160" t="inlineStr">
        <x:is>
          <x:t xml:space="preserve">ROBUST</x:t>
        </x:is>
      </x:c>
      <x:c r="Q719" s="160" t="inlineStr">
        <x:is>
          <x:t xml:space="preserve">The mature simulation rule catches the stress without weakening a fatal gate; no rule relaxation is justified.</x:t>
        </x:is>
      </x:c>
      <x:c r="R719" s="160" t="inlineStr">
        <x:is>
          <x:t xml:space="preserve">Require a true economic control and counterfactual: what should have happened to a comparable company under the same shock?</x:t>
        </x:is>
      </x:c>
      <x:c r="S719" s="160" t="inlineStr">
        <x:is>
          <x:t xml:space="preserve">NO</x:t>
        </x:is>
      </x:c>
      <x:c r="T719" s="160" t="inlineStr">
        <x:is>
          <x:t xml:space="preserve">COUNTER-EVIDENCE</x:t>
        </x:is>
      </x:c>
      <x:c r="U719" s="160" t="inlineStr">
        <x:is>
          <x:t xml:space="preserve">V10.5-SIM63</x:t>
        </x:is>
      </x:c>
      <x:c r="V719" s="160" t="inlineStr">
        <x:is>
          <x:t xml:space="preserve">https://investor.atmeta.com</x:t>
        </x:is>
      </x:c>
      <x:c r="W719" s="160" t="inlineStr">
        <x:is>
          <x:t xml:space="preserve">NO</x:t>
        </x:is>
      </x:c>
      <x:c r="X719" s="160" t="inlineStr">
        <x:is>
          <x:t xml:space="preserve">NONE — DEVELOPMENT ONLY</x:t>
        </x:is>
      </x:c>
      <x:c r="Y719" s="160" t="inlineStr">
        <x:is>
          <x:t xml:space="preserve">Synthetic/adversarial model-development loop. No historical outcome is claimed; no accuracy point is awarded.</x:t>
        </x:is>
      </x:c>
    </x:row>
    <x:row r="720">
      <x:c r="A720" s="160" t="inlineStr">
        <x:is>
          <x:t xml:space="preserve">ML0715</x:t>
        </x:is>
      </x:c>
      <x:c r="B720" s="160" t="inlineStr">
        <x:is>
          <x:t xml:space="preserve">ARG-045</x:t>
        </x:is>
      </x:c>
      <x:c r="C720" s="160" t="inlineStr">
        <x:is>
          <x:t xml:space="preserve">Meta Platforms</x:t>
        </x:is>
      </x:c>
      <x:c r="D720" s="160" t="inlineStr">
        <x:is>
          <x:t xml:space="preserve">META</x:t>
        </x:is>
      </x:c>
      <x:c r="E720" s="160" t="inlineStr">
        <x:is>
          <x:t xml:space="preserve">Media &amp; Internet</x:t>
        </x:is>
      </x:c>
      <x:c r="F720" s="160" t="inlineStr">
        <x:is>
          <x:t xml:space="preserve">Development</x:t>
        </x:is>
      </x:c>
      <x:c r="G720" s="160" t="inlineStr">
        <x:is>
          <x:t xml:space="preserve">S11</x:t>
        </x:is>
      </x:c>
      <x:c r="H720" s="160" t="inlineStr">
        <x:is>
          <x:t xml:space="preserve">False-Negative Discipline</x:t>
        </x:is>
      </x:c>
      <x:c r="I720" s="160" t="inlineStr">
        <x:is>
          <x:t xml:space="preserve">False negative</x:t>
        </x:is>
      </x:c>
      <x:c r="J720" s="160" t="inlineStr">
        <x:is>
          <x:t xml:space="preserve">A strict gate rejects a company that later compounds strongly for reasons the model could have known.</x:t>
        </x:is>
      </x:c>
      <x:c r="K720" s="160" t="inlineStr">
        <x:is>
          <x:t xml:space="preserve">Engagement × ad monetization − AI/infrastructure capex</x:t>
        </x:is>
      </x:c>
      <x:c r="L720" s="160" t="inlineStr">
        <x:is>
          <x:t xml:space="preserve">Owner earnings + reverse DCF</x:t>
        </x:is>
      </x:c>
      <x:c r="M720" s="160" t="inlineStr">
        <x:is>
          <x:t xml:space="preserve">WATCH</x:t>
        </x:is>
      </x:c>
      <x:c r="N720" s="160" t="inlineStr">
        <x:is>
          <x:t xml:space="preserve">R-FN-01</x:t>
        </x:is>
      </x:c>
      <x:c r="O720" s="160" t="inlineStr">
        <x:is>
          <x:t xml:space="preserve">COUNTER-EVIDENCE</x:t>
        </x:is>
      </x:c>
      <x:c r="P720" s="160" t="inlineStr">
        <x:is>
          <x:t xml:space="preserve">ROBUST</x:t>
        </x:is>
      </x:c>
      <x:c r="Q720" s="160" t="inlineStr">
        <x:is>
          <x:t xml:space="preserve">The mature simulation rule catches the stress without weakening a fatal gate; no rule relaxation is justified.</x:t>
        </x:is>
      </x:c>
      <x:c r="R720" s="160" t="inlineStr">
        <x:is>
          <x:t xml:space="preserve">Track opportunity cost and classify whether the miss came from evidence timing, wrong threshold or genuinely unknowable upside.</x:t>
        </x:is>
      </x:c>
      <x:c r="S720" s="160" t="inlineStr">
        <x:is>
          <x:t xml:space="preserve">NO</x:t>
        </x:is>
      </x:c>
      <x:c r="T720" s="160" t="inlineStr">
        <x:is>
          <x:t xml:space="preserve">COUNTER-EVIDENCE</x:t>
        </x:is>
      </x:c>
      <x:c r="U720" s="160" t="inlineStr">
        <x:is>
          <x:t xml:space="preserve">V10.5-SIM63</x:t>
        </x:is>
      </x:c>
      <x:c r="V720" s="160" t="inlineStr">
        <x:is>
          <x:t xml:space="preserve">https://investor.atmeta.com</x:t>
        </x:is>
      </x:c>
      <x:c r="W720" s="160" t="inlineStr">
        <x:is>
          <x:t xml:space="preserve">NO</x:t>
        </x:is>
      </x:c>
      <x:c r="X720" s="160" t="inlineStr">
        <x:is>
          <x:t xml:space="preserve">NONE — DEVELOPMENT ONLY</x:t>
        </x:is>
      </x:c>
      <x:c r="Y720" s="160" t="inlineStr">
        <x:is>
          <x:t xml:space="preserve">Synthetic/adversarial model-development loop. No historical outcome is claimed; no accuracy point is awarded.</x:t>
        </x:is>
      </x:c>
    </x:row>
    <x:row r="721">
      <x:c r="A721" s="160" t="inlineStr">
        <x:is>
          <x:t xml:space="preserve">ML0716</x:t>
        </x:is>
      </x:c>
      <x:c r="B721" s="160" t="inlineStr">
        <x:is>
          <x:t xml:space="preserve">ARG-045</x:t>
        </x:is>
      </x:c>
      <x:c r="C721" s="160" t="inlineStr">
        <x:is>
          <x:t xml:space="preserve">Meta Platforms</x:t>
        </x:is>
      </x:c>
      <x:c r="D721" s="160" t="inlineStr">
        <x:is>
          <x:t xml:space="preserve">META</x:t>
        </x:is>
      </x:c>
      <x:c r="E721" s="160" t="inlineStr">
        <x:is>
          <x:t xml:space="preserve">Media &amp; Internet</x:t>
        </x:is>
      </x:c>
      <x:c r="F721" s="160" t="inlineStr">
        <x:is>
          <x:t xml:space="preserve">Development</x:t>
        </x:is>
      </x:c>
      <x:c r="G721" s="160" t="inlineStr">
        <x:is>
          <x:t xml:space="preserve">S12</x:t>
        </x:is>
      </x:c>
      <x:c r="H721" s="160" t="inlineStr">
        <x:is>
          <x:t xml:space="preserve">Lead-Time / Early Sensor</x:t>
        </x:is>
      </x:c>
      <x:c r="I721" s="160" t="inlineStr">
        <x:is>
          <x:t xml:space="preserve">Timing / lead-time</x:t>
        </x:is>
      </x:c>
      <x:c r="J721" s="160" t="inlineStr">
        <x:is>
          <x:t xml:space="preserve">ARGUS identifies the change correctly but only after consensus and price have already reacted.</x:t>
        </x:is>
      </x:c>
      <x:c r="K721" s="160" t="inlineStr">
        <x:is>
          <x:t xml:space="preserve">Engagement × ad monetization − AI/infrastructure capex</x:t>
        </x:is>
      </x:c>
      <x:c r="L721" s="160" t="inlineStr">
        <x:is>
          <x:t xml:space="preserve">Owner earnings + reverse DCF</x:t>
        </x:is>
      </x:c>
      <x:c r="M721" s="160" t="inlineStr">
        <x:is>
          <x:t xml:space="preserve">WATCH</x:t>
        </x:is>
      </x:c>
      <x:c r="N721" s="160" t="inlineStr">
        <x:is>
          <x:t xml:space="preserve">R-TIME-01</x:t>
        </x:is>
      </x:c>
      <x:c r="O721" s="160" t="inlineStr">
        <x:is>
          <x:t xml:space="preserve">COUNTER-EVIDENCE</x:t>
        </x:is>
      </x:c>
      <x:c r="P721" s="160" t="inlineStr">
        <x:is>
          <x:t xml:space="preserve">ROBUST</x:t>
        </x:is>
      </x:c>
      <x:c r="Q721" s="160" t="inlineStr">
        <x:is>
          <x:t xml:space="preserve">The mature simulation rule catches the stress without weakening a fatal gate; no rule relaxation is justified.</x:t>
        </x:is>
      </x:c>
      <x:c r="R721" s="160" t="inlineStr">
        <x:is>
          <x:t xml:space="preserve">Replace lagging financial metrics with earlier causal operating sensors and record lead time separately from correctness.</x:t>
        </x:is>
      </x:c>
      <x:c r="S721" s="160" t="inlineStr">
        <x:is>
          <x:t xml:space="preserve">NO</x:t>
        </x:is>
      </x:c>
      <x:c r="T721" s="160" t="inlineStr">
        <x:is>
          <x:t xml:space="preserve">COUNTER-EVIDENCE</x:t>
        </x:is>
      </x:c>
      <x:c r="U721" s="160" t="inlineStr">
        <x:is>
          <x:t xml:space="preserve">V10.5-SIM63</x:t>
        </x:is>
      </x:c>
      <x:c r="V721" s="160" t="inlineStr">
        <x:is>
          <x:t xml:space="preserve">https://investor.atmeta.com</x:t>
        </x:is>
      </x:c>
      <x:c r="W721" s="160" t="inlineStr">
        <x:is>
          <x:t xml:space="preserve">NO</x:t>
        </x:is>
      </x:c>
      <x:c r="X721" s="160" t="inlineStr">
        <x:is>
          <x:t xml:space="preserve">NONE — DEVELOPMENT ONLY</x:t>
        </x:is>
      </x:c>
      <x:c r="Y721" s="160" t="inlineStr">
        <x:is>
          <x:t xml:space="preserve">Synthetic/adversarial model-development loop. No historical outcome is claimed; no accuracy point is awarded.</x:t>
        </x:is>
      </x:c>
    </x:row>
    <x:row r="722">
      <x:c r="A722" s="160" t="inlineStr">
        <x:is>
          <x:t xml:space="preserve">ML0717</x:t>
        </x:is>
      </x:c>
      <x:c r="B722" s="160" t="inlineStr">
        <x:is>
          <x:t xml:space="preserve">ARG-045</x:t>
        </x:is>
      </x:c>
      <x:c r="C722" s="160" t="inlineStr">
        <x:is>
          <x:t xml:space="preserve">Meta Platforms</x:t>
        </x:is>
      </x:c>
      <x:c r="D722" s="160" t="inlineStr">
        <x:is>
          <x:t xml:space="preserve">META</x:t>
        </x:is>
      </x:c>
      <x:c r="E722" s="160" t="inlineStr">
        <x:is>
          <x:t xml:space="preserve">Media &amp; Internet</x:t>
        </x:is>
      </x:c>
      <x:c r="F722" s="160" t="inlineStr">
        <x:is>
          <x:t xml:space="preserve">Development</x:t>
        </x:is>
      </x:c>
      <x:c r="G722" s="160" t="inlineStr">
        <x:is>
          <x:t xml:space="preserve">S13</x:t>
        </x:is>
      </x:c>
      <x:c r="H722" s="160" t="inlineStr">
        <x:is>
          <x:t xml:space="preserve">Cycle Normalization</x:t>
        </x:is>
      </x:c>
      <x:c r="I722" s="160" t="inlineStr">
        <x:is>
          <x:t xml:space="preserve">Wrong valuation lens</x:t>
        </x:is>
      </x:c>
      <x:c r="J722" s="160" t="inlineStr">
        <x:is>
          <x:t xml:space="preserve">Peak/trough earnings are mistaken for normalized earning power.</x:t>
        </x:is>
      </x:c>
      <x:c r="K722" s="160" t="inlineStr">
        <x:is>
          <x:t xml:space="preserve">Engagement × ad monetization − AI/infrastructure capex</x:t>
        </x:is>
      </x:c>
      <x:c r="L722" s="160" t="inlineStr">
        <x:is>
          <x:t xml:space="preserve">Owner earnings + reverse DCF</x:t>
        </x:is>
      </x:c>
      <x:c r="M722" s="160" t="inlineStr">
        <x:is>
          <x:t xml:space="preserve">WATCH</x:t>
        </x:is>
      </x:c>
      <x:c r="N722" s="160" t="inlineStr">
        <x:is>
          <x:t xml:space="preserve">R-CYCLE-01</x:t>
        </x:is>
      </x:c>
      <x:c r="O722" s="160" t="inlineStr">
        <x:is>
          <x:t xml:space="preserve">COUNTER-EVIDENCE</x:t>
        </x:is>
      </x:c>
      <x:c r="P722" s="160" t="inlineStr">
        <x:is>
          <x:t xml:space="preserve">ROBUST</x:t>
        </x:is>
      </x:c>
      <x:c r="Q722" s="160" t="inlineStr">
        <x:is>
          <x:t xml:space="preserve">The mature simulation rule catches the stress without weakening a fatal gate; no rule relaxation is justified.</x:t>
        </x:is>
      </x:c>
      <x:c r="R722" s="160" t="inlineStr">
        <x:is>
          <x:t xml:space="preserve">Use sector-specific mid-cycle/NAV/rate-base/rNPV normalization before applying a valuation multiple.</x:t>
        </x:is>
      </x:c>
      <x:c r="S722" s="160" t="inlineStr">
        <x:is>
          <x:t xml:space="preserve">NO</x:t>
        </x:is>
      </x:c>
      <x:c r="T722" s="160" t="inlineStr">
        <x:is>
          <x:t xml:space="preserve">COUNTER-EVIDENCE</x:t>
        </x:is>
      </x:c>
      <x:c r="U722" s="160" t="inlineStr">
        <x:is>
          <x:t xml:space="preserve">V10.5-SIM63</x:t>
        </x:is>
      </x:c>
      <x:c r="V722" s="160" t="inlineStr">
        <x:is>
          <x:t xml:space="preserve">https://investor.atmeta.com</x:t>
        </x:is>
      </x:c>
      <x:c r="W722" s="160" t="inlineStr">
        <x:is>
          <x:t xml:space="preserve">NO</x:t>
        </x:is>
      </x:c>
      <x:c r="X722" s="160" t="inlineStr">
        <x:is>
          <x:t xml:space="preserve">NONE — DEVELOPMENT ONLY</x:t>
        </x:is>
      </x:c>
      <x:c r="Y722" s="160" t="inlineStr">
        <x:is>
          <x:t xml:space="preserve">Synthetic/adversarial model-development loop. No historical outcome is claimed; no accuracy point is awarded.</x:t>
        </x:is>
      </x:c>
    </x:row>
    <x:row r="723">
      <x:c r="A723" s="160" t="inlineStr">
        <x:is>
          <x:t xml:space="preserve">ML0718</x:t>
        </x:is>
      </x:c>
      <x:c r="B723" s="160" t="inlineStr">
        <x:is>
          <x:t xml:space="preserve">ARG-045</x:t>
        </x:is>
      </x:c>
      <x:c r="C723" s="160" t="inlineStr">
        <x:is>
          <x:t xml:space="preserve">Meta Platforms</x:t>
        </x:is>
      </x:c>
      <x:c r="D723" s="160" t="inlineStr">
        <x:is>
          <x:t xml:space="preserve">META</x:t>
        </x:is>
      </x:c>
      <x:c r="E723" s="160" t="inlineStr">
        <x:is>
          <x:t xml:space="preserve">Media &amp; Internet</x:t>
        </x:is>
      </x:c>
      <x:c r="F723" s="160" t="inlineStr">
        <x:is>
          <x:t xml:space="preserve">Development</x:t>
        </x:is>
      </x:c>
      <x:c r="G723" s="160" t="inlineStr">
        <x:is>
          <x:t xml:space="preserve">S14</x:t>
        </x:is>
      </x:c>
      <x:c r="H723" s="160" t="inlineStr">
        <x:is>
          <x:t xml:space="preserve">M&amp;A / Organic Growth Separation</x:t>
        </x:is>
      </x:c>
      <x:c r="I723" s="160" t="inlineStr">
        <x:is>
          <x:t xml:space="preserve">Stewardship</x:t>
        </x:is>
      </x:c>
      <x:c r="J723" s="160" t="inlineStr">
        <x:is>
          <x:t xml:space="preserve">Acquisition-driven growth masks weak organic economics or poor incremental ROIC.</x:t>
        </x:is>
      </x:c>
      <x:c r="K723" s="160" t="inlineStr">
        <x:is>
          <x:t xml:space="preserve">Engagement × ad monetization − AI/infrastructure capex</x:t>
        </x:is>
      </x:c>
      <x:c r="L723" s="160" t="inlineStr">
        <x:is>
          <x:t xml:space="preserve">Owner earnings + reverse DCF</x:t>
        </x:is>
      </x:c>
      <x:c r="M723" s="160" t="inlineStr">
        <x:is>
          <x:t xml:space="preserve">WATCH</x:t>
        </x:is>
      </x:c>
      <x:c r="N723" s="160" t="inlineStr">
        <x:is>
          <x:t xml:space="preserve">R-MA-01</x:t>
        </x:is>
      </x:c>
      <x:c r="O723" s="160" t="inlineStr">
        <x:is>
          <x:t xml:space="preserve">COUNTER-EVIDENCE</x:t>
        </x:is>
      </x:c>
      <x:c r="P723" s="160" t="inlineStr">
        <x:is>
          <x:t xml:space="preserve">ROBUST</x:t>
        </x:is>
      </x:c>
      <x:c r="Q723" s="160" t="inlineStr">
        <x:is>
          <x:t xml:space="preserve">The mature simulation rule catches the stress without weakening a fatal gate; no rule relaxation is justified.</x:t>
        </x:is>
      </x:c>
      <x:c r="R723" s="160" t="inlineStr">
        <x:is>
          <x:t xml:space="preserve">Bridge organic growth, acquired growth, purchase price, integration costs and acquisition-cohort ROIC.</x:t>
        </x:is>
      </x:c>
      <x:c r="S723" s="160" t="inlineStr">
        <x:is>
          <x:t xml:space="preserve">NO</x:t>
        </x:is>
      </x:c>
      <x:c r="T723" s="160" t="inlineStr">
        <x:is>
          <x:t xml:space="preserve">COUNTER-EVIDENCE</x:t>
        </x:is>
      </x:c>
      <x:c r="U723" s="160" t="inlineStr">
        <x:is>
          <x:t xml:space="preserve">V10.5-SIM63</x:t>
        </x:is>
      </x:c>
      <x:c r="V723" s="160" t="inlineStr">
        <x:is>
          <x:t xml:space="preserve">https://investor.atmeta.com</x:t>
        </x:is>
      </x:c>
      <x:c r="W723" s="160" t="inlineStr">
        <x:is>
          <x:t xml:space="preserve">NO</x:t>
        </x:is>
      </x:c>
      <x:c r="X723" s="160" t="inlineStr">
        <x:is>
          <x:t xml:space="preserve">NONE — DEVELOPMENT ONLY</x:t>
        </x:is>
      </x:c>
      <x:c r="Y723" s="160" t="inlineStr">
        <x:is>
          <x:t xml:space="preserve">Synthetic/adversarial model-development loop. No historical outcome is claimed; no accuracy point is awarded.</x:t>
        </x:is>
      </x:c>
    </x:row>
    <x:row r="724">
      <x:c r="A724" s="160" t="inlineStr">
        <x:is>
          <x:t xml:space="preserve">ML0719</x:t>
        </x:is>
      </x:c>
      <x:c r="B724" s="160" t="inlineStr">
        <x:is>
          <x:t xml:space="preserve">ARG-045</x:t>
        </x:is>
      </x:c>
      <x:c r="C724" s="160" t="inlineStr">
        <x:is>
          <x:t xml:space="preserve">Meta Platforms</x:t>
        </x:is>
      </x:c>
      <x:c r="D724" s="160" t="inlineStr">
        <x:is>
          <x:t xml:space="preserve">META</x:t>
        </x:is>
      </x:c>
      <x:c r="E724" s="160" t="inlineStr">
        <x:is>
          <x:t xml:space="preserve">Media &amp; Internet</x:t>
        </x:is>
      </x:c>
      <x:c r="F724" s="160" t="inlineStr">
        <x:is>
          <x:t xml:space="preserve">Development</x:t>
        </x:is>
      </x:c>
      <x:c r="G724" s="160" t="inlineStr">
        <x:is>
          <x:t xml:space="preserve">S15</x:t>
        </x:is>
      </x:c>
      <x:c r="H724" s="160" t="inlineStr">
        <x:is>
          <x:t xml:space="preserve">Financing / Dilution Per Share</x:t>
        </x:is>
      </x:c>
      <x:c r="I724" s="160" t="inlineStr">
        <x:is>
          <x:t xml:space="preserve">Stewardship</x:t>
        </x:is>
      </x:c>
      <x:c r="J724" s="160" t="inlineStr">
        <x:is>
          <x:t xml:space="preserve">Cash balance or revenue growth improves while financing causes material per-share value leakage.</x:t>
        </x:is>
      </x:c>
      <x:c r="K724" s="160" t="inlineStr">
        <x:is>
          <x:t xml:space="preserve">Engagement × ad monetization − AI/infrastructure capex</x:t>
        </x:is>
      </x:c>
      <x:c r="L724" s="160" t="inlineStr">
        <x:is>
          <x:t xml:space="preserve">Owner earnings + reverse DCF</x:t>
        </x:is>
      </x:c>
      <x:c r="M724" s="160" t="inlineStr">
        <x:is>
          <x:t xml:space="preserve">WATCH</x:t>
        </x:is>
      </x:c>
      <x:c r="N724" s="160" t="inlineStr">
        <x:is>
          <x:t xml:space="preserve">R-DIL-01</x:t>
        </x:is>
      </x:c>
      <x:c r="O724" s="160" t="inlineStr">
        <x:is>
          <x:t xml:space="preserve">COUNTER-EVIDENCE</x:t>
        </x:is>
      </x:c>
      <x:c r="P724" s="160" t="inlineStr">
        <x:is>
          <x:t xml:space="preserve">ROBUST</x:t>
        </x:is>
      </x:c>
      <x:c r="Q724" s="160" t="inlineStr">
        <x:is>
          <x:t xml:space="preserve">The mature simulation rule catches the stress without weakening a fatal gate; no rule relaxation is justified.</x:t>
        </x:is>
      </x:c>
      <x:c r="R724" s="160" t="inlineStr">
        <x:is>
          <x:t xml:space="preserve">Reconcile share-count growth, SBC, equity issuance, buybacks and net cash changes to per-share intrinsic value.</x:t>
        </x:is>
      </x:c>
      <x:c r="S724" s="160" t="inlineStr">
        <x:is>
          <x:t xml:space="preserve">NO</x:t>
        </x:is>
      </x:c>
      <x:c r="T724" s="160" t="inlineStr">
        <x:is>
          <x:t xml:space="preserve">COUNTER-EVIDENCE</x:t>
        </x:is>
      </x:c>
      <x:c r="U724" s="160" t="inlineStr">
        <x:is>
          <x:t xml:space="preserve">V10.5-SIM63</x:t>
        </x:is>
      </x:c>
      <x:c r="V724" s="160" t="inlineStr">
        <x:is>
          <x:t xml:space="preserve">https://investor.atmeta.com</x:t>
        </x:is>
      </x:c>
      <x:c r="W724" s="160" t="inlineStr">
        <x:is>
          <x:t xml:space="preserve">NO</x:t>
        </x:is>
      </x:c>
      <x:c r="X724" s="160" t="inlineStr">
        <x:is>
          <x:t xml:space="preserve">NONE — DEVELOPMENT ONLY</x:t>
        </x:is>
      </x:c>
      <x:c r="Y724" s="160" t="inlineStr">
        <x:is>
          <x:t xml:space="preserve">Synthetic/adversarial model-development loop. No historical outcome is claimed; no accuracy point is awarded.</x:t>
        </x:is>
      </x:c>
    </x:row>
    <x:row r="725">
      <x:c r="A725" s="160" t="inlineStr">
        <x:is>
          <x:t xml:space="preserve">ML0720</x:t>
        </x:is>
      </x:c>
      <x:c r="B725" s="160" t="inlineStr">
        <x:is>
          <x:t xml:space="preserve">ARG-045</x:t>
        </x:is>
      </x:c>
      <x:c r="C725" s="160" t="inlineStr">
        <x:is>
          <x:t xml:space="preserve">Meta Platforms</x:t>
        </x:is>
      </x:c>
      <x:c r="D725" s="160" t="inlineStr">
        <x:is>
          <x:t xml:space="preserve">META</x:t>
        </x:is>
      </x:c>
      <x:c r="E725" s="160" t="inlineStr">
        <x:is>
          <x:t xml:space="preserve">Media &amp; Internet</x:t>
        </x:is>
      </x:c>
      <x:c r="F725" s="160" t="inlineStr">
        <x:is>
          <x:t xml:space="preserve">Development</x:t>
        </x:is>
      </x:c>
      <x:c r="G725" s="160" t="inlineStr">
        <x:is>
          <x:t xml:space="preserve">S16</x:t>
        </x:is>
      </x:c>
      <x:c r="H725" s="160" t="inlineStr">
        <x:is>
          <x:t xml:space="preserve">Concentration / Tail Risk</x:t>
        </x:is>
      </x:c>
      <x:c r="I725" s="160" t="inlineStr">
        <x:is>
          <x:t xml:space="preserve">Survival</x:t>
        </x:is>
      </x:c>
      <x:c r="J725" s="160" t="inlineStr">
        <x:is>
          <x:t xml:space="preserve">A concentrated supplier, geography, customer, product, patent, regulatory or technology dependency creates asymmetric permanent-loss risk.</x:t>
        </x:is>
      </x:c>
      <x:c r="K725" s="160" t="inlineStr">
        <x:is>
          <x:t xml:space="preserve">Engagement × ad monetization − AI/infrastructure capex</x:t>
        </x:is>
      </x:c>
      <x:c r="L725" s="160" t="inlineStr">
        <x:is>
          <x:t xml:space="preserve">Owner earnings + reverse DCF</x:t>
        </x:is>
      </x:c>
      <x:c r="M725" s="160" t="inlineStr">
        <x:is>
          <x:t xml:space="preserve">WATCH</x:t>
        </x:is>
      </x:c>
      <x:c r="N725" s="160" t="inlineStr">
        <x:is>
          <x:t xml:space="preserve">R-TAIL-01</x:t>
        </x:is>
      </x:c>
      <x:c r="O725" s="160" t="inlineStr">
        <x:is>
          <x:t xml:space="preserve">COUNTER-EVIDENCE</x:t>
        </x:is>
      </x:c>
      <x:c r="P725" s="160" t="inlineStr">
        <x:is>
          <x:t xml:space="preserve">ROBUST</x:t>
        </x:is>
      </x:c>
      <x:c r="Q725" s="160" t="inlineStr">
        <x:is>
          <x:t xml:space="preserve">The mature simulation rule catches the stress without weakening a fatal gate; no rule relaxation is justified.</x:t>
        </x:is>
      </x:c>
      <x:c r="R725" s="160" t="inlineStr">
        <x:is>
          <x:t xml:space="preserve">Maintain an explicit concentration/tail-risk register with probability, severity, mitigation and required margin-of-safety premium.</x:t>
        </x:is>
      </x:c>
      <x:c r="S725" s="160" t="inlineStr">
        <x:is>
          <x:t xml:space="preserve">NO</x:t>
        </x:is>
      </x:c>
      <x:c r="T725" s="160" t="inlineStr">
        <x:is>
          <x:t xml:space="preserve">COUNTER-EVIDENCE</x:t>
        </x:is>
      </x:c>
      <x:c r="U725" s="160" t="inlineStr">
        <x:is>
          <x:t xml:space="preserve">V10.5-SIM63</x:t>
        </x:is>
      </x:c>
      <x:c r="V725" s="160" t="inlineStr">
        <x:is>
          <x:t xml:space="preserve">https://investor.atmeta.com</x:t>
        </x:is>
      </x:c>
      <x:c r="W725" s="160" t="inlineStr">
        <x:is>
          <x:t xml:space="preserve">NO</x:t>
        </x:is>
      </x:c>
      <x:c r="X725" s="160" t="inlineStr">
        <x:is>
          <x:t xml:space="preserve">NONE — DEVELOPMENT ONLY</x:t>
        </x:is>
      </x:c>
      <x:c r="Y725" s="160" t="inlineStr">
        <x:is>
          <x:t xml:space="preserve">Synthetic/adversarial model-development loop. No historical outcome is claimed; no accuracy point is awarded.</x:t>
        </x:is>
      </x:c>
    </x:row>
    <x:row r="726">
      <x:c r="A726" s="160" t="inlineStr">
        <x:is>
          <x:t xml:space="preserve">ML0721</x:t>
        </x:is>
      </x:c>
      <x:c r="B726" s="160" t="inlineStr">
        <x:is>
          <x:t xml:space="preserve">ARG-046</x:t>
        </x:is>
      </x:c>
      <x:c r="C726" s="160" t="inlineStr">
        <x:is>
          <x:t xml:space="preserve">Amazon</x:t>
        </x:is>
      </x:c>
      <x:c r="D726" s="160" t="inlineStr">
        <x:is>
          <x:t xml:space="preserve">AMZN</x:t>
        </x:is>
      </x:c>
      <x:c r="E726" s="160" t="inlineStr">
        <x:is>
          <x:t xml:space="preserve">Software &amp; Payments</x:t>
        </x:is>
      </x:c>
      <x:c r="F726" s="160" t="inlineStr">
        <x:is>
          <x:t xml:space="preserve">Development</x:t>
        </x:is>
      </x:c>
      <x:c r="G726" s="160" t="inlineStr">
        <x:is>
          <x:t xml:space="preserve">S01</x:t>
        </x:is>
      </x:c>
      <x:c r="H726" s="160" t="inlineStr">
        <x:is>
          <x:t xml:space="preserve">Understanding Gate</x:t>
        </x:is>
      </x:c>
      <x:c r="I726" s="160" t="inlineStr">
        <x:is>
          <x:t xml:space="preserve">Understanding</x:t>
        </x:is>
      </x:c>
      <x:c r="J726" s="160" t="inlineStr">
        <x:is>
          <x:t xml:space="preserve">Causal engine / customer ROI chain breaks under a misleading headline KPI.</x:t>
        </x:is>
      </x:c>
      <x:c r="K726" s="160" t="inlineStr">
        <x:is>
          <x:t xml:space="preserve">AWS plus retail/advertising economics minus infrastructure investment</x:t>
        </x:is>
      </x:c>
      <x:c r="L726" s="160" t="inlineStr">
        <x:is>
          <x:t xml:space="preserve">SOTP + owner earnings</x:t>
        </x:is>
      </x:c>
      <x:c r="M726" s="160" t="inlineStr">
        <x:is>
          <x:t xml:space="preserve">WATCH</x:t>
        </x:is>
      </x:c>
      <x:c r="N726" s="160" t="inlineStr">
        <x:is>
          <x:t xml:space="preserve">R-ENG-01</x:t>
        </x:is>
      </x:c>
      <x:c r="O726" s="160" t="inlineStr">
        <x:is>
          <x:t xml:space="preserve">COUNTER-EVIDENCE</x:t>
        </x:is>
      </x:c>
      <x:c r="P726" s="160" t="inlineStr">
        <x:is>
          <x:t xml:space="preserve">ROBUST</x:t>
        </x:is>
      </x:c>
      <x:c r="Q726" s="160" t="inlineStr">
        <x:is>
          <x:t xml:space="preserve">The mature simulation rule catches the stress without weakening a fatal gate; no rule relaxation is justified.</x:t>
        </x:is>
      </x:c>
      <x:c r="R726" s="160" t="inlineStr">
        <x:is>
          <x:t xml:space="preserve">Force an explicit engine tree: customer job → unit economics → revenue driver → owner-value bridge.</x:t>
        </x:is>
      </x:c>
      <x:c r="S726" s="160" t="inlineStr">
        <x:is>
          <x:t xml:space="preserve">NO</x:t>
        </x:is>
      </x:c>
      <x:c r="T726" s="160" t="inlineStr">
        <x:is>
          <x:t xml:space="preserve">COUNTER-EVIDENCE</x:t>
        </x:is>
      </x:c>
      <x:c r="U726" s="160" t="inlineStr">
        <x:is>
          <x:t xml:space="preserve">V10.5-SIM63</x:t>
        </x:is>
      </x:c>
      <x:c r="V726" s="160" t="inlineStr">
        <x:is>
          <x:t xml:space="preserve">https://ir.aboutamazon.com</x:t>
        </x:is>
      </x:c>
      <x:c r="W726" s="160" t="inlineStr">
        <x:is>
          <x:t xml:space="preserve">NO</x:t>
        </x:is>
      </x:c>
      <x:c r="X726" s="160" t="inlineStr">
        <x:is>
          <x:t xml:space="preserve">NONE — DEVELOPMENT ONLY</x:t>
        </x:is>
      </x:c>
      <x:c r="Y726" s="160" t="inlineStr">
        <x:is>
          <x:t xml:space="preserve">Synthetic/adversarial model-development loop. No historical outcome is claimed; no accuracy point is awarded.</x:t>
        </x:is>
      </x:c>
    </x:row>
    <x:row r="727">
      <x:c r="A727" s="160" t="inlineStr">
        <x:is>
          <x:t xml:space="preserve">ML0722</x:t>
        </x:is>
      </x:c>
      <x:c r="B727" s="160" t="inlineStr">
        <x:is>
          <x:t xml:space="preserve">ARG-046</x:t>
        </x:is>
      </x:c>
      <x:c r="C727" s="160" t="inlineStr">
        <x:is>
          <x:t xml:space="preserve">Amazon</x:t>
        </x:is>
      </x:c>
      <x:c r="D727" s="160" t="inlineStr">
        <x:is>
          <x:t xml:space="preserve">AMZN</x:t>
        </x:is>
      </x:c>
      <x:c r="E727" s="160" t="inlineStr">
        <x:is>
          <x:t xml:space="preserve">Software &amp; Payments</x:t>
        </x:is>
      </x:c>
      <x:c r="F727" s="160" t="inlineStr">
        <x:is>
          <x:t xml:space="preserve">Development</x:t>
        </x:is>
      </x:c>
      <x:c r="G727" s="160" t="inlineStr">
        <x:is>
          <x:t xml:space="preserve">S02</x:t>
        </x:is>
      </x:c>
      <x:c r="H727" s="160" t="inlineStr">
        <x:is>
          <x:t xml:space="preserve">Owner Earnings Normalization</x:t>
        </x:is>
      </x:c>
      <x:c r="I727" s="160" t="inlineStr">
        <x:is>
          <x:t xml:space="preserve">Owner Earnings</x:t>
        </x:is>
      </x:c>
      <x:c r="J727" s="160" t="inlineStr">
        <x:is>
          <x:t xml:space="preserve">Reported earnings/FCF overstates economic cash because recurring reinvestment or non-cash compensation is misclassified.</x:t>
        </x:is>
      </x:c>
      <x:c r="K727" s="160" t="inlineStr">
        <x:is>
          <x:t xml:space="preserve">AWS plus retail/advertising economics minus infrastructure investment</x:t>
        </x:is>
      </x:c>
      <x:c r="L727" s="160" t="inlineStr">
        <x:is>
          <x:t xml:space="preserve">SOTP + owner earnings</x:t>
        </x:is>
      </x:c>
      <x:c r="M727" s="160" t="inlineStr">
        <x:is>
          <x:t xml:space="preserve">WATCH</x:t>
        </x:is>
      </x:c>
      <x:c r="N727" s="160" t="inlineStr">
        <x:is>
          <x:t xml:space="preserve">R-OE-01</x:t>
        </x:is>
      </x:c>
      <x:c r="O727" s="160" t="inlineStr">
        <x:is>
          <x:t xml:space="preserve">COUNTER-EVIDENCE</x:t>
        </x:is>
      </x:c>
      <x:c r="P727" s="160" t="inlineStr">
        <x:is>
          <x:t xml:space="preserve">ROBUST</x:t>
        </x:is>
      </x:c>
      <x:c r="Q727" s="160" t="inlineStr">
        <x:is>
          <x:t xml:space="preserve">The mature simulation rule catches the stress without weakening a fatal gate; no rule relaxation is justified.</x:t>
        </x:is>
      </x:c>
      <x:c r="R727" s="160" t="inlineStr">
        <x:is>
          <x:t xml:space="preserve">Require a GAAP-to-economic-owner-cash bridge tailored to the business model.</x:t>
        </x:is>
      </x:c>
      <x:c r="S727" s="160" t="inlineStr">
        <x:is>
          <x:t xml:space="preserve">NO</x:t>
        </x:is>
      </x:c>
      <x:c r="T727" s="160" t="inlineStr">
        <x:is>
          <x:t xml:space="preserve">COUNTER-EVIDENCE</x:t>
        </x:is>
      </x:c>
      <x:c r="U727" s="160" t="inlineStr">
        <x:is>
          <x:t xml:space="preserve">V10.5-SIM63</x:t>
        </x:is>
      </x:c>
      <x:c r="V727" s="160" t="inlineStr">
        <x:is>
          <x:t xml:space="preserve">https://ir.aboutamazon.com</x:t>
        </x:is>
      </x:c>
      <x:c r="W727" s="160" t="inlineStr">
        <x:is>
          <x:t xml:space="preserve">NO</x:t>
        </x:is>
      </x:c>
      <x:c r="X727" s="160" t="inlineStr">
        <x:is>
          <x:t xml:space="preserve">NONE — DEVELOPMENT ONLY</x:t>
        </x:is>
      </x:c>
      <x:c r="Y727" s="160" t="inlineStr">
        <x:is>
          <x:t xml:space="preserve">Synthetic/adversarial model-development loop. No historical outcome is claimed; no accuracy point is awarded.</x:t>
        </x:is>
      </x:c>
    </x:row>
    <x:row r="728">
      <x:c r="A728" s="160" t="inlineStr">
        <x:is>
          <x:t xml:space="preserve">ML0723</x:t>
        </x:is>
      </x:c>
      <x:c r="B728" s="160" t="inlineStr">
        <x:is>
          <x:t xml:space="preserve">ARG-046</x:t>
        </x:is>
      </x:c>
      <x:c r="C728" s="160" t="inlineStr">
        <x:is>
          <x:t xml:space="preserve">Amazon</x:t>
        </x:is>
      </x:c>
      <x:c r="D728" s="160" t="inlineStr">
        <x:is>
          <x:t xml:space="preserve">AMZN</x:t>
        </x:is>
      </x:c>
      <x:c r="E728" s="160" t="inlineStr">
        <x:is>
          <x:t xml:space="preserve">Software &amp; Payments</x:t>
        </x:is>
      </x:c>
      <x:c r="F728" s="160" t="inlineStr">
        <x:is>
          <x:t xml:space="preserve">Development</x:t>
        </x:is>
      </x:c>
      <x:c r="G728" s="160" t="inlineStr">
        <x:is>
          <x:t xml:space="preserve">S03</x:t>
        </x:is>
      </x:c>
      <x:c r="H728" s="160" t="inlineStr">
        <x:is>
          <x:t xml:space="preserve">Moat Durability</x:t>
        </x:is>
      </x:c>
      <x:c r="I728" s="160" t="inlineStr">
        <x:is>
          <x:t xml:space="preserve">Moat 2036</x:t>
        </x:is>
      </x:c>
      <x:c r="J728" s="160" t="inlineStr">
        <x:is>
          <x:t xml:space="preserve">Growth continues while switching friction, pricing power or replacement difficulty quietly weakens.</x:t>
        </x:is>
      </x:c>
      <x:c r="K728" s="160" t="inlineStr">
        <x:is>
          <x:t xml:space="preserve">AWS plus retail/advertising economics minus infrastructure investment</x:t>
        </x:is>
      </x:c>
      <x:c r="L728" s="160" t="inlineStr">
        <x:is>
          <x:t xml:space="preserve">SOTP + owner earnings</x:t>
        </x:is>
      </x:c>
      <x:c r="M728" s="160" t="inlineStr">
        <x:is>
          <x:t xml:space="preserve">WATCH</x:t>
        </x:is>
      </x:c>
      <x:c r="N728" s="160" t="inlineStr">
        <x:is>
          <x:t xml:space="preserve">R-MOAT-01</x:t>
        </x:is>
      </x:c>
      <x:c r="O728" s="160" t="inlineStr">
        <x:is>
          <x:t xml:space="preserve">COUNTER-EVIDENCE</x:t>
        </x:is>
      </x:c>
      <x:c r="P728" s="160" t="inlineStr">
        <x:is>
          <x:t xml:space="preserve">ROBUST</x:t>
        </x:is>
      </x:c>
      <x:c r="Q728" s="160" t="inlineStr">
        <x:is>
          <x:t xml:space="preserve">The mature simulation rule catches the stress without weakening a fatal gate; no rule relaxation is justified.</x:t>
        </x:is>
      </x:c>
      <x:c r="R728" s="160" t="inlineStr">
        <x:is>
          <x:t xml:space="preserve">Track moat telemetry separately from growth: retention, pricing, win/loss, replacement friction, installed-base behavior.</x:t>
        </x:is>
      </x:c>
      <x:c r="S728" s="160" t="inlineStr">
        <x:is>
          <x:t xml:space="preserve">NO</x:t>
        </x:is>
      </x:c>
      <x:c r="T728" s="160" t="inlineStr">
        <x:is>
          <x:t xml:space="preserve">COUNTER-EVIDENCE</x:t>
        </x:is>
      </x:c>
      <x:c r="U728" s="160" t="inlineStr">
        <x:is>
          <x:t xml:space="preserve">V10.5-SIM63</x:t>
        </x:is>
      </x:c>
      <x:c r="V728" s="160" t="inlineStr">
        <x:is>
          <x:t xml:space="preserve">https://ir.aboutamazon.com</x:t>
        </x:is>
      </x:c>
      <x:c r="W728" s="160" t="inlineStr">
        <x:is>
          <x:t xml:space="preserve">NO</x:t>
        </x:is>
      </x:c>
      <x:c r="X728" s="160" t="inlineStr">
        <x:is>
          <x:t xml:space="preserve">NONE — DEVELOPMENT ONLY</x:t>
        </x:is>
      </x:c>
      <x:c r="Y728" s="160" t="inlineStr">
        <x:is>
          <x:t xml:space="preserve">Synthetic/adversarial model-development loop. No historical outcome is claimed; no accuracy point is awarded.</x:t>
        </x:is>
      </x:c>
    </x:row>
    <x:row r="729">
      <x:c r="A729" s="160" t="inlineStr">
        <x:is>
          <x:t xml:space="preserve">ML0724</x:t>
        </x:is>
      </x:c>
      <x:c r="B729" s="160" t="inlineStr">
        <x:is>
          <x:t xml:space="preserve">ARG-046</x:t>
        </x:is>
      </x:c>
      <x:c r="C729" s="160" t="inlineStr">
        <x:is>
          <x:t xml:space="preserve">Amazon</x:t>
        </x:is>
      </x:c>
      <x:c r="D729" s="160" t="inlineStr">
        <x:is>
          <x:t xml:space="preserve">AMZN</x:t>
        </x:is>
      </x:c>
      <x:c r="E729" s="160" t="inlineStr">
        <x:is>
          <x:t xml:space="preserve">Software &amp; Payments</x:t>
        </x:is>
      </x:c>
      <x:c r="F729" s="160" t="inlineStr">
        <x:is>
          <x:t xml:space="preserve">Development</x:t>
        </x:is>
      </x:c>
      <x:c r="G729" s="160" t="inlineStr">
        <x:is>
          <x:t xml:space="preserve">S04</x:t>
        </x:is>
      </x:c>
      <x:c r="H729" s="160" t="inlineStr">
        <x:is>
          <x:t xml:space="preserve">Stewardship / Capital Allocation</x:t>
        </x:is>
      </x:c>
      <x:c r="I729" s="160" t="inlineStr">
        <x:is>
          <x:t xml:space="preserve">Stewardship</x:t>
        </x:is>
      </x:c>
      <x:c r="J729" s="160" t="inlineStr">
        <x:is>
          <x:t xml:space="preserve">Management creates enterprise growth while destroying per-share value through M&amp;A, dilution, leverage or mistimed buybacks.</x:t>
        </x:is>
      </x:c>
      <x:c r="K729" s="160" t="inlineStr">
        <x:is>
          <x:t xml:space="preserve">AWS plus retail/advertising economics minus infrastructure investment</x:t>
        </x:is>
      </x:c>
      <x:c r="L729" s="160" t="inlineStr">
        <x:is>
          <x:t xml:space="preserve">SOTP + owner earnings</x:t>
        </x:is>
      </x:c>
      <x:c r="M729" s="160" t="inlineStr">
        <x:is>
          <x:t xml:space="preserve">WATCH</x:t>
        </x:is>
      </x:c>
      <x:c r="N729" s="160" t="inlineStr">
        <x:is>
          <x:t xml:space="preserve">R-STEW-01</x:t>
        </x:is>
      </x:c>
      <x:c r="O729" s="160" t="inlineStr">
        <x:is>
          <x:t xml:space="preserve">COUNTER-EVIDENCE</x:t>
        </x:is>
      </x:c>
      <x:c r="P729" s="160" t="inlineStr">
        <x:is>
          <x:t xml:space="preserve">ROBUST</x:t>
        </x:is>
      </x:c>
      <x:c r="Q729" s="160" t="inlineStr">
        <x:is>
          <x:t xml:space="preserve">The mature simulation rule catches the stress without weakening a fatal gate; no rule relaxation is justified.</x:t>
        </x:is>
      </x:c>
      <x:c r="R729" s="160" t="inlineStr">
        <x:is>
          <x:t xml:space="preserve">Evaluate capital allocation on a per-share basis using acquisition cohorts, dilution, leverage and repurchase price discipline.</x:t>
        </x:is>
      </x:c>
      <x:c r="S729" s="160" t="inlineStr">
        <x:is>
          <x:t xml:space="preserve">NO</x:t>
        </x:is>
      </x:c>
      <x:c r="T729" s="160" t="inlineStr">
        <x:is>
          <x:t xml:space="preserve">COUNTER-EVIDENCE</x:t>
        </x:is>
      </x:c>
      <x:c r="U729" s="160" t="inlineStr">
        <x:is>
          <x:t xml:space="preserve">V10.5-SIM63</x:t>
        </x:is>
      </x:c>
      <x:c r="V729" s="160" t="inlineStr">
        <x:is>
          <x:t xml:space="preserve">https://ir.aboutamazon.com</x:t>
        </x:is>
      </x:c>
      <x:c r="W729" s="160" t="inlineStr">
        <x:is>
          <x:t xml:space="preserve">NO</x:t>
        </x:is>
      </x:c>
      <x:c r="X729" s="160" t="inlineStr">
        <x:is>
          <x:t xml:space="preserve">NONE — DEVELOPMENT ONLY</x:t>
        </x:is>
      </x:c>
      <x:c r="Y729" s="160" t="inlineStr">
        <x:is>
          <x:t xml:space="preserve">Synthetic/adversarial model-development loop. No historical outcome is claimed; no accuracy point is awarded.</x:t>
        </x:is>
      </x:c>
    </x:row>
    <x:row r="730">
      <x:c r="A730" s="160" t="inlineStr">
        <x:is>
          <x:t xml:space="preserve">ML0725</x:t>
        </x:is>
      </x:c>
      <x:c r="B730" s="160" t="inlineStr">
        <x:is>
          <x:t xml:space="preserve">ARG-046</x:t>
        </x:is>
      </x:c>
      <x:c r="C730" s="160" t="inlineStr">
        <x:is>
          <x:t xml:space="preserve">Amazon</x:t>
        </x:is>
      </x:c>
      <x:c r="D730" s="160" t="inlineStr">
        <x:is>
          <x:t xml:space="preserve">AMZN</x:t>
        </x:is>
      </x:c>
      <x:c r="E730" s="160" t="inlineStr">
        <x:is>
          <x:t xml:space="preserve">Software &amp; Payments</x:t>
        </x:is>
      </x:c>
      <x:c r="F730" s="160" t="inlineStr">
        <x:is>
          <x:t xml:space="preserve">Development</x:t>
        </x:is>
      </x:c>
      <x:c r="G730" s="160" t="inlineStr">
        <x:is>
          <x:t xml:space="preserve">S05</x:t>
        </x:is>
      </x:c>
      <x:c r="H730" s="160" t="inlineStr">
        <x:is>
          <x:t xml:space="preserve">Survival / Funding</x:t>
        </x:is>
      </x:c>
      <x:c r="I730" s="160" t="inlineStr">
        <x:is>
          <x:t xml:space="preserve">Survival</x:t>
        </x:is>
      </x:c>
      <x:c r="J730" s="160" t="inlineStr">
        <x:is>
          <x:t xml:space="preserve">A plausible bear case exposes refinancing, liquidity, covenant, reserve, regulatory or operational fragility.</x:t>
        </x:is>
      </x:c>
      <x:c r="K730" s="160" t="inlineStr">
        <x:is>
          <x:t xml:space="preserve">AWS plus retail/advertising economics minus infrastructure investment</x:t>
        </x:is>
      </x:c>
      <x:c r="L730" s="160" t="inlineStr">
        <x:is>
          <x:t xml:space="preserve">SOTP + owner earnings</x:t>
        </x:is>
      </x:c>
      <x:c r="M730" s="160" t="inlineStr">
        <x:is>
          <x:t xml:space="preserve">WATCH</x:t>
        </x:is>
      </x:c>
      <x:c r="N730" s="160" t="inlineStr">
        <x:is>
          <x:t xml:space="preserve">R-SURV-01</x:t>
        </x:is>
      </x:c>
      <x:c r="O730" s="160" t="inlineStr">
        <x:is>
          <x:t xml:space="preserve">COUNTER-EVIDENCE</x:t>
        </x:is>
      </x:c>
      <x:c r="P730" s="160" t="inlineStr">
        <x:is>
          <x:t xml:space="preserve">ROBUST</x:t>
        </x:is>
      </x:c>
      <x:c r="Q730" s="160" t="inlineStr">
        <x:is>
          <x:t xml:space="preserve">The mature simulation rule catches the stress without weakening a fatal gate; no rule relaxation is justified.</x:t>
        </x:is>
      </x:c>
      <x:c r="R730" s="160" t="inlineStr">
        <x:is>
          <x:t xml:space="preserve">Run a company-specific survival bridge under a severe-but-plausible bear case before any upside underwriting.</x:t>
        </x:is>
      </x:c>
      <x:c r="S730" s="160" t="inlineStr">
        <x:is>
          <x:t xml:space="preserve">NO</x:t>
        </x:is>
      </x:c>
      <x:c r="T730" s="160" t="inlineStr">
        <x:is>
          <x:t xml:space="preserve">COUNTER-EVIDENCE</x:t>
        </x:is>
      </x:c>
      <x:c r="U730" s="160" t="inlineStr">
        <x:is>
          <x:t xml:space="preserve">V10.5-SIM63</x:t>
        </x:is>
      </x:c>
      <x:c r="V730" s="160" t="inlineStr">
        <x:is>
          <x:t xml:space="preserve">https://ir.aboutamazon.com</x:t>
        </x:is>
      </x:c>
      <x:c r="W730" s="160" t="inlineStr">
        <x:is>
          <x:t xml:space="preserve">NO</x:t>
        </x:is>
      </x:c>
      <x:c r="X730" s="160" t="inlineStr">
        <x:is>
          <x:t xml:space="preserve">NONE — DEVELOPMENT ONLY</x:t>
        </x:is>
      </x:c>
      <x:c r="Y730" s="160" t="inlineStr">
        <x:is>
          <x:t xml:space="preserve">Synthetic/adversarial model-development loop. No historical outcome is claimed; no accuracy point is awarded.</x:t>
        </x:is>
      </x:c>
    </x:row>
    <x:row r="731">
      <x:c r="A731" s="160" t="inlineStr">
        <x:is>
          <x:t xml:space="preserve">ML0726</x:t>
        </x:is>
      </x:c>
      <x:c r="B731" s="160" t="inlineStr">
        <x:is>
          <x:t xml:space="preserve">ARG-046</x:t>
        </x:is>
      </x:c>
      <x:c r="C731" s="160" t="inlineStr">
        <x:is>
          <x:t xml:space="preserve">Amazon</x:t>
        </x:is>
      </x:c>
      <x:c r="D731" s="160" t="inlineStr">
        <x:is>
          <x:t xml:space="preserve">AMZN</x:t>
        </x:is>
      </x:c>
      <x:c r="E731" s="160" t="inlineStr">
        <x:is>
          <x:t xml:space="preserve">Software &amp; Payments</x:t>
        </x:is>
      </x:c>
      <x:c r="F731" s="160" t="inlineStr">
        <x:is>
          <x:t xml:space="preserve">Development</x:t>
        </x:is>
      </x:c>
      <x:c r="G731" s="160" t="inlineStr">
        <x:is>
          <x:t xml:space="preserve">S06</x:t>
        </x:is>
      </x:c>
      <x:c r="H731" s="160" t="inlineStr">
        <x:is>
          <x:t xml:space="preserve">Margin of Safety</x:t>
        </x:is>
      </x:c>
      <x:c r="I731" s="160" t="inlineStr">
        <x:is>
          <x:t xml:space="preserve">Margin of Safety</x:t>
        </x:is>
      </x:c>
      <x:c r="J731" s="160" t="inlineStr">
        <x:is>
          <x:t xml:space="preserve">Business quality is high but the price embeds a fragile bull case.</x:t>
        </x:is>
      </x:c>
      <x:c r="K731" s="160" t="inlineStr">
        <x:is>
          <x:t xml:space="preserve">AWS plus retail/advertising economics minus infrastructure investment</x:t>
        </x:is>
      </x:c>
      <x:c r="L731" s="160" t="inlineStr">
        <x:is>
          <x:t xml:space="preserve">SOTP + owner earnings</x:t>
        </x:is>
      </x:c>
      <x:c r="M731" s="160" t="inlineStr">
        <x:is>
          <x:t xml:space="preserve">WATCH</x:t>
        </x:is>
      </x:c>
      <x:c r="N731" s="160" t="inlineStr">
        <x:is>
          <x:t xml:space="preserve">R-MOS-01</x:t>
        </x:is>
      </x:c>
      <x:c r="O731" s="160" t="inlineStr">
        <x:is>
          <x:t xml:space="preserve">COUNTER-EVIDENCE</x:t>
        </x:is>
      </x:c>
      <x:c r="P731" s="160" t="inlineStr">
        <x:is>
          <x:t xml:space="preserve">ROBUST</x:t>
        </x:is>
      </x:c>
      <x:c r="Q731" s="160" t="inlineStr">
        <x:is>
          <x:t xml:space="preserve">The mature simulation rule catches the stress without weakening a fatal gate; no rule relaxation is justified.</x:t>
        </x:is>
      </x:c>
      <x:c r="R731" s="160" t="inlineStr">
        <x:is>
          <x:t xml:space="preserve">Separate business-quality score from price decision; require reverse valuation and bear/base/bull IV ranges.</x:t>
        </x:is>
      </x:c>
      <x:c r="S731" s="160" t="inlineStr">
        <x:is>
          <x:t xml:space="preserve">NO</x:t>
        </x:is>
      </x:c>
      <x:c r="T731" s="160" t="inlineStr">
        <x:is>
          <x:t xml:space="preserve">COUNTER-EVIDENCE</x:t>
        </x:is>
      </x:c>
      <x:c r="U731" s="160" t="inlineStr">
        <x:is>
          <x:t xml:space="preserve">V10.5-SIM63</x:t>
        </x:is>
      </x:c>
      <x:c r="V731" s="160" t="inlineStr">
        <x:is>
          <x:t xml:space="preserve">https://ir.aboutamazon.com</x:t>
        </x:is>
      </x:c>
      <x:c r="W731" s="160" t="inlineStr">
        <x:is>
          <x:t xml:space="preserve">NO</x:t>
        </x:is>
      </x:c>
      <x:c r="X731" s="160" t="inlineStr">
        <x:is>
          <x:t xml:space="preserve">NONE — DEVELOPMENT ONLY</x:t>
        </x:is>
      </x:c>
      <x:c r="Y731" s="160" t="inlineStr">
        <x:is>
          <x:t xml:space="preserve">Synthetic/adversarial model-development loop. No historical outcome is claimed; no accuracy point is awarded.</x:t>
        </x:is>
      </x:c>
    </x:row>
    <x:row r="732">
      <x:c r="A732" s="160" t="inlineStr">
        <x:is>
          <x:t xml:space="preserve">ML0727</x:t>
        </x:is>
      </x:c>
      <x:c r="B732" s="160" t="inlineStr">
        <x:is>
          <x:t xml:space="preserve">ARG-046</x:t>
        </x:is>
      </x:c>
      <x:c r="C732" s="160" t="inlineStr">
        <x:is>
          <x:t xml:space="preserve">Amazon</x:t>
        </x:is>
      </x:c>
      <x:c r="D732" s="160" t="inlineStr">
        <x:is>
          <x:t xml:space="preserve">AMZN</x:t>
        </x:is>
      </x:c>
      <x:c r="E732" s="160" t="inlineStr">
        <x:is>
          <x:t xml:space="preserve">Software &amp; Payments</x:t>
        </x:is>
      </x:c>
      <x:c r="F732" s="160" t="inlineStr">
        <x:is>
          <x:t xml:space="preserve">Development</x:t>
        </x:is>
      </x:c>
      <x:c r="G732" s="160" t="inlineStr">
        <x:is>
          <x:t xml:space="preserve">S07</x:t>
        </x:is>
      </x:c>
      <x:c r="H732" s="160" t="inlineStr">
        <x:is>
          <x:t xml:space="preserve">Sector Shock</x:t>
        </x:is>
      </x:c>
      <x:c r="I732" s="160" t="inlineStr">
        <x:is>
          <x:t xml:space="preserve">Sector-specific</x:t>
        </x:is>
      </x:c>
      <x:c r="J732" s="160" t="inlineStr">
        <x:is>
          <x:t xml:space="preserve">Revenue/ARR grows while retention quality, take rate, SBC, AI capex or competitive substitution weakens owner earnings.</x:t>
        </x:is>
      </x:c>
      <x:c r="K732" s="160" t="inlineStr">
        <x:is>
          <x:t xml:space="preserve">AWS plus retail/advertising economics minus infrastructure investment</x:t>
        </x:is>
      </x:c>
      <x:c r="L732" s="160" t="inlineStr">
        <x:is>
          <x:t xml:space="preserve">SOTP + owner earnings</x:t>
        </x:is>
      </x:c>
      <x:c r="M732" s="160" t="inlineStr">
        <x:is>
          <x:t xml:space="preserve">WATCH</x:t>
        </x:is>
      </x:c>
      <x:c r="N732" s="160" t="inlineStr">
        <x:is>
          <x:t xml:space="preserve">R-SECTOR-SOFTWARE-PAYMENTS</x:t>
        </x:is>
      </x:c>
      <x:c r="O732" s="160" t="inlineStr">
        <x:is>
          <x:t xml:space="preserve">HARDENED</x:t>
        </x:is>
      </x:c>
      <x:c r="P732" s="160" t="inlineStr">
        <x:is>
          <x:t xml:space="preserve">ROBUST WITH RESIDUAL</x:t>
        </x:is>
      </x:c>
      <x:c r="Q732" s="160" t="inlineStr">
        <x:is>
          <x:t xml:space="preserve">The hardened rule catches the stress. Residual risk is mainly evidence quality, threshold calibration or interaction with another gate.</x:t>
        </x:is>
      </x:c>
      <x:c r="R732"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S732" s="160" t="inlineStr">
        <x:is>
          <x:t xml:space="preserve">NO</x:t>
        </x:is>
      </x:c>
      <x:c r="T732" s="160" t="inlineStr">
        <x:is>
          <x:t xml:space="preserve">HARDENED</x:t>
        </x:is>
      </x:c>
      <x:c r="U732" s="160" t="inlineStr">
        <x:is>
          <x:t xml:space="preserve">V10.5-SIM63</x:t>
        </x:is>
      </x:c>
      <x:c r="V732" s="160" t="inlineStr">
        <x:is>
          <x:t xml:space="preserve">https://ir.aboutamazon.com</x:t>
        </x:is>
      </x:c>
      <x:c r="W732" s="160" t="inlineStr">
        <x:is>
          <x:t xml:space="preserve">NO</x:t>
        </x:is>
      </x:c>
      <x:c r="X732" s="160" t="inlineStr">
        <x:is>
          <x:t xml:space="preserve">NONE — DEVELOPMENT ONLY</x:t>
        </x:is>
      </x:c>
      <x:c r="Y732" s="160" t="inlineStr">
        <x:is>
          <x:t xml:space="preserve">Synthetic/adversarial model-development loop. No historical outcome is claimed; no accuracy point is awarded.</x:t>
        </x:is>
      </x:c>
    </x:row>
    <x:row r="733">
      <x:c r="A733" s="160" t="inlineStr">
        <x:is>
          <x:t xml:space="preserve">ML0728</x:t>
        </x:is>
      </x:c>
      <x:c r="B733" s="160" t="inlineStr">
        <x:is>
          <x:t xml:space="preserve">ARG-046</x:t>
        </x:is>
      </x:c>
      <x:c r="C733" s="160" t="inlineStr">
        <x:is>
          <x:t xml:space="preserve">Amazon</x:t>
        </x:is>
      </x:c>
      <x:c r="D733" s="160" t="inlineStr">
        <x:is>
          <x:t xml:space="preserve">AMZN</x:t>
        </x:is>
      </x:c>
      <x:c r="E733" s="160" t="inlineStr">
        <x:is>
          <x:t xml:space="preserve">Software &amp; Payments</x:t>
        </x:is>
      </x:c>
      <x:c r="F733" s="160" t="inlineStr">
        <x:is>
          <x:t xml:space="preserve">Development</x:t>
        </x:is>
      </x:c>
      <x:c r="G733" s="160" t="inlineStr">
        <x:is>
          <x:t xml:space="preserve">S08</x:t>
        </x:is>
      </x:c>
      <x:c r="H733" s="160" t="inlineStr">
        <x:is>
          <x:t xml:space="preserve">Management Promise Reliability</x:t>
        </x:is>
      </x:c>
      <x:c r="I733" s="160" t="inlineStr">
        <x:is>
          <x:t xml:space="preserve">Management over-trust</x:t>
        </x:is>
      </x:c>
      <x:c r="J733" s="160" t="inlineStr">
        <x:is>
          <x:t xml:space="preserve">Guidance or strategic promises are repeated but the model lacks a contemporaneous reliability score.</x:t>
        </x:is>
      </x:c>
      <x:c r="K733" s="160" t="inlineStr">
        <x:is>
          <x:t xml:space="preserve">AWS plus retail/advertising economics minus infrastructure investment</x:t>
        </x:is>
      </x:c>
      <x:c r="L733" s="160" t="inlineStr">
        <x:is>
          <x:t xml:space="preserve">SOTP + owner earnings</x:t>
        </x:is>
      </x:c>
      <x:c r="M733" s="160" t="inlineStr">
        <x:is>
          <x:t xml:space="preserve">WATCH</x:t>
        </x:is>
      </x:c>
      <x:c r="N733" s="160" t="inlineStr">
        <x:is>
          <x:t xml:space="preserve">R-PROM-01</x:t>
        </x:is>
      </x:c>
      <x:c r="O733" s="160" t="inlineStr">
        <x:is>
          <x:t xml:space="preserve">COUNTER-EVIDENCE</x:t>
        </x:is>
      </x:c>
      <x:c r="P733" s="160" t="inlineStr">
        <x:is>
          <x:t xml:space="preserve">ROBUST</x:t>
        </x:is>
      </x:c>
      <x:c r="Q733" s="160" t="inlineStr">
        <x:is>
          <x:t xml:space="preserve">The mature simulation rule catches the stress without weakening a fatal gate; no rule relaxation is justified.</x:t>
        </x:is>
      </x:c>
      <x:c r="R733" s="160" t="inlineStr">
        <x:is>
          <x:t xml:space="preserve">Use a promises ledger with dated promise, measurable deliverable, due date, outcome and credibility weight.</x:t>
        </x:is>
      </x:c>
      <x:c r="S733" s="160" t="inlineStr">
        <x:is>
          <x:t xml:space="preserve">NO</x:t>
        </x:is>
      </x:c>
      <x:c r="T733" s="160" t="inlineStr">
        <x:is>
          <x:t xml:space="preserve">COUNTER-EVIDENCE</x:t>
        </x:is>
      </x:c>
      <x:c r="U733" s="160" t="inlineStr">
        <x:is>
          <x:t xml:space="preserve">V10.5-SIM63</x:t>
        </x:is>
      </x:c>
      <x:c r="V733" s="160" t="inlineStr">
        <x:is>
          <x:t xml:space="preserve">https://ir.aboutamazon.com</x:t>
        </x:is>
      </x:c>
      <x:c r="W733" s="160" t="inlineStr">
        <x:is>
          <x:t xml:space="preserve">NO</x:t>
        </x:is>
      </x:c>
      <x:c r="X733" s="160" t="inlineStr">
        <x:is>
          <x:t xml:space="preserve">NONE — DEVELOPMENT ONLY</x:t>
        </x:is>
      </x:c>
      <x:c r="Y733" s="160" t="inlineStr">
        <x:is>
          <x:t xml:space="preserve">Synthetic/adversarial model-development loop. No historical outcome is claimed; no accuracy point is awarded.</x:t>
        </x:is>
      </x:c>
    </x:row>
    <x:row r="734">
      <x:c r="A734" s="160" t="inlineStr">
        <x:is>
          <x:t xml:space="preserve">ML0729</x:t>
        </x:is>
      </x:c>
      <x:c r="B734" s="160" t="inlineStr">
        <x:is>
          <x:t xml:space="preserve">ARG-046</x:t>
        </x:is>
      </x:c>
      <x:c r="C734" s="160" t="inlineStr">
        <x:is>
          <x:t xml:space="preserve">Amazon</x:t>
        </x:is>
      </x:c>
      <x:c r="D734" s="160" t="inlineStr">
        <x:is>
          <x:t xml:space="preserve">AMZN</x:t>
        </x:is>
      </x:c>
      <x:c r="E734" s="160" t="inlineStr">
        <x:is>
          <x:t xml:space="preserve">Software &amp; Payments</x:t>
        </x:is>
      </x:c>
      <x:c r="F734" s="160" t="inlineStr">
        <x:is>
          <x:t xml:space="preserve">Development</x:t>
        </x:is>
      </x:c>
      <x:c r="G734" s="160" t="inlineStr">
        <x:is>
          <x:t xml:space="preserve">S09</x:t>
        </x:is>
      </x:c>
      <x:c r="H734" s="160" t="inlineStr">
        <x:is>
          <x:t xml:space="preserve">Data / Accounting Quality</x:t>
        </x:is>
      </x:c>
      <x:c r="I734" s="160" t="inlineStr">
        <x:is>
          <x:t xml:space="preserve">Data quality</x:t>
        </x:is>
      </x:c>
      <x:c r="J734" s="160" t="inlineStr">
        <x:is>
          <x:t xml:space="preserve">Restatement, segment reclassification, one-time item or non-economic fair-value movement distorts the apparent trend.</x:t>
        </x:is>
      </x:c>
      <x:c r="K734" s="160" t="inlineStr">
        <x:is>
          <x:t xml:space="preserve">AWS plus retail/advertising economics minus infrastructure investment</x:t>
        </x:is>
      </x:c>
      <x:c r="L734" s="160" t="inlineStr">
        <x:is>
          <x:t xml:space="preserve">SOTP + owner earnings</x:t>
        </x:is>
      </x:c>
      <x:c r="M734" s="160" t="inlineStr">
        <x:is>
          <x:t xml:space="preserve">WATCH</x:t>
        </x:is>
      </x:c>
      <x:c r="N734" s="160" t="inlineStr">
        <x:is>
          <x:t xml:space="preserve">R-DATA-01</x:t>
        </x:is>
      </x:c>
      <x:c r="O734" s="160" t="inlineStr">
        <x:is>
          <x:t xml:space="preserve">COUNTER-EVIDENCE</x:t>
        </x:is>
      </x:c>
      <x:c r="P734" s="160" t="inlineStr">
        <x:is>
          <x:t xml:space="preserve">ROBUST</x:t>
        </x:is>
      </x:c>
      <x:c r="Q734" s="160" t="inlineStr">
        <x:is>
          <x:t xml:space="preserve">The mature simulation rule catches the stress without weakening a fatal gate; no rule relaxation is justified.</x:t>
        </x:is>
      </x:c>
      <x:c r="R734" s="160" t="inlineStr">
        <x:is>
          <x:t xml:space="preserve">Add a reporting-quality bridge and normalize accounting noise before any gate can pass.</x:t>
        </x:is>
      </x:c>
      <x:c r="S734" s="160" t="inlineStr">
        <x:is>
          <x:t xml:space="preserve">NO</x:t>
        </x:is>
      </x:c>
      <x:c r="T734" s="160" t="inlineStr">
        <x:is>
          <x:t xml:space="preserve">COUNTER-EVIDENCE</x:t>
        </x:is>
      </x:c>
      <x:c r="U734" s="160" t="inlineStr">
        <x:is>
          <x:t xml:space="preserve">V10.5-SIM63</x:t>
        </x:is>
      </x:c>
      <x:c r="V734" s="160" t="inlineStr">
        <x:is>
          <x:t xml:space="preserve">https://ir.aboutamazon.com</x:t>
        </x:is>
      </x:c>
      <x:c r="W734" s="160" t="inlineStr">
        <x:is>
          <x:t xml:space="preserve">NO</x:t>
        </x:is>
      </x:c>
      <x:c r="X734" s="160" t="inlineStr">
        <x:is>
          <x:t xml:space="preserve">NONE — DEVELOPMENT ONLY</x:t>
        </x:is>
      </x:c>
      <x:c r="Y734" s="160" t="inlineStr">
        <x:is>
          <x:t xml:space="preserve">Synthetic/adversarial model-development loop. No historical outcome is claimed; no accuracy point is awarded.</x:t>
        </x:is>
      </x:c>
    </x:row>
    <x:row r="735">
      <x:c r="A735" s="160" t="inlineStr">
        <x:is>
          <x:t xml:space="preserve">ML0730</x:t>
        </x:is>
      </x:c>
      <x:c r="B735" s="160" t="inlineStr">
        <x:is>
          <x:t xml:space="preserve">ARG-046</x:t>
        </x:is>
      </x:c>
      <x:c r="C735" s="160" t="inlineStr">
        <x:is>
          <x:t xml:space="preserve">Amazon</x:t>
        </x:is>
      </x:c>
      <x:c r="D735" s="160" t="inlineStr">
        <x:is>
          <x:t xml:space="preserve">AMZN</x:t>
        </x:is>
      </x:c>
      <x:c r="E735" s="160" t="inlineStr">
        <x:is>
          <x:t xml:space="preserve">Software &amp; Payments</x:t>
        </x:is>
      </x:c>
      <x:c r="F735" s="160" t="inlineStr">
        <x:is>
          <x:t xml:space="preserve">Development</x:t>
        </x:is>
      </x:c>
      <x:c r="G735" s="160" t="inlineStr">
        <x:is>
          <x:t xml:space="preserve">S10</x:t>
        </x:is>
      </x:c>
      <x:c r="H735" s="160" t="inlineStr">
        <x:is>
          <x:t xml:space="preserve">Control / Counterfactual</x:t>
        </x:is>
      </x:c>
      <x:c r="I735" s="160" t="inlineStr">
        <x:is>
          <x:t xml:space="preserve">Sector beta vs company alpha</x:t>
        </x:is>
      </x:c>
      <x:c r="J735" s="160" t="inlineStr">
        <x:is>
          <x:t xml:space="preserve">A positive outcome is mostly sector beta or macro tailwind, not company-specific alpha.</x:t>
        </x:is>
      </x:c>
      <x:c r="K735" s="160" t="inlineStr">
        <x:is>
          <x:t xml:space="preserve">AWS plus retail/advertising economics minus infrastructure investment</x:t>
        </x:is>
      </x:c>
      <x:c r="L735" s="160" t="inlineStr">
        <x:is>
          <x:t xml:space="preserve">SOTP + owner earnings</x:t>
        </x:is>
      </x:c>
      <x:c r="M735" s="160" t="inlineStr">
        <x:is>
          <x:t xml:space="preserve">WATCH</x:t>
        </x:is>
      </x:c>
      <x:c r="N735" s="160" t="inlineStr">
        <x:is>
          <x:t xml:space="preserve">R-CF-01</x:t>
        </x:is>
      </x:c>
      <x:c r="O735" s="160" t="inlineStr">
        <x:is>
          <x:t xml:space="preserve">COUNTER-EVIDENCE</x:t>
        </x:is>
      </x:c>
      <x:c r="P735" s="160" t="inlineStr">
        <x:is>
          <x:t xml:space="preserve">ROBUST</x:t>
        </x:is>
      </x:c>
      <x:c r="Q735" s="160" t="inlineStr">
        <x:is>
          <x:t xml:space="preserve">The mature simulation rule catches the stress without weakening a fatal gate; no rule relaxation is justified.</x:t>
        </x:is>
      </x:c>
      <x:c r="R735" s="160" t="inlineStr">
        <x:is>
          <x:t xml:space="preserve">Require a true economic control and counterfactual: what should have happened to a comparable company under the same shock?</x:t>
        </x:is>
      </x:c>
      <x:c r="S735" s="160" t="inlineStr">
        <x:is>
          <x:t xml:space="preserve">NO</x:t>
        </x:is>
      </x:c>
      <x:c r="T735" s="160" t="inlineStr">
        <x:is>
          <x:t xml:space="preserve">COUNTER-EVIDENCE</x:t>
        </x:is>
      </x:c>
      <x:c r="U735" s="160" t="inlineStr">
        <x:is>
          <x:t xml:space="preserve">V10.5-SIM63</x:t>
        </x:is>
      </x:c>
      <x:c r="V735" s="160" t="inlineStr">
        <x:is>
          <x:t xml:space="preserve">https://ir.aboutamazon.com</x:t>
        </x:is>
      </x:c>
      <x:c r="W735" s="160" t="inlineStr">
        <x:is>
          <x:t xml:space="preserve">NO</x:t>
        </x:is>
      </x:c>
      <x:c r="X735" s="160" t="inlineStr">
        <x:is>
          <x:t xml:space="preserve">NONE — DEVELOPMENT ONLY</x:t>
        </x:is>
      </x:c>
      <x:c r="Y735" s="160" t="inlineStr">
        <x:is>
          <x:t xml:space="preserve">Synthetic/adversarial model-development loop. No historical outcome is claimed; no accuracy point is awarded.</x:t>
        </x:is>
      </x:c>
    </x:row>
    <x:row r="736">
      <x:c r="A736" s="160" t="inlineStr">
        <x:is>
          <x:t xml:space="preserve">ML0731</x:t>
        </x:is>
      </x:c>
      <x:c r="B736" s="160" t="inlineStr">
        <x:is>
          <x:t xml:space="preserve">ARG-046</x:t>
        </x:is>
      </x:c>
      <x:c r="C736" s="160" t="inlineStr">
        <x:is>
          <x:t xml:space="preserve">Amazon</x:t>
        </x:is>
      </x:c>
      <x:c r="D736" s="160" t="inlineStr">
        <x:is>
          <x:t xml:space="preserve">AMZN</x:t>
        </x:is>
      </x:c>
      <x:c r="E736" s="160" t="inlineStr">
        <x:is>
          <x:t xml:space="preserve">Software &amp; Payments</x:t>
        </x:is>
      </x:c>
      <x:c r="F736" s="160" t="inlineStr">
        <x:is>
          <x:t xml:space="preserve">Development</x:t>
        </x:is>
      </x:c>
      <x:c r="G736" s="160" t="inlineStr">
        <x:is>
          <x:t xml:space="preserve">S11</x:t>
        </x:is>
      </x:c>
      <x:c r="H736" s="160" t="inlineStr">
        <x:is>
          <x:t xml:space="preserve">False-Negative Discipline</x:t>
        </x:is>
      </x:c>
      <x:c r="I736" s="160" t="inlineStr">
        <x:is>
          <x:t xml:space="preserve">False negative</x:t>
        </x:is>
      </x:c>
      <x:c r="J736" s="160" t="inlineStr">
        <x:is>
          <x:t xml:space="preserve">A strict gate rejects a company that later compounds strongly for reasons the model could have known.</x:t>
        </x:is>
      </x:c>
      <x:c r="K736" s="160" t="inlineStr">
        <x:is>
          <x:t xml:space="preserve">AWS plus retail/advertising economics minus infrastructure investment</x:t>
        </x:is>
      </x:c>
      <x:c r="L736" s="160" t="inlineStr">
        <x:is>
          <x:t xml:space="preserve">SOTP + owner earnings</x:t>
        </x:is>
      </x:c>
      <x:c r="M736" s="160" t="inlineStr">
        <x:is>
          <x:t xml:space="preserve">WATCH</x:t>
        </x:is>
      </x:c>
      <x:c r="N736" s="160" t="inlineStr">
        <x:is>
          <x:t xml:space="preserve">R-FN-01</x:t>
        </x:is>
      </x:c>
      <x:c r="O736" s="160" t="inlineStr">
        <x:is>
          <x:t xml:space="preserve">COUNTER-EVIDENCE</x:t>
        </x:is>
      </x:c>
      <x:c r="P736" s="160" t="inlineStr">
        <x:is>
          <x:t xml:space="preserve">ROBUST</x:t>
        </x:is>
      </x:c>
      <x:c r="Q736" s="160" t="inlineStr">
        <x:is>
          <x:t xml:space="preserve">The mature simulation rule catches the stress without weakening a fatal gate; no rule relaxation is justified.</x:t>
        </x:is>
      </x:c>
      <x:c r="R736" s="160" t="inlineStr">
        <x:is>
          <x:t xml:space="preserve">Track opportunity cost and classify whether the miss came from evidence timing, wrong threshold or genuinely unknowable upside.</x:t>
        </x:is>
      </x:c>
      <x:c r="S736" s="160" t="inlineStr">
        <x:is>
          <x:t xml:space="preserve">NO</x:t>
        </x:is>
      </x:c>
      <x:c r="T736" s="160" t="inlineStr">
        <x:is>
          <x:t xml:space="preserve">COUNTER-EVIDENCE</x:t>
        </x:is>
      </x:c>
      <x:c r="U736" s="160" t="inlineStr">
        <x:is>
          <x:t xml:space="preserve">V10.5-SIM63</x:t>
        </x:is>
      </x:c>
      <x:c r="V736" s="160" t="inlineStr">
        <x:is>
          <x:t xml:space="preserve">https://ir.aboutamazon.com</x:t>
        </x:is>
      </x:c>
      <x:c r="W736" s="160" t="inlineStr">
        <x:is>
          <x:t xml:space="preserve">NO</x:t>
        </x:is>
      </x:c>
      <x:c r="X736" s="160" t="inlineStr">
        <x:is>
          <x:t xml:space="preserve">NONE — DEVELOPMENT ONLY</x:t>
        </x:is>
      </x:c>
      <x:c r="Y736" s="160" t="inlineStr">
        <x:is>
          <x:t xml:space="preserve">Synthetic/adversarial model-development loop. No historical outcome is claimed; no accuracy point is awarded.</x:t>
        </x:is>
      </x:c>
    </x:row>
    <x:row r="737">
      <x:c r="A737" s="160" t="inlineStr">
        <x:is>
          <x:t xml:space="preserve">ML0732</x:t>
        </x:is>
      </x:c>
      <x:c r="B737" s="160" t="inlineStr">
        <x:is>
          <x:t xml:space="preserve">ARG-046</x:t>
        </x:is>
      </x:c>
      <x:c r="C737" s="160" t="inlineStr">
        <x:is>
          <x:t xml:space="preserve">Amazon</x:t>
        </x:is>
      </x:c>
      <x:c r="D737" s="160" t="inlineStr">
        <x:is>
          <x:t xml:space="preserve">AMZN</x:t>
        </x:is>
      </x:c>
      <x:c r="E737" s="160" t="inlineStr">
        <x:is>
          <x:t xml:space="preserve">Software &amp; Payments</x:t>
        </x:is>
      </x:c>
      <x:c r="F737" s="160" t="inlineStr">
        <x:is>
          <x:t xml:space="preserve">Development</x:t>
        </x:is>
      </x:c>
      <x:c r="G737" s="160" t="inlineStr">
        <x:is>
          <x:t xml:space="preserve">S12</x:t>
        </x:is>
      </x:c>
      <x:c r="H737" s="160" t="inlineStr">
        <x:is>
          <x:t xml:space="preserve">Lead-Time / Early Sensor</x:t>
        </x:is>
      </x:c>
      <x:c r="I737" s="160" t="inlineStr">
        <x:is>
          <x:t xml:space="preserve">Timing / lead-time</x:t>
        </x:is>
      </x:c>
      <x:c r="J737" s="160" t="inlineStr">
        <x:is>
          <x:t xml:space="preserve">ARGUS identifies the change correctly but only after consensus and price have already reacted.</x:t>
        </x:is>
      </x:c>
      <x:c r="K737" s="160" t="inlineStr">
        <x:is>
          <x:t xml:space="preserve">AWS plus retail/advertising economics minus infrastructure investment</x:t>
        </x:is>
      </x:c>
      <x:c r="L737" s="160" t="inlineStr">
        <x:is>
          <x:t xml:space="preserve">SOTP + owner earnings</x:t>
        </x:is>
      </x:c>
      <x:c r="M737" s="160" t="inlineStr">
        <x:is>
          <x:t xml:space="preserve">WATCH</x:t>
        </x:is>
      </x:c>
      <x:c r="N737" s="160" t="inlineStr">
        <x:is>
          <x:t xml:space="preserve">R-TIME-01</x:t>
        </x:is>
      </x:c>
      <x:c r="O737" s="160" t="inlineStr">
        <x:is>
          <x:t xml:space="preserve">COUNTER-EVIDENCE</x:t>
        </x:is>
      </x:c>
      <x:c r="P737" s="160" t="inlineStr">
        <x:is>
          <x:t xml:space="preserve">ROBUST</x:t>
        </x:is>
      </x:c>
      <x:c r="Q737" s="160" t="inlineStr">
        <x:is>
          <x:t xml:space="preserve">The mature simulation rule catches the stress without weakening a fatal gate; no rule relaxation is justified.</x:t>
        </x:is>
      </x:c>
      <x:c r="R737" s="160" t="inlineStr">
        <x:is>
          <x:t xml:space="preserve">Replace lagging financial metrics with earlier causal operating sensors and record lead time separately from correctness.</x:t>
        </x:is>
      </x:c>
      <x:c r="S737" s="160" t="inlineStr">
        <x:is>
          <x:t xml:space="preserve">NO</x:t>
        </x:is>
      </x:c>
      <x:c r="T737" s="160" t="inlineStr">
        <x:is>
          <x:t xml:space="preserve">COUNTER-EVIDENCE</x:t>
        </x:is>
      </x:c>
      <x:c r="U737" s="160" t="inlineStr">
        <x:is>
          <x:t xml:space="preserve">V10.5-SIM63</x:t>
        </x:is>
      </x:c>
      <x:c r="V737" s="160" t="inlineStr">
        <x:is>
          <x:t xml:space="preserve">https://ir.aboutamazon.com</x:t>
        </x:is>
      </x:c>
      <x:c r="W737" s="160" t="inlineStr">
        <x:is>
          <x:t xml:space="preserve">NO</x:t>
        </x:is>
      </x:c>
      <x:c r="X737" s="160" t="inlineStr">
        <x:is>
          <x:t xml:space="preserve">NONE — DEVELOPMENT ONLY</x:t>
        </x:is>
      </x:c>
      <x:c r="Y737" s="160" t="inlineStr">
        <x:is>
          <x:t xml:space="preserve">Synthetic/adversarial model-development loop. No historical outcome is claimed; no accuracy point is awarded.</x:t>
        </x:is>
      </x:c>
    </x:row>
    <x:row r="738">
      <x:c r="A738" s="160" t="inlineStr">
        <x:is>
          <x:t xml:space="preserve">ML0733</x:t>
        </x:is>
      </x:c>
      <x:c r="B738" s="160" t="inlineStr">
        <x:is>
          <x:t xml:space="preserve">ARG-046</x:t>
        </x:is>
      </x:c>
      <x:c r="C738" s="160" t="inlineStr">
        <x:is>
          <x:t xml:space="preserve">Amazon</x:t>
        </x:is>
      </x:c>
      <x:c r="D738" s="160" t="inlineStr">
        <x:is>
          <x:t xml:space="preserve">AMZN</x:t>
        </x:is>
      </x:c>
      <x:c r="E738" s="160" t="inlineStr">
        <x:is>
          <x:t xml:space="preserve">Software &amp; Payments</x:t>
        </x:is>
      </x:c>
      <x:c r="F738" s="160" t="inlineStr">
        <x:is>
          <x:t xml:space="preserve">Development</x:t>
        </x:is>
      </x:c>
      <x:c r="G738" s="160" t="inlineStr">
        <x:is>
          <x:t xml:space="preserve">S13</x:t>
        </x:is>
      </x:c>
      <x:c r="H738" s="160" t="inlineStr">
        <x:is>
          <x:t xml:space="preserve">Cycle Normalization</x:t>
        </x:is>
      </x:c>
      <x:c r="I738" s="160" t="inlineStr">
        <x:is>
          <x:t xml:space="preserve">Wrong valuation lens</x:t>
        </x:is>
      </x:c>
      <x:c r="J738" s="160" t="inlineStr">
        <x:is>
          <x:t xml:space="preserve">Peak/trough earnings are mistaken for normalized earning power.</x:t>
        </x:is>
      </x:c>
      <x:c r="K738" s="160" t="inlineStr">
        <x:is>
          <x:t xml:space="preserve">AWS plus retail/advertising economics minus infrastructure investment</x:t>
        </x:is>
      </x:c>
      <x:c r="L738" s="160" t="inlineStr">
        <x:is>
          <x:t xml:space="preserve">SOTP + owner earnings</x:t>
        </x:is>
      </x:c>
      <x:c r="M738" s="160" t="inlineStr">
        <x:is>
          <x:t xml:space="preserve">WATCH</x:t>
        </x:is>
      </x:c>
      <x:c r="N738" s="160" t="inlineStr">
        <x:is>
          <x:t xml:space="preserve">R-CYCLE-01</x:t>
        </x:is>
      </x:c>
      <x:c r="O738" s="160" t="inlineStr">
        <x:is>
          <x:t xml:space="preserve">COUNTER-EVIDENCE</x:t>
        </x:is>
      </x:c>
      <x:c r="P738" s="160" t="inlineStr">
        <x:is>
          <x:t xml:space="preserve">ROBUST</x:t>
        </x:is>
      </x:c>
      <x:c r="Q738" s="160" t="inlineStr">
        <x:is>
          <x:t xml:space="preserve">The mature simulation rule catches the stress without weakening a fatal gate; no rule relaxation is justified.</x:t>
        </x:is>
      </x:c>
      <x:c r="R738" s="160" t="inlineStr">
        <x:is>
          <x:t xml:space="preserve">Use sector-specific mid-cycle/NAV/rate-base/rNPV normalization before applying a valuation multiple.</x:t>
        </x:is>
      </x:c>
      <x:c r="S738" s="160" t="inlineStr">
        <x:is>
          <x:t xml:space="preserve">NO</x:t>
        </x:is>
      </x:c>
      <x:c r="T738" s="160" t="inlineStr">
        <x:is>
          <x:t xml:space="preserve">COUNTER-EVIDENCE</x:t>
        </x:is>
      </x:c>
      <x:c r="U738" s="160" t="inlineStr">
        <x:is>
          <x:t xml:space="preserve">V10.5-SIM63</x:t>
        </x:is>
      </x:c>
      <x:c r="V738" s="160" t="inlineStr">
        <x:is>
          <x:t xml:space="preserve">https://ir.aboutamazon.com</x:t>
        </x:is>
      </x:c>
      <x:c r="W738" s="160" t="inlineStr">
        <x:is>
          <x:t xml:space="preserve">NO</x:t>
        </x:is>
      </x:c>
      <x:c r="X738" s="160" t="inlineStr">
        <x:is>
          <x:t xml:space="preserve">NONE — DEVELOPMENT ONLY</x:t>
        </x:is>
      </x:c>
      <x:c r="Y738" s="160" t="inlineStr">
        <x:is>
          <x:t xml:space="preserve">Synthetic/adversarial model-development loop. No historical outcome is claimed; no accuracy point is awarded.</x:t>
        </x:is>
      </x:c>
    </x:row>
    <x:row r="739">
      <x:c r="A739" s="160" t="inlineStr">
        <x:is>
          <x:t xml:space="preserve">ML0734</x:t>
        </x:is>
      </x:c>
      <x:c r="B739" s="160" t="inlineStr">
        <x:is>
          <x:t xml:space="preserve">ARG-046</x:t>
        </x:is>
      </x:c>
      <x:c r="C739" s="160" t="inlineStr">
        <x:is>
          <x:t xml:space="preserve">Amazon</x:t>
        </x:is>
      </x:c>
      <x:c r="D739" s="160" t="inlineStr">
        <x:is>
          <x:t xml:space="preserve">AMZN</x:t>
        </x:is>
      </x:c>
      <x:c r="E739" s="160" t="inlineStr">
        <x:is>
          <x:t xml:space="preserve">Software &amp; Payments</x:t>
        </x:is>
      </x:c>
      <x:c r="F739" s="160" t="inlineStr">
        <x:is>
          <x:t xml:space="preserve">Development</x:t>
        </x:is>
      </x:c>
      <x:c r="G739" s="160" t="inlineStr">
        <x:is>
          <x:t xml:space="preserve">S14</x:t>
        </x:is>
      </x:c>
      <x:c r="H739" s="160" t="inlineStr">
        <x:is>
          <x:t xml:space="preserve">M&amp;A / Organic Growth Separation</x:t>
        </x:is>
      </x:c>
      <x:c r="I739" s="160" t="inlineStr">
        <x:is>
          <x:t xml:space="preserve">Stewardship</x:t>
        </x:is>
      </x:c>
      <x:c r="J739" s="160" t="inlineStr">
        <x:is>
          <x:t xml:space="preserve">Acquisition-driven growth masks weak organic economics or poor incremental ROIC.</x:t>
        </x:is>
      </x:c>
      <x:c r="K739" s="160" t="inlineStr">
        <x:is>
          <x:t xml:space="preserve">AWS plus retail/advertising economics minus infrastructure investment</x:t>
        </x:is>
      </x:c>
      <x:c r="L739" s="160" t="inlineStr">
        <x:is>
          <x:t xml:space="preserve">SOTP + owner earnings</x:t>
        </x:is>
      </x:c>
      <x:c r="M739" s="160" t="inlineStr">
        <x:is>
          <x:t xml:space="preserve">WATCH</x:t>
        </x:is>
      </x:c>
      <x:c r="N739" s="160" t="inlineStr">
        <x:is>
          <x:t xml:space="preserve">R-MA-01</x:t>
        </x:is>
      </x:c>
      <x:c r="O739" s="160" t="inlineStr">
        <x:is>
          <x:t xml:space="preserve">COUNTER-EVIDENCE</x:t>
        </x:is>
      </x:c>
      <x:c r="P739" s="160" t="inlineStr">
        <x:is>
          <x:t xml:space="preserve">ROBUST</x:t>
        </x:is>
      </x:c>
      <x:c r="Q739" s="160" t="inlineStr">
        <x:is>
          <x:t xml:space="preserve">The mature simulation rule catches the stress without weakening a fatal gate; no rule relaxation is justified.</x:t>
        </x:is>
      </x:c>
      <x:c r="R739" s="160" t="inlineStr">
        <x:is>
          <x:t xml:space="preserve">Bridge organic growth, acquired growth, purchase price, integration costs and acquisition-cohort ROIC.</x:t>
        </x:is>
      </x:c>
      <x:c r="S739" s="160" t="inlineStr">
        <x:is>
          <x:t xml:space="preserve">NO</x:t>
        </x:is>
      </x:c>
      <x:c r="T739" s="160" t="inlineStr">
        <x:is>
          <x:t xml:space="preserve">COUNTER-EVIDENCE</x:t>
        </x:is>
      </x:c>
      <x:c r="U739" s="160" t="inlineStr">
        <x:is>
          <x:t xml:space="preserve">V10.5-SIM63</x:t>
        </x:is>
      </x:c>
      <x:c r="V739" s="160" t="inlineStr">
        <x:is>
          <x:t xml:space="preserve">https://ir.aboutamazon.com</x:t>
        </x:is>
      </x:c>
      <x:c r="W739" s="160" t="inlineStr">
        <x:is>
          <x:t xml:space="preserve">NO</x:t>
        </x:is>
      </x:c>
      <x:c r="X739" s="160" t="inlineStr">
        <x:is>
          <x:t xml:space="preserve">NONE — DEVELOPMENT ONLY</x:t>
        </x:is>
      </x:c>
      <x:c r="Y739" s="160" t="inlineStr">
        <x:is>
          <x:t xml:space="preserve">Synthetic/adversarial model-development loop. No historical outcome is claimed; no accuracy point is awarded.</x:t>
        </x:is>
      </x:c>
    </x:row>
    <x:row r="740">
      <x:c r="A740" s="160" t="inlineStr">
        <x:is>
          <x:t xml:space="preserve">ML0735</x:t>
        </x:is>
      </x:c>
      <x:c r="B740" s="160" t="inlineStr">
        <x:is>
          <x:t xml:space="preserve">ARG-046</x:t>
        </x:is>
      </x:c>
      <x:c r="C740" s="160" t="inlineStr">
        <x:is>
          <x:t xml:space="preserve">Amazon</x:t>
        </x:is>
      </x:c>
      <x:c r="D740" s="160" t="inlineStr">
        <x:is>
          <x:t xml:space="preserve">AMZN</x:t>
        </x:is>
      </x:c>
      <x:c r="E740" s="160" t="inlineStr">
        <x:is>
          <x:t xml:space="preserve">Software &amp; Payments</x:t>
        </x:is>
      </x:c>
      <x:c r="F740" s="160" t="inlineStr">
        <x:is>
          <x:t xml:space="preserve">Development</x:t>
        </x:is>
      </x:c>
      <x:c r="G740" s="160" t="inlineStr">
        <x:is>
          <x:t xml:space="preserve">S15</x:t>
        </x:is>
      </x:c>
      <x:c r="H740" s="160" t="inlineStr">
        <x:is>
          <x:t xml:space="preserve">Financing / Dilution Per Share</x:t>
        </x:is>
      </x:c>
      <x:c r="I740" s="160" t="inlineStr">
        <x:is>
          <x:t xml:space="preserve">Stewardship</x:t>
        </x:is>
      </x:c>
      <x:c r="J740" s="160" t="inlineStr">
        <x:is>
          <x:t xml:space="preserve">Cash balance or revenue growth improves while financing causes material per-share value leakage.</x:t>
        </x:is>
      </x:c>
      <x:c r="K740" s="160" t="inlineStr">
        <x:is>
          <x:t xml:space="preserve">AWS plus retail/advertising economics minus infrastructure investment</x:t>
        </x:is>
      </x:c>
      <x:c r="L740" s="160" t="inlineStr">
        <x:is>
          <x:t xml:space="preserve">SOTP + owner earnings</x:t>
        </x:is>
      </x:c>
      <x:c r="M740" s="160" t="inlineStr">
        <x:is>
          <x:t xml:space="preserve">WATCH</x:t>
        </x:is>
      </x:c>
      <x:c r="N740" s="160" t="inlineStr">
        <x:is>
          <x:t xml:space="preserve">R-DIL-01</x:t>
        </x:is>
      </x:c>
      <x:c r="O740" s="160" t="inlineStr">
        <x:is>
          <x:t xml:space="preserve">COUNTER-EVIDENCE</x:t>
        </x:is>
      </x:c>
      <x:c r="P740" s="160" t="inlineStr">
        <x:is>
          <x:t xml:space="preserve">ROBUST</x:t>
        </x:is>
      </x:c>
      <x:c r="Q740" s="160" t="inlineStr">
        <x:is>
          <x:t xml:space="preserve">The mature simulation rule catches the stress without weakening a fatal gate; no rule relaxation is justified.</x:t>
        </x:is>
      </x:c>
      <x:c r="R740" s="160" t="inlineStr">
        <x:is>
          <x:t xml:space="preserve">Reconcile share-count growth, SBC, equity issuance, buybacks and net cash changes to per-share intrinsic value.</x:t>
        </x:is>
      </x:c>
      <x:c r="S740" s="160" t="inlineStr">
        <x:is>
          <x:t xml:space="preserve">NO</x:t>
        </x:is>
      </x:c>
      <x:c r="T740" s="160" t="inlineStr">
        <x:is>
          <x:t xml:space="preserve">COUNTER-EVIDENCE</x:t>
        </x:is>
      </x:c>
      <x:c r="U740" s="160" t="inlineStr">
        <x:is>
          <x:t xml:space="preserve">V10.5-SIM63</x:t>
        </x:is>
      </x:c>
      <x:c r="V740" s="160" t="inlineStr">
        <x:is>
          <x:t xml:space="preserve">https://ir.aboutamazon.com</x:t>
        </x:is>
      </x:c>
      <x:c r="W740" s="160" t="inlineStr">
        <x:is>
          <x:t xml:space="preserve">NO</x:t>
        </x:is>
      </x:c>
      <x:c r="X740" s="160" t="inlineStr">
        <x:is>
          <x:t xml:space="preserve">NONE — DEVELOPMENT ONLY</x:t>
        </x:is>
      </x:c>
      <x:c r="Y740" s="160" t="inlineStr">
        <x:is>
          <x:t xml:space="preserve">Synthetic/adversarial model-development loop. No historical outcome is claimed; no accuracy point is awarded.</x:t>
        </x:is>
      </x:c>
    </x:row>
    <x:row r="741">
      <x:c r="A741" s="160" t="inlineStr">
        <x:is>
          <x:t xml:space="preserve">ML0736</x:t>
        </x:is>
      </x:c>
      <x:c r="B741" s="160" t="inlineStr">
        <x:is>
          <x:t xml:space="preserve">ARG-046</x:t>
        </x:is>
      </x:c>
      <x:c r="C741" s="160" t="inlineStr">
        <x:is>
          <x:t xml:space="preserve">Amazon</x:t>
        </x:is>
      </x:c>
      <x:c r="D741" s="160" t="inlineStr">
        <x:is>
          <x:t xml:space="preserve">AMZN</x:t>
        </x:is>
      </x:c>
      <x:c r="E741" s="160" t="inlineStr">
        <x:is>
          <x:t xml:space="preserve">Software &amp; Payments</x:t>
        </x:is>
      </x:c>
      <x:c r="F741" s="160" t="inlineStr">
        <x:is>
          <x:t xml:space="preserve">Development</x:t>
        </x:is>
      </x:c>
      <x:c r="G741" s="160" t="inlineStr">
        <x:is>
          <x:t xml:space="preserve">S16</x:t>
        </x:is>
      </x:c>
      <x:c r="H741" s="160" t="inlineStr">
        <x:is>
          <x:t xml:space="preserve">Concentration / Tail Risk</x:t>
        </x:is>
      </x:c>
      <x:c r="I741" s="160" t="inlineStr">
        <x:is>
          <x:t xml:space="preserve">Survival</x:t>
        </x:is>
      </x:c>
      <x:c r="J741" s="160" t="inlineStr">
        <x:is>
          <x:t xml:space="preserve">A concentrated supplier, geography, customer, product, patent, regulatory or technology dependency creates asymmetric permanent-loss risk.</x:t>
        </x:is>
      </x:c>
      <x:c r="K741" s="160" t="inlineStr">
        <x:is>
          <x:t xml:space="preserve">AWS plus retail/advertising economics minus infrastructure investment</x:t>
        </x:is>
      </x:c>
      <x:c r="L741" s="160" t="inlineStr">
        <x:is>
          <x:t xml:space="preserve">SOTP + owner earnings</x:t>
        </x:is>
      </x:c>
      <x:c r="M741" s="160" t="inlineStr">
        <x:is>
          <x:t xml:space="preserve">WATCH</x:t>
        </x:is>
      </x:c>
      <x:c r="N741" s="160" t="inlineStr">
        <x:is>
          <x:t xml:space="preserve">R-TAIL-01</x:t>
        </x:is>
      </x:c>
      <x:c r="O741" s="160" t="inlineStr">
        <x:is>
          <x:t xml:space="preserve">COUNTER-EVIDENCE</x:t>
        </x:is>
      </x:c>
      <x:c r="P741" s="160" t="inlineStr">
        <x:is>
          <x:t xml:space="preserve">ROBUST</x:t>
        </x:is>
      </x:c>
      <x:c r="Q741" s="160" t="inlineStr">
        <x:is>
          <x:t xml:space="preserve">The mature simulation rule catches the stress without weakening a fatal gate; no rule relaxation is justified.</x:t>
        </x:is>
      </x:c>
      <x:c r="R741" s="160" t="inlineStr">
        <x:is>
          <x:t xml:space="preserve">Maintain an explicit concentration/tail-risk register with probability, severity, mitigation and required margin-of-safety premium.</x:t>
        </x:is>
      </x:c>
      <x:c r="S741" s="160" t="inlineStr">
        <x:is>
          <x:t xml:space="preserve">NO</x:t>
        </x:is>
      </x:c>
      <x:c r="T741" s="160" t="inlineStr">
        <x:is>
          <x:t xml:space="preserve">COUNTER-EVIDENCE</x:t>
        </x:is>
      </x:c>
      <x:c r="U741" s="160" t="inlineStr">
        <x:is>
          <x:t xml:space="preserve">V10.5-SIM63</x:t>
        </x:is>
      </x:c>
      <x:c r="V741" s="160" t="inlineStr">
        <x:is>
          <x:t xml:space="preserve">https://ir.aboutamazon.com</x:t>
        </x:is>
      </x:c>
      <x:c r="W741" s="160" t="inlineStr">
        <x:is>
          <x:t xml:space="preserve">NO</x:t>
        </x:is>
      </x:c>
      <x:c r="X741" s="160" t="inlineStr">
        <x:is>
          <x:t xml:space="preserve">NONE — DEVELOPMENT ONLY</x:t>
        </x:is>
      </x:c>
      <x:c r="Y741" s="160" t="inlineStr">
        <x:is>
          <x:t xml:space="preserve">Synthetic/adversarial model-development loop. No historical outcome is claimed; no accuracy point is awarded.</x:t>
        </x:is>
      </x:c>
    </x:row>
    <x:row r="742">
      <x:c r="A742" s="160" t="inlineStr">
        <x:is>
          <x:t xml:space="preserve">ML0737</x:t>
        </x:is>
      </x:c>
      <x:c r="B742" s="160" t="inlineStr">
        <x:is>
          <x:t xml:space="preserve">ARG-047</x:t>
        </x:is>
      </x:c>
      <x:c r="C742" s="160" t="inlineStr">
        <x:is>
          <x:t xml:space="preserve">Intuit</x:t>
        </x:is>
      </x:c>
      <x:c r="D742" s="160" t="inlineStr">
        <x:is>
          <x:t xml:space="preserve">INTU</x:t>
        </x:is>
      </x:c>
      <x:c r="E742" s="160" t="inlineStr">
        <x:is>
          <x:t xml:space="preserve">Software &amp; Payments</x:t>
        </x:is>
      </x:c>
      <x:c r="F742" s="160" t="inlineStr">
        <x:is>
          <x:t xml:space="preserve">Development</x:t>
        </x:is>
      </x:c>
      <x:c r="G742" s="160" t="inlineStr">
        <x:is>
          <x:t xml:space="preserve">S01</x:t>
        </x:is>
      </x:c>
      <x:c r="H742" s="160" t="inlineStr">
        <x:is>
          <x:t xml:space="preserve">Understanding Gate</x:t>
        </x:is>
      </x:c>
      <x:c r="I742" s="160" t="inlineStr">
        <x:is>
          <x:t xml:space="preserve">Understanding</x:t>
        </x:is>
      </x:c>
      <x:c r="J742" s="160" t="inlineStr">
        <x:is>
          <x:t xml:space="preserve">Causal engine / customer ROI chain breaks under a misleading headline KPI.</x:t>
        </x:is>
      </x:c>
      <x:c r="K742" s="160" t="inlineStr">
        <x:is>
          <x:t xml:space="preserve">Workflow/data lock-in plus payroll/payments/services attach</x:t>
        </x:is>
      </x:c>
      <x:c r="L742" s="160" t="inlineStr">
        <x:is>
          <x:t xml:space="preserve">Economic owner earnings + reverse DCF</x:t>
        </x:is>
      </x:c>
      <x:c r="M742" s="160" t="inlineStr">
        <x:is>
          <x:t xml:space="preserve">BUY</x:t>
        </x:is>
      </x:c>
      <x:c r="N742" s="160" t="inlineStr">
        <x:is>
          <x:t xml:space="preserve">R-ENG-01</x:t>
        </x:is>
      </x:c>
      <x:c r="O742" s="160" t="inlineStr">
        <x:is>
          <x:t xml:space="preserve">COUNTER-EVIDENCE</x:t>
        </x:is>
      </x:c>
      <x:c r="P742" s="160" t="inlineStr">
        <x:is>
          <x:t xml:space="preserve">ROBUST</x:t>
        </x:is>
      </x:c>
      <x:c r="Q742" s="160" t="inlineStr">
        <x:is>
          <x:t xml:space="preserve">The mature simulation rule catches the stress without weakening a fatal gate; no rule relaxation is justified.</x:t>
        </x:is>
      </x:c>
      <x:c r="R742" s="160" t="inlineStr">
        <x:is>
          <x:t xml:space="preserve">Force an explicit engine tree: customer job → unit economics → revenue driver → owner-value bridge.</x:t>
        </x:is>
      </x:c>
      <x:c r="S742" s="160" t="inlineStr">
        <x:is>
          <x:t xml:space="preserve">NO</x:t>
        </x:is>
      </x:c>
      <x:c r="T742" s="160" t="inlineStr">
        <x:is>
          <x:t xml:space="preserve">COUNTER-EVIDENCE</x:t>
        </x:is>
      </x:c>
      <x:c r="U742" s="160" t="inlineStr">
        <x:is>
          <x:t xml:space="preserve">V10.5-SIM63</x:t>
        </x:is>
      </x:c>
      <x:c r="V742" s="160" t="inlineStr">
        <x:is>
          <x:t xml:space="preserve">https://investors.intuit.com</x:t>
        </x:is>
      </x:c>
      <x:c r="W742" s="160" t="inlineStr">
        <x:is>
          <x:t xml:space="preserve">NO</x:t>
        </x:is>
      </x:c>
      <x:c r="X742" s="160" t="inlineStr">
        <x:is>
          <x:t xml:space="preserve">NONE — DEVELOPMENT ONLY</x:t>
        </x:is>
      </x:c>
      <x:c r="Y742" s="160" t="inlineStr">
        <x:is>
          <x:t xml:space="preserve">Synthetic/adversarial model-development loop. No historical outcome is claimed; no accuracy point is awarded.</x:t>
        </x:is>
      </x:c>
    </x:row>
    <x:row r="743">
      <x:c r="A743" s="160" t="inlineStr">
        <x:is>
          <x:t xml:space="preserve">ML0738</x:t>
        </x:is>
      </x:c>
      <x:c r="B743" s="160" t="inlineStr">
        <x:is>
          <x:t xml:space="preserve">ARG-047</x:t>
        </x:is>
      </x:c>
      <x:c r="C743" s="160" t="inlineStr">
        <x:is>
          <x:t xml:space="preserve">Intuit</x:t>
        </x:is>
      </x:c>
      <x:c r="D743" s="160" t="inlineStr">
        <x:is>
          <x:t xml:space="preserve">INTU</x:t>
        </x:is>
      </x:c>
      <x:c r="E743" s="160" t="inlineStr">
        <x:is>
          <x:t xml:space="preserve">Software &amp; Payments</x:t>
        </x:is>
      </x:c>
      <x:c r="F743" s="160" t="inlineStr">
        <x:is>
          <x:t xml:space="preserve">Development</x:t>
        </x:is>
      </x:c>
      <x:c r="G743" s="160" t="inlineStr">
        <x:is>
          <x:t xml:space="preserve">S02</x:t>
        </x:is>
      </x:c>
      <x:c r="H743" s="160" t="inlineStr">
        <x:is>
          <x:t xml:space="preserve">Owner Earnings Normalization</x:t>
        </x:is>
      </x:c>
      <x:c r="I743" s="160" t="inlineStr">
        <x:is>
          <x:t xml:space="preserve">Owner Earnings</x:t>
        </x:is>
      </x:c>
      <x:c r="J743" s="160" t="inlineStr">
        <x:is>
          <x:t xml:space="preserve">Reported earnings/FCF overstates economic cash because recurring reinvestment or non-cash compensation is misclassified.</x:t>
        </x:is>
      </x:c>
      <x:c r="K743" s="160" t="inlineStr">
        <x:is>
          <x:t xml:space="preserve">Workflow/data lock-in plus payroll/payments/services attach</x:t>
        </x:is>
      </x:c>
      <x:c r="L743" s="160" t="inlineStr">
        <x:is>
          <x:t xml:space="preserve">Economic owner earnings + reverse DCF</x:t>
        </x:is>
      </x:c>
      <x:c r="M743" s="160" t="inlineStr">
        <x:is>
          <x:t xml:space="preserve">BUY</x:t>
        </x:is>
      </x:c>
      <x:c r="N743" s="160" t="inlineStr">
        <x:is>
          <x:t xml:space="preserve">R-OE-01</x:t>
        </x:is>
      </x:c>
      <x:c r="O743" s="160" t="inlineStr">
        <x:is>
          <x:t xml:space="preserve">COUNTER-EVIDENCE</x:t>
        </x:is>
      </x:c>
      <x:c r="P743" s="160" t="inlineStr">
        <x:is>
          <x:t xml:space="preserve">ROBUST</x:t>
        </x:is>
      </x:c>
      <x:c r="Q743" s="160" t="inlineStr">
        <x:is>
          <x:t xml:space="preserve">The mature simulation rule catches the stress without weakening a fatal gate; no rule relaxation is justified.</x:t>
        </x:is>
      </x:c>
      <x:c r="R743" s="160" t="inlineStr">
        <x:is>
          <x:t xml:space="preserve">Require a GAAP-to-economic-owner-cash bridge tailored to the business model.</x:t>
        </x:is>
      </x:c>
      <x:c r="S743" s="160" t="inlineStr">
        <x:is>
          <x:t xml:space="preserve">NO</x:t>
        </x:is>
      </x:c>
      <x:c r="T743" s="160" t="inlineStr">
        <x:is>
          <x:t xml:space="preserve">COUNTER-EVIDENCE</x:t>
        </x:is>
      </x:c>
      <x:c r="U743" s="160" t="inlineStr">
        <x:is>
          <x:t xml:space="preserve">V10.5-SIM63</x:t>
        </x:is>
      </x:c>
      <x:c r="V743" s="160" t="inlineStr">
        <x:is>
          <x:t xml:space="preserve">https://investors.intuit.com</x:t>
        </x:is>
      </x:c>
      <x:c r="W743" s="160" t="inlineStr">
        <x:is>
          <x:t xml:space="preserve">NO</x:t>
        </x:is>
      </x:c>
      <x:c r="X743" s="160" t="inlineStr">
        <x:is>
          <x:t xml:space="preserve">NONE — DEVELOPMENT ONLY</x:t>
        </x:is>
      </x:c>
      <x:c r="Y743" s="160" t="inlineStr">
        <x:is>
          <x:t xml:space="preserve">Synthetic/adversarial model-development loop. No historical outcome is claimed; no accuracy point is awarded.</x:t>
        </x:is>
      </x:c>
    </x:row>
    <x:row r="744">
      <x:c r="A744" s="160" t="inlineStr">
        <x:is>
          <x:t xml:space="preserve">ML0739</x:t>
        </x:is>
      </x:c>
      <x:c r="B744" s="160" t="inlineStr">
        <x:is>
          <x:t xml:space="preserve">ARG-047</x:t>
        </x:is>
      </x:c>
      <x:c r="C744" s="160" t="inlineStr">
        <x:is>
          <x:t xml:space="preserve">Intuit</x:t>
        </x:is>
      </x:c>
      <x:c r="D744" s="160" t="inlineStr">
        <x:is>
          <x:t xml:space="preserve">INTU</x:t>
        </x:is>
      </x:c>
      <x:c r="E744" s="160" t="inlineStr">
        <x:is>
          <x:t xml:space="preserve">Software &amp; Payments</x:t>
        </x:is>
      </x:c>
      <x:c r="F744" s="160" t="inlineStr">
        <x:is>
          <x:t xml:space="preserve">Development</x:t>
        </x:is>
      </x:c>
      <x:c r="G744" s="160" t="inlineStr">
        <x:is>
          <x:t xml:space="preserve">S03</x:t>
        </x:is>
      </x:c>
      <x:c r="H744" s="160" t="inlineStr">
        <x:is>
          <x:t xml:space="preserve">Moat Durability</x:t>
        </x:is>
      </x:c>
      <x:c r="I744" s="160" t="inlineStr">
        <x:is>
          <x:t xml:space="preserve">Moat 2036</x:t>
        </x:is>
      </x:c>
      <x:c r="J744" s="160" t="inlineStr">
        <x:is>
          <x:t xml:space="preserve">Growth continues while switching friction, pricing power or replacement difficulty quietly weakens.</x:t>
        </x:is>
      </x:c>
      <x:c r="K744" s="160" t="inlineStr">
        <x:is>
          <x:t xml:space="preserve">Workflow/data lock-in plus payroll/payments/services attach</x:t>
        </x:is>
      </x:c>
      <x:c r="L744" s="160" t="inlineStr">
        <x:is>
          <x:t xml:space="preserve">Economic owner earnings + reverse DCF</x:t>
        </x:is>
      </x:c>
      <x:c r="M744" s="160" t="inlineStr">
        <x:is>
          <x:t xml:space="preserve">BUY</x:t>
        </x:is>
      </x:c>
      <x:c r="N744" s="160" t="inlineStr">
        <x:is>
          <x:t xml:space="preserve">R-MOAT-01</x:t>
        </x:is>
      </x:c>
      <x:c r="O744" s="160" t="inlineStr">
        <x:is>
          <x:t xml:space="preserve">COUNTER-EVIDENCE</x:t>
        </x:is>
      </x:c>
      <x:c r="P744" s="160" t="inlineStr">
        <x:is>
          <x:t xml:space="preserve">ROBUST</x:t>
        </x:is>
      </x:c>
      <x:c r="Q744" s="160" t="inlineStr">
        <x:is>
          <x:t xml:space="preserve">The mature simulation rule catches the stress without weakening a fatal gate; no rule relaxation is justified.</x:t>
        </x:is>
      </x:c>
      <x:c r="R744" s="160" t="inlineStr">
        <x:is>
          <x:t xml:space="preserve">Track moat telemetry separately from growth: retention, pricing, win/loss, replacement friction, installed-base behavior.</x:t>
        </x:is>
      </x:c>
      <x:c r="S744" s="160" t="inlineStr">
        <x:is>
          <x:t xml:space="preserve">NO</x:t>
        </x:is>
      </x:c>
      <x:c r="T744" s="160" t="inlineStr">
        <x:is>
          <x:t xml:space="preserve">COUNTER-EVIDENCE</x:t>
        </x:is>
      </x:c>
      <x:c r="U744" s="160" t="inlineStr">
        <x:is>
          <x:t xml:space="preserve">V10.5-SIM63</x:t>
        </x:is>
      </x:c>
      <x:c r="V744" s="160" t="inlineStr">
        <x:is>
          <x:t xml:space="preserve">https://investors.intuit.com</x:t>
        </x:is>
      </x:c>
      <x:c r="W744" s="160" t="inlineStr">
        <x:is>
          <x:t xml:space="preserve">NO</x:t>
        </x:is>
      </x:c>
      <x:c r="X744" s="160" t="inlineStr">
        <x:is>
          <x:t xml:space="preserve">NONE — DEVELOPMENT ONLY</x:t>
        </x:is>
      </x:c>
      <x:c r="Y744" s="160" t="inlineStr">
        <x:is>
          <x:t xml:space="preserve">Synthetic/adversarial model-development loop. No historical outcome is claimed; no accuracy point is awarded.</x:t>
        </x:is>
      </x:c>
    </x:row>
    <x:row r="745">
      <x:c r="A745" s="160" t="inlineStr">
        <x:is>
          <x:t xml:space="preserve">ML0740</x:t>
        </x:is>
      </x:c>
      <x:c r="B745" s="160" t="inlineStr">
        <x:is>
          <x:t xml:space="preserve">ARG-047</x:t>
        </x:is>
      </x:c>
      <x:c r="C745" s="160" t="inlineStr">
        <x:is>
          <x:t xml:space="preserve">Intuit</x:t>
        </x:is>
      </x:c>
      <x:c r="D745" s="160" t="inlineStr">
        <x:is>
          <x:t xml:space="preserve">INTU</x:t>
        </x:is>
      </x:c>
      <x:c r="E745" s="160" t="inlineStr">
        <x:is>
          <x:t xml:space="preserve">Software &amp; Payments</x:t>
        </x:is>
      </x:c>
      <x:c r="F745" s="160" t="inlineStr">
        <x:is>
          <x:t xml:space="preserve">Development</x:t>
        </x:is>
      </x:c>
      <x:c r="G745" s="160" t="inlineStr">
        <x:is>
          <x:t xml:space="preserve">S04</x:t>
        </x:is>
      </x:c>
      <x:c r="H745" s="160" t="inlineStr">
        <x:is>
          <x:t xml:space="preserve">Stewardship / Capital Allocation</x:t>
        </x:is>
      </x:c>
      <x:c r="I745" s="160" t="inlineStr">
        <x:is>
          <x:t xml:space="preserve">Stewardship</x:t>
        </x:is>
      </x:c>
      <x:c r="J745" s="160" t="inlineStr">
        <x:is>
          <x:t xml:space="preserve">Management creates enterprise growth while destroying per-share value through M&amp;A, dilution, leverage or mistimed buybacks.</x:t>
        </x:is>
      </x:c>
      <x:c r="K745" s="160" t="inlineStr">
        <x:is>
          <x:t xml:space="preserve">Workflow/data lock-in plus payroll/payments/services attach</x:t>
        </x:is>
      </x:c>
      <x:c r="L745" s="160" t="inlineStr">
        <x:is>
          <x:t xml:space="preserve">Economic owner earnings + reverse DCF</x:t>
        </x:is>
      </x:c>
      <x:c r="M745" s="160" t="inlineStr">
        <x:is>
          <x:t xml:space="preserve">BUY</x:t>
        </x:is>
      </x:c>
      <x:c r="N745" s="160" t="inlineStr">
        <x:is>
          <x:t xml:space="preserve">R-STEW-01</x:t>
        </x:is>
      </x:c>
      <x:c r="O745" s="160" t="inlineStr">
        <x:is>
          <x:t xml:space="preserve">COUNTER-EVIDENCE</x:t>
        </x:is>
      </x:c>
      <x:c r="P745" s="160" t="inlineStr">
        <x:is>
          <x:t xml:space="preserve">ROBUST</x:t>
        </x:is>
      </x:c>
      <x:c r="Q745" s="160" t="inlineStr">
        <x:is>
          <x:t xml:space="preserve">The mature simulation rule catches the stress without weakening a fatal gate; no rule relaxation is justified.</x:t>
        </x:is>
      </x:c>
      <x:c r="R745" s="160" t="inlineStr">
        <x:is>
          <x:t xml:space="preserve">Evaluate capital allocation on a per-share basis using acquisition cohorts, dilution, leverage and repurchase price discipline.</x:t>
        </x:is>
      </x:c>
      <x:c r="S745" s="160" t="inlineStr">
        <x:is>
          <x:t xml:space="preserve">NO</x:t>
        </x:is>
      </x:c>
      <x:c r="T745" s="160" t="inlineStr">
        <x:is>
          <x:t xml:space="preserve">COUNTER-EVIDENCE</x:t>
        </x:is>
      </x:c>
      <x:c r="U745" s="160" t="inlineStr">
        <x:is>
          <x:t xml:space="preserve">V10.5-SIM63</x:t>
        </x:is>
      </x:c>
      <x:c r="V745" s="160" t="inlineStr">
        <x:is>
          <x:t xml:space="preserve">https://investors.intuit.com</x:t>
        </x:is>
      </x:c>
      <x:c r="W745" s="160" t="inlineStr">
        <x:is>
          <x:t xml:space="preserve">NO</x:t>
        </x:is>
      </x:c>
      <x:c r="X745" s="160" t="inlineStr">
        <x:is>
          <x:t xml:space="preserve">NONE — DEVELOPMENT ONLY</x:t>
        </x:is>
      </x:c>
      <x:c r="Y745" s="160" t="inlineStr">
        <x:is>
          <x:t xml:space="preserve">Synthetic/adversarial model-development loop. No historical outcome is claimed; no accuracy point is awarded.</x:t>
        </x:is>
      </x:c>
    </x:row>
    <x:row r="746">
      <x:c r="A746" s="160" t="inlineStr">
        <x:is>
          <x:t xml:space="preserve">ML0741</x:t>
        </x:is>
      </x:c>
      <x:c r="B746" s="160" t="inlineStr">
        <x:is>
          <x:t xml:space="preserve">ARG-047</x:t>
        </x:is>
      </x:c>
      <x:c r="C746" s="160" t="inlineStr">
        <x:is>
          <x:t xml:space="preserve">Intuit</x:t>
        </x:is>
      </x:c>
      <x:c r="D746" s="160" t="inlineStr">
        <x:is>
          <x:t xml:space="preserve">INTU</x:t>
        </x:is>
      </x:c>
      <x:c r="E746" s="160" t="inlineStr">
        <x:is>
          <x:t xml:space="preserve">Software &amp; Payments</x:t>
        </x:is>
      </x:c>
      <x:c r="F746" s="160" t="inlineStr">
        <x:is>
          <x:t xml:space="preserve">Development</x:t>
        </x:is>
      </x:c>
      <x:c r="G746" s="160" t="inlineStr">
        <x:is>
          <x:t xml:space="preserve">S05</x:t>
        </x:is>
      </x:c>
      <x:c r="H746" s="160" t="inlineStr">
        <x:is>
          <x:t xml:space="preserve">Survival / Funding</x:t>
        </x:is>
      </x:c>
      <x:c r="I746" s="160" t="inlineStr">
        <x:is>
          <x:t xml:space="preserve">Survival</x:t>
        </x:is>
      </x:c>
      <x:c r="J746" s="160" t="inlineStr">
        <x:is>
          <x:t xml:space="preserve">A plausible bear case exposes refinancing, liquidity, covenant, reserve, regulatory or operational fragility.</x:t>
        </x:is>
      </x:c>
      <x:c r="K746" s="160" t="inlineStr">
        <x:is>
          <x:t xml:space="preserve">Workflow/data lock-in plus payroll/payments/services attach</x:t>
        </x:is>
      </x:c>
      <x:c r="L746" s="160" t="inlineStr">
        <x:is>
          <x:t xml:space="preserve">Economic owner earnings + reverse DCF</x:t>
        </x:is>
      </x:c>
      <x:c r="M746" s="160" t="inlineStr">
        <x:is>
          <x:t xml:space="preserve">BUY</x:t>
        </x:is>
      </x:c>
      <x:c r="N746" s="160" t="inlineStr">
        <x:is>
          <x:t xml:space="preserve">R-SURV-01</x:t>
        </x:is>
      </x:c>
      <x:c r="O746" s="160" t="inlineStr">
        <x:is>
          <x:t xml:space="preserve">COUNTER-EVIDENCE</x:t>
        </x:is>
      </x:c>
      <x:c r="P746" s="160" t="inlineStr">
        <x:is>
          <x:t xml:space="preserve">ROBUST</x:t>
        </x:is>
      </x:c>
      <x:c r="Q746" s="160" t="inlineStr">
        <x:is>
          <x:t xml:space="preserve">The mature simulation rule catches the stress without weakening a fatal gate; no rule relaxation is justified.</x:t>
        </x:is>
      </x:c>
      <x:c r="R746" s="160" t="inlineStr">
        <x:is>
          <x:t xml:space="preserve">Run a company-specific survival bridge under a severe-but-plausible bear case before any upside underwriting.</x:t>
        </x:is>
      </x:c>
      <x:c r="S746" s="160" t="inlineStr">
        <x:is>
          <x:t xml:space="preserve">NO</x:t>
        </x:is>
      </x:c>
      <x:c r="T746" s="160" t="inlineStr">
        <x:is>
          <x:t xml:space="preserve">COUNTER-EVIDENCE</x:t>
        </x:is>
      </x:c>
      <x:c r="U746" s="160" t="inlineStr">
        <x:is>
          <x:t xml:space="preserve">V10.5-SIM63</x:t>
        </x:is>
      </x:c>
      <x:c r="V746" s="160" t="inlineStr">
        <x:is>
          <x:t xml:space="preserve">https://investors.intuit.com</x:t>
        </x:is>
      </x:c>
      <x:c r="W746" s="160" t="inlineStr">
        <x:is>
          <x:t xml:space="preserve">NO</x:t>
        </x:is>
      </x:c>
      <x:c r="X746" s="160" t="inlineStr">
        <x:is>
          <x:t xml:space="preserve">NONE — DEVELOPMENT ONLY</x:t>
        </x:is>
      </x:c>
      <x:c r="Y746" s="160" t="inlineStr">
        <x:is>
          <x:t xml:space="preserve">Synthetic/adversarial model-development loop. No historical outcome is claimed; no accuracy point is awarded.</x:t>
        </x:is>
      </x:c>
    </x:row>
    <x:row r="747">
      <x:c r="A747" s="160" t="inlineStr">
        <x:is>
          <x:t xml:space="preserve">ML0742</x:t>
        </x:is>
      </x:c>
      <x:c r="B747" s="160" t="inlineStr">
        <x:is>
          <x:t xml:space="preserve">ARG-047</x:t>
        </x:is>
      </x:c>
      <x:c r="C747" s="160" t="inlineStr">
        <x:is>
          <x:t xml:space="preserve">Intuit</x:t>
        </x:is>
      </x:c>
      <x:c r="D747" s="160" t="inlineStr">
        <x:is>
          <x:t xml:space="preserve">INTU</x:t>
        </x:is>
      </x:c>
      <x:c r="E747" s="160" t="inlineStr">
        <x:is>
          <x:t xml:space="preserve">Software &amp; Payments</x:t>
        </x:is>
      </x:c>
      <x:c r="F747" s="160" t="inlineStr">
        <x:is>
          <x:t xml:space="preserve">Development</x:t>
        </x:is>
      </x:c>
      <x:c r="G747" s="160" t="inlineStr">
        <x:is>
          <x:t xml:space="preserve">S06</x:t>
        </x:is>
      </x:c>
      <x:c r="H747" s="160" t="inlineStr">
        <x:is>
          <x:t xml:space="preserve">Margin of Safety</x:t>
        </x:is>
      </x:c>
      <x:c r="I747" s="160" t="inlineStr">
        <x:is>
          <x:t xml:space="preserve">Margin of Safety</x:t>
        </x:is>
      </x:c>
      <x:c r="J747" s="160" t="inlineStr">
        <x:is>
          <x:t xml:space="preserve">Business quality is high but the price embeds a fragile bull case.</x:t>
        </x:is>
      </x:c>
      <x:c r="K747" s="160" t="inlineStr">
        <x:is>
          <x:t xml:space="preserve">Workflow/data lock-in plus payroll/payments/services attach</x:t>
        </x:is>
      </x:c>
      <x:c r="L747" s="160" t="inlineStr">
        <x:is>
          <x:t xml:space="preserve">Economic owner earnings + reverse DCF</x:t>
        </x:is>
      </x:c>
      <x:c r="M747" s="160" t="inlineStr">
        <x:is>
          <x:t xml:space="preserve">BUY</x:t>
        </x:is>
      </x:c>
      <x:c r="N747" s="160" t="inlineStr">
        <x:is>
          <x:t xml:space="preserve">R-MOS-01</x:t>
        </x:is>
      </x:c>
      <x:c r="O747" s="160" t="inlineStr">
        <x:is>
          <x:t xml:space="preserve">COUNTER-EVIDENCE</x:t>
        </x:is>
      </x:c>
      <x:c r="P747" s="160" t="inlineStr">
        <x:is>
          <x:t xml:space="preserve">ROBUST</x:t>
        </x:is>
      </x:c>
      <x:c r="Q747" s="160" t="inlineStr">
        <x:is>
          <x:t xml:space="preserve">The mature simulation rule catches the stress without weakening a fatal gate; no rule relaxation is justified.</x:t>
        </x:is>
      </x:c>
      <x:c r="R747" s="160" t="inlineStr">
        <x:is>
          <x:t xml:space="preserve">Separate business-quality score from price decision; require reverse valuation and bear/base/bull IV ranges.</x:t>
        </x:is>
      </x:c>
      <x:c r="S747" s="160" t="inlineStr">
        <x:is>
          <x:t xml:space="preserve">NO</x:t>
        </x:is>
      </x:c>
      <x:c r="T747" s="160" t="inlineStr">
        <x:is>
          <x:t xml:space="preserve">COUNTER-EVIDENCE</x:t>
        </x:is>
      </x:c>
      <x:c r="U747" s="160" t="inlineStr">
        <x:is>
          <x:t xml:space="preserve">V10.5-SIM63</x:t>
        </x:is>
      </x:c>
      <x:c r="V747" s="160" t="inlineStr">
        <x:is>
          <x:t xml:space="preserve">https://investors.intuit.com</x:t>
        </x:is>
      </x:c>
      <x:c r="W747" s="160" t="inlineStr">
        <x:is>
          <x:t xml:space="preserve">NO</x:t>
        </x:is>
      </x:c>
      <x:c r="X747" s="160" t="inlineStr">
        <x:is>
          <x:t xml:space="preserve">NONE — DEVELOPMENT ONLY</x:t>
        </x:is>
      </x:c>
      <x:c r="Y747" s="160" t="inlineStr">
        <x:is>
          <x:t xml:space="preserve">Synthetic/adversarial model-development loop. No historical outcome is claimed; no accuracy point is awarded.</x:t>
        </x:is>
      </x:c>
    </x:row>
    <x:row r="748">
      <x:c r="A748" s="160" t="inlineStr">
        <x:is>
          <x:t xml:space="preserve">ML0743</x:t>
        </x:is>
      </x:c>
      <x:c r="B748" s="160" t="inlineStr">
        <x:is>
          <x:t xml:space="preserve">ARG-047</x:t>
        </x:is>
      </x:c>
      <x:c r="C748" s="160" t="inlineStr">
        <x:is>
          <x:t xml:space="preserve">Intuit</x:t>
        </x:is>
      </x:c>
      <x:c r="D748" s="160" t="inlineStr">
        <x:is>
          <x:t xml:space="preserve">INTU</x:t>
        </x:is>
      </x:c>
      <x:c r="E748" s="160" t="inlineStr">
        <x:is>
          <x:t xml:space="preserve">Software &amp; Payments</x:t>
        </x:is>
      </x:c>
      <x:c r="F748" s="160" t="inlineStr">
        <x:is>
          <x:t xml:space="preserve">Development</x:t>
        </x:is>
      </x:c>
      <x:c r="G748" s="160" t="inlineStr">
        <x:is>
          <x:t xml:space="preserve">S07</x:t>
        </x:is>
      </x:c>
      <x:c r="H748" s="160" t="inlineStr">
        <x:is>
          <x:t xml:space="preserve">Sector Shock</x:t>
        </x:is>
      </x:c>
      <x:c r="I748" s="160" t="inlineStr">
        <x:is>
          <x:t xml:space="preserve">Sector-specific</x:t>
        </x:is>
      </x:c>
      <x:c r="J748" s="160" t="inlineStr">
        <x:is>
          <x:t xml:space="preserve">Revenue/ARR grows while retention quality, take rate, SBC, AI capex or competitive substitution weakens owner earnings.</x:t>
        </x:is>
      </x:c>
      <x:c r="K748" s="160" t="inlineStr">
        <x:is>
          <x:t xml:space="preserve">Workflow/data lock-in plus payroll/payments/services attach</x:t>
        </x:is>
      </x:c>
      <x:c r="L748" s="160" t="inlineStr">
        <x:is>
          <x:t xml:space="preserve">Economic owner earnings + reverse DCF</x:t>
        </x:is>
      </x:c>
      <x:c r="M748" s="160" t="inlineStr">
        <x:is>
          <x:t xml:space="preserve">BUY</x:t>
        </x:is>
      </x:c>
      <x:c r="N748" s="160" t="inlineStr">
        <x:is>
          <x:t xml:space="preserve">R-SECTOR-SOFTWARE-PAYMENTS</x:t>
        </x:is>
      </x:c>
      <x:c r="O748" s="160" t="inlineStr">
        <x:is>
          <x:t xml:space="preserve">HARDENED</x:t>
        </x:is>
      </x:c>
      <x:c r="P748" s="160" t="inlineStr">
        <x:is>
          <x:t xml:space="preserve">ROBUST WITH RESIDUAL</x:t>
        </x:is>
      </x:c>
      <x:c r="Q748" s="160" t="inlineStr">
        <x:is>
          <x:t xml:space="preserve">The hardened rule catches the stress. Residual risk is mainly evidence quality, threshold calibration or interaction with another gate.</x:t>
        </x:is>
      </x:c>
      <x:c r="R748"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S748" s="160" t="inlineStr">
        <x:is>
          <x:t xml:space="preserve">YES — SIMULATION ONLY</x:t>
        </x:is>
      </x:c>
      <x:c r="T748" s="160" t="inlineStr">
        <x:is>
          <x:t xml:space="preserve">COUNTER-EVIDENCE</x:t>
        </x:is>
      </x:c>
      <x:c r="U748" s="160" t="inlineStr">
        <x:is>
          <x:t xml:space="preserve">V10.5-SIM64</x:t>
        </x:is>
      </x:c>
      <x:c r="V748" s="160" t="inlineStr">
        <x:is>
          <x:t xml:space="preserve">https://investors.intuit.com</x:t>
        </x:is>
      </x:c>
      <x:c r="W748" s="160" t="inlineStr">
        <x:is>
          <x:t xml:space="preserve">NO</x:t>
        </x:is>
      </x:c>
      <x:c r="X748" s="160" t="inlineStr">
        <x:is>
          <x:t xml:space="preserve">NONE — DEVELOPMENT ONLY</x:t>
        </x:is>
      </x:c>
      <x:c r="Y748" s="160" t="inlineStr">
        <x:is>
          <x:t xml:space="preserve">Synthetic/adversarial model-development loop. No historical outcome is claimed; no accuracy point is awarded.</x:t>
        </x:is>
      </x:c>
    </x:row>
    <x:row r="749">
      <x:c r="A749" s="160" t="inlineStr">
        <x:is>
          <x:t xml:space="preserve">ML0744</x:t>
        </x:is>
      </x:c>
      <x:c r="B749" s="160" t="inlineStr">
        <x:is>
          <x:t xml:space="preserve">ARG-047</x:t>
        </x:is>
      </x:c>
      <x:c r="C749" s="160" t="inlineStr">
        <x:is>
          <x:t xml:space="preserve">Intuit</x:t>
        </x:is>
      </x:c>
      <x:c r="D749" s="160" t="inlineStr">
        <x:is>
          <x:t xml:space="preserve">INTU</x:t>
        </x:is>
      </x:c>
      <x:c r="E749" s="160" t="inlineStr">
        <x:is>
          <x:t xml:space="preserve">Software &amp; Payments</x:t>
        </x:is>
      </x:c>
      <x:c r="F749" s="160" t="inlineStr">
        <x:is>
          <x:t xml:space="preserve">Development</x:t>
        </x:is>
      </x:c>
      <x:c r="G749" s="160" t="inlineStr">
        <x:is>
          <x:t xml:space="preserve">S08</x:t>
        </x:is>
      </x:c>
      <x:c r="H749" s="160" t="inlineStr">
        <x:is>
          <x:t xml:space="preserve">Management Promise Reliability</x:t>
        </x:is>
      </x:c>
      <x:c r="I749" s="160" t="inlineStr">
        <x:is>
          <x:t xml:space="preserve">Management over-trust</x:t>
        </x:is>
      </x:c>
      <x:c r="J749" s="160" t="inlineStr">
        <x:is>
          <x:t xml:space="preserve">Guidance or strategic promises are repeated but the model lacks a contemporaneous reliability score.</x:t>
        </x:is>
      </x:c>
      <x:c r="K749" s="160" t="inlineStr">
        <x:is>
          <x:t xml:space="preserve">Workflow/data lock-in plus payroll/payments/services attach</x:t>
        </x:is>
      </x:c>
      <x:c r="L749" s="160" t="inlineStr">
        <x:is>
          <x:t xml:space="preserve">Economic owner earnings + reverse DCF</x:t>
        </x:is>
      </x:c>
      <x:c r="M749" s="160" t="inlineStr">
        <x:is>
          <x:t xml:space="preserve">BUY</x:t>
        </x:is>
      </x:c>
      <x:c r="N749" s="160" t="inlineStr">
        <x:is>
          <x:t xml:space="preserve">R-PROM-01</x:t>
        </x:is>
      </x:c>
      <x:c r="O749" s="160" t="inlineStr">
        <x:is>
          <x:t xml:space="preserve">COUNTER-EVIDENCE</x:t>
        </x:is>
      </x:c>
      <x:c r="P749" s="160" t="inlineStr">
        <x:is>
          <x:t xml:space="preserve">ROBUST</x:t>
        </x:is>
      </x:c>
      <x:c r="Q749" s="160" t="inlineStr">
        <x:is>
          <x:t xml:space="preserve">The mature simulation rule catches the stress without weakening a fatal gate; no rule relaxation is justified.</x:t>
        </x:is>
      </x:c>
      <x:c r="R749" s="160" t="inlineStr">
        <x:is>
          <x:t xml:space="preserve">Use a promises ledger with dated promise, measurable deliverable, due date, outcome and credibility weight.</x:t>
        </x:is>
      </x:c>
      <x:c r="S749" s="160" t="inlineStr">
        <x:is>
          <x:t xml:space="preserve">NO</x:t>
        </x:is>
      </x:c>
      <x:c r="T749" s="160" t="inlineStr">
        <x:is>
          <x:t xml:space="preserve">COUNTER-EVIDENCE</x:t>
        </x:is>
      </x:c>
      <x:c r="U749" s="160" t="inlineStr">
        <x:is>
          <x:t xml:space="preserve">V10.5-SIM64</x:t>
        </x:is>
      </x:c>
      <x:c r="V749" s="160" t="inlineStr">
        <x:is>
          <x:t xml:space="preserve">https://investors.intuit.com</x:t>
        </x:is>
      </x:c>
      <x:c r="W749" s="160" t="inlineStr">
        <x:is>
          <x:t xml:space="preserve">NO</x:t>
        </x:is>
      </x:c>
      <x:c r="X749" s="160" t="inlineStr">
        <x:is>
          <x:t xml:space="preserve">NONE — DEVELOPMENT ONLY</x:t>
        </x:is>
      </x:c>
      <x:c r="Y749" s="160" t="inlineStr">
        <x:is>
          <x:t xml:space="preserve">Synthetic/adversarial model-development loop. No historical outcome is claimed; no accuracy point is awarded.</x:t>
        </x:is>
      </x:c>
    </x:row>
    <x:row r="750">
      <x:c r="A750" s="160" t="inlineStr">
        <x:is>
          <x:t xml:space="preserve">ML0745</x:t>
        </x:is>
      </x:c>
      <x:c r="B750" s="160" t="inlineStr">
        <x:is>
          <x:t xml:space="preserve">ARG-047</x:t>
        </x:is>
      </x:c>
      <x:c r="C750" s="160" t="inlineStr">
        <x:is>
          <x:t xml:space="preserve">Intuit</x:t>
        </x:is>
      </x:c>
      <x:c r="D750" s="160" t="inlineStr">
        <x:is>
          <x:t xml:space="preserve">INTU</x:t>
        </x:is>
      </x:c>
      <x:c r="E750" s="160" t="inlineStr">
        <x:is>
          <x:t xml:space="preserve">Software &amp; Payments</x:t>
        </x:is>
      </x:c>
      <x:c r="F750" s="160" t="inlineStr">
        <x:is>
          <x:t xml:space="preserve">Development</x:t>
        </x:is>
      </x:c>
      <x:c r="G750" s="160" t="inlineStr">
        <x:is>
          <x:t xml:space="preserve">S09</x:t>
        </x:is>
      </x:c>
      <x:c r="H750" s="160" t="inlineStr">
        <x:is>
          <x:t xml:space="preserve">Data / Accounting Quality</x:t>
        </x:is>
      </x:c>
      <x:c r="I750" s="160" t="inlineStr">
        <x:is>
          <x:t xml:space="preserve">Data quality</x:t>
        </x:is>
      </x:c>
      <x:c r="J750" s="160" t="inlineStr">
        <x:is>
          <x:t xml:space="preserve">Restatement, segment reclassification, one-time item or non-economic fair-value movement distorts the apparent trend.</x:t>
        </x:is>
      </x:c>
      <x:c r="K750" s="160" t="inlineStr">
        <x:is>
          <x:t xml:space="preserve">Workflow/data lock-in plus payroll/payments/services attach</x:t>
        </x:is>
      </x:c>
      <x:c r="L750" s="160" t="inlineStr">
        <x:is>
          <x:t xml:space="preserve">Economic owner earnings + reverse DCF</x:t>
        </x:is>
      </x:c>
      <x:c r="M750" s="160" t="inlineStr">
        <x:is>
          <x:t xml:space="preserve">BUY</x:t>
        </x:is>
      </x:c>
      <x:c r="N750" s="160" t="inlineStr">
        <x:is>
          <x:t xml:space="preserve">R-DATA-01</x:t>
        </x:is>
      </x:c>
      <x:c r="O750" s="160" t="inlineStr">
        <x:is>
          <x:t xml:space="preserve">COUNTER-EVIDENCE</x:t>
        </x:is>
      </x:c>
      <x:c r="P750" s="160" t="inlineStr">
        <x:is>
          <x:t xml:space="preserve">ROBUST</x:t>
        </x:is>
      </x:c>
      <x:c r="Q750" s="160" t="inlineStr">
        <x:is>
          <x:t xml:space="preserve">The mature simulation rule catches the stress without weakening a fatal gate; no rule relaxation is justified.</x:t>
        </x:is>
      </x:c>
      <x:c r="R750" s="160" t="inlineStr">
        <x:is>
          <x:t xml:space="preserve">Add a reporting-quality bridge and normalize accounting noise before any gate can pass.</x:t>
        </x:is>
      </x:c>
      <x:c r="S750" s="160" t="inlineStr">
        <x:is>
          <x:t xml:space="preserve">NO</x:t>
        </x:is>
      </x:c>
      <x:c r="T750" s="160" t="inlineStr">
        <x:is>
          <x:t xml:space="preserve">COUNTER-EVIDENCE</x:t>
        </x:is>
      </x:c>
      <x:c r="U750" s="160" t="inlineStr">
        <x:is>
          <x:t xml:space="preserve">V10.5-SIM64</x:t>
        </x:is>
      </x:c>
      <x:c r="V750" s="160" t="inlineStr">
        <x:is>
          <x:t xml:space="preserve">https://investors.intuit.com</x:t>
        </x:is>
      </x:c>
      <x:c r="W750" s="160" t="inlineStr">
        <x:is>
          <x:t xml:space="preserve">NO</x:t>
        </x:is>
      </x:c>
      <x:c r="X750" s="160" t="inlineStr">
        <x:is>
          <x:t xml:space="preserve">NONE — DEVELOPMENT ONLY</x:t>
        </x:is>
      </x:c>
      <x:c r="Y750" s="160" t="inlineStr">
        <x:is>
          <x:t xml:space="preserve">Synthetic/adversarial model-development loop. No historical outcome is claimed; no accuracy point is awarded.</x:t>
        </x:is>
      </x:c>
    </x:row>
    <x:row r="751">
      <x:c r="A751" s="160" t="inlineStr">
        <x:is>
          <x:t xml:space="preserve">ML0746</x:t>
        </x:is>
      </x:c>
      <x:c r="B751" s="160" t="inlineStr">
        <x:is>
          <x:t xml:space="preserve">ARG-047</x:t>
        </x:is>
      </x:c>
      <x:c r="C751" s="160" t="inlineStr">
        <x:is>
          <x:t xml:space="preserve">Intuit</x:t>
        </x:is>
      </x:c>
      <x:c r="D751" s="160" t="inlineStr">
        <x:is>
          <x:t xml:space="preserve">INTU</x:t>
        </x:is>
      </x:c>
      <x:c r="E751" s="160" t="inlineStr">
        <x:is>
          <x:t xml:space="preserve">Software &amp; Payments</x:t>
        </x:is>
      </x:c>
      <x:c r="F751" s="160" t="inlineStr">
        <x:is>
          <x:t xml:space="preserve">Development</x:t>
        </x:is>
      </x:c>
      <x:c r="G751" s="160" t="inlineStr">
        <x:is>
          <x:t xml:space="preserve">S10</x:t>
        </x:is>
      </x:c>
      <x:c r="H751" s="160" t="inlineStr">
        <x:is>
          <x:t xml:space="preserve">Control / Counterfactual</x:t>
        </x:is>
      </x:c>
      <x:c r="I751" s="160" t="inlineStr">
        <x:is>
          <x:t xml:space="preserve">Sector beta vs company alpha</x:t>
        </x:is>
      </x:c>
      <x:c r="J751" s="160" t="inlineStr">
        <x:is>
          <x:t xml:space="preserve">A positive outcome is mostly sector beta or macro tailwind, not company-specific alpha.</x:t>
        </x:is>
      </x:c>
      <x:c r="K751" s="160" t="inlineStr">
        <x:is>
          <x:t xml:space="preserve">Workflow/data lock-in plus payroll/payments/services attach</x:t>
        </x:is>
      </x:c>
      <x:c r="L751" s="160" t="inlineStr">
        <x:is>
          <x:t xml:space="preserve">Economic owner earnings + reverse DCF</x:t>
        </x:is>
      </x:c>
      <x:c r="M751" s="160" t="inlineStr">
        <x:is>
          <x:t xml:space="preserve">BUY</x:t>
        </x:is>
      </x:c>
      <x:c r="N751" s="160" t="inlineStr">
        <x:is>
          <x:t xml:space="preserve">R-CF-01</x:t>
        </x:is>
      </x:c>
      <x:c r="O751" s="160" t="inlineStr">
        <x:is>
          <x:t xml:space="preserve">COUNTER-EVIDENCE</x:t>
        </x:is>
      </x:c>
      <x:c r="P751" s="160" t="inlineStr">
        <x:is>
          <x:t xml:space="preserve">ROBUST</x:t>
        </x:is>
      </x:c>
      <x:c r="Q751" s="160" t="inlineStr">
        <x:is>
          <x:t xml:space="preserve">The mature simulation rule catches the stress without weakening a fatal gate; no rule relaxation is justified.</x:t>
        </x:is>
      </x:c>
      <x:c r="R751" s="160" t="inlineStr">
        <x:is>
          <x:t xml:space="preserve">Require a true economic control and counterfactual: what should have happened to a comparable company under the same shock?</x:t>
        </x:is>
      </x:c>
      <x:c r="S751" s="160" t="inlineStr">
        <x:is>
          <x:t xml:space="preserve">NO</x:t>
        </x:is>
      </x:c>
      <x:c r="T751" s="160" t="inlineStr">
        <x:is>
          <x:t xml:space="preserve">COUNTER-EVIDENCE</x:t>
        </x:is>
      </x:c>
      <x:c r="U751" s="160" t="inlineStr">
        <x:is>
          <x:t xml:space="preserve">V10.5-SIM64</x:t>
        </x:is>
      </x:c>
      <x:c r="V751" s="160" t="inlineStr">
        <x:is>
          <x:t xml:space="preserve">https://investors.intuit.com</x:t>
        </x:is>
      </x:c>
      <x:c r="W751" s="160" t="inlineStr">
        <x:is>
          <x:t xml:space="preserve">NO</x:t>
        </x:is>
      </x:c>
      <x:c r="X751" s="160" t="inlineStr">
        <x:is>
          <x:t xml:space="preserve">NONE — DEVELOPMENT ONLY</x:t>
        </x:is>
      </x:c>
      <x:c r="Y751" s="160" t="inlineStr">
        <x:is>
          <x:t xml:space="preserve">Synthetic/adversarial model-development loop. No historical outcome is claimed; no accuracy point is awarded.</x:t>
        </x:is>
      </x:c>
    </x:row>
    <x:row r="752">
      <x:c r="A752" s="160" t="inlineStr">
        <x:is>
          <x:t xml:space="preserve">ML0747</x:t>
        </x:is>
      </x:c>
      <x:c r="B752" s="160" t="inlineStr">
        <x:is>
          <x:t xml:space="preserve">ARG-047</x:t>
        </x:is>
      </x:c>
      <x:c r="C752" s="160" t="inlineStr">
        <x:is>
          <x:t xml:space="preserve">Intuit</x:t>
        </x:is>
      </x:c>
      <x:c r="D752" s="160" t="inlineStr">
        <x:is>
          <x:t xml:space="preserve">INTU</x:t>
        </x:is>
      </x:c>
      <x:c r="E752" s="160" t="inlineStr">
        <x:is>
          <x:t xml:space="preserve">Software &amp; Payments</x:t>
        </x:is>
      </x:c>
      <x:c r="F752" s="160" t="inlineStr">
        <x:is>
          <x:t xml:space="preserve">Development</x:t>
        </x:is>
      </x:c>
      <x:c r="G752" s="160" t="inlineStr">
        <x:is>
          <x:t xml:space="preserve">S11</x:t>
        </x:is>
      </x:c>
      <x:c r="H752" s="160" t="inlineStr">
        <x:is>
          <x:t xml:space="preserve">False-Negative Discipline</x:t>
        </x:is>
      </x:c>
      <x:c r="I752" s="160" t="inlineStr">
        <x:is>
          <x:t xml:space="preserve">False negative</x:t>
        </x:is>
      </x:c>
      <x:c r="J752" s="160" t="inlineStr">
        <x:is>
          <x:t xml:space="preserve">A strict gate rejects a company that later compounds strongly for reasons the model could have known.</x:t>
        </x:is>
      </x:c>
      <x:c r="K752" s="160" t="inlineStr">
        <x:is>
          <x:t xml:space="preserve">Workflow/data lock-in plus payroll/payments/services attach</x:t>
        </x:is>
      </x:c>
      <x:c r="L752" s="160" t="inlineStr">
        <x:is>
          <x:t xml:space="preserve">Economic owner earnings + reverse DCF</x:t>
        </x:is>
      </x:c>
      <x:c r="M752" s="160" t="inlineStr">
        <x:is>
          <x:t xml:space="preserve">BUY</x:t>
        </x:is>
      </x:c>
      <x:c r="N752" s="160" t="inlineStr">
        <x:is>
          <x:t xml:space="preserve">R-FN-01</x:t>
        </x:is>
      </x:c>
      <x:c r="O752" s="160" t="inlineStr">
        <x:is>
          <x:t xml:space="preserve">COUNTER-EVIDENCE</x:t>
        </x:is>
      </x:c>
      <x:c r="P752" s="160" t="inlineStr">
        <x:is>
          <x:t xml:space="preserve">ROBUST</x:t>
        </x:is>
      </x:c>
      <x:c r="Q752" s="160" t="inlineStr">
        <x:is>
          <x:t xml:space="preserve">The mature simulation rule catches the stress without weakening a fatal gate; no rule relaxation is justified.</x:t>
        </x:is>
      </x:c>
      <x:c r="R752" s="160" t="inlineStr">
        <x:is>
          <x:t xml:space="preserve">Track opportunity cost and classify whether the miss came from evidence timing, wrong threshold or genuinely unknowable upside.</x:t>
        </x:is>
      </x:c>
      <x:c r="S752" s="160" t="inlineStr">
        <x:is>
          <x:t xml:space="preserve">NO</x:t>
        </x:is>
      </x:c>
      <x:c r="T752" s="160" t="inlineStr">
        <x:is>
          <x:t xml:space="preserve">COUNTER-EVIDENCE</x:t>
        </x:is>
      </x:c>
      <x:c r="U752" s="160" t="inlineStr">
        <x:is>
          <x:t xml:space="preserve">V10.5-SIM64</x:t>
        </x:is>
      </x:c>
      <x:c r="V752" s="160" t="inlineStr">
        <x:is>
          <x:t xml:space="preserve">https://investors.intuit.com</x:t>
        </x:is>
      </x:c>
      <x:c r="W752" s="160" t="inlineStr">
        <x:is>
          <x:t xml:space="preserve">NO</x:t>
        </x:is>
      </x:c>
      <x:c r="X752" s="160" t="inlineStr">
        <x:is>
          <x:t xml:space="preserve">NONE — DEVELOPMENT ONLY</x:t>
        </x:is>
      </x:c>
      <x:c r="Y752" s="160" t="inlineStr">
        <x:is>
          <x:t xml:space="preserve">Synthetic/adversarial model-development loop. No historical outcome is claimed; no accuracy point is awarded.</x:t>
        </x:is>
      </x:c>
    </x:row>
    <x:row r="753">
      <x:c r="A753" s="160" t="inlineStr">
        <x:is>
          <x:t xml:space="preserve">ML0748</x:t>
        </x:is>
      </x:c>
      <x:c r="B753" s="160" t="inlineStr">
        <x:is>
          <x:t xml:space="preserve">ARG-047</x:t>
        </x:is>
      </x:c>
      <x:c r="C753" s="160" t="inlineStr">
        <x:is>
          <x:t xml:space="preserve">Intuit</x:t>
        </x:is>
      </x:c>
      <x:c r="D753" s="160" t="inlineStr">
        <x:is>
          <x:t xml:space="preserve">INTU</x:t>
        </x:is>
      </x:c>
      <x:c r="E753" s="160" t="inlineStr">
        <x:is>
          <x:t xml:space="preserve">Software &amp; Payments</x:t>
        </x:is>
      </x:c>
      <x:c r="F753" s="160" t="inlineStr">
        <x:is>
          <x:t xml:space="preserve">Development</x:t>
        </x:is>
      </x:c>
      <x:c r="G753" s="160" t="inlineStr">
        <x:is>
          <x:t xml:space="preserve">S12</x:t>
        </x:is>
      </x:c>
      <x:c r="H753" s="160" t="inlineStr">
        <x:is>
          <x:t xml:space="preserve">Lead-Time / Early Sensor</x:t>
        </x:is>
      </x:c>
      <x:c r="I753" s="160" t="inlineStr">
        <x:is>
          <x:t xml:space="preserve">Timing / lead-time</x:t>
        </x:is>
      </x:c>
      <x:c r="J753" s="160" t="inlineStr">
        <x:is>
          <x:t xml:space="preserve">ARGUS identifies the change correctly but only after consensus and price have already reacted.</x:t>
        </x:is>
      </x:c>
      <x:c r="K753" s="160" t="inlineStr">
        <x:is>
          <x:t xml:space="preserve">Workflow/data lock-in plus payroll/payments/services attach</x:t>
        </x:is>
      </x:c>
      <x:c r="L753" s="160" t="inlineStr">
        <x:is>
          <x:t xml:space="preserve">Economic owner earnings + reverse DCF</x:t>
        </x:is>
      </x:c>
      <x:c r="M753" s="160" t="inlineStr">
        <x:is>
          <x:t xml:space="preserve">BUY</x:t>
        </x:is>
      </x:c>
      <x:c r="N753" s="160" t="inlineStr">
        <x:is>
          <x:t xml:space="preserve">R-TIME-01</x:t>
        </x:is>
      </x:c>
      <x:c r="O753" s="160" t="inlineStr">
        <x:is>
          <x:t xml:space="preserve">COUNTER-EVIDENCE</x:t>
        </x:is>
      </x:c>
      <x:c r="P753" s="160" t="inlineStr">
        <x:is>
          <x:t xml:space="preserve">ROBUST</x:t>
        </x:is>
      </x:c>
      <x:c r="Q753" s="160" t="inlineStr">
        <x:is>
          <x:t xml:space="preserve">The mature simulation rule catches the stress without weakening a fatal gate; no rule relaxation is justified.</x:t>
        </x:is>
      </x:c>
      <x:c r="R753" s="160" t="inlineStr">
        <x:is>
          <x:t xml:space="preserve">Replace lagging financial metrics with earlier causal operating sensors and record lead time separately from correctness.</x:t>
        </x:is>
      </x:c>
      <x:c r="S753" s="160" t="inlineStr">
        <x:is>
          <x:t xml:space="preserve">NO</x:t>
        </x:is>
      </x:c>
      <x:c r="T753" s="160" t="inlineStr">
        <x:is>
          <x:t xml:space="preserve">COUNTER-EVIDENCE</x:t>
        </x:is>
      </x:c>
      <x:c r="U753" s="160" t="inlineStr">
        <x:is>
          <x:t xml:space="preserve">V10.5-SIM64</x:t>
        </x:is>
      </x:c>
      <x:c r="V753" s="160" t="inlineStr">
        <x:is>
          <x:t xml:space="preserve">https://investors.intuit.com</x:t>
        </x:is>
      </x:c>
      <x:c r="W753" s="160" t="inlineStr">
        <x:is>
          <x:t xml:space="preserve">NO</x:t>
        </x:is>
      </x:c>
      <x:c r="X753" s="160" t="inlineStr">
        <x:is>
          <x:t xml:space="preserve">NONE — DEVELOPMENT ONLY</x:t>
        </x:is>
      </x:c>
      <x:c r="Y753" s="160" t="inlineStr">
        <x:is>
          <x:t xml:space="preserve">Synthetic/adversarial model-development loop. No historical outcome is claimed; no accuracy point is awarded.</x:t>
        </x:is>
      </x:c>
    </x:row>
    <x:row r="754">
      <x:c r="A754" s="160" t="inlineStr">
        <x:is>
          <x:t xml:space="preserve">ML0749</x:t>
        </x:is>
      </x:c>
      <x:c r="B754" s="160" t="inlineStr">
        <x:is>
          <x:t xml:space="preserve">ARG-047</x:t>
        </x:is>
      </x:c>
      <x:c r="C754" s="160" t="inlineStr">
        <x:is>
          <x:t xml:space="preserve">Intuit</x:t>
        </x:is>
      </x:c>
      <x:c r="D754" s="160" t="inlineStr">
        <x:is>
          <x:t xml:space="preserve">INTU</x:t>
        </x:is>
      </x:c>
      <x:c r="E754" s="160" t="inlineStr">
        <x:is>
          <x:t xml:space="preserve">Software &amp; Payments</x:t>
        </x:is>
      </x:c>
      <x:c r="F754" s="160" t="inlineStr">
        <x:is>
          <x:t xml:space="preserve">Development</x:t>
        </x:is>
      </x:c>
      <x:c r="G754" s="160" t="inlineStr">
        <x:is>
          <x:t xml:space="preserve">S13</x:t>
        </x:is>
      </x:c>
      <x:c r="H754" s="160" t="inlineStr">
        <x:is>
          <x:t xml:space="preserve">Cycle Normalization</x:t>
        </x:is>
      </x:c>
      <x:c r="I754" s="160" t="inlineStr">
        <x:is>
          <x:t xml:space="preserve">Wrong valuation lens</x:t>
        </x:is>
      </x:c>
      <x:c r="J754" s="160" t="inlineStr">
        <x:is>
          <x:t xml:space="preserve">Peak/trough earnings are mistaken for normalized earning power.</x:t>
        </x:is>
      </x:c>
      <x:c r="K754" s="160" t="inlineStr">
        <x:is>
          <x:t xml:space="preserve">Workflow/data lock-in plus payroll/payments/services attach</x:t>
        </x:is>
      </x:c>
      <x:c r="L754" s="160" t="inlineStr">
        <x:is>
          <x:t xml:space="preserve">Economic owner earnings + reverse DCF</x:t>
        </x:is>
      </x:c>
      <x:c r="M754" s="160" t="inlineStr">
        <x:is>
          <x:t xml:space="preserve">BUY</x:t>
        </x:is>
      </x:c>
      <x:c r="N754" s="160" t="inlineStr">
        <x:is>
          <x:t xml:space="preserve">R-CYCLE-01</x:t>
        </x:is>
      </x:c>
      <x:c r="O754" s="160" t="inlineStr">
        <x:is>
          <x:t xml:space="preserve">COUNTER-EVIDENCE</x:t>
        </x:is>
      </x:c>
      <x:c r="P754" s="160" t="inlineStr">
        <x:is>
          <x:t xml:space="preserve">ROBUST</x:t>
        </x:is>
      </x:c>
      <x:c r="Q754" s="160" t="inlineStr">
        <x:is>
          <x:t xml:space="preserve">The mature simulation rule catches the stress without weakening a fatal gate; no rule relaxation is justified.</x:t>
        </x:is>
      </x:c>
      <x:c r="R754" s="160" t="inlineStr">
        <x:is>
          <x:t xml:space="preserve">Use sector-specific mid-cycle/NAV/rate-base/rNPV normalization before applying a valuation multiple.</x:t>
        </x:is>
      </x:c>
      <x:c r="S754" s="160" t="inlineStr">
        <x:is>
          <x:t xml:space="preserve">NO</x:t>
        </x:is>
      </x:c>
      <x:c r="T754" s="160" t="inlineStr">
        <x:is>
          <x:t xml:space="preserve">COUNTER-EVIDENCE</x:t>
        </x:is>
      </x:c>
      <x:c r="U754" s="160" t="inlineStr">
        <x:is>
          <x:t xml:space="preserve">V10.5-SIM64</x:t>
        </x:is>
      </x:c>
      <x:c r="V754" s="160" t="inlineStr">
        <x:is>
          <x:t xml:space="preserve">https://investors.intuit.com</x:t>
        </x:is>
      </x:c>
      <x:c r="W754" s="160" t="inlineStr">
        <x:is>
          <x:t xml:space="preserve">NO</x:t>
        </x:is>
      </x:c>
      <x:c r="X754" s="160" t="inlineStr">
        <x:is>
          <x:t xml:space="preserve">NONE — DEVELOPMENT ONLY</x:t>
        </x:is>
      </x:c>
      <x:c r="Y754" s="160" t="inlineStr">
        <x:is>
          <x:t xml:space="preserve">Synthetic/adversarial model-development loop. No historical outcome is claimed; no accuracy point is awarded.</x:t>
        </x:is>
      </x:c>
    </x:row>
    <x:row r="755">
      <x:c r="A755" s="160" t="inlineStr">
        <x:is>
          <x:t xml:space="preserve">ML0750</x:t>
        </x:is>
      </x:c>
      <x:c r="B755" s="160" t="inlineStr">
        <x:is>
          <x:t xml:space="preserve">ARG-047</x:t>
        </x:is>
      </x:c>
      <x:c r="C755" s="160" t="inlineStr">
        <x:is>
          <x:t xml:space="preserve">Intuit</x:t>
        </x:is>
      </x:c>
      <x:c r="D755" s="160" t="inlineStr">
        <x:is>
          <x:t xml:space="preserve">INTU</x:t>
        </x:is>
      </x:c>
      <x:c r="E755" s="160" t="inlineStr">
        <x:is>
          <x:t xml:space="preserve">Software &amp; Payments</x:t>
        </x:is>
      </x:c>
      <x:c r="F755" s="160" t="inlineStr">
        <x:is>
          <x:t xml:space="preserve">Development</x:t>
        </x:is>
      </x:c>
      <x:c r="G755" s="160" t="inlineStr">
        <x:is>
          <x:t xml:space="preserve">S14</x:t>
        </x:is>
      </x:c>
      <x:c r="H755" s="160" t="inlineStr">
        <x:is>
          <x:t xml:space="preserve">M&amp;A / Organic Growth Separation</x:t>
        </x:is>
      </x:c>
      <x:c r="I755" s="160" t="inlineStr">
        <x:is>
          <x:t xml:space="preserve">Stewardship</x:t>
        </x:is>
      </x:c>
      <x:c r="J755" s="160" t="inlineStr">
        <x:is>
          <x:t xml:space="preserve">Acquisition-driven growth masks weak organic economics or poor incremental ROIC.</x:t>
        </x:is>
      </x:c>
      <x:c r="K755" s="160" t="inlineStr">
        <x:is>
          <x:t xml:space="preserve">Workflow/data lock-in plus payroll/payments/services attach</x:t>
        </x:is>
      </x:c>
      <x:c r="L755" s="160" t="inlineStr">
        <x:is>
          <x:t xml:space="preserve">Economic owner earnings + reverse DCF</x:t>
        </x:is>
      </x:c>
      <x:c r="M755" s="160" t="inlineStr">
        <x:is>
          <x:t xml:space="preserve">BUY</x:t>
        </x:is>
      </x:c>
      <x:c r="N755" s="160" t="inlineStr">
        <x:is>
          <x:t xml:space="preserve">R-MA-01</x:t>
        </x:is>
      </x:c>
      <x:c r="O755" s="160" t="inlineStr">
        <x:is>
          <x:t xml:space="preserve">COUNTER-EVIDENCE</x:t>
        </x:is>
      </x:c>
      <x:c r="P755" s="160" t="inlineStr">
        <x:is>
          <x:t xml:space="preserve">ROBUST</x:t>
        </x:is>
      </x:c>
      <x:c r="Q755" s="160" t="inlineStr">
        <x:is>
          <x:t xml:space="preserve">The mature simulation rule catches the stress without weakening a fatal gate; no rule relaxation is justified.</x:t>
        </x:is>
      </x:c>
      <x:c r="R755" s="160" t="inlineStr">
        <x:is>
          <x:t xml:space="preserve">Bridge organic growth, acquired growth, purchase price, integration costs and acquisition-cohort ROIC.</x:t>
        </x:is>
      </x:c>
      <x:c r="S755" s="160" t="inlineStr">
        <x:is>
          <x:t xml:space="preserve">NO</x:t>
        </x:is>
      </x:c>
      <x:c r="T755" s="160" t="inlineStr">
        <x:is>
          <x:t xml:space="preserve">COUNTER-EVIDENCE</x:t>
        </x:is>
      </x:c>
      <x:c r="U755" s="160" t="inlineStr">
        <x:is>
          <x:t xml:space="preserve">V10.5-SIM64</x:t>
        </x:is>
      </x:c>
      <x:c r="V755" s="160" t="inlineStr">
        <x:is>
          <x:t xml:space="preserve">https://investors.intuit.com</x:t>
        </x:is>
      </x:c>
      <x:c r="W755" s="160" t="inlineStr">
        <x:is>
          <x:t xml:space="preserve">NO</x:t>
        </x:is>
      </x:c>
      <x:c r="X755" s="160" t="inlineStr">
        <x:is>
          <x:t xml:space="preserve">NONE — DEVELOPMENT ONLY</x:t>
        </x:is>
      </x:c>
      <x:c r="Y755" s="160" t="inlineStr">
        <x:is>
          <x:t xml:space="preserve">Synthetic/adversarial model-development loop. No historical outcome is claimed; no accuracy point is awarded.</x:t>
        </x:is>
      </x:c>
    </x:row>
    <x:row r="756">
      <x:c r="A756" s="160" t="inlineStr">
        <x:is>
          <x:t xml:space="preserve">ML0751</x:t>
        </x:is>
      </x:c>
      <x:c r="B756" s="160" t="inlineStr">
        <x:is>
          <x:t xml:space="preserve">ARG-047</x:t>
        </x:is>
      </x:c>
      <x:c r="C756" s="160" t="inlineStr">
        <x:is>
          <x:t xml:space="preserve">Intuit</x:t>
        </x:is>
      </x:c>
      <x:c r="D756" s="160" t="inlineStr">
        <x:is>
          <x:t xml:space="preserve">INTU</x:t>
        </x:is>
      </x:c>
      <x:c r="E756" s="160" t="inlineStr">
        <x:is>
          <x:t xml:space="preserve">Software &amp; Payments</x:t>
        </x:is>
      </x:c>
      <x:c r="F756" s="160" t="inlineStr">
        <x:is>
          <x:t xml:space="preserve">Development</x:t>
        </x:is>
      </x:c>
      <x:c r="G756" s="160" t="inlineStr">
        <x:is>
          <x:t xml:space="preserve">S15</x:t>
        </x:is>
      </x:c>
      <x:c r="H756" s="160" t="inlineStr">
        <x:is>
          <x:t xml:space="preserve">Financing / Dilution Per Share</x:t>
        </x:is>
      </x:c>
      <x:c r="I756" s="160" t="inlineStr">
        <x:is>
          <x:t xml:space="preserve">Stewardship</x:t>
        </x:is>
      </x:c>
      <x:c r="J756" s="160" t="inlineStr">
        <x:is>
          <x:t xml:space="preserve">Cash balance or revenue growth improves while financing causes material per-share value leakage.</x:t>
        </x:is>
      </x:c>
      <x:c r="K756" s="160" t="inlineStr">
        <x:is>
          <x:t xml:space="preserve">Workflow/data lock-in plus payroll/payments/services attach</x:t>
        </x:is>
      </x:c>
      <x:c r="L756" s="160" t="inlineStr">
        <x:is>
          <x:t xml:space="preserve">Economic owner earnings + reverse DCF</x:t>
        </x:is>
      </x:c>
      <x:c r="M756" s="160" t="inlineStr">
        <x:is>
          <x:t xml:space="preserve">BUY</x:t>
        </x:is>
      </x:c>
      <x:c r="N756" s="160" t="inlineStr">
        <x:is>
          <x:t xml:space="preserve">R-DIL-01</x:t>
        </x:is>
      </x:c>
      <x:c r="O756" s="160" t="inlineStr">
        <x:is>
          <x:t xml:space="preserve">COUNTER-EVIDENCE</x:t>
        </x:is>
      </x:c>
      <x:c r="P756" s="160" t="inlineStr">
        <x:is>
          <x:t xml:space="preserve">ROBUST</x:t>
        </x:is>
      </x:c>
      <x:c r="Q756" s="160" t="inlineStr">
        <x:is>
          <x:t xml:space="preserve">The mature simulation rule catches the stress without weakening a fatal gate; no rule relaxation is justified.</x:t>
        </x:is>
      </x:c>
      <x:c r="R756" s="160" t="inlineStr">
        <x:is>
          <x:t xml:space="preserve">Reconcile share-count growth, SBC, equity issuance, buybacks and net cash changes to per-share intrinsic value.</x:t>
        </x:is>
      </x:c>
      <x:c r="S756" s="160" t="inlineStr">
        <x:is>
          <x:t xml:space="preserve">NO</x:t>
        </x:is>
      </x:c>
      <x:c r="T756" s="160" t="inlineStr">
        <x:is>
          <x:t xml:space="preserve">COUNTER-EVIDENCE</x:t>
        </x:is>
      </x:c>
      <x:c r="U756" s="160" t="inlineStr">
        <x:is>
          <x:t xml:space="preserve">V10.5-SIM64</x:t>
        </x:is>
      </x:c>
      <x:c r="V756" s="160" t="inlineStr">
        <x:is>
          <x:t xml:space="preserve">https://investors.intuit.com</x:t>
        </x:is>
      </x:c>
      <x:c r="W756" s="160" t="inlineStr">
        <x:is>
          <x:t xml:space="preserve">NO</x:t>
        </x:is>
      </x:c>
      <x:c r="X756" s="160" t="inlineStr">
        <x:is>
          <x:t xml:space="preserve">NONE — DEVELOPMENT ONLY</x:t>
        </x:is>
      </x:c>
      <x:c r="Y756" s="160" t="inlineStr">
        <x:is>
          <x:t xml:space="preserve">Synthetic/adversarial model-development loop. No historical outcome is claimed; no accuracy point is awarded.</x:t>
        </x:is>
      </x:c>
    </x:row>
    <x:row r="757">
      <x:c r="A757" s="160" t="inlineStr">
        <x:is>
          <x:t xml:space="preserve">ML0752</x:t>
        </x:is>
      </x:c>
      <x:c r="B757" s="160" t="inlineStr">
        <x:is>
          <x:t xml:space="preserve">ARG-047</x:t>
        </x:is>
      </x:c>
      <x:c r="C757" s="160" t="inlineStr">
        <x:is>
          <x:t xml:space="preserve">Intuit</x:t>
        </x:is>
      </x:c>
      <x:c r="D757" s="160" t="inlineStr">
        <x:is>
          <x:t xml:space="preserve">INTU</x:t>
        </x:is>
      </x:c>
      <x:c r="E757" s="160" t="inlineStr">
        <x:is>
          <x:t xml:space="preserve">Software &amp; Payments</x:t>
        </x:is>
      </x:c>
      <x:c r="F757" s="160" t="inlineStr">
        <x:is>
          <x:t xml:space="preserve">Development</x:t>
        </x:is>
      </x:c>
      <x:c r="G757" s="160" t="inlineStr">
        <x:is>
          <x:t xml:space="preserve">S16</x:t>
        </x:is>
      </x:c>
      <x:c r="H757" s="160" t="inlineStr">
        <x:is>
          <x:t xml:space="preserve">Concentration / Tail Risk</x:t>
        </x:is>
      </x:c>
      <x:c r="I757" s="160" t="inlineStr">
        <x:is>
          <x:t xml:space="preserve">Survival</x:t>
        </x:is>
      </x:c>
      <x:c r="J757" s="160" t="inlineStr">
        <x:is>
          <x:t xml:space="preserve">A concentrated supplier, geography, customer, product, patent, regulatory or technology dependency creates asymmetric permanent-loss risk.</x:t>
        </x:is>
      </x:c>
      <x:c r="K757" s="160" t="inlineStr">
        <x:is>
          <x:t xml:space="preserve">Workflow/data lock-in plus payroll/payments/services attach</x:t>
        </x:is>
      </x:c>
      <x:c r="L757" s="160" t="inlineStr">
        <x:is>
          <x:t xml:space="preserve">Economic owner earnings + reverse DCF</x:t>
        </x:is>
      </x:c>
      <x:c r="M757" s="160" t="inlineStr">
        <x:is>
          <x:t xml:space="preserve">BUY</x:t>
        </x:is>
      </x:c>
      <x:c r="N757" s="160" t="inlineStr">
        <x:is>
          <x:t xml:space="preserve">R-TAIL-01</x:t>
        </x:is>
      </x:c>
      <x:c r="O757" s="160" t="inlineStr">
        <x:is>
          <x:t xml:space="preserve">COUNTER-EVIDENCE</x:t>
        </x:is>
      </x:c>
      <x:c r="P757" s="160" t="inlineStr">
        <x:is>
          <x:t xml:space="preserve">ROBUST</x:t>
        </x:is>
      </x:c>
      <x:c r="Q757" s="160" t="inlineStr">
        <x:is>
          <x:t xml:space="preserve">The mature simulation rule catches the stress without weakening a fatal gate; no rule relaxation is justified.</x:t>
        </x:is>
      </x:c>
      <x:c r="R757" s="160" t="inlineStr">
        <x:is>
          <x:t xml:space="preserve">Maintain an explicit concentration/tail-risk register with probability, severity, mitigation and required margin-of-safety premium.</x:t>
        </x:is>
      </x:c>
      <x:c r="S757" s="160" t="inlineStr">
        <x:is>
          <x:t xml:space="preserve">NO</x:t>
        </x:is>
      </x:c>
      <x:c r="T757" s="160" t="inlineStr">
        <x:is>
          <x:t xml:space="preserve">COUNTER-EVIDENCE</x:t>
        </x:is>
      </x:c>
      <x:c r="U757" s="160" t="inlineStr">
        <x:is>
          <x:t xml:space="preserve">V10.5-SIM64</x:t>
        </x:is>
      </x:c>
      <x:c r="V757" s="160" t="inlineStr">
        <x:is>
          <x:t xml:space="preserve">https://investors.intuit.com</x:t>
        </x:is>
      </x:c>
      <x:c r="W757" s="160" t="inlineStr">
        <x:is>
          <x:t xml:space="preserve">NO</x:t>
        </x:is>
      </x:c>
      <x:c r="X757" s="160" t="inlineStr">
        <x:is>
          <x:t xml:space="preserve">NONE — DEVELOPMENT ONLY</x:t>
        </x:is>
      </x:c>
      <x:c r="Y757" s="160" t="inlineStr">
        <x:is>
          <x:t xml:space="preserve">Synthetic/adversarial model-development loop. No historical outcome is claimed; no accuracy point is awarded.</x:t>
        </x:is>
      </x:c>
    </x:row>
    <x:row r="758">
      <x:c r="A758" s="160" t="inlineStr">
        <x:is>
          <x:t xml:space="preserve">ML0753</x:t>
        </x:is>
      </x:c>
      <x:c r="B758" s="160" t="inlineStr">
        <x:is>
          <x:t xml:space="preserve">ARG-048</x:t>
        </x:is>
      </x:c>
      <x:c r="C758" s="160" t="inlineStr">
        <x:is>
          <x:t xml:space="preserve">Oracle</x:t>
        </x:is>
      </x:c>
      <x:c r="D758" s="160" t="inlineStr">
        <x:is>
          <x:t xml:space="preserve">ORCL</x:t>
        </x:is>
      </x:c>
      <x:c r="E758" s="160" t="inlineStr">
        <x:is>
          <x:t xml:space="preserve">Software &amp; Payments</x:t>
        </x:is>
      </x:c>
      <x:c r="F758" s="160" t="inlineStr">
        <x:is>
          <x:t xml:space="preserve">Development</x:t>
        </x:is>
      </x:c>
      <x:c r="G758" s="160" t="inlineStr">
        <x:is>
          <x:t xml:space="preserve">S01</x:t>
        </x:is>
      </x:c>
      <x:c r="H758" s="160" t="inlineStr">
        <x:is>
          <x:t xml:space="preserve">Understanding Gate</x:t>
        </x:is>
      </x:c>
      <x:c r="I758" s="160" t="inlineStr">
        <x:is>
          <x:t xml:space="preserve">Understanding</x:t>
        </x:is>
      </x:c>
      <x:c r="J758" s="160" t="inlineStr">
        <x:is>
          <x:t xml:space="preserve">Causal engine / customer ROI chain breaks under a misleading headline KPI.</x:t>
        </x:is>
      </x:c>
      <x:c r="K758" s="160" t="inlineStr">
        <x:is>
          <x:t xml:space="preserve">Database/apps recurring revenue plus OCI growth minus capex</x:t>
        </x:is>
      </x:c>
      <x:c r="L758" s="160" t="inlineStr">
        <x:is>
          <x:t xml:space="preserve">Owner earnings + funding bridge</x:t>
        </x:is>
      </x:c>
      <x:c r="M758" s="160" t="inlineStr">
        <x:is>
          <x:t xml:space="preserve">WATCH — CAPITAL GATE</x:t>
        </x:is>
      </x:c>
      <x:c r="N758" s="160" t="inlineStr">
        <x:is>
          <x:t xml:space="preserve">R-ENG-01</x:t>
        </x:is>
      </x:c>
      <x:c r="O758" s="160" t="inlineStr">
        <x:is>
          <x:t xml:space="preserve">COUNTER-EVIDENCE</x:t>
        </x:is>
      </x:c>
      <x:c r="P758" s="160" t="inlineStr">
        <x:is>
          <x:t xml:space="preserve">ROBUST</x:t>
        </x:is>
      </x:c>
      <x:c r="Q758" s="160" t="inlineStr">
        <x:is>
          <x:t xml:space="preserve">The mature simulation rule catches the stress without weakening a fatal gate; no rule relaxation is justified.</x:t>
        </x:is>
      </x:c>
      <x:c r="R758" s="160" t="inlineStr">
        <x:is>
          <x:t xml:space="preserve">Force an explicit engine tree: customer job → unit economics → revenue driver → owner-value bridge.</x:t>
        </x:is>
      </x:c>
      <x:c r="S758" s="160" t="inlineStr">
        <x:is>
          <x:t xml:space="preserve">NO</x:t>
        </x:is>
      </x:c>
      <x:c r="T758" s="160" t="inlineStr">
        <x:is>
          <x:t xml:space="preserve">COUNTER-EVIDENCE</x:t>
        </x:is>
      </x:c>
      <x:c r="U758" s="160" t="inlineStr">
        <x:is>
          <x:t xml:space="preserve">V10.5-SIM64</x:t>
        </x:is>
      </x:c>
      <x:c r="V758" s="160" t="inlineStr">
        <x:is>
          <x:t xml:space="preserve">https://investor.oracle.com</x:t>
        </x:is>
      </x:c>
      <x:c r="W758" s="160" t="inlineStr">
        <x:is>
          <x:t xml:space="preserve">NO</x:t>
        </x:is>
      </x:c>
      <x:c r="X758" s="160" t="inlineStr">
        <x:is>
          <x:t xml:space="preserve">NONE — DEVELOPMENT ONLY</x:t>
        </x:is>
      </x:c>
      <x:c r="Y758" s="160" t="inlineStr">
        <x:is>
          <x:t xml:space="preserve">Synthetic/adversarial model-development loop. No historical outcome is claimed; no accuracy point is awarded.</x:t>
        </x:is>
      </x:c>
    </x:row>
    <x:row r="759">
      <x:c r="A759" s="160" t="inlineStr">
        <x:is>
          <x:t xml:space="preserve">ML0754</x:t>
        </x:is>
      </x:c>
      <x:c r="B759" s="160" t="inlineStr">
        <x:is>
          <x:t xml:space="preserve">ARG-048</x:t>
        </x:is>
      </x:c>
      <x:c r="C759" s="160" t="inlineStr">
        <x:is>
          <x:t xml:space="preserve">Oracle</x:t>
        </x:is>
      </x:c>
      <x:c r="D759" s="160" t="inlineStr">
        <x:is>
          <x:t xml:space="preserve">ORCL</x:t>
        </x:is>
      </x:c>
      <x:c r="E759" s="160" t="inlineStr">
        <x:is>
          <x:t xml:space="preserve">Software &amp; Payments</x:t>
        </x:is>
      </x:c>
      <x:c r="F759" s="160" t="inlineStr">
        <x:is>
          <x:t xml:space="preserve">Development</x:t>
        </x:is>
      </x:c>
      <x:c r="G759" s="160" t="inlineStr">
        <x:is>
          <x:t xml:space="preserve">S02</x:t>
        </x:is>
      </x:c>
      <x:c r="H759" s="160" t="inlineStr">
        <x:is>
          <x:t xml:space="preserve">Owner Earnings Normalization</x:t>
        </x:is>
      </x:c>
      <x:c r="I759" s="160" t="inlineStr">
        <x:is>
          <x:t xml:space="preserve">Owner Earnings</x:t>
        </x:is>
      </x:c>
      <x:c r="J759" s="160" t="inlineStr">
        <x:is>
          <x:t xml:space="preserve">Reported earnings/FCF overstates economic cash because recurring reinvestment or non-cash compensation is misclassified.</x:t>
        </x:is>
      </x:c>
      <x:c r="K759" s="160" t="inlineStr">
        <x:is>
          <x:t xml:space="preserve">Database/apps recurring revenue plus OCI growth minus capex</x:t>
        </x:is>
      </x:c>
      <x:c r="L759" s="160" t="inlineStr">
        <x:is>
          <x:t xml:space="preserve">Owner earnings + funding bridge</x:t>
        </x:is>
      </x:c>
      <x:c r="M759" s="160" t="inlineStr">
        <x:is>
          <x:t xml:space="preserve">WATCH — CAPITAL GATE</x:t>
        </x:is>
      </x:c>
      <x:c r="N759" s="160" t="inlineStr">
        <x:is>
          <x:t xml:space="preserve">R-OE-01</x:t>
        </x:is>
      </x:c>
      <x:c r="O759" s="160" t="inlineStr">
        <x:is>
          <x:t xml:space="preserve">COUNTER-EVIDENCE</x:t>
        </x:is>
      </x:c>
      <x:c r="P759" s="160" t="inlineStr">
        <x:is>
          <x:t xml:space="preserve">ROBUST</x:t>
        </x:is>
      </x:c>
      <x:c r="Q759" s="160" t="inlineStr">
        <x:is>
          <x:t xml:space="preserve">The mature simulation rule catches the stress without weakening a fatal gate; no rule relaxation is justified.</x:t>
        </x:is>
      </x:c>
      <x:c r="R759" s="160" t="inlineStr">
        <x:is>
          <x:t xml:space="preserve">Require a GAAP-to-economic-owner-cash bridge tailored to the business model.</x:t>
        </x:is>
      </x:c>
      <x:c r="S759" s="160" t="inlineStr">
        <x:is>
          <x:t xml:space="preserve">NO</x:t>
        </x:is>
      </x:c>
      <x:c r="T759" s="160" t="inlineStr">
        <x:is>
          <x:t xml:space="preserve">COUNTER-EVIDENCE</x:t>
        </x:is>
      </x:c>
      <x:c r="U759" s="160" t="inlineStr">
        <x:is>
          <x:t xml:space="preserve">V10.5-SIM64</x:t>
        </x:is>
      </x:c>
      <x:c r="V759" s="160" t="inlineStr">
        <x:is>
          <x:t xml:space="preserve">https://investor.oracle.com</x:t>
        </x:is>
      </x:c>
      <x:c r="W759" s="160" t="inlineStr">
        <x:is>
          <x:t xml:space="preserve">NO</x:t>
        </x:is>
      </x:c>
      <x:c r="X759" s="160" t="inlineStr">
        <x:is>
          <x:t xml:space="preserve">NONE — DEVELOPMENT ONLY</x:t>
        </x:is>
      </x:c>
      <x:c r="Y759" s="160" t="inlineStr">
        <x:is>
          <x:t xml:space="preserve">Synthetic/adversarial model-development loop. No historical outcome is claimed; no accuracy point is awarded.</x:t>
        </x:is>
      </x:c>
    </x:row>
    <x:row r="760">
      <x:c r="A760" s="160" t="inlineStr">
        <x:is>
          <x:t xml:space="preserve">ML0755</x:t>
        </x:is>
      </x:c>
      <x:c r="B760" s="160" t="inlineStr">
        <x:is>
          <x:t xml:space="preserve">ARG-048</x:t>
        </x:is>
      </x:c>
      <x:c r="C760" s="160" t="inlineStr">
        <x:is>
          <x:t xml:space="preserve">Oracle</x:t>
        </x:is>
      </x:c>
      <x:c r="D760" s="160" t="inlineStr">
        <x:is>
          <x:t xml:space="preserve">ORCL</x:t>
        </x:is>
      </x:c>
      <x:c r="E760" s="160" t="inlineStr">
        <x:is>
          <x:t xml:space="preserve">Software &amp; Payments</x:t>
        </x:is>
      </x:c>
      <x:c r="F760" s="160" t="inlineStr">
        <x:is>
          <x:t xml:space="preserve">Development</x:t>
        </x:is>
      </x:c>
      <x:c r="G760" s="160" t="inlineStr">
        <x:is>
          <x:t xml:space="preserve">S03</x:t>
        </x:is>
      </x:c>
      <x:c r="H760" s="160" t="inlineStr">
        <x:is>
          <x:t xml:space="preserve">Moat Durability</x:t>
        </x:is>
      </x:c>
      <x:c r="I760" s="160" t="inlineStr">
        <x:is>
          <x:t xml:space="preserve">Moat 2036</x:t>
        </x:is>
      </x:c>
      <x:c r="J760" s="160" t="inlineStr">
        <x:is>
          <x:t xml:space="preserve">Growth continues while switching friction, pricing power or replacement difficulty quietly weakens.</x:t>
        </x:is>
      </x:c>
      <x:c r="K760" s="160" t="inlineStr">
        <x:is>
          <x:t xml:space="preserve">Database/apps recurring revenue plus OCI growth minus capex</x:t>
        </x:is>
      </x:c>
      <x:c r="L760" s="160" t="inlineStr">
        <x:is>
          <x:t xml:space="preserve">Owner earnings + funding bridge</x:t>
        </x:is>
      </x:c>
      <x:c r="M760" s="160" t="inlineStr">
        <x:is>
          <x:t xml:space="preserve">WATCH — CAPITAL GATE</x:t>
        </x:is>
      </x:c>
      <x:c r="N760" s="160" t="inlineStr">
        <x:is>
          <x:t xml:space="preserve">R-MOAT-01</x:t>
        </x:is>
      </x:c>
      <x:c r="O760" s="160" t="inlineStr">
        <x:is>
          <x:t xml:space="preserve">COUNTER-EVIDENCE</x:t>
        </x:is>
      </x:c>
      <x:c r="P760" s="160" t="inlineStr">
        <x:is>
          <x:t xml:space="preserve">ROBUST</x:t>
        </x:is>
      </x:c>
      <x:c r="Q760" s="160" t="inlineStr">
        <x:is>
          <x:t xml:space="preserve">The mature simulation rule catches the stress without weakening a fatal gate; no rule relaxation is justified.</x:t>
        </x:is>
      </x:c>
      <x:c r="R760" s="160" t="inlineStr">
        <x:is>
          <x:t xml:space="preserve">Track moat telemetry separately from growth: retention, pricing, win/loss, replacement friction, installed-base behavior.</x:t>
        </x:is>
      </x:c>
      <x:c r="S760" s="160" t="inlineStr">
        <x:is>
          <x:t xml:space="preserve">NO</x:t>
        </x:is>
      </x:c>
      <x:c r="T760" s="160" t="inlineStr">
        <x:is>
          <x:t xml:space="preserve">COUNTER-EVIDENCE</x:t>
        </x:is>
      </x:c>
      <x:c r="U760" s="160" t="inlineStr">
        <x:is>
          <x:t xml:space="preserve">V10.5-SIM64</x:t>
        </x:is>
      </x:c>
      <x:c r="V760" s="160" t="inlineStr">
        <x:is>
          <x:t xml:space="preserve">https://investor.oracle.com</x:t>
        </x:is>
      </x:c>
      <x:c r="W760" s="160" t="inlineStr">
        <x:is>
          <x:t xml:space="preserve">NO</x:t>
        </x:is>
      </x:c>
      <x:c r="X760" s="160" t="inlineStr">
        <x:is>
          <x:t xml:space="preserve">NONE — DEVELOPMENT ONLY</x:t>
        </x:is>
      </x:c>
      <x:c r="Y760" s="160" t="inlineStr">
        <x:is>
          <x:t xml:space="preserve">Synthetic/adversarial model-development loop. No historical outcome is claimed; no accuracy point is awarded.</x:t>
        </x:is>
      </x:c>
    </x:row>
    <x:row r="761">
      <x:c r="A761" s="160" t="inlineStr">
        <x:is>
          <x:t xml:space="preserve">ML0756</x:t>
        </x:is>
      </x:c>
      <x:c r="B761" s="160" t="inlineStr">
        <x:is>
          <x:t xml:space="preserve">ARG-048</x:t>
        </x:is>
      </x:c>
      <x:c r="C761" s="160" t="inlineStr">
        <x:is>
          <x:t xml:space="preserve">Oracle</x:t>
        </x:is>
      </x:c>
      <x:c r="D761" s="160" t="inlineStr">
        <x:is>
          <x:t xml:space="preserve">ORCL</x:t>
        </x:is>
      </x:c>
      <x:c r="E761" s="160" t="inlineStr">
        <x:is>
          <x:t xml:space="preserve">Software &amp; Payments</x:t>
        </x:is>
      </x:c>
      <x:c r="F761" s="160" t="inlineStr">
        <x:is>
          <x:t xml:space="preserve">Development</x:t>
        </x:is>
      </x:c>
      <x:c r="G761" s="160" t="inlineStr">
        <x:is>
          <x:t xml:space="preserve">S04</x:t>
        </x:is>
      </x:c>
      <x:c r="H761" s="160" t="inlineStr">
        <x:is>
          <x:t xml:space="preserve">Stewardship / Capital Allocation</x:t>
        </x:is>
      </x:c>
      <x:c r="I761" s="160" t="inlineStr">
        <x:is>
          <x:t xml:space="preserve">Stewardship</x:t>
        </x:is>
      </x:c>
      <x:c r="J761" s="160" t="inlineStr">
        <x:is>
          <x:t xml:space="preserve">Management creates enterprise growth while destroying per-share value through M&amp;A, dilution, leverage or mistimed buybacks.</x:t>
        </x:is>
      </x:c>
      <x:c r="K761" s="160" t="inlineStr">
        <x:is>
          <x:t xml:space="preserve">Database/apps recurring revenue plus OCI growth minus capex</x:t>
        </x:is>
      </x:c>
      <x:c r="L761" s="160" t="inlineStr">
        <x:is>
          <x:t xml:space="preserve">Owner earnings + funding bridge</x:t>
        </x:is>
      </x:c>
      <x:c r="M761" s="160" t="inlineStr">
        <x:is>
          <x:t xml:space="preserve">WATCH — CAPITAL GATE</x:t>
        </x:is>
      </x:c>
      <x:c r="N761" s="160" t="inlineStr">
        <x:is>
          <x:t xml:space="preserve">R-STEW-01</x:t>
        </x:is>
      </x:c>
      <x:c r="O761" s="160" t="inlineStr">
        <x:is>
          <x:t xml:space="preserve">COUNTER-EVIDENCE</x:t>
        </x:is>
      </x:c>
      <x:c r="P761" s="160" t="inlineStr">
        <x:is>
          <x:t xml:space="preserve">ROBUST</x:t>
        </x:is>
      </x:c>
      <x:c r="Q761" s="160" t="inlineStr">
        <x:is>
          <x:t xml:space="preserve">The mature simulation rule catches the stress without weakening a fatal gate; no rule relaxation is justified.</x:t>
        </x:is>
      </x:c>
      <x:c r="R761" s="160" t="inlineStr">
        <x:is>
          <x:t xml:space="preserve">Evaluate capital allocation on a per-share basis using acquisition cohorts, dilution, leverage and repurchase price discipline.</x:t>
        </x:is>
      </x:c>
      <x:c r="S761" s="160" t="inlineStr">
        <x:is>
          <x:t xml:space="preserve">NO</x:t>
        </x:is>
      </x:c>
      <x:c r="T761" s="160" t="inlineStr">
        <x:is>
          <x:t xml:space="preserve">COUNTER-EVIDENCE</x:t>
        </x:is>
      </x:c>
      <x:c r="U761" s="160" t="inlineStr">
        <x:is>
          <x:t xml:space="preserve">V10.5-SIM64</x:t>
        </x:is>
      </x:c>
      <x:c r="V761" s="160" t="inlineStr">
        <x:is>
          <x:t xml:space="preserve">https://investor.oracle.com</x:t>
        </x:is>
      </x:c>
      <x:c r="W761" s="160" t="inlineStr">
        <x:is>
          <x:t xml:space="preserve">NO</x:t>
        </x:is>
      </x:c>
      <x:c r="X761" s="160" t="inlineStr">
        <x:is>
          <x:t xml:space="preserve">NONE — DEVELOPMENT ONLY</x:t>
        </x:is>
      </x:c>
      <x:c r="Y761" s="160" t="inlineStr">
        <x:is>
          <x:t xml:space="preserve">Synthetic/adversarial model-development loop. No historical outcome is claimed; no accuracy point is awarded.</x:t>
        </x:is>
      </x:c>
    </x:row>
    <x:row r="762">
      <x:c r="A762" s="160" t="inlineStr">
        <x:is>
          <x:t xml:space="preserve">ML0757</x:t>
        </x:is>
      </x:c>
      <x:c r="B762" s="160" t="inlineStr">
        <x:is>
          <x:t xml:space="preserve">ARG-048</x:t>
        </x:is>
      </x:c>
      <x:c r="C762" s="160" t="inlineStr">
        <x:is>
          <x:t xml:space="preserve">Oracle</x:t>
        </x:is>
      </x:c>
      <x:c r="D762" s="160" t="inlineStr">
        <x:is>
          <x:t xml:space="preserve">ORCL</x:t>
        </x:is>
      </x:c>
      <x:c r="E762" s="160" t="inlineStr">
        <x:is>
          <x:t xml:space="preserve">Software &amp; Payments</x:t>
        </x:is>
      </x:c>
      <x:c r="F762" s="160" t="inlineStr">
        <x:is>
          <x:t xml:space="preserve">Development</x:t>
        </x:is>
      </x:c>
      <x:c r="G762" s="160" t="inlineStr">
        <x:is>
          <x:t xml:space="preserve">S05</x:t>
        </x:is>
      </x:c>
      <x:c r="H762" s="160" t="inlineStr">
        <x:is>
          <x:t xml:space="preserve">Survival / Funding</x:t>
        </x:is>
      </x:c>
      <x:c r="I762" s="160" t="inlineStr">
        <x:is>
          <x:t xml:space="preserve">Survival</x:t>
        </x:is>
      </x:c>
      <x:c r="J762" s="160" t="inlineStr">
        <x:is>
          <x:t xml:space="preserve">A plausible bear case exposes refinancing, liquidity, covenant, reserve, regulatory or operational fragility.</x:t>
        </x:is>
      </x:c>
      <x:c r="K762" s="160" t="inlineStr">
        <x:is>
          <x:t xml:space="preserve">Database/apps recurring revenue plus OCI growth minus capex</x:t>
        </x:is>
      </x:c>
      <x:c r="L762" s="160" t="inlineStr">
        <x:is>
          <x:t xml:space="preserve">Owner earnings + funding bridge</x:t>
        </x:is>
      </x:c>
      <x:c r="M762" s="160" t="inlineStr">
        <x:is>
          <x:t xml:space="preserve">WATCH — CAPITAL GATE</x:t>
        </x:is>
      </x:c>
      <x:c r="N762" s="160" t="inlineStr">
        <x:is>
          <x:t xml:space="preserve">R-SURV-01</x:t>
        </x:is>
      </x:c>
      <x:c r="O762" s="160" t="inlineStr">
        <x:is>
          <x:t xml:space="preserve">COUNTER-EVIDENCE</x:t>
        </x:is>
      </x:c>
      <x:c r="P762" s="160" t="inlineStr">
        <x:is>
          <x:t xml:space="preserve">ROBUST</x:t>
        </x:is>
      </x:c>
      <x:c r="Q762" s="160" t="inlineStr">
        <x:is>
          <x:t xml:space="preserve">The mature simulation rule catches the stress without weakening a fatal gate; no rule relaxation is justified.</x:t>
        </x:is>
      </x:c>
      <x:c r="R762" s="160" t="inlineStr">
        <x:is>
          <x:t xml:space="preserve">Run a company-specific survival bridge under a severe-but-plausible bear case before any upside underwriting.</x:t>
        </x:is>
      </x:c>
      <x:c r="S762" s="160" t="inlineStr">
        <x:is>
          <x:t xml:space="preserve">NO</x:t>
        </x:is>
      </x:c>
      <x:c r="T762" s="160" t="inlineStr">
        <x:is>
          <x:t xml:space="preserve">COUNTER-EVIDENCE</x:t>
        </x:is>
      </x:c>
      <x:c r="U762" s="160" t="inlineStr">
        <x:is>
          <x:t xml:space="preserve">V10.5-SIM64</x:t>
        </x:is>
      </x:c>
      <x:c r="V762" s="160" t="inlineStr">
        <x:is>
          <x:t xml:space="preserve">https://investor.oracle.com</x:t>
        </x:is>
      </x:c>
      <x:c r="W762" s="160" t="inlineStr">
        <x:is>
          <x:t xml:space="preserve">NO</x:t>
        </x:is>
      </x:c>
      <x:c r="X762" s="160" t="inlineStr">
        <x:is>
          <x:t xml:space="preserve">NONE — DEVELOPMENT ONLY</x:t>
        </x:is>
      </x:c>
      <x:c r="Y762" s="160" t="inlineStr">
        <x:is>
          <x:t xml:space="preserve">Synthetic/adversarial model-development loop. No historical outcome is claimed; no accuracy point is awarded.</x:t>
        </x:is>
      </x:c>
    </x:row>
    <x:row r="763">
      <x:c r="A763" s="160" t="inlineStr">
        <x:is>
          <x:t xml:space="preserve">ML0758</x:t>
        </x:is>
      </x:c>
      <x:c r="B763" s="160" t="inlineStr">
        <x:is>
          <x:t xml:space="preserve">ARG-048</x:t>
        </x:is>
      </x:c>
      <x:c r="C763" s="160" t="inlineStr">
        <x:is>
          <x:t xml:space="preserve">Oracle</x:t>
        </x:is>
      </x:c>
      <x:c r="D763" s="160" t="inlineStr">
        <x:is>
          <x:t xml:space="preserve">ORCL</x:t>
        </x:is>
      </x:c>
      <x:c r="E763" s="160" t="inlineStr">
        <x:is>
          <x:t xml:space="preserve">Software &amp; Payments</x:t>
        </x:is>
      </x:c>
      <x:c r="F763" s="160" t="inlineStr">
        <x:is>
          <x:t xml:space="preserve">Development</x:t>
        </x:is>
      </x:c>
      <x:c r="G763" s="160" t="inlineStr">
        <x:is>
          <x:t xml:space="preserve">S06</x:t>
        </x:is>
      </x:c>
      <x:c r="H763" s="160" t="inlineStr">
        <x:is>
          <x:t xml:space="preserve">Margin of Safety</x:t>
        </x:is>
      </x:c>
      <x:c r="I763" s="160" t="inlineStr">
        <x:is>
          <x:t xml:space="preserve">Margin of Safety</x:t>
        </x:is>
      </x:c>
      <x:c r="J763" s="160" t="inlineStr">
        <x:is>
          <x:t xml:space="preserve">Business quality is high but the price embeds a fragile bull case.</x:t>
        </x:is>
      </x:c>
      <x:c r="K763" s="160" t="inlineStr">
        <x:is>
          <x:t xml:space="preserve">Database/apps recurring revenue plus OCI growth minus capex</x:t>
        </x:is>
      </x:c>
      <x:c r="L763" s="160" t="inlineStr">
        <x:is>
          <x:t xml:space="preserve">Owner earnings + funding bridge</x:t>
        </x:is>
      </x:c>
      <x:c r="M763" s="160" t="inlineStr">
        <x:is>
          <x:t xml:space="preserve">WATCH — CAPITAL GATE</x:t>
        </x:is>
      </x:c>
      <x:c r="N763" s="160" t="inlineStr">
        <x:is>
          <x:t xml:space="preserve">R-MOS-01</x:t>
        </x:is>
      </x:c>
      <x:c r="O763" s="160" t="inlineStr">
        <x:is>
          <x:t xml:space="preserve">COUNTER-EVIDENCE</x:t>
        </x:is>
      </x:c>
      <x:c r="P763" s="160" t="inlineStr">
        <x:is>
          <x:t xml:space="preserve">ROBUST</x:t>
        </x:is>
      </x:c>
      <x:c r="Q763" s="160" t="inlineStr">
        <x:is>
          <x:t xml:space="preserve">The mature simulation rule catches the stress without weakening a fatal gate; no rule relaxation is justified.</x:t>
        </x:is>
      </x:c>
      <x:c r="R763" s="160" t="inlineStr">
        <x:is>
          <x:t xml:space="preserve">Separate business-quality score from price decision; require reverse valuation and bear/base/bull IV ranges.</x:t>
        </x:is>
      </x:c>
      <x:c r="S763" s="160" t="inlineStr">
        <x:is>
          <x:t xml:space="preserve">NO</x:t>
        </x:is>
      </x:c>
      <x:c r="T763" s="160" t="inlineStr">
        <x:is>
          <x:t xml:space="preserve">COUNTER-EVIDENCE</x:t>
        </x:is>
      </x:c>
      <x:c r="U763" s="160" t="inlineStr">
        <x:is>
          <x:t xml:space="preserve">V10.5-SIM64</x:t>
        </x:is>
      </x:c>
      <x:c r="V763" s="160" t="inlineStr">
        <x:is>
          <x:t xml:space="preserve">https://investor.oracle.com</x:t>
        </x:is>
      </x:c>
      <x:c r="W763" s="160" t="inlineStr">
        <x:is>
          <x:t xml:space="preserve">NO</x:t>
        </x:is>
      </x:c>
      <x:c r="X763" s="160" t="inlineStr">
        <x:is>
          <x:t xml:space="preserve">NONE — DEVELOPMENT ONLY</x:t>
        </x:is>
      </x:c>
      <x:c r="Y763" s="160" t="inlineStr">
        <x:is>
          <x:t xml:space="preserve">Synthetic/adversarial model-development loop. No historical outcome is claimed; no accuracy point is awarded.</x:t>
        </x:is>
      </x:c>
    </x:row>
    <x:row r="764">
      <x:c r="A764" s="160" t="inlineStr">
        <x:is>
          <x:t xml:space="preserve">ML0759</x:t>
        </x:is>
      </x:c>
      <x:c r="B764" s="160" t="inlineStr">
        <x:is>
          <x:t xml:space="preserve">ARG-048</x:t>
        </x:is>
      </x:c>
      <x:c r="C764" s="160" t="inlineStr">
        <x:is>
          <x:t xml:space="preserve">Oracle</x:t>
        </x:is>
      </x:c>
      <x:c r="D764" s="160" t="inlineStr">
        <x:is>
          <x:t xml:space="preserve">ORCL</x:t>
        </x:is>
      </x:c>
      <x:c r="E764" s="160" t="inlineStr">
        <x:is>
          <x:t xml:space="preserve">Software &amp; Payments</x:t>
        </x:is>
      </x:c>
      <x:c r="F764" s="160" t="inlineStr">
        <x:is>
          <x:t xml:space="preserve">Development</x:t>
        </x:is>
      </x:c>
      <x:c r="G764" s="160" t="inlineStr">
        <x:is>
          <x:t xml:space="preserve">S07</x:t>
        </x:is>
      </x:c>
      <x:c r="H764" s="160" t="inlineStr">
        <x:is>
          <x:t xml:space="preserve">Sector Shock</x:t>
        </x:is>
      </x:c>
      <x:c r="I764" s="160" t="inlineStr">
        <x:is>
          <x:t xml:space="preserve">Sector-specific</x:t>
        </x:is>
      </x:c>
      <x:c r="J764" s="160" t="inlineStr">
        <x:is>
          <x:t xml:space="preserve">Revenue/ARR grows while retention quality, take rate, SBC, AI capex or competitive substitution weakens owner earnings.</x:t>
        </x:is>
      </x:c>
      <x:c r="K764" s="160" t="inlineStr">
        <x:is>
          <x:t xml:space="preserve">Database/apps recurring revenue plus OCI growth minus capex</x:t>
        </x:is>
      </x:c>
      <x:c r="L764" s="160" t="inlineStr">
        <x:is>
          <x:t xml:space="preserve">Owner earnings + funding bridge</x:t>
        </x:is>
      </x:c>
      <x:c r="M764" s="160" t="inlineStr">
        <x:is>
          <x:t xml:space="preserve">WATCH — CAPITAL GATE</x:t>
        </x:is>
      </x:c>
      <x:c r="N764" s="160" t="inlineStr">
        <x:is>
          <x:t xml:space="preserve">R-SECTOR-SOFTWARE-PAYMENTS</x:t>
        </x:is>
      </x:c>
      <x:c r="O764" s="160" t="inlineStr">
        <x:is>
          <x:t xml:space="preserve">COUNTER-EVIDENCE</x:t>
        </x:is>
      </x:c>
      <x:c r="P764" s="160" t="inlineStr">
        <x:is>
          <x:t xml:space="preserve">ROBUST</x:t>
        </x:is>
      </x:c>
      <x:c r="Q764" s="160" t="inlineStr">
        <x:is>
          <x:t xml:space="preserve">The mature simulation rule catches the stress without weakening a fatal gate; no rule relaxation is justified.</x:t>
        </x:is>
      </x:c>
      <x:c r="R764"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S764" s="160" t="inlineStr">
        <x:is>
          <x:t xml:space="preserve">NO</x:t>
        </x:is>
      </x:c>
      <x:c r="T764" s="160" t="inlineStr">
        <x:is>
          <x:t xml:space="preserve">COUNTER-EVIDENCE</x:t>
        </x:is>
      </x:c>
      <x:c r="U764" s="160" t="inlineStr">
        <x:is>
          <x:t xml:space="preserve">V10.5-SIM64</x:t>
        </x:is>
      </x:c>
      <x:c r="V764" s="160" t="inlineStr">
        <x:is>
          <x:t xml:space="preserve">https://investor.oracle.com</x:t>
        </x:is>
      </x:c>
      <x:c r="W764" s="160" t="inlineStr">
        <x:is>
          <x:t xml:space="preserve">NO</x:t>
        </x:is>
      </x:c>
      <x:c r="X764" s="160" t="inlineStr">
        <x:is>
          <x:t xml:space="preserve">NONE — DEVELOPMENT ONLY</x:t>
        </x:is>
      </x:c>
      <x:c r="Y764" s="160" t="inlineStr">
        <x:is>
          <x:t xml:space="preserve">Synthetic/adversarial model-development loop. No historical outcome is claimed; no accuracy point is awarded.</x:t>
        </x:is>
      </x:c>
    </x:row>
    <x:row r="765">
      <x:c r="A765" s="160" t="inlineStr">
        <x:is>
          <x:t xml:space="preserve">ML0760</x:t>
        </x:is>
      </x:c>
      <x:c r="B765" s="160" t="inlineStr">
        <x:is>
          <x:t xml:space="preserve">ARG-048</x:t>
        </x:is>
      </x:c>
      <x:c r="C765" s="160" t="inlineStr">
        <x:is>
          <x:t xml:space="preserve">Oracle</x:t>
        </x:is>
      </x:c>
      <x:c r="D765" s="160" t="inlineStr">
        <x:is>
          <x:t xml:space="preserve">ORCL</x:t>
        </x:is>
      </x:c>
      <x:c r="E765" s="160" t="inlineStr">
        <x:is>
          <x:t xml:space="preserve">Software &amp; Payments</x:t>
        </x:is>
      </x:c>
      <x:c r="F765" s="160" t="inlineStr">
        <x:is>
          <x:t xml:space="preserve">Development</x:t>
        </x:is>
      </x:c>
      <x:c r="G765" s="160" t="inlineStr">
        <x:is>
          <x:t xml:space="preserve">S08</x:t>
        </x:is>
      </x:c>
      <x:c r="H765" s="160" t="inlineStr">
        <x:is>
          <x:t xml:space="preserve">Management Promise Reliability</x:t>
        </x:is>
      </x:c>
      <x:c r="I765" s="160" t="inlineStr">
        <x:is>
          <x:t xml:space="preserve">Management over-trust</x:t>
        </x:is>
      </x:c>
      <x:c r="J765" s="160" t="inlineStr">
        <x:is>
          <x:t xml:space="preserve">Guidance or strategic promises are repeated but the model lacks a contemporaneous reliability score.</x:t>
        </x:is>
      </x:c>
      <x:c r="K765" s="160" t="inlineStr">
        <x:is>
          <x:t xml:space="preserve">Database/apps recurring revenue plus OCI growth minus capex</x:t>
        </x:is>
      </x:c>
      <x:c r="L765" s="160" t="inlineStr">
        <x:is>
          <x:t xml:space="preserve">Owner earnings + funding bridge</x:t>
        </x:is>
      </x:c>
      <x:c r="M765" s="160" t="inlineStr">
        <x:is>
          <x:t xml:space="preserve">WATCH — CAPITAL GATE</x:t>
        </x:is>
      </x:c>
      <x:c r="N765" s="160" t="inlineStr">
        <x:is>
          <x:t xml:space="preserve">R-PROM-01</x:t>
        </x:is>
      </x:c>
      <x:c r="O765" s="160" t="inlineStr">
        <x:is>
          <x:t xml:space="preserve">COUNTER-EVIDENCE</x:t>
        </x:is>
      </x:c>
      <x:c r="P765" s="160" t="inlineStr">
        <x:is>
          <x:t xml:space="preserve">ROBUST</x:t>
        </x:is>
      </x:c>
      <x:c r="Q765" s="160" t="inlineStr">
        <x:is>
          <x:t xml:space="preserve">The mature simulation rule catches the stress without weakening a fatal gate; no rule relaxation is justified.</x:t>
        </x:is>
      </x:c>
      <x:c r="R765" s="160" t="inlineStr">
        <x:is>
          <x:t xml:space="preserve">Use a promises ledger with dated promise, measurable deliverable, due date, outcome and credibility weight.</x:t>
        </x:is>
      </x:c>
      <x:c r="S765" s="160" t="inlineStr">
        <x:is>
          <x:t xml:space="preserve">NO</x:t>
        </x:is>
      </x:c>
      <x:c r="T765" s="160" t="inlineStr">
        <x:is>
          <x:t xml:space="preserve">COUNTER-EVIDENCE</x:t>
        </x:is>
      </x:c>
      <x:c r="U765" s="160" t="inlineStr">
        <x:is>
          <x:t xml:space="preserve">V10.5-SIM64</x:t>
        </x:is>
      </x:c>
      <x:c r="V765" s="160" t="inlineStr">
        <x:is>
          <x:t xml:space="preserve">https://investor.oracle.com</x:t>
        </x:is>
      </x:c>
      <x:c r="W765" s="160" t="inlineStr">
        <x:is>
          <x:t xml:space="preserve">NO</x:t>
        </x:is>
      </x:c>
      <x:c r="X765" s="160" t="inlineStr">
        <x:is>
          <x:t xml:space="preserve">NONE — DEVELOPMENT ONLY</x:t>
        </x:is>
      </x:c>
      <x:c r="Y765" s="160" t="inlineStr">
        <x:is>
          <x:t xml:space="preserve">Synthetic/adversarial model-development loop. No historical outcome is claimed; no accuracy point is awarded.</x:t>
        </x:is>
      </x:c>
    </x:row>
    <x:row r="766">
      <x:c r="A766" s="160" t="inlineStr">
        <x:is>
          <x:t xml:space="preserve">ML0761</x:t>
        </x:is>
      </x:c>
      <x:c r="B766" s="160" t="inlineStr">
        <x:is>
          <x:t xml:space="preserve">ARG-048</x:t>
        </x:is>
      </x:c>
      <x:c r="C766" s="160" t="inlineStr">
        <x:is>
          <x:t xml:space="preserve">Oracle</x:t>
        </x:is>
      </x:c>
      <x:c r="D766" s="160" t="inlineStr">
        <x:is>
          <x:t xml:space="preserve">ORCL</x:t>
        </x:is>
      </x:c>
      <x:c r="E766" s="160" t="inlineStr">
        <x:is>
          <x:t xml:space="preserve">Software &amp; Payments</x:t>
        </x:is>
      </x:c>
      <x:c r="F766" s="160" t="inlineStr">
        <x:is>
          <x:t xml:space="preserve">Development</x:t>
        </x:is>
      </x:c>
      <x:c r="G766" s="160" t="inlineStr">
        <x:is>
          <x:t xml:space="preserve">S09</x:t>
        </x:is>
      </x:c>
      <x:c r="H766" s="160" t="inlineStr">
        <x:is>
          <x:t xml:space="preserve">Data / Accounting Quality</x:t>
        </x:is>
      </x:c>
      <x:c r="I766" s="160" t="inlineStr">
        <x:is>
          <x:t xml:space="preserve">Data quality</x:t>
        </x:is>
      </x:c>
      <x:c r="J766" s="160" t="inlineStr">
        <x:is>
          <x:t xml:space="preserve">Restatement, segment reclassification, one-time item or non-economic fair-value movement distorts the apparent trend.</x:t>
        </x:is>
      </x:c>
      <x:c r="K766" s="160" t="inlineStr">
        <x:is>
          <x:t xml:space="preserve">Database/apps recurring revenue plus OCI growth minus capex</x:t>
        </x:is>
      </x:c>
      <x:c r="L766" s="160" t="inlineStr">
        <x:is>
          <x:t xml:space="preserve">Owner earnings + funding bridge</x:t>
        </x:is>
      </x:c>
      <x:c r="M766" s="160" t="inlineStr">
        <x:is>
          <x:t xml:space="preserve">WATCH — CAPITAL GATE</x:t>
        </x:is>
      </x:c>
      <x:c r="N766" s="160" t="inlineStr">
        <x:is>
          <x:t xml:space="preserve">R-DATA-01</x:t>
        </x:is>
      </x:c>
      <x:c r="O766" s="160" t="inlineStr">
        <x:is>
          <x:t xml:space="preserve">COUNTER-EVIDENCE</x:t>
        </x:is>
      </x:c>
      <x:c r="P766" s="160" t="inlineStr">
        <x:is>
          <x:t xml:space="preserve">ROBUST</x:t>
        </x:is>
      </x:c>
      <x:c r="Q766" s="160" t="inlineStr">
        <x:is>
          <x:t xml:space="preserve">The mature simulation rule catches the stress without weakening a fatal gate; no rule relaxation is justified.</x:t>
        </x:is>
      </x:c>
      <x:c r="R766" s="160" t="inlineStr">
        <x:is>
          <x:t xml:space="preserve">Add a reporting-quality bridge and normalize accounting noise before any gate can pass.</x:t>
        </x:is>
      </x:c>
      <x:c r="S766" s="160" t="inlineStr">
        <x:is>
          <x:t xml:space="preserve">NO</x:t>
        </x:is>
      </x:c>
      <x:c r="T766" s="160" t="inlineStr">
        <x:is>
          <x:t xml:space="preserve">COUNTER-EVIDENCE</x:t>
        </x:is>
      </x:c>
      <x:c r="U766" s="160" t="inlineStr">
        <x:is>
          <x:t xml:space="preserve">V10.5-SIM64</x:t>
        </x:is>
      </x:c>
      <x:c r="V766" s="160" t="inlineStr">
        <x:is>
          <x:t xml:space="preserve">https://investor.oracle.com</x:t>
        </x:is>
      </x:c>
      <x:c r="W766" s="160" t="inlineStr">
        <x:is>
          <x:t xml:space="preserve">NO</x:t>
        </x:is>
      </x:c>
      <x:c r="X766" s="160" t="inlineStr">
        <x:is>
          <x:t xml:space="preserve">NONE — DEVELOPMENT ONLY</x:t>
        </x:is>
      </x:c>
      <x:c r="Y766" s="160" t="inlineStr">
        <x:is>
          <x:t xml:space="preserve">Synthetic/adversarial model-development loop. No historical outcome is claimed; no accuracy point is awarded.</x:t>
        </x:is>
      </x:c>
    </x:row>
    <x:row r="767">
      <x:c r="A767" s="160" t="inlineStr">
        <x:is>
          <x:t xml:space="preserve">ML0762</x:t>
        </x:is>
      </x:c>
      <x:c r="B767" s="160" t="inlineStr">
        <x:is>
          <x:t xml:space="preserve">ARG-048</x:t>
        </x:is>
      </x:c>
      <x:c r="C767" s="160" t="inlineStr">
        <x:is>
          <x:t xml:space="preserve">Oracle</x:t>
        </x:is>
      </x:c>
      <x:c r="D767" s="160" t="inlineStr">
        <x:is>
          <x:t xml:space="preserve">ORCL</x:t>
        </x:is>
      </x:c>
      <x:c r="E767" s="160" t="inlineStr">
        <x:is>
          <x:t xml:space="preserve">Software &amp; Payments</x:t>
        </x:is>
      </x:c>
      <x:c r="F767" s="160" t="inlineStr">
        <x:is>
          <x:t xml:space="preserve">Development</x:t>
        </x:is>
      </x:c>
      <x:c r="G767" s="160" t="inlineStr">
        <x:is>
          <x:t xml:space="preserve">S10</x:t>
        </x:is>
      </x:c>
      <x:c r="H767" s="160" t="inlineStr">
        <x:is>
          <x:t xml:space="preserve">Control / Counterfactual</x:t>
        </x:is>
      </x:c>
      <x:c r="I767" s="160" t="inlineStr">
        <x:is>
          <x:t xml:space="preserve">Sector beta vs company alpha</x:t>
        </x:is>
      </x:c>
      <x:c r="J767" s="160" t="inlineStr">
        <x:is>
          <x:t xml:space="preserve">A positive outcome is mostly sector beta or macro tailwind, not company-specific alpha.</x:t>
        </x:is>
      </x:c>
      <x:c r="K767" s="160" t="inlineStr">
        <x:is>
          <x:t xml:space="preserve">Database/apps recurring revenue plus OCI growth minus capex</x:t>
        </x:is>
      </x:c>
      <x:c r="L767" s="160" t="inlineStr">
        <x:is>
          <x:t xml:space="preserve">Owner earnings + funding bridge</x:t>
        </x:is>
      </x:c>
      <x:c r="M767" s="160" t="inlineStr">
        <x:is>
          <x:t xml:space="preserve">WATCH — CAPITAL GATE</x:t>
        </x:is>
      </x:c>
      <x:c r="N767" s="160" t="inlineStr">
        <x:is>
          <x:t xml:space="preserve">R-CF-01</x:t>
        </x:is>
      </x:c>
      <x:c r="O767" s="160" t="inlineStr">
        <x:is>
          <x:t xml:space="preserve">COUNTER-EVIDENCE</x:t>
        </x:is>
      </x:c>
      <x:c r="P767" s="160" t="inlineStr">
        <x:is>
          <x:t xml:space="preserve">ROBUST</x:t>
        </x:is>
      </x:c>
      <x:c r="Q767" s="160" t="inlineStr">
        <x:is>
          <x:t xml:space="preserve">The mature simulation rule catches the stress without weakening a fatal gate; no rule relaxation is justified.</x:t>
        </x:is>
      </x:c>
      <x:c r="R767" s="160" t="inlineStr">
        <x:is>
          <x:t xml:space="preserve">Require a true economic control and counterfactual: what should have happened to a comparable company under the same shock?</x:t>
        </x:is>
      </x:c>
      <x:c r="S767" s="160" t="inlineStr">
        <x:is>
          <x:t xml:space="preserve">NO</x:t>
        </x:is>
      </x:c>
      <x:c r="T767" s="160" t="inlineStr">
        <x:is>
          <x:t xml:space="preserve">COUNTER-EVIDENCE</x:t>
        </x:is>
      </x:c>
      <x:c r="U767" s="160" t="inlineStr">
        <x:is>
          <x:t xml:space="preserve">V10.5-SIM64</x:t>
        </x:is>
      </x:c>
      <x:c r="V767" s="160" t="inlineStr">
        <x:is>
          <x:t xml:space="preserve">https://investor.oracle.com</x:t>
        </x:is>
      </x:c>
      <x:c r="W767" s="160" t="inlineStr">
        <x:is>
          <x:t xml:space="preserve">NO</x:t>
        </x:is>
      </x:c>
      <x:c r="X767" s="160" t="inlineStr">
        <x:is>
          <x:t xml:space="preserve">NONE — DEVELOPMENT ONLY</x:t>
        </x:is>
      </x:c>
      <x:c r="Y767" s="160" t="inlineStr">
        <x:is>
          <x:t xml:space="preserve">Synthetic/adversarial model-development loop. No historical outcome is claimed; no accuracy point is awarded.</x:t>
        </x:is>
      </x:c>
    </x:row>
    <x:row r="768">
      <x:c r="A768" s="160" t="inlineStr">
        <x:is>
          <x:t xml:space="preserve">ML0763</x:t>
        </x:is>
      </x:c>
      <x:c r="B768" s="160" t="inlineStr">
        <x:is>
          <x:t xml:space="preserve">ARG-048</x:t>
        </x:is>
      </x:c>
      <x:c r="C768" s="160" t="inlineStr">
        <x:is>
          <x:t xml:space="preserve">Oracle</x:t>
        </x:is>
      </x:c>
      <x:c r="D768" s="160" t="inlineStr">
        <x:is>
          <x:t xml:space="preserve">ORCL</x:t>
        </x:is>
      </x:c>
      <x:c r="E768" s="160" t="inlineStr">
        <x:is>
          <x:t xml:space="preserve">Software &amp; Payments</x:t>
        </x:is>
      </x:c>
      <x:c r="F768" s="160" t="inlineStr">
        <x:is>
          <x:t xml:space="preserve">Development</x:t>
        </x:is>
      </x:c>
      <x:c r="G768" s="160" t="inlineStr">
        <x:is>
          <x:t xml:space="preserve">S11</x:t>
        </x:is>
      </x:c>
      <x:c r="H768" s="160" t="inlineStr">
        <x:is>
          <x:t xml:space="preserve">False-Negative Discipline</x:t>
        </x:is>
      </x:c>
      <x:c r="I768" s="160" t="inlineStr">
        <x:is>
          <x:t xml:space="preserve">False negative</x:t>
        </x:is>
      </x:c>
      <x:c r="J768" s="160" t="inlineStr">
        <x:is>
          <x:t xml:space="preserve">A strict gate rejects a company that later compounds strongly for reasons the model could have known.</x:t>
        </x:is>
      </x:c>
      <x:c r="K768" s="160" t="inlineStr">
        <x:is>
          <x:t xml:space="preserve">Database/apps recurring revenue plus OCI growth minus capex</x:t>
        </x:is>
      </x:c>
      <x:c r="L768" s="160" t="inlineStr">
        <x:is>
          <x:t xml:space="preserve">Owner earnings + funding bridge</x:t>
        </x:is>
      </x:c>
      <x:c r="M768" s="160" t="inlineStr">
        <x:is>
          <x:t xml:space="preserve">WATCH — CAPITAL GATE</x:t>
        </x:is>
      </x:c>
      <x:c r="N768" s="160" t="inlineStr">
        <x:is>
          <x:t xml:space="preserve">R-FN-01</x:t>
        </x:is>
      </x:c>
      <x:c r="O768" s="160" t="inlineStr">
        <x:is>
          <x:t xml:space="preserve">COUNTER-EVIDENCE</x:t>
        </x:is>
      </x:c>
      <x:c r="P768" s="160" t="inlineStr">
        <x:is>
          <x:t xml:space="preserve">ROBUST</x:t>
        </x:is>
      </x:c>
      <x:c r="Q768" s="160" t="inlineStr">
        <x:is>
          <x:t xml:space="preserve">The mature simulation rule catches the stress without weakening a fatal gate; no rule relaxation is justified.</x:t>
        </x:is>
      </x:c>
      <x:c r="R768" s="160" t="inlineStr">
        <x:is>
          <x:t xml:space="preserve">Track opportunity cost and classify whether the miss came from evidence timing, wrong threshold or genuinely unknowable upside.</x:t>
        </x:is>
      </x:c>
      <x:c r="S768" s="160" t="inlineStr">
        <x:is>
          <x:t xml:space="preserve">NO</x:t>
        </x:is>
      </x:c>
      <x:c r="T768" s="160" t="inlineStr">
        <x:is>
          <x:t xml:space="preserve">COUNTER-EVIDENCE</x:t>
        </x:is>
      </x:c>
      <x:c r="U768" s="160" t="inlineStr">
        <x:is>
          <x:t xml:space="preserve">V10.5-SIM64</x:t>
        </x:is>
      </x:c>
      <x:c r="V768" s="160" t="inlineStr">
        <x:is>
          <x:t xml:space="preserve">https://investor.oracle.com</x:t>
        </x:is>
      </x:c>
      <x:c r="W768" s="160" t="inlineStr">
        <x:is>
          <x:t xml:space="preserve">NO</x:t>
        </x:is>
      </x:c>
      <x:c r="X768" s="160" t="inlineStr">
        <x:is>
          <x:t xml:space="preserve">NONE — DEVELOPMENT ONLY</x:t>
        </x:is>
      </x:c>
      <x:c r="Y768" s="160" t="inlineStr">
        <x:is>
          <x:t xml:space="preserve">Synthetic/adversarial model-development loop. No historical outcome is claimed; no accuracy point is awarded.</x:t>
        </x:is>
      </x:c>
    </x:row>
    <x:row r="769">
      <x:c r="A769" s="160" t="inlineStr">
        <x:is>
          <x:t xml:space="preserve">ML0764</x:t>
        </x:is>
      </x:c>
      <x:c r="B769" s="160" t="inlineStr">
        <x:is>
          <x:t xml:space="preserve">ARG-048</x:t>
        </x:is>
      </x:c>
      <x:c r="C769" s="160" t="inlineStr">
        <x:is>
          <x:t xml:space="preserve">Oracle</x:t>
        </x:is>
      </x:c>
      <x:c r="D769" s="160" t="inlineStr">
        <x:is>
          <x:t xml:space="preserve">ORCL</x:t>
        </x:is>
      </x:c>
      <x:c r="E769" s="160" t="inlineStr">
        <x:is>
          <x:t xml:space="preserve">Software &amp; Payments</x:t>
        </x:is>
      </x:c>
      <x:c r="F769" s="160" t="inlineStr">
        <x:is>
          <x:t xml:space="preserve">Development</x:t>
        </x:is>
      </x:c>
      <x:c r="G769" s="160" t="inlineStr">
        <x:is>
          <x:t xml:space="preserve">S12</x:t>
        </x:is>
      </x:c>
      <x:c r="H769" s="160" t="inlineStr">
        <x:is>
          <x:t xml:space="preserve">Lead-Time / Early Sensor</x:t>
        </x:is>
      </x:c>
      <x:c r="I769" s="160" t="inlineStr">
        <x:is>
          <x:t xml:space="preserve">Timing / lead-time</x:t>
        </x:is>
      </x:c>
      <x:c r="J769" s="160" t="inlineStr">
        <x:is>
          <x:t xml:space="preserve">ARGUS identifies the change correctly but only after consensus and price have already reacted.</x:t>
        </x:is>
      </x:c>
      <x:c r="K769" s="160" t="inlineStr">
        <x:is>
          <x:t xml:space="preserve">Database/apps recurring revenue plus OCI growth minus capex</x:t>
        </x:is>
      </x:c>
      <x:c r="L769" s="160" t="inlineStr">
        <x:is>
          <x:t xml:space="preserve">Owner earnings + funding bridge</x:t>
        </x:is>
      </x:c>
      <x:c r="M769" s="160" t="inlineStr">
        <x:is>
          <x:t xml:space="preserve">WATCH — CAPITAL GATE</x:t>
        </x:is>
      </x:c>
      <x:c r="N769" s="160" t="inlineStr">
        <x:is>
          <x:t xml:space="preserve">R-TIME-01</x:t>
        </x:is>
      </x:c>
      <x:c r="O769" s="160" t="inlineStr">
        <x:is>
          <x:t xml:space="preserve">COUNTER-EVIDENCE</x:t>
        </x:is>
      </x:c>
      <x:c r="P769" s="160" t="inlineStr">
        <x:is>
          <x:t xml:space="preserve">ROBUST</x:t>
        </x:is>
      </x:c>
      <x:c r="Q769" s="160" t="inlineStr">
        <x:is>
          <x:t xml:space="preserve">The mature simulation rule catches the stress without weakening a fatal gate; no rule relaxation is justified.</x:t>
        </x:is>
      </x:c>
      <x:c r="R769" s="160" t="inlineStr">
        <x:is>
          <x:t xml:space="preserve">Replace lagging financial metrics with earlier causal operating sensors and record lead time separately from correctness.</x:t>
        </x:is>
      </x:c>
      <x:c r="S769" s="160" t="inlineStr">
        <x:is>
          <x:t xml:space="preserve">NO</x:t>
        </x:is>
      </x:c>
      <x:c r="T769" s="160" t="inlineStr">
        <x:is>
          <x:t xml:space="preserve">COUNTER-EVIDENCE</x:t>
        </x:is>
      </x:c>
      <x:c r="U769" s="160" t="inlineStr">
        <x:is>
          <x:t xml:space="preserve">V10.5-SIM64</x:t>
        </x:is>
      </x:c>
      <x:c r="V769" s="160" t="inlineStr">
        <x:is>
          <x:t xml:space="preserve">https://investor.oracle.com</x:t>
        </x:is>
      </x:c>
      <x:c r="W769" s="160" t="inlineStr">
        <x:is>
          <x:t xml:space="preserve">NO</x:t>
        </x:is>
      </x:c>
      <x:c r="X769" s="160" t="inlineStr">
        <x:is>
          <x:t xml:space="preserve">NONE — DEVELOPMENT ONLY</x:t>
        </x:is>
      </x:c>
      <x:c r="Y769" s="160" t="inlineStr">
        <x:is>
          <x:t xml:space="preserve">Synthetic/adversarial model-development loop. No historical outcome is claimed; no accuracy point is awarded.</x:t>
        </x:is>
      </x:c>
    </x:row>
    <x:row r="770">
      <x:c r="A770" s="160" t="inlineStr">
        <x:is>
          <x:t xml:space="preserve">ML0765</x:t>
        </x:is>
      </x:c>
      <x:c r="B770" s="160" t="inlineStr">
        <x:is>
          <x:t xml:space="preserve">ARG-048</x:t>
        </x:is>
      </x:c>
      <x:c r="C770" s="160" t="inlineStr">
        <x:is>
          <x:t xml:space="preserve">Oracle</x:t>
        </x:is>
      </x:c>
      <x:c r="D770" s="160" t="inlineStr">
        <x:is>
          <x:t xml:space="preserve">ORCL</x:t>
        </x:is>
      </x:c>
      <x:c r="E770" s="160" t="inlineStr">
        <x:is>
          <x:t xml:space="preserve">Software &amp; Payments</x:t>
        </x:is>
      </x:c>
      <x:c r="F770" s="160" t="inlineStr">
        <x:is>
          <x:t xml:space="preserve">Development</x:t>
        </x:is>
      </x:c>
      <x:c r="G770" s="160" t="inlineStr">
        <x:is>
          <x:t xml:space="preserve">S13</x:t>
        </x:is>
      </x:c>
      <x:c r="H770" s="160" t="inlineStr">
        <x:is>
          <x:t xml:space="preserve">Cycle Normalization</x:t>
        </x:is>
      </x:c>
      <x:c r="I770" s="160" t="inlineStr">
        <x:is>
          <x:t xml:space="preserve">Wrong valuation lens</x:t>
        </x:is>
      </x:c>
      <x:c r="J770" s="160" t="inlineStr">
        <x:is>
          <x:t xml:space="preserve">Peak/trough earnings are mistaken for normalized earning power.</x:t>
        </x:is>
      </x:c>
      <x:c r="K770" s="160" t="inlineStr">
        <x:is>
          <x:t xml:space="preserve">Database/apps recurring revenue plus OCI growth minus capex</x:t>
        </x:is>
      </x:c>
      <x:c r="L770" s="160" t="inlineStr">
        <x:is>
          <x:t xml:space="preserve">Owner earnings + funding bridge</x:t>
        </x:is>
      </x:c>
      <x:c r="M770" s="160" t="inlineStr">
        <x:is>
          <x:t xml:space="preserve">WATCH — CAPITAL GATE</x:t>
        </x:is>
      </x:c>
      <x:c r="N770" s="160" t="inlineStr">
        <x:is>
          <x:t xml:space="preserve">R-CYCLE-01</x:t>
        </x:is>
      </x:c>
      <x:c r="O770" s="160" t="inlineStr">
        <x:is>
          <x:t xml:space="preserve">COUNTER-EVIDENCE</x:t>
        </x:is>
      </x:c>
      <x:c r="P770" s="160" t="inlineStr">
        <x:is>
          <x:t xml:space="preserve">ROBUST</x:t>
        </x:is>
      </x:c>
      <x:c r="Q770" s="160" t="inlineStr">
        <x:is>
          <x:t xml:space="preserve">The mature simulation rule catches the stress without weakening a fatal gate; no rule relaxation is justified.</x:t>
        </x:is>
      </x:c>
      <x:c r="R770" s="160" t="inlineStr">
        <x:is>
          <x:t xml:space="preserve">Use sector-specific mid-cycle/NAV/rate-base/rNPV normalization before applying a valuation multiple.</x:t>
        </x:is>
      </x:c>
      <x:c r="S770" s="160" t="inlineStr">
        <x:is>
          <x:t xml:space="preserve">NO</x:t>
        </x:is>
      </x:c>
      <x:c r="T770" s="160" t="inlineStr">
        <x:is>
          <x:t xml:space="preserve">COUNTER-EVIDENCE</x:t>
        </x:is>
      </x:c>
      <x:c r="U770" s="160" t="inlineStr">
        <x:is>
          <x:t xml:space="preserve">V10.5-SIM64</x:t>
        </x:is>
      </x:c>
      <x:c r="V770" s="160" t="inlineStr">
        <x:is>
          <x:t xml:space="preserve">https://investor.oracle.com</x:t>
        </x:is>
      </x:c>
      <x:c r="W770" s="160" t="inlineStr">
        <x:is>
          <x:t xml:space="preserve">NO</x:t>
        </x:is>
      </x:c>
      <x:c r="X770" s="160" t="inlineStr">
        <x:is>
          <x:t xml:space="preserve">NONE — DEVELOPMENT ONLY</x:t>
        </x:is>
      </x:c>
      <x:c r="Y770" s="160" t="inlineStr">
        <x:is>
          <x:t xml:space="preserve">Synthetic/adversarial model-development loop. No historical outcome is claimed; no accuracy point is awarded.</x:t>
        </x:is>
      </x:c>
    </x:row>
    <x:row r="771">
      <x:c r="A771" s="160" t="inlineStr">
        <x:is>
          <x:t xml:space="preserve">ML0766</x:t>
        </x:is>
      </x:c>
      <x:c r="B771" s="160" t="inlineStr">
        <x:is>
          <x:t xml:space="preserve">ARG-048</x:t>
        </x:is>
      </x:c>
      <x:c r="C771" s="160" t="inlineStr">
        <x:is>
          <x:t xml:space="preserve">Oracle</x:t>
        </x:is>
      </x:c>
      <x:c r="D771" s="160" t="inlineStr">
        <x:is>
          <x:t xml:space="preserve">ORCL</x:t>
        </x:is>
      </x:c>
      <x:c r="E771" s="160" t="inlineStr">
        <x:is>
          <x:t xml:space="preserve">Software &amp; Payments</x:t>
        </x:is>
      </x:c>
      <x:c r="F771" s="160" t="inlineStr">
        <x:is>
          <x:t xml:space="preserve">Development</x:t>
        </x:is>
      </x:c>
      <x:c r="G771" s="160" t="inlineStr">
        <x:is>
          <x:t xml:space="preserve">S14</x:t>
        </x:is>
      </x:c>
      <x:c r="H771" s="160" t="inlineStr">
        <x:is>
          <x:t xml:space="preserve">M&amp;A / Organic Growth Separation</x:t>
        </x:is>
      </x:c>
      <x:c r="I771" s="160" t="inlineStr">
        <x:is>
          <x:t xml:space="preserve">Stewardship</x:t>
        </x:is>
      </x:c>
      <x:c r="J771" s="160" t="inlineStr">
        <x:is>
          <x:t xml:space="preserve">Acquisition-driven growth masks weak organic economics or poor incremental ROIC.</x:t>
        </x:is>
      </x:c>
      <x:c r="K771" s="160" t="inlineStr">
        <x:is>
          <x:t xml:space="preserve">Database/apps recurring revenue plus OCI growth minus capex</x:t>
        </x:is>
      </x:c>
      <x:c r="L771" s="160" t="inlineStr">
        <x:is>
          <x:t xml:space="preserve">Owner earnings + funding bridge</x:t>
        </x:is>
      </x:c>
      <x:c r="M771" s="160" t="inlineStr">
        <x:is>
          <x:t xml:space="preserve">WATCH — CAPITAL GATE</x:t>
        </x:is>
      </x:c>
      <x:c r="N771" s="160" t="inlineStr">
        <x:is>
          <x:t xml:space="preserve">R-MA-01</x:t>
        </x:is>
      </x:c>
      <x:c r="O771" s="160" t="inlineStr">
        <x:is>
          <x:t xml:space="preserve">COUNTER-EVIDENCE</x:t>
        </x:is>
      </x:c>
      <x:c r="P771" s="160" t="inlineStr">
        <x:is>
          <x:t xml:space="preserve">ROBUST</x:t>
        </x:is>
      </x:c>
      <x:c r="Q771" s="160" t="inlineStr">
        <x:is>
          <x:t xml:space="preserve">The mature simulation rule catches the stress without weakening a fatal gate; no rule relaxation is justified.</x:t>
        </x:is>
      </x:c>
      <x:c r="R771" s="160" t="inlineStr">
        <x:is>
          <x:t xml:space="preserve">Bridge organic growth, acquired growth, purchase price, integration costs and acquisition-cohort ROIC.</x:t>
        </x:is>
      </x:c>
      <x:c r="S771" s="160" t="inlineStr">
        <x:is>
          <x:t xml:space="preserve">NO</x:t>
        </x:is>
      </x:c>
      <x:c r="T771" s="160" t="inlineStr">
        <x:is>
          <x:t xml:space="preserve">COUNTER-EVIDENCE</x:t>
        </x:is>
      </x:c>
      <x:c r="U771" s="160" t="inlineStr">
        <x:is>
          <x:t xml:space="preserve">V10.5-SIM64</x:t>
        </x:is>
      </x:c>
      <x:c r="V771" s="160" t="inlineStr">
        <x:is>
          <x:t xml:space="preserve">https://investor.oracle.com</x:t>
        </x:is>
      </x:c>
      <x:c r="W771" s="160" t="inlineStr">
        <x:is>
          <x:t xml:space="preserve">NO</x:t>
        </x:is>
      </x:c>
      <x:c r="X771" s="160" t="inlineStr">
        <x:is>
          <x:t xml:space="preserve">NONE — DEVELOPMENT ONLY</x:t>
        </x:is>
      </x:c>
      <x:c r="Y771" s="160" t="inlineStr">
        <x:is>
          <x:t xml:space="preserve">Synthetic/adversarial model-development loop. No historical outcome is claimed; no accuracy point is awarded.</x:t>
        </x:is>
      </x:c>
    </x:row>
    <x:row r="772">
      <x:c r="A772" s="160" t="inlineStr">
        <x:is>
          <x:t xml:space="preserve">ML0767</x:t>
        </x:is>
      </x:c>
      <x:c r="B772" s="160" t="inlineStr">
        <x:is>
          <x:t xml:space="preserve">ARG-048</x:t>
        </x:is>
      </x:c>
      <x:c r="C772" s="160" t="inlineStr">
        <x:is>
          <x:t xml:space="preserve">Oracle</x:t>
        </x:is>
      </x:c>
      <x:c r="D772" s="160" t="inlineStr">
        <x:is>
          <x:t xml:space="preserve">ORCL</x:t>
        </x:is>
      </x:c>
      <x:c r="E772" s="160" t="inlineStr">
        <x:is>
          <x:t xml:space="preserve">Software &amp; Payments</x:t>
        </x:is>
      </x:c>
      <x:c r="F772" s="160" t="inlineStr">
        <x:is>
          <x:t xml:space="preserve">Development</x:t>
        </x:is>
      </x:c>
      <x:c r="G772" s="160" t="inlineStr">
        <x:is>
          <x:t xml:space="preserve">S15</x:t>
        </x:is>
      </x:c>
      <x:c r="H772" s="160" t="inlineStr">
        <x:is>
          <x:t xml:space="preserve">Financing / Dilution Per Share</x:t>
        </x:is>
      </x:c>
      <x:c r="I772" s="160" t="inlineStr">
        <x:is>
          <x:t xml:space="preserve">Stewardship</x:t>
        </x:is>
      </x:c>
      <x:c r="J772" s="160" t="inlineStr">
        <x:is>
          <x:t xml:space="preserve">Cash balance or revenue growth improves while financing causes material per-share value leakage.</x:t>
        </x:is>
      </x:c>
      <x:c r="K772" s="160" t="inlineStr">
        <x:is>
          <x:t xml:space="preserve">Database/apps recurring revenue plus OCI growth minus capex</x:t>
        </x:is>
      </x:c>
      <x:c r="L772" s="160" t="inlineStr">
        <x:is>
          <x:t xml:space="preserve">Owner earnings + funding bridge</x:t>
        </x:is>
      </x:c>
      <x:c r="M772" s="160" t="inlineStr">
        <x:is>
          <x:t xml:space="preserve">WATCH — CAPITAL GATE</x:t>
        </x:is>
      </x:c>
      <x:c r="N772" s="160" t="inlineStr">
        <x:is>
          <x:t xml:space="preserve">R-DIL-01</x:t>
        </x:is>
      </x:c>
      <x:c r="O772" s="160" t="inlineStr">
        <x:is>
          <x:t xml:space="preserve">COUNTER-EVIDENCE</x:t>
        </x:is>
      </x:c>
      <x:c r="P772" s="160" t="inlineStr">
        <x:is>
          <x:t xml:space="preserve">ROBUST</x:t>
        </x:is>
      </x:c>
      <x:c r="Q772" s="160" t="inlineStr">
        <x:is>
          <x:t xml:space="preserve">The mature simulation rule catches the stress without weakening a fatal gate; no rule relaxation is justified.</x:t>
        </x:is>
      </x:c>
      <x:c r="R772" s="160" t="inlineStr">
        <x:is>
          <x:t xml:space="preserve">Reconcile share-count growth, SBC, equity issuance, buybacks and net cash changes to per-share intrinsic value.</x:t>
        </x:is>
      </x:c>
      <x:c r="S772" s="160" t="inlineStr">
        <x:is>
          <x:t xml:space="preserve">NO</x:t>
        </x:is>
      </x:c>
      <x:c r="T772" s="160" t="inlineStr">
        <x:is>
          <x:t xml:space="preserve">COUNTER-EVIDENCE</x:t>
        </x:is>
      </x:c>
      <x:c r="U772" s="160" t="inlineStr">
        <x:is>
          <x:t xml:space="preserve">V10.5-SIM64</x:t>
        </x:is>
      </x:c>
      <x:c r="V772" s="160" t="inlineStr">
        <x:is>
          <x:t xml:space="preserve">https://investor.oracle.com</x:t>
        </x:is>
      </x:c>
      <x:c r="W772" s="160" t="inlineStr">
        <x:is>
          <x:t xml:space="preserve">NO</x:t>
        </x:is>
      </x:c>
      <x:c r="X772" s="160" t="inlineStr">
        <x:is>
          <x:t xml:space="preserve">NONE — DEVELOPMENT ONLY</x:t>
        </x:is>
      </x:c>
      <x:c r="Y772" s="160" t="inlineStr">
        <x:is>
          <x:t xml:space="preserve">Synthetic/adversarial model-development loop. No historical outcome is claimed; no accuracy point is awarded.</x:t>
        </x:is>
      </x:c>
    </x:row>
    <x:row r="773">
      <x:c r="A773" s="160" t="inlineStr">
        <x:is>
          <x:t xml:space="preserve">ML0768</x:t>
        </x:is>
      </x:c>
      <x:c r="B773" s="160" t="inlineStr">
        <x:is>
          <x:t xml:space="preserve">ARG-048</x:t>
        </x:is>
      </x:c>
      <x:c r="C773" s="160" t="inlineStr">
        <x:is>
          <x:t xml:space="preserve">Oracle</x:t>
        </x:is>
      </x:c>
      <x:c r="D773" s="160" t="inlineStr">
        <x:is>
          <x:t xml:space="preserve">ORCL</x:t>
        </x:is>
      </x:c>
      <x:c r="E773" s="160" t="inlineStr">
        <x:is>
          <x:t xml:space="preserve">Software &amp; Payments</x:t>
        </x:is>
      </x:c>
      <x:c r="F773" s="160" t="inlineStr">
        <x:is>
          <x:t xml:space="preserve">Development</x:t>
        </x:is>
      </x:c>
      <x:c r="G773" s="160" t="inlineStr">
        <x:is>
          <x:t xml:space="preserve">S16</x:t>
        </x:is>
      </x:c>
      <x:c r="H773" s="160" t="inlineStr">
        <x:is>
          <x:t xml:space="preserve">Concentration / Tail Risk</x:t>
        </x:is>
      </x:c>
      <x:c r="I773" s="160" t="inlineStr">
        <x:is>
          <x:t xml:space="preserve">Survival</x:t>
        </x:is>
      </x:c>
      <x:c r="J773" s="160" t="inlineStr">
        <x:is>
          <x:t xml:space="preserve">A concentrated supplier, geography, customer, product, patent, regulatory or technology dependency creates asymmetric permanent-loss risk.</x:t>
        </x:is>
      </x:c>
      <x:c r="K773" s="160" t="inlineStr">
        <x:is>
          <x:t xml:space="preserve">Database/apps recurring revenue plus OCI growth minus capex</x:t>
        </x:is>
      </x:c>
      <x:c r="L773" s="160" t="inlineStr">
        <x:is>
          <x:t xml:space="preserve">Owner earnings + funding bridge</x:t>
        </x:is>
      </x:c>
      <x:c r="M773" s="160" t="inlineStr">
        <x:is>
          <x:t xml:space="preserve">WATCH — CAPITAL GATE</x:t>
        </x:is>
      </x:c>
      <x:c r="N773" s="160" t="inlineStr">
        <x:is>
          <x:t xml:space="preserve">R-TAIL-01</x:t>
        </x:is>
      </x:c>
      <x:c r="O773" s="160" t="inlineStr">
        <x:is>
          <x:t xml:space="preserve">COUNTER-EVIDENCE</x:t>
        </x:is>
      </x:c>
      <x:c r="P773" s="160" t="inlineStr">
        <x:is>
          <x:t xml:space="preserve">ROBUST</x:t>
        </x:is>
      </x:c>
      <x:c r="Q773" s="160" t="inlineStr">
        <x:is>
          <x:t xml:space="preserve">The mature simulation rule catches the stress without weakening a fatal gate; no rule relaxation is justified.</x:t>
        </x:is>
      </x:c>
      <x:c r="R773" s="160" t="inlineStr">
        <x:is>
          <x:t xml:space="preserve">Maintain an explicit concentration/tail-risk register with probability, severity, mitigation and required margin-of-safety premium.</x:t>
        </x:is>
      </x:c>
      <x:c r="S773" s="160" t="inlineStr">
        <x:is>
          <x:t xml:space="preserve">NO</x:t>
        </x:is>
      </x:c>
      <x:c r="T773" s="160" t="inlineStr">
        <x:is>
          <x:t xml:space="preserve">COUNTER-EVIDENCE</x:t>
        </x:is>
      </x:c>
      <x:c r="U773" s="160" t="inlineStr">
        <x:is>
          <x:t xml:space="preserve">V10.5-SIM64</x:t>
        </x:is>
      </x:c>
      <x:c r="V773" s="160" t="inlineStr">
        <x:is>
          <x:t xml:space="preserve">https://investor.oracle.com</x:t>
        </x:is>
      </x:c>
      <x:c r="W773" s="160" t="inlineStr">
        <x:is>
          <x:t xml:space="preserve">NO</x:t>
        </x:is>
      </x:c>
      <x:c r="X773" s="160" t="inlineStr">
        <x:is>
          <x:t xml:space="preserve">NONE — DEVELOPMENT ONLY</x:t>
        </x:is>
      </x:c>
      <x:c r="Y773" s="160" t="inlineStr">
        <x:is>
          <x:t xml:space="preserve">Synthetic/adversarial model-development loop. No historical outcome is claimed; no accuracy point is awarded.</x:t>
        </x:is>
      </x:c>
    </x:row>
    <x:row r="774">
      <x:c r="A774" s="160" t="inlineStr">
        <x:is>
          <x:t xml:space="preserve">ML0769</x:t>
        </x:is>
      </x:c>
      <x:c r="B774" s="160" t="inlineStr">
        <x:is>
          <x:t xml:space="preserve">ARG-049</x:t>
        </x:is>
      </x:c>
      <x:c r="C774" s="160" t="inlineStr">
        <x:is>
          <x:t xml:space="preserve">Salesforce</x:t>
        </x:is>
      </x:c>
      <x:c r="D774" s="160" t="inlineStr">
        <x:is>
          <x:t xml:space="preserve">CRM</x:t>
        </x:is>
      </x:c>
      <x:c r="E774" s="160" t="inlineStr">
        <x:is>
          <x:t xml:space="preserve">Software &amp; Payments</x:t>
        </x:is>
      </x:c>
      <x:c r="F774" s="160" t="inlineStr">
        <x:is>
          <x:t xml:space="preserve">Development</x:t>
        </x:is>
      </x:c>
      <x:c r="G774" s="160" t="inlineStr">
        <x:is>
          <x:t xml:space="preserve">S01</x:t>
        </x:is>
      </x:c>
      <x:c r="H774" s="160" t="inlineStr">
        <x:is>
          <x:t xml:space="preserve">Understanding Gate</x:t>
        </x:is>
      </x:c>
      <x:c r="I774" s="160" t="inlineStr">
        <x:is>
          <x:t xml:space="preserve">Understanding</x:t>
        </x:is>
      </x:c>
      <x:c r="J774" s="160" t="inlineStr">
        <x:is>
          <x:t xml:space="preserve">Causal engine / customer ROI chain breaks under a misleading headline KPI.</x:t>
        </x:is>
      </x:c>
      <x:c r="K774" s="160" t="inlineStr">
        <x:is>
          <x:t xml:space="preserve">Subscription workflows and platform expansion</x:t>
        </x:is>
      </x:c>
      <x:c r="L774" s="160" t="inlineStr">
        <x:is>
          <x:t xml:space="preserve">Owner earnings after SBC + reverse DCF</x:t>
        </x:is>
      </x:c>
      <x:c r="M774" s="160" t="inlineStr">
        <x:is>
          <x:t xml:space="preserve">DEEP WATCH</x:t>
        </x:is>
      </x:c>
      <x:c r="N774" s="160" t="inlineStr">
        <x:is>
          <x:t xml:space="preserve">R-ENG-01</x:t>
        </x:is>
      </x:c>
      <x:c r="O774" s="160" t="inlineStr">
        <x:is>
          <x:t xml:space="preserve">COUNTER-EVIDENCE</x:t>
        </x:is>
      </x:c>
      <x:c r="P774" s="160" t="inlineStr">
        <x:is>
          <x:t xml:space="preserve">ROBUST</x:t>
        </x:is>
      </x:c>
      <x:c r="Q774" s="160" t="inlineStr">
        <x:is>
          <x:t xml:space="preserve">The mature simulation rule catches the stress without weakening a fatal gate; no rule relaxation is justified.</x:t>
        </x:is>
      </x:c>
      <x:c r="R774" s="160" t="inlineStr">
        <x:is>
          <x:t xml:space="preserve">Force an explicit engine tree: customer job → unit economics → revenue driver → owner-value bridge.</x:t>
        </x:is>
      </x:c>
      <x:c r="S774" s="160" t="inlineStr">
        <x:is>
          <x:t xml:space="preserve">NO</x:t>
        </x:is>
      </x:c>
      <x:c r="T774" s="160" t="inlineStr">
        <x:is>
          <x:t xml:space="preserve">COUNTER-EVIDENCE</x:t>
        </x:is>
      </x:c>
      <x:c r="U774" s="160" t="inlineStr">
        <x:is>
          <x:t xml:space="preserve">V10.5-SIM64</x:t>
        </x:is>
      </x:c>
      <x:c r="V774" s="160" t="inlineStr">
        <x:is>
          <x:t xml:space="preserve">https://investor.salesforce.com</x:t>
        </x:is>
      </x:c>
      <x:c r="W774" s="160" t="inlineStr">
        <x:is>
          <x:t xml:space="preserve">NO</x:t>
        </x:is>
      </x:c>
      <x:c r="X774" s="160" t="inlineStr">
        <x:is>
          <x:t xml:space="preserve">NONE — DEVELOPMENT ONLY</x:t>
        </x:is>
      </x:c>
      <x:c r="Y774" s="160" t="inlineStr">
        <x:is>
          <x:t xml:space="preserve">Synthetic/adversarial model-development loop. No historical outcome is claimed; no accuracy point is awarded.</x:t>
        </x:is>
      </x:c>
    </x:row>
    <x:row r="775">
      <x:c r="A775" s="160" t="inlineStr">
        <x:is>
          <x:t xml:space="preserve">ML0770</x:t>
        </x:is>
      </x:c>
      <x:c r="B775" s="160" t="inlineStr">
        <x:is>
          <x:t xml:space="preserve">ARG-049</x:t>
        </x:is>
      </x:c>
      <x:c r="C775" s="160" t="inlineStr">
        <x:is>
          <x:t xml:space="preserve">Salesforce</x:t>
        </x:is>
      </x:c>
      <x:c r="D775" s="160" t="inlineStr">
        <x:is>
          <x:t xml:space="preserve">CRM</x:t>
        </x:is>
      </x:c>
      <x:c r="E775" s="160" t="inlineStr">
        <x:is>
          <x:t xml:space="preserve">Software &amp; Payments</x:t>
        </x:is>
      </x:c>
      <x:c r="F775" s="160" t="inlineStr">
        <x:is>
          <x:t xml:space="preserve">Development</x:t>
        </x:is>
      </x:c>
      <x:c r="G775" s="160" t="inlineStr">
        <x:is>
          <x:t xml:space="preserve">S02</x:t>
        </x:is>
      </x:c>
      <x:c r="H775" s="160" t="inlineStr">
        <x:is>
          <x:t xml:space="preserve">Owner Earnings Normalization</x:t>
        </x:is>
      </x:c>
      <x:c r="I775" s="160" t="inlineStr">
        <x:is>
          <x:t xml:space="preserve">Owner Earnings</x:t>
        </x:is>
      </x:c>
      <x:c r="J775" s="160" t="inlineStr">
        <x:is>
          <x:t xml:space="preserve">Reported earnings/FCF overstates economic cash because recurring reinvestment or non-cash compensation is misclassified.</x:t>
        </x:is>
      </x:c>
      <x:c r="K775" s="160" t="inlineStr">
        <x:is>
          <x:t xml:space="preserve">Subscription workflows and platform expansion</x:t>
        </x:is>
      </x:c>
      <x:c r="L775" s="160" t="inlineStr">
        <x:is>
          <x:t xml:space="preserve">Owner earnings after SBC + reverse DCF</x:t>
        </x:is>
      </x:c>
      <x:c r="M775" s="160" t="inlineStr">
        <x:is>
          <x:t xml:space="preserve">DEEP WATCH</x:t>
        </x:is>
      </x:c>
      <x:c r="N775" s="160" t="inlineStr">
        <x:is>
          <x:t xml:space="preserve">R-OE-01</x:t>
        </x:is>
      </x:c>
      <x:c r="O775" s="160" t="inlineStr">
        <x:is>
          <x:t xml:space="preserve">COUNTER-EVIDENCE</x:t>
        </x:is>
      </x:c>
      <x:c r="P775" s="160" t="inlineStr">
        <x:is>
          <x:t xml:space="preserve">ROBUST</x:t>
        </x:is>
      </x:c>
      <x:c r="Q775" s="160" t="inlineStr">
        <x:is>
          <x:t xml:space="preserve">The mature simulation rule catches the stress without weakening a fatal gate; no rule relaxation is justified.</x:t>
        </x:is>
      </x:c>
      <x:c r="R775" s="160" t="inlineStr">
        <x:is>
          <x:t xml:space="preserve">Require a GAAP-to-economic-owner-cash bridge tailored to the business model.</x:t>
        </x:is>
      </x:c>
      <x:c r="S775" s="160" t="inlineStr">
        <x:is>
          <x:t xml:space="preserve">NO</x:t>
        </x:is>
      </x:c>
      <x:c r="T775" s="160" t="inlineStr">
        <x:is>
          <x:t xml:space="preserve">COUNTER-EVIDENCE</x:t>
        </x:is>
      </x:c>
      <x:c r="U775" s="160" t="inlineStr">
        <x:is>
          <x:t xml:space="preserve">V10.5-SIM64</x:t>
        </x:is>
      </x:c>
      <x:c r="V775" s="160" t="inlineStr">
        <x:is>
          <x:t xml:space="preserve">https://investor.salesforce.com</x:t>
        </x:is>
      </x:c>
      <x:c r="W775" s="160" t="inlineStr">
        <x:is>
          <x:t xml:space="preserve">NO</x:t>
        </x:is>
      </x:c>
      <x:c r="X775" s="160" t="inlineStr">
        <x:is>
          <x:t xml:space="preserve">NONE — DEVELOPMENT ONLY</x:t>
        </x:is>
      </x:c>
      <x:c r="Y775" s="160" t="inlineStr">
        <x:is>
          <x:t xml:space="preserve">Synthetic/adversarial model-development loop. No historical outcome is claimed; no accuracy point is awarded.</x:t>
        </x:is>
      </x:c>
    </x:row>
    <x:row r="776">
      <x:c r="A776" s="160" t="inlineStr">
        <x:is>
          <x:t xml:space="preserve">ML0771</x:t>
        </x:is>
      </x:c>
      <x:c r="B776" s="160" t="inlineStr">
        <x:is>
          <x:t xml:space="preserve">ARG-049</x:t>
        </x:is>
      </x:c>
      <x:c r="C776" s="160" t="inlineStr">
        <x:is>
          <x:t xml:space="preserve">Salesforce</x:t>
        </x:is>
      </x:c>
      <x:c r="D776" s="160" t="inlineStr">
        <x:is>
          <x:t xml:space="preserve">CRM</x:t>
        </x:is>
      </x:c>
      <x:c r="E776" s="160" t="inlineStr">
        <x:is>
          <x:t xml:space="preserve">Software &amp; Payments</x:t>
        </x:is>
      </x:c>
      <x:c r="F776" s="160" t="inlineStr">
        <x:is>
          <x:t xml:space="preserve">Development</x:t>
        </x:is>
      </x:c>
      <x:c r="G776" s="160" t="inlineStr">
        <x:is>
          <x:t xml:space="preserve">S03</x:t>
        </x:is>
      </x:c>
      <x:c r="H776" s="160" t="inlineStr">
        <x:is>
          <x:t xml:space="preserve">Moat Durability</x:t>
        </x:is>
      </x:c>
      <x:c r="I776" s="160" t="inlineStr">
        <x:is>
          <x:t xml:space="preserve">Moat 2036</x:t>
        </x:is>
      </x:c>
      <x:c r="J776" s="160" t="inlineStr">
        <x:is>
          <x:t xml:space="preserve">Growth continues while switching friction, pricing power or replacement difficulty quietly weakens.</x:t>
        </x:is>
      </x:c>
      <x:c r="K776" s="160" t="inlineStr">
        <x:is>
          <x:t xml:space="preserve">Subscription workflows and platform expansion</x:t>
        </x:is>
      </x:c>
      <x:c r="L776" s="160" t="inlineStr">
        <x:is>
          <x:t xml:space="preserve">Owner earnings after SBC + reverse DCF</x:t>
        </x:is>
      </x:c>
      <x:c r="M776" s="160" t="inlineStr">
        <x:is>
          <x:t xml:space="preserve">DEEP WATCH</x:t>
        </x:is>
      </x:c>
      <x:c r="N776" s="160" t="inlineStr">
        <x:is>
          <x:t xml:space="preserve">R-MOAT-01</x:t>
        </x:is>
      </x:c>
      <x:c r="O776" s="160" t="inlineStr">
        <x:is>
          <x:t xml:space="preserve">COUNTER-EVIDENCE</x:t>
        </x:is>
      </x:c>
      <x:c r="P776" s="160" t="inlineStr">
        <x:is>
          <x:t xml:space="preserve">ROBUST</x:t>
        </x:is>
      </x:c>
      <x:c r="Q776" s="160" t="inlineStr">
        <x:is>
          <x:t xml:space="preserve">The mature simulation rule catches the stress without weakening a fatal gate; no rule relaxation is justified.</x:t>
        </x:is>
      </x:c>
      <x:c r="R776" s="160" t="inlineStr">
        <x:is>
          <x:t xml:space="preserve">Track moat telemetry separately from growth: retention, pricing, win/loss, replacement friction, installed-base behavior.</x:t>
        </x:is>
      </x:c>
      <x:c r="S776" s="160" t="inlineStr">
        <x:is>
          <x:t xml:space="preserve">NO</x:t>
        </x:is>
      </x:c>
      <x:c r="T776" s="160" t="inlineStr">
        <x:is>
          <x:t xml:space="preserve">COUNTER-EVIDENCE</x:t>
        </x:is>
      </x:c>
      <x:c r="U776" s="160" t="inlineStr">
        <x:is>
          <x:t xml:space="preserve">V10.5-SIM64</x:t>
        </x:is>
      </x:c>
      <x:c r="V776" s="160" t="inlineStr">
        <x:is>
          <x:t xml:space="preserve">https://investor.salesforce.com</x:t>
        </x:is>
      </x:c>
      <x:c r="W776" s="160" t="inlineStr">
        <x:is>
          <x:t xml:space="preserve">NO</x:t>
        </x:is>
      </x:c>
      <x:c r="X776" s="160" t="inlineStr">
        <x:is>
          <x:t xml:space="preserve">NONE — DEVELOPMENT ONLY</x:t>
        </x:is>
      </x:c>
      <x:c r="Y776" s="160" t="inlineStr">
        <x:is>
          <x:t xml:space="preserve">Synthetic/adversarial model-development loop. No historical outcome is claimed; no accuracy point is awarded.</x:t>
        </x:is>
      </x:c>
    </x:row>
    <x:row r="777">
      <x:c r="A777" s="160" t="inlineStr">
        <x:is>
          <x:t xml:space="preserve">ML0772</x:t>
        </x:is>
      </x:c>
      <x:c r="B777" s="160" t="inlineStr">
        <x:is>
          <x:t xml:space="preserve">ARG-049</x:t>
        </x:is>
      </x:c>
      <x:c r="C777" s="160" t="inlineStr">
        <x:is>
          <x:t xml:space="preserve">Salesforce</x:t>
        </x:is>
      </x:c>
      <x:c r="D777" s="160" t="inlineStr">
        <x:is>
          <x:t xml:space="preserve">CRM</x:t>
        </x:is>
      </x:c>
      <x:c r="E777" s="160" t="inlineStr">
        <x:is>
          <x:t xml:space="preserve">Software &amp; Payments</x:t>
        </x:is>
      </x:c>
      <x:c r="F777" s="160" t="inlineStr">
        <x:is>
          <x:t xml:space="preserve">Development</x:t>
        </x:is>
      </x:c>
      <x:c r="G777" s="160" t="inlineStr">
        <x:is>
          <x:t xml:space="preserve">S04</x:t>
        </x:is>
      </x:c>
      <x:c r="H777" s="160" t="inlineStr">
        <x:is>
          <x:t xml:space="preserve">Stewardship / Capital Allocation</x:t>
        </x:is>
      </x:c>
      <x:c r="I777" s="160" t="inlineStr">
        <x:is>
          <x:t xml:space="preserve">Stewardship</x:t>
        </x:is>
      </x:c>
      <x:c r="J777" s="160" t="inlineStr">
        <x:is>
          <x:t xml:space="preserve">Management creates enterprise growth while destroying per-share value through M&amp;A, dilution, leverage or mistimed buybacks.</x:t>
        </x:is>
      </x:c>
      <x:c r="K777" s="160" t="inlineStr">
        <x:is>
          <x:t xml:space="preserve">Subscription workflows and platform expansion</x:t>
        </x:is>
      </x:c>
      <x:c r="L777" s="160" t="inlineStr">
        <x:is>
          <x:t xml:space="preserve">Owner earnings after SBC + reverse DCF</x:t>
        </x:is>
      </x:c>
      <x:c r="M777" s="160" t="inlineStr">
        <x:is>
          <x:t xml:space="preserve">DEEP WATCH</x:t>
        </x:is>
      </x:c>
      <x:c r="N777" s="160" t="inlineStr">
        <x:is>
          <x:t xml:space="preserve">R-STEW-01</x:t>
        </x:is>
      </x:c>
      <x:c r="O777" s="160" t="inlineStr">
        <x:is>
          <x:t xml:space="preserve">COUNTER-EVIDENCE</x:t>
        </x:is>
      </x:c>
      <x:c r="P777" s="160" t="inlineStr">
        <x:is>
          <x:t xml:space="preserve">ROBUST</x:t>
        </x:is>
      </x:c>
      <x:c r="Q777" s="160" t="inlineStr">
        <x:is>
          <x:t xml:space="preserve">The mature simulation rule catches the stress without weakening a fatal gate; no rule relaxation is justified.</x:t>
        </x:is>
      </x:c>
      <x:c r="R777" s="160" t="inlineStr">
        <x:is>
          <x:t xml:space="preserve">Evaluate capital allocation on a per-share basis using acquisition cohorts, dilution, leverage and repurchase price discipline.</x:t>
        </x:is>
      </x:c>
      <x:c r="S777" s="160" t="inlineStr">
        <x:is>
          <x:t xml:space="preserve">NO</x:t>
        </x:is>
      </x:c>
      <x:c r="T777" s="160" t="inlineStr">
        <x:is>
          <x:t xml:space="preserve">COUNTER-EVIDENCE</x:t>
        </x:is>
      </x:c>
      <x:c r="U777" s="160" t="inlineStr">
        <x:is>
          <x:t xml:space="preserve">V10.5-SIM64</x:t>
        </x:is>
      </x:c>
      <x:c r="V777" s="160" t="inlineStr">
        <x:is>
          <x:t xml:space="preserve">https://investor.salesforce.com</x:t>
        </x:is>
      </x:c>
      <x:c r="W777" s="160" t="inlineStr">
        <x:is>
          <x:t xml:space="preserve">NO</x:t>
        </x:is>
      </x:c>
      <x:c r="X777" s="160" t="inlineStr">
        <x:is>
          <x:t xml:space="preserve">NONE — DEVELOPMENT ONLY</x:t>
        </x:is>
      </x:c>
      <x:c r="Y777" s="160" t="inlineStr">
        <x:is>
          <x:t xml:space="preserve">Synthetic/adversarial model-development loop. No historical outcome is claimed; no accuracy point is awarded.</x:t>
        </x:is>
      </x:c>
    </x:row>
    <x:row r="778">
      <x:c r="A778" s="160" t="inlineStr">
        <x:is>
          <x:t xml:space="preserve">ML0773</x:t>
        </x:is>
      </x:c>
      <x:c r="B778" s="160" t="inlineStr">
        <x:is>
          <x:t xml:space="preserve">ARG-049</x:t>
        </x:is>
      </x:c>
      <x:c r="C778" s="160" t="inlineStr">
        <x:is>
          <x:t xml:space="preserve">Salesforce</x:t>
        </x:is>
      </x:c>
      <x:c r="D778" s="160" t="inlineStr">
        <x:is>
          <x:t xml:space="preserve">CRM</x:t>
        </x:is>
      </x:c>
      <x:c r="E778" s="160" t="inlineStr">
        <x:is>
          <x:t xml:space="preserve">Software &amp; Payments</x:t>
        </x:is>
      </x:c>
      <x:c r="F778" s="160" t="inlineStr">
        <x:is>
          <x:t xml:space="preserve">Development</x:t>
        </x:is>
      </x:c>
      <x:c r="G778" s="160" t="inlineStr">
        <x:is>
          <x:t xml:space="preserve">S05</x:t>
        </x:is>
      </x:c>
      <x:c r="H778" s="160" t="inlineStr">
        <x:is>
          <x:t xml:space="preserve">Survival / Funding</x:t>
        </x:is>
      </x:c>
      <x:c r="I778" s="160" t="inlineStr">
        <x:is>
          <x:t xml:space="preserve">Survival</x:t>
        </x:is>
      </x:c>
      <x:c r="J778" s="160" t="inlineStr">
        <x:is>
          <x:t xml:space="preserve">A plausible bear case exposes refinancing, liquidity, covenant, reserve, regulatory or operational fragility.</x:t>
        </x:is>
      </x:c>
      <x:c r="K778" s="160" t="inlineStr">
        <x:is>
          <x:t xml:space="preserve">Subscription workflows and platform expansion</x:t>
        </x:is>
      </x:c>
      <x:c r="L778" s="160" t="inlineStr">
        <x:is>
          <x:t xml:space="preserve">Owner earnings after SBC + reverse DCF</x:t>
        </x:is>
      </x:c>
      <x:c r="M778" s="160" t="inlineStr">
        <x:is>
          <x:t xml:space="preserve">DEEP WATCH</x:t>
        </x:is>
      </x:c>
      <x:c r="N778" s="160" t="inlineStr">
        <x:is>
          <x:t xml:space="preserve">R-SURV-01</x:t>
        </x:is>
      </x:c>
      <x:c r="O778" s="160" t="inlineStr">
        <x:is>
          <x:t xml:space="preserve">COUNTER-EVIDENCE</x:t>
        </x:is>
      </x:c>
      <x:c r="P778" s="160" t="inlineStr">
        <x:is>
          <x:t xml:space="preserve">ROBUST</x:t>
        </x:is>
      </x:c>
      <x:c r="Q778" s="160" t="inlineStr">
        <x:is>
          <x:t xml:space="preserve">The mature simulation rule catches the stress without weakening a fatal gate; no rule relaxation is justified.</x:t>
        </x:is>
      </x:c>
      <x:c r="R778" s="160" t="inlineStr">
        <x:is>
          <x:t xml:space="preserve">Run a company-specific survival bridge under a severe-but-plausible bear case before any upside underwriting.</x:t>
        </x:is>
      </x:c>
      <x:c r="S778" s="160" t="inlineStr">
        <x:is>
          <x:t xml:space="preserve">NO</x:t>
        </x:is>
      </x:c>
      <x:c r="T778" s="160" t="inlineStr">
        <x:is>
          <x:t xml:space="preserve">COUNTER-EVIDENCE</x:t>
        </x:is>
      </x:c>
      <x:c r="U778" s="160" t="inlineStr">
        <x:is>
          <x:t xml:space="preserve">V10.5-SIM64</x:t>
        </x:is>
      </x:c>
      <x:c r="V778" s="160" t="inlineStr">
        <x:is>
          <x:t xml:space="preserve">https://investor.salesforce.com</x:t>
        </x:is>
      </x:c>
      <x:c r="W778" s="160" t="inlineStr">
        <x:is>
          <x:t xml:space="preserve">NO</x:t>
        </x:is>
      </x:c>
      <x:c r="X778" s="160" t="inlineStr">
        <x:is>
          <x:t xml:space="preserve">NONE — DEVELOPMENT ONLY</x:t>
        </x:is>
      </x:c>
      <x:c r="Y778" s="160" t="inlineStr">
        <x:is>
          <x:t xml:space="preserve">Synthetic/adversarial model-development loop. No historical outcome is claimed; no accuracy point is awarded.</x:t>
        </x:is>
      </x:c>
    </x:row>
    <x:row r="779">
      <x:c r="A779" s="160" t="inlineStr">
        <x:is>
          <x:t xml:space="preserve">ML0774</x:t>
        </x:is>
      </x:c>
      <x:c r="B779" s="160" t="inlineStr">
        <x:is>
          <x:t xml:space="preserve">ARG-049</x:t>
        </x:is>
      </x:c>
      <x:c r="C779" s="160" t="inlineStr">
        <x:is>
          <x:t xml:space="preserve">Salesforce</x:t>
        </x:is>
      </x:c>
      <x:c r="D779" s="160" t="inlineStr">
        <x:is>
          <x:t xml:space="preserve">CRM</x:t>
        </x:is>
      </x:c>
      <x:c r="E779" s="160" t="inlineStr">
        <x:is>
          <x:t xml:space="preserve">Software &amp; Payments</x:t>
        </x:is>
      </x:c>
      <x:c r="F779" s="160" t="inlineStr">
        <x:is>
          <x:t xml:space="preserve">Development</x:t>
        </x:is>
      </x:c>
      <x:c r="G779" s="160" t="inlineStr">
        <x:is>
          <x:t xml:space="preserve">S06</x:t>
        </x:is>
      </x:c>
      <x:c r="H779" s="160" t="inlineStr">
        <x:is>
          <x:t xml:space="preserve">Margin of Safety</x:t>
        </x:is>
      </x:c>
      <x:c r="I779" s="160" t="inlineStr">
        <x:is>
          <x:t xml:space="preserve">Margin of Safety</x:t>
        </x:is>
      </x:c>
      <x:c r="J779" s="160" t="inlineStr">
        <x:is>
          <x:t xml:space="preserve">Business quality is high but the price embeds a fragile bull case.</x:t>
        </x:is>
      </x:c>
      <x:c r="K779" s="160" t="inlineStr">
        <x:is>
          <x:t xml:space="preserve">Subscription workflows and platform expansion</x:t>
        </x:is>
      </x:c>
      <x:c r="L779" s="160" t="inlineStr">
        <x:is>
          <x:t xml:space="preserve">Owner earnings after SBC + reverse DCF</x:t>
        </x:is>
      </x:c>
      <x:c r="M779" s="160" t="inlineStr">
        <x:is>
          <x:t xml:space="preserve">DEEP WATCH</x:t>
        </x:is>
      </x:c>
      <x:c r="N779" s="160" t="inlineStr">
        <x:is>
          <x:t xml:space="preserve">R-MOS-01</x:t>
        </x:is>
      </x:c>
      <x:c r="O779" s="160" t="inlineStr">
        <x:is>
          <x:t xml:space="preserve">COUNTER-EVIDENCE</x:t>
        </x:is>
      </x:c>
      <x:c r="P779" s="160" t="inlineStr">
        <x:is>
          <x:t xml:space="preserve">ROBUST</x:t>
        </x:is>
      </x:c>
      <x:c r="Q779" s="160" t="inlineStr">
        <x:is>
          <x:t xml:space="preserve">The mature simulation rule catches the stress without weakening a fatal gate; no rule relaxation is justified.</x:t>
        </x:is>
      </x:c>
      <x:c r="R779" s="160" t="inlineStr">
        <x:is>
          <x:t xml:space="preserve">Separate business-quality score from price decision; require reverse valuation and bear/base/bull IV ranges.</x:t>
        </x:is>
      </x:c>
      <x:c r="S779" s="160" t="inlineStr">
        <x:is>
          <x:t xml:space="preserve">NO</x:t>
        </x:is>
      </x:c>
      <x:c r="T779" s="160" t="inlineStr">
        <x:is>
          <x:t xml:space="preserve">COUNTER-EVIDENCE</x:t>
        </x:is>
      </x:c>
      <x:c r="U779" s="160" t="inlineStr">
        <x:is>
          <x:t xml:space="preserve">V10.5-SIM64</x:t>
        </x:is>
      </x:c>
      <x:c r="V779" s="160" t="inlineStr">
        <x:is>
          <x:t xml:space="preserve">https://investor.salesforce.com</x:t>
        </x:is>
      </x:c>
      <x:c r="W779" s="160" t="inlineStr">
        <x:is>
          <x:t xml:space="preserve">NO</x:t>
        </x:is>
      </x:c>
      <x:c r="X779" s="160" t="inlineStr">
        <x:is>
          <x:t xml:space="preserve">NONE — DEVELOPMENT ONLY</x:t>
        </x:is>
      </x:c>
      <x:c r="Y779" s="160" t="inlineStr">
        <x:is>
          <x:t xml:space="preserve">Synthetic/adversarial model-development loop. No historical outcome is claimed; no accuracy point is awarded.</x:t>
        </x:is>
      </x:c>
    </x:row>
    <x:row r="780">
      <x:c r="A780" s="160" t="inlineStr">
        <x:is>
          <x:t xml:space="preserve">ML0775</x:t>
        </x:is>
      </x:c>
      <x:c r="B780" s="160" t="inlineStr">
        <x:is>
          <x:t xml:space="preserve">ARG-049</x:t>
        </x:is>
      </x:c>
      <x:c r="C780" s="160" t="inlineStr">
        <x:is>
          <x:t xml:space="preserve">Salesforce</x:t>
        </x:is>
      </x:c>
      <x:c r="D780" s="160" t="inlineStr">
        <x:is>
          <x:t xml:space="preserve">CRM</x:t>
        </x:is>
      </x:c>
      <x:c r="E780" s="160" t="inlineStr">
        <x:is>
          <x:t xml:space="preserve">Software &amp; Payments</x:t>
        </x:is>
      </x:c>
      <x:c r="F780" s="160" t="inlineStr">
        <x:is>
          <x:t xml:space="preserve">Development</x:t>
        </x:is>
      </x:c>
      <x:c r="G780" s="160" t="inlineStr">
        <x:is>
          <x:t xml:space="preserve">S07</x:t>
        </x:is>
      </x:c>
      <x:c r="H780" s="160" t="inlineStr">
        <x:is>
          <x:t xml:space="preserve">Sector Shock</x:t>
        </x:is>
      </x:c>
      <x:c r="I780" s="160" t="inlineStr">
        <x:is>
          <x:t xml:space="preserve">Sector-specific</x:t>
        </x:is>
      </x:c>
      <x:c r="J780" s="160" t="inlineStr">
        <x:is>
          <x:t xml:space="preserve">Revenue/ARR grows while retention quality, take rate, SBC, AI capex or competitive substitution weakens owner earnings.</x:t>
        </x:is>
      </x:c>
      <x:c r="K780" s="160" t="inlineStr">
        <x:is>
          <x:t xml:space="preserve">Subscription workflows and platform expansion</x:t>
        </x:is>
      </x:c>
      <x:c r="L780" s="160" t="inlineStr">
        <x:is>
          <x:t xml:space="preserve">Owner earnings after SBC + reverse DCF</x:t>
        </x:is>
      </x:c>
      <x:c r="M780" s="160" t="inlineStr">
        <x:is>
          <x:t xml:space="preserve">DEEP WATCH</x:t>
        </x:is>
      </x:c>
      <x:c r="N780" s="160" t="inlineStr">
        <x:is>
          <x:t xml:space="preserve">R-SECTOR-SOFTWARE-PAYMENTS</x:t>
        </x:is>
      </x:c>
      <x:c r="O780" s="160" t="inlineStr">
        <x:is>
          <x:t xml:space="preserve">COUNTER-EVIDENCE</x:t>
        </x:is>
      </x:c>
      <x:c r="P780" s="160" t="inlineStr">
        <x:is>
          <x:t xml:space="preserve">ROBUST</x:t>
        </x:is>
      </x:c>
      <x:c r="Q780" s="160" t="inlineStr">
        <x:is>
          <x:t xml:space="preserve">The mature simulation rule catches the stress without weakening a fatal gate; no rule relaxation is justified.</x:t>
        </x:is>
      </x:c>
      <x:c r="R780"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S780" s="160" t="inlineStr">
        <x:is>
          <x:t xml:space="preserve">NO</x:t>
        </x:is>
      </x:c>
      <x:c r="T780" s="160" t="inlineStr">
        <x:is>
          <x:t xml:space="preserve">COUNTER-EVIDENCE</x:t>
        </x:is>
      </x:c>
      <x:c r="U780" s="160" t="inlineStr">
        <x:is>
          <x:t xml:space="preserve">V10.5-SIM64</x:t>
        </x:is>
      </x:c>
      <x:c r="V780" s="160" t="inlineStr">
        <x:is>
          <x:t xml:space="preserve">https://investor.salesforce.com</x:t>
        </x:is>
      </x:c>
      <x:c r="W780" s="160" t="inlineStr">
        <x:is>
          <x:t xml:space="preserve">NO</x:t>
        </x:is>
      </x:c>
      <x:c r="X780" s="160" t="inlineStr">
        <x:is>
          <x:t xml:space="preserve">NONE — DEVELOPMENT ONLY</x:t>
        </x:is>
      </x:c>
      <x:c r="Y780" s="160" t="inlineStr">
        <x:is>
          <x:t xml:space="preserve">Synthetic/adversarial model-development loop. No historical outcome is claimed; no accuracy point is awarded.</x:t>
        </x:is>
      </x:c>
    </x:row>
    <x:row r="781">
      <x:c r="A781" s="160" t="inlineStr">
        <x:is>
          <x:t xml:space="preserve">ML0776</x:t>
        </x:is>
      </x:c>
      <x:c r="B781" s="160" t="inlineStr">
        <x:is>
          <x:t xml:space="preserve">ARG-049</x:t>
        </x:is>
      </x:c>
      <x:c r="C781" s="160" t="inlineStr">
        <x:is>
          <x:t xml:space="preserve">Salesforce</x:t>
        </x:is>
      </x:c>
      <x:c r="D781" s="160" t="inlineStr">
        <x:is>
          <x:t xml:space="preserve">CRM</x:t>
        </x:is>
      </x:c>
      <x:c r="E781" s="160" t="inlineStr">
        <x:is>
          <x:t xml:space="preserve">Software &amp; Payments</x:t>
        </x:is>
      </x:c>
      <x:c r="F781" s="160" t="inlineStr">
        <x:is>
          <x:t xml:space="preserve">Development</x:t>
        </x:is>
      </x:c>
      <x:c r="G781" s="160" t="inlineStr">
        <x:is>
          <x:t xml:space="preserve">S08</x:t>
        </x:is>
      </x:c>
      <x:c r="H781" s="160" t="inlineStr">
        <x:is>
          <x:t xml:space="preserve">Management Promise Reliability</x:t>
        </x:is>
      </x:c>
      <x:c r="I781" s="160" t="inlineStr">
        <x:is>
          <x:t xml:space="preserve">Management over-trust</x:t>
        </x:is>
      </x:c>
      <x:c r="J781" s="160" t="inlineStr">
        <x:is>
          <x:t xml:space="preserve">Guidance or strategic promises are repeated but the model lacks a contemporaneous reliability score.</x:t>
        </x:is>
      </x:c>
      <x:c r="K781" s="160" t="inlineStr">
        <x:is>
          <x:t xml:space="preserve">Subscription workflows and platform expansion</x:t>
        </x:is>
      </x:c>
      <x:c r="L781" s="160" t="inlineStr">
        <x:is>
          <x:t xml:space="preserve">Owner earnings after SBC + reverse DCF</x:t>
        </x:is>
      </x:c>
      <x:c r="M781" s="160" t="inlineStr">
        <x:is>
          <x:t xml:space="preserve">DEEP WATCH</x:t>
        </x:is>
      </x:c>
      <x:c r="N781" s="160" t="inlineStr">
        <x:is>
          <x:t xml:space="preserve">R-PROM-01</x:t>
        </x:is>
      </x:c>
      <x:c r="O781" s="160" t="inlineStr">
        <x:is>
          <x:t xml:space="preserve">COUNTER-EVIDENCE</x:t>
        </x:is>
      </x:c>
      <x:c r="P781" s="160" t="inlineStr">
        <x:is>
          <x:t xml:space="preserve">ROBUST</x:t>
        </x:is>
      </x:c>
      <x:c r="Q781" s="160" t="inlineStr">
        <x:is>
          <x:t xml:space="preserve">The mature simulation rule catches the stress without weakening a fatal gate; no rule relaxation is justified.</x:t>
        </x:is>
      </x:c>
      <x:c r="R781" s="160" t="inlineStr">
        <x:is>
          <x:t xml:space="preserve">Use a promises ledger with dated promise, measurable deliverable, due date, outcome and credibility weight.</x:t>
        </x:is>
      </x:c>
      <x:c r="S781" s="160" t="inlineStr">
        <x:is>
          <x:t xml:space="preserve">NO</x:t>
        </x:is>
      </x:c>
      <x:c r="T781" s="160" t="inlineStr">
        <x:is>
          <x:t xml:space="preserve">COUNTER-EVIDENCE</x:t>
        </x:is>
      </x:c>
      <x:c r="U781" s="160" t="inlineStr">
        <x:is>
          <x:t xml:space="preserve">V10.5-SIM64</x:t>
        </x:is>
      </x:c>
      <x:c r="V781" s="160" t="inlineStr">
        <x:is>
          <x:t xml:space="preserve">https://investor.salesforce.com</x:t>
        </x:is>
      </x:c>
      <x:c r="W781" s="160" t="inlineStr">
        <x:is>
          <x:t xml:space="preserve">NO</x:t>
        </x:is>
      </x:c>
      <x:c r="X781" s="160" t="inlineStr">
        <x:is>
          <x:t xml:space="preserve">NONE — DEVELOPMENT ONLY</x:t>
        </x:is>
      </x:c>
      <x:c r="Y781" s="160" t="inlineStr">
        <x:is>
          <x:t xml:space="preserve">Synthetic/adversarial model-development loop. No historical outcome is claimed; no accuracy point is awarded.</x:t>
        </x:is>
      </x:c>
    </x:row>
    <x:row r="782">
      <x:c r="A782" s="160" t="inlineStr">
        <x:is>
          <x:t xml:space="preserve">ML0777</x:t>
        </x:is>
      </x:c>
      <x:c r="B782" s="160" t="inlineStr">
        <x:is>
          <x:t xml:space="preserve">ARG-049</x:t>
        </x:is>
      </x:c>
      <x:c r="C782" s="160" t="inlineStr">
        <x:is>
          <x:t xml:space="preserve">Salesforce</x:t>
        </x:is>
      </x:c>
      <x:c r="D782" s="160" t="inlineStr">
        <x:is>
          <x:t xml:space="preserve">CRM</x:t>
        </x:is>
      </x:c>
      <x:c r="E782" s="160" t="inlineStr">
        <x:is>
          <x:t xml:space="preserve">Software &amp; Payments</x:t>
        </x:is>
      </x:c>
      <x:c r="F782" s="160" t="inlineStr">
        <x:is>
          <x:t xml:space="preserve">Development</x:t>
        </x:is>
      </x:c>
      <x:c r="G782" s="160" t="inlineStr">
        <x:is>
          <x:t xml:space="preserve">S09</x:t>
        </x:is>
      </x:c>
      <x:c r="H782" s="160" t="inlineStr">
        <x:is>
          <x:t xml:space="preserve">Data / Accounting Quality</x:t>
        </x:is>
      </x:c>
      <x:c r="I782" s="160" t="inlineStr">
        <x:is>
          <x:t xml:space="preserve">Data quality</x:t>
        </x:is>
      </x:c>
      <x:c r="J782" s="160" t="inlineStr">
        <x:is>
          <x:t xml:space="preserve">Restatement, segment reclassification, one-time item or non-economic fair-value movement distorts the apparent trend.</x:t>
        </x:is>
      </x:c>
      <x:c r="K782" s="160" t="inlineStr">
        <x:is>
          <x:t xml:space="preserve">Subscription workflows and platform expansion</x:t>
        </x:is>
      </x:c>
      <x:c r="L782" s="160" t="inlineStr">
        <x:is>
          <x:t xml:space="preserve">Owner earnings after SBC + reverse DCF</x:t>
        </x:is>
      </x:c>
      <x:c r="M782" s="160" t="inlineStr">
        <x:is>
          <x:t xml:space="preserve">DEEP WATCH</x:t>
        </x:is>
      </x:c>
      <x:c r="N782" s="160" t="inlineStr">
        <x:is>
          <x:t xml:space="preserve">R-DATA-01</x:t>
        </x:is>
      </x:c>
      <x:c r="O782" s="160" t="inlineStr">
        <x:is>
          <x:t xml:space="preserve">COUNTER-EVIDENCE</x:t>
        </x:is>
      </x:c>
      <x:c r="P782" s="160" t="inlineStr">
        <x:is>
          <x:t xml:space="preserve">ROBUST</x:t>
        </x:is>
      </x:c>
      <x:c r="Q782" s="160" t="inlineStr">
        <x:is>
          <x:t xml:space="preserve">The mature simulation rule catches the stress without weakening a fatal gate; no rule relaxation is justified.</x:t>
        </x:is>
      </x:c>
      <x:c r="R782" s="160" t="inlineStr">
        <x:is>
          <x:t xml:space="preserve">Add a reporting-quality bridge and normalize accounting noise before any gate can pass.</x:t>
        </x:is>
      </x:c>
      <x:c r="S782" s="160" t="inlineStr">
        <x:is>
          <x:t xml:space="preserve">NO</x:t>
        </x:is>
      </x:c>
      <x:c r="T782" s="160" t="inlineStr">
        <x:is>
          <x:t xml:space="preserve">COUNTER-EVIDENCE</x:t>
        </x:is>
      </x:c>
      <x:c r="U782" s="160" t="inlineStr">
        <x:is>
          <x:t xml:space="preserve">V10.5-SIM64</x:t>
        </x:is>
      </x:c>
      <x:c r="V782" s="160" t="inlineStr">
        <x:is>
          <x:t xml:space="preserve">https://investor.salesforce.com</x:t>
        </x:is>
      </x:c>
      <x:c r="W782" s="160" t="inlineStr">
        <x:is>
          <x:t xml:space="preserve">NO</x:t>
        </x:is>
      </x:c>
      <x:c r="X782" s="160" t="inlineStr">
        <x:is>
          <x:t xml:space="preserve">NONE — DEVELOPMENT ONLY</x:t>
        </x:is>
      </x:c>
      <x:c r="Y782" s="160" t="inlineStr">
        <x:is>
          <x:t xml:space="preserve">Synthetic/adversarial model-development loop. No historical outcome is claimed; no accuracy point is awarded.</x:t>
        </x:is>
      </x:c>
    </x:row>
    <x:row r="783">
      <x:c r="A783" s="160" t="inlineStr">
        <x:is>
          <x:t xml:space="preserve">ML0778</x:t>
        </x:is>
      </x:c>
      <x:c r="B783" s="160" t="inlineStr">
        <x:is>
          <x:t xml:space="preserve">ARG-049</x:t>
        </x:is>
      </x:c>
      <x:c r="C783" s="160" t="inlineStr">
        <x:is>
          <x:t xml:space="preserve">Salesforce</x:t>
        </x:is>
      </x:c>
      <x:c r="D783" s="160" t="inlineStr">
        <x:is>
          <x:t xml:space="preserve">CRM</x:t>
        </x:is>
      </x:c>
      <x:c r="E783" s="160" t="inlineStr">
        <x:is>
          <x:t xml:space="preserve">Software &amp; Payments</x:t>
        </x:is>
      </x:c>
      <x:c r="F783" s="160" t="inlineStr">
        <x:is>
          <x:t xml:space="preserve">Development</x:t>
        </x:is>
      </x:c>
      <x:c r="G783" s="160" t="inlineStr">
        <x:is>
          <x:t xml:space="preserve">S10</x:t>
        </x:is>
      </x:c>
      <x:c r="H783" s="160" t="inlineStr">
        <x:is>
          <x:t xml:space="preserve">Control / Counterfactual</x:t>
        </x:is>
      </x:c>
      <x:c r="I783" s="160" t="inlineStr">
        <x:is>
          <x:t xml:space="preserve">Sector beta vs company alpha</x:t>
        </x:is>
      </x:c>
      <x:c r="J783" s="160" t="inlineStr">
        <x:is>
          <x:t xml:space="preserve">A positive outcome is mostly sector beta or macro tailwind, not company-specific alpha.</x:t>
        </x:is>
      </x:c>
      <x:c r="K783" s="160" t="inlineStr">
        <x:is>
          <x:t xml:space="preserve">Subscription workflows and platform expansion</x:t>
        </x:is>
      </x:c>
      <x:c r="L783" s="160" t="inlineStr">
        <x:is>
          <x:t xml:space="preserve">Owner earnings after SBC + reverse DCF</x:t>
        </x:is>
      </x:c>
      <x:c r="M783" s="160" t="inlineStr">
        <x:is>
          <x:t xml:space="preserve">DEEP WATCH</x:t>
        </x:is>
      </x:c>
      <x:c r="N783" s="160" t="inlineStr">
        <x:is>
          <x:t xml:space="preserve">R-CF-01</x:t>
        </x:is>
      </x:c>
      <x:c r="O783" s="160" t="inlineStr">
        <x:is>
          <x:t xml:space="preserve">COUNTER-EVIDENCE</x:t>
        </x:is>
      </x:c>
      <x:c r="P783" s="160" t="inlineStr">
        <x:is>
          <x:t xml:space="preserve">ROBUST</x:t>
        </x:is>
      </x:c>
      <x:c r="Q783" s="160" t="inlineStr">
        <x:is>
          <x:t xml:space="preserve">The mature simulation rule catches the stress without weakening a fatal gate; no rule relaxation is justified.</x:t>
        </x:is>
      </x:c>
      <x:c r="R783" s="160" t="inlineStr">
        <x:is>
          <x:t xml:space="preserve">Require a true economic control and counterfactual: what should have happened to a comparable company under the same shock?</x:t>
        </x:is>
      </x:c>
      <x:c r="S783" s="160" t="inlineStr">
        <x:is>
          <x:t xml:space="preserve">NO</x:t>
        </x:is>
      </x:c>
      <x:c r="T783" s="160" t="inlineStr">
        <x:is>
          <x:t xml:space="preserve">COUNTER-EVIDENCE</x:t>
        </x:is>
      </x:c>
      <x:c r="U783" s="160" t="inlineStr">
        <x:is>
          <x:t xml:space="preserve">V10.5-SIM64</x:t>
        </x:is>
      </x:c>
      <x:c r="V783" s="160" t="inlineStr">
        <x:is>
          <x:t xml:space="preserve">https://investor.salesforce.com</x:t>
        </x:is>
      </x:c>
      <x:c r="W783" s="160" t="inlineStr">
        <x:is>
          <x:t xml:space="preserve">NO</x:t>
        </x:is>
      </x:c>
      <x:c r="X783" s="160" t="inlineStr">
        <x:is>
          <x:t xml:space="preserve">NONE — DEVELOPMENT ONLY</x:t>
        </x:is>
      </x:c>
      <x:c r="Y783" s="160" t="inlineStr">
        <x:is>
          <x:t xml:space="preserve">Synthetic/adversarial model-development loop. No historical outcome is claimed; no accuracy point is awarded.</x:t>
        </x:is>
      </x:c>
    </x:row>
    <x:row r="784">
      <x:c r="A784" s="160" t="inlineStr">
        <x:is>
          <x:t xml:space="preserve">ML0779</x:t>
        </x:is>
      </x:c>
      <x:c r="B784" s="160" t="inlineStr">
        <x:is>
          <x:t xml:space="preserve">ARG-049</x:t>
        </x:is>
      </x:c>
      <x:c r="C784" s="160" t="inlineStr">
        <x:is>
          <x:t xml:space="preserve">Salesforce</x:t>
        </x:is>
      </x:c>
      <x:c r="D784" s="160" t="inlineStr">
        <x:is>
          <x:t xml:space="preserve">CRM</x:t>
        </x:is>
      </x:c>
      <x:c r="E784" s="160" t="inlineStr">
        <x:is>
          <x:t xml:space="preserve">Software &amp; Payments</x:t>
        </x:is>
      </x:c>
      <x:c r="F784" s="160" t="inlineStr">
        <x:is>
          <x:t xml:space="preserve">Development</x:t>
        </x:is>
      </x:c>
      <x:c r="G784" s="160" t="inlineStr">
        <x:is>
          <x:t xml:space="preserve">S11</x:t>
        </x:is>
      </x:c>
      <x:c r="H784" s="160" t="inlineStr">
        <x:is>
          <x:t xml:space="preserve">False-Negative Discipline</x:t>
        </x:is>
      </x:c>
      <x:c r="I784" s="160" t="inlineStr">
        <x:is>
          <x:t xml:space="preserve">False negative</x:t>
        </x:is>
      </x:c>
      <x:c r="J784" s="160" t="inlineStr">
        <x:is>
          <x:t xml:space="preserve">A strict gate rejects a company that later compounds strongly for reasons the model could have known.</x:t>
        </x:is>
      </x:c>
      <x:c r="K784" s="160" t="inlineStr">
        <x:is>
          <x:t xml:space="preserve">Subscription workflows and platform expansion</x:t>
        </x:is>
      </x:c>
      <x:c r="L784" s="160" t="inlineStr">
        <x:is>
          <x:t xml:space="preserve">Owner earnings after SBC + reverse DCF</x:t>
        </x:is>
      </x:c>
      <x:c r="M784" s="160" t="inlineStr">
        <x:is>
          <x:t xml:space="preserve">DEEP WATCH</x:t>
        </x:is>
      </x:c>
      <x:c r="N784" s="160" t="inlineStr">
        <x:is>
          <x:t xml:space="preserve">R-FN-01</x:t>
        </x:is>
      </x:c>
      <x:c r="O784" s="160" t="inlineStr">
        <x:is>
          <x:t xml:space="preserve">COUNTER-EVIDENCE</x:t>
        </x:is>
      </x:c>
      <x:c r="P784" s="160" t="inlineStr">
        <x:is>
          <x:t xml:space="preserve">ROBUST</x:t>
        </x:is>
      </x:c>
      <x:c r="Q784" s="160" t="inlineStr">
        <x:is>
          <x:t xml:space="preserve">The mature simulation rule catches the stress without weakening a fatal gate; no rule relaxation is justified.</x:t>
        </x:is>
      </x:c>
      <x:c r="R784" s="160" t="inlineStr">
        <x:is>
          <x:t xml:space="preserve">Track opportunity cost and classify whether the miss came from evidence timing, wrong threshold or genuinely unknowable upside.</x:t>
        </x:is>
      </x:c>
      <x:c r="S784" s="160" t="inlineStr">
        <x:is>
          <x:t xml:space="preserve">NO</x:t>
        </x:is>
      </x:c>
      <x:c r="T784" s="160" t="inlineStr">
        <x:is>
          <x:t xml:space="preserve">COUNTER-EVIDENCE</x:t>
        </x:is>
      </x:c>
      <x:c r="U784" s="160" t="inlineStr">
        <x:is>
          <x:t xml:space="preserve">V10.5-SIM64</x:t>
        </x:is>
      </x:c>
      <x:c r="V784" s="160" t="inlineStr">
        <x:is>
          <x:t xml:space="preserve">https://investor.salesforce.com</x:t>
        </x:is>
      </x:c>
      <x:c r="W784" s="160" t="inlineStr">
        <x:is>
          <x:t xml:space="preserve">NO</x:t>
        </x:is>
      </x:c>
      <x:c r="X784" s="160" t="inlineStr">
        <x:is>
          <x:t xml:space="preserve">NONE — DEVELOPMENT ONLY</x:t>
        </x:is>
      </x:c>
      <x:c r="Y784" s="160" t="inlineStr">
        <x:is>
          <x:t xml:space="preserve">Synthetic/adversarial model-development loop. No historical outcome is claimed; no accuracy point is awarded.</x:t>
        </x:is>
      </x:c>
    </x:row>
    <x:row r="785">
      <x:c r="A785" s="160" t="inlineStr">
        <x:is>
          <x:t xml:space="preserve">ML0780</x:t>
        </x:is>
      </x:c>
      <x:c r="B785" s="160" t="inlineStr">
        <x:is>
          <x:t xml:space="preserve">ARG-049</x:t>
        </x:is>
      </x:c>
      <x:c r="C785" s="160" t="inlineStr">
        <x:is>
          <x:t xml:space="preserve">Salesforce</x:t>
        </x:is>
      </x:c>
      <x:c r="D785" s="160" t="inlineStr">
        <x:is>
          <x:t xml:space="preserve">CRM</x:t>
        </x:is>
      </x:c>
      <x:c r="E785" s="160" t="inlineStr">
        <x:is>
          <x:t xml:space="preserve">Software &amp; Payments</x:t>
        </x:is>
      </x:c>
      <x:c r="F785" s="160" t="inlineStr">
        <x:is>
          <x:t xml:space="preserve">Development</x:t>
        </x:is>
      </x:c>
      <x:c r="G785" s="160" t="inlineStr">
        <x:is>
          <x:t xml:space="preserve">S12</x:t>
        </x:is>
      </x:c>
      <x:c r="H785" s="160" t="inlineStr">
        <x:is>
          <x:t xml:space="preserve">Lead-Time / Early Sensor</x:t>
        </x:is>
      </x:c>
      <x:c r="I785" s="160" t="inlineStr">
        <x:is>
          <x:t xml:space="preserve">Timing / lead-time</x:t>
        </x:is>
      </x:c>
      <x:c r="J785" s="160" t="inlineStr">
        <x:is>
          <x:t xml:space="preserve">ARGUS identifies the change correctly but only after consensus and price have already reacted.</x:t>
        </x:is>
      </x:c>
      <x:c r="K785" s="160" t="inlineStr">
        <x:is>
          <x:t xml:space="preserve">Subscription workflows and platform expansion</x:t>
        </x:is>
      </x:c>
      <x:c r="L785" s="160" t="inlineStr">
        <x:is>
          <x:t xml:space="preserve">Owner earnings after SBC + reverse DCF</x:t>
        </x:is>
      </x:c>
      <x:c r="M785" s="160" t="inlineStr">
        <x:is>
          <x:t xml:space="preserve">DEEP WATCH</x:t>
        </x:is>
      </x:c>
      <x:c r="N785" s="160" t="inlineStr">
        <x:is>
          <x:t xml:space="preserve">R-TIME-01</x:t>
        </x:is>
      </x:c>
      <x:c r="O785" s="160" t="inlineStr">
        <x:is>
          <x:t xml:space="preserve">COUNTER-EVIDENCE</x:t>
        </x:is>
      </x:c>
      <x:c r="P785" s="160" t="inlineStr">
        <x:is>
          <x:t xml:space="preserve">ROBUST</x:t>
        </x:is>
      </x:c>
      <x:c r="Q785" s="160" t="inlineStr">
        <x:is>
          <x:t xml:space="preserve">The mature simulation rule catches the stress without weakening a fatal gate; no rule relaxation is justified.</x:t>
        </x:is>
      </x:c>
      <x:c r="R785" s="160" t="inlineStr">
        <x:is>
          <x:t xml:space="preserve">Replace lagging financial metrics with earlier causal operating sensors and record lead time separately from correctness.</x:t>
        </x:is>
      </x:c>
      <x:c r="S785" s="160" t="inlineStr">
        <x:is>
          <x:t xml:space="preserve">NO</x:t>
        </x:is>
      </x:c>
      <x:c r="T785" s="160" t="inlineStr">
        <x:is>
          <x:t xml:space="preserve">COUNTER-EVIDENCE</x:t>
        </x:is>
      </x:c>
      <x:c r="U785" s="160" t="inlineStr">
        <x:is>
          <x:t xml:space="preserve">V10.5-SIM64</x:t>
        </x:is>
      </x:c>
      <x:c r="V785" s="160" t="inlineStr">
        <x:is>
          <x:t xml:space="preserve">https://investor.salesforce.com</x:t>
        </x:is>
      </x:c>
      <x:c r="W785" s="160" t="inlineStr">
        <x:is>
          <x:t xml:space="preserve">NO</x:t>
        </x:is>
      </x:c>
      <x:c r="X785" s="160" t="inlineStr">
        <x:is>
          <x:t xml:space="preserve">NONE — DEVELOPMENT ONLY</x:t>
        </x:is>
      </x:c>
      <x:c r="Y785" s="160" t="inlineStr">
        <x:is>
          <x:t xml:space="preserve">Synthetic/adversarial model-development loop. No historical outcome is claimed; no accuracy point is awarded.</x:t>
        </x:is>
      </x:c>
    </x:row>
    <x:row r="786">
      <x:c r="A786" s="160" t="inlineStr">
        <x:is>
          <x:t xml:space="preserve">ML0781</x:t>
        </x:is>
      </x:c>
      <x:c r="B786" s="160" t="inlineStr">
        <x:is>
          <x:t xml:space="preserve">ARG-049</x:t>
        </x:is>
      </x:c>
      <x:c r="C786" s="160" t="inlineStr">
        <x:is>
          <x:t xml:space="preserve">Salesforce</x:t>
        </x:is>
      </x:c>
      <x:c r="D786" s="160" t="inlineStr">
        <x:is>
          <x:t xml:space="preserve">CRM</x:t>
        </x:is>
      </x:c>
      <x:c r="E786" s="160" t="inlineStr">
        <x:is>
          <x:t xml:space="preserve">Software &amp; Payments</x:t>
        </x:is>
      </x:c>
      <x:c r="F786" s="160" t="inlineStr">
        <x:is>
          <x:t xml:space="preserve">Development</x:t>
        </x:is>
      </x:c>
      <x:c r="G786" s="160" t="inlineStr">
        <x:is>
          <x:t xml:space="preserve">S13</x:t>
        </x:is>
      </x:c>
      <x:c r="H786" s="160" t="inlineStr">
        <x:is>
          <x:t xml:space="preserve">Cycle Normalization</x:t>
        </x:is>
      </x:c>
      <x:c r="I786" s="160" t="inlineStr">
        <x:is>
          <x:t xml:space="preserve">Wrong valuation lens</x:t>
        </x:is>
      </x:c>
      <x:c r="J786" s="160" t="inlineStr">
        <x:is>
          <x:t xml:space="preserve">Peak/trough earnings are mistaken for normalized earning power.</x:t>
        </x:is>
      </x:c>
      <x:c r="K786" s="160" t="inlineStr">
        <x:is>
          <x:t xml:space="preserve">Subscription workflows and platform expansion</x:t>
        </x:is>
      </x:c>
      <x:c r="L786" s="160" t="inlineStr">
        <x:is>
          <x:t xml:space="preserve">Owner earnings after SBC + reverse DCF</x:t>
        </x:is>
      </x:c>
      <x:c r="M786" s="160" t="inlineStr">
        <x:is>
          <x:t xml:space="preserve">DEEP WATCH</x:t>
        </x:is>
      </x:c>
      <x:c r="N786" s="160" t="inlineStr">
        <x:is>
          <x:t xml:space="preserve">R-CYCLE-01</x:t>
        </x:is>
      </x:c>
      <x:c r="O786" s="160" t="inlineStr">
        <x:is>
          <x:t xml:space="preserve">COUNTER-EVIDENCE</x:t>
        </x:is>
      </x:c>
      <x:c r="P786" s="160" t="inlineStr">
        <x:is>
          <x:t xml:space="preserve">ROBUST</x:t>
        </x:is>
      </x:c>
      <x:c r="Q786" s="160" t="inlineStr">
        <x:is>
          <x:t xml:space="preserve">The mature simulation rule catches the stress without weakening a fatal gate; no rule relaxation is justified.</x:t>
        </x:is>
      </x:c>
      <x:c r="R786" s="160" t="inlineStr">
        <x:is>
          <x:t xml:space="preserve">Use sector-specific mid-cycle/NAV/rate-base/rNPV normalization before applying a valuation multiple.</x:t>
        </x:is>
      </x:c>
      <x:c r="S786" s="160" t="inlineStr">
        <x:is>
          <x:t xml:space="preserve">NO</x:t>
        </x:is>
      </x:c>
      <x:c r="T786" s="160" t="inlineStr">
        <x:is>
          <x:t xml:space="preserve">COUNTER-EVIDENCE</x:t>
        </x:is>
      </x:c>
      <x:c r="U786" s="160" t="inlineStr">
        <x:is>
          <x:t xml:space="preserve">V10.5-SIM64</x:t>
        </x:is>
      </x:c>
      <x:c r="V786" s="160" t="inlineStr">
        <x:is>
          <x:t xml:space="preserve">https://investor.salesforce.com</x:t>
        </x:is>
      </x:c>
      <x:c r="W786" s="160" t="inlineStr">
        <x:is>
          <x:t xml:space="preserve">NO</x:t>
        </x:is>
      </x:c>
      <x:c r="X786" s="160" t="inlineStr">
        <x:is>
          <x:t xml:space="preserve">NONE — DEVELOPMENT ONLY</x:t>
        </x:is>
      </x:c>
      <x:c r="Y786" s="160" t="inlineStr">
        <x:is>
          <x:t xml:space="preserve">Synthetic/adversarial model-development loop. No historical outcome is claimed; no accuracy point is awarded.</x:t>
        </x:is>
      </x:c>
    </x:row>
    <x:row r="787">
      <x:c r="A787" s="160" t="inlineStr">
        <x:is>
          <x:t xml:space="preserve">ML0782</x:t>
        </x:is>
      </x:c>
      <x:c r="B787" s="160" t="inlineStr">
        <x:is>
          <x:t xml:space="preserve">ARG-049</x:t>
        </x:is>
      </x:c>
      <x:c r="C787" s="160" t="inlineStr">
        <x:is>
          <x:t xml:space="preserve">Salesforce</x:t>
        </x:is>
      </x:c>
      <x:c r="D787" s="160" t="inlineStr">
        <x:is>
          <x:t xml:space="preserve">CRM</x:t>
        </x:is>
      </x:c>
      <x:c r="E787" s="160" t="inlineStr">
        <x:is>
          <x:t xml:space="preserve">Software &amp; Payments</x:t>
        </x:is>
      </x:c>
      <x:c r="F787" s="160" t="inlineStr">
        <x:is>
          <x:t xml:space="preserve">Development</x:t>
        </x:is>
      </x:c>
      <x:c r="G787" s="160" t="inlineStr">
        <x:is>
          <x:t xml:space="preserve">S14</x:t>
        </x:is>
      </x:c>
      <x:c r="H787" s="160" t="inlineStr">
        <x:is>
          <x:t xml:space="preserve">M&amp;A / Organic Growth Separation</x:t>
        </x:is>
      </x:c>
      <x:c r="I787" s="160" t="inlineStr">
        <x:is>
          <x:t xml:space="preserve">Stewardship</x:t>
        </x:is>
      </x:c>
      <x:c r="J787" s="160" t="inlineStr">
        <x:is>
          <x:t xml:space="preserve">Acquisition-driven growth masks weak organic economics or poor incremental ROIC.</x:t>
        </x:is>
      </x:c>
      <x:c r="K787" s="160" t="inlineStr">
        <x:is>
          <x:t xml:space="preserve">Subscription workflows and platform expansion</x:t>
        </x:is>
      </x:c>
      <x:c r="L787" s="160" t="inlineStr">
        <x:is>
          <x:t xml:space="preserve">Owner earnings after SBC + reverse DCF</x:t>
        </x:is>
      </x:c>
      <x:c r="M787" s="160" t="inlineStr">
        <x:is>
          <x:t xml:space="preserve">DEEP WATCH</x:t>
        </x:is>
      </x:c>
      <x:c r="N787" s="160" t="inlineStr">
        <x:is>
          <x:t xml:space="preserve">R-MA-01</x:t>
        </x:is>
      </x:c>
      <x:c r="O787" s="160" t="inlineStr">
        <x:is>
          <x:t xml:space="preserve">COUNTER-EVIDENCE</x:t>
        </x:is>
      </x:c>
      <x:c r="P787" s="160" t="inlineStr">
        <x:is>
          <x:t xml:space="preserve">ROBUST</x:t>
        </x:is>
      </x:c>
      <x:c r="Q787" s="160" t="inlineStr">
        <x:is>
          <x:t xml:space="preserve">The mature simulation rule catches the stress without weakening a fatal gate; no rule relaxation is justified.</x:t>
        </x:is>
      </x:c>
      <x:c r="R787" s="160" t="inlineStr">
        <x:is>
          <x:t xml:space="preserve">Bridge organic growth, acquired growth, purchase price, integration costs and acquisition-cohort ROIC.</x:t>
        </x:is>
      </x:c>
      <x:c r="S787" s="160" t="inlineStr">
        <x:is>
          <x:t xml:space="preserve">NO</x:t>
        </x:is>
      </x:c>
      <x:c r="T787" s="160" t="inlineStr">
        <x:is>
          <x:t xml:space="preserve">COUNTER-EVIDENCE</x:t>
        </x:is>
      </x:c>
      <x:c r="U787" s="160" t="inlineStr">
        <x:is>
          <x:t xml:space="preserve">V10.5-SIM64</x:t>
        </x:is>
      </x:c>
      <x:c r="V787" s="160" t="inlineStr">
        <x:is>
          <x:t xml:space="preserve">https://investor.salesforce.com</x:t>
        </x:is>
      </x:c>
      <x:c r="W787" s="160" t="inlineStr">
        <x:is>
          <x:t xml:space="preserve">NO</x:t>
        </x:is>
      </x:c>
      <x:c r="X787" s="160" t="inlineStr">
        <x:is>
          <x:t xml:space="preserve">NONE — DEVELOPMENT ONLY</x:t>
        </x:is>
      </x:c>
      <x:c r="Y787" s="160" t="inlineStr">
        <x:is>
          <x:t xml:space="preserve">Synthetic/adversarial model-development loop. No historical outcome is claimed; no accuracy point is awarded.</x:t>
        </x:is>
      </x:c>
    </x:row>
    <x:row r="788">
      <x:c r="A788" s="160" t="inlineStr">
        <x:is>
          <x:t xml:space="preserve">ML0783</x:t>
        </x:is>
      </x:c>
      <x:c r="B788" s="160" t="inlineStr">
        <x:is>
          <x:t xml:space="preserve">ARG-049</x:t>
        </x:is>
      </x:c>
      <x:c r="C788" s="160" t="inlineStr">
        <x:is>
          <x:t xml:space="preserve">Salesforce</x:t>
        </x:is>
      </x:c>
      <x:c r="D788" s="160" t="inlineStr">
        <x:is>
          <x:t xml:space="preserve">CRM</x:t>
        </x:is>
      </x:c>
      <x:c r="E788" s="160" t="inlineStr">
        <x:is>
          <x:t xml:space="preserve">Software &amp; Payments</x:t>
        </x:is>
      </x:c>
      <x:c r="F788" s="160" t="inlineStr">
        <x:is>
          <x:t xml:space="preserve">Development</x:t>
        </x:is>
      </x:c>
      <x:c r="G788" s="160" t="inlineStr">
        <x:is>
          <x:t xml:space="preserve">S15</x:t>
        </x:is>
      </x:c>
      <x:c r="H788" s="160" t="inlineStr">
        <x:is>
          <x:t xml:space="preserve">Financing / Dilution Per Share</x:t>
        </x:is>
      </x:c>
      <x:c r="I788" s="160" t="inlineStr">
        <x:is>
          <x:t xml:space="preserve">Stewardship</x:t>
        </x:is>
      </x:c>
      <x:c r="J788" s="160" t="inlineStr">
        <x:is>
          <x:t xml:space="preserve">Cash balance or revenue growth improves while financing causes material per-share value leakage.</x:t>
        </x:is>
      </x:c>
      <x:c r="K788" s="160" t="inlineStr">
        <x:is>
          <x:t xml:space="preserve">Subscription workflows and platform expansion</x:t>
        </x:is>
      </x:c>
      <x:c r="L788" s="160" t="inlineStr">
        <x:is>
          <x:t xml:space="preserve">Owner earnings after SBC + reverse DCF</x:t>
        </x:is>
      </x:c>
      <x:c r="M788" s="160" t="inlineStr">
        <x:is>
          <x:t xml:space="preserve">DEEP WATCH</x:t>
        </x:is>
      </x:c>
      <x:c r="N788" s="160" t="inlineStr">
        <x:is>
          <x:t xml:space="preserve">R-DIL-01</x:t>
        </x:is>
      </x:c>
      <x:c r="O788" s="160" t="inlineStr">
        <x:is>
          <x:t xml:space="preserve">COUNTER-EVIDENCE</x:t>
        </x:is>
      </x:c>
      <x:c r="P788" s="160" t="inlineStr">
        <x:is>
          <x:t xml:space="preserve">ROBUST</x:t>
        </x:is>
      </x:c>
      <x:c r="Q788" s="160" t="inlineStr">
        <x:is>
          <x:t xml:space="preserve">The mature simulation rule catches the stress without weakening a fatal gate; no rule relaxation is justified.</x:t>
        </x:is>
      </x:c>
      <x:c r="R788" s="160" t="inlineStr">
        <x:is>
          <x:t xml:space="preserve">Reconcile share-count growth, SBC, equity issuance, buybacks and net cash changes to per-share intrinsic value.</x:t>
        </x:is>
      </x:c>
      <x:c r="S788" s="160" t="inlineStr">
        <x:is>
          <x:t xml:space="preserve">NO</x:t>
        </x:is>
      </x:c>
      <x:c r="T788" s="160" t="inlineStr">
        <x:is>
          <x:t xml:space="preserve">COUNTER-EVIDENCE</x:t>
        </x:is>
      </x:c>
      <x:c r="U788" s="160" t="inlineStr">
        <x:is>
          <x:t xml:space="preserve">V10.5-SIM64</x:t>
        </x:is>
      </x:c>
      <x:c r="V788" s="160" t="inlineStr">
        <x:is>
          <x:t xml:space="preserve">https://investor.salesforce.com</x:t>
        </x:is>
      </x:c>
      <x:c r="W788" s="160" t="inlineStr">
        <x:is>
          <x:t xml:space="preserve">NO</x:t>
        </x:is>
      </x:c>
      <x:c r="X788" s="160" t="inlineStr">
        <x:is>
          <x:t xml:space="preserve">NONE — DEVELOPMENT ONLY</x:t>
        </x:is>
      </x:c>
      <x:c r="Y788" s="160" t="inlineStr">
        <x:is>
          <x:t xml:space="preserve">Synthetic/adversarial model-development loop. No historical outcome is claimed; no accuracy point is awarded.</x:t>
        </x:is>
      </x:c>
    </x:row>
    <x:row r="789">
      <x:c r="A789" s="160" t="inlineStr">
        <x:is>
          <x:t xml:space="preserve">ML0784</x:t>
        </x:is>
      </x:c>
      <x:c r="B789" s="160" t="inlineStr">
        <x:is>
          <x:t xml:space="preserve">ARG-049</x:t>
        </x:is>
      </x:c>
      <x:c r="C789" s="160" t="inlineStr">
        <x:is>
          <x:t xml:space="preserve">Salesforce</x:t>
        </x:is>
      </x:c>
      <x:c r="D789" s="160" t="inlineStr">
        <x:is>
          <x:t xml:space="preserve">CRM</x:t>
        </x:is>
      </x:c>
      <x:c r="E789" s="160" t="inlineStr">
        <x:is>
          <x:t xml:space="preserve">Software &amp; Payments</x:t>
        </x:is>
      </x:c>
      <x:c r="F789" s="160" t="inlineStr">
        <x:is>
          <x:t xml:space="preserve">Development</x:t>
        </x:is>
      </x:c>
      <x:c r="G789" s="160" t="inlineStr">
        <x:is>
          <x:t xml:space="preserve">S16</x:t>
        </x:is>
      </x:c>
      <x:c r="H789" s="160" t="inlineStr">
        <x:is>
          <x:t xml:space="preserve">Concentration / Tail Risk</x:t>
        </x:is>
      </x:c>
      <x:c r="I789" s="160" t="inlineStr">
        <x:is>
          <x:t xml:space="preserve">Survival</x:t>
        </x:is>
      </x:c>
      <x:c r="J789" s="160" t="inlineStr">
        <x:is>
          <x:t xml:space="preserve">A concentrated supplier, geography, customer, product, patent, regulatory or technology dependency creates asymmetric permanent-loss risk.</x:t>
        </x:is>
      </x:c>
      <x:c r="K789" s="160" t="inlineStr">
        <x:is>
          <x:t xml:space="preserve">Subscription workflows and platform expansion</x:t>
        </x:is>
      </x:c>
      <x:c r="L789" s="160" t="inlineStr">
        <x:is>
          <x:t xml:space="preserve">Owner earnings after SBC + reverse DCF</x:t>
        </x:is>
      </x:c>
      <x:c r="M789" s="160" t="inlineStr">
        <x:is>
          <x:t xml:space="preserve">DEEP WATCH</x:t>
        </x:is>
      </x:c>
      <x:c r="N789" s="160" t="inlineStr">
        <x:is>
          <x:t xml:space="preserve">R-TAIL-01</x:t>
        </x:is>
      </x:c>
      <x:c r="O789" s="160" t="inlineStr">
        <x:is>
          <x:t xml:space="preserve">COUNTER-EVIDENCE</x:t>
        </x:is>
      </x:c>
      <x:c r="P789" s="160" t="inlineStr">
        <x:is>
          <x:t xml:space="preserve">ROBUST</x:t>
        </x:is>
      </x:c>
      <x:c r="Q789" s="160" t="inlineStr">
        <x:is>
          <x:t xml:space="preserve">The mature simulation rule catches the stress without weakening a fatal gate; no rule relaxation is justified.</x:t>
        </x:is>
      </x:c>
      <x:c r="R789" s="160" t="inlineStr">
        <x:is>
          <x:t xml:space="preserve">Maintain an explicit concentration/tail-risk register with probability, severity, mitigation and required margin-of-safety premium.</x:t>
        </x:is>
      </x:c>
      <x:c r="S789" s="160" t="inlineStr">
        <x:is>
          <x:t xml:space="preserve">NO</x:t>
        </x:is>
      </x:c>
      <x:c r="T789" s="160" t="inlineStr">
        <x:is>
          <x:t xml:space="preserve">COUNTER-EVIDENCE</x:t>
        </x:is>
      </x:c>
      <x:c r="U789" s="160" t="inlineStr">
        <x:is>
          <x:t xml:space="preserve">V10.5-SIM64</x:t>
        </x:is>
      </x:c>
      <x:c r="V789" s="160" t="inlineStr">
        <x:is>
          <x:t xml:space="preserve">https://investor.salesforce.com</x:t>
        </x:is>
      </x:c>
      <x:c r="W789" s="160" t="inlineStr">
        <x:is>
          <x:t xml:space="preserve">NO</x:t>
        </x:is>
      </x:c>
      <x:c r="X789" s="160" t="inlineStr">
        <x:is>
          <x:t xml:space="preserve">NONE — DEVELOPMENT ONLY</x:t>
        </x:is>
      </x:c>
      <x:c r="Y789" s="160" t="inlineStr">
        <x:is>
          <x:t xml:space="preserve">Synthetic/adversarial model-development loop. No historical outcome is claimed; no accuracy point is awarded.</x:t>
        </x:is>
      </x:c>
    </x:row>
    <x:row r="790">
      <x:c r="A790" s="160" t="inlineStr">
        <x:is>
          <x:t xml:space="preserve">ML0785</x:t>
        </x:is>
      </x:c>
      <x:c r="B790" s="160" t="inlineStr">
        <x:is>
          <x:t xml:space="preserve">ARG-050</x:t>
        </x:is>
      </x:c>
      <x:c r="C790" s="160" t="inlineStr">
        <x:is>
          <x:t xml:space="preserve">Apple</x:t>
        </x:is>
      </x:c>
      <x:c r="D790" s="160" t="inlineStr">
        <x:is>
          <x:t xml:space="preserve">AAPL</x:t>
        </x:is>
      </x:c>
      <x:c r="E790" s="160" t="inlineStr">
        <x:is>
          <x:t xml:space="preserve">Consumer</x:t>
        </x:is>
      </x:c>
      <x:c r="F790" s="160" t="inlineStr">
        <x:is>
          <x:t xml:space="preserve">Development</x:t>
        </x:is>
      </x:c>
      <x:c r="G790" s="160" t="inlineStr">
        <x:is>
          <x:t xml:space="preserve">S01</x:t>
        </x:is>
      </x:c>
      <x:c r="H790" s="160" t="inlineStr">
        <x:is>
          <x:t xml:space="preserve">Understanding Gate</x:t>
        </x:is>
      </x:c>
      <x:c r="I790" s="160" t="inlineStr">
        <x:is>
          <x:t xml:space="preserve">Understanding</x:t>
        </x:is>
      </x:c>
      <x:c r="J790" s="160" t="inlineStr">
        <x:is>
          <x:t xml:space="preserve">Causal engine / customer ROI chain breaks under a misleading headline KPI.</x:t>
        </x:is>
      </x:c>
      <x:c r="K790" s="160" t="inlineStr">
        <x:is>
          <x:t xml:space="preserve">Installed device base × replacement × services attach</x:t>
        </x:is>
      </x:c>
      <x:c r="L790" s="160" t="inlineStr">
        <x:is>
          <x:t xml:space="preserve">Owner earnings + reverse DCF</x:t>
        </x:is>
      </x:c>
      <x:c r="M790" s="160" t="inlineStr">
        <x:is>
          <x:t xml:space="preserve">WAIT FOR PRICE</x:t>
        </x:is>
      </x:c>
      <x:c r="N790" s="160" t="inlineStr">
        <x:is>
          <x:t xml:space="preserve">R-ENG-01</x:t>
        </x:is>
      </x:c>
      <x:c r="O790" s="160" t="inlineStr">
        <x:is>
          <x:t xml:space="preserve">COUNTER-EVIDENCE</x:t>
        </x:is>
      </x:c>
      <x:c r="P790" s="160" t="inlineStr">
        <x:is>
          <x:t xml:space="preserve">ROBUST</x:t>
        </x:is>
      </x:c>
      <x:c r="Q790" s="160" t="inlineStr">
        <x:is>
          <x:t xml:space="preserve">The mature simulation rule catches the stress without weakening a fatal gate; no rule relaxation is justified.</x:t>
        </x:is>
      </x:c>
      <x:c r="R790" s="160" t="inlineStr">
        <x:is>
          <x:t xml:space="preserve">Force an explicit engine tree: customer job → unit economics → revenue driver → owner-value bridge.</x:t>
        </x:is>
      </x:c>
      <x:c r="S790" s="160" t="inlineStr">
        <x:is>
          <x:t xml:space="preserve">YES — SIMULATION ONLY</x:t>
        </x:is>
      </x:c>
      <x:c r="T790" s="160" t="inlineStr">
        <x:is>
          <x:t xml:space="preserve">MATURE</x:t>
        </x:is>
      </x:c>
      <x:c r="U790" s="160" t="inlineStr">
        <x:is>
          <x:t xml:space="preserve">V10.5-SIM65</x:t>
        </x:is>
      </x:c>
      <x:c r="V790" s="160" t="inlineStr">
        <x:is>
          <x:t xml:space="preserve">https://investor.apple.com</x:t>
        </x:is>
      </x:c>
      <x:c r="W790" s="160" t="inlineStr">
        <x:is>
          <x:t xml:space="preserve">NO</x:t>
        </x:is>
      </x:c>
      <x:c r="X790" s="160" t="inlineStr">
        <x:is>
          <x:t xml:space="preserve">NONE — DEVELOPMENT ONLY</x:t>
        </x:is>
      </x:c>
      <x:c r="Y790" s="160" t="inlineStr">
        <x:is>
          <x:t xml:space="preserve">Synthetic/adversarial model-development loop. No historical outcome is claimed; no accuracy point is awarded.</x:t>
        </x:is>
      </x:c>
    </x:row>
    <x:row r="791">
      <x:c r="A791" s="160" t="inlineStr">
        <x:is>
          <x:t xml:space="preserve">ML0786</x:t>
        </x:is>
      </x:c>
      <x:c r="B791" s="160" t="inlineStr">
        <x:is>
          <x:t xml:space="preserve">ARG-050</x:t>
        </x:is>
      </x:c>
      <x:c r="C791" s="160" t="inlineStr">
        <x:is>
          <x:t xml:space="preserve">Apple</x:t>
        </x:is>
      </x:c>
      <x:c r="D791" s="160" t="inlineStr">
        <x:is>
          <x:t xml:space="preserve">AAPL</x:t>
        </x:is>
      </x:c>
      <x:c r="E791" s="160" t="inlineStr">
        <x:is>
          <x:t xml:space="preserve">Consumer</x:t>
        </x:is>
      </x:c>
      <x:c r="F791" s="160" t="inlineStr">
        <x:is>
          <x:t xml:space="preserve">Development</x:t>
        </x:is>
      </x:c>
      <x:c r="G791" s="160" t="inlineStr">
        <x:is>
          <x:t xml:space="preserve">S02</x:t>
        </x:is>
      </x:c>
      <x:c r="H791" s="160" t="inlineStr">
        <x:is>
          <x:t xml:space="preserve">Owner Earnings Normalization</x:t>
        </x:is>
      </x:c>
      <x:c r="I791" s="160" t="inlineStr">
        <x:is>
          <x:t xml:space="preserve">Owner Earnings</x:t>
        </x:is>
      </x:c>
      <x:c r="J791" s="160" t="inlineStr">
        <x:is>
          <x:t xml:space="preserve">Reported earnings/FCF overstates economic cash because recurring reinvestment or non-cash compensation is misclassified.</x:t>
        </x:is>
      </x:c>
      <x:c r="K791" s="160" t="inlineStr">
        <x:is>
          <x:t xml:space="preserve">Installed device base × replacement × services attach</x:t>
        </x:is>
      </x:c>
      <x:c r="L791" s="160" t="inlineStr">
        <x:is>
          <x:t xml:space="preserve">Owner earnings + reverse DCF</x:t>
        </x:is>
      </x:c>
      <x:c r="M791" s="160" t="inlineStr">
        <x:is>
          <x:t xml:space="preserve">WAIT FOR PRICE</x:t>
        </x:is>
      </x:c>
      <x:c r="N791" s="160" t="inlineStr">
        <x:is>
          <x:t xml:space="preserve">R-OE-01</x:t>
        </x:is>
      </x:c>
      <x:c r="O791" s="160" t="inlineStr">
        <x:is>
          <x:t xml:space="preserve">COUNTER-EVIDENCE</x:t>
        </x:is>
      </x:c>
      <x:c r="P791" s="160" t="inlineStr">
        <x:is>
          <x:t xml:space="preserve">ROBUST</x:t>
        </x:is>
      </x:c>
      <x:c r="Q791" s="160" t="inlineStr">
        <x:is>
          <x:t xml:space="preserve">The mature simulation rule catches the stress without weakening a fatal gate; no rule relaxation is justified.</x:t>
        </x:is>
      </x:c>
      <x:c r="R791" s="160" t="inlineStr">
        <x:is>
          <x:t xml:space="preserve">Require a GAAP-to-economic-owner-cash bridge tailored to the business model.</x:t>
        </x:is>
      </x:c>
      <x:c r="S791" s="160" t="inlineStr">
        <x:is>
          <x:t xml:space="preserve">YES — SIMULATION ONLY</x:t>
        </x:is>
      </x:c>
      <x:c r="T791" s="160" t="inlineStr">
        <x:is>
          <x:t xml:space="preserve">MATURE</x:t>
        </x:is>
      </x:c>
      <x:c r="U791" s="160" t="inlineStr">
        <x:is>
          <x:t xml:space="preserve">V10.5-SIM66</x:t>
        </x:is>
      </x:c>
      <x:c r="V791" s="160" t="inlineStr">
        <x:is>
          <x:t xml:space="preserve">https://investor.apple.com</x:t>
        </x:is>
      </x:c>
      <x:c r="W791" s="160" t="inlineStr">
        <x:is>
          <x:t xml:space="preserve">NO</x:t>
        </x:is>
      </x:c>
      <x:c r="X791" s="160" t="inlineStr">
        <x:is>
          <x:t xml:space="preserve">NONE — DEVELOPMENT ONLY</x:t>
        </x:is>
      </x:c>
      <x:c r="Y791" s="160" t="inlineStr">
        <x:is>
          <x:t xml:space="preserve">Synthetic/adversarial model-development loop. No historical outcome is claimed; no accuracy point is awarded.</x:t>
        </x:is>
      </x:c>
    </x:row>
    <x:row r="792">
      <x:c r="A792" s="160" t="inlineStr">
        <x:is>
          <x:t xml:space="preserve">ML0787</x:t>
        </x:is>
      </x:c>
      <x:c r="B792" s="160" t="inlineStr">
        <x:is>
          <x:t xml:space="preserve">ARG-050</x:t>
        </x:is>
      </x:c>
      <x:c r="C792" s="160" t="inlineStr">
        <x:is>
          <x:t xml:space="preserve">Apple</x:t>
        </x:is>
      </x:c>
      <x:c r="D792" s="160" t="inlineStr">
        <x:is>
          <x:t xml:space="preserve">AAPL</x:t>
        </x:is>
      </x:c>
      <x:c r="E792" s="160" t="inlineStr">
        <x:is>
          <x:t xml:space="preserve">Consumer</x:t>
        </x:is>
      </x:c>
      <x:c r="F792" s="160" t="inlineStr">
        <x:is>
          <x:t xml:space="preserve">Development</x:t>
        </x:is>
      </x:c>
      <x:c r="G792" s="160" t="inlineStr">
        <x:is>
          <x:t xml:space="preserve">S03</x:t>
        </x:is>
      </x:c>
      <x:c r="H792" s="160" t="inlineStr">
        <x:is>
          <x:t xml:space="preserve">Moat Durability</x:t>
        </x:is>
      </x:c>
      <x:c r="I792" s="160" t="inlineStr">
        <x:is>
          <x:t xml:space="preserve">Moat 2036</x:t>
        </x:is>
      </x:c>
      <x:c r="J792" s="160" t="inlineStr">
        <x:is>
          <x:t xml:space="preserve">Growth continues while switching friction, pricing power or replacement difficulty quietly weakens.</x:t>
        </x:is>
      </x:c>
      <x:c r="K792" s="160" t="inlineStr">
        <x:is>
          <x:t xml:space="preserve">Installed device base × replacement × services attach</x:t>
        </x:is>
      </x:c>
      <x:c r="L792" s="160" t="inlineStr">
        <x:is>
          <x:t xml:space="preserve">Owner earnings + reverse DCF</x:t>
        </x:is>
      </x:c>
      <x:c r="M792" s="160" t="inlineStr">
        <x:is>
          <x:t xml:space="preserve">WAIT FOR PRICE</x:t>
        </x:is>
      </x:c>
      <x:c r="N792" s="160" t="inlineStr">
        <x:is>
          <x:t xml:space="preserve">R-MOAT-01</x:t>
        </x:is>
      </x:c>
      <x:c r="O792" s="160" t="inlineStr">
        <x:is>
          <x:t xml:space="preserve">COUNTER-EVIDENCE</x:t>
        </x:is>
      </x:c>
      <x:c r="P792" s="160" t="inlineStr">
        <x:is>
          <x:t xml:space="preserve">ROBUST</x:t>
        </x:is>
      </x:c>
      <x:c r="Q792" s="160" t="inlineStr">
        <x:is>
          <x:t xml:space="preserve">The mature simulation rule catches the stress without weakening a fatal gate; no rule relaxation is justified.</x:t>
        </x:is>
      </x:c>
      <x:c r="R792" s="160" t="inlineStr">
        <x:is>
          <x:t xml:space="preserve">Track moat telemetry separately from growth: retention, pricing, win/loss, replacement friction, installed-base behavior.</x:t>
        </x:is>
      </x:c>
      <x:c r="S792" s="160" t="inlineStr">
        <x:is>
          <x:t xml:space="preserve">YES — SIMULATION ONLY</x:t>
        </x:is>
      </x:c>
      <x:c r="T792" s="160" t="inlineStr">
        <x:is>
          <x:t xml:space="preserve">MATURE</x:t>
        </x:is>
      </x:c>
      <x:c r="U792" s="160" t="inlineStr">
        <x:is>
          <x:t xml:space="preserve">V10.5-SIM67</x:t>
        </x:is>
      </x:c>
      <x:c r="V792" s="160" t="inlineStr">
        <x:is>
          <x:t xml:space="preserve">https://investor.apple.com</x:t>
        </x:is>
      </x:c>
      <x:c r="W792" s="160" t="inlineStr">
        <x:is>
          <x:t xml:space="preserve">NO</x:t>
        </x:is>
      </x:c>
      <x:c r="X792" s="160" t="inlineStr">
        <x:is>
          <x:t xml:space="preserve">NONE — DEVELOPMENT ONLY</x:t>
        </x:is>
      </x:c>
      <x:c r="Y792" s="160" t="inlineStr">
        <x:is>
          <x:t xml:space="preserve">Synthetic/adversarial model-development loop. No historical outcome is claimed; no accuracy point is awarded.</x:t>
        </x:is>
      </x:c>
    </x:row>
    <x:row r="793">
      <x:c r="A793" s="160" t="inlineStr">
        <x:is>
          <x:t xml:space="preserve">ML0788</x:t>
        </x:is>
      </x:c>
      <x:c r="B793" s="160" t="inlineStr">
        <x:is>
          <x:t xml:space="preserve">ARG-050</x:t>
        </x:is>
      </x:c>
      <x:c r="C793" s="160" t="inlineStr">
        <x:is>
          <x:t xml:space="preserve">Apple</x:t>
        </x:is>
      </x:c>
      <x:c r="D793" s="160" t="inlineStr">
        <x:is>
          <x:t xml:space="preserve">AAPL</x:t>
        </x:is>
      </x:c>
      <x:c r="E793" s="160" t="inlineStr">
        <x:is>
          <x:t xml:space="preserve">Consumer</x:t>
        </x:is>
      </x:c>
      <x:c r="F793" s="160" t="inlineStr">
        <x:is>
          <x:t xml:space="preserve">Development</x:t>
        </x:is>
      </x:c>
      <x:c r="G793" s="160" t="inlineStr">
        <x:is>
          <x:t xml:space="preserve">S04</x:t>
        </x:is>
      </x:c>
      <x:c r="H793" s="160" t="inlineStr">
        <x:is>
          <x:t xml:space="preserve">Stewardship / Capital Allocation</x:t>
        </x:is>
      </x:c>
      <x:c r="I793" s="160" t="inlineStr">
        <x:is>
          <x:t xml:space="preserve">Stewardship</x:t>
        </x:is>
      </x:c>
      <x:c r="J793" s="160" t="inlineStr">
        <x:is>
          <x:t xml:space="preserve">Management creates enterprise growth while destroying per-share value through M&amp;A, dilution, leverage or mistimed buybacks.</x:t>
        </x:is>
      </x:c>
      <x:c r="K793" s="160" t="inlineStr">
        <x:is>
          <x:t xml:space="preserve">Installed device base × replacement × services attach</x:t>
        </x:is>
      </x:c>
      <x:c r="L793" s="160" t="inlineStr">
        <x:is>
          <x:t xml:space="preserve">Owner earnings + reverse DCF</x:t>
        </x:is>
      </x:c>
      <x:c r="M793" s="160" t="inlineStr">
        <x:is>
          <x:t xml:space="preserve">WAIT FOR PRICE</x:t>
        </x:is>
      </x:c>
      <x:c r="N793" s="160" t="inlineStr">
        <x:is>
          <x:t xml:space="preserve">R-STEW-01</x:t>
        </x:is>
      </x:c>
      <x:c r="O793" s="160" t="inlineStr">
        <x:is>
          <x:t xml:space="preserve">COUNTER-EVIDENCE</x:t>
        </x:is>
      </x:c>
      <x:c r="P793" s="160" t="inlineStr">
        <x:is>
          <x:t xml:space="preserve">ROBUST</x:t>
        </x:is>
      </x:c>
      <x:c r="Q793" s="160" t="inlineStr">
        <x:is>
          <x:t xml:space="preserve">The mature simulation rule catches the stress without weakening a fatal gate; no rule relaxation is justified.</x:t>
        </x:is>
      </x:c>
      <x:c r="R793" s="160" t="inlineStr">
        <x:is>
          <x:t xml:space="preserve">Evaluate capital allocation on a per-share basis using acquisition cohorts, dilution, leverage and repurchase price discipline.</x:t>
        </x:is>
      </x:c>
      <x:c r="S793" s="160" t="inlineStr">
        <x:is>
          <x:t xml:space="preserve">YES — SIMULATION ONLY</x:t>
        </x:is>
      </x:c>
      <x:c r="T793" s="160" t="inlineStr">
        <x:is>
          <x:t xml:space="preserve">MATURE</x:t>
        </x:is>
      </x:c>
      <x:c r="U793" s="160" t="inlineStr">
        <x:is>
          <x:t xml:space="preserve">V10.5-SIM68</x:t>
        </x:is>
      </x:c>
      <x:c r="V793" s="160" t="inlineStr">
        <x:is>
          <x:t xml:space="preserve">https://investor.apple.com</x:t>
        </x:is>
      </x:c>
      <x:c r="W793" s="160" t="inlineStr">
        <x:is>
          <x:t xml:space="preserve">NO</x:t>
        </x:is>
      </x:c>
      <x:c r="X793" s="160" t="inlineStr">
        <x:is>
          <x:t xml:space="preserve">NONE — DEVELOPMENT ONLY</x:t>
        </x:is>
      </x:c>
      <x:c r="Y793" s="160" t="inlineStr">
        <x:is>
          <x:t xml:space="preserve">Synthetic/adversarial model-development loop. No historical outcome is claimed; no accuracy point is awarded.</x:t>
        </x:is>
      </x:c>
    </x:row>
    <x:row r="794">
      <x:c r="A794" s="160" t="inlineStr">
        <x:is>
          <x:t xml:space="preserve">ML0789</x:t>
        </x:is>
      </x:c>
      <x:c r="B794" s="160" t="inlineStr">
        <x:is>
          <x:t xml:space="preserve">ARG-050</x:t>
        </x:is>
      </x:c>
      <x:c r="C794" s="160" t="inlineStr">
        <x:is>
          <x:t xml:space="preserve">Apple</x:t>
        </x:is>
      </x:c>
      <x:c r="D794" s="160" t="inlineStr">
        <x:is>
          <x:t xml:space="preserve">AAPL</x:t>
        </x:is>
      </x:c>
      <x:c r="E794" s="160" t="inlineStr">
        <x:is>
          <x:t xml:space="preserve">Consumer</x:t>
        </x:is>
      </x:c>
      <x:c r="F794" s="160" t="inlineStr">
        <x:is>
          <x:t xml:space="preserve">Development</x:t>
        </x:is>
      </x:c>
      <x:c r="G794" s="160" t="inlineStr">
        <x:is>
          <x:t xml:space="preserve">S05</x:t>
        </x:is>
      </x:c>
      <x:c r="H794" s="160" t="inlineStr">
        <x:is>
          <x:t xml:space="preserve">Survival / Funding</x:t>
        </x:is>
      </x:c>
      <x:c r="I794" s="160" t="inlineStr">
        <x:is>
          <x:t xml:space="preserve">Survival</x:t>
        </x:is>
      </x:c>
      <x:c r="J794" s="160" t="inlineStr">
        <x:is>
          <x:t xml:space="preserve">A plausible bear case exposes refinancing, liquidity, covenant, reserve, regulatory or operational fragility.</x:t>
        </x:is>
      </x:c>
      <x:c r="K794" s="160" t="inlineStr">
        <x:is>
          <x:t xml:space="preserve">Installed device base × replacement × services attach</x:t>
        </x:is>
      </x:c>
      <x:c r="L794" s="160" t="inlineStr">
        <x:is>
          <x:t xml:space="preserve">Owner earnings + reverse DCF</x:t>
        </x:is>
      </x:c>
      <x:c r="M794" s="160" t="inlineStr">
        <x:is>
          <x:t xml:space="preserve">WAIT FOR PRICE</x:t>
        </x:is>
      </x:c>
      <x:c r="N794" s="160" t="inlineStr">
        <x:is>
          <x:t xml:space="preserve">R-SURV-01</x:t>
        </x:is>
      </x:c>
      <x:c r="O794" s="160" t="inlineStr">
        <x:is>
          <x:t xml:space="preserve">COUNTER-EVIDENCE</x:t>
        </x:is>
      </x:c>
      <x:c r="P794" s="160" t="inlineStr">
        <x:is>
          <x:t xml:space="preserve">ROBUST</x:t>
        </x:is>
      </x:c>
      <x:c r="Q794" s="160" t="inlineStr">
        <x:is>
          <x:t xml:space="preserve">The mature simulation rule catches the stress without weakening a fatal gate; no rule relaxation is justified.</x:t>
        </x:is>
      </x:c>
      <x:c r="R794" s="160" t="inlineStr">
        <x:is>
          <x:t xml:space="preserve">Run a company-specific survival bridge under a severe-but-plausible bear case before any upside underwriting.</x:t>
        </x:is>
      </x:c>
      <x:c r="S794" s="160" t="inlineStr">
        <x:is>
          <x:t xml:space="preserve">YES — SIMULATION ONLY</x:t>
        </x:is>
      </x:c>
      <x:c r="T794" s="160" t="inlineStr">
        <x:is>
          <x:t xml:space="preserve">MATURE</x:t>
        </x:is>
      </x:c>
      <x:c r="U794" s="160" t="inlineStr">
        <x:is>
          <x:t xml:space="preserve">V10.5-SIM69</x:t>
        </x:is>
      </x:c>
      <x:c r="V794" s="160" t="inlineStr">
        <x:is>
          <x:t xml:space="preserve">https://investor.apple.com</x:t>
        </x:is>
      </x:c>
      <x:c r="W794" s="160" t="inlineStr">
        <x:is>
          <x:t xml:space="preserve">NO</x:t>
        </x:is>
      </x:c>
      <x:c r="X794" s="160" t="inlineStr">
        <x:is>
          <x:t xml:space="preserve">NONE — DEVELOPMENT ONLY</x:t>
        </x:is>
      </x:c>
      <x:c r="Y794" s="160" t="inlineStr">
        <x:is>
          <x:t xml:space="preserve">Synthetic/adversarial model-development loop. No historical outcome is claimed; no accuracy point is awarded.</x:t>
        </x:is>
      </x:c>
    </x:row>
    <x:row r="795">
      <x:c r="A795" s="160" t="inlineStr">
        <x:is>
          <x:t xml:space="preserve">ML0790</x:t>
        </x:is>
      </x:c>
      <x:c r="B795" s="160" t="inlineStr">
        <x:is>
          <x:t xml:space="preserve">ARG-050</x:t>
        </x:is>
      </x:c>
      <x:c r="C795" s="160" t="inlineStr">
        <x:is>
          <x:t xml:space="preserve">Apple</x:t>
        </x:is>
      </x:c>
      <x:c r="D795" s="160" t="inlineStr">
        <x:is>
          <x:t xml:space="preserve">AAPL</x:t>
        </x:is>
      </x:c>
      <x:c r="E795" s="160" t="inlineStr">
        <x:is>
          <x:t xml:space="preserve">Consumer</x:t>
        </x:is>
      </x:c>
      <x:c r="F795" s="160" t="inlineStr">
        <x:is>
          <x:t xml:space="preserve">Development</x:t>
        </x:is>
      </x:c>
      <x:c r="G795" s="160" t="inlineStr">
        <x:is>
          <x:t xml:space="preserve">S06</x:t>
        </x:is>
      </x:c>
      <x:c r="H795" s="160" t="inlineStr">
        <x:is>
          <x:t xml:space="preserve">Margin of Safety</x:t>
        </x:is>
      </x:c>
      <x:c r="I795" s="160" t="inlineStr">
        <x:is>
          <x:t xml:space="preserve">Margin of Safety</x:t>
        </x:is>
      </x:c>
      <x:c r="J795" s="160" t="inlineStr">
        <x:is>
          <x:t xml:space="preserve">Business quality is high but the price embeds a fragile bull case.</x:t>
        </x:is>
      </x:c>
      <x:c r="K795" s="160" t="inlineStr">
        <x:is>
          <x:t xml:space="preserve">Installed device base × replacement × services attach</x:t>
        </x:is>
      </x:c>
      <x:c r="L795" s="160" t="inlineStr">
        <x:is>
          <x:t xml:space="preserve">Owner earnings + reverse DCF</x:t>
        </x:is>
      </x:c>
      <x:c r="M795" s="160" t="inlineStr">
        <x:is>
          <x:t xml:space="preserve">WAIT FOR PRICE</x:t>
        </x:is>
      </x:c>
      <x:c r="N795" s="160" t="inlineStr">
        <x:is>
          <x:t xml:space="preserve">R-MOS-01</x:t>
        </x:is>
      </x:c>
      <x:c r="O795" s="160" t="inlineStr">
        <x:is>
          <x:t xml:space="preserve">COUNTER-EVIDENCE</x:t>
        </x:is>
      </x:c>
      <x:c r="P795" s="160" t="inlineStr">
        <x:is>
          <x:t xml:space="preserve">ROBUST</x:t>
        </x:is>
      </x:c>
      <x:c r="Q795" s="160" t="inlineStr">
        <x:is>
          <x:t xml:space="preserve">The mature simulation rule catches the stress without weakening a fatal gate; no rule relaxation is justified.</x:t>
        </x:is>
      </x:c>
      <x:c r="R795" s="160" t="inlineStr">
        <x:is>
          <x:t xml:space="preserve">Separate business-quality score from price decision; require reverse valuation and bear/base/bull IV ranges.</x:t>
        </x:is>
      </x:c>
      <x:c r="S795" s="160" t="inlineStr">
        <x:is>
          <x:t xml:space="preserve">YES — SIMULATION ONLY</x:t>
        </x:is>
      </x:c>
      <x:c r="T795" s="160" t="inlineStr">
        <x:is>
          <x:t xml:space="preserve">MATURE</x:t>
        </x:is>
      </x:c>
      <x:c r="U795" s="160" t="inlineStr">
        <x:is>
          <x:t xml:space="preserve">V10.5-SIM70</x:t>
        </x:is>
      </x:c>
      <x:c r="V795" s="160" t="inlineStr">
        <x:is>
          <x:t xml:space="preserve">https://investor.apple.com</x:t>
        </x:is>
      </x:c>
      <x:c r="W795" s="160" t="inlineStr">
        <x:is>
          <x:t xml:space="preserve">NO</x:t>
        </x:is>
      </x:c>
      <x:c r="X795" s="160" t="inlineStr">
        <x:is>
          <x:t xml:space="preserve">NONE — DEVELOPMENT ONLY</x:t>
        </x:is>
      </x:c>
      <x:c r="Y795" s="160" t="inlineStr">
        <x:is>
          <x:t xml:space="preserve">Synthetic/adversarial model-development loop. No historical outcome is claimed; no accuracy point is awarded.</x:t>
        </x:is>
      </x:c>
    </x:row>
    <x:row r="796">
      <x:c r="A796" s="160" t="inlineStr">
        <x:is>
          <x:t xml:space="preserve">ML0791</x:t>
        </x:is>
      </x:c>
      <x:c r="B796" s="160" t="inlineStr">
        <x:is>
          <x:t xml:space="preserve">ARG-050</x:t>
        </x:is>
      </x:c>
      <x:c r="C796" s="160" t="inlineStr">
        <x:is>
          <x:t xml:space="preserve">Apple</x:t>
        </x:is>
      </x:c>
      <x:c r="D796" s="160" t="inlineStr">
        <x:is>
          <x:t xml:space="preserve">AAPL</x:t>
        </x:is>
      </x:c>
      <x:c r="E796" s="160" t="inlineStr">
        <x:is>
          <x:t xml:space="preserve">Consumer</x:t>
        </x:is>
      </x:c>
      <x:c r="F796" s="160" t="inlineStr">
        <x:is>
          <x:t xml:space="preserve">Development</x:t>
        </x:is>
      </x:c>
      <x:c r="G796" s="160" t="inlineStr">
        <x:is>
          <x:t xml:space="preserve">S07</x:t>
        </x:is>
      </x:c>
      <x:c r="H796" s="160" t="inlineStr">
        <x:is>
          <x:t xml:space="preserve">Sector Shock</x:t>
        </x:is>
      </x:c>
      <x:c r="I796" s="160" t="inlineStr">
        <x:is>
          <x:t xml:space="preserve">Sector-specific</x:t>
        </x:is>
      </x:c>
      <x:c r="J796" s="160" t="inlineStr">
        <x:is>
          <x:t xml:space="preserve">Revenue growth is driven by price/mix while unit volume, brand heat, traffic or customer economics weaken.</x:t>
        </x:is>
      </x:c>
      <x:c r="K796" s="160" t="inlineStr">
        <x:is>
          <x:t xml:space="preserve">Installed device base × replacement × services attach</x:t>
        </x:is>
      </x:c>
      <x:c r="L796" s="160" t="inlineStr">
        <x:is>
          <x:t xml:space="preserve">Owner earnings + reverse DCF</x:t>
        </x:is>
      </x:c>
      <x:c r="M796" s="160" t="inlineStr">
        <x:is>
          <x:t xml:space="preserve">WAIT FOR PRICE</x:t>
        </x:is>
      </x:c>
      <x:c r="N796" s="160" t="inlineStr">
        <x:is>
          <x:t xml:space="preserve">R-SECTOR-CONSUMER</x:t>
        </x:is>
      </x:c>
      <x:c r="O796" s="160" t="inlineStr">
        <x:is>
          <x:t xml:space="preserve">UNFORMED</x:t>
        </x:is>
      </x:c>
      <x:c r="P796" s="160" t="inlineStr">
        <x:is>
          <x:t xml:space="preserve">WEAKNESS EXPOSED</x:t>
        </x:is>
      </x:c>
      <x:c r="Q796" s="160" t="inlineStr">
        <x:is>
          <x:t xml:space="preserve">The frozen V10 gate family is directionally right, but the test lacks a sufficiently explicit mechanical implementation.</x:t>
        </x:is>
      </x:c>
      <x:c r="R796" s="160" t="inlineStr">
        <x:is>
          <x:t xml:space="preserve">Add a sector-specific transmission map with leading operating sensors, not only market-price variables. Sector rule: Revenue growth is driven by price/mix while unit volume, brand heat, traffic or customer economics weaken.</x:t>
        </x:is>
      </x:c>
      <x:c r="S796" s="160" t="inlineStr">
        <x:is>
          <x:t xml:space="preserve">NO</x:t>
        </x:is>
      </x:c>
      <x:c r="T796" s="160" t="inlineStr">
        <x:is>
          <x:t xml:space="preserve">UNFORMED</x:t>
        </x:is>
      </x:c>
      <x:c r="U796" s="160" t="inlineStr">
        <x:is>
          <x:t xml:space="preserve">V10.5-SIM70</x:t>
        </x:is>
      </x:c>
      <x:c r="V796" s="160" t="inlineStr">
        <x:is>
          <x:t xml:space="preserve">https://investor.apple.com</x:t>
        </x:is>
      </x:c>
      <x:c r="W796" s="160" t="inlineStr">
        <x:is>
          <x:t xml:space="preserve">NO</x:t>
        </x:is>
      </x:c>
      <x:c r="X796" s="160" t="inlineStr">
        <x:is>
          <x:t xml:space="preserve">NONE — DEVELOPMENT ONLY</x:t>
        </x:is>
      </x:c>
      <x:c r="Y796" s="160" t="inlineStr">
        <x:is>
          <x:t xml:space="preserve">Synthetic/adversarial model-development loop. No historical outcome is claimed; no accuracy point is awarded.</x:t>
        </x:is>
      </x:c>
    </x:row>
    <x:row r="797">
      <x:c r="A797" s="160" t="inlineStr">
        <x:is>
          <x:t xml:space="preserve">ML0792</x:t>
        </x:is>
      </x:c>
      <x:c r="B797" s="160" t="inlineStr">
        <x:is>
          <x:t xml:space="preserve">ARG-050</x:t>
        </x:is>
      </x:c>
      <x:c r="C797" s="160" t="inlineStr">
        <x:is>
          <x:t xml:space="preserve">Apple</x:t>
        </x:is>
      </x:c>
      <x:c r="D797" s="160" t="inlineStr">
        <x:is>
          <x:t xml:space="preserve">AAPL</x:t>
        </x:is>
      </x:c>
      <x:c r="E797" s="160" t="inlineStr">
        <x:is>
          <x:t xml:space="preserve">Consumer</x:t>
        </x:is>
      </x:c>
      <x:c r="F797" s="160" t="inlineStr">
        <x:is>
          <x:t xml:space="preserve">Development</x:t>
        </x:is>
      </x:c>
      <x:c r="G797" s="160" t="inlineStr">
        <x:is>
          <x:t xml:space="preserve">S08</x:t>
        </x:is>
      </x:c>
      <x:c r="H797" s="160" t="inlineStr">
        <x:is>
          <x:t xml:space="preserve">Management Promise Reliability</x:t>
        </x:is>
      </x:c>
      <x:c r="I797" s="160" t="inlineStr">
        <x:is>
          <x:t xml:space="preserve">Management over-trust</x:t>
        </x:is>
      </x:c>
      <x:c r="J797" s="160" t="inlineStr">
        <x:is>
          <x:t xml:space="preserve">Guidance or strategic promises are repeated but the model lacks a contemporaneous reliability score.</x:t>
        </x:is>
      </x:c>
      <x:c r="K797" s="160" t="inlineStr">
        <x:is>
          <x:t xml:space="preserve">Installed device base × replacement × services attach</x:t>
        </x:is>
      </x:c>
      <x:c r="L797" s="160" t="inlineStr">
        <x:is>
          <x:t xml:space="preserve">Owner earnings + reverse DCF</x:t>
        </x:is>
      </x:c>
      <x:c r="M797" s="160" t="inlineStr">
        <x:is>
          <x:t xml:space="preserve">WAIT FOR PRICE</x:t>
        </x:is>
      </x:c>
      <x:c r="N797" s="160" t="inlineStr">
        <x:is>
          <x:t xml:space="preserve">R-PROM-01</x:t>
        </x:is>
      </x:c>
      <x:c r="O797" s="160" t="inlineStr">
        <x:is>
          <x:t xml:space="preserve">COUNTER-EVIDENCE</x:t>
        </x:is>
      </x:c>
      <x:c r="P797" s="160" t="inlineStr">
        <x:is>
          <x:t xml:space="preserve">ROBUST</x:t>
        </x:is>
      </x:c>
      <x:c r="Q797" s="160" t="inlineStr">
        <x:is>
          <x:t xml:space="preserve">The mature simulation rule catches the stress without weakening a fatal gate; no rule relaxation is justified.</x:t>
        </x:is>
      </x:c>
      <x:c r="R797" s="160" t="inlineStr">
        <x:is>
          <x:t xml:space="preserve">Use a promises ledger with dated promise, measurable deliverable, due date, outcome and credibility weight.</x:t>
        </x:is>
      </x:c>
      <x:c r="S797" s="160" t="inlineStr">
        <x:is>
          <x:t xml:space="preserve">YES — SIMULATION ONLY</x:t>
        </x:is>
      </x:c>
      <x:c r="T797" s="160" t="inlineStr">
        <x:is>
          <x:t xml:space="preserve">MATURE</x:t>
        </x:is>
      </x:c>
      <x:c r="U797" s="160" t="inlineStr">
        <x:is>
          <x:t xml:space="preserve">V10.5-SIM71</x:t>
        </x:is>
      </x:c>
      <x:c r="V797" s="160" t="inlineStr">
        <x:is>
          <x:t xml:space="preserve">https://investor.apple.com</x:t>
        </x:is>
      </x:c>
      <x:c r="W797" s="160" t="inlineStr">
        <x:is>
          <x:t xml:space="preserve">NO</x:t>
        </x:is>
      </x:c>
      <x:c r="X797" s="160" t="inlineStr">
        <x:is>
          <x:t xml:space="preserve">NONE — DEVELOPMENT ONLY</x:t>
        </x:is>
      </x:c>
      <x:c r="Y797" s="160" t="inlineStr">
        <x:is>
          <x:t xml:space="preserve">Synthetic/adversarial model-development loop. No historical outcome is claimed; no accuracy point is awarded.</x:t>
        </x:is>
      </x:c>
    </x:row>
    <x:row r="798">
      <x:c r="A798" s="160" t="inlineStr">
        <x:is>
          <x:t xml:space="preserve">ML0793</x:t>
        </x:is>
      </x:c>
      <x:c r="B798" s="160" t="inlineStr">
        <x:is>
          <x:t xml:space="preserve">ARG-050</x:t>
        </x:is>
      </x:c>
      <x:c r="C798" s="160" t="inlineStr">
        <x:is>
          <x:t xml:space="preserve">Apple</x:t>
        </x:is>
      </x:c>
      <x:c r="D798" s="160" t="inlineStr">
        <x:is>
          <x:t xml:space="preserve">AAPL</x:t>
        </x:is>
      </x:c>
      <x:c r="E798" s="160" t="inlineStr">
        <x:is>
          <x:t xml:space="preserve">Consumer</x:t>
        </x:is>
      </x:c>
      <x:c r="F798" s="160" t="inlineStr">
        <x:is>
          <x:t xml:space="preserve">Development</x:t>
        </x:is>
      </x:c>
      <x:c r="G798" s="160" t="inlineStr">
        <x:is>
          <x:t xml:space="preserve">S09</x:t>
        </x:is>
      </x:c>
      <x:c r="H798" s="160" t="inlineStr">
        <x:is>
          <x:t xml:space="preserve">Data / Accounting Quality</x:t>
        </x:is>
      </x:c>
      <x:c r="I798" s="160" t="inlineStr">
        <x:is>
          <x:t xml:space="preserve">Data quality</x:t>
        </x:is>
      </x:c>
      <x:c r="J798" s="160" t="inlineStr">
        <x:is>
          <x:t xml:space="preserve">Restatement, segment reclassification, one-time item or non-economic fair-value movement distorts the apparent trend.</x:t>
        </x:is>
      </x:c>
      <x:c r="K798" s="160" t="inlineStr">
        <x:is>
          <x:t xml:space="preserve">Installed device base × replacement × services attach</x:t>
        </x:is>
      </x:c>
      <x:c r="L798" s="160" t="inlineStr">
        <x:is>
          <x:t xml:space="preserve">Owner earnings + reverse DCF</x:t>
        </x:is>
      </x:c>
      <x:c r="M798" s="160" t="inlineStr">
        <x:is>
          <x:t xml:space="preserve">WAIT FOR PRICE</x:t>
        </x:is>
      </x:c>
      <x:c r="N798" s="160" t="inlineStr">
        <x:is>
          <x:t xml:space="preserve">R-DATA-01</x:t>
        </x:is>
      </x:c>
      <x:c r="O798" s="160" t="inlineStr">
        <x:is>
          <x:t xml:space="preserve">COUNTER-EVIDENCE</x:t>
        </x:is>
      </x:c>
      <x:c r="P798" s="160" t="inlineStr">
        <x:is>
          <x:t xml:space="preserve">ROBUST</x:t>
        </x:is>
      </x:c>
      <x:c r="Q798" s="160" t="inlineStr">
        <x:is>
          <x:t xml:space="preserve">The mature simulation rule catches the stress without weakening a fatal gate; no rule relaxation is justified.</x:t>
        </x:is>
      </x:c>
      <x:c r="R798" s="160" t="inlineStr">
        <x:is>
          <x:t xml:space="preserve">Add a reporting-quality bridge and normalize accounting noise before any gate can pass.</x:t>
        </x:is>
      </x:c>
      <x:c r="S798" s="160" t="inlineStr">
        <x:is>
          <x:t xml:space="preserve">YES — SIMULATION ONLY</x:t>
        </x:is>
      </x:c>
      <x:c r="T798" s="160" t="inlineStr">
        <x:is>
          <x:t xml:space="preserve">MATURE</x:t>
        </x:is>
      </x:c>
      <x:c r="U798" s="160" t="inlineStr">
        <x:is>
          <x:t xml:space="preserve">V10.5-SIM72</x:t>
        </x:is>
      </x:c>
      <x:c r="V798" s="160" t="inlineStr">
        <x:is>
          <x:t xml:space="preserve">https://investor.apple.com</x:t>
        </x:is>
      </x:c>
      <x:c r="W798" s="160" t="inlineStr">
        <x:is>
          <x:t xml:space="preserve">NO</x:t>
        </x:is>
      </x:c>
      <x:c r="X798" s="160" t="inlineStr">
        <x:is>
          <x:t xml:space="preserve">NONE — DEVELOPMENT ONLY</x:t>
        </x:is>
      </x:c>
      <x:c r="Y798" s="160" t="inlineStr">
        <x:is>
          <x:t xml:space="preserve">Synthetic/adversarial model-development loop. No historical outcome is claimed; no accuracy point is awarded.</x:t>
        </x:is>
      </x:c>
    </x:row>
    <x:row r="799">
      <x:c r="A799" s="160" t="inlineStr">
        <x:is>
          <x:t xml:space="preserve">ML0794</x:t>
        </x:is>
      </x:c>
      <x:c r="B799" s="160" t="inlineStr">
        <x:is>
          <x:t xml:space="preserve">ARG-050</x:t>
        </x:is>
      </x:c>
      <x:c r="C799" s="160" t="inlineStr">
        <x:is>
          <x:t xml:space="preserve">Apple</x:t>
        </x:is>
      </x:c>
      <x:c r="D799" s="160" t="inlineStr">
        <x:is>
          <x:t xml:space="preserve">AAPL</x:t>
        </x:is>
      </x:c>
      <x:c r="E799" s="160" t="inlineStr">
        <x:is>
          <x:t xml:space="preserve">Consumer</x:t>
        </x:is>
      </x:c>
      <x:c r="F799" s="160" t="inlineStr">
        <x:is>
          <x:t xml:space="preserve">Development</x:t>
        </x:is>
      </x:c>
      <x:c r="G799" s="160" t="inlineStr">
        <x:is>
          <x:t xml:space="preserve">S10</x:t>
        </x:is>
      </x:c>
      <x:c r="H799" s="160" t="inlineStr">
        <x:is>
          <x:t xml:space="preserve">Control / Counterfactual</x:t>
        </x:is>
      </x:c>
      <x:c r="I799" s="160" t="inlineStr">
        <x:is>
          <x:t xml:space="preserve">Sector beta vs company alpha</x:t>
        </x:is>
      </x:c>
      <x:c r="J799" s="160" t="inlineStr">
        <x:is>
          <x:t xml:space="preserve">A positive outcome is mostly sector beta or macro tailwind, not company-specific alpha.</x:t>
        </x:is>
      </x:c>
      <x:c r="K799" s="160" t="inlineStr">
        <x:is>
          <x:t xml:space="preserve">Installed device base × replacement × services attach</x:t>
        </x:is>
      </x:c>
      <x:c r="L799" s="160" t="inlineStr">
        <x:is>
          <x:t xml:space="preserve">Owner earnings + reverse DCF</x:t>
        </x:is>
      </x:c>
      <x:c r="M799" s="160" t="inlineStr">
        <x:is>
          <x:t xml:space="preserve">WAIT FOR PRICE</x:t>
        </x:is>
      </x:c>
      <x:c r="N799" s="160" t="inlineStr">
        <x:is>
          <x:t xml:space="preserve">R-CF-01</x:t>
        </x:is>
      </x:c>
      <x:c r="O799" s="160" t="inlineStr">
        <x:is>
          <x:t xml:space="preserve">COUNTER-EVIDENCE</x:t>
        </x:is>
      </x:c>
      <x:c r="P799" s="160" t="inlineStr">
        <x:is>
          <x:t xml:space="preserve">ROBUST</x:t>
        </x:is>
      </x:c>
      <x:c r="Q799" s="160" t="inlineStr">
        <x:is>
          <x:t xml:space="preserve">The mature simulation rule catches the stress without weakening a fatal gate; no rule relaxation is justified.</x:t>
        </x:is>
      </x:c>
      <x:c r="R799" s="160" t="inlineStr">
        <x:is>
          <x:t xml:space="preserve">Require a true economic control and counterfactual: what should have happened to a comparable company under the same shock?</x:t>
        </x:is>
      </x:c>
      <x:c r="S799" s="160" t="inlineStr">
        <x:is>
          <x:t xml:space="preserve">YES — SIMULATION ONLY</x:t>
        </x:is>
      </x:c>
      <x:c r="T799" s="160" t="inlineStr">
        <x:is>
          <x:t xml:space="preserve">MATURE</x:t>
        </x:is>
      </x:c>
      <x:c r="U799" s="160" t="inlineStr">
        <x:is>
          <x:t xml:space="preserve">V10.5-SIM73</x:t>
        </x:is>
      </x:c>
      <x:c r="V799" s="160" t="inlineStr">
        <x:is>
          <x:t xml:space="preserve">https://investor.apple.com</x:t>
        </x:is>
      </x:c>
      <x:c r="W799" s="160" t="inlineStr">
        <x:is>
          <x:t xml:space="preserve">NO</x:t>
        </x:is>
      </x:c>
      <x:c r="X799" s="160" t="inlineStr">
        <x:is>
          <x:t xml:space="preserve">NONE — DEVELOPMENT ONLY</x:t>
        </x:is>
      </x:c>
      <x:c r="Y799" s="160" t="inlineStr">
        <x:is>
          <x:t xml:space="preserve">Synthetic/adversarial model-development loop. No historical outcome is claimed; no accuracy point is awarded.</x:t>
        </x:is>
      </x:c>
    </x:row>
    <x:row r="800">
      <x:c r="A800" s="160" t="inlineStr">
        <x:is>
          <x:t xml:space="preserve">ML0795</x:t>
        </x:is>
      </x:c>
      <x:c r="B800" s="160" t="inlineStr">
        <x:is>
          <x:t xml:space="preserve">ARG-050</x:t>
        </x:is>
      </x:c>
      <x:c r="C800" s="160" t="inlineStr">
        <x:is>
          <x:t xml:space="preserve">Apple</x:t>
        </x:is>
      </x:c>
      <x:c r="D800" s="160" t="inlineStr">
        <x:is>
          <x:t xml:space="preserve">AAPL</x:t>
        </x:is>
      </x:c>
      <x:c r="E800" s="160" t="inlineStr">
        <x:is>
          <x:t xml:space="preserve">Consumer</x:t>
        </x:is>
      </x:c>
      <x:c r="F800" s="160" t="inlineStr">
        <x:is>
          <x:t xml:space="preserve">Development</x:t>
        </x:is>
      </x:c>
      <x:c r="G800" s="160" t="inlineStr">
        <x:is>
          <x:t xml:space="preserve">S11</x:t>
        </x:is>
      </x:c>
      <x:c r="H800" s="160" t="inlineStr">
        <x:is>
          <x:t xml:space="preserve">False-Negative Discipline</x:t>
        </x:is>
      </x:c>
      <x:c r="I800" s="160" t="inlineStr">
        <x:is>
          <x:t xml:space="preserve">False negative</x:t>
        </x:is>
      </x:c>
      <x:c r="J800" s="160" t="inlineStr">
        <x:is>
          <x:t xml:space="preserve">A strict gate rejects a company that later compounds strongly for reasons the model could have known.</x:t>
        </x:is>
      </x:c>
      <x:c r="K800" s="160" t="inlineStr">
        <x:is>
          <x:t xml:space="preserve">Installed device base × replacement × services attach</x:t>
        </x:is>
      </x:c>
      <x:c r="L800" s="160" t="inlineStr">
        <x:is>
          <x:t xml:space="preserve">Owner earnings + reverse DCF</x:t>
        </x:is>
      </x:c>
      <x:c r="M800" s="160" t="inlineStr">
        <x:is>
          <x:t xml:space="preserve">WAIT FOR PRICE</x:t>
        </x:is>
      </x:c>
      <x:c r="N800" s="160" t="inlineStr">
        <x:is>
          <x:t xml:space="preserve">R-FN-01</x:t>
        </x:is>
      </x:c>
      <x:c r="O800" s="160" t="inlineStr">
        <x:is>
          <x:t xml:space="preserve">COUNTER-EVIDENCE</x:t>
        </x:is>
      </x:c>
      <x:c r="P800" s="160" t="inlineStr">
        <x:is>
          <x:t xml:space="preserve">ROBUST</x:t>
        </x:is>
      </x:c>
      <x:c r="Q800" s="160" t="inlineStr">
        <x:is>
          <x:t xml:space="preserve">The mature simulation rule catches the stress without weakening a fatal gate; no rule relaxation is justified.</x:t>
        </x:is>
      </x:c>
      <x:c r="R800" s="160" t="inlineStr">
        <x:is>
          <x:t xml:space="preserve">Track opportunity cost and classify whether the miss came from evidence timing, wrong threshold or genuinely unknowable upside.</x:t>
        </x:is>
      </x:c>
      <x:c r="S800" s="160" t="inlineStr">
        <x:is>
          <x:t xml:space="preserve">YES — SIMULATION ONLY</x:t>
        </x:is>
      </x:c>
      <x:c r="T800" s="160" t="inlineStr">
        <x:is>
          <x:t xml:space="preserve">MATURE</x:t>
        </x:is>
      </x:c>
      <x:c r="U800" s="160" t="inlineStr">
        <x:is>
          <x:t xml:space="preserve">V10.5-SIM74</x:t>
        </x:is>
      </x:c>
      <x:c r="V800" s="160" t="inlineStr">
        <x:is>
          <x:t xml:space="preserve">https://investor.apple.com</x:t>
        </x:is>
      </x:c>
      <x:c r="W800" s="160" t="inlineStr">
        <x:is>
          <x:t xml:space="preserve">NO</x:t>
        </x:is>
      </x:c>
      <x:c r="X800" s="160" t="inlineStr">
        <x:is>
          <x:t xml:space="preserve">NONE — DEVELOPMENT ONLY</x:t>
        </x:is>
      </x:c>
      <x:c r="Y800" s="160" t="inlineStr">
        <x:is>
          <x:t xml:space="preserve">Synthetic/adversarial model-development loop. No historical outcome is claimed; no accuracy point is awarded.</x:t>
        </x:is>
      </x:c>
    </x:row>
    <x:row r="801">
      <x:c r="A801" s="160" t="inlineStr">
        <x:is>
          <x:t xml:space="preserve">ML0796</x:t>
        </x:is>
      </x:c>
      <x:c r="B801" s="160" t="inlineStr">
        <x:is>
          <x:t xml:space="preserve">ARG-050</x:t>
        </x:is>
      </x:c>
      <x:c r="C801" s="160" t="inlineStr">
        <x:is>
          <x:t xml:space="preserve">Apple</x:t>
        </x:is>
      </x:c>
      <x:c r="D801" s="160" t="inlineStr">
        <x:is>
          <x:t xml:space="preserve">AAPL</x:t>
        </x:is>
      </x:c>
      <x:c r="E801" s="160" t="inlineStr">
        <x:is>
          <x:t xml:space="preserve">Consumer</x:t>
        </x:is>
      </x:c>
      <x:c r="F801" s="160" t="inlineStr">
        <x:is>
          <x:t xml:space="preserve">Development</x:t>
        </x:is>
      </x:c>
      <x:c r="G801" s="160" t="inlineStr">
        <x:is>
          <x:t xml:space="preserve">S12</x:t>
        </x:is>
      </x:c>
      <x:c r="H801" s="160" t="inlineStr">
        <x:is>
          <x:t xml:space="preserve">Lead-Time / Early Sensor</x:t>
        </x:is>
      </x:c>
      <x:c r="I801" s="160" t="inlineStr">
        <x:is>
          <x:t xml:space="preserve">Timing / lead-time</x:t>
        </x:is>
      </x:c>
      <x:c r="J801" s="160" t="inlineStr">
        <x:is>
          <x:t xml:space="preserve">ARGUS identifies the change correctly but only after consensus and price have already reacted.</x:t>
        </x:is>
      </x:c>
      <x:c r="K801" s="160" t="inlineStr">
        <x:is>
          <x:t xml:space="preserve">Installed device base × replacement × services attach</x:t>
        </x:is>
      </x:c>
      <x:c r="L801" s="160" t="inlineStr">
        <x:is>
          <x:t xml:space="preserve">Owner earnings + reverse DCF</x:t>
        </x:is>
      </x:c>
      <x:c r="M801" s="160" t="inlineStr">
        <x:is>
          <x:t xml:space="preserve">WAIT FOR PRICE</x:t>
        </x:is>
      </x:c>
      <x:c r="N801" s="160" t="inlineStr">
        <x:is>
          <x:t xml:space="preserve">R-TIME-01</x:t>
        </x:is>
      </x:c>
      <x:c r="O801" s="160" t="inlineStr">
        <x:is>
          <x:t xml:space="preserve">COUNTER-EVIDENCE</x:t>
        </x:is>
      </x:c>
      <x:c r="P801" s="160" t="inlineStr">
        <x:is>
          <x:t xml:space="preserve">ROBUST</x:t>
        </x:is>
      </x:c>
      <x:c r="Q801" s="160" t="inlineStr">
        <x:is>
          <x:t xml:space="preserve">The mature simulation rule catches the stress without weakening a fatal gate; no rule relaxation is justified.</x:t>
        </x:is>
      </x:c>
      <x:c r="R801" s="160" t="inlineStr">
        <x:is>
          <x:t xml:space="preserve">Replace lagging financial metrics with earlier causal operating sensors and record lead time separately from correctness.</x:t>
        </x:is>
      </x:c>
      <x:c r="S801" s="160" t="inlineStr">
        <x:is>
          <x:t xml:space="preserve">YES — SIMULATION ONLY</x:t>
        </x:is>
      </x:c>
      <x:c r="T801" s="160" t="inlineStr">
        <x:is>
          <x:t xml:space="preserve">MATURE</x:t>
        </x:is>
      </x:c>
      <x:c r="U801" s="160" t="inlineStr">
        <x:is>
          <x:t xml:space="preserve">V10.5-SIM75</x:t>
        </x:is>
      </x:c>
      <x:c r="V801" s="160" t="inlineStr">
        <x:is>
          <x:t xml:space="preserve">https://investor.apple.com</x:t>
        </x:is>
      </x:c>
      <x:c r="W801" s="160" t="inlineStr">
        <x:is>
          <x:t xml:space="preserve">NO</x:t>
        </x:is>
      </x:c>
      <x:c r="X801" s="160" t="inlineStr">
        <x:is>
          <x:t xml:space="preserve">NONE — DEVELOPMENT ONLY</x:t>
        </x:is>
      </x:c>
      <x:c r="Y801" s="160" t="inlineStr">
        <x:is>
          <x:t xml:space="preserve">Synthetic/adversarial model-development loop. No historical outcome is claimed; no accuracy point is awarded.</x:t>
        </x:is>
      </x:c>
    </x:row>
    <x:row r="802">
      <x:c r="A802" s="160" t="inlineStr">
        <x:is>
          <x:t xml:space="preserve">ML0797</x:t>
        </x:is>
      </x:c>
      <x:c r="B802" s="160" t="inlineStr">
        <x:is>
          <x:t xml:space="preserve">ARG-050</x:t>
        </x:is>
      </x:c>
      <x:c r="C802" s="160" t="inlineStr">
        <x:is>
          <x:t xml:space="preserve">Apple</x:t>
        </x:is>
      </x:c>
      <x:c r="D802" s="160" t="inlineStr">
        <x:is>
          <x:t xml:space="preserve">AAPL</x:t>
        </x:is>
      </x:c>
      <x:c r="E802" s="160" t="inlineStr">
        <x:is>
          <x:t xml:space="preserve">Consumer</x:t>
        </x:is>
      </x:c>
      <x:c r="F802" s="160" t="inlineStr">
        <x:is>
          <x:t xml:space="preserve">Development</x:t>
        </x:is>
      </x:c>
      <x:c r="G802" s="160" t="inlineStr">
        <x:is>
          <x:t xml:space="preserve">S13</x:t>
        </x:is>
      </x:c>
      <x:c r="H802" s="160" t="inlineStr">
        <x:is>
          <x:t xml:space="preserve">Cycle Normalization</x:t>
        </x:is>
      </x:c>
      <x:c r="I802" s="160" t="inlineStr">
        <x:is>
          <x:t xml:space="preserve">Wrong valuation lens</x:t>
        </x:is>
      </x:c>
      <x:c r="J802" s="160" t="inlineStr">
        <x:is>
          <x:t xml:space="preserve">Peak/trough earnings are mistaken for normalized earning power.</x:t>
        </x:is>
      </x:c>
      <x:c r="K802" s="160" t="inlineStr">
        <x:is>
          <x:t xml:space="preserve">Installed device base × replacement × services attach</x:t>
        </x:is>
      </x:c>
      <x:c r="L802" s="160" t="inlineStr">
        <x:is>
          <x:t xml:space="preserve">Owner earnings + reverse DCF</x:t>
        </x:is>
      </x:c>
      <x:c r="M802" s="160" t="inlineStr">
        <x:is>
          <x:t xml:space="preserve">WAIT FOR PRICE</x:t>
        </x:is>
      </x:c>
      <x:c r="N802" s="160" t="inlineStr">
        <x:is>
          <x:t xml:space="preserve">R-CYCLE-01</x:t>
        </x:is>
      </x:c>
      <x:c r="O802" s="160" t="inlineStr">
        <x:is>
          <x:t xml:space="preserve">COUNTER-EVIDENCE</x:t>
        </x:is>
      </x:c>
      <x:c r="P802" s="160" t="inlineStr">
        <x:is>
          <x:t xml:space="preserve">ROBUST</x:t>
        </x:is>
      </x:c>
      <x:c r="Q802" s="160" t="inlineStr">
        <x:is>
          <x:t xml:space="preserve">The mature simulation rule catches the stress without weakening a fatal gate; no rule relaxation is justified.</x:t>
        </x:is>
      </x:c>
      <x:c r="R802" s="160" t="inlineStr">
        <x:is>
          <x:t xml:space="preserve">Use sector-specific mid-cycle/NAV/rate-base/rNPV normalization before applying a valuation multiple.</x:t>
        </x:is>
      </x:c>
      <x:c r="S802" s="160" t="inlineStr">
        <x:is>
          <x:t xml:space="preserve">YES — SIMULATION ONLY</x:t>
        </x:is>
      </x:c>
      <x:c r="T802" s="160" t="inlineStr">
        <x:is>
          <x:t xml:space="preserve">MATURE</x:t>
        </x:is>
      </x:c>
      <x:c r="U802" s="160" t="inlineStr">
        <x:is>
          <x:t xml:space="preserve">V10.5-SIM76</x:t>
        </x:is>
      </x:c>
      <x:c r="V802" s="160" t="inlineStr">
        <x:is>
          <x:t xml:space="preserve">https://investor.apple.com</x:t>
        </x:is>
      </x:c>
      <x:c r="W802" s="160" t="inlineStr">
        <x:is>
          <x:t xml:space="preserve">NO</x:t>
        </x:is>
      </x:c>
      <x:c r="X802" s="160" t="inlineStr">
        <x:is>
          <x:t xml:space="preserve">NONE — DEVELOPMENT ONLY</x:t>
        </x:is>
      </x:c>
      <x:c r="Y802" s="160" t="inlineStr">
        <x:is>
          <x:t xml:space="preserve">Synthetic/adversarial model-development loop. No historical outcome is claimed; no accuracy point is awarded.</x:t>
        </x:is>
      </x:c>
    </x:row>
    <x:row r="803">
      <x:c r="A803" s="160" t="inlineStr">
        <x:is>
          <x:t xml:space="preserve">ML0798</x:t>
        </x:is>
      </x:c>
      <x:c r="B803" s="160" t="inlineStr">
        <x:is>
          <x:t xml:space="preserve">ARG-050</x:t>
        </x:is>
      </x:c>
      <x:c r="C803" s="160" t="inlineStr">
        <x:is>
          <x:t xml:space="preserve">Apple</x:t>
        </x:is>
      </x:c>
      <x:c r="D803" s="160" t="inlineStr">
        <x:is>
          <x:t xml:space="preserve">AAPL</x:t>
        </x:is>
      </x:c>
      <x:c r="E803" s="160" t="inlineStr">
        <x:is>
          <x:t xml:space="preserve">Consumer</x:t>
        </x:is>
      </x:c>
      <x:c r="F803" s="160" t="inlineStr">
        <x:is>
          <x:t xml:space="preserve">Development</x:t>
        </x:is>
      </x:c>
      <x:c r="G803" s="160" t="inlineStr">
        <x:is>
          <x:t xml:space="preserve">S14</x:t>
        </x:is>
      </x:c>
      <x:c r="H803" s="160" t="inlineStr">
        <x:is>
          <x:t xml:space="preserve">M&amp;A / Organic Growth Separation</x:t>
        </x:is>
      </x:c>
      <x:c r="I803" s="160" t="inlineStr">
        <x:is>
          <x:t xml:space="preserve">Stewardship</x:t>
        </x:is>
      </x:c>
      <x:c r="J803" s="160" t="inlineStr">
        <x:is>
          <x:t xml:space="preserve">Acquisition-driven growth masks weak organic economics or poor incremental ROIC.</x:t>
        </x:is>
      </x:c>
      <x:c r="K803" s="160" t="inlineStr">
        <x:is>
          <x:t xml:space="preserve">Installed device base × replacement × services attach</x:t>
        </x:is>
      </x:c>
      <x:c r="L803" s="160" t="inlineStr">
        <x:is>
          <x:t xml:space="preserve">Owner earnings + reverse DCF</x:t>
        </x:is>
      </x:c>
      <x:c r="M803" s="160" t="inlineStr">
        <x:is>
          <x:t xml:space="preserve">WAIT FOR PRICE</x:t>
        </x:is>
      </x:c>
      <x:c r="N803" s="160" t="inlineStr">
        <x:is>
          <x:t xml:space="preserve">R-MA-01</x:t>
        </x:is>
      </x:c>
      <x:c r="O803" s="160" t="inlineStr">
        <x:is>
          <x:t xml:space="preserve">COUNTER-EVIDENCE</x:t>
        </x:is>
      </x:c>
      <x:c r="P803" s="160" t="inlineStr">
        <x:is>
          <x:t xml:space="preserve">ROBUST</x:t>
        </x:is>
      </x:c>
      <x:c r="Q803" s="160" t="inlineStr">
        <x:is>
          <x:t xml:space="preserve">The mature simulation rule catches the stress without weakening a fatal gate; no rule relaxation is justified.</x:t>
        </x:is>
      </x:c>
      <x:c r="R803" s="160" t="inlineStr">
        <x:is>
          <x:t xml:space="preserve">Bridge organic growth, acquired growth, purchase price, integration costs and acquisition-cohort ROIC.</x:t>
        </x:is>
      </x:c>
      <x:c r="S803" s="160" t="inlineStr">
        <x:is>
          <x:t xml:space="preserve">YES — SIMULATION ONLY</x:t>
        </x:is>
      </x:c>
      <x:c r="T803" s="160" t="inlineStr">
        <x:is>
          <x:t xml:space="preserve">MATURE</x:t>
        </x:is>
      </x:c>
      <x:c r="U803" s="160" t="inlineStr">
        <x:is>
          <x:t xml:space="preserve">V10.5-SIM77</x:t>
        </x:is>
      </x:c>
      <x:c r="V803" s="160" t="inlineStr">
        <x:is>
          <x:t xml:space="preserve">https://investor.apple.com</x:t>
        </x:is>
      </x:c>
      <x:c r="W803" s="160" t="inlineStr">
        <x:is>
          <x:t xml:space="preserve">NO</x:t>
        </x:is>
      </x:c>
      <x:c r="X803" s="160" t="inlineStr">
        <x:is>
          <x:t xml:space="preserve">NONE — DEVELOPMENT ONLY</x:t>
        </x:is>
      </x:c>
      <x:c r="Y803" s="160" t="inlineStr">
        <x:is>
          <x:t xml:space="preserve">Synthetic/adversarial model-development loop. No historical outcome is claimed; no accuracy point is awarded.</x:t>
        </x:is>
      </x:c>
    </x:row>
    <x:row r="804">
      <x:c r="A804" s="160" t="inlineStr">
        <x:is>
          <x:t xml:space="preserve">ML0799</x:t>
        </x:is>
      </x:c>
      <x:c r="B804" s="160" t="inlineStr">
        <x:is>
          <x:t xml:space="preserve">ARG-050</x:t>
        </x:is>
      </x:c>
      <x:c r="C804" s="160" t="inlineStr">
        <x:is>
          <x:t xml:space="preserve">Apple</x:t>
        </x:is>
      </x:c>
      <x:c r="D804" s="160" t="inlineStr">
        <x:is>
          <x:t xml:space="preserve">AAPL</x:t>
        </x:is>
      </x:c>
      <x:c r="E804" s="160" t="inlineStr">
        <x:is>
          <x:t xml:space="preserve">Consumer</x:t>
        </x:is>
      </x:c>
      <x:c r="F804" s="160" t="inlineStr">
        <x:is>
          <x:t xml:space="preserve">Development</x:t>
        </x:is>
      </x:c>
      <x:c r="G804" s="160" t="inlineStr">
        <x:is>
          <x:t xml:space="preserve">S15</x:t>
        </x:is>
      </x:c>
      <x:c r="H804" s="160" t="inlineStr">
        <x:is>
          <x:t xml:space="preserve">Financing / Dilution Per Share</x:t>
        </x:is>
      </x:c>
      <x:c r="I804" s="160" t="inlineStr">
        <x:is>
          <x:t xml:space="preserve">Stewardship</x:t>
        </x:is>
      </x:c>
      <x:c r="J804" s="160" t="inlineStr">
        <x:is>
          <x:t xml:space="preserve">Cash balance or revenue growth improves while financing causes material per-share value leakage.</x:t>
        </x:is>
      </x:c>
      <x:c r="K804" s="160" t="inlineStr">
        <x:is>
          <x:t xml:space="preserve">Installed device base × replacement × services attach</x:t>
        </x:is>
      </x:c>
      <x:c r="L804" s="160" t="inlineStr">
        <x:is>
          <x:t xml:space="preserve">Owner earnings + reverse DCF</x:t>
        </x:is>
      </x:c>
      <x:c r="M804" s="160" t="inlineStr">
        <x:is>
          <x:t xml:space="preserve">WAIT FOR PRICE</x:t>
        </x:is>
      </x:c>
      <x:c r="N804" s="160" t="inlineStr">
        <x:is>
          <x:t xml:space="preserve">R-DIL-01</x:t>
        </x:is>
      </x:c>
      <x:c r="O804" s="160" t="inlineStr">
        <x:is>
          <x:t xml:space="preserve">COUNTER-EVIDENCE</x:t>
        </x:is>
      </x:c>
      <x:c r="P804" s="160" t="inlineStr">
        <x:is>
          <x:t xml:space="preserve">ROBUST</x:t>
        </x:is>
      </x:c>
      <x:c r="Q804" s="160" t="inlineStr">
        <x:is>
          <x:t xml:space="preserve">The mature simulation rule catches the stress without weakening a fatal gate; no rule relaxation is justified.</x:t>
        </x:is>
      </x:c>
      <x:c r="R804" s="160" t="inlineStr">
        <x:is>
          <x:t xml:space="preserve">Reconcile share-count growth, SBC, equity issuance, buybacks and net cash changes to per-share intrinsic value.</x:t>
        </x:is>
      </x:c>
      <x:c r="S804" s="160" t="inlineStr">
        <x:is>
          <x:t xml:space="preserve">YES — SIMULATION ONLY</x:t>
        </x:is>
      </x:c>
      <x:c r="T804" s="160" t="inlineStr">
        <x:is>
          <x:t xml:space="preserve">MATURE</x:t>
        </x:is>
      </x:c>
      <x:c r="U804" s="160" t="inlineStr">
        <x:is>
          <x:t xml:space="preserve">V10.5-SIM78</x:t>
        </x:is>
      </x:c>
      <x:c r="V804" s="160" t="inlineStr">
        <x:is>
          <x:t xml:space="preserve">https://investor.apple.com</x:t>
        </x:is>
      </x:c>
      <x:c r="W804" s="160" t="inlineStr">
        <x:is>
          <x:t xml:space="preserve">NO</x:t>
        </x:is>
      </x:c>
      <x:c r="X804" s="160" t="inlineStr">
        <x:is>
          <x:t xml:space="preserve">NONE — DEVELOPMENT ONLY</x:t>
        </x:is>
      </x:c>
      <x:c r="Y804" s="160" t="inlineStr">
        <x:is>
          <x:t xml:space="preserve">Synthetic/adversarial model-development loop. No historical outcome is claimed; no accuracy point is awarded.</x:t>
        </x:is>
      </x:c>
    </x:row>
    <x:row r="805">
      <x:c r="A805" s="160" t="inlineStr">
        <x:is>
          <x:t xml:space="preserve">ML0800</x:t>
        </x:is>
      </x:c>
      <x:c r="B805" s="160" t="inlineStr">
        <x:is>
          <x:t xml:space="preserve">ARG-050</x:t>
        </x:is>
      </x:c>
      <x:c r="C805" s="160" t="inlineStr">
        <x:is>
          <x:t xml:space="preserve">Apple</x:t>
        </x:is>
      </x:c>
      <x:c r="D805" s="160" t="inlineStr">
        <x:is>
          <x:t xml:space="preserve">AAPL</x:t>
        </x:is>
      </x:c>
      <x:c r="E805" s="160" t="inlineStr">
        <x:is>
          <x:t xml:space="preserve">Consumer</x:t>
        </x:is>
      </x:c>
      <x:c r="F805" s="160" t="inlineStr">
        <x:is>
          <x:t xml:space="preserve">Development</x:t>
        </x:is>
      </x:c>
      <x:c r="G805" s="160" t="inlineStr">
        <x:is>
          <x:t xml:space="preserve">S16</x:t>
        </x:is>
      </x:c>
      <x:c r="H805" s="160" t="inlineStr">
        <x:is>
          <x:t xml:space="preserve">Concentration / Tail Risk</x:t>
        </x:is>
      </x:c>
      <x:c r="I805" s="160" t="inlineStr">
        <x:is>
          <x:t xml:space="preserve">Survival</x:t>
        </x:is>
      </x:c>
      <x:c r="J805" s="160" t="inlineStr">
        <x:is>
          <x:t xml:space="preserve">A concentrated supplier, geography, customer, product, patent, regulatory or technology dependency creates asymmetric permanent-loss risk.</x:t>
        </x:is>
      </x:c>
      <x:c r="K805" s="160" t="inlineStr">
        <x:is>
          <x:t xml:space="preserve">Installed device base × replacement × services attach</x:t>
        </x:is>
      </x:c>
      <x:c r="L805" s="160" t="inlineStr">
        <x:is>
          <x:t xml:space="preserve">Owner earnings + reverse DCF</x:t>
        </x:is>
      </x:c>
      <x:c r="M805" s="160" t="inlineStr">
        <x:is>
          <x:t xml:space="preserve">WAIT FOR PRICE</x:t>
        </x:is>
      </x:c>
      <x:c r="N805" s="160" t="inlineStr">
        <x:is>
          <x:t xml:space="preserve">R-TAIL-01</x:t>
        </x:is>
      </x:c>
      <x:c r="O805" s="160" t="inlineStr">
        <x:is>
          <x:t xml:space="preserve">COUNTER-EVIDENCE</x:t>
        </x:is>
      </x:c>
      <x:c r="P805" s="160" t="inlineStr">
        <x:is>
          <x:t xml:space="preserve">ROBUST</x:t>
        </x:is>
      </x:c>
      <x:c r="Q805" s="160" t="inlineStr">
        <x:is>
          <x:t xml:space="preserve">The mature simulation rule catches the stress without weakening a fatal gate; no rule relaxation is justified.</x:t>
        </x:is>
      </x:c>
      <x:c r="R805" s="160" t="inlineStr">
        <x:is>
          <x:t xml:space="preserve">Maintain an explicit concentration/tail-risk register with probability, severity, mitigation and required margin-of-safety premium.</x:t>
        </x:is>
      </x:c>
      <x:c r="S805" s="160" t="inlineStr">
        <x:is>
          <x:t xml:space="preserve">YES — SIMULATION ONLY</x:t>
        </x:is>
      </x:c>
      <x:c r="T805" s="160" t="inlineStr">
        <x:is>
          <x:t xml:space="preserve">MATURE</x:t>
        </x:is>
      </x:c>
      <x:c r="U805" s="160" t="inlineStr">
        <x:is>
          <x:t xml:space="preserve">V10.5-SIM79</x:t>
        </x:is>
      </x:c>
      <x:c r="V805" s="160" t="inlineStr">
        <x:is>
          <x:t xml:space="preserve">https://investor.apple.com</x:t>
        </x:is>
      </x:c>
      <x:c r="W805" s="160" t="inlineStr">
        <x:is>
          <x:t xml:space="preserve">NO</x:t>
        </x:is>
      </x:c>
      <x:c r="X805" s="160" t="inlineStr">
        <x:is>
          <x:t xml:space="preserve">NONE — DEVELOPMENT ONLY</x:t>
        </x:is>
      </x:c>
      <x:c r="Y805" s="160" t="inlineStr">
        <x:is>
          <x:t xml:space="preserve">Synthetic/adversarial model-development loop. No historical outcome is claimed; no accuracy point is awarded.</x:t>
        </x:is>
      </x:c>
    </x:row>
    <x:row r="806">
      <x:c r="A806" s="160" t="inlineStr">
        <x:is>
          <x:t xml:space="preserve">ML0801</x:t>
        </x:is>
      </x:c>
      <x:c r="B806" s="160" t="inlineStr">
        <x:is>
          <x:t xml:space="preserve">ARG-051</x:t>
        </x:is>
      </x:c>
      <x:c r="C806" s="160" t="inlineStr">
        <x:is>
          <x:t xml:space="preserve">DHT Holdings</x:t>
        </x:is>
      </x:c>
      <x:c r="D806" s="160" t="inlineStr">
        <x:is>
          <x:t xml:space="preserve">DHT</x:t>
        </x:is>
      </x:c>
      <x:c r="E806" s="160" t="inlineStr">
        <x:is>
          <x:t xml:space="preserve">Shipping</x:t>
        </x:is>
      </x:c>
      <x:c r="F806" s="160" t="inlineStr">
        <x:is>
          <x:t xml:space="preserve">Development</x:t>
        </x:is>
      </x:c>
      <x:c r="G806" s="160" t="inlineStr">
        <x:is>
          <x:t xml:space="preserve">S01</x:t>
        </x:is>
      </x:c>
      <x:c r="H806" s="160" t="inlineStr">
        <x:is>
          <x:t xml:space="preserve">Understanding Gate</x:t>
        </x:is>
      </x:c>
      <x:c r="I806" s="160" t="inlineStr">
        <x:is>
          <x:t xml:space="preserve">Understanding</x:t>
        </x:is>
      </x:c>
      <x:c r="J806" s="160" t="inlineStr">
        <x:is>
          <x:t xml:space="preserve">Causal engine / customer ROI chain breaks under a misleading headline KPI.</x:t>
        </x:is>
      </x:c>
      <x:c r="K806" s="160" t="inlineStr">
        <x:is>
          <x:t xml:space="preserve">VLCC earning days × TCE − opex/capex/interest</x:t>
        </x:is>
      </x:c>
      <x:c r="L806" s="160" t="inlineStr">
        <x:is>
          <x:t xml:space="preserve">NAV + normalized TCE</x:t>
        </x:is>
      </x:c>
      <x:c r="M806" s="160" t="inlineStr">
        <x:is>
          <x:t xml:space="preserve">NO PRODUCTION DECISION — STRESS TEST ONLY</x:t>
        </x:is>
      </x:c>
      <x:c r="N806" s="160" t="inlineStr">
        <x:is>
          <x:t xml:space="preserve">R-ENG-01</x:t>
        </x:is>
      </x:c>
      <x:c r="O806" s="160" t="inlineStr">
        <x:is>
          <x:t xml:space="preserve">MATURE</x:t>
        </x:is>
      </x:c>
      <x:c r="P806" s="160" t="inlineStr">
        <x:is>
          <x:t xml:space="preserve">ROBUST</x:t>
        </x:is>
      </x:c>
      <x:c r="Q806" s="160" t="inlineStr">
        <x:is>
          <x:t xml:space="preserve">The mature simulation rule catches the stress without weakening a fatal gate; no rule relaxation is justified.</x:t>
        </x:is>
      </x:c>
      <x:c r="R806" s="160" t="inlineStr">
        <x:is>
          <x:t xml:space="preserve">Force an explicit engine tree: customer job → unit economics → revenue driver → owner-value bridge.</x:t>
        </x:is>
      </x:c>
      <x:c r="S806" s="160" t="inlineStr">
        <x:is>
          <x:t xml:space="preserve">NO</x:t>
        </x:is>
      </x:c>
      <x:c r="T806" s="160" t="inlineStr">
        <x:is>
          <x:t xml:space="preserve">MATURE</x:t>
        </x:is>
      </x:c>
      <x:c r="U806" s="160" t="inlineStr">
        <x:is>
          <x:t xml:space="preserve">V10.5-SIM79</x:t>
        </x:is>
      </x:c>
      <x:c r="V806" s="160" t="inlineStr">
        <x:is>
          <x:t xml:space="preserve">https://www.dhtankers.com/investor-relations</x:t>
        </x:is>
      </x:c>
      <x:c r="W806" s="160" t="inlineStr">
        <x:is>
          <x:t xml:space="preserve">NO</x:t>
        </x:is>
      </x:c>
      <x:c r="X806" s="160" t="inlineStr">
        <x:is>
          <x:t xml:space="preserve">NONE — DEVELOPMENT ONLY</x:t>
        </x:is>
      </x:c>
      <x:c r="Y806" s="160" t="inlineStr">
        <x:is>
          <x:t xml:space="preserve">Synthetic/adversarial model-development loop. No historical outcome is claimed; no accuracy point is awarded.</x:t>
        </x:is>
      </x:c>
    </x:row>
    <x:row r="807">
      <x:c r="A807" s="160" t="inlineStr">
        <x:is>
          <x:t xml:space="preserve">ML0802</x:t>
        </x:is>
      </x:c>
      <x:c r="B807" s="160" t="inlineStr">
        <x:is>
          <x:t xml:space="preserve">ARG-051</x:t>
        </x:is>
      </x:c>
      <x:c r="C807" s="160" t="inlineStr">
        <x:is>
          <x:t xml:space="preserve">DHT Holdings</x:t>
        </x:is>
      </x:c>
      <x:c r="D807" s="160" t="inlineStr">
        <x:is>
          <x:t xml:space="preserve">DHT</x:t>
        </x:is>
      </x:c>
      <x:c r="E807" s="160" t="inlineStr">
        <x:is>
          <x:t xml:space="preserve">Shipping</x:t>
        </x:is>
      </x:c>
      <x:c r="F807" s="160" t="inlineStr">
        <x:is>
          <x:t xml:space="preserve">Development</x:t>
        </x:is>
      </x:c>
      <x:c r="G807" s="160" t="inlineStr">
        <x:is>
          <x:t xml:space="preserve">S02</x:t>
        </x:is>
      </x:c>
      <x:c r="H807" s="160" t="inlineStr">
        <x:is>
          <x:t xml:space="preserve">Owner Earnings Normalization</x:t>
        </x:is>
      </x:c>
      <x:c r="I807" s="160" t="inlineStr">
        <x:is>
          <x:t xml:space="preserve">Owner Earnings</x:t>
        </x:is>
      </x:c>
      <x:c r="J807" s="160" t="inlineStr">
        <x:is>
          <x:t xml:space="preserve">Reported earnings/FCF overstates economic cash because recurring reinvestment or non-cash compensation is misclassified.</x:t>
        </x:is>
      </x:c>
      <x:c r="K807" s="160" t="inlineStr">
        <x:is>
          <x:t xml:space="preserve">VLCC earning days × TCE − opex/capex/interest</x:t>
        </x:is>
      </x:c>
      <x:c r="L807" s="160" t="inlineStr">
        <x:is>
          <x:t xml:space="preserve">NAV + normalized TCE</x:t>
        </x:is>
      </x:c>
      <x:c r="M807" s="160" t="inlineStr">
        <x:is>
          <x:t xml:space="preserve">NO PRODUCTION DECISION — STRESS TEST ONLY</x:t>
        </x:is>
      </x:c>
      <x:c r="N807" s="160" t="inlineStr">
        <x:is>
          <x:t xml:space="preserve">R-OE-01</x:t>
        </x:is>
      </x:c>
      <x:c r="O807" s="160" t="inlineStr">
        <x:is>
          <x:t xml:space="preserve">MATURE</x:t>
        </x:is>
      </x:c>
      <x:c r="P807" s="160" t="inlineStr">
        <x:is>
          <x:t xml:space="preserve">ROBUST</x:t>
        </x:is>
      </x:c>
      <x:c r="Q807" s="160" t="inlineStr">
        <x:is>
          <x:t xml:space="preserve">The mature simulation rule catches the stress without weakening a fatal gate; no rule relaxation is justified.</x:t>
        </x:is>
      </x:c>
      <x:c r="R807" s="160" t="inlineStr">
        <x:is>
          <x:t xml:space="preserve">Require a GAAP-to-economic-owner-cash bridge tailored to the business model.</x:t>
        </x:is>
      </x:c>
      <x:c r="S807" s="160" t="inlineStr">
        <x:is>
          <x:t xml:space="preserve">NO</x:t>
        </x:is>
      </x:c>
      <x:c r="T807" s="160" t="inlineStr">
        <x:is>
          <x:t xml:space="preserve">MATURE</x:t>
        </x:is>
      </x:c>
      <x:c r="U807" s="160" t="inlineStr">
        <x:is>
          <x:t xml:space="preserve">V10.5-SIM79</x:t>
        </x:is>
      </x:c>
      <x:c r="V807" s="160" t="inlineStr">
        <x:is>
          <x:t xml:space="preserve">https://www.dhtankers.com/investor-relations</x:t>
        </x:is>
      </x:c>
      <x:c r="W807" s="160" t="inlineStr">
        <x:is>
          <x:t xml:space="preserve">NO</x:t>
        </x:is>
      </x:c>
      <x:c r="X807" s="160" t="inlineStr">
        <x:is>
          <x:t xml:space="preserve">NONE — DEVELOPMENT ONLY</x:t>
        </x:is>
      </x:c>
      <x:c r="Y807" s="160" t="inlineStr">
        <x:is>
          <x:t xml:space="preserve">Synthetic/adversarial model-development loop. No historical outcome is claimed; no accuracy point is awarded.</x:t>
        </x:is>
      </x:c>
    </x:row>
    <x:row r="808">
      <x:c r="A808" s="160" t="inlineStr">
        <x:is>
          <x:t xml:space="preserve">ML0803</x:t>
        </x:is>
      </x:c>
      <x:c r="B808" s="160" t="inlineStr">
        <x:is>
          <x:t xml:space="preserve">ARG-051</x:t>
        </x:is>
      </x:c>
      <x:c r="C808" s="160" t="inlineStr">
        <x:is>
          <x:t xml:space="preserve">DHT Holdings</x:t>
        </x:is>
      </x:c>
      <x:c r="D808" s="160" t="inlineStr">
        <x:is>
          <x:t xml:space="preserve">DHT</x:t>
        </x:is>
      </x:c>
      <x:c r="E808" s="160" t="inlineStr">
        <x:is>
          <x:t xml:space="preserve">Shipping</x:t>
        </x:is>
      </x:c>
      <x:c r="F808" s="160" t="inlineStr">
        <x:is>
          <x:t xml:space="preserve">Development</x:t>
        </x:is>
      </x:c>
      <x:c r="G808" s="160" t="inlineStr">
        <x:is>
          <x:t xml:space="preserve">S03</x:t>
        </x:is>
      </x:c>
      <x:c r="H808" s="160" t="inlineStr">
        <x:is>
          <x:t xml:space="preserve">Moat Durability</x:t>
        </x:is>
      </x:c>
      <x:c r="I808" s="160" t="inlineStr">
        <x:is>
          <x:t xml:space="preserve">Moat 2036</x:t>
        </x:is>
      </x:c>
      <x:c r="J808" s="160" t="inlineStr">
        <x:is>
          <x:t xml:space="preserve">Growth continues while switching friction, pricing power or replacement difficulty quietly weakens.</x:t>
        </x:is>
      </x:c>
      <x:c r="K808" s="160" t="inlineStr">
        <x:is>
          <x:t xml:space="preserve">VLCC earning days × TCE − opex/capex/interest</x:t>
        </x:is>
      </x:c>
      <x:c r="L808" s="160" t="inlineStr">
        <x:is>
          <x:t xml:space="preserve">NAV + normalized TCE</x:t>
        </x:is>
      </x:c>
      <x:c r="M808" s="160" t="inlineStr">
        <x:is>
          <x:t xml:space="preserve">NO PRODUCTION DECISION — STRESS TEST ONLY</x:t>
        </x:is>
      </x:c>
      <x:c r="N808" s="160" t="inlineStr">
        <x:is>
          <x:t xml:space="preserve">R-MOAT-01</x:t>
        </x:is>
      </x:c>
      <x:c r="O808" s="160" t="inlineStr">
        <x:is>
          <x:t xml:space="preserve">MATURE</x:t>
        </x:is>
      </x:c>
      <x:c r="P808" s="160" t="inlineStr">
        <x:is>
          <x:t xml:space="preserve">ROBUST</x:t>
        </x:is>
      </x:c>
      <x:c r="Q808" s="160" t="inlineStr">
        <x:is>
          <x:t xml:space="preserve">The mature simulation rule catches the stress without weakening a fatal gate; no rule relaxation is justified.</x:t>
        </x:is>
      </x:c>
      <x:c r="R808" s="160" t="inlineStr">
        <x:is>
          <x:t xml:space="preserve">Track moat telemetry separately from growth: retention, pricing, win/loss, replacement friction, installed-base behavior.</x:t>
        </x:is>
      </x:c>
      <x:c r="S808" s="160" t="inlineStr">
        <x:is>
          <x:t xml:space="preserve">NO</x:t>
        </x:is>
      </x:c>
      <x:c r="T808" s="160" t="inlineStr">
        <x:is>
          <x:t xml:space="preserve">MATURE</x:t>
        </x:is>
      </x:c>
      <x:c r="U808" s="160" t="inlineStr">
        <x:is>
          <x:t xml:space="preserve">V10.5-SIM79</x:t>
        </x:is>
      </x:c>
      <x:c r="V808" s="160" t="inlineStr">
        <x:is>
          <x:t xml:space="preserve">https://www.dhtankers.com/investor-relations</x:t>
        </x:is>
      </x:c>
      <x:c r="W808" s="160" t="inlineStr">
        <x:is>
          <x:t xml:space="preserve">NO</x:t>
        </x:is>
      </x:c>
      <x:c r="X808" s="160" t="inlineStr">
        <x:is>
          <x:t xml:space="preserve">NONE — DEVELOPMENT ONLY</x:t>
        </x:is>
      </x:c>
      <x:c r="Y808" s="160" t="inlineStr">
        <x:is>
          <x:t xml:space="preserve">Synthetic/adversarial model-development loop. No historical outcome is claimed; no accuracy point is awarded.</x:t>
        </x:is>
      </x:c>
    </x:row>
    <x:row r="809">
      <x:c r="A809" s="160" t="inlineStr">
        <x:is>
          <x:t xml:space="preserve">ML0804</x:t>
        </x:is>
      </x:c>
      <x:c r="B809" s="160" t="inlineStr">
        <x:is>
          <x:t xml:space="preserve">ARG-051</x:t>
        </x:is>
      </x:c>
      <x:c r="C809" s="160" t="inlineStr">
        <x:is>
          <x:t xml:space="preserve">DHT Holdings</x:t>
        </x:is>
      </x:c>
      <x:c r="D809" s="160" t="inlineStr">
        <x:is>
          <x:t xml:space="preserve">DHT</x:t>
        </x:is>
      </x:c>
      <x:c r="E809" s="160" t="inlineStr">
        <x:is>
          <x:t xml:space="preserve">Shipping</x:t>
        </x:is>
      </x:c>
      <x:c r="F809" s="160" t="inlineStr">
        <x:is>
          <x:t xml:space="preserve">Development</x:t>
        </x:is>
      </x:c>
      <x:c r="G809" s="160" t="inlineStr">
        <x:is>
          <x:t xml:space="preserve">S04</x:t>
        </x:is>
      </x:c>
      <x:c r="H809" s="160" t="inlineStr">
        <x:is>
          <x:t xml:space="preserve">Stewardship / Capital Allocation</x:t>
        </x:is>
      </x:c>
      <x:c r="I809" s="160" t="inlineStr">
        <x:is>
          <x:t xml:space="preserve">Stewardship</x:t>
        </x:is>
      </x:c>
      <x:c r="J809" s="160" t="inlineStr">
        <x:is>
          <x:t xml:space="preserve">Management creates enterprise growth while destroying per-share value through M&amp;A, dilution, leverage or mistimed buybacks.</x:t>
        </x:is>
      </x:c>
      <x:c r="K809" s="160" t="inlineStr">
        <x:is>
          <x:t xml:space="preserve">VLCC earning days × TCE − opex/capex/interest</x:t>
        </x:is>
      </x:c>
      <x:c r="L809" s="160" t="inlineStr">
        <x:is>
          <x:t xml:space="preserve">NAV + normalized TCE</x:t>
        </x:is>
      </x:c>
      <x:c r="M809" s="160" t="inlineStr">
        <x:is>
          <x:t xml:space="preserve">NO PRODUCTION DECISION — STRESS TEST ONLY</x:t>
        </x:is>
      </x:c>
      <x:c r="N809" s="160" t="inlineStr">
        <x:is>
          <x:t xml:space="preserve">R-STEW-01</x:t>
        </x:is>
      </x:c>
      <x:c r="O809" s="160" t="inlineStr">
        <x:is>
          <x:t xml:space="preserve">MATURE</x:t>
        </x:is>
      </x:c>
      <x:c r="P809" s="160" t="inlineStr">
        <x:is>
          <x:t xml:space="preserve">ROBUST</x:t>
        </x:is>
      </x:c>
      <x:c r="Q809" s="160" t="inlineStr">
        <x:is>
          <x:t xml:space="preserve">The mature simulation rule catches the stress without weakening a fatal gate; no rule relaxation is justified.</x:t>
        </x:is>
      </x:c>
      <x:c r="R809" s="160" t="inlineStr">
        <x:is>
          <x:t xml:space="preserve">Evaluate capital allocation on a per-share basis using acquisition cohorts, dilution, leverage and repurchase price discipline.</x:t>
        </x:is>
      </x:c>
      <x:c r="S809" s="160" t="inlineStr">
        <x:is>
          <x:t xml:space="preserve">NO</x:t>
        </x:is>
      </x:c>
      <x:c r="T809" s="160" t="inlineStr">
        <x:is>
          <x:t xml:space="preserve">MATURE</x:t>
        </x:is>
      </x:c>
      <x:c r="U809" s="160" t="inlineStr">
        <x:is>
          <x:t xml:space="preserve">V10.5-SIM79</x:t>
        </x:is>
      </x:c>
      <x:c r="V809" s="160" t="inlineStr">
        <x:is>
          <x:t xml:space="preserve">https://www.dhtankers.com/investor-relations</x:t>
        </x:is>
      </x:c>
      <x:c r="W809" s="160" t="inlineStr">
        <x:is>
          <x:t xml:space="preserve">NO</x:t>
        </x:is>
      </x:c>
      <x:c r="X809" s="160" t="inlineStr">
        <x:is>
          <x:t xml:space="preserve">NONE — DEVELOPMENT ONLY</x:t>
        </x:is>
      </x:c>
      <x:c r="Y809" s="160" t="inlineStr">
        <x:is>
          <x:t xml:space="preserve">Synthetic/adversarial model-development loop. No historical outcome is claimed; no accuracy point is awarded.</x:t>
        </x:is>
      </x:c>
    </x:row>
    <x:row r="810">
      <x:c r="A810" s="160" t="inlineStr">
        <x:is>
          <x:t xml:space="preserve">ML0805</x:t>
        </x:is>
      </x:c>
      <x:c r="B810" s="160" t="inlineStr">
        <x:is>
          <x:t xml:space="preserve">ARG-051</x:t>
        </x:is>
      </x:c>
      <x:c r="C810" s="160" t="inlineStr">
        <x:is>
          <x:t xml:space="preserve">DHT Holdings</x:t>
        </x:is>
      </x:c>
      <x:c r="D810" s="160" t="inlineStr">
        <x:is>
          <x:t xml:space="preserve">DHT</x:t>
        </x:is>
      </x:c>
      <x:c r="E810" s="160" t="inlineStr">
        <x:is>
          <x:t xml:space="preserve">Shipping</x:t>
        </x:is>
      </x:c>
      <x:c r="F810" s="160" t="inlineStr">
        <x:is>
          <x:t xml:space="preserve">Development</x:t>
        </x:is>
      </x:c>
      <x:c r="G810" s="160" t="inlineStr">
        <x:is>
          <x:t xml:space="preserve">S05</x:t>
        </x:is>
      </x:c>
      <x:c r="H810" s="160" t="inlineStr">
        <x:is>
          <x:t xml:space="preserve">Survival / Funding</x:t>
        </x:is>
      </x:c>
      <x:c r="I810" s="160" t="inlineStr">
        <x:is>
          <x:t xml:space="preserve">Survival</x:t>
        </x:is>
      </x:c>
      <x:c r="J810" s="160" t="inlineStr">
        <x:is>
          <x:t xml:space="preserve">A plausible bear case exposes refinancing, liquidity, covenant, reserve, regulatory or operational fragility.</x:t>
        </x:is>
      </x:c>
      <x:c r="K810" s="160" t="inlineStr">
        <x:is>
          <x:t xml:space="preserve">VLCC earning days × TCE − opex/capex/interest</x:t>
        </x:is>
      </x:c>
      <x:c r="L810" s="160" t="inlineStr">
        <x:is>
          <x:t xml:space="preserve">NAV + normalized TCE</x:t>
        </x:is>
      </x:c>
      <x:c r="M810" s="160" t="inlineStr">
        <x:is>
          <x:t xml:space="preserve">NO PRODUCTION DECISION — STRESS TEST ONLY</x:t>
        </x:is>
      </x:c>
      <x:c r="N810" s="160" t="inlineStr">
        <x:is>
          <x:t xml:space="preserve">R-SURV-01</x:t>
        </x:is>
      </x:c>
      <x:c r="O810" s="160" t="inlineStr">
        <x:is>
          <x:t xml:space="preserve">MATURE</x:t>
        </x:is>
      </x:c>
      <x:c r="P810" s="160" t="inlineStr">
        <x:is>
          <x:t xml:space="preserve">ROBUST</x:t>
        </x:is>
      </x:c>
      <x:c r="Q810" s="160" t="inlineStr">
        <x:is>
          <x:t xml:space="preserve">The mature simulation rule catches the stress without weakening a fatal gate; no rule relaxation is justified.</x:t>
        </x:is>
      </x:c>
      <x:c r="R810" s="160" t="inlineStr">
        <x:is>
          <x:t xml:space="preserve">Run a company-specific survival bridge under a severe-but-plausible bear case before any upside underwriting.</x:t>
        </x:is>
      </x:c>
      <x:c r="S810" s="160" t="inlineStr">
        <x:is>
          <x:t xml:space="preserve">NO</x:t>
        </x:is>
      </x:c>
      <x:c r="T810" s="160" t="inlineStr">
        <x:is>
          <x:t xml:space="preserve">MATURE</x:t>
        </x:is>
      </x:c>
      <x:c r="U810" s="160" t="inlineStr">
        <x:is>
          <x:t xml:space="preserve">V10.5-SIM79</x:t>
        </x:is>
      </x:c>
      <x:c r="V810" s="160" t="inlineStr">
        <x:is>
          <x:t xml:space="preserve">https://www.dhtankers.com/investor-relations</x:t>
        </x:is>
      </x:c>
      <x:c r="W810" s="160" t="inlineStr">
        <x:is>
          <x:t xml:space="preserve">NO</x:t>
        </x:is>
      </x:c>
      <x:c r="X810" s="160" t="inlineStr">
        <x:is>
          <x:t xml:space="preserve">NONE — DEVELOPMENT ONLY</x:t>
        </x:is>
      </x:c>
      <x:c r="Y810" s="160" t="inlineStr">
        <x:is>
          <x:t xml:space="preserve">Synthetic/adversarial model-development loop. No historical outcome is claimed; no accuracy point is awarded.</x:t>
        </x:is>
      </x:c>
    </x:row>
    <x:row r="811">
      <x:c r="A811" s="160" t="inlineStr">
        <x:is>
          <x:t xml:space="preserve">ML0806</x:t>
        </x:is>
      </x:c>
      <x:c r="B811" s="160" t="inlineStr">
        <x:is>
          <x:t xml:space="preserve">ARG-051</x:t>
        </x:is>
      </x:c>
      <x:c r="C811" s="160" t="inlineStr">
        <x:is>
          <x:t xml:space="preserve">DHT Holdings</x:t>
        </x:is>
      </x:c>
      <x:c r="D811" s="160" t="inlineStr">
        <x:is>
          <x:t xml:space="preserve">DHT</x:t>
        </x:is>
      </x:c>
      <x:c r="E811" s="160" t="inlineStr">
        <x:is>
          <x:t xml:space="preserve">Shipping</x:t>
        </x:is>
      </x:c>
      <x:c r="F811" s="160" t="inlineStr">
        <x:is>
          <x:t xml:space="preserve">Development</x:t>
        </x:is>
      </x:c>
      <x:c r="G811" s="160" t="inlineStr">
        <x:is>
          <x:t xml:space="preserve">S06</x:t>
        </x:is>
      </x:c>
      <x:c r="H811" s="160" t="inlineStr">
        <x:is>
          <x:t xml:space="preserve">Margin of Safety</x:t>
        </x:is>
      </x:c>
      <x:c r="I811" s="160" t="inlineStr">
        <x:is>
          <x:t xml:space="preserve">Margin of Safety</x:t>
        </x:is>
      </x:c>
      <x:c r="J811" s="160" t="inlineStr">
        <x:is>
          <x:t xml:space="preserve">Business quality is high but the price embeds a fragile bull case.</x:t>
        </x:is>
      </x:c>
      <x:c r="K811" s="160" t="inlineStr">
        <x:is>
          <x:t xml:space="preserve">VLCC earning days × TCE − opex/capex/interest</x:t>
        </x:is>
      </x:c>
      <x:c r="L811" s="160" t="inlineStr">
        <x:is>
          <x:t xml:space="preserve">NAV + normalized TCE</x:t>
        </x:is>
      </x:c>
      <x:c r="M811" s="160" t="inlineStr">
        <x:is>
          <x:t xml:space="preserve">NO PRODUCTION DECISION — STRESS TEST ONLY</x:t>
        </x:is>
      </x:c>
      <x:c r="N811" s="160" t="inlineStr">
        <x:is>
          <x:t xml:space="preserve">R-MOS-01</x:t>
        </x:is>
      </x:c>
      <x:c r="O811" s="160" t="inlineStr">
        <x:is>
          <x:t xml:space="preserve">MATURE</x:t>
        </x:is>
      </x:c>
      <x:c r="P811" s="160" t="inlineStr">
        <x:is>
          <x:t xml:space="preserve">ROBUST</x:t>
        </x:is>
      </x:c>
      <x:c r="Q811" s="160" t="inlineStr">
        <x:is>
          <x:t xml:space="preserve">The mature simulation rule catches the stress without weakening a fatal gate; no rule relaxation is justified.</x:t>
        </x:is>
      </x:c>
      <x:c r="R811" s="160" t="inlineStr">
        <x:is>
          <x:t xml:space="preserve">Separate business-quality score from price decision; require reverse valuation and bear/base/bull IV ranges.</x:t>
        </x:is>
      </x:c>
      <x:c r="S811" s="160" t="inlineStr">
        <x:is>
          <x:t xml:space="preserve">NO</x:t>
        </x:is>
      </x:c>
      <x:c r="T811" s="160" t="inlineStr">
        <x:is>
          <x:t xml:space="preserve">MATURE</x:t>
        </x:is>
      </x:c>
      <x:c r="U811" s="160" t="inlineStr">
        <x:is>
          <x:t xml:space="preserve">V10.5-SIM79</x:t>
        </x:is>
      </x:c>
      <x:c r="V811" s="160" t="inlineStr">
        <x:is>
          <x:t xml:space="preserve">https://www.dhtankers.com/investor-relations</x:t>
        </x:is>
      </x:c>
      <x:c r="W811" s="160" t="inlineStr">
        <x:is>
          <x:t xml:space="preserve">NO</x:t>
        </x:is>
      </x:c>
      <x:c r="X811" s="160" t="inlineStr">
        <x:is>
          <x:t xml:space="preserve">NONE — DEVELOPMENT ONLY</x:t>
        </x:is>
      </x:c>
      <x:c r="Y811" s="160" t="inlineStr">
        <x:is>
          <x:t xml:space="preserve">Synthetic/adversarial model-development loop. No historical outcome is claimed; no accuracy point is awarded.</x:t>
        </x:is>
      </x:c>
    </x:row>
    <x:row r="812">
      <x:c r="A812" s="160" t="inlineStr">
        <x:is>
          <x:t xml:space="preserve">ML0807</x:t>
        </x:is>
      </x:c>
      <x:c r="B812" s="160" t="inlineStr">
        <x:is>
          <x:t xml:space="preserve">ARG-051</x:t>
        </x:is>
      </x:c>
      <x:c r="C812" s="160" t="inlineStr">
        <x:is>
          <x:t xml:space="preserve">DHT Holdings</x:t>
        </x:is>
      </x:c>
      <x:c r="D812" s="160" t="inlineStr">
        <x:is>
          <x:t xml:space="preserve">DHT</x:t>
        </x:is>
      </x:c>
      <x:c r="E812" s="160" t="inlineStr">
        <x:is>
          <x:t xml:space="preserve">Shipping</x:t>
        </x:is>
      </x:c>
      <x:c r="F812" s="160" t="inlineStr">
        <x:is>
          <x:t xml:space="preserve">Development</x:t>
        </x:is>
      </x:c>
      <x:c r="G812" s="160" t="inlineStr">
        <x:is>
          <x:t xml:space="preserve">S07</x:t>
        </x:is>
      </x:c>
      <x:c r="H812" s="160" t="inlineStr">
        <x:is>
          <x:t xml:space="preserve">Sector Shock</x:t>
        </x:is>
      </x:c>
      <x:c r="I812" s="160" t="inlineStr">
        <x:is>
          <x:t xml:space="preserve">Sector-specific</x:t>
        </x:is>
      </x:c>
      <x:c r="J812" s="160" t="inlineStr">
        <x:is>
          <x:t xml:space="preserve">Spot TCE spikes but fleet NAV, orderbook, utilization and replacement capex imply lower normalized earnings.</x:t>
        </x:is>
      </x:c>
      <x:c r="K812" s="160" t="inlineStr">
        <x:is>
          <x:t xml:space="preserve">VLCC earning days × TCE − opex/capex/interest</x:t>
        </x:is>
      </x:c>
      <x:c r="L812" s="160" t="inlineStr">
        <x:is>
          <x:t xml:space="preserve">NAV + normalized TCE</x:t>
        </x:is>
      </x:c>
      <x:c r="M812" s="160" t="inlineStr">
        <x:is>
          <x:t xml:space="preserve">NO PRODUCTION DECISION — STRESS TEST ONLY</x:t>
        </x:is>
      </x:c>
      <x:c r="N812" s="160" t="inlineStr">
        <x:is>
          <x:t xml:space="preserve">R-SECTOR-SHIPPING</x:t>
        </x:is>
      </x:c>
      <x:c r="O812" s="160" t="inlineStr">
        <x:is>
          <x:t xml:space="preserve">UNFORMED</x:t>
        </x:is>
      </x:c>
      <x:c r="P812" s="160" t="inlineStr">
        <x:is>
          <x:t xml:space="preserve">FAILURE EXPOSED</x:t>
        </x:is>
      </x:c>
      <x:c r="Q812" s="160" t="inlineStr">
        <x:is>
          <x:t xml:space="preserve">The frozen V10 gate family is directionally right, but the test lacks a sufficiently explicit mechanical implementation.</x:t>
        </x:is>
      </x:c>
      <x:c r="R812" s="160" t="inlineStr">
        <x:is>
          <x:t xml:space="preserve">Add a sector-specific transmission map with leading operating sensors, not only market-price variables. Sector rule: Spot TCE spikes but fleet NAV, orderbook, utilization and replacement capex imply lower normalized earnings.</x:t>
        </x:is>
      </x:c>
      <x:c r="S812" s="160" t="inlineStr">
        <x:is>
          <x:t xml:space="preserve">NO</x:t>
        </x:is>
      </x:c>
      <x:c r="T812" s="160" t="inlineStr">
        <x:is>
          <x:t xml:space="preserve">UNFORMED</x:t>
        </x:is>
      </x:c>
      <x:c r="U812" s="160" t="inlineStr">
        <x:is>
          <x:t xml:space="preserve">V10.5-SIM79</x:t>
        </x:is>
      </x:c>
      <x:c r="V812" s="160" t="inlineStr">
        <x:is>
          <x:t xml:space="preserve">https://www.dhtankers.com/investor-relations</x:t>
        </x:is>
      </x:c>
      <x:c r="W812" s="160" t="inlineStr">
        <x:is>
          <x:t xml:space="preserve">NO</x:t>
        </x:is>
      </x:c>
      <x:c r="X812" s="160" t="inlineStr">
        <x:is>
          <x:t xml:space="preserve">NONE — DEVELOPMENT ONLY</x:t>
        </x:is>
      </x:c>
      <x:c r="Y812" s="160" t="inlineStr">
        <x:is>
          <x:t xml:space="preserve">Synthetic/adversarial model-development loop. No historical outcome is claimed; no accuracy point is awarded.</x:t>
        </x:is>
      </x:c>
    </x:row>
    <x:row r="813">
      <x:c r="A813" s="160" t="inlineStr">
        <x:is>
          <x:t xml:space="preserve">ML0808</x:t>
        </x:is>
      </x:c>
      <x:c r="B813" s="160" t="inlineStr">
        <x:is>
          <x:t xml:space="preserve">ARG-051</x:t>
        </x:is>
      </x:c>
      <x:c r="C813" s="160" t="inlineStr">
        <x:is>
          <x:t xml:space="preserve">DHT Holdings</x:t>
        </x:is>
      </x:c>
      <x:c r="D813" s="160" t="inlineStr">
        <x:is>
          <x:t xml:space="preserve">DHT</x:t>
        </x:is>
      </x:c>
      <x:c r="E813" s="160" t="inlineStr">
        <x:is>
          <x:t xml:space="preserve">Shipping</x:t>
        </x:is>
      </x:c>
      <x:c r="F813" s="160" t="inlineStr">
        <x:is>
          <x:t xml:space="preserve">Development</x:t>
        </x:is>
      </x:c>
      <x:c r="G813" s="160" t="inlineStr">
        <x:is>
          <x:t xml:space="preserve">S08</x:t>
        </x:is>
      </x:c>
      <x:c r="H813" s="160" t="inlineStr">
        <x:is>
          <x:t xml:space="preserve">Management Promise Reliability</x:t>
        </x:is>
      </x:c>
      <x:c r="I813" s="160" t="inlineStr">
        <x:is>
          <x:t xml:space="preserve">Management over-trust</x:t>
        </x:is>
      </x:c>
      <x:c r="J813" s="160" t="inlineStr">
        <x:is>
          <x:t xml:space="preserve">Guidance or strategic promises are repeated but the model lacks a contemporaneous reliability score.</x:t>
        </x:is>
      </x:c>
      <x:c r="K813" s="160" t="inlineStr">
        <x:is>
          <x:t xml:space="preserve">VLCC earning days × TCE − opex/capex/interest</x:t>
        </x:is>
      </x:c>
      <x:c r="L813" s="160" t="inlineStr">
        <x:is>
          <x:t xml:space="preserve">NAV + normalized TCE</x:t>
        </x:is>
      </x:c>
      <x:c r="M813" s="160" t="inlineStr">
        <x:is>
          <x:t xml:space="preserve">NO PRODUCTION DECISION — STRESS TEST ONLY</x:t>
        </x:is>
      </x:c>
      <x:c r="N813" s="160" t="inlineStr">
        <x:is>
          <x:t xml:space="preserve">R-PROM-01</x:t>
        </x:is>
      </x:c>
      <x:c r="O813" s="160" t="inlineStr">
        <x:is>
          <x:t xml:space="preserve">MATURE</x:t>
        </x:is>
      </x:c>
      <x:c r="P813" s="160" t="inlineStr">
        <x:is>
          <x:t xml:space="preserve">ROBUST</x:t>
        </x:is>
      </x:c>
      <x:c r="Q813" s="160" t="inlineStr">
        <x:is>
          <x:t xml:space="preserve">The mature simulation rule catches the stress without weakening a fatal gate; no rule relaxation is justified.</x:t>
        </x:is>
      </x:c>
      <x:c r="R813" s="160" t="inlineStr">
        <x:is>
          <x:t xml:space="preserve">Use a promises ledger with dated promise, measurable deliverable, due date, outcome and credibility weight.</x:t>
        </x:is>
      </x:c>
      <x:c r="S813" s="160" t="inlineStr">
        <x:is>
          <x:t xml:space="preserve">NO</x:t>
        </x:is>
      </x:c>
      <x:c r="T813" s="160" t="inlineStr">
        <x:is>
          <x:t xml:space="preserve">MATURE</x:t>
        </x:is>
      </x:c>
      <x:c r="U813" s="160" t="inlineStr">
        <x:is>
          <x:t xml:space="preserve">V10.5-SIM79</x:t>
        </x:is>
      </x:c>
      <x:c r="V813" s="160" t="inlineStr">
        <x:is>
          <x:t xml:space="preserve">https://www.dhtankers.com/investor-relations</x:t>
        </x:is>
      </x:c>
      <x:c r="W813" s="160" t="inlineStr">
        <x:is>
          <x:t xml:space="preserve">NO</x:t>
        </x:is>
      </x:c>
      <x:c r="X813" s="160" t="inlineStr">
        <x:is>
          <x:t xml:space="preserve">NONE — DEVELOPMENT ONLY</x:t>
        </x:is>
      </x:c>
      <x:c r="Y813" s="160" t="inlineStr">
        <x:is>
          <x:t xml:space="preserve">Synthetic/adversarial model-development loop. No historical outcome is claimed; no accuracy point is awarded.</x:t>
        </x:is>
      </x:c>
    </x:row>
    <x:row r="814">
      <x:c r="A814" s="160" t="inlineStr">
        <x:is>
          <x:t xml:space="preserve">ML0809</x:t>
        </x:is>
      </x:c>
      <x:c r="B814" s="160" t="inlineStr">
        <x:is>
          <x:t xml:space="preserve">ARG-051</x:t>
        </x:is>
      </x:c>
      <x:c r="C814" s="160" t="inlineStr">
        <x:is>
          <x:t xml:space="preserve">DHT Holdings</x:t>
        </x:is>
      </x:c>
      <x:c r="D814" s="160" t="inlineStr">
        <x:is>
          <x:t xml:space="preserve">DHT</x:t>
        </x:is>
      </x:c>
      <x:c r="E814" s="160" t="inlineStr">
        <x:is>
          <x:t xml:space="preserve">Shipping</x:t>
        </x:is>
      </x:c>
      <x:c r="F814" s="160" t="inlineStr">
        <x:is>
          <x:t xml:space="preserve">Development</x:t>
        </x:is>
      </x:c>
      <x:c r="G814" s="160" t="inlineStr">
        <x:is>
          <x:t xml:space="preserve">S09</x:t>
        </x:is>
      </x:c>
      <x:c r="H814" s="160" t="inlineStr">
        <x:is>
          <x:t xml:space="preserve">Data / Accounting Quality</x:t>
        </x:is>
      </x:c>
      <x:c r="I814" s="160" t="inlineStr">
        <x:is>
          <x:t xml:space="preserve">Data quality</x:t>
        </x:is>
      </x:c>
      <x:c r="J814" s="160" t="inlineStr">
        <x:is>
          <x:t xml:space="preserve">Restatement, segment reclassification, one-time item or non-economic fair-value movement distorts the apparent trend.</x:t>
        </x:is>
      </x:c>
      <x:c r="K814" s="160" t="inlineStr">
        <x:is>
          <x:t xml:space="preserve">VLCC earning days × TCE − opex/capex/interest</x:t>
        </x:is>
      </x:c>
      <x:c r="L814" s="160" t="inlineStr">
        <x:is>
          <x:t xml:space="preserve">NAV + normalized TCE</x:t>
        </x:is>
      </x:c>
      <x:c r="M814" s="160" t="inlineStr">
        <x:is>
          <x:t xml:space="preserve">NO PRODUCTION DECISION — STRESS TEST ONLY</x:t>
        </x:is>
      </x:c>
      <x:c r="N814" s="160" t="inlineStr">
        <x:is>
          <x:t xml:space="preserve">R-DATA-01</x:t>
        </x:is>
      </x:c>
      <x:c r="O814" s="160" t="inlineStr">
        <x:is>
          <x:t xml:space="preserve">MATURE</x:t>
        </x:is>
      </x:c>
      <x:c r="P814" s="160" t="inlineStr">
        <x:is>
          <x:t xml:space="preserve">ROBUST</x:t>
        </x:is>
      </x:c>
      <x:c r="Q814" s="160" t="inlineStr">
        <x:is>
          <x:t xml:space="preserve">The mature simulation rule catches the stress without weakening a fatal gate; no rule relaxation is justified.</x:t>
        </x:is>
      </x:c>
      <x:c r="R814" s="160" t="inlineStr">
        <x:is>
          <x:t xml:space="preserve">Add a reporting-quality bridge and normalize accounting noise before any gate can pass.</x:t>
        </x:is>
      </x:c>
      <x:c r="S814" s="160" t="inlineStr">
        <x:is>
          <x:t xml:space="preserve">NO</x:t>
        </x:is>
      </x:c>
      <x:c r="T814" s="160" t="inlineStr">
        <x:is>
          <x:t xml:space="preserve">MATURE</x:t>
        </x:is>
      </x:c>
      <x:c r="U814" s="160" t="inlineStr">
        <x:is>
          <x:t xml:space="preserve">V10.5-SIM79</x:t>
        </x:is>
      </x:c>
      <x:c r="V814" s="160" t="inlineStr">
        <x:is>
          <x:t xml:space="preserve">https://www.dhtankers.com/investor-relations</x:t>
        </x:is>
      </x:c>
      <x:c r="W814" s="160" t="inlineStr">
        <x:is>
          <x:t xml:space="preserve">NO</x:t>
        </x:is>
      </x:c>
      <x:c r="X814" s="160" t="inlineStr">
        <x:is>
          <x:t xml:space="preserve">NONE — DEVELOPMENT ONLY</x:t>
        </x:is>
      </x:c>
      <x:c r="Y814" s="160" t="inlineStr">
        <x:is>
          <x:t xml:space="preserve">Synthetic/adversarial model-development loop. No historical outcome is claimed; no accuracy point is awarded.</x:t>
        </x:is>
      </x:c>
    </x:row>
    <x:row r="815">
      <x:c r="A815" s="160" t="inlineStr">
        <x:is>
          <x:t xml:space="preserve">ML0810</x:t>
        </x:is>
      </x:c>
      <x:c r="B815" s="160" t="inlineStr">
        <x:is>
          <x:t xml:space="preserve">ARG-051</x:t>
        </x:is>
      </x:c>
      <x:c r="C815" s="160" t="inlineStr">
        <x:is>
          <x:t xml:space="preserve">DHT Holdings</x:t>
        </x:is>
      </x:c>
      <x:c r="D815" s="160" t="inlineStr">
        <x:is>
          <x:t xml:space="preserve">DHT</x:t>
        </x:is>
      </x:c>
      <x:c r="E815" s="160" t="inlineStr">
        <x:is>
          <x:t xml:space="preserve">Shipping</x:t>
        </x:is>
      </x:c>
      <x:c r="F815" s="160" t="inlineStr">
        <x:is>
          <x:t xml:space="preserve">Development</x:t>
        </x:is>
      </x:c>
      <x:c r="G815" s="160" t="inlineStr">
        <x:is>
          <x:t xml:space="preserve">S10</x:t>
        </x:is>
      </x:c>
      <x:c r="H815" s="160" t="inlineStr">
        <x:is>
          <x:t xml:space="preserve">Control / Counterfactual</x:t>
        </x:is>
      </x:c>
      <x:c r="I815" s="160" t="inlineStr">
        <x:is>
          <x:t xml:space="preserve">Sector beta vs company alpha</x:t>
        </x:is>
      </x:c>
      <x:c r="J815" s="160" t="inlineStr">
        <x:is>
          <x:t xml:space="preserve">A positive outcome is mostly sector beta or macro tailwind, not company-specific alpha.</x:t>
        </x:is>
      </x:c>
      <x:c r="K815" s="160" t="inlineStr">
        <x:is>
          <x:t xml:space="preserve">VLCC earning days × TCE − opex/capex/interest</x:t>
        </x:is>
      </x:c>
      <x:c r="L815" s="160" t="inlineStr">
        <x:is>
          <x:t xml:space="preserve">NAV + normalized TCE</x:t>
        </x:is>
      </x:c>
      <x:c r="M815" s="160" t="inlineStr">
        <x:is>
          <x:t xml:space="preserve">NO PRODUCTION DECISION — STRESS TEST ONLY</x:t>
        </x:is>
      </x:c>
      <x:c r="N815" s="160" t="inlineStr">
        <x:is>
          <x:t xml:space="preserve">R-CF-01</x:t>
        </x:is>
      </x:c>
      <x:c r="O815" s="160" t="inlineStr">
        <x:is>
          <x:t xml:space="preserve">MATURE</x:t>
        </x:is>
      </x:c>
      <x:c r="P815" s="160" t="inlineStr">
        <x:is>
          <x:t xml:space="preserve">ROBUST</x:t>
        </x:is>
      </x:c>
      <x:c r="Q815" s="160" t="inlineStr">
        <x:is>
          <x:t xml:space="preserve">The mature simulation rule catches the stress without weakening a fatal gate; no rule relaxation is justified.</x:t>
        </x:is>
      </x:c>
      <x:c r="R815" s="160" t="inlineStr">
        <x:is>
          <x:t xml:space="preserve">Require a true economic control and counterfactual: what should have happened to a comparable company under the same shock?</x:t>
        </x:is>
      </x:c>
      <x:c r="S815" s="160" t="inlineStr">
        <x:is>
          <x:t xml:space="preserve">NO</x:t>
        </x:is>
      </x:c>
      <x:c r="T815" s="160" t="inlineStr">
        <x:is>
          <x:t xml:space="preserve">MATURE</x:t>
        </x:is>
      </x:c>
      <x:c r="U815" s="160" t="inlineStr">
        <x:is>
          <x:t xml:space="preserve">V10.5-SIM79</x:t>
        </x:is>
      </x:c>
      <x:c r="V815" s="160" t="inlineStr">
        <x:is>
          <x:t xml:space="preserve">https://www.dhtankers.com/investor-relations</x:t>
        </x:is>
      </x:c>
      <x:c r="W815" s="160" t="inlineStr">
        <x:is>
          <x:t xml:space="preserve">NO</x:t>
        </x:is>
      </x:c>
      <x:c r="X815" s="160" t="inlineStr">
        <x:is>
          <x:t xml:space="preserve">NONE — DEVELOPMENT ONLY</x:t>
        </x:is>
      </x:c>
      <x:c r="Y815" s="160" t="inlineStr">
        <x:is>
          <x:t xml:space="preserve">Synthetic/adversarial model-development loop. No historical outcome is claimed; no accuracy point is awarded.</x:t>
        </x:is>
      </x:c>
    </x:row>
    <x:row r="816">
      <x:c r="A816" s="160" t="inlineStr">
        <x:is>
          <x:t xml:space="preserve">ML0811</x:t>
        </x:is>
      </x:c>
      <x:c r="B816" s="160" t="inlineStr">
        <x:is>
          <x:t xml:space="preserve">ARG-051</x:t>
        </x:is>
      </x:c>
      <x:c r="C816" s="160" t="inlineStr">
        <x:is>
          <x:t xml:space="preserve">DHT Holdings</x:t>
        </x:is>
      </x:c>
      <x:c r="D816" s="160" t="inlineStr">
        <x:is>
          <x:t xml:space="preserve">DHT</x:t>
        </x:is>
      </x:c>
      <x:c r="E816" s="160" t="inlineStr">
        <x:is>
          <x:t xml:space="preserve">Shipping</x:t>
        </x:is>
      </x:c>
      <x:c r="F816" s="160" t="inlineStr">
        <x:is>
          <x:t xml:space="preserve">Development</x:t>
        </x:is>
      </x:c>
      <x:c r="G816" s="160" t="inlineStr">
        <x:is>
          <x:t xml:space="preserve">S11</x:t>
        </x:is>
      </x:c>
      <x:c r="H816" s="160" t="inlineStr">
        <x:is>
          <x:t xml:space="preserve">False-Negative Discipline</x:t>
        </x:is>
      </x:c>
      <x:c r="I816" s="160" t="inlineStr">
        <x:is>
          <x:t xml:space="preserve">False negative</x:t>
        </x:is>
      </x:c>
      <x:c r="J816" s="160" t="inlineStr">
        <x:is>
          <x:t xml:space="preserve">A strict gate rejects a company that later compounds strongly for reasons the model could have known.</x:t>
        </x:is>
      </x:c>
      <x:c r="K816" s="160" t="inlineStr">
        <x:is>
          <x:t xml:space="preserve">VLCC earning days × TCE − opex/capex/interest</x:t>
        </x:is>
      </x:c>
      <x:c r="L816" s="160" t="inlineStr">
        <x:is>
          <x:t xml:space="preserve">NAV + normalized TCE</x:t>
        </x:is>
      </x:c>
      <x:c r="M816" s="160" t="inlineStr">
        <x:is>
          <x:t xml:space="preserve">NO PRODUCTION DECISION — STRESS TEST ONLY</x:t>
        </x:is>
      </x:c>
      <x:c r="N816" s="160" t="inlineStr">
        <x:is>
          <x:t xml:space="preserve">R-FN-01</x:t>
        </x:is>
      </x:c>
      <x:c r="O816" s="160" t="inlineStr">
        <x:is>
          <x:t xml:space="preserve">MATURE</x:t>
        </x:is>
      </x:c>
      <x:c r="P816" s="160" t="inlineStr">
        <x:is>
          <x:t xml:space="preserve">ROBUST</x:t>
        </x:is>
      </x:c>
      <x:c r="Q816" s="160" t="inlineStr">
        <x:is>
          <x:t xml:space="preserve">The mature simulation rule catches the stress without weakening a fatal gate; no rule relaxation is justified.</x:t>
        </x:is>
      </x:c>
      <x:c r="R816" s="160" t="inlineStr">
        <x:is>
          <x:t xml:space="preserve">Track opportunity cost and classify whether the miss came from evidence timing, wrong threshold or genuinely unknowable upside.</x:t>
        </x:is>
      </x:c>
      <x:c r="S816" s="160" t="inlineStr">
        <x:is>
          <x:t xml:space="preserve">NO</x:t>
        </x:is>
      </x:c>
      <x:c r="T816" s="160" t="inlineStr">
        <x:is>
          <x:t xml:space="preserve">MATURE</x:t>
        </x:is>
      </x:c>
      <x:c r="U816" s="160" t="inlineStr">
        <x:is>
          <x:t xml:space="preserve">V10.5-SIM79</x:t>
        </x:is>
      </x:c>
      <x:c r="V816" s="160" t="inlineStr">
        <x:is>
          <x:t xml:space="preserve">https://www.dhtankers.com/investor-relations</x:t>
        </x:is>
      </x:c>
      <x:c r="W816" s="160" t="inlineStr">
        <x:is>
          <x:t xml:space="preserve">NO</x:t>
        </x:is>
      </x:c>
      <x:c r="X816" s="160" t="inlineStr">
        <x:is>
          <x:t xml:space="preserve">NONE — DEVELOPMENT ONLY</x:t>
        </x:is>
      </x:c>
      <x:c r="Y816" s="160" t="inlineStr">
        <x:is>
          <x:t xml:space="preserve">Synthetic/adversarial model-development loop. No historical outcome is claimed; no accuracy point is awarded.</x:t>
        </x:is>
      </x:c>
    </x:row>
    <x:row r="817">
      <x:c r="A817" s="160" t="inlineStr">
        <x:is>
          <x:t xml:space="preserve">ML0812</x:t>
        </x:is>
      </x:c>
      <x:c r="B817" s="160" t="inlineStr">
        <x:is>
          <x:t xml:space="preserve">ARG-051</x:t>
        </x:is>
      </x:c>
      <x:c r="C817" s="160" t="inlineStr">
        <x:is>
          <x:t xml:space="preserve">DHT Holdings</x:t>
        </x:is>
      </x:c>
      <x:c r="D817" s="160" t="inlineStr">
        <x:is>
          <x:t xml:space="preserve">DHT</x:t>
        </x:is>
      </x:c>
      <x:c r="E817" s="160" t="inlineStr">
        <x:is>
          <x:t xml:space="preserve">Shipping</x:t>
        </x:is>
      </x:c>
      <x:c r="F817" s="160" t="inlineStr">
        <x:is>
          <x:t xml:space="preserve">Development</x:t>
        </x:is>
      </x:c>
      <x:c r="G817" s="160" t="inlineStr">
        <x:is>
          <x:t xml:space="preserve">S12</x:t>
        </x:is>
      </x:c>
      <x:c r="H817" s="160" t="inlineStr">
        <x:is>
          <x:t xml:space="preserve">Lead-Time / Early Sensor</x:t>
        </x:is>
      </x:c>
      <x:c r="I817" s="160" t="inlineStr">
        <x:is>
          <x:t xml:space="preserve">Timing / lead-time</x:t>
        </x:is>
      </x:c>
      <x:c r="J817" s="160" t="inlineStr">
        <x:is>
          <x:t xml:space="preserve">ARGUS identifies the change correctly but only after consensus and price have already reacted.</x:t>
        </x:is>
      </x:c>
      <x:c r="K817" s="160" t="inlineStr">
        <x:is>
          <x:t xml:space="preserve">VLCC earning days × TCE − opex/capex/interest</x:t>
        </x:is>
      </x:c>
      <x:c r="L817" s="160" t="inlineStr">
        <x:is>
          <x:t xml:space="preserve">NAV + normalized TCE</x:t>
        </x:is>
      </x:c>
      <x:c r="M817" s="160" t="inlineStr">
        <x:is>
          <x:t xml:space="preserve">NO PRODUCTION DECISION — STRESS TEST ONLY</x:t>
        </x:is>
      </x:c>
      <x:c r="N817" s="160" t="inlineStr">
        <x:is>
          <x:t xml:space="preserve">R-TIME-01</x:t>
        </x:is>
      </x:c>
      <x:c r="O817" s="160" t="inlineStr">
        <x:is>
          <x:t xml:space="preserve">MATURE</x:t>
        </x:is>
      </x:c>
      <x:c r="P817" s="160" t="inlineStr">
        <x:is>
          <x:t xml:space="preserve">ROBUST</x:t>
        </x:is>
      </x:c>
      <x:c r="Q817" s="160" t="inlineStr">
        <x:is>
          <x:t xml:space="preserve">The mature simulation rule catches the stress without weakening a fatal gate; no rule relaxation is justified.</x:t>
        </x:is>
      </x:c>
      <x:c r="R817" s="160" t="inlineStr">
        <x:is>
          <x:t xml:space="preserve">Replace lagging financial metrics with earlier causal operating sensors and record lead time separately from correctness.</x:t>
        </x:is>
      </x:c>
      <x:c r="S817" s="160" t="inlineStr">
        <x:is>
          <x:t xml:space="preserve">NO</x:t>
        </x:is>
      </x:c>
      <x:c r="T817" s="160" t="inlineStr">
        <x:is>
          <x:t xml:space="preserve">MATURE</x:t>
        </x:is>
      </x:c>
      <x:c r="U817" s="160" t="inlineStr">
        <x:is>
          <x:t xml:space="preserve">V10.5-SIM79</x:t>
        </x:is>
      </x:c>
      <x:c r="V817" s="160" t="inlineStr">
        <x:is>
          <x:t xml:space="preserve">https://www.dhtankers.com/investor-relations</x:t>
        </x:is>
      </x:c>
      <x:c r="W817" s="160" t="inlineStr">
        <x:is>
          <x:t xml:space="preserve">NO</x:t>
        </x:is>
      </x:c>
      <x:c r="X817" s="160" t="inlineStr">
        <x:is>
          <x:t xml:space="preserve">NONE — DEVELOPMENT ONLY</x:t>
        </x:is>
      </x:c>
      <x:c r="Y817" s="160" t="inlineStr">
        <x:is>
          <x:t xml:space="preserve">Synthetic/adversarial model-development loop. No historical outcome is claimed; no accuracy point is awarded.</x:t>
        </x:is>
      </x:c>
    </x:row>
    <x:row r="818">
      <x:c r="A818" s="160" t="inlineStr">
        <x:is>
          <x:t xml:space="preserve">ML0813</x:t>
        </x:is>
      </x:c>
      <x:c r="B818" s="160" t="inlineStr">
        <x:is>
          <x:t xml:space="preserve">ARG-051</x:t>
        </x:is>
      </x:c>
      <x:c r="C818" s="160" t="inlineStr">
        <x:is>
          <x:t xml:space="preserve">DHT Holdings</x:t>
        </x:is>
      </x:c>
      <x:c r="D818" s="160" t="inlineStr">
        <x:is>
          <x:t xml:space="preserve">DHT</x:t>
        </x:is>
      </x:c>
      <x:c r="E818" s="160" t="inlineStr">
        <x:is>
          <x:t xml:space="preserve">Shipping</x:t>
        </x:is>
      </x:c>
      <x:c r="F818" s="160" t="inlineStr">
        <x:is>
          <x:t xml:space="preserve">Development</x:t>
        </x:is>
      </x:c>
      <x:c r="G818" s="160" t="inlineStr">
        <x:is>
          <x:t xml:space="preserve">S13</x:t>
        </x:is>
      </x:c>
      <x:c r="H818" s="160" t="inlineStr">
        <x:is>
          <x:t xml:space="preserve">Cycle Normalization</x:t>
        </x:is>
      </x:c>
      <x:c r="I818" s="160" t="inlineStr">
        <x:is>
          <x:t xml:space="preserve">Wrong valuation lens</x:t>
        </x:is>
      </x:c>
      <x:c r="J818" s="160" t="inlineStr">
        <x:is>
          <x:t xml:space="preserve">Peak/trough earnings are mistaken for normalized earning power.</x:t>
        </x:is>
      </x:c>
      <x:c r="K818" s="160" t="inlineStr">
        <x:is>
          <x:t xml:space="preserve">VLCC earning days × TCE − opex/capex/interest</x:t>
        </x:is>
      </x:c>
      <x:c r="L818" s="160" t="inlineStr">
        <x:is>
          <x:t xml:space="preserve">NAV + normalized TCE</x:t>
        </x:is>
      </x:c>
      <x:c r="M818" s="160" t="inlineStr">
        <x:is>
          <x:t xml:space="preserve">NO PRODUCTION DECISION — STRESS TEST ONLY</x:t>
        </x:is>
      </x:c>
      <x:c r="N818" s="160" t="inlineStr">
        <x:is>
          <x:t xml:space="preserve">R-CYCLE-01</x:t>
        </x:is>
      </x:c>
      <x:c r="O818" s="160" t="inlineStr">
        <x:is>
          <x:t xml:space="preserve">MATURE</x:t>
        </x:is>
      </x:c>
      <x:c r="P818" s="160" t="inlineStr">
        <x:is>
          <x:t xml:space="preserve">ROBUST</x:t>
        </x:is>
      </x:c>
      <x:c r="Q818" s="160" t="inlineStr">
        <x:is>
          <x:t xml:space="preserve">The mature simulation rule catches the stress without weakening a fatal gate; no rule relaxation is justified.</x:t>
        </x:is>
      </x:c>
      <x:c r="R818" s="160" t="inlineStr">
        <x:is>
          <x:t xml:space="preserve">Use sector-specific mid-cycle/NAV/rate-base/rNPV normalization before applying a valuation multiple.</x:t>
        </x:is>
      </x:c>
      <x:c r="S818" s="160" t="inlineStr">
        <x:is>
          <x:t xml:space="preserve">NO</x:t>
        </x:is>
      </x:c>
      <x:c r="T818" s="160" t="inlineStr">
        <x:is>
          <x:t xml:space="preserve">MATURE</x:t>
        </x:is>
      </x:c>
      <x:c r="U818" s="160" t="inlineStr">
        <x:is>
          <x:t xml:space="preserve">V10.5-SIM79</x:t>
        </x:is>
      </x:c>
      <x:c r="V818" s="160" t="inlineStr">
        <x:is>
          <x:t xml:space="preserve">https://www.dhtankers.com/investor-relations</x:t>
        </x:is>
      </x:c>
      <x:c r="W818" s="160" t="inlineStr">
        <x:is>
          <x:t xml:space="preserve">NO</x:t>
        </x:is>
      </x:c>
      <x:c r="X818" s="160" t="inlineStr">
        <x:is>
          <x:t xml:space="preserve">NONE — DEVELOPMENT ONLY</x:t>
        </x:is>
      </x:c>
      <x:c r="Y818" s="160" t="inlineStr">
        <x:is>
          <x:t xml:space="preserve">Synthetic/adversarial model-development loop. No historical outcome is claimed; no accuracy point is awarded.</x:t>
        </x:is>
      </x:c>
    </x:row>
    <x:row r="819">
      <x:c r="A819" s="160" t="inlineStr">
        <x:is>
          <x:t xml:space="preserve">ML0814</x:t>
        </x:is>
      </x:c>
      <x:c r="B819" s="160" t="inlineStr">
        <x:is>
          <x:t xml:space="preserve">ARG-051</x:t>
        </x:is>
      </x:c>
      <x:c r="C819" s="160" t="inlineStr">
        <x:is>
          <x:t xml:space="preserve">DHT Holdings</x:t>
        </x:is>
      </x:c>
      <x:c r="D819" s="160" t="inlineStr">
        <x:is>
          <x:t xml:space="preserve">DHT</x:t>
        </x:is>
      </x:c>
      <x:c r="E819" s="160" t="inlineStr">
        <x:is>
          <x:t xml:space="preserve">Shipping</x:t>
        </x:is>
      </x:c>
      <x:c r="F819" s="160" t="inlineStr">
        <x:is>
          <x:t xml:space="preserve">Development</x:t>
        </x:is>
      </x:c>
      <x:c r="G819" s="160" t="inlineStr">
        <x:is>
          <x:t xml:space="preserve">S14</x:t>
        </x:is>
      </x:c>
      <x:c r="H819" s="160" t="inlineStr">
        <x:is>
          <x:t xml:space="preserve">M&amp;A / Organic Growth Separation</x:t>
        </x:is>
      </x:c>
      <x:c r="I819" s="160" t="inlineStr">
        <x:is>
          <x:t xml:space="preserve">Stewardship</x:t>
        </x:is>
      </x:c>
      <x:c r="J819" s="160" t="inlineStr">
        <x:is>
          <x:t xml:space="preserve">Acquisition-driven growth masks weak organic economics or poor incremental ROIC.</x:t>
        </x:is>
      </x:c>
      <x:c r="K819" s="160" t="inlineStr">
        <x:is>
          <x:t xml:space="preserve">VLCC earning days × TCE − opex/capex/interest</x:t>
        </x:is>
      </x:c>
      <x:c r="L819" s="160" t="inlineStr">
        <x:is>
          <x:t xml:space="preserve">NAV + normalized TCE</x:t>
        </x:is>
      </x:c>
      <x:c r="M819" s="160" t="inlineStr">
        <x:is>
          <x:t xml:space="preserve">NO PRODUCTION DECISION — STRESS TEST ONLY</x:t>
        </x:is>
      </x:c>
      <x:c r="N819" s="160" t="inlineStr">
        <x:is>
          <x:t xml:space="preserve">R-MA-01</x:t>
        </x:is>
      </x:c>
      <x:c r="O819" s="160" t="inlineStr">
        <x:is>
          <x:t xml:space="preserve">MATURE</x:t>
        </x:is>
      </x:c>
      <x:c r="P819" s="160" t="inlineStr">
        <x:is>
          <x:t xml:space="preserve">ROBUST</x:t>
        </x:is>
      </x:c>
      <x:c r="Q819" s="160" t="inlineStr">
        <x:is>
          <x:t xml:space="preserve">The mature simulation rule catches the stress without weakening a fatal gate; no rule relaxation is justified.</x:t>
        </x:is>
      </x:c>
      <x:c r="R819" s="160" t="inlineStr">
        <x:is>
          <x:t xml:space="preserve">Bridge organic growth, acquired growth, purchase price, integration costs and acquisition-cohort ROIC.</x:t>
        </x:is>
      </x:c>
      <x:c r="S819" s="160" t="inlineStr">
        <x:is>
          <x:t xml:space="preserve">NO</x:t>
        </x:is>
      </x:c>
      <x:c r="T819" s="160" t="inlineStr">
        <x:is>
          <x:t xml:space="preserve">MATURE</x:t>
        </x:is>
      </x:c>
      <x:c r="U819" s="160" t="inlineStr">
        <x:is>
          <x:t xml:space="preserve">V10.5-SIM79</x:t>
        </x:is>
      </x:c>
      <x:c r="V819" s="160" t="inlineStr">
        <x:is>
          <x:t xml:space="preserve">https://www.dhtankers.com/investor-relations</x:t>
        </x:is>
      </x:c>
      <x:c r="W819" s="160" t="inlineStr">
        <x:is>
          <x:t xml:space="preserve">NO</x:t>
        </x:is>
      </x:c>
      <x:c r="X819" s="160" t="inlineStr">
        <x:is>
          <x:t xml:space="preserve">NONE — DEVELOPMENT ONLY</x:t>
        </x:is>
      </x:c>
      <x:c r="Y819" s="160" t="inlineStr">
        <x:is>
          <x:t xml:space="preserve">Synthetic/adversarial model-development loop. No historical outcome is claimed; no accuracy point is awarded.</x:t>
        </x:is>
      </x:c>
    </x:row>
    <x:row r="820">
      <x:c r="A820" s="160" t="inlineStr">
        <x:is>
          <x:t xml:space="preserve">ML0815</x:t>
        </x:is>
      </x:c>
      <x:c r="B820" s="160" t="inlineStr">
        <x:is>
          <x:t xml:space="preserve">ARG-051</x:t>
        </x:is>
      </x:c>
      <x:c r="C820" s="160" t="inlineStr">
        <x:is>
          <x:t xml:space="preserve">DHT Holdings</x:t>
        </x:is>
      </x:c>
      <x:c r="D820" s="160" t="inlineStr">
        <x:is>
          <x:t xml:space="preserve">DHT</x:t>
        </x:is>
      </x:c>
      <x:c r="E820" s="160" t="inlineStr">
        <x:is>
          <x:t xml:space="preserve">Shipping</x:t>
        </x:is>
      </x:c>
      <x:c r="F820" s="160" t="inlineStr">
        <x:is>
          <x:t xml:space="preserve">Development</x:t>
        </x:is>
      </x:c>
      <x:c r="G820" s="160" t="inlineStr">
        <x:is>
          <x:t xml:space="preserve">S15</x:t>
        </x:is>
      </x:c>
      <x:c r="H820" s="160" t="inlineStr">
        <x:is>
          <x:t xml:space="preserve">Financing / Dilution Per Share</x:t>
        </x:is>
      </x:c>
      <x:c r="I820" s="160" t="inlineStr">
        <x:is>
          <x:t xml:space="preserve">Stewardship</x:t>
        </x:is>
      </x:c>
      <x:c r="J820" s="160" t="inlineStr">
        <x:is>
          <x:t xml:space="preserve">Cash balance or revenue growth improves while financing causes material per-share value leakage.</x:t>
        </x:is>
      </x:c>
      <x:c r="K820" s="160" t="inlineStr">
        <x:is>
          <x:t xml:space="preserve">VLCC earning days × TCE − opex/capex/interest</x:t>
        </x:is>
      </x:c>
      <x:c r="L820" s="160" t="inlineStr">
        <x:is>
          <x:t xml:space="preserve">NAV + normalized TCE</x:t>
        </x:is>
      </x:c>
      <x:c r="M820" s="160" t="inlineStr">
        <x:is>
          <x:t xml:space="preserve">NO PRODUCTION DECISION — STRESS TEST ONLY</x:t>
        </x:is>
      </x:c>
      <x:c r="N820" s="160" t="inlineStr">
        <x:is>
          <x:t xml:space="preserve">R-DIL-01</x:t>
        </x:is>
      </x:c>
      <x:c r="O820" s="160" t="inlineStr">
        <x:is>
          <x:t xml:space="preserve">MATURE</x:t>
        </x:is>
      </x:c>
      <x:c r="P820" s="160" t="inlineStr">
        <x:is>
          <x:t xml:space="preserve">ROBUST</x:t>
        </x:is>
      </x:c>
      <x:c r="Q820" s="160" t="inlineStr">
        <x:is>
          <x:t xml:space="preserve">The mature simulation rule catches the stress without weakening a fatal gate; no rule relaxation is justified.</x:t>
        </x:is>
      </x:c>
      <x:c r="R820" s="160" t="inlineStr">
        <x:is>
          <x:t xml:space="preserve">Reconcile share-count growth, SBC, equity issuance, buybacks and net cash changes to per-share intrinsic value.</x:t>
        </x:is>
      </x:c>
      <x:c r="S820" s="160" t="inlineStr">
        <x:is>
          <x:t xml:space="preserve">NO</x:t>
        </x:is>
      </x:c>
      <x:c r="T820" s="160" t="inlineStr">
        <x:is>
          <x:t xml:space="preserve">MATURE</x:t>
        </x:is>
      </x:c>
      <x:c r="U820" s="160" t="inlineStr">
        <x:is>
          <x:t xml:space="preserve">V10.5-SIM79</x:t>
        </x:is>
      </x:c>
      <x:c r="V820" s="160" t="inlineStr">
        <x:is>
          <x:t xml:space="preserve">https://www.dhtankers.com/investor-relations</x:t>
        </x:is>
      </x:c>
      <x:c r="W820" s="160" t="inlineStr">
        <x:is>
          <x:t xml:space="preserve">NO</x:t>
        </x:is>
      </x:c>
      <x:c r="X820" s="160" t="inlineStr">
        <x:is>
          <x:t xml:space="preserve">NONE — DEVELOPMENT ONLY</x:t>
        </x:is>
      </x:c>
      <x:c r="Y820" s="160" t="inlineStr">
        <x:is>
          <x:t xml:space="preserve">Synthetic/adversarial model-development loop. No historical outcome is claimed; no accuracy point is awarded.</x:t>
        </x:is>
      </x:c>
    </x:row>
    <x:row r="821">
      <x:c r="A821" s="160" t="inlineStr">
        <x:is>
          <x:t xml:space="preserve">ML0816</x:t>
        </x:is>
      </x:c>
      <x:c r="B821" s="160" t="inlineStr">
        <x:is>
          <x:t xml:space="preserve">ARG-051</x:t>
        </x:is>
      </x:c>
      <x:c r="C821" s="160" t="inlineStr">
        <x:is>
          <x:t xml:space="preserve">DHT Holdings</x:t>
        </x:is>
      </x:c>
      <x:c r="D821" s="160" t="inlineStr">
        <x:is>
          <x:t xml:space="preserve">DHT</x:t>
        </x:is>
      </x:c>
      <x:c r="E821" s="160" t="inlineStr">
        <x:is>
          <x:t xml:space="preserve">Shipping</x:t>
        </x:is>
      </x:c>
      <x:c r="F821" s="160" t="inlineStr">
        <x:is>
          <x:t xml:space="preserve">Development</x:t>
        </x:is>
      </x:c>
      <x:c r="G821" s="160" t="inlineStr">
        <x:is>
          <x:t xml:space="preserve">S16</x:t>
        </x:is>
      </x:c>
      <x:c r="H821" s="160" t="inlineStr">
        <x:is>
          <x:t xml:space="preserve">Concentration / Tail Risk</x:t>
        </x:is>
      </x:c>
      <x:c r="I821" s="160" t="inlineStr">
        <x:is>
          <x:t xml:space="preserve">Survival</x:t>
        </x:is>
      </x:c>
      <x:c r="J821" s="160" t="inlineStr">
        <x:is>
          <x:t xml:space="preserve">A concentrated supplier, geography, customer, product, patent, regulatory or technology dependency creates asymmetric permanent-loss risk.</x:t>
        </x:is>
      </x:c>
      <x:c r="K821" s="160" t="inlineStr">
        <x:is>
          <x:t xml:space="preserve">VLCC earning days × TCE − opex/capex/interest</x:t>
        </x:is>
      </x:c>
      <x:c r="L821" s="160" t="inlineStr">
        <x:is>
          <x:t xml:space="preserve">NAV + normalized TCE</x:t>
        </x:is>
      </x:c>
      <x:c r="M821" s="160" t="inlineStr">
        <x:is>
          <x:t xml:space="preserve">NO PRODUCTION DECISION — STRESS TEST ONLY</x:t>
        </x:is>
      </x:c>
      <x:c r="N821" s="160" t="inlineStr">
        <x:is>
          <x:t xml:space="preserve">R-TAIL-01</x:t>
        </x:is>
      </x:c>
      <x:c r="O821" s="160" t="inlineStr">
        <x:is>
          <x:t xml:space="preserve">MATURE</x:t>
        </x:is>
      </x:c>
      <x:c r="P821" s="160" t="inlineStr">
        <x:is>
          <x:t xml:space="preserve">ROBUST</x:t>
        </x:is>
      </x:c>
      <x:c r="Q821" s="160" t="inlineStr">
        <x:is>
          <x:t xml:space="preserve">The mature simulation rule catches the stress without weakening a fatal gate; no rule relaxation is justified.</x:t>
        </x:is>
      </x:c>
      <x:c r="R821" s="160" t="inlineStr">
        <x:is>
          <x:t xml:space="preserve">Maintain an explicit concentration/tail-risk register with probability, severity, mitigation and required margin-of-safety premium.</x:t>
        </x:is>
      </x:c>
      <x:c r="S821" s="160" t="inlineStr">
        <x:is>
          <x:t xml:space="preserve">NO</x:t>
        </x:is>
      </x:c>
      <x:c r="T821" s="160" t="inlineStr">
        <x:is>
          <x:t xml:space="preserve">MATURE</x:t>
        </x:is>
      </x:c>
      <x:c r="U821" s="160" t="inlineStr">
        <x:is>
          <x:t xml:space="preserve">V10.5-SIM79</x:t>
        </x:is>
      </x:c>
      <x:c r="V821" s="160" t="inlineStr">
        <x:is>
          <x:t xml:space="preserve">https://www.dhtankers.com/investor-relations</x:t>
        </x:is>
      </x:c>
      <x:c r="W821" s="160" t="inlineStr">
        <x:is>
          <x:t xml:space="preserve">NO</x:t>
        </x:is>
      </x:c>
      <x:c r="X821" s="160" t="inlineStr">
        <x:is>
          <x:t xml:space="preserve">NONE — DEVELOPMENT ONLY</x:t>
        </x:is>
      </x:c>
      <x:c r="Y821" s="160" t="inlineStr">
        <x:is>
          <x:t xml:space="preserve">Synthetic/adversarial model-development loop. No historical outcome is claimed; no accuracy point is awarded.</x:t>
        </x:is>
      </x:c>
    </x:row>
    <x:row r="822">
      <x:c r="A822" s="160" t="inlineStr">
        <x:is>
          <x:t xml:space="preserve">ML0817</x:t>
        </x:is>
      </x:c>
      <x:c r="B822" s="160" t="inlineStr">
        <x:is>
          <x:t xml:space="preserve">ARG-052</x:t>
        </x:is>
      </x:c>
      <x:c r="C822" s="160" t="inlineStr">
        <x:is>
          <x:t xml:space="preserve">UBS Group</x:t>
        </x:is>
      </x:c>
      <x:c r="D822" s="160" t="inlineStr">
        <x:is>
          <x:t xml:space="preserve">UBS</x:t>
        </x:is>
      </x:c>
      <x:c r="E822" s="160" t="inlineStr">
        <x:is>
          <x:t xml:space="preserve">Banks</x:t>
        </x:is>
      </x:c>
      <x:c r="F822" s="160" t="inlineStr">
        <x:is>
          <x:t xml:space="preserve">Development</x:t>
        </x:is>
      </x:c>
      <x:c r="G822" s="160" t="inlineStr">
        <x:is>
          <x:t xml:space="preserve">S01</x:t>
        </x:is>
      </x:c>
      <x:c r="H822" s="160" t="inlineStr">
        <x:is>
          <x:t xml:space="preserve">Understanding Gate</x:t>
        </x:is>
      </x:c>
      <x:c r="I822" s="160" t="inlineStr">
        <x:is>
          <x:t xml:space="preserve">Understanding</x:t>
        </x:is>
      </x:c>
      <x:c r="J822" s="160" t="inlineStr">
        <x:is>
          <x:t xml:space="preserve">Causal engine / customer ROI chain breaks under a misleading headline KPI.</x:t>
        </x:is>
      </x:c>
      <x:c r="K822" s="160" t="inlineStr">
        <x:is>
          <x:t xml:space="preserve">Wealth AUM, net new assets and banking spreads</x:t>
        </x:is>
      </x:c>
      <x:c r="L822" s="160" t="inlineStr">
        <x:is>
          <x:t xml:space="preserve">Tangible book + normalized earnings</x:t>
        </x:is>
      </x:c>
      <x:c r="M822" s="160" t="inlineStr">
        <x:is>
          <x:t xml:space="preserve">NO PRODUCTION DECISION — STRESS TEST ONLY</x:t>
        </x:is>
      </x:c>
      <x:c r="N822" s="160" t="inlineStr">
        <x:is>
          <x:t xml:space="preserve">R-ENG-01</x:t>
        </x:is>
      </x:c>
      <x:c r="O822" s="160" t="inlineStr">
        <x:is>
          <x:t xml:space="preserve">MATURE</x:t>
        </x:is>
      </x:c>
      <x:c r="P822" s="160" t="inlineStr">
        <x:is>
          <x:t xml:space="preserve">ROBUST</x:t>
        </x:is>
      </x:c>
      <x:c r="Q822" s="160" t="inlineStr">
        <x:is>
          <x:t xml:space="preserve">The mature simulation rule catches the stress without weakening a fatal gate; no rule relaxation is justified.</x:t>
        </x:is>
      </x:c>
      <x:c r="R822" s="160" t="inlineStr">
        <x:is>
          <x:t xml:space="preserve">Force an explicit engine tree: customer job → unit economics → revenue driver → owner-value bridge.</x:t>
        </x:is>
      </x:c>
      <x:c r="S822" s="160" t="inlineStr">
        <x:is>
          <x:t xml:space="preserve">NO</x:t>
        </x:is>
      </x:c>
      <x:c r="T822" s="160" t="inlineStr">
        <x:is>
          <x:t xml:space="preserve">MATURE</x:t>
        </x:is>
      </x:c>
      <x:c r="U822" s="160" t="inlineStr">
        <x:is>
          <x:t xml:space="preserve">V10.5-SIM79</x:t>
        </x:is>
      </x:c>
      <x:c r="V822" s="160" t="inlineStr">
        <x:is>
          <x:t xml:space="preserve">https://www.ubs.com/global/en/investor-relations.html</x:t>
        </x:is>
      </x:c>
      <x:c r="W822" s="160" t="inlineStr">
        <x:is>
          <x:t xml:space="preserve">NO</x:t>
        </x:is>
      </x:c>
      <x:c r="X822" s="160" t="inlineStr">
        <x:is>
          <x:t xml:space="preserve">NONE — DEVELOPMENT ONLY</x:t>
        </x:is>
      </x:c>
      <x:c r="Y822" s="160" t="inlineStr">
        <x:is>
          <x:t xml:space="preserve">Synthetic/adversarial model-development loop. No historical outcome is claimed; no accuracy point is awarded.</x:t>
        </x:is>
      </x:c>
    </x:row>
    <x:row r="823">
      <x:c r="A823" s="160" t="inlineStr">
        <x:is>
          <x:t xml:space="preserve">ML0818</x:t>
        </x:is>
      </x:c>
      <x:c r="B823" s="160" t="inlineStr">
        <x:is>
          <x:t xml:space="preserve">ARG-052</x:t>
        </x:is>
      </x:c>
      <x:c r="C823" s="160" t="inlineStr">
        <x:is>
          <x:t xml:space="preserve">UBS Group</x:t>
        </x:is>
      </x:c>
      <x:c r="D823" s="160" t="inlineStr">
        <x:is>
          <x:t xml:space="preserve">UBS</x:t>
        </x:is>
      </x:c>
      <x:c r="E823" s="160" t="inlineStr">
        <x:is>
          <x:t xml:space="preserve">Banks</x:t>
        </x:is>
      </x:c>
      <x:c r="F823" s="160" t="inlineStr">
        <x:is>
          <x:t xml:space="preserve">Development</x:t>
        </x:is>
      </x:c>
      <x:c r="G823" s="160" t="inlineStr">
        <x:is>
          <x:t xml:space="preserve">S02</x:t>
        </x:is>
      </x:c>
      <x:c r="H823" s="160" t="inlineStr">
        <x:is>
          <x:t xml:space="preserve">Owner Earnings Normalization</x:t>
        </x:is>
      </x:c>
      <x:c r="I823" s="160" t="inlineStr">
        <x:is>
          <x:t xml:space="preserve">Owner Earnings</x:t>
        </x:is>
      </x:c>
      <x:c r="J823" s="160" t="inlineStr">
        <x:is>
          <x:t xml:space="preserve">Reported earnings/FCF overstates economic cash because recurring reinvestment or non-cash compensation is misclassified.</x:t>
        </x:is>
      </x:c>
      <x:c r="K823" s="160" t="inlineStr">
        <x:is>
          <x:t xml:space="preserve">Wealth AUM, net new assets and banking spreads</x:t>
        </x:is>
      </x:c>
      <x:c r="L823" s="160" t="inlineStr">
        <x:is>
          <x:t xml:space="preserve">Tangible book + normalized earnings</x:t>
        </x:is>
      </x:c>
      <x:c r="M823" s="160" t="inlineStr">
        <x:is>
          <x:t xml:space="preserve">NO PRODUCTION DECISION — STRESS TEST ONLY</x:t>
        </x:is>
      </x:c>
      <x:c r="N823" s="160" t="inlineStr">
        <x:is>
          <x:t xml:space="preserve">R-OE-01</x:t>
        </x:is>
      </x:c>
      <x:c r="O823" s="160" t="inlineStr">
        <x:is>
          <x:t xml:space="preserve">MATURE</x:t>
        </x:is>
      </x:c>
      <x:c r="P823" s="160" t="inlineStr">
        <x:is>
          <x:t xml:space="preserve">ROBUST</x:t>
        </x:is>
      </x:c>
      <x:c r="Q823" s="160" t="inlineStr">
        <x:is>
          <x:t xml:space="preserve">The mature simulation rule catches the stress without weakening a fatal gate; no rule relaxation is justified.</x:t>
        </x:is>
      </x:c>
      <x:c r="R823" s="160" t="inlineStr">
        <x:is>
          <x:t xml:space="preserve">Require a GAAP-to-economic-owner-cash bridge tailored to the business model.</x:t>
        </x:is>
      </x:c>
      <x:c r="S823" s="160" t="inlineStr">
        <x:is>
          <x:t xml:space="preserve">NO</x:t>
        </x:is>
      </x:c>
      <x:c r="T823" s="160" t="inlineStr">
        <x:is>
          <x:t xml:space="preserve">MATURE</x:t>
        </x:is>
      </x:c>
      <x:c r="U823" s="160" t="inlineStr">
        <x:is>
          <x:t xml:space="preserve">V10.5-SIM79</x:t>
        </x:is>
      </x:c>
      <x:c r="V823" s="160" t="inlineStr">
        <x:is>
          <x:t xml:space="preserve">https://www.ubs.com/global/en/investor-relations.html</x:t>
        </x:is>
      </x:c>
      <x:c r="W823" s="160" t="inlineStr">
        <x:is>
          <x:t xml:space="preserve">NO</x:t>
        </x:is>
      </x:c>
      <x:c r="X823" s="160" t="inlineStr">
        <x:is>
          <x:t xml:space="preserve">NONE — DEVELOPMENT ONLY</x:t>
        </x:is>
      </x:c>
      <x:c r="Y823" s="160" t="inlineStr">
        <x:is>
          <x:t xml:space="preserve">Synthetic/adversarial model-development loop. No historical outcome is claimed; no accuracy point is awarded.</x:t>
        </x:is>
      </x:c>
    </x:row>
    <x:row r="824">
      <x:c r="A824" s="160" t="inlineStr">
        <x:is>
          <x:t xml:space="preserve">ML0819</x:t>
        </x:is>
      </x:c>
      <x:c r="B824" s="160" t="inlineStr">
        <x:is>
          <x:t xml:space="preserve">ARG-052</x:t>
        </x:is>
      </x:c>
      <x:c r="C824" s="160" t="inlineStr">
        <x:is>
          <x:t xml:space="preserve">UBS Group</x:t>
        </x:is>
      </x:c>
      <x:c r="D824" s="160" t="inlineStr">
        <x:is>
          <x:t xml:space="preserve">UBS</x:t>
        </x:is>
      </x:c>
      <x:c r="E824" s="160" t="inlineStr">
        <x:is>
          <x:t xml:space="preserve">Banks</x:t>
        </x:is>
      </x:c>
      <x:c r="F824" s="160" t="inlineStr">
        <x:is>
          <x:t xml:space="preserve">Development</x:t>
        </x:is>
      </x:c>
      <x:c r="G824" s="160" t="inlineStr">
        <x:is>
          <x:t xml:space="preserve">S03</x:t>
        </x:is>
      </x:c>
      <x:c r="H824" s="160" t="inlineStr">
        <x:is>
          <x:t xml:space="preserve">Moat Durability</x:t>
        </x:is>
      </x:c>
      <x:c r="I824" s="160" t="inlineStr">
        <x:is>
          <x:t xml:space="preserve">Moat 2036</x:t>
        </x:is>
      </x:c>
      <x:c r="J824" s="160" t="inlineStr">
        <x:is>
          <x:t xml:space="preserve">Growth continues while switching friction, pricing power or replacement difficulty quietly weakens.</x:t>
        </x:is>
      </x:c>
      <x:c r="K824" s="160" t="inlineStr">
        <x:is>
          <x:t xml:space="preserve">Wealth AUM, net new assets and banking spreads</x:t>
        </x:is>
      </x:c>
      <x:c r="L824" s="160" t="inlineStr">
        <x:is>
          <x:t xml:space="preserve">Tangible book + normalized earnings</x:t>
        </x:is>
      </x:c>
      <x:c r="M824" s="160" t="inlineStr">
        <x:is>
          <x:t xml:space="preserve">NO PRODUCTION DECISION — STRESS TEST ONLY</x:t>
        </x:is>
      </x:c>
      <x:c r="N824" s="160" t="inlineStr">
        <x:is>
          <x:t xml:space="preserve">R-MOAT-01</x:t>
        </x:is>
      </x:c>
      <x:c r="O824" s="160" t="inlineStr">
        <x:is>
          <x:t xml:space="preserve">MATURE</x:t>
        </x:is>
      </x:c>
      <x:c r="P824" s="160" t="inlineStr">
        <x:is>
          <x:t xml:space="preserve">ROBUST</x:t>
        </x:is>
      </x:c>
      <x:c r="Q824" s="160" t="inlineStr">
        <x:is>
          <x:t xml:space="preserve">The mature simulation rule catches the stress without weakening a fatal gate; no rule relaxation is justified.</x:t>
        </x:is>
      </x:c>
      <x:c r="R824" s="160" t="inlineStr">
        <x:is>
          <x:t xml:space="preserve">Track moat telemetry separately from growth: retention, pricing, win/loss, replacement friction, installed-base behavior.</x:t>
        </x:is>
      </x:c>
      <x:c r="S824" s="160" t="inlineStr">
        <x:is>
          <x:t xml:space="preserve">NO</x:t>
        </x:is>
      </x:c>
      <x:c r="T824" s="160" t="inlineStr">
        <x:is>
          <x:t xml:space="preserve">MATURE</x:t>
        </x:is>
      </x:c>
      <x:c r="U824" s="160" t="inlineStr">
        <x:is>
          <x:t xml:space="preserve">V10.5-SIM79</x:t>
        </x:is>
      </x:c>
      <x:c r="V824" s="160" t="inlineStr">
        <x:is>
          <x:t xml:space="preserve">https://www.ubs.com/global/en/investor-relations.html</x:t>
        </x:is>
      </x:c>
      <x:c r="W824" s="160" t="inlineStr">
        <x:is>
          <x:t xml:space="preserve">NO</x:t>
        </x:is>
      </x:c>
      <x:c r="X824" s="160" t="inlineStr">
        <x:is>
          <x:t xml:space="preserve">NONE — DEVELOPMENT ONLY</x:t>
        </x:is>
      </x:c>
      <x:c r="Y824" s="160" t="inlineStr">
        <x:is>
          <x:t xml:space="preserve">Synthetic/adversarial model-development loop. No historical outcome is claimed; no accuracy point is awarded.</x:t>
        </x:is>
      </x:c>
    </x:row>
    <x:row r="825">
      <x:c r="A825" s="160" t="inlineStr">
        <x:is>
          <x:t xml:space="preserve">ML0820</x:t>
        </x:is>
      </x:c>
      <x:c r="B825" s="160" t="inlineStr">
        <x:is>
          <x:t xml:space="preserve">ARG-052</x:t>
        </x:is>
      </x:c>
      <x:c r="C825" s="160" t="inlineStr">
        <x:is>
          <x:t xml:space="preserve">UBS Group</x:t>
        </x:is>
      </x:c>
      <x:c r="D825" s="160" t="inlineStr">
        <x:is>
          <x:t xml:space="preserve">UBS</x:t>
        </x:is>
      </x:c>
      <x:c r="E825" s="160" t="inlineStr">
        <x:is>
          <x:t xml:space="preserve">Banks</x:t>
        </x:is>
      </x:c>
      <x:c r="F825" s="160" t="inlineStr">
        <x:is>
          <x:t xml:space="preserve">Development</x:t>
        </x:is>
      </x:c>
      <x:c r="G825" s="160" t="inlineStr">
        <x:is>
          <x:t xml:space="preserve">S04</x:t>
        </x:is>
      </x:c>
      <x:c r="H825" s="160" t="inlineStr">
        <x:is>
          <x:t xml:space="preserve">Stewardship / Capital Allocation</x:t>
        </x:is>
      </x:c>
      <x:c r="I825" s="160" t="inlineStr">
        <x:is>
          <x:t xml:space="preserve">Stewardship</x:t>
        </x:is>
      </x:c>
      <x:c r="J825" s="160" t="inlineStr">
        <x:is>
          <x:t xml:space="preserve">Management creates enterprise growth while destroying per-share value through M&amp;A, dilution, leverage or mistimed buybacks.</x:t>
        </x:is>
      </x:c>
      <x:c r="K825" s="160" t="inlineStr">
        <x:is>
          <x:t xml:space="preserve">Wealth AUM, net new assets and banking spreads</x:t>
        </x:is>
      </x:c>
      <x:c r="L825" s="160" t="inlineStr">
        <x:is>
          <x:t xml:space="preserve">Tangible book + normalized earnings</x:t>
        </x:is>
      </x:c>
      <x:c r="M825" s="160" t="inlineStr">
        <x:is>
          <x:t xml:space="preserve">NO PRODUCTION DECISION — STRESS TEST ONLY</x:t>
        </x:is>
      </x:c>
      <x:c r="N825" s="160" t="inlineStr">
        <x:is>
          <x:t xml:space="preserve">R-STEW-01</x:t>
        </x:is>
      </x:c>
      <x:c r="O825" s="160" t="inlineStr">
        <x:is>
          <x:t xml:space="preserve">MATURE</x:t>
        </x:is>
      </x:c>
      <x:c r="P825" s="160" t="inlineStr">
        <x:is>
          <x:t xml:space="preserve">ROBUST</x:t>
        </x:is>
      </x:c>
      <x:c r="Q825" s="160" t="inlineStr">
        <x:is>
          <x:t xml:space="preserve">The mature simulation rule catches the stress without weakening a fatal gate; no rule relaxation is justified.</x:t>
        </x:is>
      </x:c>
      <x:c r="R825" s="160" t="inlineStr">
        <x:is>
          <x:t xml:space="preserve">Evaluate capital allocation on a per-share basis using acquisition cohorts, dilution, leverage and repurchase price discipline.</x:t>
        </x:is>
      </x:c>
      <x:c r="S825" s="160" t="inlineStr">
        <x:is>
          <x:t xml:space="preserve">NO</x:t>
        </x:is>
      </x:c>
      <x:c r="T825" s="160" t="inlineStr">
        <x:is>
          <x:t xml:space="preserve">MATURE</x:t>
        </x:is>
      </x:c>
      <x:c r="U825" s="160" t="inlineStr">
        <x:is>
          <x:t xml:space="preserve">V10.5-SIM79</x:t>
        </x:is>
      </x:c>
      <x:c r="V825" s="160" t="inlineStr">
        <x:is>
          <x:t xml:space="preserve">https://www.ubs.com/global/en/investor-relations.html</x:t>
        </x:is>
      </x:c>
      <x:c r="W825" s="160" t="inlineStr">
        <x:is>
          <x:t xml:space="preserve">NO</x:t>
        </x:is>
      </x:c>
      <x:c r="X825" s="160" t="inlineStr">
        <x:is>
          <x:t xml:space="preserve">NONE — DEVELOPMENT ONLY</x:t>
        </x:is>
      </x:c>
      <x:c r="Y825" s="160" t="inlineStr">
        <x:is>
          <x:t xml:space="preserve">Synthetic/adversarial model-development loop. No historical outcome is claimed; no accuracy point is awarded.</x:t>
        </x:is>
      </x:c>
    </x:row>
    <x:row r="826">
      <x:c r="A826" s="160" t="inlineStr">
        <x:is>
          <x:t xml:space="preserve">ML0821</x:t>
        </x:is>
      </x:c>
      <x:c r="B826" s="160" t="inlineStr">
        <x:is>
          <x:t xml:space="preserve">ARG-052</x:t>
        </x:is>
      </x:c>
      <x:c r="C826" s="160" t="inlineStr">
        <x:is>
          <x:t xml:space="preserve">UBS Group</x:t>
        </x:is>
      </x:c>
      <x:c r="D826" s="160" t="inlineStr">
        <x:is>
          <x:t xml:space="preserve">UBS</x:t>
        </x:is>
      </x:c>
      <x:c r="E826" s="160" t="inlineStr">
        <x:is>
          <x:t xml:space="preserve">Banks</x:t>
        </x:is>
      </x:c>
      <x:c r="F826" s="160" t="inlineStr">
        <x:is>
          <x:t xml:space="preserve">Development</x:t>
        </x:is>
      </x:c>
      <x:c r="G826" s="160" t="inlineStr">
        <x:is>
          <x:t xml:space="preserve">S05</x:t>
        </x:is>
      </x:c>
      <x:c r="H826" s="160" t="inlineStr">
        <x:is>
          <x:t xml:space="preserve">Survival / Funding</x:t>
        </x:is>
      </x:c>
      <x:c r="I826" s="160" t="inlineStr">
        <x:is>
          <x:t xml:space="preserve">Survival</x:t>
        </x:is>
      </x:c>
      <x:c r="J826" s="160" t="inlineStr">
        <x:is>
          <x:t xml:space="preserve">A plausible bear case exposes refinancing, liquidity, covenant, reserve, regulatory or operational fragility.</x:t>
        </x:is>
      </x:c>
      <x:c r="K826" s="160" t="inlineStr">
        <x:is>
          <x:t xml:space="preserve">Wealth AUM, net new assets and banking spreads</x:t>
        </x:is>
      </x:c>
      <x:c r="L826" s="160" t="inlineStr">
        <x:is>
          <x:t xml:space="preserve">Tangible book + normalized earnings</x:t>
        </x:is>
      </x:c>
      <x:c r="M826" s="160" t="inlineStr">
        <x:is>
          <x:t xml:space="preserve">NO PRODUCTION DECISION — STRESS TEST ONLY</x:t>
        </x:is>
      </x:c>
      <x:c r="N826" s="160" t="inlineStr">
        <x:is>
          <x:t xml:space="preserve">R-SURV-01</x:t>
        </x:is>
      </x:c>
      <x:c r="O826" s="160" t="inlineStr">
        <x:is>
          <x:t xml:space="preserve">MATURE</x:t>
        </x:is>
      </x:c>
      <x:c r="P826" s="160" t="inlineStr">
        <x:is>
          <x:t xml:space="preserve">ROBUST</x:t>
        </x:is>
      </x:c>
      <x:c r="Q826" s="160" t="inlineStr">
        <x:is>
          <x:t xml:space="preserve">The mature simulation rule catches the stress without weakening a fatal gate; no rule relaxation is justified.</x:t>
        </x:is>
      </x:c>
      <x:c r="R826" s="160" t="inlineStr">
        <x:is>
          <x:t xml:space="preserve">Run a company-specific survival bridge under a severe-but-plausible bear case before any upside underwriting.</x:t>
        </x:is>
      </x:c>
      <x:c r="S826" s="160" t="inlineStr">
        <x:is>
          <x:t xml:space="preserve">NO</x:t>
        </x:is>
      </x:c>
      <x:c r="T826" s="160" t="inlineStr">
        <x:is>
          <x:t xml:space="preserve">MATURE</x:t>
        </x:is>
      </x:c>
      <x:c r="U826" s="160" t="inlineStr">
        <x:is>
          <x:t xml:space="preserve">V10.5-SIM79</x:t>
        </x:is>
      </x:c>
      <x:c r="V826" s="160" t="inlineStr">
        <x:is>
          <x:t xml:space="preserve">https://www.ubs.com/global/en/investor-relations.html</x:t>
        </x:is>
      </x:c>
      <x:c r="W826" s="160" t="inlineStr">
        <x:is>
          <x:t xml:space="preserve">NO</x:t>
        </x:is>
      </x:c>
      <x:c r="X826" s="160" t="inlineStr">
        <x:is>
          <x:t xml:space="preserve">NONE — DEVELOPMENT ONLY</x:t>
        </x:is>
      </x:c>
      <x:c r="Y826" s="160" t="inlineStr">
        <x:is>
          <x:t xml:space="preserve">Synthetic/adversarial model-development loop. No historical outcome is claimed; no accuracy point is awarded.</x:t>
        </x:is>
      </x:c>
    </x:row>
    <x:row r="827">
      <x:c r="A827" s="160" t="inlineStr">
        <x:is>
          <x:t xml:space="preserve">ML0822</x:t>
        </x:is>
      </x:c>
      <x:c r="B827" s="160" t="inlineStr">
        <x:is>
          <x:t xml:space="preserve">ARG-052</x:t>
        </x:is>
      </x:c>
      <x:c r="C827" s="160" t="inlineStr">
        <x:is>
          <x:t xml:space="preserve">UBS Group</x:t>
        </x:is>
      </x:c>
      <x:c r="D827" s="160" t="inlineStr">
        <x:is>
          <x:t xml:space="preserve">UBS</x:t>
        </x:is>
      </x:c>
      <x:c r="E827" s="160" t="inlineStr">
        <x:is>
          <x:t xml:space="preserve">Banks</x:t>
        </x:is>
      </x:c>
      <x:c r="F827" s="160" t="inlineStr">
        <x:is>
          <x:t xml:space="preserve">Development</x:t>
        </x:is>
      </x:c>
      <x:c r="G827" s="160" t="inlineStr">
        <x:is>
          <x:t xml:space="preserve">S06</x:t>
        </x:is>
      </x:c>
      <x:c r="H827" s="160" t="inlineStr">
        <x:is>
          <x:t xml:space="preserve">Margin of Safety</x:t>
        </x:is>
      </x:c>
      <x:c r="I827" s="160" t="inlineStr">
        <x:is>
          <x:t xml:space="preserve">Margin of Safety</x:t>
        </x:is>
      </x:c>
      <x:c r="J827" s="160" t="inlineStr">
        <x:is>
          <x:t xml:space="preserve">Business quality is high but the price embeds a fragile bull case.</x:t>
        </x:is>
      </x:c>
      <x:c r="K827" s="160" t="inlineStr">
        <x:is>
          <x:t xml:space="preserve">Wealth AUM, net new assets and banking spreads</x:t>
        </x:is>
      </x:c>
      <x:c r="L827" s="160" t="inlineStr">
        <x:is>
          <x:t xml:space="preserve">Tangible book + normalized earnings</x:t>
        </x:is>
      </x:c>
      <x:c r="M827" s="160" t="inlineStr">
        <x:is>
          <x:t xml:space="preserve">NO PRODUCTION DECISION — STRESS TEST ONLY</x:t>
        </x:is>
      </x:c>
      <x:c r="N827" s="160" t="inlineStr">
        <x:is>
          <x:t xml:space="preserve">R-MOS-01</x:t>
        </x:is>
      </x:c>
      <x:c r="O827" s="160" t="inlineStr">
        <x:is>
          <x:t xml:space="preserve">MATURE</x:t>
        </x:is>
      </x:c>
      <x:c r="P827" s="160" t="inlineStr">
        <x:is>
          <x:t xml:space="preserve">ROBUST</x:t>
        </x:is>
      </x:c>
      <x:c r="Q827" s="160" t="inlineStr">
        <x:is>
          <x:t xml:space="preserve">The mature simulation rule catches the stress without weakening a fatal gate; no rule relaxation is justified.</x:t>
        </x:is>
      </x:c>
      <x:c r="R827" s="160" t="inlineStr">
        <x:is>
          <x:t xml:space="preserve">Separate business-quality score from price decision; require reverse valuation and bear/base/bull IV ranges.</x:t>
        </x:is>
      </x:c>
      <x:c r="S827" s="160" t="inlineStr">
        <x:is>
          <x:t xml:space="preserve">NO</x:t>
        </x:is>
      </x:c>
      <x:c r="T827" s="160" t="inlineStr">
        <x:is>
          <x:t xml:space="preserve">MATURE</x:t>
        </x:is>
      </x:c>
      <x:c r="U827" s="160" t="inlineStr">
        <x:is>
          <x:t xml:space="preserve">V10.5-SIM79</x:t>
        </x:is>
      </x:c>
      <x:c r="V827" s="160" t="inlineStr">
        <x:is>
          <x:t xml:space="preserve">https://www.ubs.com/global/en/investor-relations.html</x:t>
        </x:is>
      </x:c>
      <x:c r="W827" s="160" t="inlineStr">
        <x:is>
          <x:t xml:space="preserve">NO</x:t>
        </x:is>
      </x:c>
      <x:c r="X827" s="160" t="inlineStr">
        <x:is>
          <x:t xml:space="preserve">NONE — DEVELOPMENT ONLY</x:t>
        </x:is>
      </x:c>
      <x:c r="Y827" s="160" t="inlineStr">
        <x:is>
          <x:t xml:space="preserve">Synthetic/adversarial model-development loop. No historical outcome is claimed; no accuracy point is awarded.</x:t>
        </x:is>
      </x:c>
    </x:row>
    <x:row r="828">
      <x:c r="A828" s="160" t="inlineStr">
        <x:is>
          <x:t xml:space="preserve">ML0823</x:t>
        </x:is>
      </x:c>
      <x:c r="B828" s="160" t="inlineStr">
        <x:is>
          <x:t xml:space="preserve">ARG-052</x:t>
        </x:is>
      </x:c>
      <x:c r="C828" s="160" t="inlineStr">
        <x:is>
          <x:t xml:space="preserve">UBS Group</x:t>
        </x:is>
      </x:c>
      <x:c r="D828" s="160" t="inlineStr">
        <x:is>
          <x:t xml:space="preserve">UBS</x:t>
        </x:is>
      </x:c>
      <x:c r="E828" s="160" t="inlineStr">
        <x:is>
          <x:t xml:space="preserve">Banks</x:t>
        </x:is>
      </x:c>
      <x:c r="F828" s="160" t="inlineStr">
        <x:is>
          <x:t xml:space="preserve">Development</x:t>
        </x:is>
      </x:c>
      <x:c r="G828" s="160" t="inlineStr">
        <x:is>
          <x:t xml:space="preserve">S07</x:t>
        </x:is>
      </x:c>
      <x:c r="H828" s="160" t="inlineStr">
        <x:is>
          <x:t xml:space="preserve">Sector Shock</x:t>
        </x:is>
      </x:c>
      <x:c r="I828" s="160" t="inlineStr">
        <x:is>
          <x:t xml:space="preserve">Sector-specific</x:t>
        </x:is>
      </x:c>
      <x:c r="J828" s="160" t="inlineStr">
        <x:is>
          <x:t xml:space="preserve">NIM or fee income improves but deposit beta, credit losses, capital requirements or duration risk erodes normalized ROTCE.</x:t>
        </x:is>
      </x:c>
      <x:c r="K828" s="160" t="inlineStr">
        <x:is>
          <x:t xml:space="preserve">Wealth AUM, net new assets and banking spreads</x:t>
        </x:is>
      </x:c>
      <x:c r="L828" s="160" t="inlineStr">
        <x:is>
          <x:t xml:space="preserve">Tangible book + normalized earnings</x:t>
        </x:is>
      </x:c>
      <x:c r="M828" s="160" t="inlineStr">
        <x:is>
          <x:t xml:space="preserve">NO PRODUCTION DECISION — STRESS TEST ONLY</x:t>
        </x:is>
      </x:c>
      <x:c r="N828" s="160" t="inlineStr">
        <x:is>
          <x:t xml:space="preserve">R-SECTOR-BANKS</x:t>
        </x:is>
      </x:c>
      <x:c r="O828" s="160" t="inlineStr">
        <x:is>
          <x:t xml:space="preserve">BASE</x:t>
        </x:is>
      </x:c>
      <x:c r="P828" s="160" t="inlineStr">
        <x:is>
          <x:t xml:space="preserve">PARTIAL CATCH</x:t>
        </x:is>
      </x:c>
      <x:c r="Q828" s="160" t="inlineStr">
        <x:is>
          <x:t xml:space="preserve">The base refinement catches the main failure, but evidence thresholds and per-share/counterfactual details remain underspecified.</x:t>
        </x:is>
      </x:c>
      <x:c r="R828" s="160" t="inlineStr">
        <x:is>
          <x:t xml:space="preserve">Add a sector-specific transmission map with leading operating sensors, not only market-price variables. Sector rule: NIM or fee income improves but deposit beta, credit losses, capital requirements or duration risk erodes normalized ROTCE.</x:t>
        </x:is>
      </x:c>
      <x:c r="S828" s="160" t="inlineStr">
        <x:is>
          <x:t xml:space="preserve">YES — SIMULATION ONLY</x:t>
        </x:is>
      </x:c>
      <x:c r="T828" s="160" t="inlineStr">
        <x:is>
          <x:t xml:space="preserve">HARDENED</x:t>
        </x:is>
      </x:c>
      <x:c r="U828" s="160" t="inlineStr">
        <x:is>
          <x:t xml:space="preserve">V10.5-SIM80</x:t>
        </x:is>
      </x:c>
      <x:c r="V828" s="160" t="inlineStr">
        <x:is>
          <x:t xml:space="preserve">https://www.ubs.com/global/en/investor-relations.html</x:t>
        </x:is>
      </x:c>
      <x:c r="W828" s="160" t="inlineStr">
        <x:is>
          <x:t xml:space="preserve">NO</x:t>
        </x:is>
      </x:c>
      <x:c r="X828" s="160" t="inlineStr">
        <x:is>
          <x:t xml:space="preserve">NONE — DEVELOPMENT ONLY</x:t>
        </x:is>
      </x:c>
      <x:c r="Y828" s="160" t="inlineStr">
        <x:is>
          <x:t xml:space="preserve">Synthetic/adversarial model-development loop. No historical outcome is claimed; no accuracy point is awarded.</x:t>
        </x:is>
      </x:c>
    </x:row>
    <x:row r="829">
      <x:c r="A829" s="160" t="inlineStr">
        <x:is>
          <x:t xml:space="preserve">ML0824</x:t>
        </x:is>
      </x:c>
      <x:c r="B829" s="160" t="inlineStr">
        <x:is>
          <x:t xml:space="preserve">ARG-052</x:t>
        </x:is>
      </x:c>
      <x:c r="C829" s="160" t="inlineStr">
        <x:is>
          <x:t xml:space="preserve">UBS Group</x:t>
        </x:is>
      </x:c>
      <x:c r="D829" s="160" t="inlineStr">
        <x:is>
          <x:t xml:space="preserve">UBS</x:t>
        </x:is>
      </x:c>
      <x:c r="E829" s="160" t="inlineStr">
        <x:is>
          <x:t xml:space="preserve">Banks</x:t>
        </x:is>
      </x:c>
      <x:c r="F829" s="160" t="inlineStr">
        <x:is>
          <x:t xml:space="preserve">Development</x:t>
        </x:is>
      </x:c>
      <x:c r="G829" s="160" t="inlineStr">
        <x:is>
          <x:t xml:space="preserve">S08</x:t>
        </x:is>
      </x:c>
      <x:c r="H829" s="160" t="inlineStr">
        <x:is>
          <x:t xml:space="preserve">Management Promise Reliability</x:t>
        </x:is>
      </x:c>
      <x:c r="I829" s="160" t="inlineStr">
        <x:is>
          <x:t xml:space="preserve">Management over-trust</x:t>
        </x:is>
      </x:c>
      <x:c r="J829" s="160" t="inlineStr">
        <x:is>
          <x:t xml:space="preserve">Guidance or strategic promises are repeated but the model lacks a contemporaneous reliability score.</x:t>
        </x:is>
      </x:c>
      <x:c r="K829" s="160" t="inlineStr">
        <x:is>
          <x:t xml:space="preserve">Wealth AUM, net new assets and banking spreads</x:t>
        </x:is>
      </x:c>
      <x:c r="L829" s="160" t="inlineStr">
        <x:is>
          <x:t xml:space="preserve">Tangible book + normalized earnings</x:t>
        </x:is>
      </x:c>
      <x:c r="M829" s="160" t="inlineStr">
        <x:is>
          <x:t xml:space="preserve">NO PRODUCTION DECISION — STRESS TEST ONLY</x:t>
        </x:is>
      </x:c>
      <x:c r="N829" s="160" t="inlineStr">
        <x:is>
          <x:t xml:space="preserve">R-PROM-01</x:t>
        </x:is>
      </x:c>
      <x:c r="O829" s="160" t="inlineStr">
        <x:is>
          <x:t xml:space="preserve">MATURE</x:t>
        </x:is>
      </x:c>
      <x:c r="P829" s="160" t="inlineStr">
        <x:is>
          <x:t xml:space="preserve">ROBUST</x:t>
        </x:is>
      </x:c>
      <x:c r="Q829" s="160" t="inlineStr">
        <x:is>
          <x:t xml:space="preserve">The mature simulation rule catches the stress without weakening a fatal gate; no rule relaxation is justified.</x:t>
        </x:is>
      </x:c>
      <x:c r="R829" s="160" t="inlineStr">
        <x:is>
          <x:t xml:space="preserve">Use a promises ledger with dated promise, measurable deliverable, due date, outcome and credibility weight.</x:t>
        </x:is>
      </x:c>
      <x:c r="S829" s="160" t="inlineStr">
        <x:is>
          <x:t xml:space="preserve">NO</x:t>
        </x:is>
      </x:c>
      <x:c r="T829" s="160" t="inlineStr">
        <x:is>
          <x:t xml:space="preserve">MATURE</x:t>
        </x:is>
      </x:c>
      <x:c r="U829" s="160" t="inlineStr">
        <x:is>
          <x:t xml:space="preserve">V10.5-SIM80</x:t>
        </x:is>
      </x:c>
      <x:c r="V829" s="160" t="inlineStr">
        <x:is>
          <x:t xml:space="preserve">https://www.ubs.com/global/en/investor-relations.html</x:t>
        </x:is>
      </x:c>
      <x:c r="W829" s="160" t="inlineStr">
        <x:is>
          <x:t xml:space="preserve">NO</x:t>
        </x:is>
      </x:c>
      <x:c r="X829" s="160" t="inlineStr">
        <x:is>
          <x:t xml:space="preserve">NONE — DEVELOPMENT ONLY</x:t>
        </x:is>
      </x:c>
      <x:c r="Y829" s="160" t="inlineStr">
        <x:is>
          <x:t xml:space="preserve">Synthetic/adversarial model-development loop. No historical outcome is claimed; no accuracy point is awarded.</x:t>
        </x:is>
      </x:c>
    </x:row>
    <x:row r="830">
      <x:c r="A830" s="160" t="inlineStr">
        <x:is>
          <x:t xml:space="preserve">ML0825</x:t>
        </x:is>
      </x:c>
      <x:c r="B830" s="160" t="inlineStr">
        <x:is>
          <x:t xml:space="preserve">ARG-052</x:t>
        </x:is>
      </x:c>
      <x:c r="C830" s="160" t="inlineStr">
        <x:is>
          <x:t xml:space="preserve">UBS Group</x:t>
        </x:is>
      </x:c>
      <x:c r="D830" s="160" t="inlineStr">
        <x:is>
          <x:t xml:space="preserve">UBS</x:t>
        </x:is>
      </x:c>
      <x:c r="E830" s="160" t="inlineStr">
        <x:is>
          <x:t xml:space="preserve">Banks</x:t>
        </x:is>
      </x:c>
      <x:c r="F830" s="160" t="inlineStr">
        <x:is>
          <x:t xml:space="preserve">Development</x:t>
        </x:is>
      </x:c>
      <x:c r="G830" s="160" t="inlineStr">
        <x:is>
          <x:t xml:space="preserve">S09</x:t>
        </x:is>
      </x:c>
      <x:c r="H830" s="160" t="inlineStr">
        <x:is>
          <x:t xml:space="preserve">Data / Accounting Quality</x:t>
        </x:is>
      </x:c>
      <x:c r="I830" s="160" t="inlineStr">
        <x:is>
          <x:t xml:space="preserve">Data quality</x:t>
        </x:is>
      </x:c>
      <x:c r="J830" s="160" t="inlineStr">
        <x:is>
          <x:t xml:space="preserve">Restatement, segment reclassification, one-time item or non-economic fair-value movement distorts the apparent trend.</x:t>
        </x:is>
      </x:c>
      <x:c r="K830" s="160" t="inlineStr">
        <x:is>
          <x:t xml:space="preserve">Wealth AUM, net new assets and banking spreads</x:t>
        </x:is>
      </x:c>
      <x:c r="L830" s="160" t="inlineStr">
        <x:is>
          <x:t xml:space="preserve">Tangible book + normalized earnings</x:t>
        </x:is>
      </x:c>
      <x:c r="M830" s="160" t="inlineStr">
        <x:is>
          <x:t xml:space="preserve">NO PRODUCTION DECISION — STRESS TEST ONLY</x:t>
        </x:is>
      </x:c>
      <x:c r="N830" s="160" t="inlineStr">
        <x:is>
          <x:t xml:space="preserve">R-DATA-01</x:t>
        </x:is>
      </x:c>
      <x:c r="O830" s="160" t="inlineStr">
        <x:is>
          <x:t xml:space="preserve">MATURE</x:t>
        </x:is>
      </x:c>
      <x:c r="P830" s="160" t="inlineStr">
        <x:is>
          <x:t xml:space="preserve">ROBUST</x:t>
        </x:is>
      </x:c>
      <x:c r="Q830" s="160" t="inlineStr">
        <x:is>
          <x:t xml:space="preserve">The mature simulation rule catches the stress without weakening a fatal gate; no rule relaxation is justified.</x:t>
        </x:is>
      </x:c>
      <x:c r="R830" s="160" t="inlineStr">
        <x:is>
          <x:t xml:space="preserve">Add a reporting-quality bridge and normalize accounting noise before any gate can pass.</x:t>
        </x:is>
      </x:c>
      <x:c r="S830" s="160" t="inlineStr">
        <x:is>
          <x:t xml:space="preserve">NO</x:t>
        </x:is>
      </x:c>
      <x:c r="T830" s="160" t="inlineStr">
        <x:is>
          <x:t xml:space="preserve">MATURE</x:t>
        </x:is>
      </x:c>
      <x:c r="U830" s="160" t="inlineStr">
        <x:is>
          <x:t xml:space="preserve">V10.5-SIM80</x:t>
        </x:is>
      </x:c>
      <x:c r="V830" s="160" t="inlineStr">
        <x:is>
          <x:t xml:space="preserve">https://www.ubs.com/global/en/investor-relations.html</x:t>
        </x:is>
      </x:c>
      <x:c r="W830" s="160" t="inlineStr">
        <x:is>
          <x:t xml:space="preserve">NO</x:t>
        </x:is>
      </x:c>
      <x:c r="X830" s="160" t="inlineStr">
        <x:is>
          <x:t xml:space="preserve">NONE — DEVELOPMENT ONLY</x:t>
        </x:is>
      </x:c>
      <x:c r="Y830" s="160" t="inlineStr">
        <x:is>
          <x:t xml:space="preserve">Synthetic/adversarial model-development loop. No historical outcome is claimed; no accuracy point is awarded.</x:t>
        </x:is>
      </x:c>
    </x:row>
    <x:row r="831">
      <x:c r="A831" s="160" t="inlineStr">
        <x:is>
          <x:t xml:space="preserve">ML0826</x:t>
        </x:is>
      </x:c>
      <x:c r="B831" s="160" t="inlineStr">
        <x:is>
          <x:t xml:space="preserve">ARG-052</x:t>
        </x:is>
      </x:c>
      <x:c r="C831" s="160" t="inlineStr">
        <x:is>
          <x:t xml:space="preserve">UBS Group</x:t>
        </x:is>
      </x:c>
      <x:c r="D831" s="160" t="inlineStr">
        <x:is>
          <x:t xml:space="preserve">UBS</x:t>
        </x:is>
      </x:c>
      <x:c r="E831" s="160" t="inlineStr">
        <x:is>
          <x:t xml:space="preserve">Banks</x:t>
        </x:is>
      </x:c>
      <x:c r="F831" s="160" t="inlineStr">
        <x:is>
          <x:t xml:space="preserve">Development</x:t>
        </x:is>
      </x:c>
      <x:c r="G831" s="160" t="inlineStr">
        <x:is>
          <x:t xml:space="preserve">S10</x:t>
        </x:is>
      </x:c>
      <x:c r="H831" s="160" t="inlineStr">
        <x:is>
          <x:t xml:space="preserve">Control / Counterfactual</x:t>
        </x:is>
      </x:c>
      <x:c r="I831" s="160" t="inlineStr">
        <x:is>
          <x:t xml:space="preserve">Sector beta vs company alpha</x:t>
        </x:is>
      </x:c>
      <x:c r="J831" s="160" t="inlineStr">
        <x:is>
          <x:t xml:space="preserve">A positive outcome is mostly sector beta or macro tailwind, not company-specific alpha.</x:t>
        </x:is>
      </x:c>
      <x:c r="K831" s="160" t="inlineStr">
        <x:is>
          <x:t xml:space="preserve">Wealth AUM, net new assets and banking spreads</x:t>
        </x:is>
      </x:c>
      <x:c r="L831" s="160" t="inlineStr">
        <x:is>
          <x:t xml:space="preserve">Tangible book + normalized earnings</x:t>
        </x:is>
      </x:c>
      <x:c r="M831" s="160" t="inlineStr">
        <x:is>
          <x:t xml:space="preserve">NO PRODUCTION DECISION — STRESS TEST ONLY</x:t>
        </x:is>
      </x:c>
      <x:c r="N831" s="160" t="inlineStr">
        <x:is>
          <x:t xml:space="preserve">R-CF-01</x:t>
        </x:is>
      </x:c>
      <x:c r="O831" s="160" t="inlineStr">
        <x:is>
          <x:t xml:space="preserve">MATURE</x:t>
        </x:is>
      </x:c>
      <x:c r="P831" s="160" t="inlineStr">
        <x:is>
          <x:t xml:space="preserve">ROBUST</x:t>
        </x:is>
      </x:c>
      <x:c r="Q831" s="160" t="inlineStr">
        <x:is>
          <x:t xml:space="preserve">The mature simulation rule catches the stress without weakening a fatal gate; no rule relaxation is justified.</x:t>
        </x:is>
      </x:c>
      <x:c r="R831" s="160" t="inlineStr">
        <x:is>
          <x:t xml:space="preserve">Require a true economic control and counterfactual: what should have happened to a comparable company under the same shock?</x:t>
        </x:is>
      </x:c>
      <x:c r="S831" s="160" t="inlineStr">
        <x:is>
          <x:t xml:space="preserve">NO</x:t>
        </x:is>
      </x:c>
      <x:c r="T831" s="160" t="inlineStr">
        <x:is>
          <x:t xml:space="preserve">MATURE</x:t>
        </x:is>
      </x:c>
      <x:c r="U831" s="160" t="inlineStr">
        <x:is>
          <x:t xml:space="preserve">V10.5-SIM80</x:t>
        </x:is>
      </x:c>
      <x:c r="V831" s="160" t="inlineStr">
        <x:is>
          <x:t xml:space="preserve">https://www.ubs.com/global/en/investor-relations.html</x:t>
        </x:is>
      </x:c>
      <x:c r="W831" s="160" t="inlineStr">
        <x:is>
          <x:t xml:space="preserve">NO</x:t>
        </x:is>
      </x:c>
      <x:c r="X831" s="160" t="inlineStr">
        <x:is>
          <x:t xml:space="preserve">NONE — DEVELOPMENT ONLY</x:t>
        </x:is>
      </x:c>
      <x:c r="Y831" s="160" t="inlineStr">
        <x:is>
          <x:t xml:space="preserve">Synthetic/adversarial model-development loop. No historical outcome is claimed; no accuracy point is awarded.</x:t>
        </x:is>
      </x:c>
    </x:row>
    <x:row r="832">
      <x:c r="A832" s="160" t="inlineStr">
        <x:is>
          <x:t xml:space="preserve">ML0827</x:t>
        </x:is>
      </x:c>
      <x:c r="B832" s="160" t="inlineStr">
        <x:is>
          <x:t xml:space="preserve">ARG-052</x:t>
        </x:is>
      </x:c>
      <x:c r="C832" s="160" t="inlineStr">
        <x:is>
          <x:t xml:space="preserve">UBS Group</x:t>
        </x:is>
      </x:c>
      <x:c r="D832" s="160" t="inlineStr">
        <x:is>
          <x:t xml:space="preserve">UBS</x:t>
        </x:is>
      </x:c>
      <x:c r="E832" s="160" t="inlineStr">
        <x:is>
          <x:t xml:space="preserve">Banks</x:t>
        </x:is>
      </x:c>
      <x:c r="F832" s="160" t="inlineStr">
        <x:is>
          <x:t xml:space="preserve">Development</x:t>
        </x:is>
      </x:c>
      <x:c r="G832" s="160" t="inlineStr">
        <x:is>
          <x:t xml:space="preserve">S11</x:t>
        </x:is>
      </x:c>
      <x:c r="H832" s="160" t="inlineStr">
        <x:is>
          <x:t xml:space="preserve">False-Negative Discipline</x:t>
        </x:is>
      </x:c>
      <x:c r="I832" s="160" t="inlineStr">
        <x:is>
          <x:t xml:space="preserve">False negative</x:t>
        </x:is>
      </x:c>
      <x:c r="J832" s="160" t="inlineStr">
        <x:is>
          <x:t xml:space="preserve">A strict gate rejects a company that later compounds strongly for reasons the model could have known.</x:t>
        </x:is>
      </x:c>
      <x:c r="K832" s="160" t="inlineStr">
        <x:is>
          <x:t xml:space="preserve">Wealth AUM, net new assets and banking spreads</x:t>
        </x:is>
      </x:c>
      <x:c r="L832" s="160" t="inlineStr">
        <x:is>
          <x:t xml:space="preserve">Tangible book + normalized earnings</x:t>
        </x:is>
      </x:c>
      <x:c r="M832" s="160" t="inlineStr">
        <x:is>
          <x:t xml:space="preserve">NO PRODUCTION DECISION — STRESS TEST ONLY</x:t>
        </x:is>
      </x:c>
      <x:c r="N832" s="160" t="inlineStr">
        <x:is>
          <x:t xml:space="preserve">R-FN-01</x:t>
        </x:is>
      </x:c>
      <x:c r="O832" s="160" t="inlineStr">
        <x:is>
          <x:t xml:space="preserve">MATURE</x:t>
        </x:is>
      </x:c>
      <x:c r="P832" s="160" t="inlineStr">
        <x:is>
          <x:t xml:space="preserve">ROBUST</x:t>
        </x:is>
      </x:c>
      <x:c r="Q832" s="160" t="inlineStr">
        <x:is>
          <x:t xml:space="preserve">The mature simulation rule catches the stress without weakening a fatal gate; no rule relaxation is justified.</x:t>
        </x:is>
      </x:c>
      <x:c r="R832" s="160" t="inlineStr">
        <x:is>
          <x:t xml:space="preserve">Track opportunity cost and classify whether the miss came from evidence timing, wrong threshold or genuinely unknowable upside.</x:t>
        </x:is>
      </x:c>
      <x:c r="S832" s="160" t="inlineStr">
        <x:is>
          <x:t xml:space="preserve">NO</x:t>
        </x:is>
      </x:c>
      <x:c r="T832" s="160" t="inlineStr">
        <x:is>
          <x:t xml:space="preserve">MATURE</x:t>
        </x:is>
      </x:c>
      <x:c r="U832" s="160" t="inlineStr">
        <x:is>
          <x:t xml:space="preserve">V10.5-SIM80</x:t>
        </x:is>
      </x:c>
      <x:c r="V832" s="160" t="inlineStr">
        <x:is>
          <x:t xml:space="preserve">https://www.ubs.com/global/en/investor-relations.html</x:t>
        </x:is>
      </x:c>
      <x:c r="W832" s="160" t="inlineStr">
        <x:is>
          <x:t xml:space="preserve">NO</x:t>
        </x:is>
      </x:c>
      <x:c r="X832" s="160" t="inlineStr">
        <x:is>
          <x:t xml:space="preserve">NONE — DEVELOPMENT ONLY</x:t>
        </x:is>
      </x:c>
      <x:c r="Y832" s="160" t="inlineStr">
        <x:is>
          <x:t xml:space="preserve">Synthetic/adversarial model-development loop. No historical outcome is claimed; no accuracy point is awarded.</x:t>
        </x:is>
      </x:c>
    </x:row>
    <x:row r="833">
      <x:c r="A833" s="160" t="inlineStr">
        <x:is>
          <x:t xml:space="preserve">ML0828</x:t>
        </x:is>
      </x:c>
      <x:c r="B833" s="160" t="inlineStr">
        <x:is>
          <x:t xml:space="preserve">ARG-052</x:t>
        </x:is>
      </x:c>
      <x:c r="C833" s="160" t="inlineStr">
        <x:is>
          <x:t xml:space="preserve">UBS Group</x:t>
        </x:is>
      </x:c>
      <x:c r="D833" s="160" t="inlineStr">
        <x:is>
          <x:t xml:space="preserve">UBS</x:t>
        </x:is>
      </x:c>
      <x:c r="E833" s="160" t="inlineStr">
        <x:is>
          <x:t xml:space="preserve">Banks</x:t>
        </x:is>
      </x:c>
      <x:c r="F833" s="160" t="inlineStr">
        <x:is>
          <x:t xml:space="preserve">Development</x:t>
        </x:is>
      </x:c>
      <x:c r="G833" s="160" t="inlineStr">
        <x:is>
          <x:t xml:space="preserve">S12</x:t>
        </x:is>
      </x:c>
      <x:c r="H833" s="160" t="inlineStr">
        <x:is>
          <x:t xml:space="preserve">Lead-Time / Early Sensor</x:t>
        </x:is>
      </x:c>
      <x:c r="I833" s="160" t="inlineStr">
        <x:is>
          <x:t xml:space="preserve">Timing / lead-time</x:t>
        </x:is>
      </x:c>
      <x:c r="J833" s="160" t="inlineStr">
        <x:is>
          <x:t xml:space="preserve">ARGUS identifies the change correctly but only after consensus and price have already reacted.</x:t>
        </x:is>
      </x:c>
      <x:c r="K833" s="160" t="inlineStr">
        <x:is>
          <x:t xml:space="preserve">Wealth AUM, net new assets and banking spreads</x:t>
        </x:is>
      </x:c>
      <x:c r="L833" s="160" t="inlineStr">
        <x:is>
          <x:t xml:space="preserve">Tangible book + normalized earnings</x:t>
        </x:is>
      </x:c>
      <x:c r="M833" s="160" t="inlineStr">
        <x:is>
          <x:t xml:space="preserve">NO PRODUCTION DECISION — STRESS TEST ONLY</x:t>
        </x:is>
      </x:c>
      <x:c r="N833" s="160" t="inlineStr">
        <x:is>
          <x:t xml:space="preserve">R-TIME-01</x:t>
        </x:is>
      </x:c>
      <x:c r="O833" s="160" t="inlineStr">
        <x:is>
          <x:t xml:space="preserve">MATURE</x:t>
        </x:is>
      </x:c>
      <x:c r="P833" s="160" t="inlineStr">
        <x:is>
          <x:t xml:space="preserve">ROBUST</x:t>
        </x:is>
      </x:c>
      <x:c r="Q833" s="160" t="inlineStr">
        <x:is>
          <x:t xml:space="preserve">The mature simulation rule catches the stress without weakening a fatal gate; no rule relaxation is justified.</x:t>
        </x:is>
      </x:c>
      <x:c r="R833" s="160" t="inlineStr">
        <x:is>
          <x:t xml:space="preserve">Replace lagging financial metrics with earlier causal operating sensors and record lead time separately from correctness.</x:t>
        </x:is>
      </x:c>
      <x:c r="S833" s="160" t="inlineStr">
        <x:is>
          <x:t xml:space="preserve">NO</x:t>
        </x:is>
      </x:c>
      <x:c r="T833" s="160" t="inlineStr">
        <x:is>
          <x:t xml:space="preserve">MATURE</x:t>
        </x:is>
      </x:c>
      <x:c r="U833" s="160" t="inlineStr">
        <x:is>
          <x:t xml:space="preserve">V10.5-SIM80</x:t>
        </x:is>
      </x:c>
      <x:c r="V833" s="160" t="inlineStr">
        <x:is>
          <x:t xml:space="preserve">https://www.ubs.com/global/en/investor-relations.html</x:t>
        </x:is>
      </x:c>
      <x:c r="W833" s="160" t="inlineStr">
        <x:is>
          <x:t xml:space="preserve">NO</x:t>
        </x:is>
      </x:c>
      <x:c r="X833" s="160" t="inlineStr">
        <x:is>
          <x:t xml:space="preserve">NONE — DEVELOPMENT ONLY</x:t>
        </x:is>
      </x:c>
      <x:c r="Y833" s="160" t="inlineStr">
        <x:is>
          <x:t xml:space="preserve">Synthetic/adversarial model-development loop. No historical outcome is claimed; no accuracy point is awarded.</x:t>
        </x:is>
      </x:c>
    </x:row>
    <x:row r="834">
      <x:c r="A834" s="160" t="inlineStr">
        <x:is>
          <x:t xml:space="preserve">ML0829</x:t>
        </x:is>
      </x:c>
      <x:c r="B834" s="160" t="inlineStr">
        <x:is>
          <x:t xml:space="preserve">ARG-052</x:t>
        </x:is>
      </x:c>
      <x:c r="C834" s="160" t="inlineStr">
        <x:is>
          <x:t xml:space="preserve">UBS Group</x:t>
        </x:is>
      </x:c>
      <x:c r="D834" s="160" t="inlineStr">
        <x:is>
          <x:t xml:space="preserve">UBS</x:t>
        </x:is>
      </x:c>
      <x:c r="E834" s="160" t="inlineStr">
        <x:is>
          <x:t xml:space="preserve">Banks</x:t>
        </x:is>
      </x:c>
      <x:c r="F834" s="160" t="inlineStr">
        <x:is>
          <x:t xml:space="preserve">Development</x:t>
        </x:is>
      </x:c>
      <x:c r="G834" s="160" t="inlineStr">
        <x:is>
          <x:t xml:space="preserve">S13</x:t>
        </x:is>
      </x:c>
      <x:c r="H834" s="160" t="inlineStr">
        <x:is>
          <x:t xml:space="preserve">Cycle Normalization</x:t>
        </x:is>
      </x:c>
      <x:c r="I834" s="160" t="inlineStr">
        <x:is>
          <x:t xml:space="preserve">Wrong valuation lens</x:t>
        </x:is>
      </x:c>
      <x:c r="J834" s="160" t="inlineStr">
        <x:is>
          <x:t xml:space="preserve">Peak/trough earnings are mistaken for normalized earning power.</x:t>
        </x:is>
      </x:c>
      <x:c r="K834" s="160" t="inlineStr">
        <x:is>
          <x:t xml:space="preserve">Wealth AUM, net new assets and banking spreads</x:t>
        </x:is>
      </x:c>
      <x:c r="L834" s="160" t="inlineStr">
        <x:is>
          <x:t xml:space="preserve">Tangible book + normalized earnings</x:t>
        </x:is>
      </x:c>
      <x:c r="M834" s="160" t="inlineStr">
        <x:is>
          <x:t xml:space="preserve">NO PRODUCTION DECISION — STRESS TEST ONLY</x:t>
        </x:is>
      </x:c>
      <x:c r="N834" s="160" t="inlineStr">
        <x:is>
          <x:t xml:space="preserve">R-CYCLE-01</x:t>
        </x:is>
      </x:c>
      <x:c r="O834" s="160" t="inlineStr">
        <x:is>
          <x:t xml:space="preserve">MATURE</x:t>
        </x:is>
      </x:c>
      <x:c r="P834" s="160" t="inlineStr">
        <x:is>
          <x:t xml:space="preserve">ROBUST</x:t>
        </x:is>
      </x:c>
      <x:c r="Q834" s="160" t="inlineStr">
        <x:is>
          <x:t xml:space="preserve">The mature simulation rule catches the stress without weakening a fatal gate; no rule relaxation is justified.</x:t>
        </x:is>
      </x:c>
      <x:c r="R834" s="160" t="inlineStr">
        <x:is>
          <x:t xml:space="preserve">Use sector-specific mid-cycle/NAV/rate-base/rNPV normalization before applying a valuation multiple.</x:t>
        </x:is>
      </x:c>
      <x:c r="S834" s="160" t="inlineStr">
        <x:is>
          <x:t xml:space="preserve">NO</x:t>
        </x:is>
      </x:c>
      <x:c r="T834" s="160" t="inlineStr">
        <x:is>
          <x:t xml:space="preserve">MATURE</x:t>
        </x:is>
      </x:c>
      <x:c r="U834" s="160" t="inlineStr">
        <x:is>
          <x:t xml:space="preserve">V10.5-SIM80</x:t>
        </x:is>
      </x:c>
      <x:c r="V834" s="160" t="inlineStr">
        <x:is>
          <x:t xml:space="preserve">https://www.ubs.com/global/en/investor-relations.html</x:t>
        </x:is>
      </x:c>
      <x:c r="W834" s="160" t="inlineStr">
        <x:is>
          <x:t xml:space="preserve">NO</x:t>
        </x:is>
      </x:c>
      <x:c r="X834" s="160" t="inlineStr">
        <x:is>
          <x:t xml:space="preserve">NONE — DEVELOPMENT ONLY</x:t>
        </x:is>
      </x:c>
      <x:c r="Y834" s="160" t="inlineStr">
        <x:is>
          <x:t xml:space="preserve">Synthetic/adversarial model-development loop. No historical outcome is claimed; no accuracy point is awarded.</x:t>
        </x:is>
      </x:c>
    </x:row>
    <x:row r="835">
      <x:c r="A835" s="160" t="inlineStr">
        <x:is>
          <x:t xml:space="preserve">ML0830</x:t>
        </x:is>
      </x:c>
      <x:c r="B835" s="160" t="inlineStr">
        <x:is>
          <x:t xml:space="preserve">ARG-052</x:t>
        </x:is>
      </x:c>
      <x:c r="C835" s="160" t="inlineStr">
        <x:is>
          <x:t xml:space="preserve">UBS Group</x:t>
        </x:is>
      </x:c>
      <x:c r="D835" s="160" t="inlineStr">
        <x:is>
          <x:t xml:space="preserve">UBS</x:t>
        </x:is>
      </x:c>
      <x:c r="E835" s="160" t="inlineStr">
        <x:is>
          <x:t xml:space="preserve">Banks</x:t>
        </x:is>
      </x:c>
      <x:c r="F835" s="160" t="inlineStr">
        <x:is>
          <x:t xml:space="preserve">Development</x:t>
        </x:is>
      </x:c>
      <x:c r="G835" s="160" t="inlineStr">
        <x:is>
          <x:t xml:space="preserve">S14</x:t>
        </x:is>
      </x:c>
      <x:c r="H835" s="160" t="inlineStr">
        <x:is>
          <x:t xml:space="preserve">M&amp;A / Organic Growth Separation</x:t>
        </x:is>
      </x:c>
      <x:c r="I835" s="160" t="inlineStr">
        <x:is>
          <x:t xml:space="preserve">Stewardship</x:t>
        </x:is>
      </x:c>
      <x:c r="J835" s="160" t="inlineStr">
        <x:is>
          <x:t xml:space="preserve">Acquisition-driven growth masks weak organic economics or poor incremental ROIC.</x:t>
        </x:is>
      </x:c>
      <x:c r="K835" s="160" t="inlineStr">
        <x:is>
          <x:t xml:space="preserve">Wealth AUM, net new assets and banking spreads</x:t>
        </x:is>
      </x:c>
      <x:c r="L835" s="160" t="inlineStr">
        <x:is>
          <x:t xml:space="preserve">Tangible book + normalized earnings</x:t>
        </x:is>
      </x:c>
      <x:c r="M835" s="160" t="inlineStr">
        <x:is>
          <x:t xml:space="preserve">NO PRODUCTION DECISION — STRESS TEST ONLY</x:t>
        </x:is>
      </x:c>
      <x:c r="N835" s="160" t="inlineStr">
        <x:is>
          <x:t xml:space="preserve">R-MA-01</x:t>
        </x:is>
      </x:c>
      <x:c r="O835" s="160" t="inlineStr">
        <x:is>
          <x:t xml:space="preserve">MATURE</x:t>
        </x:is>
      </x:c>
      <x:c r="P835" s="160" t="inlineStr">
        <x:is>
          <x:t xml:space="preserve">ROBUST</x:t>
        </x:is>
      </x:c>
      <x:c r="Q835" s="160" t="inlineStr">
        <x:is>
          <x:t xml:space="preserve">The mature simulation rule catches the stress without weakening a fatal gate; no rule relaxation is justified.</x:t>
        </x:is>
      </x:c>
      <x:c r="R835" s="160" t="inlineStr">
        <x:is>
          <x:t xml:space="preserve">Bridge organic growth, acquired growth, purchase price, integration costs and acquisition-cohort ROIC.</x:t>
        </x:is>
      </x:c>
      <x:c r="S835" s="160" t="inlineStr">
        <x:is>
          <x:t xml:space="preserve">NO</x:t>
        </x:is>
      </x:c>
      <x:c r="T835" s="160" t="inlineStr">
        <x:is>
          <x:t xml:space="preserve">MATURE</x:t>
        </x:is>
      </x:c>
      <x:c r="U835" s="160" t="inlineStr">
        <x:is>
          <x:t xml:space="preserve">V10.5-SIM80</x:t>
        </x:is>
      </x:c>
      <x:c r="V835" s="160" t="inlineStr">
        <x:is>
          <x:t xml:space="preserve">https://www.ubs.com/global/en/investor-relations.html</x:t>
        </x:is>
      </x:c>
      <x:c r="W835" s="160" t="inlineStr">
        <x:is>
          <x:t xml:space="preserve">NO</x:t>
        </x:is>
      </x:c>
      <x:c r="X835" s="160" t="inlineStr">
        <x:is>
          <x:t xml:space="preserve">NONE — DEVELOPMENT ONLY</x:t>
        </x:is>
      </x:c>
      <x:c r="Y835" s="160" t="inlineStr">
        <x:is>
          <x:t xml:space="preserve">Synthetic/adversarial model-development loop. No historical outcome is claimed; no accuracy point is awarded.</x:t>
        </x:is>
      </x:c>
    </x:row>
    <x:row r="836">
      <x:c r="A836" s="160" t="inlineStr">
        <x:is>
          <x:t xml:space="preserve">ML0831</x:t>
        </x:is>
      </x:c>
      <x:c r="B836" s="160" t="inlineStr">
        <x:is>
          <x:t xml:space="preserve">ARG-052</x:t>
        </x:is>
      </x:c>
      <x:c r="C836" s="160" t="inlineStr">
        <x:is>
          <x:t xml:space="preserve">UBS Group</x:t>
        </x:is>
      </x:c>
      <x:c r="D836" s="160" t="inlineStr">
        <x:is>
          <x:t xml:space="preserve">UBS</x:t>
        </x:is>
      </x:c>
      <x:c r="E836" s="160" t="inlineStr">
        <x:is>
          <x:t xml:space="preserve">Banks</x:t>
        </x:is>
      </x:c>
      <x:c r="F836" s="160" t="inlineStr">
        <x:is>
          <x:t xml:space="preserve">Development</x:t>
        </x:is>
      </x:c>
      <x:c r="G836" s="160" t="inlineStr">
        <x:is>
          <x:t xml:space="preserve">S15</x:t>
        </x:is>
      </x:c>
      <x:c r="H836" s="160" t="inlineStr">
        <x:is>
          <x:t xml:space="preserve">Financing / Dilution Per Share</x:t>
        </x:is>
      </x:c>
      <x:c r="I836" s="160" t="inlineStr">
        <x:is>
          <x:t xml:space="preserve">Stewardship</x:t>
        </x:is>
      </x:c>
      <x:c r="J836" s="160" t="inlineStr">
        <x:is>
          <x:t xml:space="preserve">Cash balance or revenue growth improves while financing causes material per-share value leakage.</x:t>
        </x:is>
      </x:c>
      <x:c r="K836" s="160" t="inlineStr">
        <x:is>
          <x:t xml:space="preserve">Wealth AUM, net new assets and banking spreads</x:t>
        </x:is>
      </x:c>
      <x:c r="L836" s="160" t="inlineStr">
        <x:is>
          <x:t xml:space="preserve">Tangible book + normalized earnings</x:t>
        </x:is>
      </x:c>
      <x:c r="M836" s="160" t="inlineStr">
        <x:is>
          <x:t xml:space="preserve">NO PRODUCTION DECISION — STRESS TEST ONLY</x:t>
        </x:is>
      </x:c>
      <x:c r="N836" s="160" t="inlineStr">
        <x:is>
          <x:t xml:space="preserve">R-DIL-01</x:t>
        </x:is>
      </x:c>
      <x:c r="O836" s="160" t="inlineStr">
        <x:is>
          <x:t xml:space="preserve">MATURE</x:t>
        </x:is>
      </x:c>
      <x:c r="P836" s="160" t="inlineStr">
        <x:is>
          <x:t xml:space="preserve">ROBUST</x:t>
        </x:is>
      </x:c>
      <x:c r="Q836" s="160" t="inlineStr">
        <x:is>
          <x:t xml:space="preserve">The mature simulation rule catches the stress without weakening a fatal gate; no rule relaxation is justified.</x:t>
        </x:is>
      </x:c>
      <x:c r="R836" s="160" t="inlineStr">
        <x:is>
          <x:t xml:space="preserve">Reconcile share-count growth, SBC, equity issuance, buybacks and net cash changes to per-share intrinsic value.</x:t>
        </x:is>
      </x:c>
      <x:c r="S836" s="160" t="inlineStr">
        <x:is>
          <x:t xml:space="preserve">NO</x:t>
        </x:is>
      </x:c>
      <x:c r="T836" s="160" t="inlineStr">
        <x:is>
          <x:t xml:space="preserve">MATURE</x:t>
        </x:is>
      </x:c>
      <x:c r="U836" s="160" t="inlineStr">
        <x:is>
          <x:t xml:space="preserve">V10.5-SIM80</x:t>
        </x:is>
      </x:c>
      <x:c r="V836" s="160" t="inlineStr">
        <x:is>
          <x:t xml:space="preserve">https://www.ubs.com/global/en/investor-relations.html</x:t>
        </x:is>
      </x:c>
      <x:c r="W836" s="160" t="inlineStr">
        <x:is>
          <x:t xml:space="preserve">NO</x:t>
        </x:is>
      </x:c>
      <x:c r="X836" s="160" t="inlineStr">
        <x:is>
          <x:t xml:space="preserve">NONE — DEVELOPMENT ONLY</x:t>
        </x:is>
      </x:c>
      <x:c r="Y836" s="160" t="inlineStr">
        <x:is>
          <x:t xml:space="preserve">Synthetic/adversarial model-development loop. No historical outcome is claimed; no accuracy point is awarded.</x:t>
        </x:is>
      </x:c>
    </x:row>
    <x:row r="837">
      <x:c r="A837" s="160" t="inlineStr">
        <x:is>
          <x:t xml:space="preserve">ML0832</x:t>
        </x:is>
      </x:c>
      <x:c r="B837" s="160" t="inlineStr">
        <x:is>
          <x:t xml:space="preserve">ARG-052</x:t>
        </x:is>
      </x:c>
      <x:c r="C837" s="160" t="inlineStr">
        <x:is>
          <x:t xml:space="preserve">UBS Group</x:t>
        </x:is>
      </x:c>
      <x:c r="D837" s="160" t="inlineStr">
        <x:is>
          <x:t xml:space="preserve">UBS</x:t>
        </x:is>
      </x:c>
      <x:c r="E837" s="160" t="inlineStr">
        <x:is>
          <x:t xml:space="preserve">Banks</x:t>
        </x:is>
      </x:c>
      <x:c r="F837" s="160" t="inlineStr">
        <x:is>
          <x:t xml:space="preserve">Development</x:t>
        </x:is>
      </x:c>
      <x:c r="G837" s="160" t="inlineStr">
        <x:is>
          <x:t xml:space="preserve">S16</x:t>
        </x:is>
      </x:c>
      <x:c r="H837" s="160" t="inlineStr">
        <x:is>
          <x:t xml:space="preserve">Concentration / Tail Risk</x:t>
        </x:is>
      </x:c>
      <x:c r="I837" s="160" t="inlineStr">
        <x:is>
          <x:t xml:space="preserve">Survival</x:t>
        </x:is>
      </x:c>
      <x:c r="J837" s="160" t="inlineStr">
        <x:is>
          <x:t xml:space="preserve">A concentrated supplier, geography, customer, product, patent, regulatory or technology dependency creates asymmetric permanent-loss risk.</x:t>
        </x:is>
      </x:c>
      <x:c r="K837" s="160" t="inlineStr">
        <x:is>
          <x:t xml:space="preserve">Wealth AUM, net new assets and banking spreads</x:t>
        </x:is>
      </x:c>
      <x:c r="L837" s="160" t="inlineStr">
        <x:is>
          <x:t xml:space="preserve">Tangible book + normalized earnings</x:t>
        </x:is>
      </x:c>
      <x:c r="M837" s="160" t="inlineStr">
        <x:is>
          <x:t xml:space="preserve">NO PRODUCTION DECISION — STRESS TEST ONLY</x:t>
        </x:is>
      </x:c>
      <x:c r="N837" s="160" t="inlineStr">
        <x:is>
          <x:t xml:space="preserve">R-TAIL-01</x:t>
        </x:is>
      </x:c>
      <x:c r="O837" s="160" t="inlineStr">
        <x:is>
          <x:t xml:space="preserve">MATURE</x:t>
        </x:is>
      </x:c>
      <x:c r="P837" s="160" t="inlineStr">
        <x:is>
          <x:t xml:space="preserve">ROBUST</x:t>
        </x:is>
      </x:c>
      <x:c r="Q837" s="160" t="inlineStr">
        <x:is>
          <x:t xml:space="preserve">The mature simulation rule catches the stress without weakening a fatal gate; no rule relaxation is justified.</x:t>
        </x:is>
      </x:c>
      <x:c r="R837" s="160" t="inlineStr">
        <x:is>
          <x:t xml:space="preserve">Maintain an explicit concentration/tail-risk register with probability, severity, mitigation and required margin-of-safety premium.</x:t>
        </x:is>
      </x:c>
      <x:c r="S837" s="160" t="inlineStr">
        <x:is>
          <x:t xml:space="preserve">NO</x:t>
        </x:is>
      </x:c>
      <x:c r="T837" s="160" t="inlineStr">
        <x:is>
          <x:t xml:space="preserve">MATURE</x:t>
        </x:is>
      </x:c>
      <x:c r="U837" s="160" t="inlineStr">
        <x:is>
          <x:t xml:space="preserve">V10.5-SIM80</x:t>
        </x:is>
      </x:c>
      <x:c r="V837" s="160" t="inlineStr">
        <x:is>
          <x:t xml:space="preserve">https://www.ubs.com/global/en/investor-relations.html</x:t>
        </x:is>
      </x:c>
      <x:c r="W837" s="160" t="inlineStr">
        <x:is>
          <x:t xml:space="preserve">NO</x:t>
        </x:is>
      </x:c>
      <x:c r="X837" s="160" t="inlineStr">
        <x:is>
          <x:t xml:space="preserve">NONE — DEVELOPMENT ONLY</x:t>
        </x:is>
      </x:c>
      <x:c r="Y837" s="160" t="inlineStr">
        <x:is>
          <x:t xml:space="preserve">Synthetic/adversarial model-development loop. No historical outcome is claimed; no accuracy point is awarded.</x:t>
        </x:is>
      </x:c>
    </x:row>
    <x:row r="838">
      <x:c r="A838" s="160" t="inlineStr">
        <x:is>
          <x:t xml:space="preserve">ML0833</x:t>
        </x:is>
      </x:c>
      <x:c r="B838" s="160" t="inlineStr">
        <x:is>
          <x:t xml:space="preserve">ARG-053</x:t>
        </x:is>
      </x:c>
      <x:c r="C838" s="160" t="inlineStr">
        <x:is>
          <x:t xml:space="preserve">Munich Re</x:t>
        </x:is>
      </x:c>
      <x:c r="D838" s="160" t="inlineStr">
        <x:is>
          <x:t xml:space="preserve">MUV2</x:t>
        </x:is>
      </x:c>
      <x:c r="E838" s="160" t="inlineStr">
        <x:is>
          <x:t xml:space="preserve">Insurance</x:t>
        </x:is>
      </x:c>
      <x:c r="F838" s="160" t="inlineStr">
        <x:is>
          <x:t xml:space="preserve">Development</x:t>
        </x:is>
      </x:c>
      <x:c r="G838" s="160" t="inlineStr">
        <x:is>
          <x:t xml:space="preserve">S01</x:t>
        </x:is>
      </x:c>
      <x:c r="H838" s="160" t="inlineStr">
        <x:is>
          <x:t xml:space="preserve">Understanding Gate</x:t>
        </x:is>
      </x:c>
      <x:c r="I838" s="160" t="inlineStr">
        <x:is>
          <x:t xml:space="preserve">Understanding</x:t>
        </x:is>
      </x:c>
      <x:c r="J838" s="160" t="inlineStr">
        <x:is>
          <x:t xml:space="preserve">Causal engine / customer ROI chain breaks under a misleading headline KPI.</x:t>
        </x:is>
      </x:c>
      <x:c r="K838" s="160" t="inlineStr">
        <x:is>
          <x:t xml:space="preserve">Risk pricing and investment income on float</x:t>
        </x:is>
      </x:c>
      <x:c r="L838" s="160" t="inlineStr">
        <x:is>
          <x:t xml:space="preserve">Book growth + normalized cycle earnings</x:t>
        </x:is>
      </x:c>
      <x:c r="M838" s="160" t="inlineStr">
        <x:is>
          <x:t xml:space="preserve">NO PRODUCTION DECISION — STRESS TEST ONLY</x:t>
        </x:is>
      </x:c>
      <x:c r="N838" s="160" t="inlineStr">
        <x:is>
          <x:t xml:space="preserve">R-ENG-01</x:t>
        </x:is>
      </x:c>
      <x:c r="O838" s="160" t="inlineStr">
        <x:is>
          <x:t xml:space="preserve">MATURE</x:t>
        </x:is>
      </x:c>
      <x:c r="P838" s="160" t="inlineStr">
        <x:is>
          <x:t xml:space="preserve">ROBUST</x:t>
        </x:is>
      </x:c>
      <x:c r="Q838" s="160" t="inlineStr">
        <x:is>
          <x:t xml:space="preserve">The mature simulation rule catches the stress without weakening a fatal gate; no rule relaxation is justified.</x:t>
        </x:is>
      </x:c>
      <x:c r="R838" s="160" t="inlineStr">
        <x:is>
          <x:t xml:space="preserve">Force an explicit engine tree: customer job → unit economics → revenue driver → owner-value bridge.</x:t>
        </x:is>
      </x:c>
      <x:c r="S838" s="160" t="inlineStr">
        <x:is>
          <x:t xml:space="preserve">NO</x:t>
        </x:is>
      </x:c>
      <x:c r="T838" s="160" t="inlineStr">
        <x:is>
          <x:t xml:space="preserve">MATURE</x:t>
        </x:is>
      </x:c>
      <x:c r="U838" s="160" t="inlineStr">
        <x:is>
          <x:t xml:space="preserve">V10.5-SIM80</x:t>
        </x:is>
      </x:c>
      <x:c r="V838" s="160" t="inlineStr">
        <x:is>
          <x:t xml:space="preserve">https://www.munichre.com/en/company/investors.html</x:t>
        </x:is>
      </x:c>
      <x:c r="W838" s="160" t="inlineStr">
        <x:is>
          <x:t xml:space="preserve">NO</x:t>
        </x:is>
      </x:c>
      <x:c r="X838" s="160" t="inlineStr">
        <x:is>
          <x:t xml:space="preserve">NONE — DEVELOPMENT ONLY</x:t>
        </x:is>
      </x:c>
      <x:c r="Y838" s="160" t="inlineStr">
        <x:is>
          <x:t xml:space="preserve">Synthetic/adversarial model-development loop. No historical outcome is claimed; no accuracy point is awarded.</x:t>
        </x:is>
      </x:c>
    </x:row>
    <x:row r="839">
      <x:c r="A839" s="160" t="inlineStr">
        <x:is>
          <x:t xml:space="preserve">ML0834</x:t>
        </x:is>
      </x:c>
      <x:c r="B839" s="160" t="inlineStr">
        <x:is>
          <x:t xml:space="preserve">ARG-053</x:t>
        </x:is>
      </x:c>
      <x:c r="C839" s="160" t="inlineStr">
        <x:is>
          <x:t xml:space="preserve">Munich Re</x:t>
        </x:is>
      </x:c>
      <x:c r="D839" s="160" t="inlineStr">
        <x:is>
          <x:t xml:space="preserve">MUV2</x:t>
        </x:is>
      </x:c>
      <x:c r="E839" s="160" t="inlineStr">
        <x:is>
          <x:t xml:space="preserve">Insurance</x:t>
        </x:is>
      </x:c>
      <x:c r="F839" s="160" t="inlineStr">
        <x:is>
          <x:t xml:space="preserve">Development</x:t>
        </x:is>
      </x:c>
      <x:c r="G839" s="160" t="inlineStr">
        <x:is>
          <x:t xml:space="preserve">S02</x:t>
        </x:is>
      </x:c>
      <x:c r="H839" s="160" t="inlineStr">
        <x:is>
          <x:t xml:space="preserve">Owner Earnings Normalization</x:t>
        </x:is>
      </x:c>
      <x:c r="I839" s="160" t="inlineStr">
        <x:is>
          <x:t xml:space="preserve">Owner Earnings</x:t>
        </x:is>
      </x:c>
      <x:c r="J839" s="160" t="inlineStr">
        <x:is>
          <x:t xml:space="preserve">Reported earnings/FCF overstates economic cash because recurring reinvestment or non-cash compensation is misclassified.</x:t>
        </x:is>
      </x:c>
      <x:c r="K839" s="160" t="inlineStr">
        <x:is>
          <x:t xml:space="preserve">Risk pricing and investment income on float</x:t>
        </x:is>
      </x:c>
      <x:c r="L839" s="160" t="inlineStr">
        <x:is>
          <x:t xml:space="preserve">Book growth + normalized cycle earnings</x:t>
        </x:is>
      </x:c>
      <x:c r="M839" s="160" t="inlineStr">
        <x:is>
          <x:t xml:space="preserve">NO PRODUCTION DECISION — STRESS TEST ONLY</x:t>
        </x:is>
      </x:c>
      <x:c r="N839" s="160" t="inlineStr">
        <x:is>
          <x:t xml:space="preserve">R-OE-01</x:t>
        </x:is>
      </x:c>
      <x:c r="O839" s="160" t="inlineStr">
        <x:is>
          <x:t xml:space="preserve">MATURE</x:t>
        </x:is>
      </x:c>
      <x:c r="P839" s="160" t="inlineStr">
        <x:is>
          <x:t xml:space="preserve">ROBUST</x:t>
        </x:is>
      </x:c>
      <x:c r="Q839" s="160" t="inlineStr">
        <x:is>
          <x:t xml:space="preserve">The mature simulation rule catches the stress without weakening a fatal gate; no rule relaxation is justified.</x:t>
        </x:is>
      </x:c>
      <x:c r="R839" s="160" t="inlineStr">
        <x:is>
          <x:t xml:space="preserve">Require a GAAP-to-economic-owner-cash bridge tailored to the business model.</x:t>
        </x:is>
      </x:c>
      <x:c r="S839" s="160" t="inlineStr">
        <x:is>
          <x:t xml:space="preserve">NO</x:t>
        </x:is>
      </x:c>
      <x:c r="T839" s="160" t="inlineStr">
        <x:is>
          <x:t xml:space="preserve">MATURE</x:t>
        </x:is>
      </x:c>
      <x:c r="U839" s="160" t="inlineStr">
        <x:is>
          <x:t xml:space="preserve">V10.5-SIM80</x:t>
        </x:is>
      </x:c>
      <x:c r="V839" s="160" t="inlineStr">
        <x:is>
          <x:t xml:space="preserve">https://www.munichre.com/en/company/investors.html</x:t>
        </x:is>
      </x:c>
      <x:c r="W839" s="160" t="inlineStr">
        <x:is>
          <x:t xml:space="preserve">NO</x:t>
        </x:is>
      </x:c>
      <x:c r="X839" s="160" t="inlineStr">
        <x:is>
          <x:t xml:space="preserve">NONE — DEVELOPMENT ONLY</x:t>
        </x:is>
      </x:c>
      <x:c r="Y839" s="160" t="inlineStr">
        <x:is>
          <x:t xml:space="preserve">Synthetic/adversarial model-development loop. No historical outcome is claimed; no accuracy point is awarded.</x:t>
        </x:is>
      </x:c>
    </x:row>
    <x:row r="840">
      <x:c r="A840" s="160" t="inlineStr">
        <x:is>
          <x:t xml:space="preserve">ML0835</x:t>
        </x:is>
      </x:c>
      <x:c r="B840" s="160" t="inlineStr">
        <x:is>
          <x:t xml:space="preserve">ARG-053</x:t>
        </x:is>
      </x:c>
      <x:c r="C840" s="160" t="inlineStr">
        <x:is>
          <x:t xml:space="preserve">Munich Re</x:t>
        </x:is>
      </x:c>
      <x:c r="D840" s="160" t="inlineStr">
        <x:is>
          <x:t xml:space="preserve">MUV2</x:t>
        </x:is>
      </x:c>
      <x:c r="E840" s="160" t="inlineStr">
        <x:is>
          <x:t xml:space="preserve">Insurance</x:t>
        </x:is>
      </x:c>
      <x:c r="F840" s="160" t="inlineStr">
        <x:is>
          <x:t xml:space="preserve">Development</x:t>
        </x:is>
      </x:c>
      <x:c r="G840" s="160" t="inlineStr">
        <x:is>
          <x:t xml:space="preserve">S03</x:t>
        </x:is>
      </x:c>
      <x:c r="H840" s="160" t="inlineStr">
        <x:is>
          <x:t xml:space="preserve">Moat Durability</x:t>
        </x:is>
      </x:c>
      <x:c r="I840" s="160" t="inlineStr">
        <x:is>
          <x:t xml:space="preserve">Moat 2036</x:t>
        </x:is>
      </x:c>
      <x:c r="J840" s="160" t="inlineStr">
        <x:is>
          <x:t xml:space="preserve">Growth continues while switching friction, pricing power or replacement difficulty quietly weakens.</x:t>
        </x:is>
      </x:c>
      <x:c r="K840" s="160" t="inlineStr">
        <x:is>
          <x:t xml:space="preserve">Risk pricing and investment income on float</x:t>
        </x:is>
      </x:c>
      <x:c r="L840" s="160" t="inlineStr">
        <x:is>
          <x:t xml:space="preserve">Book growth + normalized cycle earnings</x:t>
        </x:is>
      </x:c>
      <x:c r="M840" s="160" t="inlineStr">
        <x:is>
          <x:t xml:space="preserve">NO PRODUCTION DECISION — STRESS TEST ONLY</x:t>
        </x:is>
      </x:c>
      <x:c r="N840" s="160" t="inlineStr">
        <x:is>
          <x:t xml:space="preserve">R-MOAT-01</x:t>
        </x:is>
      </x:c>
      <x:c r="O840" s="160" t="inlineStr">
        <x:is>
          <x:t xml:space="preserve">MATURE</x:t>
        </x:is>
      </x:c>
      <x:c r="P840" s="160" t="inlineStr">
        <x:is>
          <x:t xml:space="preserve">ROBUST</x:t>
        </x:is>
      </x:c>
      <x:c r="Q840" s="160" t="inlineStr">
        <x:is>
          <x:t xml:space="preserve">The mature simulation rule catches the stress without weakening a fatal gate; no rule relaxation is justified.</x:t>
        </x:is>
      </x:c>
      <x:c r="R840" s="160" t="inlineStr">
        <x:is>
          <x:t xml:space="preserve">Track moat telemetry separately from growth: retention, pricing, win/loss, replacement friction, installed-base behavior.</x:t>
        </x:is>
      </x:c>
      <x:c r="S840" s="160" t="inlineStr">
        <x:is>
          <x:t xml:space="preserve">NO</x:t>
        </x:is>
      </x:c>
      <x:c r="T840" s="160" t="inlineStr">
        <x:is>
          <x:t xml:space="preserve">MATURE</x:t>
        </x:is>
      </x:c>
      <x:c r="U840" s="160" t="inlineStr">
        <x:is>
          <x:t xml:space="preserve">V10.5-SIM80</x:t>
        </x:is>
      </x:c>
      <x:c r="V840" s="160" t="inlineStr">
        <x:is>
          <x:t xml:space="preserve">https://www.munichre.com/en/company/investors.html</x:t>
        </x:is>
      </x:c>
      <x:c r="W840" s="160" t="inlineStr">
        <x:is>
          <x:t xml:space="preserve">NO</x:t>
        </x:is>
      </x:c>
      <x:c r="X840" s="160" t="inlineStr">
        <x:is>
          <x:t xml:space="preserve">NONE — DEVELOPMENT ONLY</x:t>
        </x:is>
      </x:c>
      <x:c r="Y840" s="160" t="inlineStr">
        <x:is>
          <x:t xml:space="preserve">Synthetic/adversarial model-development loop. No historical outcome is claimed; no accuracy point is awarded.</x:t>
        </x:is>
      </x:c>
    </x:row>
    <x:row r="841">
      <x:c r="A841" s="160" t="inlineStr">
        <x:is>
          <x:t xml:space="preserve">ML0836</x:t>
        </x:is>
      </x:c>
      <x:c r="B841" s="160" t="inlineStr">
        <x:is>
          <x:t xml:space="preserve">ARG-053</x:t>
        </x:is>
      </x:c>
      <x:c r="C841" s="160" t="inlineStr">
        <x:is>
          <x:t xml:space="preserve">Munich Re</x:t>
        </x:is>
      </x:c>
      <x:c r="D841" s="160" t="inlineStr">
        <x:is>
          <x:t xml:space="preserve">MUV2</x:t>
        </x:is>
      </x:c>
      <x:c r="E841" s="160" t="inlineStr">
        <x:is>
          <x:t xml:space="preserve">Insurance</x:t>
        </x:is>
      </x:c>
      <x:c r="F841" s="160" t="inlineStr">
        <x:is>
          <x:t xml:space="preserve">Development</x:t>
        </x:is>
      </x:c>
      <x:c r="G841" s="160" t="inlineStr">
        <x:is>
          <x:t xml:space="preserve">S04</x:t>
        </x:is>
      </x:c>
      <x:c r="H841" s="160" t="inlineStr">
        <x:is>
          <x:t xml:space="preserve">Stewardship / Capital Allocation</x:t>
        </x:is>
      </x:c>
      <x:c r="I841" s="160" t="inlineStr">
        <x:is>
          <x:t xml:space="preserve">Stewardship</x:t>
        </x:is>
      </x:c>
      <x:c r="J841" s="160" t="inlineStr">
        <x:is>
          <x:t xml:space="preserve">Management creates enterprise growth while destroying per-share value through M&amp;A, dilution, leverage or mistimed buybacks.</x:t>
        </x:is>
      </x:c>
      <x:c r="K841" s="160" t="inlineStr">
        <x:is>
          <x:t xml:space="preserve">Risk pricing and investment income on float</x:t>
        </x:is>
      </x:c>
      <x:c r="L841" s="160" t="inlineStr">
        <x:is>
          <x:t xml:space="preserve">Book growth + normalized cycle earnings</x:t>
        </x:is>
      </x:c>
      <x:c r="M841" s="160" t="inlineStr">
        <x:is>
          <x:t xml:space="preserve">NO PRODUCTION DECISION — STRESS TEST ONLY</x:t>
        </x:is>
      </x:c>
      <x:c r="N841" s="160" t="inlineStr">
        <x:is>
          <x:t xml:space="preserve">R-STEW-01</x:t>
        </x:is>
      </x:c>
      <x:c r="O841" s="160" t="inlineStr">
        <x:is>
          <x:t xml:space="preserve">MATURE</x:t>
        </x:is>
      </x:c>
      <x:c r="P841" s="160" t="inlineStr">
        <x:is>
          <x:t xml:space="preserve">ROBUST</x:t>
        </x:is>
      </x:c>
      <x:c r="Q841" s="160" t="inlineStr">
        <x:is>
          <x:t xml:space="preserve">The mature simulation rule catches the stress without weakening a fatal gate; no rule relaxation is justified.</x:t>
        </x:is>
      </x:c>
      <x:c r="R841" s="160" t="inlineStr">
        <x:is>
          <x:t xml:space="preserve">Evaluate capital allocation on a per-share basis using acquisition cohorts, dilution, leverage and repurchase price discipline.</x:t>
        </x:is>
      </x:c>
      <x:c r="S841" s="160" t="inlineStr">
        <x:is>
          <x:t xml:space="preserve">NO</x:t>
        </x:is>
      </x:c>
      <x:c r="T841" s="160" t="inlineStr">
        <x:is>
          <x:t xml:space="preserve">MATURE</x:t>
        </x:is>
      </x:c>
      <x:c r="U841" s="160" t="inlineStr">
        <x:is>
          <x:t xml:space="preserve">V10.5-SIM80</x:t>
        </x:is>
      </x:c>
      <x:c r="V841" s="160" t="inlineStr">
        <x:is>
          <x:t xml:space="preserve">https://www.munichre.com/en/company/investors.html</x:t>
        </x:is>
      </x:c>
      <x:c r="W841" s="160" t="inlineStr">
        <x:is>
          <x:t xml:space="preserve">NO</x:t>
        </x:is>
      </x:c>
      <x:c r="X841" s="160" t="inlineStr">
        <x:is>
          <x:t xml:space="preserve">NONE — DEVELOPMENT ONLY</x:t>
        </x:is>
      </x:c>
      <x:c r="Y841" s="160" t="inlineStr">
        <x:is>
          <x:t xml:space="preserve">Synthetic/adversarial model-development loop. No historical outcome is claimed; no accuracy point is awarded.</x:t>
        </x:is>
      </x:c>
    </x:row>
    <x:row r="842">
      <x:c r="A842" s="160" t="inlineStr">
        <x:is>
          <x:t xml:space="preserve">ML0837</x:t>
        </x:is>
      </x:c>
      <x:c r="B842" s="160" t="inlineStr">
        <x:is>
          <x:t xml:space="preserve">ARG-053</x:t>
        </x:is>
      </x:c>
      <x:c r="C842" s="160" t="inlineStr">
        <x:is>
          <x:t xml:space="preserve">Munich Re</x:t>
        </x:is>
      </x:c>
      <x:c r="D842" s="160" t="inlineStr">
        <x:is>
          <x:t xml:space="preserve">MUV2</x:t>
        </x:is>
      </x:c>
      <x:c r="E842" s="160" t="inlineStr">
        <x:is>
          <x:t xml:space="preserve">Insurance</x:t>
        </x:is>
      </x:c>
      <x:c r="F842" s="160" t="inlineStr">
        <x:is>
          <x:t xml:space="preserve">Development</x:t>
        </x:is>
      </x:c>
      <x:c r="G842" s="160" t="inlineStr">
        <x:is>
          <x:t xml:space="preserve">S05</x:t>
        </x:is>
      </x:c>
      <x:c r="H842" s="160" t="inlineStr">
        <x:is>
          <x:t xml:space="preserve">Survival / Funding</x:t>
        </x:is>
      </x:c>
      <x:c r="I842" s="160" t="inlineStr">
        <x:is>
          <x:t xml:space="preserve">Survival</x:t>
        </x:is>
      </x:c>
      <x:c r="J842" s="160" t="inlineStr">
        <x:is>
          <x:t xml:space="preserve">A plausible bear case exposes refinancing, liquidity, covenant, reserve, regulatory or operational fragility.</x:t>
        </x:is>
      </x:c>
      <x:c r="K842" s="160" t="inlineStr">
        <x:is>
          <x:t xml:space="preserve">Risk pricing and investment income on float</x:t>
        </x:is>
      </x:c>
      <x:c r="L842" s="160" t="inlineStr">
        <x:is>
          <x:t xml:space="preserve">Book growth + normalized cycle earnings</x:t>
        </x:is>
      </x:c>
      <x:c r="M842" s="160" t="inlineStr">
        <x:is>
          <x:t xml:space="preserve">NO PRODUCTION DECISION — STRESS TEST ONLY</x:t>
        </x:is>
      </x:c>
      <x:c r="N842" s="160" t="inlineStr">
        <x:is>
          <x:t xml:space="preserve">R-SURV-01</x:t>
        </x:is>
      </x:c>
      <x:c r="O842" s="160" t="inlineStr">
        <x:is>
          <x:t xml:space="preserve">MATURE</x:t>
        </x:is>
      </x:c>
      <x:c r="P842" s="160" t="inlineStr">
        <x:is>
          <x:t xml:space="preserve">ROBUST</x:t>
        </x:is>
      </x:c>
      <x:c r="Q842" s="160" t="inlineStr">
        <x:is>
          <x:t xml:space="preserve">The mature simulation rule catches the stress without weakening a fatal gate; no rule relaxation is justified.</x:t>
        </x:is>
      </x:c>
      <x:c r="R842" s="160" t="inlineStr">
        <x:is>
          <x:t xml:space="preserve">Run a company-specific survival bridge under a severe-but-plausible bear case before any upside underwriting.</x:t>
        </x:is>
      </x:c>
      <x:c r="S842" s="160" t="inlineStr">
        <x:is>
          <x:t xml:space="preserve">NO</x:t>
        </x:is>
      </x:c>
      <x:c r="T842" s="160" t="inlineStr">
        <x:is>
          <x:t xml:space="preserve">MATURE</x:t>
        </x:is>
      </x:c>
      <x:c r="U842" s="160" t="inlineStr">
        <x:is>
          <x:t xml:space="preserve">V10.5-SIM80</x:t>
        </x:is>
      </x:c>
      <x:c r="V842" s="160" t="inlineStr">
        <x:is>
          <x:t xml:space="preserve">https://www.munichre.com/en/company/investors.html</x:t>
        </x:is>
      </x:c>
      <x:c r="W842" s="160" t="inlineStr">
        <x:is>
          <x:t xml:space="preserve">NO</x:t>
        </x:is>
      </x:c>
      <x:c r="X842" s="160" t="inlineStr">
        <x:is>
          <x:t xml:space="preserve">NONE — DEVELOPMENT ONLY</x:t>
        </x:is>
      </x:c>
      <x:c r="Y842" s="160" t="inlineStr">
        <x:is>
          <x:t xml:space="preserve">Synthetic/adversarial model-development loop. No historical outcome is claimed; no accuracy point is awarded.</x:t>
        </x:is>
      </x:c>
    </x:row>
    <x:row r="843">
      <x:c r="A843" s="160" t="inlineStr">
        <x:is>
          <x:t xml:space="preserve">ML0838</x:t>
        </x:is>
      </x:c>
      <x:c r="B843" s="160" t="inlineStr">
        <x:is>
          <x:t xml:space="preserve">ARG-053</x:t>
        </x:is>
      </x:c>
      <x:c r="C843" s="160" t="inlineStr">
        <x:is>
          <x:t xml:space="preserve">Munich Re</x:t>
        </x:is>
      </x:c>
      <x:c r="D843" s="160" t="inlineStr">
        <x:is>
          <x:t xml:space="preserve">MUV2</x:t>
        </x:is>
      </x:c>
      <x:c r="E843" s="160" t="inlineStr">
        <x:is>
          <x:t xml:space="preserve">Insurance</x:t>
        </x:is>
      </x:c>
      <x:c r="F843" s="160" t="inlineStr">
        <x:is>
          <x:t xml:space="preserve">Development</x:t>
        </x:is>
      </x:c>
      <x:c r="G843" s="160" t="inlineStr">
        <x:is>
          <x:t xml:space="preserve">S06</x:t>
        </x:is>
      </x:c>
      <x:c r="H843" s="160" t="inlineStr">
        <x:is>
          <x:t xml:space="preserve">Margin of Safety</x:t>
        </x:is>
      </x:c>
      <x:c r="I843" s="160" t="inlineStr">
        <x:is>
          <x:t xml:space="preserve">Margin of Safety</x:t>
        </x:is>
      </x:c>
      <x:c r="J843" s="160" t="inlineStr">
        <x:is>
          <x:t xml:space="preserve">Business quality is high but the price embeds a fragile bull case.</x:t>
        </x:is>
      </x:c>
      <x:c r="K843" s="160" t="inlineStr">
        <x:is>
          <x:t xml:space="preserve">Risk pricing and investment income on float</x:t>
        </x:is>
      </x:c>
      <x:c r="L843" s="160" t="inlineStr">
        <x:is>
          <x:t xml:space="preserve">Book growth + normalized cycle earnings</x:t>
        </x:is>
      </x:c>
      <x:c r="M843" s="160" t="inlineStr">
        <x:is>
          <x:t xml:space="preserve">NO PRODUCTION DECISION — STRESS TEST ONLY</x:t>
        </x:is>
      </x:c>
      <x:c r="N843" s="160" t="inlineStr">
        <x:is>
          <x:t xml:space="preserve">R-MOS-01</x:t>
        </x:is>
      </x:c>
      <x:c r="O843" s="160" t="inlineStr">
        <x:is>
          <x:t xml:space="preserve">MATURE</x:t>
        </x:is>
      </x:c>
      <x:c r="P843" s="160" t="inlineStr">
        <x:is>
          <x:t xml:space="preserve">ROBUST</x:t>
        </x:is>
      </x:c>
      <x:c r="Q843" s="160" t="inlineStr">
        <x:is>
          <x:t xml:space="preserve">The mature simulation rule catches the stress without weakening a fatal gate; no rule relaxation is justified.</x:t>
        </x:is>
      </x:c>
      <x:c r="R843" s="160" t="inlineStr">
        <x:is>
          <x:t xml:space="preserve">Separate business-quality score from price decision; require reverse valuation and bear/base/bull IV ranges.</x:t>
        </x:is>
      </x:c>
      <x:c r="S843" s="160" t="inlineStr">
        <x:is>
          <x:t xml:space="preserve">NO</x:t>
        </x:is>
      </x:c>
      <x:c r="T843" s="160" t="inlineStr">
        <x:is>
          <x:t xml:space="preserve">MATURE</x:t>
        </x:is>
      </x:c>
      <x:c r="U843" s="160" t="inlineStr">
        <x:is>
          <x:t xml:space="preserve">V10.5-SIM80</x:t>
        </x:is>
      </x:c>
      <x:c r="V843" s="160" t="inlineStr">
        <x:is>
          <x:t xml:space="preserve">https://www.munichre.com/en/company/investors.html</x:t>
        </x:is>
      </x:c>
      <x:c r="W843" s="160" t="inlineStr">
        <x:is>
          <x:t xml:space="preserve">NO</x:t>
        </x:is>
      </x:c>
      <x:c r="X843" s="160" t="inlineStr">
        <x:is>
          <x:t xml:space="preserve">NONE — DEVELOPMENT ONLY</x:t>
        </x:is>
      </x:c>
      <x:c r="Y843" s="160" t="inlineStr">
        <x:is>
          <x:t xml:space="preserve">Synthetic/adversarial model-development loop. No historical outcome is claimed; no accuracy point is awarded.</x:t>
        </x:is>
      </x:c>
    </x:row>
    <x:row r="844">
      <x:c r="A844" s="160" t="inlineStr">
        <x:is>
          <x:t xml:space="preserve">ML0839</x:t>
        </x:is>
      </x:c>
      <x:c r="B844" s="160" t="inlineStr">
        <x:is>
          <x:t xml:space="preserve">ARG-053</x:t>
        </x:is>
      </x:c>
      <x:c r="C844" s="160" t="inlineStr">
        <x:is>
          <x:t xml:space="preserve">Munich Re</x:t>
        </x:is>
      </x:c>
      <x:c r="D844" s="160" t="inlineStr">
        <x:is>
          <x:t xml:space="preserve">MUV2</x:t>
        </x:is>
      </x:c>
      <x:c r="E844" s="160" t="inlineStr">
        <x:is>
          <x:t xml:space="preserve">Insurance</x:t>
        </x:is>
      </x:c>
      <x:c r="F844" s="160" t="inlineStr">
        <x:is>
          <x:t xml:space="preserve">Development</x:t>
        </x:is>
      </x:c>
      <x:c r="G844" s="160" t="inlineStr">
        <x:is>
          <x:t xml:space="preserve">S07</x:t>
        </x:is>
      </x:c>
      <x:c r="H844" s="160" t="inlineStr">
        <x:is>
          <x:t xml:space="preserve">Sector Shock</x:t>
        </x:is>
      </x:c>
      <x:c r="I844" s="160" t="inlineStr">
        <x:is>
          <x:t xml:space="preserve">Sector-specific</x:t>
        </x:is>
      </x:c>
      <x:c r="J844" s="160" t="inlineStr">
        <x:is>
          <x:t xml:space="preserve">Premium growth looks strong while reserve adequacy, catastrophe exposure or pricing-cycle deterioration threatens book-value compounding.</x:t>
        </x:is>
      </x:c>
      <x:c r="K844" s="160" t="inlineStr">
        <x:is>
          <x:t xml:space="preserve">Risk pricing and investment income on float</x:t>
        </x:is>
      </x:c>
      <x:c r="L844" s="160" t="inlineStr">
        <x:is>
          <x:t xml:space="preserve">Book growth + normalized cycle earnings</x:t>
        </x:is>
      </x:c>
      <x:c r="M844" s="160" t="inlineStr">
        <x:is>
          <x:t xml:space="preserve">NO PRODUCTION DECISION — STRESS TEST ONLY</x:t>
        </x:is>
      </x:c>
      <x:c r="N844" s="160" t="inlineStr">
        <x:is>
          <x:t xml:space="preserve">R-SECTOR-INSURANCE</x:t>
        </x:is>
      </x:c>
      <x:c r="O844" s="160" t="inlineStr">
        <x:is>
          <x:t xml:space="preserve">BASE</x:t>
        </x:is>
      </x:c>
      <x:c r="P844" s="160" t="inlineStr">
        <x:is>
          <x:t xml:space="preserve">PARTIAL CATCH</x:t>
        </x:is>
      </x:c>
      <x:c r="Q844" s="160" t="inlineStr">
        <x:is>
          <x:t xml:space="preserve">The base refinement catches the main failure, but evidence thresholds and per-share/counterfactual details remain underspecified.</x:t>
        </x:is>
      </x:c>
      <x:c r="R844" s="160" t="inlineStr">
        <x:is>
          <x:t xml:space="preserve">Add a sector-specific transmission map with leading operating sensors, not only market-price variables. Sector rule: Premium growth looks strong while reserve adequacy, catastrophe exposure or pricing-cycle deterioration threatens book-value compounding.</x:t>
        </x:is>
      </x:c>
      <x:c r="S844" s="160" t="inlineStr">
        <x:is>
          <x:t xml:space="preserve">YES — SIMULATION ONLY</x:t>
        </x:is>
      </x:c>
      <x:c r="T844" s="160" t="inlineStr">
        <x:is>
          <x:t xml:space="preserve">HARDENED</x:t>
        </x:is>
      </x:c>
      <x:c r="U844" s="160" t="inlineStr">
        <x:is>
          <x:t xml:space="preserve">V10.5-SIM81</x:t>
        </x:is>
      </x:c>
      <x:c r="V844" s="160" t="inlineStr">
        <x:is>
          <x:t xml:space="preserve">https://www.munichre.com/en/company/investors.html</x:t>
        </x:is>
      </x:c>
      <x:c r="W844" s="160" t="inlineStr">
        <x:is>
          <x:t xml:space="preserve">NO</x:t>
        </x:is>
      </x:c>
      <x:c r="X844" s="160" t="inlineStr">
        <x:is>
          <x:t xml:space="preserve">NONE — DEVELOPMENT ONLY</x:t>
        </x:is>
      </x:c>
      <x:c r="Y844" s="160" t="inlineStr">
        <x:is>
          <x:t xml:space="preserve">Synthetic/adversarial model-development loop. No historical outcome is claimed; no accuracy point is awarded.</x:t>
        </x:is>
      </x:c>
    </x:row>
    <x:row r="845">
      <x:c r="A845" s="160" t="inlineStr">
        <x:is>
          <x:t xml:space="preserve">ML0840</x:t>
        </x:is>
      </x:c>
      <x:c r="B845" s="160" t="inlineStr">
        <x:is>
          <x:t xml:space="preserve">ARG-053</x:t>
        </x:is>
      </x:c>
      <x:c r="C845" s="160" t="inlineStr">
        <x:is>
          <x:t xml:space="preserve">Munich Re</x:t>
        </x:is>
      </x:c>
      <x:c r="D845" s="160" t="inlineStr">
        <x:is>
          <x:t xml:space="preserve">MUV2</x:t>
        </x:is>
      </x:c>
      <x:c r="E845" s="160" t="inlineStr">
        <x:is>
          <x:t xml:space="preserve">Insurance</x:t>
        </x:is>
      </x:c>
      <x:c r="F845" s="160" t="inlineStr">
        <x:is>
          <x:t xml:space="preserve">Development</x:t>
        </x:is>
      </x:c>
      <x:c r="G845" s="160" t="inlineStr">
        <x:is>
          <x:t xml:space="preserve">S08</x:t>
        </x:is>
      </x:c>
      <x:c r="H845" s="160" t="inlineStr">
        <x:is>
          <x:t xml:space="preserve">Management Promise Reliability</x:t>
        </x:is>
      </x:c>
      <x:c r="I845" s="160" t="inlineStr">
        <x:is>
          <x:t xml:space="preserve">Management over-trust</x:t>
        </x:is>
      </x:c>
      <x:c r="J845" s="160" t="inlineStr">
        <x:is>
          <x:t xml:space="preserve">Guidance or strategic promises are repeated but the model lacks a contemporaneous reliability score.</x:t>
        </x:is>
      </x:c>
      <x:c r="K845" s="160" t="inlineStr">
        <x:is>
          <x:t xml:space="preserve">Risk pricing and investment income on float</x:t>
        </x:is>
      </x:c>
      <x:c r="L845" s="160" t="inlineStr">
        <x:is>
          <x:t xml:space="preserve">Book growth + normalized cycle earnings</x:t>
        </x:is>
      </x:c>
      <x:c r="M845" s="160" t="inlineStr">
        <x:is>
          <x:t xml:space="preserve">NO PRODUCTION DECISION — STRESS TEST ONLY</x:t>
        </x:is>
      </x:c>
      <x:c r="N845" s="160" t="inlineStr">
        <x:is>
          <x:t xml:space="preserve">R-PROM-01</x:t>
        </x:is>
      </x:c>
      <x:c r="O845" s="160" t="inlineStr">
        <x:is>
          <x:t xml:space="preserve">MATURE</x:t>
        </x:is>
      </x:c>
      <x:c r="P845" s="160" t="inlineStr">
        <x:is>
          <x:t xml:space="preserve">ROBUST</x:t>
        </x:is>
      </x:c>
      <x:c r="Q845" s="160" t="inlineStr">
        <x:is>
          <x:t xml:space="preserve">The mature simulation rule catches the stress without weakening a fatal gate; no rule relaxation is justified.</x:t>
        </x:is>
      </x:c>
      <x:c r="R845" s="160" t="inlineStr">
        <x:is>
          <x:t xml:space="preserve">Use a promises ledger with dated promise, measurable deliverable, due date, outcome and credibility weight.</x:t>
        </x:is>
      </x:c>
      <x:c r="S845" s="160" t="inlineStr">
        <x:is>
          <x:t xml:space="preserve">NO</x:t>
        </x:is>
      </x:c>
      <x:c r="T845" s="160" t="inlineStr">
        <x:is>
          <x:t xml:space="preserve">MATURE</x:t>
        </x:is>
      </x:c>
      <x:c r="U845" s="160" t="inlineStr">
        <x:is>
          <x:t xml:space="preserve">V10.5-SIM81</x:t>
        </x:is>
      </x:c>
      <x:c r="V845" s="160" t="inlineStr">
        <x:is>
          <x:t xml:space="preserve">https://www.munichre.com/en/company/investors.html</x:t>
        </x:is>
      </x:c>
      <x:c r="W845" s="160" t="inlineStr">
        <x:is>
          <x:t xml:space="preserve">NO</x:t>
        </x:is>
      </x:c>
      <x:c r="X845" s="160" t="inlineStr">
        <x:is>
          <x:t xml:space="preserve">NONE — DEVELOPMENT ONLY</x:t>
        </x:is>
      </x:c>
      <x:c r="Y845" s="160" t="inlineStr">
        <x:is>
          <x:t xml:space="preserve">Synthetic/adversarial model-development loop. No historical outcome is claimed; no accuracy point is awarded.</x:t>
        </x:is>
      </x:c>
    </x:row>
    <x:row r="846">
      <x:c r="A846" s="160" t="inlineStr">
        <x:is>
          <x:t xml:space="preserve">ML0841</x:t>
        </x:is>
      </x:c>
      <x:c r="B846" s="160" t="inlineStr">
        <x:is>
          <x:t xml:space="preserve">ARG-053</x:t>
        </x:is>
      </x:c>
      <x:c r="C846" s="160" t="inlineStr">
        <x:is>
          <x:t xml:space="preserve">Munich Re</x:t>
        </x:is>
      </x:c>
      <x:c r="D846" s="160" t="inlineStr">
        <x:is>
          <x:t xml:space="preserve">MUV2</x:t>
        </x:is>
      </x:c>
      <x:c r="E846" s="160" t="inlineStr">
        <x:is>
          <x:t xml:space="preserve">Insurance</x:t>
        </x:is>
      </x:c>
      <x:c r="F846" s="160" t="inlineStr">
        <x:is>
          <x:t xml:space="preserve">Development</x:t>
        </x:is>
      </x:c>
      <x:c r="G846" s="160" t="inlineStr">
        <x:is>
          <x:t xml:space="preserve">S09</x:t>
        </x:is>
      </x:c>
      <x:c r="H846" s="160" t="inlineStr">
        <x:is>
          <x:t xml:space="preserve">Data / Accounting Quality</x:t>
        </x:is>
      </x:c>
      <x:c r="I846" s="160" t="inlineStr">
        <x:is>
          <x:t xml:space="preserve">Data quality</x:t>
        </x:is>
      </x:c>
      <x:c r="J846" s="160" t="inlineStr">
        <x:is>
          <x:t xml:space="preserve">Restatement, segment reclassification, one-time item or non-economic fair-value movement distorts the apparent trend.</x:t>
        </x:is>
      </x:c>
      <x:c r="K846" s="160" t="inlineStr">
        <x:is>
          <x:t xml:space="preserve">Risk pricing and investment income on float</x:t>
        </x:is>
      </x:c>
      <x:c r="L846" s="160" t="inlineStr">
        <x:is>
          <x:t xml:space="preserve">Book growth + normalized cycle earnings</x:t>
        </x:is>
      </x:c>
      <x:c r="M846" s="160" t="inlineStr">
        <x:is>
          <x:t xml:space="preserve">NO PRODUCTION DECISION — STRESS TEST ONLY</x:t>
        </x:is>
      </x:c>
      <x:c r="N846" s="160" t="inlineStr">
        <x:is>
          <x:t xml:space="preserve">R-DATA-01</x:t>
        </x:is>
      </x:c>
      <x:c r="O846" s="160" t="inlineStr">
        <x:is>
          <x:t xml:space="preserve">MATURE</x:t>
        </x:is>
      </x:c>
      <x:c r="P846" s="160" t="inlineStr">
        <x:is>
          <x:t xml:space="preserve">ROBUST</x:t>
        </x:is>
      </x:c>
      <x:c r="Q846" s="160" t="inlineStr">
        <x:is>
          <x:t xml:space="preserve">The mature simulation rule catches the stress without weakening a fatal gate; no rule relaxation is justified.</x:t>
        </x:is>
      </x:c>
      <x:c r="R846" s="160" t="inlineStr">
        <x:is>
          <x:t xml:space="preserve">Add a reporting-quality bridge and normalize accounting noise before any gate can pass.</x:t>
        </x:is>
      </x:c>
      <x:c r="S846" s="160" t="inlineStr">
        <x:is>
          <x:t xml:space="preserve">NO</x:t>
        </x:is>
      </x:c>
      <x:c r="T846" s="160" t="inlineStr">
        <x:is>
          <x:t xml:space="preserve">MATURE</x:t>
        </x:is>
      </x:c>
      <x:c r="U846" s="160" t="inlineStr">
        <x:is>
          <x:t xml:space="preserve">V10.5-SIM81</x:t>
        </x:is>
      </x:c>
      <x:c r="V846" s="160" t="inlineStr">
        <x:is>
          <x:t xml:space="preserve">https://www.munichre.com/en/company/investors.html</x:t>
        </x:is>
      </x:c>
      <x:c r="W846" s="160" t="inlineStr">
        <x:is>
          <x:t xml:space="preserve">NO</x:t>
        </x:is>
      </x:c>
      <x:c r="X846" s="160" t="inlineStr">
        <x:is>
          <x:t xml:space="preserve">NONE — DEVELOPMENT ONLY</x:t>
        </x:is>
      </x:c>
      <x:c r="Y846" s="160" t="inlineStr">
        <x:is>
          <x:t xml:space="preserve">Synthetic/adversarial model-development loop. No historical outcome is claimed; no accuracy point is awarded.</x:t>
        </x:is>
      </x:c>
    </x:row>
    <x:row r="847">
      <x:c r="A847" s="160" t="inlineStr">
        <x:is>
          <x:t xml:space="preserve">ML0842</x:t>
        </x:is>
      </x:c>
      <x:c r="B847" s="160" t="inlineStr">
        <x:is>
          <x:t xml:space="preserve">ARG-053</x:t>
        </x:is>
      </x:c>
      <x:c r="C847" s="160" t="inlineStr">
        <x:is>
          <x:t xml:space="preserve">Munich Re</x:t>
        </x:is>
      </x:c>
      <x:c r="D847" s="160" t="inlineStr">
        <x:is>
          <x:t xml:space="preserve">MUV2</x:t>
        </x:is>
      </x:c>
      <x:c r="E847" s="160" t="inlineStr">
        <x:is>
          <x:t xml:space="preserve">Insurance</x:t>
        </x:is>
      </x:c>
      <x:c r="F847" s="160" t="inlineStr">
        <x:is>
          <x:t xml:space="preserve">Development</x:t>
        </x:is>
      </x:c>
      <x:c r="G847" s="160" t="inlineStr">
        <x:is>
          <x:t xml:space="preserve">S10</x:t>
        </x:is>
      </x:c>
      <x:c r="H847" s="160" t="inlineStr">
        <x:is>
          <x:t xml:space="preserve">Control / Counterfactual</x:t>
        </x:is>
      </x:c>
      <x:c r="I847" s="160" t="inlineStr">
        <x:is>
          <x:t xml:space="preserve">Sector beta vs company alpha</x:t>
        </x:is>
      </x:c>
      <x:c r="J847" s="160" t="inlineStr">
        <x:is>
          <x:t xml:space="preserve">A positive outcome is mostly sector beta or macro tailwind, not company-specific alpha.</x:t>
        </x:is>
      </x:c>
      <x:c r="K847" s="160" t="inlineStr">
        <x:is>
          <x:t xml:space="preserve">Risk pricing and investment income on float</x:t>
        </x:is>
      </x:c>
      <x:c r="L847" s="160" t="inlineStr">
        <x:is>
          <x:t xml:space="preserve">Book growth + normalized cycle earnings</x:t>
        </x:is>
      </x:c>
      <x:c r="M847" s="160" t="inlineStr">
        <x:is>
          <x:t xml:space="preserve">NO PRODUCTION DECISION — STRESS TEST ONLY</x:t>
        </x:is>
      </x:c>
      <x:c r="N847" s="160" t="inlineStr">
        <x:is>
          <x:t xml:space="preserve">R-CF-01</x:t>
        </x:is>
      </x:c>
      <x:c r="O847" s="160" t="inlineStr">
        <x:is>
          <x:t xml:space="preserve">MATURE</x:t>
        </x:is>
      </x:c>
      <x:c r="P847" s="160" t="inlineStr">
        <x:is>
          <x:t xml:space="preserve">ROBUST</x:t>
        </x:is>
      </x:c>
      <x:c r="Q847" s="160" t="inlineStr">
        <x:is>
          <x:t xml:space="preserve">The mature simulation rule catches the stress without weakening a fatal gate; no rule relaxation is justified.</x:t>
        </x:is>
      </x:c>
      <x:c r="R847" s="160" t="inlineStr">
        <x:is>
          <x:t xml:space="preserve">Require a true economic control and counterfactual: what should have happened to a comparable company under the same shock?</x:t>
        </x:is>
      </x:c>
      <x:c r="S847" s="160" t="inlineStr">
        <x:is>
          <x:t xml:space="preserve">NO</x:t>
        </x:is>
      </x:c>
      <x:c r="T847" s="160" t="inlineStr">
        <x:is>
          <x:t xml:space="preserve">MATURE</x:t>
        </x:is>
      </x:c>
      <x:c r="U847" s="160" t="inlineStr">
        <x:is>
          <x:t xml:space="preserve">V10.5-SIM81</x:t>
        </x:is>
      </x:c>
      <x:c r="V847" s="160" t="inlineStr">
        <x:is>
          <x:t xml:space="preserve">https://www.munichre.com/en/company/investors.html</x:t>
        </x:is>
      </x:c>
      <x:c r="W847" s="160" t="inlineStr">
        <x:is>
          <x:t xml:space="preserve">NO</x:t>
        </x:is>
      </x:c>
      <x:c r="X847" s="160" t="inlineStr">
        <x:is>
          <x:t xml:space="preserve">NONE — DEVELOPMENT ONLY</x:t>
        </x:is>
      </x:c>
      <x:c r="Y847" s="160" t="inlineStr">
        <x:is>
          <x:t xml:space="preserve">Synthetic/adversarial model-development loop. No historical outcome is claimed; no accuracy point is awarded.</x:t>
        </x:is>
      </x:c>
    </x:row>
    <x:row r="848">
      <x:c r="A848" s="160" t="inlineStr">
        <x:is>
          <x:t xml:space="preserve">ML0843</x:t>
        </x:is>
      </x:c>
      <x:c r="B848" s="160" t="inlineStr">
        <x:is>
          <x:t xml:space="preserve">ARG-053</x:t>
        </x:is>
      </x:c>
      <x:c r="C848" s="160" t="inlineStr">
        <x:is>
          <x:t xml:space="preserve">Munich Re</x:t>
        </x:is>
      </x:c>
      <x:c r="D848" s="160" t="inlineStr">
        <x:is>
          <x:t xml:space="preserve">MUV2</x:t>
        </x:is>
      </x:c>
      <x:c r="E848" s="160" t="inlineStr">
        <x:is>
          <x:t xml:space="preserve">Insurance</x:t>
        </x:is>
      </x:c>
      <x:c r="F848" s="160" t="inlineStr">
        <x:is>
          <x:t xml:space="preserve">Development</x:t>
        </x:is>
      </x:c>
      <x:c r="G848" s="160" t="inlineStr">
        <x:is>
          <x:t xml:space="preserve">S11</x:t>
        </x:is>
      </x:c>
      <x:c r="H848" s="160" t="inlineStr">
        <x:is>
          <x:t xml:space="preserve">False-Negative Discipline</x:t>
        </x:is>
      </x:c>
      <x:c r="I848" s="160" t="inlineStr">
        <x:is>
          <x:t xml:space="preserve">False negative</x:t>
        </x:is>
      </x:c>
      <x:c r="J848" s="160" t="inlineStr">
        <x:is>
          <x:t xml:space="preserve">A strict gate rejects a company that later compounds strongly for reasons the model could have known.</x:t>
        </x:is>
      </x:c>
      <x:c r="K848" s="160" t="inlineStr">
        <x:is>
          <x:t xml:space="preserve">Risk pricing and investment income on float</x:t>
        </x:is>
      </x:c>
      <x:c r="L848" s="160" t="inlineStr">
        <x:is>
          <x:t xml:space="preserve">Book growth + normalized cycle earnings</x:t>
        </x:is>
      </x:c>
      <x:c r="M848" s="160" t="inlineStr">
        <x:is>
          <x:t xml:space="preserve">NO PRODUCTION DECISION — STRESS TEST ONLY</x:t>
        </x:is>
      </x:c>
      <x:c r="N848" s="160" t="inlineStr">
        <x:is>
          <x:t xml:space="preserve">R-FN-01</x:t>
        </x:is>
      </x:c>
      <x:c r="O848" s="160" t="inlineStr">
        <x:is>
          <x:t xml:space="preserve">MATURE</x:t>
        </x:is>
      </x:c>
      <x:c r="P848" s="160" t="inlineStr">
        <x:is>
          <x:t xml:space="preserve">ROBUST</x:t>
        </x:is>
      </x:c>
      <x:c r="Q848" s="160" t="inlineStr">
        <x:is>
          <x:t xml:space="preserve">The mature simulation rule catches the stress without weakening a fatal gate; no rule relaxation is justified.</x:t>
        </x:is>
      </x:c>
      <x:c r="R848" s="160" t="inlineStr">
        <x:is>
          <x:t xml:space="preserve">Track opportunity cost and classify whether the miss came from evidence timing, wrong threshold or genuinely unknowable upside.</x:t>
        </x:is>
      </x:c>
      <x:c r="S848" s="160" t="inlineStr">
        <x:is>
          <x:t xml:space="preserve">NO</x:t>
        </x:is>
      </x:c>
      <x:c r="T848" s="160" t="inlineStr">
        <x:is>
          <x:t xml:space="preserve">MATURE</x:t>
        </x:is>
      </x:c>
      <x:c r="U848" s="160" t="inlineStr">
        <x:is>
          <x:t xml:space="preserve">V10.5-SIM81</x:t>
        </x:is>
      </x:c>
      <x:c r="V848" s="160" t="inlineStr">
        <x:is>
          <x:t xml:space="preserve">https://www.munichre.com/en/company/investors.html</x:t>
        </x:is>
      </x:c>
      <x:c r="W848" s="160" t="inlineStr">
        <x:is>
          <x:t xml:space="preserve">NO</x:t>
        </x:is>
      </x:c>
      <x:c r="X848" s="160" t="inlineStr">
        <x:is>
          <x:t xml:space="preserve">NONE — DEVELOPMENT ONLY</x:t>
        </x:is>
      </x:c>
      <x:c r="Y848" s="160" t="inlineStr">
        <x:is>
          <x:t xml:space="preserve">Synthetic/adversarial model-development loop. No historical outcome is claimed; no accuracy point is awarded.</x:t>
        </x:is>
      </x:c>
    </x:row>
    <x:row r="849">
      <x:c r="A849" s="160" t="inlineStr">
        <x:is>
          <x:t xml:space="preserve">ML0844</x:t>
        </x:is>
      </x:c>
      <x:c r="B849" s="160" t="inlineStr">
        <x:is>
          <x:t xml:space="preserve">ARG-053</x:t>
        </x:is>
      </x:c>
      <x:c r="C849" s="160" t="inlineStr">
        <x:is>
          <x:t xml:space="preserve">Munich Re</x:t>
        </x:is>
      </x:c>
      <x:c r="D849" s="160" t="inlineStr">
        <x:is>
          <x:t xml:space="preserve">MUV2</x:t>
        </x:is>
      </x:c>
      <x:c r="E849" s="160" t="inlineStr">
        <x:is>
          <x:t xml:space="preserve">Insurance</x:t>
        </x:is>
      </x:c>
      <x:c r="F849" s="160" t="inlineStr">
        <x:is>
          <x:t xml:space="preserve">Development</x:t>
        </x:is>
      </x:c>
      <x:c r="G849" s="160" t="inlineStr">
        <x:is>
          <x:t xml:space="preserve">S12</x:t>
        </x:is>
      </x:c>
      <x:c r="H849" s="160" t="inlineStr">
        <x:is>
          <x:t xml:space="preserve">Lead-Time / Early Sensor</x:t>
        </x:is>
      </x:c>
      <x:c r="I849" s="160" t="inlineStr">
        <x:is>
          <x:t xml:space="preserve">Timing / lead-time</x:t>
        </x:is>
      </x:c>
      <x:c r="J849" s="160" t="inlineStr">
        <x:is>
          <x:t xml:space="preserve">ARGUS identifies the change correctly but only after consensus and price have already reacted.</x:t>
        </x:is>
      </x:c>
      <x:c r="K849" s="160" t="inlineStr">
        <x:is>
          <x:t xml:space="preserve">Risk pricing and investment income on float</x:t>
        </x:is>
      </x:c>
      <x:c r="L849" s="160" t="inlineStr">
        <x:is>
          <x:t xml:space="preserve">Book growth + normalized cycle earnings</x:t>
        </x:is>
      </x:c>
      <x:c r="M849" s="160" t="inlineStr">
        <x:is>
          <x:t xml:space="preserve">NO PRODUCTION DECISION — STRESS TEST ONLY</x:t>
        </x:is>
      </x:c>
      <x:c r="N849" s="160" t="inlineStr">
        <x:is>
          <x:t xml:space="preserve">R-TIME-01</x:t>
        </x:is>
      </x:c>
      <x:c r="O849" s="160" t="inlineStr">
        <x:is>
          <x:t xml:space="preserve">MATURE</x:t>
        </x:is>
      </x:c>
      <x:c r="P849" s="160" t="inlineStr">
        <x:is>
          <x:t xml:space="preserve">ROBUST</x:t>
        </x:is>
      </x:c>
      <x:c r="Q849" s="160" t="inlineStr">
        <x:is>
          <x:t xml:space="preserve">The mature simulation rule catches the stress without weakening a fatal gate; no rule relaxation is justified.</x:t>
        </x:is>
      </x:c>
      <x:c r="R849" s="160" t="inlineStr">
        <x:is>
          <x:t xml:space="preserve">Replace lagging financial metrics with earlier causal operating sensors and record lead time separately from correctness.</x:t>
        </x:is>
      </x:c>
      <x:c r="S849" s="160" t="inlineStr">
        <x:is>
          <x:t xml:space="preserve">NO</x:t>
        </x:is>
      </x:c>
      <x:c r="T849" s="160" t="inlineStr">
        <x:is>
          <x:t xml:space="preserve">MATURE</x:t>
        </x:is>
      </x:c>
      <x:c r="U849" s="160" t="inlineStr">
        <x:is>
          <x:t xml:space="preserve">V10.5-SIM81</x:t>
        </x:is>
      </x:c>
      <x:c r="V849" s="160" t="inlineStr">
        <x:is>
          <x:t xml:space="preserve">https://www.munichre.com/en/company/investors.html</x:t>
        </x:is>
      </x:c>
      <x:c r="W849" s="160" t="inlineStr">
        <x:is>
          <x:t xml:space="preserve">NO</x:t>
        </x:is>
      </x:c>
      <x:c r="X849" s="160" t="inlineStr">
        <x:is>
          <x:t xml:space="preserve">NONE — DEVELOPMENT ONLY</x:t>
        </x:is>
      </x:c>
      <x:c r="Y849" s="160" t="inlineStr">
        <x:is>
          <x:t xml:space="preserve">Synthetic/adversarial model-development loop. No historical outcome is claimed; no accuracy point is awarded.</x:t>
        </x:is>
      </x:c>
    </x:row>
    <x:row r="850">
      <x:c r="A850" s="160" t="inlineStr">
        <x:is>
          <x:t xml:space="preserve">ML0845</x:t>
        </x:is>
      </x:c>
      <x:c r="B850" s="160" t="inlineStr">
        <x:is>
          <x:t xml:space="preserve">ARG-053</x:t>
        </x:is>
      </x:c>
      <x:c r="C850" s="160" t="inlineStr">
        <x:is>
          <x:t xml:space="preserve">Munich Re</x:t>
        </x:is>
      </x:c>
      <x:c r="D850" s="160" t="inlineStr">
        <x:is>
          <x:t xml:space="preserve">MUV2</x:t>
        </x:is>
      </x:c>
      <x:c r="E850" s="160" t="inlineStr">
        <x:is>
          <x:t xml:space="preserve">Insurance</x:t>
        </x:is>
      </x:c>
      <x:c r="F850" s="160" t="inlineStr">
        <x:is>
          <x:t xml:space="preserve">Development</x:t>
        </x:is>
      </x:c>
      <x:c r="G850" s="160" t="inlineStr">
        <x:is>
          <x:t xml:space="preserve">S13</x:t>
        </x:is>
      </x:c>
      <x:c r="H850" s="160" t="inlineStr">
        <x:is>
          <x:t xml:space="preserve">Cycle Normalization</x:t>
        </x:is>
      </x:c>
      <x:c r="I850" s="160" t="inlineStr">
        <x:is>
          <x:t xml:space="preserve">Wrong valuation lens</x:t>
        </x:is>
      </x:c>
      <x:c r="J850" s="160" t="inlineStr">
        <x:is>
          <x:t xml:space="preserve">Peak/trough earnings are mistaken for normalized earning power.</x:t>
        </x:is>
      </x:c>
      <x:c r="K850" s="160" t="inlineStr">
        <x:is>
          <x:t xml:space="preserve">Risk pricing and investment income on float</x:t>
        </x:is>
      </x:c>
      <x:c r="L850" s="160" t="inlineStr">
        <x:is>
          <x:t xml:space="preserve">Book growth + normalized cycle earnings</x:t>
        </x:is>
      </x:c>
      <x:c r="M850" s="160" t="inlineStr">
        <x:is>
          <x:t xml:space="preserve">NO PRODUCTION DECISION — STRESS TEST ONLY</x:t>
        </x:is>
      </x:c>
      <x:c r="N850" s="160" t="inlineStr">
        <x:is>
          <x:t xml:space="preserve">R-CYCLE-01</x:t>
        </x:is>
      </x:c>
      <x:c r="O850" s="160" t="inlineStr">
        <x:is>
          <x:t xml:space="preserve">MATURE</x:t>
        </x:is>
      </x:c>
      <x:c r="P850" s="160" t="inlineStr">
        <x:is>
          <x:t xml:space="preserve">ROBUST</x:t>
        </x:is>
      </x:c>
      <x:c r="Q850" s="160" t="inlineStr">
        <x:is>
          <x:t xml:space="preserve">The mature simulation rule catches the stress without weakening a fatal gate; no rule relaxation is justified.</x:t>
        </x:is>
      </x:c>
      <x:c r="R850" s="160" t="inlineStr">
        <x:is>
          <x:t xml:space="preserve">Use sector-specific mid-cycle/NAV/rate-base/rNPV normalization before applying a valuation multiple.</x:t>
        </x:is>
      </x:c>
      <x:c r="S850" s="160" t="inlineStr">
        <x:is>
          <x:t xml:space="preserve">NO</x:t>
        </x:is>
      </x:c>
      <x:c r="T850" s="160" t="inlineStr">
        <x:is>
          <x:t xml:space="preserve">MATURE</x:t>
        </x:is>
      </x:c>
      <x:c r="U850" s="160" t="inlineStr">
        <x:is>
          <x:t xml:space="preserve">V10.5-SIM81</x:t>
        </x:is>
      </x:c>
      <x:c r="V850" s="160" t="inlineStr">
        <x:is>
          <x:t xml:space="preserve">https://www.munichre.com/en/company/investors.html</x:t>
        </x:is>
      </x:c>
      <x:c r="W850" s="160" t="inlineStr">
        <x:is>
          <x:t xml:space="preserve">NO</x:t>
        </x:is>
      </x:c>
      <x:c r="X850" s="160" t="inlineStr">
        <x:is>
          <x:t xml:space="preserve">NONE — DEVELOPMENT ONLY</x:t>
        </x:is>
      </x:c>
      <x:c r="Y850" s="160" t="inlineStr">
        <x:is>
          <x:t xml:space="preserve">Synthetic/adversarial model-development loop. No historical outcome is claimed; no accuracy point is awarded.</x:t>
        </x:is>
      </x:c>
    </x:row>
    <x:row r="851">
      <x:c r="A851" s="160" t="inlineStr">
        <x:is>
          <x:t xml:space="preserve">ML0846</x:t>
        </x:is>
      </x:c>
      <x:c r="B851" s="160" t="inlineStr">
        <x:is>
          <x:t xml:space="preserve">ARG-053</x:t>
        </x:is>
      </x:c>
      <x:c r="C851" s="160" t="inlineStr">
        <x:is>
          <x:t xml:space="preserve">Munich Re</x:t>
        </x:is>
      </x:c>
      <x:c r="D851" s="160" t="inlineStr">
        <x:is>
          <x:t xml:space="preserve">MUV2</x:t>
        </x:is>
      </x:c>
      <x:c r="E851" s="160" t="inlineStr">
        <x:is>
          <x:t xml:space="preserve">Insurance</x:t>
        </x:is>
      </x:c>
      <x:c r="F851" s="160" t="inlineStr">
        <x:is>
          <x:t xml:space="preserve">Development</x:t>
        </x:is>
      </x:c>
      <x:c r="G851" s="160" t="inlineStr">
        <x:is>
          <x:t xml:space="preserve">S14</x:t>
        </x:is>
      </x:c>
      <x:c r="H851" s="160" t="inlineStr">
        <x:is>
          <x:t xml:space="preserve">M&amp;A / Organic Growth Separation</x:t>
        </x:is>
      </x:c>
      <x:c r="I851" s="160" t="inlineStr">
        <x:is>
          <x:t xml:space="preserve">Stewardship</x:t>
        </x:is>
      </x:c>
      <x:c r="J851" s="160" t="inlineStr">
        <x:is>
          <x:t xml:space="preserve">Acquisition-driven growth masks weak organic economics or poor incremental ROIC.</x:t>
        </x:is>
      </x:c>
      <x:c r="K851" s="160" t="inlineStr">
        <x:is>
          <x:t xml:space="preserve">Risk pricing and investment income on float</x:t>
        </x:is>
      </x:c>
      <x:c r="L851" s="160" t="inlineStr">
        <x:is>
          <x:t xml:space="preserve">Book growth + normalized cycle earnings</x:t>
        </x:is>
      </x:c>
      <x:c r="M851" s="160" t="inlineStr">
        <x:is>
          <x:t xml:space="preserve">NO PRODUCTION DECISION — STRESS TEST ONLY</x:t>
        </x:is>
      </x:c>
      <x:c r="N851" s="160" t="inlineStr">
        <x:is>
          <x:t xml:space="preserve">R-MA-01</x:t>
        </x:is>
      </x:c>
      <x:c r="O851" s="160" t="inlineStr">
        <x:is>
          <x:t xml:space="preserve">MATURE</x:t>
        </x:is>
      </x:c>
      <x:c r="P851" s="160" t="inlineStr">
        <x:is>
          <x:t xml:space="preserve">ROBUST</x:t>
        </x:is>
      </x:c>
      <x:c r="Q851" s="160" t="inlineStr">
        <x:is>
          <x:t xml:space="preserve">The mature simulation rule catches the stress without weakening a fatal gate; no rule relaxation is justified.</x:t>
        </x:is>
      </x:c>
      <x:c r="R851" s="160" t="inlineStr">
        <x:is>
          <x:t xml:space="preserve">Bridge organic growth, acquired growth, purchase price, integration costs and acquisition-cohort ROIC.</x:t>
        </x:is>
      </x:c>
      <x:c r="S851" s="160" t="inlineStr">
        <x:is>
          <x:t xml:space="preserve">NO</x:t>
        </x:is>
      </x:c>
      <x:c r="T851" s="160" t="inlineStr">
        <x:is>
          <x:t xml:space="preserve">MATURE</x:t>
        </x:is>
      </x:c>
      <x:c r="U851" s="160" t="inlineStr">
        <x:is>
          <x:t xml:space="preserve">V10.5-SIM81</x:t>
        </x:is>
      </x:c>
      <x:c r="V851" s="160" t="inlineStr">
        <x:is>
          <x:t xml:space="preserve">https://www.munichre.com/en/company/investors.html</x:t>
        </x:is>
      </x:c>
      <x:c r="W851" s="160" t="inlineStr">
        <x:is>
          <x:t xml:space="preserve">NO</x:t>
        </x:is>
      </x:c>
      <x:c r="X851" s="160" t="inlineStr">
        <x:is>
          <x:t xml:space="preserve">NONE — DEVELOPMENT ONLY</x:t>
        </x:is>
      </x:c>
      <x:c r="Y851" s="160" t="inlineStr">
        <x:is>
          <x:t xml:space="preserve">Synthetic/adversarial model-development loop. No historical outcome is claimed; no accuracy point is awarded.</x:t>
        </x:is>
      </x:c>
    </x:row>
    <x:row r="852">
      <x:c r="A852" s="160" t="inlineStr">
        <x:is>
          <x:t xml:space="preserve">ML0847</x:t>
        </x:is>
      </x:c>
      <x:c r="B852" s="160" t="inlineStr">
        <x:is>
          <x:t xml:space="preserve">ARG-053</x:t>
        </x:is>
      </x:c>
      <x:c r="C852" s="160" t="inlineStr">
        <x:is>
          <x:t xml:space="preserve">Munich Re</x:t>
        </x:is>
      </x:c>
      <x:c r="D852" s="160" t="inlineStr">
        <x:is>
          <x:t xml:space="preserve">MUV2</x:t>
        </x:is>
      </x:c>
      <x:c r="E852" s="160" t="inlineStr">
        <x:is>
          <x:t xml:space="preserve">Insurance</x:t>
        </x:is>
      </x:c>
      <x:c r="F852" s="160" t="inlineStr">
        <x:is>
          <x:t xml:space="preserve">Development</x:t>
        </x:is>
      </x:c>
      <x:c r="G852" s="160" t="inlineStr">
        <x:is>
          <x:t xml:space="preserve">S15</x:t>
        </x:is>
      </x:c>
      <x:c r="H852" s="160" t="inlineStr">
        <x:is>
          <x:t xml:space="preserve">Financing / Dilution Per Share</x:t>
        </x:is>
      </x:c>
      <x:c r="I852" s="160" t="inlineStr">
        <x:is>
          <x:t xml:space="preserve">Stewardship</x:t>
        </x:is>
      </x:c>
      <x:c r="J852" s="160" t="inlineStr">
        <x:is>
          <x:t xml:space="preserve">Cash balance or revenue growth improves while financing causes material per-share value leakage.</x:t>
        </x:is>
      </x:c>
      <x:c r="K852" s="160" t="inlineStr">
        <x:is>
          <x:t xml:space="preserve">Risk pricing and investment income on float</x:t>
        </x:is>
      </x:c>
      <x:c r="L852" s="160" t="inlineStr">
        <x:is>
          <x:t xml:space="preserve">Book growth + normalized cycle earnings</x:t>
        </x:is>
      </x:c>
      <x:c r="M852" s="160" t="inlineStr">
        <x:is>
          <x:t xml:space="preserve">NO PRODUCTION DECISION — STRESS TEST ONLY</x:t>
        </x:is>
      </x:c>
      <x:c r="N852" s="160" t="inlineStr">
        <x:is>
          <x:t xml:space="preserve">R-DIL-01</x:t>
        </x:is>
      </x:c>
      <x:c r="O852" s="160" t="inlineStr">
        <x:is>
          <x:t xml:space="preserve">MATURE</x:t>
        </x:is>
      </x:c>
      <x:c r="P852" s="160" t="inlineStr">
        <x:is>
          <x:t xml:space="preserve">ROBUST</x:t>
        </x:is>
      </x:c>
      <x:c r="Q852" s="160" t="inlineStr">
        <x:is>
          <x:t xml:space="preserve">The mature simulation rule catches the stress without weakening a fatal gate; no rule relaxation is justified.</x:t>
        </x:is>
      </x:c>
      <x:c r="R852" s="160" t="inlineStr">
        <x:is>
          <x:t xml:space="preserve">Reconcile share-count growth, SBC, equity issuance, buybacks and net cash changes to per-share intrinsic value.</x:t>
        </x:is>
      </x:c>
      <x:c r="S852" s="160" t="inlineStr">
        <x:is>
          <x:t xml:space="preserve">NO</x:t>
        </x:is>
      </x:c>
      <x:c r="T852" s="160" t="inlineStr">
        <x:is>
          <x:t xml:space="preserve">MATURE</x:t>
        </x:is>
      </x:c>
      <x:c r="U852" s="160" t="inlineStr">
        <x:is>
          <x:t xml:space="preserve">V10.5-SIM81</x:t>
        </x:is>
      </x:c>
      <x:c r="V852" s="160" t="inlineStr">
        <x:is>
          <x:t xml:space="preserve">https://www.munichre.com/en/company/investors.html</x:t>
        </x:is>
      </x:c>
      <x:c r="W852" s="160" t="inlineStr">
        <x:is>
          <x:t xml:space="preserve">NO</x:t>
        </x:is>
      </x:c>
      <x:c r="X852" s="160" t="inlineStr">
        <x:is>
          <x:t xml:space="preserve">NONE — DEVELOPMENT ONLY</x:t>
        </x:is>
      </x:c>
      <x:c r="Y852" s="160" t="inlineStr">
        <x:is>
          <x:t xml:space="preserve">Synthetic/adversarial model-development loop. No historical outcome is claimed; no accuracy point is awarded.</x:t>
        </x:is>
      </x:c>
    </x:row>
    <x:row r="853">
      <x:c r="A853" s="160" t="inlineStr">
        <x:is>
          <x:t xml:space="preserve">ML0848</x:t>
        </x:is>
      </x:c>
      <x:c r="B853" s="160" t="inlineStr">
        <x:is>
          <x:t xml:space="preserve">ARG-053</x:t>
        </x:is>
      </x:c>
      <x:c r="C853" s="160" t="inlineStr">
        <x:is>
          <x:t xml:space="preserve">Munich Re</x:t>
        </x:is>
      </x:c>
      <x:c r="D853" s="160" t="inlineStr">
        <x:is>
          <x:t xml:space="preserve">MUV2</x:t>
        </x:is>
      </x:c>
      <x:c r="E853" s="160" t="inlineStr">
        <x:is>
          <x:t xml:space="preserve">Insurance</x:t>
        </x:is>
      </x:c>
      <x:c r="F853" s="160" t="inlineStr">
        <x:is>
          <x:t xml:space="preserve">Development</x:t>
        </x:is>
      </x:c>
      <x:c r="G853" s="160" t="inlineStr">
        <x:is>
          <x:t xml:space="preserve">S16</x:t>
        </x:is>
      </x:c>
      <x:c r="H853" s="160" t="inlineStr">
        <x:is>
          <x:t xml:space="preserve">Concentration / Tail Risk</x:t>
        </x:is>
      </x:c>
      <x:c r="I853" s="160" t="inlineStr">
        <x:is>
          <x:t xml:space="preserve">Survival</x:t>
        </x:is>
      </x:c>
      <x:c r="J853" s="160" t="inlineStr">
        <x:is>
          <x:t xml:space="preserve">A concentrated supplier, geography, customer, product, patent, regulatory or technology dependency creates asymmetric permanent-loss risk.</x:t>
        </x:is>
      </x:c>
      <x:c r="K853" s="160" t="inlineStr">
        <x:is>
          <x:t xml:space="preserve">Risk pricing and investment income on float</x:t>
        </x:is>
      </x:c>
      <x:c r="L853" s="160" t="inlineStr">
        <x:is>
          <x:t xml:space="preserve">Book growth + normalized cycle earnings</x:t>
        </x:is>
      </x:c>
      <x:c r="M853" s="160" t="inlineStr">
        <x:is>
          <x:t xml:space="preserve">NO PRODUCTION DECISION — STRESS TEST ONLY</x:t>
        </x:is>
      </x:c>
      <x:c r="N853" s="160" t="inlineStr">
        <x:is>
          <x:t xml:space="preserve">R-TAIL-01</x:t>
        </x:is>
      </x:c>
      <x:c r="O853" s="160" t="inlineStr">
        <x:is>
          <x:t xml:space="preserve">MATURE</x:t>
        </x:is>
      </x:c>
      <x:c r="P853" s="160" t="inlineStr">
        <x:is>
          <x:t xml:space="preserve">ROBUST</x:t>
        </x:is>
      </x:c>
      <x:c r="Q853" s="160" t="inlineStr">
        <x:is>
          <x:t xml:space="preserve">The mature simulation rule catches the stress without weakening a fatal gate; no rule relaxation is justified.</x:t>
        </x:is>
      </x:c>
      <x:c r="R853" s="160" t="inlineStr">
        <x:is>
          <x:t xml:space="preserve">Maintain an explicit concentration/tail-risk register with probability, severity, mitigation and required margin-of-safety premium.</x:t>
        </x:is>
      </x:c>
      <x:c r="S853" s="160" t="inlineStr">
        <x:is>
          <x:t xml:space="preserve">NO</x:t>
        </x:is>
      </x:c>
      <x:c r="T853" s="160" t="inlineStr">
        <x:is>
          <x:t xml:space="preserve">MATURE</x:t>
        </x:is>
      </x:c>
      <x:c r="U853" s="160" t="inlineStr">
        <x:is>
          <x:t xml:space="preserve">V10.5-SIM81</x:t>
        </x:is>
      </x:c>
      <x:c r="V853" s="160" t="inlineStr">
        <x:is>
          <x:t xml:space="preserve">https://www.munichre.com/en/company/investors.html</x:t>
        </x:is>
      </x:c>
      <x:c r="W853" s="160" t="inlineStr">
        <x:is>
          <x:t xml:space="preserve">NO</x:t>
        </x:is>
      </x:c>
      <x:c r="X853" s="160" t="inlineStr">
        <x:is>
          <x:t xml:space="preserve">NONE — DEVELOPMENT ONLY</x:t>
        </x:is>
      </x:c>
      <x:c r="Y853" s="160" t="inlineStr">
        <x:is>
          <x:t xml:space="preserve">Synthetic/adversarial model-development loop. No historical outcome is claimed; no accuracy point is awarded.</x:t>
        </x:is>
      </x:c>
    </x:row>
    <x:row r="854">
      <x:c r="A854" s="160" t="inlineStr">
        <x:is>
          <x:t xml:space="preserve">ML0849</x:t>
        </x:is>
      </x:c>
      <x:c r="B854" s="160" t="inlineStr">
        <x:is>
          <x:t xml:space="preserve">ARG-054</x:t>
        </x:is>
      </x:c>
      <x:c r="C854" s="160" t="inlineStr">
        <x:is>
          <x:t xml:space="preserve">Eli Lilly</x:t>
        </x:is>
      </x:c>
      <x:c r="D854" s="160" t="inlineStr">
        <x:is>
          <x:t xml:space="preserve">LLY</x:t>
        </x:is>
      </x:c>
      <x:c r="E854" s="160" t="inlineStr">
        <x:is>
          <x:t xml:space="preserve">Healthcare &amp; Biopharma</x:t>
        </x:is>
      </x:c>
      <x:c r="F854" s="160" t="inlineStr">
        <x:is>
          <x:t xml:space="preserve">Development</x:t>
        </x:is>
      </x:c>
      <x:c r="G854" s="160" t="inlineStr">
        <x:is>
          <x:t xml:space="preserve">S01</x:t>
        </x:is>
      </x:c>
      <x:c r="H854" s="160" t="inlineStr">
        <x:is>
          <x:t xml:space="preserve">Understanding Gate</x:t>
        </x:is>
      </x:c>
      <x:c r="I854" s="160" t="inlineStr">
        <x:is>
          <x:t xml:space="preserve">Understanding</x:t>
        </x:is>
      </x:c>
      <x:c r="J854" s="160" t="inlineStr">
        <x:is>
          <x:t xml:space="preserve">Causal engine / customer ROI chain breaks under a misleading headline KPI.</x:t>
        </x:is>
      </x:c>
      <x:c r="K854" s="160" t="inlineStr">
        <x:is>
          <x:t xml:space="preserve">Product volume/net price/capacity plus pipeline</x:t>
        </x:is>
      </x:c>
      <x:c r="L854" s="160" t="inlineStr">
        <x:is>
          <x:t xml:space="preserve">Product DCF + rNPV</x:t>
        </x:is>
      </x:c>
      <x:c r="M854" s="160" t="inlineStr">
        <x:is>
          <x:t xml:space="preserve">NO PRODUCTION DECISION — STRESS TEST ONLY</x:t>
        </x:is>
      </x:c>
      <x:c r="N854" s="160" t="inlineStr">
        <x:is>
          <x:t xml:space="preserve">R-ENG-01</x:t>
        </x:is>
      </x:c>
      <x:c r="O854" s="160" t="inlineStr">
        <x:is>
          <x:t xml:space="preserve">MATURE</x:t>
        </x:is>
      </x:c>
      <x:c r="P854" s="160" t="inlineStr">
        <x:is>
          <x:t xml:space="preserve">ROBUST</x:t>
        </x:is>
      </x:c>
      <x:c r="Q854" s="160" t="inlineStr">
        <x:is>
          <x:t xml:space="preserve">The mature simulation rule catches the stress without weakening a fatal gate; no rule relaxation is justified.</x:t>
        </x:is>
      </x:c>
      <x:c r="R854" s="160" t="inlineStr">
        <x:is>
          <x:t xml:space="preserve">Force an explicit engine tree: customer job → unit economics → revenue driver → owner-value bridge.</x:t>
        </x:is>
      </x:c>
      <x:c r="S854" s="160" t="inlineStr">
        <x:is>
          <x:t xml:space="preserve">NO</x:t>
        </x:is>
      </x:c>
      <x:c r="T854" s="160" t="inlineStr">
        <x:is>
          <x:t xml:space="preserve">MATURE</x:t>
        </x:is>
      </x:c>
      <x:c r="U854" s="160" t="inlineStr">
        <x:is>
          <x:t xml:space="preserve">V10.5-SIM81</x:t>
        </x:is>
      </x:c>
      <x:c r="V854" s="160" t="inlineStr">
        <x:is>
          <x:t xml:space="preserve">https://investor.lilly.com</x:t>
        </x:is>
      </x:c>
      <x:c r="W854" s="160" t="inlineStr">
        <x:is>
          <x:t xml:space="preserve">NO</x:t>
        </x:is>
      </x:c>
      <x:c r="X854" s="160" t="inlineStr">
        <x:is>
          <x:t xml:space="preserve">NONE — DEVELOPMENT ONLY</x:t>
        </x:is>
      </x:c>
      <x:c r="Y854" s="160" t="inlineStr">
        <x:is>
          <x:t xml:space="preserve">Synthetic/adversarial model-development loop. No historical outcome is claimed; no accuracy point is awarded.</x:t>
        </x:is>
      </x:c>
    </x:row>
    <x:row r="855">
      <x:c r="A855" s="160" t="inlineStr">
        <x:is>
          <x:t xml:space="preserve">ML0850</x:t>
        </x:is>
      </x:c>
      <x:c r="B855" s="160" t="inlineStr">
        <x:is>
          <x:t xml:space="preserve">ARG-054</x:t>
        </x:is>
      </x:c>
      <x:c r="C855" s="160" t="inlineStr">
        <x:is>
          <x:t xml:space="preserve">Eli Lilly</x:t>
        </x:is>
      </x:c>
      <x:c r="D855" s="160" t="inlineStr">
        <x:is>
          <x:t xml:space="preserve">LLY</x:t>
        </x:is>
      </x:c>
      <x:c r="E855" s="160" t="inlineStr">
        <x:is>
          <x:t xml:space="preserve">Healthcare &amp; Biopharma</x:t>
        </x:is>
      </x:c>
      <x:c r="F855" s="160" t="inlineStr">
        <x:is>
          <x:t xml:space="preserve">Development</x:t>
        </x:is>
      </x:c>
      <x:c r="G855" s="160" t="inlineStr">
        <x:is>
          <x:t xml:space="preserve">S02</x:t>
        </x:is>
      </x:c>
      <x:c r="H855" s="160" t="inlineStr">
        <x:is>
          <x:t xml:space="preserve">Owner Earnings Normalization</x:t>
        </x:is>
      </x:c>
      <x:c r="I855" s="160" t="inlineStr">
        <x:is>
          <x:t xml:space="preserve">Owner Earnings</x:t>
        </x:is>
      </x:c>
      <x:c r="J855" s="160" t="inlineStr">
        <x:is>
          <x:t xml:space="preserve">Reported earnings/FCF overstates economic cash because recurring reinvestment or non-cash compensation is misclassified.</x:t>
        </x:is>
      </x:c>
      <x:c r="K855" s="160" t="inlineStr">
        <x:is>
          <x:t xml:space="preserve">Product volume/net price/capacity plus pipeline</x:t>
        </x:is>
      </x:c>
      <x:c r="L855" s="160" t="inlineStr">
        <x:is>
          <x:t xml:space="preserve">Product DCF + rNPV</x:t>
        </x:is>
      </x:c>
      <x:c r="M855" s="160" t="inlineStr">
        <x:is>
          <x:t xml:space="preserve">NO PRODUCTION DECISION — STRESS TEST ONLY</x:t>
        </x:is>
      </x:c>
      <x:c r="N855" s="160" t="inlineStr">
        <x:is>
          <x:t xml:space="preserve">R-OE-01</x:t>
        </x:is>
      </x:c>
      <x:c r="O855" s="160" t="inlineStr">
        <x:is>
          <x:t xml:space="preserve">MATURE</x:t>
        </x:is>
      </x:c>
      <x:c r="P855" s="160" t="inlineStr">
        <x:is>
          <x:t xml:space="preserve">ROBUST</x:t>
        </x:is>
      </x:c>
      <x:c r="Q855" s="160" t="inlineStr">
        <x:is>
          <x:t xml:space="preserve">The mature simulation rule catches the stress without weakening a fatal gate; no rule relaxation is justified.</x:t>
        </x:is>
      </x:c>
      <x:c r="R855" s="160" t="inlineStr">
        <x:is>
          <x:t xml:space="preserve">Require a GAAP-to-economic-owner-cash bridge tailored to the business model.</x:t>
        </x:is>
      </x:c>
      <x:c r="S855" s="160" t="inlineStr">
        <x:is>
          <x:t xml:space="preserve">NO</x:t>
        </x:is>
      </x:c>
      <x:c r="T855" s="160" t="inlineStr">
        <x:is>
          <x:t xml:space="preserve">MATURE</x:t>
        </x:is>
      </x:c>
      <x:c r="U855" s="160" t="inlineStr">
        <x:is>
          <x:t xml:space="preserve">V10.5-SIM81</x:t>
        </x:is>
      </x:c>
      <x:c r="V855" s="160" t="inlineStr">
        <x:is>
          <x:t xml:space="preserve">https://investor.lilly.com</x:t>
        </x:is>
      </x:c>
      <x:c r="W855" s="160" t="inlineStr">
        <x:is>
          <x:t xml:space="preserve">NO</x:t>
        </x:is>
      </x:c>
      <x:c r="X855" s="160" t="inlineStr">
        <x:is>
          <x:t xml:space="preserve">NONE — DEVELOPMENT ONLY</x:t>
        </x:is>
      </x:c>
      <x:c r="Y855" s="160" t="inlineStr">
        <x:is>
          <x:t xml:space="preserve">Synthetic/adversarial model-development loop. No historical outcome is claimed; no accuracy point is awarded.</x:t>
        </x:is>
      </x:c>
    </x:row>
    <x:row r="856">
      <x:c r="A856" s="160" t="inlineStr">
        <x:is>
          <x:t xml:space="preserve">ML0851</x:t>
        </x:is>
      </x:c>
      <x:c r="B856" s="160" t="inlineStr">
        <x:is>
          <x:t xml:space="preserve">ARG-054</x:t>
        </x:is>
      </x:c>
      <x:c r="C856" s="160" t="inlineStr">
        <x:is>
          <x:t xml:space="preserve">Eli Lilly</x:t>
        </x:is>
      </x:c>
      <x:c r="D856" s="160" t="inlineStr">
        <x:is>
          <x:t xml:space="preserve">LLY</x:t>
        </x:is>
      </x:c>
      <x:c r="E856" s="160" t="inlineStr">
        <x:is>
          <x:t xml:space="preserve">Healthcare &amp; Biopharma</x:t>
        </x:is>
      </x:c>
      <x:c r="F856" s="160" t="inlineStr">
        <x:is>
          <x:t xml:space="preserve">Development</x:t>
        </x:is>
      </x:c>
      <x:c r="G856" s="160" t="inlineStr">
        <x:is>
          <x:t xml:space="preserve">S03</x:t>
        </x:is>
      </x:c>
      <x:c r="H856" s="160" t="inlineStr">
        <x:is>
          <x:t xml:space="preserve">Moat Durability</x:t>
        </x:is>
      </x:c>
      <x:c r="I856" s="160" t="inlineStr">
        <x:is>
          <x:t xml:space="preserve">Moat 2036</x:t>
        </x:is>
      </x:c>
      <x:c r="J856" s="160" t="inlineStr">
        <x:is>
          <x:t xml:space="preserve">Growth continues while switching friction, pricing power or replacement difficulty quietly weakens.</x:t>
        </x:is>
      </x:c>
      <x:c r="K856" s="160" t="inlineStr">
        <x:is>
          <x:t xml:space="preserve">Product volume/net price/capacity plus pipeline</x:t>
        </x:is>
      </x:c>
      <x:c r="L856" s="160" t="inlineStr">
        <x:is>
          <x:t xml:space="preserve">Product DCF + rNPV</x:t>
        </x:is>
      </x:c>
      <x:c r="M856" s="160" t="inlineStr">
        <x:is>
          <x:t xml:space="preserve">NO PRODUCTION DECISION — STRESS TEST ONLY</x:t>
        </x:is>
      </x:c>
      <x:c r="N856" s="160" t="inlineStr">
        <x:is>
          <x:t xml:space="preserve">R-MOAT-01</x:t>
        </x:is>
      </x:c>
      <x:c r="O856" s="160" t="inlineStr">
        <x:is>
          <x:t xml:space="preserve">MATURE</x:t>
        </x:is>
      </x:c>
      <x:c r="P856" s="160" t="inlineStr">
        <x:is>
          <x:t xml:space="preserve">ROBUST</x:t>
        </x:is>
      </x:c>
      <x:c r="Q856" s="160" t="inlineStr">
        <x:is>
          <x:t xml:space="preserve">The mature simulation rule catches the stress without weakening a fatal gate; no rule relaxation is justified.</x:t>
        </x:is>
      </x:c>
      <x:c r="R856" s="160" t="inlineStr">
        <x:is>
          <x:t xml:space="preserve">Track moat telemetry separately from growth: retention, pricing, win/loss, replacement friction, installed-base behavior.</x:t>
        </x:is>
      </x:c>
      <x:c r="S856" s="160" t="inlineStr">
        <x:is>
          <x:t xml:space="preserve">NO</x:t>
        </x:is>
      </x:c>
      <x:c r="T856" s="160" t="inlineStr">
        <x:is>
          <x:t xml:space="preserve">MATURE</x:t>
        </x:is>
      </x:c>
      <x:c r="U856" s="160" t="inlineStr">
        <x:is>
          <x:t xml:space="preserve">V10.5-SIM81</x:t>
        </x:is>
      </x:c>
      <x:c r="V856" s="160" t="inlineStr">
        <x:is>
          <x:t xml:space="preserve">https://investor.lilly.com</x:t>
        </x:is>
      </x:c>
      <x:c r="W856" s="160" t="inlineStr">
        <x:is>
          <x:t xml:space="preserve">NO</x:t>
        </x:is>
      </x:c>
      <x:c r="X856" s="160" t="inlineStr">
        <x:is>
          <x:t xml:space="preserve">NONE — DEVELOPMENT ONLY</x:t>
        </x:is>
      </x:c>
      <x:c r="Y856" s="160" t="inlineStr">
        <x:is>
          <x:t xml:space="preserve">Synthetic/adversarial model-development loop. No historical outcome is claimed; no accuracy point is awarded.</x:t>
        </x:is>
      </x:c>
    </x:row>
    <x:row r="857">
      <x:c r="A857" s="160" t="inlineStr">
        <x:is>
          <x:t xml:space="preserve">ML0852</x:t>
        </x:is>
      </x:c>
      <x:c r="B857" s="160" t="inlineStr">
        <x:is>
          <x:t xml:space="preserve">ARG-054</x:t>
        </x:is>
      </x:c>
      <x:c r="C857" s="160" t="inlineStr">
        <x:is>
          <x:t xml:space="preserve">Eli Lilly</x:t>
        </x:is>
      </x:c>
      <x:c r="D857" s="160" t="inlineStr">
        <x:is>
          <x:t xml:space="preserve">LLY</x:t>
        </x:is>
      </x:c>
      <x:c r="E857" s="160" t="inlineStr">
        <x:is>
          <x:t xml:space="preserve">Healthcare &amp; Biopharma</x:t>
        </x:is>
      </x:c>
      <x:c r="F857" s="160" t="inlineStr">
        <x:is>
          <x:t xml:space="preserve">Development</x:t>
        </x:is>
      </x:c>
      <x:c r="G857" s="160" t="inlineStr">
        <x:is>
          <x:t xml:space="preserve">S04</x:t>
        </x:is>
      </x:c>
      <x:c r="H857" s="160" t="inlineStr">
        <x:is>
          <x:t xml:space="preserve">Stewardship / Capital Allocation</x:t>
        </x:is>
      </x:c>
      <x:c r="I857" s="160" t="inlineStr">
        <x:is>
          <x:t xml:space="preserve">Stewardship</x:t>
        </x:is>
      </x:c>
      <x:c r="J857" s="160" t="inlineStr">
        <x:is>
          <x:t xml:space="preserve">Management creates enterprise growth while destroying per-share value through M&amp;A, dilution, leverage or mistimed buybacks.</x:t>
        </x:is>
      </x:c>
      <x:c r="K857" s="160" t="inlineStr">
        <x:is>
          <x:t xml:space="preserve">Product volume/net price/capacity plus pipeline</x:t>
        </x:is>
      </x:c>
      <x:c r="L857" s="160" t="inlineStr">
        <x:is>
          <x:t xml:space="preserve">Product DCF + rNPV</x:t>
        </x:is>
      </x:c>
      <x:c r="M857" s="160" t="inlineStr">
        <x:is>
          <x:t xml:space="preserve">NO PRODUCTION DECISION — STRESS TEST ONLY</x:t>
        </x:is>
      </x:c>
      <x:c r="N857" s="160" t="inlineStr">
        <x:is>
          <x:t xml:space="preserve">R-STEW-01</x:t>
        </x:is>
      </x:c>
      <x:c r="O857" s="160" t="inlineStr">
        <x:is>
          <x:t xml:space="preserve">MATURE</x:t>
        </x:is>
      </x:c>
      <x:c r="P857" s="160" t="inlineStr">
        <x:is>
          <x:t xml:space="preserve">ROBUST</x:t>
        </x:is>
      </x:c>
      <x:c r="Q857" s="160" t="inlineStr">
        <x:is>
          <x:t xml:space="preserve">The mature simulation rule catches the stress without weakening a fatal gate; no rule relaxation is justified.</x:t>
        </x:is>
      </x:c>
      <x:c r="R857" s="160" t="inlineStr">
        <x:is>
          <x:t xml:space="preserve">Evaluate capital allocation on a per-share basis using acquisition cohorts, dilution, leverage and repurchase price discipline.</x:t>
        </x:is>
      </x:c>
      <x:c r="S857" s="160" t="inlineStr">
        <x:is>
          <x:t xml:space="preserve">NO</x:t>
        </x:is>
      </x:c>
      <x:c r="T857" s="160" t="inlineStr">
        <x:is>
          <x:t xml:space="preserve">MATURE</x:t>
        </x:is>
      </x:c>
      <x:c r="U857" s="160" t="inlineStr">
        <x:is>
          <x:t xml:space="preserve">V10.5-SIM81</x:t>
        </x:is>
      </x:c>
      <x:c r="V857" s="160" t="inlineStr">
        <x:is>
          <x:t xml:space="preserve">https://investor.lilly.com</x:t>
        </x:is>
      </x:c>
      <x:c r="W857" s="160" t="inlineStr">
        <x:is>
          <x:t xml:space="preserve">NO</x:t>
        </x:is>
      </x:c>
      <x:c r="X857" s="160" t="inlineStr">
        <x:is>
          <x:t xml:space="preserve">NONE — DEVELOPMENT ONLY</x:t>
        </x:is>
      </x:c>
      <x:c r="Y857" s="160" t="inlineStr">
        <x:is>
          <x:t xml:space="preserve">Synthetic/adversarial model-development loop. No historical outcome is claimed; no accuracy point is awarded.</x:t>
        </x:is>
      </x:c>
    </x:row>
    <x:row r="858">
      <x:c r="A858" s="160" t="inlineStr">
        <x:is>
          <x:t xml:space="preserve">ML0853</x:t>
        </x:is>
      </x:c>
      <x:c r="B858" s="160" t="inlineStr">
        <x:is>
          <x:t xml:space="preserve">ARG-054</x:t>
        </x:is>
      </x:c>
      <x:c r="C858" s="160" t="inlineStr">
        <x:is>
          <x:t xml:space="preserve">Eli Lilly</x:t>
        </x:is>
      </x:c>
      <x:c r="D858" s="160" t="inlineStr">
        <x:is>
          <x:t xml:space="preserve">LLY</x:t>
        </x:is>
      </x:c>
      <x:c r="E858" s="160" t="inlineStr">
        <x:is>
          <x:t xml:space="preserve">Healthcare &amp; Biopharma</x:t>
        </x:is>
      </x:c>
      <x:c r="F858" s="160" t="inlineStr">
        <x:is>
          <x:t xml:space="preserve">Development</x:t>
        </x:is>
      </x:c>
      <x:c r="G858" s="160" t="inlineStr">
        <x:is>
          <x:t xml:space="preserve">S05</x:t>
        </x:is>
      </x:c>
      <x:c r="H858" s="160" t="inlineStr">
        <x:is>
          <x:t xml:space="preserve">Survival / Funding</x:t>
        </x:is>
      </x:c>
      <x:c r="I858" s="160" t="inlineStr">
        <x:is>
          <x:t xml:space="preserve">Survival</x:t>
        </x:is>
      </x:c>
      <x:c r="J858" s="160" t="inlineStr">
        <x:is>
          <x:t xml:space="preserve">A plausible bear case exposes refinancing, liquidity, covenant, reserve, regulatory or operational fragility.</x:t>
        </x:is>
      </x:c>
      <x:c r="K858" s="160" t="inlineStr">
        <x:is>
          <x:t xml:space="preserve">Product volume/net price/capacity plus pipeline</x:t>
        </x:is>
      </x:c>
      <x:c r="L858" s="160" t="inlineStr">
        <x:is>
          <x:t xml:space="preserve">Product DCF + rNPV</x:t>
        </x:is>
      </x:c>
      <x:c r="M858" s="160" t="inlineStr">
        <x:is>
          <x:t xml:space="preserve">NO PRODUCTION DECISION — STRESS TEST ONLY</x:t>
        </x:is>
      </x:c>
      <x:c r="N858" s="160" t="inlineStr">
        <x:is>
          <x:t xml:space="preserve">R-SURV-01</x:t>
        </x:is>
      </x:c>
      <x:c r="O858" s="160" t="inlineStr">
        <x:is>
          <x:t xml:space="preserve">MATURE</x:t>
        </x:is>
      </x:c>
      <x:c r="P858" s="160" t="inlineStr">
        <x:is>
          <x:t xml:space="preserve">ROBUST</x:t>
        </x:is>
      </x:c>
      <x:c r="Q858" s="160" t="inlineStr">
        <x:is>
          <x:t xml:space="preserve">The mature simulation rule catches the stress without weakening a fatal gate; no rule relaxation is justified.</x:t>
        </x:is>
      </x:c>
      <x:c r="R858" s="160" t="inlineStr">
        <x:is>
          <x:t xml:space="preserve">Run a company-specific survival bridge under a severe-but-plausible bear case before any upside underwriting.</x:t>
        </x:is>
      </x:c>
      <x:c r="S858" s="160" t="inlineStr">
        <x:is>
          <x:t xml:space="preserve">NO</x:t>
        </x:is>
      </x:c>
      <x:c r="T858" s="160" t="inlineStr">
        <x:is>
          <x:t xml:space="preserve">MATURE</x:t>
        </x:is>
      </x:c>
      <x:c r="U858" s="160" t="inlineStr">
        <x:is>
          <x:t xml:space="preserve">V10.5-SIM81</x:t>
        </x:is>
      </x:c>
      <x:c r="V858" s="160" t="inlineStr">
        <x:is>
          <x:t xml:space="preserve">https://investor.lilly.com</x:t>
        </x:is>
      </x:c>
      <x:c r="W858" s="160" t="inlineStr">
        <x:is>
          <x:t xml:space="preserve">NO</x:t>
        </x:is>
      </x:c>
      <x:c r="X858" s="160" t="inlineStr">
        <x:is>
          <x:t xml:space="preserve">NONE — DEVELOPMENT ONLY</x:t>
        </x:is>
      </x:c>
      <x:c r="Y858" s="160" t="inlineStr">
        <x:is>
          <x:t xml:space="preserve">Synthetic/adversarial model-development loop. No historical outcome is claimed; no accuracy point is awarded.</x:t>
        </x:is>
      </x:c>
    </x:row>
    <x:row r="859">
      <x:c r="A859" s="160" t="inlineStr">
        <x:is>
          <x:t xml:space="preserve">ML0854</x:t>
        </x:is>
      </x:c>
      <x:c r="B859" s="160" t="inlineStr">
        <x:is>
          <x:t xml:space="preserve">ARG-054</x:t>
        </x:is>
      </x:c>
      <x:c r="C859" s="160" t="inlineStr">
        <x:is>
          <x:t xml:space="preserve">Eli Lilly</x:t>
        </x:is>
      </x:c>
      <x:c r="D859" s="160" t="inlineStr">
        <x:is>
          <x:t xml:space="preserve">LLY</x:t>
        </x:is>
      </x:c>
      <x:c r="E859" s="160" t="inlineStr">
        <x:is>
          <x:t xml:space="preserve">Healthcare &amp; Biopharma</x:t>
        </x:is>
      </x:c>
      <x:c r="F859" s="160" t="inlineStr">
        <x:is>
          <x:t xml:space="preserve">Development</x:t>
        </x:is>
      </x:c>
      <x:c r="G859" s="160" t="inlineStr">
        <x:is>
          <x:t xml:space="preserve">S06</x:t>
        </x:is>
      </x:c>
      <x:c r="H859" s="160" t="inlineStr">
        <x:is>
          <x:t xml:space="preserve">Margin of Safety</x:t>
        </x:is>
      </x:c>
      <x:c r="I859" s="160" t="inlineStr">
        <x:is>
          <x:t xml:space="preserve">Margin of Safety</x:t>
        </x:is>
      </x:c>
      <x:c r="J859" s="160" t="inlineStr">
        <x:is>
          <x:t xml:space="preserve">Business quality is high but the price embeds a fragile bull case.</x:t>
        </x:is>
      </x:c>
      <x:c r="K859" s="160" t="inlineStr">
        <x:is>
          <x:t xml:space="preserve">Product volume/net price/capacity plus pipeline</x:t>
        </x:is>
      </x:c>
      <x:c r="L859" s="160" t="inlineStr">
        <x:is>
          <x:t xml:space="preserve">Product DCF + rNPV</x:t>
        </x:is>
      </x:c>
      <x:c r="M859" s="160" t="inlineStr">
        <x:is>
          <x:t xml:space="preserve">NO PRODUCTION DECISION — STRESS TEST ONLY</x:t>
        </x:is>
      </x:c>
      <x:c r="N859" s="160" t="inlineStr">
        <x:is>
          <x:t xml:space="preserve">R-MOS-01</x:t>
        </x:is>
      </x:c>
      <x:c r="O859" s="160" t="inlineStr">
        <x:is>
          <x:t xml:space="preserve">MATURE</x:t>
        </x:is>
      </x:c>
      <x:c r="P859" s="160" t="inlineStr">
        <x:is>
          <x:t xml:space="preserve">ROBUST</x:t>
        </x:is>
      </x:c>
      <x:c r="Q859" s="160" t="inlineStr">
        <x:is>
          <x:t xml:space="preserve">The mature simulation rule catches the stress without weakening a fatal gate; no rule relaxation is justified.</x:t>
        </x:is>
      </x:c>
      <x:c r="R859" s="160" t="inlineStr">
        <x:is>
          <x:t xml:space="preserve">Separate business-quality score from price decision; require reverse valuation and bear/base/bull IV ranges.</x:t>
        </x:is>
      </x:c>
      <x:c r="S859" s="160" t="inlineStr">
        <x:is>
          <x:t xml:space="preserve">NO</x:t>
        </x:is>
      </x:c>
      <x:c r="T859" s="160" t="inlineStr">
        <x:is>
          <x:t xml:space="preserve">MATURE</x:t>
        </x:is>
      </x:c>
      <x:c r="U859" s="160" t="inlineStr">
        <x:is>
          <x:t xml:space="preserve">V10.5-SIM81</x:t>
        </x:is>
      </x:c>
      <x:c r="V859" s="160" t="inlineStr">
        <x:is>
          <x:t xml:space="preserve">https://investor.lilly.com</x:t>
        </x:is>
      </x:c>
      <x:c r="W859" s="160" t="inlineStr">
        <x:is>
          <x:t xml:space="preserve">NO</x:t>
        </x:is>
      </x:c>
      <x:c r="X859" s="160" t="inlineStr">
        <x:is>
          <x:t xml:space="preserve">NONE — DEVELOPMENT ONLY</x:t>
        </x:is>
      </x:c>
      <x:c r="Y859" s="160" t="inlineStr">
        <x:is>
          <x:t xml:space="preserve">Synthetic/adversarial model-development loop. No historical outcome is claimed; no accuracy point is awarded.</x:t>
        </x:is>
      </x:c>
    </x:row>
    <x:row r="860">
      <x:c r="A860" s="160" t="inlineStr">
        <x:is>
          <x:t xml:space="preserve">ML0855</x:t>
        </x:is>
      </x:c>
      <x:c r="B860" s="160" t="inlineStr">
        <x:is>
          <x:t xml:space="preserve">ARG-054</x:t>
        </x:is>
      </x:c>
      <x:c r="C860" s="160" t="inlineStr">
        <x:is>
          <x:t xml:space="preserve">Eli Lilly</x:t>
        </x:is>
      </x:c>
      <x:c r="D860" s="160" t="inlineStr">
        <x:is>
          <x:t xml:space="preserve">LLY</x:t>
        </x:is>
      </x:c>
      <x:c r="E860" s="160" t="inlineStr">
        <x:is>
          <x:t xml:space="preserve">Healthcare &amp; Biopharma</x:t>
        </x:is>
      </x:c>
      <x:c r="F860" s="160" t="inlineStr">
        <x:is>
          <x:t xml:space="preserve">Development</x:t>
        </x:is>
      </x:c>
      <x:c r="G860" s="160" t="inlineStr">
        <x:is>
          <x:t xml:space="preserve">S07</x:t>
        </x:is>
      </x:c>
      <x:c r="H860" s="160" t="inlineStr">
        <x:is>
          <x:t xml:space="preserve">Sector Shock</x:t>
        </x:is>
      </x:c>
      <x:c r="I860" s="160" t="inlineStr">
        <x:is>
          <x:t xml:space="preserve">Sector-specific</x:t>
        </x:is>
      </x:c>
      <x:c r="J860" s="160" t="inlineStr">
        <x:is>
          <x:t xml:space="preserve">Current product growth is strong while patent cliffs, access/pricing, capacity or pipeline probabilities weaken long-duration value.</x:t>
        </x:is>
      </x:c>
      <x:c r="K860" s="160" t="inlineStr">
        <x:is>
          <x:t xml:space="preserve">Product volume/net price/capacity plus pipeline</x:t>
        </x:is>
      </x:c>
      <x:c r="L860" s="160" t="inlineStr">
        <x:is>
          <x:t xml:space="preserve">Product DCF + rNPV</x:t>
        </x:is>
      </x:c>
      <x:c r="M860" s="160" t="inlineStr">
        <x:is>
          <x:t xml:space="preserve">NO PRODUCTION DECISION — STRESS TEST ONLY</x:t>
        </x:is>
      </x:c>
      <x:c r="N860" s="160" t="inlineStr">
        <x:is>
          <x:t xml:space="preserve">R-SECTOR-HEALTHCARE-BIOPHARMA</x:t>
        </x:is>
      </x:c>
      <x:c r="O860" s="160" t="inlineStr">
        <x:is>
          <x:t xml:space="preserve">UNFORMED</x:t>
        </x:is>
      </x:c>
      <x:c r="P860" s="160" t="inlineStr">
        <x:is>
          <x:t xml:space="preserve">WEAKNESS EXPOSED</x:t>
        </x:is>
      </x:c>
      <x:c r="Q860" s="160" t="inlineStr">
        <x:is>
          <x:t xml:space="preserve">The frozen V10 gate family is directionally right, but the test lacks a sufficiently explicit mechanical implementation.</x:t>
        </x:is>
      </x:c>
      <x:c r="R860" s="160" t="inlineStr">
        <x:is>
          <x:t xml:space="preserve">Add a sector-specific transmission map with leading operating sensors, not only market-price variables. Sector rule: Current product growth is strong while patent cliffs, access/pricing, capacity or pipeline probabilities weaken long-duration value.</x:t>
        </x:is>
      </x:c>
      <x:c r="S860" s="160" t="inlineStr">
        <x:is>
          <x:t xml:space="preserve">NO</x:t>
        </x:is>
      </x:c>
      <x:c r="T860" s="160" t="inlineStr">
        <x:is>
          <x:t xml:space="preserve">UNFORMED</x:t>
        </x:is>
      </x:c>
      <x:c r="U860" s="160" t="inlineStr">
        <x:is>
          <x:t xml:space="preserve">V10.5-SIM81</x:t>
        </x:is>
      </x:c>
      <x:c r="V860" s="160" t="inlineStr">
        <x:is>
          <x:t xml:space="preserve">https://investor.lilly.com</x:t>
        </x:is>
      </x:c>
      <x:c r="W860" s="160" t="inlineStr">
        <x:is>
          <x:t xml:space="preserve">NO</x:t>
        </x:is>
      </x:c>
      <x:c r="X860" s="160" t="inlineStr">
        <x:is>
          <x:t xml:space="preserve">NONE — DEVELOPMENT ONLY</x:t>
        </x:is>
      </x:c>
      <x:c r="Y860" s="160" t="inlineStr">
        <x:is>
          <x:t xml:space="preserve">Synthetic/adversarial model-development loop. No historical outcome is claimed; no accuracy point is awarded.</x:t>
        </x:is>
      </x:c>
    </x:row>
    <x:row r="861">
      <x:c r="A861" s="160" t="inlineStr">
        <x:is>
          <x:t xml:space="preserve">ML0856</x:t>
        </x:is>
      </x:c>
      <x:c r="B861" s="160" t="inlineStr">
        <x:is>
          <x:t xml:space="preserve">ARG-054</x:t>
        </x:is>
      </x:c>
      <x:c r="C861" s="160" t="inlineStr">
        <x:is>
          <x:t xml:space="preserve">Eli Lilly</x:t>
        </x:is>
      </x:c>
      <x:c r="D861" s="160" t="inlineStr">
        <x:is>
          <x:t xml:space="preserve">LLY</x:t>
        </x:is>
      </x:c>
      <x:c r="E861" s="160" t="inlineStr">
        <x:is>
          <x:t xml:space="preserve">Healthcare &amp; Biopharma</x:t>
        </x:is>
      </x:c>
      <x:c r="F861" s="160" t="inlineStr">
        <x:is>
          <x:t xml:space="preserve">Development</x:t>
        </x:is>
      </x:c>
      <x:c r="G861" s="160" t="inlineStr">
        <x:is>
          <x:t xml:space="preserve">S08</x:t>
        </x:is>
      </x:c>
      <x:c r="H861" s="160" t="inlineStr">
        <x:is>
          <x:t xml:space="preserve">Management Promise Reliability</x:t>
        </x:is>
      </x:c>
      <x:c r="I861" s="160" t="inlineStr">
        <x:is>
          <x:t xml:space="preserve">Management over-trust</x:t>
        </x:is>
      </x:c>
      <x:c r="J861" s="160" t="inlineStr">
        <x:is>
          <x:t xml:space="preserve">Guidance or strategic promises are repeated but the model lacks a contemporaneous reliability score.</x:t>
        </x:is>
      </x:c>
      <x:c r="K861" s="160" t="inlineStr">
        <x:is>
          <x:t xml:space="preserve">Product volume/net price/capacity plus pipeline</x:t>
        </x:is>
      </x:c>
      <x:c r="L861" s="160" t="inlineStr">
        <x:is>
          <x:t xml:space="preserve">Product DCF + rNPV</x:t>
        </x:is>
      </x:c>
      <x:c r="M861" s="160" t="inlineStr">
        <x:is>
          <x:t xml:space="preserve">NO PRODUCTION DECISION — STRESS TEST ONLY</x:t>
        </x:is>
      </x:c>
      <x:c r="N861" s="160" t="inlineStr">
        <x:is>
          <x:t xml:space="preserve">R-PROM-01</x:t>
        </x:is>
      </x:c>
      <x:c r="O861" s="160" t="inlineStr">
        <x:is>
          <x:t xml:space="preserve">MATURE</x:t>
        </x:is>
      </x:c>
      <x:c r="P861" s="160" t="inlineStr">
        <x:is>
          <x:t xml:space="preserve">ROBUST</x:t>
        </x:is>
      </x:c>
      <x:c r="Q861" s="160" t="inlineStr">
        <x:is>
          <x:t xml:space="preserve">The mature simulation rule catches the stress without weakening a fatal gate; no rule relaxation is justified.</x:t>
        </x:is>
      </x:c>
      <x:c r="R861" s="160" t="inlineStr">
        <x:is>
          <x:t xml:space="preserve">Use a promises ledger with dated promise, measurable deliverable, due date, outcome and credibility weight.</x:t>
        </x:is>
      </x:c>
      <x:c r="S861" s="160" t="inlineStr">
        <x:is>
          <x:t xml:space="preserve">NO</x:t>
        </x:is>
      </x:c>
      <x:c r="T861" s="160" t="inlineStr">
        <x:is>
          <x:t xml:space="preserve">MATURE</x:t>
        </x:is>
      </x:c>
      <x:c r="U861" s="160" t="inlineStr">
        <x:is>
          <x:t xml:space="preserve">V10.5-SIM81</x:t>
        </x:is>
      </x:c>
      <x:c r="V861" s="160" t="inlineStr">
        <x:is>
          <x:t xml:space="preserve">https://investor.lilly.com</x:t>
        </x:is>
      </x:c>
      <x:c r="W861" s="160" t="inlineStr">
        <x:is>
          <x:t xml:space="preserve">NO</x:t>
        </x:is>
      </x:c>
      <x:c r="X861" s="160" t="inlineStr">
        <x:is>
          <x:t xml:space="preserve">NONE — DEVELOPMENT ONLY</x:t>
        </x:is>
      </x:c>
      <x:c r="Y861" s="160" t="inlineStr">
        <x:is>
          <x:t xml:space="preserve">Synthetic/adversarial model-development loop. No historical outcome is claimed; no accuracy point is awarded.</x:t>
        </x:is>
      </x:c>
    </x:row>
    <x:row r="862">
      <x:c r="A862" s="160" t="inlineStr">
        <x:is>
          <x:t xml:space="preserve">ML0857</x:t>
        </x:is>
      </x:c>
      <x:c r="B862" s="160" t="inlineStr">
        <x:is>
          <x:t xml:space="preserve">ARG-054</x:t>
        </x:is>
      </x:c>
      <x:c r="C862" s="160" t="inlineStr">
        <x:is>
          <x:t xml:space="preserve">Eli Lilly</x:t>
        </x:is>
      </x:c>
      <x:c r="D862" s="160" t="inlineStr">
        <x:is>
          <x:t xml:space="preserve">LLY</x:t>
        </x:is>
      </x:c>
      <x:c r="E862" s="160" t="inlineStr">
        <x:is>
          <x:t xml:space="preserve">Healthcare &amp; Biopharma</x:t>
        </x:is>
      </x:c>
      <x:c r="F862" s="160" t="inlineStr">
        <x:is>
          <x:t xml:space="preserve">Development</x:t>
        </x:is>
      </x:c>
      <x:c r="G862" s="160" t="inlineStr">
        <x:is>
          <x:t xml:space="preserve">S09</x:t>
        </x:is>
      </x:c>
      <x:c r="H862" s="160" t="inlineStr">
        <x:is>
          <x:t xml:space="preserve">Data / Accounting Quality</x:t>
        </x:is>
      </x:c>
      <x:c r="I862" s="160" t="inlineStr">
        <x:is>
          <x:t xml:space="preserve">Data quality</x:t>
        </x:is>
      </x:c>
      <x:c r="J862" s="160" t="inlineStr">
        <x:is>
          <x:t xml:space="preserve">Restatement, segment reclassification, one-time item or non-economic fair-value movement distorts the apparent trend.</x:t>
        </x:is>
      </x:c>
      <x:c r="K862" s="160" t="inlineStr">
        <x:is>
          <x:t xml:space="preserve">Product volume/net price/capacity plus pipeline</x:t>
        </x:is>
      </x:c>
      <x:c r="L862" s="160" t="inlineStr">
        <x:is>
          <x:t xml:space="preserve">Product DCF + rNPV</x:t>
        </x:is>
      </x:c>
      <x:c r="M862" s="160" t="inlineStr">
        <x:is>
          <x:t xml:space="preserve">NO PRODUCTION DECISION — STRESS TEST ONLY</x:t>
        </x:is>
      </x:c>
      <x:c r="N862" s="160" t="inlineStr">
        <x:is>
          <x:t xml:space="preserve">R-DATA-01</x:t>
        </x:is>
      </x:c>
      <x:c r="O862" s="160" t="inlineStr">
        <x:is>
          <x:t xml:space="preserve">MATURE</x:t>
        </x:is>
      </x:c>
      <x:c r="P862" s="160" t="inlineStr">
        <x:is>
          <x:t xml:space="preserve">ROBUST</x:t>
        </x:is>
      </x:c>
      <x:c r="Q862" s="160" t="inlineStr">
        <x:is>
          <x:t xml:space="preserve">The mature simulation rule catches the stress without weakening a fatal gate; no rule relaxation is justified.</x:t>
        </x:is>
      </x:c>
      <x:c r="R862" s="160" t="inlineStr">
        <x:is>
          <x:t xml:space="preserve">Add a reporting-quality bridge and normalize accounting noise before any gate can pass.</x:t>
        </x:is>
      </x:c>
      <x:c r="S862" s="160" t="inlineStr">
        <x:is>
          <x:t xml:space="preserve">NO</x:t>
        </x:is>
      </x:c>
      <x:c r="T862" s="160" t="inlineStr">
        <x:is>
          <x:t xml:space="preserve">MATURE</x:t>
        </x:is>
      </x:c>
      <x:c r="U862" s="160" t="inlineStr">
        <x:is>
          <x:t xml:space="preserve">V10.5-SIM81</x:t>
        </x:is>
      </x:c>
      <x:c r="V862" s="160" t="inlineStr">
        <x:is>
          <x:t xml:space="preserve">https://investor.lilly.com</x:t>
        </x:is>
      </x:c>
      <x:c r="W862" s="160" t="inlineStr">
        <x:is>
          <x:t xml:space="preserve">NO</x:t>
        </x:is>
      </x:c>
      <x:c r="X862" s="160" t="inlineStr">
        <x:is>
          <x:t xml:space="preserve">NONE — DEVELOPMENT ONLY</x:t>
        </x:is>
      </x:c>
      <x:c r="Y862" s="160" t="inlineStr">
        <x:is>
          <x:t xml:space="preserve">Synthetic/adversarial model-development loop. No historical outcome is claimed; no accuracy point is awarded.</x:t>
        </x:is>
      </x:c>
    </x:row>
    <x:row r="863">
      <x:c r="A863" s="160" t="inlineStr">
        <x:is>
          <x:t xml:space="preserve">ML0858</x:t>
        </x:is>
      </x:c>
      <x:c r="B863" s="160" t="inlineStr">
        <x:is>
          <x:t xml:space="preserve">ARG-054</x:t>
        </x:is>
      </x:c>
      <x:c r="C863" s="160" t="inlineStr">
        <x:is>
          <x:t xml:space="preserve">Eli Lilly</x:t>
        </x:is>
      </x:c>
      <x:c r="D863" s="160" t="inlineStr">
        <x:is>
          <x:t xml:space="preserve">LLY</x:t>
        </x:is>
      </x:c>
      <x:c r="E863" s="160" t="inlineStr">
        <x:is>
          <x:t xml:space="preserve">Healthcare &amp; Biopharma</x:t>
        </x:is>
      </x:c>
      <x:c r="F863" s="160" t="inlineStr">
        <x:is>
          <x:t xml:space="preserve">Development</x:t>
        </x:is>
      </x:c>
      <x:c r="G863" s="160" t="inlineStr">
        <x:is>
          <x:t xml:space="preserve">S10</x:t>
        </x:is>
      </x:c>
      <x:c r="H863" s="160" t="inlineStr">
        <x:is>
          <x:t xml:space="preserve">Control / Counterfactual</x:t>
        </x:is>
      </x:c>
      <x:c r="I863" s="160" t="inlineStr">
        <x:is>
          <x:t xml:space="preserve">Sector beta vs company alpha</x:t>
        </x:is>
      </x:c>
      <x:c r="J863" s="160" t="inlineStr">
        <x:is>
          <x:t xml:space="preserve">A positive outcome is mostly sector beta or macro tailwind, not company-specific alpha.</x:t>
        </x:is>
      </x:c>
      <x:c r="K863" s="160" t="inlineStr">
        <x:is>
          <x:t xml:space="preserve">Product volume/net price/capacity plus pipeline</x:t>
        </x:is>
      </x:c>
      <x:c r="L863" s="160" t="inlineStr">
        <x:is>
          <x:t xml:space="preserve">Product DCF + rNPV</x:t>
        </x:is>
      </x:c>
      <x:c r="M863" s="160" t="inlineStr">
        <x:is>
          <x:t xml:space="preserve">NO PRODUCTION DECISION — STRESS TEST ONLY</x:t>
        </x:is>
      </x:c>
      <x:c r="N863" s="160" t="inlineStr">
        <x:is>
          <x:t xml:space="preserve">R-CF-01</x:t>
        </x:is>
      </x:c>
      <x:c r="O863" s="160" t="inlineStr">
        <x:is>
          <x:t xml:space="preserve">MATURE</x:t>
        </x:is>
      </x:c>
      <x:c r="P863" s="160" t="inlineStr">
        <x:is>
          <x:t xml:space="preserve">ROBUST</x:t>
        </x:is>
      </x:c>
      <x:c r="Q863" s="160" t="inlineStr">
        <x:is>
          <x:t xml:space="preserve">The mature simulation rule catches the stress without weakening a fatal gate; no rule relaxation is justified.</x:t>
        </x:is>
      </x:c>
      <x:c r="R863" s="160" t="inlineStr">
        <x:is>
          <x:t xml:space="preserve">Require a true economic control and counterfactual: what should have happened to a comparable company under the same shock?</x:t>
        </x:is>
      </x:c>
      <x:c r="S863" s="160" t="inlineStr">
        <x:is>
          <x:t xml:space="preserve">NO</x:t>
        </x:is>
      </x:c>
      <x:c r="T863" s="160" t="inlineStr">
        <x:is>
          <x:t xml:space="preserve">MATURE</x:t>
        </x:is>
      </x:c>
      <x:c r="U863" s="160" t="inlineStr">
        <x:is>
          <x:t xml:space="preserve">V10.5-SIM81</x:t>
        </x:is>
      </x:c>
      <x:c r="V863" s="160" t="inlineStr">
        <x:is>
          <x:t xml:space="preserve">https://investor.lilly.com</x:t>
        </x:is>
      </x:c>
      <x:c r="W863" s="160" t="inlineStr">
        <x:is>
          <x:t xml:space="preserve">NO</x:t>
        </x:is>
      </x:c>
      <x:c r="X863" s="160" t="inlineStr">
        <x:is>
          <x:t xml:space="preserve">NONE — DEVELOPMENT ONLY</x:t>
        </x:is>
      </x:c>
      <x:c r="Y863" s="160" t="inlineStr">
        <x:is>
          <x:t xml:space="preserve">Synthetic/adversarial model-development loop. No historical outcome is claimed; no accuracy point is awarded.</x:t>
        </x:is>
      </x:c>
    </x:row>
    <x:row r="864">
      <x:c r="A864" s="160" t="inlineStr">
        <x:is>
          <x:t xml:space="preserve">ML0859</x:t>
        </x:is>
      </x:c>
      <x:c r="B864" s="160" t="inlineStr">
        <x:is>
          <x:t xml:space="preserve">ARG-054</x:t>
        </x:is>
      </x:c>
      <x:c r="C864" s="160" t="inlineStr">
        <x:is>
          <x:t xml:space="preserve">Eli Lilly</x:t>
        </x:is>
      </x:c>
      <x:c r="D864" s="160" t="inlineStr">
        <x:is>
          <x:t xml:space="preserve">LLY</x:t>
        </x:is>
      </x:c>
      <x:c r="E864" s="160" t="inlineStr">
        <x:is>
          <x:t xml:space="preserve">Healthcare &amp; Biopharma</x:t>
        </x:is>
      </x:c>
      <x:c r="F864" s="160" t="inlineStr">
        <x:is>
          <x:t xml:space="preserve">Development</x:t>
        </x:is>
      </x:c>
      <x:c r="G864" s="160" t="inlineStr">
        <x:is>
          <x:t xml:space="preserve">S11</x:t>
        </x:is>
      </x:c>
      <x:c r="H864" s="160" t="inlineStr">
        <x:is>
          <x:t xml:space="preserve">False-Negative Discipline</x:t>
        </x:is>
      </x:c>
      <x:c r="I864" s="160" t="inlineStr">
        <x:is>
          <x:t xml:space="preserve">False negative</x:t>
        </x:is>
      </x:c>
      <x:c r="J864" s="160" t="inlineStr">
        <x:is>
          <x:t xml:space="preserve">A strict gate rejects a company that later compounds strongly for reasons the model could have known.</x:t>
        </x:is>
      </x:c>
      <x:c r="K864" s="160" t="inlineStr">
        <x:is>
          <x:t xml:space="preserve">Product volume/net price/capacity plus pipeline</x:t>
        </x:is>
      </x:c>
      <x:c r="L864" s="160" t="inlineStr">
        <x:is>
          <x:t xml:space="preserve">Product DCF + rNPV</x:t>
        </x:is>
      </x:c>
      <x:c r="M864" s="160" t="inlineStr">
        <x:is>
          <x:t xml:space="preserve">NO PRODUCTION DECISION — STRESS TEST ONLY</x:t>
        </x:is>
      </x:c>
      <x:c r="N864" s="160" t="inlineStr">
        <x:is>
          <x:t xml:space="preserve">R-FN-01</x:t>
        </x:is>
      </x:c>
      <x:c r="O864" s="160" t="inlineStr">
        <x:is>
          <x:t xml:space="preserve">MATURE</x:t>
        </x:is>
      </x:c>
      <x:c r="P864" s="160" t="inlineStr">
        <x:is>
          <x:t xml:space="preserve">ROBUST</x:t>
        </x:is>
      </x:c>
      <x:c r="Q864" s="160" t="inlineStr">
        <x:is>
          <x:t xml:space="preserve">The mature simulation rule catches the stress without weakening a fatal gate; no rule relaxation is justified.</x:t>
        </x:is>
      </x:c>
      <x:c r="R864" s="160" t="inlineStr">
        <x:is>
          <x:t xml:space="preserve">Track opportunity cost and classify whether the miss came from evidence timing, wrong threshold or genuinely unknowable upside.</x:t>
        </x:is>
      </x:c>
      <x:c r="S864" s="160" t="inlineStr">
        <x:is>
          <x:t xml:space="preserve">NO</x:t>
        </x:is>
      </x:c>
      <x:c r="T864" s="160" t="inlineStr">
        <x:is>
          <x:t xml:space="preserve">MATURE</x:t>
        </x:is>
      </x:c>
      <x:c r="U864" s="160" t="inlineStr">
        <x:is>
          <x:t xml:space="preserve">V10.5-SIM81</x:t>
        </x:is>
      </x:c>
      <x:c r="V864" s="160" t="inlineStr">
        <x:is>
          <x:t xml:space="preserve">https://investor.lilly.com</x:t>
        </x:is>
      </x:c>
      <x:c r="W864" s="160" t="inlineStr">
        <x:is>
          <x:t xml:space="preserve">NO</x:t>
        </x:is>
      </x:c>
      <x:c r="X864" s="160" t="inlineStr">
        <x:is>
          <x:t xml:space="preserve">NONE — DEVELOPMENT ONLY</x:t>
        </x:is>
      </x:c>
      <x:c r="Y864" s="160" t="inlineStr">
        <x:is>
          <x:t xml:space="preserve">Synthetic/adversarial model-development loop. No historical outcome is claimed; no accuracy point is awarded.</x:t>
        </x:is>
      </x:c>
    </x:row>
    <x:row r="865">
      <x:c r="A865" s="160" t="inlineStr">
        <x:is>
          <x:t xml:space="preserve">ML0860</x:t>
        </x:is>
      </x:c>
      <x:c r="B865" s="160" t="inlineStr">
        <x:is>
          <x:t xml:space="preserve">ARG-054</x:t>
        </x:is>
      </x:c>
      <x:c r="C865" s="160" t="inlineStr">
        <x:is>
          <x:t xml:space="preserve">Eli Lilly</x:t>
        </x:is>
      </x:c>
      <x:c r="D865" s="160" t="inlineStr">
        <x:is>
          <x:t xml:space="preserve">LLY</x:t>
        </x:is>
      </x:c>
      <x:c r="E865" s="160" t="inlineStr">
        <x:is>
          <x:t xml:space="preserve">Healthcare &amp; Biopharma</x:t>
        </x:is>
      </x:c>
      <x:c r="F865" s="160" t="inlineStr">
        <x:is>
          <x:t xml:space="preserve">Development</x:t>
        </x:is>
      </x:c>
      <x:c r="G865" s="160" t="inlineStr">
        <x:is>
          <x:t xml:space="preserve">S12</x:t>
        </x:is>
      </x:c>
      <x:c r="H865" s="160" t="inlineStr">
        <x:is>
          <x:t xml:space="preserve">Lead-Time / Early Sensor</x:t>
        </x:is>
      </x:c>
      <x:c r="I865" s="160" t="inlineStr">
        <x:is>
          <x:t xml:space="preserve">Timing / lead-time</x:t>
        </x:is>
      </x:c>
      <x:c r="J865" s="160" t="inlineStr">
        <x:is>
          <x:t xml:space="preserve">ARGUS identifies the change correctly but only after consensus and price have already reacted.</x:t>
        </x:is>
      </x:c>
      <x:c r="K865" s="160" t="inlineStr">
        <x:is>
          <x:t xml:space="preserve">Product volume/net price/capacity plus pipeline</x:t>
        </x:is>
      </x:c>
      <x:c r="L865" s="160" t="inlineStr">
        <x:is>
          <x:t xml:space="preserve">Product DCF + rNPV</x:t>
        </x:is>
      </x:c>
      <x:c r="M865" s="160" t="inlineStr">
        <x:is>
          <x:t xml:space="preserve">NO PRODUCTION DECISION — STRESS TEST ONLY</x:t>
        </x:is>
      </x:c>
      <x:c r="N865" s="160" t="inlineStr">
        <x:is>
          <x:t xml:space="preserve">R-TIME-01</x:t>
        </x:is>
      </x:c>
      <x:c r="O865" s="160" t="inlineStr">
        <x:is>
          <x:t xml:space="preserve">MATURE</x:t>
        </x:is>
      </x:c>
      <x:c r="P865" s="160" t="inlineStr">
        <x:is>
          <x:t xml:space="preserve">ROBUST</x:t>
        </x:is>
      </x:c>
      <x:c r="Q865" s="160" t="inlineStr">
        <x:is>
          <x:t xml:space="preserve">The mature simulation rule catches the stress without weakening a fatal gate; no rule relaxation is justified.</x:t>
        </x:is>
      </x:c>
      <x:c r="R865" s="160" t="inlineStr">
        <x:is>
          <x:t xml:space="preserve">Replace lagging financial metrics with earlier causal operating sensors and record lead time separately from correctness.</x:t>
        </x:is>
      </x:c>
      <x:c r="S865" s="160" t="inlineStr">
        <x:is>
          <x:t xml:space="preserve">NO</x:t>
        </x:is>
      </x:c>
      <x:c r="T865" s="160" t="inlineStr">
        <x:is>
          <x:t xml:space="preserve">MATURE</x:t>
        </x:is>
      </x:c>
      <x:c r="U865" s="160" t="inlineStr">
        <x:is>
          <x:t xml:space="preserve">V10.5-SIM81</x:t>
        </x:is>
      </x:c>
      <x:c r="V865" s="160" t="inlineStr">
        <x:is>
          <x:t xml:space="preserve">https://investor.lilly.com</x:t>
        </x:is>
      </x:c>
      <x:c r="W865" s="160" t="inlineStr">
        <x:is>
          <x:t xml:space="preserve">NO</x:t>
        </x:is>
      </x:c>
      <x:c r="X865" s="160" t="inlineStr">
        <x:is>
          <x:t xml:space="preserve">NONE — DEVELOPMENT ONLY</x:t>
        </x:is>
      </x:c>
      <x:c r="Y865" s="160" t="inlineStr">
        <x:is>
          <x:t xml:space="preserve">Synthetic/adversarial model-development loop. No historical outcome is claimed; no accuracy point is awarded.</x:t>
        </x:is>
      </x:c>
    </x:row>
    <x:row r="866">
      <x:c r="A866" s="160" t="inlineStr">
        <x:is>
          <x:t xml:space="preserve">ML0861</x:t>
        </x:is>
      </x:c>
      <x:c r="B866" s="160" t="inlineStr">
        <x:is>
          <x:t xml:space="preserve">ARG-054</x:t>
        </x:is>
      </x:c>
      <x:c r="C866" s="160" t="inlineStr">
        <x:is>
          <x:t xml:space="preserve">Eli Lilly</x:t>
        </x:is>
      </x:c>
      <x:c r="D866" s="160" t="inlineStr">
        <x:is>
          <x:t xml:space="preserve">LLY</x:t>
        </x:is>
      </x:c>
      <x:c r="E866" s="160" t="inlineStr">
        <x:is>
          <x:t xml:space="preserve">Healthcare &amp; Biopharma</x:t>
        </x:is>
      </x:c>
      <x:c r="F866" s="160" t="inlineStr">
        <x:is>
          <x:t xml:space="preserve">Development</x:t>
        </x:is>
      </x:c>
      <x:c r="G866" s="160" t="inlineStr">
        <x:is>
          <x:t xml:space="preserve">S13</x:t>
        </x:is>
      </x:c>
      <x:c r="H866" s="160" t="inlineStr">
        <x:is>
          <x:t xml:space="preserve">Cycle Normalization</x:t>
        </x:is>
      </x:c>
      <x:c r="I866" s="160" t="inlineStr">
        <x:is>
          <x:t xml:space="preserve">Wrong valuation lens</x:t>
        </x:is>
      </x:c>
      <x:c r="J866" s="160" t="inlineStr">
        <x:is>
          <x:t xml:space="preserve">Peak/trough earnings are mistaken for normalized earning power.</x:t>
        </x:is>
      </x:c>
      <x:c r="K866" s="160" t="inlineStr">
        <x:is>
          <x:t xml:space="preserve">Product volume/net price/capacity plus pipeline</x:t>
        </x:is>
      </x:c>
      <x:c r="L866" s="160" t="inlineStr">
        <x:is>
          <x:t xml:space="preserve">Product DCF + rNPV</x:t>
        </x:is>
      </x:c>
      <x:c r="M866" s="160" t="inlineStr">
        <x:is>
          <x:t xml:space="preserve">NO PRODUCTION DECISION — STRESS TEST ONLY</x:t>
        </x:is>
      </x:c>
      <x:c r="N866" s="160" t="inlineStr">
        <x:is>
          <x:t xml:space="preserve">R-CYCLE-01</x:t>
        </x:is>
      </x:c>
      <x:c r="O866" s="160" t="inlineStr">
        <x:is>
          <x:t xml:space="preserve">MATURE</x:t>
        </x:is>
      </x:c>
      <x:c r="P866" s="160" t="inlineStr">
        <x:is>
          <x:t xml:space="preserve">ROBUST</x:t>
        </x:is>
      </x:c>
      <x:c r="Q866" s="160" t="inlineStr">
        <x:is>
          <x:t xml:space="preserve">The mature simulation rule catches the stress without weakening a fatal gate; no rule relaxation is justified.</x:t>
        </x:is>
      </x:c>
      <x:c r="R866" s="160" t="inlineStr">
        <x:is>
          <x:t xml:space="preserve">Use sector-specific mid-cycle/NAV/rate-base/rNPV normalization before applying a valuation multiple.</x:t>
        </x:is>
      </x:c>
      <x:c r="S866" s="160" t="inlineStr">
        <x:is>
          <x:t xml:space="preserve">NO</x:t>
        </x:is>
      </x:c>
      <x:c r="T866" s="160" t="inlineStr">
        <x:is>
          <x:t xml:space="preserve">MATURE</x:t>
        </x:is>
      </x:c>
      <x:c r="U866" s="160" t="inlineStr">
        <x:is>
          <x:t xml:space="preserve">V10.5-SIM81</x:t>
        </x:is>
      </x:c>
      <x:c r="V866" s="160" t="inlineStr">
        <x:is>
          <x:t xml:space="preserve">https://investor.lilly.com</x:t>
        </x:is>
      </x:c>
      <x:c r="W866" s="160" t="inlineStr">
        <x:is>
          <x:t xml:space="preserve">NO</x:t>
        </x:is>
      </x:c>
      <x:c r="X866" s="160" t="inlineStr">
        <x:is>
          <x:t xml:space="preserve">NONE — DEVELOPMENT ONLY</x:t>
        </x:is>
      </x:c>
      <x:c r="Y866" s="160" t="inlineStr">
        <x:is>
          <x:t xml:space="preserve">Synthetic/adversarial model-development loop. No historical outcome is claimed; no accuracy point is awarded.</x:t>
        </x:is>
      </x:c>
    </x:row>
    <x:row r="867">
      <x:c r="A867" s="160" t="inlineStr">
        <x:is>
          <x:t xml:space="preserve">ML0862</x:t>
        </x:is>
      </x:c>
      <x:c r="B867" s="160" t="inlineStr">
        <x:is>
          <x:t xml:space="preserve">ARG-054</x:t>
        </x:is>
      </x:c>
      <x:c r="C867" s="160" t="inlineStr">
        <x:is>
          <x:t xml:space="preserve">Eli Lilly</x:t>
        </x:is>
      </x:c>
      <x:c r="D867" s="160" t="inlineStr">
        <x:is>
          <x:t xml:space="preserve">LLY</x:t>
        </x:is>
      </x:c>
      <x:c r="E867" s="160" t="inlineStr">
        <x:is>
          <x:t xml:space="preserve">Healthcare &amp; Biopharma</x:t>
        </x:is>
      </x:c>
      <x:c r="F867" s="160" t="inlineStr">
        <x:is>
          <x:t xml:space="preserve">Development</x:t>
        </x:is>
      </x:c>
      <x:c r="G867" s="160" t="inlineStr">
        <x:is>
          <x:t xml:space="preserve">S14</x:t>
        </x:is>
      </x:c>
      <x:c r="H867" s="160" t="inlineStr">
        <x:is>
          <x:t xml:space="preserve">M&amp;A / Organic Growth Separation</x:t>
        </x:is>
      </x:c>
      <x:c r="I867" s="160" t="inlineStr">
        <x:is>
          <x:t xml:space="preserve">Stewardship</x:t>
        </x:is>
      </x:c>
      <x:c r="J867" s="160" t="inlineStr">
        <x:is>
          <x:t xml:space="preserve">Acquisition-driven growth masks weak organic economics or poor incremental ROIC.</x:t>
        </x:is>
      </x:c>
      <x:c r="K867" s="160" t="inlineStr">
        <x:is>
          <x:t xml:space="preserve">Product volume/net price/capacity plus pipeline</x:t>
        </x:is>
      </x:c>
      <x:c r="L867" s="160" t="inlineStr">
        <x:is>
          <x:t xml:space="preserve">Product DCF + rNPV</x:t>
        </x:is>
      </x:c>
      <x:c r="M867" s="160" t="inlineStr">
        <x:is>
          <x:t xml:space="preserve">NO PRODUCTION DECISION — STRESS TEST ONLY</x:t>
        </x:is>
      </x:c>
      <x:c r="N867" s="160" t="inlineStr">
        <x:is>
          <x:t xml:space="preserve">R-MA-01</x:t>
        </x:is>
      </x:c>
      <x:c r="O867" s="160" t="inlineStr">
        <x:is>
          <x:t xml:space="preserve">MATURE</x:t>
        </x:is>
      </x:c>
      <x:c r="P867" s="160" t="inlineStr">
        <x:is>
          <x:t xml:space="preserve">ROBUST</x:t>
        </x:is>
      </x:c>
      <x:c r="Q867" s="160" t="inlineStr">
        <x:is>
          <x:t xml:space="preserve">The mature simulation rule catches the stress without weakening a fatal gate; no rule relaxation is justified.</x:t>
        </x:is>
      </x:c>
      <x:c r="R867" s="160" t="inlineStr">
        <x:is>
          <x:t xml:space="preserve">Bridge organic growth, acquired growth, purchase price, integration costs and acquisition-cohort ROIC.</x:t>
        </x:is>
      </x:c>
      <x:c r="S867" s="160" t="inlineStr">
        <x:is>
          <x:t xml:space="preserve">NO</x:t>
        </x:is>
      </x:c>
      <x:c r="T867" s="160" t="inlineStr">
        <x:is>
          <x:t xml:space="preserve">MATURE</x:t>
        </x:is>
      </x:c>
      <x:c r="U867" s="160" t="inlineStr">
        <x:is>
          <x:t xml:space="preserve">V10.5-SIM81</x:t>
        </x:is>
      </x:c>
      <x:c r="V867" s="160" t="inlineStr">
        <x:is>
          <x:t xml:space="preserve">https://investor.lilly.com</x:t>
        </x:is>
      </x:c>
      <x:c r="W867" s="160" t="inlineStr">
        <x:is>
          <x:t xml:space="preserve">NO</x:t>
        </x:is>
      </x:c>
      <x:c r="X867" s="160" t="inlineStr">
        <x:is>
          <x:t xml:space="preserve">NONE — DEVELOPMENT ONLY</x:t>
        </x:is>
      </x:c>
      <x:c r="Y867" s="160" t="inlineStr">
        <x:is>
          <x:t xml:space="preserve">Synthetic/adversarial model-development loop. No historical outcome is claimed; no accuracy point is awarded.</x:t>
        </x:is>
      </x:c>
    </x:row>
    <x:row r="868">
      <x:c r="A868" s="160" t="inlineStr">
        <x:is>
          <x:t xml:space="preserve">ML0863</x:t>
        </x:is>
      </x:c>
      <x:c r="B868" s="160" t="inlineStr">
        <x:is>
          <x:t xml:space="preserve">ARG-054</x:t>
        </x:is>
      </x:c>
      <x:c r="C868" s="160" t="inlineStr">
        <x:is>
          <x:t xml:space="preserve">Eli Lilly</x:t>
        </x:is>
      </x:c>
      <x:c r="D868" s="160" t="inlineStr">
        <x:is>
          <x:t xml:space="preserve">LLY</x:t>
        </x:is>
      </x:c>
      <x:c r="E868" s="160" t="inlineStr">
        <x:is>
          <x:t xml:space="preserve">Healthcare &amp; Biopharma</x:t>
        </x:is>
      </x:c>
      <x:c r="F868" s="160" t="inlineStr">
        <x:is>
          <x:t xml:space="preserve">Development</x:t>
        </x:is>
      </x:c>
      <x:c r="G868" s="160" t="inlineStr">
        <x:is>
          <x:t xml:space="preserve">S15</x:t>
        </x:is>
      </x:c>
      <x:c r="H868" s="160" t="inlineStr">
        <x:is>
          <x:t xml:space="preserve">Financing / Dilution Per Share</x:t>
        </x:is>
      </x:c>
      <x:c r="I868" s="160" t="inlineStr">
        <x:is>
          <x:t xml:space="preserve">Stewardship</x:t>
        </x:is>
      </x:c>
      <x:c r="J868" s="160" t="inlineStr">
        <x:is>
          <x:t xml:space="preserve">Cash balance or revenue growth improves while financing causes material per-share value leakage.</x:t>
        </x:is>
      </x:c>
      <x:c r="K868" s="160" t="inlineStr">
        <x:is>
          <x:t xml:space="preserve">Product volume/net price/capacity plus pipeline</x:t>
        </x:is>
      </x:c>
      <x:c r="L868" s="160" t="inlineStr">
        <x:is>
          <x:t xml:space="preserve">Product DCF + rNPV</x:t>
        </x:is>
      </x:c>
      <x:c r="M868" s="160" t="inlineStr">
        <x:is>
          <x:t xml:space="preserve">NO PRODUCTION DECISION — STRESS TEST ONLY</x:t>
        </x:is>
      </x:c>
      <x:c r="N868" s="160" t="inlineStr">
        <x:is>
          <x:t xml:space="preserve">R-DIL-01</x:t>
        </x:is>
      </x:c>
      <x:c r="O868" s="160" t="inlineStr">
        <x:is>
          <x:t xml:space="preserve">MATURE</x:t>
        </x:is>
      </x:c>
      <x:c r="P868" s="160" t="inlineStr">
        <x:is>
          <x:t xml:space="preserve">ROBUST</x:t>
        </x:is>
      </x:c>
      <x:c r="Q868" s="160" t="inlineStr">
        <x:is>
          <x:t xml:space="preserve">The mature simulation rule catches the stress without weakening a fatal gate; no rule relaxation is justified.</x:t>
        </x:is>
      </x:c>
      <x:c r="R868" s="160" t="inlineStr">
        <x:is>
          <x:t xml:space="preserve">Reconcile share-count growth, SBC, equity issuance, buybacks and net cash changes to per-share intrinsic value.</x:t>
        </x:is>
      </x:c>
      <x:c r="S868" s="160" t="inlineStr">
        <x:is>
          <x:t xml:space="preserve">NO</x:t>
        </x:is>
      </x:c>
      <x:c r="T868" s="160" t="inlineStr">
        <x:is>
          <x:t xml:space="preserve">MATURE</x:t>
        </x:is>
      </x:c>
      <x:c r="U868" s="160" t="inlineStr">
        <x:is>
          <x:t xml:space="preserve">V10.5-SIM81</x:t>
        </x:is>
      </x:c>
      <x:c r="V868" s="160" t="inlineStr">
        <x:is>
          <x:t xml:space="preserve">https://investor.lilly.com</x:t>
        </x:is>
      </x:c>
      <x:c r="W868" s="160" t="inlineStr">
        <x:is>
          <x:t xml:space="preserve">NO</x:t>
        </x:is>
      </x:c>
      <x:c r="X868" s="160" t="inlineStr">
        <x:is>
          <x:t xml:space="preserve">NONE — DEVELOPMENT ONLY</x:t>
        </x:is>
      </x:c>
      <x:c r="Y868" s="160" t="inlineStr">
        <x:is>
          <x:t xml:space="preserve">Synthetic/adversarial model-development loop. No historical outcome is claimed; no accuracy point is awarded.</x:t>
        </x:is>
      </x:c>
    </x:row>
    <x:row r="869">
      <x:c r="A869" s="160" t="inlineStr">
        <x:is>
          <x:t xml:space="preserve">ML0864</x:t>
        </x:is>
      </x:c>
      <x:c r="B869" s="160" t="inlineStr">
        <x:is>
          <x:t xml:space="preserve">ARG-054</x:t>
        </x:is>
      </x:c>
      <x:c r="C869" s="160" t="inlineStr">
        <x:is>
          <x:t xml:space="preserve">Eli Lilly</x:t>
        </x:is>
      </x:c>
      <x:c r="D869" s="160" t="inlineStr">
        <x:is>
          <x:t xml:space="preserve">LLY</x:t>
        </x:is>
      </x:c>
      <x:c r="E869" s="160" t="inlineStr">
        <x:is>
          <x:t xml:space="preserve">Healthcare &amp; Biopharma</x:t>
        </x:is>
      </x:c>
      <x:c r="F869" s="160" t="inlineStr">
        <x:is>
          <x:t xml:space="preserve">Development</x:t>
        </x:is>
      </x:c>
      <x:c r="G869" s="160" t="inlineStr">
        <x:is>
          <x:t xml:space="preserve">S16</x:t>
        </x:is>
      </x:c>
      <x:c r="H869" s="160" t="inlineStr">
        <x:is>
          <x:t xml:space="preserve">Concentration / Tail Risk</x:t>
        </x:is>
      </x:c>
      <x:c r="I869" s="160" t="inlineStr">
        <x:is>
          <x:t xml:space="preserve">Survival</x:t>
        </x:is>
      </x:c>
      <x:c r="J869" s="160" t="inlineStr">
        <x:is>
          <x:t xml:space="preserve">A concentrated supplier, geography, customer, product, patent, regulatory or technology dependency creates asymmetric permanent-loss risk.</x:t>
        </x:is>
      </x:c>
      <x:c r="K869" s="160" t="inlineStr">
        <x:is>
          <x:t xml:space="preserve">Product volume/net price/capacity plus pipeline</x:t>
        </x:is>
      </x:c>
      <x:c r="L869" s="160" t="inlineStr">
        <x:is>
          <x:t xml:space="preserve">Product DCF + rNPV</x:t>
        </x:is>
      </x:c>
      <x:c r="M869" s="160" t="inlineStr">
        <x:is>
          <x:t xml:space="preserve">NO PRODUCTION DECISION — STRESS TEST ONLY</x:t>
        </x:is>
      </x:c>
      <x:c r="N869" s="160" t="inlineStr">
        <x:is>
          <x:t xml:space="preserve">R-TAIL-01</x:t>
        </x:is>
      </x:c>
      <x:c r="O869" s="160" t="inlineStr">
        <x:is>
          <x:t xml:space="preserve">MATURE</x:t>
        </x:is>
      </x:c>
      <x:c r="P869" s="160" t="inlineStr">
        <x:is>
          <x:t xml:space="preserve">ROBUST</x:t>
        </x:is>
      </x:c>
      <x:c r="Q869" s="160" t="inlineStr">
        <x:is>
          <x:t xml:space="preserve">The mature simulation rule catches the stress without weakening a fatal gate; no rule relaxation is justified.</x:t>
        </x:is>
      </x:c>
      <x:c r="R869" s="160" t="inlineStr">
        <x:is>
          <x:t xml:space="preserve">Maintain an explicit concentration/tail-risk register with probability, severity, mitigation and required margin-of-safety premium.</x:t>
        </x:is>
      </x:c>
      <x:c r="S869" s="160" t="inlineStr">
        <x:is>
          <x:t xml:space="preserve">NO</x:t>
        </x:is>
      </x:c>
      <x:c r="T869" s="160" t="inlineStr">
        <x:is>
          <x:t xml:space="preserve">MATURE</x:t>
        </x:is>
      </x:c>
      <x:c r="U869" s="160" t="inlineStr">
        <x:is>
          <x:t xml:space="preserve">V10.5-SIM81</x:t>
        </x:is>
      </x:c>
      <x:c r="V869" s="160" t="inlineStr">
        <x:is>
          <x:t xml:space="preserve">https://investor.lilly.com</x:t>
        </x:is>
      </x:c>
      <x:c r="W869" s="160" t="inlineStr">
        <x:is>
          <x:t xml:space="preserve">NO</x:t>
        </x:is>
      </x:c>
      <x:c r="X869" s="160" t="inlineStr">
        <x:is>
          <x:t xml:space="preserve">NONE — DEVELOPMENT ONLY</x:t>
        </x:is>
      </x:c>
      <x:c r="Y869" s="160" t="inlineStr">
        <x:is>
          <x:t xml:space="preserve">Synthetic/adversarial model-development loop. No historical outcome is claimed; no accuracy point is awarded.</x:t>
        </x:is>
      </x:c>
    </x:row>
    <x:row r="870">
      <x:c r="A870" s="160" t="inlineStr">
        <x:is>
          <x:t xml:space="preserve">ML0865</x:t>
        </x:is>
      </x:c>
      <x:c r="B870" s="160" t="inlineStr">
        <x:is>
          <x:t xml:space="preserve">ARG-055</x:t>
        </x:is>
      </x:c>
      <x:c r="C870" s="160" t="inlineStr">
        <x:is>
          <x:t xml:space="preserve">Costco Wholesale</x:t>
        </x:is>
      </x:c>
      <x:c r="D870" s="160" t="inlineStr">
        <x:is>
          <x:t xml:space="preserve">COST</x:t>
        </x:is>
      </x:c>
      <x:c r="E870" s="160" t="inlineStr">
        <x:is>
          <x:t xml:space="preserve">Consumer</x:t>
        </x:is>
      </x:c>
      <x:c r="F870" s="160" t="inlineStr">
        <x:is>
          <x:t xml:space="preserve">Development</x:t>
        </x:is>
      </x:c>
      <x:c r="G870" s="160" t="inlineStr">
        <x:is>
          <x:t xml:space="preserve">S01</x:t>
        </x:is>
      </x:c>
      <x:c r="H870" s="160" t="inlineStr">
        <x:is>
          <x:t xml:space="preserve">Understanding Gate</x:t>
        </x:is>
      </x:c>
      <x:c r="I870" s="160" t="inlineStr">
        <x:is>
          <x:t xml:space="preserve">Understanding</x:t>
        </x:is>
      </x:c>
      <x:c r="J870" s="160" t="inlineStr">
        <x:is>
          <x:t xml:space="preserve">Causal engine / customer ROI chain breaks under a misleading headline KPI.</x:t>
        </x:is>
      </x:c>
      <x:c r="K870" s="160" t="inlineStr">
        <x:is>
          <x:t xml:space="preserve">Membership renewal + traffic + scale economics</x:t>
        </x:is>
      </x:c>
      <x:c r="L870" s="160" t="inlineStr">
        <x:is>
          <x:t xml:space="preserve">Owner earnings + reverse DCF</x:t>
        </x:is>
      </x:c>
      <x:c r="M870" s="160" t="inlineStr">
        <x:is>
          <x:t xml:space="preserve">NO PRODUCTION DECISION — STRESS TEST ONLY</x:t>
        </x:is>
      </x:c>
      <x:c r="N870" s="160" t="inlineStr">
        <x:is>
          <x:t xml:space="preserve">R-ENG-01</x:t>
        </x:is>
      </x:c>
      <x:c r="O870" s="160" t="inlineStr">
        <x:is>
          <x:t xml:space="preserve">MATURE</x:t>
        </x:is>
      </x:c>
      <x:c r="P870" s="160" t="inlineStr">
        <x:is>
          <x:t xml:space="preserve">ROBUST</x:t>
        </x:is>
      </x:c>
      <x:c r="Q870" s="160" t="inlineStr">
        <x:is>
          <x:t xml:space="preserve">The mature simulation rule catches the stress without weakening a fatal gate; no rule relaxation is justified.</x:t>
        </x:is>
      </x:c>
      <x:c r="R870" s="160" t="inlineStr">
        <x:is>
          <x:t xml:space="preserve">Force an explicit engine tree: customer job → unit economics → revenue driver → owner-value bridge.</x:t>
        </x:is>
      </x:c>
      <x:c r="S870" s="160" t="inlineStr">
        <x:is>
          <x:t xml:space="preserve">NO</x:t>
        </x:is>
      </x:c>
      <x:c r="T870" s="160" t="inlineStr">
        <x:is>
          <x:t xml:space="preserve">MATURE</x:t>
        </x:is>
      </x:c>
      <x:c r="U870" s="160" t="inlineStr">
        <x:is>
          <x:t xml:space="preserve">V10.5-SIM81</x:t>
        </x:is>
      </x:c>
      <x:c r="V870" s="160" t="inlineStr">
        <x:is>
          <x:t xml:space="preserve">https://investor.costco.com</x:t>
        </x:is>
      </x:c>
      <x:c r="W870" s="160" t="inlineStr">
        <x:is>
          <x:t xml:space="preserve">NO</x:t>
        </x:is>
      </x:c>
      <x:c r="X870" s="160" t="inlineStr">
        <x:is>
          <x:t xml:space="preserve">NONE — DEVELOPMENT ONLY</x:t>
        </x:is>
      </x:c>
      <x:c r="Y870" s="160" t="inlineStr">
        <x:is>
          <x:t xml:space="preserve">Synthetic/adversarial model-development loop. No historical outcome is claimed; no accuracy point is awarded.</x:t>
        </x:is>
      </x:c>
    </x:row>
    <x:row r="871">
      <x:c r="A871" s="160" t="inlineStr">
        <x:is>
          <x:t xml:space="preserve">ML0866</x:t>
        </x:is>
      </x:c>
      <x:c r="B871" s="160" t="inlineStr">
        <x:is>
          <x:t xml:space="preserve">ARG-055</x:t>
        </x:is>
      </x:c>
      <x:c r="C871" s="160" t="inlineStr">
        <x:is>
          <x:t xml:space="preserve">Costco Wholesale</x:t>
        </x:is>
      </x:c>
      <x:c r="D871" s="160" t="inlineStr">
        <x:is>
          <x:t xml:space="preserve">COST</x:t>
        </x:is>
      </x:c>
      <x:c r="E871" s="160" t="inlineStr">
        <x:is>
          <x:t xml:space="preserve">Consumer</x:t>
        </x:is>
      </x:c>
      <x:c r="F871" s="160" t="inlineStr">
        <x:is>
          <x:t xml:space="preserve">Development</x:t>
        </x:is>
      </x:c>
      <x:c r="G871" s="160" t="inlineStr">
        <x:is>
          <x:t xml:space="preserve">S02</x:t>
        </x:is>
      </x:c>
      <x:c r="H871" s="160" t="inlineStr">
        <x:is>
          <x:t xml:space="preserve">Owner Earnings Normalization</x:t>
        </x:is>
      </x:c>
      <x:c r="I871" s="160" t="inlineStr">
        <x:is>
          <x:t xml:space="preserve">Owner Earnings</x:t>
        </x:is>
      </x:c>
      <x:c r="J871" s="160" t="inlineStr">
        <x:is>
          <x:t xml:space="preserve">Reported earnings/FCF overstates economic cash because recurring reinvestment or non-cash compensation is misclassified.</x:t>
        </x:is>
      </x:c>
      <x:c r="K871" s="160" t="inlineStr">
        <x:is>
          <x:t xml:space="preserve">Membership renewal + traffic + scale economics</x:t>
        </x:is>
      </x:c>
      <x:c r="L871" s="160" t="inlineStr">
        <x:is>
          <x:t xml:space="preserve">Owner earnings + reverse DCF</x:t>
        </x:is>
      </x:c>
      <x:c r="M871" s="160" t="inlineStr">
        <x:is>
          <x:t xml:space="preserve">NO PRODUCTION DECISION — STRESS TEST ONLY</x:t>
        </x:is>
      </x:c>
      <x:c r="N871" s="160" t="inlineStr">
        <x:is>
          <x:t xml:space="preserve">R-OE-01</x:t>
        </x:is>
      </x:c>
      <x:c r="O871" s="160" t="inlineStr">
        <x:is>
          <x:t xml:space="preserve">MATURE</x:t>
        </x:is>
      </x:c>
      <x:c r="P871" s="160" t="inlineStr">
        <x:is>
          <x:t xml:space="preserve">ROBUST</x:t>
        </x:is>
      </x:c>
      <x:c r="Q871" s="160" t="inlineStr">
        <x:is>
          <x:t xml:space="preserve">The mature simulation rule catches the stress without weakening a fatal gate; no rule relaxation is justified.</x:t>
        </x:is>
      </x:c>
      <x:c r="R871" s="160" t="inlineStr">
        <x:is>
          <x:t xml:space="preserve">Require a GAAP-to-economic-owner-cash bridge tailored to the business model.</x:t>
        </x:is>
      </x:c>
      <x:c r="S871" s="160" t="inlineStr">
        <x:is>
          <x:t xml:space="preserve">NO</x:t>
        </x:is>
      </x:c>
      <x:c r="T871" s="160" t="inlineStr">
        <x:is>
          <x:t xml:space="preserve">MATURE</x:t>
        </x:is>
      </x:c>
      <x:c r="U871" s="160" t="inlineStr">
        <x:is>
          <x:t xml:space="preserve">V10.5-SIM81</x:t>
        </x:is>
      </x:c>
      <x:c r="V871" s="160" t="inlineStr">
        <x:is>
          <x:t xml:space="preserve">https://investor.costco.com</x:t>
        </x:is>
      </x:c>
      <x:c r="W871" s="160" t="inlineStr">
        <x:is>
          <x:t xml:space="preserve">NO</x:t>
        </x:is>
      </x:c>
      <x:c r="X871" s="160" t="inlineStr">
        <x:is>
          <x:t xml:space="preserve">NONE — DEVELOPMENT ONLY</x:t>
        </x:is>
      </x:c>
      <x:c r="Y871" s="160" t="inlineStr">
        <x:is>
          <x:t xml:space="preserve">Synthetic/adversarial model-development loop. No historical outcome is claimed; no accuracy point is awarded.</x:t>
        </x:is>
      </x:c>
    </x:row>
    <x:row r="872">
      <x:c r="A872" s="160" t="inlineStr">
        <x:is>
          <x:t xml:space="preserve">ML0867</x:t>
        </x:is>
      </x:c>
      <x:c r="B872" s="160" t="inlineStr">
        <x:is>
          <x:t xml:space="preserve">ARG-055</x:t>
        </x:is>
      </x:c>
      <x:c r="C872" s="160" t="inlineStr">
        <x:is>
          <x:t xml:space="preserve">Costco Wholesale</x:t>
        </x:is>
      </x:c>
      <x:c r="D872" s="160" t="inlineStr">
        <x:is>
          <x:t xml:space="preserve">COST</x:t>
        </x:is>
      </x:c>
      <x:c r="E872" s="160" t="inlineStr">
        <x:is>
          <x:t xml:space="preserve">Consumer</x:t>
        </x:is>
      </x:c>
      <x:c r="F872" s="160" t="inlineStr">
        <x:is>
          <x:t xml:space="preserve">Development</x:t>
        </x:is>
      </x:c>
      <x:c r="G872" s="160" t="inlineStr">
        <x:is>
          <x:t xml:space="preserve">S03</x:t>
        </x:is>
      </x:c>
      <x:c r="H872" s="160" t="inlineStr">
        <x:is>
          <x:t xml:space="preserve">Moat Durability</x:t>
        </x:is>
      </x:c>
      <x:c r="I872" s="160" t="inlineStr">
        <x:is>
          <x:t xml:space="preserve">Moat 2036</x:t>
        </x:is>
      </x:c>
      <x:c r="J872" s="160" t="inlineStr">
        <x:is>
          <x:t xml:space="preserve">Growth continues while switching friction, pricing power or replacement difficulty quietly weakens.</x:t>
        </x:is>
      </x:c>
      <x:c r="K872" s="160" t="inlineStr">
        <x:is>
          <x:t xml:space="preserve">Membership renewal + traffic + scale economics</x:t>
        </x:is>
      </x:c>
      <x:c r="L872" s="160" t="inlineStr">
        <x:is>
          <x:t xml:space="preserve">Owner earnings + reverse DCF</x:t>
        </x:is>
      </x:c>
      <x:c r="M872" s="160" t="inlineStr">
        <x:is>
          <x:t xml:space="preserve">NO PRODUCTION DECISION — STRESS TEST ONLY</x:t>
        </x:is>
      </x:c>
      <x:c r="N872" s="160" t="inlineStr">
        <x:is>
          <x:t xml:space="preserve">R-MOAT-01</x:t>
        </x:is>
      </x:c>
      <x:c r="O872" s="160" t="inlineStr">
        <x:is>
          <x:t xml:space="preserve">MATURE</x:t>
        </x:is>
      </x:c>
      <x:c r="P872" s="160" t="inlineStr">
        <x:is>
          <x:t xml:space="preserve">ROBUST</x:t>
        </x:is>
      </x:c>
      <x:c r="Q872" s="160" t="inlineStr">
        <x:is>
          <x:t xml:space="preserve">The mature simulation rule catches the stress without weakening a fatal gate; no rule relaxation is justified.</x:t>
        </x:is>
      </x:c>
      <x:c r="R872" s="160" t="inlineStr">
        <x:is>
          <x:t xml:space="preserve">Track moat telemetry separately from growth: retention, pricing, win/loss, replacement friction, installed-base behavior.</x:t>
        </x:is>
      </x:c>
      <x:c r="S872" s="160" t="inlineStr">
        <x:is>
          <x:t xml:space="preserve">NO</x:t>
        </x:is>
      </x:c>
      <x:c r="T872" s="160" t="inlineStr">
        <x:is>
          <x:t xml:space="preserve">MATURE</x:t>
        </x:is>
      </x:c>
      <x:c r="U872" s="160" t="inlineStr">
        <x:is>
          <x:t xml:space="preserve">V10.5-SIM81</x:t>
        </x:is>
      </x:c>
      <x:c r="V872" s="160" t="inlineStr">
        <x:is>
          <x:t xml:space="preserve">https://investor.costco.com</x:t>
        </x:is>
      </x:c>
      <x:c r="W872" s="160" t="inlineStr">
        <x:is>
          <x:t xml:space="preserve">NO</x:t>
        </x:is>
      </x:c>
      <x:c r="X872" s="160" t="inlineStr">
        <x:is>
          <x:t xml:space="preserve">NONE — DEVELOPMENT ONLY</x:t>
        </x:is>
      </x:c>
      <x:c r="Y872" s="160" t="inlineStr">
        <x:is>
          <x:t xml:space="preserve">Synthetic/adversarial model-development loop. No historical outcome is claimed; no accuracy point is awarded.</x:t>
        </x:is>
      </x:c>
    </x:row>
    <x:row r="873">
      <x:c r="A873" s="160" t="inlineStr">
        <x:is>
          <x:t xml:space="preserve">ML0868</x:t>
        </x:is>
      </x:c>
      <x:c r="B873" s="160" t="inlineStr">
        <x:is>
          <x:t xml:space="preserve">ARG-055</x:t>
        </x:is>
      </x:c>
      <x:c r="C873" s="160" t="inlineStr">
        <x:is>
          <x:t xml:space="preserve">Costco Wholesale</x:t>
        </x:is>
      </x:c>
      <x:c r="D873" s="160" t="inlineStr">
        <x:is>
          <x:t xml:space="preserve">COST</x:t>
        </x:is>
      </x:c>
      <x:c r="E873" s="160" t="inlineStr">
        <x:is>
          <x:t xml:space="preserve">Consumer</x:t>
        </x:is>
      </x:c>
      <x:c r="F873" s="160" t="inlineStr">
        <x:is>
          <x:t xml:space="preserve">Development</x:t>
        </x:is>
      </x:c>
      <x:c r="G873" s="160" t="inlineStr">
        <x:is>
          <x:t xml:space="preserve">S04</x:t>
        </x:is>
      </x:c>
      <x:c r="H873" s="160" t="inlineStr">
        <x:is>
          <x:t xml:space="preserve">Stewardship / Capital Allocation</x:t>
        </x:is>
      </x:c>
      <x:c r="I873" s="160" t="inlineStr">
        <x:is>
          <x:t xml:space="preserve">Stewardship</x:t>
        </x:is>
      </x:c>
      <x:c r="J873" s="160" t="inlineStr">
        <x:is>
          <x:t xml:space="preserve">Management creates enterprise growth while destroying per-share value through M&amp;A, dilution, leverage or mistimed buybacks.</x:t>
        </x:is>
      </x:c>
      <x:c r="K873" s="160" t="inlineStr">
        <x:is>
          <x:t xml:space="preserve">Membership renewal + traffic + scale economics</x:t>
        </x:is>
      </x:c>
      <x:c r="L873" s="160" t="inlineStr">
        <x:is>
          <x:t xml:space="preserve">Owner earnings + reverse DCF</x:t>
        </x:is>
      </x:c>
      <x:c r="M873" s="160" t="inlineStr">
        <x:is>
          <x:t xml:space="preserve">NO PRODUCTION DECISION — STRESS TEST ONLY</x:t>
        </x:is>
      </x:c>
      <x:c r="N873" s="160" t="inlineStr">
        <x:is>
          <x:t xml:space="preserve">R-STEW-01</x:t>
        </x:is>
      </x:c>
      <x:c r="O873" s="160" t="inlineStr">
        <x:is>
          <x:t xml:space="preserve">MATURE</x:t>
        </x:is>
      </x:c>
      <x:c r="P873" s="160" t="inlineStr">
        <x:is>
          <x:t xml:space="preserve">ROBUST</x:t>
        </x:is>
      </x:c>
      <x:c r="Q873" s="160" t="inlineStr">
        <x:is>
          <x:t xml:space="preserve">The mature simulation rule catches the stress without weakening a fatal gate; no rule relaxation is justified.</x:t>
        </x:is>
      </x:c>
      <x:c r="R873" s="160" t="inlineStr">
        <x:is>
          <x:t xml:space="preserve">Evaluate capital allocation on a per-share basis using acquisition cohorts, dilution, leverage and repurchase price discipline.</x:t>
        </x:is>
      </x:c>
      <x:c r="S873" s="160" t="inlineStr">
        <x:is>
          <x:t xml:space="preserve">NO</x:t>
        </x:is>
      </x:c>
      <x:c r="T873" s="160" t="inlineStr">
        <x:is>
          <x:t xml:space="preserve">MATURE</x:t>
        </x:is>
      </x:c>
      <x:c r="U873" s="160" t="inlineStr">
        <x:is>
          <x:t xml:space="preserve">V10.5-SIM81</x:t>
        </x:is>
      </x:c>
      <x:c r="V873" s="160" t="inlineStr">
        <x:is>
          <x:t xml:space="preserve">https://investor.costco.com</x:t>
        </x:is>
      </x:c>
      <x:c r="W873" s="160" t="inlineStr">
        <x:is>
          <x:t xml:space="preserve">NO</x:t>
        </x:is>
      </x:c>
      <x:c r="X873" s="160" t="inlineStr">
        <x:is>
          <x:t xml:space="preserve">NONE — DEVELOPMENT ONLY</x:t>
        </x:is>
      </x:c>
      <x:c r="Y873" s="160" t="inlineStr">
        <x:is>
          <x:t xml:space="preserve">Synthetic/adversarial model-development loop. No historical outcome is claimed; no accuracy point is awarded.</x:t>
        </x:is>
      </x:c>
    </x:row>
    <x:row r="874">
      <x:c r="A874" s="160" t="inlineStr">
        <x:is>
          <x:t xml:space="preserve">ML0869</x:t>
        </x:is>
      </x:c>
      <x:c r="B874" s="160" t="inlineStr">
        <x:is>
          <x:t xml:space="preserve">ARG-055</x:t>
        </x:is>
      </x:c>
      <x:c r="C874" s="160" t="inlineStr">
        <x:is>
          <x:t xml:space="preserve">Costco Wholesale</x:t>
        </x:is>
      </x:c>
      <x:c r="D874" s="160" t="inlineStr">
        <x:is>
          <x:t xml:space="preserve">COST</x:t>
        </x:is>
      </x:c>
      <x:c r="E874" s="160" t="inlineStr">
        <x:is>
          <x:t xml:space="preserve">Consumer</x:t>
        </x:is>
      </x:c>
      <x:c r="F874" s="160" t="inlineStr">
        <x:is>
          <x:t xml:space="preserve">Development</x:t>
        </x:is>
      </x:c>
      <x:c r="G874" s="160" t="inlineStr">
        <x:is>
          <x:t xml:space="preserve">S05</x:t>
        </x:is>
      </x:c>
      <x:c r="H874" s="160" t="inlineStr">
        <x:is>
          <x:t xml:space="preserve">Survival / Funding</x:t>
        </x:is>
      </x:c>
      <x:c r="I874" s="160" t="inlineStr">
        <x:is>
          <x:t xml:space="preserve">Survival</x:t>
        </x:is>
      </x:c>
      <x:c r="J874" s="160" t="inlineStr">
        <x:is>
          <x:t xml:space="preserve">A plausible bear case exposes refinancing, liquidity, covenant, reserve, regulatory or operational fragility.</x:t>
        </x:is>
      </x:c>
      <x:c r="K874" s="160" t="inlineStr">
        <x:is>
          <x:t xml:space="preserve">Membership renewal + traffic + scale economics</x:t>
        </x:is>
      </x:c>
      <x:c r="L874" s="160" t="inlineStr">
        <x:is>
          <x:t xml:space="preserve">Owner earnings + reverse DCF</x:t>
        </x:is>
      </x:c>
      <x:c r="M874" s="160" t="inlineStr">
        <x:is>
          <x:t xml:space="preserve">NO PRODUCTION DECISION — STRESS TEST ONLY</x:t>
        </x:is>
      </x:c>
      <x:c r="N874" s="160" t="inlineStr">
        <x:is>
          <x:t xml:space="preserve">R-SURV-01</x:t>
        </x:is>
      </x:c>
      <x:c r="O874" s="160" t="inlineStr">
        <x:is>
          <x:t xml:space="preserve">MATURE</x:t>
        </x:is>
      </x:c>
      <x:c r="P874" s="160" t="inlineStr">
        <x:is>
          <x:t xml:space="preserve">ROBUST</x:t>
        </x:is>
      </x:c>
      <x:c r="Q874" s="160" t="inlineStr">
        <x:is>
          <x:t xml:space="preserve">The mature simulation rule catches the stress without weakening a fatal gate; no rule relaxation is justified.</x:t>
        </x:is>
      </x:c>
      <x:c r="R874" s="160" t="inlineStr">
        <x:is>
          <x:t xml:space="preserve">Run a company-specific survival bridge under a severe-but-plausible bear case before any upside underwriting.</x:t>
        </x:is>
      </x:c>
      <x:c r="S874" s="160" t="inlineStr">
        <x:is>
          <x:t xml:space="preserve">NO</x:t>
        </x:is>
      </x:c>
      <x:c r="T874" s="160" t="inlineStr">
        <x:is>
          <x:t xml:space="preserve">MATURE</x:t>
        </x:is>
      </x:c>
      <x:c r="U874" s="160" t="inlineStr">
        <x:is>
          <x:t xml:space="preserve">V10.5-SIM81</x:t>
        </x:is>
      </x:c>
      <x:c r="V874" s="160" t="inlineStr">
        <x:is>
          <x:t xml:space="preserve">https://investor.costco.com</x:t>
        </x:is>
      </x:c>
      <x:c r="W874" s="160" t="inlineStr">
        <x:is>
          <x:t xml:space="preserve">NO</x:t>
        </x:is>
      </x:c>
      <x:c r="X874" s="160" t="inlineStr">
        <x:is>
          <x:t xml:space="preserve">NONE — DEVELOPMENT ONLY</x:t>
        </x:is>
      </x:c>
      <x:c r="Y874" s="160" t="inlineStr">
        <x:is>
          <x:t xml:space="preserve">Synthetic/adversarial model-development loop. No historical outcome is claimed; no accuracy point is awarded.</x:t>
        </x:is>
      </x:c>
    </x:row>
    <x:row r="875">
      <x:c r="A875" s="160" t="inlineStr">
        <x:is>
          <x:t xml:space="preserve">ML0870</x:t>
        </x:is>
      </x:c>
      <x:c r="B875" s="160" t="inlineStr">
        <x:is>
          <x:t xml:space="preserve">ARG-055</x:t>
        </x:is>
      </x:c>
      <x:c r="C875" s="160" t="inlineStr">
        <x:is>
          <x:t xml:space="preserve">Costco Wholesale</x:t>
        </x:is>
      </x:c>
      <x:c r="D875" s="160" t="inlineStr">
        <x:is>
          <x:t xml:space="preserve">COST</x:t>
        </x:is>
      </x:c>
      <x:c r="E875" s="160" t="inlineStr">
        <x:is>
          <x:t xml:space="preserve">Consumer</x:t>
        </x:is>
      </x:c>
      <x:c r="F875" s="160" t="inlineStr">
        <x:is>
          <x:t xml:space="preserve">Development</x:t>
        </x:is>
      </x:c>
      <x:c r="G875" s="160" t="inlineStr">
        <x:is>
          <x:t xml:space="preserve">S06</x:t>
        </x:is>
      </x:c>
      <x:c r="H875" s="160" t="inlineStr">
        <x:is>
          <x:t xml:space="preserve">Margin of Safety</x:t>
        </x:is>
      </x:c>
      <x:c r="I875" s="160" t="inlineStr">
        <x:is>
          <x:t xml:space="preserve">Margin of Safety</x:t>
        </x:is>
      </x:c>
      <x:c r="J875" s="160" t="inlineStr">
        <x:is>
          <x:t xml:space="preserve">Business quality is high but the price embeds a fragile bull case.</x:t>
        </x:is>
      </x:c>
      <x:c r="K875" s="160" t="inlineStr">
        <x:is>
          <x:t xml:space="preserve">Membership renewal + traffic + scale economics</x:t>
        </x:is>
      </x:c>
      <x:c r="L875" s="160" t="inlineStr">
        <x:is>
          <x:t xml:space="preserve">Owner earnings + reverse DCF</x:t>
        </x:is>
      </x:c>
      <x:c r="M875" s="160" t="inlineStr">
        <x:is>
          <x:t xml:space="preserve">NO PRODUCTION DECISION — STRESS TEST ONLY</x:t>
        </x:is>
      </x:c>
      <x:c r="N875" s="160" t="inlineStr">
        <x:is>
          <x:t xml:space="preserve">R-MOS-01</x:t>
        </x:is>
      </x:c>
      <x:c r="O875" s="160" t="inlineStr">
        <x:is>
          <x:t xml:space="preserve">MATURE</x:t>
        </x:is>
      </x:c>
      <x:c r="P875" s="160" t="inlineStr">
        <x:is>
          <x:t xml:space="preserve">ROBUST</x:t>
        </x:is>
      </x:c>
      <x:c r="Q875" s="160" t="inlineStr">
        <x:is>
          <x:t xml:space="preserve">The mature simulation rule catches the stress without weakening a fatal gate; no rule relaxation is justified.</x:t>
        </x:is>
      </x:c>
      <x:c r="R875" s="160" t="inlineStr">
        <x:is>
          <x:t xml:space="preserve">Separate business-quality score from price decision; require reverse valuation and bear/base/bull IV ranges.</x:t>
        </x:is>
      </x:c>
      <x:c r="S875" s="160" t="inlineStr">
        <x:is>
          <x:t xml:space="preserve">NO</x:t>
        </x:is>
      </x:c>
      <x:c r="T875" s="160" t="inlineStr">
        <x:is>
          <x:t xml:space="preserve">MATURE</x:t>
        </x:is>
      </x:c>
      <x:c r="U875" s="160" t="inlineStr">
        <x:is>
          <x:t xml:space="preserve">V10.5-SIM81</x:t>
        </x:is>
      </x:c>
      <x:c r="V875" s="160" t="inlineStr">
        <x:is>
          <x:t xml:space="preserve">https://investor.costco.com</x:t>
        </x:is>
      </x:c>
      <x:c r="W875" s="160" t="inlineStr">
        <x:is>
          <x:t xml:space="preserve">NO</x:t>
        </x:is>
      </x:c>
      <x:c r="X875" s="160" t="inlineStr">
        <x:is>
          <x:t xml:space="preserve">NONE — DEVELOPMENT ONLY</x:t>
        </x:is>
      </x:c>
      <x:c r="Y875" s="160" t="inlineStr">
        <x:is>
          <x:t xml:space="preserve">Synthetic/adversarial model-development loop. No historical outcome is claimed; no accuracy point is awarded.</x:t>
        </x:is>
      </x:c>
    </x:row>
    <x:row r="876">
      <x:c r="A876" s="160" t="inlineStr">
        <x:is>
          <x:t xml:space="preserve">ML0871</x:t>
        </x:is>
      </x:c>
      <x:c r="B876" s="160" t="inlineStr">
        <x:is>
          <x:t xml:space="preserve">ARG-055</x:t>
        </x:is>
      </x:c>
      <x:c r="C876" s="160" t="inlineStr">
        <x:is>
          <x:t xml:space="preserve">Costco Wholesale</x:t>
        </x:is>
      </x:c>
      <x:c r="D876" s="160" t="inlineStr">
        <x:is>
          <x:t xml:space="preserve">COST</x:t>
        </x:is>
      </x:c>
      <x:c r="E876" s="160" t="inlineStr">
        <x:is>
          <x:t xml:space="preserve">Consumer</x:t>
        </x:is>
      </x:c>
      <x:c r="F876" s="160" t="inlineStr">
        <x:is>
          <x:t xml:space="preserve">Development</x:t>
        </x:is>
      </x:c>
      <x:c r="G876" s="160" t="inlineStr">
        <x:is>
          <x:t xml:space="preserve">S07</x:t>
        </x:is>
      </x:c>
      <x:c r="H876" s="160" t="inlineStr">
        <x:is>
          <x:t xml:space="preserve">Sector Shock</x:t>
        </x:is>
      </x:c>
      <x:c r="I876" s="160" t="inlineStr">
        <x:is>
          <x:t xml:space="preserve">Sector-specific</x:t>
        </x:is>
      </x:c>
      <x:c r="J876" s="160" t="inlineStr">
        <x:is>
          <x:t xml:space="preserve">Revenue growth is driven by price/mix while unit volume, brand heat, traffic or customer economics weaken.</x:t>
        </x:is>
      </x:c>
      <x:c r="K876" s="160" t="inlineStr">
        <x:is>
          <x:t xml:space="preserve">Membership renewal + traffic + scale economics</x:t>
        </x:is>
      </x:c>
      <x:c r="L876" s="160" t="inlineStr">
        <x:is>
          <x:t xml:space="preserve">Owner earnings + reverse DCF</x:t>
        </x:is>
      </x:c>
      <x:c r="M876" s="160" t="inlineStr">
        <x:is>
          <x:t xml:space="preserve">NO PRODUCTION DECISION — STRESS TEST ONLY</x:t>
        </x:is>
      </x:c>
      <x:c r="N876" s="160" t="inlineStr">
        <x:is>
          <x:t xml:space="preserve">R-SECTOR-CONSUMER</x:t>
        </x:is>
      </x:c>
      <x:c r="O876" s="160" t="inlineStr">
        <x:is>
          <x:t xml:space="preserve">UNFORMED</x:t>
        </x:is>
      </x:c>
      <x:c r="P876" s="160" t="inlineStr">
        <x:is>
          <x:t xml:space="preserve">WEAKNESS EXPOSED</x:t>
        </x:is>
      </x:c>
      <x:c r="Q876" s="160" t="inlineStr">
        <x:is>
          <x:t xml:space="preserve">The frozen V10 gate family is directionally right, but the test lacks a sufficiently explicit mechanical implementation.</x:t>
        </x:is>
      </x:c>
      <x:c r="R876" s="160" t="inlineStr">
        <x:is>
          <x:t xml:space="preserve">Add a sector-specific transmission map with leading operating sensors, not only market-price variables. Sector rule: Revenue growth is driven by price/mix while unit volume, brand heat, traffic or customer economics weaken.</x:t>
        </x:is>
      </x:c>
      <x:c r="S876" s="160" t="inlineStr">
        <x:is>
          <x:t xml:space="preserve">YES — SIMULATION ONLY</x:t>
        </x:is>
      </x:c>
      <x:c r="T876" s="160" t="inlineStr">
        <x:is>
          <x:t xml:space="preserve">BASE</x:t>
        </x:is>
      </x:c>
      <x:c r="U876" s="160" t="inlineStr">
        <x:is>
          <x:t xml:space="preserve">V10.5-SIM82</x:t>
        </x:is>
      </x:c>
      <x:c r="V876" s="160" t="inlineStr">
        <x:is>
          <x:t xml:space="preserve">https://investor.costco.com</x:t>
        </x:is>
      </x:c>
      <x:c r="W876" s="160" t="inlineStr">
        <x:is>
          <x:t xml:space="preserve">NO</x:t>
        </x:is>
      </x:c>
      <x:c r="X876" s="160" t="inlineStr">
        <x:is>
          <x:t xml:space="preserve">NONE — DEVELOPMENT ONLY</x:t>
        </x:is>
      </x:c>
      <x:c r="Y876" s="160" t="inlineStr">
        <x:is>
          <x:t xml:space="preserve">Synthetic/adversarial model-development loop. No historical outcome is claimed; no accuracy point is awarded.</x:t>
        </x:is>
      </x:c>
    </x:row>
    <x:row r="877">
      <x:c r="A877" s="160" t="inlineStr">
        <x:is>
          <x:t xml:space="preserve">ML0872</x:t>
        </x:is>
      </x:c>
      <x:c r="B877" s="160" t="inlineStr">
        <x:is>
          <x:t xml:space="preserve">ARG-055</x:t>
        </x:is>
      </x:c>
      <x:c r="C877" s="160" t="inlineStr">
        <x:is>
          <x:t xml:space="preserve">Costco Wholesale</x:t>
        </x:is>
      </x:c>
      <x:c r="D877" s="160" t="inlineStr">
        <x:is>
          <x:t xml:space="preserve">COST</x:t>
        </x:is>
      </x:c>
      <x:c r="E877" s="160" t="inlineStr">
        <x:is>
          <x:t xml:space="preserve">Consumer</x:t>
        </x:is>
      </x:c>
      <x:c r="F877" s="160" t="inlineStr">
        <x:is>
          <x:t xml:space="preserve">Development</x:t>
        </x:is>
      </x:c>
      <x:c r="G877" s="160" t="inlineStr">
        <x:is>
          <x:t xml:space="preserve">S08</x:t>
        </x:is>
      </x:c>
      <x:c r="H877" s="160" t="inlineStr">
        <x:is>
          <x:t xml:space="preserve">Management Promise Reliability</x:t>
        </x:is>
      </x:c>
      <x:c r="I877" s="160" t="inlineStr">
        <x:is>
          <x:t xml:space="preserve">Management over-trust</x:t>
        </x:is>
      </x:c>
      <x:c r="J877" s="160" t="inlineStr">
        <x:is>
          <x:t xml:space="preserve">Guidance or strategic promises are repeated but the model lacks a contemporaneous reliability score.</x:t>
        </x:is>
      </x:c>
      <x:c r="K877" s="160" t="inlineStr">
        <x:is>
          <x:t xml:space="preserve">Membership renewal + traffic + scale economics</x:t>
        </x:is>
      </x:c>
      <x:c r="L877" s="160" t="inlineStr">
        <x:is>
          <x:t xml:space="preserve">Owner earnings + reverse DCF</x:t>
        </x:is>
      </x:c>
      <x:c r="M877" s="160" t="inlineStr">
        <x:is>
          <x:t xml:space="preserve">NO PRODUCTION DECISION — STRESS TEST ONLY</x:t>
        </x:is>
      </x:c>
      <x:c r="N877" s="160" t="inlineStr">
        <x:is>
          <x:t xml:space="preserve">R-PROM-01</x:t>
        </x:is>
      </x:c>
      <x:c r="O877" s="160" t="inlineStr">
        <x:is>
          <x:t xml:space="preserve">MATURE</x:t>
        </x:is>
      </x:c>
      <x:c r="P877" s="160" t="inlineStr">
        <x:is>
          <x:t xml:space="preserve">ROBUST</x:t>
        </x:is>
      </x:c>
      <x:c r="Q877" s="160" t="inlineStr">
        <x:is>
          <x:t xml:space="preserve">The mature simulation rule catches the stress without weakening a fatal gate; no rule relaxation is justified.</x:t>
        </x:is>
      </x:c>
      <x:c r="R877" s="160" t="inlineStr">
        <x:is>
          <x:t xml:space="preserve">Use a promises ledger with dated promise, measurable deliverable, due date, outcome and credibility weight.</x:t>
        </x:is>
      </x:c>
      <x:c r="S877" s="160" t="inlineStr">
        <x:is>
          <x:t xml:space="preserve">NO</x:t>
        </x:is>
      </x:c>
      <x:c r="T877" s="160" t="inlineStr">
        <x:is>
          <x:t xml:space="preserve">MATURE</x:t>
        </x:is>
      </x:c>
      <x:c r="U877" s="160" t="inlineStr">
        <x:is>
          <x:t xml:space="preserve">V10.5-SIM82</x:t>
        </x:is>
      </x:c>
      <x:c r="V877" s="160" t="inlineStr">
        <x:is>
          <x:t xml:space="preserve">https://investor.costco.com</x:t>
        </x:is>
      </x:c>
      <x:c r="W877" s="160" t="inlineStr">
        <x:is>
          <x:t xml:space="preserve">NO</x:t>
        </x:is>
      </x:c>
      <x:c r="X877" s="160" t="inlineStr">
        <x:is>
          <x:t xml:space="preserve">NONE — DEVELOPMENT ONLY</x:t>
        </x:is>
      </x:c>
      <x:c r="Y877" s="160" t="inlineStr">
        <x:is>
          <x:t xml:space="preserve">Synthetic/adversarial model-development loop. No historical outcome is claimed; no accuracy point is awarded.</x:t>
        </x:is>
      </x:c>
    </x:row>
    <x:row r="878">
      <x:c r="A878" s="160" t="inlineStr">
        <x:is>
          <x:t xml:space="preserve">ML0873</x:t>
        </x:is>
      </x:c>
      <x:c r="B878" s="160" t="inlineStr">
        <x:is>
          <x:t xml:space="preserve">ARG-055</x:t>
        </x:is>
      </x:c>
      <x:c r="C878" s="160" t="inlineStr">
        <x:is>
          <x:t xml:space="preserve">Costco Wholesale</x:t>
        </x:is>
      </x:c>
      <x:c r="D878" s="160" t="inlineStr">
        <x:is>
          <x:t xml:space="preserve">COST</x:t>
        </x:is>
      </x:c>
      <x:c r="E878" s="160" t="inlineStr">
        <x:is>
          <x:t xml:space="preserve">Consumer</x:t>
        </x:is>
      </x:c>
      <x:c r="F878" s="160" t="inlineStr">
        <x:is>
          <x:t xml:space="preserve">Development</x:t>
        </x:is>
      </x:c>
      <x:c r="G878" s="160" t="inlineStr">
        <x:is>
          <x:t xml:space="preserve">S09</x:t>
        </x:is>
      </x:c>
      <x:c r="H878" s="160" t="inlineStr">
        <x:is>
          <x:t xml:space="preserve">Data / Accounting Quality</x:t>
        </x:is>
      </x:c>
      <x:c r="I878" s="160" t="inlineStr">
        <x:is>
          <x:t xml:space="preserve">Data quality</x:t>
        </x:is>
      </x:c>
      <x:c r="J878" s="160" t="inlineStr">
        <x:is>
          <x:t xml:space="preserve">Restatement, segment reclassification, one-time item or non-economic fair-value movement distorts the apparent trend.</x:t>
        </x:is>
      </x:c>
      <x:c r="K878" s="160" t="inlineStr">
        <x:is>
          <x:t xml:space="preserve">Membership renewal + traffic + scale economics</x:t>
        </x:is>
      </x:c>
      <x:c r="L878" s="160" t="inlineStr">
        <x:is>
          <x:t xml:space="preserve">Owner earnings + reverse DCF</x:t>
        </x:is>
      </x:c>
      <x:c r="M878" s="160" t="inlineStr">
        <x:is>
          <x:t xml:space="preserve">NO PRODUCTION DECISION — STRESS TEST ONLY</x:t>
        </x:is>
      </x:c>
      <x:c r="N878" s="160" t="inlineStr">
        <x:is>
          <x:t xml:space="preserve">R-DATA-01</x:t>
        </x:is>
      </x:c>
      <x:c r="O878" s="160" t="inlineStr">
        <x:is>
          <x:t xml:space="preserve">MATURE</x:t>
        </x:is>
      </x:c>
      <x:c r="P878" s="160" t="inlineStr">
        <x:is>
          <x:t xml:space="preserve">ROBUST</x:t>
        </x:is>
      </x:c>
      <x:c r="Q878" s="160" t="inlineStr">
        <x:is>
          <x:t xml:space="preserve">The mature simulation rule catches the stress without weakening a fatal gate; no rule relaxation is justified.</x:t>
        </x:is>
      </x:c>
      <x:c r="R878" s="160" t="inlineStr">
        <x:is>
          <x:t xml:space="preserve">Add a reporting-quality bridge and normalize accounting noise before any gate can pass.</x:t>
        </x:is>
      </x:c>
      <x:c r="S878" s="160" t="inlineStr">
        <x:is>
          <x:t xml:space="preserve">NO</x:t>
        </x:is>
      </x:c>
      <x:c r="T878" s="160" t="inlineStr">
        <x:is>
          <x:t xml:space="preserve">MATURE</x:t>
        </x:is>
      </x:c>
      <x:c r="U878" s="160" t="inlineStr">
        <x:is>
          <x:t xml:space="preserve">V10.5-SIM82</x:t>
        </x:is>
      </x:c>
      <x:c r="V878" s="160" t="inlineStr">
        <x:is>
          <x:t xml:space="preserve">https://investor.costco.com</x:t>
        </x:is>
      </x:c>
      <x:c r="W878" s="160" t="inlineStr">
        <x:is>
          <x:t xml:space="preserve">NO</x:t>
        </x:is>
      </x:c>
      <x:c r="X878" s="160" t="inlineStr">
        <x:is>
          <x:t xml:space="preserve">NONE — DEVELOPMENT ONLY</x:t>
        </x:is>
      </x:c>
      <x:c r="Y878" s="160" t="inlineStr">
        <x:is>
          <x:t xml:space="preserve">Synthetic/adversarial model-development loop. No historical outcome is claimed; no accuracy point is awarded.</x:t>
        </x:is>
      </x:c>
    </x:row>
    <x:row r="879">
      <x:c r="A879" s="160" t="inlineStr">
        <x:is>
          <x:t xml:space="preserve">ML0874</x:t>
        </x:is>
      </x:c>
      <x:c r="B879" s="160" t="inlineStr">
        <x:is>
          <x:t xml:space="preserve">ARG-055</x:t>
        </x:is>
      </x:c>
      <x:c r="C879" s="160" t="inlineStr">
        <x:is>
          <x:t xml:space="preserve">Costco Wholesale</x:t>
        </x:is>
      </x:c>
      <x:c r="D879" s="160" t="inlineStr">
        <x:is>
          <x:t xml:space="preserve">COST</x:t>
        </x:is>
      </x:c>
      <x:c r="E879" s="160" t="inlineStr">
        <x:is>
          <x:t xml:space="preserve">Consumer</x:t>
        </x:is>
      </x:c>
      <x:c r="F879" s="160" t="inlineStr">
        <x:is>
          <x:t xml:space="preserve">Development</x:t>
        </x:is>
      </x:c>
      <x:c r="G879" s="160" t="inlineStr">
        <x:is>
          <x:t xml:space="preserve">S10</x:t>
        </x:is>
      </x:c>
      <x:c r="H879" s="160" t="inlineStr">
        <x:is>
          <x:t xml:space="preserve">Control / Counterfactual</x:t>
        </x:is>
      </x:c>
      <x:c r="I879" s="160" t="inlineStr">
        <x:is>
          <x:t xml:space="preserve">Sector beta vs company alpha</x:t>
        </x:is>
      </x:c>
      <x:c r="J879" s="160" t="inlineStr">
        <x:is>
          <x:t xml:space="preserve">A positive outcome is mostly sector beta or macro tailwind, not company-specific alpha.</x:t>
        </x:is>
      </x:c>
      <x:c r="K879" s="160" t="inlineStr">
        <x:is>
          <x:t xml:space="preserve">Membership renewal + traffic + scale economics</x:t>
        </x:is>
      </x:c>
      <x:c r="L879" s="160" t="inlineStr">
        <x:is>
          <x:t xml:space="preserve">Owner earnings + reverse DCF</x:t>
        </x:is>
      </x:c>
      <x:c r="M879" s="160" t="inlineStr">
        <x:is>
          <x:t xml:space="preserve">NO PRODUCTION DECISION — STRESS TEST ONLY</x:t>
        </x:is>
      </x:c>
      <x:c r="N879" s="160" t="inlineStr">
        <x:is>
          <x:t xml:space="preserve">R-CF-01</x:t>
        </x:is>
      </x:c>
      <x:c r="O879" s="160" t="inlineStr">
        <x:is>
          <x:t xml:space="preserve">MATURE</x:t>
        </x:is>
      </x:c>
      <x:c r="P879" s="160" t="inlineStr">
        <x:is>
          <x:t xml:space="preserve">ROBUST</x:t>
        </x:is>
      </x:c>
      <x:c r="Q879" s="160" t="inlineStr">
        <x:is>
          <x:t xml:space="preserve">The mature simulation rule catches the stress without weakening a fatal gate; no rule relaxation is justified.</x:t>
        </x:is>
      </x:c>
      <x:c r="R879" s="160" t="inlineStr">
        <x:is>
          <x:t xml:space="preserve">Require a true economic control and counterfactual: what should have happened to a comparable company under the same shock?</x:t>
        </x:is>
      </x:c>
      <x:c r="S879" s="160" t="inlineStr">
        <x:is>
          <x:t xml:space="preserve">NO</x:t>
        </x:is>
      </x:c>
      <x:c r="T879" s="160" t="inlineStr">
        <x:is>
          <x:t xml:space="preserve">MATURE</x:t>
        </x:is>
      </x:c>
      <x:c r="U879" s="160" t="inlineStr">
        <x:is>
          <x:t xml:space="preserve">V10.5-SIM82</x:t>
        </x:is>
      </x:c>
      <x:c r="V879" s="160" t="inlineStr">
        <x:is>
          <x:t xml:space="preserve">https://investor.costco.com</x:t>
        </x:is>
      </x:c>
      <x:c r="W879" s="160" t="inlineStr">
        <x:is>
          <x:t xml:space="preserve">NO</x:t>
        </x:is>
      </x:c>
      <x:c r="X879" s="160" t="inlineStr">
        <x:is>
          <x:t xml:space="preserve">NONE — DEVELOPMENT ONLY</x:t>
        </x:is>
      </x:c>
      <x:c r="Y879" s="160" t="inlineStr">
        <x:is>
          <x:t xml:space="preserve">Synthetic/adversarial model-development loop. No historical outcome is claimed; no accuracy point is awarded.</x:t>
        </x:is>
      </x:c>
    </x:row>
    <x:row r="880">
      <x:c r="A880" s="160" t="inlineStr">
        <x:is>
          <x:t xml:space="preserve">ML0875</x:t>
        </x:is>
      </x:c>
      <x:c r="B880" s="160" t="inlineStr">
        <x:is>
          <x:t xml:space="preserve">ARG-055</x:t>
        </x:is>
      </x:c>
      <x:c r="C880" s="160" t="inlineStr">
        <x:is>
          <x:t xml:space="preserve">Costco Wholesale</x:t>
        </x:is>
      </x:c>
      <x:c r="D880" s="160" t="inlineStr">
        <x:is>
          <x:t xml:space="preserve">COST</x:t>
        </x:is>
      </x:c>
      <x:c r="E880" s="160" t="inlineStr">
        <x:is>
          <x:t xml:space="preserve">Consumer</x:t>
        </x:is>
      </x:c>
      <x:c r="F880" s="160" t="inlineStr">
        <x:is>
          <x:t xml:space="preserve">Development</x:t>
        </x:is>
      </x:c>
      <x:c r="G880" s="160" t="inlineStr">
        <x:is>
          <x:t xml:space="preserve">S11</x:t>
        </x:is>
      </x:c>
      <x:c r="H880" s="160" t="inlineStr">
        <x:is>
          <x:t xml:space="preserve">False-Negative Discipline</x:t>
        </x:is>
      </x:c>
      <x:c r="I880" s="160" t="inlineStr">
        <x:is>
          <x:t xml:space="preserve">False negative</x:t>
        </x:is>
      </x:c>
      <x:c r="J880" s="160" t="inlineStr">
        <x:is>
          <x:t xml:space="preserve">A strict gate rejects a company that later compounds strongly for reasons the model could have known.</x:t>
        </x:is>
      </x:c>
      <x:c r="K880" s="160" t="inlineStr">
        <x:is>
          <x:t xml:space="preserve">Membership renewal + traffic + scale economics</x:t>
        </x:is>
      </x:c>
      <x:c r="L880" s="160" t="inlineStr">
        <x:is>
          <x:t xml:space="preserve">Owner earnings + reverse DCF</x:t>
        </x:is>
      </x:c>
      <x:c r="M880" s="160" t="inlineStr">
        <x:is>
          <x:t xml:space="preserve">NO PRODUCTION DECISION — STRESS TEST ONLY</x:t>
        </x:is>
      </x:c>
      <x:c r="N880" s="160" t="inlineStr">
        <x:is>
          <x:t xml:space="preserve">R-FN-01</x:t>
        </x:is>
      </x:c>
      <x:c r="O880" s="160" t="inlineStr">
        <x:is>
          <x:t xml:space="preserve">MATURE</x:t>
        </x:is>
      </x:c>
      <x:c r="P880" s="160" t="inlineStr">
        <x:is>
          <x:t xml:space="preserve">ROBUST</x:t>
        </x:is>
      </x:c>
      <x:c r="Q880" s="160" t="inlineStr">
        <x:is>
          <x:t xml:space="preserve">The mature simulation rule catches the stress without weakening a fatal gate; no rule relaxation is justified.</x:t>
        </x:is>
      </x:c>
      <x:c r="R880" s="160" t="inlineStr">
        <x:is>
          <x:t xml:space="preserve">Track opportunity cost and classify whether the miss came from evidence timing, wrong threshold or genuinely unknowable upside.</x:t>
        </x:is>
      </x:c>
      <x:c r="S880" s="160" t="inlineStr">
        <x:is>
          <x:t xml:space="preserve">NO</x:t>
        </x:is>
      </x:c>
      <x:c r="T880" s="160" t="inlineStr">
        <x:is>
          <x:t xml:space="preserve">MATURE</x:t>
        </x:is>
      </x:c>
      <x:c r="U880" s="160" t="inlineStr">
        <x:is>
          <x:t xml:space="preserve">V10.5-SIM82</x:t>
        </x:is>
      </x:c>
      <x:c r="V880" s="160" t="inlineStr">
        <x:is>
          <x:t xml:space="preserve">https://investor.costco.com</x:t>
        </x:is>
      </x:c>
      <x:c r="W880" s="160" t="inlineStr">
        <x:is>
          <x:t xml:space="preserve">NO</x:t>
        </x:is>
      </x:c>
      <x:c r="X880" s="160" t="inlineStr">
        <x:is>
          <x:t xml:space="preserve">NONE — DEVELOPMENT ONLY</x:t>
        </x:is>
      </x:c>
      <x:c r="Y880" s="160" t="inlineStr">
        <x:is>
          <x:t xml:space="preserve">Synthetic/adversarial model-development loop. No historical outcome is claimed; no accuracy point is awarded.</x:t>
        </x:is>
      </x:c>
    </x:row>
    <x:row r="881">
      <x:c r="A881" s="160" t="inlineStr">
        <x:is>
          <x:t xml:space="preserve">ML0876</x:t>
        </x:is>
      </x:c>
      <x:c r="B881" s="160" t="inlineStr">
        <x:is>
          <x:t xml:space="preserve">ARG-055</x:t>
        </x:is>
      </x:c>
      <x:c r="C881" s="160" t="inlineStr">
        <x:is>
          <x:t xml:space="preserve">Costco Wholesale</x:t>
        </x:is>
      </x:c>
      <x:c r="D881" s="160" t="inlineStr">
        <x:is>
          <x:t xml:space="preserve">COST</x:t>
        </x:is>
      </x:c>
      <x:c r="E881" s="160" t="inlineStr">
        <x:is>
          <x:t xml:space="preserve">Consumer</x:t>
        </x:is>
      </x:c>
      <x:c r="F881" s="160" t="inlineStr">
        <x:is>
          <x:t xml:space="preserve">Development</x:t>
        </x:is>
      </x:c>
      <x:c r="G881" s="160" t="inlineStr">
        <x:is>
          <x:t xml:space="preserve">S12</x:t>
        </x:is>
      </x:c>
      <x:c r="H881" s="160" t="inlineStr">
        <x:is>
          <x:t xml:space="preserve">Lead-Time / Early Sensor</x:t>
        </x:is>
      </x:c>
      <x:c r="I881" s="160" t="inlineStr">
        <x:is>
          <x:t xml:space="preserve">Timing / lead-time</x:t>
        </x:is>
      </x:c>
      <x:c r="J881" s="160" t="inlineStr">
        <x:is>
          <x:t xml:space="preserve">ARGUS identifies the change correctly but only after consensus and price have already reacted.</x:t>
        </x:is>
      </x:c>
      <x:c r="K881" s="160" t="inlineStr">
        <x:is>
          <x:t xml:space="preserve">Membership renewal + traffic + scale economics</x:t>
        </x:is>
      </x:c>
      <x:c r="L881" s="160" t="inlineStr">
        <x:is>
          <x:t xml:space="preserve">Owner earnings + reverse DCF</x:t>
        </x:is>
      </x:c>
      <x:c r="M881" s="160" t="inlineStr">
        <x:is>
          <x:t xml:space="preserve">NO PRODUCTION DECISION — STRESS TEST ONLY</x:t>
        </x:is>
      </x:c>
      <x:c r="N881" s="160" t="inlineStr">
        <x:is>
          <x:t xml:space="preserve">R-TIME-01</x:t>
        </x:is>
      </x:c>
      <x:c r="O881" s="160" t="inlineStr">
        <x:is>
          <x:t xml:space="preserve">MATURE</x:t>
        </x:is>
      </x:c>
      <x:c r="P881" s="160" t="inlineStr">
        <x:is>
          <x:t xml:space="preserve">ROBUST</x:t>
        </x:is>
      </x:c>
      <x:c r="Q881" s="160" t="inlineStr">
        <x:is>
          <x:t xml:space="preserve">The mature simulation rule catches the stress without weakening a fatal gate; no rule relaxation is justified.</x:t>
        </x:is>
      </x:c>
      <x:c r="R881" s="160" t="inlineStr">
        <x:is>
          <x:t xml:space="preserve">Replace lagging financial metrics with earlier causal operating sensors and record lead time separately from correctness.</x:t>
        </x:is>
      </x:c>
      <x:c r="S881" s="160" t="inlineStr">
        <x:is>
          <x:t xml:space="preserve">NO</x:t>
        </x:is>
      </x:c>
      <x:c r="T881" s="160" t="inlineStr">
        <x:is>
          <x:t xml:space="preserve">MATURE</x:t>
        </x:is>
      </x:c>
      <x:c r="U881" s="160" t="inlineStr">
        <x:is>
          <x:t xml:space="preserve">V10.5-SIM82</x:t>
        </x:is>
      </x:c>
      <x:c r="V881" s="160" t="inlineStr">
        <x:is>
          <x:t xml:space="preserve">https://investor.costco.com</x:t>
        </x:is>
      </x:c>
      <x:c r="W881" s="160" t="inlineStr">
        <x:is>
          <x:t xml:space="preserve">NO</x:t>
        </x:is>
      </x:c>
      <x:c r="X881" s="160" t="inlineStr">
        <x:is>
          <x:t xml:space="preserve">NONE — DEVELOPMENT ONLY</x:t>
        </x:is>
      </x:c>
      <x:c r="Y881" s="160" t="inlineStr">
        <x:is>
          <x:t xml:space="preserve">Synthetic/adversarial model-development loop. No historical outcome is claimed; no accuracy point is awarded.</x:t>
        </x:is>
      </x:c>
    </x:row>
    <x:row r="882">
      <x:c r="A882" s="160" t="inlineStr">
        <x:is>
          <x:t xml:space="preserve">ML0877</x:t>
        </x:is>
      </x:c>
      <x:c r="B882" s="160" t="inlineStr">
        <x:is>
          <x:t xml:space="preserve">ARG-055</x:t>
        </x:is>
      </x:c>
      <x:c r="C882" s="160" t="inlineStr">
        <x:is>
          <x:t xml:space="preserve">Costco Wholesale</x:t>
        </x:is>
      </x:c>
      <x:c r="D882" s="160" t="inlineStr">
        <x:is>
          <x:t xml:space="preserve">COST</x:t>
        </x:is>
      </x:c>
      <x:c r="E882" s="160" t="inlineStr">
        <x:is>
          <x:t xml:space="preserve">Consumer</x:t>
        </x:is>
      </x:c>
      <x:c r="F882" s="160" t="inlineStr">
        <x:is>
          <x:t xml:space="preserve">Development</x:t>
        </x:is>
      </x:c>
      <x:c r="G882" s="160" t="inlineStr">
        <x:is>
          <x:t xml:space="preserve">S13</x:t>
        </x:is>
      </x:c>
      <x:c r="H882" s="160" t="inlineStr">
        <x:is>
          <x:t xml:space="preserve">Cycle Normalization</x:t>
        </x:is>
      </x:c>
      <x:c r="I882" s="160" t="inlineStr">
        <x:is>
          <x:t xml:space="preserve">Wrong valuation lens</x:t>
        </x:is>
      </x:c>
      <x:c r="J882" s="160" t="inlineStr">
        <x:is>
          <x:t xml:space="preserve">Peak/trough earnings are mistaken for normalized earning power.</x:t>
        </x:is>
      </x:c>
      <x:c r="K882" s="160" t="inlineStr">
        <x:is>
          <x:t xml:space="preserve">Membership renewal + traffic + scale economics</x:t>
        </x:is>
      </x:c>
      <x:c r="L882" s="160" t="inlineStr">
        <x:is>
          <x:t xml:space="preserve">Owner earnings + reverse DCF</x:t>
        </x:is>
      </x:c>
      <x:c r="M882" s="160" t="inlineStr">
        <x:is>
          <x:t xml:space="preserve">NO PRODUCTION DECISION — STRESS TEST ONLY</x:t>
        </x:is>
      </x:c>
      <x:c r="N882" s="160" t="inlineStr">
        <x:is>
          <x:t xml:space="preserve">R-CYCLE-01</x:t>
        </x:is>
      </x:c>
      <x:c r="O882" s="160" t="inlineStr">
        <x:is>
          <x:t xml:space="preserve">MATURE</x:t>
        </x:is>
      </x:c>
      <x:c r="P882" s="160" t="inlineStr">
        <x:is>
          <x:t xml:space="preserve">ROBUST</x:t>
        </x:is>
      </x:c>
      <x:c r="Q882" s="160" t="inlineStr">
        <x:is>
          <x:t xml:space="preserve">The mature simulation rule catches the stress without weakening a fatal gate; no rule relaxation is justified.</x:t>
        </x:is>
      </x:c>
      <x:c r="R882" s="160" t="inlineStr">
        <x:is>
          <x:t xml:space="preserve">Use sector-specific mid-cycle/NAV/rate-base/rNPV normalization before applying a valuation multiple.</x:t>
        </x:is>
      </x:c>
      <x:c r="S882" s="160" t="inlineStr">
        <x:is>
          <x:t xml:space="preserve">NO</x:t>
        </x:is>
      </x:c>
      <x:c r="T882" s="160" t="inlineStr">
        <x:is>
          <x:t xml:space="preserve">MATURE</x:t>
        </x:is>
      </x:c>
      <x:c r="U882" s="160" t="inlineStr">
        <x:is>
          <x:t xml:space="preserve">V10.5-SIM82</x:t>
        </x:is>
      </x:c>
      <x:c r="V882" s="160" t="inlineStr">
        <x:is>
          <x:t xml:space="preserve">https://investor.costco.com</x:t>
        </x:is>
      </x:c>
      <x:c r="W882" s="160" t="inlineStr">
        <x:is>
          <x:t xml:space="preserve">NO</x:t>
        </x:is>
      </x:c>
      <x:c r="X882" s="160" t="inlineStr">
        <x:is>
          <x:t xml:space="preserve">NONE — DEVELOPMENT ONLY</x:t>
        </x:is>
      </x:c>
      <x:c r="Y882" s="160" t="inlineStr">
        <x:is>
          <x:t xml:space="preserve">Synthetic/adversarial model-development loop. No historical outcome is claimed; no accuracy point is awarded.</x:t>
        </x:is>
      </x:c>
    </x:row>
    <x:row r="883">
      <x:c r="A883" s="160" t="inlineStr">
        <x:is>
          <x:t xml:space="preserve">ML0878</x:t>
        </x:is>
      </x:c>
      <x:c r="B883" s="160" t="inlineStr">
        <x:is>
          <x:t xml:space="preserve">ARG-055</x:t>
        </x:is>
      </x:c>
      <x:c r="C883" s="160" t="inlineStr">
        <x:is>
          <x:t xml:space="preserve">Costco Wholesale</x:t>
        </x:is>
      </x:c>
      <x:c r="D883" s="160" t="inlineStr">
        <x:is>
          <x:t xml:space="preserve">COST</x:t>
        </x:is>
      </x:c>
      <x:c r="E883" s="160" t="inlineStr">
        <x:is>
          <x:t xml:space="preserve">Consumer</x:t>
        </x:is>
      </x:c>
      <x:c r="F883" s="160" t="inlineStr">
        <x:is>
          <x:t xml:space="preserve">Development</x:t>
        </x:is>
      </x:c>
      <x:c r="G883" s="160" t="inlineStr">
        <x:is>
          <x:t xml:space="preserve">S14</x:t>
        </x:is>
      </x:c>
      <x:c r="H883" s="160" t="inlineStr">
        <x:is>
          <x:t xml:space="preserve">M&amp;A / Organic Growth Separation</x:t>
        </x:is>
      </x:c>
      <x:c r="I883" s="160" t="inlineStr">
        <x:is>
          <x:t xml:space="preserve">Stewardship</x:t>
        </x:is>
      </x:c>
      <x:c r="J883" s="160" t="inlineStr">
        <x:is>
          <x:t xml:space="preserve">Acquisition-driven growth masks weak organic economics or poor incremental ROIC.</x:t>
        </x:is>
      </x:c>
      <x:c r="K883" s="160" t="inlineStr">
        <x:is>
          <x:t xml:space="preserve">Membership renewal + traffic + scale economics</x:t>
        </x:is>
      </x:c>
      <x:c r="L883" s="160" t="inlineStr">
        <x:is>
          <x:t xml:space="preserve">Owner earnings + reverse DCF</x:t>
        </x:is>
      </x:c>
      <x:c r="M883" s="160" t="inlineStr">
        <x:is>
          <x:t xml:space="preserve">NO PRODUCTION DECISION — STRESS TEST ONLY</x:t>
        </x:is>
      </x:c>
      <x:c r="N883" s="160" t="inlineStr">
        <x:is>
          <x:t xml:space="preserve">R-MA-01</x:t>
        </x:is>
      </x:c>
      <x:c r="O883" s="160" t="inlineStr">
        <x:is>
          <x:t xml:space="preserve">MATURE</x:t>
        </x:is>
      </x:c>
      <x:c r="P883" s="160" t="inlineStr">
        <x:is>
          <x:t xml:space="preserve">ROBUST</x:t>
        </x:is>
      </x:c>
      <x:c r="Q883" s="160" t="inlineStr">
        <x:is>
          <x:t xml:space="preserve">The mature simulation rule catches the stress without weakening a fatal gate; no rule relaxation is justified.</x:t>
        </x:is>
      </x:c>
      <x:c r="R883" s="160" t="inlineStr">
        <x:is>
          <x:t xml:space="preserve">Bridge organic growth, acquired growth, purchase price, integration costs and acquisition-cohort ROIC.</x:t>
        </x:is>
      </x:c>
      <x:c r="S883" s="160" t="inlineStr">
        <x:is>
          <x:t xml:space="preserve">NO</x:t>
        </x:is>
      </x:c>
      <x:c r="T883" s="160" t="inlineStr">
        <x:is>
          <x:t xml:space="preserve">MATURE</x:t>
        </x:is>
      </x:c>
      <x:c r="U883" s="160" t="inlineStr">
        <x:is>
          <x:t xml:space="preserve">V10.5-SIM82</x:t>
        </x:is>
      </x:c>
      <x:c r="V883" s="160" t="inlineStr">
        <x:is>
          <x:t xml:space="preserve">https://investor.costco.com</x:t>
        </x:is>
      </x:c>
      <x:c r="W883" s="160" t="inlineStr">
        <x:is>
          <x:t xml:space="preserve">NO</x:t>
        </x:is>
      </x:c>
      <x:c r="X883" s="160" t="inlineStr">
        <x:is>
          <x:t xml:space="preserve">NONE — DEVELOPMENT ONLY</x:t>
        </x:is>
      </x:c>
      <x:c r="Y883" s="160" t="inlineStr">
        <x:is>
          <x:t xml:space="preserve">Synthetic/adversarial model-development loop. No historical outcome is claimed; no accuracy point is awarded.</x:t>
        </x:is>
      </x:c>
    </x:row>
    <x:row r="884">
      <x:c r="A884" s="160" t="inlineStr">
        <x:is>
          <x:t xml:space="preserve">ML0879</x:t>
        </x:is>
      </x:c>
      <x:c r="B884" s="160" t="inlineStr">
        <x:is>
          <x:t xml:space="preserve">ARG-055</x:t>
        </x:is>
      </x:c>
      <x:c r="C884" s="160" t="inlineStr">
        <x:is>
          <x:t xml:space="preserve">Costco Wholesale</x:t>
        </x:is>
      </x:c>
      <x:c r="D884" s="160" t="inlineStr">
        <x:is>
          <x:t xml:space="preserve">COST</x:t>
        </x:is>
      </x:c>
      <x:c r="E884" s="160" t="inlineStr">
        <x:is>
          <x:t xml:space="preserve">Consumer</x:t>
        </x:is>
      </x:c>
      <x:c r="F884" s="160" t="inlineStr">
        <x:is>
          <x:t xml:space="preserve">Development</x:t>
        </x:is>
      </x:c>
      <x:c r="G884" s="160" t="inlineStr">
        <x:is>
          <x:t xml:space="preserve">S15</x:t>
        </x:is>
      </x:c>
      <x:c r="H884" s="160" t="inlineStr">
        <x:is>
          <x:t xml:space="preserve">Financing / Dilution Per Share</x:t>
        </x:is>
      </x:c>
      <x:c r="I884" s="160" t="inlineStr">
        <x:is>
          <x:t xml:space="preserve">Stewardship</x:t>
        </x:is>
      </x:c>
      <x:c r="J884" s="160" t="inlineStr">
        <x:is>
          <x:t xml:space="preserve">Cash balance or revenue growth improves while financing causes material per-share value leakage.</x:t>
        </x:is>
      </x:c>
      <x:c r="K884" s="160" t="inlineStr">
        <x:is>
          <x:t xml:space="preserve">Membership renewal + traffic + scale economics</x:t>
        </x:is>
      </x:c>
      <x:c r="L884" s="160" t="inlineStr">
        <x:is>
          <x:t xml:space="preserve">Owner earnings + reverse DCF</x:t>
        </x:is>
      </x:c>
      <x:c r="M884" s="160" t="inlineStr">
        <x:is>
          <x:t xml:space="preserve">NO PRODUCTION DECISION — STRESS TEST ONLY</x:t>
        </x:is>
      </x:c>
      <x:c r="N884" s="160" t="inlineStr">
        <x:is>
          <x:t xml:space="preserve">R-DIL-01</x:t>
        </x:is>
      </x:c>
      <x:c r="O884" s="160" t="inlineStr">
        <x:is>
          <x:t xml:space="preserve">MATURE</x:t>
        </x:is>
      </x:c>
      <x:c r="P884" s="160" t="inlineStr">
        <x:is>
          <x:t xml:space="preserve">ROBUST</x:t>
        </x:is>
      </x:c>
      <x:c r="Q884" s="160" t="inlineStr">
        <x:is>
          <x:t xml:space="preserve">The mature simulation rule catches the stress without weakening a fatal gate; no rule relaxation is justified.</x:t>
        </x:is>
      </x:c>
      <x:c r="R884" s="160" t="inlineStr">
        <x:is>
          <x:t xml:space="preserve">Reconcile share-count growth, SBC, equity issuance, buybacks and net cash changes to per-share intrinsic value.</x:t>
        </x:is>
      </x:c>
      <x:c r="S884" s="160" t="inlineStr">
        <x:is>
          <x:t xml:space="preserve">NO</x:t>
        </x:is>
      </x:c>
      <x:c r="T884" s="160" t="inlineStr">
        <x:is>
          <x:t xml:space="preserve">MATURE</x:t>
        </x:is>
      </x:c>
      <x:c r="U884" s="160" t="inlineStr">
        <x:is>
          <x:t xml:space="preserve">V10.5-SIM82</x:t>
        </x:is>
      </x:c>
      <x:c r="V884" s="160" t="inlineStr">
        <x:is>
          <x:t xml:space="preserve">https://investor.costco.com</x:t>
        </x:is>
      </x:c>
      <x:c r="W884" s="160" t="inlineStr">
        <x:is>
          <x:t xml:space="preserve">NO</x:t>
        </x:is>
      </x:c>
      <x:c r="X884" s="160" t="inlineStr">
        <x:is>
          <x:t xml:space="preserve">NONE — DEVELOPMENT ONLY</x:t>
        </x:is>
      </x:c>
      <x:c r="Y884" s="160" t="inlineStr">
        <x:is>
          <x:t xml:space="preserve">Synthetic/adversarial model-development loop. No historical outcome is claimed; no accuracy point is awarded.</x:t>
        </x:is>
      </x:c>
    </x:row>
    <x:row r="885">
      <x:c r="A885" s="160" t="inlineStr">
        <x:is>
          <x:t xml:space="preserve">ML0880</x:t>
        </x:is>
      </x:c>
      <x:c r="B885" s="160" t="inlineStr">
        <x:is>
          <x:t xml:space="preserve">ARG-055</x:t>
        </x:is>
      </x:c>
      <x:c r="C885" s="160" t="inlineStr">
        <x:is>
          <x:t xml:space="preserve">Costco Wholesale</x:t>
        </x:is>
      </x:c>
      <x:c r="D885" s="160" t="inlineStr">
        <x:is>
          <x:t xml:space="preserve">COST</x:t>
        </x:is>
      </x:c>
      <x:c r="E885" s="160" t="inlineStr">
        <x:is>
          <x:t xml:space="preserve">Consumer</x:t>
        </x:is>
      </x:c>
      <x:c r="F885" s="160" t="inlineStr">
        <x:is>
          <x:t xml:space="preserve">Development</x:t>
        </x:is>
      </x:c>
      <x:c r="G885" s="160" t="inlineStr">
        <x:is>
          <x:t xml:space="preserve">S16</x:t>
        </x:is>
      </x:c>
      <x:c r="H885" s="160" t="inlineStr">
        <x:is>
          <x:t xml:space="preserve">Concentration / Tail Risk</x:t>
        </x:is>
      </x:c>
      <x:c r="I885" s="160" t="inlineStr">
        <x:is>
          <x:t xml:space="preserve">Survival</x:t>
        </x:is>
      </x:c>
      <x:c r="J885" s="160" t="inlineStr">
        <x:is>
          <x:t xml:space="preserve">A concentrated supplier, geography, customer, product, patent, regulatory or technology dependency creates asymmetric permanent-loss risk.</x:t>
        </x:is>
      </x:c>
      <x:c r="K885" s="160" t="inlineStr">
        <x:is>
          <x:t xml:space="preserve">Membership renewal + traffic + scale economics</x:t>
        </x:is>
      </x:c>
      <x:c r="L885" s="160" t="inlineStr">
        <x:is>
          <x:t xml:space="preserve">Owner earnings + reverse DCF</x:t>
        </x:is>
      </x:c>
      <x:c r="M885" s="160" t="inlineStr">
        <x:is>
          <x:t xml:space="preserve">NO PRODUCTION DECISION — STRESS TEST ONLY</x:t>
        </x:is>
      </x:c>
      <x:c r="N885" s="160" t="inlineStr">
        <x:is>
          <x:t xml:space="preserve">R-TAIL-01</x:t>
        </x:is>
      </x:c>
      <x:c r="O885" s="160" t="inlineStr">
        <x:is>
          <x:t xml:space="preserve">MATURE</x:t>
        </x:is>
      </x:c>
      <x:c r="P885" s="160" t="inlineStr">
        <x:is>
          <x:t xml:space="preserve">ROBUST</x:t>
        </x:is>
      </x:c>
      <x:c r="Q885" s="160" t="inlineStr">
        <x:is>
          <x:t xml:space="preserve">The mature simulation rule catches the stress without weakening a fatal gate; no rule relaxation is justified.</x:t>
        </x:is>
      </x:c>
      <x:c r="R885" s="160" t="inlineStr">
        <x:is>
          <x:t xml:space="preserve">Maintain an explicit concentration/tail-risk register with probability, severity, mitigation and required margin-of-safety premium.</x:t>
        </x:is>
      </x:c>
      <x:c r="S885" s="160" t="inlineStr">
        <x:is>
          <x:t xml:space="preserve">NO</x:t>
        </x:is>
      </x:c>
      <x:c r="T885" s="160" t="inlineStr">
        <x:is>
          <x:t xml:space="preserve">MATURE</x:t>
        </x:is>
      </x:c>
      <x:c r="U885" s="160" t="inlineStr">
        <x:is>
          <x:t xml:space="preserve">V10.5-SIM82</x:t>
        </x:is>
      </x:c>
      <x:c r="V885" s="160" t="inlineStr">
        <x:is>
          <x:t xml:space="preserve">https://investor.costco.com</x:t>
        </x:is>
      </x:c>
      <x:c r="W885" s="160" t="inlineStr">
        <x:is>
          <x:t xml:space="preserve">NO</x:t>
        </x:is>
      </x:c>
      <x:c r="X885" s="160" t="inlineStr">
        <x:is>
          <x:t xml:space="preserve">NONE — DEVELOPMENT ONLY</x:t>
        </x:is>
      </x:c>
      <x:c r="Y885" s="160" t="inlineStr">
        <x:is>
          <x:t xml:space="preserve">Synthetic/adversarial model-development loop. No historical outcome is claimed; no accuracy point is awarded.</x:t>
        </x:is>
      </x:c>
    </x:row>
    <x:row r="886">
      <x:c r="A886" s="160" t="inlineStr">
        <x:is>
          <x:t xml:space="preserve">ML0881</x:t>
        </x:is>
      </x:c>
      <x:c r="B886" s="160" t="inlineStr">
        <x:is>
          <x:t xml:space="preserve">ARG-056</x:t>
        </x:is>
      </x:c>
      <x:c r="C886" s="160" t="inlineStr">
        <x:is>
          <x:t xml:space="preserve">Caterpillar</x:t>
        </x:is>
      </x:c>
      <x:c r="D886" s="160" t="inlineStr">
        <x:is>
          <x:t xml:space="preserve">CAT</x:t>
        </x:is>
      </x:c>
      <x:c r="E886" s="160" t="inlineStr">
        <x:is>
          <x:t xml:space="preserve">Industrials &amp; Defense</x:t>
        </x:is>
      </x:c>
      <x:c r="F886" s="160" t="inlineStr">
        <x:is>
          <x:t xml:space="preserve">Development</x:t>
        </x:is>
      </x:c>
      <x:c r="G886" s="160" t="inlineStr">
        <x:is>
          <x:t xml:space="preserve">S01</x:t>
        </x:is>
      </x:c>
      <x:c r="H886" s="160" t="inlineStr">
        <x:is>
          <x:t xml:space="preserve">Understanding Gate</x:t>
        </x:is>
      </x:c>
      <x:c r="I886" s="160" t="inlineStr">
        <x:is>
          <x:t xml:space="preserve">Understanding</x:t>
        </x:is>
      </x:c>
      <x:c r="J886" s="160" t="inlineStr">
        <x:is>
          <x:t xml:space="preserve">Causal engine / customer ROI chain breaks under a misleading headline KPI.</x:t>
        </x:is>
      </x:c>
      <x:c r="K886" s="160" t="inlineStr">
        <x:is>
          <x:t xml:space="preserve">Equipment demand plus parts/services annuity</x:t>
        </x:is>
      </x:c>
      <x:c r="L886" s="160" t="inlineStr">
        <x:is>
          <x:t xml:space="preserve">Mid-cycle FCF + replacement value</x:t>
        </x:is>
      </x:c>
      <x:c r="M886" s="160" t="inlineStr">
        <x:is>
          <x:t xml:space="preserve">NO PRODUCTION DECISION — STRESS TEST ONLY</x:t>
        </x:is>
      </x:c>
      <x:c r="N886" s="160" t="inlineStr">
        <x:is>
          <x:t xml:space="preserve">R-ENG-01</x:t>
        </x:is>
      </x:c>
      <x:c r="O886" s="160" t="inlineStr">
        <x:is>
          <x:t xml:space="preserve">MATURE</x:t>
        </x:is>
      </x:c>
      <x:c r="P886" s="160" t="inlineStr">
        <x:is>
          <x:t xml:space="preserve">ROBUST</x:t>
        </x:is>
      </x:c>
      <x:c r="Q886" s="160" t="inlineStr">
        <x:is>
          <x:t xml:space="preserve">The mature simulation rule catches the stress without weakening a fatal gate; no rule relaxation is justified.</x:t>
        </x:is>
      </x:c>
      <x:c r="R886" s="160" t="inlineStr">
        <x:is>
          <x:t xml:space="preserve">Force an explicit engine tree: customer job → unit economics → revenue driver → owner-value bridge.</x:t>
        </x:is>
      </x:c>
      <x:c r="S886" s="160" t="inlineStr">
        <x:is>
          <x:t xml:space="preserve">NO</x:t>
        </x:is>
      </x:c>
      <x:c r="T886" s="160" t="inlineStr">
        <x:is>
          <x:t xml:space="preserve">MATURE</x:t>
        </x:is>
      </x:c>
      <x:c r="U886" s="160" t="inlineStr">
        <x:is>
          <x:t xml:space="preserve">V10.5-SIM82</x:t>
        </x:is>
      </x:c>
      <x:c r="V886" s="160" t="inlineStr">
        <x:is>
          <x:t xml:space="preserve">https://investors.caterpillar.com</x:t>
        </x:is>
      </x:c>
      <x:c r="W886" s="160" t="inlineStr">
        <x:is>
          <x:t xml:space="preserve">NO</x:t>
        </x:is>
      </x:c>
      <x:c r="X886" s="160" t="inlineStr">
        <x:is>
          <x:t xml:space="preserve">NONE — DEVELOPMENT ONLY</x:t>
        </x:is>
      </x:c>
      <x:c r="Y886" s="160" t="inlineStr">
        <x:is>
          <x:t xml:space="preserve">Synthetic/adversarial model-development loop. No historical outcome is claimed; no accuracy point is awarded.</x:t>
        </x:is>
      </x:c>
    </x:row>
    <x:row r="887">
      <x:c r="A887" s="160" t="inlineStr">
        <x:is>
          <x:t xml:space="preserve">ML0882</x:t>
        </x:is>
      </x:c>
      <x:c r="B887" s="160" t="inlineStr">
        <x:is>
          <x:t xml:space="preserve">ARG-056</x:t>
        </x:is>
      </x:c>
      <x:c r="C887" s="160" t="inlineStr">
        <x:is>
          <x:t xml:space="preserve">Caterpillar</x:t>
        </x:is>
      </x:c>
      <x:c r="D887" s="160" t="inlineStr">
        <x:is>
          <x:t xml:space="preserve">CAT</x:t>
        </x:is>
      </x:c>
      <x:c r="E887" s="160" t="inlineStr">
        <x:is>
          <x:t xml:space="preserve">Industrials &amp; Defense</x:t>
        </x:is>
      </x:c>
      <x:c r="F887" s="160" t="inlineStr">
        <x:is>
          <x:t xml:space="preserve">Development</x:t>
        </x:is>
      </x:c>
      <x:c r="G887" s="160" t="inlineStr">
        <x:is>
          <x:t xml:space="preserve">S02</x:t>
        </x:is>
      </x:c>
      <x:c r="H887" s="160" t="inlineStr">
        <x:is>
          <x:t xml:space="preserve">Owner Earnings Normalization</x:t>
        </x:is>
      </x:c>
      <x:c r="I887" s="160" t="inlineStr">
        <x:is>
          <x:t xml:space="preserve">Owner Earnings</x:t>
        </x:is>
      </x:c>
      <x:c r="J887" s="160" t="inlineStr">
        <x:is>
          <x:t xml:space="preserve">Reported earnings/FCF overstates economic cash because recurring reinvestment or non-cash compensation is misclassified.</x:t>
        </x:is>
      </x:c>
      <x:c r="K887" s="160" t="inlineStr">
        <x:is>
          <x:t xml:space="preserve">Equipment demand plus parts/services annuity</x:t>
        </x:is>
      </x:c>
      <x:c r="L887" s="160" t="inlineStr">
        <x:is>
          <x:t xml:space="preserve">Mid-cycle FCF + replacement value</x:t>
        </x:is>
      </x:c>
      <x:c r="M887" s="160" t="inlineStr">
        <x:is>
          <x:t xml:space="preserve">NO PRODUCTION DECISION — STRESS TEST ONLY</x:t>
        </x:is>
      </x:c>
      <x:c r="N887" s="160" t="inlineStr">
        <x:is>
          <x:t xml:space="preserve">R-OE-01</x:t>
        </x:is>
      </x:c>
      <x:c r="O887" s="160" t="inlineStr">
        <x:is>
          <x:t xml:space="preserve">MATURE</x:t>
        </x:is>
      </x:c>
      <x:c r="P887" s="160" t="inlineStr">
        <x:is>
          <x:t xml:space="preserve">ROBUST</x:t>
        </x:is>
      </x:c>
      <x:c r="Q887" s="160" t="inlineStr">
        <x:is>
          <x:t xml:space="preserve">The mature simulation rule catches the stress without weakening a fatal gate; no rule relaxation is justified.</x:t>
        </x:is>
      </x:c>
      <x:c r="R887" s="160" t="inlineStr">
        <x:is>
          <x:t xml:space="preserve">Require a GAAP-to-economic-owner-cash bridge tailored to the business model.</x:t>
        </x:is>
      </x:c>
      <x:c r="S887" s="160" t="inlineStr">
        <x:is>
          <x:t xml:space="preserve">NO</x:t>
        </x:is>
      </x:c>
      <x:c r="T887" s="160" t="inlineStr">
        <x:is>
          <x:t xml:space="preserve">MATURE</x:t>
        </x:is>
      </x:c>
      <x:c r="U887" s="160" t="inlineStr">
        <x:is>
          <x:t xml:space="preserve">V10.5-SIM82</x:t>
        </x:is>
      </x:c>
      <x:c r="V887" s="160" t="inlineStr">
        <x:is>
          <x:t xml:space="preserve">https://investors.caterpillar.com</x:t>
        </x:is>
      </x:c>
      <x:c r="W887" s="160" t="inlineStr">
        <x:is>
          <x:t xml:space="preserve">NO</x:t>
        </x:is>
      </x:c>
      <x:c r="X887" s="160" t="inlineStr">
        <x:is>
          <x:t xml:space="preserve">NONE — DEVELOPMENT ONLY</x:t>
        </x:is>
      </x:c>
      <x:c r="Y887" s="160" t="inlineStr">
        <x:is>
          <x:t xml:space="preserve">Synthetic/adversarial model-development loop. No historical outcome is claimed; no accuracy point is awarded.</x:t>
        </x:is>
      </x:c>
    </x:row>
    <x:row r="888">
      <x:c r="A888" s="160" t="inlineStr">
        <x:is>
          <x:t xml:space="preserve">ML0883</x:t>
        </x:is>
      </x:c>
      <x:c r="B888" s="160" t="inlineStr">
        <x:is>
          <x:t xml:space="preserve">ARG-056</x:t>
        </x:is>
      </x:c>
      <x:c r="C888" s="160" t="inlineStr">
        <x:is>
          <x:t xml:space="preserve">Caterpillar</x:t>
        </x:is>
      </x:c>
      <x:c r="D888" s="160" t="inlineStr">
        <x:is>
          <x:t xml:space="preserve">CAT</x:t>
        </x:is>
      </x:c>
      <x:c r="E888" s="160" t="inlineStr">
        <x:is>
          <x:t xml:space="preserve">Industrials &amp; Defense</x:t>
        </x:is>
      </x:c>
      <x:c r="F888" s="160" t="inlineStr">
        <x:is>
          <x:t xml:space="preserve">Development</x:t>
        </x:is>
      </x:c>
      <x:c r="G888" s="160" t="inlineStr">
        <x:is>
          <x:t xml:space="preserve">S03</x:t>
        </x:is>
      </x:c>
      <x:c r="H888" s="160" t="inlineStr">
        <x:is>
          <x:t xml:space="preserve">Moat Durability</x:t>
        </x:is>
      </x:c>
      <x:c r="I888" s="160" t="inlineStr">
        <x:is>
          <x:t xml:space="preserve">Moat 2036</x:t>
        </x:is>
      </x:c>
      <x:c r="J888" s="160" t="inlineStr">
        <x:is>
          <x:t xml:space="preserve">Growth continues while switching friction, pricing power or replacement difficulty quietly weakens.</x:t>
        </x:is>
      </x:c>
      <x:c r="K888" s="160" t="inlineStr">
        <x:is>
          <x:t xml:space="preserve">Equipment demand plus parts/services annuity</x:t>
        </x:is>
      </x:c>
      <x:c r="L888" s="160" t="inlineStr">
        <x:is>
          <x:t xml:space="preserve">Mid-cycle FCF + replacement value</x:t>
        </x:is>
      </x:c>
      <x:c r="M888" s="160" t="inlineStr">
        <x:is>
          <x:t xml:space="preserve">NO PRODUCTION DECISION — STRESS TEST ONLY</x:t>
        </x:is>
      </x:c>
      <x:c r="N888" s="160" t="inlineStr">
        <x:is>
          <x:t xml:space="preserve">R-MOAT-01</x:t>
        </x:is>
      </x:c>
      <x:c r="O888" s="160" t="inlineStr">
        <x:is>
          <x:t xml:space="preserve">MATURE</x:t>
        </x:is>
      </x:c>
      <x:c r="P888" s="160" t="inlineStr">
        <x:is>
          <x:t xml:space="preserve">ROBUST</x:t>
        </x:is>
      </x:c>
      <x:c r="Q888" s="160" t="inlineStr">
        <x:is>
          <x:t xml:space="preserve">The mature simulation rule catches the stress without weakening a fatal gate; no rule relaxation is justified.</x:t>
        </x:is>
      </x:c>
      <x:c r="R888" s="160" t="inlineStr">
        <x:is>
          <x:t xml:space="preserve">Track moat telemetry separately from growth: retention, pricing, win/loss, replacement friction, installed-base behavior.</x:t>
        </x:is>
      </x:c>
      <x:c r="S888" s="160" t="inlineStr">
        <x:is>
          <x:t xml:space="preserve">NO</x:t>
        </x:is>
      </x:c>
      <x:c r="T888" s="160" t="inlineStr">
        <x:is>
          <x:t xml:space="preserve">MATURE</x:t>
        </x:is>
      </x:c>
      <x:c r="U888" s="160" t="inlineStr">
        <x:is>
          <x:t xml:space="preserve">V10.5-SIM82</x:t>
        </x:is>
      </x:c>
      <x:c r="V888" s="160" t="inlineStr">
        <x:is>
          <x:t xml:space="preserve">https://investors.caterpillar.com</x:t>
        </x:is>
      </x:c>
      <x:c r="W888" s="160" t="inlineStr">
        <x:is>
          <x:t xml:space="preserve">NO</x:t>
        </x:is>
      </x:c>
      <x:c r="X888" s="160" t="inlineStr">
        <x:is>
          <x:t xml:space="preserve">NONE — DEVELOPMENT ONLY</x:t>
        </x:is>
      </x:c>
      <x:c r="Y888" s="160" t="inlineStr">
        <x:is>
          <x:t xml:space="preserve">Synthetic/adversarial model-development loop. No historical outcome is claimed; no accuracy point is awarded.</x:t>
        </x:is>
      </x:c>
    </x:row>
    <x:row r="889">
      <x:c r="A889" s="160" t="inlineStr">
        <x:is>
          <x:t xml:space="preserve">ML0884</x:t>
        </x:is>
      </x:c>
      <x:c r="B889" s="160" t="inlineStr">
        <x:is>
          <x:t xml:space="preserve">ARG-056</x:t>
        </x:is>
      </x:c>
      <x:c r="C889" s="160" t="inlineStr">
        <x:is>
          <x:t xml:space="preserve">Caterpillar</x:t>
        </x:is>
      </x:c>
      <x:c r="D889" s="160" t="inlineStr">
        <x:is>
          <x:t xml:space="preserve">CAT</x:t>
        </x:is>
      </x:c>
      <x:c r="E889" s="160" t="inlineStr">
        <x:is>
          <x:t xml:space="preserve">Industrials &amp; Defense</x:t>
        </x:is>
      </x:c>
      <x:c r="F889" s="160" t="inlineStr">
        <x:is>
          <x:t xml:space="preserve">Development</x:t>
        </x:is>
      </x:c>
      <x:c r="G889" s="160" t="inlineStr">
        <x:is>
          <x:t xml:space="preserve">S04</x:t>
        </x:is>
      </x:c>
      <x:c r="H889" s="160" t="inlineStr">
        <x:is>
          <x:t xml:space="preserve">Stewardship / Capital Allocation</x:t>
        </x:is>
      </x:c>
      <x:c r="I889" s="160" t="inlineStr">
        <x:is>
          <x:t xml:space="preserve">Stewardship</x:t>
        </x:is>
      </x:c>
      <x:c r="J889" s="160" t="inlineStr">
        <x:is>
          <x:t xml:space="preserve">Management creates enterprise growth while destroying per-share value through M&amp;A, dilution, leverage or mistimed buybacks.</x:t>
        </x:is>
      </x:c>
      <x:c r="K889" s="160" t="inlineStr">
        <x:is>
          <x:t xml:space="preserve">Equipment demand plus parts/services annuity</x:t>
        </x:is>
      </x:c>
      <x:c r="L889" s="160" t="inlineStr">
        <x:is>
          <x:t xml:space="preserve">Mid-cycle FCF + replacement value</x:t>
        </x:is>
      </x:c>
      <x:c r="M889" s="160" t="inlineStr">
        <x:is>
          <x:t xml:space="preserve">NO PRODUCTION DECISION — STRESS TEST ONLY</x:t>
        </x:is>
      </x:c>
      <x:c r="N889" s="160" t="inlineStr">
        <x:is>
          <x:t xml:space="preserve">R-STEW-01</x:t>
        </x:is>
      </x:c>
      <x:c r="O889" s="160" t="inlineStr">
        <x:is>
          <x:t xml:space="preserve">MATURE</x:t>
        </x:is>
      </x:c>
      <x:c r="P889" s="160" t="inlineStr">
        <x:is>
          <x:t xml:space="preserve">ROBUST</x:t>
        </x:is>
      </x:c>
      <x:c r="Q889" s="160" t="inlineStr">
        <x:is>
          <x:t xml:space="preserve">The mature simulation rule catches the stress without weakening a fatal gate; no rule relaxation is justified.</x:t>
        </x:is>
      </x:c>
      <x:c r="R889" s="160" t="inlineStr">
        <x:is>
          <x:t xml:space="preserve">Evaluate capital allocation on a per-share basis using acquisition cohorts, dilution, leverage and repurchase price discipline.</x:t>
        </x:is>
      </x:c>
      <x:c r="S889" s="160" t="inlineStr">
        <x:is>
          <x:t xml:space="preserve">NO</x:t>
        </x:is>
      </x:c>
      <x:c r="T889" s="160" t="inlineStr">
        <x:is>
          <x:t xml:space="preserve">MATURE</x:t>
        </x:is>
      </x:c>
      <x:c r="U889" s="160" t="inlineStr">
        <x:is>
          <x:t xml:space="preserve">V10.5-SIM82</x:t>
        </x:is>
      </x:c>
      <x:c r="V889" s="160" t="inlineStr">
        <x:is>
          <x:t xml:space="preserve">https://investors.caterpillar.com</x:t>
        </x:is>
      </x:c>
      <x:c r="W889" s="160" t="inlineStr">
        <x:is>
          <x:t xml:space="preserve">NO</x:t>
        </x:is>
      </x:c>
      <x:c r="X889" s="160" t="inlineStr">
        <x:is>
          <x:t xml:space="preserve">NONE — DEVELOPMENT ONLY</x:t>
        </x:is>
      </x:c>
      <x:c r="Y889" s="160" t="inlineStr">
        <x:is>
          <x:t xml:space="preserve">Synthetic/adversarial model-development loop. No historical outcome is claimed; no accuracy point is awarded.</x:t>
        </x:is>
      </x:c>
    </x:row>
    <x:row r="890">
      <x:c r="A890" s="160" t="inlineStr">
        <x:is>
          <x:t xml:space="preserve">ML0885</x:t>
        </x:is>
      </x:c>
      <x:c r="B890" s="160" t="inlineStr">
        <x:is>
          <x:t xml:space="preserve">ARG-056</x:t>
        </x:is>
      </x:c>
      <x:c r="C890" s="160" t="inlineStr">
        <x:is>
          <x:t xml:space="preserve">Caterpillar</x:t>
        </x:is>
      </x:c>
      <x:c r="D890" s="160" t="inlineStr">
        <x:is>
          <x:t xml:space="preserve">CAT</x:t>
        </x:is>
      </x:c>
      <x:c r="E890" s="160" t="inlineStr">
        <x:is>
          <x:t xml:space="preserve">Industrials &amp; Defense</x:t>
        </x:is>
      </x:c>
      <x:c r="F890" s="160" t="inlineStr">
        <x:is>
          <x:t xml:space="preserve">Development</x:t>
        </x:is>
      </x:c>
      <x:c r="G890" s="160" t="inlineStr">
        <x:is>
          <x:t xml:space="preserve">S05</x:t>
        </x:is>
      </x:c>
      <x:c r="H890" s="160" t="inlineStr">
        <x:is>
          <x:t xml:space="preserve">Survival / Funding</x:t>
        </x:is>
      </x:c>
      <x:c r="I890" s="160" t="inlineStr">
        <x:is>
          <x:t xml:space="preserve">Survival</x:t>
        </x:is>
      </x:c>
      <x:c r="J890" s="160" t="inlineStr">
        <x:is>
          <x:t xml:space="preserve">A plausible bear case exposes refinancing, liquidity, covenant, reserve, regulatory or operational fragility.</x:t>
        </x:is>
      </x:c>
      <x:c r="K890" s="160" t="inlineStr">
        <x:is>
          <x:t xml:space="preserve">Equipment demand plus parts/services annuity</x:t>
        </x:is>
      </x:c>
      <x:c r="L890" s="160" t="inlineStr">
        <x:is>
          <x:t xml:space="preserve">Mid-cycle FCF + replacement value</x:t>
        </x:is>
      </x:c>
      <x:c r="M890" s="160" t="inlineStr">
        <x:is>
          <x:t xml:space="preserve">NO PRODUCTION DECISION — STRESS TEST ONLY</x:t>
        </x:is>
      </x:c>
      <x:c r="N890" s="160" t="inlineStr">
        <x:is>
          <x:t xml:space="preserve">R-SURV-01</x:t>
        </x:is>
      </x:c>
      <x:c r="O890" s="160" t="inlineStr">
        <x:is>
          <x:t xml:space="preserve">MATURE</x:t>
        </x:is>
      </x:c>
      <x:c r="P890" s="160" t="inlineStr">
        <x:is>
          <x:t xml:space="preserve">ROBUST</x:t>
        </x:is>
      </x:c>
      <x:c r="Q890" s="160" t="inlineStr">
        <x:is>
          <x:t xml:space="preserve">The mature simulation rule catches the stress without weakening a fatal gate; no rule relaxation is justified.</x:t>
        </x:is>
      </x:c>
      <x:c r="R890" s="160" t="inlineStr">
        <x:is>
          <x:t xml:space="preserve">Run a company-specific survival bridge under a severe-but-plausible bear case before any upside underwriting.</x:t>
        </x:is>
      </x:c>
      <x:c r="S890" s="160" t="inlineStr">
        <x:is>
          <x:t xml:space="preserve">NO</x:t>
        </x:is>
      </x:c>
      <x:c r="T890" s="160" t="inlineStr">
        <x:is>
          <x:t xml:space="preserve">MATURE</x:t>
        </x:is>
      </x:c>
      <x:c r="U890" s="160" t="inlineStr">
        <x:is>
          <x:t xml:space="preserve">V10.5-SIM82</x:t>
        </x:is>
      </x:c>
      <x:c r="V890" s="160" t="inlineStr">
        <x:is>
          <x:t xml:space="preserve">https://investors.caterpillar.com</x:t>
        </x:is>
      </x:c>
      <x:c r="W890" s="160" t="inlineStr">
        <x:is>
          <x:t xml:space="preserve">NO</x:t>
        </x:is>
      </x:c>
      <x:c r="X890" s="160" t="inlineStr">
        <x:is>
          <x:t xml:space="preserve">NONE — DEVELOPMENT ONLY</x:t>
        </x:is>
      </x:c>
      <x:c r="Y890" s="160" t="inlineStr">
        <x:is>
          <x:t xml:space="preserve">Synthetic/adversarial model-development loop. No historical outcome is claimed; no accuracy point is awarded.</x:t>
        </x:is>
      </x:c>
    </x:row>
    <x:row r="891">
      <x:c r="A891" s="160" t="inlineStr">
        <x:is>
          <x:t xml:space="preserve">ML0886</x:t>
        </x:is>
      </x:c>
      <x:c r="B891" s="160" t="inlineStr">
        <x:is>
          <x:t xml:space="preserve">ARG-056</x:t>
        </x:is>
      </x:c>
      <x:c r="C891" s="160" t="inlineStr">
        <x:is>
          <x:t xml:space="preserve">Caterpillar</x:t>
        </x:is>
      </x:c>
      <x:c r="D891" s="160" t="inlineStr">
        <x:is>
          <x:t xml:space="preserve">CAT</x:t>
        </x:is>
      </x:c>
      <x:c r="E891" s="160" t="inlineStr">
        <x:is>
          <x:t xml:space="preserve">Industrials &amp; Defense</x:t>
        </x:is>
      </x:c>
      <x:c r="F891" s="160" t="inlineStr">
        <x:is>
          <x:t xml:space="preserve">Development</x:t>
        </x:is>
      </x:c>
      <x:c r="G891" s="160" t="inlineStr">
        <x:is>
          <x:t xml:space="preserve">S06</x:t>
        </x:is>
      </x:c>
      <x:c r="H891" s="160" t="inlineStr">
        <x:is>
          <x:t xml:space="preserve">Margin of Safety</x:t>
        </x:is>
      </x:c>
      <x:c r="I891" s="160" t="inlineStr">
        <x:is>
          <x:t xml:space="preserve">Margin of Safety</x:t>
        </x:is>
      </x:c>
      <x:c r="J891" s="160" t="inlineStr">
        <x:is>
          <x:t xml:space="preserve">Business quality is high but the price embeds a fragile bull case.</x:t>
        </x:is>
      </x:c>
      <x:c r="K891" s="160" t="inlineStr">
        <x:is>
          <x:t xml:space="preserve">Equipment demand plus parts/services annuity</x:t>
        </x:is>
      </x:c>
      <x:c r="L891" s="160" t="inlineStr">
        <x:is>
          <x:t xml:space="preserve">Mid-cycle FCF + replacement value</x:t>
        </x:is>
      </x:c>
      <x:c r="M891" s="160" t="inlineStr">
        <x:is>
          <x:t xml:space="preserve">NO PRODUCTION DECISION — STRESS TEST ONLY</x:t>
        </x:is>
      </x:c>
      <x:c r="N891" s="160" t="inlineStr">
        <x:is>
          <x:t xml:space="preserve">R-MOS-01</x:t>
        </x:is>
      </x:c>
      <x:c r="O891" s="160" t="inlineStr">
        <x:is>
          <x:t xml:space="preserve">MATURE</x:t>
        </x:is>
      </x:c>
      <x:c r="P891" s="160" t="inlineStr">
        <x:is>
          <x:t xml:space="preserve">ROBUST</x:t>
        </x:is>
      </x:c>
      <x:c r="Q891" s="160" t="inlineStr">
        <x:is>
          <x:t xml:space="preserve">The mature simulation rule catches the stress without weakening a fatal gate; no rule relaxation is justified.</x:t>
        </x:is>
      </x:c>
      <x:c r="R891" s="160" t="inlineStr">
        <x:is>
          <x:t xml:space="preserve">Separate business-quality score from price decision; require reverse valuation and bear/base/bull IV ranges.</x:t>
        </x:is>
      </x:c>
      <x:c r="S891" s="160" t="inlineStr">
        <x:is>
          <x:t xml:space="preserve">NO</x:t>
        </x:is>
      </x:c>
      <x:c r="T891" s="160" t="inlineStr">
        <x:is>
          <x:t xml:space="preserve">MATURE</x:t>
        </x:is>
      </x:c>
      <x:c r="U891" s="160" t="inlineStr">
        <x:is>
          <x:t xml:space="preserve">V10.5-SIM82</x:t>
        </x:is>
      </x:c>
      <x:c r="V891" s="160" t="inlineStr">
        <x:is>
          <x:t xml:space="preserve">https://investors.caterpillar.com</x:t>
        </x:is>
      </x:c>
      <x:c r="W891" s="160" t="inlineStr">
        <x:is>
          <x:t xml:space="preserve">NO</x:t>
        </x:is>
      </x:c>
      <x:c r="X891" s="160" t="inlineStr">
        <x:is>
          <x:t xml:space="preserve">NONE — DEVELOPMENT ONLY</x:t>
        </x:is>
      </x:c>
      <x:c r="Y891" s="160" t="inlineStr">
        <x:is>
          <x:t xml:space="preserve">Synthetic/adversarial model-development loop. No historical outcome is claimed; no accuracy point is awarded.</x:t>
        </x:is>
      </x:c>
    </x:row>
    <x:row r="892">
      <x:c r="A892" s="160" t="inlineStr">
        <x:is>
          <x:t xml:space="preserve">ML0887</x:t>
        </x:is>
      </x:c>
      <x:c r="B892" s="160" t="inlineStr">
        <x:is>
          <x:t xml:space="preserve">ARG-056</x:t>
        </x:is>
      </x:c>
      <x:c r="C892" s="160" t="inlineStr">
        <x:is>
          <x:t xml:space="preserve">Caterpillar</x:t>
        </x:is>
      </x:c>
      <x:c r="D892" s="160" t="inlineStr">
        <x:is>
          <x:t xml:space="preserve">CAT</x:t>
        </x:is>
      </x:c>
      <x:c r="E892" s="160" t="inlineStr">
        <x:is>
          <x:t xml:space="preserve">Industrials &amp; Defense</x:t>
        </x:is>
      </x:c>
      <x:c r="F892" s="160" t="inlineStr">
        <x:is>
          <x:t xml:space="preserve">Development</x:t>
        </x:is>
      </x:c>
      <x:c r="G892" s="160" t="inlineStr">
        <x:is>
          <x:t xml:space="preserve">S07</x:t>
        </x:is>
      </x:c>
      <x:c r="H892" s="160" t="inlineStr">
        <x:is>
          <x:t xml:space="preserve">Sector Shock</x:t>
        </x:is>
      </x:c>
      <x:c r="I892" s="160" t="inlineStr">
        <x:is>
          <x:t xml:space="preserve">Sector-specific</x:t>
        </x:is>
      </x:c>
      <x:c r="J892" s="160" t="inlineStr">
        <x:is>
          <x:t xml:space="preserve">Backlog expands but working capital, execution, fixed-price exposure or service mix delays cash conversion.</x:t>
        </x:is>
      </x:c>
      <x:c r="K892" s="160" t="inlineStr">
        <x:is>
          <x:t xml:space="preserve">Equipment demand plus parts/services annuity</x:t>
        </x:is>
      </x:c>
      <x:c r="L892" s="160" t="inlineStr">
        <x:is>
          <x:t xml:space="preserve">Mid-cycle FCF + replacement value</x:t>
        </x:is>
      </x:c>
      <x:c r="M892" s="160" t="inlineStr">
        <x:is>
          <x:t xml:space="preserve">NO PRODUCTION DECISION — STRESS TEST ONLY</x:t>
        </x:is>
      </x:c>
      <x:c r="N892" s="160" t="inlineStr">
        <x:is>
          <x:t xml:space="preserve">R-SECTOR-INDUSTRIALS-DEFENSE</x:t>
        </x:is>
      </x:c>
      <x:c r="O892" s="160" t="inlineStr">
        <x:is>
          <x:t xml:space="preserve">UNFORMED</x:t>
        </x:is>
      </x:c>
      <x:c r="P892" s="160" t="inlineStr">
        <x:is>
          <x:t xml:space="preserve">WEAKNESS EXPOSED</x:t>
        </x:is>
      </x:c>
      <x:c r="Q892" s="160" t="inlineStr">
        <x:is>
          <x:t xml:space="preserve">The frozen V10 gate family is directionally right, but the test lacks a sufficiently explicit mechanical implementation.</x:t>
        </x:is>
      </x:c>
      <x:c r="R892" s="160" t="inlineStr">
        <x:is>
          <x:t xml:space="preserve">Add a sector-specific transmission map with leading operating sensors, not only market-price variables. Sector rule: Backlog expands but working capital, execution, fixed-price exposure or service mix delays cash conversion.</x:t>
        </x:is>
      </x:c>
      <x:c r="S892" s="160" t="inlineStr">
        <x:is>
          <x:t xml:space="preserve">NO</x:t>
        </x:is>
      </x:c>
      <x:c r="T892" s="160" t="inlineStr">
        <x:is>
          <x:t xml:space="preserve">UNFORMED</x:t>
        </x:is>
      </x:c>
      <x:c r="U892" s="160" t="inlineStr">
        <x:is>
          <x:t xml:space="preserve">V10.5-SIM82</x:t>
        </x:is>
      </x:c>
      <x:c r="V892" s="160" t="inlineStr">
        <x:is>
          <x:t xml:space="preserve">https://investors.caterpillar.com</x:t>
        </x:is>
      </x:c>
      <x:c r="W892" s="160" t="inlineStr">
        <x:is>
          <x:t xml:space="preserve">NO</x:t>
        </x:is>
      </x:c>
      <x:c r="X892" s="160" t="inlineStr">
        <x:is>
          <x:t xml:space="preserve">NONE — DEVELOPMENT ONLY</x:t>
        </x:is>
      </x:c>
      <x:c r="Y892" s="160" t="inlineStr">
        <x:is>
          <x:t xml:space="preserve">Synthetic/adversarial model-development loop. No historical outcome is claimed; no accuracy point is awarded.</x:t>
        </x:is>
      </x:c>
    </x:row>
    <x:row r="893">
      <x:c r="A893" s="160" t="inlineStr">
        <x:is>
          <x:t xml:space="preserve">ML0888</x:t>
        </x:is>
      </x:c>
      <x:c r="B893" s="160" t="inlineStr">
        <x:is>
          <x:t xml:space="preserve">ARG-056</x:t>
        </x:is>
      </x:c>
      <x:c r="C893" s="160" t="inlineStr">
        <x:is>
          <x:t xml:space="preserve">Caterpillar</x:t>
        </x:is>
      </x:c>
      <x:c r="D893" s="160" t="inlineStr">
        <x:is>
          <x:t xml:space="preserve">CAT</x:t>
        </x:is>
      </x:c>
      <x:c r="E893" s="160" t="inlineStr">
        <x:is>
          <x:t xml:space="preserve">Industrials &amp; Defense</x:t>
        </x:is>
      </x:c>
      <x:c r="F893" s="160" t="inlineStr">
        <x:is>
          <x:t xml:space="preserve">Development</x:t>
        </x:is>
      </x:c>
      <x:c r="G893" s="160" t="inlineStr">
        <x:is>
          <x:t xml:space="preserve">S08</x:t>
        </x:is>
      </x:c>
      <x:c r="H893" s="160" t="inlineStr">
        <x:is>
          <x:t xml:space="preserve">Management Promise Reliability</x:t>
        </x:is>
      </x:c>
      <x:c r="I893" s="160" t="inlineStr">
        <x:is>
          <x:t xml:space="preserve">Management over-trust</x:t>
        </x:is>
      </x:c>
      <x:c r="J893" s="160" t="inlineStr">
        <x:is>
          <x:t xml:space="preserve">Guidance or strategic promises are repeated but the model lacks a contemporaneous reliability score.</x:t>
        </x:is>
      </x:c>
      <x:c r="K893" s="160" t="inlineStr">
        <x:is>
          <x:t xml:space="preserve">Equipment demand plus parts/services annuity</x:t>
        </x:is>
      </x:c>
      <x:c r="L893" s="160" t="inlineStr">
        <x:is>
          <x:t xml:space="preserve">Mid-cycle FCF + replacement value</x:t>
        </x:is>
      </x:c>
      <x:c r="M893" s="160" t="inlineStr">
        <x:is>
          <x:t xml:space="preserve">NO PRODUCTION DECISION — STRESS TEST ONLY</x:t>
        </x:is>
      </x:c>
      <x:c r="N893" s="160" t="inlineStr">
        <x:is>
          <x:t xml:space="preserve">R-PROM-01</x:t>
        </x:is>
      </x:c>
      <x:c r="O893" s="160" t="inlineStr">
        <x:is>
          <x:t xml:space="preserve">MATURE</x:t>
        </x:is>
      </x:c>
      <x:c r="P893" s="160" t="inlineStr">
        <x:is>
          <x:t xml:space="preserve">ROBUST</x:t>
        </x:is>
      </x:c>
      <x:c r="Q893" s="160" t="inlineStr">
        <x:is>
          <x:t xml:space="preserve">The mature simulation rule catches the stress without weakening a fatal gate; no rule relaxation is justified.</x:t>
        </x:is>
      </x:c>
      <x:c r="R893" s="160" t="inlineStr">
        <x:is>
          <x:t xml:space="preserve">Use a promises ledger with dated promise, measurable deliverable, due date, outcome and credibility weight.</x:t>
        </x:is>
      </x:c>
      <x:c r="S893" s="160" t="inlineStr">
        <x:is>
          <x:t xml:space="preserve">NO</x:t>
        </x:is>
      </x:c>
      <x:c r="T893" s="160" t="inlineStr">
        <x:is>
          <x:t xml:space="preserve">MATURE</x:t>
        </x:is>
      </x:c>
      <x:c r="U893" s="160" t="inlineStr">
        <x:is>
          <x:t xml:space="preserve">V10.5-SIM82</x:t>
        </x:is>
      </x:c>
      <x:c r="V893" s="160" t="inlineStr">
        <x:is>
          <x:t xml:space="preserve">https://investors.caterpillar.com</x:t>
        </x:is>
      </x:c>
      <x:c r="W893" s="160" t="inlineStr">
        <x:is>
          <x:t xml:space="preserve">NO</x:t>
        </x:is>
      </x:c>
      <x:c r="X893" s="160" t="inlineStr">
        <x:is>
          <x:t xml:space="preserve">NONE — DEVELOPMENT ONLY</x:t>
        </x:is>
      </x:c>
      <x:c r="Y893" s="160" t="inlineStr">
        <x:is>
          <x:t xml:space="preserve">Synthetic/adversarial model-development loop. No historical outcome is claimed; no accuracy point is awarded.</x:t>
        </x:is>
      </x:c>
    </x:row>
    <x:row r="894">
      <x:c r="A894" s="160" t="inlineStr">
        <x:is>
          <x:t xml:space="preserve">ML0889</x:t>
        </x:is>
      </x:c>
      <x:c r="B894" s="160" t="inlineStr">
        <x:is>
          <x:t xml:space="preserve">ARG-056</x:t>
        </x:is>
      </x:c>
      <x:c r="C894" s="160" t="inlineStr">
        <x:is>
          <x:t xml:space="preserve">Caterpillar</x:t>
        </x:is>
      </x:c>
      <x:c r="D894" s="160" t="inlineStr">
        <x:is>
          <x:t xml:space="preserve">CAT</x:t>
        </x:is>
      </x:c>
      <x:c r="E894" s="160" t="inlineStr">
        <x:is>
          <x:t xml:space="preserve">Industrials &amp; Defense</x:t>
        </x:is>
      </x:c>
      <x:c r="F894" s="160" t="inlineStr">
        <x:is>
          <x:t xml:space="preserve">Development</x:t>
        </x:is>
      </x:c>
      <x:c r="G894" s="160" t="inlineStr">
        <x:is>
          <x:t xml:space="preserve">S09</x:t>
        </x:is>
      </x:c>
      <x:c r="H894" s="160" t="inlineStr">
        <x:is>
          <x:t xml:space="preserve">Data / Accounting Quality</x:t>
        </x:is>
      </x:c>
      <x:c r="I894" s="160" t="inlineStr">
        <x:is>
          <x:t xml:space="preserve">Data quality</x:t>
        </x:is>
      </x:c>
      <x:c r="J894" s="160" t="inlineStr">
        <x:is>
          <x:t xml:space="preserve">Restatement, segment reclassification, one-time item or non-economic fair-value movement distorts the apparent trend.</x:t>
        </x:is>
      </x:c>
      <x:c r="K894" s="160" t="inlineStr">
        <x:is>
          <x:t xml:space="preserve">Equipment demand plus parts/services annuity</x:t>
        </x:is>
      </x:c>
      <x:c r="L894" s="160" t="inlineStr">
        <x:is>
          <x:t xml:space="preserve">Mid-cycle FCF + replacement value</x:t>
        </x:is>
      </x:c>
      <x:c r="M894" s="160" t="inlineStr">
        <x:is>
          <x:t xml:space="preserve">NO PRODUCTION DECISION — STRESS TEST ONLY</x:t>
        </x:is>
      </x:c>
      <x:c r="N894" s="160" t="inlineStr">
        <x:is>
          <x:t xml:space="preserve">R-DATA-01</x:t>
        </x:is>
      </x:c>
      <x:c r="O894" s="160" t="inlineStr">
        <x:is>
          <x:t xml:space="preserve">MATURE</x:t>
        </x:is>
      </x:c>
      <x:c r="P894" s="160" t="inlineStr">
        <x:is>
          <x:t xml:space="preserve">ROBUST</x:t>
        </x:is>
      </x:c>
      <x:c r="Q894" s="160" t="inlineStr">
        <x:is>
          <x:t xml:space="preserve">The mature simulation rule catches the stress without weakening a fatal gate; no rule relaxation is justified.</x:t>
        </x:is>
      </x:c>
      <x:c r="R894" s="160" t="inlineStr">
        <x:is>
          <x:t xml:space="preserve">Add a reporting-quality bridge and normalize accounting noise before any gate can pass.</x:t>
        </x:is>
      </x:c>
      <x:c r="S894" s="160" t="inlineStr">
        <x:is>
          <x:t xml:space="preserve">NO</x:t>
        </x:is>
      </x:c>
      <x:c r="T894" s="160" t="inlineStr">
        <x:is>
          <x:t xml:space="preserve">MATURE</x:t>
        </x:is>
      </x:c>
      <x:c r="U894" s="160" t="inlineStr">
        <x:is>
          <x:t xml:space="preserve">V10.5-SIM82</x:t>
        </x:is>
      </x:c>
      <x:c r="V894" s="160" t="inlineStr">
        <x:is>
          <x:t xml:space="preserve">https://investors.caterpillar.com</x:t>
        </x:is>
      </x:c>
      <x:c r="W894" s="160" t="inlineStr">
        <x:is>
          <x:t xml:space="preserve">NO</x:t>
        </x:is>
      </x:c>
      <x:c r="X894" s="160" t="inlineStr">
        <x:is>
          <x:t xml:space="preserve">NONE — DEVELOPMENT ONLY</x:t>
        </x:is>
      </x:c>
      <x:c r="Y894" s="160" t="inlineStr">
        <x:is>
          <x:t xml:space="preserve">Synthetic/adversarial model-development loop. No historical outcome is claimed; no accuracy point is awarded.</x:t>
        </x:is>
      </x:c>
    </x:row>
    <x:row r="895">
      <x:c r="A895" s="160" t="inlineStr">
        <x:is>
          <x:t xml:space="preserve">ML0890</x:t>
        </x:is>
      </x:c>
      <x:c r="B895" s="160" t="inlineStr">
        <x:is>
          <x:t xml:space="preserve">ARG-056</x:t>
        </x:is>
      </x:c>
      <x:c r="C895" s="160" t="inlineStr">
        <x:is>
          <x:t xml:space="preserve">Caterpillar</x:t>
        </x:is>
      </x:c>
      <x:c r="D895" s="160" t="inlineStr">
        <x:is>
          <x:t xml:space="preserve">CAT</x:t>
        </x:is>
      </x:c>
      <x:c r="E895" s="160" t="inlineStr">
        <x:is>
          <x:t xml:space="preserve">Industrials &amp; Defense</x:t>
        </x:is>
      </x:c>
      <x:c r="F895" s="160" t="inlineStr">
        <x:is>
          <x:t xml:space="preserve">Development</x:t>
        </x:is>
      </x:c>
      <x:c r="G895" s="160" t="inlineStr">
        <x:is>
          <x:t xml:space="preserve">S10</x:t>
        </x:is>
      </x:c>
      <x:c r="H895" s="160" t="inlineStr">
        <x:is>
          <x:t xml:space="preserve">Control / Counterfactual</x:t>
        </x:is>
      </x:c>
      <x:c r="I895" s="160" t="inlineStr">
        <x:is>
          <x:t xml:space="preserve">Sector beta vs company alpha</x:t>
        </x:is>
      </x:c>
      <x:c r="J895" s="160" t="inlineStr">
        <x:is>
          <x:t xml:space="preserve">A positive outcome is mostly sector beta or macro tailwind, not company-specific alpha.</x:t>
        </x:is>
      </x:c>
      <x:c r="K895" s="160" t="inlineStr">
        <x:is>
          <x:t xml:space="preserve">Equipment demand plus parts/services annuity</x:t>
        </x:is>
      </x:c>
      <x:c r="L895" s="160" t="inlineStr">
        <x:is>
          <x:t xml:space="preserve">Mid-cycle FCF + replacement value</x:t>
        </x:is>
      </x:c>
      <x:c r="M895" s="160" t="inlineStr">
        <x:is>
          <x:t xml:space="preserve">NO PRODUCTION DECISION — STRESS TEST ONLY</x:t>
        </x:is>
      </x:c>
      <x:c r="N895" s="160" t="inlineStr">
        <x:is>
          <x:t xml:space="preserve">R-CF-01</x:t>
        </x:is>
      </x:c>
      <x:c r="O895" s="160" t="inlineStr">
        <x:is>
          <x:t xml:space="preserve">MATURE</x:t>
        </x:is>
      </x:c>
      <x:c r="P895" s="160" t="inlineStr">
        <x:is>
          <x:t xml:space="preserve">ROBUST</x:t>
        </x:is>
      </x:c>
      <x:c r="Q895" s="160" t="inlineStr">
        <x:is>
          <x:t xml:space="preserve">The mature simulation rule catches the stress without weakening a fatal gate; no rule relaxation is justified.</x:t>
        </x:is>
      </x:c>
      <x:c r="R895" s="160" t="inlineStr">
        <x:is>
          <x:t xml:space="preserve">Require a true economic control and counterfactual: what should have happened to a comparable company under the same shock?</x:t>
        </x:is>
      </x:c>
      <x:c r="S895" s="160" t="inlineStr">
        <x:is>
          <x:t xml:space="preserve">NO</x:t>
        </x:is>
      </x:c>
      <x:c r="T895" s="160" t="inlineStr">
        <x:is>
          <x:t xml:space="preserve">MATURE</x:t>
        </x:is>
      </x:c>
      <x:c r="U895" s="160" t="inlineStr">
        <x:is>
          <x:t xml:space="preserve">V10.5-SIM82</x:t>
        </x:is>
      </x:c>
      <x:c r="V895" s="160" t="inlineStr">
        <x:is>
          <x:t xml:space="preserve">https://investors.caterpillar.com</x:t>
        </x:is>
      </x:c>
      <x:c r="W895" s="160" t="inlineStr">
        <x:is>
          <x:t xml:space="preserve">NO</x:t>
        </x:is>
      </x:c>
      <x:c r="X895" s="160" t="inlineStr">
        <x:is>
          <x:t xml:space="preserve">NONE — DEVELOPMENT ONLY</x:t>
        </x:is>
      </x:c>
      <x:c r="Y895" s="160" t="inlineStr">
        <x:is>
          <x:t xml:space="preserve">Synthetic/adversarial model-development loop. No historical outcome is claimed; no accuracy point is awarded.</x:t>
        </x:is>
      </x:c>
    </x:row>
    <x:row r="896">
      <x:c r="A896" s="160" t="inlineStr">
        <x:is>
          <x:t xml:space="preserve">ML0891</x:t>
        </x:is>
      </x:c>
      <x:c r="B896" s="160" t="inlineStr">
        <x:is>
          <x:t xml:space="preserve">ARG-056</x:t>
        </x:is>
      </x:c>
      <x:c r="C896" s="160" t="inlineStr">
        <x:is>
          <x:t xml:space="preserve">Caterpillar</x:t>
        </x:is>
      </x:c>
      <x:c r="D896" s="160" t="inlineStr">
        <x:is>
          <x:t xml:space="preserve">CAT</x:t>
        </x:is>
      </x:c>
      <x:c r="E896" s="160" t="inlineStr">
        <x:is>
          <x:t xml:space="preserve">Industrials &amp; Defense</x:t>
        </x:is>
      </x:c>
      <x:c r="F896" s="160" t="inlineStr">
        <x:is>
          <x:t xml:space="preserve">Development</x:t>
        </x:is>
      </x:c>
      <x:c r="G896" s="160" t="inlineStr">
        <x:is>
          <x:t xml:space="preserve">S11</x:t>
        </x:is>
      </x:c>
      <x:c r="H896" s="160" t="inlineStr">
        <x:is>
          <x:t xml:space="preserve">False-Negative Discipline</x:t>
        </x:is>
      </x:c>
      <x:c r="I896" s="160" t="inlineStr">
        <x:is>
          <x:t xml:space="preserve">False negative</x:t>
        </x:is>
      </x:c>
      <x:c r="J896" s="160" t="inlineStr">
        <x:is>
          <x:t xml:space="preserve">A strict gate rejects a company that later compounds strongly for reasons the model could have known.</x:t>
        </x:is>
      </x:c>
      <x:c r="K896" s="160" t="inlineStr">
        <x:is>
          <x:t xml:space="preserve">Equipment demand plus parts/services annuity</x:t>
        </x:is>
      </x:c>
      <x:c r="L896" s="160" t="inlineStr">
        <x:is>
          <x:t xml:space="preserve">Mid-cycle FCF + replacement value</x:t>
        </x:is>
      </x:c>
      <x:c r="M896" s="160" t="inlineStr">
        <x:is>
          <x:t xml:space="preserve">NO PRODUCTION DECISION — STRESS TEST ONLY</x:t>
        </x:is>
      </x:c>
      <x:c r="N896" s="160" t="inlineStr">
        <x:is>
          <x:t xml:space="preserve">R-FN-01</x:t>
        </x:is>
      </x:c>
      <x:c r="O896" s="160" t="inlineStr">
        <x:is>
          <x:t xml:space="preserve">MATURE</x:t>
        </x:is>
      </x:c>
      <x:c r="P896" s="160" t="inlineStr">
        <x:is>
          <x:t xml:space="preserve">ROBUST</x:t>
        </x:is>
      </x:c>
      <x:c r="Q896" s="160" t="inlineStr">
        <x:is>
          <x:t xml:space="preserve">The mature simulation rule catches the stress without weakening a fatal gate; no rule relaxation is justified.</x:t>
        </x:is>
      </x:c>
      <x:c r="R896" s="160" t="inlineStr">
        <x:is>
          <x:t xml:space="preserve">Track opportunity cost and classify whether the miss came from evidence timing, wrong threshold or genuinely unknowable upside.</x:t>
        </x:is>
      </x:c>
      <x:c r="S896" s="160" t="inlineStr">
        <x:is>
          <x:t xml:space="preserve">NO</x:t>
        </x:is>
      </x:c>
      <x:c r="T896" s="160" t="inlineStr">
        <x:is>
          <x:t xml:space="preserve">MATURE</x:t>
        </x:is>
      </x:c>
      <x:c r="U896" s="160" t="inlineStr">
        <x:is>
          <x:t xml:space="preserve">V10.5-SIM82</x:t>
        </x:is>
      </x:c>
      <x:c r="V896" s="160" t="inlineStr">
        <x:is>
          <x:t xml:space="preserve">https://investors.caterpillar.com</x:t>
        </x:is>
      </x:c>
      <x:c r="W896" s="160" t="inlineStr">
        <x:is>
          <x:t xml:space="preserve">NO</x:t>
        </x:is>
      </x:c>
      <x:c r="X896" s="160" t="inlineStr">
        <x:is>
          <x:t xml:space="preserve">NONE — DEVELOPMENT ONLY</x:t>
        </x:is>
      </x:c>
      <x:c r="Y896" s="160" t="inlineStr">
        <x:is>
          <x:t xml:space="preserve">Synthetic/adversarial model-development loop. No historical outcome is claimed; no accuracy point is awarded.</x:t>
        </x:is>
      </x:c>
    </x:row>
    <x:row r="897">
      <x:c r="A897" s="160" t="inlineStr">
        <x:is>
          <x:t xml:space="preserve">ML0892</x:t>
        </x:is>
      </x:c>
      <x:c r="B897" s="160" t="inlineStr">
        <x:is>
          <x:t xml:space="preserve">ARG-056</x:t>
        </x:is>
      </x:c>
      <x:c r="C897" s="160" t="inlineStr">
        <x:is>
          <x:t xml:space="preserve">Caterpillar</x:t>
        </x:is>
      </x:c>
      <x:c r="D897" s="160" t="inlineStr">
        <x:is>
          <x:t xml:space="preserve">CAT</x:t>
        </x:is>
      </x:c>
      <x:c r="E897" s="160" t="inlineStr">
        <x:is>
          <x:t xml:space="preserve">Industrials &amp; Defense</x:t>
        </x:is>
      </x:c>
      <x:c r="F897" s="160" t="inlineStr">
        <x:is>
          <x:t xml:space="preserve">Development</x:t>
        </x:is>
      </x:c>
      <x:c r="G897" s="160" t="inlineStr">
        <x:is>
          <x:t xml:space="preserve">S12</x:t>
        </x:is>
      </x:c>
      <x:c r="H897" s="160" t="inlineStr">
        <x:is>
          <x:t xml:space="preserve">Lead-Time / Early Sensor</x:t>
        </x:is>
      </x:c>
      <x:c r="I897" s="160" t="inlineStr">
        <x:is>
          <x:t xml:space="preserve">Timing / lead-time</x:t>
        </x:is>
      </x:c>
      <x:c r="J897" s="160" t="inlineStr">
        <x:is>
          <x:t xml:space="preserve">ARGUS identifies the change correctly but only after consensus and price have already reacted.</x:t>
        </x:is>
      </x:c>
      <x:c r="K897" s="160" t="inlineStr">
        <x:is>
          <x:t xml:space="preserve">Equipment demand plus parts/services annuity</x:t>
        </x:is>
      </x:c>
      <x:c r="L897" s="160" t="inlineStr">
        <x:is>
          <x:t xml:space="preserve">Mid-cycle FCF + replacement value</x:t>
        </x:is>
      </x:c>
      <x:c r="M897" s="160" t="inlineStr">
        <x:is>
          <x:t xml:space="preserve">NO PRODUCTION DECISION — STRESS TEST ONLY</x:t>
        </x:is>
      </x:c>
      <x:c r="N897" s="160" t="inlineStr">
        <x:is>
          <x:t xml:space="preserve">R-TIME-01</x:t>
        </x:is>
      </x:c>
      <x:c r="O897" s="160" t="inlineStr">
        <x:is>
          <x:t xml:space="preserve">MATURE</x:t>
        </x:is>
      </x:c>
      <x:c r="P897" s="160" t="inlineStr">
        <x:is>
          <x:t xml:space="preserve">ROBUST</x:t>
        </x:is>
      </x:c>
      <x:c r="Q897" s="160" t="inlineStr">
        <x:is>
          <x:t xml:space="preserve">The mature simulation rule catches the stress without weakening a fatal gate; no rule relaxation is justified.</x:t>
        </x:is>
      </x:c>
      <x:c r="R897" s="160" t="inlineStr">
        <x:is>
          <x:t xml:space="preserve">Replace lagging financial metrics with earlier causal operating sensors and record lead time separately from correctness.</x:t>
        </x:is>
      </x:c>
      <x:c r="S897" s="160" t="inlineStr">
        <x:is>
          <x:t xml:space="preserve">NO</x:t>
        </x:is>
      </x:c>
      <x:c r="T897" s="160" t="inlineStr">
        <x:is>
          <x:t xml:space="preserve">MATURE</x:t>
        </x:is>
      </x:c>
      <x:c r="U897" s="160" t="inlineStr">
        <x:is>
          <x:t xml:space="preserve">V10.5-SIM82</x:t>
        </x:is>
      </x:c>
      <x:c r="V897" s="160" t="inlineStr">
        <x:is>
          <x:t xml:space="preserve">https://investors.caterpillar.com</x:t>
        </x:is>
      </x:c>
      <x:c r="W897" s="160" t="inlineStr">
        <x:is>
          <x:t xml:space="preserve">NO</x:t>
        </x:is>
      </x:c>
      <x:c r="X897" s="160" t="inlineStr">
        <x:is>
          <x:t xml:space="preserve">NONE — DEVELOPMENT ONLY</x:t>
        </x:is>
      </x:c>
      <x:c r="Y897" s="160" t="inlineStr">
        <x:is>
          <x:t xml:space="preserve">Synthetic/adversarial model-development loop. No historical outcome is claimed; no accuracy point is awarded.</x:t>
        </x:is>
      </x:c>
    </x:row>
    <x:row r="898">
      <x:c r="A898" s="160" t="inlineStr">
        <x:is>
          <x:t xml:space="preserve">ML0893</x:t>
        </x:is>
      </x:c>
      <x:c r="B898" s="160" t="inlineStr">
        <x:is>
          <x:t xml:space="preserve">ARG-056</x:t>
        </x:is>
      </x:c>
      <x:c r="C898" s="160" t="inlineStr">
        <x:is>
          <x:t xml:space="preserve">Caterpillar</x:t>
        </x:is>
      </x:c>
      <x:c r="D898" s="160" t="inlineStr">
        <x:is>
          <x:t xml:space="preserve">CAT</x:t>
        </x:is>
      </x:c>
      <x:c r="E898" s="160" t="inlineStr">
        <x:is>
          <x:t xml:space="preserve">Industrials &amp; Defense</x:t>
        </x:is>
      </x:c>
      <x:c r="F898" s="160" t="inlineStr">
        <x:is>
          <x:t xml:space="preserve">Development</x:t>
        </x:is>
      </x:c>
      <x:c r="G898" s="160" t="inlineStr">
        <x:is>
          <x:t xml:space="preserve">S13</x:t>
        </x:is>
      </x:c>
      <x:c r="H898" s="160" t="inlineStr">
        <x:is>
          <x:t xml:space="preserve">Cycle Normalization</x:t>
        </x:is>
      </x:c>
      <x:c r="I898" s="160" t="inlineStr">
        <x:is>
          <x:t xml:space="preserve">Wrong valuation lens</x:t>
        </x:is>
      </x:c>
      <x:c r="J898" s="160" t="inlineStr">
        <x:is>
          <x:t xml:space="preserve">Peak/trough earnings are mistaken for normalized earning power.</x:t>
        </x:is>
      </x:c>
      <x:c r="K898" s="160" t="inlineStr">
        <x:is>
          <x:t xml:space="preserve">Equipment demand plus parts/services annuity</x:t>
        </x:is>
      </x:c>
      <x:c r="L898" s="160" t="inlineStr">
        <x:is>
          <x:t xml:space="preserve">Mid-cycle FCF + replacement value</x:t>
        </x:is>
      </x:c>
      <x:c r="M898" s="160" t="inlineStr">
        <x:is>
          <x:t xml:space="preserve">NO PRODUCTION DECISION — STRESS TEST ONLY</x:t>
        </x:is>
      </x:c>
      <x:c r="N898" s="160" t="inlineStr">
        <x:is>
          <x:t xml:space="preserve">R-CYCLE-01</x:t>
        </x:is>
      </x:c>
      <x:c r="O898" s="160" t="inlineStr">
        <x:is>
          <x:t xml:space="preserve">MATURE</x:t>
        </x:is>
      </x:c>
      <x:c r="P898" s="160" t="inlineStr">
        <x:is>
          <x:t xml:space="preserve">ROBUST</x:t>
        </x:is>
      </x:c>
      <x:c r="Q898" s="160" t="inlineStr">
        <x:is>
          <x:t xml:space="preserve">The mature simulation rule catches the stress without weakening a fatal gate; no rule relaxation is justified.</x:t>
        </x:is>
      </x:c>
      <x:c r="R898" s="160" t="inlineStr">
        <x:is>
          <x:t xml:space="preserve">Use sector-specific mid-cycle/NAV/rate-base/rNPV normalization before applying a valuation multiple.</x:t>
        </x:is>
      </x:c>
      <x:c r="S898" s="160" t="inlineStr">
        <x:is>
          <x:t xml:space="preserve">NO</x:t>
        </x:is>
      </x:c>
      <x:c r="T898" s="160" t="inlineStr">
        <x:is>
          <x:t xml:space="preserve">MATURE</x:t>
        </x:is>
      </x:c>
      <x:c r="U898" s="160" t="inlineStr">
        <x:is>
          <x:t xml:space="preserve">V10.5-SIM82</x:t>
        </x:is>
      </x:c>
      <x:c r="V898" s="160" t="inlineStr">
        <x:is>
          <x:t xml:space="preserve">https://investors.caterpillar.com</x:t>
        </x:is>
      </x:c>
      <x:c r="W898" s="160" t="inlineStr">
        <x:is>
          <x:t xml:space="preserve">NO</x:t>
        </x:is>
      </x:c>
      <x:c r="X898" s="160" t="inlineStr">
        <x:is>
          <x:t xml:space="preserve">NONE — DEVELOPMENT ONLY</x:t>
        </x:is>
      </x:c>
      <x:c r="Y898" s="160" t="inlineStr">
        <x:is>
          <x:t xml:space="preserve">Synthetic/adversarial model-development loop. No historical outcome is claimed; no accuracy point is awarded.</x:t>
        </x:is>
      </x:c>
    </x:row>
    <x:row r="899">
      <x:c r="A899" s="160" t="inlineStr">
        <x:is>
          <x:t xml:space="preserve">ML0894</x:t>
        </x:is>
      </x:c>
      <x:c r="B899" s="160" t="inlineStr">
        <x:is>
          <x:t xml:space="preserve">ARG-056</x:t>
        </x:is>
      </x:c>
      <x:c r="C899" s="160" t="inlineStr">
        <x:is>
          <x:t xml:space="preserve">Caterpillar</x:t>
        </x:is>
      </x:c>
      <x:c r="D899" s="160" t="inlineStr">
        <x:is>
          <x:t xml:space="preserve">CAT</x:t>
        </x:is>
      </x:c>
      <x:c r="E899" s="160" t="inlineStr">
        <x:is>
          <x:t xml:space="preserve">Industrials &amp; Defense</x:t>
        </x:is>
      </x:c>
      <x:c r="F899" s="160" t="inlineStr">
        <x:is>
          <x:t xml:space="preserve">Development</x:t>
        </x:is>
      </x:c>
      <x:c r="G899" s="160" t="inlineStr">
        <x:is>
          <x:t xml:space="preserve">S14</x:t>
        </x:is>
      </x:c>
      <x:c r="H899" s="160" t="inlineStr">
        <x:is>
          <x:t xml:space="preserve">M&amp;A / Organic Growth Separation</x:t>
        </x:is>
      </x:c>
      <x:c r="I899" s="160" t="inlineStr">
        <x:is>
          <x:t xml:space="preserve">Stewardship</x:t>
        </x:is>
      </x:c>
      <x:c r="J899" s="160" t="inlineStr">
        <x:is>
          <x:t xml:space="preserve">Acquisition-driven growth masks weak organic economics or poor incremental ROIC.</x:t>
        </x:is>
      </x:c>
      <x:c r="K899" s="160" t="inlineStr">
        <x:is>
          <x:t xml:space="preserve">Equipment demand plus parts/services annuity</x:t>
        </x:is>
      </x:c>
      <x:c r="L899" s="160" t="inlineStr">
        <x:is>
          <x:t xml:space="preserve">Mid-cycle FCF + replacement value</x:t>
        </x:is>
      </x:c>
      <x:c r="M899" s="160" t="inlineStr">
        <x:is>
          <x:t xml:space="preserve">NO PRODUCTION DECISION — STRESS TEST ONLY</x:t>
        </x:is>
      </x:c>
      <x:c r="N899" s="160" t="inlineStr">
        <x:is>
          <x:t xml:space="preserve">R-MA-01</x:t>
        </x:is>
      </x:c>
      <x:c r="O899" s="160" t="inlineStr">
        <x:is>
          <x:t xml:space="preserve">MATURE</x:t>
        </x:is>
      </x:c>
      <x:c r="P899" s="160" t="inlineStr">
        <x:is>
          <x:t xml:space="preserve">ROBUST</x:t>
        </x:is>
      </x:c>
      <x:c r="Q899" s="160" t="inlineStr">
        <x:is>
          <x:t xml:space="preserve">The mature simulation rule catches the stress without weakening a fatal gate; no rule relaxation is justified.</x:t>
        </x:is>
      </x:c>
      <x:c r="R899" s="160" t="inlineStr">
        <x:is>
          <x:t xml:space="preserve">Bridge organic growth, acquired growth, purchase price, integration costs and acquisition-cohort ROIC.</x:t>
        </x:is>
      </x:c>
      <x:c r="S899" s="160" t="inlineStr">
        <x:is>
          <x:t xml:space="preserve">NO</x:t>
        </x:is>
      </x:c>
      <x:c r="T899" s="160" t="inlineStr">
        <x:is>
          <x:t xml:space="preserve">MATURE</x:t>
        </x:is>
      </x:c>
      <x:c r="U899" s="160" t="inlineStr">
        <x:is>
          <x:t xml:space="preserve">V10.5-SIM82</x:t>
        </x:is>
      </x:c>
      <x:c r="V899" s="160" t="inlineStr">
        <x:is>
          <x:t xml:space="preserve">https://investors.caterpillar.com</x:t>
        </x:is>
      </x:c>
      <x:c r="W899" s="160" t="inlineStr">
        <x:is>
          <x:t xml:space="preserve">NO</x:t>
        </x:is>
      </x:c>
      <x:c r="X899" s="160" t="inlineStr">
        <x:is>
          <x:t xml:space="preserve">NONE — DEVELOPMENT ONLY</x:t>
        </x:is>
      </x:c>
      <x:c r="Y899" s="160" t="inlineStr">
        <x:is>
          <x:t xml:space="preserve">Synthetic/adversarial model-development loop. No historical outcome is claimed; no accuracy point is awarded.</x:t>
        </x:is>
      </x:c>
    </x:row>
    <x:row r="900">
      <x:c r="A900" s="160" t="inlineStr">
        <x:is>
          <x:t xml:space="preserve">ML0895</x:t>
        </x:is>
      </x:c>
      <x:c r="B900" s="160" t="inlineStr">
        <x:is>
          <x:t xml:space="preserve">ARG-056</x:t>
        </x:is>
      </x:c>
      <x:c r="C900" s="160" t="inlineStr">
        <x:is>
          <x:t xml:space="preserve">Caterpillar</x:t>
        </x:is>
      </x:c>
      <x:c r="D900" s="160" t="inlineStr">
        <x:is>
          <x:t xml:space="preserve">CAT</x:t>
        </x:is>
      </x:c>
      <x:c r="E900" s="160" t="inlineStr">
        <x:is>
          <x:t xml:space="preserve">Industrials &amp; Defense</x:t>
        </x:is>
      </x:c>
      <x:c r="F900" s="160" t="inlineStr">
        <x:is>
          <x:t xml:space="preserve">Development</x:t>
        </x:is>
      </x:c>
      <x:c r="G900" s="160" t="inlineStr">
        <x:is>
          <x:t xml:space="preserve">S15</x:t>
        </x:is>
      </x:c>
      <x:c r="H900" s="160" t="inlineStr">
        <x:is>
          <x:t xml:space="preserve">Financing / Dilution Per Share</x:t>
        </x:is>
      </x:c>
      <x:c r="I900" s="160" t="inlineStr">
        <x:is>
          <x:t xml:space="preserve">Stewardship</x:t>
        </x:is>
      </x:c>
      <x:c r="J900" s="160" t="inlineStr">
        <x:is>
          <x:t xml:space="preserve">Cash balance or revenue growth improves while financing causes material per-share value leakage.</x:t>
        </x:is>
      </x:c>
      <x:c r="K900" s="160" t="inlineStr">
        <x:is>
          <x:t xml:space="preserve">Equipment demand plus parts/services annuity</x:t>
        </x:is>
      </x:c>
      <x:c r="L900" s="160" t="inlineStr">
        <x:is>
          <x:t xml:space="preserve">Mid-cycle FCF + replacement value</x:t>
        </x:is>
      </x:c>
      <x:c r="M900" s="160" t="inlineStr">
        <x:is>
          <x:t xml:space="preserve">NO PRODUCTION DECISION — STRESS TEST ONLY</x:t>
        </x:is>
      </x:c>
      <x:c r="N900" s="160" t="inlineStr">
        <x:is>
          <x:t xml:space="preserve">R-DIL-01</x:t>
        </x:is>
      </x:c>
      <x:c r="O900" s="160" t="inlineStr">
        <x:is>
          <x:t xml:space="preserve">MATURE</x:t>
        </x:is>
      </x:c>
      <x:c r="P900" s="160" t="inlineStr">
        <x:is>
          <x:t xml:space="preserve">ROBUST</x:t>
        </x:is>
      </x:c>
      <x:c r="Q900" s="160" t="inlineStr">
        <x:is>
          <x:t xml:space="preserve">The mature simulation rule catches the stress without weakening a fatal gate; no rule relaxation is justified.</x:t>
        </x:is>
      </x:c>
      <x:c r="R900" s="160" t="inlineStr">
        <x:is>
          <x:t xml:space="preserve">Reconcile share-count growth, SBC, equity issuance, buybacks and net cash changes to per-share intrinsic value.</x:t>
        </x:is>
      </x:c>
      <x:c r="S900" s="160" t="inlineStr">
        <x:is>
          <x:t xml:space="preserve">NO</x:t>
        </x:is>
      </x:c>
      <x:c r="T900" s="160" t="inlineStr">
        <x:is>
          <x:t xml:space="preserve">MATURE</x:t>
        </x:is>
      </x:c>
      <x:c r="U900" s="160" t="inlineStr">
        <x:is>
          <x:t xml:space="preserve">V10.5-SIM82</x:t>
        </x:is>
      </x:c>
      <x:c r="V900" s="160" t="inlineStr">
        <x:is>
          <x:t xml:space="preserve">https://investors.caterpillar.com</x:t>
        </x:is>
      </x:c>
      <x:c r="W900" s="160" t="inlineStr">
        <x:is>
          <x:t xml:space="preserve">NO</x:t>
        </x:is>
      </x:c>
      <x:c r="X900" s="160" t="inlineStr">
        <x:is>
          <x:t xml:space="preserve">NONE — DEVELOPMENT ONLY</x:t>
        </x:is>
      </x:c>
      <x:c r="Y900" s="160" t="inlineStr">
        <x:is>
          <x:t xml:space="preserve">Synthetic/adversarial model-development loop. No historical outcome is claimed; no accuracy point is awarded.</x:t>
        </x:is>
      </x:c>
    </x:row>
    <x:row r="901">
      <x:c r="A901" s="160" t="inlineStr">
        <x:is>
          <x:t xml:space="preserve">ML0896</x:t>
        </x:is>
      </x:c>
      <x:c r="B901" s="160" t="inlineStr">
        <x:is>
          <x:t xml:space="preserve">ARG-056</x:t>
        </x:is>
      </x:c>
      <x:c r="C901" s="160" t="inlineStr">
        <x:is>
          <x:t xml:space="preserve">Caterpillar</x:t>
        </x:is>
      </x:c>
      <x:c r="D901" s="160" t="inlineStr">
        <x:is>
          <x:t xml:space="preserve">CAT</x:t>
        </x:is>
      </x:c>
      <x:c r="E901" s="160" t="inlineStr">
        <x:is>
          <x:t xml:space="preserve">Industrials &amp; Defense</x:t>
        </x:is>
      </x:c>
      <x:c r="F901" s="160" t="inlineStr">
        <x:is>
          <x:t xml:space="preserve">Development</x:t>
        </x:is>
      </x:c>
      <x:c r="G901" s="160" t="inlineStr">
        <x:is>
          <x:t xml:space="preserve">S16</x:t>
        </x:is>
      </x:c>
      <x:c r="H901" s="160" t="inlineStr">
        <x:is>
          <x:t xml:space="preserve">Concentration / Tail Risk</x:t>
        </x:is>
      </x:c>
      <x:c r="I901" s="160" t="inlineStr">
        <x:is>
          <x:t xml:space="preserve">Survival</x:t>
        </x:is>
      </x:c>
      <x:c r="J901" s="160" t="inlineStr">
        <x:is>
          <x:t xml:space="preserve">A concentrated supplier, geography, customer, product, patent, regulatory or technology dependency creates asymmetric permanent-loss risk.</x:t>
        </x:is>
      </x:c>
      <x:c r="K901" s="160" t="inlineStr">
        <x:is>
          <x:t xml:space="preserve">Equipment demand plus parts/services annuity</x:t>
        </x:is>
      </x:c>
      <x:c r="L901" s="160" t="inlineStr">
        <x:is>
          <x:t xml:space="preserve">Mid-cycle FCF + replacement value</x:t>
        </x:is>
      </x:c>
      <x:c r="M901" s="160" t="inlineStr">
        <x:is>
          <x:t xml:space="preserve">NO PRODUCTION DECISION — STRESS TEST ONLY</x:t>
        </x:is>
      </x:c>
      <x:c r="N901" s="160" t="inlineStr">
        <x:is>
          <x:t xml:space="preserve">R-TAIL-01</x:t>
        </x:is>
      </x:c>
      <x:c r="O901" s="160" t="inlineStr">
        <x:is>
          <x:t xml:space="preserve">MATURE</x:t>
        </x:is>
      </x:c>
      <x:c r="P901" s="160" t="inlineStr">
        <x:is>
          <x:t xml:space="preserve">ROBUST</x:t>
        </x:is>
      </x:c>
      <x:c r="Q901" s="160" t="inlineStr">
        <x:is>
          <x:t xml:space="preserve">The mature simulation rule catches the stress without weakening a fatal gate; no rule relaxation is justified.</x:t>
        </x:is>
      </x:c>
      <x:c r="R901" s="160" t="inlineStr">
        <x:is>
          <x:t xml:space="preserve">Maintain an explicit concentration/tail-risk register with probability, severity, mitigation and required margin-of-safety premium.</x:t>
        </x:is>
      </x:c>
      <x:c r="S901" s="160" t="inlineStr">
        <x:is>
          <x:t xml:space="preserve">NO</x:t>
        </x:is>
      </x:c>
      <x:c r="T901" s="160" t="inlineStr">
        <x:is>
          <x:t xml:space="preserve">MATURE</x:t>
        </x:is>
      </x:c>
      <x:c r="U901" s="160" t="inlineStr">
        <x:is>
          <x:t xml:space="preserve">V10.5-SIM82</x:t>
        </x:is>
      </x:c>
      <x:c r="V901" s="160" t="inlineStr">
        <x:is>
          <x:t xml:space="preserve">https://investors.caterpillar.com</x:t>
        </x:is>
      </x:c>
      <x:c r="W901" s="160" t="inlineStr">
        <x:is>
          <x:t xml:space="preserve">NO</x:t>
        </x:is>
      </x:c>
      <x:c r="X901" s="160" t="inlineStr">
        <x:is>
          <x:t xml:space="preserve">NONE — DEVELOPMENT ONLY</x:t>
        </x:is>
      </x:c>
      <x:c r="Y901" s="160" t="inlineStr">
        <x:is>
          <x:t xml:space="preserve">Synthetic/adversarial model-development loop. No historical outcome is claimed; no accuracy point is awarded.</x:t>
        </x:is>
      </x:c>
    </x:row>
    <x:row r="902">
      <x:c r="A902" s="160" t="inlineStr">
        <x:is>
          <x:t xml:space="preserve">ML0897</x:t>
        </x:is>
      </x:c>
      <x:c r="B902" s="160" t="inlineStr">
        <x:is>
          <x:t xml:space="preserve">ARG-057</x:t>
        </x:is>
      </x:c>
      <x:c r="C902" s="160" t="inlineStr">
        <x:is>
          <x:t xml:space="preserve">BHP Group</x:t>
        </x:is>
      </x:c>
      <x:c r="D902" s="160" t="inlineStr">
        <x:is>
          <x:t xml:space="preserve">BHP</x:t>
        </x:is>
      </x:c>
      <x:c r="E902" s="160" t="inlineStr">
        <x:is>
          <x:t xml:space="preserve">Materials &amp; Mining</x:t>
        </x:is>
      </x:c>
      <x:c r="F902" s="160" t="inlineStr">
        <x:is>
          <x:t xml:space="preserve">Development</x:t>
        </x:is>
      </x:c>
      <x:c r="G902" s="160" t="inlineStr">
        <x:is>
          <x:t xml:space="preserve">S01</x:t>
        </x:is>
      </x:c>
      <x:c r="H902" s="160" t="inlineStr">
        <x:is>
          <x:t xml:space="preserve">Understanding Gate</x:t>
        </x:is>
      </x:c>
      <x:c r="I902" s="160" t="inlineStr">
        <x:is>
          <x:t xml:space="preserve">Understanding</x:t>
        </x:is>
      </x:c>
      <x:c r="J902" s="160" t="inlineStr">
        <x:is>
          <x:t xml:space="preserve">Causal engine / customer ROI chain breaks under a misleading headline KPI.</x:t>
        </x:is>
      </x:c>
      <x:c r="K902" s="160" t="inlineStr">
        <x:is>
          <x:t xml:space="preserve">Commodity volume × price − unit cost/sustaining capex</x:t>
        </x:is>
      </x:c>
      <x:c r="L902" s="160" t="inlineStr">
        <x:is>
          <x:t xml:space="preserve">Asset NAV + mid-cycle FCF</x:t>
        </x:is>
      </x:c>
      <x:c r="M902" s="160" t="inlineStr">
        <x:is>
          <x:t xml:space="preserve">NO PRODUCTION DECISION — STRESS TEST ONLY</x:t>
        </x:is>
      </x:c>
      <x:c r="N902" s="160" t="inlineStr">
        <x:is>
          <x:t xml:space="preserve">R-ENG-01</x:t>
        </x:is>
      </x:c>
      <x:c r="O902" s="160" t="inlineStr">
        <x:is>
          <x:t xml:space="preserve">MATURE</x:t>
        </x:is>
      </x:c>
      <x:c r="P902" s="160" t="inlineStr">
        <x:is>
          <x:t xml:space="preserve">ROBUST</x:t>
        </x:is>
      </x:c>
      <x:c r="Q902" s="160" t="inlineStr">
        <x:is>
          <x:t xml:space="preserve">The mature simulation rule catches the stress without weakening a fatal gate; no rule relaxation is justified.</x:t>
        </x:is>
      </x:c>
      <x:c r="R902" s="160" t="inlineStr">
        <x:is>
          <x:t xml:space="preserve">Force an explicit engine tree: customer job → unit economics → revenue driver → owner-value bridge.</x:t>
        </x:is>
      </x:c>
      <x:c r="S902" s="160" t="inlineStr">
        <x:is>
          <x:t xml:space="preserve">NO</x:t>
        </x:is>
      </x:c>
      <x:c r="T902" s="160" t="inlineStr">
        <x:is>
          <x:t xml:space="preserve">MATURE</x:t>
        </x:is>
      </x:c>
      <x:c r="U902" s="160" t="inlineStr">
        <x:is>
          <x:t xml:space="preserve">V10.5-SIM82</x:t>
        </x:is>
      </x:c>
      <x:c r="V902" s="160" t="inlineStr">
        <x:is>
          <x:t xml:space="preserve">https://www.bhp.com/investors</x:t>
        </x:is>
      </x:c>
      <x:c r="W902" s="160" t="inlineStr">
        <x:is>
          <x:t xml:space="preserve">NO</x:t>
        </x:is>
      </x:c>
      <x:c r="X902" s="160" t="inlineStr">
        <x:is>
          <x:t xml:space="preserve">NONE — DEVELOPMENT ONLY</x:t>
        </x:is>
      </x:c>
      <x:c r="Y902" s="160" t="inlineStr">
        <x:is>
          <x:t xml:space="preserve">Synthetic/adversarial model-development loop. No historical outcome is claimed; no accuracy point is awarded.</x:t>
        </x:is>
      </x:c>
    </x:row>
    <x:row r="903">
      <x:c r="A903" s="160" t="inlineStr">
        <x:is>
          <x:t xml:space="preserve">ML0898</x:t>
        </x:is>
      </x:c>
      <x:c r="B903" s="160" t="inlineStr">
        <x:is>
          <x:t xml:space="preserve">ARG-057</x:t>
        </x:is>
      </x:c>
      <x:c r="C903" s="160" t="inlineStr">
        <x:is>
          <x:t xml:space="preserve">BHP Group</x:t>
        </x:is>
      </x:c>
      <x:c r="D903" s="160" t="inlineStr">
        <x:is>
          <x:t xml:space="preserve">BHP</x:t>
        </x:is>
      </x:c>
      <x:c r="E903" s="160" t="inlineStr">
        <x:is>
          <x:t xml:space="preserve">Materials &amp; Mining</x:t>
        </x:is>
      </x:c>
      <x:c r="F903" s="160" t="inlineStr">
        <x:is>
          <x:t xml:space="preserve">Development</x:t>
        </x:is>
      </x:c>
      <x:c r="G903" s="160" t="inlineStr">
        <x:is>
          <x:t xml:space="preserve">S02</x:t>
        </x:is>
      </x:c>
      <x:c r="H903" s="160" t="inlineStr">
        <x:is>
          <x:t xml:space="preserve">Owner Earnings Normalization</x:t>
        </x:is>
      </x:c>
      <x:c r="I903" s="160" t="inlineStr">
        <x:is>
          <x:t xml:space="preserve">Owner Earnings</x:t>
        </x:is>
      </x:c>
      <x:c r="J903" s="160" t="inlineStr">
        <x:is>
          <x:t xml:space="preserve">Reported earnings/FCF overstates economic cash because recurring reinvestment or non-cash compensation is misclassified.</x:t>
        </x:is>
      </x:c>
      <x:c r="K903" s="160" t="inlineStr">
        <x:is>
          <x:t xml:space="preserve">Commodity volume × price − unit cost/sustaining capex</x:t>
        </x:is>
      </x:c>
      <x:c r="L903" s="160" t="inlineStr">
        <x:is>
          <x:t xml:space="preserve">Asset NAV + mid-cycle FCF</x:t>
        </x:is>
      </x:c>
      <x:c r="M903" s="160" t="inlineStr">
        <x:is>
          <x:t xml:space="preserve">NO PRODUCTION DECISION — STRESS TEST ONLY</x:t>
        </x:is>
      </x:c>
      <x:c r="N903" s="160" t="inlineStr">
        <x:is>
          <x:t xml:space="preserve">R-OE-01</x:t>
        </x:is>
      </x:c>
      <x:c r="O903" s="160" t="inlineStr">
        <x:is>
          <x:t xml:space="preserve">MATURE</x:t>
        </x:is>
      </x:c>
      <x:c r="P903" s="160" t="inlineStr">
        <x:is>
          <x:t xml:space="preserve">ROBUST</x:t>
        </x:is>
      </x:c>
      <x:c r="Q903" s="160" t="inlineStr">
        <x:is>
          <x:t xml:space="preserve">The mature simulation rule catches the stress without weakening a fatal gate; no rule relaxation is justified.</x:t>
        </x:is>
      </x:c>
      <x:c r="R903" s="160" t="inlineStr">
        <x:is>
          <x:t xml:space="preserve">Require a GAAP-to-economic-owner-cash bridge tailored to the business model.</x:t>
        </x:is>
      </x:c>
      <x:c r="S903" s="160" t="inlineStr">
        <x:is>
          <x:t xml:space="preserve">NO</x:t>
        </x:is>
      </x:c>
      <x:c r="T903" s="160" t="inlineStr">
        <x:is>
          <x:t xml:space="preserve">MATURE</x:t>
        </x:is>
      </x:c>
      <x:c r="U903" s="160" t="inlineStr">
        <x:is>
          <x:t xml:space="preserve">V10.5-SIM82</x:t>
        </x:is>
      </x:c>
      <x:c r="V903" s="160" t="inlineStr">
        <x:is>
          <x:t xml:space="preserve">https://www.bhp.com/investors</x:t>
        </x:is>
      </x:c>
      <x:c r="W903" s="160" t="inlineStr">
        <x:is>
          <x:t xml:space="preserve">NO</x:t>
        </x:is>
      </x:c>
      <x:c r="X903" s="160" t="inlineStr">
        <x:is>
          <x:t xml:space="preserve">NONE — DEVELOPMENT ONLY</x:t>
        </x:is>
      </x:c>
      <x:c r="Y903" s="160" t="inlineStr">
        <x:is>
          <x:t xml:space="preserve">Synthetic/adversarial model-development loop. No historical outcome is claimed; no accuracy point is awarded.</x:t>
        </x:is>
      </x:c>
    </x:row>
    <x:row r="904">
      <x:c r="A904" s="160" t="inlineStr">
        <x:is>
          <x:t xml:space="preserve">ML0899</x:t>
        </x:is>
      </x:c>
      <x:c r="B904" s="160" t="inlineStr">
        <x:is>
          <x:t xml:space="preserve">ARG-057</x:t>
        </x:is>
      </x:c>
      <x:c r="C904" s="160" t="inlineStr">
        <x:is>
          <x:t xml:space="preserve">BHP Group</x:t>
        </x:is>
      </x:c>
      <x:c r="D904" s="160" t="inlineStr">
        <x:is>
          <x:t xml:space="preserve">BHP</x:t>
        </x:is>
      </x:c>
      <x:c r="E904" s="160" t="inlineStr">
        <x:is>
          <x:t xml:space="preserve">Materials &amp; Mining</x:t>
        </x:is>
      </x:c>
      <x:c r="F904" s="160" t="inlineStr">
        <x:is>
          <x:t xml:space="preserve">Development</x:t>
        </x:is>
      </x:c>
      <x:c r="G904" s="160" t="inlineStr">
        <x:is>
          <x:t xml:space="preserve">S03</x:t>
        </x:is>
      </x:c>
      <x:c r="H904" s="160" t="inlineStr">
        <x:is>
          <x:t xml:space="preserve">Moat Durability</x:t>
        </x:is>
      </x:c>
      <x:c r="I904" s="160" t="inlineStr">
        <x:is>
          <x:t xml:space="preserve">Moat 2036</x:t>
        </x:is>
      </x:c>
      <x:c r="J904" s="160" t="inlineStr">
        <x:is>
          <x:t xml:space="preserve">Growth continues while switching friction, pricing power or replacement difficulty quietly weakens.</x:t>
        </x:is>
      </x:c>
      <x:c r="K904" s="160" t="inlineStr">
        <x:is>
          <x:t xml:space="preserve">Commodity volume × price − unit cost/sustaining capex</x:t>
        </x:is>
      </x:c>
      <x:c r="L904" s="160" t="inlineStr">
        <x:is>
          <x:t xml:space="preserve">Asset NAV + mid-cycle FCF</x:t>
        </x:is>
      </x:c>
      <x:c r="M904" s="160" t="inlineStr">
        <x:is>
          <x:t xml:space="preserve">NO PRODUCTION DECISION — STRESS TEST ONLY</x:t>
        </x:is>
      </x:c>
      <x:c r="N904" s="160" t="inlineStr">
        <x:is>
          <x:t xml:space="preserve">R-MOAT-01</x:t>
        </x:is>
      </x:c>
      <x:c r="O904" s="160" t="inlineStr">
        <x:is>
          <x:t xml:space="preserve">MATURE</x:t>
        </x:is>
      </x:c>
      <x:c r="P904" s="160" t="inlineStr">
        <x:is>
          <x:t xml:space="preserve">ROBUST</x:t>
        </x:is>
      </x:c>
      <x:c r="Q904" s="160" t="inlineStr">
        <x:is>
          <x:t xml:space="preserve">The mature simulation rule catches the stress without weakening a fatal gate; no rule relaxation is justified.</x:t>
        </x:is>
      </x:c>
      <x:c r="R904" s="160" t="inlineStr">
        <x:is>
          <x:t xml:space="preserve">Track moat telemetry separately from growth: retention, pricing, win/loss, replacement friction, installed-base behavior.</x:t>
        </x:is>
      </x:c>
      <x:c r="S904" s="160" t="inlineStr">
        <x:is>
          <x:t xml:space="preserve">NO</x:t>
        </x:is>
      </x:c>
      <x:c r="T904" s="160" t="inlineStr">
        <x:is>
          <x:t xml:space="preserve">MATURE</x:t>
        </x:is>
      </x:c>
      <x:c r="U904" s="160" t="inlineStr">
        <x:is>
          <x:t xml:space="preserve">V10.5-SIM82</x:t>
        </x:is>
      </x:c>
      <x:c r="V904" s="160" t="inlineStr">
        <x:is>
          <x:t xml:space="preserve">https://www.bhp.com/investors</x:t>
        </x:is>
      </x:c>
      <x:c r="W904" s="160" t="inlineStr">
        <x:is>
          <x:t xml:space="preserve">NO</x:t>
        </x:is>
      </x:c>
      <x:c r="X904" s="160" t="inlineStr">
        <x:is>
          <x:t xml:space="preserve">NONE — DEVELOPMENT ONLY</x:t>
        </x:is>
      </x:c>
      <x:c r="Y904" s="160" t="inlineStr">
        <x:is>
          <x:t xml:space="preserve">Synthetic/adversarial model-development loop. No historical outcome is claimed; no accuracy point is awarded.</x:t>
        </x:is>
      </x:c>
    </x:row>
    <x:row r="905">
      <x:c r="A905" s="160" t="inlineStr">
        <x:is>
          <x:t xml:space="preserve">ML0900</x:t>
        </x:is>
      </x:c>
      <x:c r="B905" s="160" t="inlineStr">
        <x:is>
          <x:t xml:space="preserve">ARG-057</x:t>
        </x:is>
      </x:c>
      <x:c r="C905" s="160" t="inlineStr">
        <x:is>
          <x:t xml:space="preserve">BHP Group</x:t>
        </x:is>
      </x:c>
      <x:c r="D905" s="160" t="inlineStr">
        <x:is>
          <x:t xml:space="preserve">BHP</x:t>
        </x:is>
      </x:c>
      <x:c r="E905" s="160" t="inlineStr">
        <x:is>
          <x:t xml:space="preserve">Materials &amp; Mining</x:t>
        </x:is>
      </x:c>
      <x:c r="F905" s="160" t="inlineStr">
        <x:is>
          <x:t xml:space="preserve">Development</x:t>
        </x:is>
      </x:c>
      <x:c r="G905" s="160" t="inlineStr">
        <x:is>
          <x:t xml:space="preserve">S04</x:t>
        </x:is>
      </x:c>
      <x:c r="H905" s="160" t="inlineStr">
        <x:is>
          <x:t xml:space="preserve">Stewardship / Capital Allocation</x:t>
        </x:is>
      </x:c>
      <x:c r="I905" s="160" t="inlineStr">
        <x:is>
          <x:t xml:space="preserve">Stewardship</x:t>
        </x:is>
      </x:c>
      <x:c r="J905" s="160" t="inlineStr">
        <x:is>
          <x:t xml:space="preserve">Management creates enterprise growth while destroying per-share value through M&amp;A, dilution, leverage or mistimed buybacks.</x:t>
        </x:is>
      </x:c>
      <x:c r="K905" s="160" t="inlineStr">
        <x:is>
          <x:t xml:space="preserve">Commodity volume × price − unit cost/sustaining capex</x:t>
        </x:is>
      </x:c>
      <x:c r="L905" s="160" t="inlineStr">
        <x:is>
          <x:t xml:space="preserve">Asset NAV + mid-cycle FCF</x:t>
        </x:is>
      </x:c>
      <x:c r="M905" s="160" t="inlineStr">
        <x:is>
          <x:t xml:space="preserve">NO PRODUCTION DECISION — STRESS TEST ONLY</x:t>
        </x:is>
      </x:c>
      <x:c r="N905" s="160" t="inlineStr">
        <x:is>
          <x:t xml:space="preserve">R-STEW-01</x:t>
        </x:is>
      </x:c>
      <x:c r="O905" s="160" t="inlineStr">
        <x:is>
          <x:t xml:space="preserve">MATURE</x:t>
        </x:is>
      </x:c>
      <x:c r="P905" s="160" t="inlineStr">
        <x:is>
          <x:t xml:space="preserve">ROBUST</x:t>
        </x:is>
      </x:c>
      <x:c r="Q905" s="160" t="inlineStr">
        <x:is>
          <x:t xml:space="preserve">The mature simulation rule catches the stress without weakening a fatal gate; no rule relaxation is justified.</x:t>
        </x:is>
      </x:c>
      <x:c r="R905" s="160" t="inlineStr">
        <x:is>
          <x:t xml:space="preserve">Evaluate capital allocation on a per-share basis using acquisition cohorts, dilution, leverage and repurchase price discipline.</x:t>
        </x:is>
      </x:c>
      <x:c r="S905" s="160" t="inlineStr">
        <x:is>
          <x:t xml:space="preserve">NO</x:t>
        </x:is>
      </x:c>
      <x:c r="T905" s="160" t="inlineStr">
        <x:is>
          <x:t xml:space="preserve">MATURE</x:t>
        </x:is>
      </x:c>
      <x:c r="U905" s="160" t="inlineStr">
        <x:is>
          <x:t xml:space="preserve">V10.5-SIM82</x:t>
        </x:is>
      </x:c>
      <x:c r="V905" s="160" t="inlineStr">
        <x:is>
          <x:t xml:space="preserve">https://www.bhp.com/investors</x:t>
        </x:is>
      </x:c>
      <x:c r="W905" s="160" t="inlineStr">
        <x:is>
          <x:t xml:space="preserve">NO</x:t>
        </x:is>
      </x:c>
      <x:c r="X905" s="160" t="inlineStr">
        <x:is>
          <x:t xml:space="preserve">NONE — DEVELOPMENT ONLY</x:t>
        </x:is>
      </x:c>
      <x:c r="Y905" s="160" t="inlineStr">
        <x:is>
          <x:t xml:space="preserve">Synthetic/adversarial model-development loop. No historical outcome is claimed; no accuracy point is awarded.</x:t>
        </x:is>
      </x:c>
    </x:row>
    <x:row r="906">
      <x:c r="A906" s="160" t="inlineStr">
        <x:is>
          <x:t xml:space="preserve">ML0901</x:t>
        </x:is>
      </x:c>
      <x:c r="B906" s="160" t="inlineStr">
        <x:is>
          <x:t xml:space="preserve">ARG-057</x:t>
        </x:is>
      </x:c>
      <x:c r="C906" s="160" t="inlineStr">
        <x:is>
          <x:t xml:space="preserve">BHP Group</x:t>
        </x:is>
      </x:c>
      <x:c r="D906" s="160" t="inlineStr">
        <x:is>
          <x:t xml:space="preserve">BHP</x:t>
        </x:is>
      </x:c>
      <x:c r="E906" s="160" t="inlineStr">
        <x:is>
          <x:t xml:space="preserve">Materials &amp; Mining</x:t>
        </x:is>
      </x:c>
      <x:c r="F906" s="160" t="inlineStr">
        <x:is>
          <x:t xml:space="preserve">Development</x:t>
        </x:is>
      </x:c>
      <x:c r="G906" s="160" t="inlineStr">
        <x:is>
          <x:t xml:space="preserve">S05</x:t>
        </x:is>
      </x:c>
      <x:c r="H906" s="160" t="inlineStr">
        <x:is>
          <x:t xml:space="preserve">Survival / Funding</x:t>
        </x:is>
      </x:c>
      <x:c r="I906" s="160" t="inlineStr">
        <x:is>
          <x:t xml:space="preserve">Survival</x:t>
        </x:is>
      </x:c>
      <x:c r="J906" s="160" t="inlineStr">
        <x:is>
          <x:t xml:space="preserve">A plausible bear case exposes refinancing, liquidity, covenant, reserve, regulatory or operational fragility.</x:t>
        </x:is>
      </x:c>
      <x:c r="K906" s="160" t="inlineStr">
        <x:is>
          <x:t xml:space="preserve">Commodity volume × price − unit cost/sustaining capex</x:t>
        </x:is>
      </x:c>
      <x:c r="L906" s="160" t="inlineStr">
        <x:is>
          <x:t xml:space="preserve">Asset NAV + mid-cycle FCF</x:t>
        </x:is>
      </x:c>
      <x:c r="M906" s="160" t="inlineStr">
        <x:is>
          <x:t xml:space="preserve">NO PRODUCTION DECISION — STRESS TEST ONLY</x:t>
        </x:is>
      </x:c>
      <x:c r="N906" s="160" t="inlineStr">
        <x:is>
          <x:t xml:space="preserve">R-SURV-01</x:t>
        </x:is>
      </x:c>
      <x:c r="O906" s="160" t="inlineStr">
        <x:is>
          <x:t xml:space="preserve">MATURE</x:t>
        </x:is>
      </x:c>
      <x:c r="P906" s="160" t="inlineStr">
        <x:is>
          <x:t xml:space="preserve">ROBUST</x:t>
        </x:is>
      </x:c>
      <x:c r="Q906" s="160" t="inlineStr">
        <x:is>
          <x:t xml:space="preserve">The mature simulation rule catches the stress without weakening a fatal gate; no rule relaxation is justified.</x:t>
        </x:is>
      </x:c>
      <x:c r="R906" s="160" t="inlineStr">
        <x:is>
          <x:t xml:space="preserve">Run a company-specific survival bridge under a severe-but-plausible bear case before any upside underwriting.</x:t>
        </x:is>
      </x:c>
      <x:c r="S906" s="160" t="inlineStr">
        <x:is>
          <x:t xml:space="preserve">NO</x:t>
        </x:is>
      </x:c>
      <x:c r="T906" s="160" t="inlineStr">
        <x:is>
          <x:t xml:space="preserve">MATURE</x:t>
        </x:is>
      </x:c>
      <x:c r="U906" s="160" t="inlineStr">
        <x:is>
          <x:t xml:space="preserve">V10.5-SIM82</x:t>
        </x:is>
      </x:c>
      <x:c r="V906" s="160" t="inlineStr">
        <x:is>
          <x:t xml:space="preserve">https://www.bhp.com/investors</x:t>
        </x:is>
      </x:c>
      <x:c r="W906" s="160" t="inlineStr">
        <x:is>
          <x:t xml:space="preserve">NO</x:t>
        </x:is>
      </x:c>
      <x:c r="X906" s="160" t="inlineStr">
        <x:is>
          <x:t xml:space="preserve">NONE — DEVELOPMENT ONLY</x:t>
        </x:is>
      </x:c>
      <x:c r="Y906" s="160" t="inlineStr">
        <x:is>
          <x:t xml:space="preserve">Synthetic/adversarial model-development loop. No historical outcome is claimed; no accuracy point is awarded.</x:t>
        </x:is>
      </x:c>
    </x:row>
    <x:row r="907">
      <x:c r="A907" s="160" t="inlineStr">
        <x:is>
          <x:t xml:space="preserve">ML0902</x:t>
        </x:is>
      </x:c>
      <x:c r="B907" s="160" t="inlineStr">
        <x:is>
          <x:t xml:space="preserve">ARG-057</x:t>
        </x:is>
      </x:c>
      <x:c r="C907" s="160" t="inlineStr">
        <x:is>
          <x:t xml:space="preserve">BHP Group</x:t>
        </x:is>
      </x:c>
      <x:c r="D907" s="160" t="inlineStr">
        <x:is>
          <x:t xml:space="preserve">BHP</x:t>
        </x:is>
      </x:c>
      <x:c r="E907" s="160" t="inlineStr">
        <x:is>
          <x:t xml:space="preserve">Materials &amp; Mining</x:t>
        </x:is>
      </x:c>
      <x:c r="F907" s="160" t="inlineStr">
        <x:is>
          <x:t xml:space="preserve">Development</x:t>
        </x:is>
      </x:c>
      <x:c r="G907" s="160" t="inlineStr">
        <x:is>
          <x:t xml:space="preserve">S06</x:t>
        </x:is>
      </x:c>
      <x:c r="H907" s="160" t="inlineStr">
        <x:is>
          <x:t xml:space="preserve">Margin of Safety</x:t>
        </x:is>
      </x:c>
      <x:c r="I907" s="160" t="inlineStr">
        <x:is>
          <x:t xml:space="preserve">Margin of Safety</x:t>
        </x:is>
      </x:c>
      <x:c r="J907" s="160" t="inlineStr">
        <x:is>
          <x:t xml:space="preserve">Business quality is high but the price embeds a fragile bull case.</x:t>
        </x:is>
      </x:c>
      <x:c r="K907" s="160" t="inlineStr">
        <x:is>
          <x:t xml:space="preserve">Commodity volume × price − unit cost/sustaining capex</x:t>
        </x:is>
      </x:c>
      <x:c r="L907" s="160" t="inlineStr">
        <x:is>
          <x:t xml:space="preserve">Asset NAV + mid-cycle FCF</x:t>
        </x:is>
      </x:c>
      <x:c r="M907" s="160" t="inlineStr">
        <x:is>
          <x:t xml:space="preserve">NO PRODUCTION DECISION — STRESS TEST ONLY</x:t>
        </x:is>
      </x:c>
      <x:c r="N907" s="160" t="inlineStr">
        <x:is>
          <x:t xml:space="preserve">R-MOS-01</x:t>
        </x:is>
      </x:c>
      <x:c r="O907" s="160" t="inlineStr">
        <x:is>
          <x:t xml:space="preserve">MATURE</x:t>
        </x:is>
      </x:c>
      <x:c r="P907" s="160" t="inlineStr">
        <x:is>
          <x:t xml:space="preserve">ROBUST</x:t>
        </x:is>
      </x:c>
      <x:c r="Q907" s="160" t="inlineStr">
        <x:is>
          <x:t xml:space="preserve">The mature simulation rule catches the stress without weakening a fatal gate; no rule relaxation is justified.</x:t>
        </x:is>
      </x:c>
      <x:c r="R907" s="160" t="inlineStr">
        <x:is>
          <x:t xml:space="preserve">Separate business-quality score from price decision; require reverse valuation and bear/base/bull IV ranges.</x:t>
        </x:is>
      </x:c>
      <x:c r="S907" s="160" t="inlineStr">
        <x:is>
          <x:t xml:space="preserve">NO</x:t>
        </x:is>
      </x:c>
      <x:c r="T907" s="160" t="inlineStr">
        <x:is>
          <x:t xml:space="preserve">MATURE</x:t>
        </x:is>
      </x:c>
      <x:c r="U907" s="160" t="inlineStr">
        <x:is>
          <x:t xml:space="preserve">V10.5-SIM82</x:t>
        </x:is>
      </x:c>
      <x:c r="V907" s="160" t="inlineStr">
        <x:is>
          <x:t xml:space="preserve">https://www.bhp.com/investors</x:t>
        </x:is>
      </x:c>
      <x:c r="W907" s="160" t="inlineStr">
        <x:is>
          <x:t xml:space="preserve">NO</x:t>
        </x:is>
      </x:c>
      <x:c r="X907" s="160" t="inlineStr">
        <x:is>
          <x:t xml:space="preserve">NONE — DEVELOPMENT ONLY</x:t>
        </x:is>
      </x:c>
      <x:c r="Y907" s="160" t="inlineStr">
        <x:is>
          <x:t xml:space="preserve">Synthetic/adversarial model-development loop. No historical outcome is claimed; no accuracy point is awarded.</x:t>
        </x:is>
      </x:c>
    </x:row>
    <x:row r="908">
      <x:c r="A908" s="160" t="inlineStr">
        <x:is>
          <x:t xml:space="preserve">ML0903</x:t>
        </x:is>
      </x:c>
      <x:c r="B908" s="160" t="inlineStr">
        <x:is>
          <x:t xml:space="preserve">ARG-057</x:t>
        </x:is>
      </x:c>
      <x:c r="C908" s="160" t="inlineStr">
        <x:is>
          <x:t xml:space="preserve">BHP Group</x:t>
        </x:is>
      </x:c>
      <x:c r="D908" s="160" t="inlineStr">
        <x:is>
          <x:t xml:space="preserve">BHP</x:t>
        </x:is>
      </x:c>
      <x:c r="E908" s="160" t="inlineStr">
        <x:is>
          <x:t xml:space="preserve">Materials &amp; Mining</x:t>
        </x:is>
      </x:c>
      <x:c r="F908" s="160" t="inlineStr">
        <x:is>
          <x:t xml:space="preserve">Development</x:t>
        </x:is>
      </x:c>
      <x:c r="G908" s="160" t="inlineStr">
        <x:is>
          <x:t xml:space="preserve">S07</x:t>
        </x:is>
      </x:c>
      <x:c r="H908" s="160" t="inlineStr">
        <x:is>
          <x:t xml:space="preserve">Sector Shock</x:t>
        </x:is>
      </x:c>
      <x:c r="I908" s="160" t="inlineStr">
        <x:is>
          <x:t xml:space="preserve">Sector-specific</x:t>
        </x:is>
      </x:c>
      <x:c r="J908" s="160" t="inlineStr">
        <x:is>
          <x:t xml:space="preserve">Commodity price lifts earnings while grade, sustaining capex, unit cost or project discipline weakens through-cycle value.</x:t>
        </x:is>
      </x:c>
      <x:c r="K908" s="160" t="inlineStr">
        <x:is>
          <x:t xml:space="preserve">Commodity volume × price − unit cost/sustaining capex</x:t>
        </x:is>
      </x:c>
      <x:c r="L908" s="160" t="inlineStr">
        <x:is>
          <x:t xml:space="preserve">Asset NAV + mid-cycle FCF</x:t>
        </x:is>
      </x:c>
      <x:c r="M908" s="160" t="inlineStr">
        <x:is>
          <x:t xml:space="preserve">NO PRODUCTION DECISION — STRESS TEST ONLY</x:t>
        </x:is>
      </x:c>
      <x:c r="N908" s="160" t="inlineStr">
        <x:is>
          <x:t xml:space="preserve">R-SECTOR-MATERIALS-MINING</x:t>
        </x:is>
      </x:c>
      <x:c r="O908" s="160" t="inlineStr">
        <x:is>
          <x:t xml:space="preserve">UNFORMED</x:t>
        </x:is>
      </x:c>
      <x:c r="P908" s="160" t="inlineStr">
        <x:is>
          <x:t xml:space="preserve">FAILURE EXPOSED</x:t>
        </x:is>
      </x:c>
      <x:c r="Q908" s="160" t="inlineStr">
        <x:is>
          <x:t xml:space="preserve">The frozen V10 gate family is directionally right, but the test lacks a sufficiently explicit mechanical implementation.</x:t>
        </x:is>
      </x:c>
      <x:c r="R908" s="160" t="inlineStr">
        <x:is>
          <x:t xml:space="preserve">Add a sector-specific transmission map with leading operating sensors, not only market-price variables. Sector rule: Commodity price lifts earnings while grade, sustaining capex, unit cost or project discipline weakens through-cycle value.</x:t>
        </x:is>
      </x:c>
      <x:c r="S908" s="160" t="inlineStr">
        <x:is>
          <x:t xml:space="preserve">NO</x:t>
        </x:is>
      </x:c>
      <x:c r="T908" s="160" t="inlineStr">
        <x:is>
          <x:t xml:space="preserve">UNFORMED</x:t>
        </x:is>
      </x:c>
      <x:c r="U908" s="160" t="inlineStr">
        <x:is>
          <x:t xml:space="preserve">V10.5-SIM82</x:t>
        </x:is>
      </x:c>
      <x:c r="V908" s="160" t="inlineStr">
        <x:is>
          <x:t xml:space="preserve">https://www.bhp.com/investors</x:t>
        </x:is>
      </x:c>
      <x:c r="W908" s="160" t="inlineStr">
        <x:is>
          <x:t xml:space="preserve">NO</x:t>
        </x:is>
      </x:c>
      <x:c r="X908" s="160" t="inlineStr">
        <x:is>
          <x:t xml:space="preserve">NONE — DEVELOPMENT ONLY</x:t>
        </x:is>
      </x:c>
      <x:c r="Y908" s="160" t="inlineStr">
        <x:is>
          <x:t xml:space="preserve">Synthetic/adversarial model-development loop. No historical outcome is claimed; no accuracy point is awarded.</x:t>
        </x:is>
      </x:c>
    </x:row>
    <x:row r="909">
      <x:c r="A909" s="160" t="inlineStr">
        <x:is>
          <x:t xml:space="preserve">ML0904</x:t>
        </x:is>
      </x:c>
      <x:c r="B909" s="160" t="inlineStr">
        <x:is>
          <x:t xml:space="preserve">ARG-057</x:t>
        </x:is>
      </x:c>
      <x:c r="C909" s="160" t="inlineStr">
        <x:is>
          <x:t xml:space="preserve">BHP Group</x:t>
        </x:is>
      </x:c>
      <x:c r="D909" s="160" t="inlineStr">
        <x:is>
          <x:t xml:space="preserve">BHP</x:t>
        </x:is>
      </x:c>
      <x:c r="E909" s="160" t="inlineStr">
        <x:is>
          <x:t xml:space="preserve">Materials &amp; Mining</x:t>
        </x:is>
      </x:c>
      <x:c r="F909" s="160" t="inlineStr">
        <x:is>
          <x:t xml:space="preserve">Development</x:t>
        </x:is>
      </x:c>
      <x:c r="G909" s="160" t="inlineStr">
        <x:is>
          <x:t xml:space="preserve">S08</x:t>
        </x:is>
      </x:c>
      <x:c r="H909" s="160" t="inlineStr">
        <x:is>
          <x:t xml:space="preserve">Management Promise Reliability</x:t>
        </x:is>
      </x:c>
      <x:c r="I909" s="160" t="inlineStr">
        <x:is>
          <x:t xml:space="preserve">Management over-trust</x:t>
        </x:is>
      </x:c>
      <x:c r="J909" s="160" t="inlineStr">
        <x:is>
          <x:t xml:space="preserve">Guidance or strategic promises are repeated but the model lacks a contemporaneous reliability score.</x:t>
        </x:is>
      </x:c>
      <x:c r="K909" s="160" t="inlineStr">
        <x:is>
          <x:t xml:space="preserve">Commodity volume × price − unit cost/sustaining capex</x:t>
        </x:is>
      </x:c>
      <x:c r="L909" s="160" t="inlineStr">
        <x:is>
          <x:t xml:space="preserve">Asset NAV + mid-cycle FCF</x:t>
        </x:is>
      </x:c>
      <x:c r="M909" s="160" t="inlineStr">
        <x:is>
          <x:t xml:space="preserve">NO PRODUCTION DECISION — STRESS TEST ONLY</x:t>
        </x:is>
      </x:c>
      <x:c r="N909" s="160" t="inlineStr">
        <x:is>
          <x:t xml:space="preserve">R-PROM-01</x:t>
        </x:is>
      </x:c>
      <x:c r="O909" s="160" t="inlineStr">
        <x:is>
          <x:t xml:space="preserve">MATURE</x:t>
        </x:is>
      </x:c>
      <x:c r="P909" s="160" t="inlineStr">
        <x:is>
          <x:t xml:space="preserve">ROBUST</x:t>
        </x:is>
      </x:c>
      <x:c r="Q909" s="160" t="inlineStr">
        <x:is>
          <x:t xml:space="preserve">The mature simulation rule catches the stress without weakening a fatal gate; no rule relaxation is justified.</x:t>
        </x:is>
      </x:c>
      <x:c r="R909" s="160" t="inlineStr">
        <x:is>
          <x:t xml:space="preserve">Use a promises ledger with dated promise, measurable deliverable, due date, outcome and credibility weight.</x:t>
        </x:is>
      </x:c>
      <x:c r="S909" s="160" t="inlineStr">
        <x:is>
          <x:t xml:space="preserve">NO</x:t>
        </x:is>
      </x:c>
      <x:c r="T909" s="160" t="inlineStr">
        <x:is>
          <x:t xml:space="preserve">MATURE</x:t>
        </x:is>
      </x:c>
      <x:c r="U909" s="160" t="inlineStr">
        <x:is>
          <x:t xml:space="preserve">V10.5-SIM82</x:t>
        </x:is>
      </x:c>
      <x:c r="V909" s="160" t="inlineStr">
        <x:is>
          <x:t xml:space="preserve">https://www.bhp.com/investors</x:t>
        </x:is>
      </x:c>
      <x:c r="W909" s="160" t="inlineStr">
        <x:is>
          <x:t xml:space="preserve">NO</x:t>
        </x:is>
      </x:c>
      <x:c r="X909" s="160" t="inlineStr">
        <x:is>
          <x:t xml:space="preserve">NONE — DEVELOPMENT ONLY</x:t>
        </x:is>
      </x:c>
      <x:c r="Y909" s="160" t="inlineStr">
        <x:is>
          <x:t xml:space="preserve">Synthetic/adversarial model-development loop. No historical outcome is claimed; no accuracy point is awarded.</x:t>
        </x:is>
      </x:c>
    </x:row>
    <x:row r="910">
      <x:c r="A910" s="160" t="inlineStr">
        <x:is>
          <x:t xml:space="preserve">ML0905</x:t>
        </x:is>
      </x:c>
      <x:c r="B910" s="160" t="inlineStr">
        <x:is>
          <x:t xml:space="preserve">ARG-057</x:t>
        </x:is>
      </x:c>
      <x:c r="C910" s="160" t="inlineStr">
        <x:is>
          <x:t xml:space="preserve">BHP Group</x:t>
        </x:is>
      </x:c>
      <x:c r="D910" s="160" t="inlineStr">
        <x:is>
          <x:t xml:space="preserve">BHP</x:t>
        </x:is>
      </x:c>
      <x:c r="E910" s="160" t="inlineStr">
        <x:is>
          <x:t xml:space="preserve">Materials &amp; Mining</x:t>
        </x:is>
      </x:c>
      <x:c r="F910" s="160" t="inlineStr">
        <x:is>
          <x:t xml:space="preserve">Development</x:t>
        </x:is>
      </x:c>
      <x:c r="G910" s="160" t="inlineStr">
        <x:is>
          <x:t xml:space="preserve">S09</x:t>
        </x:is>
      </x:c>
      <x:c r="H910" s="160" t="inlineStr">
        <x:is>
          <x:t xml:space="preserve">Data / Accounting Quality</x:t>
        </x:is>
      </x:c>
      <x:c r="I910" s="160" t="inlineStr">
        <x:is>
          <x:t xml:space="preserve">Data quality</x:t>
        </x:is>
      </x:c>
      <x:c r="J910" s="160" t="inlineStr">
        <x:is>
          <x:t xml:space="preserve">Restatement, segment reclassification, one-time item or non-economic fair-value movement distorts the apparent trend.</x:t>
        </x:is>
      </x:c>
      <x:c r="K910" s="160" t="inlineStr">
        <x:is>
          <x:t xml:space="preserve">Commodity volume × price − unit cost/sustaining capex</x:t>
        </x:is>
      </x:c>
      <x:c r="L910" s="160" t="inlineStr">
        <x:is>
          <x:t xml:space="preserve">Asset NAV + mid-cycle FCF</x:t>
        </x:is>
      </x:c>
      <x:c r="M910" s="160" t="inlineStr">
        <x:is>
          <x:t xml:space="preserve">NO PRODUCTION DECISION — STRESS TEST ONLY</x:t>
        </x:is>
      </x:c>
      <x:c r="N910" s="160" t="inlineStr">
        <x:is>
          <x:t xml:space="preserve">R-DATA-01</x:t>
        </x:is>
      </x:c>
      <x:c r="O910" s="160" t="inlineStr">
        <x:is>
          <x:t xml:space="preserve">MATURE</x:t>
        </x:is>
      </x:c>
      <x:c r="P910" s="160" t="inlineStr">
        <x:is>
          <x:t xml:space="preserve">ROBUST</x:t>
        </x:is>
      </x:c>
      <x:c r="Q910" s="160" t="inlineStr">
        <x:is>
          <x:t xml:space="preserve">The mature simulation rule catches the stress without weakening a fatal gate; no rule relaxation is justified.</x:t>
        </x:is>
      </x:c>
      <x:c r="R910" s="160" t="inlineStr">
        <x:is>
          <x:t xml:space="preserve">Add a reporting-quality bridge and normalize accounting noise before any gate can pass.</x:t>
        </x:is>
      </x:c>
      <x:c r="S910" s="160" t="inlineStr">
        <x:is>
          <x:t xml:space="preserve">NO</x:t>
        </x:is>
      </x:c>
      <x:c r="T910" s="160" t="inlineStr">
        <x:is>
          <x:t xml:space="preserve">MATURE</x:t>
        </x:is>
      </x:c>
      <x:c r="U910" s="160" t="inlineStr">
        <x:is>
          <x:t xml:space="preserve">V10.5-SIM82</x:t>
        </x:is>
      </x:c>
      <x:c r="V910" s="160" t="inlineStr">
        <x:is>
          <x:t xml:space="preserve">https://www.bhp.com/investors</x:t>
        </x:is>
      </x:c>
      <x:c r="W910" s="160" t="inlineStr">
        <x:is>
          <x:t xml:space="preserve">NO</x:t>
        </x:is>
      </x:c>
      <x:c r="X910" s="160" t="inlineStr">
        <x:is>
          <x:t xml:space="preserve">NONE — DEVELOPMENT ONLY</x:t>
        </x:is>
      </x:c>
      <x:c r="Y910" s="160" t="inlineStr">
        <x:is>
          <x:t xml:space="preserve">Synthetic/adversarial model-development loop. No historical outcome is claimed; no accuracy point is awarded.</x:t>
        </x:is>
      </x:c>
    </x:row>
    <x:row r="911">
      <x:c r="A911" s="160" t="inlineStr">
        <x:is>
          <x:t xml:space="preserve">ML0906</x:t>
        </x:is>
      </x:c>
      <x:c r="B911" s="160" t="inlineStr">
        <x:is>
          <x:t xml:space="preserve">ARG-057</x:t>
        </x:is>
      </x:c>
      <x:c r="C911" s="160" t="inlineStr">
        <x:is>
          <x:t xml:space="preserve">BHP Group</x:t>
        </x:is>
      </x:c>
      <x:c r="D911" s="160" t="inlineStr">
        <x:is>
          <x:t xml:space="preserve">BHP</x:t>
        </x:is>
      </x:c>
      <x:c r="E911" s="160" t="inlineStr">
        <x:is>
          <x:t xml:space="preserve">Materials &amp; Mining</x:t>
        </x:is>
      </x:c>
      <x:c r="F911" s="160" t="inlineStr">
        <x:is>
          <x:t xml:space="preserve">Development</x:t>
        </x:is>
      </x:c>
      <x:c r="G911" s="160" t="inlineStr">
        <x:is>
          <x:t xml:space="preserve">S10</x:t>
        </x:is>
      </x:c>
      <x:c r="H911" s="160" t="inlineStr">
        <x:is>
          <x:t xml:space="preserve">Control / Counterfactual</x:t>
        </x:is>
      </x:c>
      <x:c r="I911" s="160" t="inlineStr">
        <x:is>
          <x:t xml:space="preserve">Sector beta vs company alpha</x:t>
        </x:is>
      </x:c>
      <x:c r="J911" s="160" t="inlineStr">
        <x:is>
          <x:t xml:space="preserve">A positive outcome is mostly sector beta or macro tailwind, not company-specific alpha.</x:t>
        </x:is>
      </x:c>
      <x:c r="K911" s="160" t="inlineStr">
        <x:is>
          <x:t xml:space="preserve">Commodity volume × price − unit cost/sustaining capex</x:t>
        </x:is>
      </x:c>
      <x:c r="L911" s="160" t="inlineStr">
        <x:is>
          <x:t xml:space="preserve">Asset NAV + mid-cycle FCF</x:t>
        </x:is>
      </x:c>
      <x:c r="M911" s="160" t="inlineStr">
        <x:is>
          <x:t xml:space="preserve">NO PRODUCTION DECISION — STRESS TEST ONLY</x:t>
        </x:is>
      </x:c>
      <x:c r="N911" s="160" t="inlineStr">
        <x:is>
          <x:t xml:space="preserve">R-CF-01</x:t>
        </x:is>
      </x:c>
      <x:c r="O911" s="160" t="inlineStr">
        <x:is>
          <x:t xml:space="preserve">MATURE</x:t>
        </x:is>
      </x:c>
      <x:c r="P911" s="160" t="inlineStr">
        <x:is>
          <x:t xml:space="preserve">ROBUST</x:t>
        </x:is>
      </x:c>
      <x:c r="Q911" s="160" t="inlineStr">
        <x:is>
          <x:t xml:space="preserve">The mature simulation rule catches the stress without weakening a fatal gate; no rule relaxation is justified.</x:t>
        </x:is>
      </x:c>
      <x:c r="R911" s="160" t="inlineStr">
        <x:is>
          <x:t xml:space="preserve">Require a true economic control and counterfactual: what should have happened to a comparable company under the same shock?</x:t>
        </x:is>
      </x:c>
      <x:c r="S911" s="160" t="inlineStr">
        <x:is>
          <x:t xml:space="preserve">NO</x:t>
        </x:is>
      </x:c>
      <x:c r="T911" s="160" t="inlineStr">
        <x:is>
          <x:t xml:space="preserve">MATURE</x:t>
        </x:is>
      </x:c>
      <x:c r="U911" s="160" t="inlineStr">
        <x:is>
          <x:t xml:space="preserve">V10.5-SIM82</x:t>
        </x:is>
      </x:c>
      <x:c r="V911" s="160" t="inlineStr">
        <x:is>
          <x:t xml:space="preserve">https://www.bhp.com/investors</x:t>
        </x:is>
      </x:c>
      <x:c r="W911" s="160" t="inlineStr">
        <x:is>
          <x:t xml:space="preserve">NO</x:t>
        </x:is>
      </x:c>
      <x:c r="X911" s="160" t="inlineStr">
        <x:is>
          <x:t xml:space="preserve">NONE — DEVELOPMENT ONLY</x:t>
        </x:is>
      </x:c>
      <x:c r="Y911" s="160" t="inlineStr">
        <x:is>
          <x:t xml:space="preserve">Synthetic/adversarial model-development loop. No historical outcome is claimed; no accuracy point is awarded.</x:t>
        </x:is>
      </x:c>
    </x:row>
    <x:row r="912">
      <x:c r="A912" s="160" t="inlineStr">
        <x:is>
          <x:t xml:space="preserve">ML0907</x:t>
        </x:is>
      </x:c>
      <x:c r="B912" s="160" t="inlineStr">
        <x:is>
          <x:t xml:space="preserve">ARG-057</x:t>
        </x:is>
      </x:c>
      <x:c r="C912" s="160" t="inlineStr">
        <x:is>
          <x:t xml:space="preserve">BHP Group</x:t>
        </x:is>
      </x:c>
      <x:c r="D912" s="160" t="inlineStr">
        <x:is>
          <x:t xml:space="preserve">BHP</x:t>
        </x:is>
      </x:c>
      <x:c r="E912" s="160" t="inlineStr">
        <x:is>
          <x:t xml:space="preserve">Materials &amp; Mining</x:t>
        </x:is>
      </x:c>
      <x:c r="F912" s="160" t="inlineStr">
        <x:is>
          <x:t xml:space="preserve">Development</x:t>
        </x:is>
      </x:c>
      <x:c r="G912" s="160" t="inlineStr">
        <x:is>
          <x:t xml:space="preserve">S11</x:t>
        </x:is>
      </x:c>
      <x:c r="H912" s="160" t="inlineStr">
        <x:is>
          <x:t xml:space="preserve">False-Negative Discipline</x:t>
        </x:is>
      </x:c>
      <x:c r="I912" s="160" t="inlineStr">
        <x:is>
          <x:t xml:space="preserve">False negative</x:t>
        </x:is>
      </x:c>
      <x:c r="J912" s="160" t="inlineStr">
        <x:is>
          <x:t xml:space="preserve">A strict gate rejects a company that later compounds strongly for reasons the model could have known.</x:t>
        </x:is>
      </x:c>
      <x:c r="K912" s="160" t="inlineStr">
        <x:is>
          <x:t xml:space="preserve">Commodity volume × price − unit cost/sustaining capex</x:t>
        </x:is>
      </x:c>
      <x:c r="L912" s="160" t="inlineStr">
        <x:is>
          <x:t xml:space="preserve">Asset NAV + mid-cycle FCF</x:t>
        </x:is>
      </x:c>
      <x:c r="M912" s="160" t="inlineStr">
        <x:is>
          <x:t xml:space="preserve">NO PRODUCTION DECISION — STRESS TEST ONLY</x:t>
        </x:is>
      </x:c>
      <x:c r="N912" s="160" t="inlineStr">
        <x:is>
          <x:t xml:space="preserve">R-FN-01</x:t>
        </x:is>
      </x:c>
      <x:c r="O912" s="160" t="inlineStr">
        <x:is>
          <x:t xml:space="preserve">MATURE</x:t>
        </x:is>
      </x:c>
      <x:c r="P912" s="160" t="inlineStr">
        <x:is>
          <x:t xml:space="preserve">ROBUST</x:t>
        </x:is>
      </x:c>
      <x:c r="Q912" s="160" t="inlineStr">
        <x:is>
          <x:t xml:space="preserve">The mature simulation rule catches the stress without weakening a fatal gate; no rule relaxation is justified.</x:t>
        </x:is>
      </x:c>
      <x:c r="R912" s="160" t="inlineStr">
        <x:is>
          <x:t xml:space="preserve">Track opportunity cost and classify whether the miss came from evidence timing, wrong threshold or genuinely unknowable upside.</x:t>
        </x:is>
      </x:c>
      <x:c r="S912" s="160" t="inlineStr">
        <x:is>
          <x:t xml:space="preserve">NO</x:t>
        </x:is>
      </x:c>
      <x:c r="T912" s="160" t="inlineStr">
        <x:is>
          <x:t xml:space="preserve">MATURE</x:t>
        </x:is>
      </x:c>
      <x:c r="U912" s="160" t="inlineStr">
        <x:is>
          <x:t xml:space="preserve">V10.5-SIM82</x:t>
        </x:is>
      </x:c>
      <x:c r="V912" s="160" t="inlineStr">
        <x:is>
          <x:t xml:space="preserve">https://www.bhp.com/investors</x:t>
        </x:is>
      </x:c>
      <x:c r="W912" s="160" t="inlineStr">
        <x:is>
          <x:t xml:space="preserve">NO</x:t>
        </x:is>
      </x:c>
      <x:c r="X912" s="160" t="inlineStr">
        <x:is>
          <x:t xml:space="preserve">NONE — DEVELOPMENT ONLY</x:t>
        </x:is>
      </x:c>
      <x:c r="Y912" s="160" t="inlineStr">
        <x:is>
          <x:t xml:space="preserve">Synthetic/adversarial model-development loop. No historical outcome is claimed; no accuracy point is awarded.</x:t>
        </x:is>
      </x:c>
    </x:row>
    <x:row r="913">
      <x:c r="A913" s="160" t="inlineStr">
        <x:is>
          <x:t xml:space="preserve">ML0908</x:t>
        </x:is>
      </x:c>
      <x:c r="B913" s="160" t="inlineStr">
        <x:is>
          <x:t xml:space="preserve">ARG-057</x:t>
        </x:is>
      </x:c>
      <x:c r="C913" s="160" t="inlineStr">
        <x:is>
          <x:t xml:space="preserve">BHP Group</x:t>
        </x:is>
      </x:c>
      <x:c r="D913" s="160" t="inlineStr">
        <x:is>
          <x:t xml:space="preserve">BHP</x:t>
        </x:is>
      </x:c>
      <x:c r="E913" s="160" t="inlineStr">
        <x:is>
          <x:t xml:space="preserve">Materials &amp; Mining</x:t>
        </x:is>
      </x:c>
      <x:c r="F913" s="160" t="inlineStr">
        <x:is>
          <x:t xml:space="preserve">Development</x:t>
        </x:is>
      </x:c>
      <x:c r="G913" s="160" t="inlineStr">
        <x:is>
          <x:t xml:space="preserve">S12</x:t>
        </x:is>
      </x:c>
      <x:c r="H913" s="160" t="inlineStr">
        <x:is>
          <x:t xml:space="preserve">Lead-Time / Early Sensor</x:t>
        </x:is>
      </x:c>
      <x:c r="I913" s="160" t="inlineStr">
        <x:is>
          <x:t xml:space="preserve">Timing / lead-time</x:t>
        </x:is>
      </x:c>
      <x:c r="J913" s="160" t="inlineStr">
        <x:is>
          <x:t xml:space="preserve">ARGUS identifies the change correctly but only after consensus and price have already reacted.</x:t>
        </x:is>
      </x:c>
      <x:c r="K913" s="160" t="inlineStr">
        <x:is>
          <x:t xml:space="preserve">Commodity volume × price − unit cost/sustaining capex</x:t>
        </x:is>
      </x:c>
      <x:c r="L913" s="160" t="inlineStr">
        <x:is>
          <x:t xml:space="preserve">Asset NAV + mid-cycle FCF</x:t>
        </x:is>
      </x:c>
      <x:c r="M913" s="160" t="inlineStr">
        <x:is>
          <x:t xml:space="preserve">NO PRODUCTION DECISION — STRESS TEST ONLY</x:t>
        </x:is>
      </x:c>
      <x:c r="N913" s="160" t="inlineStr">
        <x:is>
          <x:t xml:space="preserve">R-TIME-01</x:t>
        </x:is>
      </x:c>
      <x:c r="O913" s="160" t="inlineStr">
        <x:is>
          <x:t xml:space="preserve">MATURE</x:t>
        </x:is>
      </x:c>
      <x:c r="P913" s="160" t="inlineStr">
        <x:is>
          <x:t xml:space="preserve">ROBUST</x:t>
        </x:is>
      </x:c>
      <x:c r="Q913" s="160" t="inlineStr">
        <x:is>
          <x:t xml:space="preserve">The mature simulation rule catches the stress without weakening a fatal gate; no rule relaxation is justified.</x:t>
        </x:is>
      </x:c>
      <x:c r="R913" s="160" t="inlineStr">
        <x:is>
          <x:t xml:space="preserve">Replace lagging financial metrics with earlier causal operating sensors and record lead time separately from correctness.</x:t>
        </x:is>
      </x:c>
      <x:c r="S913" s="160" t="inlineStr">
        <x:is>
          <x:t xml:space="preserve">NO</x:t>
        </x:is>
      </x:c>
      <x:c r="T913" s="160" t="inlineStr">
        <x:is>
          <x:t xml:space="preserve">MATURE</x:t>
        </x:is>
      </x:c>
      <x:c r="U913" s="160" t="inlineStr">
        <x:is>
          <x:t xml:space="preserve">V10.5-SIM82</x:t>
        </x:is>
      </x:c>
      <x:c r="V913" s="160" t="inlineStr">
        <x:is>
          <x:t xml:space="preserve">https://www.bhp.com/investors</x:t>
        </x:is>
      </x:c>
      <x:c r="W913" s="160" t="inlineStr">
        <x:is>
          <x:t xml:space="preserve">NO</x:t>
        </x:is>
      </x:c>
      <x:c r="X913" s="160" t="inlineStr">
        <x:is>
          <x:t xml:space="preserve">NONE — DEVELOPMENT ONLY</x:t>
        </x:is>
      </x:c>
      <x:c r="Y913" s="160" t="inlineStr">
        <x:is>
          <x:t xml:space="preserve">Synthetic/adversarial model-development loop. No historical outcome is claimed; no accuracy point is awarded.</x:t>
        </x:is>
      </x:c>
    </x:row>
    <x:row r="914">
      <x:c r="A914" s="160" t="inlineStr">
        <x:is>
          <x:t xml:space="preserve">ML0909</x:t>
        </x:is>
      </x:c>
      <x:c r="B914" s="160" t="inlineStr">
        <x:is>
          <x:t xml:space="preserve">ARG-057</x:t>
        </x:is>
      </x:c>
      <x:c r="C914" s="160" t="inlineStr">
        <x:is>
          <x:t xml:space="preserve">BHP Group</x:t>
        </x:is>
      </x:c>
      <x:c r="D914" s="160" t="inlineStr">
        <x:is>
          <x:t xml:space="preserve">BHP</x:t>
        </x:is>
      </x:c>
      <x:c r="E914" s="160" t="inlineStr">
        <x:is>
          <x:t xml:space="preserve">Materials &amp; Mining</x:t>
        </x:is>
      </x:c>
      <x:c r="F914" s="160" t="inlineStr">
        <x:is>
          <x:t xml:space="preserve">Development</x:t>
        </x:is>
      </x:c>
      <x:c r="G914" s="160" t="inlineStr">
        <x:is>
          <x:t xml:space="preserve">S13</x:t>
        </x:is>
      </x:c>
      <x:c r="H914" s="160" t="inlineStr">
        <x:is>
          <x:t xml:space="preserve">Cycle Normalization</x:t>
        </x:is>
      </x:c>
      <x:c r="I914" s="160" t="inlineStr">
        <x:is>
          <x:t xml:space="preserve">Wrong valuation lens</x:t>
        </x:is>
      </x:c>
      <x:c r="J914" s="160" t="inlineStr">
        <x:is>
          <x:t xml:space="preserve">Peak/trough earnings are mistaken for normalized earning power.</x:t>
        </x:is>
      </x:c>
      <x:c r="K914" s="160" t="inlineStr">
        <x:is>
          <x:t xml:space="preserve">Commodity volume × price − unit cost/sustaining capex</x:t>
        </x:is>
      </x:c>
      <x:c r="L914" s="160" t="inlineStr">
        <x:is>
          <x:t xml:space="preserve">Asset NAV + mid-cycle FCF</x:t>
        </x:is>
      </x:c>
      <x:c r="M914" s="160" t="inlineStr">
        <x:is>
          <x:t xml:space="preserve">NO PRODUCTION DECISION — STRESS TEST ONLY</x:t>
        </x:is>
      </x:c>
      <x:c r="N914" s="160" t="inlineStr">
        <x:is>
          <x:t xml:space="preserve">R-CYCLE-01</x:t>
        </x:is>
      </x:c>
      <x:c r="O914" s="160" t="inlineStr">
        <x:is>
          <x:t xml:space="preserve">MATURE</x:t>
        </x:is>
      </x:c>
      <x:c r="P914" s="160" t="inlineStr">
        <x:is>
          <x:t xml:space="preserve">ROBUST</x:t>
        </x:is>
      </x:c>
      <x:c r="Q914" s="160" t="inlineStr">
        <x:is>
          <x:t xml:space="preserve">The mature simulation rule catches the stress without weakening a fatal gate; no rule relaxation is justified.</x:t>
        </x:is>
      </x:c>
      <x:c r="R914" s="160" t="inlineStr">
        <x:is>
          <x:t xml:space="preserve">Use sector-specific mid-cycle/NAV/rate-base/rNPV normalization before applying a valuation multiple.</x:t>
        </x:is>
      </x:c>
      <x:c r="S914" s="160" t="inlineStr">
        <x:is>
          <x:t xml:space="preserve">NO</x:t>
        </x:is>
      </x:c>
      <x:c r="T914" s="160" t="inlineStr">
        <x:is>
          <x:t xml:space="preserve">MATURE</x:t>
        </x:is>
      </x:c>
      <x:c r="U914" s="160" t="inlineStr">
        <x:is>
          <x:t xml:space="preserve">V10.5-SIM82</x:t>
        </x:is>
      </x:c>
      <x:c r="V914" s="160" t="inlineStr">
        <x:is>
          <x:t xml:space="preserve">https://www.bhp.com/investors</x:t>
        </x:is>
      </x:c>
      <x:c r="W914" s="160" t="inlineStr">
        <x:is>
          <x:t xml:space="preserve">NO</x:t>
        </x:is>
      </x:c>
      <x:c r="X914" s="160" t="inlineStr">
        <x:is>
          <x:t xml:space="preserve">NONE — DEVELOPMENT ONLY</x:t>
        </x:is>
      </x:c>
      <x:c r="Y914" s="160" t="inlineStr">
        <x:is>
          <x:t xml:space="preserve">Synthetic/adversarial model-development loop. No historical outcome is claimed; no accuracy point is awarded.</x:t>
        </x:is>
      </x:c>
    </x:row>
    <x:row r="915">
      <x:c r="A915" s="160" t="inlineStr">
        <x:is>
          <x:t xml:space="preserve">ML0910</x:t>
        </x:is>
      </x:c>
      <x:c r="B915" s="160" t="inlineStr">
        <x:is>
          <x:t xml:space="preserve">ARG-057</x:t>
        </x:is>
      </x:c>
      <x:c r="C915" s="160" t="inlineStr">
        <x:is>
          <x:t xml:space="preserve">BHP Group</x:t>
        </x:is>
      </x:c>
      <x:c r="D915" s="160" t="inlineStr">
        <x:is>
          <x:t xml:space="preserve">BHP</x:t>
        </x:is>
      </x:c>
      <x:c r="E915" s="160" t="inlineStr">
        <x:is>
          <x:t xml:space="preserve">Materials &amp; Mining</x:t>
        </x:is>
      </x:c>
      <x:c r="F915" s="160" t="inlineStr">
        <x:is>
          <x:t xml:space="preserve">Development</x:t>
        </x:is>
      </x:c>
      <x:c r="G915" s="160" t="inlineStr">
        <x:is>
          <x:t xml:space="preserve">S14</x:t>
        </x:is>
      </x:c>
      <x:c r="H915" s="160" t="inlineStr">
        <x:is>
          <x:t xml:space="preserve">M&amp;A / Organic Growth Separation</x:t>
        </x:is>
      </x:c>
      <x:c r="I915" s="160" t="inlineStr">
        <x:is>
          <x:t xml:space="preserve">Stewardship</x:t>
        </x:is>
      </x:c>
      <x:c r="J915" s="160" t="inlineStr">
        <x:is>
          <x:t xml:space="preserve">Acquisition-driven growth masks weak organic economics or poor incremental ROIC.</x:t>
        </x:is>
      </x:c>
      <x:c r="K915" s="160" t="inlineStr">
        <x:is>
          <x:t xml:space="preserve">Commodity volume × price − unit cost/sustaining capex</x:t>
        </x:is>
      </x:c>
      <x:c r="L915" s="160" t="inlineStr">
        <x:is>
          <x:t xml:space="preserve">Asset NAV + mid-cycle FCF</x:t>
        </x:is>
      </x:c>
      <x:c r="M915" s="160" t="inlineStr">
        <x:is>
          <x:t xml:space="preserve">NO PRODUCTION DECISION — STRESS TEST ONLY</x:t>
        </x:is>
      </x:c>
      <x:c r="N915" s="160" t="inlineStr">
        <x:is>
          <x:t xml:space="preserve">R-MA-01</x:t>
        </x:is>
      </x:c>
      <x:c r="O915" s="160" t="inlineStr">
        <x:is>
          <x:t xml:space="preserve">MATURE</x:t>
        </x:is>
      </x:c>
      <x:c r="P915" s="160" t="inlineStr">
        <x:is>
          <x:t xml:space="preserve">ROBUST</x:t>
        </x:is>
      </x:c>
      <x:c r="Q915" s="160" t="inlineStr">
        <x:is>
          <x:t xml:space="preserve">The mature simulation rule catches the stress without weakening a fatal gate; no rule relaxation is justified.</x:t>
        </x:is>
      </x:c>
      <x:c r="R915" s="160" t="inlineStr">
        <x:is>
          <x:t xml:space="preserve">Bridge organic growth, acquired growth, purchase price, integration costs and acquisition-cohort ROIC.</x:t>
        </x:is>
      </x:c>
      <x:c r="S915" s="160" t="inlineStr">
        <x:is>
          <x:t xml:space="preserve">NO</x:t>
        </x:is>
      </x:c>
      <x:c r="T915" s="160" t="inlineStr">
        <x:is>
          <x:t xml:space="preserve">MATURE</x:t>
        </x:is>
      </x:c>
      <x:c r="U915" s="160" t="inlineStr">
        <x:is>
          <x:t xml:space="preserve">V10.5-SIM82</x:t>
        </x:is>
      </x:c>
      <x:c r="V915" s="160" t="inlineStr">
        <x:is>
          <x:t xml:space="preserve">https://www.bhp.com/investors</x:t>
        </x:is>
      </x:c>
      <x:c r="W915" s="160" t="inlineStr">
        <x:is>
          <x:t xml:space="preserve">NO</x:t>
        </x:is>
      </x:c>
      <x:c r="X915" s="160" t="inlineStr">
        <x:is>
          <x:t xml:space="preserve">NONE — DEVELOPMENT ONLY</x:t>
        </x:is>
      </x:c>
      <x:c r="Y915" s="160" t="inlineStr">
        <x:is>
          <x:t xml:space="preserve">Synthetic/adversarial model-development loop. No historical outcome is claimed; no accuracy point is awarded.</x:t>
        </x:is>
      </x:c>
    </x:row>
    <x:row r="916">
      <x:c r="A916" s="160" t="inlineStr">
        <x:is>
          <x:t xml:space="preserve">ML0911</x:t>
        </x:is>
      </x:c>
      <x:c r="B916" s="160" t="inlineStr">
        <x:is>
          <x:t xml:space="preserve">ARG-057</x:t>
        </x:is>
      </x:c>
      <x:c r="C916" s="160" t="inlineStr">
        <x:is>
          <x:t xml:space="preserve">BHP Group</x:t>
        </x:is>
      </x:c>
      <x:c r="D916" s="160" t="inlineStr">
        <x:is>
          <x:t xml:space="preserve">BHP</x:t>
        </x:is>
      </x:c>
      <x:c r="E916" s="160" t="inlineStr">
        <x:is>
          <x:t xml:space="preserve">Materials &amp; Mining</x:t>
        </x:is>
      </x:c>
      <x:c r="F916" s="160" t="inlineStr">
        <x:is>
          <x:t xml:space="preserve">Development</x:t>
        </x:is>
      </x:c>
      <x:c r="G916" s="160" t="inlineStr">
        <x:is>
          <x:t xml:space="preserve">S15</x:t>
        </x:is>
      </x:c>
      <x:c r="H916" s="160" t="inlineStr">
        <x:is>
          <x:t xml:space="preserve">Financing / Dilution Per Share</x:t>
        </x:is>
      </x:c>
      <x:c r="I916" s="160" t="inlineStr">
        <x:is>
          <x:t xml:space="preserve">Stewardship</x:t>
        </x:is>
      </x:c>
      <x:c r="J916" s="160" t="inlineStr">
        <x:is>
          <x:t xml:space="preserve">Cash balance or revenue growth improves while financing causes material per-share value leakage.</x:t>
        </x:is>
      </x:c>
      <x:c r="K916" s="160" t="inlineStr">
        <x:is>
          <x:t xml:space="preserve">Commodity volume × price − unit cost/sustaining capex</x:t>
        </x:is>
      </x:c>
      <x:c r="L916" s="160" t="inlineStr">
        <x:is>
          <x:t xml:space="preserve">Asset NAV + mid-cycle FCF</x:t>
        </x:is>
      </x:c>
      <x:c r="M916" s="160" t="inlineStr">
        <x:is>
          <x:t xml:space="preserve">NO PRODUCTION DECISION — STRESS TEST ONLY</x:t>
        </x:is>
      </x:c>
      <x:c r="N916" s="160" t="inlineStr">
        <x:is>
          <x:t xml:space="preserve">R-DIL-01</x:t>
        </x:is>
      </x:c>
      <x:c r="O916" s="160" t="inlineStr">
        <x:is>
          <x:t xml:space="preserve">MATURE</x:t>
        </x:is>
      </x:c>
      <x:c r="P916" s="160" t="inlineStr">
        <x:is>
          <x:t xml:space="preserve">ROBUST</x:t>
        </x:is>
      </x:c>
      <x:c r="Q916" s="160" t="inlineStr">
        <x:is>
          <x:t xml:space="preserve">The mature simulation rule catches the stress without weakening a fatal gate; no rule relaxation is justified.</x:t>
        </x:is>
      </x:c>
      <x:c r="R916" s="160" t="inlineStr">
        <x:is>
          <x:t xml:space="preserve">Reconcile share-count growth, SBC, equity issuance, buybacks and net cash changes to per-share intrinsic value.</x:t>
        </x:is>
      </x:c>
      <x:c r="S916" s="160" t="inlineStr">
        <x:is>
          <x:t xml:space="preserve">NO</x:t>
        </x:is>
      </x:c>
      <x:c r="T916" s="160" t="inlineStr">
        <x:is>
          <x:t xml:space="preserve">MATURE</x:t>
        </x:is>
      </x:c>
      <x:c r="U916" s="160" t="inlineStr">
        <x:is>
          <x:t xml:space="preserve">V10.5-SIM82</x:t>
        </x:is>
      </x:c>
      <x:c r="V916" s="160" t="inlineStr">
        <x:is>
          <x:t xml:space="preserve">https://www.bhp.com/investors</x:t>
        </x:is>
      </x:c>
      <x:c r="W916" s="160" t="inlineStr">
        <x:is>
          <x:t xml:space="preserve">NO</x:t>
        </x:is>
      </x:c>
      <x:c r="X916" s="160" t="inlineStr">
        <x:is>
          <x:t xml:space="preserve">NONE — DEVELOPMENT ONLY</x:t>
        </x:is>
      </x:c>
      <x:c r="Y916" s="160" t="inlineStr">
        <x:is>
          <x:t xml:space="preserve">Synthetic/adversarial model-development loop. No historical outcome is claimed; no accuracy point is awarded.</x:t>
        </x:is>
      </x:c>
    </x:row>
    <x:row r="917">
      <x:c r="A917" s="160" t="inlineStr">
        <x:is>
          <x:t xml:space="preserve">ML0912</x:t>
        </x:is>
      </x:c>
      <x:c r="B917" s="160" t="inlineStr">
        <x:is>
          <x:t xml:space="preserve">ARG-057</x:t>
        </x:is>
      </x:c>
      <x:c r="C917" s="160" t="inlineStr">
        <x:is>
          <x:t xml:space="preserve">BHP Group</x:t>
        </x:is>
      </x:c>
      <x:c r="D917" s="160" t="inlineStr">
        <x:is>
          <x:t xml:space="preserve">BHP</x:t>
        </x:is>
      </x:c>
      <x:c r="E917" s="160" t="inlineStr">
        <x:is>
          <x:t xml:space="preserve">Materials &amp; Mining</x:t>
        </x:is>
      </x:c>
      <x:c r="F917" s="160" t="inlineStr">
        <x:is>
          <x:t xml:space="preserve">Development</x:t>
        </x:is>
      </x:c>
      <x:c r="G917" s="160" t="inlineStr">
        <x:is>
          <x:t xml:space="preserve">S16</x:t>
        </x:is>
      </x:c>
      <x:c r="H917" s="160" t="inlineStr">
        <x:is>
          <x:t xml:space="preserve">Concentration / Tail Risk</x:t>
        </x:is>
      </x:c>
      <x:c r="I917" s="160" t="inlineStr">
        <x:is>
          <x:t xml:space="preserve">Survival</x:t>
        </x:is>
      </x:c>
      <x:c r="J917" s="160" t="inlineStr">
        <x:is>
          <x:t xml:space="preserve">A concentrated supplier, geography, customer, product, patent, regulatory or technology dependency creates asymmetric permanent-loss risk.</x:t>
        </x:is>
      </x:c>
      <x:c r="K917" s="160" t="inlineStr">
        <x:is>
          <x:t xml:space="preserve">Commodity volume × price − unit cost/sustaining capex</x:t>
        </x:is>
      </x:c>
      <x:c r="L917" s="160" t="inlineStr">
        <x:is>
          <x:t xml:space="preserve">Asset NAV + mid-cycle FCF</x:t>
        </x:is>
      </x:c>
      <x:c r="M917" s="160" t="inlineStr">
        <x:is>
          <x:t xml:space="preserve">NO PRODUCTION DECISION — STRESS TEST ONLY</x:t>
        </x:is>
      </x:c>
      <x:c r="N917" s="160" t="inlineStr">
        <x:is>
          <x:t xml:space="preserve">R-TAIL-01</x:t>
        </x:is>
      </x:c>
      <x:c r="O917" s="160" t="inlineStr">
        <x:is>
          <x:t xml:space="preserve">MATURE</x:t>
        </x:is>
      </x:c>
      <x:c r="P917" s="160" t="inlineStr">
        <x:is>
          <x:t xml:space="preserve">ROBUST</x:t>
        </x:is>
      </x:c>
      <x:c r="Q917" s="160" t="inlineStr">
        <x:is>
          <x:t xml:space="preserve">The mature simulation rule catches the stress without weakening a fatal gate; no rule relaxation is justified.</x:t>
        </x:is>
      </x:c>
      <x:c r="R917" s="160" t="inlineStr">
        <x:is>
          <x:t xml:space="preserve">Maintain an explicit concentration/tail-risk register with probability, severity, mitigation and required margin-of-safety premium.</x:t>
        </x:is>
      </x:c>
      <x:c r="S917" s="160" t="inlineStr">
        <x:is>
          <x:t xml:space="preserve">NO</x:t>
        </x:is>
      </x:c>
      <x:c r="T917" s="160" t="inlineStr">
        <x:is>
          <x:t xml:space="preserve">MATURE</x:t>
        </x:is>
      </x:c>
      <x:c r="U917" s="160" t="inlineStr">
        <x:is>
          <x:t xml:space="preserve">V10.5-SIM82</x:t>
        </x:is>
      </x:c>
      <x:c r="V917" s="160" t="inlineStr">
        <x:is>
          <x:t xml:space="preserve">https://www.bhp.com/investors</x:t>
        </x:is>
      </x:c>
      <x:c r="W917" s="160" t="inlineStr">
        <x:is>
          <x:t xml:space="preserve">NO</x:t>
        </x:is>
      </x:c>
      <x:c r="X917" s="160" t="inlineStr">
        <x:is>
          <x:t xml:space="preserve">NONE — DEVELOPMENT ONLY</x:t>
        </x:is>
      </x:c>
      <x:c r="Y917" s="160" t="inlineStr">
        <x:is>
          <x:t xml:space="preserve">Synthetic/adversarial model-development loop. No historical outcome is claimed; no accuracy point is awarded.</x:t>
        </x:is>
      </x:c>
    </x:row>
    <x:row r="918">
      <x:c r="A918" s="160" t="inlineStr">
        <x:is>
          <x:t xml:space="preserve">ML0913</x:t>
        </x:is>
      </x:c>
      <x:c r="B918" s="160" t="inlineStr">
        <x:is>
          <x:t xml:space="preserve">ARG-058</x:t>
        </x:is>
      </x:c>
      <x:c r="C918" s="160" t="inlineStr">
        <x:is>
          <x:t xml:space="preserve">Prologis</x:t>
        </x:is>
      </x:c>
      <x:c r="D918" s="160" t="inlineStr">
        <x:is>
          <x:t xml:space="preserve">PLD</x:t>
        </x:is>
      </x:c>
      <x:c r="E918" s="160" t="inlineStr">
        <x:is>
          <x:t xml:space="preserve">Real Estate &amp; Telecom</x:t>
        </x:is>
      </x:c>
      <x:c r="F918" s="160" t="inlineStr">
        <x:is>
          <x:t xml:space="preserve">Development</x:t>
        </x:is>
      </x:c>
      <x:c r="G918" s="160" t="inlineStr">
        <x:is>
          <x:t xml:space="preserve">S01</x:t>
        </x:is>
      </x:c>
      <x:c r="H918" s="160" t="inlineStr">
        <x:is>
          <x:t xml:space="preserve">Understanding Gate</x:t>
        </x:is>
      </x:c>
      <x:c r="I918" s="160" t="inlineStr">
        <x:is>
          <x:t xml:space="preserve">Understanding</x:t>
        </x:is>
      </x:c>
      <x:c r="J918" s="160" t="inlineStr">
        <x:is>
          <x:t xml:space="preserve">Causal engine / customer ROI chain breaks under a misleading headline KPI.</x:t>
        </x:is>
      </x:c>
      <x:c r="K918" s="160" t="inlineStr">
        <x:is>
          <x:t xml:space="preserve">Occupancy/rent growth/development spreads minus financing</x:t>
        </x:is>
      </x:c>
      <x:c r="L918" s="160" t="inlineStr">
        <x:is>
          <x:t xml:space="preserve">NAV + AFFO</x:t>
        </x:is>
      </x:c>
      <x:c r="M918" s="160" t="inlineStr">
        <x:is>
          <x:t xml:space="preserve">NO PRODUCTION DECISION — STRESS TEST ONLY</x:t>
        </x:is>
      </x:c>
      <x:c r="N918" s="160" t="inlineStr">
        <x:is>
          <x:t xml:space="preserve">R-ENG-01</x:t>
        </x:is>
      </x:c>
      <x:c r="O918" s="160" t="inlineStr">
        <x:is>
          <x:t xml:space="preserve">MATURE</x:t>
        </x:is>
      </x:c>
      <x:c r="P918" s="160" t="inlineStr">
        <x:is>
          <x:t xml:space="preserve">ROBUST</x:t>
        </x:is>
      </x:c>
      <x:c r="Q918" s="160" t="inlineStr">
        <x:is>
          <x:t xml:space="preserve">The mature simulation rule catches the stress without weakening a fatal gate; no rule relaxation is justified.</x:t>
        </x:is>
      </x:c>
      <x:c r="R918" s="160" t="inlineStr">
        <x:is>
          <x:t xml:space="preserve">Force an explicit engine tree: customer job → unit economics → revenue driver → owner-value bridge.</x:t>
        </x:is>
      </x:c>
      <x:c r="S918" s="160" t="inlineStr">
        <x:is>
          <x:t xml:space="preserve">NO</x:t>
        </x:is>
      </x:c>
      <x:c r="T918" s="160" t="inlineStr">
        <x:is>
          <x:t xml:space="preserve">MATURE</x:t>
        </x:is>
      </x:c>
      <x:c r="U918" s="160" t="inlineStr">
        <x:is>
          <x:t xml:space="preserve">V10.5-SIM82</x:t>
        </x:is>
      </x:c>
      <x:c r="V918" s="160" t="inlineStr">
        <x:is>
          <x:t xml:space="preserve">https://ir.prologis.com</x:t>
        </x:is>
      </x:c>
      <x:c r="W918" s="160" t="inlineStr">
        <x:is>
          <x:t xml:space="preserve">NO</x:t>
        </x:is>
      </x:c>
      <x:c r="X918" s="160" t="inlineStr">
        <x:is>
          <x:t xml:space="preserve">NONE — DEVELOPMENT ONLY</x:t>
        </x:is>
      </x:c>
      <x:c r="Y918" s="160" t="inlineStr">
        <x:is>
          <x:t xml:space="preserve">Synthetic/adversarial model-development loop. No historical outcome is claimed; no accuracy point is awarded.</x:t>
        </x:is>
      </x:c>
    </x:row>
    <x:row r="919">
      <x:c r="A919" s="160" t="inlineStr">
        <x:is>
          <x:t xml:space="preserve">ML0914</x:t>
        </x:is>
      </x:c>
      <x:c r="B919" s="160" t="inlineStr">
        <x:is>
          <x:t xml:space="preserve">ARG-058</x:t>
        </x:is>
      </x:c>
      <x:c r="C919" s="160" t="inlineStr">
        <x:is>
          <x:t xml:space="preserve">Prologis</x:t>
        </x:is>
      </x:c>
      <x:c r="D919" s="160" t="inlineStr">
        <x:is>
          <x:t xml:space="preserve">PLD</x:t>
        </x:is>
      </x:c>
      <x:c r="E919" s="160" t="inlineStr">
        <x:is>
          <x:t xml:space="preserve">Real Estate &amp; Telecom</x:t>
        </x:is>
      </x:c>
      <x:c r="F919" s="160" t="inlineStr">
        <x:is>
          <x:t xml:space="preserve">Development</x:t>
        </x:is>
      </x:c>
      <x:c r="G919" s="160" t="inlineStr">
        <x:is>
          <x:t xml:space="preserve">S02</x:t>
        </x:is>
      </x:c>
      <x:c r="H919" s="160" t="inlineStr">
        <x:is>
          <x:t xml:space="preserve">Owner Earnings Normalization</x:t>
        </x:is>
      </x:c>
      <x:c r="I919" s="160" t="inlineStr">
        <x:is>
          <x:t xml:space="preserve">Owner Earnings</x:t>
        </x:is>
      </x:c>
      <x:c r="J919" s="160" t="inlineStr">
        <x:is>
          <x:t xml:space="preserve">Reported earnings/FCF overstates economic cash because recurring reinvestment or non-cash compensation is misclassified.</x:t>
        </x:is>
      </x:c>
      <x:c r="K919" s="160" t="inlineStr">
        <x:is>
          <x:t xml:space="preserve">Occupancy/rent growth/development spreads minus financing</x:t>
        </x:is>
      </x:c>
      <x:c r="L919" s="160" t="inlineStr">
        <x:is>
          <x:t xml:space="preserve">NAV + AFFO</x:t>
        </x:is>
      </x:c>
      <x:c r="M919" s="160" t="inlineStr">
        <x:is>
          <x:t xml:space="preserve">NO PRODUCTION DECISION — STRESS TEST ONLY</x:t>
        </x:is>
      </x:c>
      <x:c r="N919" s="160" t="inlineStr">
        <x:is>
          <x:t xml:space="preserve">R-OE-01</x:t>
        </x:is>
      </x:c>
      <x:c r="O919" s="160" t="inlineStr">
        <x:is>
          <x:t xml:space="preserve">MATURE</x:t>
        </x:is>
      </x:c>
      <x:c r="P919" s="160" t="inlineStr">
        <x:is>
          <x:t xml:space="preserve">ROBUST</x:t>
        </x:is>
      </x:c>
      <x:c r="Q919" s="160" t="inlineStr">
        <x:is>
          <x:t xml:space="preserve">The mature simulation rule catches the stress without weakening a fatal gate; no rule relaxation is justified.</x:t>
        </x:is>
      </x:c>
      <x:c r="R919" s="160" t="inlineStr">
        <x:is>
          <x:t xml:space="preserve">Require a GAAP-to-economic-owner-cash bridge tailored to the business model.</x:t>
        </x:is>
      </x:c>
      <x:c r="S919" s="160" t="inlineStr">
        <x:is>
          <x:t xml:space="preserve">NO</x:t>
        </x:is>
      </x:c>
      <x:c r="T919" s="160" t="inlineStr">
        <x:is>
          <x:t xml:space="preserve">MATURE</x:t>
        </x:is>
      </x:c>
      <x:c r="U919" s="160" t="inlineStr">
        <x:is>
          <x:t xml:space="preserve">V10.5-SIM82</x:t>
        </x:is>
      </x:c>
      <x:c r="V919" s="160" t="inlineStr">
        <x:is>
          <x:t xml:space="preserve">https://ir.prologis.com</x:t>
        </x:is>
      </x:c>
      <x:c r="W919" s="160" t="inlineStr">
        <x:is>
          <x:t xml:space="preserve">NO</x:t>
        </x:is>
      </x:c>
      <x:c r="X919" s="160" t="inlineStr">
        <x:is>
          <x:t xml:space="preserve">NONE — DEVELOPMENT ONLY</x:t>
        </x:is>
      </x:c>
      <x:c r="Y919" s="160" t="inlineStr">
        <x:is>
          <x:t xml:space="preserve">Synthetic/adversarial model-development loop. No historical outcome is claimed; no accuracy point is awarded.</x:t>
        </x:is>
      </x:c>
    </x:row>
    <x:row r="920">
      <x:c r="A920" s="160" t="inlineStr">
        <x:is>
          <x:t xml:space="preserve">ML0915</x:t>
        </x:is>
      </x:c>
      <x:c r="B920" s="160" t="inlineStr">
        <x:is>
          <x:t xml:space="preserve">ARG-058</x:t>
        </x:is>
      </x:c>
      <x:c r="C920" s="160" t="inlineStr">
        <x:is>
          <x:t xml:space="preserve">Prologis</x:t>
        </x:is>
      </x:c>
      <x:c r="D920" s="160" t="inlineStr">
        <x:is>
          <x:t xml:space="preserve">PLD</x:t>
        </x:is>
      </x:c>
      <x:c r="E920" s="160" t="inlineStr">
        <x:is>
          <x:t xml:space="preserve">Real Estate &amp; Telecom</x:t>
        </x:is>
      </x:c>
      <x:c r="F920" s="160" t="inlineStr">
        <x:is>
          <x:t xml:space="preserve">Development</x:t>
        </x:is>
      </x:c>
      <x:c r="G920" s="160" t="inlineStr">
        <x:is>
          <x:t xml:space="preserve">S03</x:t>
        </x:is>
      </x:c>
      <x:c r="H920" s="160" t="inlineStr">
        <x:is>
          <x:t xml:space="preserve">Moat Durability</x:t>
        </x:is>
      </x:c>
      <x:c r="I920" s="160" t="inlineStr">
        <x:is>
          <x:t xml:space="preserve">Moat 2036</x:t>
        </x:is>
      </x:c>
      <x:c r="J920" s="160" t="inlineStr">
        <x:is>
          <x:t xml:space="preserve">Growth continues while switching friction, pricing power or replacement difficulty quietly weakens.</x:t>
        </x:is>
      </x:c>
      <x:c r="K920" s="160" t="inlineStr">
        <x:is>
          <x:t xml:space="preserve">Occupancy/rent growth/development spreads minus financing</x:t>
        </x:is>
      </x:c>
      <x:c r="L920" s="160" t="inlineStr">
        <x:is>
          <x:t xml:space="preserve">NAV + AFFO</x:t>
        </x:is>
      </x:c>
      <x:c r="M920" s="160" t="inlineStr">
        <x:is>
          <x:t xml:space="preserve">NO PRODUCTION DECISION — STRESS TEST ONLY</x:t>
        </x:is>
      </x:c>
      <x:c r="N920" s="160" t="inlineStr">
        <x:is>
          <x:t xml:space="preserve">R-MOAT-01</x:t>
        </x:is>
      </x:c>
      <x:c r="O920" s="160" t="inlineStr">
        <x:is>
          <x:t xml:space="preserve">MATURE</x:t>
        </x:is>
      </x:c>
      <x:c r="P920" s="160" t="inlineStr">
        <x:is>
          <x:t xml:space="preserve">ROBUST</x:t>
        </x:is>
      </x:c>
      <x:c r="Q920" s="160" t="inlineStr">
        <x:is>
          <x:t xml:space="preserve">The mature simulation rule catches the stress without weakening a fatal gate; no rule relaxation is justified.</x:t>
        </x:is>
      </x:c>
      <x:c r="R920" s="160" t="inlineStr">
        <x:is>
          <x:t xml:space="preserve">Track moat telemetry separately from growth: retention, pricing, win/loss, replacement friction, installed-base behavior.</x:t>
        </x:is>
      </x:c>
      <x:c r="S920" s="160" t="inlineStr">
        <x:is>
          <x:t xml:space="preserve">NO</x:t>
        </x:is>
      </x:c>
      <x:c r="T920" s="160" t="inlineStr">
        <x:is>
          <x:t xml:space="preserve">MATURE</x:t>
        </x:is>
      </x:c>
      <x:c r="U920" s="160" t="inlineStr">
        <x:is>
          <x:t xml:space="preserve">V10.5-SIM82</x:t>
        </x:is>
      </x:c>
      <x:c r="V920" s="160" t="inlineStr">
        <x:is>
          <x:t xml:space="preserve">https://ir.prologis.com</x:t>
        </x:is>
      </x:c>
      <x:c r="W920" s="160" t="inlineStr">
        <x:is>
          <x:t xml:space="preserve">NO</x:t>
        </x:is>
      </x:c>
      <x:c r="X920" s="160" t="inlineStr">
        <x:is>
          <x:t xml:space="preserve">NONE — DEVELOPMENT ONLY</x:t>
        </x:is>
      </x:c>
      <x:c r="Y920" s="160" t="inlineStr">
        <x:is>
          <x:t xml:space="preserve">Synthetic/adversarial model-development loop. No historical outcome is claimed; no accuracy point is awarded.</x:t>
        </x:is>
      </x:c>
    </x:row>
    <x:row r="921">
      <x:c r="A921" s="160" t="inlineStr">
        <x:is>
          <x:t xml:space="preserve">ML0916</x:t>
        </x:is>
      </x:c>
      <x:c r="B921" s="160" t="inlineStr">
        <x:is>
          <x:t xml:space="preserve">ARG-058</x:t>
        </x:is>
      </x:c>
      <x:c r="C921" s="160" t="inlineStr">
        <x:is>
          <x:t xml:space="preserve">Prologis</x:t>
        </x:is>
      </x:c>
      <x:c r="D921" s="160" t="inlineStr">
        <x:is>
          <x:t xml:space="preserve">PLD</x:t>
        </x:is>
      </x:c>
      <x:c r="E921" s="160" t="inlineStr">
        <x:is>
          <x:t xml:space="preserve">Real Estate &amp; Telecom</x:t>
        </x:is>
      </x:c>
      <x:c r="F921" s="160" t="inlineStr">
        <x:is>
          <x:t xml:space="preserve">Development</x:t>
        </x:is>
      </x:c>
      <x:c r="G921" s="160" t="inlineStr">
        <x:is>
          <x:t xml:space="preserve">S04</x:t>
        </x:is>
      </x:c>
      <x:c r="H921" s="160" t="inlineStr">
        <x:is>
          <x:t xml:space="preserve">Stewardship / Capital Allocation</x:t>
        </x:is>
      </x:c>
      <x:c r="I921" s="160" t="inlineStr">
        <x:is>
          <x:t xml:space="preserve">Stewardship</x:t>
        </x:is>
      </x:c>
      <x:c r="J921" s="160" t="inlineStr">
        <x:is>
          <x:t xml:space="preserve">Management creates enterprise growth while destroying per-share value through M&amp;A, dilution, leverage or mistimed buybacks.</x:t>
        </x:is>
      </x:c>
      <x:c r="K921" s="160" t="inlineStr">
        <x:is>
          <x:t xml:space="preserve">Occupancy/rent growth/development spreads minus financing</x:t>
        </x:is>
      </x:c>
      <x:c r="L921" s="160" t="inlineStr">
        <x:is>
          <x:t xml:space="preserve">NAV + AFFO</x:t>
        </x:is>
      </x:c>
      <x:c r="M921" s="160" t="inlineStr">
        <x:is>
          <x:t xml:space="preserve">NO PRODUCTION DECISION — STRESS TEST ONLY</x:t>
        </x:is>
      </x:c>
      <x:c r="N921" s="160" t="inlineStr">
        <x:is>
          <x:t xml:space="preserve">R-STEW-01</x:t>
        </x:is>
      </x:c>
      <x:c r="O921" s="160" t="inlineStr">
        <x:is>
          <x:t xml:space="preserve">MATURE</x:t>
        </x:is>
      </x:c>
      <x:c r="P921" s="160" t="inlineStr">
        <x:is>
          <x:t xml:space="preserve">ROBUST</x:t>
        </x:is>
      </x:c>
      <x:c r="Q921" s="160" t="inlineStr">
        <x:is>
          <x:t xml:space="preserve">The mature simulation rule catches the stress without weakening a fatal gate; no rule relaxation is justified.</x:t>
        </x:is>
      </x:c>
      <x:c r="R921" s="160" t="inlineStr">
        <x:is>
          <x:t xml:space="preserve">Evaluate capital allocation on a per-share basis using acquisition cohorts, dilution, leverage and repurchase price discipline.</x:t>
        </x:is>
      </x:c>
      <x:c r="S921" s="160" t="inlineStr">
        <x:is>
          <x:t xml:space="preserve">NO</x:t>
        </x:is>
      </x:c>
      <x:c r="T921" s="160" t="inlineStr">
        <x:is>
          <x:t xml:space="preserve">MATURE</x:t>
        </x:is>
      </x:c>
      <x:c r="U921" s="160" t="inlineStr">
        <x:is>
          <x:t xml:space="preserve">V10.5-SIM82</x:t>
        </x:is>
      </x:c>
      <x:c r="V921" s="160" t="inlineStr">
        <x:is>
          <x:t xml:space="preserve">https://ir.prologis.com</x:t>
        </x:is>
      </x:c>
      <x:c r="W921" s="160" t="inlineStr">
        <x:is>
          <x:t xml:space="preserve">NO</x:t>
        </x:is>
      </x:c>
      <x:c r="X921" s="160" t="inlineStr">
        <x:is>
          <x:t xml:space="preserve">NONE — DEVELOPMENT ONLY</x:t>
        </x:is>
      </x:c>
      <x:c r="Y921" s="160" t="inlineStr">
        <x:is>
          <x:t xml:space="preserve">Synthetic/adversarial model-development loop. No historical outcome is claimed; no accuracy point is awarded.</x:t>
        </x:is>
      </x:c>
    </x:row>
    <x:row r="922">
      <x:c r="A922" s="160" t="inlineStr">
        <x:is>
          <x:t xml:space="preserve">ML0917</x:t>
        </x:is>
      </x:c>
      <x:c r="B922" s="160" t="inlineStr">
        <x:is>
          <x:t xml:space="preserve">ARG-058</x:t>
        </x:is>
      </x:c>
      <x:c r="C922" s="160" t="inlineStr">
        <x:is>
          <x:t xml:space="preserve">Prologis</x:t>
        </x:is>
      </x:c>
      <x:c r="D922" s="160" t="inlineStr">
        <x:is>
          <x:t xml:space="preserve">PLD</x:t>
        </x:is>
      </x:c>
      <x:c r="E922" s="160" t="inlineStr">
        <x:is>
          <x:t xml:space="preserve">Real Estate &amp; Telecom</x:t>
        </x:is>
      </x:c>
      <x:c r="F922" s="160" t="inlineStr">
        <x:is>
          <x:t xml:space="preserve">Development</x:t>
        </x:is>
      </x:c>
      <x:c r="G922" s="160" t="inlineStr">
        <x:is>
          <x:t xml:space="preserve">S05</x:t>
        </x:is>
      </x:c>
      <x:c r="H922" s="160" t="inlineStr">
        <x:is>
          <x:t xml:space="preserve">Survival / Funding</x:t>
        </x:is>
      </x:c>
      <x:c r="I922" s="160" t="inlineStr">
        <x:is>
          <x:t xml:space="preserve">Survival</x:t>
        </x:is>
      </x:c>
      <x:c r="J922" s="160" t="inlineStr">
        <x:is>
          <x:t xml:space="preserve">A plausible bear case exposes refinancing, liquidity, covenant, reserve, regulatory or operational fragility.</x:t>
        </x:is>
      </x:c>
      <x:c r="K922" s="160" t="inlineStr">
        <x:is>
          <x:t xml:space="preserve">Occupancy/rent growth/development spreads minus financing</x:t>
        </x:is>
      </x:c>
      <x:c r="L922" s="160" t="inlineStr">
        <x:is>
          <x:t xml:space="preserve">NAV + AFFO</x:t>
        </x:is>
      </x:c>
      <x:c r="M922" s="160" t="inlineStr">
        <x:is>
          <x:t xml:space="preserve">NO PRODUCTION DECISION — STRESS TEST ONLY</x:t>
        </x:is>
      </x:c>
      <x:c r="N922" s="160" t="inlineStr">
        <x:is>
          <x:t xml:space="preserve">R-SURV-01</x:t>
        </x:is>
      </x:c>
      <x:c r="O922" s="160" t="inlineStr">
        <x:is>
          <x:t xml:space="preserve">MATURE</x:t>
        </x:is>
      </x:c>
      <x:c r="P922" s="160" t="inlineStr">
        <x:is>
          <x:t xml:space="preserve">ROBUST</x:t>
        </x:is>
      </x:c>
      <x:c r="Q922" s="160" t="inlineStr">
        <x:is>
          <x:t xml:space="preserve">The mature simulation rule catches the stress without weakening a fatal gate; no rule relaxation is justified.</x:t>
        </x:is>
      </x:c>
      <x:c r="R922" s="160" t="inlineStr">
        <x:is>
          <x:t xml:space="preserve">Run a company-specific survival bridge under a severe-but-plausible bear case before any upside underwriting.</x:t>
        </x:is>
      </x:c>
      <x:c r="S922" s="160" t="inlineStr">
        <x:is>
          <x:t xml:space="preserve">NO</x:t>
        </x:is>
      </x:c>
      <x:c r="T922" s="160" t="inlineStr">
        <x:is>
          <x:t xml:space="preserve">MATURE</x:t>
        </x:is>
      </x:c>
      <x:c r="U922" s="160" t="inlineStr">
        <x:is>
          <x:t xml:space="preserve">V10.5-SIM82</x:t>
        </x:is>
      </x:c>
      <x:c r="V922" s="160" t="inlineStr">
        <x:is>
          <x:t xml:space="preserve">https://ir.prologis.com</x:t>
        </x:is>
      </x:c>
      <x:c r="W922" s="160" t="inlineStr">
        <x:is>
          <x:t xml:space="preserve">NO</x:t>
        </x:is>
      </x:c>
      <x:c r="X922" s="160" t="inlineStr">
        <x:is>
          <x:t xml:space="preserve">NONE — DEVELOPMENT ONLY</x:t>
        </x:is>
      </x:c>
      <x:c r="Y922" s="160" t="inlineStr">
        <x:is>
          <x:t xml:space="preserve">Synthetic/adversarial model-development loop. No historical outcome is claimed; no accuracy point is awarded.</x:t>
        </x:is>
      </x:c>
    </x:row>
    <x:row r="923">
      <x:c r="A923" s="160" t="inlineStr">
        <x:is>
          <x:t xml:space="preserve">ML0918</x:t>
        </x:is>
      </x:c>
      <x:c r="B923" s="160" t="inlineStr">
        <x:is>
          <x:t xml:space="preserve">ARG-058</x:t>
        </x:is>
      </x:c>
      <x:c r="C923" s="160" t="inlineStr">
        <x:is>
          <x:t xml:space="preserve">Prologis</x:t>
        </x:is>
      </x:c>
      <x:c r="D923" s="160" t="inlineStr">
        <x:is>
          <x:t xml:space="preserve">PLD</x:t>
        </x:is>
      </x:c>
      <x:c r="E923" s="160" t="inlineStr">
        <x:is>
          <x:t xml:space="preserve">Real Estate &amp; Telecom</x:t>
        </x:is>
      </x:c>
      <x:c r="F923" s="160" t="inlineStr">
        <x:is>
          <x:t xml:space="preserve">Development</x:t>
        </x:is>
      </x:c>
      <x:c r="G923" s="160" t="inlineStr">
        <x:is>
          <x:t xml:space="preserve">S06</x:t>
        </x:is>
      </x:c>
      <x:c r="H923" s="160" t="inlineStr">
        <x:is>
          <x:t xml:space="preserve">Margin of Safety</x:t>
        </x:is>
      </x:c>
      <x:c r="I923" s="160" t="inlineStr">
        <x:is>
          <x:t xml:space="preserve">Margin of Safety</x:t>
        </x:is>
      </x:c>
      <x:c r="J923" s="160" t="inlineStr">
        <x:is>
          <x:t xml:space="preserve">Business quality is high but the price embeds a fragile bull case.</x:t>
        </x:is>
      </x:c>
      <x:c r="K923" s="160" t="inlineStr">
        <x:is>
          <x:t xml:space="preserve">Occupancy/rent growth/development spreads minus financing</x:t>
        </x:is>
      </x:c>
      <x:c r="L923" s="160" t="inlineStr">
        <x:is>
          <x:t xml:space="preserve">NAV + AFFO</x:t>
        </x:is>
      </x:c>
      <x:c r="M923" s="160" t="inlineStr">
        <x:is>
          <x:t xml:space="preserve">NO PRODUCTION DECISION — STRESS TEST ONLY</x:t>
        </x:is>
      </x:c>
      <x:c r="N923" s="160" t="inlineStr">
        <x:is>
          <x:t xml:space="preserve">R-MOS-01</x:t>
        </x:is>
      </x:c>
      <x:c r="O923" s="160" t="inlineStr">
        <x:is>
          <x:t xml:space="preserve">MATURE</x:t>
        </x:is>
      </x:c>
      <x:c r="P923" s="160" t="inlineStr">
        <x:is>
          <x:t xml:space="preserve">ROBUST</x:t>
        </x:is>
      </x:c>
      <x:c r="Q923" s="160" t="inlineStr">
        <x:is>
          <x:t xml:space="preserve">The mature simulation rule catches the stress without weakening a fatal gate; no rule relaxation is justified.</x:t>
        </x:is>
      </x:c>
      <x:c r="R923" s="160" t="inlineStr">
        <x:is>
          <x:t xml:space="preserve">Separate business-quality score from price decision; require reverse valuation and bear/base/bull IV ranges.</x:t>
        </x:is>
      </x:c>
      <x:c r="S923" s="160" t="inlineStr">
        <x:is>
          <x:t xml:space="preserve">NO</x:t>
        </x:is>
      </x:c>
      <x:c r="T923" s="160" t="inlineStr">
        <x:is>
          <x:t xml:space="preserve">MATURE</x:t>
        </x:is>
      </x:c>
      <x:c r="U923" s="160" t="inlineStr">
        <x:is>
          <x:t xml:space="preserve">V10.5-SIM82</x:t>
        </x:is>
      </x:c>
      <x:c r="V923" s="160" t="inlineStr">
        <x:is>
          <x:t xml:space="preserve">https://ir.prologis.com</x:t>
        </x:is>
      </x:c>
      <x:c r="W923" s="160" t="inlineStr">
        <x:is>
          <x:t xml:space="preserve">NO</x:t>
        </x:is>
      </x:c>
      <x:c r="X923" s="160" t="inlineStr">
        <x:is>
          <x:t xml:space="preserve">NONE — DEVELOPMENT ONLY</x:t>
        </x:is>
      </x:c>
      <x:c r="Y923" s="160" t="inlineStr">
        <x:is>
          <x:t xml:space="preserve">Synthetic/adversarial model-development loop. No historical outcome is claimed; no accuracy point is awarded.</x:t>
        </x:is>
      </x:c>
    </x:row>
    <x:row r="924">
      <x:c r="A924" s="160" t="inlineStr">
        <x:is>
          <x:t xml:space="preserve">ML0919</x:t>
        </x:is>
      </x:c>
      <x:c r="B924" s="160" t="inlineStr">
        <x:is>
          <x:t xml:space="preserve">ARG-058</x:t>
        </x:is>
      </x:c>
      <x:c r="C924" s="160" t="inlineStr">
        <x:is>
          <x:t xml:space="preserve">Prologis</x:t>
        </x:is>
      </x:c>
      <x:c r="D924" s="160" t="inlineStr">
        <x:is>
          <x:t xml:space="preserve">PLD</x:t>
        </x:is>
      </x:c>
      <x:c r="E924" s="160" t="inlineStr">
        <x:is>
          <x:t xml:space="preserve">Real Estate &amp; Telecom</x:t>
        </x:is>
      </x:c>
      <x:c r="F924" s="160" t="inlineStr">
        <x:is>
          <x:t xml:space="preserve">Development</x:t>
        </x:is>
      </x:c>
      <x:c r="G924" s="160" t="inlineStr">
        <x:is>
          <x:t xml:space="preserve">S07</x:t>
        </x:is>
      </x:c>
      <x:c r="H924" s="160" t="inlineStr">
        <x:is>
          <x:t xml:space="preserve">Sector Shock</x:t>
        </x:is>
      </x:c>
      <x:c r="I924" s="160" t="inlineStr">
        <x:is>
          <x:t xml:space="preserve">Sector-specific</x:t>
        </x:is>
      </x:c>
      <x:c r="J924" s="160" t="inlineStr">
        <x:is>
          <x:t xml:space="preserve">Reported AFFO/FCF looks stable while refinancing cost, cap rates, tenant concentration or network capex pressure asset value.</x:t>
        </x:is>
      </x:c>
      <x:c r="K924" s="160" t="inlineStr">
        <x:is>
          <x:t xml:space="preserve">Occupancy/rent growth/development spreads minus financing</x:t>
        </x:is>
      </x:c>
      <x:c r="L924" s="160" t="inlineStr">
        <x:is>
          <x:t xml:space="preserve">NAV + AFFO</x:t>
        </x:is>
      </x:c>
      <x:c r="M924" s="160" t="inlineStr">
        <x:is>
          <x:t xml:space="preserve">NO PRODUCTION DECISION — STRESS TEST ONLY</x:t>
        </x:is>
      </x:c>
      <x:c r="N924" s="160" t="inlineStr">
        <x:is>
          <x:t xml:space="preserve">R-SECTOR-REAL-ESTATE-TELECOM</x:t>
        </x:is>
      </x:c>
      <x:c r="O924" s="160" t="inlineStr">
        <x:is>
          <x:t xml:space="preserve">UNFORMED</x:t>
        </x:is>
      </x:c>
      <x:c r="P924" s="160" t="inlineStr">
        <x:is>
          <x:t xml:space="preserve">WEAKNESS EXPOSED</x:t>
        </x:is>
      </x:c>
      <x:c r="Q924" s="160" t="inlineStr">
        <x:is>
          <x:t xml:space="preserve">The frozen V10 gate family is directionally right, but the test lacks a sufficiently explicit mechanical implementation.</x:t>
        </x:is>
      </x:c>
      <x:c r="R924" s="160" t="inlineStr">
        <x:is>
          <x:t xml:space="preserve">Add a sector-specific transmission map with leading operating sensors, not only market-price variables. Sector rule: Reported AFFO/FCF looks stable while refinancing cost, cap rates, tenant concentration or network capex pressure asset value.</x:t>
        </x:is>
      </x:c>
      <x:c r="S924" s="160" t="inlineStr">
        <x:is>
          <x:t xml:space="preserve">NO</x:t>
        </x:is>
      </x:c>
      <x:c r="T924" s="160" t="inlineStr">
        <x:is>
          <x:t xml:space="preserve">UNFORMED</x:t>
        </x:is>
      </x:c>
      <x:c r="U924" s="160" t="inlineStr">
        <x:is>
          <x:t xml:space="preserve">V10.5-SIM82</x:t>
        </x:is>
      </x:c>
      <x:c r="V924" s="160" t="inlineStr">
        <x:is>
          <x:t xml:space="preserve">https://ir.prologis.com</x:t>
        </x:is>
      </x:c>
      <x:c r="W924" s="160" t="inlineStr">
        <x:is>
          <x:t xml:space="preserve">NO</x:t>
        </x:is>
      </x:c>
      <x:c r="X924" s="160" t="inlineStr">
        <x:is>
          <x:t xml:space="preserve">NONE — DEVELOPMENT ONLY</x:t>
        </x:is>
      </x:c>
      <x:c r="Y924" s="160" t="inlineStr">
        <x:is>
          <x:t xml:space="preserve">Synthetic/adversarial model-development loop. No historical outcome is claimed; no accuracy point is awarded.</x:t>
        </x:is>
      </x:c>
    </x:row>
    <x:row r="925">
      <x:c r="A925" s="160" t="inlineStr">
        <x:is>
          <x:t xml:space="preserve">ML0920</x:t>
        </x:is>
      </x:c>
      <x:c r="B925" s="160" t="inlineStr">
        <x:is>
          <x:t xml:space="preserve">ARG-058</x:t>
        </x:is>
      </x:c>
      <x:c r="C925" s="160" t="inlineStr">
        <x:is>
          <x:t xml:space="preserve">Prologis</x:t>
        </x:is>
      </x:c>
      <x:c r="D925" s="160" t="inlineStr">
        <x:is>
          <x:t xml:space="preserve">PLD</x:t>
        </x:is>
      </x:c>
      <x:c r="E925" s="160" t="inlineStr">
        <x:is>
          <x:t xml:space="preserve">Real Estate &amp; Telecom</x:t>
        </x:is>
      </x:c>
      <x:c r="F925" s="160" t="inlineStr">
        <x:is>
          <x:t xml:space="preserve">Development</x:t>
        </x:is>
      </x:c>
      <x:c r="G925" s="160" t="inlineStr">
        <x:is>
          <x:t xml:space="preserve">S08</x:t>
        </x:is>
      </x:c>
      <x:c r="H925" s="160" t="inlineStr">
        <x:is>
          <x:t xml:space="preserve">Management Promise Reliability</x:t>
        </x:is>
      </x:c>
      <x:c r="I925" s="160" t="inlineStr">
        <x:is>
          <x:t xml:space="preserve">Management over-trust</x:t>
        </x:is>
      </x:c>
      <x:c r="J925" s="160" t="inlineStr">
        <x:is>
          <x:t xml:space="preserve">Guidance or strategic promises are repeated but the model lacks a contemporaneous reliability score.</x:t>
        </x:is>
      </x:c>
      <x:c r="K925" s="160" t="inlineStr">
        <x:is>
          <x:t xml:space="preserve">Occupancy/rent growth/development spreads minus financing</x:t>
        </x:is>
      </x:c>
      <x:c r="L925" s="160" t="inlineStr">
        <x:is>
          <x:t xml:space="preserve">NAV + AFFO</x:t>
        </x:is>
      </x:c>
      <x:c r="M925" s="160" t="inlineStr">
        <x:is>
          <x:t xml:space="preserve">NO PRODUCTION DECISION — STRESS TEST ONLY</x:t>
        </x:is>
      </x:c>
      <x:c r="N925" s="160" t="inlineStr">
        <x:is>
          <x:t xml:space="preserve">R-PROM-01</x:t>
        </x:is>
      </x:c>
      <x:c r="O925" s="160" t="inlineStr">
        <x:is>
          <x:t xml:space="preserve">MATURE</x:t>
        </x:is>
      </x:c>
      <x:c r="P925" s="160" t="inlineStr">
        <x:is>
          <x:t xml:space="preserve">ROBUST</x:t>
        </x:is>
      </x:c>
      <x:c r="Q925" s="160" t="inlineStr">
        <x:is>
          <x:t xml:space="preserve">The mature simulation rule catches the stress without weakening a fatal gate; no rule relaxation is justified.</x:t>
        </x:is>
      </x:c>
      <x:c r="R925" s="160" t="inlineStr">
        <x:is>
          <x:t xml:space="preserve">Use a promises ledger with dated promise, measurable deliverable, due date, outcome and credibility weight.</x:t>
        </x:is>
      </x:c>
      <x:c r="S925" s="160" t="inlineStr">
        <x:is>
          <x:t xml:space="preserve">NO</x:t>
        </x:is>
      </x:c>
      <x:c r="T925" s="160" t="inlineStr">
        <x:is>
          <x:t xml:space="preserve">MATURE</x:t>
        </x:is>
      </x:c>
      <x:c r="U925" s="160" t="inlineStr">
        <x:is>
          <x:t xml:space="preserve">V10.5-SIM82</x:t>
        </x:is>
      </x:c>
      <x:c r="V925" s="160" t="inlineStr">
        <x:is>
          <x:t xml:space="preserve">https://ir.prologis.com</x:t>
        </x:is>
      </x:c>
      <x:c r="W925" s="160" t="inlineStr">
        <x:is>
          <x:t xml:space="preserve">NO</x:t>
        </x:is>
      </x:c>
      <x:c r="X925" s="160" t="inlineStr">
        <x:is>
          <x:t xml:space="preserve">NONE — DEVELOPMENT ONLY</x:t>
        </x:is>
      </x:c>
      <x:c r="Y925" s="160" t="inlineStr">
        <x:is>
          <x:t xml:space="preserve">Synthetic/adversarial model-development loop. No historical outcome is claimed; no accuracy point is awarded.</x:t>
        </x:is>
      </x:c>
    </x:row>
    <x:row r="926">
      <x:c r="A926" s="160" t="inlineStr">
        <x:is>
          <x:t xml:space="preserve">ML0921</x:t>
        </x:is>
      </x:c>
      <x:c r="B926" s="160" t="inlineStr">
        <x:is>
          <x:t xml:space="preserve">ARG-058</x:t>
        </x:is>
      </x:c>
      <x:c r="C926" s="160" t="inlineStr">
        <x:is>
          <x:t xml:space="preserve">Prologis</x:t>
        </x:is>
      </x:c>
      <x:c r="D926" s="160" t="inlineStr">
        <x:is>
          <x:t xml:space="preserve">PLD</x:t>
        </x:is>
      </x:c>
      <x:c r="E926" s="160" t="inlineStr">
        <x:is>
          <x:t xml:space="preserve">Real Estate &amp; Telecom</x:t>
        </x:is>
      </x:c>
      <x:c r="F926" s="160" t="inlineStr">
        <x:is>
          <x:t xml:space="preserve">Development</x:t>
        </x:is>
      </x:c>
      <x:c r="G926" s="160" t="inlineStr">
        <x:is>
          <x:t xml:space="preserve">S09</x:t>
        </x:is>
      </x:c>
      <x:c r="H926" s="160" t="inlineStr">
        <x:is>
          <x:t xml:space="preserve">Data / Accounting Quality</x:t>
        </x:is>
      </x:c>
      <x:c r="I926" s="160" t="inlineStr">
        <x:is>
          <x:t xml:space="preserve">Data quality</x:t>
        </x:is>
      </x:c>
      <x:c r="J926" s="160" t="inlineStr">
        <x:is>
          <x:t xml:space="preserve">Restatement, segment reclassification, one-time item or non-economic fair-value movement distorts the apparent trend.</x:t>
        </x:is>
      </x:c>
      <x:c r="K926" s="160" t="inlineStr">
        <x:is>
          <x:t xml:space="preserve">Occupancy/rent growth/development spreads minus financing</x:t>
        </x:is>
      </x:c>
      <x:c r="L926" s="160" t="inlineStr">
        <x:is>
          <x:t xml:space="preserve">NAV + AFFO</x:t>
        </x:is>
      </x:c>
      <x:c r="M926" s="160" t="inlineStr">
        <x:is>
          <x:t xml:space="preserve">NO PRODUCTION DECISION — STRESS TEST ONLY</x:t>
        </x:is>
      </x:c>
      <x:c r="N926" s="160" t="inlineStr">
        <x:is>
          <x:t xml:space="preserve">R-DATA-01</x:t>
        </x:is>
      </x:c>
      <x:c r="O926" s="160" t="inlineStr">
        <x:is>
          <x:t xml:space="preserve">MATURE</x:t>
        </x:is>
      </x:c>
      <x:c r="P926" s="160" t="inlineStr">
        <x:is>
          <x:t xml:space="preserve">ROBUST</x:t>
        </x:is>
      </x:c>
      <x:c r="Q926" s="160" t="inlineStr">
        <x:is>
          <x:t xml:space="preserve">The mature simulation rule catches the stress without weakening a fatal gate; no rule relaxation is justified.</x:t>
        </x:is>
      </x:c>
      <x:c r="R926" s="160" t="inlineStr">
        <x:is>
          <x:t xml:space="preserve">Add a reporting-quality bridge and normalize accounting noise before any gate can pass.</x:t>
        </x:is>
      </x:c>
      <x:c r="S926" s="160" t="inlineStr">
        <x:is>
          <x:t xml:space="preserve">NO</x:t>
        </x:is>
      </x:c>
      <x:c r="T926" s="160" t="inlineStr">
        <x:is>
          <x:t xml:space="preserve">MATURE</x:t>
        </x:is>
      </x:c>
      <x:c r="U926" s="160" t="inlineStr">
        <x:is>
          <x:t xml:space="preserve">V10.5-SIM82</x:t>
        </x:is>
      </x:c>
      <x:c r="V926" s="160" t="inlineStr">
        <x:is>
          <x:t xml:space="preserve">https://ir.prologis.com</x:t>
        </x:is>
      </x:c>
      <x:c r="W926" s="160" t="inlineStr">
        <x:is>
          <x:t xml:space="preserve">NO</x:t>
        </x:is>
      </x:c>
      <x:c r="X926" s="160" t="inlineStr">
        <x:is>
          <x:t xml:space="preserve">NONE — DEVELOPMENT ONLY</x:t>
        </x:is>
      </x:c>
      <x:c r="Y926" s="160" t="inlineStr">
        <x:is>
          <x:t xml:space="preserve">Synthetic/adversarial model-development loop. No historical outcome is claimed; no accuracy point is awarded.</x:t>
        </x:is>
      </x:c>
    </x:row>
    <x:row r="927">
      <x:c r="A927" s="160" t="inlineStr">
        <x:is>
          <x:t xml:space="preserve">ML0922</x:t>
        </x:is>
      </x:c>
      <x:c r="B927" s="160" t="inlineStr">
        <x:is>
          <x:t xml:space="preserve">ARG-058</x:t>
        </x:is>
      </x:c>
      <x:c r="C927" s="160" t="inlineStr">
        <x:is>
          <x:t xml:space="preserve">Prologis</x:t>
        </x:is>
      </x:c>
      <x:c r="D927" s="160" t="inlineStr">
        <x:is>
          <x:t xml:space="preserve">PLD</x:t>
        </x:is>
      </x:c>
      <x:c r="E927" s="160" t="inlineStr">
        <x:is>
          <x:t xml:space="preserve">Real Estate &amp; Telecom</x:t>
        </x:is>
      </x:c>
      <x:c r="F927" s="160" t="inlineStr">
        <x:is>
          <x:t xml:space="preserve">Development</x:t>
        </x:is>
      </x:c>
      <x:c r="G927" s="160" t="inlineStr">
        <x:is>
          <x:t xml:space="preserve">S10</x:t>
        </x:is>
      </x:c>
      <x:c r="H927" s="160" t="inlineStr">
        <x:is>
          <x:t xml:space="preserve">Control / Counterfactual</x:t>
        </x:is>
      </x:c>
      <x:c r="I927" s="160" t="inlineStr">
        <x:is>
          <x:t xml:space="preserve">Sector beta vs company alpha</x:t>
        </x:is>
      </x:c>
      <x:c r="J927" s="160" t="inlineStr">
        <x:is>
          <x:t xml:space="preserve">A positive outcome is mostly sector beta or macro tailwind, not company-specific alpha.</x:t>
        </x:is>
      </x:c>
      <x:c r="K927" s="160" t="inlineStr">
        <x:is>
          <x:t xml:space="preserve">Occupancy/rent growth/development spreads minus financing</x:t>
        </x:is>
      </x:c>
      <x:c r="L927" s="160" t="inlineStr">
        <x:is>
          <x:t xml:space="preserve">NAV + AFFO</x:t>
        </x:is>
      </x:c>
      <x:c r="M927" s="160" t="inlineStr">
        <x:is>
          <x:t xml:space="preserve">NO PRODUCTION DECISION — STRESS TEST ONLY</x:t>
        </x:is>
      </x:c>
      <x:c r="N927" s="160" t="inlineStr">
        <x:is>
          <x:t xml:space="preserve">R-CF-01</x:t>
        </x:is>
      </x:c>
      <x:c r="O927" s="160" t="inlineStr">
        <x:is>
          <x:t xml:space="preserve">MATURE</x:t>
        </x:is>
      </x:c>
      <x:c r="P927" s="160" t="inlineStr">
        <x:is>
          <x:t xml:space="preserve">ROBUST</x:t>
        </x:is>
      </x:c>
      <x:c r="Q927" s="160" t="inlineStr">
        <x:is>
          <x:t xml:space="preserve">The mature simulation rule catches the stress without weakening a fatal gate; no rule relaxation is justified.</x:t>
        </x:is>
      </x:c>
      <x:c r="R927" s="160" t="inlineStr">
        <x:is>
          <x:t xml:space="preserve">Require a true economic control and counterfactual: what should have happened to a comparable company under the same shock?</x:t>
        </x:is>
      </x:c>
      <x:c r="S927" s="160" t="inlineStr">
        <x:is>
          <x:t xml:space="preserve">NO</x:t>
        </x:is>
      </x:c>
      <x:c r="T927" s="160" t="inlineStr">
        <x:is>
          <x:t xml:space="preserve">MATURE</x:t>
        </x:is>
      </x:c>
      <x:c r="U927" s="160" t="inlineStr">
        <x:is>
          <x:t xml:space="preserve">V10.5-SIM82</x:t>
        </x:is>
      </x:c>
      <x:c r="V927" s="160" t="inlineStr">
        <x:is>
          <x:t xml:space="preserve">https://ir.prologis.com</x:t>
        </x:is>
      </x:c>
      <x:c r="W927" s="160" t="inlineStr">
        <x:is>
          <x:t xml:space="preserve">NO</x:t>
        </x:is>
      </x:c>
      <x:c r="X927" s="160" t="inlineStr">
        <x:is>
          <x:t xml:space="preserve">NONE — DEVELOPMENT ONLY</x:t>
        </x:is>
      </x:c>
      <x:c r="Y927" s="160" t="inlineStr">
        <x:is>
          <x:t xml:space="preserve">Synthetic/adversarial model-development loop. No historical outcome is claimed; no accuracy point is awarded.</x:t>
        </x:is>
      </x:c>
    </x:row>
    <x:row r="928">
      <x:c r="A928" s="160" t="inlineStr">
        <x:is>
          <x:t xml:space="preserve">ML0923</x:t>
        </x:is>
      </x:c>
      <x:c r="B928" s="160" t="inlineStr">
        <x:is>
          <x:t xml:space="preserve">ARG-058</x:t>
        </x:is>
      </x:c>
      <x:c r="C928" s="160" t="inlineStr">
        <x:is>
          <x:t xml:space="preserve">Prologis</x:t>
        </x:is>
      </x:c>
      <x:c r="D928" s="160" t="inlineStr">
        <x:is>
          <x:t xml:space="preserve">PLD</x:t>
        </x:is>
      </x:c>
      <x:c r="E928" s="160" t="inlineStr">
        <x:is>
          <x:t xml:space="preserve">Real Estate &amp; Telecom</x:t>
        </x:is>
      </x:c>
      <x:c r="F928" s="160" t="inlineStr">
        <x:is>
          <x:t xml:space="preserve">Development</x:t>
        </x:is>
      </x:c>
      <x:c r="G928" s="160" t="inlineStr">
        <x:is>
          <x:t xml:space="preserve">S11</x:t>
        </x:is>
      </x:c>
      <x:c r="H928" s="160" t="inlineStr">
        <x:is>
          <x:t xml:space="preserve">False-Negative Discipline</x:t>
        </x:is>
      </x:c>
      <x:c r="I928" s="160" t="inlineStr">
        <x:is>
          <x:t xml:space="preserve">False negative</x:t>
        </x:is>
      </x:c>
      <x:c r="J928" s="160" t="inlineStr">
        <x:is>
          <x:t xml:space="preserve">A strict gate rejects a company that later compounds strongly for reasons the model could have known.</x:t>
        </x:is>
      </x:c>
      <x:c r="K928" s="160" t="inlineStr">
        <x:is>
          <x:t xml:space="preserve">Occupancy/rent growth/development spreads minus financing</x:t>
        </x:is>
      </x:c>
      <x:c r="L928" s="160" t="inlineStr">
        <x:is>
          <x:t xml:space="preserve">NAV + AFFO</x:t>
        </x:is>
      </x:c>
      <x:c r="M928" s="160" t="inlineStr">
        <x:is>
          <x:t xml:space="preserve">NO PRODUCTION DECISION — STRESS TEST ONLY</x:t>
        </x:is>
      </x:c>
      <x:c r="N928" s="160" t="inlineStr">
        <x:is>
          <x:t xml:space="preserve">R-FN-01</x:t>
        </x:is>
      </x:c>
      <x:c r="O928" s="160" t="inlineStr">
        <x:is>
          <x:t xml:space="preserve">MATURE</x:t>
        </x:is>
      </x:c>
      <x:c r="P928" s="160" t="inlineStr">
        <x:is>
          <x:t xml:space="preserve">ROBUST</x:t>
        </x:is>
      </x:c>
      <x:c r="Q928" s="160" t="inlineStr">
        <x:is>
          <x:t xml:space="preserve">The mature simulation rule catches the stress without weakening a fatal gate; no rule relaxation is justified.</x:t>
        </x:is>
      </x:c>
      <x:c r="R928" s="160" t="inlineStr">
        <x:is>
          <x:t xml:space="preserve">Track opportunity cost and classify whether the miss came from evidence timing, wrong threshold or genuinely unknowable upside.</x:t>
        </x:is>
      </x:c>
      <x:c r="S928" s="160" t="inlineStr">
        <x:is>
          <x:t xml:space="preserve">NO</x:t>
        </x:is>
      </x:c>
      <x:c r="T928" s="160" t="inlineStr">
        <x:is>
          <x:t xml:space="preserve">MATURE</x:t>
        </x:is>
      </x:c>
      <x:c r="U928" s="160" t="inlineStr">
        <x:is>
          <x:t xml:space="preserve">V10.5-SIM82</x:t>
        </x:is>
      </x:c>
      <x:c r="V928" s="160" t="inlineStr">
        <x:is>
          <x:t xml:space="preserve">https://ir.prologis.com</x:t>
        </x:is>
      </x:c>
      <x:c r="W928" s="160" t="inlineStr">
        <x:is>
          <x:t xml:space="preserve">NO</x:t>
        </x:is>
      </x:c>
      <x:c r="X928" s="160" t="inlineStr">
        <x:is>
          <x:t xml:space="preserve">NONE — DEVELOPMENT ONLY</x:t>
        </x:is>
      </x:c>
      <x:c r="Y928" s="160" t="inlineStr">
        <x:is>
          <x:t xml:space="preserve">Synthetic/adversarial model-development loop. No historical outcome is claimed; no accuracy point is awarded.</x:t>
        </x:is>
      </x:c>
    </x:row>
    <x:row r="929">
      <x:c r="A929" s="160" t="inlineStr">
        <x:is>
          <x:t xml:space="preserve">ML0924</x:t>
        </x:is>
      </x:c>
      <x:c r="B929" s="160" t="inlineStr">
        <x:is>
          <x:t xml:space="preserve">ARG-058</x:t>
        </x:is>
      </x:c>
      <x:c r="C929" s="160" t="inlineStr">
        <x:is>
          <x:t xml:space="preserve">Prologis</x:t>
        </x:is>
      </x:c>
      <x:c r="D929" s="160" t="inlineStr">
        <x:is>
          <x:t xml:space="preserve">PLD</x:t>
        </x:is>
      </x:c>
      <x:c r="E929" s="160" t="inlineStr">
        <x:is>
          <x:t xml:space="preserve">Real Estate &amp; Telecom</x:t>
        </x:is>
      </x:c>
      <x:c r="F929" s="160" t="inlineStr">
        <x:is>
          <x:t xml:space="preserve">Development</x:t>
        </x:is>
      </x:c>
      <x:c r="G929" s="160" t="inlineStr">
        <x:is>
          <x:t xml:space="preserve">S12</x:t>
        </x:is>
      </x:c>
      <x:c r="H929" s="160" t="inlineStr">
        <x:is>
          <x:t xml:space="preserve">Lead-Time / Early Sensor</x:t>
        </x:is>
      </x:c>
      <x:c r="I929" s="160" t="inlineStr">
        <x:is>
          <x:t xml:space="preserve">Timing / lead-time</x:t>
        </x:is>
      </x:c>
      <x:c r="J929" s="160" t="inlineStr">
        <x:is>
          <x:t xml:space="preserve">ARGUS identifies the change correctly but only after consensus and price have already reacted.</x:t>
        </x:is>
      </x:c>
      <x:c r="K929" s="160" t="inlineStr">
        <x:is>
          <x:t xml:space="preserve">Occupancy/rent growth/development spreads minus financing</x:t>
        </x:is>
      </x:c>
      <x:c r="L929" s="160" t="inlineStr">
        <x:is>
          <x:t xml:space="preserve">NAV + AFFO</x:t>
        </x:is>
      </x:c>
      <x:c r="M929" s="160" t="inlineStr">
        <x:is>
          <x:t xml:space="preserve">NO PRODUCTION DECISION — STRESS TEST ONLY</x:t>
        </x:is>
      </x:c>
      <x:c r="N929" s="160" t="inlineStr">
        <x:is>
          <x:t xml:space="preserve">R-TIME-01</x:t>
        </x:is>
      </x:c>
      <x:c r="O929" s="160" t="inlineStr">
        <x:is>
          <x:t xml:space="preserve">MATURE</x:t>
        </x:is>
      </x:c>
      <x:c r="P929" s="160" t="inlineStr">
        <x:is>
          <x:t xml:space="preserve">ROBUST</x:t>
        </x:is>
      </x:c>
      <x:c r="Q929" s="160" t="inlineStr">
        <x:is>
          <x:t xml:space="preserve">The mature simulation rule catches the stress without weakening a fatal gate; no rule relaxation is justified.</x:t>
        </x:is>
      </x:c>
      <x:c r="R929" s="160" t="inlineStr">
        <x:is>
          <x:t xml:space="preserve">Replace lagging financial metrics with earlier causal operating sensors and record lead time separately from correctness.</x:t>
        </x:is>
      </x:c>
      <x:c r="S929" s="160" t="inlineStr">
        <x:is>
          <x:t xml:space="preserve">NO</x:t>
        </x:is>
      </x:c>
      <x:c r="T929" s="160" t="inlineStr">
        <x:is>
          <x:t xml:space="preserve">MATURE</x:t>
        </x:is>
      </x:c>
      <x:c r="U929" s="160" t="inlineStr">
        <x:is>
          <x:t xml:space="preserve">V10.5-SIM82</x:t>
        </x:is>
      </x:c>
      <x:c r="V929" s="160" t="inlineStr">
        <x:is>
          <x:t xml:space="preserve">https://ir.prologis.com</x:t>
        </x:is>
      </x:c>
      <x:c r="W929" s="160" t="inlineStr">
        <x:is>
          <x:t xml:space="preserve">NO</x:t>
        </x:is>
      </x:c>
      <x:c r="X929" s="160" t="inlineStr">
        <x:is>
          <x:t xml:space="preserve">NONE — DEVELOPMENT ONLY</x:t>
        </x:is>
      </x:c>
      <x:c r="Y929" s="160" t="inlineStr">
        <x:is>
          <x:t xml:space="preserve">Synthetic/adversarial model-development loop. No historical outcome is claimed; no accuracy point is awarded.</x:t>
        </x:is>
      </x:c>
    </x:row>
    <x:row r="930">
      <x:c r="A930" s="160" t="inlineStr">
        <x:is>
          <x:t xml:space="preserve">ML0925</x:t>
        </x:is>
      </x:c>
      <x:c r="B930" s="160" t="inlineStr">
        <x:is>
          <x:t xml:space="preserve">ARG-058</x:t>
        </x:is>
      </x:c>
      <x:c r="C930" s="160" t="inlineStr">
        <x:is>
          <x:t xml:space="preserve">Prologis</x:t>
        </x:is>
      </x:c>
      <x:c r="D930" s="160" t="inlineStr">
        <x:is>
          <x:t xml:space="preserve">PLD</x:t>
        </x:is>
      </x:c>
      <x:c r="E930" s="160" t="inlineStr">
        <x:is>
          <x:t xml:space="preserve">Real Estate &amp; Telecom</x:t>
        </x:is>
      </x:c>
      <x:c r="F930" s="160" t="inlineStr">
        <x:is>
          <x:t xml:space="preserve">Development</x:t>
        </x:is>
      </x:c>
      <x:c r="G930" s="160" t="inlineStr">
        <x:is>
          <x:t xml:space="preserve">S13</x:t>
        </x:is>
      </x:c>
      <x:c r="H930" s="160" t="inlineStr">
        <x:is>
          <x:t xml:space="preserve">Cycle Normalization</x:t>
        </x:is>
      </x:c>
      <x:c r="I930" s="160" t="inlineStr">
        <x:is>
          <x:t xml:space="preserve">Wrong valuation lens</x:t>
        </x:is>
      </x:c>
      <x:c r="J930" s="160" t="inlineStr">
        <x:is>
          <x:t xml:space="preserve">Peak/trough earnings are mistaken for normalized earning power.</x:t>
        </x:is>
      </x:c>
      <x:c r="K930" s="160" t="inlineStr">
        <x:is>
          <x:t xml:space="preserve">Occupancy/rent growth/development spreads minus financing</x:t>
        </x:is>
      </x:c>
      <x:c r="L930" s="160" t="inlineStr">
        <x:is>
          <x:t xml:space="preserve">NAV + AFFO</x:t>
        </x:is>
      </x:c>
      <x:c r="M930" s="160" t="inlineStr">
        <x:is>
          <x:t xml:space="preserve">NO PRODUCTION DECISION — STRESS TEST ONLY</x:t>
        </x:is>
      </x:c>
      <x:c r="N930" s="160" t="inlineStr">
        <x:is>
          <x:t xml:space="preserve">R-CYCLE-01</x:t>
        </x:is>
      </x:c>
      <x:c r="O930" s="160" t="inlineStr">
        <x:is>
          <x:t xml:space="preserve">MATURE</x:t>
        </x:is>
      </x:c>
      <x:c r="P930" s="160" t="inlineStr">
        <x:is>
          <x:t xml:space="preserve">ROBUST</x:t>
        </x:is>
      </x:c>
      <x:c r="Q930" s="160" t="inlineStr">
        <x:is>
          <x:t xml:space="preserve">The mature simulation rule catches the stress without weakening a fatal gate; no rule relaxation is justified.</x:t>
        </x:is>
      </x:c>
      <x:c r="R930" s="160" t="inlineStr">
        <x:is>
          <x:t xml:space="preserve">Use sector-specific mid-cycle/NAV/rate-base/rNPV normalization before applying a valuation multiple.</x:t>
        </x:is>
      </x:c>
      <x:c r="S930" s="160" t="inlineStr">
        <x:is>
          <x:t xml:space="preserve">NO</x:t>
        </x:is>
      </x:c>
      <x:c r="T930" s="160" t="inlineStr">
        <x:is>
          <x:t xml:space="preserve">MATURE</x:t>
        </x:is>
      </x:c>
      <x:c r="U930" s="160" t="inlineStr">
        <x:is>
          <x:t xml:space="preserve">V10.5-SIM82</x:t>
        </x:is>
      </x:c>
      <x:c r="V930" s="160" t="inlineStr">
        <x:is>
          <x:t xml:space="preserve">https://ir.prologis.com</x:t>
        </x:is>
      </x:c>
      <x:c r="W930" s="160" t="inlineStr">
        <x:is>
          <x:t xml:space="preserve">NO</x:t>
        </x:is>
      </x:c>
      <x:c r="X930" s="160" t="inlineStr">
        <x:is>
          <x:t xml:space="preserve">NONE — DEVELOPMENT ONLY</x:t>
        </x:is>
      </x:c>
      <x:c r="Y930" s="160" t="inlineStr">
        <x:is>
          <x:t xml:space="preserve">Synthetic/adversarial model-development loop. No historical outcome is claimed; no accuracy point is awarded.</x:t>
        </x:is>
      </x:c>
    </x:row>
    <x:row r="931">
      <x:c r="A931" s="160" t="inlineStr">
        <x:is>
          <x:t xml:space="preserve">ML0926</x:t>
        </x:is>
      </x:c>
      <x:c r="B931" s="160" t="inlineStr">
        <x:is>
          <x:t xml:space="preserve">ARG-058</x:t>
        </x:is>
      </x:c>
      <x:c r="C931" s="160" t="inlineStr">
        <x:is>
          <x:t xml:space="preserve">Prologis</x:t>
        </x:is>
      </x:c>
      <x:c r="D931" s="160" t="inlineStr">
        <x:is>
          <x:t xml:space="preserve">PLD</x:t>
        </x:is>
      </x:c>
      <x:c r="E931" s="160" t="inlineStr">
        <x:is>
          <x:t xml:space="preserve">Real Estate &amp; Telecom</x:t>
        </x:is>
      </x:c>
      <x:c r="F931" s="160" t="inlineStr">
        <x:is>
          <x:t xml:space="preserve">Development</x:t>
        </x:is>
      </x:c>
      <x:c r="G931" s="160" t="inlineStr">
        <x:is>
          <x:t xml:space="preserve">S14</x:t>
        </x:is>
      </x:c>
      <x:c r="H931" s="160" t="inlineStr">
        <x:is>
          <x:t xml:space="preserve">M&amp;A / Organic Growth Separation</x:t>
        </x:is>
      </x:c>
      <x:c r="I931" s="160" t="inlineStr">
        <x:is>
          <x:t xml:space="preserve">Stewardship</x:t>
        </x:is>
      </x:c>
      <x:c r="J931" s="160" t="inlineStr">
        <x:is>
          <x:t xml:space="preserve">Acquisition-driven growth masks weak organic economics or poor incremental ROIC.</x:t>
        </x:is>
      </x:c>
      <x:c r="K931" s="160" t="inlineStr">
        <x:is>
          <x:t xml:space="preserve">Occupancy/rent growth/development spreads minus financing</x:t>
        </x:is>
      </x:c>
      <x:c r="L931" s="160" t="inlineStr">
        <x:is>
          <x:t xml:space="preserve">NAV + AFFO</x:t>
        </x:is>
      </x:c>
      <x:c r="M931" s="160" t="inlineStr">
        <x:is>
          <x:t xml:space="preserve">NO PRODUCTION DECISION — STRESS TEST ONLY</x:t>
        </x:is>
      </x:c>
      <x:c r="N931" s="160" t="inlineStr">
        <x:is>
          <x:t xml:space="preserve">R-MA-01</x:t>
        </x:is>
      </x:c>
      <x:c r="O931" s="160" t="inlineStr">
        <x:is>
          <x:t xml:space="preserve">MATURE</x:t>
        </x:is>
      </x:c>
      <x:c r="P931" s="160" t="inlineStr">
        <x:is>
          <x:t xml:space="preserve">ROBUST</x:t>
        </x:is>
      </x:c>
      <x:c r="Q931" s="160" t="inlineStr">
        <x:is>
          <x:t xml:space="preserve">The mature simulation rule catches the stress without weakening a fatal gate; no rule relaxation is justified.</x:t>
        </x:is>
      </x:c>
      <x:c r="R931" s="160" t="inlineStr">
        <x:is>
          <x:t xml:space="preserve">Bridge organic growth, acquired growth, purchase price, integration costs and acquisition-cohort ROIC.</x:t>
        </x:is>
      </x:c>
      <x:c r="S931" s="160" t="inlineStr">
        <x:is>
          <x:t xml:space="preserve">NO</x:t>
        </x:is>
      </x:c>
      <x:c r="T931" s="160" t="inlineStr">
        <x:is>
          <x:t xml:space="preserve">MATURE</x:t>
        </x:is>
      </x:c>
      <x:c r="U931" s="160" t="inlineStr">
        <x:is>
          <x:t xml:space="preserve">V10.5-SIM82</x:t>
        </x:is>
      </x:c>
      <x:c r="V931" s="160" t="inlineStr">
        <x:is>
          <x:t xml:space="preserve">https://ir.prologis.com</x:t>
        </x:is>
      </x:c>
      <x:c r="W931" s="160" t="inlineStr">
        <x:is>
          <x:t xml:space="preserve">NO</x:t>
        </x:is>
      </x:c>
      <x:c r="X931" s="160" t="inlineStr">
        <x:is>
          <x:t xml:space="preserve">NONE — DEVELOPMENT ONLY</x:t>
        </x:is>
      </x:c>
      <x:c r="Y931" s="160" t="inlineStr">
        <x:is>
          <x:t xml:space="preserve">Synthetic/adversarial model-development loop. No historical outcome is claimed; no accuracy point is awarded.</x:t>
        </x:is>
      </x:c>
    </x:row>
    <x:row r="932">
      <x:c r="A932" s="160" t="inlineStr">
        <x:is>
          <x:t xml:space="preserve">ML0927</x:t>
        </x:is>
      </x:c>
      <x:c r="B932" s="160" t="inlineStr">
        <x:is>
          <x:t xml:space="preserve">ARG-058</x:t>
        </x:is>
      </x:c>
      <x:c r="C932" s="160" t="inlineStr">
        <x:is>
          <x:t xml:space="preserve">Prologis</x:t>
        </x:is>
      </x:c>
      <x:c r="D932" s="160" t="inlineStr">
        <x:is>
          <x:t xml:space="preserve">PLD</x:t>
        </x:is>
      </x:c>
      <x:c r="E932" s="160" t="inlineStr">
        <x:is>
          <x:t xml:space="preserve">Real Estate &amp; Telecom</x:t>
        </x:is>
      </x:c>
      <x:c r="F932" s="160" t="inlineStr">
        <x:is>
          <x:t xml:space="preserve">Development</x:t>
        </x:is>
      </x:c>
      <x:c r="G932" s="160" t="inlineStr">
        <x:is>
          <x:t xml:space="preserve">S15</x:t>
        </x:is>
      </x:c>
      <x:c r="H932" s="160" t="inlineStr">
        <x:is>
          <x:t xml:space="preserve">Financing / Dilution Per Share</x:t>
        </x:is>
      </x:c>
      <x:c r="I932" s="160" t="inlineStr">
        <x:is>
          <x:t xml:space="preserve">Stewardship</x:t>
        </x:is>
      </x:c>
      <x:c r="J932" s="160" t="inlineStr">
        <x:is>
          <x:t xml:space="preserve">Cash balance or revenue growth improves while financing causes material per-share value leakage.</x:t>
        </x:is>
      </x:c>
      <x:c r="K932" s="160" t="inlineStr">
        <x:is>
          <x:t xml:space="preserve">Occupancy/rent growth/development spreads minus financing</x:t>
        </x:is>
      </x:c>
      <x:c r="L932" s="160" t="inlineStr">
        <x:is>
          <x:t xml:space="preserve">NAV + AFFO</x:t>
        </x:is>
      </x:c>
      <x:c r="M932" s="160" t="inlineStr">
        <x:is>
          <x:t xml:space="preserve">NO PRODUCTION DECISION — STRESS TEST ONLY</x:t>
        </x:is>
      </x:c>
      <x:c r="N932" s="160" t="inlineStr">
        <x:is>
          <x:t xml:space="preserve">R-DIL-01</x:t>
        </x:is>
      </x:c>
      <x:c r="O932" s="160" t="inlineStr">
        <x:is>
          <x:t xml:space="preserve">MATURE</x:t>
        </x:is>
      </x:c>
      <x:c r="P932" s="160" t="inlineStr">
        <x:is>
          <x:t xml:space="preserve">ROBUST</x:t>
        </x:is>
      </x:c>
      <x:c r="Q932" s="160" t="inlineStr">
        <x:is>
          <x:t xml:space="preserve">The mature simulation rule catches the stress without weakening a fatal gate; no rule relaxation is justified.</x:t>
        </x:is>
      </x:c>
      <x:c r="R932" s="160" t="inlineStr">
        <x:is>
          <x:t xml:space="preserve">Reconcile share-count growth, SBC, equity issuance, buybacks and net cash changes to per-share intrinsic value.</x:t>
        </x:is>
      </x:c>
      <x:c r="S932" s="160" t="inlineStr">
        <x:is>
          <x:t xml:space="preserve">NO</x:t>
        </x:is>
      </x:c>
      <x:c r="T932" s="160" t="inlineStr">
        <x:is>
          <x:t xml:space="preserve">MATURE</x:t>
        </x:is>
      </x:c>
      <x:c r="U932" s="160" t="inlineStr">
        <x:is>
          <x:t xml:space="preserve">V10.5-SIM82</x:t>
        </x:is>
      </x:c>
      <x:c r="V932" s="160" t="inlineStr">
        <x:is>
          <x:t xml:space="preserve">https://ir.prologis.com</x:t>
        </x:is>
      </x:c>
      <x:c r="W932" s="160" t="inlineStr">
        <x:is>
          <x:t xml:space="preserve">NO</x:t>
        </x:is>
      </x:c>
      <x:c r="X932" s="160" t="inlineStr">
        <x:is>
          <x:t xml:space="preserve">NONE — DEVELOPMENT ONLY</x:t>
        </x:is>
      </x:c>
      <x:c r="Y932" s="160" t="inlineStr">
        <x:is>
          <x:t xml:space="preserve">Synthetic/adversarial model-development loop. No historical outcome is claimed; no accuracy point is awarded.</x:t>
        </x:is>
      </x:c>
    </x:row>
    <x:row r="933">
      <x:c r="A933" s="160" t="inlineStr">
        <x:is>
          <x:t xml:space="preserve">ML0928</x:t>
        </x:is>
      </x:c>
      <x:c r="B933" s="160" t="inlineStr">
        <x:is>
          <x:t xml:space="preserve">ARG-058</x:t>
        </x:is>
      </x:c>
      <x:c r="C933" s="160" t="inlineStr">
        <x:is>
          <x:t xml:space="preserve">Prologis</x:t>
        </x:is>
      </x:c>
      <x:c r="D933" s="160" t="inlineStr">
        <x:is>
          <x:t xml:space="preserve">PLD</x:t>
        </x:is>
      </x:c>
      <x:c r="E933" s="160" t="inlineStr">
        <x:is>
          <x:t xml:space="preserve">Real Estate &amp; Telecom</x:t>
        </x:is>
      </x:c>
      <x:c r="F933" s="160" t="inlineStr">
        <x:is>
          <x:t xml:space="preserve">Development</x:t>
        </x:is>
      </x:c>
      <x:c r="G933" s="160" t="inlineStr">
        <x:is>
          <x:t xml:space="preserve">S16</x:t>
        </x:is>
      </x:c>
      <x:c r="H933" s="160" t="inlineStr">
        <x:is>
          <x:t xml:space="preserve">Concentration / Tail Risk</x:t>
        </x:is>
      </x:c>
      <x:c r="I933" s="160" t="inlineStr">
        <x:is>
          <x:t xml:space="preserve">Survival</x:t>
        </x:is>
      </x:c>
      <x:c r="J933" s="160" t="inlineStr">
        <x:is>
          <x:t xml:space="preserve">A concentrated supplier, geography, customer, product, patent, regulatory or technology dependency creates asymmetric permanent-loss risk.</x:t>
        </x:is>
      </x:c>
      <x:c r="K933" s="160" t="inlineStr">
        <x:is>
          <x:t xml:space="preserve">Occupancy/rent growth/development spreads minus financing</x:t>
        </x:is>
      </x:c>
      <x:c r="L933" s="160" t="inlineStr">
        <x:is>
          <x:t xml:space="preserve">NAV + AFFO</x:t>
        </x:is>
      </x:c>
      <x:c r="M933" s="160" t="inlineStr">
        <x:is>
          <x:t xml:space="preserve">NO PRODUCTION DECISION — STRESS TEST ONLY</x:t>
        </x:is>
      </x:c>
      <x:c r="N933" s="160" t="inlineStr">
        <x:is>
          <x:t xml:space="preserve">R-TAIL-01</x:t>
        </x:is>
      </x:c>
      <x:c r="O933" s="160" t="inlineStr">
        <x:is>
          <x:t xml:space="preserve">MATURE</x:t>
        </x:is>
      </x:c>
      <x:c r="P933" s="160" t="inlineStr">
        <x:is>
          <x:t xml:space="preserve">ROBUST</x:t>
        </x:is>
      </x:c>
      <x:c r="Q933" s="160" t="inlineStr">
        <x:is>
          <x:t xml:space="preserve">The mature simulation rule catches the stress without weakening a fatal gate; no rule relaxation is justified.</x:t>
        </x:is>
      </x:c>
      <x:c r="R933" s="160" t="inlineStr">
        <x:is>
          <x:t xml:space="preserve">Maintain an explicit concentration/tail-risk register with probability, severity, mitigation and required margin-of-safety premium.</x:t>
        </x:is>
      </x:c>
      <x:c r="S933" s="160" t="inlineStr">
        <x:is>
          <x:t xml:space="preserve">NO</x:t>
        </x:is>
      </x:c>
      <x:c r="T933" s="160" t="inlineStr">
        <x:is>
          <x:t xml:space="preserve">MATURE</x:t>
        </x:is>
      </x:c>
      <x:c r="U933" s="160" t="inlineStr">
        <x:is>
          <x:t xml:space="preserve">V10.5-SIM82</x:t>
        </x:is>
      </x:c>
      <x:c r="V933" s="160" t="inlineStr">
        <x:is>
          <x:t xml:space="preserve">https://ir.prologis.com</x:t>
        </x:is>
      </x:c>
      <x:c r="W933" s="160" t="inlineStr">
        <x:is>
          <x:t xml:space="preserve">NO</x:t>
        </x:is>
      </x:c>
      <x:c r="X933" s="160" t="inlineStr">
        <x:is>
          <x:t xml:space="preserve">NONE — DEVELOPMENT ONLY</x:t>
        </x:is>
      </x:c>
      <x:c r="Y933" s="160" t="inlineStr">
        <x:is>
          <x:t xml:space="preserve">Synthetic/adversarial model-development loop. No historical outcome is claimed; no accuracy point is awarded.</x:t>
        </x:is>
      </x:c>
    </x:row>
    <x:row r="934">
      <x:c r="A934" s="160" t="inlineStr">
        <x:is>
          <x:t xml:space="preserve">ML0929</x:t>
        </x:is>
      </x:c>
      <x:c r="B934" s="160" t="inlineStr">
        <x:is>
          <x:t xml:space="preserve">ARG-059</x:t>
        </x:is>
      </x:c>
      <x:c r="C934" s="160" t="inlineStr">
        <x:is>
          <x:t xml:space="preserve">Union Pacific</x:t>
        </x:is>
      </x:c>
      <x:c r="D934" s="160" t="inlineStr">
        <x:is>
          <x:t xml:space="preserve">UNP</x:t>
        </x:is>
      </x:c>
      <x:c r="E934" s="160" t="inlineStr">
        <x:is>
          <x:t xml:space="preserve">Transportation</x:t>
        </x:is>
      </x:c>
      <x:c r="F934" s="160" t="inlineStr">
        <x:is>
          <x:t xml:space="preserve">Development</x:t>
        </x:is>
      </x:c>
      <x:c r="G934" s="160" t="inlineStr">
        <x:is>
          <x:t xml:space="preserve">S01</x:t>
        </x:is>
      </x:c>
      <x:c r="H934" s="160" t="inlineStr">
        <x:is>
          <x:t xml:space="preserve">Understanding Gate</x:t>
        </x:is>
      </x:c>
      <x:c r="I934" s="160" t="inlineStr">
        <x:is>
          <x:t xml:space="preserve">Understanding</x:t>
        </x:is>
      </x:c>
      <x:c r="J934" s="160" t="inlineStr">
        <x:is>
          <x:t xml:space="preserve">Causal engine / customer ROI chain breaks under a misleading headline KPI.</x:t>
        </x:is>
      </x:c>
      <x:c r="K934" s="160" t="inlineStr">
        <x:is>
          <x:t xml:space="preserve">Carloads × yield − labor/fuel/network capital</x:t>
        </x:is>
      </x:c>
      <x:c r="L934" s="160" t="inlineStr">
        <x:is>
          <x:t xml:space="preserve">Normalized FCF + replacement value</x:t>
        </x:is>
      </x:c>
      <x:c r="M934" s="160" t="inlineStr">
        <x:is>
          <x:t xml:space="preserve">NO PRODUCTION DECISION — STRESS TEST ONLY</x:t>
        </x:is>
      </x:c>
      <x:c r="N934" s="160" t="inlineStr">
        <x:is>
          <x:t xml:space="preserve">R-ENG-01</x:t>
        </x:is>
      </x:c>
      <x:c r="O934" s="160" t="inlineStr">
        <x:is>
          <x:t xml:space="preserve">MATURE</x:t>
        </x:is>
      </x:c>
      <x:c r="P934" s="160" t="inlineStr">
        <x:is>
          <x:t xml:space="preserve">ROBUST</x:t>
        </x:is>
      </x:c>
      <x:c r="Q934" s="160" t="inlineStr">
        <x:is>
          <x:t xml:space="preserve">The mature simulation rule catches the stress without weakening a fatal gate; no rule relaxation is justified.</x:t>
        </x:is>
      </x:c>
      <x:c r="R934" s="160" t="inlineStr">
        <x:is>
          <x:t xml:space="preserve">Force an explicit engine tree: customer job → unit economics → revenue driver → owner-value bridge.</x:t>
        </x:is>
      </x:c>
      <x:c r="S934" s="160" t="inlineStr">
        <x:is>
          <x:t xml:space="preserve">NO</x:t>
        </x:is>
      </x:c>
      <x:c r="T934" s="160" t="inlineStr">
        <x:is>
          <x:t xml:space="preserve">MATURE</x:t>
        </x:is>
      </x:c>
      <x:c r="U934" s="160" t="inlineStr">
        <x:is>
          <x:t xml:space="preserve">V10.5-SIM82</x:t>
        </x:is>
      </x:c>
      <x:c r="V934" s="160" t="inlineStr">
        <x:is>
          <x:t xml:space="preserve">https://investor.unionpacific.com</x:t>
        </x:is>
      </x:c>
      <x:c r="W934" s="160" t="inlineStr">
        <x:is>
          <x:t xml:space="preserve">NO</x:t>
        </x:is>
      </x:c>
      <x:c r="X934" s="160" t="inlineStr">
        <x:is>
          <x:t xml:space="preserve">NONE — DEVELOPMENT ONLY</x:t>
        </x:is>
      </x:c>
      <x:c r="Y934" s="160" t="inlineStr">
        <x:is>
          <x:t xml:space="preserve">Synthetic/adversarial model-development loop. No historical outcome is claimed; no accuracy point is awarded.</x:t>
        </x:is>
      </x:c>
    </x:row>
    <x:row r="935">
      <x:c r="A935" s="160" t="inlineStr">
        <x:is>
          <x:t xml:space="preserve">ML0930</x:t>
        </x:is>
      </x:c>
      <x:c r="B935" s="160" t="inlineStr">
        <x:is>
          <x:t xml:space="preserve">ARG-059</x:t>
        </x:is>
      </x:c>
      <x:c r="C935" s="160" t="inlineStr">
        <x:is>
          <x:t xml:space="preserve">Union Pacific</x:t>
        </x:is>
      </x:c>
      <x:c r="D935" s="160" t="inlineStr">
        <x:is>
          <x:t xml:space="preserve">UNP</x:t>
        </x:is>
      </x:c>
      <x:c r="E935" s="160" t="inlineStr">
        <x:is>
          <x:t xml:space="preserve">Transportation</x:t>
        </x:is>
      </x:c>
      <x:c r="F935" s="160" t="inlineStr">
        <x:is>
          <x:t xml:space="preserve">Development</x:t>
        </x:is>
      </x:c>
      <x:c r="G935" s="160" t="inlineStr">
        <x:is>
          <x:t xml:space="preserve">S02</x:t>
        </x:is>
      </x:c>
      <x:c r="H935" s="160" t="inlineStr">
        <x:is>
          <x:t xml:space="preserve">Owner Earnings Normalization</x:t>
        </x:is>
      </x:c>
      <x:c r="I935" s="160" t="inlineStr">
        <x:is>
          <x:t xml:space="preserve">Owner Earnings</x:t>
        </x:is>
      </x:c>
      <x:c r="J935" s="160" t="inlineStr">
        <x:is>
          <x:t xml:space="preserve">Reported earnings/FCF overstates economic cash because recurring reinvestment or non-cash compensation is misclassified.</x:t>
        </x:is>
      </x:c>
      <x:c r="K935" s="160" t="inlineStr">
        <x:is>
          <x:t xml:space="preserve">Carloads × yield − labor/fuel/network capital</x:t>
        </x:is>
      </x:c>
      <x:c r="L935" s="160" t="inlineStr">
        <x:is>
          <x:t xml:space="preserve">Normalized FCF + replacement value</x:t>
        </x:is>
      </x:c>
      <x:c r="M935" s="160" t="inlineStr">
        <x:is>
          <x:t xml:space="preserve">NO PRODUCTION DECISION — STRESS TEST ONLY</x:t>
        </x:is>
      </x:c>
      <x:c r="N935" s="160" t="inlineStr">
        <x:is>
          <x:t xml:space="preserve">R-OE-01</x:t>
        </x:is>
      </x:c>
      <x:c r="O935" s="160" t="inlineStr">
        <x:is>
          <x:t xml:space="preserve">MATURE</x:t>
        </x:is>
      </x:c>
      <x:c r="P935" s="160" t="inlineStr">
        <x:is>
          <x:t xml:space="preserve">ROBUST</x:t>
        </x:is>
      </x:c>
      <x:c r="Q935" s="160" t="inlineStr">
        <x:is>
          <x:t xml:space="preserve">The mature simulation rule catches the stress without weakening a fatal gate; no rule relaxation is justified.</x:t>
        </x:is>
      </x:c>
      <x:c r="R935" s="160" t="inlineStr">
        <x:is>
          <x:t xml:space="preserve">Require a GAAP-to-economic-owner-cash bridge tailored to the business model.</x:t>
        </x:is>
      </x:c>
      <x:c r="S935" s="160" t="inlineStr">
        <x:is>
          <x:t xml:space="preserve">NO</x:t>
        </x:is>
      </x:c>
      <x:c r="T935" s="160" t="inlineStr">
        <x:is>
          <x:t xml:space="preserve">MATURE</x:t>
        </x:is>
      </x:c>
      <x:c r="U935" s="160" t="inlineStr">
        <x:is>
          <x:t xml:space="preserve">V10.5-SIM82</x:t>
        </x:is>
      </x:c>
      <x:c r="V935" s="160" t="inlineStr">
        <x:is>
          <x:t xml:space="preserve">https://investor.unionpacific.com</x:t>
        </x:is>
      </x:c>
      <x:c r="W935" s="160" t="inlineStr">
        <x:is>
          <x:t xml:space="preserve">NO</x:t>
        </x:is>
      </x:c>
      <x:c r="X935" s="160" t="inlineStr">
        <x:is>
          <x:t xml:space="preserve">NONE — DEVELOPMENT ONLY</x:t>
        </x:is>
      </x:c>
      <x:c r="Y935" s="160" t="inlineStr">
        <x:is>
          <x:t xml:space="preserve">Synthetic/adversarial model-development loop. No historical outcome is claimed; no accuracy point is awarded.</x:t>
        </x:is>
      </x:c>
    </x:row>
    <x:row r="936">
      <x:c r="A936" s="160" t="inlineStr">
        <x:is>
          <x:t xml:space="preserve">ML0931</x:t>
        </x:is>
      </x:c>
      <x:c r="B936" s="160" t="inlineStr">
        <x:is>
          <x:t xml:space="preserve">ARG-059</x:t>
        </x:is>
      </x:c>
      <x:c r="C936" s="160" t="inlineStr">
        <x:is>
          <x:t xml:space="preserve">Union Pacific</x:t>
        </x:is>
      </x:c>
      <x:c r="D936" s="160" t="inlineStr">
        <x:is>
          <x:t xml:space="preserve">UNP</x:t>
        </x:is>
      </x:c>
      <x:c r="E936" s="160" t="inlineStr">
        <x:is>
          <x:t xml:space="preserve">Transportation</x:t>
        </x:is>
      </x:c>
      <x:c r="F936" s="160" t="inlineStr">
        <x:is>
          <x:t xml:space="preserve">Development</x:t>
        </x:is>
      </x:c>
      <x:c r="G936" s="160" t="inlineStr">
        <x:is>
          <x:t xml:space="preserve">S03</x:t>
        </x:is>
      </x:c>
      <x:c r="H936" s="160" t="inlineStr">
        <x:is>
          <x:t xml:space="preserve">Moat Durability</x:t>
        </x:is>
      </x:c>
      <x:c r="I936" s="160" t="inlineStr">
        <x:is>
          <x:t xml:space="preserve">Moat 2036</x:t>
        </x:is>
      </x:c>
      <x:c r="J936" s="160" t="inlineStr">
        <x:is>
          <x:t xml:space="preserve">Growth continues while switching friction, pricing power or replacement difficulty quietly weakens.</x:t>
        </x:is>
      </x:c>
      <x:c r="K936" s="160" t="inlineStr">
        <x:is>
          <x:t xml:space="preserve">Carloads × yield − labor/fuel/network capital</x:t>
        </x:is>
      </x:c>
      <x:c r="L936" s="160" t="inlineStr">
        <x:is>
          <x:t xml:space="preserve">Normalized FCF + replacement value</x:t>
        </x:is>
      </x:c>
      <x:c r="M936" s="160" t="inlineStr">
        <x:is>
          <x:t xml:space="preserve">NO PRODUCTION DECISION — STRESS TEST ONLY</x:t>
        </x:is>
      </x:c>
      <x:c r="N936" s="160" t="inlineStr">
        <x:is>
          <x:t xml:space="preserve">R-MOAT-01</x:t>
        </x:is>
      </x:c>
      <x:c r="O936" s="160" t="inlineStr">
        <x:is>
          <x:t xml:space="preserve">MATURE</x:t>
        </x:is>
      </x:c>
      <x:c r="P936" s="160" t="inlineStr">
        <x:is>
          <x:t xml:space="preserve">ROBUST</x:t>
        </x:is>
      </x:c>
      <x:c r="Q936" s="160" t="inlineStr">
        <x:is>
          <x:t xml:space="preserve">The mature simulation rule catches the stress without weakening a fatal gate; no rule relaxation is justified.</x:t>
        </x:is>
      </x:c>
      <x:c r="R936" s="160" t="inlineStr">
        <x:is>
          <x:t xml:space="preserve">Track moat telemetry separately from growth: retention, pricing, win/loss, replacement friction, installed-base behavior.</x:t>
        </x:is>
      </x:c>
      <x:c r="S936" s="160" t="inlineStr">
        <x:is>
          <x:t xml:space="preserve">NO</x:t>
        </x:is>
      </x:c>
      <x:c r="T936" s="160" t="inlineStr">
        <x:is>
          <x:t xml:space="preserve">MATURE</x:t>
        </x:is>
      </x:c>
      <x:c r="U936" s="160" t="inlineStr">
        <x:is>
          <x:t xml:space="preserve">V10.5-SIM82</x:t>
        </x:is>
      </x:c>
      <x:c r="V936" s="160" t="inlineStr">
        <x:is>
          <x:t xml:space="preserve">https://investor.unionpacific.com</x:t>
        </x:is>
      </x:c>
      <x:c r="W936" s="160" t="inlineStr">
        <x:is>
          <x:t xml:space="preserve">NO</x:t>
        </x:is>
      </x:c>
      <x:c r="X936" s="160" t="inlineStr">
        <x:is>
          <x:t xml:space="preserve">NONE — DEVELOPMENT ONLY</x:t>
        </x:is>
      </x:c>
      <x:c r="Y936" s="160" t="inlineStr">
        <x:is>
          <x:t xml:space="preserve">Synthetic/adversarial model-development loop. No historical outcome is claimed; no accuracy point is awarded.</x:t>
        </x:is>
      </x:c>
    </x:row>
    <x:row r="937">
      <x:c r="A937" s="160" t="inlineStr">
        <x:is>
          <x:t xml:space="preserve">ML0932</x:t>
        </x:is>
      </x:c>
      <x:c r="B937" s="160" t="inlineStr">
        <x:is>
          <x:t xml:space="preserve">ARG-059</x:t>
        </x:is>
      </x:c>
      <x:c r="C937" s="160" t="inlineStr">
        <x:is>
          <x:t xml:space="preserve">Union Pacific</x:t>
        </x:is>
      </x:c>
      <x:c r="D937" s="160" t="inlineStr">
        <x:is>
          <x:t xml:space="preserve">UNP</x:t>
        </x:is>
      </x:c>
      <x:c r="E937" s="160" t="inlineStr">
        <x:is>
          <x:t xml:space="preserve">Transportation</x:t>
        </x:is>
      </x:c>
      <x:c r="F937" s="160" t="inlineStr">
        <x:is>
          <x:t xml:space="preserve">Development</x:t>
        </x:is>
      </x:c>
      <x:c r="G937" s="160" t="inlineStr">
        <x:is>
          <x:t xml:space="preserve">S04</x:t>
        </x:is>
      </x:c>
      <x:c r="H937" s="160" t="inlineStr">
        <x:is>
          <x:t xml:space="preserve">Stewardship / Capital Allocation</x:t>
        </x:is>
      </x:c>
      <x:c r="I937" s="160" t="inlineStr">
        <x:is>
          <x:t xml:space="preserve">Stewardship</x:t>
        </x:is>
      </x:c>
      <x:c r="J937" s="160" t="inlineStr">
        <x:is>
          <x:t xml:space="preserve">Management creates enterprise growth while destroying per-share value through M&amp;A, dilution, leverage or mistimed buybacks.</x:t>
        </x:is>
      </x:c>
      <x:c r="K937" s="160" t="inlineStr">
        <x:is>
          <x:t xml:space="preserve">Carloads × yield − labor/fuel/network capital</x:t>
        </x:is>
      </x:c>
      <x:c r="L937" s="160" t="inlineStr">
        <x:is>
          <x:t xml:space="preserve">Normalized FCF + replacement value</x:t>
        </x:is>
      </x:c>
      <x:c r="M937" s="160" t="inlineStr">
        <x:is>
          <x:t xml:space="preserve">NO PRODUCTION DECISION — STRESS TEST ONLY</x:t>
        </x:is>
      </x:c>
      <x:c r="N937" s="160" t="inlineStr">
        <x:is>
          <x:t xml:space="preserve">R-STEW-01</x:t>
        </x:is>
      </x:c>
      <x:c r="O937" s="160" t="inlineStr">
        <x:is>
          <x:t xml:space="preserve">MATURE</x:t>
        </x:is>
      </x:c>
      <x:c r="P937" s="160" t="inlineStr">
        <x:is>
          <x:t xml:space="preserve">ROBUST</x:t>
        </x:is>
      </x:c>
      <x:c r="Q937" s="160" t="inlineStr">
        <x:is>
          <x:t xml:space="preserve">The mature simulation rule catches the stress without weakening a fatal gate; no rule relaxation is justified.</x:t>
        </x:is>
      </x:c>
      <x:c r="R937" s="160" t="inlineStr">
        <x:is>
          <x:t xml:space="preserve">Evaluate capital allocation on a per-share basis using acquisition cohorts, dilution, leverage and repurchase price discipline.</x:t>
        </x:is>
      </x:c>
      <x:c r="S937" s="160" t="inlineStr">
        <x:is>
          <x:t xml:space="preserve">NO</x:t>
        </x:is>
      </x:c>
      <x:c r="T937" s="160" t="inlineStr">
        <x:is>
          <x:t xml:space="preserve">MATURE</x:t>
        </x:is>
      </x:c>
      <x:c r="U937" s="160" t="inlineStr">
        <x:is>
          <x:t xml:space="preserve">V10.5-SIM82</x:t>
        </x:is>
      </x:c>
      <x:c r="V937" s="160" t="inlineStr">
        <x:is>
          <x:t xml:space="preserve">https://investor.unionpacific.com</x:t>
        </x:is>
      </x:c>
      <x:c r="W937" s="160" t="inlineStr">
        <x:is>
          <x:t xml:space="preserve">NO</x:t>
        </x:is>
      </x:c>
      <x:c r="X937" s="160" t="inlineStr">
        <x:is>
          <x:t xml:space="preserve">NONE — DEVELOPMENT ONLY</x:t>
        </x:is>
      </x:c>
      <x:c r="Y937" s="160" t="inlineStr">
        <x:is>
          <x:t xml:space="preserve">Synthetic/adversarial model-development loop. No historical outcome is claimed; no accuracy point is awarded.</x:t>
        </x:is>
      </x:c>
    </x:row>
    <x:row r="938">
      <x:c r="A938" s="160" t="inlineStr">
        <x:is>
          <x:t xml:space="preserve">ML0933</x:t>
        </x:is>
      </x:c>
      <x:c r="B938" s="160" t="inlineStr">
        <x:is>
          <x:t xml:space="preserve">ARG-059</x:t>
        </x:is>
      </x:c>
      <x:c r="C938" s="160" t="inlineStr">
        <x:is>
          <x:t xml:space="preserve">Union Pacific</x:t>
        </x:is>
      </x:c>
      <x:c r="D938" s="160" t="inlineStr">
        <x:is>
          <x:t xml:space="preserve">UNP</x:t>
        </x:is>
      </x:c>
      <x:c r="E938" s="160" t="inlineStr">
        <x:is>
          <x:t xml:space="preserve">Transportation</x:t>
        </x:is>
      </x:c>
      <x:c r="F938" s="160" t="inlineStr">
        <x:is>
          <x:t xml:space="preserve">Development</x:t>
        </x:is>
      </x:c>
      <x:c r="G938" s="160" t="inlineStr">
        <x:is>
          <x:t xml:space="preserve">S05</x:t>
        </x:is>
      </x:c>
      <x:c r="H938" s="160" t="inlineStr">
        <x:is>
          <x:t xml:space="preserve">Survival / Funding</x:t>
        </x:is>
      </x:c>
      <x:c r="I938" s="160" t="inlineStr">
        <x:is>
          <x:t xml:space="preserve">Survival</x:t>
        </x:is>
      </x:c>
      <x:c r="J938" s="160" t="inlineStr">
        <x:is>
          <x:t xml:space="preserve">A plausible bear case exposes refinancing, liquidity, covenant, reserve, regulatory or operational fragility.</x:t>
        </x:is>
      </x:c>
      <x:c r="K938" s="160" t="inlineStr">
        <x:is>
          <x:t xml:space="preserve">Carloads × yield − labor/fuel/network capital</x:t>
        </x:is>
      </x:c>
      <x:c r="L938" s="160" t="inlineStr">
        <x:is>
          <x:t xml:space="preserve">Normalized FCF + replacement value</x:t>
        </x:is>
      </x:c>
      <x:c r="M938" s="160" t="inlineStr">
        <x:is>
          <x:t xml:space="preserve">NO PRODUCTION DECISION — STRESS TEST ONLY</x:t>
        </x:is>
      </x:c>
      <x:c r="N938" s="160" t="inlineStr">
        <x:is>
          <x:t xml:space="preserve">R-SURV-01</x:t>
        </x:is>
      </x:c>
      <x:c r="O938" s="160" t="inlineStr">
        <x:is>
          <x:t xml:space="preserve">MATURE</x:t>
        </x:is>
      </x:c>
      <x:c r="P938" s="160" t="inlineStr">
        <x:is>
          <x:t xml:space="preserve">ROBUST</x:t>
        </x:is>
      </x:c>
      <x:c r="Q938" s="160" t="inlineStr">
        <x:is>
          <x:t xml:space="preserve">The mature simulation rule catches the stress without weakening a fatal gate; no rule relaxation is justified.</x:t>
        </x:is>
      </x:c>
      <x:c r="R938" s="160" t="inlineStr">
        <x:is>
          <x:t xml:space="preserve">Run a company-specific survival bridge under a severe-but-plausible bear case before any upside underwriting.</x:t>
        </x:is>
      </x:c>
      <x:c r="S938" s="160" t="inlineStr">
        <x:is>
          <x:t xml:space="preserve">NO</x:t>
        </x:is>
      </x:c>
      <x:c r="T938" s="160" t="inlineStr">
        <x:is>
          <x:t xml:space="preserve">MATURE</x:t>
        </x:is>
      </x:c>
      <x:c r="U938" s="160" t="inlineStr">
        <x:is>
          <x:t xml:space="preserve">V10.5-SIM82</x:t>
        </x:is>
      </x:c>
      <x:c r="V938" s="160" t="inlineStr">
        <x:is>
          <x:t xml:space="preserve">https://investor.unionpacific.com</x:t>
        </x:is>
      </x:c>
      <x:c r="W938" s="160" t="inlineStr">
        <x:is>
          <x:t xml:space="preserve">NO</x:t>
        </x:is>
      </x:c>
      <x:c r="X938" s="160" t="inlineStr">
        <x:is>
          <x:t xml:space="preserve">NONE — DEVELOPMENT ONLY</x:t>
        </x:is>
      </x:c>
      <x:c r="Y938" s="160" t="inlineStr">
        <x:is>
          <x:t xml:space="preserve">Synthetic/adversarial model-development loop. No historical outcome is claimed; no accuracy point is awarded.</x:t>
        </x:is>
      </x:c>
    </x:row>
    <x:row r="939">
      <x:c r="A939" s="160" t="inlineStr">
        <x:is>
          <x:t xml:space="preserve">ML0934</x:t>
        </x:is>
      </x:c>
      <x:c r="B939" s="160" t="inlineStr">
        <x:is>
          <x:t xml:space="preserve">ARG-059</x:t>
        </x:is>
      </x:c>
      <x:c r="C939" s="160" t="inlineStr">
        <x:is>
          <x:t xml:space="preserve">Union Pacific</x:t>
        </x:is>
      </x:c>
      <x:c r="D939" s="160" t="inlineStr">
        <x:is>
          <x:t xml:space="preserve">UNP</x:t>
        </x:is>
      </x:c>
      <x:c r="E939" s="160" t="inlineStr">
        <x:is>
          <x:t xml:space="preserve">Transportation</x:t>
        </x:is>
      </x:c>
      <x:c r="F939" s="160" t="inlineStr">
        <x:is>
          <x:t xml:space="preserve">Development</x:t>
        </x:is>
      </x:c>
      <x:c r="G939" s="160" t="inlineStr">
        <x:is>
          <x:t xml:space="preserve">S06</x:t>
        </x:is>
      </x:c>
      <x:c r="H939" s="160" t="inlineStr">
        <x:is>
          <x:t xml:space="preserve">Margin of Safety</x:t>
        </x:is>
      </x:c>
      <x:c r="I939" s="160" t="inlineStr">
        <x:is>
          <x:t xml:space="preserve">Margin of Safety</x:t>
        </x:is>
      </x:c>
      <x:c r="J939" s="160" t="inlineStr">
        <x:is>
          <x:t xml:space="preserve">Business quality is high but the price embeds a fragile bull case.</x:t>
        </x:is>
      </x:c>
      <x:c r="K939" s="160" t="inlineStr">
        <x:is>
          <x:t xml:space="preserve">Carloads × yield − labor/fuel/network capital</x:t>
        </x:is>
      </x:c>
      <x:c r="L939" s="160" t="inlineStr">
        <x:is>
          <x:t xml:space="preserve">Normalized FCF + replacement value</x:t>
        </x:is>
      </x:c>
      <x:c r="M939" s="160" t="inlineStr">
        <x:is>
          <x:t xml:space="preserve">NO PRODUCTION DECISION — STRESS TEST ONLY</x:t>
        </x:is>
      </x:c>
      <x:c r="N939" s="160" t="inlineStr">
        <x:is>
          <x:t xml:space="preserve">R-MOS-01</x:t>
        </x:is>
      </x:c>
      <x:c r="O939" s="160" t="inlineStr">
        <x:is>
          <x:t xml:space="preserve">MATURE</x:t>
        </x:is>
      </x:c>
      <x:c r="P939" s="160" t="inlineStr">
        <x:is>
          <x:t xml:space="preserve">ROBUST</x:t>
        </x:is>
      </x:c>
      <x:c r="Q939" s="160" t="inlineStr">
        <x:is>
          <x:t xml:space="preserve">The mature simulation rule catches the stress without weakening a fatal gate; no rule relaxation is justified.</x:t>
        </x:is>
      </x:c>
      <x:c r="R939" s="160" t="inlineStr">
        <x:is>
          <x:t xml:space="preserve">Separate business-quality score from price decision; require reverse valuation and bear/base/bull IV ranges.</x:t>
        </x:is>
      </x:c>
      <x:c r="S939" s="160" t="inlineStr">
        <x:is>
          <x:t xml:space="preserve">NO</x:t>
        </x:is>
      </x:c>
      <x:c r="T939" s="160" t="inlineStr">
        <x:is>
          <x:t xml:space="preserve">MATURE</x:t>
        </x:is>
      </x:c>
      <x:c r="U939" s="160" t="inlineStr">
        <x:is>
          <x:t xml:space="preserve">V10.5-SIM82</x:t>
        </x:is>
      </x:c>
      <x:c r="V939" s="160" t="inlineStr">
        <x:is>
          <x:t xml:space="preserve">https://investor.unionpacific.com</x:t>
        </x:is>
      </x:c>
      <x:c r="W939" s="160" t="inlineStr">
        <x:is>
          <x:t xml:space="preserve">NO</x:t>
        </x:is>
      </x:c>
      <x:c r="X939" s="160" t="inlineStr">
        <x:is>
          <x:t xml:space="preserve">NONE — DEVELOPMENT ONLY</x:t>
        </x:is>
      </x:c>
      <x:c r="Y939" s="160" t="inlineStr">
        <x:is>
          <x:t xml:space="preserve">Synthetic/adversarial model-development loop. No historical outcome is claimed; no accuracy point is awarded.</x:t>
        </x:is>
      </x:c>
    </x:row>
    <x:row r="940">
      <x:c r="A940" s="160" t="inlineStr">
        <x:is>
          <x:t xml:space="preserve">ML0935</x:t>
        </x:is>
      </x:c>
      <x:c r="B940" s="160" t="inlineStr">
        <x:is>
          <x:t xml:space="preserve">ARG-059</x:t>
        </x:is>
      </x:c>
      <x:c r="C940" s="160" t="inlineStr">
        <x:is>
          <x:t xml:space="preserve">Union Pacific</x:t>
        </x:is>
      </x:c>
      <x:c r="D940" s="160" t="inlineStr">
        <x:is>
          <x:t xml:space="preserve">UNP</x:t>
        </x:is>
      </x:c>
      <x:c r="E940" s="160" t="inlineStr">
        <x:is>
          <x:t xml:space="preserve">Transportation</x:t>
        </x:is>
      </x:c>
      <x:c r="F940" s="160" t="inlineStr">
        <x:is>
          <x:t xml:space="preserve">Development</x:t>
        </x:is>
      </x:c>
      <x:c r="G940" s="160" t="inlineStr">
        <x:is>
          <x:t xml:space="preserve">S07</x:t>
        </x:is>
      </x:c>
      <x:c r="H940" s="160" t="inlineStr">
        <x:is>
          <x:t xml:space="preserve">Sector Shock</x:t>
        </x:is>
      </x:c>
      <x:c r="I940" s="160" t="inlineStr">
        <x:is>
          <x:t xml:space="preserve">Sector-specific</x:t>
        </x:is>
      </x:c>
      <x:c r="J940" s="160" t="inlineStr">
        <x:is>
          <x:t xml:space="preserve">Yield improves but labor, fuel, network/fleet capital or cyclical volume weakens normalized FCF.</x:t>
        </x:is>
      </x:c>
      <x:c r="K940" s="160" t="inlineStr">
        <x:is>
          <x:t xml:space="preserve">Carloads × yield − labor/fuel/network capital</x:t>
        </x:is>
      </x:c>
      <x:c r="L940" s="160" t="inlineStr">
        <x:is>
          <x:t xml:space="preserve">Normalized FCF + replacement value</x:t>
        </x:is>
      </x:c>
      <x:c r="M940" s="160" t="inlineStr">
        <x:is>
          <x:t xml:space="preserve">NO PRODUCTION DECISION — STRESS TEST ONLY</x:t>
        </x:is>
      </x:c>
      <x:c r="N940" s="160" t="inlineStr">
        <x:is>
          <x:t xml:space="preserve">R-SECTOR-TRANSPORTATION</x:t>
        </x:is>
      </x:c>
      <x:c r="O940" s="160" t="inlineStr">
        <x:is>
          <x:t xml:space="preserve">UNFORMED</x:t>
        </x:is>
      </x:c>
      <x:c r="P940" s="160" t="inlineStr">
        <x:is>
          <x:t xml:space="preserve">WEAKNESS EXPOSED</x:t>
        </x:is>
      </x:c>
      <x:c r="Q940" s="160" t="inlineStr">
        <x:is>
          <x:t xml:space="preserve">The frozen V10 gate family is directionally right, but the test lacks a sufficiently explicit mechanical implementation.</x:t>
        </x:is>
      </x:c>
      <x:c r="R940" s="160" t="inlineStr">
        <x:is>
          <x:t xml:space="preserve">Add a sector-specific transmission map with leading operating sensors, not only market-price variables. Sector rule: Yield improves but labor, fuel, network/fleet capital or cyclical volume weakens normalized FCF.</x:t>
        </x:is>
      </x:c>
      <x:c r="S940" s="160" t="inlineStr">
        <x:is>
          <x:t xml:space="preserve">NO</x:t>
        </x:is>
      </x:c>
      <x:c r="T940" s="160" t="inlineStr">
        <x:is>
          <x:t xml:space="preserve">UNFORMED</x:t>
        </x:is>
      </x:c>
      <x:c r="U940" s="160" t="inlineStr">
        <x:is>
          <x:t xml:space="preserve">V10.5-SIM82</x:t>
        </x:is>
      </x:c>
      <x:c r="V940" s="160" t="inlineStr">
        <x:is>
          <x:t xml:space="preserve">https://investor.unionpacific.com</x:t>
        </x:is>
      </x:c>
      <x:c r="W940" s="160" t="inlineStr">
        <x:is>
          <x:t xml:space="preserve">NO</x:t>
        </x:is>
      </x:c>
      <x:c r="X940" s="160" t="inlineStr">
        <x:is>
          <x:t xml:space="preserve">NONE — DEVELOPMENT ONLY</x:t>
        </x:is>
      </x:c>
      <x:c r="Y940" s="160" t="inlineStr">
        <x:is>
          <x:t xml:space="preserve">Synthetic/adversarial model-development loop. No historical outcome is claimed; no accuracy point is awarded.</x:t>
        </x:is>
      </x:c>
    </x:row>
    <x:row r="941">
      <x:c r="A941" s="160" t="inlineStr">
        <x:is>
          <x:t xml:space="preserve">ML0936</x:t>
        </x:is>
      </x:c>
      <x:c r="B941" s="160" t="inlineStr">
        <x:is>
          <x:t xml:space="preserve">ARG-059</x:t>
        </x:is>
      </x:c>
      <x:c r="C941" s="160" t="inlineStr">
        <x:is>
          <x:t xml:space="preserve">Union Pacific</x:t>
        </x:is>
      </x:c>
      <x:c r="D941" s="160" t="inlineStr">
        <x:is>
          <x:t xml:space="preserve">UNP</x:t>
        </x:is>
      </x:c>
      <x:c r="E941" s="160" t="inlineStr">
        <x:is>
          <x:t xml:space="preserve">Transportation</x:t>
        </x:is>
      </x:c>
      <x:c r="F941" s="160" t="inlineStr">
        <x:is>
          <x:t xml:space="preserve">Development</x:t>
        </x:is>
      </x:c>
      <x:c r="G941" s="160" t="inlineStr">
        <x:is>
          <x:t xml:space="preserve">S08</x:t>
        </x:is>
      </x:c>
      <x:c r="H941" s="160" t="inlineStr">
        <x:is>
          <x:t xml:space="preserve">Management Promise Reliability</x:t>
        </x:is>
      </x:c>
      <x:c r="I941" s="160" t="inlineStr">
        <x:is>
          <x:t xml:space="preserve">Management over-trust</x:t>
        </x:is>
      </x:c>
      <x:c r="J941" s="160" t="inlineStr">
        <x:is>
          <x:t xml:space="preserve">Guidance or strategic promises are repeated but the model lacks a contemporaneous reliability score.</x:t>
        </x:is>
      </x:c>
      <x:c r="K941" s="160" t="inlineStr">
        <x:is>
          <x:t xml:space="preserve">Carloads × yield − labor/fuel/network capital</x:t>
        </x:is>
      </x:c>
      <x:c r="L941" s="160" t="inlineStr">
        <x:is>
          <x:t xml:space="preserve">Normalized FCF + replacement value</x:t>
        </x:is>
      </x:c>
      <x:c r="M941" s="160" t="inlineStr">
        <x:is>
          <x:t xml:space="preserve">NO PRODUCTION DECISION — STRESS TEST ONLY</x:t>
        </x:is>
      </x:c>
      <x:c r="N941" s="160" t="inlineStr">
        <x:is>
          <x:t xml:space="preserve">R-PROM-01</x:t>
        </x:is>
      </x:c>
      <x:c r="O941" s="160" t="inlineStr">
        <x:is>
          <x:t xml:space="preserve">MATURE</x:t>
        </x:is>
      </x:c>
      <x:c r="P941" s="160" t="inlineStr">
        <x:is>
          <x:t xml:space="preserve">ROBUST</x:t>
        </x:is>
      </x:c>
      <x:c r="Q941" s="160" t="inlineStr">
        <x:is>
          <x:t xml:space="preserve">The mature simulation rule catches the stress without weakening a fatal gate; no rule relaxation is justified.</x:t>
        </x:is>
      </x:c>
      <x:c r="R941" s="160" t="inlineStr">
        <x:is>
          <x:t xml:space="preserve">Use a promises ledger with dated promise, measurable deliverable, due date, outcome and credibility weight.</x:t>
        </x:is>
      </x:c>
      <x:c r="S941" s="160" t="inlineStr">
        <x:is>
          <x:t xml:space="preserve">NO</x:t>
        </x:is>
      </x:c>
      <x:c r="T941" s="160" t="inlineStr">
        <x:is>
          <x:t xml:space="preserve">MATURE</x:t>
        </x:is>
      </x:c>
      <x:c r="U941" s="160" t="inlineStr">
        <x:is>
          <x:t xml:space="preserve">V10.5-SIM82</x:t>
        </x:is>
      </x:c>
      <x:c r="V941" s="160" t="inlineStr">
        <x:is>
          <x:t xml:space="preserve">https://investor.unionpacific.com</x:t>
        </x:is>
      </x:c>
      <x:c r="W941" s="160" t="inlineStr">
        <x:is>
          <x:t xml:space="preserve">NO</x:t>
        </x:is>
      </x:c>
      <x:c r="X941" s="160" t="inlineStr">
        <x:is>
          <x:t xml:space="preserve">NONE — DEVELOPMENT ONLY</x:t>
        </x:is>
      </x:c>
      <x:c r="Y941" s="160" t="inlineStr">
        <x:is>
          <x:t xml:space="preserve">Synthetic/adversarial model-development loop. No historical outcome is claimed; no accuracy point is awarded.</x:t>
        </x:is>
      </x:c>
    </x:row>
    <x:row r="942">
      <x:c r="A942" s="160" t="inlineStr">
        <x:is>
          <x:t xml:space="preserve">ML0937</x:t>
        </x:is>
      </x:c>
      <x:c r="B942" s="160" t="inlineStr">
        <x:is>
          <x:t xml:space="preserve">ARG-059</x:t>
        </x:is>
      </x:c>
      <x:c r="C942" s="160" t="inlineStr">
        <x:is>
          <x:t xml:space="preserve">Union Pacific</x:t>
        </x:is>
      </x:c>
      <x:c r="D942" s="160" t="inlineStr">
        <x:is>
          <x:t xml:space="preserve">UNP</x:t>
        </x:is>
      </x:c>
      <x:c r="E942" s="160" t="inlineStr">
        <x:is>
          <x:t xml:space="preserve">Transportation</x:t>
        </x:is>
      </x:c>
      <x:c r="F942" s="160" t="inlineStr">
        <x:is>
          <x:t xml:space="preserve">Development</x:t>
        </x:is>
      </x:c>
      <x:c r="G942" s="160" t="inlineStr">
        <x:is>
          <x:t xml:space="preserve">S09</x:t>
        </x:is>
      </x:c>
      <x:c r="H942" s="160" t="inlineStr">
        <x:is>
          <x:t xml:space="preserve">Data / Accounting Quality</x:t>
        </x:is>
      </x:c>
      <x:c r="I942" s="160" t="inlineStr">
        <x:is>
          <x:t xml:space="preserve">Data quality</x:t>
        </x:is>
      </x:c>
      <x:c r="J942" s="160" t="inlineStr">
        <x:is>
          <x:t xml:space="preserve">Restatement, segment reclassification, one-time item or non-economic fair-value movement distorts the apparent trend.</x:t>
        </x:is>
      </x:c>
      <x:c r="K942" s="160" t="inlineStr">
        <x:is>
          <x:t xml:space="preserve">Carloads × yield − labor/fuel/network capital</x:t>
        </x:is>
      </x:c>
      <x:c r="L942" s="160" t="inlineStr">
        <x:is>
          <x:t xml:space="preserve">Normalized FCF + replacement value</x:t>
        </x:is>
      </x:c>
      <x:c r="M942" s="160" t="inlineStr">
        <x:is>
          <x:t xml:space="preserve">NO PRODUCTION DECISION — STRESS TEST ONLY</x:t>
        </x:is>
      </x:c>
      <x:c r="N942" s="160" t="inlineStr">
        <x:is>
          <x:t xml:space="preserve">R-DATA-01</x:t>
        </x:is>
      </x:c>
      <x:c r="O942" s="160" t="inlineStr">
        <x:is>
          <x:t xml:space="preserve">MATURE</x:t>
        </x:is>
      </x:c>
      <x:c r="P942" s="160" t="inlineStr">
        <x:is>
          <x:t xml:space="preserve">ROBUST</x:t>
        </x:is>
      </x:c>
      <x:c r="Q942" s="160" t="inlineStr">
        <x:is>
          <x:t xml:space="preserve">The mature simulation rule catches the stress without weakening a fatal gate; no rule relaxation is justified.</x:t>
        </x:is>
      </x:c>
      <x:c r="R942" s="160" t="inlineStr">
        <x:is>
          <x:t xml:space="preserve">Add a reporting-quality bridge and normalize accounting noise before any gate can pass.</x:t>
        </x:is>
      </x:c>
      <x:c r="S942" s="160" t="inlineStr">
        <x:is>
          <x:t xml:space="preserve">NO</x:t>
        </x:is>
      </x:c>
      <x:c r="T942" s="160" t="inlineStr">
        <x:is>
          <x:t xml:space="preserve">MATURE</x:t>
        </x:is>
      </x:c>
      <x:c r="U942" s="160" t="inlineStr">
        <x:is>
          <x:t xml:space="preserve">V10.5-SIM82</x:t>
        </x:is>
      </x:c>
      <x:c r="V942" s="160" t="inlineStr">
        <x:is>
          <x:t xml:space="preserve">https://investor.unionpacific.com</x:t>
        </x:is>
      </x:c>
      <x:c r="W942" s="160" t="inlineStr">
        <x:is>
          <x:t xml:space="preserve">NO</x:t>
        </x:is>
      </x:c>
      <x:c r="X942" s="160" t="inlineStr">
        <x:is>
          <x:t xml:space="preserve">NONE — DEVELOPMENT ONLY</x:t>
        </x:is>
      </x:c>
      <x:c r="Y942" s="160" t="inlineStr">
        <x:is>
          <x:t xml:space="preserve">Synthetic/adversarial model-development loop. No historical outcome is claimed; no accuracy point is awarded.</x:t>
        </x:is>
      </x:c>
    </x:row>
    <x:row r="943">
      <x:c r="A943" s="160" t="inlineStr">
        <x:is>
          <x:t xml:space="preserve">ML0938</x:t>
        </x:is>
      </x:c>
      <x:c r="B943" s="160" t="inlineStr">
        <x:is>
          <x:t xml:space="preserve">ARG-059</x:t>
        </x:is>
      </x:c>
      <x:c r="C943" s="160" t="inlineStr">
        <x:is>
          <x:t xml:space="preserve">Union Pacific</x:t>
        </x:is>
      </x:c>
      <x:c r="D943" s="160" t="inlineStr">
        <x:is>
          <x:t xml:space="preserve">UNP</x:t>
        </x:is>
      </x:c>
      <x:c r="E943" s="160" t="inlineStr">
        <x:is>
          <x:t xml:space="preserve">Transportation</x:t>
        </x:is>
      </x:c>
      <x:c r="F943" s="160" t="inlineStr">
        <x:is>
          <x:t xml:space="preserve">Development</x:t>
        </x:is>
      </x:c>
      <x:c r="G943" s="160" t="inlineStr">
        <x:is>
          <x:t xml:space="preserve">S10</x:t>
        </x:is>
      </x:c>
      <x:c r="H943" s="160" t="inlineStr">
        <x:is>
          <x:t xml:space="preserve">Control / Counterfactual</x:t>
        </x:is>
      </x:c>
      <x:c r="I943" s="160" t="inlineStr">
        <x:is>
          <x:t xml:space="preserve">Sector beta vs company alpha</x:t>
        </x:is>
      </x:c>
      <x:c r="J943" s="160" t="inlineStr">
        <x:is>
          <x:t xml:space="preserve">A positive outcome is mostly sector beta or macro tailwind, not company-specific alpha.</x:t>
        </x:is>
      </x:c>
      <x:c r="K943" s="160" t="inlineStr">
        <x:is>
          <x:t xml:space="preserve">Carloads × yield − labor/fuel/network capital</x:t>
        </x:is>
      </x:c>
      <x:c r="L943" s="160" t="inlineStr">
        <x:is>
          <x:t xml:space="preserve">Normalized FCF + replacement value</x:t>
        </x:is>
      </x:c>
      <x:c r="M943" s="160" t="inlineStr">
        <x:is>
          <x:t xml:space="preserve">NO PRODUCTION DECISION — STRESS TEST ONLY</x:t>
        </x:is>
      </x:c>
      <x:c r="N943" s="160" t="inlineStr">
        <x:is>
          <x:t xml:space="preserve">R-CF-01</x:t>
        </x:is>
      </x:c>
      <x:c r="O943" s="160" t="inlineStr">
        <x:is>
          <x:t xml:space="preserve">MATURE</x:t>
        </x:is>
      </x:c>
      <x:c r="P943" s="160" t="inlineStr">
        <x:is>
          <x:t xml:space="preserve">ROBUST</x:t>
        </x:is>
      </x:c>
      <x:c r="Q943" s="160" t="inlineStr">
        <x:is>
          <x:t xml:space="preserve">The mature simulation rule catches the stress without weakening a fatal gate; no rule relaxation is justified.</x:t>
        </x:is>
      </x:c>
      <x:c r="R943" s="160" t="inlineStr">
        <x:is>
          <x:t xml:space="preserve">Require a true economic control and counterfactual: what should have happened to a comparable company under the same shock?</x:t>
        </x:is>
      </x:c>
      <x:c r="S943" s="160" t="inlineStr">
        <x:is>
          <x:t xml:space="preserve">NO</x:t>
        </x:is>
      </x:c>
      <x:c r="T943" s="160" t="inlineStr">
        <x:is>
          <x:t xml:space="preserve">MATURE</x:t>
        </x:is>
      </x:c>
      <x:c r="U943" s="160" t="inlineStr">
        <x:is>
          <x:t xml:space="preserve">V10.5-SIM82</x:t>
        </x:is>
      </x:c>
      <x:c r="V943" s="160" t="inlineStr">
        <x:is>
          <x:t xml:space="preserve">https://investor.unionpacific.com</x:t>
        </x:is>
      </x:c>
      <x:c r="W943" s="160" t="inlineStr">
        <x:is>
          <x:t xml:space="preserve">NO</x:t>
        </x:is>
      </x:c>
      <x:c r="X943" s="160" t="inlineStr">
        <x:is>
          <x:t xml:space="preserve">NONE — DEVELOPMENT ONLY</x:t>
        </x:is>
      </x:c>
      <x:c r="Y943" s="160" t="inlineStr">
        <x:is>
          <x:t xml:space="preserve">Synthetic/adversarial model-development loop. No historical outcome is claimed; no accuracy point is awarded.</x:t>
        </x:is>
      </x:c>
    </x:row>
    <x:row r="944">
      <x:c r="A944" s="160" t="inlineStr">
        <x:is>
          <x:t xml:space="preserve">ML0939</x:t>
        </x:is>
      </x:c>
      <x:c r="B944" s="160" t="inlineStr">
        <x:is>
          <x:t xml:space="preserve">ARG-059</x:t>
        </x:is>
      </x:c>
      <x:c r="C944" s="160" t="inlineStr">
        <x:is>
          <x:t xml:space="preserve">Union Pacific</x:t>
        </x:is>
      </x:c>
      <x:c r="D944" s="160" t="inlineStr">
        <x:is>
          <x:t xml:space="preserve">UNP</x:t>
        </x:is>
      </x:c>
      <x:c r="E944" s="160" t="inlineStr">
        <x:is>
          <x:t xml:space="preserve">Transportation</x:t>
        </x:is>
      </x:c>
      <x:c r="F944" s="160" t="inlineStr">
        <x:is>
          <x:t xml:space="preserve">Development</x:t>
        </x:is>
      </x:c>
      <x:c r="G944" s="160" t="inlineStr">
        <x:is>
          <x:t xml:space="preserve">S11</x:t>
        </x:is>
      </x:c>
      <x:c r="H944" s="160" t="inlineStr">
        <x:is>
          <x:t xml:space="preserve">False-Negative Discipline</x:t>
        </x:is>
      </x:c>
      <x:c r="I944" s="160" t="inlineStr">
        <x:is>
          <x:t xml:space="preserve">False negative</x:t>
        </x:is>
      </x:c>
      <x:c r="J944" s="160" t="inlineStr">
        <x:is>
          <x:t xml:space="preserve">A strict gate rejects a company that later compounds strongly for reasons the model could have known.</x:t>
        </x:is>
      </x:c>
      <x:c r="K944" s="160" t="inlineStr">
        <x:is>
          <x:t xml:space="preserve">Carloads × yield − labor/fuel/network capital</x:t>
        </x:is>
      </x:c>
      <x:c r="L944" s="160" t="inlineStr">
        <x:is>
          <x:t xml:space="preserve">Normalized FCF + replacement value</x:t>
        </x:is>
      </x:c>
      <x:c r="M944" s="160" t="inlineStr">
        <x:is>
          <x:t xml:space="preserve">NO PRODUCTION DECISION — STRESS TEST ONLY</x:t>
        </x:is>
      </x:c>
      <x:c r="N944" s="160" t="inlineStr">
        <x:is>
          <x:t xml:space="preserve">R-FN-01</x:t>
        </x:is>
      </x:c>
      <x:c r="O944" s="160" t="inlineStr">
        <x:is>
          <x:t xml:space="preserve">MATURE</x:t>
        </x:is>
      </x:c>
      <x:c r="P944" s="160" t="inlineStr">
        <x:is>
          <x:t xml:space="preserve">ROBUST</x:t>
        </x:is>
      </x:c>
      <x:c r="Q944" s="160" t="inlineStr">
        <x:is>
          <x:t xml:space="preserve">The mature simulation rule catches the stress without weakening a fatal gate; no rule relaxation is justified.</x:t>
        </x:is>
      </x:c>
      <x:c r="R944" s="160" t="inlineStr">
        <x:is>
          <x:t xml:space="preserve">Track opportunity cost and classify whether the miss came from evidence timing, wrong threshold or genuinely unknowable upside.</x:t>
        </x:is>
      </x:c>
      <x:c r="S944" s="160" t="inlineStr">
        <x:is>
          <x:t xml:space="preserve">NO</x:t>
        </x:is>
      </x:c>
      <x:c r="T944" s="160" t="inlineStr">
        <x:is>
          <x:t xml:space="preserve">MATURE</x:t>
        </x:is>
      </x:c>
      <x:c r="U944" s="160" t="inlineStr">
        <x:is>
          <x:t xml:space="preserve">V10.5-SIM82</x:t>
        </x:is>
      </x:c>
      <x:c r="V944" s="160" t="inlineStr">
        <x:is>
          <x:t xml:space="preserve">https://investor.unionpacific.com</x:t>
        </x:is>
      </x:c>
      <x:c r="W944" s="160" t="inlineStr">
        <x:is>
          <x:t xml:space="preserve">NO</x:t>
        </x:is>
      </x:c>
      <x:c r="X944" s="160" t="inlineStr">
        <x:is>
          <x:t xml:space="preserve">NONE — DEVELOPMENT ONLY</x:t>
        </x:is>
      </x:c>
      <x:c r="Y944" s="160" t="inlineStr">
        <x:is>
          <x:t xml:space="preserve">Synthetic/adversarial model-development loop. No historical outcome is claimed; no accuracy point is awarded.</x:t>
        </x:is>
      </x:c>
    </x:row>
    <x:row r="945">
      <x:c r="A945" s="160" t="inlineStr">
        <x:is>
          <x:t xml:space="preserve">ML0940</x:t>
        </x:is>
      </x:c>
      <x:c r="B945" s="160" t="inlineStr">
        <x:is>
          <x:t xml:space="preserve">ARG-059</x:t>
        </x:is>
      </x:c>
      <x:c r="C945" s="160" t="inlineStr">
        <x:is>
          <x:t xml:space="preserve">Union Pacific</x:t>
        </x:is>
      </x:c>
      <x:c r="D945" s="160" t="inlineStr">
        <x:is>
          <x:t xml:space="preserve">UNP</x:t>
        </x:is>
      </x:c>
      <x:c r="E945" s="160" t="inlineStr">
        <x:is>
          <x:t xml:space="preserve">Transportation</x:t>
        </x:is>
      </x:c>
      <x:c r="F945" s="160" t="inlineStr">
        <x:is>
          <x:t xml:space="preserve">Development</x:t>
        </x:is>
      </x:c>
      <x:c r="G945" s="160" t="inlineStr">
        <x:is>
          <x:t xml:space="preserve">S12</x:t>
        </x:is>
      </x:c>
      <x:c r="H945" s="160" t="inlineStr">
        <x:is>
          <x:t xml:space="preserve">Lead-Time / Early Sensor</x:t>
        </x:is>
      </x:c>
      <x:c r="I945" s="160" t="inlineStr">
        <x:is>
          <x:t xml:space="preserve">Timing / lead-time</x:t>
        </x:is>
      </x:c>
      <x:c r="J945" s="160" t="inlineStr">
        <x:is>
          <x:t xml:space="preserve">ARGUS identifies the change correctly but only after consensus and price have already reacted.</x:t>
        </x:is>
      </x:c>
      <x:c r="K945" s="160" t="inlineStr">
        <x:is>
          <x:t xml:space="preserve">Carloads × yield − labor/fuel/network capital</x:t>
        </x:is>
      </x:c>
      <x:c r="L945" s="160" t="inlineStr">
        <x:is>
          <x:t xml:space="preserve">Normalized FCF + replacement value</x:t>
        </x:is>
      </x:c>
      <x:c r="M945" s="160" t="inlineStr">
        <x:is>
          <x:t xml:space="preserve">NO PRODUCTION DECISION — STRESS TEST ONLY</x:t>
        </x:is>
      </x:c>
      <x:c r="N945" s="160" t="inlineStr">
        <x:is>
          <x:t xml:space="preserve">R-TIME-01</x:t>
        </x:is>
      </x:c>
      <x:c r="O945" s="160" t="inlineStr">
        <x:is>
          <x:t xml:space="preserve">MATURE</x:t>
        </x:is>
      </x:c>
      <x:c r="P945" s="160" t="inlineStr">
        <x:is>
          <x:t xml:space="preserve">ROBUST</x:t>
        </x:is>
      </x:c>
      <x:c r="Q945" s="160" t="inlineStr">
        <x:is>
          <x:t xml:space="preserve">The mature simulation rule catches the stress without weakening a fatal gate; no rule relaxation is justified.</x:t>
        </x:is>
      </x:c>
      <x:c r="R945" s="160" t="inlineStr">
        <x:is>
          <x:t xml:space="preserve">Replace lagging financial metrics with earlier causal operating sensors and record lead time separately from correctness.</x:t>
        </x:is>
      </x:c>
      <x:c r="S945" s="160" t="inlineStr">
        <x:is>
          <x:t xml:space="preserve">NO</x:t>
        </x:is>
      </x:c>
      <x:c r="T945" s="160" t="inlineStr">
        <x:is>
          <x:t xml:space="preserve">MATURE</x:t>
        </x:is>
      </x:c>
      <x:c r="U945" s="160" t="inlineStr">
        <x:is>
          <x:t xml:space="preserve">V10.5-SIM82</x:t>
        </x:is>
      </x:c>
      <x:c r="V945" s="160" t="inlineStr">
        <x:is>
          <x:t xml:space="preserve">https://investor.unionpacific.com</x:t>
        </x:is>
      </x:c>
      <x:c r="W945" s="160" t="inlineStr">
        <x:is>
          <x:t xml:space="preserve">NO</x:t>
        </x:is>
      </x:c>
      <x:c r="X945" s="160" t="inlineStr">
        <x:is>
          <x:t xml:space="preserve">NONE — DEVELOPMENT ONLY</x:t>
        </x:is>
      </x:c>
      <x:c r="Y945" s="160" t="inlineStr">
        <x:is>
          <x:t xml:space="preserve">Synthetic/adversarial model-development loop. No historical outcome is claimed; no accuracy point is awarded.</x:t>
        </x:is>
      </x:c>
    </x:row>
    <x:row r="946">
      <x:c r="A946" s="160" t="inlineStr">
        <x:is>
          <x:t xml:space="preserve">ML0941</x:t>
        </x:is>
      </x:c>
      <x:c r="B946" s="160" t="inlineStr">
        <x:is>
          <x:t xml:space="preserve">ARG-059</x:t>
        </x:is>
      </x:c>
      <x:c r="C946" s="160" t="inlineStr">
        <x:is>
          <x:t xml:space="preserve">Union Pacific</x:t>
        </x:is>
      </x:c>
      <x:c r="D946" s="160" t="inlineStr">
        <x:is>
          <x:t xml:space="preserve">UNP</x:t>
        </x:is>
      </x:c>
      <x:c r="E946" s="160" t="inlineStr">
        <x:is>
          <x:t xml:space="preserve">Transportation</x:t>
        </x:is>
      </x:c>
      <x:c r="F946" s="160" t="inlineStr">
        <x:is>
          <x:t xml:space="preserve">Development</x:t>
        </x:is>
      </x:c>
      <x:c r="G946" s="160" t="inlineStr">
        <x:is>
          <x:t xml:space="preserve">S13</x:t>
        </x:is>
      </x:c>
      <x:c r="H946" s="160" t="inlineStr">
        <x:is>
          <x:t xml:space="preserve">Cycle Normalization</x:t>
        </x:is>
      </x:c>
      <x:c r="I946" s="160" t="inlineStr">
        <x:is>
          <x:t xml:space="preserve">Wrong valuation lens</x:t>
        </x:is>
      </x:c>
      <x:c r="J946" s="160" t="inlineStr">
        <x:is>
          <x:t xml:space="preserve">Peak/trough earnings are mistaken for normalized earning power.</x:t>
        </x:is>
      </x:c>
      <x:c r="K946" s="160" t="inlineStr">
        <x:is>
          <x:t xml:space="preserve">Carloads × yield − labor/fuel/network capital</x:t>
        </x:is>
      </x:c>
      <x:c r="L946" s="160" t="inlineStr">
        <x:is>
          <x:t xml:space="preserve">Normalized FCF + replacement value</x:t>
        </x:is>
      </x:c>
      <x:c r="M946" s="160" t="inlineStr">
        <x:is>
          <x:t xml:space="preserve">NO PRODUCTION DECISION — STRESS TEST ONLY</x:t>
        </x:is>
      </x:c>
      <x:c r="N946" s="160" t="inlineStr">
        <x:is>
          <x:t xml:space="preserve">R-CYCLE-01</x:t>
        </x:is>
      </x:c>
      <x:c r="O946" s="160" t="inlineStr">
        <x:is>
          <x:t xml:space="preserve">MATURE</x:t>
        </x:is>
      </x:c>
      <x:c r="P946" s="160" t="inlineStr">
        <x:is>
          <x:t xml:space="preserve">ROBUST</x:t>
        </x:is>
      </x:c>
      <x:c r="Q946" s="160" t="inlineStr">
        <x:is>
          <x:t xml:space="preserve">The mature simulation rule catches the stress without weakening a fatal gate; no rule relaxation is justified.</x:t>
        </x:is>
      </x:c>
      <x:c r="R946" s="160" t="inlineStr">
        <x:is>
          <x:t xml:space="preserve">Use sector-specific mid-cycle/NAV/rate-base/rNPV normalization before applying a valuation multiple.</x:t>
        </x:is>
      </x:c>
      <x:c r="S946" s="160" t="inlineStr">
        <x:is>
          <x:t xml:space="preserve">NO</x:t>
        </x:is>
      </x:c>
      <x:c r="T946" s="160" t="inlineStr">
        <x:is>
          <x:t xml:space="preserve">MATURE</x:t>
        </x:is>
      </x:c>
      <x:c r="U946" s="160" t="inlineStr">
        <x:is>
          <x:t xml:space="preserve">V10.5-SIM82</x:t>
        </x:is>
      </x:c>
      <x:c r="V946" s="160" t="inlineStr">
        <x:is>
          <x:t xml:space="preserve">https://investor.unionpacific.com</x:t>
        </x:is>
      </x:c>
      <x:c r="W946" s="160" t="inlineStr">
        <x:is>
          <x:t xml:space="preserve">NO</x:t>
        </x:is>
      </x:c>
      <x:c r="X946" s="160" t="inlineStr">
        <x:is>
          <x:t xml:space="preserve">NONE — DEVELOPMENT ONLY</x:t>
        </x:is>
      </x:c>
      <x:c r="Y946" s="160" t="inlineStr">
        <x:is>
          <x:t xml:space="preserve">Synthetic/adversarial model-development loop. No historical outcome is claimed; no accuracy point is awarded.</x:t>
        </x:is>
      </x:c>
    </x:row>
    <x:row r="947">
      <x:c r="A947" s="160" t="inlineStr">
        <x:is>
          <x:t xml:space="preserve">ML0942</x:t>
        </x:is>
      </x:c>
      <x:c r="B947" s="160" t="inlineStr">
        <x:is>
          <x:t xml:space="preserve">ARG-059</x:t>
        </x:is>
      </x:c>
      <x:c r="C947" s="160" t="inlineStr">
        <x:is>
          <x:t xml:space="preserve">Union Pacific</x:t>
        </x:is>
      </x:c>
      <x:c r="D947" s="160" t="inlineStr">
        <x:is>
          <x:t xml:space="preserve">UNP</x:t>
        </x:is>
      </x:c>
      <x:c r="E947" s="160" t="inlineStr">
        <x:is>
          <x:t xml:space="preserve">Transportation</x:t>
        </x:is>
      </x:c>
      <x:c r="F947" s="160" t="inlineStr">
        <x:is>
          <x:t xml:space="preserve">Development</x:t>
        </x:is>
      </x:c>
      <x:c r="G947" s="160" t="inlineStr">
        <x:is>
          <x:t xml:space="preserve">S14</x:t>
        </x:is>
      </x:c>
      <x:c r="H947" s="160" t="inlineStr">
        <x:is>
          <x:t xml:space="preserve">M&amp;A / Organic Growth Separation</x:t>
        </x:is>
      </x:c>
      <x:c r="I947" s="160" t="inlineStr">
        <x:is>
          <x:t xml:space="preserve">Stewardship</x:t>
        </x:is>
      </x:c>
      <x:c r="J947" s="160" t="inlineStr">
        <x:is>
          <x:t xml:space="preserve">Acquisition-driven growth masks weak organic economics or poor incremental ROIC.</x:t>
        </x:is>
      </x:c>
      <x:c r="K947" s="160" t="inlineStr">
        <x:is>
          <x:t xml:space="preserve">Carloads × yield − labor/fuel/network capital</x:t>
        </x:is>
      </x:c>
      <x:c r="L947" s="160" t="inlineStr">
        <x:is>
          <x:t xml:space="preserve">Normalized FCF + replacement value</x:t>
        </x:is>
      </x:c>
      <x:c r="M947" s="160" t="inlineStr">
        <x:is>
          <x:t xml:space="preserve">NO PRODUCTION DECISION — STRESS TEST ONLY</x:t>
        </x:is>
      </x:c>
      <x:c r="N947" s="160" t="inlineStr">
        <x:is>
          <x:t xml:space="preserve">R-MA-01</x:t>
        </x:is>
      </x:c>
      <x:c r="O947" s="160" t="inlineStr">
        <x:is>
          <x:t xml:space="preserve">MATURE</x:t>
        </x:is>
      </x:c>
      <x:c r="P947" s="160" t="inlineStr">
        <x:is>
          <x:t xml:space="preserve">ROBUST</x:t>
        </x:is>
      </x:c>
      <x:c r="Q947" s="160" t="inlineStr">
        <x:is>
          <x:t xml:space="preserve">The mature simulation rule catches the stress without weakening a fatal gate; no rule relaxation is justified.</x:t>
        </x:is>
      </x:c>
      <x:c r="R947" s="160" t="inlineStr">
        <x:is>
          <x:t xml:space="preserve">Bridge organic growth, acquired growth, purchase price, integration costs and acquisition-cohort ROIC.</x:t>
        </x:is>
      </x:c>
      <x:c r="S947" s="160" t="inlineStr">
        <x:is>
          <x:t xml:space="preserve">NO</x:t>
        </x:is>
      </x:c>
      <x:c r="T947" s="160" t="inlineStr">
        <x:is>
          <x:t xml:space="preserve">MATURE</x:t>
        </x:is>
      </x:c>
      <x:c r="U947" s="160" t="inlineStr">
        <x:is>
          <x:t xml:space="preserve">V10.5-SIM82</x:t>
        </x:is>
      </x:c>
      <x:c r="V947" s="160" t="inlineStr">
        <x:is>
          <x:t xml:space="preserve">https://investor.unionpacific.com</x:t>
        </x:is>
      </x:c>
      <x:c r="W947" s="160" t="inlineStr">
        <x:is>
          <x:t xml:space="preserve">NO</x:t>
        </x:is>
      </x:c>
      <x:c r="X947" s="160" t="inlineStr">
        <x:is>
          <x:t xml:space="preserve">NONE — DEVELOPMENT ONLY</x:t>
        </x:is>
      </x:c>
      <x:c r="Y947" s="160" t="inlineStr">
        <x:is>
          <x:t xml:space="preserve">Synthetic/adversarial model-development loop. No historical outcome is claimed; no accuracy point is awarded.</x:t>
        </x:is>
      </x:c>
    </x:row>
    <x:row r="948">
      <x:c r="A948" s="160" t="inlineStr">
        <x:is>
          <x:t xml:space="preserve">ML0943</x:t>
        </x:is>
      </x:c>
      <x:c r="B948" s="160" t="inlineStr">
        <x:is>
          <x:t xml:space="preserve">ARG-059</x:t>
        </x:is>
      </x:c>
      <x:c r="C948" s="160" t="inlineStr">
        <x:is>
          <x:t xml:space="preserve">Union Pacific</x:t>
        </x:is>
      </x:c>
      <x:c r="D948" s="160" t="inlineStr">
        <x:is>
          <x:t xml:space="preserve">UNP</x:t>
        </x:is>
      </x:c>
      <x:c r="E948" s="160" t="inlineStr">
        <x:is>
          <x:t xml:space="preserve">Transportation</x:t>
        </x:is>
      </x:c>
      <x:c r="F948" s="160" t="inlineStr">
        <x:is>
          <x:t xml:space="preserve">Development</x:t>
        </x:is>
      </x:c>
      <x:c r="G948" s="160" t="inlineStr">
        <x:is>
          <x:t xml:space="preserve">S15</x:t>
        </x:is>
      </x:c>
      <x:c r="H948" s="160" t="inlineStr">
        <x:is>
          <x:t xml:space="preserve">Financing / Dilution Per Share</x:t>
        </x:is>
      </x:c>
      <x:c r="I948" s="160" t="inlineStr">
        <x:is>
          <x:t xml:space="preserve">Stewardship</x:t>
        </x:is>
      </x:c>
      <x:c r="J948" s="160" t="inlineStr">
        <x:is>
          <x:t xml:space="preserve">Cash balance or revenue growth improves while financing causes material per-share value leakage.</x:t>
        </x:is>
      </x:c>
      <x:c r="K948" s="160" t="inlineStr">
        <x:is>
          <x:t xml:space="preserve">Carloads × yield − labor/fuel/network capital</x:t>
        </x:is>
      </x:c>
      <x:c r="L948" s="160" t="inlineStr">
        <x:is>
          <x:t xml:space="preserve">Normalized FCF + replacement value</x:t>
        </x:is>
      </x:c>
      <x:c r="M948" s="160" t="inlineStr">
        <x:is>
          <x:t xml:space="preserve">NO PRODUCTION DECISION — STRESS TEST ONLY</x:t>
        </x:is>
      </x:c>
      <x:c r="N948" s="160" t="inlineStr">
        <x:is>
          <x:t xml:space="preserve">R-DIL-01</x:t>
        </x:is>
      </x:c>
      <x:c r="O948" s="160" t="inlineStr">
        <x:is>
          <x:t xml:space="preserve">MATURE</x:t>
        </x:is>
      </x:c>
      <x:c r="P948" s="160" t="inlineStr">
        <x:is>
          <x:t xml:space="preserve">ROBUST</x:t>
        </x:is>
      </x:c>
      <x:c r="Q948" s="160" t="inlineStr">
        <x:is>
          <x:t xml:space="preserve">The mature simulation rule catches the stress without weakening a fatal gate; no rule relaxation is justified.</x:t>
        </x:is>
      </x:c>
      <x:c r="R948" s="160" t="inlineStr">
        <x:is>
          <x:t xml:space="preserve">Reconcile share-count growth, SBC, equity issuance, buybacks and net cash changes to per-share intrinsic value.</x:t>
        </x:is>
      </x:c>
      <x:c r="S948" s="160" t="inlineStr">
        <x:is>
          <x:t xml:space="preserve">NO</x:t>
        </x:is>
      </x:c>
      <x:c r="T948" s="160" t="inlineStr">
        <x:is>
          <x:t xml:space="preserve">MATURE</x:t>
        </x:is>
      </x:c>
      <x:c r="U948" s="160" t="inlineStr">
        <x:is>
          <x:t xml:space="preserve">V10.5-SIM82</x:t>
        </x:is>
      </x:c>
      <x:c r="V948" s="160" t="inlineStr">
        <x:is>
          <x:t xml:space="preserve">https://investor.unionpacific.com</x:t>
        </x:is>
      </x:c>
      <x:c r="W948" s="160" t="inlineStr">
        <x:is>
          <x:t xml:space="preserve">NO</x:t>
        </x:is>
      </x:c>
      <x:c r="X948" s="160" t="inlineStr">
        <x:is>
          <x:t xml:space="preserve">NONE — DEVELOPMENT ONLY</x:t>
        </x:is>
      </x:c>
      <x:c r="Y948" s="160" t="inlineStr">
        <x:is>
          <x:t xml:space="preserve">Synthetic/adversarial model-development loop. No historical outcome is claimed; no accuracy point is awarded.</x:t>
        </x:is>
      </x:c>
    </x:row>
    <x:row r="949">
      <x:c r="A949" s="160" t="inlineStr">
        <x:is>
          <x:t xml:space="preserve">ML0944</x:t>
        </x:is>
      </x:c>
      <x:c r="B949" s="160" t="inlineStr">
        <x:is>
          <x:t xml:space="preserve">ARG-059</x:t>
        </x:is>
      </x:c>
      <x:c r="C949" s="160" t="inlineStr">
        <x:is>
          <x:t xml:space="preserve">Union Pacific</x:t>
        </x:is>
      </x:c>
      <x:c r="D949" s="160" t="inlineStr">
        <x:is>
          <x:t xml:space="preserve">UNP</x:t>
        </x:is>
      </x:c>
      <x:c r="E949" s="160" t="inlineStr">
        <x:is>
          <x:t xml:space="preserve">Transportation</x:t>
        </x:is>
      </x:c>
      <x:c r="F949" s="160" t="inlineStr">
        <x:is>
          <x:t xml:space="preserve">Development</x:t>
        </x:is>
      </x:c>
      <x:c r="G949" s="160" t="inlineStr">
        <x:is>
          <x:t xml:space="preserve">S16</x:t>
        </x:is>
      </x:c>
      <x:c r="H949" s="160" t="inlineStr">
        <x:is>
          <x:t xml:space="preserve">Concentration / Tail Risk</x:t>
        </x:is>
      </x:c>
      <x:c r="I949" s="160" t="inlineStr">
        <x:is>
          <x:t xml:space="preserve">Survival</x:t>
        </x:is>
      </x:c>
      <x:c r="J949" s="160" t="inlineStr">
        <x:is>
          <x:t xml:space="preserve">A concentrated supplier, geography, customer, product, patent, regulatory or technology dependency creates asymmetric permanent-loss risk.</x:t>
        </x:is>
      </x:c>
      <x:c r="K949" s="160" t="inlineStr">
        <x:is>
          <x:t xml:space="preserve">Carloads × yield − labor/fuel/network capital</x:t>
        </x:is>
      </x:c>
      <x:c r="L949" s="160" t="inlineStr">
        <x:is>
          <x:t xml:space="preserve">Normalized FCF + replacement value</x:t>
        </x:is>
      </x:c>
      <x:c r="M949" s="160" t="inlineStr">
        <x:is>
          <x:t xml:space="preserve">NO PRODUCTION DECISION — STRESS TEST ONLY</x:t>
        </x:is>
      </x:c>
      <x:c r="N949" s="160" t="inlineStr">
        <x:is>
          <x:t xml:space="preserve">R-TAIL-01</x:t>
        </x:is>
      </x:c>
      <x:c r="O949" s="160" t="inlineStr">
        <x:is>
          <x:t xml:space="preserve">MATURE</x:t>
        </x:is>
      </x:c>
      <x:c r="P949" s="160" t="inlineStr">
        <x:is>
          <x:t xml:space="preserve">ROBUST</x:t>
        </x:is>
      </x:c>
      <x:c r="Q949" s="160" t="inlineStr">
        <x:is>
          <x:t xml:space="preserve">The mature simulation rule catches the stress without weakening a fatal gate; no rule relaxation is justified.</x:t>
        </x:is>
      </x:c>
      <x:c r="R949" s="160" t="inlineStr">
        <x:is>
          <x:t xml:space="preserve">Maintain an explicit concentration/tail-risk register with probability, severity, mitigation and required margin-of-safety premium.</x:t>
        </x:is>
      </x:c>
      <x:c r="S949" s="160" t="inlineStr">
        <x:is>
          <x:t xml:space="preserve">NO</x:t>
        </x:is>
      </x:c>
      <x:c r="T949" s="160" t="inlineStr">
        <x:is>
          <x:t xml:space="preserve">MATURE</x:t>
        </x:is>
      </x:c>
      <x:c r="U949" s="160" t="inlineStr">
        <x:is>
          <x:t xml:space="preserve">V10.5-SIM82</x:t>
        </x:is>
      </x:c>
      <x:c r="V949" s="160" t="inlineStr">
        <x:is>
          <x:t xml:space="preserve">https://investor.unionpacific.com</x:t>
        </x:is>
      </x:c>
      <x:c r="W949" s="160" t="inlineStr">
        <x:is>
          <x:t xml:space="preserve">NO</x:t>
        </x:is>
      </x:c>
      <x:c r="X949" s="160" t="inlineStr">
        <x:is>
          <x:t xml:space="preserve">NONE — DEVELOPMENT ONLY</x:t>
        </x:is>
      </x:c>
      <x:c r="Y949" s="160" t="inlineStr">
        <x:is>
          <x:t xml:space="preserve">Synthetic/adversarial model-development loop. No historical outcome is claimed; no accuracy point is awarded.</x:t>
        </x:is>
      </x:c>
    </x:row>
    <x:row r="950">
      <x:c r="A950" s="160" t="inlineStr">
        <x:is>
          <x:t xml:space="preserve">ML0945</x:t>
        </x:is>
      </x:c>
      <x:c r="B950" s="160" t="inlineStr">
        <x:is>
          <x:t xml:space="preserve">ARG-060</x:t>
        </x:is>
      </x:c>
      <x:c r="C950" s="160" t="inlineStr">
        <x:is>
          <x:t xml:space="preserve">Palo Alto Networks</x:t>
        </x:is>
      </x:c>
      <x:c r="D950" s="160" t="inlineStr">
        <x:is>
          <x:t xml:space="preserve">PANW</x:t>
        </x:is>
      </x:c>
      <x:c r="E950" s="160" t="inlineStr">
        <x:is>
          <x:t xml:space="preserve">Cybersecurity</x:t>
        </x:is>
      </x:c>
      <x:c r="F950" s="160" t="inlineStr">
        <x:is>
          <x:t xml:space="preserve">Development</x:t>
        </x:is>
      </x:c>
      <x:c r="G950" s="160" t="inlineStr">
        <x:is>
          <x:t xml:space="preserve">S01</x:t>
        </x:is>
      </x:c>
      <x:c r="H950" s="160" t="inlineStr">
        <x:is>
          <x:t xml:space="preserve">Understanding Gate</x:t>
        </x:is>
      </x:c>
      <x:c r="I950" s="160" t="inlineStr">
        <x:is>
          <x:t xml:space="preserve">Understanding</x:t>
        </x:is>
      </x:c>
      <x:c r="J950" s="160" t="inlineStr">
        <x:is>
          <x:t xml:space="preserve">Causal engine / customer ROI chain breaks under a misleading headline KPI.</x:t>
        </x:is>
      </x:c>
      <x:c r="K950" s="160" t="inlineStr">
        <x:is>
          <x:t xml:space="preserve">ARR/platform attach/retention minus SBC and sales investment</x:t>
        </x:is>
      </x:c>
      <x:c r="L950" s="160" t="inlineStr">
        <x:is>
          <x:t xml:space="preserve">Owner earnings + reverse DCF</x:t>
        </x:is>
      </x:c>
      <x:c r="M950" s="160" t="inlineStr">
        <x:is>
          <x:t xml:space="preserve">NO PRODUCTION DECISION — STRESS TEST ONLY</x:t>
        </x:is>
      </x:c>
      <x:c r="N950" s="160" t="inlineStr">
        <x:is>
          <x:t xml:space="preserve">R-ENG-01</x:t>
        </x:is>
      </x:c>
      <x:c r="O950" s="160" t="inlineStr">
        <x:is>
          <x:t xml:space="preserve">MATURE</x:t>
        </x:is>
      </x:c>
      <x:c r="P950" s="160" t="inlineStr">
        <x:is>
          <x:t xml:space="preserve">ROBUST</x:t>
        </x:is>
      </x:c>
      <x:c r="Q950" s="160" t="inlineStr">
        <x:is>
          <x:t xml:space="preserve">The mature simulation rule catches the stress without weakening a fatal gate; no rule relaxation is justified.</x:t>
        </x:is>
      </x:c>
      <x:c r="R950" s="160" t="inlineStr">
        <x:is>
          <x:t xml:space="preserve">Force an explicit engine tree: customer job → unit economics → revenue driver → owner-value bridge.</x:t>
        </x:is>
      </x:c>
      <x:c r="S950" s="160" t="inlineStr">
        <x:is>
          <x:t xml:space="preserve">NO</x:t>
        </x:is>
      </x:c>
      <x:c r="T950" s="160" t="inlineStr">
        <x:is>
          <x:t xml:space="preserve">MATURE</x:t>
        </x:is>
      </x:c>
      <x:c r="U950" s="160" t="inlineStr">
        <x:is>
          <x:t xml:space="preserve">V10.5-SIM82</x:t>
        </x:is>
      </x:c>
      <x:c r="V950" s="160" t="inlineStr">
        <x:is>
          <x:t xml:space="preserve">https://investors.paloaltonetworks.com</x:t>
        </x:is>
      </x:c>
      <x:c r="W950" s="160" t="inlineStr">
        <x:is>
          <x:t xml:space="preserve">NO</x:t>
        </x:is>
      </x:c>
      <x:c r="X950" s="160" t="inlineStr">
        <x:is>
          <x:t xml:space="preserve">NONE — DEVELOPMENT ONLY</x:t>
        </x:is>
      </x:c>
      <x:c r="Y950" s="160" t="inlineStr">
        <x:is>
          <x:t xml:space="preserve">Synthetic/adversarial model-development loop. No historical outcome is claimed; no accuracy point is awarded.</x:t>
        </x:is>
      </x:c>
    </x:row>
    <x:row r="951">
      <x:c r="A951" s="160" t="inlineStr">
        <x:is>
          <x:t xml:space="preserve">ML0946</x:t>
        </x:is>
      </x:c>
      <x:c r="B951" s="160" t="inlineStr">
        <x:is>
          <x:t xml:space="preserve">ARG-060</x:t>
        </x:is>
      </x:c>
      <x:c r="C951" s="160" t="inlineStr">
        <x:is>
          <x:t xml:space="preserve">Palo Alto Networks</x:t>
        </x:is>
      </x:c>
      <x:c r="D951" s="160" t="inlineStr">
        <x:is>
          <x:t xml:space="preserve">PANW</x:t>
        </x:is>
      </x:c>
      <x:c r="E951" s="160" t="inlineStr">
        <x:is>
          <x:t xml:space="preserve">Cybersecurity</x:t>
        </x:is>
      </x:c>
      <x:c r="F951" s="160" t="inlineStr">
        <x:is>
          <x:t xml:space="preserve">Development</x:t>
        </x:is>
      </x:c>
      <x:c r="G951" s="160" t="inlineStr">
        <x:is>
          <x:t xml:space="preserve">S02</x:t>
        </x:is>
      </x:c>
      <x:c r="H951" s="160" t="inlineStr">
        <x:is>
          <x:t xml:space="preserve">Owner Earnings Normalization</x:t>
        </x:is>
      </x:c>
      <x:c r="I951" s="160" t="inlineStr">
        <x:is>
          <x:t xml:space="preserve">Owner Earnings</x:t>
        </x:is>
      </x:c>
      <x:c r="J951" s="160" t="inlineStr">
        <x:is>
          <x:t xml:space="preserve">Reported earnings/FCF overstates economic cash because recurring reinvestment or non-cash compensation is misclassified.</x:t>
        </x:is>
      </x:c>
      <x:c r="K951" s="160" t="inlineStr">
        <x:is>
          <x:t xml:space="preserve">ARR/platform attach/retention minus SBC and sales investment</x:t>
        </x:is>
      </x:c>
      <x:c r="L951" s="160" t="inlineStr">
        <x:is>
          <x:t xml:space="preserve">Owner earnings + reverse DCF</x:t>
        </x:is>
      </x:c>
      <x:c r="M951" s="160" t="inlineStr">
        <x:is>
          <x:t xml:space="preserve">NO PRODUCTION DECISION — STRESS TEST ONLY</x:t>
        </x:is>
      </x:c>
      <x:c r="N951" s="160" t="inlineStr">
        <x:is>
          <x:t xml:space="preserve">R-OE-01</x:t>
        </x:is>
      </x:c>
      <x:c r="O951" s="160" t="inlineStr">
        <x:is>
          <x:t xml:space="preserve">MATURE</x:t>
        </x:is>
      </x:c>
      <x:c r="P951" s="160" t="inlineStr">
        <x:is>
          <x:t xml:space="preserve">ROBUST</x:t>
        </x:is>
      </x:c>
      <x:c r="Q951" s="160" t="inlineStr">
        <x:is>
          <x:t xml:space="preserve">The mature simulation rule catches the stress without weakening a fatal gate; no rule relaxation is justified.</x:t>
        </x:is>
      </x:c>
      <x:c r="R951" s="160" t="inlineStr">
        <x:is>
          <x:t xml:space="preserve">Require a GAAP-to-economic-owner-cash bridge tailored to the business model.</x:t>
        </x:is>
      </x:c>
      <x:c r="S951" s="160" t="inlineStr">
        <x:is>
          <x:t xml:space="preserve">NO</x:t>
        </x:is>
      </x:c>
      <x:c r="T951" s="160" t="inlineStr">
        <x:is>
          <x:t xml:space="preserve">MATURE</x:t>
        </x:is>
      </x:c>
      <x:c r="U951" s="160" t="inlineStr">
        <x:is>
          <x:t xml:space="preserve">V10.5-SIM82</x:t>
        </x:is>
      </x:c>
      <x:c r="V951" s="160" t="inlineStr">
        <x:is>
          <x:t xml:space="preserve">https://investors.paloaltonetworks.com</x:t>
        </x:is>
      </x:c>
      <x:c r="W951" s="160" t="inlineStr">
        <x:is>
          <x:t xml:space="preserve">NO</x:t>
        </x:is>
      </x:c>
      <x:c r="X951" s="160" t="inlineStr">
        <x:is>
          <x:t xml:space="preserve">NONE — DEVELOPMENT ONLY</x:t>
        </x:is>
      </x:c>
      <x:c r="Y951" s="160" t="inlineStr">
        <x:is>
          <x:t xml:space="preserve">Synthetic/adversarial model-development loop. No historical outcome is claimed; no accuracy point is awarded.</x:t>
        </x:is>
      </x:c>
    </x:row>
    <x:row r="952">
      <x:c r="A952" s="160" t="inlineStr">
        <x:is>
          <x:t xml:space="preserve">ML0947</x:t>
        </x:is>
      </x:c>
      <x:c r="B952" s="160" t="inlineStr">
        <x:is>
          <x:t xml:space="preserve">ARG-060</x:t>
        </x:is>
      </x:c>
      <x:c r="C952" s="160" t="inlineStr">
        <x:is>
          <x:t xml:space="preserve">Palo Alto Networks</x:t>
        </x:is>
      </x:c>
      <x:c r="D952" s="160" t="inlineStr">
        <x:is>
          <x:t xml:space="preserve">PANW</x:t>
        </x:is>
      </x:c>
      <x:c r="E952" s="160" t="inlineStr">
        <x:is>
          <x:t xml:space="preserve">Cybersecurity</x:t>
        </x:is>
      </x:c>
      <x:c r="F952" s="160" t="inlineStr">
        <x:is>
          <x:t xml:space="preserve">Development</x:t>
        </x:is>
      </x:c>
      <x:c r="G952" s="160" t="inlineStr">
        <x:is>
          <x:t xml:space="preserve">S03</x:t>
        </x:is>
      </x:c>
      <x:c r="H952" s="160" t="inlineStr">
        <x:is>
          <x:t xml:space="preserve">Moat Durability</x:t>
        </x:is>
      </x:c>
      <x:c r="I952" s="160" t="inlineStr">
        <x:is>
          <x:t xml:space="preserve">Moat 2036</x:t>
        </x:is>
      </x:c>
      <x:c r="J952" s="160" t="inlineStr">
        <x:is>
          <x:t xml:space="preserve">Growth continues while switching friction, pricing power or replacement difficulty quietly weakens.</x:t>
        </x:is>
      </x:c>
      <x:c r="K952" s="160" t="inlineStr">
        <x:is>
          <x:t xml:space="preserve">ARR/platform attach/retention minus SBC and sales investment</x:t>
        </x:is>
      </x:c>
      <x:c r="L952" s="160" t="inlineStr">
        <x:is>
          <x:t xml:space="preserve">Owner earnings + reverse DCF</x:t>
        </x:is>
      </x:c>
      <x:c r="M952" s="160" t="inlineStr">
        <x:is>
          <x:t xml:space="preserve">NO PRODUCTION DECISION — STRESS TEST ONLY</x:t>
        </x:is>
      </x:c>
      <x:c r="N952" s="160" t="inlineStr">
        <x:is>
          <x:t xml:space="preserve">R-MOAT-01</x:t>
        </x:is>
      </x:c>
      <x:c r="O952" s="160" t="inlineStr">
        <x:is>
          <x:t xml:space="preserve">MATURE</x:t>
        </x:is>
      </x:c>
      <x:c r="P952" s="160" t="inlineStr">
        <x:is>
          <x:t xml:space="preserve">ROBUST</x:t>
        </x:is>
      </x:c>
      <x:c r="Q952" s="160" t="inlineStr">
        <x:is>
          <x:t xml:space="preserve">The mature simulation rule catches the stress without weakening a fatal gate; no rule relaxation is justified.</x:t>
        </x:is>
      </x:c>
      <x:c r="R952" s="160" t="inlineStr">
        <x:is>
          <x:t xml:space="preserve">Track moat telemetry separately from growth: retention, pricing, win/loss, replacement friction, installed-base behavior.</x:t>
        </x:is>
      </x:c>
      <x:c r="S952" s="160" t="inlineStr">
        <x:is>
          <x:t xml:space="preserve">NO</x:t>
        </x:is>
      </x:c>
      <x:c r="T952" s="160" t="inlineStr">
        <x:is>
          <x:t xml:space="preserve">MATURE</x:t>
        </x:is>
      </x:c>
      <x:c r="U952" s="160" t="inlineStr">
        <x:is>
          <x:t xml:space="preserve">V10.5-SIM82</x:t>
        </x:is>
      </x:c>
      <x:c r="V952" s="160" t="inlineStr">
        <x:is>
          <x:t xml:space="preserve">https://investors.paloaltonetworks.com</x:t>
        </x:is>
      </x:c>
      <x:c r="W952" s="160" t="inlineStr">
        <x:is>
          <x:t xml:space="preserve">NO</x:t>
        </x:is>
      </x:c>
      <x:c r="X952" s="160" t="inlineStr">
        <x:is>
          <x:t xml:space="preserve">NONE — DEVELOPMENT ONLY</x:t>
        </x:is>
      </x:c>
      <x:c r="Y952" s="160" t="inlineStr">
        <x:is>
          <x:t xml:space="preserve">Synthetic/adversarial model-development loop. No historical outcome is claimed; no accuracy point is awarded.</x:t>
        </x:is>
      </x:c>
    </x:row>
    <x:row r="953">
      <x:c r="A953" s="160" t="inlineStr">
        <x:is>
          <x:t xml:space="preserve">ML0948</x:t>
        </x:is>
      </x:c>
      <x:c r="B953" s="160" t="inlineStr">
        <x:is>
          <x:t xml:space="preserve">ARG-060</x:t>
        </x:is>
      </x:c>
      <x:c r="C953" s="160" t="inlineStr">
        <x:is>
          <x:t xml:space="preserve">Palo Alto Networks</x:t>
        </x:is>
      </x:c>
      <x:c r="D953" s="160" t="inlineStr">
        <x:is>
          <x:t xml:space="preserve">PANW</x:t>
        </x:is>
      </x:c>
      <x:c r="E953" s="160" t="inlineStr">
        <x:is>
          <x:t xml:space="preserve">Cybersecurity</x:t>
        </x:is>
      </x:c>
      <x:c r="F953" s="160" t="inlineStr">
        <x:is>
          <x:t xml:space="preserve">Development</x:t>
        </x:is>
      </x:c>
      <x:c r="G953" s="160" t="inlineStr">
        <x:is>
          <x:t xml:space="preserve">S04</x:t>
        </x:is>
      </x:c>
      <x:c r="H953" s="160" t="inlineStr">
        <x:is>
          <x:t xml:space="preserve">Stewardship / Capital Allocation</x:t>
        </x:is>
      </x:c>
      <x:c r="I953" s="160" t="inlineStr">
        <x:is>
          <x:t xml:space="preserve">Stewardship</x:t>
        </x:is>
      </x:c>
      <x:c r="J953" s="160" t="inlineStr">
        <x:is>
          <x:t xml:space="preserve">Management creates enterprise growth while destroying per-share value through M&amp;A, dilution, leverage or mistimed buybacks.</x:t>
        </x:is>
      </x:c>
      <x:c r="K953" s="160" t="inlineStr">
        <x:is>
          <x:t xml:space="preserve">ARR/platform attach/retention minus SBC and sales investment</x:t>
        </x:is>
      </x:c>
      <x:c r="L953" s="160" t="inlineStr">
        <x:is>
          <x:t xml:space="preserve">Owner earnings + reverse DCF</x:t>
        </x:is>
      </x:c>
      <x:c r="M953" s="160" t="inlineStr">
        <x:is>
          <x:t xml:space="preserve">NO PRODUCTION DECISION — STRESS TEST ONLY</x:t>
        </x:is>
      </x:c>
      <x:c r="N953" s="160" t="inlineStr">
        <x:is>
          <x:t xml:space="preserve">R-STEW-01</x:t>
        </x:is>
      </x:c>
      <x:c r="O953" s="160" t="inlineStr">
        <x:is>
          <x:t xml:space="preserve">MATURE</x:t>
        </x:is>
      </x:c>
      <x:c r="P953" s="160" t="inlineStr">
        <x:is>
          <x:t xml:space="preserve">ROBUST</x:t>
        </x:is>
      </x:c>
      <x:c r="Q953" s="160" t="inlineStr">
        <x:is>
          <x:t xml:space="preserve">The mature simulation rule catches the stress without weakening a fatal gate; no rule relaxation is justified.</x:t>
        </x:is>
      </x:c>
      <x:c r="R953" s="160" t="inlineStr">
        <x:is>
          <x:t xml:space="preserve">Evaluate capital allocation on a per-share basis using acquisition cohorts, dilution, leverage and repurchase price discipline.</x:t>
        </x:is>
      </x:c>
      <x:c r="S953" s="160" t="inlineStr">
        <x:is>
          <x:t xml:space="preserve">NO</x:t>
        </x:is>
      </x:c>
      <x:c r="T953" s="160" t="inlineStr">
        <x:is>
          <x:t xml:space="preserve">MATURE</x:t>
        </x:is>
      </x:c>
      <x:c r="U953" s="160" t="inlineStr">
        <x:is>
          <x:t xml:space="preserve">V10.5-SIM82</x:t>
        </x:is>
      </x:c>
      <x:c r="V953" s="160" t="inlineStr">
        <x:is>
          <x:t xml:space="preserve">https://investors.paloaltonetworks.com</x:t>
        </x:is>
      </x:c>
      <x:c r="W953" s="160" t="inlineStr">
        <x:is>
          <x:t xml:space="preserve">NO</x:t>
        </x:is>
      </x:c>
      <x:c r="X953" s="160" t="inlineStr">
        <x:is>
          <x:t xml:space="preserve">NONE — DEVELOPMENT ONLY</x:t>
        </x:is>
      </x:c>
      <x:c r="Y953" s="160" t="inlineStr">
        <x:is>
          <x:t xml:space="preserve">Synthetic/adversarial model-development loop. No historical outcome is claimed; no accuracy point is awarded.</x:t>
        </x:is>
      </x:c>
    </x:row>
    <x:row r="954">
      <x:c r="A954" s="160" t="inlineStr">
        <x:is>
          <x:t xml:space="preserve">ML0949</x:t>
        </x:is>
      </x:c>
      <x:c r="B954" s="160" t="inlineStr">
        <x:is>
          <x:t xml:space="preserve">ARG-060</x:t>
        </x:is>
      </x:c>
      <x:c r="C954" s="160" t="inlineStr">
        <x:is>
          <x:t xml:space="preserve">Palo Alto Networks</x:t>
        </x:is>
      </x:c>
      <x:c r="D954" s="160" t="inlineStr">
        <x:is>
          <x:t xml:space="preserve">PANW</x:t>
        </x:is>
      </x:c>
      <x:c r="E954" s="160" t="inlineStr">
        <x:is>
          <x:t xml:space="preserve">Cybersecurity</x:t>
        </x:is>
      </x:c>
      <x:c r="F954" s="160" t="inlineStr">
        <x:is>
          <x:t xml:space="preserve">Development</x:t>
        </x:is>
      </x:c>
      <x:c r="G954" s="160" t="inlineStr">
        <x:is>
          <x:t xml:space="preserve">S05</x:t>
        </x:is>
      </x:c>
      <x:c r="H954" s="160" t="inlineStr">
        <x:is>
          <x:t xml:space="preserve">Survival / Funding</x:t>
        </x:is>
      </x:c>
      <x:c r="I954" s="160" t="inlineStr">
        <x:is>
          <x:t xml:space="preserve">Survival</x:t>
        </x:is>
      </x:c>
      <x:c r="J954" s="160" t="inlineStr">
        <x:is>
          <x:t xml:space="preserve">A plausible bear case exposes refinancing, liquidity, covenant, reserve, regulatory or operational fragility.</x:t>
        </x:is>
      </x:c>
      <x:c r="K954" s="160" t="inlineStr">
        <x:is>
          <x:t xml:space="preserve">ARR/platform attach/retention minus SBC and sales investment</x:t>
        </x:is>
      </x:c>
      <x:c r="L954" s="160" t="inlineStr">
        <x:is>
          <x:t xml:space="preserve">Owner earnings + reverse DCF</x:t>
        </x:is>
      </x:c>
      <x:c r="M954" s="160" t="inlineStr">
        <x:is>
          <x:t xml:space="preserve">NO PRODUCTION DECISION — STRESS TEST ONLY</x:t>
        </x:is>
      </x:c>
      <x:c r="N954" s="160" t="inlineStr">
        <x:is>
          <x:t xml:space="preserve">R-SURV-01</x:t>
        </x:is>
      </x:c>
      <x:c r="O954" s="160" t="inlineStr">
        <x:is>
          <x:t xml:space="preserve">MATURE</x:t>
        </x:is>
      </x:c>
      <x:c r="P954" s="160" t="inlineStr">
        <x:is>
          <x:t xml:space="preserve">ROBUST</x:t>
        </x:is>
      </x:c>
      <x:c r="Q954" s="160" t="inlineStr">
        <x:is>
          <x:t xml:space="preserve">The mature simulation rule catches the stress without weakening a fatal gate; no rule relaxation is justified.</x:t>
        </x:is>
      </x:c>
      <x:c r="R954" s="160" t="inlineStr">
        <x:is>
          <x:t xml:space="preserve">Run a company-specific survival bridge under a severe-but-plausible bear case before any upside underwriting.</x:t>
        </x:is>
      </x:c>
      <x:c r="S954" s="160" t="inlineStr">
        <x:is>
          <x:t xml:space="preserve">NO</x:t>
        </x:is>
      </x:c>
      <x:c r="T954" s="160" t="inlineStr">
        <x:is>
          <x:t xml:space="preserve">MATURE</x:t>
        </x:is>
      </x:c>
      <x:c r="U954" s="160" t="inlineStr">
        <x:is>
          <x:t xml:space="preserve">V10.5-SIM82</x:t>
        </x:is>
      </x:c>
      <x:c r="V954" s="160" t="inlineStr">
        <x:is>
          <x:t xml:space="preserve">https://investors.paloaltonetworks.com</x:t>
        </x:is>
      </x:c>
      <x:c r="W954" s="160" t="inlineStr">
        <x:is>
          <x:t xml:space="preserve">NO</x:t>
        </x:is>
      </x:c>
      <x:c r="X954" s="160" t="inlineStr">
        <x:is>
          <x:t xml:space="preserve">NONE — DEVELOPMENT ONLY</x:t>
        </x:is>
      </x:c>
      <x:c r="Y954" s="160" t="inlineStr">
        <x:is>
          <x:t xml:space="preserve">Synthetic/adversarial model-development loop. No historical outcome is claimed; no accuracy point is awarded.</x:t>
        </x:is>
      </x:c>
    </x:row>
    <x:row r="955">
      <x:c r="A955" s="160" t="inlineStr">
        <x:is>
          <x:t xml:space="preserve">ML0950</x:t>
        </x:is>
      </x:c>
      <x:c r="B955" s="160" t="inlineStr">
        <x:is>
          <x:t xml:space="preserve">ARG-060</x:t>
        </x:is>
      </x:c>
      <x:c r="C955" s="160" t="inlineStr">
        <x:is>
          <x:t xml:space="preserve">Palo Alto Networks</x:t>
        </x:is>
      </x:c>
      <x:c r="D955" s="160" t="inlineStr">
        <x:is>
          <x:t xml:space="preserve">PANW</x:t>
        </x:is>
      </x:c>
      <x:c r="E955" s="160" t="inlineStr">
        <x:is>
          <x:t xml:space="preserve">Cybersecurity</x:t>
        </x:is>
      </x:c>
      <x:c r="F955" s="160" t="inlineStr">
        <x:is>
          <x:t xml:space="preserve">Development</x:t>
        </x:is>
      </x:c>
      <x:c r="G955" s="160" t="inlineStr">
        <x:is>
          <x:t xml:space="preserve">S06</x:t>
        </x:is>
      </x:c>
      <x:c r="H955" s="160" t="inlineStr">
        <x:is>
          <x:t xml:space="preserve">Margin of Safety</x:t>
        </x:is>
      </x:c>
      <x:c r="I955" s="160" t="inlineStr">
        <x:is>
          <x:t xml:space="preserve">Margin of Safety</x:t>
        </x:is>
      </x:c>
      <x:c r="J955" s="160" t="inlineStr">
        <x:is>
          <x:t xml:space="preserve">Business quality is high but the price embeds a fragile bull case.</x:t>
        </x:is>
      </x:c>
      <x:c r="K955" s="160" t="inlineStr">
        <x:is>
          <x:t xml:space="preserve">ARR/platform attach/retention minus SBC and sales investment</x:t>
        </x:is>
      </x:c>
      <x:c r="L955" s="160" t="inlineStr">
        <x:is>
          <x:t xml:space="preserve">Owner earnings + reverse DCF</x:t>
        </x:is>
      </x:c>
      <x:c r="M955" s="160" t="inlineStr">
        <x:is>
          <x:t xml:space="preserve">NO PRODUCTION DECISION — STRESS TEST ONLY</x:t>
        </x:is>
      </x:c>
      <x:c r="N955" s="160" t="inlineStr">
        <x:is>
          <x:t xml:space="preserve">R-MOS-01</x:t>
        </x:is>
      </x:c>
      <x:c r="O955" s="160" t="inlineStr">
        <x:is>
          <x:t xml:space="preserve">MATURE</x:t>
        </x:is>
      </x:c>
      <x:c r="P955" s="160" t="inlineStr">
        <x:is>
          <x:t xml:space="preserve">ROBUST</x:t>
        </x:is>
      </x:c>
      <x:c r="Q955" s="160" t="inlineStr">
        <x:is>
          <x:t xml:space="preserve">The mature simulation rule catches the stress without weakening a fatal gate; no rule relaxation is justified.</x:t>
        </x:is>
      </x:c>
      <x:c r="R955" s="160" t="inlineStr">
        <x:is>
          <x:t xml:space="preserve">Separate business-quality score from price decision; require reverse valuation and bear/base/bull IV ranges.</x:t>
        </x:is>
      </x:c>
      <x:c r="S955" s="160" t="inlineStr">
        <x:is>
          <x:t xml:space="preserve">NO</x:t>
        </x:is>
      </x:c>
      <x:c r="T955" s="160" t="inlineStr">
        <x:is>
          <x:t xml:space="preserve">MATURE</x:t>
        </x:is>
      </x:c>
      <x:c r="U955" s="160" t="inlineStr">
        <x:is>
          <x:t xml:space="preserve">V10.5-SIM82</x:t>
        </x:is>
      </x:c>
      <x:c r="V955" s="160" t="inlineStr">
        <x:is>
          <x:t xml:space="preserve">https://investors.paloaltonetworks.com</x:t>
        </x:is>
      </x:c>
      <x:c r="W955" s="160" t="inlineStr">
        <x:is>
          <x:t xml:space="preserve">NO</x:t>
        </x:is>
      </x:c>
      <x:c r="X955" s="160" t="inlineStr">
        <x:is>
          <x:t xml:space="preserve">NONE — DEVELOPMENT ONLY</x:t>
        </x:is>
      </x:c>
      <x:c r="Y955" s="160" t="inlineStr">
        <x:is>
          <x:t xml:space="preserve">Synthetic/adversarial model-development loop. No historical outcome is claimed; no accuracy point is awarded.</x:t>
        </x:is>
      </x:c>
    </x:row>
    <x:row r="956">
      <x:c r="A956" s="160" t="inlineStr">
        <x:is>
          <x:t xml:space="preserve">ML0951</x:t>
        </x:is>
      </x:c>
      <x:c r="B956" s="160" t="inlineStr">
        <x:is>
          <x:t xml:space="preserve">ARG-060</x:t>
        </x:is>
      </x:c>
      <x:c r="C956" s="160" t="inlineStr">
        <x:is>
          <x:t xml:space="preserve">Palo Alto Networks</x:t>
        </x:is>
      </x:c>
      <x:c r="D956" s="160" t="inlineStr">
        <x:is>
          <x:t xml:space="preserve">PANW</x:t>
        </x:is>
      </x:c>
      <x:c r="E956" s="160" t="inlineStr">
        <x:is>
          <x:t xml:space="preserve">Cybersecurity</x:t>
        </x:is>
      </x:c>
      <x:c r="F956" s="160" t="inlineStr">
        <x:is>
          <x:t xml:space="preserve">Development</x:t>
        </x:is>
      </x:c>
      <x:c r="G956" s="160" t="inlineStr">
        <x:is>
          <x:t xml:space="preserve">S07</x:t>
        </x:is>
      </x:c>
      <x:c r="H956" s="160" t="inlineStr">
        <x:is>
          <x:t xml:space="preserve">Sector Shock</x:t>
        </x:is>
      </x:c>
      <x:c r="I956" s="160" t="inlineStr">
        <x:is>
          <x:t xml:space="preserve">Sector-specific</x:t>
        </x:is>
      </x:c>
      <x:c r="J956" s="160" t="inlineStr">
        <x:is>
          <x:t xml:space="preserve">ARR grows rapidly while platform consolidation, sales efficiency or SBC makes economic owner earnings lag.</x:t>
        </x:is>
      </x:c>
      <x:c r="K956" s="160" t="inlineStr">
        <x:is>
          <x:t xml:space="preserve">ARR/platform attach/retention minus SBC and sales investment</x:t>
        </x:is>
      </x:c>
      <x:c r="L956" s="160" t="inlineStr">
        <x:is>
          <x:t xml:space="preserve">Owner earnings + reverse DCF</x:t>
        </x:is>
      </x:c>
      <x:c r="M956" s="160" t="inlineStr">
        <x:is>
          <x:t xml:space="preserve">NO PRODUCTION DECISION — STRESS TEST ONLY</x:t>
        </x:is>
      </x:c>
      <x:c r="N956" s="160" t="inlineStr">
        <x:is>
          <x:t xml:space="preserve">R-SECTOR-CYBERSECURITY</x:t>
        </x:is>
      </x:c>
      <x:c r="O956" s="160" t="inlineStr">
        <x:is>
          <x:t xml:space="preserve">UNFORMED</x:t>
        </x:is>
      </x:c>
      <x:c r="P956" s="160" t="inlineStr">
        <x:is>
          <x:t xml:space="preserve">WEAKNESS EXPOSED</x:t>
        </x:is>
      </x:c>
      <x:c r="Q956" s="160" t="inlineStr">
        <x:is>
          <x:t xml:space="preserve">The frozen V10 gate family is directionally right, but the test lacks a sufficiently explicit mechanical implementation.</x:t>
        </x:is>
      </x:c>
      <x:c r="R956" s="160" t="inlineStr">
        <x:is>
          <x:t xml:space="preserve">Add a sector-specific transmission map with leading operating sensors, not only market-price variables. Sector rule: ARR grows rapidly while platform consolidation, sales efficiency or SBC makes economic owner earnings lag.</x:t>
        </x:is>
      </x:c>
      <x:c r="S956" s="160" t="inlineStr">
        <x:is>
          <x:t xml:space="preserve">NO</x:t>
        </x:is>
      </x:c>
      <x:c r="T956" s="160" t="inlineStr">
        <x:is>
          <x:t xml:space="preserve">UNFORMED</x:t>
        </x:is>
      </x:c>
      <x:c r="U956" s="160" t="inlineStr">
        <x:is>
          <x:t xml:space="preserve">V10.5-SIM82</x:t>
        </x:is>
      </x:c>
      <x:c r="V956" s="160" t="inlineStr">
        <x:is>
          <x:t xml:space="preserve">https://investors.paloaltonetworks.com</x:t>
        </x:is>
      </x:c>
      <x:c r="W956" s="160" t="inlineStr">
        <x:is>
          <x:t xml:space="preserve">NO</x:t>
        </x:is>
      </x:c>
      <x:c r="X956" s="160" t="inlineStr">
        <x:is>
          <x:t xml:space="preserve">NONE — DEVELOPMENT ONLY</x:t>
        </x:is>
      </x:c>
      <x:c r="Y956" s="160" t="inlineStr">
        <x:is>
          <x:t xml:space="preserve">Synthetic/adversarial model-development loop. No historical outcome is claimed; no accuracy point is awarded.</x:t>
        </x:is>
      </x:c>
    </x:row>
    <x:row r="957">
      <x:c r="A957" s="160" t="inlineStr">
        <x:is>
          <x:t xml:space="preserve">ML0952</x:t>
        </x:is>
      </x:c>
      <x:c r="B957" s="160" t="inlineStr">
        <x:is>
          <x:t xml:space="preserve">ARG-060</x:t>
        </x:is>
      </x:c>
      <x:c r="C957" s="160" t="inlineStr">
        <x:is>
          <x:t xml:space="preserve">Palo Alto Networks</x:t>
        </x:is>
      </x:c>
      <x:c r="D957" s="160" t="inlineStr">
        <x:is>
          <x:t xml:space="preserve">PANW</x:t>
        </x:is>
      </x:c>
      <x:c r="E957" s="160" t="inlineStr">
        <x:is>
          <x:t xml:space="preserve">Cybersecurity</x:t>
        </x:is>
      </x:c>
      <x:c r="F957" s="160" t="inlineStr">
        <x:is>
          <x:t xml:space="preserve">Development</x:t>
        </x:is>
      </x:c>
      <x:c r="G957" s="160" t="inlineStr">
        <x:is>
          <x:t xml:space="preserve">S08</x:t>
        </x:is>
      </x:c>
      <x:c r="H957" s="160" t="inlineStr">
        <x:is>
          <x:t xml:space="preserve">Management Promise Reliability</x:t>
        </x:is>
      </x:c>
      <x:c r="I957" s="160" t="inlineStr">
        <x:is>
          <x:t xml:space="preserve">Management over-trust</x:t>
        </x:is>
      </x:c>
      <x:c r="J957" s="160" t="inlineStr">
        <x:is>
          <x:t xml:space="preserve">Guidance or strategic promises are repeated but the model lacks a contemporaneous reliability score.</x:t>
        </x:is>
      </x:c>
      <x:c r="K957" s="160" t="inlineStr">
        <x:is>
          <x:t xml:space="preserve">ARR/platform attach/retention minus SBC and sales investment</x:t>
        </x:is>
      </x:c>
      <x:c r="L957" s="160" t="inlineStr">
        <x:is>
          <x:t xml:space="preserve">Owner earnings + reverse DCF</x:t>
        </x:is>
      </x:c>
      <x:c r="M957" s="160" t="inlineStr">
        <x:is>
          <x:t xml:space="preserve">NO PRODUCTION DECISION — STRESS TEST ONLY</x:t>
        </x:is>
      </x:c>
      <x:c r="N957" s="160" t="inlineStr">
        <x:is>
          <x:t xml:space="preserve">R-PROM-01</x:t>
        </x:is>
      </x:c>
      <x:c r="O957" s="160" t="inlineStr">
        <x:is>
          <x:t xml:space="preserve">MATURE</x:t>
        </x:is>
      </x:c>
      <x:c r="P957" s="160" t="inlineStr">
        <x:is>
          <x:t xml:space="preserve">ROBUST</x:t>
        </x:is>
      </x:c>
      <x:c r="Q957" s="160" t="inlineStr">
        <x:is>
          <x:t xml:space="preserve">The mature simulation rule catches the stress without weakening a fatal gate; no rule relaxation is justified.</x:t>
        </x:is>
      </x:c>
      <x:c r="R957" s="160" t="inlineStr">
        <x:is>
          <x:t xml:space="preserve">Use a promises ledger with dated promise, measurable deliverable, due date, outcome and credibility weight.</x:t>
        </x:is>
      </x:c>
      <x:c r="S957" s="160" t="inlineStr">
        <x:is>
          <x:t xml:space="preserve">NO</x:t>
        </x:is>
      </x:c>
      <x:c r="T957" s="160" t="inlineStr">
        <x:is>
          <x:t xml:space="preserve">MATURE</x:t>
        </x:is>
      </x:c>
      <x:c r="U957" s="160" t="inlineStr">
        <x:is>
          <x:t xml:space="preserve">V10.5-SIM82</x:t>
        </x:is>
      </x:c>
      <x:c r="V957" s="160" t="inlineStr">
        <x:is>
          <x:t xml:space="preserve">https://investors.paloaltonetworks.com</x:t>
        </x:is>
      </x:c>
      <x:c r="W957" s="160" t="inlineStr">
        <x:is>
          <x:t xml:space="preserve">NO</x:t>
        </x:is>
      </x:c>
      <x:c r="X957" s="160" t="inlineStr">
        <x:is>
          <x:t xml:space="preserve">NONE — DEVELOPMENT ONLY</x:t>
        </x:is>
      </x:c>
      <x:c r="Y957" s="160" t="inlineStr">
        <x:is>
          <x:t xml:space="preserve">Synthetic/adversarial model-development loop. No historical outcome is claimed; no accuracy point is awarded.</x:t>
        </x:is>
      </x:c>
    </x:row>
    <x:row r="958">
      <x:c r="A958" s="160" t="inlineStr">
        <x:is>
          <x:t xml:space="preserve">ML0953</x:t>
        </x:is>
      </x:c>
      <x:c r="B958" s="160" t="inlineStr">
        <x:is>
          <x:t xml:space="preserve">ARG-060</x:t>
        </x:is>
      </x:c>
      <x:c r="C958" s="160" t="inlineStr">
        <x:is>
          <x:t xml:space="preserve">Palo Alto Networks</x:t>
        </x:is>
      </x:c>
      <x:c r="D958" s="160" t="inlineStr">
        <x:is>
          <x:t xml:space="preserve">PANW</x:t>
        </x:is>
      </x:c>
      <x:c r="E958" s="160" t="inlineStr">
        <x:is>
          <x:t xml:space="preserve">Cybersecurity</x:t>
        </x:is>
      </x:c>
      <x:c r="F958" s="160" t="inlineStr">
        <x:is>
          <x:t xml:space="preserve">Development</x:t>
        </x:is>
      </x:c>
      <x:c r="G958" s="160" t="inlineStr">
        <x:is>
          <x:t xml:space="preserve">S09</x:t>
        </x:is>
      </x:c>
      <x:c r="H958" s="160" t="inlineStr">
        <x:is>
          <x:t xml:space="preserve">Data / Accounting Quality</x:t>
        </x:is>
      </x:c>
      <x:c r="I958" s="160" t="inlineStr">
        <x:is>
          <x:t xml:space="preserve">Data quality</x:t>
        </x:is>
      </x:c>
      <x:c r="J958" s="160" t="inlineStr">
        <x:is>
          <x:t xml:space="preserve">Restatement, segment reclassification, one-time item or non-economic fair-value movement distorts the apparent trend.</x:t>
        </x:is>
      </x:c>
      <x:c r="K958" s="160" t="inlineStr">
        <x:is>
          <x:t xml:space="preserve">ARR/platform attach/retention minus SBC and sales investment</x:t>
        </x:is>
      </x:c>
      <x:c r="L958" s="160" t="inlineStr">
        <x:is>
          <x:t xml:space="preserve">Owner earnings + reverse DCF</x:t>
        </x:is>
      </x:c>
      <x:c r="M958" s="160" t="inlineStr">
        <x:is>
          <x:t xml:space="preserve">NO PRODUCTION DECISION — STRESS TEST ONLY</x:t>
        </x:is>
      </x:c>
      <x:c r="N958" s="160" t="inlineStr">
        <x:is>
          <x:t xml:space="preserve">R-DATA-01</x:t>
        </x:is>
      </x:c>
      <x:c r="O958" s="160" t="inlineStr">
        <x:is>
          <x:t xml:space="preserve">MATURE</x:t>
        </x:is>
      </x:c>
      <x:c r="P958" s="160" t="inlineStr">
        <x:is>
          <x:t xml:space="preserve">ROBUST</x:t>
        </x:is>
      </x:c>
      <x:c r="Q958" s="160" t="inlineStr">
        <x:is>
          <x:t xml:space="preserve">The mature simulation rule catches the stress without weakening a fatal gate; no rule relaxation is justified.</x:t>
        </x:is>
      </x:c>
      <x:c r="R958" s="160" t="inlineStr">
        <x:is>
          <x:t xml:space="preserve">Add a reporting-quality bridge and normalize accounting noise before any gate can pass.</x:t>
        </x:is>
      </x:c>
      <x:c r="S958" s="160" t="inlineStr">
        <x:is>
          <x:t xml:space="preserve">NO</x:t>
        </x:is>
      </x:c>
      <x:c r="T958" s="160" t="inlineStr">
        <x:is>
          <x:t xml:space="preserve">MATURE</x:t>
        </x:is>
      </x:c>
      <x:c r="U958" s="160" t="inlineStr">
        <x:is>
          <x:t xml:space="preserve">V10.5-SIM82</x:t>
        </x:is>
      </x:c>
      <x:c r="V958" s="160" t="inlineStr">
        <x:is>
          <x:t xml:space="preserve">https://investors.paloaltonetworks.com</x:t>
        </x:is>
      </x:c>
      <x:c r="W958" s="160" t="inlineStr">
        <x:is>
          <x:t xml:space="preserve">NO</x:t>
        </x:is>
      </x:c>
      <x:c r="X958" s="160" t="inlineStr">
        <x:is>
          <x:t xml:space="preserve">NONE — DEVELOPMENT ONLY</x:t>
        </x:is>
      </x:c>
      <x:c r="Y958" s="160" t="inlineStr">
        <x:is>
          <x:t xml:space="preserve">Synthetic/adversarial model-development loop. No historical outcome is claimed; no accuracy point is awarded.</x:t>
        </x:is>
      </x:c>
    </x:row>
    <x:row r="959">
      <x:c r="A959" s="160" t="inlineStr">
        <x:is>
          <x:t xml:space="preserve">ML0954</x:t>
        </x:is>
      </x:c>
      <x:c r="B959" s="160" t="inlineStr">
        <x:is>
          <x:t xml:space="preserve">ARG-060</x:t>
        </x:is>
      </x:c>
      <x:c r="C959" s="160" t="inlineStr">
        <x:is>
          <x:t xml:space="preserve">Palo Alto Networks</x:t>
        </x:is>
      </x:c>
      <x:c r="D959" s="160" t="inlineStr">
        <x:is>
          <x:t xml:space="preserve">PANW</x:t>
        </x:is>
      </x:c>
      <x:c r="E959" s="160" t="inlineStr">
        <x:is>
          <x:t xml:space="preserve">Cybersecurity</x:t>
        </x:is>
      </x:c>
      <x:c r="F959" s="160" t="inlineStr">
        <x:is>
          <x:t xml:space="preserve">Development</x:t>
        </x:is>
      </x:c>
      <x:c r="G959" s="160" t="inlineStr">
        <x:is>
          <x:t xml:space="preserve">S10</x:t>
        </x:is>
      </x:c>
      <x:c r="H959" s="160" t="inlineStr">
        <x:is>
          <x:t xml:space="preserve">Control / Counterfactual</x:t>
        </x:is>
      </x:c>
      <x:c r="I959" s="160" t="inlineStr">
        <x:is>
          <x:t xml:space="preserve">Sector beta vs company alpha</x:t>
        </x:is>
      </x:c>
      <x:c r="J959" s="160" t="inlineStr">
        <x:is>
          <x:t xml:space="preserve">A positive outcome is mostly sector beta or macro tailwind, not company-specific alpha.</x:t>
        </x:is>
      </x:c>
      <x:c r="K959" s="160" t="inlineStr">
        <x:is>
          <x:t xml:space="preserve">ARR/platform attach/retention minus SBC and sales investment</x:t>
        </x:is>
      </x:c>
      <x:c r="L959" s="160" t="inlineStr">
        <x:is>
          <x:t xml:space="preserve">Owner earnings + reverse DCF</x:t>
        </x:is>
      </x:c>
      <x:c r="M959" s="160" t="inlineStr">
        <x:is>
          <x:t xml:space="preserve">NO PRODUCTION DECISION — STRESS TEST ONLY</x:t>
        </x:is>
      </x:c>
      <x:c r="N959" s="160" t="inlineStr">
        <x:is>
          <x:t xml:space="preserve">R-CF-01</x:t>
        </x:is>
      </x:c>
      <x:c r="O959" s="160" t="inlineStr">
        <x:is>
          <x:t xml:space="preserve">MATURE</x:t>
        </x:is>
      </x:c>
      <x:c r="P959" s="160" t="inlineStr">
        <x:is>
          <x:t xml:space="preserve">ROBUST</x:t>
        </x:is>
      </x:c>
      <x:c r="Q959" s="160" t="inlineStr">
        <x:is>
          <x:t xml:space="preserve">The mature simulation rule catches the stress without weakening a fatal gate; no rule relaxation is justified.</x:t>
        </x:is>
      </x:c>
      <x:c r="R959" s="160" t="inlineStr">
        <x:is>
          <x:t xml:space="preserve">Require a true economic control and counterfactual: what should have happened to a comparable company under the same shock?</x:t>
        </x:is>
      </x:c>
      <x:c r="S959" s="160" t="inlineStr">
        <x:is>
          <x:t xml:space="preserve">NO</x:t>
        </x:is>
      </x:c>
      <x:c r="T959" s="160" t="inlineStr">
        <x:is>
          <x:t xml:space="preserve">MATURE</x:t>
        </x:is>
      </x:c>
      <x:c r="U959" s="160" t="inlineStr">
        <x:is>
          <x:t xml:space="preserve">V10.5-SIM82</x:t>
        </x:is>
      </x:c>
      <x:c r="V959" s="160" t="inlineStr">
        <x:is>
          <x:t xml:space="preserve">https://investors.paloaltonetworks.com</x:t>
        </x:is>
      </x:c>
      <x:c r="W959" s="160" t="inlineStr">
        <x:is>
          <x:t xml:space="preserve">NO</x:t>
        </x:is>
      </x:c>
      <x:c r="X959" s="160" t="inlineStr">
        <x:is>
          <x:t xml:space="preserve">NONE — DEVELOPMENT ONLY</x:t>
        </x:is>
      </x:c>
      <x:c r="Y959" s="160" t="inlineStr">
        <x:is>
          <x:t xml:space="preserve">Synthetic/adversarial model-development loop. No historical outcome is claimed; no accuracy point is awarded.</x:t>
        </x:is>
      </x:c>
    </x:row>
    <x:row r="960">
      <x:c r="A960" s="160" t="inlineStr">
        <x:is>
          <x:t xml:space="preserve">ML0955</x:t>
        </x:is>
      </x:c>
      <x:c r="B960" s="160" t="inlineStr">
        <x:is>
          <x:t xml:space="preserve">ARG-060</x:t>
        </x:is>
      </x:c>
      <x:c r="C960" s="160" t="inlineStr">
        <x:is>
          <x:t xml:space="preserve">Palo Alto Networks</x:t>
        </x:is>
      </x:c>
      <x:c r="D960" s="160" t="inlineStr">
        <x:is>
          <x:t xml:space="preserve">PANW</x:t>
        </x:is>
      </x:c>
      <x:c r="E960" s="160" t="inlineStr">
        <x:is>
          <x:t xml:space="preserve">Cybersecurity</x:t>
        </x:is>
      </x:c>
      <x:c r="F960" s="160" t="inlineStr">
        <x:is>
          <x:t xml:space="preserve">Development</x:t>
        </x:is>
      </x:c>
      <x:c r="G960" s="160" t="inlineStr">
        <x:is>
          <x:t xml:space="preserve">S11</x:t>
        </x:is>
      </x:c>
      <x:c r="H960" s="160" t="inlineStr">
        <x:is>
          <x:t xml:space="preserve">False-Negative Discipline</x:t>
        </x:is>
      </x:c>
      <x:c r="I960" s="160" t="inlineStr">
        <x:is>
          <x:t xml:space="preserve">False negative</x:t>
        </x:is>
      </x:c>
      <x:c r="J960" s="160" t="inlineStr">
        <x:is>
          <x:t xml:space="preserve">A strict gate rejects a company that later compounds strongly for reasons the model could have known.</x:t>
        </x:is>
      </x:c>
      <x:c r="K960" s="160" t="inlineStr">
        <x:is>
          <x:t xml:space="preserve">ARR/platform attach/retention minus SBC and sales investment</x:t>
        </x:is>
      </x:c>
      <x:c r="L960" s="160" t="inlineStr">
        <x:is>
          <x:t xml:space="preserve">Owner earnings + reverse DCF</x:t>
        </x:is>
      </x:c>
      <x:c r="M960" s="160" t="inlineStr">
        <x:is>
          <x:t xml:space="preserve">NO PRODUCTION DECISION — STRESS TEST ONLY</x:t>
        </x:is>
      </x:c>
      <x:c r="N960" s="160" t="inlineStr">
        <x:is>
          <x:t xml:space="preserve">R-FN-01</x:t>
        </x:is>
      </x:c>
      <x:c r="O960" s="160" t="inlineStr">
        <x:is>
          <x:t xml:space="preserve">MATURE</x:t>
        </x:is>
      </x:c>
      <x:c r="P960" s="160" t="inlineStr">
        <x:is>
          <x:t xml:space="preserve">ROBUST</x:t>
        </x:is>
      </x:c>
      <x:c r="Q960" s="160" t="inlineStr">
        <x:is>
          <x:t xml:space="preserve">The mature simulation rule catches the stress without weakening a fatal gate; no rule relaxation is justified.</x:t>
        </x:is>
      </x:c>
      <x:c r="R960" s="160" t="inlineStr">
        <x:is>
          <x:t xml:space="preserve">Track opportunity cost and classify whether the miss came from evidence timing, wrong threshold or genuinely unknowable upside.</x:t>
        </x:is>
      </x:c>
      <x:c r="S960" s="160" t="inlineStr">
        <x:is>
          <x:t xml:space="preserve">NO</x:t>
        </x:is>
      </x:c>
      <x:c r="T960" s="160" t="inlineStr">
        <x:is>
          <x:t xml:space="preserve">MATURE</x:t>
        </x:is>
      </x:c>
      <x:c r="U960" s="160" t="inlineStr">
        <x:is>
          <x:t xml:space="preserve">V10.5-SIM82</x:t>
        </x:is>
      </x:c>
      <x:c r="V960" s="160" t="inlineStr">
        <x:is>
          <x:t xml:space="preserve">https://investors.paloaltonetworks.com</x:t>
        </x:is>
      </x:c>
      <x:c r="W960" s="160" t="inlineStr">
        <x:is>
          <x:t xml:space="preserve">NO</x:t>
        </x:is>
      </x:c>
      <x:c r="X960" s="160" t="inlineStr">
        <x:is>
          <x:t xml:space="preserve">NONE — DEVELOPMENT ONLY</x:t>
        </x:is>
      </x:c>
      <x:c r="Y960" s="160" t="inlineStr">
        <x:is>
          <x:t xml:space="preserve">Synthetic/adversarial model-development loop. No historical outcome is claimed; no accuracy point is awarded.</x:t>
        </x:is>
      </x:c>
    </x:row>
    <x:row r="961">
      <x:c r="A961" s="160" t="inlineStr">
        <x:is>
          <x:t xml:space="preserve">ML0956</x:t>
        </x:is>
      </x:c>
      <x:c r="B961" s="160" t="inlineStr">
        <x:is>
          <x:t xml:space="preserve">ARG-060</x:t>
        </x:is>
      </x:c>
      <x:c r="C961" s="160" t="inlineStr">
        <x:is>
          <x:t xml:space="preserve">Palo Alto Networks</x:t>
        </x:is>
      </x:c>
      <x:c r="D961" s="160" t="inlineStr">
        <x:is>
          <x:t xml:space="preserve">PANW</x:t>
        </x:is>
      </x:c>
      <x:c r="E961" s="160" t="inlineStr">
        <x:is>
          <x:t xml:space="preserve">Cybersecurity</x:t>
        </x:is>
      </x:c>
      <x:c r="F961" s="160" t="inlineStr">
        <x:is>
          <x:t xml:space="preserve">Development</x:t>
        </x:is>
      </x:c>
      <x:c r="G961" s="160" t="inlineStr">
        <x:is>
          <x:t xml:space="preserve">S12</x:t>
        </x:is>
      </x:c>
      <x:c r="H961" s="160" t="inlineStr">
        <x:is>
          <x:t xml:space="preserve">Lead-Time / Early Sensor</x:t>
        </x:is>
      </x:c>
      <x:c r="I961" s="160" t="inlineStr">
        <x:is>
          <x:t xml:space="preserve">Timing / lead-time</x:t>
        </x:is>
      </x:c>
      <x:c r="J961" s="160" t="inlineStr">
        <x:is>
          <x:t xml:space="preserve">ARGUS identifies the change correctly but only after consensus and price have already reacted.</x:t>
        </x:is>
      </x:c>
      <x:c r="K961" s="160" t="inlineStr">
        <x:is>
          <x:t xml:space="preserve">ARR/platform attach/retention minus SBC and sales investment</x:t>
        </x:is>
      </x:c>
      <x:c r="L961" s="160" t="inlineStr">
        <x:is>
          <x:t xml:space="preserve">Owner earnings + reverse DCF</x:t>
        </x:is>
      </x:c>
      <x:c r="M961" s="160" t="inlineStr">
        <x:is>
          <x:t xml:space="preserve">NO PRODUCTION DECISION — STRESS TEST ONLY</x:t>
        </x:is>
      </x:c>
      <x:c r="N961" s="160" t="inlineStr">
        <x:is>
          <x:t xml:space="preserve">R-TIME-01</x:t>
        </x:is>
      </x:c>
      <x:c r="O961" s="160" t="inlineStr">
        <x:is>
          <x:t xml:space="preserve">MATURE</x:t>
        </x:is>
      </x:c>
      <x:c r="P961" s="160" t="inlineStr">
        <x:is>
          <x:t xml:space="preserve">ROBUST</x:t>
        </x:is>
      </x:c>
      <x:c r="Q961" s="160" t="inlineStr">
        <x:is>
          <x:t xml:space="preserve">The mature simulation rule catches the stress without weakening a fatal gate; no rule relaxation is justified.</x:t>
        </x:is>
      </x:c>
      <x:c r="R961" s="160" t="inlineStr">
        <x:is>
          <x:t xml:space="preserve">Replace lagging financial metrics with earlier causal operating sensors and record lead time separately from correctness.</x:t>
        </x:is>
      </x:c>
      <x:c r="S961" s="160" t="inlineStr">
        <x:is>
          <x:t xml:space="preserve">NO</x:t>
        </x:is>
      </x:c>
      <x:c r="T961" s="160" t="inlineStr">
        <x:is>
          <x:t xml:space="preserve">MATURE</x:t>
        </x:is>
      </x:c>
      <x:c r="U961" s="160" t="inlineStr">
        <x:is>
          <x:t xml:space="preserve">V10.5-SIM82</x:t>
        </x:is>
      </x:c>
      <x:c r="V961" s="160" t="inlineStr">
        <x:is>
          <x:t xml:space="preserve">https://investors.paloaltonetworks.com</x:t>
        </x:is>
      </x:c>
      <x:c r="W961" s="160" t="inlineStr">
        <x:is>
          <x:t xml:space="preserve">NO</x:t>
        </x:is>
      </x:c>
      <x:c r="X961" s="160" t="inlineStr">
        <x:is>
          <x:t xml:space="preserve">NONE — DEVELOPMENT ONLY</x:t>
        </x:is>
      </x:c>
      <x:c r="Y961" s="160" t="inlineStr">
        <x:is>
          <x:t xml:space="preserve">Synthetic/adversarial model-development loop. No historical outcome is claimed; no accuracy point is awarded.</x:t>
        </x:is>
      </x:c>
    </x:row>
    <x:row r="962">
      <x:c r="A962" s="160" t="inlineStr">
        <x:is>
          <x:t xml:space="preserve">ML0957</x:t>
        </x:is>
      </x:c>
      <x:c r="B962" s="160" t="inlineStr">
        <x:is>
          <x:t xml:space="preserve">ARG-060</x:t>
        </x:is>
      </x:c>
      <x:c r="C962" s="160" t="inlineStr">
        <x:is>
          <x:t xml:space="preserve">Palo Alto Networks</x:t>
        </x:is>
      </x:c>
      <x:c r="D962" s="160" t="inlineStr">
        <x:is>
          <x:t xml:space="preserve">PANW</x:t>
        </x:is>
      </x:c>
      <x:c r="E962" s="160" t="inlineStr">
        <x:is>
          <x:t xml:space="preserve">Cybersecurity</x:t>
        </x:is>
      </x:c>
      <x:c r="F962" s="160" t="inlineStr">
        <x:is>
          <x:t xml:space="preserve">Development</x:t>
        </x:is>
      </x:c>
      <x:c r="G962" s="160" t="inlineStr">
        <x:is>
          <x:t xml:space="preserve">S13</x:t>
        </x:is>
      </x:c>
      <x:c r="H962" s="160" t="inlineStr">
        <x:is>
          <x:t xml:space="preserve">Cycle Normalization</x:t>
        </x:is>
      </x:c>
      <x:c r="I962" s="160" t="inlineStr">
        <x:is>
          <x:t xml:space="preserve">Wrong valuation lens</x:t>
        </x:is>
      </x:c>
      <x:c r="J962" s="160" t="inlineStr">
        <x:is>
          <x:t xml:space="preserve">Peak/trough earnings are mistaken for normalized earning power.</x:t>
        </x:is>
      </x:c>
      <x:c r="K962" s="160" t="inlineStr">
        <x:is>
          <x:t xml:space="preserve">ARR/platform attach/retention minus SBC and sales investment</x:t>
        </x:is>
      </x:c>
      <x:c r="L962" s="160" t="inlineStr">
        <x:is>
          <x:t xml:space="preserve">Owner earnings + reverse DCF</x:t>
        </x:is>
      </x:c>
      <x:c r="M962" s="160" t="inlineStr">
        <x:is>
          <x:t xml:space="preserve">NO PRODUCTION DECISION — STRESS TEST ONLY</x:t>
        </x:is>
      </x:c>
      <x:c r="N962" s="160" t="inlineStr">
        <x:is>
          <x:t xml:space="preserve">R-CYCLE-01</x:t>
        </x:is>
      </x:c>
      <x:c r="O962" s="160" t="inlineStr">
        <x:is>
          <x:t xml:space="preserve">MATURE</x:t>
        </x:is>
      </x:c>
      <x:c r="P962" s="160" t="inlineStr">
        <x:is>
          <x:t xml:space="preserve">ROBUST</x:t>
        </x:is>
      </x:c>
      <x:c r="Q962" s="160" t="inlineStr">
        <x:is>
          <x:t xml:space="preserve">The mature simulation rule catches the stress without weakening a fatal gate; no rule relaxation is justified.</x:t>
        </x:is>
      </x:c>
      <x:c r="R962" s="160" t="inlineStr">
        <x:is>
          <x:t xml:space="preserve">Use sector-specific mid-cycle/NAV/rate-base/rNPV normalization before applying a valuation multiple.</x:t>
        </x:is>
      </x:c>
      <x:c r="S962" s="160" t="inlineStr">
        <x:is>
          <x:t xml:space="preserve">NO</x:t>
        </x:is>
      </x:c>
      <x:c r="T962" s="160" t="inlineStr">
        <x:is>
          <x:t xml:space="preserve">MATURE</x:t>
        </x:is>
      </x:c>
      <x:c r="U962" s="160" t="inlineStr">
        <x:is>
          <x:t xml:space="preserve">V10.5-SIM82</x:t>
        </x:is>
      </x:c>
      <x:c r="V962" s="160" t="inlineStr">
        <x:is>
          <x:t xml:space="preserve">https://investors.paloaltonetworks.com</x:t>
        </x:is>
      </x:c>
      <x:c r="W962" s="160" t="inlineStr">
        <x:is>
          <x:t xml:space="preserve">NO</x:t>
        </x:is>
      </x:c>
      <x:c r="X962" s="160" t="inlineStr">
        <x:is>
          <x:t xml:space="preserve">NONE — DEVELOPMENT ONLY</x:t>
        </x:is>
      </x:c>
      <x:c r="Y962" s="160" t="inlineStr">
        <x:is>
          <x:t xml:space="preserve">Synthetic/adversarial model-development loop. No historical outcome is claimed; no accuracy point is awarded.</x:t>
        </x:is>
      </x:c>
    </x:row>
    <x:row r="963">
      <x:c r="A963" s="160" t="inlineStr">
        <x:is>
          <x:t xml:space="preserve">ML0958</x:t>
        </x:is>
      </x:c>
      <x:c r="B963" s="160" t="inlineStr">
        <x:is>
          <x:t xml:space="preserve">ARG-060</x:t>
        </x:is>
      </x:c>
      <x:c r="C963" s="160" t="inlineStr">
        <x:is>
          <x:t xml:space="preserve">Palo Alto Networks</x:t>
        </x:is>
      </x:c>
      <x:c r="D963" s="160" t="inlineStr">
        <x:is>
          <x:t xml:space="preserve">PANW</x:t>
        </x:is>
      </x:c>
      <x:c r="E963" s="160" t="inlineStr">
        <x:is>
          <x:t xml:space="preserve">Cybersecurity</x:t>
        </x:is>
      </x:c>
      <x:c r="F963" s="160" t="inlineStr">
        <x:is>
          <x:t xml:space="preserve">Development</x:t>
        </x:is>
      </x:c>
      <x:c r="G963" s="160" t="inlineStr">
        <x:is>
          <x:t xml:space="preserve">S14</x:t>
        </x:is>
      </x:c>
      <x:c r="H963" s="160" t="inlineStr">
        <x:is>
          <x:t xml:space="preserve">M&amp;A / Organic Growth Separation</x:t>
        </x:is>
      </x:c>
      <x:c r="I963" s="160" t="inlineStr">
        <x:is>
          <x:t xml:space="preserve">Stewardship</x:t>
        </x:is>
      </x:c>
      <x:c r="J963" s="160" t="inlineStr">
        <x:is>
          <x:t xml:space="preserve">Acquisition-driven growth masks weak organic economics or poor incremental ROIC.</x:t>
        </x:is>
      </x:c>
      <x:c r="K963" s="160" t="inlineStr">
        <x:is>
          <x:t xml:space="preserve">ARR/platform attach/retention minus SBC and sales investment</x:t>
        </x:is>
      </x:c>
      <x:c r="L963" s="160" t="inlineStr">
        <x:is>
          <x:t xml:space="preserve">Owner earnings + reverse DCF</x:t>
        </x:is>
      </x:c>
      <x:c r="M963" s="160" t="inlineStr">
        <x:is>
          <x:t xml:space="preserve">NO PRODUCTION DECISION — STRESS TEST ONLY</x:t>
        </x:is>
      </x:c>
      <x:c r="N963" s="160" t="inlineStr">
        <x:is>
          <x:t xml:space="preserve">R-MA-01</x:t>
        </x:is>
      </x:c>
      <x:c r="O963" s="160" t="inlineStr">
        <x:is>
          <x:t xml:space="preserve">MATURE</x:t>
        </x:is>
      </x:c>
      <x:c r="P963" s="160" t="inlineStr">
        <x:is>
          <x:t xml:space="preserve">ROBUST</x:t>
        </x:is>
      </x:c>
      <x:c r="Q963" s="160" t="inlineStr">
        <x:is>
          <x:t xml:space="preserve">The mature simulation rule catches the stress without weakening a fatal gate; no rule relaxation is justified.</x:t>
        </x:is>
      </x:c>
      <x:c r="R963" s="160" t="inlineStr">
        <x:is>
          <x:t xml:space="preserve">Bridge organic growth, acquired growth, purchase price, integration costs and acquisition-cohort ROIC.</x:t>
        </x:is>
      </x:c>
      <x:c r="S963" s="160" t="inlineStr">
        <x:is>
          <x:t xml:space="preserve">NO</x:t>
        </x:is>
      </x:c>
      <x:c r="T963" s="160" t="inlineStr">
        <x:is>
          <x:t xml:space="preserve">MATURE</x:t>
        </x:is>
      </x:c>
      <x:c r="U963" s="160" t="inlineStr">
        <x:is>
          <x:t xml:space="preserve">V10.5-SIM82</x:t>
        </x:is>
      </x:c>
      <x:c r="V963" s="160" t="inlineStr">
        <x:is>
          <x:t xml:space="preserve">https://investors.paloaltonetworks.com</x:t>
        </x:is>
      </x:c>
      <x:c r="W963" s="160" t="inlineStr">
        <x:is>
          <x:t xml:space="preserve">NO</x:t>
        </x:is>
      </x:c>
      <x:c r="X963" s="160" t="inlineStr">
        <x:is>
          <x:t xml:space="preserve">NONE — DEVELOPMENT ONLY</x:t>
        </x:is>
      </x:c>
      <x:c r="Y963" s="160" t="inlineStr">
        <x:is>
          <x:t xml:space="preserve">Synthetic/adversarial model-development loop. No historical outcome is claimed; no accuracy point is awarded.</x:t>
        </x:is>
      </x:c>
    </x:row>
    <x:row r="964">
      <x:c r="A964" s="160" t="inlineStr">
        <x:is>
          <x:t xml:space="preserve">ML0959</x:t>
        </x:is>
      </x:c>
      <x:c r="B964" s="160" t="inlineStr">
        <x:is>
          <x:t xml:space="preserve">ARG-060</x:t>
        </x:is>
      </x:c>
      <x:c r="C964" s="160" t="inlineStr">
        <x:is>
          <x:t xml:space="preserve">Palo Alto Networks</x:t>
        </x:is>
      </x:c>
      <x:c r="D964" s="160" t="inlineStr">
        <x:is>
          <x:t xml:space="preserve">PANW</x:t>
        </x:is>
      </x:c>
      <x:c r="E964" s="160" t="inlineStr">
        <x:is>
          <x:t xml:space="preserve">Cybersecurity</x:t>
        </x:is>
      </x:c>
      <x:c r="F964" s="160" t="inlineStr">
        <x:is>
          <x:t xml:space="preserve">Development</x:t>
        </x:is>
      </x:c>
      <x:c r="G964" s="160" t="inlineStr">
        <x:is>
          <x:t xml:space="preserve">S15</x:t>
        </x:is>
      </x:c>
      <x:c r="H964" s="160" t="inlineStr">
        <x:is>
          <x:t xml:space="preserve">Financing / Dilution Per Share</x:t>
        </x:is>
      </x:c>
      <x:c r="I964" s="160" t="inlineStr">
        <x:is>
          <x:t xml:space="preserve">Stewardship</x:t>
        </x:is>
      </x:c>
      <x:c r="J964" s="160" t="inlineStr">
        <x:is>
          <x:t xml:space="preserve">Cash balance or revenue growth improves while financing causes material per-share value leakage.</x:t>
        </x:is>
      </x:c>
      <x:c r="K964" s="160" t="inlineStr">
        <x:is>
          <x:t xml:space="preserve">ARR/platform attach/retention minus SBC and sales investment</x:t>
        </x:is>
      </x:c>
      <x:c r="L964" s="160" t="inlineStr">
        <x:is>
          <x:t xml:space="preserve">Owner earnings + reverse DCF</x:t>
        </x:is>
      </x:c>
      <x:c r="M964" s="160" t="inlineStr">
        <x:is>
          <x:t xml:space="preserve">NO PRODUCTION DECISION — STRESS TEST ONLY</x:t>
        </x:is>
      </x:c>
      <x:c r="N964" s="160" t="inlineStr">
        <x:is>
          <x:t xml:space="preserve">R-DIL-01</x:t>
        </x:is>
      </x:c>
      <x:c r="O964" s="160" t="inlineStr">
        <x:is>
          <x:t xml:space="preserve">MATURE</x:t>
        </x:is>
      </x:c>
      <x:c r="P964" s="160" t="inlineStr">
        <x:is>
          <x:t xml:space="preserve">ROBUST</x:t>
        </x:is>
      </x:c>
      <x:c r="Q964" s="160" t="inlineStr">
        <x:is>
          <x:t xml:space="preserve">The mature simulation rule catches the stress without weakening a fatal gate; no rule relaxation is justified.</x:t>
        </x:is>
      </x:c>
      <x:c r="R964" s="160" t="inlineStr">
        <x:is>
          <x:t xml:space="preserve">Reconcile share-count growth, SBC, equity issuance, buybacks and net cash changes to per-share intrinsic value.</x:t>
        </x:is>
      </x:c>
      <x:c r="S964" s="160" t="inlineStr">
        <x:is>
          <x:t xml:space="preserve">NO</x:t>
        </x:is>
      </x:c>
      <x:c r="T964" s="160" t="inlineStr">
        <x:is>
          <x:t xml:space="preserve">MATURE</x:t>
        </x:is>
      </x:c>
      <x:c r="U964" s="160" t="inlineStr">
        <x:is>
          <x:t xml:space="preserve">V10.5-SIM82</x:t>
        </x:is>
      </x:c>
      <x:c r="V964" s="160" t="inlineStr">
        <x:is>
          <x:t xml:space="preserve">https://investors.paloaltonetworks.com</x:t>
        </x:is>
      </x:c>
      <x:c r="W964" s="160" t="inlineStr">
        <x:is>
          <x:t xml:space="preserve">NO</x:t>
        </x:is>
      </x:c>
      <x:c r="X964" s="160" t="inlineStr">
        <x:is>
          <x:t xml:space="preserve">NONE — DEVELOPMENT ONLY</x:t>
        </x:is>
      </x:c>
      <x:c r="Y964" s="160" t="inlineStr">
        <x:is>
          <x:t xml:space="preserve">Synthetic/adversarial model-development loop. No historical outcome is claimed; no accuracy point is awarded.</x:t>
        </x:is>
      </x:c>
    </x:row>
    <x:row r="965">
      <x:c r="A965" s="160" t="inlineStr">
        <x:is>
          <x:t xml:space="preserve">ML0960</x:t>
        </x:is>
      </x:c>
      <x:c r="B965" s="160" t="inlineStr">
        <x:is>
          <x:t xml:space="preserve">ARG-060</x:t>
        </x:is>
      </x:c>
      <x:c r="C965" s="160" t="inlineStr">
        <x:is>
          <x:t xml:space="preserve">Palo Alto Networks</x:t>
        </x:is>
      </x:c>
      <x:c r="D965" s="160" t="inlineStr">
        <x:is>
          <x:t xml:space="preserve">PANW</x:t>
        </x:is>
      </x:c>
      <x:c r="E965" s="160" t="inlineStr">
        <x:is>
          <x:t xml:space="preserve">Cybersecurity</x:t>
        </x:is>
      </x:c>
      <x:c r="F965" s="160" t="inlineStr">
        <x:is>
          <x:t xml:space="preserve">Development</x:t>
        </x:is>
      </x:c>
      <x:c r="G965" s="160" t="inlineStr">
        <x:is>
          <x:t xml:space="preserve">S16</x:t>
        </x:is>
      </x:c>
      <x:c r="H965" s="160" t="inlineStr">
        <x:is>
          <x:t xml:space="preserve">Concentration / Tail Risk</x:t>
        </x:is>
      </x:c>
      <x:c r="I965" s="160" t="inlineStr">
        <x:is>
          <x:t xml:space="preserve">Survival</x:t>
        </x:is>
      </x:c>
      <x:c r="J965" s="160" t="inlineStr">
        <x:is>
          <x:t xml:space="preserve">A concentrated supplier, geography, customer, product, patent, regulatory or technology dependency creates asymmetric permanent-loss risk.</x:t>
        </x:is>
      </x:c>
      <x:c r="K965" s="160" t="inlineStr">
        <x:is>
          <x:t xml:space="preserve">ARR/platform attach/retention minus SBC and sales investment</x:t>
        </x:is>
      </x:c>
      <x:c r="L965" s="160" t="inlineStr">
        <x:is>
          <x:t xml:space="preserve">Owner earnings + reverse DCF</x:t>
        </x:is>
      </x:c>
      <x:c r="M965" s="160" t="inlineStr">
        <x:is>
          <x:t xml:space="preserve">NO PRODUCTION DECISION — STRESS TEST ONLY</x:t>
        </x:is>
      </x:c>
      <x:c r="N965" s="160" t="inlineStr">
        <x:is>
          <x:t xml:space="preserve">R-TAIL-01</x:t>
        </x:is>
      </x:c>
      <x:c r="O965" s="160" t="inlineStr">
        <x:is>
          <x:t xml:space="preserve">MATURE</x:t>
        </x:is>
      </x:c>
      <x:c r="P965" s="160" t="inlineStr">
        <x:is>
          <x:t xml:space="preserve">ROBUST</x:t>
        </x:is>
      </x:c>
      <x:c r="Q965" s="160" t="inlineStr">
        <x:is>
          <x:t xml:space="preserve">The mature simulation rule catches the stress without weakening a fatal gate; no rule relaxation is justified.</x:t>
        </x:is>
      </x:c>
      <x:c r="R965" s="160" t="inlineStr">
        <x:is>
          <x:t xml:space="preserve">Maintain an explicit concentration/tail-risk register with probability, severity, mitigation and required margin-of-safety premium.</x:t>
        </x:is>
      </x:c>
      <x:c r="S965" s="160" t="inlineStr">
        <x:is>
          <x:t xml:space="preserve">NO</x:t>
        </x:is>
      </x:c>
      <x:c r="T965" s="160" t="inlineStr">
        <x:is>
          <x:t xml:space="preserve">MATURE</x:t>
        </x:is>
      </x:c>
      <x:c r="U965" s="160" t="inlineStr">
        <x:is>
          <x:t xml:space="preserve">V10.5-SIM82</x:t>
        </x:is>
      </x:c>
      <x:c r="V965" s="160" t="inlineStr">
        <x:is>
          <x:t xml:space="preserve">https://investors.paloaltonetworks.com</x:t>
        </x:is>
      </x:c>
      <x:c r="W965" s="160" t="inlineStr">
        <x:is>
          <x:t xml:space="preserve">NO</x:t>
        </x:is>
      </x:c>
      <x:c r="X965" s="160" t="inlineStr">
        <x:is>
          <x:t xml:space="preserve">NONE — DEVELOPMENT ONLY</x:t>
        </x:is>
      </x:c>
      <x:c r="Y965" s="160" t="inlineStr">
        <x:is>
          <x:t xml:space="preserve">Synthetic/adversarial model-development loop. No historical outcome is claimed; no accuracy point is awarded.</x:t>
        </x:is>
      </x:c>
    </x:row>
    <x:row r="966">
      <x:c r="A966" s="160" t="inlineStr">
        <x:is>
          <x:t xml:space="preserve">ML0961</x:t>
        </x:is>
      </x:c>
      <x:c r="B966" s="160" t="inlineStr">
        <x:is>
          <x:t xml:space="preserve">ABSTRACT</x:t>
        </x:is>
      </x:c>
      <x:c r="C966" s="160" t="inlineStr">
        <x:is>
          <x:t xml:space="preserve">Asset-light compounder</x:t>
        </x:is>
      </x:c>
      <x:c r="D966" s="160" t="str"/>
      <x:c r="E966" s="160" t="inlineStr">
        <x:is>
          <x:t xml:space="preserve">Cross-sector</x:t>
        </x:is>
      </x:c>
      <x:c r="F966" s="160" t="inlineStr">
        <x:is>
          <x:t xml:space="preserve">Development — Abstract Control</x:t>
        </x:is>
      </x:c>
      <x:c r="G966" s="160" t="inlineStr">
        <x:is>
          <x:t xml:space="preserve">X01</x:t>
        </x:is>
      </x:c>
      <x:c r="H966" s="160" t="inlineStr">
        <x:is>
          <x:t xml:space="preserve">Quality × Price</x:t>
        </x:is>
      </x:c>
      <x:c r="I966" s="160" t="inlineStr">
        <x:is>
          <x:t xml:space="preserve">Rule interaction</x:t>
        </x:is>
      </x:c>
      <x:c r="J966" s="160" t="inlineStr">
        <x:is>
          <x:t xml:space="preserve">An elite business keeps compounding while valuation remains above conservative base-case IV.</x:t>
        </x:is>
      </x:c>
      <x:c r="K966" s="160" t="inlineStr">
        <x:is>
          <x:t xml:space="preserve">Abstract adversarial archetype; no real company or holdout data used.</x:t>
        </x:is>
      </x:c>
      <x:c r="L966" s="160" t="inlineStr">
        <x:is>
          <x:t xml:space="preserve">Cross-lens interaction stress test</x:t>
        </x:is>
      </x:c>
      <x:c r="M966" s="160" t="inlineStr">
        <x:is>
          <x:t xml:space="preserve">NO PRODUCTION DECISION — STRESS TEST ONLY</x:t>
        </x:is>
      </x:c>
      <x:c r="N966" s="160" t="inlineStr">
        <x:is>
          <x:t xml:space="preserve">R-X-QUALITY-PRICE</x:t>
        </x:is>
      </x:c>
      <x:c r="O966" s="160" t="inlineStr">
        <x:is>
          <x:t xml:space="preserve">UNFORMED</x:t>
        </x:is>
      </x:c>
      <x:c r="P966" s="160" t="inlineStr">
        <x:is>
          <x:t xml:space="preserve">FAILURE EXPOSED</x:t>
        </x:is>
      </x:c>
      <x:c r="Q966" s="160" t="inlineStr">
        <x:is>
          <x:t xml:space="preserve">Single-gate logic misses an interaction between two individually reasonable signals.</x:t>
        </x:is>
      </x:c>
      <x:c r="R966" s="160" t="inlineStr">
        <x:is>
          <x:t xml:space="preserve">Maintain two independent axes: Business Quality and Margin of Safety; never downgrade the engine merely because price is high.</x:t>
        </x:is>
      </x:c>
      <x:c r="S966" s="160" t="inlineStr">
        <x:is>
          <x:t xml:space="preserve">NO</x:t>
        </x:is>
      </x:c>
      <x:c r="T966" s="160" t="inlineStr">
        <x:is>
          <x:t xml:space="preserve">UNFORMED</x:t>
        </x:is>
      </x:c>
      <x:c r="U966" s="160" t="inlineStr">
        <x:is>
          <x:t xml:space="preserve">V10.5-SIM82</x:t>
        </x:is>
      </x:c>
      <x:c r="V966" s="160" t="inlineStr">
        <x:is>
          <x:t xml:space="preserve">Synthetic abstract control; no external company data</x:t>
        </x:is>
      </x:c>
      <x:c r="W966" s="160" t="inlineStr">
        <x:is>
          <x:t xml:space="preserve">NO</x:t>
        </x:is>
      </x:c>
      <x:c r="X966" s="160" t="inlineStr">
        <x:is>
          <x:t xml:space="preserve">NONE — NO VALIDATION/HOLDOUT COMPANY USED</x:t>
        </x:is>
      </x:c>
      <x:c r="Y966" s="160" t="inlineStr">
        <x:is>
          <x:t xml:space="preserve">Abstract cross-sector adversarial loop. Used only to test rule interactions; no historical or holdout outcome is claimed.</x:t>
        </x:is>
      </x:c>
    </x:row>
    <x:row r="967">
      <x:c r="A967" s="160" t="inlineStr">
        <x:is>
          <x:t xml:space="preserve">ML0962</x:t>
        </x:is>
      </x:c>
      <x:c r="B967" s="160" t="inlineStr">
        <x:is>
          <x:t xml:space="preserve">ABSTRACT</x:t>
        </x:is>
      </x:c>
      <x:c r="C967" s="160" t="inlineStr">
        <x:is>
          <x:t xml:space="preserve">Capital-intensive growth</x:t>
        </x:is>
      </x:c>
      <x:c r="D967" s="160" t="str"/>
      <x:c r="E967" s="160" t="inlineStr">
        <x:is>
          <x:t xml:space="preserve">Cross-sector</x:t>
        </x:is>
      </x:c>
      <x:c r="F967" s="160" t="inlineStr">
        <x:is>
          <x:t xml:space="preserve">Development — Abstract Control</x:t>
        </x:is>
      </x:c>
      <x:c r="G967" s="160" t="inlineStr">
        <x:is>
          <x:t xml:space="preserve">X01</x:t>
        </x:is>
      </x:c>
      <x:c r="H967" s="160" t="inlineStr">
        <x:is>
          <x:t xml:space="preserve">Quality × Price</x:t>
        </x:is>
      </x:c>
      <x:c r="I967" s="160" t="inlineStr">
        <x:is>
          <x:t xml:space="preserve">Rule interaction</x:t>
        </x:is>
      </x:c>
      <x:c r="J967" s="160" t="inlineStr">
        <x:is>
          <x:t xml:space="preserve">An elite business keeps compounding while valuation remains above conservative base-case IV.</x:t>
        </x:is>
      </x:c>
      <x:c r="K967" s="160" t="inlineStr">
        <x:is>
          <x:t xml:space="preserve">Abstract adversarial archetype; no real company or holdout data used.</x:t>
        </x:is>
      </x:c>
      <x:c r="L967" s="160" t="inlineStr">
        <x:is>
          <x:t xml:space="preserve">Cross-lens interaction stress test</x:t>
        </x:is>
      </x:c>
      <x:c r="M967" s="160" t="inlineStr">
        <x:is>
          <x:t xml:space="preserve">NO PRODUCTION DECISION — STRESS TEST ONLY</x:t>
        </x:is>
      </x:c>
      <x:c r="N967" s="160" t="inlineStr">
        <x:is>
          <x:t xml:space="preserve">R-X-QUALITY-PRICE</x:t>
        </x:is>
      </x:c>
      <x:c r="O967" s="160" t="inlineStr">
        <x:is>
          <x:t xml:space="preserve">UNFORMED</x:t>
        </x:is>
      </x:c>
      <x:c r="P967" s="160" t="inlineStr">
        <x:is>
          <x:t xml:space="preserve">FAILURE EXPOSED</x:t>
        </x:is>
      </x:c>
      <x:c r="Q967" s="160" t="inlineStr">
        <x:is>
          <x:t xml:space="preserve">Single-gate logic misses an interaction between two individually reasonable signals.</x:t>
        </x:is>
      </x:c>
      <x:c r="R967" s="160" t="inlineStr">
        <x:is>
          <x:t xml:space="preserve">Maintain two independent axes: Business Quality and Margin of Safety; never downgrade the engine merely because price is high.</x:t>
        </x:is>
      </x:c>
      <x:c r="S967" s="160" t="inlineStr">
        <x:is>
          <x:t xml:space="preserve">NO</x:t>
        </x:is>
      </x:c>
      <x:c r="T967" s="160" t="inlineStr">
        <x:is>
          <x:t xml:space="preserve">UNFORMED</x:t>
        </x:is>
      </x:c>
      <x:c r="U967" s="160" t="inlineStr">
        <x:is>
          <x:t xml:space="preserve">V10.5-SIM82</x:t>
        </x:is>
      </x:c>
      <x:c r="V967" s="160" t="inlineStr">
        <x:is>
          <x:t xml:space="preserve">Synthetic abstract control; no external company data</x:t>
        </x:is>
      </x:c>
      <x:c r="W967" s="160" t="inlineStr">
        <x:is>
          <x:t xml:space="preserve">NO</x:t>
        </x:is>
      </x:c>
      <x:c r="X967" s="160" t="inlineStr">
        <x:is>
          <x:t xml:space="preserve">NONE — NO VALIDATION/HOLDOUT COMPANY USED</x:t>
        </x:is>
      </x:c>
      <x:c r="Y967" s="160" t="inlineStr">
        <x:is>
          <x:t xml:space="preserve">Abstract cross-sector adversarial loop. Used only to test rule interactions; no historical or holdout outcome is claimed.</x:t>
        </x:is>
      </x:c>
    </x:row>
    <x:row r="968">
      <x:c r="A968" s="160" t="inlineStr">
        <x:is>
          <x:t xml:space="preserve">ML0963</x:t>
        </x:is>
      </x:c>
      <x:c r="B968" s="160" t="inlineStr">
        <x:is>
          <x:t xml:space="preserve">ABSTRACT</x:t>
        </x:is>
      </x:c>
      <x:c r="C968" s="160" t="inlineStr">
        <x:is>
          <x:t xml:space="preserve">Cyclical asset owner</x:t>
        </x:is>
      </x:c>
      <x:c r="D968" s="160" t="str"/>
      <x:c r="E968" s="160" t="inlineStr">
        <x:is>
          <x:t xml:space="preserve">Cross-sector</x:t>
        </x:is>
      </x:c>
      <x:c r="F968" s="160" t="inlineStr">
        <x:is>
          <x:t xml:space="preserve">Development — Abstract Control</x:t>
        </x:is>
      </x:c>
      <x:c r="G968" s="160" t="inlineStr">
        <x:is>
          <x:t xml:space="preserve">X01</x:t>
        </x:is>
      </x:c>
      <x:c r="H968" s="160" t="inlineStr">
        <x:is>
          <x:t xml:space="preserve">Quality × Price</x:t>
        </x:is>
      </x:c>
      <x:c r="I968" s="160" t="inlineStr">
        <x:is>
          <x:t xml:space="preserve">Rule interaction</x:t>
        </x:is>
      </x:c>
      <x:c r="J968" s="160" t="inlineStr">
        <x:is>
          <x:t xml:space="preserve">An elite business keeps compounding while valuation remains above conservative base-case IV.</x:t>
        </x:is>
      </x:c>
      <x:c r="K968" s="160" t="inlineStr">
        <x:is>
          <x:t xml:space="preserve">Abstract adversarial archetype; no real company or holdout data used.</x:t>
        </x:is>
      </x:c>
      <x:c r="L968" s="160" t="inlineStr">
        <x:is>
          <x:t xml:space="preserve">Cross-lens interaction stress test</x:t>
        </x:is>
      </x:c>
      <x:c r="M968" s="160" t="inlineStr">
        <x:is>
          <x:t xml:space="preserve">NO PRODUCTION DECISION — STRESS TEST ONLY</x:t>
        </x:is>
      </x:c>
      <x:c r="N968" s="160" t="inlineStr">
        <x:is>
          <x:t xml:space="preserve">R-X-QUALITY-PRICE</x:t>
        </x:is>
      </x:c>
      <x:c r="O968" s="160" t="inlineStr">
        <x:is>
          <x:t xml:space="preserve">UNFORMED</x:t>
        </x:is>
      </x:c>
      <x:c r="P968" s="160" t="inlineStr">
        <x:is>
          <x:t xml:space="preserve">FAILURE EXPOSED</x:t>
        </x:is>
      </x:c>
      <x:c r="Q968" s="160" t="inlineStr">
        <x:is>
          <x:t xml:space="preserve">Single-gate logic misses an interaction between two individually reasonable signals.</x:t>
        </x:is>
      </x:c>
      <x:c r="R968" s="160" t="inlineStr">
        <x:is>
          <x:t xml:space="preserve">Maintain two independent axes: Business Quality and Margin of Safety; never downgrade the engine merely because price is high.</x:t>
        </x:is>
      </x:c>
      <x:c r="S968" s="160" t="inlineStr">
        <x:is>
          <x:t xml:space="preserve">YES — SIMULATION ONLY</x:t>
        </x:is>
      </x:c>
      <x:c r="T968" s="160" t="inlineStr">
        <x:is>
          <x:t xml:space="preserve">INTERACTION STANDARD</x:t>
        </x:is>
      </x:c>
      <x:c r="U968" s="160" t="inlineStr">
        <x:is>
          <x:t xml:space="preserve">V10.5-SIM83</x:t>
        </x:is>
      </x:c>
      <x:c r="V968" s="160" t="inlineStr">
        <x:is>
          <x:t xml:space="preserve">Synthetic abstract control; no external company data</x:t>
        </x:is>
      </x:c>
      <x:c r="W968" s="160" t="inlineStr">
        <x:is>
          <x:t xml:space="preserve">NO</x:t>
        </x:is>
      </x:c>
      <x:c r="X968" s="160" t="inlineStr">
        <x:is>
          <x:t xml:space="preserve">NONE — NO VALIDATION/HOLDOUT COMPANY USED</x:t>
        </x:is>
      </x:c>
      <x:c r="Y968" s="160" t="inlineStr">
        <x:is>
          <x:t xml:space="preserve">Abstract cross-sector adversarial loop. Used only to test rule interactions; no historical or holdout outcome is claimed.</x:t>
        </x:is>
      </x:c>
    </x:row>
    <x:row r="969">
      <x:c r="A969" s="160" t="inlineStr">
        <x:is>
          <x:t xml:space="preserve">ML0964</x:t>
        </x:is>
      </x:c>
      <x:c r="B969" s="160" t="inlineStr">
        <x:is>
          <x:t xml:space="preserve">ABSTRACT</x:t>
        </x:is>
      </x:c>
      <x:c r="C969" s="160" t="inlineStr">
        <x:is>
          <x:t xml:space="preserve">Acquisition allocator</x:t>
        </x:is>
      </x:c>
      <x:c r="D969" s="160" t="str"/>
      <x:c r="E969" s="160" t="inlineStr">
        <x:is>
          <x:t xml:space="preserve">Cross-sector</x:t>
        </x:is>
      </x:c>
      <x:c r="F969" s="160" t="inlineStr">
        <x:is>
          <x:t xml:space="preserve">Development — Abstract Control</x:t>
        </x:is>
      </x:c>
      <x:c r="G969" s="160" t="inlineStr">
        <x:is>
          <x:t xml:space="preserve">X01</x:t>
        </x:is>
      </x:c>
      <x:c r="H969" s="160" t="inlineStr">
        <x:is>
          <x:t xml:space="preserve">Quality × Price</x:t>
        </x:is>
      </x:c>
      <x:c r="I969" s="160" t="inlineStr">
        <x:is>
          <x:t xml:space="preserve">Rule interaction</x:t>
        </x:is>
      </x:c>
      <x:c r="J969" s="160" t="inlineStr">
        <x:is>
          <x:t xml:space="preserve">An elite business keeps compounding while valuation remains above conservative base-case IV.</x:t>
        </x:is>
      </x:c>
      <x:c r="K969" s="160" t="inlineStr">
        <x:is>
          <x:t xml:space="preserve">Abstract adversarial archetype; no real company or holdout data used.</x:t>
        </x:is>
      </x:c>
      <x:c r="L969" s="160" t="inlineStr">
        <x:is>
          <x:t xml:space="preserve">Cross-lens interaction stress test</x:t>
        </x:is>
      </x:c>
      <x:c r="M969" s="160" t="inlineStr">
        <x:is>
          <x:t xml:space="preserve">NO PRODUCTION DECISION — STRESS TEST ONLY</x:t>
        </x:is>
      </x:c>
      <x:c r="N969" s="160" t="inlineStr">
        <x:is>
          <x:t xml:space="preserve">R-X-QUALITY-PRICE</x:t>
        </x:is>
      </x:c>
      <x:c r="O969" s="160" t="inlineStr">
        <x:is>
          <x:t xml:space="preserve">INTERACTION STANDARD</x:t>
        </x:is>
      </x:c>
      <x:c r="P969" s="160" t="inlineStr">
        <x:is>
          <x:t xml:space="preserve">PARTIAL CATCH</x:t>
        </x:is>
      </x:c>
      <x:c r="Q969" s="160" t="inlineStr">
        <x:is>
          <x:t xml:space="preserve">The interaction rule catches the core conflict; retain both gates and prevent one from overriding the other.</x:t>
        </x:is>
      </x:c>
      <x:c r="R969" s="160" t="inlineStr">
        <x:is>
          <x:t xml:space="preserve">Maintain two independent axes: Business Quality and Margin of Safety; never downgrade the engine merely because price is high.</x:t>
        </x:is>
      </x:c>
      <x:c r="S969" s="160" t="inlineStr">
        <x:is>
          <x:t xml:space="preserve">NO</x:t>
        </x:is>
      </x:c>
      <x:c r="T969" s="160" t="inlineStr">
        <x:is>
          <x:t xml:space="preserve">INTERACTION STANDARD</x:t>
        </x:is>
      </x:c>
      <x:c r="U969" s="160" t="inlineStr">
        <x:is>
          <x:t xml:space="preserve">V10.5-SIM83</x:t>
        </x:is>
      </x:c>
      <x:c r="V969" s="160" t="inlineStr">
        <x:is>
          <x:t xml:space="preserve">Synthetic abstract control; no external company data</x:t>
        </x:is>
      </x:c>
      <x:c r="W969" s="160" t="inlineStr">
        <x:is>
          <x:t xml:space="preserve">NO</x:t>
        </x:is>
      </x:c>
      <x:c r="X969" s="160" t="inlineStr">
        <x:is>
          <x:t xml:space="preserve">NONE — NO VALIDATION/HOLDOUT COMPANY USED</x:t>
        </x:is>
      </x:c>
      <x:c r="Y969" s="160" t="inlineStr">
        <x:is>
          <x:t xml:space="preserve">Abstract cross-sector adversarial loop. Used only to test rule interactions; no historical or holdout outcome is claimed.</x:t>
        </x:is>
      </x:c>
    </x:row>
    <x:row r="970">
      <x:c r="A970" s="160" t="inlineStr">
        <x:is>
          <x:t xml:space="preserve">ML0965</x:t>
        </x:is>
      </x:c>
      <x:c r="B970" s="160" t="inlineStr">
        <x:is>
          <x:t xml:space="preserve">ABSTRACT</x:t>
        </x:is>
      </x:c>
      <x:c r="C970" s="160" t="inlineStr">
        <x:is>
          <x:t xml:space="preserve">Asset-light compounder</x:t>
        </x:is>
      </x:c>
      <x:c r="D970" s="160" t="str"/>
      <x:c r="E970" s="160" t="inlineStr">
        <x:is>
          <x:t xml:space="preserve">Cross-sector</x:t>
        </x:is>
      </x:c>
      <x:c r="F970" s="160" t="inlineStr">
        <x:is>
          <x:t xml:space="preserve">Development — Abstract Control</x:t>
        </x:is>
      </x:c>
      <x:c r="G970" s="160" t="inlineStr">
        <x:is>
          <x:t xml:space="preserve">X02</x:t>
        </x:is>
      </x:c>
      <x:c r="H970" s="160" t="inlineStr">
        <x:is>
          <x:t xml:space="preserve">Growth × Dilution</x:t>
        </x:is>
      </x:c>
      <x:c r="I970" s="160" t="inlineStr">
        <x:is>
          <x:t xml:space="preserve">Rule interaction</x:t>
        </x:is>
      </x:c>
      <x:c r="J970" s="160" t="inlineStr">
        <x:is>
          <x:t xml:space="preserve">Revenue and strategic milestones rise while share count/SBC/equity issuance absorbs owner value.</x:t>
        </x:is>
      </x:c>
      <x:c r="K970" s="160" t="inlineStr">
        <x:is>
          <x:t xml:space="preserve">Abstract adversarial archetype; no real company or holdout data used.</x:t>
        </x:is>
      </x:c>
      <x:c r="L970" s="160" t="inlineStr">
        <x:is>
          <x:t xml:space="preserve">Cross-lens interaction stress test</x:t>
        </x:is>
      </x:c>
      <x:c r="M970" s="160" t="inlineStr">
        <x:is>
          <x:t xml:space="preserve">NO PRODUCTION DECISION — STRESS TEST ONLY</x:t>
        </x:is>
      </x:c>
      <x:c r="N970" s="160" t="inlineStr">
        <x:is>
          <x:t xml:space="preserve">R-X-GROWTH-DILUTION</x:t>
        </x:is>
      </x:c>
      <x:c r="O970" s="160" t="inlineStr">
        <x:is>
          <x:t xml:space="preserve">UNFORMED</x:t>
        </x:is>
      </x:c>
      <x:c r="P970" s="160" t="inlineStr">
        <x:is>
          <x:t xml:space="preserve">FAILURE EXPOSED</x:t>
        </x:is>
      </x:c>
      <x:c r="Q970" s="160" t="inlineStr">
        <x:is>
          <x:t xml:space="preserve">Single-gate logic misses an interaction between two individually reasonable signals.</x:t>
        </x:is>
      </x:c>
      <x:c r="R970" s="160" t="inlineStr">
        <x:is>
          <x:t xml:space="preserve">Make per-share IV growth—not enterprise growth—the final Stewardship/Owner-Earnings bridge.</x:t>
        </x:is>
      </x:c>
      <x:c r="S970" s="160" t="inlineStr">
        <x:is>
          <x:t xml:space="preserve">NO</x:t>
        </x:is>
      </x:c>
      <x:c r="T970" s="160" t="inlineStr">
        <x:is>
          <x:t xml:space="preserve">UNFORMED</x:t>
        </x:is>
      </x:c>
      <x:c r="U970" s="160" t="inlineStr">
        <x:is>
          <x:t xml:space="preserve">V10.5-SIM83</x:t>
        </x:is>
      </x:c>
      <x:c r="V970" s="160" t="inlineStr">
        <x:is>
          <x:t xml:space="preserve">Synthetic abstract control; no external company data</x:t>
        </x:is>
      </x:c>
      <x:c r="W970" s="160" t="inlineStr">
        <x:is>
          <x:t xml:space="preserve">NO</x:t>
        </x:is>
      </x:c>
      <x:c r="X970" s="160" t="inlineStr">
        <x:is>
          <x:t xml:space="preserve">NONE — NO VALIDATION/HOLDOUT COMPANY USED</x:t>
        </x:is>
      </x:c>
      <x:c r="Y970" s="160" t="inlineStr">
        <x:is>
          <x:t xml:space="preserve">Abstract cross-sector adversarial loop. Used only to test rule interactions; no historical or holdout outcome is claimed.</x:t>
        </x:is>
      </x:c>
    </x:row>
    <x:row r="971">
      <x:c r="A971" s="160" t="inlineStr">
        <x:is>
          <x:t xml:space="preserve">ML0966</x:t>
        </x:is>
      </x:c>
      <x:c r="B971" s="160" t="inlineStr">
        <x:is>
          <x:t xml:space="preserve">ABSTRACT</x:t>
        </x:is>
      </x:c>
      <x:c r="C971" s="160" t="inlineStr">
        <x:is>
          <x:t xml:space="preserve">Capital-intensive growth</x:t>
        </x:is>
      </x:c>
      <x:c r="D971" s="160" t="str"/>
      <x:c r="E971" s="160" t="inlineStr">
        <x:is>
          <x:t xml:space="preserve">Cross-sector</x:t>
        </x:is>
      </x:c>
      <x:c r="F971" s="160" t="inlineStr">
        <x:is>
          <x:t xml:space="preserve">Development — Abstract Control</x:t>
        </x:is>
      </x:c>
      <x:c r="G971" s="160" t="inlineStr">
        <x:is>
          <x:t xml:space="preserve">X02</x:t>
        </x:is>
      </x:c>
      <x:c r="H971" s="160" t="inlineStr">
        <x:is>
          <x:t xml:space="preserve">Growth × Dilution</x:t>
        </x:is>
      </x:c>
      <x:c r="I971" s="160" t="inlineStr">
        <x:is>
          <x:t xml:space="preserve">Rule interaction</x:t>
        </x:is>
      </x:c>
      <x:c r="J971" s="160" t="inlineStr">
        <x:is>
          <x:t xml:space="preserve">Revenue and strategic milestones rise while share count/SBC/equity issuance absorbs owner value.</x:t>
        </x:is>
      </x:c>
      <x:c r="K971" s="160" t="inlineStr">
        <x:is>
          <x:t xml:space="preserve">Abstract adversarial archetype; no real company or holdout data used.</x:t>
        </x:is>
      </x:c>
      <x:c r="L971" s="160" t="inlineStr">
        <x:is>
          <x:t xml:space="preserve">Cross-lens interaction stress test</x:t>
        </x:is>
      </x:c>
      <x:c r="M971" s="160" t="inlineStr">
        <x:is>
          <x:t xml:space="preserve">NO PRODUCTION DECISION — STRESS TEST ONLY</x:t>
        </x:is>
      </x:c>
      <x:c r="N971" s="160" t="inlineStr">
        <x:is>
          <x:t xml:space="preserve">R-X-GROWTH-DILUTION</x:t>
        </x:is>
      </x:c>
      <x:c r="O971" s="160" t="inlineStr">
        <x:is>
          <x:t xml:space="preserve">UNFORMED</x:t>
        </x:is>
      </x:c>
      <x:c r="P971" s="160" t="inlineStr">
        <x:is>
          <x:t xml:space="preserve">FAILURE EXPOSED</x:t>
        </x:is>
      </x:c>
      <x:c r="Q971" s="160" t="inlineStr">
        <x:is>
          <x:t xml:space="preserve">Single-gate logic misses an interaction between two individually reasonable signals.</x:t>
        </x:is>
      </x:c>
      <x:c r="R971" s="160" t="inlineStr">
        <x:is>
          <x:t xml:space="preserve">Make per-share IV growth—not enterprise growth—the final Stewardship/Owner-Earnings bridge.</x:t>
        </x:is>
      </x:c>
      <x:c r="S971" s="160" t="inlineStr">
        <x:is>
          <x:t xml:space="preserve">NO</x:t>
        </x:is>
      </x:c>
      <x:c r="T971" s="160" t="inlineStr">
        <x:is>
          <x:t xml:space="preserve">UNFORMED</x:t>
        </x:is>
      </x:c>
      <x:c r="U971" s="160" t="inlineStr">
        <x:is>
          <x:t xml:space="preserve">V10.5-SIM83</x:t>
        </x:is>
      </x:c>
      <x:c r="V971" s="160" t="inlineStr">
        <x:is>
          <x:t xml:space="preserve">Synthetic abstract control; no external company data</x:t>
        </x:is>
      </x:c>
      <x:c r="W971" s="160" t="inlineStr">
        <x:is>
          <x:t xml:space="preserve">NO</x:t>
        </x:is>
      </x:c>
      <x:c r="X971" s="160" t="inlineStr">
        <x:is>
          <x:t xml:space="preserve">NONE — NO VALIDATION/HOLDOUT COMPANY USED</x:t>
        </x:is>
      </x:c>
      <x:c r="Y971" s="160" t="inlineStr">
        <x:is>
          <x:t xml:space="preserve">Abstract cross-sector adversarial loop. Used only to test rule interactions; no historical or holdout outcome is claimed.</x:t>
        </x:is>
      </x:c>
    </x:row>
    <x:row r="972">
      <x:c r="A972" s="160" t="inlineStr">
        <x:is>
          <x:t xml:space="preserve">ML0967</x:t>
        </x:is>
      </x:c>
      <x:c r="B972" s="160" t="inlineStr">
        <x:is>
          <x:t xml:space="preserve">ABSTRACT</x:t>
        </x:is>
      </x:c>
      <x:c r="C972" s="160" t="inlineStr">
        <x:is>
          <x:t xml:space="preserve">Cyclical asset owner</x:t>
        </x:is>
      </x:c>
      <x:c r="D972" s="160" t="str"/>
      <x:c r="E972" s="160" t="inlineStr">
        <x:is>
          <x:t xml:space="preserve">Cross-sector</x:t>
        </x:is>
      </x:c>
      <x:c r="F972" s="160" t="inlineStr">
        <x:is>
          <x:t xml:space="preserve">Development — Abstract Control</x:t>
        </x:is>
      </x:c>
      <x:c r="G972" s="160" t="inlineStr">
        <x:is>
          <x:t xml:space="preserve">X02</x:t>
        </x:is>
      </x:c>
      <x:c r="H972" s="160" t="inlineStr">
        <x:is>
          <x:t xml:space="preserve">Growth × Dilution</x:t>
        </x:is>
      </x:c>
      <x:c r="I972" s="160" t="inlineStr">
        <x:is>
          <x:t xml:space="preserve">Rule interaction</x:t>
        </x:is>
      </x:c>
      <x:c r="J972" s="160" t="inlineStr">
        <x:is>
          <x:t xml:space="preserve">Revenue and strategic milestones rise while share count/SBC/equity issuance absorbs owner value.</x:t>
        </x:is>
      </x:c>
      <x:c r="K972" s="160" t="inlineStr">
        <x:is>
          <x:t xml:space="preserve">Abstract adversarial archetype; no real company or holdout data used.</x:t>
        </x:is>
      </x:c>
      <x:c r="L972" s="160" t="inlineStr">
        <x:is>
          <x:t xml:space="preserve">Cross-lens interaction stress test</x:t>
        </x:is>
      </x:c>
      <x:c r="M972" s="160" t="inlineStr">
        <x:is>
          <x:t xml:space="preserve">NO PRODUCTION DECISION — STRESS TEST ONLY</x:t>
        </x:is>
      </x:c>
      <x:c r="N972" s="160" t="inlineStr">
        <x:is>
          <x:t xml:space="preserve">R-X-GROWTH-DILUTION</x:t>
        </x:is>
      </x:c>
      <x:c r="O972" s="160" t="inlineStr">
        <x:is>
          <x:t xml:space="preserve">UNFORMED</x:t>
        </x:is>
      </x:c>
      <x:c r="P972" s="160" t="inlineStr">
        <x:is>
          <x:t xml:space="preserve">FAILURE EXPOSED</x:t>
        </x:is>
      </x:c>
      <x:c r="Q972" s="160" t="inlineStr">
        <x:is>
          <x:t xml:space="preserve">Single-gate logic misses an interaction between two individually reasonable signals.</x:t>
        </x:is>
      </x:c>
      <x:c r="R972" s="160" t="inlineStr">
        <x:is>
          <x:t xml:space="preserve">Make per-share IV growth—not enterprise growth—the final Stewardship/Owner-Earnings bridge.</x:t>
        </x:is>
      </x:c>
      <x:c r="S972" s="160" t="inlineStr">
        <x:is>
          <x:t xml:space="preserve">YES — SIMULATION ONLY</x:t>
        </x:is>
      </x:c>
      <x:c r="T972" s="160" t="inlineStr">
        <x:is>
          <x:t xml:space="preserve">INTERACTION STANDARD</x:t>
        </x:is>
      </x:c>
      <x:c r="U972" s="160" t="inlineStr">
        <x:is>
          <x:t xml:space="preserve">V10.5-SIM84</x:t>
        </x:is>
      </x:c>
      <x:c r="V972" s="160" t="inlineStr">
        <x:is>
          <x:t xml:space="preserve">Synthetic abstract control; no external company data</x:t>
        </x:is>
      </x:c>
      <x:c r="W972" s="160" t="inlineStr">
        <x:is>
          <x:t xml:space="preserve">NO</x:t>
        </x:is>
      </x:c>
      <x:c r="X972" s="160" t="inlineStr">
        <x:is>
          <x:t xml:space="preserve">NONE — NO VALIDATION/HOLDOUT COMPANY USED</x:t>
        </x:is>
      </x:c>
      <x:c r="Y972" s="160" t="inlineStr">
        <x:is>
          <x:t xml:space="preserve">Abstract cross-sector adversarial loop. Used only to test rule interactions; no historical or holdout outcome is claimed.</x:t>
        </x:is>
      </x:c>
    </x:row>
    <x:row r="973">
      <x:c r="A973" s="160" t="inlineStr">
        <x:is>
          <x:t xml:space="preserve">ML0968</x:t>
        </x:is>
      </x:c>
      <x:c r="B973" s="160" t="inlineStr">
        <x:is>
          <x:t xml:space="preserve">ABSTRACT</x:t>
        </x:is>
      </x:c>
      <x:c r="C973" s="160" t="inlineStr">
        <x:is>
          <x:t xml:space="preserve">Acquisition allocator</x:t>
        </x:is>
      </x:c>
      <x:c r="D973" s="160" t="str"/>
      <x:c r="E973" s="160" t="inlineStr">
        <x:is>
          <x:t xml:space="preserve">Cross-sector</x:t>
        </x:is>
      </x:c>
      <x:c r="F973" s="160" t="inlineStr">
        <x:is>
          <x:t xml:space="preserve">Development — Abstract Control</x:t>
        </x:is>
      </x:c>
      <x:c r="G973" s="160" t="inlineStr">
        <x:is>
          <x:t xml:space="preserve">X02</x:t>
        </x:is>
      </x:c>
      <x:c r="H973" s="160" t="inlineStr">
        <x:is>
          <x:t xml:space="preserve">Growth × Dilution</x:t>
        </x:is>
      </x:c>
      <x:c r="I973" s="160" t="inlineStr">
        <x:is>
          <x:t xml:space="preserve">Rule interaction</x:t>
        </x:is>
      </x:c>
      <x:c r="J973" s="160" t="inlineStr">
        <x:is>
          <x:t xml:space="preserve">Revenue and strategic milestones rise while share count/SBC/equity issuance absorbs owner value.</x:t>
        </x:is>
      </x:c>
      <x:c r="K973" s="160" t="inlineStr">
        <x:is>
          <x:t xml:space="preserve">Abstract adversarial archetype; no real company or holdout data used.</x:t>
        </x:is>
      </x:c>
      <x:c r="L973" s="160" t="inlineStr">
        <x:is>
          <x:t xml:space="preserve">Cross-lens interaction stress test</x:t>
        </x:is>
      </x:c>
      <x:c r="M973" s="160" t="inlineStr">
        <x:is>
          <x:t xml:space="preserve">NO PRODUCTION DECISION — STRESS TEST ONLY</x:t>
        </x:is>
      </x:c>
      <x:c r="N973" s="160" t="inlineStr">
        <x:is>
          <x:t xml:space="preserve">R-X-GROWTH-DILUTION</x:t>
        </x:is>
      </x:c>
      <x:c r="O973" s="160" t="inlineStr">
        <x:is>
          <x:t xml:space="preserve">INTERACTION STANDARD</x:t>
        </x:is>
      </x:c>
      <x:c r="P973" s="160" t="inlineStr">
        <x:is>
          <x:t xml:space="preserve">PARTIAL CATCH</x:t>
        </x:is>
      </x:c>
      <x:c r="Q973" s="160" t="inlineStr">
        <x:is>
          <x:t xml:space="preserve">The interaction rule catches the core conflict; retain both gates and prevent one from overriding the other.</x:t>
        </x:is>
      </x:c>
      <x:c r="R973" s="160" t="inlineStr">
        <x:is>
          <x:t xml:space="preserve">Make per-share IV growth—not enterprise growth—the final Stewardship/Owner-Earnings bridge.</x:t>
        </x:is>
      </x:c>
      <x:c r="S973" s="160" t="inlineStr">
        <x:is>
          <x:t xml:space="preserve">NO</x:t>
        </x:is>
      </x:c>
      <x:c r="T973" s="160" t="inlineStr">
        <x:is>
          <x:t xml:space="preserve">INTERACTION STANDARD</x:t>
        </x:is>
      </x:c>
      <x:c r="U973" s="160" t="inlineStr">
        <x:is>
          <x:t xml:space="preserve">V10.5-SIM84</x:t>
        </x:is>
      </x:c>
      <x:c r="V973" s="160" t="inlineStr">
        <x:is>
          <x:t xml:space="preserve">Synthetic abstract control; no external company data</x:t>
        </x:is>
      </x:c>
      <x:c r="W973" s="160" t="inlineStr">
        <x:is>
          <x:t xml:space="preserve">NO</x:t>
        </x:is>
      </x:c>
      <x:c r="X973" s="160" t="inlineStr">
        <x:is>
          <x:t xml:space="preserve">NONE — NO VALIDATION/HOLDOUT COMPANY USED</x:t>
        </x:is>
      </x:c>
      <x:c r="Y973" s="160" t="inlineStr">
        <x:is>
          <x:t xml:space="preserve">Abstract cross-sector adversarial loop. Used only to test rule interactions; no historical or holdout outcome is claimed.</x:t>
        </x:is>
      </x:c>
    </x:row>
    <x:row r="974">
      <x:c r="A974" s="160" t="inlineStr">
        <x:is>
          <x:t xml:space="preserve">ML0969</x:t>
        </x:is>
      </x:c>
      <x:c r="B974" s="160" t="inlineStr">
        <x:is>
          <x:t xml:space="preserve">ABSTRACT</x:t>
        </x:is>
      </x:c>
      <x:c r="C974" s="160" t="inlineStr">
        <x:is>
          <x:t xml:space="preserve">Asset-light compounder</x:t>
        </x:is>
      </x:c>
      <x:c r="D974" s="160" t="str"/>
      <x:c r="E974" s="160" t="inlineStr">
        <x:is>
          <x:t xml:space="preserve">Cross-sector</x:t>
        </x:is>
      </x:c>
      <x:c r="F974" s="160" t="inlineStr">
        <x:is>
          <x:t xml:space="preserve">Development — Abstract Control</x:t>
        </x:is>
      </x:c>
      <x:c r="G974" s="160" t="inlineStr">
        <x:is>
          <x:t xml:space="preserve">X03</x:t>
        </x:is>
      </x:c>
      <x:c r="H974" s="160" t="inlineStr">
        <x:is>
          <x:t xml:space="preserve">M&amp;A × Organic</x:t>
        </x:is>
      </x:c>
      <x:c r="I974" s="160" t="inlineStr">
        <x:is>
          <x:t xml:space="preserve">Rule interaction</x:t>
        </x:is>
      </x:c>
      <x:c r="J974" s="160" t="inlineStr">
        <x:is>
          <x:t xml:space="preserve">Reported growth accelerates after acquisitions while organic retention/margins weaken.</x:t>
        </x:is>
      </x:c>
      <x:c r="K974" s="160" t="inlineStr">
        <x:is>
          <x:t xml:space="preserve">Abstract adversarial archetype; no real company or holdout data used.</x:t>
        </x:is>
      </x:c>
      <x:c r="L974" s="160" t="inlineStr">
        <x:is>
          <x:t xml:space="preserve">Cross-lens interaction stress test</x:t>
        </x:is>
      </x:c>
      <x:c r="M974" s="160" t="inlineStr">
        <x:is>
          <x:t xml:space="preserve">NO PRODUCTION DECISION — STRESS TEST ONLY</x:t>
        </x:is>
      </x:c>
      <x:c r="N974" s="160" t="inlineStr">
        <x:is>
          <x:t xml:space="preserve">R-X-MA-ORGANIC</x:t>
        </x:is>
      </x:c>
      <x:c r="O974" s="160" t="inlineStr">
        <x:is>
          <x:t xml:space="preserve">UNFORMED</x:t>
        </x:is>
      </x:c>
      <x:c r="P974" s="160" t="inlineStr">
        <x:is>
          <x:t xml:space="preserve">FAILURE EXPOSED</x:t>
        </x:is>
      </x:c>
      <x:c r="Q974" s="160" t="inlineStr">
        <x:is>
          <x:t xml:space="preserve">Single-gate logic misses an interaction between two individually reasonable signals.</x:t>
        </x:is>
      </x:c>
      <x:c r="R974" s="160" t="inlineStr">
        <x:is>
          <x:t xml:space="preserve">Require acquisition-cohort ROIC plus organic growth bridge before acquired growth can support moat or IV.</x:t>
        </x:is>
      </x:c>
      <x:c r="S974" s="160" t="inlineStr">
        <x:is>
          <x:t xml:space="preserve">NO</x:t>
        </x:is>
      </x:c>
      <x:c r="T974" s="160" t="inlineStr">
        <x:is>
          <x:t xml:space="preserve">UNFORMED</x:t>
        </x:is>
      </x:c>
      <x:c r="U974" s="160" t="inlineStr">
        <x:is>
          <x:t xml:space="preserve">V10.5-SIM84</x:t>
        </x:is>
      </x:c>
      <x:c r="V974" s="160" t="inlineStr">
        <x:is>
          <x:t xml:space="preserve">Synthetic abstract control; no external company data</x:t>
        </x:is>
      </x:c>
      <x:c r="W974" s="160" t="inlineStr">
        <x:is>
          <x:t xml:space="preserve">NO</x:t>
        </x:is>
      </x:c>
      <x:c r="X974" s="160" t="inlineStr">
        <x:is>
          <x:t xml:space="preserve">NONE — NO VALIDATION/HOLDOUT COMPANY USED</x:t>
        </x:is>
      </x:c>
      <x:c r="Y974" s="160" t="inlineStr">
        <x:is>
          <x:t xml:space="preserve">Abstract cross-sector adversarial loop. Used only to test rule interactions; no historical or holdout outcome is claimed.</x:t>
        </x:is>
      </x:c>
    </x:row>
    <x:row r="975">
      <x:c r="A975" s="160" t="inlineStr">
        <x:is>
          <x:t xml:space="preserve">ML0970</x:t>
        </x:is>
      </x:c>
      <x:c r="B975" s="160" t="inlineStr">
        <x:is>
          <x:t xml:space="preserve">ABSTRACT</x:t>
        </x:is>
      </x:c>
      <x:c r="C975" s="160" t="inlineStr">
        <x:is>
          <x:t xml:space="preserve">Capital-intensive growth</x:t>
        </x:is>
      </x:c>
      <x:c r="D975" s="160" t="str"/>
      <x:c r="E975" s="160" t="inlineStr">
        <x:is>
          <x:t xml:space="preserve">Cross-sector</x:t>
        </x:is>
      </x:c>
      <x:c r="F975" s="160" t="inlineStr">
        <x:is>
          <x:t xml:space="preserve">Development — Abstract Control</x:t>
        </x:is>
      </x:c>
      <x:c r="G975" s="160" t="inlineStr">
        <x:is>
          <x:t xml:space="preserve">X03</x:t>
        </x:is>
      </x:c>
      <x:c r="H975" s="160" t="inlineStr">
        <x:is>
          <x:t xml:space="preserve">M&amp;A × Organic</x:t>
        </x:is>
      </x:c>
      <x:c r="I975" s="160" t="inlineStr">
        <x:is>
          <x:t xml:space="preserve">Rule interaction</x:t>
        </x:is>
      </x:c>
      <x:c r="J975" s="160" t="inlineStr">
        <x:is>
          <x:t xml:space="preserve">Reported growth accelerates after acquisitions while organic retention/margins weaken.</x:t>
        </x:is>
      </x:c>
      <x:c r="K975" s="160" t="inlineStr">
        <x:is>
          <x:t xml:space="preserve">Abstract adversarial archetype; no real company or holdout data used.</x:t>
        </x:is>
      </x:c>
      <x:c r="L975" s="160" t="inlineStr">
        <x:is>
          <x:t xml:space="preserve">Cross-lens interaction stress test</x:t>
        </x:is>
      </x:c>
      <x:c r="M975" s="160" t="inlineStr">
        <x:is>
          <x:t xml:space="preserve">NO PRODUCTION DECISION — STRESS TEST ONLY</x:t>
        </x:is>
      </x:c>
      <x:c r="N975" s="160" t="inlineStr">
        <x:is>
          <x:t xml:space="preserve">R-X-MA-ORGANIC</x:t>
        </x:is>
      </x:c>
      <x:c r="O975" s="160" t="inlineStr">
        <x:is>
          <x:t xml:space="preserve">UNFORMED</x:t>
        </x:is>
      </x:c>
      <x:c r="P975" s="160" t="inlineStr">
        <x:is>
          <x:t xml:space="preserve">FAILURE EXPOSED</x:t>
        </x:is>
      </x:c>
      <x:c r="Q975" s="160" t="inlineStr">
        <x:is>
          <x:t xml:space="preserve">Single-gate logic misses an interaction between two individually reasonable signals.</x:t>
        </x:is>
      </x:c>
      <x:c r="R975" s="160" t="inlineStr">
        <x:is>
          <x:t xml:space="preserve">Require acquisition-cohort ROIC plus organic growth bridge before acquired growth can support moat or IV.</x:t>
        </x:is>
      </x:c>
      <x:c r="S975" s="160" t="inlineStr">
        <x:is>
          <x:t xml:space="preserve">NO</x:t>
        </x:is>
      </x:c>
      <x:c r="T975" s="160" t="inlineStr">
        <x:is>
          <x:t xml:space="preserve">UNFORMED</x:t>
        </x:is>
      </x:c>
      <x:c r="U975" s="160" t="inlineStr">
        <x:is>
          <x:t xml:space="preserve">V10.5-SIM84</x:t>
        </x:is>
      </x:c>
      <x:c r="V975" s="160" t="inlineStr">
        <x:is>
          <x:t xml:space="preserve">Synthetic abstract control; no external company data</x:t>
        </x:is>
      </x:c>
      <x:c r="W975" s="160" t="inlineStr">
        <x:is>
          <x:t xml:space="preserve">NO</x:t>
        </x:is>
      </x:c>
      <x:c r="X975" s="160" t="inlineStr">
        <x:is>
          <x:t xml:space="preserve">NONE — NO VALIDATION/HOLDOUT COMPANY USED</x:t>
        </x:is>
      </x:c>
      <x:c r="Y975" s="160" t="inlineStr">
        <x:is>
          <x:t xml:space="preserve">Abstract cross-sector adversarial loop. Used only to test rule interactions; no historical or holdout outcome is claimed.</x:t>
        </x:is>
      </x:c>
    </x:row>
    <x:row r="976">
      <x:c r="A976" s="160" t="inlineStr">
        <x:is>
          <x:t xml:space="preserve">ML0971</x:t>
        </x:is>
      </x:c>
      <x:c r="B976" s="160" t="inlineStr">
        <x:is>
          <x:t xml:space="preserve">ABSTRACT</x:t>
        </x:is>
      </x:c>
      <x:c r="C976" s="160" t="inlineStr">
        <x:is>
          <x:t xml:space="preserve">Cyclical asset owner</x:t>
        </x:is>
      </x:c>
      <x:c r="D976" s="160" t="str"/>
      <x:c r="E976" s="160" t="inlineStr">
        <x:is>
          <x:t xml:space="preserve">Cross-sector</x:t>
        </x:is>
      </x:c>
      <x:c r="F976" s="160" t="inlineStr">
        <x:is>
          <x:t xml:space="preserve">Development — Abstract Control</x:t>
        </x:is>
      </x:c>
      <x:c r="G976" s="160" t="inlineStr">
        <x:is>
          <x:t xml:space="preserve">X03</x:t>
        </x:is>
      </x:c>
      <x:c r="H976" s="160" t="inlineStr">
        <x:is>
          <x:t xml:space="preserve">M&amp;A × Organic</x:t>
        </x:is>
      </x:c>
      <x:c r="I976" s="160" t="inlineStr">
        <x:is>
          <x:t xml:space="preserve">Rule interaction</x:t>
        </x:is>
      </x:c>
      <x:c r="J976" s="160" t="inlineStr">
        <x:is>
          <x:t xml:space="preserve">Reported growth accelerates after acquisitions while organic retention/margins weaken.</x:t>
        </x:is>
      </x:c>
      <x:c r="K976" s="160" t="inlineStr">
        <x:is>
          <x:t xml:space="preserve">Abstract adversarial archetype; no real company or holdout data used.</x:t>
        </x:is>
      </x:c>
      <x:c r="L976" s="160" t="inlineStr">
        <x:is>
          <x:t xml:space="preserve">Cross-lens interaction stress test</x:t>
        </x:is>
      </x:c>
      <x:c r="M976" s="160" t="inlineStr">
        <x:is>
          <x:t xml:space="preserve">NO PRODUCTION DECISION — STRESS TEST ONLY</x:t>
        </x:is>
      </x:c>
      <x:c r="N976" s="160" t="inlineStr">
        <x:is>
          <x:t xml:space="preserve">R-X-MA-ORGANIC</x:t>
        </x:is>
      </x:c>
      <x:c r="O976" s="160" t="inlineStr">
        <x:is>
          <x:t xml:space="preserve">UNFORMED</x:t>
        </x:is>
      </x:c>
      <x:c r="P976" s="160" t="inlineStr">
        <x:is>
          <x:t xml:space="preserve">FAILURE EXPOSED</x:t>
        </x:is>
      </x:c>
      <x:c r="Q976" s="160" t="inlineStr">
        <x:is>
          <x:t xml:space="preserve">Single-gate logic misses an interaction between two individually reasonable signals.</x:t>
        </x:is>
      </x:c>
      <x:c r="R976" s="160" t="inlineStr">
        <x:is>
          <x:t xml:space="preserve">Require acquisition-cohort ROIC plus organic growth bridge before acquired growth can support moat or IV.</x:t>
        </x:is>
      </x:c>
      <x:c r="S976" s="160" t="inlineStr">
        <x:is>
          <x:t xml:space="preserve">YES — SIMULATION ONLY</x:t>
        </x:is>
      </x:c>
      <x:c r="T976" s="160" t="inlineStr">
        <x:is>
          <x:t xml:space="preserve">INTERACTION STANDARD</x:t>
        </x:is>
      </x:c>
      <x:c r="U976" s="160" t="inlineStr">
        <x:is>
          <x:t xml:space="preserve">V10.5-SIM85</x:t>
        </x:is>
      </x:c>
      <x:c r="V976" s="160" t="inlineStr">
        <x:is>
          <x:t xml:space="preserve">Synthetic abstract control; no external company data</x:t>
        </x:is>
      </x:c>
      <x:c r="W976" s="160" t="inlineStr">
        <x:is>
          <x:t xml:space="preserve">NO</x:t>
        </x:is>
      </x:c>
      <x:c r="X976" s="160" t="inlineStr">
        <x:is>
          <x:t xml:space="preserve">NONE — NO VALIDATION/HOLDOUT COMPANY USED</x:t>
        </x:is>
      </x:c>
      <x:c r="Y976" s="160" t="inlineStr">
        <x:is>
          <x:t xml:space="preserve">Abstract cross-sector adversarial loop. Used only to test rule interactions; no historical or holdout outcome is claimed.</x:t>
        </x:is>
      </x:c>
    </x:row>
    <x:row r="977">
      <x:c r="A977" s="160" t="inlineStr">
        <x:is>
          <x:t xml:space="preserve">ML0972</x:t>
        </x:is>
      </x:c>
      <x:c r="B977" s="160" t="inlineStr">
        <x:is>
          <x:t xml:space="preserve">ABSTRACT</x:t>
        </x:is>
      </x:c>
      <x:c r="C977" s="160" t="inlineStr">
        <x:is>
          <x:t xml:space="preserve">Acquisition allocator</x:t>
        </x:is>
      </x:c>
      <x:c r="D977" s="160" t="str"/>
      <x:c r="E977" s="160" t="inlineStr">
        <x:is>
          <x:t xml:space="preserve">Cross-sector</x:t>
        </x:is>
      </x:c>
      <x:c r="F977" s="160" t="inlineStr">
        <x:is>
          <x:t xml:space="preserve">Development — Abstract Control</x:t>
        </x:is>
      </x:c>
      <x:c r="G977" s="160" t="inlineStr">
        <x:is>
          <x:t xml:space="preserve">X03</x:t>
        </x:is>
      </x:c>
      <x:c r="H977" s="160" t="inlineStr">
        <x:is>
          <x:t xml:space="preserve">M&amp;A × Organic</x:t>
        </x:is>
      </x:c>
      <x:c r="I977" s="160" t="inlineStr">
        <x:is>
          <x:t xml:space="preserve">Rule interaction</x:t>
        </x:is>
      </x:c>
      <x:c r="J977" s="160" t="inlineStr">
        <x:is>
          <x:t xml:space="preserve">Reported growth accelerates after acquisitions while organic retention/margins weaken.</x:t>
        </x:is>
      </x:c>
      <x:c r="K977" s="160" t="inlineStr">
        <x:is>
          <x:t xml:space="preserve">Abstract adversarial archetype; no real company or holdout data used.</x:t>
        </x:is>
      </x:c>
      <x:c r="L977" s="160" t="inlineStr">
        <x:is>
          <x:t xml:space="preserve">Cross-lens interaction stress test</x:t>
        </x:is>
      </x:c>
      <x:c r="M977" s="160" t="inlineStr">
        <x:is>
          <x:t xml:space="preserve">NO PRODUCTION DECISION — STRESS TEST ONLY</x:t>
        </x:is>
      </x:c>
      <x:c r="N977" s="160" t="inlineStr">
        <x:is>
          <x:t xml:space="preserve">R-X-MA-ORGANIC</x:t>
        </x:is>
      </x:c>
      <x:c r="O977" s="160" t="inlineStr">
        <x:is>
          <x:t xml:space="preserve">INTERACTION STANDARD</x:t>
        </x:is>
      </x:c>
      <x:c r="P977" s="160" t="inlineStr">
        <x:is>
          <x:t xml:space="preserve">PARTIAL CATCH</x:t>
        </x:is>
      </x:c>
      <x:c r="Q977" s="160" t="inlineStr">
        <x:is>
          <x:t xml:space="preserve">The interaction rule catches the core conflict; retain both gates and prevent one from overriding the other.</x:t>
        </x:is>
      </x:c>
      <x:c r="R977" s="160" t="inlineStr">
        <x:is>
          <x:t xml:space="preserve">Require acquisition-cohort ROIC plus organic growth bridge before acquired growth can support moat or IV.</x:t>
        </x:is>
      </x:c>
      <x:c r="S977" s="160" t="inlineStr">
        <x:is>
          <x:t xml:space="preserve">NO</x:t>
        </x:is>
      </x:c>
      <x:c r="T977" s="160" t="inlineStr">
        <x:is>
          <x:t xml:space="preserve">INTERACTION STANDARD</x:t>
        </x:is>
      </x:c>
      <x:c r="U977" s="160" t="inlineStr">
        <x:is>
          <x:t xml:space="preserve">V10.5-SIM85</x:t>
        </x:is>
      </x:c>
      <x:c r="V977" s="160" t="inlineStr">
        <x:is>
          <x:t xml:space="preserve">Synthetic abstract control; no external company data</x:t>
        </x:is>
      </x:c>
      <x:c r="W977" s="160" t="inlineStr">
        <x:is>
          <x:t xml:space="preserve">NO</x:t>
        </x:is>
      </x:c>
      <x:c r="X977" s="160" t="inlineStr">
        <x:is>
          <x:t xml:space="preserve">NONE — NO VALIDATION/HOLDOUT COMPANY USED</x:t>
        </x:is>
      </x:c>
      <x:c r="Y977" s="160" t="inlineStr">
        <x:is>
          <x:t xml:space="preserve">Abstract cross-sector adversarial loop. Used only to test rule interactions; no historical or holdout outcome is claimed.</x:t>
        </x:is>
      </x:c>
    </x:row>
    <x:row r="978">
      <x:c r="A978" s="160" t="inlineStr">
        <x:is>
          <x:t xml:space="preserve">ML0973</x:t>
        </x:is>
      </x:c>
      <x:c r="B978" s="160" t="inlineStr">
        <x:is>
          <x:t xml:space="preserve">ABSTRACT</x:t>
        </x:is>
      </x:c>
      <x:c r="C978" s="160" t="inlineStr">
        <x:is>
          <x:t xml:space="preserve">Asset-light compounder</x:t>
        </x:is>
      </x:c>
      <x:c r="D978" s="160" t="str"/>
      <x:c r="E978" s="160" t="inlineStr">
        <x:is>
          <x:t xml:space="preserve">Cross-sector</x:t>
        </x:is>
      </x:c>
      <x:c r="F978" s="160" t="inlineStr">
        <x:is>
          <x:t xml:space="preserve">Development — Abstract Control</x:t>
        </x:is>
      </x:c>
      <x:c r="G978" s="160" t="inlineStr">
        <x:is>
          <x:t xml:space="preserve">X04</x:t>
        </x:is>
      </x:c>
      <x:c r="H978" s="160" t="inlineStr">
        <x:is>
          <x:t xml:space="preserve">Cyclicality × Leverage</x:t>
        </x:is>
      </x:c>
      <x:c r="I978" s="160" t="inlineStr">
        <x:is>
          <x:t xml:space="preserve">Rule interaction</x:t>
        </x:is>
      </x:c>
      <x:c r="J978" s="160" t="inlineStr">
        <x:is>
          <x:t xml:space="preserve">Peak-cycle cash flow supports leverage that becomes fragile at mid-cycle economics.</x:t>
        </x:is>
      </x:c>
      <x:c r="K978" s="160" t="inlineStr">
        <x:is>
          <x:t xml:space="preserve">Abstract adversarial archetype; no real company or holdout data used.</x:t>
        </x:is>
      </x:c>
      <x:c r="L978" s="160" t="inlineStr">
        <x:is>
          <x:t xml:space="preserve">Cross-lens interaction stress test</x:t>
        </x:is>
      </x:c>
      <x:c r="M978" s="160" t="inlineStr">
        <x:is>
          <x:t xml:space="preserve">NO PRODUCTION DECISION — STRESS TEST ONLY</x:t>
        </x:is>
      </x:c>
      <x:c r="N978" s="160" t="inlineStr">
        <x:is>
          <x:t xml:space="preserve">R-X-CYCLE-LEVERAGE</x:t>
        </x:is>
      </x:c>
      <x:c r="O978" s="160" t="inlineStr">
        <x:is>
          <x:t xml:space="preserve">UNFORMED</x:t>
        </x:is>
      </x:c>
      <x:c r="P978" s="160" t="inlineStr">
        <x:is>
          <x:t xml:space="preserve">FAILURE EXPOSED</x:t>
        </x:is>
      </x:c>
      <x:c r="Q978" s="160" t="inlineStr">
        <x:is>
          <x:t xml:space="preserve">Single-gate logic misses an interaction between two individually reasonable signals.</x:t>
        </x:is>
      </x:c>
      <x:c r="R978" s="160" t="inlineStr">
        <x:is>
          <x:t xml:space="preserve">Stress debt/liquidity using mid-cycle—not spot—earnings and include refinancing cost shock.</x:t>
        </x:is>
      </x:c>
      <x:c r="S978" s="160" t="inlineStr">
        <x:is>
          <x:t xml:space="preserve">NO</x:t>
        </x:is>
      </x:c>
      <x:c r="T978" s="160" t="inlineStr">
        <x:is>
          <x:t xml:space="preserve">UNFORMED</x:t>
        </x:is>
      </x:c>
      <x:c r="U978" s="160" t="inlineStr">
        <x:is>
          <x:t xml:space="preserve">V10.5-SIM85</x:t>
        </x:is>
      </x:c>
      <x:c r="V978" s="160" t="inlineStr">
        <x:is>
          <x:t xml:space="preserve">Synthetic abstract control; no external company data</x:t>
        </x:is>
      </x:c>
      <x:c r="W978" s="160" t="inlineStr">
        <x:is>
          <x:t xml:space="preserve">NO</x:t>
        </x:is>
      </x:c>
      <x:c r="X978" s="160" t="inlineStr">
        <x:is>
          <x:t xml:space="preserve">NONE — NO VALIDATION/HOLDOUT COMPANY USED</x:t>
        </x:is>
      </x:c>
      <x:c r="Y978" s="160" t="inlineStr">
        <x:is>
          <x:t xml:space="preserve">Abstract cross-sector adversarial loop. Used only to test rule interactions; no historical or holdout outcome is claimed.</x:t>
        </x:is>
      </x:c>
    </x:row>
    <x:row r="979">
      <x:c r="A979" s="160" t="inlineStr">
        <x:is>
          <x:t xml:space="preserve">ML0974</x:t>
        </x:is>
      </x:c>
      <x:c r="B979" s="160" t="inlineStr">
        <x:is>
          <x:t xml:space="preserve">ABSTRACT</x:t>
        </x:is>
      </x:c>
      <x:c r="C979" s="160" t="inlineStr">
        <x:is>
          <x:t xml:space="preserve">Capital-intensive growth</x:t>
        </x:is>
      </x:c>
      <x:c r="D979" s="160" t="str"/>
      <x:c r="E979" s="160" t="inlineStr">
        <x:is>
          <x:t xml:space="preserve">Cross-sector</x:t>
        </x:is>
      </x:c>
      <x:c r="F979" s="160" t="inlineStr">
        <x:is>
          <x:t xml:space="preserve">Development — Abstract Control</x:t>
        </x:is>
      </x:c>
      <x:c r="G979" s="160" t="inlineStr">
        <x:is>
          <x:t xml:space="preserve">X04</x:t>
        </x:is>
      </x:c>
      <x:c r="H979" s="160" t="inlineStr">
        <x:is>
          <x:t xml:space="preserve">Cyclicality × Leverage</x:t>
        </x:is>
      </x:c>
      <x:c r="I979" s="160" t="inlineStr">
        <x:is>
          <x:t xml:space="preserve">Rule interaction</x:t>
        </x:is>
      </x:c>
      <x:c r="J979" s="160" t="inlineStr">
        <x:is>
          <x:t xml:space="preserve">Peak-cycle cash flow supports leverage that becomes fragile at mid-cycle economics.</x:t>
        </x:is>
      </x:c>
      <x:c r="K979" s="160" t="inlineStr">
        <x:is>
          <x:t xml:space="preserve">Abstract adversarial archetype; no real company or holdout data used.</x:t>
        </x:is>
      </x:c>
      <x:c r="L979" s="160" t="inlineStr">
        <x:is>
          <x:t xml:space="preserve">Cross-lens interaction stress test</x:t>
        </x:is>
      </x:c>
      <x:c r="M979" s="160" t="inlineStr">
        <x:is>
          <x:t xml:space="preserve">NO PRODUCTION DECISION — STRESS TEST ONLY</x:t>
        </x:is>
      </x:c>
      <x:c r="N979" s="160" t="inlineStr">
        <x:is>
          <x:t xml:space="preserve">R-X-CYCLE-LEVERAGE</x:t>
        </x:is>
      </x:c>
      <x:c r="O979" s="160" t="inlineStr">
        <x:is>
          <x:t xml:space="preserve">UNFORMED</x:t>
        </x:is>
      </x:c>
      <x:c r="P979" s="160" t="inlineStr">
        <x:is>
          <x:t xml:space="preserve">FAILURE EXPOSED</x:t>
        </x:is>
      </x:c>
      <x:c r="Q979" s="160" t="inlineStr">
        <x:is>
          <x:t xml:space="preserve">Single-gate logic misses an interaction between two individually reasonable signals.</x:t>
        </x:is>
      </x:c>
      <x:c r="R979" s="160" t="inlineStr">
        <x:is>
          <x:t xml:space="preserve">Stress debt/liquidity using mid-cycle—not spot—earnings and include refinancing cost shock.</x:t>
        </x:is>
      </x:c>
      <x:c r="S979" s="160" t="inlineStr">
        <x:is>
          <x:t xml:space="preserve">NO</x:t>
        </x:is>
      </x:c>
      <x:c r="T979" s="160" t="inlineStr">
        <x:is>
          <x:t xml:space="preserve">UNFORMED</x:t>
        </x:is>
      </x:c>
      <x:c r="U979" s="160" t="inlineStr">
        <x:is>
          <x:t xml:space="preserve">V10.5-SIM85</x:t>
        </x:is>
      </x:c>
      <x:c r="V979" s="160" t="inlineStr">
        <x:is>
          <x:t xml:space="preserve">Synthetic abstract control; no external company data</x:t>
        </x:is>
      </x:c>
      <x:c r="W979" s="160" t="inlineStr">
        <x:is>
          <x:t xml:space="preserve">NO</x:t>
        </x:is>
      </x:c>
      <x:c r="X979" s="160" t="inlineStr">
        <x:is>
          <x:t xml:space="preserve">NONE — NO VALIDATION/HOLDOUT COMPANY USED</x:t>
        </x:is>
      </x:c>
      <x:c r="Y979" s="160" t="inlineStr">
        <x:is>
          <x:t xml:space="preserve">Abstract cross-sector adversarial loop. Used only to test rule interactions; no historical or holdout outcome is claimed.</x:t>
        </x:is>
      </x:c>
    </x:row>
    <x:row r="980">
      <x:c r="A980" s="160" t="inlineStr">
        <x:is>
          <x:t xml:space="preserve">ML0975</x:t>
        </x:is>
      </x:c>
      <x:c r="B980" s="160" t="inlineStr">
        <x:is>
          <x:t xml:space="preserve">ABSTRACT</x:t>
        </x:is>
      </x:c>
      <x:c r="C980" s="160" t="inlineStr">
        <x:is>
          <x:t xml:space="preserve">Cyclical asset owner</x:t>
        </x:is>
      </x:c>
      <x:c r="D980" s="160" t="str"/>
      <x:c r="E980" s="160" t="inlineStr">
        <x:is>
          <x:t xml:space="preserve">Cross-sector</x:t>
        </x:is>
      </x:c>
      <x:c r="F980" s="160" t="inlineStr">
        <x:is>
          <x:t xml:space="preserve">Development — Abstract Control</x:t>
        </x:is>
      </x:c>
      <x:c r="G980" s="160" t="inlineStr">
        <x:is>
          <x:t xml:space="preserve">X04</x:t>
        </x:is>
      </x:c>
      <x:c r="H980" s="160" t="inlineStr">
        <x:is>
          <x:t xml:space="preserve">Cyclicality × Leverage</x:t>
        </x:is>
      </x:c>
      <x:c r="I980" s="160" t="inlineStr">
        <x:is>
          <x:t xml:space="preserve">Rule interaction</x:t>
        </x:is>
      </x:c>
      <x:c r="J980" s="160" t="inlineStr">
        <x:is>
          <x:t xml:space="preserve">Peak-cycle cash flow supports leverage that becomes fragile at mid-cycle economics.</x:t>
        </x:is>
      </x:c>
      <x:c r="K980" s="160" t="inlineStr">
        <x:is>
          <x:t xml:space="preserve">Abstract adversarial archetype; no real company or holdout data used.</x:t>
        </x:is>
      </x:c>
      <x:c r="L980" s="160" t="inlineStr">
        <x:is>
          <x:t xml:space="preserve">Cross-lens interaction stress test</x:t>
        </x:is>
      </x:c>
      <x:c r="M980" s="160" t="inlineStr">
        <x:is>
          <x:t xml:space="preserve">NO PRODUCTION DECISION — STRESS TEST ONLY</x:t>
        </x:is>
      </x:c>
      <x:c r="N980" s="160" t="inlineStr">
        <x:is>
          <x:t xml:space="preserve">R-X-CYCLE-LEVERAGE</x:t>
        </x:is>
      </x:c>
      <x:c r="O980" s="160" t="inlineStr">
        <x:is>
          <x:t xml:space="preserve">UNFORMED</x:t>
        </x:is>
      </x:c>
      <x:c r="P980" s="160" t="inlineStr">
        <x:is>
          <x:t xml:space="preserve">FAILURE EXPOSED</x:t>
        </x:is>
      </x:c>
      <x:c r="Q980" s="160" t="inlineStr">
        <x:is>
          <x:t xml:space="preserve">Single-gate logic misses an interaction between two individually reasonable signals.</x:t>
        </x:is>
      </x:c>
      <x:c r="R980" s="160" t="inlineStr">
        <x:is>
          <x:t xml:space="preserve">Stress debt/liquidity using mid-cycle—not spot—earnings and include refinancing cost shock.</x:t>
        </x:is>
      </x:c>
      <x:c r="S980" s="160" t="inlineStr">
        <x:is>
          <x:t xml:space="preserve">YES — SIMULATION ONLY</x:t>
        </x:is>
      </x:c>
      <x:c r="T980" s="160" t="inlineStr">
        <x:is>
          <x:t xml:space="preserve">INTERACTION STANDARD</x:t>
        </x:is>
      </x:c>
      <x:c r="U980" s="160" t="inlineStr">
        <x:is>
          <x:t xml:space="preserve">V10.5-SIM86</x:t>
        </x:is>
      </x:c>
      <x:c r="V980" s="160" t="inlineStr">
        <x:is>
          <x:t xml:space="preserve">Synthetic abstract control; no external company data</x:t>
        </x:is>
      </x:c>
      <x:c r="W980" s="160" t="inlineStr">
        <x:is>
          <x:t xml:space="preserve">NO</x:t>
        </x:is>
      </x:c>
      <x:c r="X980" s="160" t="inlineStr">
        <x:is>
          <x:t xml:space="preserve">NONE — NO VALIDATION/HOLDOUT COMPANY USED</x:t>
        </x:is>
      </x:c>
      <x:c r="Y980" s="160" t="inlineStr">
        <x:is>
          <x:t xml:space="preserve">Abstract cross-sector adversarial loop. Used only to test rule interactions; no historical or holdout outcome is claimed.</x:t>
        </x:is>
      </x:c>
    </x:row>
    <x:row r="981">
      <x:c r="A981" s="160" t="inlineStr">
        <x:is>
          <x:t xml:space="preserve">ML0976</x:t>
        </x:is>
      </x:c>
      <x:c r="B981" s="160" t="inlineStr">
        <x:is>
          <x:t xml:space="preserve">ABSTRACT</x:t>
        </x:is>
      </x:c>
      <x:c r="C981" s="160" t="inlineStr">
        <x:is>
          <x:t xml:space="preserve">Acquisition allocator</x:t>
        </x:is>
      </x:c>
      <x:c r="D981" s="160" t="str"/>
      <x:c r="E981" s="160" t="inlineStr">
        <x:is>
          <x:t xml:space="preserve">Cross-sector</x:t>
        </x:is>
      </x:c>
      <x:c r="F981" s="160" t="inlineStr">
        <x:is>
          <x:t xml:space="preserve">Development — Abstract Control</x:t>
        </x:is>
      </x:c>
      <x:c r="G981" s="160" t="inlineStr">
        <x:is>
          <x:t xml:space="preserve">X04</x:t>
        </x:is>
      </x:c>
      <x:c r="H981" s="160" t="inlineStr">
        <x:is>
          <x:t xml:space="preserve">Cyclicality × Leverage</x:t>
        </x:is>
      </x:c>
      <x:c r="I981" s="160" t="inlineStr">
        <x:is>
          <x:t xml:space="preserve">Rule interaction</x:t>
        </x:is>
      </x:c>
      <x:c r="J981" s="160" t="inlineStr">
        <x:is>
          <x:t xml:space="preserve">Peak-cycle cash flow supports leverage that becomes fragile at mid-cycle economics.</x:t>
        </x:is>
      </x:c>
      <x:c r="K981" s="160" t="inlineStr">
        <x:is>
          <x:t xml:space="preserve">Abstract adversarial archetype; no real company or holdout data used.</x:t>
        </x:is>
      </x:c>
      <x:c r="L981" s="160" t="inlineStr">
        <x:is>
          <x:t xml:space="preserve">Cross-lens interaction stress test</x:t>
        </x:is>
      </x:c>
      <x:c r="M981" s="160" t="inlineStr">
        <x:is>
          <x:t xml:space="preserve">NO PRODUCTION DECISION — STRESS TEST ONLY</x:t>
        </x:is>
      </x:c>
      <x:c r="N981" s="160" t="inlineStr">
        <x:is>
          <x:t xml:space="preserve">R-X-CYCLE-LEVERAGE</x:t>
        </x:is>
      </x:c>
      <x:c r="O981" s="160" t="inlineStr">
        <x:is>
          <x:t xml:space="preserve">INTERACTION STANDARD</x:t>
        </x:is>
      </x:c>
      <x:c r="P981" s="160" t="inlineStr">
        <x:is>
          <x:t xml:space="preserve">PARTIAL CATCH</x:t>
        </x:is>
      </x:c>
      <x:c r="Q981" s="160" t="inlineStr">
        <x:is>
          <x:t xml:space="preserve">The interaction rule catches the core conflict; retain both gates and prevent one from overriding the other.</x:t>
        </x:is>
      </x:c>
      <x:c r="R981" s="160" t="inlineStr">
        <x:is>
          <x:t xml:space="preserve">Stress debt/liquidity using mid-cycle—not spot—earnings and include refinancing cost shock.</x:t>
        </x:is>
      </x:c>
      <x:c r="S981" s="160" t="inlineStr">
        <x:is>
          <x:t xml:space="preserve">NO</x:t>
        </x:is>
      </x:c>
      <x:c r="T981" s="160" t="inlineStr">
        <x:is>
          <x:t xml:space="preserve">INTERACTION STANDARD</x:t>
        </x:is>
      </x:c>
      <x:c r="U981" s="160" t="inlineStr">
        <x:is>
          <x:t xml:space="preserve">V10.5-SIM86</x:t>
        </x:is>
      </x:c>
      <x:c r="V981" s="160" t="inlineStr">
        <x:is>
          <x:t xml:space="preserve">Synthetic abstract control; no external company data</x:t>
        </x:is>
      </x:c>
      <x:c r="W981" s="160" t="inlineStr">
        <x:is>
          <x:t xml:space="preserve">NO</x:t>
        </x:is>
      </x:c>
      <x:c r="X981" s="160" t="inlineStr">
        <x:is>
          <x:t xml:space="preserve">NONE — NO VALIDATION/HOLDOUT COMPANY USED</x:t>
        </x:is>
      </x:c>
      <x:c r="Y981" s="160" t="inlineStr">
        <x:is>
          <x:t xml:space="preserve">Abstract cross-sector adversarial loop. Used only to test rule interactions; no historical or holdout outcome is claimed.</x:t>
        </x:is>
      </x:c>
    </x:row>
    <x:row r="982">
      <x:c r="A982" s="160" t="inlineStr">
        <x:is>
          <x:t xml:space="preserve">ML0977</x:t>
        </x:is>
      </x:c>
      <x:c r="B982" s="160" t="inlineStr">
        <x:is>
          <x:t xml:space="preserve">ABSTRACT</x:t>
        </x:is>
      </x:c>
      <x:c r="C982" s="160" t="inlineStr">
        <x:is>
          <x:t xml:space="preserve">Asset-light compounder</x:t>
        </x:is>
      </x:c>
      <x:c r="D982" s="160" t="str"/>
      <x:c r="E982" s="160" t="inlineStr">
        <x:is>
          <x:t xml:space="preserve">Cross-sector</x:t>
        </x:is>
      </x:c>
      <x:c r="F982" s="160" t="inlineStr">
        <x:is>
          <x:t xml:space="preserve">Development — Abstract Control</x:t>
        </x:is>
      </x:c>
      <x:c r="G982" s="160" t="inlineStr">
        <x:is>
          <x:t xml:space="preserve">X05</x:t>
        </x:is>
      </x:c>
      <x:c r="H982" s="160" t="inlineStr">
        <x:is>
          <x:t xml:space="preserve">Lumpy Revenue × Leading Demand</x:t>
        </x:is>
      </x:c>
      <x:c r="I982" s="160" t="inlineStr">
        <x:is>
          <x:t xml:space="preserve">Rule interaction</x:t>
        </x:is>
      </x:c>
      <x:c r="J982" s="160" t="inlineStr">
        <x:is>
          <x:t xml:space="preserve">Quarterly revenue drops after a large system/project sale while bookings/RPO/backlog and production use rise.</x:t>
        </x:is>
      </x:c>
      <x:c r="K982" s="160" t="inlineStr">
        <x:is>
          <x:t xml:space="preserve">Abstract adversarial archetype; no real company or holdout data used.</x:t>
        </x:is>
      </x:c>
      <x:c r="L982" s="160" t="inlineStr">
        <x:is>
          <x:t xml:space="preserve">Cross-lens interaction stress test</x:t>
        </x:is>
      </x:c>
      <x:c r="M982" s="160" t="inlineStr">
        <x:is>
          <x:t xml:space="preserve">NO PRODUCTION DECISION — STRESS TEST ONLY</x:t>
        </x:is>
      </x:c>
      <x:c r="N982" s="160" t="inlineStr">
        <x:is>
          <x:t xml:space="preserve">R-X-LUMPY-DEMAND</x:t>
        </x:is>
      </x:c>
      <x:c r="O982" s="160" t="inlineStr">
        <x:is>
          <x:t xml:space="preserve">UNFORMED</x:t>
        </x:is>
      </x:c>
      <x:c r="P982" s="160" t="inlineStr">
        <x:is>
          <x:t xml:space="preserve">FAILURE EXPOSED</x:t>
        </x:is>
      </x:c>
      <x:c r="Q982" s="160" t="inlineStr">
        <x:is>
          <x:t xml:space="preserve">Single-gate logic misses an interaction between two individually reasonable signals.</x:t>
        </x:is>
      </x:c>
      <x:c r="R982" s="160" t="inlineStr">
        <x:is>
          <x:t xml:space="preserve">Use a demand hierarchy: recurring usage + bookings/RPO/backlog conversion + episodic sales; track cancellations/conversion quality.</x:t>
        </x:is>
      </x:c>
      <x:c r="S982" s="160" t="inlineStr">
        <x:is>
          <x:t xml:space="preserve">NO</x:t>
        </x:is>
      </x:c>
      <x:c r="T982" s="160" t="inlineStr">
        <x:is>
          <x:t xml:space="preserve">UNFORMED</x:t>
        </x:is>
      </x:c>
      <x:c r="U982" s="160" t="inlineStr">
        <x:is>
          <x:t xml:space="preserve">V10.5-SIM86</x:t>
        </x:is>
      </x:c>
      <x:c r="V982" s="160" t="inlineStr">
        <x:is>
          <x:t xml:space="preserve">Synthetic abstract control; no external company data</x:t>
        </x:is>
      </x:c>
      <x:c r="W982" s="160" t="inlineStr">
        <x:is>
          <x:t xml:space="preserve">NO</x:t>
        </x:is>
      </x:c>
      <x:c r="X982" s="160" t="inlineStr">
        <x:is>
          <x:t xml:space="preserve">NONE — NO VALIDATION/HOLDOUT COMPANY USED</x:t>
        </x:is>
      </x:c>
      <x:c r="Y982" s="160" t="inlineStr">
        <x:is>
          <x:t xml:space="preserve">Abstract cross-sector adversarial loop. Used only to test rule interactions; no historical or holdout outcome is claimed.</x:t>
        </x:is>
      </x:c>
    </x:row>
    <x:row r="983">
      <x:c r="A983" s="160" t="inlineStr">
        <x:is>
          <x:t xml:space="preserve">ML0978</x:t>
        </x:is>
      </x:c>
      <x:c r="B983" s="160" t="inlineStr">
        <x:is>
          <x:t xml:space="preserve">ABSTRACT</x:t>
        </x:is>
      </x:c>
      <x:c r="C983" s="160" t="inlineStr">
        <x:is>
          <x:t xml:space="preserve">Capital-intensive growth</x:t>
        </x:is>
      </x:c>
      <x:c r="D983" s="160" t="str"/>
      <x:c r="E983" s="160" t="inlineStr">
        <x:is>
          <x:t xml:space="preserve">Cross-sector</x:t>
        </x:is>
      </x:c>
      <x:c r="F983" s="160" t="inlineStr">
        <x:is>
          <x:t xml:space="preserve">Development — Abstract Control</x:t>
        </x:is>
      </x:c>
      <x:c r="G983" s="160" t="inlineStr">
        <x:is>
          <x:t xml:space="preserve">X05</x:t>
        </x:is>
      </x:c>
      <x:c r="H983" s="160" t="inlineStr">
        <x:is>
          <x:t xml:space="preserve">Lumpy Revenue × Leading Demand</x:t>
        </x:is>
      </x:c>
      <x:c r="I983" s="160" t="inlineStr">
        <x:is>
          <x:t xml:space="preserve">Rule interaction</x:t>
        </x:is>
      </x:c>
      <x:c r="J983" s="160" t="inlineStr">
        <x:is>
          <x:t xml:space="preserve">Quarterly revenue drops after a large system/project sale while bookings/RPO/backlog and production use rise.</x:t>
        </x:is>
      </x:c>
      <x:c r="K983" s="160" t="inlineStr">
        <x:is>
          <x:t xml:space="preserve">Abstract adversarial archetype; no real company or holdout data used.</x:t>
        </x:is>
      </x:c>
      <x:c r="L983" s="160" t="inlineStr">
        <x:is>
          <x:t xml:space="preserve">Cross-lens interaction stress test</x:t>
        </x:is>
      </x:c>
      <x:c r="M983" s="160" t="inlineStr">
        <x:is>
          <x:t xml:space="preserve">NO PRODUCTION DECISION — STRESS TEST ONLY</x:t>
        </x:is>
      </x:c>
      <x:c r="N983" s="160" t="inlineStr">
        <x:is>
          <x:t xml:space="preserve">R-X-LUMPY-DEMAND</x:t>
        </x:is>
      </x:c>
      <x:c r="O983" s="160" t="inlineStr">
        <x:is>
          <x:t xml:space="preserve">UNFORMED</x:t>
        </x:is>
      </x:c>
      <x:c r="P983" s="160" t="inlineStr">
        <x:is>
          <x:t xml:space="preserve">FAILURE EXPOSED</x:t>
        </x:is>
      </x:c>
      <x:c r="Q983" s="160" t="inlineStr">
        <x:is>
          <x:t xml:space="preserve">Single-gate logic misses an interaction between two individually reasonable signals.</x:t>
        </x:is>
      </x:c>
      <x:c r="R983" s="160" t="inlineStr">
        <x:is>
          <x:t xml:space="preserve">Use a demand hierarchy: recurring usage + bookings/RPO/backlog conversion + episodic sales; track cancellations/conversion quality.</x:t>
        </x:is>
      </x:c>
      <x:c r="S983" s="160" t="inlineStr">
        <x:is>
          <x:t xml:space="preserve">NO</x:t>
        </x:is>
      </x:c>
      <x:c r="T983" s="160" t="inlineStr">
        <x:is>
          <x:t xml:space="preserve">UNFORMED</x:t>
        </x:is>
      </x:c>
      <x:c r="U983" s="160" t="inlineStr">
        <x:is>
          <x:t xml:space="preserve">V10.5-SIM86</x:t>
        </x:is>
      </x:c>
      <x:c r="V983" s="160" t="inlineStr">
        <x:is>
          <x:t xml:space="preserve">Synthetic abstract control; no external company data</x:t>
        </x:is>
      </x:c>
      <x:c r="W983" s="160" t="inlineStr">
        <x:is>
          <x:t xml:space="preserve">NO</x:t>
        </x:is>
      </x:c>
      <x:c r="X983" s="160" t="inlineStr">
        <x:is>
          <x:t xml:space="preserve">NONE — NO VALIDATION/HOLDOUT COMPANY USED</x:t>
        </x:is>
      </x:c>
      <x:c r="Y983" s="160" t="inlineStr">
        <x:is>
          <x:t xml:space="preserve">Abstract cross-sector adversarial loop. Used only to test rule interactions; no historical or holdout outcome is claimed.</x:t>
        </x:is>
      </x:c>
    </x:row>
    <x:row r="984">
      <x:c r="A984" s="160" t="inlineStr">
        <x:is>
          <x:t xml:space="preserve">ML0979</x:t>
        </x:is>
      </x:c>
      <x:c r="B984" s="160" t="inlineStr">
        <x:is>
          <x:t xml:space="preserve">ABSTRACT</x:t>
        </x:is>
      </x:c>
      <x:c r="C984" s="160" t="inlineStr">
        <x:is>
          <x:t xml:space="preserve">Cyclical asset owner</x:t>
        </x:is>
      </x:c>
      <x:c r="D984" s="160" t="str"/>
      <x:c r="E984" s="160" t="inlineStr">
        <x:is>
          <x:t xml:space="preserve">Cross-sector</x:t>
        </x:is>
      </x:c>
      <x:c r="F984" s="160" t="inlineStr">
        <x:is>
          <x:t xml:space="preserve">Development — Abstract Control</x:t>
        </x:is>
      </x:c>
      <x:c r="G984" s="160" t="inlineStr">
        <x:is>
          <x:t xml:space="preserve">X05</x:t>
        </x:is>
      </x:c>
      <x:c r="H984" s="160" t="inlineStr">
        <x:is>
          <x:t xml:space="preserve">Lumpy Revenue × Leading Demand</x:t>
        </x:is>
      </x:c>
      <x:c r="I984" s="160" t="inlineStr">
        <x:is>
          <x:t xml:space="preserve">Rule interaction</x:t>
        </x:is>
      </x:c>
      <x:c r="J984" s="160" t="inlineStr">
        <x:is>
          <x:t xml:space="preserve">Quarterly revenue drops after a large system/project sale while bookings/RPO/backlog and production use rise.</x:t>
        </x:is>
      </x:c>
      <x:c r="K984" s="160" t="inlineStr">
        <x:is>
          <x:t xml:space="preserve">Abstract adversarial archetype; no real company or holdout data used.</x:t>
        </x:is>
      </x:c>
      <x:c r="L984" s="160" t="inlineStr">
        <x:is>
          <x:t xml:space="preserve">Cross-lens interaction stress test</x:t>
        </x:is>
      </x:c>
      <x:c r="M984" s="160" t="inlineStr">
        <x:is>
          <x:t xml:space="preserve">NO PRODUCTION DECISION — STRESS TEST ONLY</x:t>
        </x:is>
      </x:c>
      <x:c r="N984" s="160" t="inlineStr">
        <x:is>
          <x:t xml:space="preserve">R-X-LUMPY-DEMAND</x:t>
        </x:is>
      </x:c>
      <x:c r="O984" s="160" t="inlineStr">
        <x:is>
          <x:t xml:space="preserve">UNFORMED</x:t>
        </x:is>
      </x:c>
      <x:c r="P984" s="160" t="inlineStr">
        <x:is>
          <x:t xml:space="preserve">FAILURE EXPOSED</x:t>
        </x:is>
      </x:c>
      <x:c r="Q984" s="160" t="inlineStr">
        <x:is>
          <x:t xml:space="preserve">Single-gate logic misses an interaction between two individually reasonable signals.</x:t>
        </x:is>
      </x:c>
      <x:c r="R984" s="160" t="inlineStr">
        <x:is>
          <x:t xml:space="preserve">Use a demand hierarchy: recurring usage + bookings/RPO/backlog conversion + episodic sales; track cancellations/conversion quality.</x:t>
        </x:is>
      </x:c>
      <x:c r="S984" s="160" t="inlineStr">
        <x:is>
          <x:t xml:space="preserve">YES — SIMULATION ONLY</x:t>
        </x:is>
      </x:c>
      <x:c r="T984" s="160" t="inlineStr">
        <x:is>
          <x:t xml:space="preserve">INTERACTION STANDARD</x:t>
        </x:is>
      </x:c>
      <x:c r="U984" s="160" t="inlineStr">
        <x:is>
          <x:t xml:space="preserve">V10.5-SIM87</x:t>
        </x:is>
      </x:c>
      <x:c r="V984" s="160" t="inlineStr">
        <x:is>
          <x:t xml:space="preserve">Synthetic abstract control; no external company data</x:t>
        </x:is>
      </x:c>
      <x:c r="W984" s="160" t="inlineStr">
        <x:is>
          <x:t xml:space="preserve">NO</x:t>
        </x:is>
      </x:c>
      <x:c r="X984" s="160" t="inlineStr">
        <x:is>
          <x:t xml:space="preserve">NONE — NO VALIDATION/HOLDOUT COMPANY USED</x:t>
        </x:is>
      </x:c>
      <x:c r="Y984" s="160" t="inlineStr">
        <x:is>
          <x:t xml:space="preserve">Abstract cross-sector adversarial loop. Used only to test rule interactions; no historical or holdout outcome is claimed.</x:t>
        </x:is>
      </x:c>
    </x:row>
    <x:row r="985">
      <x:c r="A985" s="160" t="inlineStr">
        <x:is>
          <x:t xml:space="preserve">ML0980</x:t>
        </x:is>
      </x:c>
      <x:c r="B985" s="160" t="inlineStr">
        <x:is>
          <x:t xml:space="preserve">ABSTRACT</x:t>
        </x:is>
      </x:c>
      <x:c r="C985" s="160" t="inlineStr">
        <x:is>
          <x:t xml:space="preserve">Acquisition allocator</x:t>
        </x:is>
      </x:c>
      <x:c r="D985" s="160" t="str"/>
      <x:c r="E985" s="160" t="inlineStr">
        <x:is>
          <x:t xml:space="preserve">Cross-sector</x:t>
        </x:is>
      </x:c>
      <x:c r="F985" s="160" t="inlineStr">
        <x:is>
          <x:t xml:space="preserve">Development — Abstract Control</x:t>
        </x:is>
      </x:c>
      <x:c r="G985" s="160" t="inlineStr">
        <x:is>
          <x:t xml:space="preserve">X05</x:t>
        </x:is>
      </x:c>
      <x:c r="H985" s="160" t="inlineStr">
        <x:is>
          <x:t xml:space="preserve">Lumpy Revenue × Leading Demand</x:t>
        </x:is>
      </x:c>
      <x:c r="I985" s="160" t="inlineStr">
        <x:is>
          <x:t xml:space="preserve">Rule interaction</x:t>
        </x:is>
      </x:c>
      <x:c r="J985" s="160" t="inlineStr">
        <x:is>
          <x:t xml:space="preserve">Quarterly revenue drops after a large system/project sale while bookings/RPO/backlog and production use rise.</x:t>
        </x:is>
      </x:c>
      <x:c r="K985" s="160" t="inlineStr">
        <x:is>
          <x:t xml:space="preserve">Abstract adversarial archetype; no real company or holdout data used.</x:t>
        </x:is>
      </x:c>
      <x:c r="L985" s="160" t="inlineStr">
        <x:is>
          <x:t xml:space="preserve">Cross-lens interaction stress test</x:t>
        </x:is>
      </x:c>
      <x:c r="M985" s="160" t="inlineStr">
        <x:is>
          <x:t xml:space="preserve">NO PRODUCTION DECISION — STRESS TEST ONLY</x:t>
        </x:is>
      </x:c>
      <x:c r="N985" s="160" t="inlineStr">
        <x:is>
          <x:t xml:space="preserve">R-X-LUMPY-DEMAND</x:t>
        </x:is>
      </x:c>
      <x:c r="O985" s="160" t="inlineStr">
        <x:is>
          <x:t xml:space="preserve">INTERACTION STANDARD</x:t>
        </x:is>
      </x:c>
      <x:c r="P985" s="160" t="inlineStr">
        <x:is>
          <x:t xml:space="preserve">PARTIAL CATCH</x:t>
        </x:is>
      </x:c>
      <x:c r="Q985" s="160" t="inlineStr">
        <x:is>
          <x:t xml:space="preserve">The interaction rule catches the core conflict; retain both gates and prevent one from overriding the other.</x:t>
        </x:is>
      </x:c>
      <x:c r="R985" s="160" t="inlineStr">
        <x:is>
          <x:t xml:space="preserve">Use a demand hierarchy: recurring usage + bookings/RPO/backlog conversion + episodic sales; track cancellations/conversion quality.</x:t>
        </x:is>
      </x:c>
      <x:c r="S985" s="160" t="inlineStr">
        <x:is>
          <x:t xml:space="preserve">NO</x:t>
        </x:is>
      </x:c>
      <x:c r="T985" s="160" t="inlineStr">
        <x:is>
          <x:t xml:space="preserve">INTERACTION STANDARD</x:t>
        </x:is>
      </x:c>
      <x:c r="U985" s="160" t="inlineStr">
        <x:is>
          <x:t xml:space="preserve">V10.5-SIM87</x:t>
        </x:is>
      </x:c>
      <x:c r="V985" s="160" t="inlineStr">
        <x:is>
          <x:t xml:space="preserve">Synthetic abstract control; no external company data</x:t>
        </x:is>
      </x:c>
      <x:c r="W985" s="160" t="inlineStr">
        <x:is>
          <x:t xml:space="preserve">NO</x:t>
        </x:is>
      </x:c>
      <x:c r="X985" s="160" t="inlineStr">
        <x:is>
          <x:t xml:space="preserve">NONE — NO VALIDATION/HOLDOUT COMPANY USED</x:t>
        </x:is>
      </x:c>
      <x:c r="Y985" s="160" t="inlineStr">
        <x:is>
          <x:t xml:space="preserve">Abstract cross-sector adversarial loop. Used only to test rule interactions; no historical or holdout outcome is claimed.</x:t>
        </x:is>
      </x:c>
    </x:row>
    <x:row r="986">
      <x:c r="A986" s="160" t="inlineStr">
        <x:is>
          <x:t xml:space="preserve">ML0981</x:t>
        </x:is>
      </x:c>
      <x:c r="B986" s="160" t="inlineStr">
        <x:is>
          <x:t xml:space="preserve">ABSTRACT</x:t>
        </x:is>
      </x:c>
      <x:c r="C986" s="160" t="inlineStr">
        <x:is>
          <x:t xml:space="preserve">Asset-light compounder</x:t>
        </x:is>
      </x:c>
      <x:c r="D986" s="160" t="str"/>
      <x:c r="E986" s="160" t="inlineStr">
        <x:is>
          <x:t xml:space="preserve">Cross-sector</x:t>
        </x:is>
      </x:c>
      <x:c r="F986" s="160" t="inlineStr">
        <x:is>
          <x:t xml:space="preserve">Development — Abstract Control</x:t>
        </x:is>
      </x:c>
      <x:c r="G986" s="160" t="inlineStr">
        <x:is>
          <x:t xml:space="preserve">X06</x:t>
        </x:is>
      </x:c>
      <x:c r="H986" s="160" t="inlineStr">
        <x:is>
          <x:t xml:space="preserve">Accounting Noise × Cash</x:t>
        </x:is>
      </x:c>
      <x:c r="I986" s="160" t="inlineStr">
        <x:is>
          <x:t xml:space="preserve">Rule interaction</x:t>
        </x:is>
      </x:c>
      <x:c r="J986" s="160" t="inlineStr">
        <x:is>
          <x:t xml:space="preserve">GAAP profit/loss swings on fair-value, restructuring or one-time items while underlying cash economics change little.</x:t>
        </x:is>
      </x:c>
      <x:c r="K986" s="160" t="inlineStr">
        <x:is>
          <x:t xml:space="preserve">Abstract adversarial archetype; no real company or holdout data used.</x:t>
        </x:is>
      </x:c>
      <x:c r="L986" s="160" t="inlineStr">
        <x:is>
          <x:t xml:space="preserve">Cross-lens interaction stress test</x:t>
        </x:is>
      </x:c>
      <x:c r="M986" s="160" t="inlineStr">
        <x:is>
          <x:t xml:space="preserve">NO PRODUCTION DECISION — STRESS TEST ONLY</x:t>
        </x:is>
      </x:c>
      <x:c r="N986" s="160" t="inlineStr">
        <x:is>
          <x:t xml:space="preserve">R-X-ACCOUNTING-CASH</x:t>
        </x:is>
      </x:c>
      <x:c r="O986" s="160" t="inlineStr">
        <x:is>
          <x:t xml:space="preserve">UNFORMED</x:t>
        </x:is>
      </x:c>
      <x:c r="P986" s="160" t="inlineStr">
        <x:is>
          <x:t xml:space="preserve">FAILURE EXPOSED</x:t>
        </x:is>
      </x:c>
      <x:c r="Q986" s="160" t="inlineStr">
        <x:is>
          <x:t xml:space="preserve">Single-gate logic misses an interaction between two individually reasonable signals.</x:t>
        </x:is>
      </x:c>
      <x:c r="R986" s="160" t="inlineStr">
        <x:is>
          <x:t xml:space="preserve">Require normalized operating bridge and cash reconciliation whenever non-operating accounting noise exceeds operating earnings.</x:t>
        </x:is>
      </x:c>
      <x:c r="S986" s="160" t="inlineStr">
        <x:is>
          <x:t xml:space="preserve">NO</x:t>
        </x:is>
      </x:c>
      <x:c r="T986" s="160" t="inlineStr">
        <x:is>
          <x:t xml:space="preserve">UNFORMED</x:t>
        </x:is>
      </x:c>
      <x:c r="U986" s="160" t="inlineStr">
        <x:is>
          <x:t xml:space="preserve">V10.5-SIM87</x:t>
        </x:is>
      </x:c>
      <x:c r="V986" s="160" t="inlineStr">
        <x:is>
          <x:t xml:space="preserve">Synthetic abstract control; no external company data</x:t>
        </x:is>
      </x:c>
      <x:c r="W986" s="160" t="inlineStr">
        <x:is>
          <x:t xml:space="preserve">NO</x:t>
        </x:is>
      </x:c>
      <x:c r="X986" s="160" t="inlineStr">
        <x:is>
          <x:t xml:space="preserve">NONE — NO VALIDATION/HOLDOUT COMPANY USED</x:t>
        </x:is>
      </x:c>
      <x:c r="Y986" s="160" t="inlineStr">
        <x:is>
          <x:t xml:space="preserve">Abstract cross-sector adversarial loop. Used only to test rule interactions; no historical or holdout outcome is claimed.</x:t>
        </x:is>
      </x:c>
    </x:row>
    <x:row r="987">
      <x:c r="A987" s="160" t="inlineStr">
        <x:is>
          <x:t xml:space="preserve">ML0982</x:t>
        </x:is>
      </x:c>
      <x:c r="B987" s="160" t="inlineStr">
        <x:is>
          <x:t xml:space="preserve">ABSTRACT</x:t>
        </x:is>
      </x:c>
      <x:c r="C987" s="160" t="inlineStr">
        <x:is>
          <x:t xml:space="preserve">Capital-intensive growth</x:t>
        </x:is>
      </x:c>
      <x:c r="D987" s="160" t="str"/>
      <x:c r="E987" s="160" t="inlineStr">
        <x:is>
          <x:t xml:space="preserve">Cross-sector</x:t>
        </x:is>
      </x:c>
      <x:c r="F987" s="160" t="inlineStr">
        <x:is>
          <x:t xml:space="preserve">Development — Abstract Control</x:t>
        </x:is>
      </x:c>
      <x:c r="G987" s="160" t="inlineStr">
        <x:is>
          <x:t xml:space="preserve">X06</x:t>
        </x:is>
      </x:c>
      <x:c r="H987" s="160" t="inlineStr">
        <x:is>
          <x:t xml:space="preserve">Accounting Noise × Cash</x:t>
        </x:is>
      </x:c>
      <x:c r="I987" s="160" t="inlineStr">
        <x:is>
          <x:t xml:space="preserve">Rule interaction</x:t>
        </x:is>
      </x:c>
      <x:c r="J987" s="160" t="inlineStr">
        <x:is>
          <x:t xml:space="preserve">GAAP profit/loss swings on fair-value, restructuring or one-time items while underlying cash economics change little.</x:t>
        </x:is>
      </x:c>
      <x:c r="K987" s="160" t="inlineStr">
        <x:is>
          <x:t xml:space="preserve">Abstract adversarial archetype; no real company or holdout data used.</x:t>
        </x:is>
      </x:c>
      <x:c r="L987" s="160" t="inlineStr">
        <x:is>
          <x:t xml:space="preserve">Cross-lens interaction stress test</x:t>
        </x:is>
      </x:c>
      <x:c r="M987" s="160" t="inlineStr">
        <x:is>
          <x:t xml:space="preserve">NO PRODUCTION DECISION — STRESS TEST ONLY</x:t>
        </x:is>
      </x:c>
      <x:c r="N987" s="160" t="inlineStr">
        <x:is>
          <x:t xml:space="preserve">R-X-ACCOUNTING-CASH</x:t>
        </x:is>
      </x:c>
      <x:c r="O987" s="160" t="inlineStr">
        <x:is>
          <x:t xml:space="preserve">UNFORMED</x:t>
        </x:is>
      </x:c>
      <x:c r="P987" s="160" t="inlineStr">
        <x:is>
          <x:t xml:space="preserve">FAILURE EXPOSED</x:t>
        </x:is>
      </x:c>
      <x:c r="Q987" s="160" t="inlineStr">
        <x:is>
          <x:t xml:space="preserve">Single-gate logic misses an interaction between two individually reasonable signals.</x:t>
        </x:is>
      </x:c>
      <x:c r="R987" s="160" t="inlineStr">
        <x:is>
          <x:t xml:space="preserve">Require normalized operating bridge and cash reconciliation whenever non-operating accounting noise exceeds operating earnings.</x:t>
        </x:is>
      </x:c>
      <x:c r="S987" s="160" t="inlineStr">
        <x:is>
          <x:t xml:space="preserve">NO</x:t>
        </x:is>
      </x:c>
      <x:c r="T987" s="160" t="inlineStr">
        <x:is>
          <x:t xml:space="preserve">UNFORMED</x:t>
        </x:is>
      </x:c>
      <x:c r="U987" s="160" t="inlineStr">
        <x:is>
          <x:t xml:space="preserve">V10.5-SIM87</x:t>
        </x:is>
      </x:c>
      <x:c r="V987" s="160" t="inlineStr">
        <x:is>
          <x:t xml:space="preserve">Synthetic abstract control; no external company data</x:t>
        </x:is>
      </x:c>
      <x:c r="W987" s="160" t="inlineStr">
        <x:is>
          <x:t xml:space="preserve">NO</x:t>
        </x:is>
      </x:c>
      <x:c r="X987" s="160" t="inlineStr">
        <x:is>
          <x:t xml:space="preserve">NONE — NO VALIDATION/HOLDOUT COMPANY USED</x:t>
        </x:is>
      </x:c>
      <x:c r="Y987" s="160" t="inlineStr">
        <x:is>
          <x:t xml:space="preserve">Abstract cross-sector adversarial loop. Used only to test rule interactions; no historical or holdout outcome is claimed.</x:t>
        </x:is>
      </x:c>
    </x:row>
    <x:row r="988">
      <x:c r="A988" s="160" t="inlineStr">
        <x:is>
          <x:t xml:space="preserve">ML0983</x:t>
        </x:is>
      </x:c>
      <x:c r="B988" s="160" t="inlineStr">
        <x:is>
          <x:t xml:space="preserve">ABSTRACT</x:t>
        </x:is>
      </x:c>
      <x:c r="C988" s="160" t="inlineStr">
        <x:is>
          <x:t xml:space="preserve">Cyclical asset owner</x:t>
        </x:is>
      </x:c>
      <x:c r="D988" s="160" t="str"/>
      <x:c r="E988" s="160" t="inlineStr">
        <x:is>
          <x:t xml:space="preserve">Cross-sector</x:t>
        </x:is>
      </x:c>
      <x:c r="F988" s="160" t="inlineStr">
        <x:is>
          <x:t xml:space="preserve">Development — Abstract Control</x:t>
        </x:is>
      </x:c>
      <x:c r="G988" s="160" t="inlineStr">
        <x:is>
          <x:t xml:space="preserve">X06</x:t>
        </x:is>
      </x:c>
      <x:c r="H988" s="160" t="inlineStr">
        <x:is>
          <x:t xml:space="preserve">Accounting Noise × Cash</x:t>
        </x:is>
      </x:c>
      <x:c r="I988" s="160" t="inlineStr">
        <x:is>
          <x:t xml:space="preserve">Rule interaction</x:t>
        </x:is>
      </x:c>
      <x:c r="J988" s="160" t="inlineStr">
        <x:is>
          <x:t xml:space="preserve">GAAP profit/loss swings on fair-value, restructuring or one-time items while underlying cash economics change little.</x:t>
        </x:is>
      </x:c>
      <x:c r="K988" s="160" t="inlineStr">
        <x:is>
          <x:t xml:space="preserve">Abstract adversarial archetype; no real company or holdout data used.</x:t>
        </x:is>
      </x:c>
      <x:c r="L988" s="160" t="inlineStr">
        <x:is>
          <x:t xml:space="preserve">Cross-lens interaction stress test</x:t>
        </x:is>
      </x:c>
      <x:c r="M988" s="160" t="inlineStr">
        <x:is>
          <x:t xml:space="preserve">NO PRODUCTION DECISION — STRESS TEST ONLY</x:t>
        </x:is>
      </x:c>
      <x:c r="N988" s="160" t="inlineStr">
        <x:is>
          <x:t xml:space="preserve">R-X-ACCOUNTING-CASH</x:t>
        </x:is>
      </x:c>
      <x:c r="O988" s="160" t="inlineStr">
        <x:is>
          <x:t xml:space="preserve">UNFORMED</x:t>
        </x:is>
      </x:c>
      <x:c r="P988" s="160" t="inlineStr">
        <x:is>
          <x:t xml:space="preserve">FAILURE EXPOSED</x:t>
        </x:is>
      </x:c>
      <x:c r="Q988" s="160" t="inlineStr">
        <x:is>
          <x:t xml:space="preserve">Single-gate logic misses an interaction between two individually reasonable signals.</x:t>
        </x:is>
      </x:c>
      <x:c r="R988" s="160" t="inlineStr">
        <x:is>
          <x:t xml:space="preserve">Require normalized operating bridge and cash reconciliation whenever non-operating accounting noise exceeds operating earnings.</x:t>
        </x:is>
      </x:c>
      <x:c r="S988" s="160" t="inlineStr">
        <x:is>
          <x:t xml:space="preserve">YES — SIMULATION ONLY</x:t>
        </x:is>
      </x:c>
      <x:c r="T988" s="160" t="inlineStr">
        <x:is>
          <x:t xml:space="preserve">INTERACTION STANDARD</x:t>
        </x:is>
      </x:c>
      <x:c r="U988" s="160" t="inlineStr">
        <x:is>
          <x:t xml:space="preserve">V10.5-SIM88</x:t>
        </x:is>
      </x:c>
      <x:c r="V988" s="160" t="inlineStr">
        <x:is>
          <x:t xml:space="preserve">Synthetic abstract control; no external company data</x:t>
        </x:is>
      </x:c>
      <x:c r="W988" s="160" t="inlineStr">
        <x:is>
          <x:t xml:space="preserve">NO</x:t>
        </x:is>
      </x:c>
      <x:c r="X988" s="160" t="inlineStr">
        <x:is>
          <x:t xml:space="preserve">NONE — NO VALIDATION/HOLDOUT COMPANY USED</x:t>
        </x:is>
      </x:c>
      <x:c r="Y988" s="160" t="inlineStr">
        <x:is>
          <x:t xml:space="preserve">Abstract cross-sector adversarial loop. Used only to test rule interactions; no historical or holdout outcome is claimed.</x:t>
        </x:is>
      </x:c>
    </x:row>
    <x:row r="989">
      <x:c r="A989" s="160" t="inlineStr">
        <x:is>
          <x:t xml:space="preserve">ML0984</x:t>
        </x:is>
      </x:c>
      <x:c r="B989" s="160" t="inlineStr">
        <x:is>
          <x:t xml:space="preserve">ABSTRACT</x:t>
        </x:is>
      </x:c>
      <x:c r="C989" s="160" t="inlineStr">
        <x:is>
          <x:t xml:space="preserve">Acquisition allocator</x:t>
        </x:is>
      </x:c>
      <x:c r="D989" s="160" t="str"/>
      <x:c r="E989" s="160" t="inlineStr">
        <x:is>
          <x:t xml:space="preserve">Cross-sector</x:t>
        </x:is>
      </x:c>
      <x:c r="F989" s="160" t="inlineStr">
        <x:is>
          <x:t xml:space="preserve">Development — Abstract Control</x:t>
        </x:is>
      </x:c>
      <x:c r="G989" s="160" t="inlineStr">
        <x:is>
          <x:t xml:space="preserve">X06</x:t>
        </x:is>
      </x:c>
      <x:c r="H989" s="160" t="inlineStr">
        <x:is>
          <x:t xml:space="preserve">Accounting Noise × Cash</x:t>
        </x:is>
      </x:c>
      <x:c r="I989" s="160" t="inlineStr">
        <x:is>
          <x:t xml:space="preserve">Rule interaction</x:t>
        </x:is>
      </x:c>
      <x:c r="J989" s="160" t="inlineStr">
        <x:is>
          <x:t xml:space="preserve">GAAP profit/loss swings on fair-value, restructuring or one-time items while underlying cash economics change little.</x:t>
        </x:is>
      </x:c>
      <x:c r="K989" s="160" t="inlineStr">
        <x:is>
          <x:t xml:space="preserve">Abstract adversarial archetype; no real company or holdout data used.</x:t>
        </x:is>
      </x:c>
      <x:c r="L989" s="160" t="inlineStr">
        <x:is>
          <x:t xml:space="preserve">Cross-lens interaction stress test</x:t>
        </x:is>
      </x:c>
      <x:c r="M989" s="160" t="inlineStr">
        <x:is>
          <x:t xml:space="preserve">NO PRODUCTION DECISION — STRESS TEST ONLY</x:t>
        </x:is>
      </x:c>
      <x:c r="N989" s="160" t="inlineStr">
        <x:is>
          <x:t xml:space="preserve">R-X-ACCOUNTING-CASH</x:t>
        </x:is>
      </x:c>
      <x:c r="O989" s="160" t="inlineStr">
        <x:is>
          <x:t xml:space="preserve">INTERACTION STANDARD</x:t>
        </x:is>
      </x:c>
      <x:c r="P989" s="160" t="inlineStr">
        <x:is>
          <x:t xml:space="preserve">PARTIAL CATCH</x:t>
        </x:is>
      </x:c>
      <x:c r="Q989" s="160" t="inlineStr">
        <x:is>
          <x:t xml:space="preserve">The interaction rule catches the core conflict; retain both gates and prevent one from overriding the other.</x:t>
        </x:is>
      </x:c>
      <x:c r="R989" s="160" t="inlineStr">
        <x:is>
          <x:t xml:space="preserve">Require normalized operating bridge and cash reconciliation whenever non-operating accounting noise exceeds operating earnings.</x:t>
        </x:is>
      </x:c>
      <x:c r="S989" s="160" t="inlineStr">
        <x:is>
          <x:t xml:space="preserve">NO</x:t>
        </x:is>
      </x:c>
      <x:c r="T989" s="160" t="inlineStr">
        <x:is>
          <x:t xml:space="preserve">INTERACTION STANDARD</x:t>
        </x:is>
      </x:c>
      <x:c r="U989" s="160" t="inlineStr">
        <x:is>
          <x:t xml:space="preserve">V10.5-SIM88</x:t>
        </x:is>
      </x:c>
      <x:c r="V989" s="160" t="inlineStr">
        <x:is>
          <x:t xml:space="preserve">Synthetic abstract control; no external company data</x:t>
        </x:is>
      </x:c>
      <x:c r="W989" s="160" t="inlineStr">
        <x:is>
          <x:t xml:space="preserve">NO</x:t>
        </x:is>
      </x:c>
      <x:c r="X989" s="160" t="inlineStr">
        <x:is>
          <x:t xml:space="preserve">NONE — NO VALIDATION/HOLDOUT COMPANY USED</x:t>
        </x:is>
      </x:c>
      <x:c r="Y989" s="160" t="inlineStr">
        <x:is>
          <x:t xml:space="preserve">Abstract cross-sector adversarial loop. Used only to test rule interactions; no historical or holdout outcome is claimed.</x:t>
        </x:is>
      </x:c>
    </x:row>
    <x:row r="990">
      <x:c r="A990" s="160" t="inlineStr">
        <x:is>
          <x:t xml:space="preserve">ML0985</x:t>
        </x:is>
      </x:c>
      <x:c r="B990" s="160" t="inlineStr">
        <x:is>
          <x:t xml:space="preserve">ABSTRACT</x:t>
        </x:is>
      </x:c>
      <x:c r="C990" s="160" t="inlineStr">
        <x:is>
          <x:t xml:space="preserve">Asset-light compounder</x:t>
        </x:is>
      </x:c>
      <x:c r="D990" s="160" t="str"/>
      <x:c r="E990" s="160" t="inlineStr">
        <x:is>
          <x:t xml:space="preserve">Cross-sector</x:t>
        </x:is>
      </x:c>
      <x:c r="F990" s="160" t="inlineStr">
        <x:is>
          <x:t xml:space="preserve">Development — Abstract Control</x:t>
        </x:is>
      </x:c>
      <x:c r="G990" s="160" t="inlineStr">
        <x:is>
          <x:t xml:space="preserve">X07</x:t>
        </x:is>
      </x:c>
      <x:c r="H990" s="160" t="inlineStr">
        <x:is>
          <x:t xml:space="preserve">Moat × Concentration</x:t>
        </x:is>
      </x:c>
      <x:c r="I990" s="160" t="inlineStr">
        <x:is>
          <x:t xml:space="preserve">Rule interaction</x:t>
        </x:is>
      </x:c>
      <x:c r="J990" s="160" t="inlineStr">
        <x:is>
          <x:t xml:space="preserve">Strong switching costs coexist with one dominant customer/supplier/channel dependency.</x:t>
        </x:is>
      </x:c>
      <x:c r="K990" s="160" t="inlineStr">
        <x:is>
          <x:t xml:space="preserve">Abstract adversarial archetype; no real company or holdout data used.</x:t>
        </x:is>
      </x:c>
      <x:c r="L990" s="160" t="inlineStr">
        <x:is>
          <x:t xml:space="preserve">Cross-lens interaction stress test</x:t>
        </x:is>
      </x:c>
      <x:c r="M990" s="160" t="inlineStr">
        <x:is>
          <x:t xml:space="preserve">NO PRODUCTION DECISION — STRESS TEST ONLY</x:t>
        </x:is>
      </x:c>
      <x:c r="N990" s="160" t="inlineStr">
        <x:is>
          <x:t xml:space="preserve">R-X-MOAT-CONCENTRATION</x:t>
        </x:is>
      </x:c>
      <x:c r="O990" s="160" t="inlineStr">
        <x:is>
          <x:t xml:space="preserve">UNFORMED</x:t>
        </x:is>
      </x:c>
      <x:c r="P990" s="160" t="inlineStr">
        <x:is>
          <x:t xml:space="preserve">FAILURE EXPOSED</x:t>
        </x:is>
      </x:c>
      <x:c r="Q990" s="160" t="inlineStr">
        <x:is>
          <x:t xml:space="preserve">Single-gate logic misses an interaction between two individually reasonable signals.</x:t>
        </x:is>
      </x:c>
      <x:c r="R990" s="160" t="inlineStr">
        <x:is>
          <x:t xml:space="preserve">A moat cannot fully offset concentration tail risk; apply a separate concentration register and MOS premium.</x:t>
        </x:is>
      </x:c>
      <x:c r="S990" s="160" t="inlineStr">
        <x:is>
          <x:t xml:space="preserve">NO</x:t>
        </x:is>
      </x:c>
      <x:c r="T990" s="160" t="inlineStr">
        <x:is>
          <x:t xml:space="preserve">UNFORMED</x:t>
        </x:is>
      </x:c>
      <x:c r="U990" s="160" t="inlineStr">
        <x:is>
          <x:t xml:space="preserve">V10.5-SIM88</x:t>
        </x:is>
      </x:c>
      <x:c r="V990" s="160" t="inlineStr">
        <x:is>
          <x:t xml:space="preserve">Synthetic abstract control; no external company data</x:t>
        </x:is>
      </x:c>
      <x:c r="W990" s="160" t="inlineStr">
        <x:is>
          <x:t xml:space="preserve">NO</x:t>
        </x:is>
      </x:c>
      <x:c r="X990" s="160" t="inlineStr">
        <x:is>
          <x:t xml:space="preserve">NONE — NO VALIDATION/HOLDOUT COMPANY USED</x:t>
        </x:is>
      </x:c>
      <x:c r="Y990" s="160" t="inlineStr">
        <x:is>
          <x:t xml:space="preserve">Abstract cross-sector adversarial loop. Used only to test rule interactions; no historical or holdout outcome is claimed.</x:t>
        </x:is>
      </x:c>
    </x:row>
    <x:row r="991">
      <x:c r="A991" s="160" t="inlineStr">
        <x:is>
          <x:t xml:space="preserve">ML0986</x:t>
        </x:is>
      </x:c>
      <x:c r="B991" s="160" t="inlineStr">
        <x:is>
          <x:t xml:space="preserve">ABSTRACT</x:t>
        </x:is>
      </x:c>
      <x:c r="C991" s="160" t="inlineStr">
        <x:is>
          <x:t xml:space="preserve">Capital-intensive growth</x:t>
        </x:is>
      </x:c>
      <x:c r="D991" s="160" t="str"/>
      <x:c r="E991" s="160" t="inlineStr">
        <x:is>
          <x:t xml:space="preserve">Cross-sector</x:t>
        </x:is>
      </x:c>
      <x:c r="F991" s="160" t="inlineStr">
        <x:is>
          <x:t xml:space="preserve">Development — Abstract Control</x:t>
        </x:is>
      </x:c>
      <x:c r="G991" s="160" t="inlineStr">
        <x:is>
          <x:t xml:space="preserve">X07</x:t>
        </x:is>
      </x:c>
      <x:c r="H991" s="160" t="inlineStr">
        <x:is>
          <x:t xml:space="preserve">Moat × Concentration</x:t>
        </x:is>
      </x:c>
      <x:c r="I991" s="160" t="inlineStr">
        <x:is>
          <x:t xml:space="preserve">Rule interaction</x:t>
        </x:is>
      </x:c>
      <x:c r="J991" s="160" t="inlineStr">
        <x:is>
          <x:t xml:space="preserve">Strong switching costs coexist with one dominant customer/supplier/channel dependency.</x:t>
        </x:is>
      </x:c>
      <x:c r="K991" s="160" t="inlineStr">
        <x:is>
          <x:t xml:space="preserve">Abstract adversarial archetype; no real company or holdout data used.</x:t>
        </x:is>
      </x:c>
      <x:c r="L991" s="160" t="inlineStr">
        <x:is>
          <x:t xml:space="preserve">Cross-lens interaction stress test</x:t>
        </x:is>
      </x:c>
      <x:c r="M991" s="160" t="inlineStr">
        <x:is>
          <x:t xml:space="preserve">NO PRODUCTION DECISION — STRESS TEST ONLY</x:t>
        </x:is>
      </x:c>
      <x:c r="N991" s="160" t="inlineStr">
        <x:is>
          <x:t xml:space="preserve">R-X-MOAT-CONCENTRATION</x:t>
        </x:is>
      </x:c>
      <x:c r="O991" s="160" t="inlineStr">
        <x:is>
          <x:t xml:space="preserve">UNFORMED</x:t>
        </x:is>
      </x:c>
      <x:c r="P991" s="160" t="inlineStr">
        <x:is>
          <x:t xml:space="preserve">FAILURE EXPOSED</x:t>
        </x:is>
      </x:c>
      <x:c r="Q991" s="160" t="inlineStr">
        <x:is>
          <x:t xml:space="preserve">Single-gate logic misses an interaction between two individually reasonable signals.</x:t>
        </x:is>
      </x:c>
      <x:c r="R991" s="160" t="inlineStr">
        <x:is>
          <x:t xml:space="preserve">A moat cannot fully offset concentration tail risk; apply a separate concentration register and MOS premium.</x:t>
        </x:is>
      </x:c>
      <x:c r="S991" s="160" t="inlineStr">
        <x:is>
          <x:t xml:space="preserve">NO</x:t>
        </x:is>
      </x:c>
      <x:c r="T991" s="160" t="inlineStr">
        <x:is>
          <x:t xml:space="preserve">UNFORMED</x:t>
        </x:is>
      </x:c>
      <x:c r="U991" s="160" t="inlineStr">
        <x:is>
          <x:t xml:space="preserve">V10.5-SIM88</x:t>
        </x:is>
      </x:c>
      <x:c r="V991" s="160" t="inlineStr">
        <x:is>
          <x:t xml:space="preserve">Synthetic abstract control; no external company data</x:t>
        </x:is>
      </x:c>
      <x:c r="W991" s="160" t="inlineStr">
        <x:is>
          <x:t xml:space="preserve">NO</x:t>
        </x:is>
      </x:c>
      <x:c r="X991" s="160" t="inlineStr">
        <x:is>
          <x:t xml:space="preserve">NONE — NO VALIDATION/HOLDOUT COMPANY USED</x:t>
        </x:is>
      </x:c>
      <x:c r="Y991" s="160" t="inlineStr">
        <x:is>
          <x:t xml:space="preserve">Abstract cross-sector adversarial loop. Used only to test rule interactions; no historical or holdout outcome is claimed.</x:t>
        </x:is>
      </x:c>
    </x:row>
    <x:row r="992">
      <x:c r="A992" s="160" t="inlineStr">
        <x:is>
          <x:t xml:space="preserve">ML0987</x:t>
        </x:is>
      </x:c>
      <x:c r="B992" s="160" t="inlineStr">
        <x:is>
          <x:t xml:space="preserve">ABSTRACT</x:t>
        </x:is>
      </x:c>
      <x:c r="C992" s="160" t="inlineStr">
        <x:is>
          <x:t xml:space="preserve">Cyclical asset owner</x:t>
        </x:is>
      </x:c>
      <x:c r="D992" s="160" t="str"/>
      <x:c r="E992" s="160" t="inlineStr">
        <x:is>
          <x:t xml:space="preserve">Cross-sector</x:t>
        </x:is>
      </x:c>
      <x:c r="F992" s="160" t="inlineStr">
        <x:is>
          <x:t xml:space="preserve">Development — Abstract Control</x:t>
        </x:is>
      </x:c>
      <x:c r="G992" s="160" t="inlineStr">
        <x:is>
          <x:t xml:space="preserve">X07</x:t>
        </x:is>
      </x:c>
      <x:c r="H992" s="160" t="inlineStr">
        <x:is>
          <x:t xml:space="preserve">Moat × Concentration</x:t>
        </x:is>
      </x:c>
      <x:c r="I992" s="160" t="inlineStr">
        <x:is>
          <x:t xml:space="preserve">Rule interaction</x:t>
        </x:is>
      </x:c>
      <x:c r="J992" s="160" t="inlineStr">
        <x:is>
          <x:t xml:space="preserve">Strong switching costs coexist with one dominant customer/supplier/channel dependency.</x:t>
        </x:is>
      </x:c>
      <x:c r="K992" s="160" t="inlineStr">
        <x:is>
          <x:t xml:space="preserve">Abstract adversarial archetype; no real company or holdout data used.</x:t>
        </x:is>
      </x:c>
      <x:c r="L992" s="160" t="inlineStr">
        <x:is>
          <x:t xml:space="preserve">Cross-lens interaction stress test</x:t>
        </x:is>
      </x:c>
      <x:c r="M992" s="160" t="inlineStr">
        <x:is>
          <x:t xml:space="preserve">NO PRODUCTION DECISION — STRESS TEST ONLY</x:t>
        </x:is>
      </x:c>
      <x:c r="N992" s="160" t="inlineStr">
        <x:is>
          <x:t xml:space="preserve">R-X-MOAT-CONCENTRATION</x:t>
        </x:is>
      </x:c>
      <x:c r="O992" s="160" t="inlineStr">
        <x:is>
          <x:t xml:space="preserve">UNFORMED</x:t>
        </x:is>
      </x:c>
      <x:c r="P992" s="160" t="inlineStr">
        <x:is>
          <x:t xml:space="preserve">FAILURE EXPOSED</x:t>
        </x:is>
      </x:c>
      <x:c r="Q992" s="160" t="inlineStr">
        <x:is>
          <x:t xml:space="preserve">Single-gate logic misses an interaction between two individually reasonable signals.</x:t>
        </x:is>
      </x:c>
      <x:c r="R992" s="160" t="inlineStr">
        <x:is>
          <x:t xml:space="preserve">A moat cannot fully offset concentration tail risk; apply a separate concentration register and MOS premium.</x:t>
        </x:is>
      </x:c>
      <x:c r="S992" s="160" t="inlineStr">
        <x:is>
          <x:t xml:space="preserve">YES — SIMULATION ONLY</x:t>
        </x:is>
      </x:c>
      <x:c r="T992" s="160" t="inlineStr">
        <x:is>
          <x:t xml:space="preserve">INTERACTION STANDARD</x:t>
        </x:is>
      </x:c>
      <x:c r="U992" s="160" t="inlineStr">
        <x:is>
          <x:t xml:space="preserve">V10.5-SIM89</x:t>
        </x:is>
      </x:c>
      <x:c r="V992" s="160" t="inlineStr">
        <x:is>
          <x:t xml:space="preserve">Synthetic abstract control; no external company data</x:t>
        </x:is>
      </x:c>
      <x:c r="W992" s="160" t="inlineStr">
        <x:is>
          <x:t xml:space="preserve">NO</x:t>
        </x:is>
      </x:c>
      <x:c r="X992" s="160" t="inlineStr">
        <x:is>
          <x:t xml:space="preserve">NONE — NO VALIDATION/HOLDOUT COMPANY USED</x:t>
        </x:is>
      </x:c>
      <x:c r="Y992" s="160" t="inlineStr">
        <x:is>
          <x:t xml:space="preserve">Abstract cross-sector adversarial loop. Used only to test rule interactions; no historical or holdout outcome is claimed.</x:t>
        </x:is>
      </x:c>
    </x:row>
    <x:row r="993">
      <x:c r="A993" s="160" t="inlineStr">
        <x:is>
          <x:t xml:space="preserve">ML0988</x:t>
        </x:is>
      </x:c>
      <x:c r="B993" s="160" t="inlineStr">
        <x:is>
          <x:t xml:space="preserve">ABSTRACT</x:t>
        </x:is>
      </x:c>
      <x:c r="C993" s="160" t="inlineStr">
        <x:is>
          <x:t xml:space="preserve">Acquisition allocator</x:t>
        </x:is>
      </x:c>
      <x:c r="D993" s="160" t="str"/>
      <x:c r="E993" s="160" t="inlineStr">
        <x:is>
          <x:t xml:space="preserve">Cross-sector</x:t>
        </x:is>
      </x:c>
      <x:c r="F993" s="160" t="inlineStr">
        <x:is>
          <x:t xml:space="preserve">Development — Abstract Control</x:t>
        </x:is>
      </x:c>
      <x:c r="G993" s="160" t="inlineStr">
        <x:is>
          <x:t xml:space="preserve">X07</x:t>
        </x:is>
      </x:c>
      <x:c r="H993" s="160" t="inlineStr">
        <x:is>
          <x:t xml:space="preserve">Moat × Concentration</x:t>
        </x:is>
      </x:c>
      <x:c r="I993" s="160" t="inlineStr">
        <x:is>
          <x:t xml:space="preserve">Rule interaction</x:t>
        </x:is>
      </x:c>
      <x:c r="J993" s="160" t="inlineStr">
        <x:is>
          <x:t xml:space="preserve">Strong switching costs coexist with one dominant customer/supplier/channel dependency.</x:t>
        </x:is>
      </x:c>
      <x:c r="K993" s="160" t="inlineStr">
        <x:is>
          <x:t xml:space="preserve">Abstract adversarial archetype; no real company or holdout data used.</x:t>
        </x:is>
      </x:c>
      <x:c r="L993" s="160" t="inlineStr">
        <x:is>
          <x:t xml:space="preserve">Cross-lens interaction stress test</x:t>
        </x:is>
      </x:c>
      <x:c r="M993" s="160" t="inlineStr">
        <x:is>
          <x:t xml:space="preserve">NO PRODUCTION DECISION — STRESS TEST ONLY</x:t>
        </x:is>
      </x:c>
      <x:c r="N993" s="160" t="inlineStr">
        <x:is>
          <x:t xml:space="preserve">R-X-MOAT-CONCENTRATION</x:t>
        </x:is>
      </x:c>
      <x:c r="O993" s="160" t="inlineStr">
        <x:is>
          <x:t xml:space="preserve">INTERACTION STANDARD</x:t>
        </x:is>
      </x:c>
      <x:c r="P993" s="160" t="inlineStr">
        <x:is>
          <x:t xml:space="preserve">PARTIAL CATCH</x:t>
        </x:is>
      </x:c>
      <x:c r="Q993" s="160" t="inlineStr">
        <x:is>
          <x:t xml:space="preserve">The interaction rule catches the core conflict; retain both gates and prevent one from overriding the other.</x:t>
        </x:is>
      </x:c>
      <x:c r="R993" s="160" t="inlineStr">
        <x:is>
          <x:t xml:space="preserve">A moat cannot fully offset concentration tail risk; apply a separate concentration register and MOS premium.</x:t>
        </x:is>
      </x:c>
      <x:c r="S993" s="160" t="inlineStr">
        <x:is>
          <x:t xml:space="preserve">NO</x:t>
        </x:is>
      </x:c>
      <x:c r="T993" s="160" t="inlineStr">
        <x:is>
          <x:t xml:space="preserve">INTERACTION STANDARD</x:t>
        </x:is>
      </x:c>
      <x:c r="U993" s="160" t="inlineStr">
        <x:is>
          <x:t xml:space="preserve">V10.5-SIM89</x:t>
        </x:is>
      </x:c>
      <x:c r="V993" s="160" t="inlineStr">
        <x:is>
          <x:t xml:space="preserve">Synthetic abstract control; no external company data</x:t>
        </x:is>
      </x:c>
      <x:c r="W993" s="160" t="inlineStr">
        <x:is>
          <x:t xml:space="preserve">NO</x:t>
        </x:is>
      </x:c>
      <x:c r="X993" s="160" t="inlineStr">
        <x:is>
          <x:t xml:space="preserve">NONE — NO VALIDATION/HOLDOUT COMPANY USED</x:t>
        </x:is>
      </x:c>
      <x:c r="Y993" s="160" t="inlineStr">
        <x:is>
          <x:t xml:space="preserve">Abstract cross-sector adversarial loop. Used only to test rule interactions; no historical or holdout outcome is claimed.</x:t>
        </x:is>
      </x:c>
    </x:row>
    <x:row r="994">
      <x:c r="A994" s="160" t="inlineStr">
        <x:is>
          <x:t xml:space="preserve">ML0989</x:t>
        </x:is>
      </x:c>
      <x:c r="B994" s="160" t="inlineStr">
        <x:is>
          <x:t xml:space="preserve">ABSTRACT</x:t>
        </x:is>
      </x:c>
      <x:c r="C994" s="160" t="inlineStr">
        <x:is>
          <x:t xml:space="preserve">Asset-light compounder</x:t>
        </x:is>
      </x:c>
      <x:c r="D994" s="160" t="str"/>
      <x:c r="E994" s="160" t="inlineStr">
        <x:is>
          <x:t xml:space="preserve">Cross-sector</x:t>
        </x:is>
      </x:c>
      <x:c r="F994" s="160" t="inlineStr">
        <x:is>
          <x:t xml:space="preserve">Development — Abstract Control</x:t>
        </x:is>
      </x:c>
      <x:c r="G994" s="160" t="inlineStr">
        <x:is>
          <x:t xml:space="preserve">X08</x:t>
        </x:is>
      </x:c>
      <x:c r="H994" s="160" t="inlineStr">
        <x:is>
          <x:t xml:space="preserve">Geopolitics × Survival</x:t>
        </x:is>
      </x:c>
      <x:c r="I994" s="160" t="inlineStr">
        <x:is>
          <x:t xml:space="preserve">Rule interaction</x:t>
        </x:is>
      </x:c>
      <x:c r="J994" s="160" t="inlineStr">
        <x:is>
          <x:t xml:space="preserve">World-class economics coexist with a low-probability, high-severity geopolitical or regulatory impairment path.</x:t>
        </x:is>
      </x:c>
      <x:c r="K994" s="160" t="inlineStr">
        <x:is>
          <x:t xml:space="preserve">Abstract adversarial archetype; no real company or holdout data used.</x:t>
        </x:is>
      </x:c>
      <x:c r="L994" s="160" t="inlineStr">
        <x:is>
          <x:t xml:space="preserve">Cross-lens interaction stress test</x:t>
        </x:is>
      </x:c>
      <x:c r="M994" s="160" t="inlineStr">
        <x:is>
          <x:t xml:space="preserve">NO PRODUCTION DECISION — STRESS TEST ONLY</x:t>
        </x:is>
      </x:c>
      <x:c r="N994" s="160" t="inlineStr">
        <x:is>
          <x:t xml:space="preserve">R-X-GEO-SURVIVAL</x:t>
        </x:is>
      </x:c>
      <x:c r="O994" s="160" t="inlineStr">
        <x:is>
          <x:t xml:space="preserve">UNFORMED</x:t>
        </x:is>
      </x:c>
      <x:c r="P994" s="160" t="inlineStr">
        <x:is>
          <x:t xml:space="preserve">FAILURE EXPOSED</x:t>
        </x:is>
      </x:c>
      <x:c r="Q994" s="160" t="inlineStr">
        <x:is>
          <x:t xml:space="preserve">Single-gate logic misses an interaction between two individually reasonable signals.</x:t>
        </x:is>
      </x:c>
      <x:c r="R994" s="160" t="inlineStr">
        <x:is>
          <x:t xml:space="preserve">Model permanent-loss tails separately from ordinary beta and require explicit resilience/alternative-capacity evidence.</x:t>
        </x:is>
      </x:c>
      <x:c r="S994" s="160" t="inlineStr">
        <x:is>
          <x:t xml:space="preserve">NO</x:t>
        </x:is>
      </x:c>
      <x:c r="T994" s="160" t="inlineStr">
        <x:is>
          <x:t xml:space="preserve">UNFORMED</x:t>
        </x:is>
      </x:c>
      <x:c r="U994" s="160" t="inlineStr">
        <x:is>
          <x:t xml:space="preserve">V10.5-SIM89</x:t>
        </x:is>
      </x:c>
      <x:c r="V994" s="160" t="inlineStr">
        <x:is>
          <x:t xml:space="preserve">Synthetic abstract control; no external company data</x:t>
        </x:is>
      </x:c>
      <x:c r="W994" s="160" t="inlineStr">
        <x:is>
          <x:t xml:space="preserve">NO</x:t>
        </x:is>
      </x:c>
      <x:c r="X994" s="160" t="inlineStr">
        <x:is>
          <x:t xml:space="preserve">NONE — NO VALIDATION/HOLDOUT COMPANY USED</x:t>
        </x:is>
      </x:c>
      <x:c r="Y994" s="160" t="inlineStr">
        <x:is>
          <x:t xml:space="preserve">Abstract cross-sector adversarial loop. Used only to test rule interactions; no historical or holdout outcome is claimed.</x:t>
        </x:is>
      </x:c>
    </x:row>
    <x:row r="995">
      <x:c r="A995" s="160" t="inlineStr">
        <x:is>
          <x:t xml:space="preserve">ML0990</x:t>
        </x:is>
      </x:c>
      <x:c r="B995" s="160" t="inlineStr">
        <x:is>
          <x:t xml:space="preserve">ABSTRACT</x:t>
        </x:is>
      </x:c>
      <x:c r="C995" s="160" t="inlineStr">
        <x:is>
          <x:t xml:space="preserve">Capital-intensive growth</x:t>
        </x:is>
      </x:c>
      <x:c r="D995" s="160" t="str"/>
      <x:c r="E995" s="160" t="inlineStr">
        <x:is>
          <x:t xml:space="preserve">Cross-sector</x:t>
        </x:is>
      </x:c>
      <x:c r="F995" s="160" t="inlineStr">
        <x:is>
          <x:t xml:space="preserve">Development — Abstract Control</x:t>
        </x:is>
      </x:c>
      <x:c r="G995" s="160" t="inlineStr">
        <x:is>
          <x:t xml:space="preserve">X08</x:t>
        </x:is>
      </x:c>
      <x:c r="H995" s="160" t="inlineStr">
        <x:is>
          <x:t xml:space="preserve">Geopolitics × Survival</x:t>
        </x:is>
      </x:c>
      <x:c r="I995" s="160" t="inlineStr">
        <x:is>
          <x:t xml:space="preserve">Rule interaction</x:t>
        </x:is>
      </x:c>
      <x:c r="J995" s="160" t="inlineStr">
        <x:is>
          <x:t xml:space="preserve">World-class economics coexist with a low-probability, high-severity geopolitical or regulatory impairment path.</x:t>
        </x:is>
      </x:c>
      <x:c r="K995" s="160" t="inlineStr">
        <x:is>
          <x:t xml:space="preserve">Abstract adversarial archetype; no real company or holdout data used.</x:t>
        </x:is>
      </x:c>
      <x:c r="L995" s="160" t="inlineStr">
        <x:is>
          <x:t xml:space="preserve">Cross-lens interaction stress test</x:t>
        </x:is>
      </x:c>
      <x:c r="M995" s="160" t="inlineStr">
        <x:is>
          <x:t xml:space="preserve">NO PRODUCTION DECISION — STRESS TEST ONLY</x:t>
        </x:is>
      </x:c>
      <x:c r="N995" s="160" t="inlineStr">
        <x:is>
          <x:t xml:space="preserve">R-X-GEO-SURVIVAL</x:t>
        </x:is>
      </x:c>
      <x:c r="O995" s="160" t="inlineStr">
        <x:is>
          <x:t xml:space="preserve">UNFORMED</x:t>
        </x:is>
      </x:c>
      <x:c r="P995" s="160" t="inlineStr">
        <x:is>
          <x:t xml:space="preserve">FAILURE EXPOSED</x:t>
        </x:is>
      </x:c>
      <x:c r="Q995" s="160" t="inlineStr">
        <x:is>
          <x:t xml:space="preserve">Single-gate logic misses an interaction between two individually reasonable signals.</x:t>
        </x:is>
      </x:c>
      <x:c r="R995" s="160" t="inlineStr">
        <x:is>
          <x:t xml:space="preserve">Model permanent-loss tails separately from ordinary beta and require explicit resilience/alternative-capacity evidence.</x:t>
        </x:is>
      </x:c>
      <x:c r="S995" s="160" t="inlineStr">
        <x:is>
          <x:t xml:space="preserve">NO</x:t>
        </x:is>
      </x:c>
      <x:c r="T995" s="160" t="inlineStr">
        <x:is>
          <x:t xml:space="preserve">UNFORMED</x:t>
        </x:is>
      </x:c>
      <x:c r="U995" s="160" t="inlineStr">
        <x:is>
          <x:t xml:space="preserve">V10.5-SIM89</x:t>
        </x:is>
      </x:c>
      <x:c r="V995" s="160" t="inlineStr">
        <x:is>
          <x:t xml:space="preserve">Synthetic abstract control; no external company data</x:t>
        </x:is>
      </x:c>
      <x:c r="W995" s="160" t="inlineStr">
        <x:is>
          <x:t xml:space="preserve">NO</x:t>
        </x:is>
      </x:c>
      <x:c r="X995" s="160" t="inlineStr">
        <x:is>
          <x:t xml:space="preserve">NONE — NO VALIDATION/HOLDOUT COMPANY USED</x:t>
        </x:is>
      </x:c>
      <x:c r="Y995" s="160" t="inlineStr">
        <x:is>
          <x:t xml:space="preserve">Abstract cross-sector adversarial loop. Used only to test rule interactions; no historical or holdout outcome is claimed.</x:t>
        </x:is>
      </x:c>
    </x:row>
    <x:row r="996">
      <x:c r="A996" s="160" t="inlineStr">
        <x:is>
          <x:t xml:space="preserve">ML0991</x:t>
        </x:is>
      </x:c>
      <x:c r="B996" s="160" t="inlineStr">
        <x:is>
          <x:t xml:space="preserve">ABSTRACT</x:t>
        </x:is>
      </x:c>
      <x:c r="C996" s="160" t="inlineStr">
        <x:is>
          <x:t xml:space="preserve">Cyclical asset owner</x:t>
        </x:is>
      </x:c>
      <x:c r="D996" s="160" t="str"/>
      <x:c r="E996" s="160" t="inlineStr">
        <x:is>
          <x:t xml:space="preserve">Cross-sector</x:t>
        </x:is>
      </x:c>
      <x:c r="F996" s="160" t="inlineStr">
        <x:is>
          <x:t xml:space="preserve">Development — Abstract Control</x:t>
        </x:is>
      </x:c>
      <x:c r="G996" s="160" t="inlineStr">
        <x:is>
          <x:t xml:space="preserve">X08</x:t>
        </x:is>
      </x:c>
      <x:c r="H996" s="160" t="inlineStr">
        <x:is>
          <x:t xml:space="preserve">Geopolitics × Survival</x:t>
        </x:is>
      </x:c>
      <x:c r="I996" s="160" t="inlineStr">
        <x:is>
          <x:t xml:space="preserve">Rule interaction</x:t>
        </x:is>
      </x:c>
      <x:c r="J996" s="160" t="inlineStr">
        <x:is>
          <x:t xml:space="preserve">World-class economics coexist with a low-probability, high-severity geopolitical or regulatory impairment path.</x:t>
        </x:is>
      </x:c>
      <x:c r="K996" s="160" t="inlineStr">
        <x:is>
          <x:t xml:space="preserve">Abstract adversarial archetype; no real company or holdout data used.</x:t>
        </x:is>
      </x:c>
      <x:c r="L996" s="160" t="inlineStr">
        <x:is>
          <x:t xml:space="preserve">Cross-lens interaction stress test</x:t>
        </x:is>
      </x:c>
      <x:c r="M996" s="160" t="inlineStr">
        <x:is>
          <x:t xml:space="preserve">NO PRODUCTION DECISION — STRESS TEST ONLY</x:t>
        </x:is>
      </x:c>
      <x:c r="N996" s="160" t="inlineStr">
        <x:is>
          <x:t xml:space="preserve">R-X-GEO-SURVIVAL</x:t>
        </x:is>
      </x:c>
      <x:c r="O996" s="160" t="inlineStr">
        <x:is>
          <x:t xml:space="preserve">UNFORMED</x:t>
        </x:is>
      </x:c>
      <x:c r="P996" s="160" t="inlineStr">
        <x:is>
          <x:t xml:space="preserve">FAILURE EXPOSED</x:t>
        </x:is>
      </x:c>
      <x:c r="Q996" s="160" t="inlineStr">
        <x:is>
          <x:t xml:space="preserve">Single-gate logic misses an interaction between two individually reasonable signals.</x:t>
        </x:is>
      </x:c>
      <x:c r="R996" s="160" t="inlineStr">
        <x:is>
          <x:t xml:space="preserve">Model permanent-loss tails separately from ordinary beta and require explicit resilience/alternative-capacity evidence.</x:t>
        </x:is>
      </x:c>
      <x:c r="S996" s="160" t="inlineStr">
        <x:is>
          <x:t xml:space="preserve">YES — SIMULATION ONLY</x:t>
        </x:is>
      </x:c>
      <x:c r="T996" s="160" t="inlineStr">
        <x:is>
          <x:t xml:space="preserve">INTERACTION STANDARD</x:t>
        </x:is>
      </x:c>
      <x:c r="U996" s="160" t="inlineStr">
        <x:is>
          <x:t xml:space="preserve">V10.5-SIM90</x:t>
        </x:is>
      </x:c>
      <x:c r="V996" s="160" t="inlineStr">
        <x:is>
          <x:t xml:space="preserve">Synthetic abstract control; no external company data</x:t>
        </x:is>
      </x:c>
      <x:c r="W996" s="160" t="inlineStr">
        <x:is>
          <x:t xml:space="preserve">NO</x:t>
        </x:is>
      </x:c>
      <x:c r="X996" s="160" t="inlineStr">
        <x:is>
          <x:t xml:space="preserve">NONE — NO VALIDATION/HOLDOUT COMPANY USED</x:t>
        </x:is>
      </x:c>
      <x:c r="Y996" s="160" t="inlineStr">
        <x:is>
          <x:t xml:space="preserve">Abstract cross-sector adversarial loop. Used only to test rule interactions; no historical or holdout outcome is claimed.</x:t>
        </x:is>
      </x:c>
    </x:row>
    <x:row r="997">
      <x:c r="A997" s="160" t="inlineStr">
        <x:is>
          <x:t xml:space="preserve">ML0992</x:t>
        </x:is>
      </x:c>
      <x:c r="B997" s="160" t="inlineStr">
        <x:is>
          <x:t xml:space="preserve">ABSTRACT</x:t>
        </x:is>
      </x:c>
      <x:c r="C997" s="160" t="inlineStr">
        <x:is>
          <x:t xml:space="preserve">Acquisition allocator</x:t>
        </x:is>
      </x:c>
      <x:c r="D997" s="160" t="str"/>
      <x:c r="E997" s="160" t="inlineStr">
        <x:is>
          <x:t xml:space="preserve">Cross-sector</x:t>
        </x:is>
      </x:c>
      <x:c r="F997" s="160" t="inlineStr">
        <x:is>
          <x:t xml:space="preserve">Development — Abstract Control</x:t>
        </x:is>
      </x:c>
      <x:c r="G997" s="160" t="inlineStr">
        <x:is>
          <x:t xml:space="preserve">X08</x:t>
        </x:is>
      </x:c>
      <x:c r="H997" s="160" t="inlineStr">
        <x:is>
          <x:t xml:space="preserve">Geopolitics × Survival</x:t>
        </x:is>
      </x:c>
      <x:c r="I997" s="160" t="inlineStr">
        <x:is>
          <x:t xml:space="preserve">Rule interaction</x:t>
        </x:is>
      </x:c>
      <x:c r="J997" s="160" t="inlineStr">
        <x:is>
          <x:t xml:space="preserve">World-class economics coexist with a low-probability, high-severity geopolitical or regulatory impairment path.</x:t>
        </x:is>
      </x:c>
      <x:c r="K997" s="160" t="inlineStr">
        <x:is>
          <x:t xml:space="preserve">Abstract adversarial archetype; no real company or holdout data used.</x:t>
        </x:is>
      </x:c>
      <x:c r="L997" s="160" t="inlineStr">
        <x:is>
          <x:t xml:space="preserve">Cross-lens interaction stress test</x:t>
        </x:is>
      </x:c>
      <x:c r="M997" s="160" t="inlineStr">
        <x:is>
          <x:t xml:space="preserve">NO PRODUCTION DECISION — STRESS TEST ONLY</x:t>
        </x:is>
      </x:c>
      <x:c r="N997" s="160" t="inlineStr">
        <x:is>
          <x:t xml:space="preserve">R-X-GEO-SURVIVAL</x:t>
        </x:is>
      </x:c>
      <x:c r="O997" s="160" t="inlineStr">
        <x:is>
          <x:t xml:space="preserve">INTERACTION STANDARD</x:t>
        </x:is>
      </x:c>
      <x:c r="P997" s="160" t="inlineStr">
        <x:is>
          <x:t xml:space="preserve">PARTIAL CATCH</x:t>
        </x:is>
      </x:c>
      <x:c r="Q997" s="160" t="inlineStr">
        <x:is>
          <x:t xml:space="preserve">The interaction rule catches the core conflict; retain both gates and prevent one from overriding the other.</x:t>
        </x:is>
      </x:c>
      <x:c r="R997" s="160" t="inlineStr">
        <x:is>
          <x:t xml:space="preserve">Model permanent-loss tails separately from ordinary beta and require explicit resilience/alternative-capacity evidence.</x:t>
        </x:is>
      </x:c>
      <x:c r="S997" s="160" t="inlineStr">
        <x:is>
          <x:t xml:space="preserve">NO</x:t>
        </x:is>
      </x:c>
      <x:c r="T997" s="160" t="inlineStr">
        <x:is>
          <x:t xml:space="preserve">INTERACTION STANDARD</x:t>
        </x:is>
      </x:c>
      <x:c r="U997" s="160" t="inlineStr">
        <x:is>
          <x:t xml:space="preserve">V10.5-SIM90</x:t>
        </x:is>
      </x:c>
      <x:c r="V997" s="160" t="inlineStr">
        <x:is>
          <x:t xml:space="preserve">Synthetic abstract control; no external company data</x:t>
        </x:is>
      </x:c>
      <x:c r="W997" s="160" t="inlineStr">
        <x:is>
          <x:t xml:space="preserve">NO</x:t>
        </x:is>
      </x:c>
      <x:c r="X997" s="160" t="inlineStr">
        <x:is>
          <x:t xml:space="preserve">NONE — NO VALIDATION/HOLDOUT COMPANY USED</x:t>
        </x:is>
      </x:c>
      <x:c r="Y997" s="160" t="inlineStr">
        <x:is>
          <x:t xml:space="preserve">Abstract cross-sector adversarial loop. Used only to test rule interactions; no historical or holdout outcome is claimed.</x:t>
        </x:is>
      </x:c>
    </x:row>
    <x:row r="998">
      <x:c r="A998" s="160" t="inlineStr">
        <x:is>
          <x:t xml:space="preserve">ML0993</x:t>
        </x:is>
      </x:c>
      <x:c r="B998" s="160" t="inlineStr">
        <x:is>
          <x:t xml:space="preserve">ABSTRACT</x:t>
        </x:is>
      </x:c>
      <x:c r="C998" s="160" t="inlineStr">
        <x:is>
          <x:t xml:space="preserve">Asset-light compounder</x:t>
        </x:is>
      </x:c>
      <x:c r="D998" s="160" t="str"/>
      <x:c r="E998" s="160" t="inlineStr">
        <x:is>
          <x:t xml:space="preserve">Cross-sector</x:t>
        </x:is>
      </x:c>
      <x:c r="F998" s="160" t="inlineStr">
        <x:is>
          <x:t xml:space="preserve">Development — Abstract Control</x:t>
        </x:is>
      </x:c>
      <x:c r="G998" s="160" t="inlineStr">
        <x:is>
          <x:t xml:space="preserve">X09</x:t>
        </x:is>
      </x:c>
      <x:c r="H998" s="160" t="inlineStr">
        <x:is>
          <x:t xml:space="preserve">Backlog × Working Capital</x:t>
        </x:is>
      </x:c>
      <x:c r="I998" s="160" t="inlineStr">
        <x:is>
          <x:t xml:space="preserve">Rule interaction</x:t>
        </x:is>
      </x:c>
      <x:c r="J998" s="160" t="inlineStr">
        <x:is>
          <x:t xml:space="preserve">Backlog grows rapidly but cash conversion deteriorates because project execution absorbs working capital.</x:t>
        </x:is>
      </x:c>
      <x:c r="K998" s="160" t="inlineStr">
        <x:is>
          <x:t xml:space="preserve">Abstract adversarial archetype; no real company or holdout data used.</x:t>
        </x:is>
      </x:c>
      <x:c r="L998" s="160" t="inlineStr">
        <x:is>
          <x:t xml:space="preserve">Cross-lens interaction stress test</x:t>
        </x:is>
      </x:c>
      <x:c r="M998" s="160" t="inlineStr">
        <x:is>
          <x:t xml:space="preserve">NO PRODUCTION DECISION — STRESS TEST ONLY</x:t>
        </x:is>
      </x:c>
      <x:c r="N998" s="160" t="inlineStr">
        <x:is>
          <x:t xml:space="preserve">R-X-BACKLOG-WC</x:t>
        </x:is>
      </x:c>
      <x:c r="O998" s="160" t="inlineStr">
        <x:is>
          <x:t xml:space="preserve">UNFORMED</x:t>
        </x:is>
      </x:c>
      <x:c r="P998" s="160" t="inlineStr">
        <x:is>
          <x:t xml:space="preserve">FAILURE EXPOSED</x:t>
        </x:is>
      </x:c>
      <x:c r="Q998" s="160" t="inlineStr">
        <x:is>
          <x:t xml:space="preserve">Single-gate logic misses an interaction between two individually reasonable signals.</x:t>
        </x:is>
      </x:c>
      <x:c r="R998" s="160" t="inlineStr">
        <x:is>
          <x:t xml:space="preserve">Score backlog quality by margin, cancellation, execution capacity and cash-conversion profile—not headline dollars.</x:t>
        </x:is>
      </x:c>
      <x:c r="S998" s="160" t="inlineStr">
        <x:is>
          <x:t xml:space="preserve">NO</x:t>
        </x:is>
      </x:c>
      <x:c r="T998" s="160" t="inlineStr">
        <x:is>
          <x:t xml:space="preserve">UNFORMED</x:t>
        </x:is>
      </x:c>
      <x:c r="U998" s="160" t="inlineStr">
        <x:is>
          <x:t xml:space="preserve">V10.5-SIM90</x:t>
        </x:is>
      </x:c>
      <x:c r="V998" s="160" t="inlineStr">
        <x:is>
          <x:t xml:space="preserve">Synthetic abstract control; no external company data</x:t>
        </x:is>
      </x:c>
      <x:c r="W998" s="160" t="inlineStr">
        <x:is>
          <x:t xml:space="preserve">NO</x:t>
        </x:is>
      </x:c>
      <x:c r="X998" s="160" t="inlineStr">
        <x:is>
          <x:t xml:space="preserve">NONE — NO VALIDATION/HOLDOUT COMPANY USED</x:t>
        </x:is>
      </x:c>
      <x:c r="Y998" s="160" t="inlineStr">
        <x:is>
          <x:t xml:space="preserve">Abstract cross-sector adversarial loop. Used only to test rule interactions; no historical or holdout outcome is claimed.</x:t>
        </x:is>
      </x:c>
    </x:row>
    <x:row r="999">
      <x:c r="A999" s="160" t="inlineStr">
        <x:is>
          <x:t xml:space="preserve">ML0994</x:t>
        </x:is>
      </x:c>
      <x:c r="B999" s="160" t="inlineStr">
        <x:is>
          <x:t xml:space="preserve">ABSTRACT</x:t>
        </x:is>
      </x:c>
      <x:c r="C999" s="160" t="inlineStr">
        <x:is>
          <x:t xml:space="preserve">Capital-intensive growth</x:t>
        </x:is>
      </x:c>
      <x:c r="D999" s="160" t="str"/>
      <x:c r="E999" s="160" t="inlineStr">
        <x:is>
          <x:t xml:space="preserve">Cross-sector</x:t>
        </x:is>
      </x:c>
      <x:c r="F999" s="160" t="inlineStr">
        <x:is>
          <x:t xml:space="preserve">Development — Abstract Control</x:t>
        </x:is>
      </x:c>
      <x:c r="G999" s="160" t="inlineStr">
        <x:is>
          <x:t xml:space="preserve">X09</x:t>
        </x:is>
      </x:c>
      <x:c r="H999" s="160" t="inlineStr">
        <x:is>
          <x:t xml:space="preserve">Backlog × Working Capital</x:t>
        </x:is>
      </x:c>
      <x:c r="I999" s="160" t="inlineStr">
        <x:is>
          <x:t xml:space="preserve">Rule interaction</x:t>
        </x:is>
      </x:c>
      <x:c r="J999" s="160" t="inlineStr">
        <x:is>
          <x:t xml:space="preserve">Backlog grows rapidly but cash conversion deteriorates because project execution absorbs working capital.</x:t>
        </x:is>
      </x:c>
      <x:c r="K999" s="160" t="inlineStr">
        <x:is>
          <x:t xml:space="preserve">Abstract adversarial archetype; no real company or holdout data used.</x:t>
        </x:is>
      </x:c>
      <x:c r="L999" s="160" t="inlineStr">
        <x:is>
          <x:t xml:space="preserve">Cross-lens interaction stress test</x:t>
        </x:is>
      </x:c>
      <x:c r="M999" s="160" t="inlineStr">
        <x:is>
          <x:t xml:space="preserve">NO PRODUCTION DECISION — STRESS TEST ONLY</x:t>
        </x:is>
      </x:c>
      <x:c r="N999" s="160" t="inlineStr">
        <x:is>
          <x:t xml:space="preserve">R-X-BACKLOG-WC</x:t>
        </x:is>
      </x:c>
      <x:c r="O999" s="160" t="inlineStr">
        <x:is>
          <x:t xml:space="preserve">UNFORMED</x:t>
        </x:is>
      </x:c>
      <x:c r="P999" s="160" t="inlineStr">
        <x:is>
          <x:t xml:space="preserve">FAILURE EXPOSED</x:t>
        </x:is>
      </x:c>
      <x:c r="Q999" s="160" t="inlineStr">
        <x:is>
          <x:t xml:space="preserve">Single-gate logic misses an interaction between two individually reasonable signals.</x:t>
        </x:is>
      </x:c>
      <x:c r="R999" s="160" t="inlineStr">
        <x:is>
          <x:t xml:space="preserve">Score backlog quality by margin, cancellation, execution capacity and cash-conversion profile—not headline dollars.</x:t>
        </x:is>
      </x:c>
      <x:c r="S999" s="160" t="inlineStr">
        <x:is>
          <x:t xml:space="preserve">NO</x:t>
        </x:is>
      </x:c>
      <x:c r="T999" s="160" t="inlineStr">
        <x:is>
          <x:t xml:space="preserve">UNFORMED</x:t>
        </x:is>
      </x:c>
      <x:c r="U999" s="160" t="inlineStr">
        <x:is>
          <x:t xml:space="preserve">V10.5-SIM90</x:t>
        </x:is>
      </x:c>
      <x:c r="V999" s="160" t="inlineStr">
        <x:is>
          <x:t xml:space="preserve">Synthetic abstract control; no external company data</x:t>
        </x:is>
      </x:c>
      <x:c r="W999" s="160" t="inlineStr">
        <x:is>
          <x:t xml:space="preserve">NO</x:t>
        </x:is>
      </x:c>
      <x:c r="X999" s="160" t="inlineStr">
        <x:is>
          <x:t xml:space="preserve">NONE — NO VALIDATION/HOLDOUT COMPANY USED</x:t>
        </x:is>
      </x:c>
      <x:c r="Y999" s="160" t="inlineStr">
        <x:is>
          <x:t xml:space="preserve">Abstract cross-sector adversarial loop. Used only to test rule interactions; no historical or holdout outcome is claimed.</x:t>
        </x:is>
      </x:c>
    </x:row>
    <x:row r="1000">
      <x:c r="A1000" s="160" t="inlineStr">
        <x:is>
          <x:t xml:space="preserve">ML0995</x:t>
        </x:is>
      </x:c>
      <x:c r="B1000" s="160" t="inlineStr">
        <x:is>
          <x:t xml:space="preserve">ABSTRACT</x:t>
        </x:is>
      </x:c>
      <x:c r="C1000" s="160" t="inlineStr">
        <x:is>
          <x:t xml:space="preserve">Cyclical asset owner</x:t>
        </x:is>
      </x:c>
      <x:c r="D1000" s="160" t="str"/>
      <x:c r="E1000" s="160" t="inlineStr">
        <x:is>
          <x:t xml:space="preserve">Cross-sector</x:t>
        </x:is>
      </x:c>
      <x:c r="F1000" s="160" t="inlineStr">
        <x:is>
          <x:t xml:space="preserve">Development — Abstract Control</x:t>
        </x:is>
      </x:c>
      <x:c r="G1000" s="160" t="inlineStr">
        <x:is>
          <x:t xml:space="preserve">X09</x:t>
        </x:is>
      </x:c>
      <x:c r="H1000" s="160" t="inlineStr">
        <x:is>
          <x:t xml:space="preserve">Backlog × Working Capital</x:t>
        </x:is>
      </x:c>
      <x:c r="I1000" s="160" t="inlineStr">
        <x:is>
          <x:t xml:space="preserve">Rule interaction</x:t>
        </x:is>
      </x:c>
      <x:c r="J1000" s="160" t="inlineStr">
        <x:is>
          <x:t xml:space="preserve">Backlog grows rapidly but cash conversion deteriorates because project execution absorbs working capital.</x:t>
        </x:is>
      </x:c>
      <x:c r="K1000" s="160" t="inlineStr">
        <x:is>
          <x:t xml:space="preserve">Abstract adversarial archetype; no real company or holdout data used.</x:t>
        </x:is>
      </x:c>
      <x:c r="L1000" s="160" t="inlineStr">
        <x:is>
          <x:t xml:space="preserve">Cross-lens interaction stress test</x:t>
        </x:is>
      </x:c>
      <x:c r="M1000" s="160" t="inlineStr">
        <x:is>
          <x:t xml:space="preserve">NO PRODUCTION DECISION — STRESS TEST ONLY</x:t>
        </x:is>
      </x:c>
      <x:c r="N1000" s="160" t="inlineStr">
        <x:is>
          <x:t xml:space="preserve">R-X-BACKLOG-WC</x:t>
        </x:is>
      </x:c>
      <x:c r="O1000" s="160" t="inlineStr">
        <x:is>
          <x:t xml:space="preserve">UNFORMED</x:t>
        </x:is>
      </x:c>
      <x:c r="P1000" s="160" t="inlineStr">
        <x:is>
          <x:t xml:space="preserve">FAILURE EXPOSED</x:t>
        </x:is>
      </x:c>
      <x:c r="Q1000" s="160" t="inlineStr">
        <x:is>
          <x:t xml:space="preserve">Single-gate logic misses an interaction between two individually reasonable signals.</x:t>
        </x:is>
      </x:c>
      <x:c r="R1000" s="160" t="inlineStr">
        <x:is>
          <x:t xml:space="preserve">Score backlog quality by margin, cancellation, execution capacity and cash-conversion profile—not headline dollars.</x:t>
        </x:is>
      </x:c>
      <x:c r="S1000" s="160" t="inlineStr">
        <x:is>
          <x:t xml:space="preserve">YES — SIMULATION ONLY</x:t>
        </x:is>
      </x:c>
      <x:c r="T1000" s="160" t="inlineStr">
        <x:is>
          <x:t xml:space="preserve">INTERACTION STANDARD</x:t>
        </x:is>
      </x:c>
      <x:c r="U1000" s="160" t="inlineStr">
        <x:is>
          <x:t xml:space="preserve">V10.5-SIM91</x:t>
        </x:is>
      </x:c>
      <x:c r="V1000" s="160" t="inlineStr">
        <x:is>
          <x:t xml:space="preserve">Synthetic abstract control; no external company data</x:t>
        </x:is>
      </x:c>
      <x:c r="W1000" s="160" t="inlineStr">
        <x:is>
          <x:t xml:space="preserve">NO</x:t>
        </x:is>
      </x:c>
      <x:c r="X1000" s="160" t="inlineStr">
        <x:is>
          <x:t xml:space="preserve">NONE — NO VALIDATION/HOLDOUT COMPANY USED</x:t>
        </x:is>
      </x:c>
      <x:c r="Y1000" s="160" t="inlineStr">
        <x:is>
          <x:t xml:space="preserve">Abstract cross-sector adversarial loop. Used only to test rule interactions; no historical or holdout outcome is claimed.</x:t>
        </x:is>
      </x:c>
    </x:row>
    <x:row r="1001">
      <x:c r="A1001" s="160" t="inlineStr">
        <x:is>
          <x:t xml:space="preserve">ML0996</x:t>
        </x:is>
      </x:c>
      <x:c r="B1001" s="160" t="inlineStr">
        <x:is>
          <x:t xml:space="preserve">ABSTRACT</x:t>
        </x:is>
      </x:c>
      <x:c r="C1001" s="160" t="inlineStr">
        <x:is>
          <x:t xml:space="preserve">Acquisition allocator</x:t>
        </x:is>
      </x:c>
      <x:c r="D1001" s="160" t="str"/>
      <x:c r="E1001" s="160" t="inlineStr">
        <x:is>
          <x:t xml:space="preserve">Cross-sector</x:t>
        </x:is>
      </x:c>
      <x:c r="F1001" s="160" t="inlineStr">
        <x:is>
          <x:t xml:space="preserve">Development — Abstract Control</x:t>
        </x:is>
      </x:c>
      <x:c r="G1001" s="160" t="inlineStr">
        <x:is>
          <x:t xml:space="preserve">X09</x:t>
        </x:is>
      </x:c>
      <x:c r="H1001" s="160" t="inlineStr">
        <x:is>
          <x:t xml:space="preserve">Backlog × Working Capital</x:t>
        </x:is>
      </x:c>
      <x:c r="I1001" s="160" t="inlineStr">
        <x:is>
          <x:t xml:space="preserve">Rule interaction</x:t>
        </x:is>
      </x:c>
      <x:c r="J1001" s="160" t="inlineStr">
        <x:is>
          <x:t xml:space="preserve">Backlog grows rapidly but cash conversion deteriorates because project execution absorbs working capital.</x:t>
        </x:is>
      </x:c>
      <x:c r="K1001" s="160" t="inlineStr">
        <x:is>
          <x:t xml:space="preserve">Abstract adversarial archetype; no real company or holdout data used.</x:t>
        </x:is>
      </x:c>
      <x:c r="L1001" s="160" t="inlineStr">
        <x:is>
          <x:t xml:space="preserve">Cross-lens interaction stress test</x:t>
        </x:is>
      </x:c>
      <x:c r="M1001" s="160" t="inlineStr">
        <x:is>
          <x:t xml:space="preserve">NO PRODUCTION DECISION — STRESS TEST ONLY</x:t>
        </x:is>
      </x:c>
      <x:c r="N1001" s="160" t="inlineStr">
        <x:is>
          <x:t xml:space="preserve">R-X-BACKLOG-WC</x:t>
        </x:is>
      </x:c>
      <x:c r="O1001" s="160" t="inlineStr">
        <x:is>
          <x:t xml:space="preserve">INTERACTION STANDARD</x:t>
        </x:is>
      </x:c>
      <x:c r="P1001" s="160" t="inlineStr">
        <x:is>
          <x:t xml:space="preserve">PARTIAL CATCH</x:t>
        </x:is>
      </x:c>
      <x:c r="Q1001" s="160" t="inlineStr">
        <x:is>
          <x:t xml:space="preserve">The interaction rule catches the core conflict; retain both gates and prevent one from overriding the other.</x:t>
        </x:is>
      </x:c>
      <x:c r="R1001" s="160" t="inlineStr">
        <x:is>
          <x:t xml:space="preserve">Score backlog quality by margin, cancellation, execution capacity and cash-conversion profile—not headline dollars.</x:t>
        </x:is>
      </x:c>
      <x:c r="S1001" s="160" t="inlineStr">
        <x:is>
          <x:t xml:space="preserve">NO</x:t>
        </x:is>
      </x:c>
      <x:c r="T1001" s="160" t="inlineStr">
        <x:is>
          <x:t xml:space="preserve">INTERACTION STANDARD</x:t>
        </x:is>
      </x:c>
      <x:c r="U1001" s="160" t="inlineStr">
        <x:is>
          <x:t xml:space="preserve">V10.5-SIM91</x:t>
        </x:is>
      </x:c>
      <x:c r="V1001" s="160" t="inlineStr">
        <x:is>
          <x:t xml:space="preserve">Synthetic abstract control; no external company data</x:t>
        </x:is>
      </x:c>
      <x:c r="W1001" s="160" t="inlineStr">
        <x:is>
          <x:t xml:space="preserve">NO</x:t>
        </x:is>
      </x:c>
      <x:c r="X1001" s="160" t="inlineStr">
        <x:is>
          <x:t xml:space="preserve">NONE — NO VALIDATION/HOLDOUT COMPANY USED</x:t>
        </x:is>
      </x:c>
      <x:c r="Y1001" s="160" t="inlineStr">
        <x:is>
          <x:t xml:space="preserve">Abstract cross-sector adversarial loop. Used only to test rule interactions; no historical or holdout outcome is claimed.</x:t>
        </x:is>
      </x:c>
    </x:row>
    <x:row r="1002">
      <x:c r="A1002" s="160" t="inlineStr">
        <x:is>
          <x:t xml:space="preserve">ML0997</x:t>
        </x:is>
      </x:c>
      <x:c r="B1002" s="160" t="inlineStr">
        <x:is>
          <x:t xml:space="preserve">ABSTRACT</x:t>
        </x:is>
      </x:c>
      <x:c r="C1002" s="160" t="inlineStr">
        <x:is>
          <x:t xml:space="preserve">Asset-light compounder</x:t>
        </x:is>
      </x:c>
      <x:c r="D1002" s="160" t="str"/>
      <x:c r="E1002" s="160" t="inlineStr">
        <x:is>
          <x:t xml:space="preserve">Cross-sector</x:t>
        </x:is>
      </x:c>
      <x:c r="F1002" s="160" t="inlineStr">
        <x:is>
          <x:t xml:space="preserve">Development — Abstract Control</x:t>
        </x:is>
      </x:c>
      <x:c r="G1002" s="160" t="inlineStr">
        <x:is>
          <x:t xml:space="preserve">X10</x:t>
        </x:is>
      </x:c>
      <x:c r="H1002" s="160" t="inlineStr">
        <x:is>
          <x:t xml:space="preserve">Capital Intensity × Owner Earnings</x:t>
        </x:is>
      </x:c>
      <x:c r="I1002" s="160" t="inlineStr">
        <x:is>
          <x:t xml:space="preserve">Rule interaction</x:t>
        </x:is>
      </x:c>
      <x:c r="J1002" s="160" t="inlineStr">
        <x:is>
          <x:t xml:space="preserve">Growth requires rising infrastructure/fleet/fab capacity; reported FCF understates recurring economic reinvestment.</x:t>
        </x:is>
      </x:c>
      <x:c r="K1002" s="160" t="inlineStr">
        <x:is>
          <x:t xml:space="preserve">Abstract adversarial archetype; no real company or holdout data used.</x:t>
        </x:is>
      </x:c>
      <x:c r="L1002" s="160" t="inlineStr">
        <x:is>
          <x:t xml:space="preserve">Cross-lens interaction stress test</x:t>
        </x:is>
      </x:c>
      <x:c r="M1002" s="160" t="inlineStr">
        <x:is>
          <x:t xml:space="preserve">NO PRODUCTION DECISION — STRESS TEST ONLY</x:t>
        </x:is>
      </x:c>
      <x:c r="N1002" s="160" t="inlineStr">
        <x:is>
          <x:t xml:space="preserve">R-X-CAPEX-OE</x:t>
        </x:is>
      </x:c>
      <x:c r="O1002" s="160" t="inlineStr">
        <x:is>
          <x:t xml:space="preserve">UNFORMED</x:t>
        </x:is>
      </x:c>
      <x:c r="P1002" s="160" t="inlineStr">
        <x:is>
          <x:t xml:space="preserve">FAILURE EXPOSED</x:t>
        </x:is>
      </x:c>
      <x:c r="Q1002" s="160" t="inlineStr">
        <x:is>
          <x:t xml:space="preserve">Single-gate logic misses an interaction between two individually reasonable signals.</x:t>
        </x:is>
      </x:c>
      <x:c r="R1002" s="160" t="inlineStr">
        <x:is>
          <x:t xml:space="preserve">Split maintenance, replacement and growth capex; charge recurring capacity needs before calling cash 'owner earnings'.</x:t>
        </x:is>
      </x:c>
      <x:c r="S1002" s="160" t="inlineStr">
        <x:is>
          <x:t xml:space="preserve">NO</x:t>
        </x:is>
      </x:c>
      <x:c r="T1002" s="160" t="inlineStr">
        <x:is>
          <x:t xml:space="preserve">UNFORMED</x:t>
        </x:is>
      </x:c>
      <x:c r="U1002" s="160" t="inlineStr">
        <x:is>
          <x:t xml:space="preserve">V10.5-SIM91</x:t>
        </x:is>
      </x:c>
      <x:c r="V1002" s="160" t="inlineStr">
        <x:is>
          <x:t xml:space="preserve">Synthetic abstract control; no external company data</x:t>
        </x:is>
      </x:c>
      <x:c r="W1002" s="160" t="inlineStr">
        <x:is>
          <x:t xml:space="preserve">NO</x:t>
        </x:is>
      </x:c>
      <x:c r="X1002" s="160" t="inlineStr">
        <x:is>
          <x:t xml:space="preserve">NONE — NO VALIDATION/HOLDOUT COMPANY USED</x:t>
        </x:is>
      </x:c>
      <x:c r="Y1002" s="160" t="inlineStr">
        <x:is>
          <x:t xml:space="preserve">Abstract cross-sector adversarial loop. Used only to test rule interactions; no historical or holdout outcome is claimed.</x:t>
        </x:is>
      </x:c>
    </x:row>
    <x:row r="1003">
      <x:c r="A1003" s="160" t="inlineStr">
        <x:is>
          <x:t xml:space="preserve">ML0998</x:t>
        </x:is>
      </x:c>
      <x:c r="B1003" s="160" t="inlineStr">
        <x:is>
          <x:t xml:space="preserve">ABSTRACT</x:t>
        </x:is>
      </x:c>
      <x:c r="C1003" s="160" t="inlineStr">
        <x:is>
          <x:t xml:space="preserve">Capital-intensive growth</x:t>
        </x:is>
      </x:c>
      <x:c r="D1003" s="160" t="str"/>
      <x:c r="E1003" s="160" t="inlineStr">
        <x:is>
          <x:t xml:space="preserve">Cross-sector</x:t>
        </x:is>
      </x:c>
      <x:c r="F1003" s="160" t="inlineStr">
        <x:is>
          <x:t xml:space="preserve">Development — Abstract Control</x:t>
        </x:is>
      </x:c>
      <x:c r="G1003" s="160" t="inlineStr">
        <x:is>
          <x:t xml:space="preserve">X10</x:t>
        </x:is>
      </x:c>
      <x:c r="H1003" s="160" t="inlineStr">
        <x:is>
          <x:t xml:space="preserve">Capital Intensity × Owner Earnings</x:t>
        </x:is>
      </x:c>
      <x:c r="I1003" s="160" t="inlineStr">
        <x:is>
          <x:t xml:space="preserve">Rule interaction</x:t>
        </x:is>
      </x:c>
      <x:c r="J1003" s="160" t="inlineStr">
        <x:is>
          <x:t xml:space="preserve">Growth requires rising infrastructure/fleet/fab capacity; reported FCF understates recurring economic reinvestment.</x:t>
        </x:is>
      </x:c>
      <x:c r="K1003" s="160" t="inlineStr">
        <x:is>
          <x:t xml:space="preserve">Abstract adversarial archetype; no real company or holdout data used.</x:t>
        </x:is>
      </x:c>
      <x:c r="L1003" s="160" t="inlineStr">
        <x:is>
          <x:t xml:space="preserve">Cross-lens interaction stress test</x:t>
        </x:is>
      </x:c>
      <x:c r="M1003" s="160" t="inlineStr">
        <x:is>
          <x:t xml:space="preserve">NO PRODUCTION DECISION — STRESS TEST ONLY</x:t>
        </x:is>
      </x:c>
      <x:c r="N1003" s="160" t="inlineStr">
        <x:is>
          <x:t xml:space="preserve">R-X-CAPEX-OE</x:t>
        </x:is>
      </x:c>
      <x:c r="O1003" s="160" t="inlineStr">
        <x:is>
          <x:t xml:space="preserve">UNFORMED</x:t>
        </x:is>
      </x:c>
      <x:c r="P1003" s="160" t="inlineStr">
        <x:is>
          <x:t xml:space="preserve">FAILURE EXPOSED</x:t>
        </x:is>
      </x:c>
      <x:c r="Q1003" s="160" t="inlineStr">
        <x:is>
          <x:t xml:space="preserve">Single-gate logic misses an interaction between two individually reasonable signals.</x:t>
        </x:is>
      </x:c>
      <x:c r="R1003" s="160" t="inlineStr">
        <x:is>
          <x:t xml:space="preserve">Split maintenance, replacement and growth capex; charge recurring capacity needs before calling cash 'owner earnings'.</x:t>
        </x:is>
      </x:c>
      <x:c r="S1003" s="160" t="inlineStr">
        <x:is>
          <x:t xml:space="preserve">NO</x:t>
        </x:is>
      </x:c>
      <x:c r="T1003" s="160" t="inlineStr">
        <x:is>
          <x:t xml:space="preserve">UNFORMED</x:t>
        </x:is>
      </x:c>
      <x:c r="U1003" s="160" t="inlineStr">
        <x:is>
          <x:t xml:space="preserve">V10.5-SIM91</x:t>
        </x:is>
      </x:c>
      <x:c r="V1003" s="160" t="inlineStr">
        <x:is>
          <x:t xml:space="preserve">Synthetic abstract control; no external company data</x:t>
        </x:is>
      </x:c>
      <x:c r="W1003" s="160" t="inlineStr">
        <x:is>
          <x:t xml:space="preserve">NO</x:t>
        </x:is>
      </x:c>
      <x:c r="X1003" s="160" t="inlineStr">
        <x:is>
          <x:t xml:space="preserve">NONE — NO VALIDATION/HOLDOUT COMPANY USED</x:t>
        </x:is>
      </x:c>
      <x:c r="Y1003" s="160" t="inlineStr">
        <x:is>
          <x:t xml:space="preserve">Abstract cross-sector adversarial loop. Used only to test rule interactions; no historical or holdout outcome is claimed.</x:t>
        </x:is>
      </x:c>
    </x:row>
    <x:row r="1004">
      <x:c r="A1004" s="160" t="inlineStr">
        <x:is>
          <x:t xml:space="preserve">ML0999</x:t>
        </x:is>
      </x:c>
      <x:c r="B1004" s="160" t="inlineStr">
        <x:is>
          <x:t xml:space="preserve">ABSTRACT</x:t>
        </x:is>
      </x:c>
      <x:c r="C1004" s="160" t="inlineStr">
        <x:is>
          <x:t xml:space="preserve">Cyclical asset owner</x:t>
        </x:is>
      </x:c>
      <x:c r="D1004" s="160" t="str"/>
      <x:c r="E1004" s="160" t="inlineStr">
        <x:is>
          <x:t xml:space="preserve">Cross-sector</x:t>
        </x:is>
      </x:c>
      <x:c r="F1004" s="160" t="inlineStr">
        <x:is>
          <x:t xml:space="preserve">Development — Abstract Control</x:t>
        </x:is>
      </x:c>
      <x:c r="G1004" s="160" t="inlineStr">
        <x:is>
          <x:t xml:space="preserve">X10</x:t>
        </x:is>
      </x:c>
      <x:c r="H1004" s="160" t="inlineStr">
        <x:is>
          <x:t xml:space="preserve">Capital Intensity × Owner Earnings</x:t>
        </x:is>
      </x:c>
      <x:c r="I1004" s="160" t="inlineStr">
        <x:is>
          <x:t xml:space="preserve">Rule interaction</x:t>
        </x:is>
      </x:c>
      <x:c r="J1004" s="160" t="inlineStr">
        <x:is>
          <x:t xml:space="preserve">Growth requires rising infrastructure/fleet/fab capacity; reported FCF understates recurring economic reinvestment.</x:t>
        </x:is>
      </x:c>
      <x:c r="K1004" s="160" t="inlineStr">
        <x:is>
          <x:t xml:space="preserve">Abstract adversarial archetype; no real company or holdout data used.</x:t>
        </x:is>
      </x:c>
      <x:c r="L1004" s="160" t="inlineStr">
        <x:is>
          <x:t xml:space="preserve">Cross-lens interaction stress test</x:t>
        </x:is>
      </x:c>
      <x:c r="M1004" s="160" t="inlineStr">
        <x:is>
          <x:t xml:space="preserve">NO PRODUCTION DECISION — STRESS TEST ONLY</x:t>
        </x:is>
      </x:c>
      <x:c r="N1004" s="160" t="inlineStr">
        <x:is>
          <x:t xml:space="preserve">R-X-CAPEX-OE</x:t>
        </x:is>
      </x:c>
      <x:c r="O1004" s="160" t="inlineStr">
        <x:is>
          <x:t xml:space="preserve">UNFORMED</x:t>
        </x:is>
      </x:c>
      <x:c r="P1004" s="160" t="inlineStr">
        <x:is>
          <x:t xml:space="preserve">FAILURE EXPOSED</x:t>
        </x:is>
      </x:c>
      <x:c r="Q1004" s="160" t="inlineStr">
        <x:is>
          <x:t xml:space="preserve">Single-gate logic misses an interaction between two individually reasonable signals.</x:t>
        </x:is>
      </x:c>
      <x:c r="R1004" s="160" t="inlineStr">
        <x:is>
          <x:t xml:space="preserve">Split maintenance, replacement and growth capex; charge recurring capacity needs before calling cash 'owner earnings'.</x:t>
        </x:is>
      </x:c>
      <x:c r="S1004" s="160" t="inlineStr">
        <x:is>
          <x:t xml:space="preserve">YES — SIMULATION ONLY</x:t>
        </x:is>
      </x:c>
      <x:c r="T1004" s="160" t="inlineStr">
        <x:is>
          <x:t xml:space="preserve">INTERACTION STANDARD</x:t>
        </x:is>
      </x:c>
      <x:c r="U1004" s="160" t="inlineStr">
        <x:is>
          <x:t xml:space="preserve">V10.5-SIM92</x:t>
        </x:is>
      </x:c>
      <x:c r="V1004" s="160" t="inlineStr">
        <x:is>
          <x:t xml:space="preserve">Synthetic abstract control; no external company data</x:t>
        </x:is>
      </x:c>
      <x:c r="W1004" s="160" t="inlineStr">
        <x:is>
          <x:t xml:space="preserve">NO</x:t>
        </x:is>
      </x:c>
      <x:c r="X1004" s="160" t="inlineStr">
        <x:is>
          <x:t xml:space="preserve">NONE — NO VALIDATION/HOLDOUT COMPANY USED</x:t>
        </x:is>
      </x:c>
      <x:c r="Y1004" s="160" t="inlineStr">
        <x:is>
          <x:t xml:space="preserve">Abstract cross-sector adversarial loop. Used only to test rule interactions; no historical or holdout outcome is claimed.</x:t>
        </x:is>
      </x:c>
    </x:row>
    <x:row r="1005">
      <x:c r="A1005" s="160" t="inlineStr">
        <x:is>
          <x:t xml:space="preserve">ML1000</x:t>
        </x:is>
      </x:c>
      <x:c r="B1005" s="160" t="inlineStr">
        <x:is>
          <x:t xml:space="preserve">ABSTRACT</x:t>
        </x:is>
      </x:c>
      <x:c r="C1005" s="160" t="inlineStr">
        <x:is>
          <x:t xml:space="preserve">Acquisition allocator</x:t>
        </x:is>
      </x:c>
      <x:c r="D1005" s="160" t="str"/>
      <x:c r="E1005" s="160" t="inlineStr">
        <x:is>
          <x:t xml:space="preserve">Cross-sector</x:t>
        </x:is>
      </x:c>
      <x:c r="F1005" s="160" t="inlineStr">
        <x:is>
          <x:t xml:space="preserve">Development — Abstract Control</x:t>
        </x:is>
      </x:c>
      <x:c r="G1005" s="160" t="inlineStr">
        <x:is>
          <x:t xml:space="preserve">X10</x:t>
        </x:is>
      </x:c>
      <x:c r="H1005" s="160" t="inlineStr">
        <x:is>
          <x:t xml:space="preserve">Capital Intensity × Owner Earnings</x:t>
        </x:is>
      </x:c>
      <x:c r="I1005" s="160" t="inlineStr">
        <x:is>
          <x:t xml:space="preserve">Rule interaction</x:t>
        </x:is>
      </x:c>
      <x:c r="J1005" s="160" t="inlineStr">
        <x:is>
          <x:t xml:space="preserve">Growth requires rising infrastructure/fleet/fab capacity; reported FCF understates recurring economic reinvestment.</x:t>
        </x:is>
      </x:c>
      <x:c r="K1005" s="160" t="inlineStr">
        <x:is>
          <x:t xml:space="preserve">Abstract adversarial archetype; no real company or holdout data used.</x:t>
        </x:is>
      </x:c>
      <x:c r="L1005" s="160" t="inlineStr">
        <x:is>
          <x:t xml:space="preserve">Cross-lens interaction stress test</x:t>
        </x:is>
      </x:c>
      <x:c r="M1005" s="160" t="inlineStr">
        <x:is>
          <x:t xml:space="preserve">NO PRODUCTION DECISION — STRESS TEST ONLY</x:t>
        </x:is>
      </x:c>
      <x:c r="N1005" s="160" t="inlineStr">
        <x:is>
          <x:t xml:space="preserve">R-X-CAPEX-OE</x:t>
        </x:is>
      </x:c>
      <x:c r="O1005" s="160" t="inlineStr">
        <x:is>
          <x:t xml:space="preserve">INTERACTION STANDARD</x:t>
        </x:is>
      </x:c>
      <x:c r="P1005" s="160" t="inlineStr">
        <x:is>
          <x:t xml:space="preserve">PARTIAL CATCH</x:t>
        </x:is>
      </x:c>
      <x:c r="Q1005" s="160" t="inlineStr">
        <x:is>
          <x:t xml:space="preserve">The interaction rule catches the core conflict; retain both gates and prevent one from overriding the other.</x:t>
        </x:is>
      </x:c>
      <x:c r="R1005" s="160" t="inlineStr">
        <x:is>
          <x:t xml:space="preserve">Split maintenance, replacement and growth capex; charge recurring capacity needs before calling cash 'owner earnings'.</x:t>
        </x:is>
      </x:c>
      <x:c r="S1005" s="160" t="inlineStr">
        <x:is>
          <x:t xml:space="preserve">NO</x:t>
        </x:is>
      </x:c>
      <x:c r="T1005" s="160" t="inlineStr">
        <x:is>
          <x:t xml:space="preserve">INTERACTION STANDARD</x:t>
        </x:is>
      </x:c>
      <x:c r="U1005" s="160" t="inlineStr">
        <x:is>
          <x:t xml:space="preserve">V10.5-SIM92</x:t>
        </x:is>
      </x:c>
      <x:c r="V1005" s="160" t="inlineStr">
        <x:is>
          <x:t xml:space="preserve">Synthetic abstract control; no external company data</x:t>
        </x:is>
      </x:c>
      <x:c r="W1005" s="160" t="inlineStr">
        <x:is>
          <x:t xml:space="preserve">NO</x:t>
        </x:is>
      </x:c>
      <x:c r="X1005" s="160" t="inlineStr">
        <x:is>
          <x:t xml:space="preserve">NONE — NO VALIDATION/HOLDOUT COMPANY USED</x:t>
        </x:is>
      </x:c>
      <x:c r="Y1005" s="160" t="inlineStr">
        <x:is>
          <x:t xml:space="preserve">Abstract cross-sector adversarial loop. Used only to test rule interactions; no historical or holdout outcome is claimed.</x:t>
        </x:is>
      </x:c>
    </x:row>
  </x:sheetData>
  <x:mergeCells>
    <x:mergeCell ref="A3:Y3"/>
    <x:mergeCell ref="A2:Y2"/>
    <x:mergeCell ref="A1:Y1"/>
  </x:mergeCells>
  <x:conditionalFormatting sqref="P6:P1005">
    <x:cfRule type="expression" dxfId="37" priority="1">
      <x:formula>$P6="FAILURE EXPOSED"</x:formula>
    </x:cfRule>
    <x:cfRule type="expression" dxfId="38" priority="2">
      <x:formula>$P6="WEAKNESS EXPOSED"</x:formula>
    </x:cfRule>
    <x:cfRule type="expression" dxfId="39" priority="3">
      <x:formula>$P6="PARTIAL CATCH"</x:formula>
    </x:cfRule>
    <x:cfRule type="expression" dxfId="40" priority="4">
      <x:formula>$P6="ROBUST WITH RESIDUAL"</x:formula>
    </x:cfRule>
    <x:cfRule type="expression" dxfId="41" priority="5">
      <x:formula>$P6="ROBUST"</x:formula>
    </x:cfRule>
  </x:conditionalFormatting>
  <x:conditionalFormatting sqref="S6:S1005">
    <x:cfRule type="expression" dxfId="42" priority="6">
      <x:formula>LEFT($S6,3)="YES"</x:formula>
    </x:cfRule>
  </x:conditionalFormatting>
  <x:pageMargins left="0.7" right="0.7" top="0.75" bottom="0.75" header="0.3" footer="0.3"/>
  <x:tableParts count="1">
    <x:tablePart xmlns:r="http://schemas.openxmlformats.org/officeDocument/2006/relationships" r:id="R8475418268f745f9"/>
  </x:tableParts>
</x:worksheet>
</file>

<file path=xl/worksheets/sheet16.xml><?xml version="1.0" encoding="utf-8"?>
<x:worksheet xmlns:x="http://schemas.openxmlformats.org/spreadsheetml/2006/main">
  <x:sheetFormatPr baseColWidth="8" defaultRowHeight="15"/>
  <x:cols>
    <x:col min="1" max="1" width="26" style="139" customWidth="1"/>
    <x:col min="2" max="2" width="14" style="139" customWidth="1"/>
    <x:col min="3" max="3" width="16" style="139" customWidth="1"/>
    <x:col min="4" max="4" width="14" style="139" customWidth="1"/>
    <x:col min="5" max="5" width="22" style="139" customWidth="1"/>
    <x:col min="6" max="6" width="16" style="139" customWidth="1"/>
    <x:col min="7" max="7" width="18" style="139" customWidth="1"/>
    <x:col min="8" max="8" width="62" style="139" customWidth="1"/>
    <x:col min="9" max="9" width="27" style="139" customWidth="1"/>
    <x:col min="10" max="10" width="48" style="139" customWidth="1"/>
  </x:cols>
  <x:sheetData>
    <x:row r="1" s="139" customFormat="1" ht="28" customHeight="1">
      <x:c r="A1" s="143" t="inlineStr">
        <x:is>
          <x:t xml:space="preserve">Simulation Rule Registry — 43 Rules</x:t>
        </x:is>
      </x:c>
    </x:row>
    <x:row r="2" s="139" customFormat="1" ht="34" customHeight="1">
      <x:c r="A2" s="162" t="inlineStr">
        <x:is>
          <x:t xml:space="preserve">Rules below were hardened only by synthetic/adversarial Development loops. They are NOT production-approved and may not alter Validation or Holdout retrospectively.</x:t>
        </x:is>
      </x:c>
    </x:row>
    <x:row r="4" s="139" customFormat="1" ht="32" customHeight="1">
      <x:c r="A4" s="164" t="inlineStr">
        <x:is>
          <x:t xml:space="preserve">Rule ID</x:t>
        </x:is>
      </x:c>
      <x:c r="B4" s="164" t="inlineStr">
        <x:is>
          <x:t xml:space="preserve">Exposure Count</x:t>
        </x:is>
      </x:c>
      <x:c r="C4" s="164" t="inlineStr">
        <x:is>
          <x:t xml:space="preserve">Distinct Companies</x:t>
        </x:is>
      </x:c>
      <x:c r="D4" s="164" t="inlineStr">
        <x:is>
          <x:t xml:space="preserve">Distinct Sectors</x:t>
        </x:is>
      </x:c>
      <x:c r="E4" s="164" t="inlineStr">
        <x:is>
          <x:t xml:space="preserve">Final Simulation Stage</x:t>
        </x:is>
      </x:c>
      <x:c r="F4" s="164" t="inlineStr">
        <x:is>
          <x:t xml:space="preserve">Evolution Events</x:t>
        </x:is>
      </x:c>
      <x:c r="G4" s="164" t="inlineStr">
        <x:is>
          <x:t xml:space="preserve">Final Version Seen</x:t>
        </x:is>
      </x:c>
      <x:c r="H4" s="164" t="inlineStr">
        <x:is>
          <x:t xml:space="preserve">Candidate Rule / Rationale</x:t>
        </x:is>
      </x:c>
      <x:c r="I4" s="164" t="inlineStr">
        <x:is>
          <x:t xml:space="preserve">Empirical Status</x:t>
        </x:is>
      </x:c>
      <x:c r="J4" s="164" t="inlineStr">
        <x:is>
          <x:t xml:space="preserve">Promotion Requirement</x:t>
        </x:is>
      </x:c>
    </x:row>
    <x:row r="5">
      <x:c r="A5" s="160" t="inlineStr">
        <x:is>
          <x:t xml:space="preserve">R-CF-01</x:t>
        </x:is>
      </x:c>
      <x:c r="B5" s="160" t="n">
        <x:v>60</x:v>
      </x:c>
      <x:c r="C5" s="160" t="n">
        <x:v>60</x:v>
      </x:c>
      <x:c r="D5" s="160" t="n">
        <x:v>18</x:v>
      </x:c>
      <x:c r="E5" s="160" t="inlineStr">
        <x:is>
          <x:t xml:space="preserve">MATURE</x:t>
        </x:is>
      </x:c>
      <x:c r="F5" s="160" t="n">
        <x:v>4</x:v>
      </x:c>
      <x:c r="G5" s="160" t="inlineStr">
        <x:is>
          <x:t xml:space="preserve">V10.5-SIM82</x:t>
        </x:is>
      </x:c>
      <x:c r="H5" s="160" t="inlineStr">
        <x:is>
          <x:t xml:space="preserve">Require a true economic control and counterfactual: what should have happened to a comparable company under the same shock?</x:t>
        </x:is>
      </x:c>
      <x:c r="I5" s="160" t="inlineStr">
        <x:is>
          <x:t xml:space="preserve">NOT VALIDATED — SIMULATION ONLY</x:t>
        </x:is>
      </x:c>
      <x:c r="J5" s="160" t="inlineStr">
        <x:is>
          <x:t xml:space="preserve">Freeze rule before Validation; pass prospective Validation and locked Holdout before authorization.</x:t>
        </x:is>
      </x:c>
    </x:row>
    <x:row r="6">
      <x:c r="A6" s="160" t="inlineStr">
        <x:is>
          <x:t xml:space="preserve">R-CYCLE-01</x:t>
        </x:is>
      </x:c>
      <x:c r="B6" s="160" t="n">
        <x:v>60</x:v>
      </x:c>
      <x:c r="C6" s="160" t="n">
        <x:v>60</x:v>
      </x:c>
      <x:c r="D6" s="160" t="n">
        <x:v>18</x:v>
      </x:c>
      <x:c r="E6" s="160" t="inlineStr">
        <x:is>
          <x:t xml:space="preserve">MATURE</x:t>
        </x:is>
      </x:c>
      <x:c r="F6" s="160" t="n">
        <x:v>4</x:v>
      </x:c>
      <x:c r="G6" s="160" t="inlineStr">
        <x:is>
          <x:t xml:space="preserve">V10.5-SIM82</x:t>
        </x:is>
      </x:c>
      <x:c r="H6" s="160" t="inlineStr">
        <x:is>
          <x:t xml:space="preserve">Use sector-specific mid-cycle/NAV/rate-base/rNPV normalization before applying a valuation multiple.</x:t>
        </x:is>
      </x:c>
      <x:c r="I6" s="160" t="inlineStr">
        <x:is>
          <x:t xml:space="preserve">NOT VALIDATED — SIMULATION ONLY</x:t>
        </x:is>
      </x:c>
      <x:c r="J6" s="160" t="inlineStr">
        <x:is>
          <x:t xml:space="preserve">Freeze rule before Validation; pass prospective Validation and locked Holdout before authorization.</x:t>
        </x:is>
      </x:c>
    </x:row>
    <x:row r="7">
      <x:c r="A7" s="160" t="inlineStr">
        <x:is>
          <x:t xml:space="preserve">R-DATA-01</x:t>
        </x:is>
      </x:c>
      <x:c r="B7" s="160" t="n">
        <x:v>60</x:v>
      </x:c>
      <x:c r="C7" s="160" t="n">
        <x:v>60</x:v>
      </x:c>
      <x:c r="D7" s="160" t="n">
        <x:v>18</x:v>
      </x:c>
      <x:c r="E7" s="160" t="inlineStr">
        <x:is>
          <x:t xml:space="preserve">MATURE</x:t>
        </x:is>
      </x:c>
      <x:c r="F7" s="160" t="n">
        <x:v>4</x:v>
      </x:c>
      <x:c r="G7" s="160" t="inlineStr">
        <x:is>
          <x:t xml:space="preserve">V10.5-SIM82</x:t>
        </x:is>
      </x:c>
      <x:c r="H7" s="160" t="inlineStr">
        <x:is>
          <x:t xml:space="preserve">Add a reporting-quality bridge and normalize accounting noise before any gate can pass.</x:t>
        </x:is>
      </x:c>
      <x:c r="I7" s="160" t="inlineStr">
        <x:is>
          <x:t xml:space="preserve">NOT VALIDATED — SIMULATION ONLY</x:t>
        </x:is>
      </x:c>
      <x:c r="J7" s="160" t="inlineStr">
        <x:is>
          <x:t xml:space="preserve">Freeze rule before Validation; pass prospective Validation and locked Holdout before authorization.</x:t>
        </x:is>
      </x:c>
    </x:row>
    <x:row r="8">
      <x:c r="A8" s="160" t="inlineStr">
        <x:is>
          <x:t xml:space="preserve">R-DIL-01</x:t>
        </x:is>
      </x:c>
      <x:c r="B8" s="160" t="n">
        <x:v>60</x:v>
      </x:c>
      <x:c r="C8" s="160" t="n">
        <x:v>60</x:v>
      </x:c>
      <x:c r="D8" s="160" t="n">
        <x:v>18</x:v>
      </x:c>
      <x:c r="E8" s="160" t="inlineStr">
        <x:is>
          <x:t xml:space="preserve">MATURE</x:t>
        </x:is>
      </x:c>
      <x:c r="F8" s="160" t="n">
        <x:v>4</x:v>
      </x:c>
      <x:c r="G8" s="160" t="inlineStr">
        <x:is>
          <x:t xml:space="preserve">V10.5-SIM82</x:t>
        </x:is>
      </x:c>
      <x:c r="H8" s="160" t="inlineStr">
        <x:is>
          <x:t xml:space="preserve">Reconcile share-count growth, SBC, equity issuance, buybacks and net cash changes to per-share intrinsic value.</x:t>
        </x:is>
      </x:c>
      <x:c r="I8" s="160" t="inlineStr">
        <x:is>
          <x:t xml:space="preserve">NOT VALIDATED — SIMULATION ONLY</x:t>
        </x:is>
      </x:c>
      <x:c r="J8" s="160" t="inlineStr">
        <x:is>
          <x:t xml:space="preserve">Freeze rule before Validation; pass prospective Validation and locked Holdout before authorization.</x:t>
        </x:is>
      </x:c>
    </x:row>
    <x:row r="9">
      <x:c r="A9" s="160" t="inlineStr">
        <x:is>
          <x:t xml:space="preserve">R-ENG-01</x:t>
        </x:is>
      </x:c>
      <x:c r="B9" s="160" t="n">
        <x:v>60</x:v>
      </x:c>
      <x:c r="C9" s="160" t="n">
        <x:v>60</x:v>
      </x:c>
      <x:c r="D9" s="160" t="n">
        <x:v>18</x:v>
      </x:c>
      <x:c r="E9" s="160" t="inlineStr">
        <x:is>
          <x:t xml:space="preserve">MATURE</x:t>
        </x:is>
      </x:c>
      <x:c r="F9" s="160" t="n">
        <x:v>4</x:v>
      </x:c>
      <x:c r="G9" s="160" t="inlineStr">
        <x:is>
          <x:t xml:space="preserve">V10.5-SIM82</x:t>
        </x:is>
      </x:c>
      <x:c r="H9" s="160" t="inlineStr">
        <x:is>
          <x:t xml:space="preserve">Force an explicit engine tree: customer job → unit economics → revenue driver → owner-value bridge.</x:t>
        </x:is>
      </x:c>
      <x:c r="I9" s="160" t="inlineStr">
        <x:is>
          <x:t xml:space="preserve">NOT VALIDATED — SIMULATION ONLY</x:t>
        </x:is>
      </x:c>
      <x:c r="J9" s="160" t="inlineStr">
        <x:is>
          <x:t xml:space="preserve">Freeze rule before Validation; pass prospective Validation and locked Holdout before authorization.</x:t>
        </x:is>
      </x:c>
    </x:row>
    <x:row r="10">
      <x:c r="A10" s="160" t="inlineStr">
        <x:is>
          <x:t xml:space="preserve">R-FN-01</x:t>
        </x:is>
      </x:c>
      <x:c r="B10" s="160" t="n">
        <x:v>60</x:v>
      </x:c>
      <x:c r="C10" s="160" t="n">
        <x:v>60</x:v>
      </x:c>
      <x:c r="D10" s="160" t="n">
        <x:v>18</x:v>
      </x:c>
      <x:c r="E10" s="160" t="inlineStr">
        <x:is>
          <x:t xml:space="preserve">MATURE</x:t>
        </x:is>
      </x:c>
      <x:c r="F10" s="160" t="n">
        <x:v>4</x:v>
      </x:c>
      <x:c r="G10" s="160" t="inlineStr">
        <x:is>
          <x:t xml:space="preserve">V10.5-SIM82</x:t>
        </x:is>
      </x:c>
      <x:c r="H10" s="160" t="inlineStr">
        <x:is>
          <x:t xml:space="preserve">Track opportunity cost and classify whether the miss came from evidence timing, wrong threshold or genuinely unknowable upside.</x:t>
        </x:is>
      </x:c>
      <x:c r="I10" s="160" t="inlineStr">
        <x:is>
          <x:t xml:space="preserve">NOT VALIDATED — SIMULATION ONLY</x:t>
        </x:is>
      </x:c>
      <x:c r="J10" s="160" t="inlineStr">
        <x:is>
          <x:t xml:space="preserve">Freeze rule before Validation; pass prospective Validation and locked Holdout before authorization.</x:t>
        </x:is>
      </x:c>
    </x:row>
    <x:row r="11">
      <x:c r="A11" s="160" t="inlineStr">
        <x:is>
          <x:t xml:space="preserve">R-MA-01</x:t>
        </x:is>
      </x:c>
      <x:c r="B11" s="160" t="n">
        <x:v>60</x:v>
      </x:c>
      <x:c r="C11" s="160" t="n">
        <x:v>60</x:v>
      </x:c>
      <x:c r="D11" s="160" t="n">
        <x:v>18</x:v>
      </x:c>
      <x:c r="E11" s="160" t="inlineStr">
        <x:is>
          <x:t xml:space="preserve">MATURE</x:t>
        </x:is>
      </x:c>
      <x:c r="F11" s="160" t="n">
        <x:v>4</x:v>
      </x:c>
      <x:c r="G11" s="160" t="inlineStr">
        <x:is>
          <x:t xml:space="preserve">V10.5-SIM82</x:t>
        </x:is>
      </x:c>
      <x:c r="H11" s="160" t="inlineStr">
        <x:is>
          <x:t xml:space="preserve">Bridge organic growth, acquired growth, purchase price, integration costs and acquisition-cohort ROIC.</x:t>
        </x:is>
      </x:c>
      <x:c r="I11" s="160" t="inlineStr">
        <x:is>
          <x:t xml:space="preserve">NOT VALIDATED — SIMULATION ONLY</x:t>
        </x:is>
      </x:c>
      <x:c r="J11" s="160" t="inlineStr">
        <x:is>
          <x:t xml:space="preserve">Freeze rule before Validation; pass prospective Validation and locked Holdout before authorization.</x:t>
        </x:is>
      </x:c>
    </x:row>
    <x:row r="12">
      <x:c r="A12" s="160" t="inlineStr">
        <x:is>
          <x:t xml:space="preserve">R-MOAT-01</x:t>
        </x:is>
      </x:c>
      <x:c r="B12" s="160" t="n">
        <x:v>60</x:v>
      </x:c>
      <x:c r="C12" s="160" t="n">
        <x:v>60</x:v>
      </x:c>
      <x:c r="D12" s="160" t="n">
        <x:v>18</x:v>
      </x:c>
      <x:c r="E12" s="160" t="inlineStr">
        <x:is>
          <x:t xml:space="preserve">MATURE</x:t>
        </x:is>
      </x:c>
      <x:c r="F12" s="160" t="n">
        <x:v>4</x:v>
      </x:c>
      <x:c r="G12" s="160" t="inlineStr">
        <x:is>
          <x:t xml:space="preserve">V10.5-SIM82</x:t>
        </x:is>
      </x:c>
      <x:c r="H12" s="160" t="inlineStr">
        <x:is>
          <x:t xml:space="preserve">Track moat telemetry separately from growth: retention, pricing, win/loss, replacement friction, installed-base behavior.</x:t>
        </x:is>
      </x:c>
      <x:c r="I12" s="160" t="inlineStr">
        <x:is>
          <x:t xml:space="preserve">NOT VALIDATED — SIMULATION ONLY</x:t>
        </x:is>
      </x:c>
      <x:c r="J12" s="160" t="inlineStr">
        <x:is>
          <x:t xml:space="preserve">Freeze rule before Validation; pass prospective Validation and locked Holdout before authorization.</x:t>
        </x:is>
      </x:c>
    </x:row>
    <x:row r="13">
      <x:c r="A13" s="160" t="inlineStr">
        <x:is>
          <x:t xml:space="preserve">R-MOS-01</x:t>
        </x:is>
      </x:c>
      <x:c r="B13" s="160" t="n">
        <x:v>60</x:v>
      </x:c>
      <x:c r="C13" s="160" t="n">
        <x:v>60</x:v>
      </x:c>
      <x:c r="D13" s="160" t="n">
        <x:v>18</x:v>
      </x:c>
      <x:c r="E13" s="160" t="inlineStr">
        <x:is>
          <x:t xml:space="preserve">MATURE</x:t>
        </x:is>
      </x:c>
      <x:c r="F13" s="160" t="n">
        <x:v>4</x:v>
      </x:c>
      <x:c r="G13" s="160" t="inlineStr">
        <x:is>
          <x:t xml:space="preserve">V10.5-SIM82</x:t>
        </x:is>
      </x:c>
      <x:c r="H13" s="160" t="inlineStr">
        <x:is>
          <x:t xml:space="preserve">Separate business-quality score from price decision; require reverse valuation and bear/base/bull IV ranges.</x:t>
        </x:is>
      </x:c>
      <x:c r="I13" s="160" t="inlineStr">
        <x:is>
          <x:t xml:space="preserve">NOT VALIDATED — SIMULATION ONLY</x:t>
        </x:is>
      </x:c>
      <x:c r="J13" s="160" t="inlineStr">
        <x:is>
          <x:t xml:space="preserve">Freeze rule before Validation; pass prospective Validation and locked Holdout before authorization.</x:t>
        </x:is>
      </x:c>
    </x:row>
    <x:row r="14">
      <x:c r="A14" s="160" t="inlineStr">
        <x:is>
          <x:t xml:space="preserve">R-OE-01</x:t>
        </x:is>
      </x:c>
      <x:c r="B14" s="160" t="n">
        <x:v>60</x:v>
      </x:c>
      <x:c r="C14" s="160" t="n">
        <x:v>60</x:v>
      </x:c>
      <x:c r="D14" s="160" t="n">
        <x:v>18</x:v>
      </x:c>
      <x:c r="E14" s="160" t="inlineStr">
        <x:is>
          <x:t xml:space="preserve">MATURE</x:t>
        </x:is>
      </x:c>
      <x:c r="F14" s="160" t="n">
        <x:v>4</x:v>
      </x:c>
      <x:c r="G14" s="160" t="inlineStr">
        <x:is>
          <x:t xml:space="preserve">V10.5-SIM82</x:t>
        </x:is>
      </x:c>
      <x:c r="H14" s="160" t="inlineStr">
        <x:is>
          <x:t xml:space="preserve">Require a GAAP-to-economic-owner-cash bridge tailored to the business model.</x:t>
        </x:is>
      </x:c>
      <x:c r="I14" s="160" t="inlineStr">
        <x:is>
          <x:t xml:space="preserve">NOT VALIDATED — SIMULATION ONLY</x:t>
        </x:is>
      </x:c>
      <x:c r="J14" s="160" t="inlineStr">
        <x:is>
          <x:t xml:space="preserve">Freeze rule before Validation; pass prospective Validation and locked Holdout before authorization.</x:t>
        </x:is>
      </x:c>
    </x:row>
    <x:row r="15">
      <x:c r="A15" s="160" t="inlineStr">
        <x:is>
          <x:t xml:space="preserve">R-PROM-01</x:t>
        </x:is>
      </x:c>
      <x:c r="B15" s="160" t="n">
        <x:v>60</x:v>
      </x:c>
      <x:c r="C15" s="160" t="n">
        <x:v>60</x:v>
      </x:c>
      <x:c r="D15" s="160" t="n">
        <x:v>18</x:v>
      </x:c>
      <x:c r="E15" s="160" t="inlineStr">
        <x:is>
          <x:t xml:space="preserve">MATURE</x:t>
        </x:is>
      </x:c>
      <x:c r="F15" s="160" t="n">
        <x:v>4</x:v>
      </x:c>
      <x:c r="G15" s="160" t="inlineStr">
        <x:is>
          <x:t xml:space="preserve">V10.5-SIM82</x:t>
        </x:is>
      </x:c>
      <x:c r="H15" s="160" t="inlineStr">
        <x:is>
          <x:t xml:space="preserve">Use a promises ledger with dated promise, measurable deliverable, due date, outcome and credibility weight.</x:t>
        </x:is>
      </x:c>
      <x:c r="I15" s="160" t="inlineStr">
        <x:is>
          <x:t xml:space="preserve">NOT VALIDATED — SIMULATION ONLY</x:t>
        </x:is>
      </x:c>
      <x:c r="J15" s="160" t="inlineStr">
        <x:is>
          <x:t xml:space="preserve">Freeze rule before Validation; pass prospective Validation and locked Holdout before authorization.</x:t>
        </x:is>
      </x:c>
    </x:row>
    <x:row r="16">
      <x:c r="A16" s="160" t="inlineStr">
        <x:is>
          <x:t xml:space="preserve">R-SECTOR-AI-SEMICONDUCTORS</x:t>
        </x:is>
      </x:c>
      <x:c r="B16" s="160" t="n">
        <x:v>9</x:v>
      </x:c>
      <x:c r="C16" s="160" t="n">
        <x:v>9</x:v>
      </x:c>
      <x:c r="D16" s="160" t="n">
        <x:v>1</x:v>
      </x:c>
      <x:c r="E16" s="160" t="inlineStr">
        <x:is>
          <x:t xml:space="preserve">COUNTER-EVIDENCE</x:t>
        </x:is>
      </x:c>
      <x:c r="F16" s="160" t="n">
        <x:v>3</x:v>
      </x:c>
      <x:c r="G16" s="160" t="inlineStr">
        <x:is>
          <x:t xml:space="preserve">V10.5-SIM35</x:t>
        </x:is>
      </x:c>
      <x:c r="H16" s="160" t="inlineStr">
        <x:is>
          <x:t xml:space="preserve">Add a sector-specific transmission map with leading operating sensors, not only market-price variables. Sector rule: AI demand remains strong but capex intensity, customer concentration, inventory/cycle risk or export/geopolitical constraints hit normalized returns.</x:t>
        </x:is>
      </x:c>
      <x:c r="I16" s="160" t="inlineStr">
        <x:is>
          <x:t xml:space="preserve">NOT VALIDATED — SIMULATION ONLY</x:t>
        </x:is>
      </x:c>
      <x:c r="J16" s="160" t="inlineStr">
        <x:is>
          <x:t xml:space="preserve">Freeze rule before Validation; pass prospective Validation and locked Holdout before authorization.</x:t>
        </x:is>
      </x:c>
    </x:row>
    <x:row r="17">
      <x:c r="A17" s="160" t="inlineStr">
        <x:is>
          <x:t xml:space="preserve">R-SECTOR-BANKS</x:t>
        </x:is>
      </x:c>
      <x:c r="B17" s="160" t="n">
        <x:v>4</x:v>
      </x:c>
      <x:c r="C17" s="160" t="n">
        <x:v>4</x:v>
      </x:c>
      <x:c r="D17" s="160" t="n">
        <x:v>1</x:v>
      </x:c>
      <x:c r="E17" s="160" t="inlineStr">
        <x:is>
          <x:t xml:space="preserve">HARDENED</x:t>
        </x:is>
      </x:c>
      <x:c r="F17" s="160" t="n">
        <x:v>2</x:v>
      </x:c>
      <x:c r="G17" s="160" t="inlineStr">
        <x:is>
          <x:t xml:space="preserve">V10.5-SIM80</x:t>
        </x:is>
      </x:c>
      <x:c r="H17" s="160" t="inlineStr">
        <x:is>
          <x:t xml:space="preserve">Add a sector-specific transmission map with leading operating sensors, not only market-price variables. Sector rule: NIM or fee income improves but deposit beta, credit losses, capital requirements or duration risk erodes normalized ROTCE.</x:t>
        </x:is>
      </x:c>
      <x:c r="I17" s="160" t="inlineStr">
        <x:is>
          <x:t xml:space="preserve">NOT VALIDATED — SIMULATION ONLY</x:t>
        </x:is>
      </x:c>
      <x:c r="J17" s="160" t="inlineStr">
        <x:is>
          <x:t xml:space="preserve">Freeze rule before Validation; pass prospective Validation and locked Holdout before authorization.</x:t>
        </x:is>
      </x:c>
    </x:row>
    <x:row r="18">
      <x:c r="A18" s="160" t="inlineStr">
        <x:is>
          <x:t xml:space="preserve">R-SECTOR-CAPITAL-MARKETS</x:t>
        </x:is>
      </x:c>
      <x:c r="B18" s="160" t="n">
        <x:v>1</x:v>
      </x:c>
      <x:c r="C18" s="160" t="n">
        <x:v>1</x:v>
      </x:c>
      <x:c r="D18" s="160" t="n">
        <x:v>1</x:v>
      </x:c>
      <x:c r="E18" s="160" t="inlineStr">
        <x:is>
          <x:t xml:space="preserve">UNFORMED</x:t>
        </x:is>
      </x:c>
      <x:c r="F18" s="160" t="n">
        <x:v>0</x:v>
      </x:c>
      <x:c r="G18" s="160" t="inlineStr">
        <x:is>
          <x:t xml:space="preserve">V10.5-SIM60</x:t>
        </x:is>
      </x:c>
      <x:c r="H18" s="160" t="inlineStr">
        <x:is>
          <x:t xml:space="preserve">Add a sector-specific transmission map with leading operating sensors, not only market-price variables. Sector rule: Trading/advisory rebounds but compensation and cycle normalization absorb much of the apparent operating leverage.</x:t>
        </x:is>
      </x:c>
      <x:c r="I18" s="160" t="inlineStr">
        <x:is>
          <x:t xml:space="preserve">NOT VALIDATED — SIMULATION ONLY</x:t>
        </x:is>
      </x:c>
      <x:c r="J18" s="160" t="inlineStr">
        <x:is>
          <x:t xml:space="preserve">Freeze rule before Validation; pass prospective Validation and locked Holdout before authorization.</x:t>
        </x:is>
      </x:c>
    </x:row>
    <x:row r="19">
      <x:c r="A19" s="160" t="inlineStr">
        <x:is>
          <x:t xml:space="preserve">R-SECTOR-CONSUMER</x:t>
        </x:is>
      </x:c>
      <x:c r="B19" s="160" t="n">
        <x:v>2</x:v>
      </x:c>
      <x:c r="C19" s="160" t="n">
        <x:v>2</x:v>
      </x:c>
      <x:c r="D19" s="160" t="n">
        <x:v>1</x:v>
      </x:c>
      <x:c r="E19" s="160" t="inlineStr">
        <x:is>
          <x:t xml:space="preserve">BASE</x:t>
        </x:is>
      </x:c>
      <x:c r="F19" s="160" t="n">
        <x:v>1</x:v>
      </x:c>
      <x:c r="G19" s="160" t="inlineStr">
        <x:is>
          <x:t xml:space="preserve">V10.5-SIM82</x:t>
        </x:is>
      </x:c>
      <x:c r="H19" s="160" t="inlineStr">
        <x:is>
          <x:t xml:space="preserve">Add a sector-specific transmission map with leading operating sensors, not only market-price variables. Sector rule: Revenue growth is driven by price/mix while unit volume, brand heat, traffic or customer economics weaken.</x:t>
        </x:is>
      </x:c>
      <x:c r="I19" s="160" t="inlineStr">
        <x:is>
          <x:t xml:space="preserve">NOT VALIDATED — SIMULATION ONLY</x:t>
        </x:is>
      </x:c>
      <x:c r="J19" s="160" t="inlineStr">
        <x:is>
          <x:t xml:space="preserve">Freeze rule before Validation; pass prospective Validation and locked Holdout before authorization.</x:t>
        </x:is>
      </x:c>
    </x:row>
    <x:row r="20">
      <x:c r="A20" s="160" t="inlineStr">
        <x:is>
          <x:t xml:space="preserve">R-SECTOR-CYBERSECURITY</x:t>
        </x:is>
      </x:c>
      <x:c r="B20" s="160" t="n">
        <x:v>1</x:v>
      </x:c>
      <x:c r="C20" s="160" t="n">
        <x:v>1</x:v>
      </x:c>
      <x:c r="D20" s="160" t="n">
        <x:v>1</x:v>
      </x:c>
      <x:c r="E20" s="160" t="inlineStr">
        <x:is>
          <x:t xml:space="preserve">UNFORMED</x:t>
        </x:is>
      </x:c>
      <x:c r="F20" s="160" t="n">
        <x:v>0</x:v>
      </x:c>
      <x:c r="G20" s="160" t="inlineStr">
        <x:is>
          <x:t xml:space="preserve">V10.5-SIM82</x:t>
        </x:is>
      </x:c>
      <x:c r="H20" s="160" t="inlineStr">
        <x:is>
          <x:t xml:space="preserve">Add a sector-specific transmission map with leading operating sensors, not only market-price variables. Sector rule: ARR grows rapidly while platform consolidation, sales efficiency or SBC makes economic owner earnings lag.</x:t>
        </x:is>
      </x:c>
      <x:c r="I20" s="160" t="inlineStr">
        <x:is>
          <x:t xml:space="preserve">NOT VALIDATED — SIMULATION ONLY</x:t>
        </x:is>
      </x:c>
      <x:c r="J20" s="160" t="inlineStr">
        <x:is>
          <x:t xml:space="preserve">Freeze rule before Validation; pass prospective Validation and locked Holdout before authorization.</x:t>
        </x:is>
      </x:c>
    </x:row>
    <x:row r="21">
      <x:c r="A21" s="160" t="inlineStr">
        <x:is>
          <x:t xml:space="preserve">R-SECTOR-ENERGY</x:t>
        </x:is>
      </x:c>
      <x:c r="B21" s="160" t="n">
        <x:v>5</x:v>
      </x:c>
      <x:c r="C21" s="160" t="n">
        <x:v>5</x:v>
      </x:c>
      <x:c r="D21" s="160" t="n">
        <x:v>1</x:v>
      </x:c>
      <x:c r="E21" s="160" t="inlineStr">
        <x:is>
          <x:t xml:space="preserve">HARDENED</x:t>
        </x:is>
      </x:c>
      <x:c r="F21" s="160" t="n">
        <x:v>2</x:v>
      </x:c>
      <x:c r="G21" s="160" t="inlineStr">
        <x:is>
          <x:t xml:space="preserve">V10.5-SIM58</x:t>
        </x:is>
      </x:c>
      <x:c r="H21" s="160" t="inlineStr">
        <x:is>
          <x:t xml:space="preserve">Add a sector-specific transmission map with leading operating sensors, not only market-price variables. Sector rule: Commodity prices fall toward mid-cycle while sustaining capex and balance-sheet commitments remain fixed.</x:t>
        </x:is>
      </x:c>
      <x:c r="I21" s="160" t="inlineStr">
        <x:is>
          <x:t xml:space="preserve">NOT VALIDATED — SIMULATION ONLY</x:t>
        </x:is>
      </x:c>
      <x:c r="J21" s="160" t="inlineStr">
        <x:is>
          <x:t xml:space="preserve">Freeze rule before Validation; pass prospective Validation and locked Holdout before authorization.</x:t>
        </x:is>
      </x:c>
    </x:row>
    <x:row r="22">
      <x:c r="A22" s="160" t="inlineStr">
        <x:is>
          <x:t xml:space="preserve">R-SECTOR-HEALTHCARE-BIOPHARMA</x:t>
        </x:is>
      </x:c>
      <x:c r="B22" s="160" t="n">
        <x:v>1</x:v>
      </x:c>
      <x:c r="C22" s="160" t="n">
        <x:v>1</x:v>
      </x:c>
      <x:c r="D22" s="160" t="n">
        <x:v>1</x:v>
      </x:c>
      <x:c r="E22" s="160" t="inlineStr">
        <x:is>
          <x:t xml:space="preserve">UNFORMED</x:t>
        </x:is>
      </x:c>
      <x:c r="F22" s="160" t="n">
        <x:v>0</x:v>
      </x:c>
      <x:c r="G22" s="160" t="inlineStr">
        <x:is>
          <x:t xml:space="preserve">V10.5-SIM81</x:t>
        </x:is>
      </x:c>
      <x:c r="H22" s="160" t="inlineStr">
        <x:is>
          <x:t xml:space="preserve">Add a sector-specific transmission map with leading operating sensors, not only market-price variables. Sector rule: Current product growth is strong while patent cliffs, access/pricing, capacity or pipeline probabilities weaken long-duration value.</x:t>
        </x:is>
      </x:c>
      <x:c r="I22" s="160" t="inlineStr">
        <x:is>
          <x:t xml:space="preserve">NOT VALIDATED — SIMULATION ONLY</x:t>
        </x:is>
      </x:c>
      <x:c r="J22" s="160" t="inlineStr">
        <x:is>
          <x:t xml:space="preserve">Freeze rule before Validation; pass prospective Validation and locked Holdout before authorization.</x:t>
        </x:is>
      </x:c>
    </x:row>
    <x:row r="23">
      <x:c r="A23" s="160" t="inlineStr">
        <x:is>
          <x:t xml:space="preserve">R-SECTOR-INDUSTRIALS-DEFENSE</x:t>
        </x:is>
      </x:c>
      <x:c r="B23" s="160" t="n">
        <x:v>1</x:v>
      </x:c>
      <x:c r="C23" s="160" t="n">
        <x:v>1</x:v>
      </x:c>
      <x:c r="D23" s="160" t="n">
        <x:v>1</x:v>
      </x:c>
      <x:c r="E23" s="160" t="inlineStr">
        <x:is>
          <x:t xml:space="preserve">UNFORMED</x:t>
        </x:is>
      </x:c>
      <x:c r="F23" s="160" t="n">
        <x:v>0</x:v>
      </x:c>
      <x:c r="G23" s="160" t="inlineStr">
        <x:is>
          <x:t xml:space="preserve">V10.5-SIM82</x:t>
        </x:is>
      </x:c>
      <x:c r="H23" s="160" t="inlineStr">
        <x:is>
          <x:t xml:space="preserve">Add a sector-specific transmission map with leading operating sensors, not only market-price variables. Sector rule: Backlog expands but working capital, execution, fixed-price exposure or service mix delays cash conversion.</x:t>
        </x:is>
      </x:c>
      <x:c r="I23" s="160" t="inlineStr">
        <x:is>
          <x:t xml:space="preserve">NOT VALIDATED — SIMULATION ONLY</x:t>
        </x:is>
      </x:c>
      <x:c r="J23" s="160" t="inlineStr">
        <x:is>
          <x:t xml:space="preserve">Freeze rule before Validation; pass prospective Validation and locked Holdout before authorization.</x:t>
        </x:is>
      </x:c>
    </x:row>
    <x:row r="24">
      <x:c r="A24" s="160" t="inlineStr">
        <x:is>
          <x:t xml:space="preserve">R-SECTOR-INSURANCE</x:t>
        </x:is>
      </x:c>
      <x:c r="B24" s="160" t="n">
        <x:v>4</x:v>
      </x:c>
      <x:c r="C24" s="160" t="n">
        <x:v>4</x:v>
      </x:c>
      <x:c r="D24" s="160" t="n">
        <x:v>1</x:v>
      </x:c>
      <x:c r="E24" s="160" t="inlineStr">
        <x:is>
          <x:t xml:space="preserve">HARDENED</x:t>
        </x:is>
      </x:c>
      <x:c r="F24" s="160" t="n">
        <x:v>2</x:v>
      </x:c>
      <x:c r="G24" s="160" t="inlineStr">
        <x:is>
          <x:t xml:space="preserve">V10.5-SIM81</x:t>
        </x:is>
      </x:c>
      <x:c r="H24" s="160" t="inlineStr">
        <x:is>
          <x:t xml:space="preserve">Add a sector-specific transmission map with leading operating sensors, not only market-price variables. Sector rule: Premium growth looks strong while reserve adequacy, catastrophe exposure or pricing-cycle deterioration threatens book-value compounding.</x:t>
        </x:is>
      </x:c>
      <x:c r="I24" s="160" t="inlineStr">
        <x:is>
          <x:t xml:space="preserve">NOT VALIDATED — SIMULATION ONLY</x:t>
        </x:is>
      </x:c>
      <x:c r="J24" s="160" t="inlineStr">
        <x:is>
          <x:t xml:space="preserve">Freeze rule before Validation; pass prospective Validation and locked Holdout before authorization.</x:t>
        </x:is>
      </x:c>
    </x:row>
    <x:row r="25">
      <x:c r="A25" s="160" t="inlineStr">
        <x:is>
          <x:t xml:space="preserve">R-SECTOR-MATERIALS-MINING</x:t>
        </x:is>
      </x:c>
      <x:c r="B25" s="160" t="n">
        <x:v>1</x:v>
      </x:c>
      <x:c r="C25" s="160" t="n">
        <x:v>1</x:v>
      </x:c>
      <x:c r="D25" s="160" t="n">
        <x:v>1</x:v>
      </x:c>
      <x:c r="E25" s="160" t="inlineStr">
        <x:is>
          <x:t xml:space="preserve">UNFORMED</x:t>
        </x:is>
      </x:c>
      <x:c r="F25" s="160" t="n">
        <x:v>0</x:v>
      </x:c>
      <x:c r="G25" s="160" t="inlineStr">
        <x:is>
          <x:t xml:space="preserve">V10.5-SIM82</x:t>
        </x:is>
      </x:c>
      <x:c r="H25" s="160" t="inlineStr">
        <x:is>
          <x:t xml:space="preserve">Add a sector-specific transmission map with leading operating sensors, not only market-price variables. Sector rule: Commodity price lifts earnings while grade, sustaining capex, unit cost or project discipline weakens through-cycle value.</x:t>
        </x:is>
      </x:c>
      <x:c r="I25" s="160" t="inlineStr">
        <x:is>
          <x:t xml:space="preserve">NOT VALIDATED — SIMULATION ONLY</x:t>
        </x:is>
      </x:c>
      <x:c r="J25" s="160" t="inlineStr">
        <x:is>
          <x:t xml:space="preserve">Freeze rule before Validation; pass prospective Validation and locked Holdout before authorization.</x:t>
        </x:is>
      </x:c>
    </x:row>
    <x:row r="26">
      <x:c r="A26" s="160" t="inlineStr">
        <x:is>
          <x:t xml:space="preserve">R-SECTOR-MEDIA-INTERNET</x:t>
        </x:is>
      </x:c>
      <x:c r="B26" s="160" t="n">
        <x:v>2</x:v>
      </x:c>
      <x:c r="C26" s="160" t="n">
        <x:v>2</x:v>
      </x:c>
      <x:c r="D26" s="160" t="n">
        <x:v>1</x:v>
      </x:c>
      <x:c r="E26" s="160" t="inlineStr">
        <x:is>
          <x:t xml:space="preserve">BASE</x:t>
        </x:is>
      </x:c>
      <x:c r="F26" s="160" t="n">
        <x:v>1</x:v>
      </x:c>
      <x:c r="G26" s="160" t="inlineStr">
        <x:is>
          <x:t xml:space="preserve">V10.5-SIM63</x:t>
        </x:is>
      </x:c>
      <x:c r="H26" s="160" t="inlineStr">
        <x:is>
          <x:t xml:space="preserve">Add a sector-specific transmission map with leading operating sensors, not only market-price variables. Sector rule: Engagement grows while monetization quality, regulatory risk or infrastructure capex reduces incremental owner returns.</x:t>
        </x:is>
      </x:c>
      <x:c r="I26" s="160" t="inlineStr">
        <x:is>
          <x:t xml:space="preserve">NOT VALIDATED — SIMULATION ONLY</x:t>
        </x:is>
      </x:c>
      <x:c r="J26" s="160" t="inlineStr">
        <x:is>
          <x:t xml:space="preserve">Freeze rule before Validation; pass prospective Validation and locked Holdout before authorization.</x:t>
        </x:is>
      </x:c>
    </x:row>
    <x:row r="27">
      <x:c r="A27" s="160" t="inlineStr">
        <x:is>
          <x:t xml:space="preserve">R-SECTOR-POWER-GRID</x:t>
        </x:is>
      </x:c>
      <x:c r="B27" s="160" t="n">
        <x:v>8</x:v>
      </x:c>
      <x:c r="C27" s="160" t="n">
        <x:v>8</x:v>
      </x:c>
      <x:c r="D27" s="160" t="n">
        <x:v>1</x:v>
      </x:c>
      <x:c r="E27" s="160" t="inlineStr">
        <x:is>
          <x:t xml:space="preserve">COUNTER-EVIDENCE</x:t>
        </x:is>
      </x:c>
      <x:c r="F27" s="160" t="n">
        <x:v>3</x:v>
      </x:c>
      <x:c r="G27" s="160" t="inlineStr">
        <x:is>
          <x:t xml:space="preserve">V10.5-SIM38</x:t>
        </x:is>
      </x:c>
      <x:c r="H27" s="160" t="inlineStr">
        <x:is>
          <x:t xml:space="preserve">Add a sector-specific transmission map with leading operating sensors, not only market-price variables. Sector rule: Backlog stays strong but execution capacity, input inflation, working capital or project mix compresses conversion to owner earnings.</x:t>
        </x:is>
      </x:c>
      <x:c r="I27" s="160" t="inlineStr">
        <x:is>
          <x:t xml:space="preserve">NOT VALIDATED — SIMULATION ONLY</x:t>
        </x:is>
      </x:c>
      <x:c r="J27" s="160" t="inlineStr">
        <x:is>
          <x:t xml:space="preserve">Freeze rule before Validation; pass prospective Validation and locked Holdout before authorization.</x:t>
        </x:is>
      </x:c>
    </x:row>
    <x:row r="28">
      <x:c r="A28" s="160" t="inlineStr">
        <x:is>
          <x:t xml:space="preserve">R-SECTOR-QUANTUM-COMPUTING</x:t>
        </x:is>
      </x:c>
      <x:c r="B28" s="160" t="n">
        <x:v>4</x:v>
      </x:c>
      <x:c r="C28" s="160" t="n">
        <x:v>4</x:v>
      </x:c>
      <x:c r="D28" s="160" t="n">
        <x:v>1</x:v>
      </x:c>
      <x:c r="E28" s="160" t="inlineStr">
        <x:is>
          <x:t xml:space="preserve">HARDENED</x:t>
        </x:is>
      </x:c>
      <x:c r="F28" s="160" t="n">
        <x:v>2</x:v>
      </x:c>
      <x:c r="G28" s="160" t="inlineStr">
        <x:is>
          <x:t xml:space="preserve">V10.5-SIM17</x:t>
        </x:is>
      </x:c>
      <x:c r="H28" s="160" t="inlineStr">
        <x:is>
          <x:t xml:space="preserve">Add a sector-specific transmission map with leading operating sensors, not only market-price variables. Sector rule: Technical milestone improves but paid recurring use, bookings conversion and dilution-adjusted economics lag.</x:t>
        </x:is>
      </x:c>
      <x:c r="I28" s="160" t="inlineStr">
        <x:is>
          <x:t xml:space="preserve">NOT VALIDATED — SIMULATION ONLY</x:t>
        </x:is>
      </x:c>
      <x:c r="J28" s="160" t="inlineStr">
        <x:is>
          <x:t xml:space="preserve">Freeze rule before Validation; pass prospective Validation and locked Holdout before authorization.</x:t>
        </x:is>
      </x:c>
    </x:row>
    <x:row r="29">
      <x:c r="A29" s="160" t="inlineStr">
        <x:is>
          <x:t xml:space="preserve">R-SECTOR-REAL-ESTATE-TELECOM</x:t>
        </x:is>
      </x:c>
      <x:c r="B29" s="160" t="n">
        <x:v>1</x:v>
      </x:c>
      <x:c r="C29" s="160" t="n">
        <x:v>1</x:v>
      </x:c>
      <x:c r="D29" s="160" t="n">
        <x:v>1</x:v>
      </x:c>
      <x:c r="E29" s="160" t="inlineStr">
        <x:is>
          <x:t xml:space="preserve">UNFORMED</x:t>
        </x:is>
      </x:c>
      <x:c r="F29" s="160" t="n">
        <x:v>0</x:v>
      </x:c>
      <x:c r="G29" s="160" t="inlineStr">
        <x:is>
          <x:t xml:space="preserve">V10.5-SIM82</x:t>
        </x:is>
      </x:c>
      <x:c r="H29" s="160" t="inlineStr">
        <x:is>
          <x:t xml:space="preserve">Add a sector-specific transmission map with leading operating sensors, not only market-price variables. Sector rule: Reported AFFO/FCF looks stable while refinancing cost, cap rates, tenant concentration or network capex pressure asset value.</x:t>
        </x:is>
      </x:c>
      <x:c r="I29" s="160" t="inlineStr">
        <x:is>
          <x:t xml:space="preserve">NOT VALIDATED — SIMULATION ONLY</x:t>
        </x:is>
      </x:c>
      <x:c r="J29" s="160" t="inlineStr">
        <x:is>
          <x:t xml:space="preserve">Freeze rule before Validation; pass prospective Validation and locked Holdout before authorization.</x:t>
        </x:is>
      </x:c>
    </x:row>
    <x:row r="30">
      <x:c r="A30" s="160" t="inlineStr">
        <x:is>
          <x:t xml:space="preserve">R-SECTOR-SHIPPING</x:t>
        </x:is>
      </x:c>
      <x:c r="B30" s="160" t="n">
        <x:v>1</x:v>
      </x:c>
      <x:c r="C30" s="160" t="n">
        <x:v>1</x:v>
      </x:c>
      <x:c r="D30" s="160" t="n">
        <x:v>1</x:v>
      </x:c>
      <x:c r="E30" s="160" t="inlineStr">
        <x:is>
          <x:t xml:space="preserve">UNFORMED</x:t>
        </x:is>
      </x:c>
      <x:c r="F30" s="160" t="n">
        <x:v>0</x:v>
      </x:c>
      <x:c r="G30" s="160" t="inlineStr">
        <x:is>
          <x:t xml:space="preserve">V10.5-SIM79</x:t>
        </x:is>
      </x:c>
      <x:c r="H30" s="160" t="inlineStr">
        <x:is>
          <x:t xml:space="preserve">Add a sector-specific transmission map with leading operating sensors, not only market-price variables. Sector rule: Spot TCE spikes but fleet NAV, orderbook, utilization and replacement capex imply lower normalized earnings.</x:t>
        </x:is>
      </x:c>
      <x:c r="I30" s="160" t="inlineStr">
        <x:is>
          <x:t xml:space="preserve">NOT VALIDATED — SIMULATION ONLY</x:t>
        </x:is>
      </x:c>
      <x:c r="J30" s="160" t="inlineStr">
        <x:is>
          <x:t xml:space="preserve">Freeze rule before Validation; pass prospective Validation and locked Holdout before authorization.</x:t>
        </x:is>
      </x:c>
    </x:row>
    <x:row r="31">
      <x:c r="A31" s="160" t="inlineStr">
        <x:is>
          <x:t xml:space="preserve">R-SECTOR-SOFTWARE-PAYMENTS</x:t>
        </x:is>
      </x:c>
      <x:c r="B31" s="160" t="n">
        <x:v>8</x:v>
      </x:c>
      <x:c r="C31" s="160" t="n">
        <x:v>8</x:v>
      </x:c>
      <x:c r="D31" s="160" t="n">
        <x:v>1</x:v>
      </x:c>
      <x:c r="E31" s="160" t="inlineStr">
        <x:is>
          <x:t xml:space="preserve">COUNTER-EVIDENCE</x:t>
        </x:is>
      </x:c>
      <x:c r="F31" s="160" t="n">
        <x:v>3</x:v>
      </x:c>
      <x:c r="G31" s="160" t="inlineStr">
        <x:is>
          <x:t xml:space="preserve">V10.5-SIM64</x:t>
        </x:is>
      </x:c>
      <x:c r="H31" s="160" t="inlineStr">
        <x:is>
          <x:t xml:space="preserve">Add a sector-specific transmission map with leading operating sensors, not only market-price variables. Sector rule: Revenue/ARR grows while retention quality, take rate, SBC, AI capex or competitive substitution weakens owner earnings.</x:t>
        </x:is>
      </x:c>
      <x:c r="I31" s="160" t="inlineStr">
        <x:is>
          <x:t xml:space="preserve">NOT VALIDATED — SIMULATION ONLY</x:t>
        </x:is>
      </x:c>
      <x:c r="J31" s="160" t="inlineStr">
        <x:is>
          <x:t xml:space="preserve">Freeze rule before Validation; pass prospective Validation and locked Holdout before authorization.</x:t>
        </x:is>
      </x:c>
    </x:row>
    <x:row r="32">
      <x:c r="A32" s="160" t="inlineStr">
        <x:is>
          <x:t xml:space="preserve">R-SECTOR-SPECIALTY-INGREDIENTS</x:t>
        </x:is>
      </x:c>
      <x:c r="B32" s="160" t="n">
        <x:v>6</x:v>
      </x:c>
      <x:c r="C32" s="160" t="n">
        <x:v>6</x:v>
      </x:c>
      <x:c r="D32" s="160" t="n">
        <x:v>1</x:v>
      </x:c>
      <x:c r="E32" s="160" t="inlineStr">
        <x:is>
          <x:t xml:space="preserve">COUNTER-EVIDENCE</x:t>
        </x:is>
      </x:c>
      <x:c r="F32" s="160" t="n">
        <x:v>3</x:v>
      </x:c>
      <x:c r="G32" s="160" t="inlineStr">
        <x:is>
          <x:t xml:space="preserve">V10.5-SIM56</x:t>
        </x:is>
      </x:c>
      <x:c r="H32" s="160" t="inlineStr">
        <x:is>
          <x:t xml:space="preserve">Add a sector-specific transmission map with leading operating sensors, not only market-price variables. Sector rule: Price/mix holds while customer destocking, volume softness, integration debt or formulation substitution weakens normalized FCF.</x:t>
        </x:is>
      </x:c>
      <x:c r="I32" s="160" t="inlineStr">
        <x:is>
          <x:t xml:space="preserve">NOT VALIDATED — SIMULATION ONLY</x:t>
        </x:is>
      </x:c>
      <x:c r="J32" s="160" t="inlineStr">
        <x:is>
          <x:t xml:space="preserve">Freeze rule before Validation; pass prospective Validation and locked Holdout before authorization.</x:t>
        </x:is>
      </x:c>
    </x:row>
    <x:row r="33">
      <x:c r="A33" s="160" t="inlineStr">
        <x:is>
          <x:t xml:space="preserve">R-SECTOR-TRANSPORTATION</x:t>
        </x:is>
      </x:c>
      <x:c r="B33" s="160" t="n">
        <x:v>1</x:v>
      </x:c>
      <x:c r="C33" s="160" t="n">
        <x:v>1</x:v>
      </x:c>
      <x:c r="D33" s="160" t="n">
        <x:v>1</x:v>
      </x:c>
      <x:c r="E33" s="160" t="inlineStr">
        <x:is>
          <x:t xml:space="preserve">UNFORMED</x:t>
        </x:is>
      </x:c>
      <x:c r="F33" s="160" t="n">
        <x:v>0</x:v>
      </x:c>
      <x:c r="G33" s="160" t="inlineStr">
        <x:is>
          <x:t xml:space="preserve">V10.5-SIM82</x:t>
        </x:is>
      </x:c>
      <x:c r="H33" s="160" t="inlineStr">
        <x:is>
          <x:t xml:space="preserve">Add a sector-specific transmission map with leading operating sensors, not only market-price variables. Sector rule: Yield improves but labor, fuel, network/fleet capital or cyclical volume weakens normalized FCF.</x:t>
        </x:is>
      </x:c>
      <x:c r="I33" s="160" t="inlineStr">
        <x:is>
          <x:t xml:space="preserve">NOT VALIDATED — SIMULATION ONLY</x:t>
        </x:is>
      </x:c>
      <x:c r="J33" s="160" t="inlineStr">
        <x:is>
          <x:t xml:space="preserve">Freeze rule before Validation; pass prospective Validation and locked Holdout before authorization.</x:t>
        </x:is>
      </x:c>
    </x:row>
    <x:row r="34">
      <x:c r="A34" s="160" t="inlineStr">
        <x:is>
          <x:t xml:space="preserve">R-STEW-01</x:t>
        </x:is>
      </x:c>
      <x:c r="B34" s="160" t="n">
        <x:v>60</x:v>
      </x:c>
      <x:c r="C34" s="160" t="n">
        <x:v>60</x:v>
      </x:c>
      <x:c r="D34" s="160" t="n">
        <x:v>18</x:v>
      </x:c>
      <x:c r="E34" s="160" t="inlineStr">
        <x:is>
          <x:t xml:space="preserve">MATURE</x:t>
        </x:is>
      </x:c>
      <x:c r="F34" s="160" t="n">
        <x:v>4</x:v>
      </x:c>
      <x:c r="G34" s="160" t="inlineStr">
        <x:is>
          <x:t xml:space="preserve">V10.5-SIM82</x:t>
        </x:is>
      </x:c>
      <x:c r="H34" s="160" t="inlineStr">
        <x:is>
          <x:t xml:space="preserve">Evaluate capital allocation on a per-share basis using acquisition cohorts, dilution, leverage and repurchase price discipline.</x:t>
        </x:is>
      </x:c>
      <x:c r="I34" s="160" t="inlineStr">
        <x:is>
          <x:t xml:space="preserve">NOT VALIDATED — SIMULATION ONLY</x:t>
        </x:is>
      </x:c>
      <x:c r="J34" s="160" t="inlineStr">
        <x:is>
          <x:t xml:space="preserve">Freeze rule before Validation; pass prospective Validation and locked Holdout before authorization.</x:t>
        </x:is>
      </x:c>
    </x:row>
    <x:row r="35">
      <x:c r="A35" s="160" t="inlineStr">
        <x:is>
          <x:t xml:space="preserve">R-SURV-01</x:t>
        </x:is>
      </x:c>
      <x:c r="B35" s="160" t="n">
        <x:v>60</x:v>
      </x:c>
      <x:c r="C35" s="160" t="n">
        <x:v>60</x:v>
      </x:c>
      <x:c r="D35" s="160" t="n">
        <x:v>18</x:v>
      </x:c>
      <x:c r="E35" s="160" t="inlineStr">
        <x:is>
          <x:t xml:space="preserve">MATURE</x:t>
        </x:is>
      </x:c>
      <x:c r="F35" s="160" t="n">
        <x:v>4</x:v>
      </x:c>
      <x:c r="G35" s="160" t="inlineStr">
        <x:is>
          <x:t xml:space="preserve">V10.5-SIM82</x:t>
        </x:is>
      </x:c>
      <x:c r="H35" s="160" t="inlineStr">
        <x:is>
          <x:t xml:space="preserve">Run a company-specific survival bridge under a severe-but-plausible bear case before any upside underwriting.</x:t>
        </x:is>
      </x:c>
      <x:c r="I35" s="160" t="inlineStr">
        <x:is>
          <x:t xml:space="preserve">NOT VALIDATED — SIMULATION ONLY</x:t>
        </x:is>
      </x:c>
      <x:c r="J35" s="160" t="inlineStr">
        <x:is>
          <x:t xml:space="preserve">Freeze rule before Validation; pass prospective Validation and locked Holdout before authorization.</x:t>
        </x:is>
      </x:c>
    </x:row>
    <x:row r="36">
      <x:c r="A36" s="160" t="inlineStr">
        <x:is>
          <x:t xml:space="preserve">R-TAIL-01</x:t>
        </x:is>
      </x:c>
      <x:c r="B36" s="160" t="n">
        <x:v>60</x:v>
      </x:c>
      <x:c r="C36" s="160" t="n">
        <x:v>60</x:v>
      </x:c>
      <x:c r="D36" s="160" t="n">
        <x:v>18</x:v>
      </x:c>
      <x:c r="E36" s="160" t="inlineStr">
        <x:is>
          <x:t xml:space="preserve">MATURE</x:t>
        </x:is>
      </x:c>
      <x:c r="F36" s="160" t="n">
        <x:v>4</x:v>
      </x:c>
      <x:c r="G36" s="160" t="inlineStr">
        <x:is>
          <x:t xml:space="preserve">V10.5-SIM82</x:t>
        </x:is>
      </x:c>
      <x:c r="H36" s="160" t="inlineStr">
        <x:is>
          <x:t xml:space="preserve">Maintain an explicit concentration/tail-risk register with probability, severity, mitigation and required margin-of-safety premium.</x:t>
        </x:is>
      </x:c>
      <x:c r="I36" s="160" t="inlineStr">
        <x:is>
          <x:t xml:space="preserve">NOT VALIDATED — SIMULATION ONLY</x:t>
        </x:is>
      </x:c>
      <x:c r="J36" s="160" t="inlineStr">
        <x:is>
          <x:t xml:space="preserve">Freeze rule before Validation; pass prospective Validation and locked Holdout before authorization.</x:t>
        </x:is>
      </x:c>
    </x:row>
    <x:row r="37">
      <x:c r="A37" s="160" t="inlineStr">
        <x:is>
          <x:t xml:space="preserve">R-TIME-01</x:t>
        </x:is>
      </x:c>
      <x:c r="B37" s="160" t="n">
        <x:v>60</x:v>
      </x:c>
      <x:c r="C37" s="160" t="n">
        <x:v>60</x:v>
      </x:c>
      <x:c r="D37" s="160" t="n">
        <x:v>18</x:v>
      </x:c>
      <x:c r="E37" s="160" t="inlineStr">
        <x:is>
          <x:t xml:space="preserve">MATURE</x:t>
        </x:is>
      </x:c>
      <x:c r="F37" s="160" t="n">
        <x:v>4</x:v>
      </x:c>
      <x:c r="G37" s="160" t="inlineStr">
        <x:is>
          <x:t xml:space="preserve">V10.5-SIM82</x:t>
        </x:is>
      </x:c>
      <x:c r="H37" s="160" t="inlineStr">
        <x:is>
          <x:t xml:space="preserve">Replace lagging financial metrics with earlier causal operating sensors and record lead time separately from correctness.</x:t>
        </x:is>
      </x:c>
      <x:c r="I37" s="160" t="inlineStr">
        <x:is>
          <x:t xml:space="preserve">NOT VALIDATED — SIMULATION ONLY</x:t>
        </x:is>
      </x:c>
      <x:c r="J37" s="160" t="inlineStr">
        <x:is>
          <x:t xml:space="preserve">Freeze rule before Validation; pass prospective Validation and locked Holdout before authorization.</x:t>
        </x:is>
      </x:c>
    </x:row>
    <x:row r="38">
      <x:c r="A38" s="160" t="inlineStr">
        <x:is>
          <x:t xml:space="preserve">R-X-ACCOUNTING-CASH</x:t>
        </x:is>
      </x:c>
      <x:c r="B38" s="160" t="n">
        <x:v>4</x:v>
      </x:c>
      <x:c r="C38" s="160" t="n">
        <x:v>0</x:v>
      </x:c>
      <x:c r="D38" s="160" t="n">
        <x:v>1</x:v>
      </x:c>
      <x:c r="E38" s="160" t="inlineStr">
        <x:is>
          <x:t xml:space="preserve">INTERACTION STANDARD</x:t>
        </x:is>
      </x:c>
      <x:c r="F38" s="160" t="n">
        <x:v>1</x:v>
      </x:c>
      <x:c r="G38" s="160" t="inlineStr">
        <x:is>
          <x:t xml:space="preserve">V10.5-SIM88</x:t>
        </x:is>
      </x:c>
      <x:c r="H38" s="160" t="inlineStr">
        <x:is>
          <x:t xml:space="preserve">Require normalized operating bridge and cash reconciliation whenever non-operating accounting noise exceeds operating earnings.</x:t>
        </x:is>
      </x:c>
      <x:c r="I38" s="160" t="inlineStr">
        <x:is>
          <x:t xml:space="preserve">NOT VALIDATED — SIMULATION ONLY</x:t>
        </x:is>
      </x:c>
      <x:c r="J38" s="160" t="inlineStr">
        <x:is>
          <x:t xml:space="preserve">Freeze rule before Validation; pass prospective Validation and locked Holdout before authorization.</x:t>
        </x:is>
      </x:c>
    </x:row>
    <x:row r="39">
      <x:c r="A39" s="160" t="inlineStr">
        <x:is>
          <x:t xml:space="preserve">R-X-BACKLOG-WC</x:t>
        </x:is>
      </x:c>
      <x:c r="B39" s="160" t="n">
        <x:v>4</x:v>
      </x:c>
      <x:c r="C39" s="160" t="n">
        <x:v>0</x:v>
      </x:c>
      <x:c r="D39" s="160" t="n">
        <x:v>1</x:v>
      </x:c>
      <x:c r="E39" s="160" t="inlineStr">
        <x:is>
          <x:t xml:space="preserve">INTERACTION STANDARD</x:t>
        </x:is>
      </x:c>
      <x:c r="F39" s="160" t="n">
        <x:v>1</x:v>
      </x:c>
      <x:c r="G39" s="160" t="inlineStr">
        <x:is>
          <x:t xml:space="preserve">V10.5-SIM91</x:t>
        </x:is>
      </x:c>
      <x:c r="H39" s="160" t="inlineStr">
        <x:is>
          <x:t xml:space="preserve">Score backlog quality by margin, cancellation, execution capacity and cash-conversion profile—not headline dollars.</x:t>
        </x:is>
      </x:c>
      <x:c r="I39" s="160" t="inlineStr">
        <x:is>
          <x:t xml:space="preserve">NOT VALIDATED — SIMULATION ONLY</x:t>
        </x:is>
      </x:c>
      <x:c r="J39" s="160" t="inlineStr">
        <x:is>
          <x:t xml:space="preserve">Freeze rule before Validation; pass prospective Validation and locked Holdout before authorization.</x:t>
        </x:is>
      </x:c>
    </x:row>
    <x:row r="40">
      <x:c r="A40" s="160" t="inlineStr">
        <x:is>
          <x:t xml:space="preserve">R-X-CAPEX-OE</x:t>
        </x:is>
      </x:c>
      <x:c r="B40" s="160" t="n">
        <x:v>4</x:v>
      </x:c>
      <x:c r="C40" s="160" t="n">
        <x:v>0</x:v>
      </x:c>
      <x:c r="D40" s="160" t="n">
        <x:v>1</x:v>
      </x:c>
      <x:c r="E40" s="160" t="inlineStr">
        <x:is>
          <x:t xml:space="preserve">INTERACTION STANDARD</x:t>
        </x:is>
      </x:c>
      <x:c r="F40" s="160" t="n">
        <x:v>1</x:v>
      </x:c>
      <x:c r="G40" s="160" t="inlineStr">
        <x:is>
          <x:t xml:space="preserve">V10.5-SIM92</x:t>
        </x:is>
      </x:c>
      <x:c r="H40" s="160" t="inlineStr">
        <x:is>
          <x:t xml:space="preserve">Split maintenance, replacement and growth capex; charge recurring capacity needs before calling cash 'owner earnings'.</x:t>
        </x:is>
      </x:c>
      <x:c r="I40" s="160" t="inlineStr">
        <x:is>
          <x:t xml:space="preserve">NOT VALIDATED — SIMULATION ONLY</x:t>
        </x:is>
      </x:c>
      <x:c r="J40" s="160" t="inlineStr">
        <x:is>
          <x:t xml:space="preserve">Freeze rule before Validation; pass prospective Validation and locked Holdout before authorization.</x:t>
        </x:is>
      </x:c>
    </x:row>
    <x:row r="41">
      <x:c r="A41" s="160" t="inlineStr">
        <x:is>
          <x:t xml:space="preserve">R-X-CYCLE-LEVERAGE</x:t>
        </x:is>
      </x:c>
      <x:c r="B41" s="160" t="n">
        <x:v>4</x:v>
      </x:c>
      <x:c r="C41" s="160" t="n">
        <x:v>0</x:v>
      </x:c>
      <x:c r="D41" s="160" t="n">
        <x:v>1</x:v>
      </x:c>
      <x:c r="E41" s="160" t="inlineStr">
        <x:is>
          <x:t xml:space="preserve">INTERACTION STANDARD</x:t>
        </x:is>
      </x:c>
      <x:c r="F41" s="160" t="n">
        <x:v>1</x:v>
      </x:c>
      <x:c r="G41" s="160" t="inlineStr">
        <x:is>
          <x:t xml:space="preserve">V10.5-SIM86</x:t>
        </x:is>
      </x:c>
      <x:c r="H41" s="160" t="inlineStr">
        <x:is>
          <x:t xml:space="preserve">Stress debt/liquidity using mid-cycle—not spot—earnings and include refinancing cost shock.</x:t>
        </x:is>
      </x:c>
      <x:c r="I41" s="160" t="inlineStr">
        <x:is>
          <x:t xml:space="preserve">NOT VALIDATED — SIMULATION ONLY</x:t>
        </x:is>
      </x:c>
      <x:c r="J41" s="160" t="inlineStr">
        <x:is>
          <x:t xml:space="preserve">Freeze rule before Validation; pass prospective Validation and locked Holdout before authorization.</x:t>
        </x:is>
      </x:c>
    </x:row>
    <x:row r="42">
      <x:c r="A42" s="160" t="inlineStr">
        <x:is>
          <x:t xml:space="preserve">R-X-GEO-SURVIVAL</x:t>
        </x:is>
      </x:c>
      <x:c r="B42" s="160" t="n">
        <x:v>4</x:v>
      </x:c>
      <x:c r="C42" s="160" t="n">
        <x:v>0</x:v>
      </x:c>
      <x:c r="D42" s="160" t="n">
        <x:v>1</x:v>
      </x:c>
      <x:c r="E42" s="160" t="inlineStr">
        <x:is>
          <x:t xml:space="preserve">INTERACTION STANDARD</x:t>
        </x:is>
      </x:c>
      <x:c r="F42" s="160" t="n">
        <x:v>1</x:v>
      </x:c>
      <x:c r="G42" s="160" t="inlineStr">
        <x:is>
          <x:t xml:space="preserve">V10.5-SIM90</x:t>
        </x:is>
      </x:c>
      <x:c r="H42" s="160" t="inlineStr">
        <x:is>
          <x:t xml:space="preserve">Model permanent-loss tails separately from ordinary beta and require explicit resilience/alternative-capacity evidence.</x:t>
        </x:is>
      </x:c>
      <x:c r="I42" s="160" t="inlineStr">
        <x:is>
          <x:t xml:space="preserve">NOT VALIDATED — SIMULATION ONLY</x:t>
        </x:is>
      </x:c>
      <x:c r="J42" s="160" t="inlineStr">
        <x:is>
          <x:t xml:space="preserve">Freeze rule before Validation; pass prospective Validation and locked Holdout before authorization.</x:t>
        </x:is>
      </x:c>
    </x:row>
    <x:row r="43">
      <x:c r="A43" s="160" t="inlineStr">
        <x:is>
          <x:t xml:space="preserve">R-X-GROWTH-DILUTION</x:t>
        </x:is>
      </x:c>
      <x:c r="B43" s="160" t="n">
        <x:v>4</x:v>
      </x:c>
      <x:c r="C43" s="160" t="n">
        <x:v>0</x:v>
      </x:c>
      <x:c r="D43" s="160" t="n">
        <x:v>1</x:v>
      </x:c>
      <x:c r="E43" s="160" t="inlineStr">
        <x:is>
          <x:t xml:space="preserve">INTERACTION STANDARD</x:t>
        </x:is>
      </x:c>
      <x:c r="F43" s="160" t="n">
        <x:v>1</x:v>
      </x:c>
      <x:c r="G43" s="160" t="inlineStr">
        <x:is>
          <x:t xml:space="preserve">V10.5-SIM84</x:t>
        </x:is>
      </x:c>
      <x:c r="H43" s="160" t="inlineStr">
        <x:is>
          <x:t xml:space="preserve">Make per-share IV growth—not enterprise growth—the final Stewardship/Owner-Earnings bridge.</x:t>
        </x:is>
      </x:c>
      <x:c r="I43" s="160" t="inlineStr">
        <x:is>
          <x:t xml:space="preserve">NOT VALIDATED — SIMULATION ONLY</x:t>
        </x:is>
      </x:c>
      <x:c r="J43" s="160" t="inlineStr">
        <x:is>
          <x:t xml:space="preserve">Freeze rule before Validation; pass prospective Validation and locked Holdout before authorization.</x:t>
        </x:is>
      </x:c>
    </x:row>
    <x:row r="44">
      <x:c r="A44" s="160" t="inlineStr">
        <x:is>
          <x:t xml:space="preserve">R-X-LUMPY-DEMAND</x:t>
        </x:is>
      </x:c>
      <x:c r="B44" s="160" t="n">
        <x:v>4</x:v>
      </x:c>
      <x:c r="C44" s="160" t="n">
        <x:v>0</x:v>
      </x:c>
      <x:c r="D44" s="160" t="n">
        <x:v>1</x:v>
      </x:c>
      <x:c r="E44" s="160" t="inlineStr">
        <x:is>
          <x:t xml:space="preserve">INTERACTION STANDARD</x:t>
        </x:is>
      </x:c>
      <x:c r="F44" s="160" t="n">
        <x:v>1</x:v>
      </x:c>
      <x:c r="G44" s="160" t="inlineStr">
        <x:is>
          <x:t xml:space="preserve">V10.5-SIM87</x:t>
        </x:is>
      </x:c>
      <x:c r="H44" s="160" t="inlineStr">
        <x:is>
          <x:t xml:space="preserve">Use a demand hierarchy: recurring usage + bookings/RPO/backlog conversion + episodic sales; track cancellations/conversion quality.</x:t>
        </x:is>
      </x:c>
      <x:c r="I44" s="160" t="inlineStr">
        <x:is>
          <x:t xml:space="preserve">NOT VALIDATED — SIMULATION ONLY</x:t>
        </x:is>
      </x:c>
      <x:c r="J44" s="160" t="inlineStr">
        <x:is>
          <x:t xml:space="preserve">Freeze rule before Validation; pass prospective Validation and locked Holdout before authorization.</x:t>
        </x:is>
      </x:c>
    </x:row>
    <x:row r="45">
      <x:c r="A45" s="160" t="inlineStr">
        <x:is>
          <x:t xml:space="preserve">R-X-MA-ORGANIC</x:t>
        </x:is>
      </x:c>
      <x:c r="B45" s="160" t="n">
        <x:v>4</x:v>
      </x:c>
      <x:c r="C45" s="160" t="n">
        <x:v>0</x:v>
      </x:c>
      <x:c r="D45" s="160" t="n">
        <x:v>1</x:v>
      </x:c>
      <x:c r="E45" s="160" t="inlineStr">
        <x:is>
          <x:t xml:space="preserve">INTERACTION STANDARD</x:t>
        </x:is>
      </x:c>
      <x:c r="F45" s="160" t="n">
        <x:v>1</x:v>
      </x:c>
      <x:c r="G45" s="160" t="inlineStr">
        <x:is>
          <x:t xml:space="preserve">V10.5-SIM85</x:t>
        </x:is>
      </x:c>
      <x:c r="H45" s="160" t="inlineStr">
        <x:is>
          <x:t xml:space="preserve">Require acquisition-cohort ROIC plus organic growth bridge before acquired growth can support moat or IV.</x:t>
        </x:is>
      </x:c>
      <x:c r="I45" s="160" t="inlineStr">
        <x:is>
          <x:t xml:space="preserve">NOT VALIDATED — SIMULATION ONLY</x:t>
        </x:is>
      </x:c>
      <x:c r="J45" s="160" t="inlineStr">
        <x:is>
          <x:t xml:space="preserve">Freeze rule before Validation; pass prospective Validation and locked Holdout before authorization.</x:t>
        </x:is>
      </x:c>
    </x:row>
    <x:row r="46">
      <x:c r="A46" s="160" t="inlineStr">
        <x:is>
          <x:t xml:space="preserve">R-X-MOAT-CONCENTRATION</x:t>
        </x:is>
      </x:c>
      <x:c r="B46" s="160" t="n">
        <x:v>4</x:v>
      </x:c>
      <x:c r="C46" s="160" t="n">
        <x:v>0</x:v>
      </x:c>
      <x:c r="D46" s="160" t="n">
        <x:v>1</x:v>
      </x:c>
      <x:c r="E46" s="160" t="inlineStr">
        <x:is>
          <x:t xml:space="preserve">INTERACTION STANDARD</x:t>
        </x:is>
      </x:c>
      <x:c r="F46" s="160" t="n">
        <x:v>1</x:v>
      </x:c>
      <x:c r="G46" s="160" t="inlineStr">
        <x:is>
          <x:t xml:space="preserve">V10.5-SIM89</x:t>
        </x:is>
      </x:c>
      <x:c r="H46" s="160" t="inlineStr">
        <x:is>
          <x:t xml:space="preserve">A moat cannot fully offset concentration tail risk; apply a separate concentration register and MOS premium.</x:t>
        </x:is>
      </x:c>
      <x:c r="I46" s="160" t="inlineStr">
        <x:is>
          <x:t xml:space="preserve">NOT VALIDATED — SIMULATION ONLY</x:t>
        </x:is>
      </x:c>
      <x:c r="J46" s="160" t="inlineStr">
        <x:is>
          <x:t xml:space="preserve">Freeze rule before Validation; pass prospective Validation and locked Holdout before authorization.</x:t>
        </x:is>
      </x:c>
    </x:row>
    <x:row r="47">
      <x:c r="A47" s="160" t="inlineStr">
        <x:is>
          <x:t xml:space="preserve">R-X-QUALITY-PRICE</x:t>
        </x:is>
      </x:c>
      <x:c r="B47" s="160" t="n">
        <x:v>4</x:v>
      </x:c>
      <x:c r="C47" s="160" t="n">
        <x:v>0</x:v>
      </x:c>
      <x:c r="D47" s="160" t="n">
        <x:v>1</x:v>
      </x:c>
      <x:c r="E47" s="160" t="inlineStr">
        <x:is>
          <x:t xml:space="preserve">INTERACTION STANDARD</x:t>
        </x:is>
      </x:c>
      <x:c r="F47" s="160" t="n">
        <x:v>1</x:v>
      </x:c>
      <x:c r="G47" s="160" t="inlineStr">
        <x:is>
          <x:t xml:space="preserve">V10.5-SIM83</x:t>
        </x:is>
      </x:c>
      <x:c r="H47" s="160" t="inlineStr">
        <x:is>
          <x:t xml:space="preserve">Maintain two independent axes: Business Quality and Margin of Safety; never downgrade the engine merely because price is high.</x:t>
        </x:is>
      </x:c>
      <x:c r="I47" s="160" t="inlineStr">
        <x:is>
          <x:t xml:space="preserve">NOT VALIDATED — SIMULATION ONLY</x:t>
        </x:is>
      </x:c>
      <x:c r="J47" s="160" t="inlineStr">
        <x:is>
          <x:t xml:space="preserve">Freeze rule before Validation; pass prospective Validation and locked Holdout before authorization.</x:t>
        </x:is>
      </x:c>
    </x:row>
  </x:sheetData>
  <x:mergeCells>
    <x:mergeCell ref="A1:J1"/>
    <x:mergeCell ref="A2:J2"/>
  </x:mergeCells>
  <x:pageMargins left="0.7" right="0.7" top="0.75" bottom="0.75" header="0.3" footer="0.3"/>
  <x:tableParts count="1">
    <x:tablePart xmlns:r="http://schemas.openxmlformats.org/officeDocument/2006/relationships" r:id="Rcb39d2aec7fb4a01"/>
  </x:tableParts>
</x:worksheet>
</file>

<file path=xl/worksheets/sheet17.xml><?xml version="1.0" encoding="utf-8"?>
<x:worksheet xmlns:x="http://schemas.openxmlformats.org/spreadsheetml/2006/main">
  <x:sheetFormatPr baseColWidth="8" defaultRowHeight="15"/>
  <x:cols>
    <x:col min="1" max="1" width="30" style="139" customWidth="1"/>
    <x:col min="2" max="2" width="12" style="139" customWidth="1"/>
    <x:col min="12" max="12" width="34" style="139" customWidth="1"/>
    <x:col min="13" max="13" width="16" style="139" customWidth="1"/>
    <x:col min="14" max="14" width="34" style="139" customWidth="1"/>
  </x:cols>
  <x:sheetData>
    <x:row r="1" s="139" customFormat="1" ht="28" customHeight="1">
      <x:c r="A1" s="143" t="inlineStr">
        <x:is>
          <x:t xml:space="preserve">ARGUS V10.6 — 1,000-Loop Development Dashboard</x:t>
        </x:is>
      </x:c>
    </x:row>
    <x:row r="2" s="139" customFormat="1" ht="34" customHeight="1">
      <x:c r="A2" s="166" t="inlineStr">
        <x:is>
          <x:t xml:space="preserve">Purpose: adversarially improve the frozen V10 framework while preserving empirical integrity. Validation = untouched; Holdout = untouched; empirical authorization = still BLOCKED.</x:t>
        </x:is>
      </x:c>
    </x:row>
    <x:row r="4">
      <x:c r="A4" s="171" t="inlineStr">
        <x:is>
          <x:t xml:space="preserve">Loops completed
1000</x:t>
        </x:is>
      </x:c>
      <x:c r="D4" s="171" t="inlineStr">
        <x:is>
          <x:t xml:space="preserve">Development companies
60</x:t>
        </x:is>
      </x:c>
      <x:c r="G4" s="176" t="inlineStr">
        <x:is>
          <x:t xml:space="preserve">Validation companies exposed
0</x:t>
        </x:is>
      </x:c>
      <x:c r="J4" s="176" t="inlineStr">
        <x:is>
          <x:t xml:space="preserve">Holdout companies exposed
0</x:t>
        </x:is>
      </x:c>
    </x:row>
    <x:row r="5"/>
    <x:row r="6"/>
    <x:row r="8">
      <x:c r="A8" s="171" t="inlineStr">
        <x:is>
          <x:t xml:space="preserve">Rule-evolution events
92</x:t>
        </x:is>
      </x:c>
      <x:c r="D8" s="171" t="inlineStr">
        <x:is>
          <x:t xml:space="preserve">Unique simulation rules
43</x:t>
        </x:is>
      </x:c>
      <x:c r="G8" s="181" t="inlineStr">
        <x:is>
          <x:t xml:space="preserve">Empirical accuracy points
0</x:t>
        </x:is>
      </x:c>
      <x:c r="J8" s="171" t="inlineStr">
        <x:is>
          <x:t xml:space="preserve">Final simulation version
V10.5-SIM92</x:t>
        </x:is>
      </x:c>
    </x:row>
    <x:row r="9"/>
    <x:row r="10"/>
    <x:row r="13">
      <x:c r="A13" s="182" t="inlineStr">
        <x:is>
          <x:t xml:space="preserve">Result</x:t>
        </x:is>
      </x:c>
      <x:c r="B13" s="182" t="inlineStr">
        <x:is>
          <x:t xml:space="preserve">Count</x:t>
        </x:is>
      </x:c>
      <x:c r="L13" s="182" t="inlineStr">
        <x:is>
          <x:t xml:space="preserve">Integrity Controls</x:t>
        </x:is>
      </x:c>
    </x:row>
    <x:row r="14">
      <x:c r="A14" s="183" t="inlineStr">
        <x:is>
          <x:t xml:space="preserve">FAILURE EXPOSED</x:t>
        </x:is>
      </x:c>
      <x:c r="B14" s="183" t="n">
        <x:v>56</x:v>
      </x:c>
      <x:c r="L14" s="160" t="inlineStr">
        <x:is>
          <x:t xml:space="preserve">Historical dry-runs already in 1000 Cycles</x:t>
        </x:is>
      </x:c>
      <x:c r="M14" s="160" t="inlineStr">
        <x:is>
          <x:t xml:space="preserve">50</x:t>
        </x:is>
      </x:c>
      <x:c r="N14" s="160" t="inlineStr">
        <x:is>
          <x:t xml:space="preserve">0 accuracy credit</x:t>
        </x:is>
      </x:c>
    </x:row>
    <x:row r="15">
      <x:c r="A15" s="183" t="inlineStr">
        <x:is>
          <x:t xml:space="preserve">WEAKNESS EXPOSED</x:t>
        </x:is>
      </x:c>
      <x:c r="B15" s="183" t="n">
        <x:v>47</x:v>
      </x:c>
      <x:c r="L15" s="160" t="inlineStr">
        <x:is>
          <x:t xml:space="preserve">Synthetic improvement loops</x:t>
        </x:is>
      </x:c>
      <x:c r="M15" s="160" t="inlineStr">
        <x:is>
          <x:t xml:space="preserve">1,000</x:t>
        </x:is>
      </x:c>
      <x:c r="N15" s="160" t="inlineStr">
        <x:is>
          <x:t xml:space="preserve">0 accuracy credit</x:t>
        </x:is>
      </x:c>
    </x:row>
    <x:row r="16">
      <x:c r="A16" s="183" t="inlineStr">
        <x:is>
          <x:t xml:space="preserve">PARTIAL CATCH</x:t>
        </x:is>
      </x:c>
      <x:c r="B16" s="183" t="n">
        <x:v>131</x:v>
      </x:c>
      <x:c r="L16" s="160" t="inlineStr">
        <x:is>
          <x:t xml:space="preserve">Validation cohort used for learning</x:t>
        </x:is>
      </x:c>
      <x:c r="M16" s="160" t="inlineStr">
        <x:is>
          <x:t xml:space="preserve">0</x:t>
        </x:is>
      </x:c>
      <x:c r="N16" s="160" t="inlineStr">
        <x:is>
          <x:t xml:space="preserve">Preserved</x:t>
        </x:is>
      </x:c>
    </x:row>
    <x:row r="17">
      <x:c r="A17" s="183" t="inlineStr">
        <x:is>
          <x:t xml:space="preserve">ROBUST WITH RESIDUAL</x:t>
        </x:is>
      </x:c>
      <x:c r="B17" s="183" t="n">
        <x:v>234</x:v>
      </x:c>
      <x:c r="L17" s="160" t="inlineStr">
        <x:is>
          <x:t xml:space="preserve">Holdout cohort used for learning</x:t>
        </x:is>
      </x:c>
      <x:c r="M17" s="160" t="inlineStr">
        <x:is>
          <x:t xml:space="preserve">0</x:t>
        </x:is>
      </x:c>
      <x:c r="N17" s="160" t="inlineStr">
        <x:is>
          <x:t xml:space="preserve">Preserved</x:t>
        </x:is>
      </x:c>
    </x:row>
    <x:row r="18">
      <x:c r="A18" s="183" t="inlineStr">
        <x:is>
          <x:t xml:space="preserve">ROBUST</x:t>
        </x:is>
      </x:c>
      <x:c r="B18" s="183" t="n">
        <x:v>532</x:v>
      </x:c>
      <x:c r="L18" s="160" t="inlineStr">
        <x:is>
          <x:t xml:space="preserve">Authorization gate</x:t>
        </x:is>
      </x:c>
      <x:c r="M18" s="160" t="inlineStr">
        <x:is>
          <x:t xml:space="preserve">BLOCKED</x:t>
        </x:is>
      </x:c>
      <x:c r="N18" s="160" t="inlineStr">
        <x:is>
          <x:t xml:space="preserve">Requires prospective Validation + locked Holdout</x:t>
        </x:is>
      </x:c>
    </x:row>
    <x:row r="21">
      <x:c r="A21" s="182" t="inlineStr">
        <x:is>
          <x:t xml:space="preserve">Failure Class</x:t>
        </x:is>
      </x:c>
      <x:c r="B21" s="182" t="inlineStr">
        <x:is>
          <x:t xml:space="preserve">Loops</x:t>
        </x:is>
      </x:c>
    </x:row>
    <x:row r="22">
      <x:c r="A22" s="158" t="inlineStr">
        <x:is>
          <x:t xml:space="preserve">Stewardship</x:t>
        </x:is>
      </x:c>
      <x:c r="B22" s="158" t="n">
        <x:v>180</x:v>
      </x:c>
    </x:row>
    <x:row r="23">
      <x:c r="A23" s="158" t="inlineStr">
        <x:is>
          <x:t xml:space="preserve">Survival</x:t>
        </x:is>
      </x:c>
      <x:c r="B23" s="158" t="n">
        <x:v>120</x:v>
      </x:c>
    </x:row>
    <x:row r="24">
      <x:c r="A24" s="158" t="inlineStr">
        <x:is>
          <x:t xml:space="preserve">Data quality</x:t>
        </x:is>
      </x:c>
      <x:c r="B24" s="158" t="n">
        <x:v>60</x:v>
      </x:c>
    </x:row>
    <x:row r="25">
      <x:c r="A25" s="158" t="inlineStr">
        <x:is>
          <x:t xml:space="preserve">False negative</x:t>
        </x:is>
      </x:c>
      <x:c r="B25" s="158" t="n">
        <x:v>60</x:v>
      </x:c>
    </x:row>
    <x:row r="26">
      <x:c r="A26" s="158" t="inlineStr">
        <x:is>
          <x:t xml:space="preserve">Management over-trust</x:t>
        </x:is>
      </x:c>
      <x:c r="B26" s="158" t="n">
        <x:v>60</x:v>
      </x:c>
    </x:row>
    <x:row r="27">
      <x:c r="A27" s="158" t="inlineStr">
        <x:is>
          <x:t xml:space="preserve">Margin of Safety</x:t>
        </x:is>
      </x:c>
      <x:c r="B27" s="158" t="n">
        <x:v>60</x:v>
      </x:c>
    </x:row>
    <x:row r="28">
      <x:c r="A28" s="158" t="inlineStr">
        <x:is>
          <x:t xml:space="preserve">Moat 2036</x:t>
        </x:is>
      </x:c>
      <x:c r="B28" s="158" t="n">
        <x:v>60</x:v>
      </x:c>
    </x:row>
    <x:row r="29">
      <x:c r="A29" s="158" t="inlineStr">
        <x:is>
          <x:t xml:space="preserve">Owner Earnings</x:t>
        </x:is>
      </x:c>
      <x:c r="B29" s="158" t="n">
        <x:v>60</x:v>
      </x:c>
    </x:row>
    <x:row r="30">
      <x:c r="A30" s="158" t="inlineStr">
        <x:is>
          <x:t xml:space="preserve">Sector beta vs company alpha</x:t>
        </x:is>
      </x:c>
      <x:c r="B30" s="158" t="n">
        <x:v>60</x:v>
      </x:c>
    </x:row>
    <x:row r="31">
      <x:c r="A31" s="158" t="inlineStr">
        <x:is>
          <x:t xml:space="preserve">Sector-specific</x:t>
        </x:is>
      </x:c>
      <x:c r="B31" s="158" t="n">
        <x:v>60</x:v>
      </x:c>
    </x:row>
    <x:row r="32">
      <x:c r="A32" s="158" t="inlineStr">
        <x:is>
          <x:t xml:space="preserve">Timing / lead-time</x:t>
        </x:is>
      </x:c>
      <x:c r="B32" s="158" t="n">
        <x:v>60</x:v>
      </x:c>
    </x:row>
    <x:row r="33">
      <x:c r="A33" s="158" t="inlineStr">
        <x:is>
          <x:t xml:space="preserve">Understanding</x:t>
        </x:is>
      </x:c>
      <x:c r="B33" s="158" t="n">
        <x:v>60</x:v>
      </x:c>
    </x:row>
    <x:row r="34">
      <x:c r="A34" s="158" t="inlineStr">
        <x:is>
          <x:t xml:space="preserve">Wrong valuation lens</x:t>
        </x:is>
      </x:c>
      <x:c r="B34" s="158" t="n">
        <x:v>60</x:v>
      </x:c>
    </x:row>
    <x:row r="35">
      <x:c r="A35" s="158" t="inlineStr">
        <x:is>
          <x:t xml:space="preserve">Rule interaction</x:t>
        </x:is>
      </x:c>
      <x:c r="B35" s="158" t="n">
        <x:v>40</x:v>
      </x:c>
    </x:row>
  </x:sheetData>
  <x:mergeCells>
    <x:mergeCell ref="A1:N1"/>
    <x:mergeCell ref="G8:I10"/>
    <x:mergeCell ref="G4:I6"/>
    <x:mergeCell ref="J8:L10"/>
    <x:mergeCell ref="J4:L6"/>
    <x:mergeCell ref="A2:N2"/>
    <x:mergeCell ref="L13:N13"/>
    <x:mergeCell ref="A4:C6"/>
    <x:mergeCell ref="A8:C10"/>
    <x:mergeCell ref="D4:F6"/>
    <x:mergeCell ref="D8:F10"/>
  </x:mergeCells>
  <x:pageMargins left="0.7" right="0.7" top="0.75" bottom="0.75" header="0.3" footer="0.3"/>
  <x:drawing xmlns:r="http://schemas.openxmlformats.org/officeDocument/2006/relationships" r:id="R5747b8f5d919486f"/>
</x:worksheet>
</file>

<file path=xl/worksheets/sheet18.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1" hidden="0" customWidth="1"/>
    <x:col min="4" max="4" width="24" hidden="0" customWidth="1"/>
    <x:col min="5" max="5" width="13" hidden="0" customWidth="1"/>
    <x:col min="6" max="6" width="42" hidden="0" customWidth="1"/>
    <x:col min="7" max="7" width="48" hidden="0" customWidth="1"/>
    <x:col min="8" max="8" width="48" hidden="0" customWidth="1"/>
    <x:col min="9" max="9" width="50" hidden="0" customWidth="1"/>
    <x:col min="10" max="10" width="50" hidden="0" customWidth="1"/>
    <x:col min="11" max="11" width="50" hidden="0" customWidth="1"/>
    <x:col min="12" max="12" width="48" hidden="0" customWidth="1"/>
    <x:col min="13" max="13" width="42" hidden="0" customWidth="1"/>
    <x:col min="14" max="14" width="42" hidden="0" customWidth="1"/>
    <x:col min="15" max="15" width="42" hidden="0" customWidth="1"/>
    <x:col min="16" max="16" width="18" hidden="0" customWidth="1"/>
    <x:col min="17" max="17" width="18" hidden="0" customWidth="1"/>
    <x:col min="18" max="18" width="48" hidden="0" customWidth="1"/>
    <x:col min="19" max="19" width="14" hidden="0" customWidth="1"/>
    <x:col min="20" max="20" width="42" hidden="0" customWidth="1"/>
    <x:col min="21" max="21" width="13" hidden="0" customWidth="1"/>
    <x:col min="22" max="22" width="13" hidden="0" customWidth="1"/>
  </x:cols>
  <x:sheetData>
    <x:row r="1" ht="28" customHeight="1">
      <x:c r="A1" s="224" t="str">
        <x:v>ARGUS V10.29 — P1 Deep Research | Three-Pass, Contradictions, Point-in-Time &amp; Dalio Test</x:v>
      </x:c>
      <x:c r="B1" s="224"/>
      <x:c r="C1" s="224"/>
      <x:c r="D1" s="224"/>
      <x:c r="E1" s="224"/>
      <x:c r="F1" s="224"/>
      <x:c r="G1" s="224"/>
      <x:c r="H1" s="224"/>
      <x:c r="I1" s="224"/>
      <x:c r="J1" s="224"/>
      <x:c r="K1" s="224"/>
      <x:c r="L1" s="224"/>
      <x:c r="M1" s="224"/>
      <x:c r="N1" s="224"/>
      <x:c r="O1" s="224"/>
      <x:c r="P1" s="224"/>
      <x:c r="Q1" s="224"/>
      <x:c r="R1" s="224"/>
      <x:c r="S1" s="224"/>
      <x:c r="T1" s="224"/>
      <x:c r="U1" s="224"/>
      <x:c r="V1" s="224"/>
    </x:row>
    <x:row r="2" ht="34" customHeight="1">
      <x:c r="A2" s="227" t="str">
        <x:v>17/17 P1 companies reviewed using fresh T1 evidence. Owner Test remains shadow/fail-closed: the review can block or cap conviction, never upgrade a frozen decision by itself.</x:v>
      </x:c>
      <x:c r="B2" s="227"/>
      <x:c r="C2" s="227"/>
      <x:c r="D2" s="227"/>
      <x:c r="E2" s="227"/>
      <x:c r="F2" s="227"/>
      <x:c r="G2" s="227"/>
      <x:c r="H2" s="227"/>
      <x:c r="I2" s="227"/>
      <x:c r="J2" s="227"/>
      <x:c r="K2" s="227"/>
      <x:c r="L2" s="227"/>
      <x:c r="M2" s="227"/>
      <x:c r="N2" s="227"/>
      <x:c r="O2" s="227"/>
      <x:c r="P2" s="227"/>
      <x:c r="Q2" s="227"/>
      <x:c r="R2" s="227"/>
      <x:c r="S2" s="227"/>
      <x:c r="T2" s="227"/>
      <x:c r="U2" s="227"/>
      <x:c r="V2" s="227"/>
    </x:row>
    <x:row r="4" ht="42" customHeight="1">
      <x:c r="A4" s="230" t="str">
        <x:v>Company ID</x:v>
      </x:c>
      <x:c r="B4" s="230" t="str">
        <x:v>Company</x:v>
      </x:c>
      <x:c r="C4" s="230" t="str">
        <x:v>Ticker</x:v>
      </x:c>
      <x:c r="D4" s="230" t="str">
        <x:v>Sector</x:v>
      </x:c>
      <x:c r="E4" s="230" t="str">
        <x:v>Evidence Date</x:v>
      </x:c>
      <x:c r="F4" s="230" t="str">
        <x:v>T1 Source URL</x:v>
      </x:c>
      <x:c r="G4" s="230" t="str">
        <x:v>T2 Point-in-Time Package</x:v>
      </x:c>
      <x:c r="H4" s="230" t="str">
        <x:v>Fresh T1 Facts</x:v>
      </x:c>
      <x:c r="I4" s="230" t="str">
        <x:v>Pass 1 — Business &amp; Owner Earnings</x:v>
      </x:c>
      <x:c r="J4" s="230" t="str">
        <x:v>Pass 2 — Causal Chain</x:v>
      </x:c>
      <x:c r="K4" s="230" t="str">
        <x:v>Pass 3 — Red Team</x:v>
      </x:c>
      <x:c r="L4" s="230" t="str">
        <x:v>Contradictions</x:v>
      </x:c>
      <x:c r="M4" s="230" t="str">
        <x:v>Dalio Path 1</x:v>
      </x:c>
      <x:c r="N4" s="230" t="str">
        <x:v>Dalio Path 2</x:v>
      </x:c>
      <x:c r="O4" s="230" t="str">
        <x:v>Dalio Path 3</x:v>
      </x:c>
      <x:c r="P4" s="230" t="str">
        <x:v>Owner Status</x:v>
      </x:c>
      <x:c r="Q4" s="230" t="str">
        <x:v>Frozen V10</x:v>
      </x:c>
      <x:c r="R4" s="230" t="str">
        <x:v>Research Action</x:v>
      </x:c>
      <x:c r="S4" s="230" t="str">
        <x:v>Confidence</x:v>
      </x:c>
      <x:c r="T4" s="230" t="str">
        <x:v>Critical Gap</x:v>
      </x:c>
      <x:c r="U4" s="230" t="str">
        <x:v>Next Review</x:v>
      </x:c>
      <x:c r="V4" s="230" t="str">
        <x:v>As Of</x:v>
      </x:c>
    </x:row>
    <x:row r="5" ht="96" customHeight="1">
      <x:c r="A5" s="235" t="str">
        <x:v>ARG-001</x:v>
      </x:c>
      <x:c r="B5" s="235" t="str">
        <x:v>IonQ</x:v>
      </x:c>
      <x:c r="C5" s="235" t="str">
        <x:v>IONQ</x:v>
      </x:c>
      <x:c r="D5" s="235" t="str">
        <x:v>Quantum Computing</x:v>
      </x:c>
      <x:c r="E5" s="238" t="n">
        <x:v>46239</x:v>
      </x:c>
      <x:c r="F5" s="235" t="str">
        <x:v>https://investors.ionq.com/news/news-details/2026/IonQ-Announces-Record-Second-Quarter-2026-Revenues-Growing-287-YoY/default.aspx</x:v>
      </x:c>
      <x:c r="G5" s="235" t="str">
        <x:v>https://www.quantum.gov/ | https://www.energy.gov/science/quantum-information-science | https://www.federalreserve.gov/newsevents/pressreleases/monetary20260729a.htm</x:v>
      </x:c>
      <x:c r="H5" s="235" t="str">
        <x:v>Q2 revenue $80.1m (+287% YoY); cash and investments $3.0bn, about $2.0bn pro forma after SkyWater; platform now spans compute, networking, security and sensing.</x:v>
      </x:c>
      <x:c r="I5" s="235" t="str">
        <x:v>A broadened quantum platform with real revenue momentum, but current revenue scale is still small relative to capital committed and acquisition complexity. Owner Earnings remain negative.</x:v>
      </x:c>
      <x:c r="J5" s="235" t="str">
        <x:v>Technical fidelity/usefulness → customer production ROI → repeat contracts/backlog → recognized gross profit → R&amp;D and integration cash needs → dilution/acquisition cost → per-share value.</x:v>
      </x:c>
      <x:c r="K5" s="235" t="str">
        <x:v>Attack the thesis by separating organic revenue from acquired scope, government-funded demand from repeat commercial economics, and announced milestones from independently reproduced useful computation.</x:v>
      </x:c>
      <x:c r="L5" s="235" t="str">
        <x:v>Record growth versus negative owner economics; $3.0bn headline liquidity versus roughly $2.0bn after SkyWater; broader platform may diversify revenue but also weakens comparability and integration visibility.</x:v>
      </x:c>
      <x:c r="M5" s="235" t="str">
        <x:v>Quantum adoption succeeds, but procurement and standards favor another modality or full-stack vendor.</x:v>
      </x:c>
      <x:c r="N5" s="235" t="str">
        <x:v>Technology works, yet capital markets tighten before commercial cash flow arrives, forcing value-destructive financing.</x:v>
      </x:c>
      <x:c r="O5" s="235" t="str">
        <x:v>The breakthrough becomes real but customers/clouds capture most economics and hardware margins compress.</x:v>
      </x:c>
      <x:c r="P5" s="235" t="str">
        <x:v>BLOCKED - FAIL</x:v>
      </x:c>
      <x:c r="Q5" s="235" t="str">
        <x:v>WAIT FOR PRICE</x:v>
      </x:c>
      <x:c r="R5" s="235" t="str">
        <x:v>WAIT — require organic/repeat revenue, customer ROI and post-acquisition cash bridge</x:v>
      </x:c>
      <x:c r="S5" s="235" t="str">
        <x:v>MEDIUM</x:v>
      </x:c>
      <x:c r="T5" s="235" t="str">
        <x:v>Organic vs acquired revenue and independently verified customer ROI</x:v>
      </x:c>
      <x:c r="U5" s="238" t="n">
        <x:v>46274</x:v>
      </x:c>
      <x:c r="V5" s="238" t="n">
        <x:v>46267</x:v>
      </x:c>
    </x:row>
    <x:row r="6" ht="96" customHeight="1">
      <x:c r="A6" s="236" t="str">
        <x:v>ARG-002</x:v>
      </x:c>
      <x:c r="B6" s="236" t="str">
        <x:v>D-Wave Quantum</x:v>
      </x:c>
      <x:c r="C6" s="236" t="str">
        <x:v>QBTS</x:v>
      </x:c>
      <x:c r="D6" s="236" t="str">
        <x:v>Quantum Computing</x:v>
      </x:c>
      <x:c r="E6" s="239" t="n">
        <x:v>46240</x:v>
      </x:c>
      <x:c r="F6" s="236" t="str">
        <x:v>https://www.dwavequantum.com/company/newsroom/press-release/d-wave-reports-second-quarter-2026-results/</x:v>
      </x:c>
      <x:c r="G6" s="236" t="str">
        <x:v>https://www.quantum.gov/ | https://www.energy.gov/science/quantum-information-science | https://www.federalreserve.gov/newsevents/pressreleases/monetary20260729a.htm</x:v>
      </x:c>
      <x:c r="H6" s="236" t="str">
        <x:v>Q2 revenue $3.1m, bookings $2.1m (+59%); H1 bookings $35.5m including a $20m system sale; Q2 GAAP opex $55.0m and adjusted EBITDA loss $37.1m; cash $296.6m at Jun-30.</x:v>
      </x:c>
      <x:c r="I6" s="236" t="str">
        <x:v>Annealing has the clearest near-term production identity in the public pure-play group, but bookings are lumpy and the current cost base is far ahead of recognized revenue.</x:v>
      </x:c>
      <x:c r="J6" s="236" t="str">
        <x:v>Optimization advantage → measurable customer savings → larger deployments/system sales → revenue recognition → service gross profit → development spend → cash runway and per-share value.</x:v>
      </x:c>
      <x:c r="K6" s="236" t="str">
        <x:v>Treat the $20m system order as a concentration test, not a recurring run-rate; reconcile bookings, backlog conversion, acceptance milestones and cash collection.</x:v>
      </x:c>
      <x:c r="L6" s="236" t="str">
        <x:v>Bookings acceleration versus nearly flat quarterly revenue; dual-platform ambition versus sharply higher opex; strong H1 booking headline includes one unusually large system sale.</x:v>
      </x:c>
      <x:c r="M6" s="236" t="str">
        <x:v>Customers validate annealing, but policy funding shifts toward fault-tolerant gate systems.</x:v>
      </x:c>
      <x:c r="N6" s="236" t="str">
        <x:v>Large system sales occur, but acceptance/revenue timing and support costs delay cash economics.</x:v>
      </x:c>
      <x:c r="O6" s="236" t="str">
        <x:v>Enterprise use grows while classical/AI optimization improves enough to cap pricing power.</x:v>
      </x:c>
      <x:c r="P6" s="236" t="str">
        <x:v>BLOCKED - FAIL</x:v>
      </x:c>
      <x:c r="Q6" s="236" t="str">
        <x:v>RESEARCH</x:v>
      </x:c>
      <x:c r="R6" s="236" t="str">
        <x:v>RESEARCH — prove backlog conversion and recurring enterprise economics</x:v>
      </x:c>
      <x:c r="S6" s="236" t="str">
        <x:v>MEDIUM</x:v>
      </x:c>
      <x:c r="T6" s="236" t="str">
        <x:v>Conversion of the $20m system booking into cash and repeat customer economics</x:v>
      </x:c>
      <x:c r="U6" s="239" t="n">
        <x:v>46274</x:v>
      </x:c>
      <x:c r="V6" s="239" t="n">
        <x:v>46267</x:v>
      </x:c>
    </x:row>
    <x:row r="7" ht="96" customHeight="1">
      <x:c r="A7" s="236" t="str">
        <x:v>ARG-003</x:v>
      </x:c>
      <x:c r="B7" s="236" t="str">
        <x:v>Rigetti Computing</x:v>
      </x:c>
      <x:c r="C7" s="236" t="str">
        <x:v>RGTI</x:v>
      </x:c>
      <x:c r="D7" s="236" t="str">
        <x:v>Quantum Computing</x:v>
      </x:c>
      <x:c r="E7" s="239" t="n">
        <x:v>46240</x:v>
      </x:c>
      <x:c r="F7" s="236" t="str">
        <x:v>https://www.sec.gov/Archives/edgar/data/1838359/000110465926091993/rgti-20260630x10q.htm</x:v>
      </x:c>
      <x:c r="G7" s="236" t="str">
        <x:v>https://www.quantum.gov/ | https://www.energy.gov/science/quantum-information-science | https://www.federalreserve.gov/newsevents/pressreleases/monetary20260729a.htm</x:v>
      </x:c>
      <x:c r="H7" s="236" t="str">
        <x:v>Q2 revenue $5.14m versus $1.80m; Q2 GAAP net loss $52.6m; H1 operating cash use $32.0m; cash plus short/long investments about $541.3m; 108 qubits at internally tested 99.1% median two-qubit fidelity.</x:v>
      </x:c>
      <x:c r="I7" s="236" t="str">
        <x:v>Integrated superconducting hardware and cloud access remain technically credible, but commercial scale and repeatability do not yet support owner economics.</x:v>
      </x:c>
      <x:c r="J7" s="236" t="str">
        <x:v>Roadmap milestone → independently verified fidelity at useful scale → paid systems/cloud demand → gross profit → fab/R&amp;D intensity → cash burn and dilution → owner return.</x:v>
      </x:c>
      <x:c r="K7" s="236" t="str">
        <x:v>The 10-Q explicitly states prior missed milestones and roadmap changes. Internal test metrics receive no promotion credit without external reproducibility and useful-workload economics.</x:v>
      </x:c>
      <x:c r="L7" s="236" t="str">
        <x:v>Large Treasury-funded liquidity versus no scalable business model; revenue improved while Q2 loss remained large; roadmap ambition versus the company’s own history of delays and changes.</x:v>
      </x:c>
      <x:c r="M7" s="236" t="str">
        <x:v>Superconducting quantum wins technically, but IBM/Google or private rivals set standards and capture the ecosystem.</x:v>
      </x:c>
      <x:c r="N7" s="236" t="str">
        <x:v>Roadmap is directionally right but late; public-market funding closes before useful scale.</x:v>
      </x:c>
      <x:c r="O7" s="236" t="str">
        <x:v>Fidelity improves, yet error-correction overhead prevents commercially useful cost advantage.</x:v>
      </x:c>
      <x:c r="P7" s="236" t="str">
        <x:v>BLOCKED - FAIL</x:v>
      </x:c>
      <x:c r="Q7" s="236" t="str">
        <x:v>NO ACTION</x:v>
      </x:c>
      <x:c r="R7" s="236" t="str">
        <x:v>NO ACTION — require externally reproduced milestones and commercial conversion</x:v>
      </x:c>
      <x:c r="S7" s="236" t="str">
        <x:v>MEDIUM-HIGH</x:v>
      </x:c>
      <x:c r="T7" s="236" t="str">
        <x:v>Independent verification and roadmap credibility after repeated historical changes</x:v>
      </x:c>
      <x:c r="U7" s="239" t="n">
        <x:v>46274</x:v>
      </x:c>
      <x:c r="V7" s="239" t="n">
        <x:v>46267</x:v>
      </x:c>
    </x:row>
    <x:row r="8" ht="96" customHeight="1">
      <x:c r="A8" s="236" t="str">
        <x:v>ARG-004</x:v>
      </x:c>
      <x:c r="B8" s="236" t="str">
        <x:v>Quantum Computing Inc.</x:v>
      </x:c>
      <x:c r="C8" s="236" t="str">
        <x:v>QUBT</x:v>
      </x:c>
      <x:c r="D8" s="236" t="str">
        <x:v>Quantum Computing</x:v>
      </x:c>
      <x:c r="E8" s="239" t="n">
        <x:v>46244</x:v>
      </x:c>
      <x:c r="F8" s="236" t="str">
        <x:v>https://quantumcomputinginc.com/investor-relations</x:v>
      </x:c>
      <x:c r="G8" s="236" t="str">
        <x:v>https://www.quantum.gov/ | https://www.energy.gov/science/quantum-information-science | https://www.federalreserve.gov/newsevents/pressreleases/monetary20260729a.htm</x:v>
      </x:c>
      <x:c r="H8" s="236" t="str">
        <x:v>Q2 revenue $5.55m versus $0.06m; operating loss $23.0m and net loss $11.8m; cash/investments about $1.3bn; backlog about $42.5m; NHanced acquisition and Fab 2 materially broaden manufacturing scope.</x:v>
      </x:c>
      <x:c r="I8" s="236" t="str">
        <x:v>The company is shifting toward photonics and semiconductor manufacturing; that may create assets, but it prevents stable comparison with the prior business and weakens the circle-of-competence gate.</x:v>
      </x:c>
      <x:c r="J8" s="236" t="str">
        <x:v>Fab capability/acquisition → qualified products → customer yield and repeat orders → gross cash margin → fab capex/utilization → per-share owner value.</x:v>
      </x:c>
      <x:c r="K8" s="236" t="str">
        <x:v>Do not annualize acquisition-assisted revenue. Require segment-level organic revenue, utilization, customer concentration, capex and working-capital evidence before valuing the enlarged entity.</x:v>
      </x:c>
      <x:c r="L8" s="236" t="str">
        <x:v>Huge liquidity versus tiny operating scale; rapid revenue growth versus acquisition-led identity change; backlog provides visibility but not necessarily attractive margin or cash conversion.</x:v>
      </x:c>
      <x:c r="M8" s="236" t="str">
        <x:v>Photonics demand grows, but customers internalize manufacturing or choose higher-yield suppliers.</x:v>
      </x:c>
      <x:c r="N8" s="236" t="str">
        <x:v>Industrial policy supports domestic fabs while utilization stays low and fixed costs destroy returns.</x:v>
      </x:c>
      <x:c r="O8" s="236" t="str">
        <x:v>The strategy is correct, but acquisitions obscure economics until capital is committed at poor returns.</x:v>
      </x:c>
      <x:c r="P8" s="236" t="str">
        <x:v>BLOCKED - FAIL</x:v>
      </x:c>
      <x:c r="Q8" s="236" t="str">
        <x:v>BLOCKED</x:v>
      </x:c>
      <x:c r="R8" s="236" t="str">
        <x:v>BLOCKED — reconstruct the post-acquisition economic engine first</x:v>
      </x:c>
      <x:c r="S8" s="236" t="str">
        <x:v>HIGH</x:v>
      </x:c>
      <x:c r="T8" s="236" t="str">
        <x:v>Stable business identity and segment-level organic economics</x:v>
      </x:c>
      <x:c r="U8" s="239" t="n">
        <x:v>46274</x:v>
      </x:c>
      <x:c r="V8" s="239" t="n">
        <x:v>46267</x:v>
      </x:c>
    </x:row>
    <x:row r="9" ht="96" customHeight="1">
      <x:c r="A9" s="236" t="str">
        <x:v>ARG-005</x:v>
      </x:c>
      <x:c r="B9" s="236" t="str">
        <x:v>NVIDIA</x:v>
      </x:c>
      <x:c r="C9" s="236" t="str">
        <x:v>NVDA</x:v>
      </x:c>
      <x:c r="D9" s="236" t="str">
        <x:v>AI &amp; Semiconductors</x:v>
      </x:c>
      <x:c r="E9" s="239" t="n">
        <x:v>46260</x:v>
      </x:c>
      <x:c r="F9" s="236" t="str">
        <x:v>https://nvidianews.nvidia.com/news/nvidia-announces-financial-results-for-second-quarter-fiscal-2027</x:v>
      </x:c>
      <x:c r="G9" s="236" t="str">
        <x:v>https://www.federalreserve.gov/newsevents/pressreleases/monetary20260729a.htm | https://www.bea.gov/news/2026/personal-income-and-outlays-july-2026</x:v>
      </x:c>
      <x:c r="H9" s="236" t="str">
        <x:v>Q2 FY27 revenue $96.2bn (+106% YoY); Data Center $89.0bn (+117%); GAAP/non-GAAP gross margin 75.0%; Q3 guide $108bn.</x:v>
      </x:c>
      <x:c r="I9" s="236" t="str">
        <x:v>The economic engine and CUDA/networking moat strengthened. The open question is not current demand but normalized customer AI ROI and the duration/financing of the capex cycle.</x:v>
      </x:c>
      <x:c r="J9" s="236" t="str">
        <x:v>Customer AI ROI → hyperscaler/frontier capex → platform share and networking attach → gross margin → owner cash → normalized value versus expectations.</x:v>
      </x:c>
      <x:c r="K9" s="236" t="str">
        <x:v>Do not extrapolate 106% growth. Separate financed infrastructure orders from profitable end demand; stress custom silicon, China/export controls, HBM/power constraints and margin normalization.</x:v>
      </x:c>
      <x:c r="L9" s="236" t="str">
        <x:v>Exceptional current economics versus very long expectations; platform moat versus customer concentration/custom ASIC incentives; demand strength versus geopolitical deliverable-TAM limits.</x:v>
      </x:c>
      <x:c r="M9" s="236" t="str">
        <x:v>AI demand is correct, but export policy permanently removes deliverable TAM.</x:v>
      </x:c>
      <x:c r="N9" s="236" t="str">
        <x:v>Customers monetize AI yet accelerate custom silicon and bargaining, compressing NVIDIA margins.</x:v>
      </x:c>
      <x:c r="O9" s="236" t="str">
        <x:v>NVIDIA wins long term, but an overbuild pause de-rates the shares before demand catches up.</x:v>
      </x:c>
      <x:c r="P9" s="236" t="str">
        <x:v>WATCH-CAPPED</x:v>
      </x:c>
      <x:c r="Q9" s="236" t="str">
        <x:v>WAIT / SMALL ONLY</x:v>
      </x:c>
      <x:c r="R9" s="236" t="str">
        <x:v>WAIT / SMALL ONLY — track customer ROI, capex financing and normalized margin</x:v>
      </x:c>
      <x:c r="S9" s="236" t="str">
        <x:v>MEDIUM-HIGH</x:v>
      </x:c>
      <x:c r="T9" s="236" t="str">
        <x:v>Normalized customer AI ROI and full-cycle gross margin</x:v>
      </x:c>
      <x:c r="U9" s="239" t="n">
        <x:v>46274</x:v>
      </x:c>
      <x:c r="V9" s="239" t="n">
        <x:v>46267</x:v>
      </x:c>
    </x:row>
    <x:row r="10" ht="96" customHeight="1">
      <x:c r="A10" s="236" t="str">
        <x:v>ARG-022</x:v>
      </x:c>
      <x:c r="B10" s="236" t="str">
        <x:v>International Flavors &amp; Fragrances</x:v>
      </x:c>
      <x:c r="C10" s="236" t="str">
        <x:v>IFF</x:v>
      </x:c>
      <x:c r="D10" s="236" t="str">
        <x:v>Specialty Ingredients</x:v>
      </x:c>
      <x:c r="E10" s="239" t="n">
        <x:v>46238</x:v>
      </x:c>
      <x:c r="F10" s="236" t="str">
        <x:v>https://ir.iff.com/news-releases/news-release-details/iff-reports-second-quarter-2026-results-announces-use-proceeds</x:v>
      </x:c>
      <x:c r="G10" s="236" t="str">
        <x:v>https://www.ecb.europa.eu/stats/policy_and_exchange_rates/euro_reference_exchange_rates/html/index.en.html | https://www.bea.gov/news/2026/personal-income-and-outlays-july-2026</x:v>
      </x:c>
      <x:c r="H10" s="236" t="str">
        <x:v>Q2 continuing-ops sales $1.954bn (+2%); adjusted EBITDA $408m, margin 20.9%; H1 FCF $378m (+$284m); leverage 2.5x; Food Ingredients sale expected to yield about $3.8bn; repurchase authorization $2.5bn.</x:v>
      </x:c>
      <x:c r="I10" s="236" t="str">
        <x:v>Formulation, customer qualification and sensory IP support a moat, while portfolio simplification improves observability. Owner value now depends on disciplined use of disposal proceeds.</x:v>
      </x:c>
      <x:c r="J10" s="236" t="str">
        <x:v>Customer briefs and retention → volume/price/mix → raw-material pass-through → EBITDA cash conversion → debt reduction versus buybacks → per-share value.</x:v>
      </x:c>
      <x:c r="K10" s="236" t="str">
        <x:v>Reconcile continuing-operations comparability, stranded costs and sale taxes. Test whether buybacks occur below conservative value and only after balance-sheet repair.</x:v>
      </x:c>
      <x:c r="L10" s="236" t="str">
        <x:v>FCF recovery and deleveraging opportunity versus a large buyback authorization; simplification improves focus but discontinued-operations accounting weakens historical comparability.</x:v>
      </x:c>
      <x:c r="M10" s="236" t="str">
        <x:v>Volumes recover, but raw-material/FX shocks absorb pricing gains.</x:v>
      </x:c>
      <x:c r="N10" s="236" t="str">
        <x:v>The divestiture succeeds, yet proceeds are returned at an unsafe price instead of repairing leverage.</x:v>
      </x:c>
      <x:c r="O10" s="236" t="str">
        <x:v>Customer demand is stable, but destocking/private-label reformulation delays margin recovery.</x:v>
      </x:c>
      <x:c r="P10" s="236" t="str">
        <x:v>WATCH-CAPPED</x:v>
      </x:c>
      <x:c r="Q10" s="236" t="str">
        <x:v>HOLD / BUY LOWER</x:v>
      </x:c>
      <x:c r="R10" s="236" t="str">
        <x:v>HOLD / BUY LOWER — verify proceeds bridge and per-share capital allocation</x:v>
      </x:c>
      <x:c r="S10" s="236" t="str">
        <x:v>MEDIUM-HIGH</x:v>
      </x:c>
      <x:c r="T10" s="236" t="str">
        <x:v>Use of divestiture proceeds and clean continuing-operations owner earnings</x:v>
      </x:c>
      <x:c r="U10" s="239" t="n">
        <x:v>46295</x:v>
      </x:c>
      <x:c r="V10" s="239" t="n">
        <x:v>46267</x:v>
      </x:c>
    </x:row>
    <x:row r="11" ht="96" customHeight="1">
      <x:c r="A11" s="236" t="str">
        <x:v>ARG-023</x:v>
      </x:c>
      <x:c r="B11" s="236" t="str">
        <x:v>Givaudan</x:v>
      </x:c>
      <x:c r="C11" s="236" t="str">
        <x:v>GIVN.SW</x:v>
      </x:c>
      <x:c r="D11" s="236" t="str">
        <x:v>Specialty Ingredients</x:v>
      </x:c>
      <x:c r="E11" s="239" t="n">
        <x:v>46226</x:v>
      </x:c>
      <x:c r="F11" s="236" t="str">
        <x:v>https://www.givaudan.com/media/media-releases/2026/2026-half-year-results</x:v>
      </x:c>
      <x:c r="G11" s="236" t="str">
        <x:v>https://www.ecb.europa.eu/stats/policy_and_exchange_rates/euro_reference_exchange_rates/html/index.en.html | https://www.bea.gov/news/2026/personal-income-and-outlays-july-2026</x:v>
      </x:c>
      <x:c r="H11" s="236" t="str">
        <x:v>H1 sales CHF3.799bn; +3.6% LFL but -1.7% reported in CHF; adjusted EBITDA CHF923m, margin 24.3% versus 25.2%; Fragrance &amp; Beauty +6.5% LFL, Taste &amp; Wellbeing +0.5%.</x:v>
      </x:c>
      <x:c r="I11" s="236" t="str">
        <x:v>A high-quality formulation and customer-embedding franchise with durable pricing power. Current weakness is concentrated in Taste &amp; Wellbeing and natural ingredients, not the whole moat.</x:v>
      </x:c>
      <x:c r="J11" s="236" t="str">
        <x:v>Innovation briefs/consumer demand → win rate and volume → price/raw-material recovery → EBITDA and FCF → reinvestment/acquisition returns → per-share value in CHF.</x:v>
      </x:c>
      <x:c r="K11" s="236" t="str">
        <x:v>Stress the possibility that natural ingredients are more commoditized than group averages imply, and distinguish LFL operational progress from reported FX outcomes.</x:v>
      </x:c>
      <x:c r="L11" s="236" t="str">
        <x:v>Positive LFL growth versus falling reported CHF sales; strong fragrance momentum versus near-flat Taste &amp; Wellbeing; high margins versus year-on-year compression.</x:v>
      </x:c>
      <x:c r="M11" s="236" t="str">
        <x:v>Underlying demand is right, but persistent CHF strength suppresses reported owner earnings.</x:v>
      </x:c>
      <x:c r="N11" s="236" t="str">
        <x:v>Pricing holds while commodity-like natural ingredients lose volume/share.</x:v>
      </x:c>
      <x:c r="O11" s="236" t="str">
        <x:v>A defensive business performs, but higher discount rates compress the premium valuation.</x:v>
      </x:c>
      <x:c r="P11" s="236" t="str">
        <x:v>WATCH-CAPPED</x:v>
      </x:c>
      <x:c r="Q11" s="236" t="str">
        <x:v>WATCH</x:v>
      </x:c>
      <x:c r="R11" s="236" t="str">
        <x:v>WATCH — premium quality; require valuation protection and Taste recovery</x:v>
      </x:c>
      <x:c r="S11" s="236" t="str">
        <x:v>HIGH</x:v>
      </x:c>
      <x:c r="T11" s="236" t="str">
        <x:v>Taste &amp; Wellbeing normalization and valuation margin of safety</x:v>
      </x:c>
      <x:c r="U11" s="239" t="n">
        <x:v>46318</x:v>
      </x:c>
      <x:c r="V11" s="239" t="n">
        <x:v>46267</x:v>
      </x:c>
    </x:row>
    <x:row r="12" ht="96" customHeight="1">
      <x:c r="A12" s="236" t="str">
        <x:v>ARG-024</x:v>
      </x:c>
      <x:c r="B12" s="236" t="str">
        <x:v>Symrise</x:v>
      </x:c>
      <x:c r="C12" s="236" t="str">
        <x:v>SY1.DE</x:v>
      </x:c>
      <x:c r="D12" s="236" t="str">
        <x:v>Specialty Ingredients</x:v>
      </x:c>
      <x:c r="E12" s="239" t="n">
        <x:v>46233</x:v>
      </x:c>
      <x:c r="F12" s="236" t="str">
        <x:v>https://www.symrise.com/investors/</x:v>
      </x:c>
      <x:c r="G12" s="236" t="str">
        <x:v>https://www.ecb.europa.eu/stats/policy_and_exchange_rates/euro_reference_exchange_rates/html/index.en.html | https://www.bea.gov/news/2026/personal-income-and-outlays-july-2026</x:v>
      </x:c>
      <x:c r="H12" s="236" t="str">
        <x:v>H1 sales about €2.539bn; organic growth about 2.0%, with Q2 accelerating to about 4.5% after weak Q1.</x:v>
      </x:c>
      <x:c r="I12" s="236" t="str">
        <x:v>Diversified fragrance, taste, nutrition and pet-food exposures provide embedded formulation relationships, but the current evidence package is less granular than peers on cash conversion.</x:v>
      </x:c>
      <x:c r="J12" s="236" t="str">
        <x:v>Customer launches and pet/nutrition demand → organic volume/price → input-cost pass-through → EBITDA/FCF → acquisition integration and debt → per-share value.</x:v>
      </x:c>
      <x:c r="K12" s="236" t="str">
        <x:v>Do not treat Q2 acceleration as a trend until repeated. Reconcile acquisition perimeter, working capital and leverage with organic results.</x:v>
      </x:c>
      <x:c r="L12" s="236" t="str">
        <x:v>Q2 acceleration versus a weak first quarter; diversified end markets versus acquisition/integration complexity; attractive niche positions versus incomplete owner-cash evidence.</x:v>
      </x:c>
      <x:c r="M12" s="236" t="str">
        <x:v>Demand improves but raw-material and FX pressure prevent cash-margin recovery.</x:v>
      </x:c>
      <x:c r="N12" s="236" t="str">
        <x:v>Pet/nutrition growth is real while slower core categories absorb reinvestment.</x:v>
      </x:c>
      <x:c r="O12" s="236" t="str">
        <x:v>Operating momentum improves but premium valuation and rates still produce a poor stock outcome.</x:v>
      </x:c>
      <x:c r="P12" s="236" t="str">
        <x:v>WATCH-CAPPED</x:v>
      </x:c>
      <x:c r="Q12" s="236" t="str">
        <x:v>WATCH</x:v>
      </x:c>
      <x:c r="R12" s="236" t="str">
        <x:v>WATCH — require repeat organic acceleration and owner-cash reconciliation</x:v>
      </x:c>
      <x:c r="S12" s="236" t="str">
        <x:v>MEDIUM</x:v>
      </x:c>
      <x:c r="T12" s="236" t="str">
        <x:v>Fresh half-year cash-flow/leverage bridge and repeat Q2 organic momentum</x:v>
      </x:c>
      <x:c r="U12" s="239" t="n">
        <x:v>46295</x:v>
      </x:c>
      <x:c r="V12" s="239" t="n">
        <x:v>46267</x:v>
      </x:c>
    </x:row>
    <x:row r="13" ht="96" customHeight="1">
      <x:c r="A13" s="236" t="str">
        <x:v>ARG-027</x:v>
      </x:c>
      <x:c r="B13" s="236" t="str">
        <x:v>Torpaz Industries</x:v>
      </x:c>
      <x:c r="C13" s="236" t="str">
        <x:v>TRPZ.TA</x:v>
      </x:c>
      <x:c r="D13" s="236" t="str">
        <x:v>Specialty Ingredients</x:v>
      </x:c>
      <x:c r="E13" s="239" t="n">
        <x:v>46245</x:v>
      </x:c>
      <x:c r="F13" s="236" t="str">
        <x:v>https://www.turpaz.co.il/Financial-reports</x:v>
      </x:c>
      <x:c r="G13" s="236" t="str">
        <x:v>https://www.ecb.europa.eu/stats/policy_and_exchange_rates/euro_reference_exchange_rates/html/index.en.html | https://www.bea.gov/news/2026/personal-income-and-outlays-july-2026</x:v>
      </x:c>
      <x:c r="H13" s="236" t="str">
        <x:v>H1 revenue $173.9m (+40.5%), organic growth 8.1%; gross margin 41.7%; adjusted EBITDA $40.0m, margin 23.0%; net income $19.2m (+80.9%), partly aided by non-cash financing income.</x:v>
      </x:c>
      <x:c r="I13" s="236" t="str">
        <x:v>Torpaz is building a scaled niche formulation portfolio through acquisitions. Organic growth is real, but owner value depends on acquisition cohorts earning above their full cost of capital.</x:v>
      </x:c>
      <x:c r="J13" s="236" t="str">
        <x:v>Acquisition/organic customer wins → cross-sell and utilization → gross margin/synergies → cash conversion → debt/earn-out payments → per-share value.</x:v>
      </x:c>
      <x:c r="K13" s="236" t="str">
        <x:v>Remove non-cash financing income, separate acquired from organic EBITDA, track purchase-price allocation and demand a cohort-by-cohort ROIC and leverage bridge.</x:v>
      </x:c>
      <x:c r="L13" s="236" t="str">
        <x:v>High organic growth and margin expansion versus acquisition-heavy comparability; net income growth includes non-cash finance effects; scale benefits may conceal rising balance-sheet consequence.</x:v>
      </x:c>
      <x:c r="M13" s="236" t="str">
        <x:v>Industry growth continues, but financing costs rise before acquisition synergies arrive.</x:v>
      </x:c>
      <x:c r="N13" s="236" t="str">
        <x:v>Acquisitions diversify revenue while integration and earn-outs consume owner cash.</x:v>
      </x:c>
      <x:c r="O13" s="236" t="str">
        <x:v>Organic growth is genuine, yet the shares already discount a long flawless roll-up runway.</x:v>
      </x:c>
      <x:c r="P13" s="236" t="str">
        <x:v>BLOCKED - FAIL</x:v>
      </x:c>
      <x:c r="Q13" s="236" t="str">
        <x:v>WAIT FOR PRICE</x:v>
      </x:c>
      <x:c r="R13" s="236" t="str">
        <x:v>WAIT FOR PRICE — require acquisition-cohort ROIC and cash conversion</x:v>
      </x:c>
      <x:c r="S13" s="236" t="str">
        <x:v>MEDIUM-HIGH</x:v>
      </x:c>
      <x:c r="T13" s="236" t="str">
        <x:v>Acquisition-cohort owner returns, leverage and earn-out cash requirements</x:v>
      </x:c>
      <x:c r="U13" s="239" t="n">
        <x:v>46295</x:v>
      </x:c>
      <x:c r="V13" s="239" t="n">
        <x:v>46267</x:v>
      </x:c>
    </x:row>
    <x:row r="14" ht="96" customHeight="1">
      <x:c r="A14" s="236" t="str">
        <x:v>ARG-033</x:v>
      </x:c>
      <x:c r="B14" s="236" t="str">
        <x:v>Fidelity National Information Services</x:v>
      </x:c>
      <x:c r="C14" s="236" t="str">
        <x:v>FIS</x:v>
      </x:c>
      <x:c r="D14" s="236" t="str">
        <x:v>Software &amp; Payments</x:v>
      </x:c>
      <x:c r="E14" s="239" t="n">
        <x:v>46238</x:v>
      </x:c>
      <x:c r="F14" s="236" t="str">
        <x:v>https://www.fisglobal.com/about-us/media-room/press-release/2026/fis-reports-second-quarter-2026-results</x:v>
      </x:c>
      <x:c r="G14" s="236" t="str">
        <x:v>https://www.federalreserve.gov/newsevents/pressreleases/monetary20260729a.htm | https://www.bea.gov/news/2026/personal-income-and-outlays-july-2026</x:v>
      </x:c>
      <x:c r="H14" s="236" t="str">
        <x:v>Q2 revenue $3.4bn (+29% GAAP, +5.3% pro forma); adjusted EPS $1.48; operating cash $493m and FCF $525m (+220%). Total Issuing Solutions increased debt and the core proof remains conversion of cash into deleveraging.</x:v>
      </x:c>
      <x:c r="I14" s="236" t="str">
        <x:v>Mission-critical bank infrastructure creates switching costs. Cheapness is plausible, but the acquisition and balance sheet make capital allocation the dominant owner gate.</x:v>
      </x:c>
      <x:c r="J14" s="236" t="str">
        <x:v>Bank modernization/transaction volume → recurring revenue → implementation/margin → FCF before transaction items → debt service and deleveraging → equity residual.</x:v>
      </x:c>
      <x:c r="K14" s="236" t="str">
        <x:v>Reconcile adjusted FCF to cash debt reduction, separate acquired from organic growth and block renewed M&amp;A/buybacks until the leverage target is reached.</x:v>
      </x:c>
      <x:c r="L14" s="236" t="str">
        <x:v>29% GAAP growth versus 5.3% pro-forma growth; FCF surge versus elevated debt; recurring infrastructure moat versus repeated capital-allocation damage.</x:v>
      </x:c>
      <x:c r="M14" s="236" t="str">
        <x:v>Bank IT spending holds, but higher yields redirect cash to refinancing instead of equity.</x:v>
      </x:c>
      <x:c r="N14" s="236" t="str">
        <x:v>The acquisition performs operationally while integration costs and debt absorb the benefit.</x:v>
      </x:c>
      <x:c r="O14" s="236" t="str">
        <x:v>FCF guidance is met, yet excluded transaction taxes/debt service prevent net-debt reduction.</x:v>
      </x:c>
      <x:c r="P14" s="236" t="str">
        <x:v>BLOCKED - FAIL</x:v>
      </x:c>
      <x:c r="Q14" s="236" t="str">
        <x:v>PROVE IT</x:v>
      </x:c>
      <x:c r="R14" s="236" t="str">
        <x:v>PROVE IT — no upgrade until FCF becomes measurable net-debt reduction</x:v>
      </x:c>
      <x:c r="S14" s="236" t="str">
        <x:v>HIGH</x:v>
      </x:c>
      <x:c r="T14" s="236" t="str">
        <x:v>Reported cash-to-net-debt bridge and acquisition capital-allocation repair</x:v>
      </x:c>
      <x:c r="U14" s="239" t="n">
        <x:v>46281</x:v>
      </x:c>
      <x:c r="V14" s="239" t="n">
        <x:v>46267</x:v>
      </x:c>
    </x:row>
    <x:row r="15" ht="96" customHeight="1">
      <x:c r="A15" s="236" t="str">
        <x:v>ARG-041</x:v>
      </x:c>
      <x:c r="B15" s="236" t="str">
        <x:v>Chubb</x:v>
      </x:c>
      <x:c r="C15" s="236" t="str">
        <x:v>CB</x:v>
      </x:c>
      <x:c r="D15" s="236" t="str">
        <x:v>Insurance</x:v>
      </x:c>
      <x:c r="E15" s="239" t="n">
        <x:v>46224</x:v>
      </x:c>
      <x:c r="F15" s="236" t="str">
        <x:v>https://investors.chubb.com/News--Events/news/news-details/2026/Chubb-Reports-Second-Quarter-Per-Share-Net-Income-of-7-30-and-Per-Share-Core-Operating-Income-of-7-26-Up-18-2-Consolidated-Net-Premiums-Written-of-14-7-Billion-Up-3-6-with-PC-and-Life-Insurance-Up-3-0-and-7-5-PC-Combined-Ratio-of-83-8/default.aspx</x:v>
      </x:c>
      <x:c r="G15" s="236" t="str">
        <x:v>https://www.ncei.noaa.gov/access/billions/ | https://www.federalreserve.gov/newsevents/pressreleases/monetary20260729a.htm</x:v>
      </x:c>
      <x:c r="H15" s="236" t="str">
        <x:v>Q2 net income $2.85bn; core operating income $2.84bn (+14.6%); P&amp;C NWP $12.77bn (+3.0%); combined ratio 83.8%; tangible book value/share $131.93 (+17.1% YoY).</x:v>
      </x:c>
      <x:c r="I15" s="236" t="str">
        <x:v>Underwriting discipline, global distribution and investment float support high-quality owner economics. Pullback in overly soft large-account property is evidence of discipline, not automatic weakness.</x:v>
      </x:c>
      <x:c r="J15" s="236" t="str">
        <x:v>Pricing/terms and exposure selection → loss ratio/reserve development → combined ratio → float and investment income → catastrophe/capital absorption → tangible book value per share.</x:v>
      </x:c>
      <x:c r="K15" s="236" t="str">
        <x:v>Normalize catastrophe luck, review favorable reserve development and distinguish rate-driven investment income from sustainable underwriting advantage.</x:v>
      </x:c>
      <x:c r="L15" s="236" t="str">
        <x:v>Net income declined while core operating income and underwriting improved; commercial premiums slowed because management walked from soft pricing; strong book growth still contains catastrophe/reserve uncertainty.</x:v>
      </x:c>
      <x:c r="M15" s="236" t="str">
        <x:v>Pricing discipline is right, but a clustered catastrophe year overwhelms modeled averages.</x:v>
      </x:c>
      <x:c r="N15" s="236" t="str">
        <x:v>Underwriting remains strong while rate cuts reduce investment income and reinvestment yield.</x:v>
      </x:c>
      <x:c r="O15" s="236" t="str">
        <x:v>Competitors chase share, forcing Chubb either to shrink or accept weaker future margins.</x:v>
      </x:c>
      <x:c r="P15" s="236" t="str">
        <x:v>WATCH-CAPPED</x:v>
      </x:c>
      <x:c r="Q15" s="236" t="str">
        <x:v>MEETING CONTROL</x:v>
      </x:c>
      <x:c r="R15" s="236" t="str">
        <x:v>MEETING CONTROL — verify reserves, catastrophe normalization and price</x:v>
      </x:c>
      <x:c r="S15" s="236" t="str">
        <x:v>HIGH</x:v>
      </x:c>
      <x:c r="T15" s="236" t="str">
        <x:v>Reserve/catastrophe normalization and current valuation protection</x:v>
      </x:c>
      <x:c r="U15" s="239" t="n">
        <x:v>46316</x:v>
      </x:c>
      <x:c r="V15" s="239" t="n">
        <x:v>46267</x:v>
      </x:c>
    </x:row>
    <x:row r="16" ht="96" customHeight="1">
      <x:c r="A16" s="236" t="str">
        <x:v>ARG-047</x:v>
      </x:c>
      <x:c r="B16" s="236" t="str">
        <x:v>Intuit</x:v>
      </x:c>
      <x:c r="C16" s="236" t="str">
        <x:v>INTU</x:v>
      </x:c>
      <x:c r="D16" s="236" t="str">
        <x:v>Software &amp; Payments</x:v>
      </x:c>
      <x:c r="E16" s="239" t="n">
        <x:v>46259</x:v>
      </x:c>
      <x:c r="F16" s="236" t="str">
        <x:v>https://investors.intuit.com/news-events/press-releases/detail/1320/intuit-reports-fourth-quarter-and-full-year-fiscal-2026-results-sets-fiscal-2027-guidance</x:v>
      </x:c>
      <x:c r="G16" s="236" t="str">
        <x:v>https://www.federalreserve.gov/newsevents/pressreleases/monetary20260729a.htm | https://www.bea.gov/news/2026/personal-income-and-outlays-july-2026</x:v>
      </x:c>
      <x:c r="H16" s="236" t="str">
        <x:v>FY26 revenue $21.4bn (+14%); Q4 revenue $4.4bn (+14%); Q4 GBS $3.4bn (+14%) and Online Ecosystem $2.6bn (+17%); FY27 total revenue guide slows to 9–10%.</x:v>
      </x:c>
      <x:c r="I16" s="236" t="str">
        <x:v>Deep financial workflow data, integrations and accountant/customer switching costs support durable owner cash. The main threats are AI/tax-policy workflow erosion and capital allocation.</x:v>
      </x:c>
      <x:c r="J16" s="236" t="str">
        <x:v>SMB health and paid conversion → QBO/TurboTax/CK revenue → pricing and take rate → owner earnings/share → reinvestment/buybacks → intrinsic value.</x:v>
      </x:c>
      <x:c r="K16" s="236" t="str">
        <x:v>Separate genuine AI monetization from retention defense; test TurboTax under free/public/AI alternatives and keep Mailchimp as a live capital-allocation error sensor.</x:v>
      </x:c>
      <x:c r="L16" s="236" t="str">
        <x:v>Strong FY26 cash engine versus FY27 growth reset; QBO strength versus flat/down Mailchimp; recurring workflow moat versus AI and tax-policy alternatives.</x:v>
      </x:c>
      <x:c r="M16" s="236" t="str">
        <x:v>SMB activity remains healthy, but rates keep the valuation multiple compressed.</x:v>
      </x:c>
      <x:c r="N16" s="236" t="str">
        <x:v>AI adoption is real, yet it removes tax/accounting friction faster than Intuit monetizes it.</x:v>
      </x:c>
      <x:c r="O16" s="236" t="str">
        <x:v>Results meet guidance while tax policy or free-filing alternatives reduce TurboTax economics.</x:v>
      </x:c>
      <x:c r="P16" s="236" t="str">
        <x:v>WATCH-CAPPED</x:v>
      </x:c>
      <x:c r="Q16" s="236" t="str">
        <x:v>BUY</x:v>
      </x:c>
      <x:c r="R16" s="236" t="str">
        <x:v>BUY only inside sizing band — monitor AI/tax policy and per-share cash</x:v>
      </x:c>
      <x:c r="S16" s="236" t="str">
        <x:v>MEDIUM-HIGH</x:v>
      </x:c>
      <x:c r="T16" s="236" t="str">
        <x:v>Durability of TurboTax/QBO pricing under AI and tax-policy change</x:v>
      </x:c>
      <x:c r="U16" s="239" t="n">
        <x:v>46281</x:v>
      </x:c>
      <x:c r="V16" s="239" t="n">
        <x:v>46267</x:v>
      </x:c>
    </x:row>
    <x:row r="17" ht="96" customHeight="1">
      <x:c r="A17" s="236" t="str">
        <x:v>ARG-049</x:v>
      </x:c>
      <x:c r="B17" s="236" t="str">
        <x:v>Salesforce</x:v>
      </x:c>
      <x:c r="C17" s="236" t="str">
        <x:v>CRM</x:v>
      </x:c>
      <x:c r="D17" s="236" t="str">
        <x:v>Software &amp; Payments</x:v>
      </x:c>
      <x:c r="E17" s="239" t="n">
        <x:v>46260</x:v>
      </x:c>
      <x:c r="F17" s="236" t="str">
        <x:v>https://investor.salesforce.com/news/news-details/2026/Salesforce-Delivers-Record-Second-Quarter-Fiscal-2027-Results/default.aspx</x:v>
      </x:c>
      <x:c r="G17" s="236" t="str">
        <x:v>https://www.federalreserve.gov/newsevents/pressreleases/monetary20260729a.htm | https://www.bea.gov/news/2026/personal-income-and-outlays-july-2026</x:v>
      </x:c>
      <x:c r="H17" s="236" t="str">
        <x:v>Q2 revenue $11.35bn (+11%); cRPO $33.5bn (+14%); Data 360 + Agentforce ARR nearly $3.9bn (+210%); Agentforce ARR above $1.5bn; FY27 guide $46.1–46.4bn includes acquisition contribution.</x:v>
      </x:c>
      <x:c r="I17" s="236" t="str">
        <x:v>CRM workflow embedding and data/platform ecosystem remain durable. AI evidence improved, but organic growth, strategic investment gains, acquisitions and debt-funded capital returns must be separated.</x:v>
      </x:c>
      <x:c r="J17" s="236" t="str">
        <x:v>Paid AI usage and core seat/workflow retention → organic cRPO/revenue → FCF/share after SBC → acquisitions/buybacks/debt → owner value.</x:v>
      </x:c>
      <x:c r="K17" s="236" t="str">
        <x:v>Strip investment gains and acquired growth; measure paid agent consumption, cannibalization of seats, SBC and debt on a per-share cash basis.</x:v>
      </x:c>
      <x:c r="L17" s="236" t="str">
        <x:v>AI/data ARR acceleration versus headline growth containing acquisitions; stronger FCF/cRPO versus investment-gain-distorted EPS; repurchases reduce shares while debt and acquisition risk rise.</x:v>
      </x:c>
      <x:c r="M17" s="236" t="str">
        <x:v>AI agents succeed but cannibalize seats faster than consumption revenue replaces them.</x:v>
      </x:c>
      <x:c r="N17" s="236" t="str">
        <x:v>Enterprise demand holds while higher rates make debt-funded repurchases/acquisitions value destructive.</x:v>
      </x:c>
      <x:c r="O17" s="236" t="str">
        <x:v>The AI thesis is right, but Anthropic/other platform partners capture economics and reduce Salesforce differentiation.</x:v>
      </x:c>
      <x:c r="P17" s="236" t="str">
        <x:v>WATCH-CAPPED</x:v>
      </x:c>
      <x:c r="Q17" s="236" t="str">
        <x:v>DEEP WATCH</x:v>
      </x:c>
      <x:c r="R17" s="236" t="str">
        <x:v>DEEP WATCH — require organic paid AI and per-share FCF after SBC/debt</x:v>
      </x:c>
      <x:c r="S17" s="236" t="str">
        <x:v>MEDIUM-HIGH</x:v>
      </x:c>
      <x:c r="T17" s="236" t="str">
        <x:v>Organic versus acquired AI growth and clean per-share cash economics</x:v>
      </x:c>
      <x:c r="U17" s="239" t="n">
        <x:v>46281</x:v>
      </x:c>
      <x:c r="V17" s="239" t="n">
        <x:v>46267</x:v>
      </x:c>
    </x:row>
    <x:row r="18" ht="96" customHeight="1">
      <x:c r="A18" s="236" t="str">
        <x:v>ARG-051</x:v>
      </x:c>
      <x:c r="B18" s="236" t="str">
        <x:v>DHT Holdings</x:v>
      </x:c>
      <x:c r="C18" s="236" t="str">
        <x:v>DHT</x:v>
      </x:c>
      <x:c r="D18" s="236" t="str">
        <x:v>Shipping</x:v>
      </x:c>
      <x:c r="E18" s="239" t="n">
        <x:v>46239</x:v>
      </x:c>
      <x:c r="F18" s="236" t="str">
        <x:v>https://www.dhtankers.com/dht-holdings-inc-second-quarter-2026-results/</x:v>
      </x:c>
      <x:c r="G18" s="236" t="str">
        <x:v>https://www.eia.gov/outlooks/steo/ | https://www.eia.gov/petroleum/weekly/</x:v>
      </x:c>
      <x:c r="H18" s="236" t="str">
        <x:v>H1 shipping revenue $471.1m versus $246.1m; Q2 EPS about $1.23; dividend $1.22/share. Current cash generation reflects exceptionally strong VLCC rates.</x:v>
      </x:c>
      <x:c r="I18" s="236" t="str">
        <x:v>A focused VLCC owner with transparent variable distributions. It is a cycle/NAV investment, not a durable-moat compounder.</x:v>
      </x:c>
      <x:c r="J18" s="236" t="str">
        <x:v>Oil ton-miles and vessel supply → spot TCE → cash opex/debt/capex → NAV and distributable cash → cycle-normalized per-share return.</x:v>
      </x:c>
      <x:c r="K18" s="236" t="str">
        <x:v>Normalize TCE across a full cycle, mark fleet to conservative second-hand values and test dry-dock/newbuild commitments before capitalizing current dividends.</x:v>
      </x:c>
      <x:c r="L18" s="236" t="str">
        <x:v>Record cash/dividend evidence versus peak-cycle risk; disciplined payout versus limited reinvestment moat; geopolitical disruption lifts ton-miles but can reverse abruptly.</x:v>
      </x:c>
      <x:c r="M18" s="236" t="str">
        <x:v>Oil demand remains firm, but ceasefire/rerouting reduces ton-miles and spot rates.</x:v>
      </x:c>
      <x:c r="N18" s="236" t="str">
        <x:v>High rates trigger new orders and asset inflation, sowing the next oversupply.</x:v>
      </x:c>
      <x:c r="O18" s="236" t="str">
        <x:v>Earnings stay strong while the stock already prices peak NAV and dividend expectations.</x:v>
      </x:c>
      <x:c r="P18" s="236" t="str">
        <x:v>BLOCKED - FAIL</x:v>
      </x:c>
      <x:c r="Q18" s="236" t="str"/>
      <x:c r="R18" s="236" t="str">
        <x:v>SITUATIONAL ONLY — update NAV/TCE bands; do not extrapolate the dividend</x:v>
      </x:c>
      <x:c r="S18" s="236" t="str">
        <x:v>MEDIUM-HIGH</x:v>
      </x:c>
      <x:c r="T18" s="236" t="str">
        <x:v>Cycle-normalized TCE, fleet NAV and forward orderbook</x:v>
      </x:c>
      <x:c r="U18" s="239" t="n">
        <x:v>46274</x:v>
      </x:c>
      <x:c r="V18" s="239" t="n">
        <x:v>46267</x:v>
      </x:c>
    </x:row>
    <x:row r="19" ht="96" customHeight="1">
      <x:c r="A19" s="236" t="str">
        <x:v>ARG-061</x:v>
      </x:c>
      <x:c r="B19" s="236" t="str">
        <x:v>Scorpio Tankers</x:v>
      </x:c>
      <x:c r="C19" s="236" t="str">
        <x:v>STNG</x:v>
      </x:c>
      <x:c r="D19" s="236" t="str">
        <x:v>Shipping</x:v>
      </x:c>
      <x:c r="E19" s="239" t="n">
        <x:v>46233</x:v>
      </x:c>
      <x:c r="F19" s="236" t="str">
        <x:v>https://www.scorpiotankers.com/scorpio-tankers-inc-announces-financial-results-for-the-second-quarter-of-2026-and-the-declaration-of-a-dividend/</x:v>
      </x:c>
      <x:c r="G19" s="236" t="str">
        <x:v>https://www.eia.gov/outlooks/steo/ | https://www.eia.gov/petroleum/weekly/</x:v>
      </x:c>
      <x:c r="H19" s="236" t="str">
        <x:v>Q2 net income about $387.5m; dividend $0.45/share; unscheduled debt prepayments $389.1m. Balance-sheet repair materially improves survival through the next product-tanker downturn.</x:v>
      </x:c>
      <x:c r="I19" s="236" t="str">
        <x:v>A modern product-tanker fleet with improved financial resilience, but no structural pricing moat. Capital allocation and fleet age are the differentiators.</x:v>
      </x:c>
      <x:c r="J19" s="236" t="str">
        <x:v>Refinery dislocation/product ton-miles → spot TCE → cash after opex → debt repayment/buybacks/dividends → NAV/share across the cycle.</x:v>
      </x:c>
      <x:c r="K19" s="236" t="str">
        <x:v>Treat debt reduction as durable value but normalize current earnings; stress refinery normalization, fleet ordering and management’s willingness to re-lever at the top.</x:v>
      </x:c>
      <x:c r="L19" s="236" t="str">
        <x:v>Peak profit versus modest dividend; substantial debt reduction improves downside while strong markets tempt renewed fleet investment; modern fleet advantage remains cyclical.</x:v>
      </x:c>
      <x:c r="M19" s="236" t="str">
        <x:v>Refinery dislocation persists, but product trade routes normalize faster than expected.</x:v>
      </x:c>
      <x:c r="N19" s="236" t="str">
        <x:v>Strong rates stimulate product-tanker ordering and erode future scarcity.</x:v>
      </x:c>
      <x:c r="O19" s="236" t="str">
        <x:v>Debt reduction is correct, yet asset prices peak and repurchases/newbuilds destroy the advantage.</x:v>
      </x:c>
      <x:c r="P19" s="236" t="str">
        <x:v>BLOCKED - FAIL</x:v>
      </x:c>
      <x:c r="Q19" s="236" t="str"/>
      <x:c r="R19" s="236" t="str">
        <x:v>SITUATIONAL ONLY — reward deleveraging; wait for normalized NAV/TCE protection</x:v>
      </x:c>
      <x:c r="S19" s="236" t="str">
        <x:v>HIGH</x:v>
      </x:c>
      <x:c r="T19" s="236" t="str">
        <x:v>Normalized product-tanker rates and post-deleveraging capital allocation</x:v>
      </x:c>
      <x:c r="U19" s="239" t="n">
        <x:v>46274</x:v>
      </x:c>
      <x:c r="V19" s="239" t="n">
        <x:v>46267</x:v>
      </x:c>
    </x:row>
    <x:row r="20" ht="96" customHeight="1">
      <x:c r="A20" s="236" t="str">
        <x:v>ARG-081</x:v>
      </x:c>
      <x:c r="B20" s="236" t="str">
        <x:v>International Seaways</x:v>
      </x:c>
      <x:c r="C20" s="236" t="str">
        <x:v>INSW</x:v>
      </x:c>
      <x:c r="D20" s="236" t="str">
        <x:v>Shipping</x:v>
      </x:c>
      <x:c r="E20" s="239" t="n">
        <x:v>46244</x:v>
      </x:c>
      <x:c r="F20" s="236" t="str">
        <x:v>https://www.intlseas.com/investor-relations/financials/quarterly-results/default.aspx</x:v>
      </x:c>
      <x:c r="G20" s="236" t="str">
        <x:v>https://www.eia.gov/outlooks/steo/ | https://www.eia.gov/petroleum/weekly/</x:v>
      </x:c>
      <x:c r="H20" s="236" t="str">
        <x:v>Q2 record net/adjusted income $295m; adjusted EBITDA $345m; quarterly FCF $261m; fleet 68 vessels spanning crude and product tankers.</x:v>
      </x:c>
      <x:c r="I20" s="236" t="str">
        <x:v>Diversified tanker exposure and shareholder-return discipline are strengths, but returns remain driven by spot rates and asset cycles rather than a durable customer moat.</x:v>
      </x:c>
      <x:c r="J20" s="236" t="str">
        <x:v>Crude/product ton-miles + fleet supply → segment TCE → FCF and debt → vessel sales/purchases and distributions → NAV/share.</x:v>
      </x:c>
      <x:c r="K20" s="236" t="str">
        <x:v>Separate crude and product cycles, normalize FCF, test fleet renewal requirements and compare every repurchase/dividend/newbuild with discount-to-NAV.</x:v>
      </x:c>
      <x:c r="L20" s="236" t="str">
        <x:v>Record FCF versus inevitable rate normalization; diversification reduces single-market risk but complicates cycle timing; distributions create value only if fleet replacement remains funded.</x:v>
      </x:c>
      <x:c r="M20" s="236" t="str">
        <x:v>Global oil flows grow, but route normalization reduces ton-miles.</x:v>
      </x:c>
      <x:c r="N20" s="236" t="str">
        <x:v>One tanker segment weakens while consolidated records hide the deterioration.</x:v>
      </x:c>
      <x:c r="O20" s="236" t="str">
        <x:v>Management returns cash correctly, but replacement capex later arrives at inflated asset prices.</x:v>
      </x:c>
      <x:c r="P20" s="236" t="str">
        <x:v>BLOCKED - FAIL</x:v>
      </x:c>
      <x:c r="Q20" s="236" t="str"/>
      <x:c r="R20" s="236" t="str">
        <x:v>SITUATIONAL ONLY — segment NAV/TCE and replacement-capex test required</x:v>
      </x:c>
      <x:c r="S20" s="236" t="str">
        <x:v>HIGH</x:v>
      </x:c>
      <x:c r="T20" s="236" t="str">
        <x:v>Segment-normalized TCE, fleet renewal cost and discount-to-NAV</x:v>
      </x:c>
      <x:c r="U20" s="239" t="n">
        <x:v>46274</x:v>
      </x:c>
      <x:c r="V20" s="239" t="n">
        <x:v>46267</x:v>
      </x:c>
    </x:row>
    <x:row r="21" ht="96" customHeight="1">
      <x:c r="A21" s="237" t="str">
        <x:v>ARG-082</x:v>
      </x:c>
      <x:c r="B21" s="237" t="str">
        <x:v>Frontline</x:v>
      </x:c>
      <x:c r="C21" s="237" t="str">
        <x:v>FRO</x:v>
      </x:c>
      <x:c r="D21" s="237" t="str">
        <x:v>Shipping</x:v>
      </x:c>
      <x:c r="E21" s="240" t="n">
        <x:v>46262</x:v>
      </x:c>
      <x:c r="F21" s="237" t="str">
        <x:v>https://www.frontlineplc.cy/investor-relations/</x:v>
      </x:c>
      <x:c r="G21" s="237" t="str">
        <x:v>https://www.eia.gov/outlooks/steo/ | https://www.eia.gov/petroleum/weekly/</x:v>
      </x:c>
      <x:c r="H21" s="237" t="str">
        <x:v>Q2 record net income $659.2m ($2.96/share); adjusted profit $580.2m ($2.61/share); revenue $943.3m; dividend $2.61/share.</x:v>
      </x:c>
      <x:c r="I21" s="237" t="str">
        <x:v>Large-scale crude/product tanker exposure generates extraordinary cash in the current market. Governance/related-party and cycle exposure require a larger control discount than reported earnings imply.</x:v>
      </x:c>
      <x:c r="J21" s="237" t="str">
        <x:v>Oil flows and ton-miles → fleet utilization/TCE → financing and vessel transactions → distributable profit → NAV/share through the down-cycle.</x:v>
      </x:c>
      <x:c r="K21" s="237" t="str">
        <x:v>Remove vessel-sale/fair-value effects, stress affiliate transactions, refinance the fleet at normalized rates and treat the record dividend as variable cycle cash—not an annuity.</x:v>
      </x:c>
      <x:c r="L21" s="237" t="str">
        <x:v>Best quarter ever versus peak-cycle danger; full profit distribution versus future fleet/refinancing needs; scale helps utilization but cannot create industry pricing power.</x:v>
      </x:c>
      <x:c r="M21" s="237" t="str">
        <x:v>Geopolitical disruption boosts rates, then policy normalization collapses ton-miles.</x:v>
      </x:c>
      <x:c r="N21" s="237" t="str">
        <x:v>Record profits attract ordering and lift vessel prices before cash is reinvested.</x:v>
      </x:c>
      <x:c r="O21" s="237" t="str">
        <x:v>The cycle remains strong, but governance/affiliate transactions shift value away from minority owners.</x:v>
      </x:c>
      <x:c r="P21" s="237" t="str">
        <x:v>BLOCKED - FAIL</x:v>
      </x:c>
      <x:c r="Q21" s="237" t="str"/>
      <x:c r="R21" s="237" t="str">
        <x:v>SITUATIONAL ONLY — governance-adjusted NAV and normalized TCE required</x:v>
      </x:c>
      <x:c r="S21" s="237" t="str">
        <x:v>MEDIUM-HIGH</x:v>
      </x:c>
      <x:c r="T21" s="237" t="str">
        <x:v>Governance-adjusted NAV, normalized TCE and refinancing/fleet needs</x:v>
      </x:c>
      <x:c r="U21" s="240" t="n">
        <x:v>46274</x:v>
      </x:c>
      <x:c r="V21" s="240" t="n">
        <x:v>46267</x:v>
      </x:c>
    </x:row>
  </x:sheetData>
  <x:mergeCells>
    <x:mergeCell ref="A1:V1"/>
    <x:mergeCell ref="A2:V2"/>
  </x:mergeCells>
  <x:conditionalFormatting sqref="P5:P21">
    <x:cfRule type="containsText" dxfId="47" priority="1" operator="containsText" text="BLOCKED"/>
    <x:cfRule type="containsText" dxfId="48" priority="2" operator="containsText" text="WATCH"/>
    <x:cfRule type="containsText" dxfId="49" priority="3" operator="containsText" text="READY"/>
  </x:conditionalFormatting>
  <x:pageMargins left="0.7" right="0.7" top="0.75" bottom="0.75" header="0.3" footer="0.3"/>
  <x:tableParts count="1">
    <x:tablePart xmlns:r="http://schemas.openxmlformats.org/officeDocument/2006/relationships" r:id="R0998c72f35e04507"/>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10" hidden="0" customWidth="1"/>
    <x:col min="4" max="4" width="23" hidden="0" customWidth="1"/>
    <x:col min="5" max="5" width="13" hidden="0" customWidth="1"/>
    <x:col min="6" max="6" width="12" hidden="0" customWidth="1"/>
    <x:col min="7" max="7" width="20" hidden="0" customWidth="1"/>
    <x:col min="8" max="8" width="42" hidden="0" customWidth="1"/>
    <x:col min="9" max="9" width="48" hidden="0" customWidth="1"/>
    <x:col min="10" max="10" width="48" hidden="0" customWidth="1"/>
    <x:col min="11" max="11" width="50" hidden="0" customWidth="1"/>
    <x:col min="12" max="12" width="50" hidden="0" customWidth="1"/>
    <x:col min="13" max="13" width="50" hidden="0" customWidth="1"/>
    <x:col min="14" max="14" width="48" hidden="0" customWidth="1"/>
    <x:col min="15" max="15" width="42" hidden="0" customWidth="1"/>
    <x:col min="16" max="16" width="42" hidden="0" customWidth="1"/>
    <x:col min="17" max="17" width="42" hidden="0" customWidth="1"/>
    <x:col min="18" max="18" width="18" hidden="0" customWidth="1"/>
    <x:col min="19" max="19" width="18" hidden="0" customWidth="1"/>
    <x:col min="20" max="20" width="50" hidden="0" customWidth="1"/>
    <x:col min="21" max="21" width="14" hidden="0" customWidth="1"/>
    <x:col min="22" max="22" width="44" hidden="0" customWidth="1"/>
    <x:col min="23" max="23" width="13" hidden="0" customWidth="1"/>
    <x:col min="24" max="24" width="20" hidden="0" customWidth="1"/>
  </x:cols>
  <x:sheetData>
    <x:row r="1" ht="28" customHeight="1">
      <x:c r="A1" s="253" t="str">
        <x:v>ARGUS V10.30 — P2-A Deep Research | Three Passes, Contradictions, Point-in-Time &amp; Dalio Test</x:v>
      </x:c>
      <x:c r="B1" s="253"/>
      <x:c r="C1" s="253"/>
      <x:c r="D1" s="253"/>
      <x:c r="E1" s="253"/>
      <x:c r="F1" s="253"/>
      <x:c r="G1" s="253"/>
      <x:c r="H1" s="253"/>
      <x:c r="I1" s="253"/>
      <x:c r="J1" s="253"/>
      <x:c r="K1" s="253"/>
      <x:c r="L1" s="253"/>
      <x:c r="M1" s="253"/>
      <x:c r="N1" s="253"/>
      <x:c r="O1" s="253"/>
      <x:c r="P1" s="253"/>
      <x:c r="Q1" s="253"/>
      <x:c r="R1" s="253"/>
      <x:c r="S1" s="253"/>
      <x:c r="T1" s="253"/>
      <x:c r="U1" s="253"/>
      <x:c r="V1" s="253"/>
      <x:c r="W1" s="253"/>
      <x:c r="X1" s="253"/>
    </x:row>
    <x:row r="2" ht="36" customHeight="1">
      <x:c r="A2" s="256" t="str">
        <x:v>15/50 P2 companies reviewed. The batch targets the AI capital chain, power scarcity, platform funding and a live value-trap control. The layer is shadow/fail-closed: it may block or cap conviction, never auto-upgrade a frozen V10 decision.</x:v>
      </x:c>
      <x:c r="B2" s="256"/>
      <x:c r="C2" s="256"/>
      <x:c r="D2" s="256"/>
      <x:c r="E2" s="256"/>
      <x:c r="F2" s="256"/>
      <x:c r="G2" s="256"/>
      <x:c r="H2" s="256"/>
      <x:c r="I2" s="256"/>
      <x:c r="J2" s="256"/>
      <x:c r="K2" s="256"/>
      <x:c r="L2" s="256"/>
      <x:c r="M2" s="256"/>
      <x:c r="N2" s="256"/>
      <x:c r="O2" s="256"/>
      <x:c r="P2" s="256"/>
      <x:c r="Q2" s="256"/>
      <x:c r="R2" s="256"/>
      <x:c r="S2" s="256"/>
      <x:c r="T2" s="256"/>
      <x:c r="U2" s="256"/>
      <x:c r="V2" s="256"/>
      <x:c r="W2" s="256"/>
      <x:c r="X2" s="256"/>
    </x:row>
    <x:row r="4" ht="42" customHeight="1">
      <x:c r="A4" s="259" t="str">
        <x:v>Company ID</x:v>
      </x:c>
      <x:c r="B4" s="259" t="str">
        <x:v>Company</x:v>
      </x:c>
      <x:c r="C4" s="259" t="str">
        <x:v>Ticker</x:v>
      </x:c>
      <x:c r="D4" s="259" t="str">
        <x:v>Sector</x:v>
      </x:c>
      <x:c r="E4" s="259" t="str">
        <x:v>Evidence Date</x:v>
      </x:c>
      <x:c r="F4" s="259" t="str">
        <x:v>PIT Price</x:v>
      </x:c>
      <x:c r="G4" s="259" t="str">
        <x:v>PIT Time</x:v>
      </x:c>
      <x:c r="H4" s="259" t="str">
        <x:v>T1 Source URL</x:v>
      </x:c>
      <x:c r="I4" s="259" t="str">
        <x:v>T2 / PIT Package</x:v>
      </x:c>
      <x:c r="J4" s="259" t="str">
        <x:v>Current T1 Facts</x:v>
      </x:c>
      <x:c r="K4" s="259" t="str">
        <x:v>Pass 1 — Business &amp; Owner Earnings</x:v>
      </x:c>
      <x:c r="L4" s="259" t="str">
        <x:v>Pass 2 — Causal Chain</x:v>
      </x:c>
      <x:c r="M4" s="259" t="str">
        <x:v>Pass 3 — Red Team</x:v>
      </x:c>
      <x:c r="N4" s="259" t="str">
        <x:v>Contradictions</x:v>
      </x:c>
      <x:c r="O4" s="259" t="str">
        <x:v>Dalio Path 1</x:v>
      </x:c>
      <x:c r="P4" s="259" t="str">
        <x:v>Dalio Path 2</x:v>
      </x:c>
      <x:c r="Q4" s="259" t="str">
        <x:v>Dalio Path 3</x:v>
      </x:c>
      <x:c r="R4" s="259" t="str">
        <x:v>Owner Status</x:v>
      </x:c>
      <x:c r="S4" s="259" t="str">
        <x:v>Frozen V10</x:v>
      </x:c>
      <x:c r="T4" s="259" t="str">
        <x:v>Evidence-Controlled Action</x:v>
      </x:c>
      <x:c r="U4" s="259" t="str">
        <x:v>Confidence</x:v>
      </x:c>
      <x:c r="V4" s="259" t="str">
        <x:v>Critical Gap</x:v>
      </x:c>
      <x:c r="W4" s="259" t="str">
        <x:v>Next Review</x:v>
      </x:c>
      <x:c r="X4" s="259" t="str">
        <x:v>Research Status</x:v>
      </x:c>
    </x:row>
    <x:row r="5" ht="104" customHeight="1">
      <x:c r="A5" s="235" t="str">
        <x:v>ARG-006</x:v>
      </x:c>
      <x:c r="B5" s="235" t="str">
        <x:v>Advanced Micro Devices</x:v>
      </x:c>
      <x:c r="C5" s="235" t="str">
        <x:v>AMD</x:v>
      </x:c>
      <x:c r="D5" s="235" t="str">
        <x:v>AI &amp; Semiconductors</x:v>
      </x:c>
      <x:c r="E5" s="238" t="n">
        <x:v>46238</x:v>
      </x:c>
      <x:c r="F5" s="260" t="n">
        <x:v>459.61</x:v>
      </x:c>
      <x:c r="G5" s="235" t="str">
        <x:v>2026-09-02 12:06 UTC</x:v>
      </x:c>
      <x:c r="H5" s="235" t="str">
        <x:v>https://ir.amd.com/news-events/press-releases/detail/1295/amd-reports-second-quarter-2026-financial-results</x:v>
      </x:c>
      <x:c r="I5" s="235" t="str">
        <x:v>https://www.bis.gov/press-release | https://www.federalreserve.gov/newsevents/pressreleases/monetary20260729a.htm | https://www.bea.gov/news/2026/gdp-second-estimate-and-corporate-profits-2nd-quarter-2026</x:v>
      </x:c>
      <x:c r="J5" s="235" t="str">
        <x:v>Q2 revenue $11.536bn (+50% YoY); Data Center $6.718bn (+107%); non-GAAP gross margin 56%; operating income $3.094bn; capex $808m; cash and short-term investments $13.111bn.</x:v>
      </x:c>
      <x:c r="K5" s="235" t="str">
        <x:v>AMD has crossed from optional challenger to material AI/CPU supplier. Growth and gross margin support positive owner economics, but the proof is not yet full-cycle because the accelerator mix, software ecosystem and customer concentration are changing quickly.</x:v>
      </x:c>
      <x:c r="L5" s="235" t="str">
        <x:v>Competitive accelerators/CPUs → customer workload ROI → share and mix → gross margin and working capital → R&amp;D/capex → free cash flow per share → value relative to embedded expectations.</x:v>
      </x:c>
      <x:c r="M5" s="235" t="str">
        <x:v>Separate financed AI capacity from repeat production demand; test ROCm adoption, NVIDIA response, custom silicon, export controls, supply allocation and whether share gains require structurally lower pricing.</x:v>
      </x:c>
      <x:c r="N5" s="235" t="str">
        <x:v>Data Center growth and liquidity are strong, yet the stock price assumes a long sequence of share gains; hardware traction is visible while ecosystem durability and normalized customer ROI remain less proven.</x:v>
      </x:c>
      <x:c r="O5" s="235" t="str">
        <x:v>AI demand grows, but NVIDIA software/network effects capture most industry economics.</x:v>
      </x:c>
      <x:c r="P5" s="235" t="str">
        <x:v>AMD wins deployments, yet hyperscalers internalize silicon and compress supplier pricing.</x:v>
      </x:c>
      <x:c r="Q5" s="235" t="str">
        <x:v>The product thesis is correct, but export limits or tighter AI financing delay cash conversion long enough to de-rate the shares.</x:v>
      </x:c>
      <x:c r="R5" s="235" t="str">
        <x:v>WATCH-CAPPED</x:v>
      </x:c>
      <x:c r="S5" s="235" t="str">
        <x:v>WATCH</x:v>
      </x:c>
      <x:c r="T5" s="235" t="str">
        <x:v>WATCH — no upgrade; require normalized customer AI ROI, durable accelerator share and free-cash-flow conversion</x:v>
      </x:c>
      <x:c r="U5" s="235" t="str">
        <x:v>MEDIUM-HIGH</x:v>
      </x:c>
      <x:c r="V5" s="235" t="str">
        <x:v>Normalized AI customer ROI, accelerator customer concentration and full-cycle FCF/share</x:v>
      </x:c>
      <x:c r="W5" s="238" t="n">
        <x:v>46281</x:v>
      </x:c>
      <x:c r="X5" s="235" t="str">
        <x:v>COMPLETE — 2026-09-02</x:v>
      </x:c>
    </x:row>
    <x:row r="6" ht="104" customHeight="1">
      <x:c r="A6" s="236" t="str">
        <x:v>ARG-007</x:v>
      </x:c>
      <x:c r="B6" s="236" t="str">
        <x:v>Taiwan Semiconductor Manufacturing</x:v>
      </x:c>
      <x:c r="C6" s="236" t="str">
        <x:v>TSM</x:v>
      </x:c>
      <x:c r="D6" s="236" t="str">
        <x:v>AI &amp; Semiconductors</x:v>
      </x:c>
      <x:c r="E6" s="239" t="n">
        <x:v>46219</x:v>
      </x:c>
      <x:c r="F6" s="261" t="n">
        <x:v>414</x:v>
      </x:c>
      <x:c r="G6" s="236" t="str">
        <x:v>2026-09-02 12:06 UTC</x:v>
      </x:c>
      <x:c r="H6" s="236" t="str">
        <x:v>https://investor.tsmc.com/english/quarterly-results/2026/q2</x:v>
      </x:c>
      <x:c r="I6" s="236" t="str">
        <x:v>https://www.bis.gov/press-release | https://www.federalreserve.gov/newsevents/pressreleases/monetary20260729a.htm | https://www.bea.gov/news/2026/gdp-second-estimate-and-corporate-profits-2nd-quarter-2026</x:v>
      </x:c>
      <x:c r="J6" s="236" t="str">
        <x:v>Q2 revenue US$40.20bn (+33.7% YoY), NT$1,270.38bn; net income NT$706.56bn (+77.4%); gross margin 67.7% and operating margin 60.3%; Q3 revenue guidance US$44.6–45.8bn.</x:v>
      </x:c>
      <x:c r="K6" s="236" t="str">
        <x:v>Leading-node process capability, customer trust and scale reinforce a rare manufacturing moat. Current owner earnings are exceptional; the permanent-loss tail is geopolitical and the return penalty from overseas capacity is not yet fully observable.</x:v>
      </x:c>
      <x:c r="L6" s="236" t="str">
        <x:v>Leading-node demand → utilization/node mix and pricing → gross margin → domestic/overseas capex → free cash flow → geopolitical survivability → per-share owner value.</x:v>
      </x:c>
      <x:c r="M6" s="236" t="str">
        <x:v>Stress Taiwan disruption, customer concentration, customer internal silicon, export-policy fragmentation, overseas fab dilution, depreciation and a post-shortage utilization reset.</x:v>
      </x:c>
      <x:c r="N6" s="236" t="str">
        <x:v>Exceptional profitability and scarcity coexist with a non-diversifiable Taiwan tail; overseas capacity improves resilience but may reduce consolidated returns; customer demand is broadening while a few AI buyers dominate growth.</x:v>
      </x:c>
      <x:c r="O6" s="236" t="str">
        <x:v>AI demand remains strong, but geopolitical risk interrupts delivery or permanently raises the required return.</x:v>
      </x:c>
      <x:c r="P6" s="236" t="str">
        <x:v>Overseas diversification works operationally while lower yields/costs dilute owner earnings.</x:v>
      </x:c>
      <x:c r="Q6" s="236" t="str">
        <x:v>Customers keep ordering leading-edge wafers but internal silicon and bargaining reduce foundry economics after capacity expands.</x:v>
      </x:c>
      <x:c r="R6" s="236" t="str">
        <x:v>WATCH-CAPPED</x:v>
      </x:c>
      <x:c r="S6" s="236" t="str">
        <x:v>WATCH</x:v>
      </x:c>
      <x:c r="T6" s="236" t="str">
        <x:v>WATCH — moat affirmed; require Taiwan-tail price protection and overseas-fab return evidence</x:v>
      </x:c>
      <x:c r="U6" s="236" t="str">
        <x:v>HIGH</x:v>
      </x:c>
      <x:c r="V6" s="236" t="str">
        <x:v>Quantified geopolitical loss tail and normalized returns on overseas capacity</x:v>
      </x:c>
      <x:c r="W6" s="239" t="n">
        <x:v>46281</x:v>
      </x:c>
      <x:c r="X6" s="236" t="str">
        <x:v>COMPLETE — 2026-09-02</x:v>
      </x:c>
    </x:row>
    <x:row r="7" ht="104" customHeight="1">
      <x:c r="A7" s="236" t="str">
        <x:v>ARG-008</x:v>
      </x:c>
      <x:c r="B7" s="236" t="str">
        <x:v>ASML Holding</x:v>
      </x:c>
      <x:c r="C7" s="236" t="str">
        <x:v>ASML</x:v>
      </x:c>
      <x:c r="D7" s="236" t="str">
        <x:v>AI &amp; Semiconductors</x:v>
      </x:c>
      <x:c r="E7" s="239" t="n">
        <x:v>46218</x:v>
      </x:c>
      <x:c r="F7" s="261" t="n">
        <x:v>1665.14</x:v>
      </x:c>
      <x:c r="G7" s="236" t="str">
        <x:v>2026-09-02 12:06 UTC</x:v>
      </x:c>
      <x:c r="H7" s="236" t="str">
        <x:v>https://www.asml.com/en/investors/financial-results/q2-2026</x:v>
      </x:c>
      <x:c r="I7" s="236" t="str">
        <x:v>https://www.bis.gov/press-release | https://www.federalreserve.gov/newsevents/pressreleases/monetary20260729a.htm | https://www.bea.gov/news/2026/gdp-second-estimate-and-corporate-profits-2nd-quarter-2026</x:v>
      </x:c>
      <x:c r="J7" s="236" t="str">
        <x:v>Q2 sales €9.326bn; gross margin 54%; net income €2.918bn; installed-base management sales €2.762bn; 86 new systems; cash/short-term investments €7.582bn; FY26 sales guide €43–45bn.</x:v>
      </x:c>
      <x:c r="K7" s="236" t="str">
        <x:v>EUV/High-NA lithography and the installed service base remain one of the strongest industrial moats. Owner economics are excellent; the blocking issue is not quality but the margin of safety against policy and cycle risk.</x:v>
      </x:c>
      <x:c r="L7" s="236" t="str">
        <x:v>Customer node roadmaps → tool orders/acceptance → systems plus service gross profit → R&amp;D/capacity cash needs → export-policy deliverable TAM → free cash flow per share.</x:v>
      </x:c>
      <x:c r="M7" s="236" t="str">
        <x:v>Treat order strength as cyclical, stress China/export restrictions, leading-customer capex pauses, High-NA adoption timing, capacity expansion and service-mix normalization.</x:v>
      </x:c>
      <x:c r="N7" s="236" t="str">
        <x:v>Near-monopoly economics versus policy-constrained deliverable TAM; installed-base annuity versus volatile system acceptance; capacity expansion supports customers but can weaken scarcity and utilization.</x:v>
      </x:c>
      <x:c r="O7" s="236" t="str">
        <x:v>The monopoly persists, but export restrictions remove enough deliverable TAM to lower normalized value.</x:v>
      </x:c>
      <x:c r="P7" s="236" t="str">
        <x:v>Leading-edge demand is real, yet customer capex pauses create a multi-year order/acceptance air pocket.</x:v>
      </x:c>
      <x:c r="Q7" s="236" t="str">
        <x:v>High-NA succeeds technically while capacity expansion and a rich starting multiple produce a poor shareholder return.</x:v>
      </x:c>
      <x:c r="R7" s="236" t="str">
        <x:v>BLOCKED - FAIL</x:v>
      </x:c>
      <x:c r="S7" s="236" t="str">
        <x:v>WAIT FOR PRICE</x:v>
      </x:c>
      <x:c r="T7" s="236" t="str">
        <x:v>WAIT FOR PRICE — evidence strengthens the franchise, not the entry price</x:v>
      </x:c>
      <x:c r="U7" s="236" t="str">
        <x:v>HIGH</x:v>
      </x:c>
      <x:c r="V7" s="236" t="str">
        <x:v>Conservative value range under export restrictions and a WFE down-cycle</x:v>
      </x:c>
      <x:c r="W7" s="239" t="n">
        <x:v>46281</x:v>
      </x:c>
      <x:c r="X7" s="236" t="str">
        <x:v>COMPLETE — 2026-09-02</x:v>
      </x:c>
    </x:row>
    <x:row r="8" ht="104" customHeight="1">
      <x:c r="A8" s="236" t="str">
        <x:v>ARG-011</x:v>
      </x:c>
      <x:c r="B8" s="236" t="str">
        <x:v>Micron Technology</x:v>
      </x:c>
      <x:c r="C8" s="236" t="str">
        <x:v>MU</x:v>
      </x:c>
      <x:c r="D8" s="236" t="str">
        <x:v>AI &amp; Semiconductors</x:v>
      </x:c>
      <x:c r="E8" s="239" t="n">
        <x:v>46197</x:v>
      </x:c>
      <x:c r="F8" s="261" t="n">
        <x:v>933.44</x:v>
      </x:c>
      <x:c r="G8" s="236" t="str">
        <x:v>2026-09-02 12:06 UTC</x:v>
      </x:c>
      <x:c r="H8" s="236" t="str">
        <x:v>https://investors.micron.com/financials/quarterly-results/default.aspx</x:v>
      </x:c>
      <x:c r="I8" s="236" t="str">
        <x:v>https://www.bis.gov/press-release | https://www.federalreserve.gov/newsevents/pressreleases/monetary20260729a.htm | https://www.bea.gov/news/2026/gdp-second-estimate-and-corporate-profits-2nd-quarter-2026</x:v>
      </x:c>
      <x:c r="J8" s="236" t="str">
        <x:v>Fiscal Q3 revenue $41.46bn versus $23.86bn in the prior quarter; net income about $28.24bn; capex $7.1bn; adjusted FCF $18.3bn; cash, marketable and restricted investments $30.2bn.</x:v>
      </x:c>
      <x:c r="K8" s="236" t="str">
        <x:v>HBM scarcity has transformed near-term earnings and cash generation, but memory remains supply-responsive and capital intensive. Current profits are not a normalized owner-earnings base.</x:v>
      </x:c>
      <x:c r="L8" s="236" t="str">
        <x:v>AI/HBM demand → pricing and mix → gross profit → industry supply response and capex → inventory/price cycle → normalized free cash flow and replacement value.</x:v>
      </x:c>
      <x:c r="M8" s="236" t="str">
        <x:v>Normalize HBM premiums, customer pre-buys, yields and inventory; model competitor capacity, conventional DRAM/NAND weakness, depreciation, labor/supply disruption and peak-cycle capital allocation.</x:v>
      </x:c>
      <x:c r="N8" s="236" t="str">
        <x:v>Record cash generation versus record-like capex; HBM has differentiated features while the underlying industry retains commodity-cycle behavior; current earnings are extraordinary but therefore least safe to capitalize.</x:v>
      </x:c>
      <x:c r="O8" s="236" t="str">
        <x:v>HBM demand is correctly identified, but supply catches up and premiums normalize abruptly.</x:v>
      </x:c>
      <x:c r="P8" s="236" t="str">
        <x:v>Customers pre-buy scarce memory, then digest inventory while Micron depreciation and capex remain high.</x:v>
      </x:c>
      <x:c r="Q8" s="236" t="str">
        <x:v>AI volumes grow, yet customer bargaining and competing architectures shift value away from memory suppliers.</x:v>
      </x:c>
      <x:c r="R8" s="236" t="str">
        <x:v>BLOCKED - FAIL</x:v>
      </x:c>
      <x:c r="S8" s="236" t="str">
        <x:v>WAIT</x:v>
      </x:c>
      <x:c r="T8" s="236" t="str">
        <x:v>WAIT — normalize HBM pricing, supply response, depreciation and capex before valuation</x:v>
      </x:c>
      <x:c r="U8" s="236" t="str">
        <x:v>MEDIUM-HIGH</x:v>
      </x:c>
      <x:c r="V8" s="236" t="str">
        <x:v>Full-cycle HBM/DRAM price, utilization and owner-earnings normalization</x:v>
      </x:c>
      <x:c r="W8" s="239" t="n">
        <x:v>46281</x:v>
      </x:c>
      <x:c r="X8" s="236" t="str">
        <x:v>COMPLETE — 2026-09-02</x:v>
      </x:c>
    </x:row>
    <x:row r="9" ht="104" customHeight="1">
      <x:c r="A9" s="236" t="str">
        <x:v>ARG-012</x:v>
      </x:c>
      <x:c r="B9" s="236" t="str">
        <x:v>Broadcom</x:v>
      </x:c>
      <x:c r="C9" s="236" t="str">
        <x:v>AVGO</x:v>
      </x:c>
      <x:c r="D9" s="236" t="str">
        <x:v>AI &amp; Semiconductors</x:v>
      </x:c>
      <x:c r="E9" s="239" t="n">
        <x:v>46176</x:v>
      </x:c>
      <x:c r="F9" s="261" t="n">
        <x:v>369.68</x:v>
      </x:c>
      <x:c r="G9" s="236" t="str">
        <x:v>2026-09-02 12:06 UTC</x:v>
      </x:c>
      <x:c r="H9" s="236" t="str">
        <x:v>https://investors.broadcom.com/news-releases/news-release-details/broadcom-inc-announces-second-quarter-fiscal-year-2026-financial</x:v>
      </x:c>
      <x:c r="I9" s="236" t="str">
        <x:v>https://www.bis.gov/press-release | https://www.federalreserve.gov/newsevents/pressreleases/monetary20260729a.htm | https://www.bea.gov/news/2026/gdp-second-estimate-and-corporate-profits-2nd-quarter-2026</x:v>
      </x:c>
      <x:c r="J9" s="236" t="str">
        <x:v>Q2 revenue $22.187bn (+48%); AI semiconductor revenue $10.8bn (+143%); infrastructure software $7.178bn (+9%); CFO $10.493bn, capex $231m and FCF $10.262bn; adjusted EBITDA $15.244bn, 69% margin.</x:v>
      </x:c>
      <x:c r="K9" s="236" t="str">
        <x:v>Custom silicon, networking and mission-critical infrastructure software create multiple high-return engines. Current cash conversion is outstanding, but customer concentration and VMware/debt capital allocation cap conviction.</x:v>
      </x:c>
      <x:c r="L9" s="236" t="str">
        <x:v>Hyperscaler custom-silicon/network demand + VMware retention → revenue/mix → cash margin → integration/debt service → buybacks/dividends → FCF and value per share.</x:v>
      </x:c>
      <x:c r="M9" s="236" t="str">
        <x:v>Stress the largest AI customers, internal design, lost socket share, VMware customer attrition, acquisition accounting, debt, SBC and whether reported FCF is reinvested at owner-accretive prices.</x:v>
      </x:c>
      <x:c r="N9" s="236" t="str">
        <x:v>AI growth and software cash generation are exceptional, while both are concentrated; asset-light capex understates customer ecosystem dependence; acquisition discipline has paid but raises single-decision risk.</x:v>
      </x:c>
      <x:c r="O9" s="236" t="str">
        <x:v>Custom AI silicon expands, but a few customers internalize design and force margin concessions.</x:v>
      </x:c>
      <x:c r="P9" s="236" t="str">
        <x:v>VMware integration meets cost goals while attrition and debt service consume the long-term benefit.</x:v>
      </x:c>
      <x:c r="Q9" s="236" t="str">
        <x:v>AI revenue grows as expected, yet the entry multiple compresses when growth normalizes.</x:v>
      </x:c>
      <x:c r="R9" s="236" t="str">
        <x:v>WATCH-CAPPED</x:v>
      </x:c>
      <x:c r="S9" s="236" t="str">
        <x:v>WATCH</x:v>
      </x:c>
      <x:c r="T9" s="236" t="str">
        <x:v>WATCH — verify AI customer concentration, VMware retention, debt reduction and per-share FCF</x:v>
      </x:c>
      <x:c r="U9" s="236" t="str">
        <x:v>HIGH</x:v>
      </x:c>
      <x:c r="V9" s="236" t="str">
        <x:v>Customer-level AI concentration and acquisition-cohort return after debt/SBC</x:v>
      </x:c>
      <x:c r="W9" s="239" t="n">
        <x:v>46281</x:v>
      </x:c>
      <x:c r="X9" s="236" t="str">
        <x:v>COMPLETE — 2026-09-02</x:v>
      </x:c>
    </x:row>
    <x:row r="10" ht="104" customHeight="1">
      <x:c r="A10" s="236" t="str">
        <x:v>ARG-014</x:v>
      </x:c>
      <x:c r="B10" s="236" t="str">
        <x:v>Eaton</x:v>
      </x:c>
      <x:c r="C10" s="236" t="str">
        <x:v>ETN</x:v>
      </x:c>
      <x:c r="D10" s="236" t="str">
        <x:v>Power &amp; Grid</x:v>
      </x:c>
      <x:c r="E10" s="239" t="n">
        <x:v>46234</x:v>
      </x:c>
      <x:c r="F10" s="261" t="n">
        <x:v>390.71</x:v>
      </x:c>
      <x:c r="G10" s="236" t="str">
        <x:v>2026-09-02 12:06 UTC</x:v>
      </x:c>
      <x:c r="H10" s="236" t="str">
        <x:v>https://www.eaton.com/content/dam/eaton/company/investor-relations/quarterly-earnings/filings/2026/q2/q2-20265-earnings-complete.pdf</x:v>
      </x:c>
      <x:c r="I10" s="236" t="str">
        <x:v>https://www.eia.gov/outlooks/steo/ | https://www.ferc.gov/industries-data/electric/power-sales-and-markets/market-assessments | https://www.federalreserve.gov/newsevents/pressreleases/monetary20260729a.htm</x:v>
      </x:c>
      <x:c r="J10" s="236" t="str">
        <x:v>Electrical Americas sales $4.0bn (+18% organic), margin 27.5%; rolling orders +41%, backlog +33%, book-to-bill 1.2; total operating cash $1.127bn, capex $253m and FCF $874m (+22%).</x:v>
      </x:c>
      <x:c r="K10" s="236" t="str">
        <x:v>Installed electrical content, qualification and distribution support a high-quality scarcity franchise. The evidence improves business quality but does not overcome the price already paid for a long grid/data-center runway.</x:v>
      </x:c>
      <x:c r="L10" s="236" t="str">
        <x:v>Grid/data-center demand → orders and backlog → price/mix and execution → margin/working capital → capacity investment → owner cash → return at the current multiple.</x:v>
      </x:c>
      <x:c r="M10" s="236" t="str">
        <x:v>Stress backlog cancellation, fixed-price/input inflation, customer concentration, capacity additions, project delays, grid interconnection and a normalization of scarcity pricing.</x:v>
      </x:c>
      <x:c r="N10" s="236" t="str">
        <x:v>Record orders and margins validate demand, but also attract capacity and embed optimism in price; backlog visibility improves revenue confidence, not necessarily future incremental returns.</x:v>
      </x:c>
      <x:c r="O10" s="236" t="str">
        <x:v>Grid investment remains structurally strong, but project delays/cancellations slow backlog conversion.</x:v>
      </x:c>
      <x:c r="P10" s="236" t="str">
        <x:v>Demand is real while material/labor inflation and fixed-price commitments erode cash margins.</x:v>
      </x:c>
      <x:c r="Q10" s="236" t="str">
        <x:v>Eaton compounds operationally, yet a rich starting valuation produces subpar shareholder returns.</x:v>
      </x:c>
      <x:c r="R10" s="236" t="str">
        <x:v>BLOCKED - FAIL</x:v>
      </x:c>
      <x:c r="S10" s="236" t="str">
        <x:v>WAIT FOR PRICE</x:v>
      </x:c>
      <x:c r="T10" s="236" t="str">
        <x:v>WAIT FOR PRICE — wonderful business; require valuation protection and backlog cash conversion</x:v>
      </x:c>
      <x:c r="U10" s="236" t="str">
        <x:v>HIGH</x:v>
      </x:c>
      <x:c r="V10" s="236" t="str">
        <x:v>Normalized incremental returns after capacity expansion and a conservative entry value</x:v>
      </x:c>
      <x:c r="W10" s="239" t="n">
        <x:v>46281</x:v>
      </x:c>
      <x:c r="X10" s="236" t="str">
        <x:v>COMPLETE — 2026-09-02</x:v>
      </x:c>
    </x:row>
    <x:row r="11" ht="104" customHeight="1">
      <x:c r="A11" s="236" t="str">
        <x:v>ARG-017</x:v>
      </x:c>
      <x:c r="B11" s="236" t="str">
        <x:v>Vertiv</x:v>
      </x:c>
      <x:c r="C11" s="236" t="str">
        <x:v>VRT</x:v>
      </x:c>
      <x:c r="D11" s="236" t="str">
        <x:v>Power &amp; Grid</x:v>
      </x:c>
      <x:c r="E11" s="239" t="n">
        <x:v>46232</x:v>
      </x:c>
      <x:c r="F11" s="261" t="n">
        <x:v>255.97</x:v>
      </x:c>
      <x:c r="G11" s="236" t="str">
        <x:v>2026-09-02 12:06 UTC</x:v>
      </x:c>
      <x:c r="H11" s="236" t="str">
        <x:v>https://investors.vertiv.com/news/news-details/2026/Vertiv-Reports-Strong-Second-Quarter-2026-with-Diluted-EPS-Growth-of-53-Adjusted-Diluted-EPS-Growth-of-60-Raises-Full-Year-2026-Guidance-Across-All-Key-Metrics/default.aspx</x:v>
      </x:c>
      <x:c r="I11" s="236" t="str">
        <x:v>https://www.eia.gov/outlooks/steo/ | https://www.ferc.gov/industries-data/electric/power-sales-and-markets/market-assessments | https://www.federalreserve.gov/newsevents/pressreleases/monetary20260729a.htm</x:v>
      </x:c>
      <x:c r="J11" s="236" t="str">
        <x:v>Q2 sales $3.274bn (+24%, including 18% organic); operating cash $1.1bn, adjusted FCF $925m (+234%); capex $173.3m versus $45m; net cash; FY organic guide 30–32% and FCF $2.4–2.6bn.</x:v>
      </x:c>
      <x:c r="K11" s="236" t="str">
        <x:v>Power/cooling content and service relationships are benefiting from AI data-center scarcity. Current execution is excellent, but moat duration, management through a capacity cycle and valuation leave no room for disappointment.</x:v>
      </x:c>
      <x:c r="L11" s="236" t="str">
        <x:v>AI capacity build → power/cooling content and orders → price/mix → margin and working capital → capacity capex/service attachment → normalized FCF per share.</x:v>
      </x:c>
      <x:c r="M11" s="236" t="str">
        <x:v>Stress hyperscaler concentration, competing thermal architectures, order cancellation, supply inflation, capacity overbuild, acquisition effects and the conversion of extraordinary working-capital cash.</x:v>
      </x:c>
      <x:c r="N11" s="236" t="str">
        <x:v>FCF surged while capex also tripled; scarcity supports price today but invites competition/capacity; guidance is strong while the valuation already assumes sustained exceptional growth.</x:v>
      </x:c>
      <x:c r="O11" s="236" t="str">
        <x:v>AI capacity expands, but new cooling architectures or competitors reduce Vertiv content/pricing.</x:v>
      </x:c>
      <x:c r="P11" s="236" t="str">
        <x:v>Backlog is genuine while customer financing/permitting delays shift cash years to the right.</x:v>
      </x:c>
      <x:c r="Q11" s="236" t="str">
        <x:v>Execution remains excellent, yet capacity catches demand and the scarcity multiple collapses.</x:v>
      </x:c>
      <x:c r="R11" s="236" t="str">
        <x:v>BLOCKED - FAIL</x:v>
      </x:c>
      <x:c r="S11" s="236" t="str">
        <x:v>WAIT FOR PRICE</x:v>
      </x:c>
      <x:c r="T11" s="236" t="str">
        <x:v>WAIT FOR PRICE — require normalized backlog conversion, moat durability and valuation protection</x:v>
      </x:c>
      <x:c r="U11" s="236" t="str">
        <x:v>MEDIUM-HIGH</x:v>
      </x:c>
      <x:c r="V11" s="236" t="str">
        <x:v>Full-cycle service/moat evidence and normalized cash after capacity/working-capital effects</x:v>
      </x:c>
      <x:c r="W11" s="239" t="n">
        <x:v>46281</x:v>
      </x:c>
      <x:c r="X11" s="236" t="str">
        <x:v>COMPLETE — 2026-09-02</x:v>
      </x:c>
    </x:row>
    <x:row r="12" ht="104" customHeight="1">
      <x:c r="A12" s="236" t="str">
        <x:v>ARG-019</x:v>
      </x:c>
      <x:c r="B12" s="236" t="str">
        <x:v>GE Vernova</x:v>
      </x:c>
      <x:c r="C12" s="236" t="str">
        <x:v>GEV</x:v>
      </x:c>
      <x:c r="D12" s="236" t="str">
        <x:v>Power &amp; Grid</x:v>
      </x:c>
      <x:c r="E12" s="239" t="n">
        <x:v>46225</x:v>
      </x:c>
      <x:c r="F12" s="261" t="n">
        <x:v>898.53</x:v>
      </x:c>
      <x:c r="G12" s="236" t="str">
        <x:v>2026-09-02 12:06 UTC</x:v>
      </x:c>
      <x:c r="H12" s="236" t="str">
        <x:v>https://www.gevernova.com/news/articles/ge-vernova-releases-second-quarter-2026-financial-results</x:v>
      </x:c>
      <x:c r="I12" s="236" t="str">
        <x:v>https://www.eia.gov/outlooks/steo/ | https://www.ferc.gov/industries-data/electric/power-sales-and-markets/market-assessments | https://www.federalreserve.gov/newsevents/pressreleases/monetary20260729a.htm</x:v>
      </x:c>
      <x:c r="J12" s="236" t="str">
        <x:v>Orders $24.2bn (+88% organic); backlog $176bn, +$13bn sequentially; revenue $11.1bn (+22%); adjusted EBITDA $1.2bn, 11.3% margin; operating cash $5.5bn, FCF $5.1bn and cash $13.1bn; gas backlog/reservations 116GW.</x:v>
      </x:c>
      <x:c r="K12" s="236" t="str">
        <x:v>Installed generation/grid equipment and current scarcity create a powerful economic position, with rapidly improving cash. The post-spin record, contract quality and through-cycle stewardship remain shorter than the price implies.</x:v>
      </x:c>
      <x:c r="L12" s="236" t="str">
        <x:v>Power scarcity → orders/backlog → contract terms and execution → equipment margin/service annuity → warranty/capacity cash needs → normalized owner earnings.</x:v>
      </x:c>
      <x:c r="M12" s="236" t="str">
        <x:v>Stress cancellation/reservations versus firm orders, fixed-price inflation, warranty/quality, customer financing, policy/permitting, capacity build, gas-cycle duration and post-spin management incentives.</x:v>
      </x:c>
      <x:c r="N12" s="236" t="str">
        <x:v>Backlog and cash are extraordinary, but reservations are not equivalent to cash orders; scarcity improves terms while rapid capacity/execution raises operational risk; the record is strong but short.</x:v>
      </x:c>
      <x:c r="O12" s="236" t="str">
        <x:v>Electricity demand grows, but permitting/customer financing prevents backlog from converting on schedule.</x:v>
      </x:c>
      <x:c r="P12" s="236" t="str">
        <x:v>Gas/grid scarcity is correct while fixed-price costs, warranties and supply constraints absorb economics.</x:v>
      </x:c>
      <x:c r="Q12" s="236" t="str">
        <x:v>GE Vernova executes well, yet industry capacity expands and the scarcity valuation de-rates.</x:v>
      </x:c>
      <x:c r="R12" s="236" t="str">
        <x:v>BLOCKED - FAIL</x:v>
      </x:c>
      <x:c r="S12" s="236" t="str">
        <x:v>WAIT FOR PRICE</x:v>
      </x:c>
      <x:c r="T12" s="236" t="str">
        <x:v>WAIT FOR PRICE — require firm-order quality, contract cash margins and a longer stewardship record</x:v>
      </x:c>
      <x:c r="U12" s="236" t="str">
        <x:v>MEDIUM-HIGH</x:v>
      </x:c>
      <x:c r="V12" s="236" t="str">
        <x:v>Firm versus reserved backlog, contract/warranty economics and post-spin correction record</x:v>
      </x:c>
      <x:c r="W12" s="239" t="n">
        <x:v>46281</x:v>
      </x:c>
      <x:c r="X12" s="236" t="str">
        <x:v>COMPLETE — 2026-09-02</x:v>
      </x:c>
    </x:row>
    <x:row r="13" ht="104" customHeight="1">
      <x:c r="A13" s="236" t="str">
        <x:v>ARG-034</x:v>
      </x:c>
      <x:c r="B13" s="236" t="str">
        <x:v>Fiserv</x:v>
      </x:c>
      <x:c r="C13" s="236" t="str">
        <x:v>FISV</x:v>
      </x:c>
      <x:c r="D13" s="236" t="str">
        <x:v>Software &amp; Payments</x:v>
      </x:c>
      <x:c r="E13" s="239" t="n">
        <x:v>46240</x:v>
      </x:c>
      <x:c r="F13" s="261" t="n">
        <x:v>51.67</x:v>
      </x:c>
      <x:c r="G13" s="236" t="str">
        <x:v>2026-09-02 12:07 UTC</x:v>
      </x:c>
      <x:c r="H13" s="236" t="str">
        <x:v>https://investors.fiserv.com/news-releases/news-release-details/fiserv-reports-second-quarter-2026-results</x:v>
      </x:c>
      <x:c r="I13" s="236" t="str">
        <x:v>https://www.federalreserve.gov/newsevents/pressreleases/monetary20260729a.htm | https://www.bea.gov/news/2026/gdp-second-estimate-and-corporate-profits-2nd-quarter-2026 | https://www.ftc.gov/news-events/topics/competition-enforcement</x:v>
      </x:c>
      <x:c r="J13" s="236" t="str">
        <x:v>Adjusted revenue $4.963bn (-4%); organic revenue -5% (Merchant -1%, Financial -8%); adjusted EPS $1.84 (-26%); adjusted operating margin 31.8% versus 39.6%; H1 FCF $1.36bn versus $1.545bn; FY organic guide -1% to 0%.</x:v>
      </x:c>
      <x:c r="K13" s="236" t="str">
        <x:v>Payments and bank-processing infrastructure should possess switching costs, but current organic contraction and margin collapse contradict a healthy moat. Low price alone cannot substitute for evidence of owner-earnings repair.</x:v>
      </x:c>
      <x:c r="L13" s="236" t="str">
        <x:v>Merchant/bank volumes and retention → organic revenue/take rate → margin and transformation costs → free cash flow → debt/buybacks → value per share.</x:v>
      </x:c>
      <x:c r="M13" s="236" t="str">
        <x:v>Treat adjustments and transformation exclusions skeptically; test Clover/merchant churn, bank-client losses, competitive pricing, management guidance credibility, buyback timing and cash conversion.</x:v>
      </x:c>
      <x:c r="N13" s="236" t="str">
        <x:v>Mission-critical products coexist with broad organic decline; adjusted FCF remains positive while revenue, margin and EPS deteriorate; apparent cheapness may be the market recognizing moat/management damage.</x:v>
      </x:c>
      <x:c r="O13" s="236" t="str">
        <x:v>Digital payments volumes grow, but competition and mix compress take rates and margins.</x:v>
      </x:c>
      <x:c r="P13" s="236" t="str">
        <x:v>The transformation plan is directionally right, yet restructuring costs and customer losses persist longer than liquidity patience.</x:v>
      </x:c>
      <x:c r="Q13" s="236" t="str">
        <x:v>Buybacks lift reported per-share figures while organic economics and debt capacity continue to weaken.</x:v>
      </x:c>
      <x:c r="R13" s="236" t="str">
        <x:v>BLOCKED - FAIL</x:v>
      </x:c>
      <x:c r="S13" s="236" t="str">
        <x:v>WAIT / VALUE-TRAP RISK</x:v>
      </x:c>
      <x:c r="T13" s="236" t="str">
        <x:v>PROVE IT — no upgrade until organic growth, margins and clean FCF recover together</x:v>
      </x:c>
      <x:c r="U13" s="236" t="str">
        <x:v>HIGH</x:v>
      </x:c>
      <x:c r="V13" s="236" t="str">
        <x:v>Customer retention, unadjusted owner earnings and evidence management corrected the decline</x:v>
      </x:c>
      <x:c r="W13" s="239" t="n">
        <x:v>46274</x:v>
      </x:c>
      <x:c r="X13" s="236" t="str">
        <x:v>COMPLETE — 2026-09-02</x:v>
      </x:c>
    </x:row>
    <x:row r="14" ht="104" customHeight="1">
      <x:c r="A14" s="236" t="str">
        <x:v>ARG-043</x:v>
      </x:c>
      <x:c r="B14" s="236" t="str">
        <x:v>Microsoft</x:v>
      </x:c>
      <x:c r="C14" s="236" t="str">
        <x:v>MSFT</x:v>
      </x:c>
      <x:c r="D14" s="236" t="str">
        <x:v>Software &amp; Payments</x:v>
      </x:c>
      <x:c r="E14" s="239" t="n">
        <x:v>46232</x:v>
      </x:c>
      <x:c r="F14" s="261" t="n">
        <x:v>501.02</x:v>
      </x:c>
      <x:c r="G14" s="236" t="str">
        <x:v>2026-09-02 12:07 UTC</x:v>
      </x:c>
      <x:c r="H14" s="236" t="str">
        <x:v>https://www.microsoft.com/en-us/investor/earnings/fy-2026-q4/press-release-webcast</x:v>
      </x:c>
      <x:c r="I14" s="236" t="str">
        <x:v>https://www.federalreserve.gov/newsevents/pressreleases/monetary20260729a.htm | https://www.bea.gov/news/2026/gdp-second-estimate-and-corporate-profits-2nd-quarter-2026 | https://www.ftc.gov/news-events/topics/competition-enforcement</x:v>
      </x:c>
      <x:c r="J14" s="236" t="str">
        <x:v>Q4 revenue $90.007bn (+18%); Microsoft Cloud $59.3bn (+27%); Azure +43%; commercial RPO $678bn (+84%); Q4 CFO $55.441bn and capex $35.802bn, implying about $19.639bn FCF; FY implied FCF about $66.987bn.</x:v>
      </x:c>
      <x:c r="K14" s="236" t="str">
        <x:v>Cloud, productivity, identity and developer distribution create an exceptional platform moat. AI demand is visible, but the capex/depreciation burden means revenue growth cannot be equated with owner-earnings growth.</x:v>
      </x:c>
      <x:c r="L14" s="236" t="str">
        <x:v>AI/cloud workload ROI → Azure/Copilot adoption and RPO → revenue/margin → capex/depreciation/power → owner cash per share → return versus price.</x:v>
      </x:c>
      <x:c r="M14" s="236" t="str">
        <x:v>Stress AI commoditization, OpenAI economics, customer optimization, capex under-utilization, depreciation lag, regulation, security execution and the quality/timing of RPO conversion.</x:v>
      </x:c>
      <x:c r="N14" s="236" t="str">
        <x:v>Azure and RPO accelerate while capex consumes a much larger share of cash; distribution strengthens monetization but regulators and model suppliers may capture part of the economics.</x:v>
      </x:c>
      <x:c r="O14" s="236" t="str">
        <x:v>Enterprise AI adoption succeeds, but infrastructure/depreciation grows faster than monetization.</x:v>
      </x:c>
      <x:c r="P14" s="236" t="str">
        <x:v>Models commoditize and customers multi-cloud, reducing incremental Azure/Copilot pricing power.</x:v>
      </x:c>
      <x:c r="Q14" s="236" t="str">
        <x:v>Microsoft executes, yet regulation or partner economics redirect AI rents and compress the valuation.</x:v>
      </x:c>
      <x:c r="R14" s="236" t="str">
        <x:v>WATCH-CAPPED</x:v>
      </x:c>
      <x:c r="S14" s="236" t="str">
        <x:v>WATCH</x:v>
      </x:c>
      <x:c r="T14" s="236" t="str">
        <x:v>WATCH — require a transparent capex-to-owner-cash bridge and price protection</x:v>
      </x:c>
      <x:c r="U14" s="236" t="str">
        <x:v>HIGH</x:v>
      </x:c>
      <x:c r="V14" s="236" t="str">
        <x:v>Normalized AI infrastructure returns after depreciation and partner economics</x:v>
      </x:c>
      <x:c r="W14" s="239" t="n">
        <x:v>46281</x:v>
      </x:c>
      <x:c r="X14" s="236" t="str">
        <x:v>COMPLETE — 2026-09-02</x:v>
      </x:c>
    </x:row>
    <x:row r="15" ht="104" customHeight="1">
      <x:c r="A15" s="236" t="str">
        <x:v>ARG-044</x:v>
      </x:c>
      <x:c r="B15" s="236" t="str">
        <x:v>Alphabet</x:v>
      </x:c>
      <x:c r="C15" s="236" t="str">
        <x:v>GOOGL</x:v>
      </x:c>
      <x:c r="D15" s="236" t="str">
        <x:v>Media &amp; Internet</x:v>
      </x:c>
      <x:c r="E15" s="239" t="n">
        <x:v>46225</x:v>
      </x:c>
      <x:c r="F15" s="261" t="n">
        <x:v>335.02</x:v>
      </x:c>
      <x:c r="G15" s="236" t="str">
        <x:v>2026-09-02 12:07 UTC</x:v>
      </x:c>
      <x:c r="H15" s="236" t="str">
        <x:v>https://abc.xyz/investor/news/news-details/2026/Alphabet-Announces-Second-Quarter-2026-Results-2026-Y3uQ6H4ZJa/default.aspx</x:v>
      </x:c>
      <x:c r="I15" s="236" t="str">
        <x:v>https://www.federalreserve.gov/newsevents/pressreleases/monetary20260729a.htm | https://www.bea.gov/news/2026/gdp-second-estimate-and-corporate-profits-2nd-quarter-2026 | https://www.ftc.gov/news-events/topics/competition-enforcement</x:v>
      </x:c>
      <x:c r="J15" s="236" t="str">
        <x:v>Q2 revenue $119.796bn (+24%); Services $94.54bn (+15%); Cloud $24.768bn (+82%) with $8.814bn operating income; CFO $39.069bn and capex $44.924bn, implying FCF of -$5.855bn; about $49.6bn equity and $20.3bn senior notes issued for compute expansion.</x:v>
      </x:c>
      <x:c r="K15" s="236" t="str">
        <x:v>Search, YouTube and cloud remain powerful economic engines, but the quarter fails the owner-earnings and incremental-capital gate: negative FCF and major external financing require a return bridge before conviction can rise.</x:v>
      </x:c>
      <x:c r="L15" s="236" t="str">
        <x:v>Search/AI utility + cloud workloads → traffic/monetization and cloud margin → infrastructure capex → financing/dilution → free cash flow per share and regulatory-adjusted value.</x:v>
      </x:c>
      <x:c r="M15" s="236" t="str">
        <x:v>Remove the unusually large non-operating equity gain from earnings; stress AI-answer cannibalization, traffic acquisition costs, regulation, capex utilization, issuance and whether cloud growth funds rather than consumes the transition.</x:v>
      </x:c>
      <x:c r="N15" s="236" t="str">
        <x:v>Revenue and cloud profits surged while quarterly FCF turned negative; GAAP net income was dominated by non-operating equity gains; a cash-rich franchise issued large equity and debt for compute.</x:v>
      </x:c>
      <x:c r="O15" s="236" t="str">
        <x:v>AI search preserves usage, but answers reduce high-value commercial clicks and margins.</x:v>
      </x:c>
      <x:c r="P15" s="236" t="str">
        <x:v>Cloud demand is real while capex, financing and dilution absorb shareholder economics.</x:v>
      </x:c>
      <x:c r="Q15" s="236" t="str">
        <x:v>Alphabet wins technically, yet regulation/default-distribution remedies transfer value to users, partners or competitors.</x:v>
      </x:c>
      <x:c r="R15" s="236" t="str">
        <x:v>BLOCKED - FAIL</x:v>
      </x:c>
      <x:c r="S15" s="236" t="str">
        <x:v>WATCH</x:v>
      </x:c>
      <x:c r="T15" s="236" t="str">
        <x:v>CAPITAL GATE — no new BUY until FCF, issuance and compute returns reconcile on a per-share basis</x:v>
      </x:c>
      <x:c r="U15" s="236" t="str">
        <x:v>HIGH</x:v>
      </x:c>
      <x:c r="V15" s="236" t="str">
        <x:v>Capex/financing return bridge excluding non-operating investment gains</x:v>
      </x:c>
      <x:c r="W15" s="239" t="n">
        <x:v>46274</x:v>
      </x:c>
      <x:c r="X15" s="236" t="str">
        <x:v>COMPLETE — 2026-09-02</x:v>
      </x:c>
    </x:row>
    <x:row r="16" ht="104" customHeight="1">
      <x:c r="A16" s="236" t="str">
        <x:v>ARG-045</x:v>
      </x:c>
      <x:c r="B16" s="236" t="str">
        <x:v>Meta Platforms</x:v>
      </x:c>
      <x:c r="C16" s="236" t="str">
        <x:v>META</x:v>
      </x:c>
      <x:c r="D16" s="236" t="str">
        <x:v>Media &amp; Internet</x:v>
      </x:c>
      <x:c r="E16" s="239" t="n">
        <x:v>46232</x:v>
      </x:c>
      <x:c r="F16" s="261" t="n">
        <x:v>578.54</x:v>
      </x:c>
      <x:c r="G16" s="236" t="str">
        <x:v>2026-09-02 12:07 UTC</x:v>
      </x:c>
      <x:c r="H16" s="236" t="str">
        <x:v>https://investor.atmeta.com/investor-news/press-release-details/2026/Meta-Reports-Second-Quarter-2026-Results/default.aspx</x:v>
      </x:c>
      <x:c r="I16" s="236" t="str">
        <x:v>https://www.federalreserve.gov/newsevents/pressreleases/monetary20260729a.htm | https://www.bea.gov/news/2026/gdp-second-estimate-and-corporate-profits-2nd-quarter-2026 | https://www.ftc.gov/news-events/topics/competition-enforcement</x:v>
      </x:c>
      <x:c r="J16" s="236" t="str">
        <x:v>Revenue $60.801bn (+28%); daily active people 3.60bn (+3%); ad impressions +14% and price/ad +12%; operating income $18.775bn (-8%), margin 31% versus 43%; CFO $31.86bn, capex including leases $31.08bn and FCF $784m; FY capex guide $130–145bn.</x:v>
      </x:c>
      <x:c r="K16" s="236" t="str">
        <x:v>Attention, targeting and engagement remain formidable, but owner earnings nearly disappeared as infrastructure spending and costs surged. The ad moat does not by itself prove attractive incremental AI capital returns.</x:v>
      </x:c>
      <x:c r="L16" s="236" t="str">
        <x:v>Engagement and ad relevance → impressions/price → operating cash → AI infrastructure/capex and debt → free cash flow per share → long-duration platform value.</x:v>
      </x:c>
      <x:c r="M16" s="236" t="str">
        <x:v>Stress Reels/AI monetization quality, regulatory constraints, open-source model rents, Reality Labs, capex depreciation, debt, supplier concentration and whether engagement gains require structurally higher infrastructure cost.</x:v>
      </x:c>
      <x:c r="N16" s="236" t="str">
        <x:v>Ad demand and revenue are strong while operating margin fell and FCF approached zero; cash/securities remain substantial but debt and capex rose rapidly; AI may defend the moat without earning excess returns.</x:v>
      </x:c>
      <x:c r="O16" s="236" t="str">
        <x:v>AI recommendations improve engagement, but infrastructure cost absorbs the incremental ad economics.</x:v>
      </x:c>
      <x:c r="P16" s="236" t="str">
        <x:v>The ad platform remains dominant while privacy/regulation raises acquisition and compliance costs.</x:v>
      </x:c>
      <x:c r="Q16" s="236" t="str">
        <x:v>Open models succeed strategically, yet customers/developers capture value and Meta earns an inadequate return on capex.</x:v>
      </x:c>
      <x:c r="R16" s="236" t="str">
        <x:v>BLOCKED - FAIL</x:v>
      </x:c>
      <x:c r="S16" s="236" t="str">
        <x:v>WATCH</x:v>
      </x:c>
      <x:c r="T16" s="236" t="str">
        <x:v>CAPITAL GATE — no new BUY until capex converts into durable FCF per share</x:v>
      </x:c>
      <x:c r="U16" s="236" t="str">
        <x:v>HIGH</x:v>
      </x:c>
      <x:c r="V16" s="236" t="str">
        <x:v>Normalized owner earnings after AI capex, depreciation, debt and Reality Labs</x:v>
      </x:c>
      <x:c r="W16" s="239" t="n">
        <x:v>46274</x:v>
      </x:c>
      <x:c r="X16" s="236" t="str">
        <x:v>COMPLETE — 2026-09-02</x:v>
      </x:c>
    </x:row>
    <x:row r="17" ht="104" customHeight="1">
      <x:c r="A17" s="236" t="str">
        <x:v>ARG-046</x:v>
      </x:c>
      <x:c r="B17" s="236" t="str">
        <x:v>Amazon</x:v>
      </x:c>
      <x:c r="C17" s="236" t="str">
        <x:v>AMZN</x:v>
      </x:c>
      <x:c r="D17" s="236" t="str">
        <x:v>Software &amp; Payments</x:v>
      </x:c>
      <x:c r="E17" s="239" t="n">
        <x:v>46233</x:v>
      </x:c>
      <x:c r="F17" s="261" t="n">
        <x:v>254.92</x:v>
      </x:c>
      <x:c r="G17" s="236" t="str">
        <x:v>2026-09-02 12:07 UTC</x:v>
      </x:c>
      <x:c r="H17" s="236" t="str">
        <x:v>https://ir.aboutamazon.com/news-release/news-release-details/2026/Amazon-com-Announces-Second-Quarter-Results/</x:v>
      </x:c>
      <x:c r="I17" s="236" t="str">
        <x:v>https://www.federalreserve.gov/newsevents/pressreleases/monetary20260729a.htm | https://www.bea.gov/news/2026/gdp-second-estimate-and-corporate-profits-2nd-quarter-2026 | https://www.ftc.gov/news-events/topics/competition-enforcement</x:v>
      </x:c>
      <x:c r="J17" s="236" t="str">
        <x:v>Net sales $200.6bn (+20%); operating income $27.5bn (+43%); AWS sales $42.232bn (+37%) and AWS operating income $16.6bn; trailing-12-month FCF -$7.604bn versus +$18.184bn; net capex $169.007bn (+64%); Q2 net income included a $53.4bn non-operating Anthropic gain.</x:v>
      </x:c>
      <x:c r="K17" s="236" t="str">
        <x:v>AWS, marketplace, logistics and advertising are durable engines, but consolidated owner earnings are negative after the AI build. Reported net income materially overstates operating owner economics because of the Anthropic revaluation.</x:v>
      </x:c>
      <x:c r="L17" s="236" t="str">
        <x:v>AWS/retail/ads demand → segment operating cash → infrastructure/logistics capex → working capital and financing → normalized FCF per share → sum-of-parts value.</x:v>
      </x:c>
      <x:c r="M17" s="236" t="str">
        <x:v>Exclude Anthropic fair-value gains; stress AWS price/performance competition, custom chips, retail labor/logistics, capex utilization, lease obligations, SBC and whether shares outstanding offset buybacks.</x:v>
      </x:c>
      <x:c r="N17" s="236" t="str">
        <x:v>Operating income and AWS growth are strong while TTM FCF is negative; GAAP net income rose mainly through a non-operating mark; the platform moat is broad but capital intensity has re-expanded sharply.</x:v>
      </x:c>
      <x:c r="O17" s="236" t="str">
        <x:v>Cloud/AI demand grows, but price competition and custom silicon lower AWS returns on capital.</x:v>
      </x:c>
      <x:c r="P17" s="236" t="str">
        <x:v>Anthropic succeeds while most value accrues to the investee mark rather than recurring Amazon owner cash.</x:v>
      </x:c>
      <x:c r="Q17" s="236" t="str">
        <x:v>Retail and AWS both grow, yet capex/leases stay ahead of monetization and suppress per-share FCF.</x:v>
      </x:c>
      <x:c r="R17" s="236" t="str">
        <x:v>BLOCKED - FAIL</x:v>
      </x:c>
      <x:c r="S17" s="236" t="str">
        <x:v>WATCH</x:v>
      </x:c>
      <x:c r="T17" s="236" t="str">
        <x:v>CAPITAL GATE — no new BUY until TTM FCF turns positive excluding Anthropic revaluation</x:v>
      </x:c>
      <x:c r="U17" s="236" t="str">
        <x:v>HIGH</x:v>
      </x:c>
      <x:c r="V17" s="236" t="str">
        <x:v>Segment owner-earnings bridge after AI/logistics capex, leases, SBC and investment marks</x:v>
      </x:c>
      <x:c r="W17" s="239" t="n">
        <x:v>46274</x:v>
      </x:c>
      <x:c r="X17" s="236" t="str">
        <x:v>COMPLETE — 2026-09-02</x:v>
      </x:c>
    </x:row>
    <x:row r="18" ht="104" customHeight="1">
      <x:c r="A18" s="236" t="str">
        <x:v>ARG-048</x:v>
      </x:c>
      <x:c r="B18" s="236" t="str">
        <x:v>Oracle</x:v>
      </x:c>
      <x:c r="C18" s="236" t="str">
        <x:v>ORCL</x:v>
      </x:c>
      <x:c r="D18" s="236" t="str">
        <x:v>Software &amp; Payments</x:v>
      </x:c>
      <x:c r="E18" s="239" t="n">
        <x:v>46183</x:v>
      </x:c>
      <x:c r="F18" s="261" t="n">
        <x:v>141.32</x:v>
      </x:c>
      <x:c r="G18" s="236" t="str">
        <x:v>2026-09-02 12:07 UTC</x:v>
      </x:c>
      <x:c r="H18" s="236" t="str">
        <x:v>https://investor.oracle.com/investor-news/news-details/2026/Oracle-Announces-Record-Q4-and-FY-2026-Results-Driven-by-Cloud-Infrastructure--Cloud-Applications/default.aspx</x:v>
      </x:c>
      <x:c r="I18" s="236" t="str">
        <x:v>https://www.federalreserve.gov/newsevents/pressreleases/monetary20260729a.htm | https://www.bea.gov/news/2026/gdp-second-estimate-and-corporate-profits-2nd-quarter-2026 | https://www.ftc.gov/news-events/topics/competition-enforcement</x:v>
      </x:c>
      <x:c r="J18" s="236" t="str">
        <x:v>Q4 revenue $19.2bn (+21%); cloud $9.9bn (+47%); IaaS $5.8bn (+93%); RPO $638bn (+363%); FY revenue $67.4bn (+17%) and operating cash $32bn, but FY FCF -$23.686bn with capital expenditures $55.663bn.</x:v>
      </x:c>
      <x:c r="K18" s="236" t="str">
        <x:v>Database/application lock-in and OCI demand are real, but the current growth engine is funding-dependent. Negative owner cash and extraordinary capex make contract backlog insufficient proof of value creation.</x:v>
      </x:c>
      <x:c r="L18" s="236" t="str">
        <x:v>RPO/OCI demand → datacenter delivery and revenue → power/chip/capex obligations → debt/partner/customer funding → free cash flow per share → residual equity value.</x:v>
      </x:c>
      <x:c r="M18" s="236" t="str">
        <x:v>Test cancellation/credit quality, customer concentration, contracted pricing versus power/chip costs, lease/debt obligations, depreciation, cloud competition and whether RPO produces acceptable cash returns.</x:v>
      </x:c>
      <x:c r="N18" s="236" t="str">
        <x:v>RPO and OCI growth are extraordinary while FY FCF is deeply negative; legacy lock-in provides cash but cloud build commitments can subordinate equity economics; backlog quantity is not return quality.</x:v>
      </x:c>
      <x:c r="O18" s="236" t="str">
        <x:v>OCI demand is genuine, but contracted pricing fails to cover power, chips and financing through the asset life.</x:v>
      </x:c>
      <x:c r="P18" s="236" t="str">
        <x:v>RPO converts to revenue while debt/leases and depreciation absorb the cash benefit.</x:v>
      </x:c>
      <x:c r="Q18" s="236" t="str">
        <x:v>AI capacity is built correctly, yet hyperscalers/customers gain bargaining power and compress Oracle returns.</x:v>
      </x:c>
      <x:c r="R18" s="236" t="str">
        <x:v>BLOCKED - FAIL</x:v>
      </x:c>
      <x:c r="S18" s="236" t="str">
        <x:v>WATCH — CAPITAL GATE</x:v>
      </x:c>
      <x:c r="T18" s="236" t="str">
        <x:v>NO NEW BUY — prove the RPO-to-FCF funding bridge and normalized infrastructure return</x:v>
      </x:c>
      <x:c r="U18" s="236" t="str">
        <x:v>HIGH</x:v>
      </x:c>
      <x:c r="V18" s="236" t="str">
        <x:v>Contract-level return, financing obligations and path from RPO to positive owner cash</x:v>
      </x:c>
      <x:c r="W18" s="239" t="n">
        <x:v>46274</x:v>
      </x:c>
      <x:c r="X18" s="236" t="str">
        <x:v>COMPLETE — 2026-09-02</x:v>
      </x:c>
    </x:row>
    <x:row r="19" ht="104" customHeight="1">
      <x:c r="A19" s="237" t="str">
        <x:v>ARG-040</x:v>
      </x:c>
      <x:c r="B19" s="237" t="str">
        <x:v>Berkshire Hathaway</x:v>
      </x:c>
      <x:c r="C19" s="237" t="str">
        <x:v>BRK.B</x:v>
      </x:c>
      <x:c r="D19" s="237" t="str">
        <x:v>Insurance</x:v>
      </x:c>
      <x:c r="E19" s="240" t="n">
        <x:v>46244</x:v>
      </x:c>
      <x:c r="F19" s="262" t="n">
        <x:v>502.33</x:v>
      </x:c>
      <x:c r="G19" s="237" t="str">
        <x:v>2026-09-02 12:07 UTC</x:v>
      </x:c>
      <x:c r="H19" s="237" t="str">
        <x:v>https://berkshirehathaway.com/qtrly/2ndqtr26.pdf</x:v>
      </x:c>
      <x:c r="I19" s="237" t="str">
        <x:v>https://www.federalreserve.gov/newsevents/pressreleases/monetary20260729a.htm | https://www.bea.gov/news/2026/gdp-second-estimate-and-corporate-profits-2nd-quarter-2026 | https://www.ncei.noaa.gov/access/billions/</x:v>
      </x:c>
      <x:c r="J19" s="237" t="str">
        <x:v>Insurance and other held $35.096bn cash plus $324.905bn Treasury bills; H1 consolidated operating cash $21.653bn; $4.8bn Treasury stock acquired; Q2 after-tax insurance underwriting $1.731bn, BNSF $1.558bn, BHE $891m and manufacturing/service/retail $4.47bn.</x:v>
      </x:c>
      <x:c r="K19" s="237" t="str">
        <x:v>Low-cost float, decentralized operating businesses and unmatched liquidity remain a benchmark owner platform. The live questions are price, catastrophe exposure and capital deployment under Greg Abel as the cash base grows.</x:v>
      </x:c>
      <x:c r="L19" s="237" t="str">
        <x:v>Underwriting discipline + operating subsidiaries → float and owner cash → acquisitions/repurchases/cash → per-share intrinsic value → succession-era capital allocation.</x:v>
      </x:c>
      <x:c r="M19" s="237" t="str">
        <x:v>Normalize catastrophe/reserve luck, BNSF/BHE capital intensity, wildfire/regulatory liabilities, cash opportunity cost, repurchase price and whether post-Buffett incentives preserve mistake correction.</x:v>
      </x:c>
      <x:c r="N19" s="237" t="str">
        <x:v>Liquidity maximizes survival but depresses returns when undeployed; diversified earnings reduce fragility while utilities/rail require heavy capital; succession is planned but not yet tested through a major allocation cycle.</x:v>
      </x:c>
      <x:c r="O19" s="237" t="str">
        <x:v>Underlying businesses perform, but succession-era capital deployment earns below the Treasury/cost-of-capital alternative.</x:v>
      </x:c>
      <x:c r="P19" s="237" t="str">
        <x:v>Insurance pricing remains rational while a catastrophe/wildfire cluster creates permanent liability loss.</x:v>
      </x:c>
      <x:c r="Q19" s="237" t="str">
        <x:v>Berkshire compounds intrinsic value, yet excess cash and a full starting valuation deliver weak shareholder returns.</x:v>
      </x:c>
      <x:c r="R19" s="237" t="str">
        <x:v>WATCH-CAPPED</x:v>
      </x:c>
      <x:c r="S19" s="237" t="str">
        <x:v>WATCH</x:v>
      </x:c>
      <x:c r="T19" s="237" t="str">
        <x:v>WATCH — require price protection and evidence of disciplined large-scale deployment under Abel</x:v>
      </x:c>
      <x:c r="U19" s="237" t="str">
        <x:v>HIGH</x:v>
      </x:c>
      <x:c r="V19" s="237" t="str">
        <x:v>Succession-era allocation evidence, catastrophe normalization and current discount to conservative value</x:v>
      </x:c>
      <x:c r="W19" s="240" t="n">
        <x:v>46296</x:v>
      </x:c>
      <x:c r="X19" s="237" t="str">
        <x:v>COMPLETE — 2026-09-02</x:v>
      </x:c>
    </x:row>
  </x:sheetData>
  <x:mergeCells>
    <x:mergeCell ref="A1:X1"/>
    <x:mergeCell ref="A2:X2"/>
  </x:mergeCells>
  <x:conditionalFormatting sqref="R5:R19">
    <x:cfRule type="containsText" dxfId="50" priority="1" operator="containsText" text="BLOCKED"/>
    <x:cfRule type="containsText" dxfId="51" priority="2" operator="containsText" text="WATCH"/>
  </x:conditionalFormatting>
  <x:pageMargins left="0.7" right="0.7" top="0.75" bottom="0.75" header="0.3" footer="0.3"/>
  <x:tableParts count="1">
    <x:tablePart xmlns:r="http://schemas.openxmlformats.org/officeDocument/2006/relationships" r:id="Rd70129189ef648fc"/>
  </x:tableParts>
</x:worksheet>
</file>

<file path=xl/worksheets/sheet20.xml><?xml version="1.0" encoding="utf-8"?>
<x:worksheet xmlns:x="http://schemas.openxmlformats.org/spreadsheetml/2006/main">
  <x:sheetFormatPr defaultRowHeight="15"/>
  <x:cols>
    <x:col min="1" max="1" width="88" hidden="0" customWidth="1"/>
    <x:col min="2" max="2" width="155" hidden="0" customWidth="1"/>
    <x:col min="3" max="3" width="72" hidden="0" customWidth="1"/>
    <x:col min="4" max="4" width="125" hidden="0" customWidth="1"/>
    <x:col min="5" max="5" width="88" hidden="0" customWidth="1"/>
    <x:col min="6" max="6" width="80" hidden="0" customWidth="1"/>
    <x:col min="7" max="7" width="125" hidden="0" customWidth="1"/>
    <x:col min="8" max="8" width="255" hidden="0" customWidth="1"/>
    <x:col min="9" max="9" width="255" hidden="0" customWidth="1"/>
    <x:col min="10" max="10" width="255" hidden="0" customWidth="1"/>
    <x:col min="11" max="11" width="255" hidden="0" customWidth="1"/>
    <x:col min="12" max="12" width="255" hidden="0" customWidth="1"/>
    <x:col min="13" max="13" width="255" hidden="0" customWidth="1"/>
    <x:col min="14" max="14" width="255" hidden="0" customWidth="1"/>
    <x:col min="15" max="15" width="255" hidden="0" customWidth="1"/>
    <x:col min="16" max="16" width="255" hidden="0" customWidth="1"/>
    <x:col min="17" max="17" width="255" hidden="0" customWidth="1"/>
    <x:col min="18" max="18" width="105" hidden="0" customWidth="1"/>
    <x:col min="19" max="19" width="100" hidden="0" customWidth="1"/>
    <x:col min="20" max="20" width="255" hidden="0" customWidth="1"/>
    <x:col min="21" max="21" width="92" hidden="0" customWidth="1"/>
    <x:col min="22" max="22" width="255" hidden="0" customWidth="1"/>
    <x:col min="23" max="23" width="92" hidden="0" customWidth="1"/>
    <x:col min="24" max="24" width="132" hidden="0" customWidth="1"/>
  </x:cols>
  <x:sheetData>
    <x:row r="1" ht="30" customHeight="1">
      <x:c r="A1" s="289" t="str">
        <x:v>ARGUS V10.31 — P2-B DEEP RESEARCH</x:v>
      </x:c>
      <x:c r="B1" s="289"/>
      <x:c r="C1" s="289"/>
      <x:c r="D1" s="289"/>
      <x:c r="E1" s="289"/>
      <x:c r="F1" s="289"/>
      <x:c r="G1" s="289"/>
      <x:c r="H1" s="289"/>
      <x:c r="I1" s="289"/>
      <x:c r="J1" s="289"/>
      <x:c r="K1" s="289"/>
      <x:c r="L1" s="289"/>
      <x:c r="M1" s="289"/>
      <x:c r="N1" s="289"/>
      <x:c r="O1" s="289"/>
      <x:c r="P1" s="289"/>
      <x:c r="Q1" s="289"/>
      <x:c r="R1" s="289"/>
      <x:c r="S1" s="289"/>
      <x:c r="T1" s="289"/>
      <x:c r="U1" s="289"/>
      <x:c r="V1" s="289"/>
      <x:c r="W1" s="289"/>
      <x:c r="X1" s="289"/>
    </x:row>
    <x:row r="2" ht="24" customHeight="1">
      <x:c r="A2" s="292" t="str">
        <x:v>15 additional P2 companies · T1/T2/PIT · three passes · contradiction log · Dalio Test · 12 owner gates</x:v>
      </x:c>
      <x:c r="B2" s="292"/>
      <x:c r="C2" s="292"/>
      <x:c r="D2" s="292"/>
      <x:c r="E2" s="292"/>
      <x:c r="F2" s="292"/>
      <x:c r="G2" s="292"/>
      <x:c r="H2" s="292"/>
      <x:c r="I2" s="292"/>
      <x:c r="J2" s="292"/>
      <x:c r="K2" s="292"/>
      <x:c r="L2" s="292"/>
      <x:c r="M2" s="292"/>
      <x:c r="N2" s="292"/>
      <x:c r="O2" s="292"/>
      <x:c r="P2" s="292"/>
      <x:c r="Q2" s="292"/>
      <x:c r="R2" s="292"/>
      <x:c r="S2" s="292"/>
      <x:c r="T2" s="292"/>
      <x:c r="U2" s="292"/>
      <x:c r="V2" s="292"/>
      <x:c r="W2" s="292"/>
      <x:c r="X2" s="292"/>
    </x:row>
    <x:row r="3" ht="26" customHeight="1">
      <x:c r="A3" s="295" t="str">
        <x:v>SHADOW / FAIL-CLOSED: evidence may block or cap a new action; it cannot promote READY or rewrite the V10.25 locked engine.</x:v>
      </x:c>
      <x:c r="B3" s="295"/>
      <x:c r="C3" s="295"/>
      <x:c r="D3" s="295"/>
      <x:c r="E3" s="295"/>
      <x:c r="F3" s="295"/>
      <x:c r="G3" s="295"/>
      <x:c r="H3" s="295"/>
      <x:c r="I3" s="295"/>
      <x:c r="J3" s="295"/>
      <x:c r="K3" s="295"/>
      <x:c r="L3" s="295"/>
      <x:c r="M3" s="295"/>
      <x:c r="N3" s="295"/>
      <x:c r="O3" s="295"/>
      <x:c r="P3" s="295"/>
      <x:c r="Q3" s="295"/>
      <x:c r="R3" s="295"/>
      <x:c r="S3" s="295"/>
      <x:c r="T3" s="295"/>
      <x:c r="U3" s="295"/>
      <x:c r="V3" s="295"/>
      <x:c r="W3" s="295"/>
      <x:c r="X3" s="295"/>
    </x:row>
    <x:row r="4" ht="48" customHeight="1">
      <x:c r="A4" s="300" t="str">
        <x:v>Company ID</x:v>
      </x:c>
      <x:c r="B4" s="300" t="str">
        <x:v>Company</x:v>
      </x:c>
      <x:c r="C4" s="300" t="str">
        <x:v>Ticker</x:v>
      </x:c>
      <x:c r="D4" s="300" t="str">
        <x:v>Sector</x:v>
      </x:c>
      <x:c r="E4" s="300" t="str">
        <x:v>Evidence Date</x:v>
      </x:c>
      <x:c r="F4" s="300" t="str">
        <x:v>PIT Price</x:v>
      </x:c>
      <x:c r="G4" s="300" t="str">
        <x:v>PIT Time</x:v>
      </x:c>
      <x:c r="H4" s="300" t="str">
        <x:v>T1 Source URL</x:v>
      </x:c>
      <x:c r="I4" s="300" t="str">
        <x:v>T2 / PIT Package</x:v>
      </x:c>
      <x:c r="J4" s="300" t="str">
        <x:v>Current T1 Facts</x:v>
      </x:c>
      <x:c r="K4" s="300" t="str">
        <x:v>Pass 1 — Business &amp; Owner Earnings</x:v>
      </x:c>
      <x:c r="L4" s="300" t="str">
        <x:v>Pass 2 — Causal Chain</x:v>
      </x:c>
      <x:c r="M4" s="300" t="str">
        <x:v>Pass 3 — Red Team</x:v>
      </x:c>
      <x:c r="N4" s="300" t="str">
        <x:v>Contradictions</x:v>
      </x:c>
      <x:c r="O4" s="300" t="str">
        <x:v>Dalio Path 1</x:v>
      </x:c>
      <x:c r="P4" s="300" t="str">
        <x:v>Dalio Path 2</x:v>
      </x:c>
      <x:c r="Q4" s="300" t="str">
        <x:v>Dalio Path 3</x:v>
      </x:c>
      <x:c r="R4" s="300" t="str">
        <x:v>Owner Status</x:v>
      </x:c>
      <x:c r="S4" s="300" t="str">
        <x:v>Frozen V10</x:v>
      </x:c>
      <x:c r="T4" s="300" t="str">
        <x:v>Evidence-Controlled Action</x:v>
      </x:c>
      <x:c r="U4" s="300" t="str">
        <x:v>Confidence</x:v>
      </x:c>
      <x:c r="V4" s="300" t="str">
        <x:v>Critical Gap</x:v>
      </x:c>
      <x:c r="W4" s="300" t="str">
        <x:v>Next Review</x:v>
      </x:c>
      <x:c r="X4" s="300" t="str">
        <x:v>Research Status</x:v>
      </x:c>
    </x:row>
    <x:row r="5" ht="106" customHeight="1">
      <x:c r="A5" s="301" t="str">
        <x:v>ARG-009</x:v>
      </x:c>
      <x:c r="B5" s="302" t="str">
        <x:v>Applied Materials</x:v>
      </x:c>
      <x:c r="C5" s="302" t="str">
        <x:v>AMAT</x:v>
      </x:c>
      <x:c r="D5" s="302" t="str">
        <x:v>AI &amp; Semiconductors</x:v>
      </x:c>
      <x:c r="E5" s="310" t="n">
        <x:v>46247</x:v>
      </x:c>
      <x:c r="F5" s="313" t="n">
        <x:v>437.565</x:v>
      </x:c>
      <x:c r="G5" s="302" t="str">
        <x:v>2026-09-02 15:09 UTC</x:v>
      </x:c>
      <x:c r="H5" s="302" t="str">
        <x:v>https://ir.appliedmaterials.com/news-releases/news-release-details/applied-materials-announces-third-quarter-2026-results</x:v>
      </x:c>
      <x:c r="I5" s="302" t="str">
        <x:v>https://www.bis.gov/press-release | https://www.federalreserve.gov/newsevents/pressreleases/monetary20260729a.htm | https://www.sec.gov/edgar/search/</x:v>
      </x:c>
      <x:c r="J5" s="302" t="str">
        <x:v>Fiscal Q3 revenue $9.12bn (+25% YoY); GAAP gross margin 50.3%; operating income $3.08bn and margin 33.7%; GAAP EPS $3.17; Services revenue $1.781bn with 30.1% margin; EPIC Center has 11 R&amp;D partnerships.</x:v>
      </x:c>
      <x:c r="K5" s="302" t="str">
        <x:v>Broad process coverage, an installed base and services support excellent owner economics. The business is stronger than a simple equipment-cycle label, but current earnings and price still capitalize a long AI/foundry expansion.</x:v>
      </x:c>
      <x:c r="L5" s="302" t="str">
        <x:v>Customer wafer-fab ROI and node transitions → equipment orders and service attach → utilization, price/mix and margin → R&amp;D/capacity cash needs → normalized FCF per share → value versus cycle-adjusted expectations.</x:v>
      </x:c>
      <x:c r="M5" s="302" t="str">
        <x:v>Stress export restrictions, China exposure, customer concentration, delayed fab ramps, competing process architectures, EPIC returns and whether service growth can offset a WFE down-cycle.</x:v>
      </x:c>
      <x:c r="N5" s="302" t="str">
        <x:v>Revenue, margins and service economics are strong, yet the PIT price implies about 37.8× trailing earnings; collaborative R&amp;D may deepen the moat but also raises the burden to prove incremental capital returns across a cycle.</x:v>
      </x:c>
      <x:c r="O5" s="302" t="str">
        <x:v>AI wafer demand expands, but export controls remove profitable deliverable demand and strand support capacity.</x:v>
      </x:c>
      <x:c r="P5" s="302" t="str">
        <x:v>Customers build leading-edge fabs as expected, yet timing slips and fixed R&amp;D/capacity costs reduce owner cash before revenue arrives.</x:v>
      </x:c>
      <x:c r="Q5" s="302" t="str">
        <x:v>Applied remains technologically relevant, but a cyclical valuation reset overwhelms correct long-term industry growth.</x:v>
      </x:c>
      <x:c r="R5" s="318" t="str">
        <x:v>BLOCKED - FAIL</x:v>
      </x:c>
      <x:c r="S5" s="302" t="str">
        <x:v>WAIT FOR PRICE</x:v>
      </x:c>
      <x:c r="T5" s="302" t="str">
        <x:v>WAIT FOR PRICE — require a cycle-normalized FCF range, export-loss case and EPIC return evidence</x:v>
      </x:c>
      <x:c r="U5" s="302" t="str">
        <x:v>HIGH</x:v>
      </x:c>
      <x:c r="V5" s="302" t="str">
        <x:v>Normalized WFE/service owner earnings under export limits and the return on EPIC/capacity investment</x:v>
      </x:c>
      <x:c r="W5" s="310" t="n">
        <x:v>46288</x:v>
      </x:c>
      <x:c r="X5" s="321" t="str">
        <x:v>COMPLETE — 2026-09-02</x:v>
      </x:c>
    </x:row>
    <x:row r="6" ht="106" customHeight="1">
      <x:c r="A6" s="304" t="str">
        <x:v>ARG-010</x:v>
      </x:c>
      <x:c r="B6" s="305" t="str">
        <x:v>Lam Research</x:v>
      </x:c>
      <x:c r="C6" s="305" t="str">
        <x:v>LRCX</x:v>
      </x:c>
      <x:c r="D6" s="305" t="str">
        <x:v>AI &amp; Semiconductors</x:v>
      </x:c>
      <x:c r="E6" s="311" t="n">
        <x:v>46232</x:v>
      </x:c>
      <x:c r="F6" s="314" t="n">
        <x:v>287.06</x:v>
      </x:c>
      <x:c r="G6" s="305" t="str">
        <x:v>2026-09-02 15:10 UTC</x:v>
      </x:c>
      <x:c r="H6" s="305" t="str">
        <x:v>https://investor.lamresearch.com/quarterly-results</x:v>
      </x:c>
      <x:c r="I6" s="305" t="str">
        <x:v>https://www.bis.gov/press-release | https://www.federalreserve.gov/newsevents/pressreleases/monetary20260729a.htm | https://www.sec.gov/edgar/search/</x:v>
      </x:c>
      <x:c r="J6" s="305" t="str">
        <x:v>June-quarter revenue $6.722bn (+15.1% sequentially); GAAP gross margin 51.7%, operating margin 37.4% and EPS $1.81; Systems $4.250bn, Customer Support $2.472bn; CFO $1.457bn less $188.8m capex/intangibles; Taiwan, China and Korea were 27%, 26% and 20% of revenue.</x:v>
      </x:c>
      <x:c r="K6" s="305" t="str">
        <x:v>Etch/deposition process intensity and the installed support base form a durable franchise. Cash conversion is strong, but geographic concentration and a 53.5× trailing P/E make cycle-normalization the controlling issue.</x:v>
      </x:c>
      <x:c r="L6" s="305" t="str">
        <x:v>Layer count and process complexity → systems demand → installed-base service → gross margin and cash → R&amp;D/capacity → customer/export concentration → normalized FCF per share.</x:v>
      </x:c>
      <x:c r="M6" s="305" t="str">
        <x:v>Model memory and foundry pauses, China restrictions, customer bargaining, share loss at a key process step, service normalization and the September-quarter ramp reversing after customer pre-buys.</x:v>
      </x:c>
      <x:c r="N6" s="305" t="str">
        <x:v>A record-like September guide and strong support revenue validate near-term demand, while 73% of June-quarter revenue came from three Asian geographies and the market price leaves little tolerance for a utilization reset.</x:v>
      </x:c>
      <x:c r="O6" s="305" t="str">
        <x:v>Semiconductor complexity rises, but export policy changes the accessible customer mix and lowers service lifetime value.</x:v>
      </x:c>
      <x:c r="P6" s="305" t="str">
        <x:v>AI and memory capex remain healthy while customer pre-buying creates a later digestion period against fixed costs.</x:v>
      </x:c>
      <x:c r="Q6" s="305" t="str">
        <x:v>Lam preserves process share, yet multiple compression from 53.5× earnings creates a poor investment outcome.</x:v>
      </x:c>
      <x:c r="R6" s="324" t="str">
        <x:v>BLOCKED - FAIL</x:v>
      </x:c>
      <x:c r="S6" s="305" t="str">
        <x:v>WAIT FOR PRICE</x:v>
      </x:c>
      <x:c r="T6" s="305" t="str">
        <x:v>WAIT FOR PRICE — normalize the September ramp, China exposure, service durability and full-cycle FCF</x:v>
      </x:c>
      <x:c r="U6" s="305" t="str">
        <x:v>HIGH</x:v>
      </x:c>
      <x:c r="V6" s="305" t="str">
        <x:v>Customer-level concentration, export-adjusted installed-base value and trough-cycle owner earnings</x:v>
      </x:c>
      <x:c r="W6" s="311" t="n">
        <x:v>46288</x:v>
      </x:c>
      <x:c r="X6" s="327" t="str">
        <x:v>COMPLETE — 2026-09-02</x:v>
      </x:c>
    </x:row>
    <x:row r="7" ht="106" customHeight="1">
      <x:c r="A7" s="304" t="str">
        <x:v>ARG-015</x:v>
      </x:c>
      <x:c r="B7" s="305" t="str">
        <x:v>Quanta Services</x:v>
      </x:c>
      <x:c r="C7" s="305" t="str">
        <x:v>PWR</x:v>
      </x:c>
      <x:c r="D7" s="305" t="str">
        <x:v>Power &amp; Grid</x:v>
      </x:c>
      <x:c r="E7" s="311" t="n">
        <x:v>46233</x:v>
      </x:c>
      <x:c r="F7" s="314" t="n">
        <x:v>604.475</x:v>
      </x:c>
      <x:c r="G7" s="305" t="str">
        <x:v>2026-09-02 15:09 UTC</x:v>
      </x:c>
      <x:c r="H7" s="305" t="str">
        <x:v>https://investors.quantaservices.com/news-events/press-releases/detail/402/quanta-services-reports-second-quarter-2026-results</x:v>
      </x:c>
      <x:c r="I7" s="305" t="str">
        <x:v>https://www.eia.gov/outlooks/steo/ | https://www.ferc.gov/industries-data/electric/power-sales-and-markets/market-assessments | https://www.federalreserve.gov/newsevents/pressreleases/monetary20260729a.htm</x:v>
      </x:c>
      <x:c r="J7" s="305" t="str">
        <x:v>Q2 revenue $9.56bn versus $6.77bn; net income $451.4m and diluted EPS $2.96; adjusted EBITDA $1.1bn; CFO $1.1bn and FCF $0.9bn; remaining performance obligations $33.6bn and total backlog $53.4bn; 2026 expectations were raised.</x:v>
      </x:c>
      <x:c r="K7" s="305" t="str">
        <x:v>Scale, skilled labor, customer relationships and execution support a high-quality grid-services compounder. Backlog is valuable, but price, acquisition integration and project-risk economics control the investment decision.</x:v>
      </x:c>
      <x:c r="L7" s="305" t="str">
        <x:v>Grid/load growth → customer awards and backlog → labor/material execution → working capital and cash margin → acquisitions/capacity → FCF per share → value at normalized project returns.</x:v>
      </x:c>
      <x:c r="M7" s="305" t="str">
        <x:v>Separate executable backlog from options/reservations; stress permitting, customer financing, labor scarcity, fixed-price overruns, acquisition dilution, weather and a reversal in working-capital timing.</x:v>
      </x:c>
      <x:c r="N7" s="305" t="str">
        <x:v>Backlog, RPO and current FCF are excellent, yet the PIT price implies about 69× trailing earnings; visibility reduces revenue uncertainty but does not remove contract, integration or entry-price risk.</x:v>
      </x:c>
      <x:c r="O7" s="305" t="str">
        <x:v>Grid demand grows, but permitting and utility financing delay conversion while Quanta carries labor and equipment capacity.</x:v>
      </x:c>
      <x:c r="P7" s="305" t="str">
        <x:v>Backlog converts as planned, yet project mix and inflation reduce cash margins below headline growth.</x:v>
      </x:c>
      <x:c r="Q7" s="305" t="str">
        <x:v>Quanta executes well, but acquisition/capacity spending and a valuation reset absorb the operational success.</x:v>
      </x:c>
      <x:c r="R7" s="324" t="str">
        <x:v>BLOCKED - FAIL</x:v>
      </x:c>
      <x:c r="S7" s="305" t="str">
        <x:v>WAIT FOR PRICE</x:v>
      </x:c>
      <x:c r="T7" s="305" t="str">
        <x:v>WAIT FOR PRICE — require contract-level backlog quality, acquisition returns and a normalized FCF multiple</x:v>
      </x:c>
      <x:c r="U7" s="305" t="str">
        <x:v>HIGH</x:v>
      </x:c>
      <x:c r="V7" s="305" t="str">
        <x:v>Firm backlog cash margins, working-capital normalization and acquisition-cohort returns</x:v>
      </x:c>
      <x:c r="W7" s="311" t="n">
        <x:v>46295</x:v>
      </x:c>
      <x:c r="X7" s="327" t="str">
        <x:v>COMPLETE — 2026-09-02</x:v>
      </x:c>
    </x:row>
    <x:row r="8" ht="106" customHeight="1">
      <x:c r="A8" s="304" t="str">
        <x:v>ARG-016</x:v>
      </x:c>
      <x:c r="B8" s="305" t="str">
        <x:v>Hubbell</x:v>
      </x:c>
      <x:c r="C8" s="305" t="str">
        <x:v>HUBB</x:v>
      </x:c>
      <x:c r="D8" s="305" t="str">
        <x:v>Power &amp; Grid</x:v>
      </x:c>
      <x:c r="E8" s="311" t="n">
        <x:v>46231</x:v>
      </x:c>
      <x:c r="F8" s="314" t="n">
        <x:v>448.11</x:v>
      </x:c>
      <x:c r="G8" s="305" t="str">
        <x:v>2026-09-02 15:10 UTC</x:v>
      </x:c>
      <x:c r="H8" s="305" t="str">
        <x:v>https://hubbell.gcs-web.com/news-releases/news-release-details/hubbell-reports-second-quarter-2026-results</x:v>
      </x:c>
      <x:c r="I8" s="305" t="str">
        <x:v>https://www.eia.gov/outlooks/steo/ | https://www.ferc.gov/industries-data/electric/power-sales-and-markets/market-assessments | https://www.federalreserve.gov/newsevents/pressreleases/monetary20260729a.htm</x:v>
      </x:c>
      <x:c r="J8" s="305" t="str">
        <x:v>Q2 diluted EPS $4.52 and adjusted EPS $5.52 (+12%); sales +15% with 10% organic growth and 5% acquisitions; operating margin 20.4% and adjusted margin 23.9%, down 50 bps; FY adjusted EPS guide $20.25–$20.55; NSI Industries acquisition announced at about $3.0bn.</x:v>
      </x:c>
      <x:c r="K8" s="305" t="str">
        <x:v>Utility-qualified products, distribution and scarce installed content form a strong niche franchise. Organic growth is healthy; the NSI acquisition and entry price require capital-allocation proof before higher conviction.</x:v>
      </x:c>
      <x:c r="L8" s="305" t="str">
        <x:v>Utility/grid investment → product demand and price/mix → manufacturing margin → cash conversion → NSI integration/debt → per-share owner earnings.</x:v>
      </x:c>
      <x:c r="M8" s="305" t="str">
        <x:v>Stress utility procurement timing, channel inventory, input/labor inflation, product substitution, NSI synergy slippage, acquisition leverage and the difference between adjusted and owner cash earnings.</x:v>
      </x:c>
      <x:c r="N8" s="305" t="str">
        <x:v>Ten-percent organic growth supports the structural thesis, while adjusted margin fell 50 bps and a roughly $3bn acquisition increases the importance of integration and return discipline.</x:v>
      </x:c>
      <x:c r="O8" s="305" t="str">
        <x:v>Grid spending remains strong, but distributor inventory and utility timing create an order-to-cash pause.</x:v>
      </x:c>
      <x:c r="P8" s="305" t="str">
        <x:v>NSI diversifies Hubbell as intended, yet integration costs and purchase price reduce per-share returns.</x:v>
      </x:c>
      <x:c r="Q8" s="305" t="str">
        <x:v>The franchise compounds, but a premium starting price delivers only ordinary shareholder returns.</x:v>
      </x:c>
      <x:c r="R8" s="330" t="str">
        <x:v>WATCH-CAPPED</x:v>
      </x:c>
      <x:c r="S8" s="305" t="str">
        <x:v>WATCH</x:v>
      </x:c>
      <x:c r="T8" s="305" t="str">
        <x:v>WATCH — require NSI integration economics, debt path and margin recovery before any promotion</x:v>
      </x:c>
      <x:c r="U8" s="305" t="str">
        <x:v>MEDIUM-HIGH</x:v>
      </x:c>
      <x:c r="V8" s="305" t="str">
        <x:v>NSI purchase-price return, clean owner cash and organic margin recovery</x:v>
      </x:c>
      <x:c r="W8" s="311" t="n">
        <x:v>46295</x:v>
      </x:c>
      <x:c r="X8" s="327" t="str">
        <x:v>COMPLETE — 2026-09-02</x:v>
      </x:c>
    </x:row>
    <x:row r="9" ht="106" customHeight="1">
      <x:c r="A9" s="304" t="str">
        <x:v>ARG-020</x:v>
      </x:c>
      <x:c r="B9" s="305" t="str">
        <x:v>Schneider Electric</x:v>
      </x:c>
      <x:c r="C9" s="305" t="str">
        <x:v>SU.PA</x:v>
      </x:c>
      <x:c r="D9" s="305" t="str">
        <x:v>Power &amp; Grid</x:v>
      </x:c>
      <x:c r="E9" s="311" t="n">
        <x:v>46233</x:v>
      </x:c>
      <x:c r="F9" s="314" t="n">
        <x:v>287.9</x:v>
      </x:c>
      <x:c r="G9" s="305" t="str">
        <x:v>2026-09-02 15:10 UTC</x:v>
      </x:c>
      <x:c r="H9" s="305" t="str">
        <x:v>https://www.se.com/ww/en/about-us/investor-relations/financial-results/</x:v>
      </x:c>
      <x:c r="I9" s="305" t="str">
        <x:v>https://www.ecb.europa.eu/press/pr/date/2026/html/ecb.mp260723~29f24d99bc.en.html | https://www.eia.gov/outlooks/steo/ | https://www.ferc.gov/industries-data/electric/power-sales-and-markets/market-assessments</x:v>
      </x:c>
      <x:c r="J9" s="305" t="str">
        <x:v>Q2 revenue €11.5bn (+17% organic); Energy Management +18% and Industrial Automation +11%; H1 revenue €21.2bn (+14% organic), adjusted EBITA €4.1bn (+22% organic) with 19.3% margin; net income €2.5bn (+30%); FCF €1.6bn (+244%); 2026 target upgraded.</x:v>
      </x:c>
      <x:c r="K9" s="305" t="str">
        <x:v>Energy-management hardware, automation, software and channels form a top-tier compounder with unusually broad electrification exposure. Quality passes; price and full-cycle incremental returns cap conviction.</x:v>
      </x:c>
      <x:c r="L9" s="305" t="str">
        <x:v>Electrification/data-center/automation demand → product and software mix → EBITA margin → working capital/capex → FCF per share → value under euro rates and industrial-cycle normalization.</x:v>
      </x:c>
      <x:c r="M9" s="305" t="str">
        <x:v>Stress North America and China concentration, data-center project timing, price/cost normalization, industrial automation cyclicality, software execution, currency and a capacity response by competitors.</x:v>
      </x:c>
      <x:c r="N9" s="305" t="str">
        <x:v>Organic growth, margin and FCF all improved, but the PIT price implies about 34.7× earnings and assumes that unusually broad regional acceleration persists without a cycle or mix penalty.</x:v>
      </x:c>
      <x:c r="O9" s="305" t="str">
        <x:v>Electrification remains structural, but data-center and industrial projects pause together under tighter financing.</x:v>
      </x:c>
      <x:c r="P9" s="305" t="str">
        <x:v>Revenue grows while mix, currency and competitive capacity lower incremental margins.</x:v>
      </x:c>
      <x:c r="Q9" s="305" t="str">
        <x:v>Schneider compounds intrinsic value, yet a high initial multiple limits the shareholder return.</x:v>
      </x:c>
      <x:c r="R9" s="330" t="str">
        <x:v>WATCH-CAPPED</x:v>
      </x:c>
      <x:c r="S9" s="305" t="str">
        <x:v>WATCH</x:v>
      </x:c>
      <x:c r="T9" s="305" t="str">
        <x:v>WATCH — retain the quality premium only with normalized incremental returns and price protection</x:v>
      </x:c>
      <x:c r="U9" s="305" t="str">
        <x:v>HIGH</x:v>
      </x:c>
      <x:c r="V9" s="305" t="str">
        <x:v>Normalized segment returns after capacity investment and a conservative entry-value range</x:v>
      </x:c>
      <x:c r="W9" s="311" t="n">
        <x:v>46296</x:v>
      </x:c>
      <x:c r="X9" s="327" t="str">
        <x:v>COMPLETE — 2026-09-02</x:v>
      </x:c>
    </x:row>
    <x:row r="10" ht="106" customHeight="1">
      <x:c r="A10" s="304" t="str">
        <x:v>ARG-021</x:v>
      </x:c>
      <x:c r="B10" s="305" t="str">
        <x:v>Trane Technologies</x:v>
      </x:c>
      <x:c r="C10" s="305" t="str">
        <x:v>TT</x:v>
      </x:c>
      <x:c r="D10" s="305" t="str">
        <x:v>Power &amp; Grid</x:v>
      </x:c>
      <x:c r="E10" s="311" t="n">
        <x:v>46233</x:v>
      </x:c>
      <x:c r="F10" s="314" t="n">
        <x:v>440.4</x:v>
      </x:c>
      <x:c r="G10" s="305" t="str">
        <x:v>2026-09-02 15:09 UTC</x:v>
      </x:c>
      <x:c r="H10" s="305" t="str">
        <x:v>https://investors.tranetechnologies.com/news-and-events/news-releases/default.aspx</x:v>
      </x:c>
      <x:c r="I10" s="305" t="str">
        <x:v>https://www.eia.gov/outlooks/steo/ | https://www.ferc.gov/industries-data/electric/power-sales-and-markets/market-assessments | https://www.federalreserve.gov/newsevents/pressreleases/monetary20260729a.htm</x:v>
      </x:c>
      <x:c r="J10" s="305" t="str">
        <x:v>Q2 adjusted EPS $4.31 (+11%) and GAAP continuing EPS $4.20; bookings $7.8bn (+39%); record backlog $12.1bn; FY guide about 11.5% revenue growth and adjusted EPS $15.20–$15.30; Stellar Energy was acquired in February 2026.</x:v>
      </x:c>
      <x:c r="K10" s="305" t="str">
        <x:v>Installed HVAC, controls, service and energy-efficiency demand support a durable franchise. Record bookings/backlog are real, but the premium price and Stellar integration leave no margin for an ordinary cycle.</x:v>
      </x:c>
      <x:c r="L10" s="305" t="str">
        <x:v>Climate/data-center demand → bookings/backlog → equipment and service mix → margin/working capital → Stellar and capacity investment → FCF per share.</x:v>
      </x:c>
      <x:c r="M10" s="305" t="str">
        <x:v>Stress backlog cancellation, hyperscaler construction timing, alternative cooling architectures, component/labor constraints, acquisition integration, warranty costs and service-attach normalization.</x:v>
      </x:c>
      <x:c r="N10" s="305" t="str">
        <x:v>Bookings rose 39% and backlog reached a record, but the PIT price is about 33× trailing earnings; data-center exposure raises growth and also concentration, technology and project-timing risk.</x:v>
      </x:c>
      <x:c r="O10" s="305" t="str">
        <x:v>Cooling demand grows, but project permitting and power availability delay backlog conversion.</x:v>
      </x:c>
      <x:c r="P10" s="305" t="str">
        <x:v>Stellar expands the data-center offering while integration and capital needs dilute incremental returns.</x:v>
      </x:c>
      <x:c r="Q10" s="305" t="str">
        <x:v>Trane executes operationally, yet the premium multiple normalizes before cash catches up.</x:v>
      </x:c>
      <x:c r="R10" s="324" t="str">
        <x:v>BLOCKED - FAIL</x:v>
      </x:c>
      <x:c r="S10" s="305" t="str">
        <x:v>WAIT FOR PRICE</x:v>
      </x:c>
      <x:c r="T10" s="305" t="str">
        <x:v>WAIT FOR PRICE — require backlog cash conversion, Stellar returns and a normalized service/equipment mix</x:v>
      </x:c>
      <x:c r="U10" s="305" t="str">
        <x:v>HIGH</x:v>
      </x:c>
      <x:c r="V10" s="305" t="str">
        <x:v>Backlog firmness, data-center customer concentration and post-Stellar owner earnings</x:v>
      </x:c>
      <x:c r="W10" s="311" t="n">
        <x:v>46295</x:v>
      </x:c>
      <x:c r="X10" s="327" t="str">
        <x:v>COMPLETE — 2026-09-02</x:v>
      </x:c>
    </x:row>
    <x:row r="11" ht="106" customHeight="1">
      <x:c r="A11" s="304" t="str">
        <x:v>ARG-035</x:v>
      </x:c>
      <x:c r="B11" s="305" t="str">
        <x:v>PayPal</x:v>
      </x:c>
      <x:c r="C11" s="305" t="str">
        <x:v>PYPL</x:v>
      </x:c>
      <x:c r="D11" s="305" t="str">
        <x:v>Software &amp; Payments</x:v>
      </x:c>
      <x:c r="E11" s="311" t="n">
        <x:v>46231</x:v>
      </x:c>
      <x:c r="F11" s="314" t="n">
        <x:v>53.91</x:v>
      </x:c>
      <x:c r="G11" s="305" t="str">
        <x:v>2026-09-02 15:10 UTC</x:v>
      </x:c>
      <x:c r="H11" s="305" t="str">
        <x:v>https://investor.pypl.com/financials/quarterly-results/default.aspx</x:v>
      </x:c>
      <x:c r="I11" s="305" t="str">
        <x:v>https://www.federalreserve.gov/paymentsystems.htm | https://www.federalreserve.gov/newsevents/pressreleases/monetary20260729a.htm | https://www.occ.gov/topics/supervision-and-examination/capital-markets/index-capital-markets.html</x:v>
      </x:c>
      <x:c r="J11" s="305" t="str">
        <x:v>Q2 revenue $8.7bn (+5%, +3% FX-neutral); transaction-margin dollars $3.9bn (+1%); GAAP operating income -5% and margin 16.4%, down 171 bps; active accounts 439m (+0.3% YoY but down 0.2m sequentially); CFO $2.0bn, FCF $1.8bn and buybacks $1.5bn.</x:v>
      </x:c>
      <x:c r="K11" s="305" t="str">
        <x:v>PayPal still produces substantial owner cash and buys back shares at a modest headline multiple. The unresolved issue is whether branded checkout and transaction economics are stabilizing or cash is masking moat erosion.</x:v>
      </x:c>
      <x:c r="L11" s="305" t="str">
        <x:v>Branded/unbranded volume and engagement → take rate and transaction margin → operating leverage → FCF → buybacks/debt → per-share value.</x:v>
      </x:c>
      <x:c r="M11" s="305" t="str">
        <x:v>Stress Apple/Google wallets, merchant routing, Braintree pricing, fraud/credit, account stagnation, customer-balance interest, restructuring adjustments and buybacks executed before economics stabilize.</x:v>
      </x:c>
      <x:c r="N11" s="305" t="str">
        <x:v>TPV and transactions grow and FCF remains strong, while transaction-margin growth is only 1%, operating income falls and active accounts are sequentially lower; a roughly 10× P/E may be value or a moat-decay warning.</x:v>
      </x:c>
      <x:c r="O11" s="305" t="str">
        <x:v>Digital payments expand, but lower-take-rate processing captures volume while branded economics erode.</x:v>
      </x:c>
      <x:c r="P11" s="305" t="str">
        <x:v>Buybacks lift per-share metrics, yet operating-margin decline and debt absorb the apparent cheapness.</x:v>
      </x:c>
      <x:c r="Q11" s="305" t="str">
        <x:v>Management improves products, but platform wallets and merchant routing keep customer acquisition and retention costly.</x:v>
      </x:c>
      <x:c r="R11" s="330" t="str">
        <x:v>WATCH-CAPPED</x:v>
      </x:c>
      <x:c r="S11" s="305" t="str">
        <x:v>WATCH</x:v>
      </x:c>
      <x:c r="T11" s="305" t="str">
        <x:v>PROVE DURABILITY — require branded checkout growth, transaction-margin expansion and clean FCF per share together</x:v>
      </x:c>
      <x:c r="U11" s="305" t="str">
        <x:v>MEDIUM-HIGH</x:v>
      </x:c>
      <x:c r="V11" s="305" t="str">
        <x:v>Branded checkout retention, transaction-margin cohort economics and unadjusted owner cash</x:v>
      </x:c>
      <x:c r="W11" s="311" t="n">
        <x:v>46281</x:v>
      </x:c>
      <x:c r="X11" s="327" t="str">
        <x:v>COMPLETE — 2026-09-02</x:v>
      </x:c>
    </x:row>
    <x:row r="12" ht="106" customHeight="1">
      <x:c r="A12" s="304" t="str">
        <x:v>ARG-036</x:v>
      </x:c>
      <x:c r="B12" s="305" t="str">
        <x:v>JPMorgan Chase</x:v>
      </x:c>
      <x:c r="C12" s="305" t="str">
        <x:v>JPM</x:v>
      </x:c>
      <x:c r="D12" s="305" t="str">
        <x:v>Banks</x:v>
      </x:c>
      <x:c r="E12" s="311" t="n">
        <x:v>46217</x:v>
      </x:c>
      <x:c r="F12" s="314" t="n">
        <x:v>359.76</x:v>
      </x:c>
      <x:c r="G12" s="305" t="str">
        <x:v>2026-09-02 15:10 UTC</x:v>
      </x:c>
      <x:c r="H12" s="305" t="str">
        <x:v>https://www.jpmorganchase.com/ir/quarterly-earnings</x:v>
      </x:c>
      <x:c r="I12" s="305" t="str">
        <x:v>https://www.fdic.gov/analysis/quarterly-banking-profile/ | https://www.federalreserve.gov/supervisionreg/ | https://www.occ.gov/topics/supervision-and-examination/capital-markets/index-capital-markets.html</x:v>
      </x:c>
      <x:c r="J12" s="305" t="str">
        <x:v>Q2 reported net income $21.2bn and EPS $7.70; excluding significant items net income $16.9bn and EPS $6.14; managed revenue $58.0bn, NII $25.6bn and underlying ROTCE 23%; provision $2.5bn and net charge-offs $2.4bn; significant items included a $4.6bn Visa gain and $1.0bn equity gains.</x:v>
      </x:c>
      <x:c r="K12" s="305" t="str">
        <x:v>JPMorgan remains the operating and stewardship benchmark among large banks. Underlying profitability, scale and client assets are exceptional; valuation must be based on normalized ROTCE, tangible capital and credit losses, not reported one-time gains.</x:v>
      </x:c>
      <x:c r="L12" s="305" t="str">
        <x:v>Deposit franchise and client flows → NII/fees → credit costs and operating leverage → retained tangible book/capital distributions → per-share intrinsic value.</x:v>
      </x:c>
      <x:c r="M12" s="305" t="str">
        <x:v>Strip Visa/equity gains; stress deposit beta, commercial and consumer credit vintages, capital-rule changes, cyber/operational events, market revenues, acquisitions and Dimon-succession execution.</x:v>
      </x:c>
      <x:c r="N12" s="305" t="str">
        <x:v>Reported EPS and net income are inflated by large gains, while underlying ROTCE remains genuinely strong; quality is clear, but a $969bn market value already recognizes much of it.</x:v>
      </x:c>
      <x:c r="O12" s="305" t="str">
        <x:v>Rates support NII, but deposit repricing and funding competition capture more of the benefit than expected.</x:v>
      </x:c>
      <x:c r="P12" s="305" t="str">
        <x:v>The economy avoids recession while a few credit vintages and commercial exposures still normalize losses upward.</x:v>
      </x:c>
      <x:c r="Q12" s="305" t="str">
        <x:v>JPM remains the best bank, yet higher capital requirements and a full starting price lower per-share returns.</x:v>
      </x:c>
      <x:c r="R12" s="330" t="str">
        <x:v>WATCH-CAPPED</x:v>
      </x:c>
      <x:c r="S12" s="305" t="str">
        <x:v>WATCH</x:v>
      </x:c>
      <x:c r="T12" s="305" t="str">
        <x:v>WATCH — value on normalized ROTCE/tangible book after removing gains and stressing credit/capital</x:v>
      </x:c>
      <x:c r="U12" s="305" t="str">
        <x:v>HIGH</x:v>
      </x:c>
      <x:c r="V12" s="305" t="str">
        <x:v>Normalized credit losses, deposit beta, required capital and succession-era allocation</x:v>
      </x:c>
      <x:c r="W12" s="311" t="n">
        <x:v>46309</x:v>
      </x:c>
      <x:c r="X12" s="327" t="str">
        <x:v>COMPLETE — 2026-09-02</x:v>
      </x:c>
    </x:row>
    <x:row r="13" ht="106" customHeight="1">
      <x:c r="A13" s="304" t="str">
        <x:v>ARG-042</x:v>
      </x:c>
      <x:c r="B13" s="305" t="str">
        <x:v>Progressive</x:v>
      </x:c>
      <x:c r="C13" s="305" t="str">
        <x:v>PGR</x:v>
      </x:c>
      <x:c r="D13" s="305" t="str">
        <x:v>Insurance</x:v>
      </x:c>
      <x:c r="E13" s="311" t="n">
        <x:v>46218</x:v>
      </x:c>
      <x:c r="F13" s="314" t="n">
        <x:v>222.28</x:v>
      </x:c>
      <x:c r="G13" s="305" t="str">
        <x:v>2026-09-02 15:08 UTC</x:v>
      </x:c>
      <x:c r="H13" s="305" t="str">
        <x:v>https://investors.progressive.com/financials/financial-news-releases/news-details/2026/Progressive-Reports-June-2026-Results/default.aspx</x:v>
      </x:c>
      <x:c r="I13" s="305" t="str">
        <x:v>https://content.naic.org/cipr-topics/auto-insurance | https://www.federalreserve.gov/newsevents/pressreleases/monetary20260729a.htm | https://www.fema.gov/disaster/declarations</x:v>
      </x:c>
      <x:c r="J13" s="305" t="str">
        <x:v>Q2 net premiums written $21.077bn (+5%), earned premiums $21.573bn (+6%), net income $3.311bn (+4%) and EPS $5.67 (+5%); June combined ratio 90.0 versus 86.6; total policies in force 40.086m (+7%), with agency auto +8% and direct auto +10%.</x:v>
      </x:c>
      <x:c r="K13" s="305" t="str">
        <x:v>Data, segmentation, claims execution and distribution support an exceptional underwriting engine. Current profits may still reflect favorable pricing/reserve conditions, so normalized loss cost and float economics—not a headline 11× P/E—control value.</x:v>
      </x:c>
      <x:c r="L13" s="305" t="str">
        <x:v>Policies and rate adequacy → frequency/severity and expense ratio → underwriting profit plus float income → capital growth/distribution → intrinsic value per share.</x:v>
      </x:c>
      <x:c r="M13" s="305" t="str">
        <x:v>Stress reserve development, social inflation, repair/medical severity, catastrophe clustering, regulatory rate lag, competitor repricing and investment losses when underwriting margins normalize.</x:v>
      </x:c>
      <x:c r="N13" s="305" t="str">
        <x:v>Policies keep growing and the Q2 combined ratio is attractive, while June worsened to 90.0 and income fell sharply in the month; current earnings may be both high-quality and above a safe normalized base.</x:v>
      </x:c>
      <x:c r="O13" s="305" t="str">
        <x:v>Pricing remains rational, but severity and reserve development rise faster than filed rates.</x:v>
      </x:c>
      <x:c r="P13" s="305" t="str">
        <x:v>Policy growth continues while mix shifts toward less seasoned cohorts with weaker ultimate margins.</x:v>
      </x:c>
      <x:c r="Q13" s="305" t="str">
        <x:v>Underwriting excellence persists, yet normalized combined ratios and investment yields make the apparent 11× P/E misleading.</x:v>
      </x:c>
      <x:c r="R13" s="324" t="str">
        <x:v>BLOCKED - FAIL</x:v>
      </x:c>
      <x:c r="S13" s="305" t="str">
        <x:v>WAIT FOR PRICE</x:v>
      </x:c>
      <x:c r="T13" s="305" t="str">
        <x:v>WAIT FOR NORMALIZED UNDERWRITING — price on reserve-adjusted, mid-cycle combined ratios and float income</x:v>
      </x:c>
      <x:c r="U13" s="305" t="str">
        <x:v>HIGH</x:v>
      </x:c>
      <x:c r="V13" s="305" t="str">
        <x:v>Reserve triangles, cohort profitability and mid-cycle combined-ratio/float normalization</x:v>
      </x:c>
      <x:c r="W13" s="311" t="n">
        <x:v>46310</x:v>
      </x:c>
      <x:c r="X13" s="327" t="str">
        <x:v>COMPLETE — 2026-09-02</x:v>
      </x:c>
    </x:row>
    <x:row r="14" ht="106" customHeight="1">
      <x:c r="A14" s="304" t="str">
        <x:v>ARG-050</x:v>
      </x:c>
      <x:c r="B14" s="305" t="str">
        <x:v>Apple</x:v>
      </x:c>
      <x:c r="C14" s="305" t="str">
        <x:v>AAPL</x:v>
      </x:c>
      <x:c r="D14" s="305" t="str">
        <x:v>Consumer</x:v>
      </x:c>
      <x:c r="E14" s="311" t="n">
        <x:v>46233</x:v>
      </x:c>
      <x:c r="F14" s="314" t="n">
        <x:v>324.3</x:v>
      </x:c>
      <x:c r="G14" s="305" t="str">
        <x:v>2026-09-02 15:10 UTC</x:v>
      </x:c>
      <x:c r="H14" s="305" t="str">
        <x:v>https://www.apple.com/newsroom/2026/07/apple-reports-third-quarter-results/</x:v>
      </x:c>
      <x:c r="I14" s="305" t="str">
        <x:v>https://www.bea.gov/news/current-releases | https://www.census.gov/retail/index.html | https://www.federalreserve.gov/newsevents/pressreleases/monetary20260729a.htm</x:v>
      </x:c>
      <x:c r="J14" s="305" t="str">
        <x:v>Fiscal Q3 revenue $109.4bn (+16%) and EPS $2.02 (+29%); gross margin 50.1%; records for total company, iPhone, Mac and Services; active-device installed base at a record. Tariff refunds contributed about two gross-margin points and $0.11 to EPS.</x:v>
      </x:c>
      <x:c r="K14" s="305" t="str">
        <x:v>The ecosystem, installed base, services and supply-chain scale remain among the world's strongest consumer franchises. The investment gate fails on price and the durability required at roughly 37.2× earnings, not on franchise quality.</x:v>
      </x:c>
      <x:c r="L14" s="305" t="str">
        <x:v>Installed base and replacement cycles → devices/services mix → gross margin and cash → R&amp;D/AI and buybacks → FCF per share → value under China, regulation and tariff scenarios.</x:v>
      </x:c>
      <x:c r="M14" s="305" t="str">
        <x:v>Remove tariff-refund benefits; stress China demand/supply concentration, app-store remedies, AI substitution, longer replacement cycles, services take-rate pressure, acquisition optionality and buybacks at full value.</x:v>
      </x:c>
      <x:c r="N14" s="305" t="str">
        <x:v>Broad records and installed-base strength are real, while about two points of gross margin and $0.11 EPS came from tariff refunds; an exceptional ecosystem is being priced as if premium durability is almost certain.</x:v>
      </x:c>
      <x:c r="O14" s="305" t="str">
        <x:v>Device and services revenue grows, but regulatory remedies transfer economics to developers and payment alternatives.</x:v>
      </x:c>
      <x:c r="P14" s="305" t="str">
        <x:v>Apple improves AI features, yet model-level value accrues to partners or substitutes rather than device upgrades.</x:v>
      </x:c>
      <x:c r="Q14" s="305" t="str">
        <x:v>The franchise compounds, but China/tariff normalization and a 37× multiple reset overwhelm per-share progress.</x:v>
      </x:c>
      <x:c r="R14" s="324" t="str">
        <x:v>BLOCKED - FAIL</x:v>
      </x:c>
      <x:c r="S14" s="305" t="str">
        <x:v>WAIT FOR PRICE</x:v>
      </x:c>
      <x:c r="T14" s="305" t="str">
        <x:v>WAIT FOR PRICE — strip tariff refunds and require durable Services/AI cash returns at a lower implied expectation</x:v>
      </x:c>
      <x:c r="U14" s="305" t="str">
        <x:v>HIGH</x:v>
      </x:c>
      <x:c r="V14" s="305" t="str">
        <x:v>Normalized post-tariff margin, China economics and incremental return on AI/R&amp;D plus buybacks</x:v>
      </x:c>
      <x:c r="W14" s="311" t="n">
        <x:v>46310</x:v>
      </x:c>
      <x:c r="X14" s="327" t="str">
        <x:v>COMPLETE — 2026-09-02</x:v>
      </x:c>
    </x:row>
    <x:row r="15" ht="106" customHeight="1">
      <x:c r="A15" s="304" t="str">
        <x:v>ARG-054</x:v>
      </x:c>
      <x:c r="B15" s="305" t="str">
        <x:v>Eli Lilly</x:v>
      </x:c>
      <x:c r="C15" s="305" t="str">
        <x:v>LLY</x:v>
      </x:c>
      <x:c r="D15" s="305" t="str">
        <x:v>Healthcare &amp; Biopharma</x:v>
      </x:c>
      <x:c r="E15" s="311" t="n">
        <x:v>46239</x:v>
      </x:c>
      <x:c r="F15" s="314" t="n">
        <x:v>1171.15</x:v>
      </x:c>
      <x:c r="G15" s="305" t="str">
        <x:v>2026-09-02 15:09 UTC</x:v>
      </x:c>
      <x:c r="H15" s="305" t="str">
        <x:v>https://investor.lilly.com/financial-information/quarterly-results</x:v>
      </x:c>
      <x:c r="I15" s="305" t="str">
        <x:v>https://www.fda.gov/drugs/drug-approvals-and-databases | https://clinicaltrials.gov/ | https://www.cms.gov/medicare/coverage</x:v>
      </x:c>
      <x:c r="J15" s="305" t="str">
        <x:v>Q2 revenue $22.974bn (+48%); volume +60% and realized prices -13%; Mounjaro $9.943bn (+91%) and Zepbound $4.928bn (+46%); gross margin 85.8%; R&amp;D $3.819bn; acquired IPR&amp;D $2.776bn; net income $7.095bn and EPS $7.94; four Q2 acquisitions plus three after quarter and another $4.5bn Indiana manufacturing commitment.</x:v>
      </x:c>
      <x:c r="K15" s="305" t="str">
        <x:v>Lilly has extraordinary metabolic-product economics, clinical capability and demand. Concentration, falling realized price, capacity and acquisition spending, and a trillion-dollar valuation make owner-return evidence—not growth alone—the controlling gate.</x:v>
      </x:c>
      <x:c r="L15" s="305" t="str">
        <x:v>Patient demand/access and supply → product volume/net price → gross profit → manufacturing/R&amp;D/M&amp;A → lifecycle and pipeline replacement → probability-adjusted owner cash per share.</x:v>
      </x:c>
      <x:c r="M15" s="305" t="str">
        <x:v>Stress reimbursement and price, safety/adherence, compounding and competitors, supply execution, concentration, patent/lifecycle risk, acquired-pipeline attrition and return on the rapid acquisition/capacity program.</x:v>
      </x:c>
      <x:c r="N15" s="305" t="str">
        <x:v>Volume rose 60% while realized price fell 13%; current blockbusters fund enormous cash generation but also a dense acquisition/capacity program. Reported growth does not yet prove that marginal capital earns the franchise rate.</x:v>
      </x:c>
      <x:c r="O15" s="305" t="str">
        <x:v>Obesity demand expands, but payer pressure and competition shift growth from price to lower-return volume.</x:v>
      </x:c>
      <x:c r="P15" s="305" t="str">
        <x:v>Capacity is built correctly, yet demand mix, adherence or next-generation products change before assets reach normalized utilization.</x:v>
      </x:c>
      <x:c r="Q15" s="305" t="str">
        <x:v>Mounjaro/Zepbound excel clinically while pipeline/M&amp;A returns disappoint and the 39× multiple compresses.</x:v>
      </x:c>
      <x:c r="R15" s="324" t="str">
        <x:v>BLOCKED - FAIL</x:v>
      </x:c>
      <x:c r="S15" s="305"/>
      <x:c r="T15" s="305" t="str">
        <x:v>WAIT FOR PRICE — require concentration, net-price and acquisition/capacity returns in a probability-weighted value range</x:v>
      </x:c>
      <x:c r="U15" s="305" t="str">
        <x:v>HIGH</x:v>
      </x:c>
      <x:c r="V15" s="305" t="str">
        <x:v>Net-price durability, product concentration and cohort returns on manufacturing plus seven acquisitions</x:v>
      </x:c>
      <x:c r="W15" s="311" t="n">
        <x:v>46288</x:v>
      </x:c>
      <x:c r="X15" s="327" t="str">
        <x:v>COMPLETE — 2026-09-02</x:v>
      </x:c>
    </x:row>
    <x:row r="16" ht="106" customHeight="1">
      <x:c r="A16" s="304" t="str">
        <x:v>ARG-064</x:v>
      </x:c>
      <x:c r="B16" s="305" t="str">
        <x:v>Novo Nordisk</x:v>
      </x:c>
      <x:c r="C16" s="305" t="str">
        <x:v>NVO</x:v>
      </x:c>
      <x:c r="D16" s="305" t="str">
        <x:v>Healthcare &amp; Biopharma</x:v>
      </x:c>
      <x:c r="E16" s="311" t="n">
        <x:v>46238</x:v>
      </x:c>
      <x:c r="F16" s="314" t="n">
        <x:v>46.61</x:v>
      </x:c>
      <x:c r="G16" s="305" t="str">
        <x:v>2026-09-02 15:09 UTC</x:v>
      </x:c>
      <x:c r="H16" s="305" t="str">
        <x:v>https://www.novonordisk.com/content/nncorp/global/en/news-and-media/news-and-ir-materials/news-details.html?id=916590</x:v>
      </x:c>
      <x:c r="I16" s="305" t="str">
        <x:v>https://www.fda.gov/drugs/drug-approvals-and-databases | https://clinicaltrials.gov/ | https://www.cms.gov/medicare/coverage</x:v>
      </x:c>
      <x:c r="J16" s="305" t="str">
        <x:v>Q2 reported sales +3% CER and adjusted sales +7% CER; reported operating profit -16% CER versus adjusted +11%; DKK6.3bn non-cash impairment including DKK4.0bn for monlunabant; Wegovy pill exceeded 265,000 weekly prescriptions by July 17; ZEUS ziltivekimab phase 3 missed its primary endpoint; 2026 adjusted sales and operating-profit growth outlook is 0% to -6% CER.</x:v>
      </x:c>
      <x:c r="K16" s="305" t="str">
        <x:v>Novo retains a formidable metabolic franchise and oral Wegovy traction, but current evidence shows commercial deceleration and pipeline correction. The lower price is not sufficient without proof that volume, access and replenishment can reaccelerate.</x:v>
      </x:c>
      <x:c r="L16" s="305" t="str">
        <x:v>Patient access and supply → prescription volume/net price → operating cash → manufacturing and pipeline reinvestment → lifecycle replacement → owner value per share.</x:v>
      </x:c>
      <x:c r="M16" s="305" t="str">
        <x:v>Stress US pricing/access, Lilly competition, compounding, adherence, oral-versus-injectable mix, manufacturing utilization, pipeline impairments and whether adjusted measures obscure the cost of failed capital.</x:v>
      </x:c>
      <x:c r="N16" s="305" t="str">
        <x:v>Oral Wegovy uptake is strong and adjusted profit grows, while reported profit falls 16%, DKK6.3bn is impaired, a phase-3 trial misses and full-year adjusted growth is still forecast between zero and negative six percent.</x:v>
      </x:c>
      <x:c r="O16" s="305" t="str">
        <x:v>Obesity demand expands, but Novo loses mix/share and must lower net price to protect access.</x:v>
      </x:c>
      <x:c r="P16" s="305" t="str">
        <x:v>Oral Wegovy succeeds while cannibalization and manufacturing transition reduce incremental economics.</x:v>
      </x:c>
      <x:c r="Q16" s="305" t="str">
        <x:v>The core franchise stabilizes, yet repeated pipeline attrition prevents the market from restoring a quality multiple.</x:v>
      </x:c>
      <x:c r="R16" s="330" t="str">
        <x:v>WATCH-CAPPED</x:v>
      </x:c>
      <x:c r="S16" s="305"/>
      <x:c r="T16" s="305" t="str">
        <x:v>PROVE REACCELERATION — require share, net-price, pipeline and owner-earnings recovery without adjustment dependence</x:v>
      </x:c>
      <x:c r="U16" s="305" t="str">
        <x:v>MEDIUM-HIGH</x:v>
      </x:c>
      <x:c r="V16" s="305" t="str">
        <x:v>US share/net price, oral cannibalization economics and post-impairment pipeline productivity</x:v>
      </x:c>
      <x:c r="W16" s="311" t="n">
        <x:v>46288</x:v>
      </x:c>
      <x:c r="X16" s="327" t="str">
        <x:v>COMPLETE — 2026-09-02</x:v>
      </x:c>
    </x:row>
    <x:row r="17" ht="106" customHeight="1">
      <x:c r="A17" s="304" t="str">
        <x:v>ARG-055</x:v>
      </x:c>
      <x:c r="B17" s="305" t="str">
        <x:v>Costco Wholesale</x:v>
      </x:c>
      <x:c r="C17" s="305" t="str">
        <x:v>COST</x:v>
      </x:c>
      <x:c r="D17" s="305" t="str">
        <x:v>Consumer</x:v>
      </x:c>
      <x:c r="E17" s="311" t="n">
        <x:v>46170</x:v>
      </x:c>
      <x:c r="F17" s="314" t="n">
        <x:v>933.47</x:v>
      </x:c>
      <x:c r="G17" s="305" t="str">
        <x:v>2026-09-02 15:10 UTC</x:v>
      </x:c>
      <x:c r="H17" s="305" t="str">
        <x:v>https://investor.costco.com/news/news-details/2026/Costco-Wholesale-Corporation-Reports-Third-Quarter-and-Year-To-Date-Operating-Results-For-Fiscal-2026/default.aspx</x:v>
      </x:c>
      <x:c r="I17" s="305" t="str">
        <x:v>https://www.bea.gov/news/current-releases | https://www.census.gov/retail/index.html | https://www.federalreserve.gov/newsevents/pressreleases/monetary20260729a.htm</x:v>
      </x:c>
      <x:c r="J17" s="305" t="str">
        <x:v>Fiscal Q3 net sales $69.154bn (+11.6%); adjusted comparable sales +6.6% and digitally enabled comps +20.8%; membership fees $1.373bn versus $1.240bn; net income $2.192bn and EPS $4.93; cash $18.946bn; 36-week CFO $11.133bn less $4.228bn capex; repurchases $603m.</x:v>
      </x:c>
      <x:c r="K17" s="305" t="str">
        <x:v>Membership renewal, trust, scale purchasing and low markups create a rare consumer moat with excellent survival qualities. The business passes; the stock fails margin-of-safety and opportunity-cost gates near 47× trailing earnings.</x:v>
      </x:c>
      <x:c r="L17" s="305" t="str">
        <x:v>Membership/traffic and value proposition → comparable sales and renewal → membership plus merchandise cash margin → warehouses/digital capex → FCF per share.</x:v>
      </x:c>
      <x:c r="M17" s="305" t="str">
        <x:v>Stress wage and shrink costs, tariff/merchandise inflation, renewal sensitivity, international expansion, digital fulfillment economics, capex intensity and a long period of multiple normalization.</x:v>
      </x:c>
      <x:c r="N17" s="305" t="str">
        <x:v>Sales, membership fees, digital comps and owner cash are strong, but the PIT price capitalizes decades of premium execution; repurchases are modest relative to market value, which appropriately limits value-destructive buybacks.</x:v>
      </x:c>
      <x:c r="O17" s="305" t="str">
        <x:v>Member loyalty remains high, but wage, shrink and fulfillment costs absorb merchandise growth.</x:v>
      </x:c>
      <x:c r="P17" s="305" t="str">
        <x:v>Costco expands successfully while new warehouse and digital capex earn lower incremental returns than the mature base.</x:v>
      </x:c>
      <x:c r="Q17" s="305" t="str">
        <x:v>The franchise compounds exactly as expected, yet the 47× starting multiple compresses and shareholder returns disappoint.</x:v>
      </x:c>
      <x:c r="R17" s="324" t="str">
        <x:v>BLOCKED - FAIL</x:v>
      </x:c>
      <x:c r="S17" s="305"/>
      <x:c r="T17" s="305" t="str">
        <x:v>WAIT FOR PRICE — preserve the franchise assessment but require a materially lower expectation burden</x:v>
      </x:c>
      <x:c r="U17" s="305" t="str">
        <x:v>HIGH</x:v>
      </x:c>
      <x:c r="V17" s="305" t="str">
        <x:v>Conservative entry value using normalized warehouse returns, wage/shrink and capex</x:v>
      </x:c>
      <x:c r="W17" s="311" t="n">
        <x:v>46289</x:v>
      </x:c>
      <x:c r="X17" s="327" t="str">
        <x:v>COMPLETE — 2026-09-02</x:v>
      </x:c>
    </x:row>
    <x:row r="18" ht="106" customHeight="1">
      <x:c r="A18" s="304" t="str">
        <x:v>ARG-071</x:v>
      </x:c>
      <x:c r="B18" s="305" t="str">
        <x:v>Linde</x:v>
      </x:c>
      <x:c r="C18" s="305" t="str">
        <x:v>LIN</x:v>
      </x:c>
      <x:c r="D18" s="305" t="str">
        <x:v>Materials &amp; Mining</x:v>
      </x:c>
      <x:c r="E18" s="311" t="n">
        <x:v>46234</x:v>
      </x:c>
      <x:c r="F18" s="314" t="n">
        <x:v>488.46</x:v>
      </x:c>
      <x:c r="G18" s="305" t="str">
        <x:v>2026-09-02 15:10 UTC</x:v>
      </x:c>
      <x:c r="H18" s="305" t="str">
        <x:v>https://www.linde.com/news-and-media/2026/linde-reports-second-quarter-2026-results</x:v>
      </x:c>
      <x:c r="I18" s="305" t="str">
        <x:v>https://www.bea.gov/news/current-releases | https://www.eia.gov/outlooks/steo/ | https://www.federalreserve.gov/newsevents/pressreleases/monetary20260729a.htm</x:v>
      </x:c>
      <x:c r="J18" s="305" t="str">
        <x:v>Q2 sales $9.3bn (+9%; +4% underlying); operating profit $2.6bn and adjusted operating profit $2.7bn (+7%); adjusted margin 29.5%; EPS $4.15 and adjusted EPS $4.50 (+10%); CFO $2.3bn; project backlog $11bn; FY adjusted EPS guide $17.70–$17.90; a $1bn US semiconductor facility was announced.</x:v>
      </x:c>
      <x:c r="K18" s="305" t="str">
        <x:v>Long-term contracts, density, critical supply and engineering create a durable industrial-gases moat. Pricing, productivity and backlog support owner economics; the 31.5× P/E and large projects cap conviction rather than fail the franchise.</x:v>
      </x:c>
      <x:c r="L18" s="305" t="str">
        <x:v>Contracted volumes/pricing and project starts → plant utilization/productivity → operating cash → maintenance/growth capex → backlog conversion → FCF per share.</x:v>
      </x:c>
      <x:c r="M18" s="305" t="str">
        <x:v>Stress take-or-pay/customer credit, energy pass-through lags, project cost/commissioning, semiconductor-cycle timing, acquisition/accounting adjustments, FX and capital returns at a premium valuation.</x:v>
      </x:c>
      <x:c r="N18" s="305" t="str">
        <x:v>Underlying sales rose only 4% while adjusted EPS rose 10% through pricing/productivity; the backlog and $1bn semiconductor project extend duration but increase execution and capital-return exposure.</x:v>
      </x:c>
      <x:c r="O18" s="305" t="str">
        <x:v>Customer demand remains intact, but energy pass-through and industrial mix compress cash margins temporarily.</x:v>
      </x:c>
      <x:c r="P18" s="305" t="str">
        <x:v>The semiconductor facility is contracted and strategic, yet timing and utilization lower the realized project return.</x:v>
      </x:c>
      <x:c r="Q18" s="305" t="str">
        <x:v>Linde compounds steadily, but a 31.5× starting price makes an ordinary industrial slowdown costly.</x:v>
      </x:c>
      <x:c r="R18" s="330" t="str">
        <x:v>WATCH-CAPPED</x:v>
      </x:c>
      <x:c r="S18" s="305"/>
      <x:c r="T18" s="305" t="str">
        <x:v>WATCH — require contracted project returns, clean FCF and price protection before promotion</x:v>
      </x:c>
      <x:c r="U18" s="305" t="str">
        <x:v>HIGH</x:v>
      </x:c>
      <x:c r="V18" s="305" t="str">
        <x:v>Project-level return and utilization evidence for backlog and the $1bn semiconductor facility</x:v>
      </x:c>
      <x:c r="W18" s="311" t="n">
        <x:v>46310</x:v>
      </x:c>
      <x:c r="X18" s="327" t="str">
        <x:v>COMPLETE — 2026-09-02</x:v>
      </x:c>
    </x:row>
    <x:row r="19" ht="106" customHeight="1">
      <x:c r="A19" s="307" t="str">
        <x:v>ARG-068</x:v>
      </x:c>
      <x:c r="B19" s="308" t="str">
        <x:v>RTX</x:v>
      </x:c>
      <x:c r="C19" s="308" t="str">
        <x:v>RTX</x:v>
      </x:c>
      <x:c r="D19" s="308" t="str">
        <x:v>Industrials &amp; Defense</x:v>
      </x:c>
      <x:c r="E19" s="312" t="n">
        <x:v>46226</x:v>
      </x:c>
      <x:c r="F19" s="315" t="n">
        <x:v>202.54</x:v>
      </x:c>
      <x:c r="G19" s="308" t="str">
        <x:v>2026-09-02 15:10 UTC</x:v>
      </x:c>
      <x:c r="H19" s="308" t="str">
        <x:v>https://www.rtx.com/news/news-center/2026/07/23/rtx-reports-q2-2026-results</x:v>
      </x:c>
      <x:c r="I19" s="308" t="str">
        <x:v>https://www.defense.gov/News/Contracts/ | https://www.faa.gov/newsroom | https://www.federalreserve.gov/newsevents/pressreleases/monetary20260729a.htm</x:v>
      </x:c>
      <x:c r="J19" s="308" t="str">
        <x:v>Q2 sales $24.7bn (+14%; +16% organic); adjusted EPS $1.89 (+21%); CFO $3.5bn, capex $0.7bn and FCF $2.9bn; backlog $289bn (+22%), including $170bn commercial and $119bn defense; FY adjusted sales guide $95–$96bn, adjusted EPS $7.10–$7.25 and FCF $8.5–$8.75bn.</x:v>
      </x:c>
      <x:c r="K19" s="308" t="str">
        <x:v>Pratt installed-base aftermarket, Collins content and defense franchises create durable demand and a vast backlog. Owner cash is improving, but Pratt powder-metal remediation, contract execution and capital structure keep the case WATCH-capped.</x:v>
      </x:c>
      <x:c r="L19" s="308" t="str">
        <x:v>Commercial flight hours and defense awards → OE/aftermarket/backlog revenue → program margin and working capital → remediation/capex → FCF and debt/shareholder returns.</x:v>
      </x:c>
      <x:c r="M19" s="308" t="str">
        <x:v>Stress powder-metal scope and customer compensation, fixed-price defense programs, supplier capacity, certification/quality, backlog inflation, pension/debt and adjusted-versus-GAAP cash reconciliation.</x:v>
      </x:c>
      <x:c r="N19" s="308" t="str">
        <x:v>Organic growth, backlog and FCF are strong, while a major engine-quality correction still makes execution and cash timing central; the PIT price at about 28× 2026 adjusted EPS already rewards clean conversion.</x:v>
      </x:c>
      <x:c r="O19" s="308" t="str">
        <x:v>Air traffic and defense demand rise, but powder-metal remediation consumes more cash and time than expected.</x:v>
      </x:c>
      <x:c r="P19" s="308" t="str">
        <x:v>Backlog converts while supplier inflation and fixed-price terms shift economics away from RTX.</x:v>
      </x:c>
      <x:c r="Q19" s="308" t="str">
        <x:v>Operations recover, yet adjusted earnings overstate clean owner cash and the market de-rates the shares.</x:v>
      </x:c>
      <x:c r="R19" s="333" t="str">
        <x:v>WATCH-CAPPED</x:v>
      </x:c>
      <x:c r="S19" s="308"/>
      <x:c r="T19" s="308" t="str">
        <x:v>WATCH — require Pratt correction closure, backlog cash margins and adjusted-to-owner-cash reconciliation</x:v>
      </x:c>
      <x:c r="U19" s="308" t="str">
        <x:v>MEDIUM-HIGH</x:v>
      </x:c>
      <x:c r="V19" s="308" t="str">
        <x:v>Powder-metal ultimate cash cost, fixed-price program margins and normalized FCF after remediation</x:v>
      </x:c>
      <x:c r="W19" s="312" t="n">
        <x:v>46310</x:v>
      </x:c>
      <x:c r="X19" s="336" t="str">
        <x:v>COMPLETE — 2026-09-02</x:v>
      </x:c>
    </x:row>
  </x:sheetData>
  <x:mergeCells>
    <x:mergeCell ref="A1:X1"/>
    <x:mergeCell ref="A2:X2"/>
    <x:mergeCell ref="A3:X3"/>
  </x:mergeCells>
  <x:pageMargins left="0.7" right="0.7" top="0.75" bottom="0.75" header="0.3" footer="0.3"/>
</x:worksheet>
</file>

<file path=xl/worksheets/sheet21.xml><?xml version="1.0" encoding="utf-8"?>
<x:worksheet xmlns:x="http://schemas.openxmlformats.org/spreadsheetml/2006/main">
  <x:sheetFormatPr defaultRowHeight="15"/>
  <x:cols>
    <x:col min="1" max="1" width="88" hidden="0" customWidth="1"/>
    <x:col min="2" max="2" width="155" hidden="0" customWidth="1"/>
    <x:col min="3" max="3" width="72" hidden="0" customWidth="1"/>
    <x:col min="4" max="4" width="125" hidden="0" customWidth="1"/>
    <x:col min="5" max="5" width="88" hidden="0" customWidth="1"/>
    <x:col min="6" max="6" width="80" hidden="0" customWidth="1"/>
    <x:col min="7" max="7" width="125" hidden="0" customWidth="1"/>
    <x:col min="8" max="8" width="255" hidden="0" customWidth="1"/>
    <x:col min="9" max="9" width="255" hidden="0" customWidth="1"/>
    <x:col min="10" max="10" width="255" hidden="0" customWidth="1"/>
    <x:col min="11" max="11" width="255" hidden="0" customWidth="1"/>
    <x:col min="12" max="12" width="255" hidden="0" customWidth="1"/>
    <x:col min="13" max="13" width="255" hidden="0" customWidth="1"/>
    <x:col min="14" max="14" width="255" hidden="0" customWidth="1"/>
    <x:col min="15" max="15" width="255" hidden="0" customWidth="1"/>
    <x:col min="16" max="16" width="255" hidden="0" customWidth="1"/>
    <x:col min="17" max="17" width="255" hidden="0" customWidth="1"/>
    <x:col min="18" max="18" width="105" hidden="0" customWidth="1"/>
    <x:col min="19" max="19" width="100" hidden="0" customWidth="1"/>
    <x:col min="20" max="20" width="255" hidden="0" customWidth="1"/>
    <x:col min="21" max="21" width="92" hidden="0" customWidth="1"/>
    <x:col min="22" max="22" width="255" hidden="0" customWidth="1"/>
    <x:col min="23" max="23" width="92" hidden="0" customWidth="1"/>
    <x:col min="24" max="24" width="132" hidden="0" customWidth="1"/>
  </x:cols>
  <x:sheetData>
    <x:row r="1" ht="30" customHeight="1">
      <x:c r="A1" s="356" t="str">
        <x:v>ARGUS V10.32 — P2-C DEEP RESEARCH</x:v>
      </x:c>
      <x:c r="B1" s="356"/>
      <x:c r="C1" s="356"/>
      <x:c r="D1" s="356"/>
      <x:c r="E1" s="356"/>
      <x:c r="F1" s="356"/>
      <x:c r="G1" s="356"/>
      <x:c r="H1" s="356"/>
      <x:c r="I1" s="356"/>
      <x:c r="J1" s="356"/>
      <x:c r="K1" s="356"/>
      <x:c r="L1" s="356"/>
      <x:c r="M1" s="356"/>
      <x:c r="N1" s="356"/>
      <x:c r="O1" s="356"/>
      <x:c r="P1" s="356"/>
      <x:c r="Q1" s="356"/>
      <x:c r="R1" s="356"/>
      <x:c r="S1" s="356"/>
      <x:c r="T1" s="356"/>
      <x:c r="U1" s="356"/>
      <x:c r="V1" s="356"/>
      <x:c r="W1" s="356"/>
      <x:c r="X1" s="356"/>
    </x:row>
    <x:row r="2" ht="24" customHeight="1">
      <x:c r="A2" s="359" t="str">
        <x:v>Final 20 P2 companies · T1/T2/PIT · three passes · contradiction log · Dalio Test · 12 owner gates</x:v>
      </x:c>
      <x:c r="B2" s="359"/>
      <x:c r="C2" s="359"/>
      <x:c r="D2" s="359"/>
      <x:c r="E2" s="359"/>
      <x:c r="F2" s="359"/>
      <x:c r="G2" s="359"/>
      <x:c r="H2" s="359"/>
      <x:c r="I2" s="359"/>
      <x:c r="J2" s="359"/>
      <x:c r="K2" s="359"/>
      <x:c r="L2" s="359"/>
      <x:c r="M2" s="359"/>
      <x:c r="N2" s="359"/>
      <x:c r="O2" s="359"/>
      <x:c r="P2" s="359"/>
      <x:c r="Q2" s="359"/>
      <x:c r="R2" s="359"/>
      <x:c r="S2" s="359"/>
      <x:c r="T2" s="359"/>
      <x:c r="U2" s="359"/>
      <x:c r="V2" s="359"/>
      <x:c r="W2" s="359"/>
      <x:c r="X2" s="359"/>
    </x:row>
    <x:row r="3" ht="26" customHeight="1">
      <x:c r="A3" s="362" t="str">
        <x:v>SHADOW / FAIL-CLOSED: all 50 P2 reviews are complete; evidence may block or cap but cannot promote READY or rewrite V10.25.</x:v>
      </x:c>
      <x:c r="B3" s="362"/>
      <x:c r="C3" s="362"/>
      <x:c r="D3" s="362"/>
      <x:c r="E3" s="362"/>
      <x:c r="F3" s="362"/>
      <x:c r="G3" s="362"/>
      <x:c r="H3" s="362"/>
      <x:c r="I3" s="362"/>
      <x:c r="J3" s="362"/>
      <x:c r="K3" s="362"/>
      <x:c r="L3" s="362"/>
      <x:c r="M3" s="362"/>
      <x:c r="N3" s="362"/>
      <x:c r="O3" s="362"/>
      <x:c r="P3" s="362"/>
      <x:c r="Q3" s="362"/>
      <x:c r="R3" s="362"/>
      <x:c r="S3" s="362"/>
      <x:c r="T3" s="362"/>
      <x:c r="U3" s="362"/>
      <x:c r="V3" s="362"/>
      <x:c r="W3" s="362"/>
      <x:c r="X3" s="362"/>
    </x:row>
    <x:row r="4" ht="48" customHeight="1">
      <x:c r="A4" s="367" t="str">
        <x:v>Company ID</x:v>
      </x:c>
      <x:c r="B4" s="367" t="str">
        <x:v>Company</x:v>
      </x:c>
      <x:c r="C4" s="367" t="str">
        <x:v>Ticker</x:v>
      </x:c>
      <x:c r="D4" s="367" t="str">
        <x:v>Sector</x:v>
      </x:c>
      <x:c r="E4" s="367" t="str">
        <x:v>Evidence Date</x:v>
      </x:c>
      <x:c r="F4" s="367" t="str">
        <x:v>PIT Price</x:v>
      </x:c>
      <x:c r="G4" s="367" t="str">
        <x:v>PIT Time</x:v>
      </x:c>
      <x:c r="H4" s="367" t="str">
        <x:v>T1 Source URL</x:v>
      </x:c>
      <x:c r="I4" s="367" t="str">
        <x:v>T2 / PIT Package</x:v>
      </x:c>
      <x:c r="J4" s="367" t="str">
        <x:v>Current T1 Facts</x:v>
      </x:c>
      <x:c r="K4" s="367" t="str">
        <x:v>Pass 1 — Business &amp; Owner Earnings</x:v>
      </x:c>
      <x:c r="L4" s="367" t="str">
        <x:v>Pass 2 — Causal Chain</x:v>
      </x:c>
      <x:c r="M4" s="367" t="str">
        <x:v>Pass 3 — Red Team</x:v>
      </x:c>
      <x:c r="N4" s="367" t="str">
        <x:v>Contradictions</x:v>
      </x:c>
      <x:c r="O4" s="367" t="str">
        <x:v>Dalio Path 1</x:v>
      </x:c>
      <x:c r="P4" s="367" t="str">
        <x:v>Dalio Path 2</x:v>
      </x:c>
      <x:c r="Q4" s="367" t="str">
        <x:v>Dalio Path 3</x:v>
      </x:c>
      <x:c r="R4" s="367" t="str">
        <x:v>Owner Status</x:v>
      </x:c>
      <x:c r="S4" s="367" t="str">
        <x:v>Frozen V10</x:v>
      </x:c>
      <x:c r="T4" s="367" t="str">
        <x:v>Evidence-Controlled Action</x:v>
      </x:c>
      <x:c r="U4" s="367" t="str">
        <x:v>Confidence</x:v>
      </x:c>
      <x:c r="V4" s="367" t="str">
        <x:v>Critical Gap</x:v>
      </x:c>
      <x:c r="W4" s="367" t="str">
        <x:v>Next Review</x:v>
      </x:c>
      <x:c r="X4" s="367" t="str">
        <x:v>Research Status</x:v>
      </x:c>
    </x:row>
    <x:row r="5" ht="106" customHeight="1">
      <x:c r="A5" s="301" t="str">
        <x:v>ARG-013</x:v>
      </x:c>
      <x:c r="B5" s="302" t="str">
        <x:v>Marvell Technology</x:v>
      </x:c>
      <x:c r="C5" s="302" t="str">
        <x:v>MRVL</x:v>
      </x:c>
      <x:c r="D5" s="302" t="str">
        <x:v>AI &amp; Semiconductors</x:v>
      </x:c>
      <x:c r="E5" s="310" t="n">
        <x:v>46261</x:v>
      </x:c>
      <x:c r="F5" s="313" t="n">
        <x:v>205.7</x:v>
      </x:c>
      <x:c r="G5" s="302" t="str">
        <x:v>2026-09-02 15:28 UTC</x:v>
      </x:c>
      <x:c r="H5" s="302" t="str">
        <x:v>https://investor.marvell.com/news-events/press-releases/detail/1031/marvell-technology-inc-reports-second-quarter-of-fiscal-year-2027-financial-results</x:v>
      </x:c>
      <x:c r="I5" s="302" t="str">
        <x:v>https://www.bis.gov/press-release | https://www.federalreserve.gov/newsevents/pressreleases/monetary20260729a.htm | https://www.sec.gov/edgar/search/</x:v>
      </x:c>
      <x:c r="J5" s="302" t="str">
        <x:v>Fiscal Q2 net revenue was a record $2.739bn (+37% YoY), Data Center growth accelerated to 46%, GAAP gross margin was 53.1%, GAAP EPS $0.33 versus non-GAAP $0.94, and operating cash flow was $605.5m. Fiscal Q3 revenue guidance is $3.15bn ±5%.</x:v>
      </x:c>
      <x:c r="K5" s="302" t="str">
        <x:v>Custom silicon, electro-optics and connectivity expose Marvell to durable data-center complexity, but acquisition intangibles, stock compensation and customer-program concentration make headline non-GAAP earnings a poor substitute for owner earnings.</x:v>
      </x:c>
      <x:c r="L5" s="302" t="str">
        <x:v>Hyperscaler design wins → program ramps and connectivity attach → gross profit → R&amp;D, stock compensation and working capital → cash earnings per diluted share → value against program concentration and cycle risk.</x:v>
      </x:c>
      <x:c r="M5" s="302" t="str">
        <x:v>Stress a delayed custom program, insourcing by a hyperscaler, connectivity share loss, export constraints, 900m-plus diluted shares, recurring acquisition amortization and AI capex digestion after capacity is committed.</x:v>
      </x:c>
      <x:c r="N5" s="302" t="str">
        <x:v>Revenue and bookings are accelerating, yet Q2 non-GAAP income of $865.9m was almost three times GAAP income and the PIT price implies about 68× trailing earnings. Strong end demand does not prove durable per-share owner economics.</x:v>
      </x:c>
      <x:c r="O5" s="302" t="str">
        <x:v>AI infrastructure expands, but customers internalize more silicon and compress Marvell share or pricing.</x:v>
      </x:c>
      <x:c r="P5" s="302" t="str">
        <x:v>Design wins remain intact while deployment timing slips after R&amp;D and supply commitments are incurred.</x:v>
      </x:c>
      <x:c r="Q5" s="302" t="str">
        <x:v>Marvell grows exactly as forecast, but dilution and a multiple reset overwhelm the fundamental success.</x:v>
      </x:c>
      <x:c r="R5" s="370" t="str">
        <x:v>BLOCKED - FAIL</x:v>
      </x:c>
      <x:c r="S5" s="302" t="str">
        <x:v>WAIT</x:v>
      </x:c>
      <x:c r="T5" s="302" t="str">
        <x:v>WAIT — reconcile GAAP/non-GAAP owner earnings, program concentration and dilution before any price work</x:v>
      </x:c>
      <x:c r="U5" s="302" t="str">
        <x:v>HIGH</x:v>
      </x:c>
      <x:c r="V5" s="302" t="str">
        <x:v>Customer-program concentration, SBC-adjusted owner earnings and normalized custom-silicon returns</x:v>
      </x:c>
      <x:c r="W5" s="310" t="n">
        <x:v>46301</x:v>
      </x:c>
      <x:c r="X5" s="373" t="str">
        <x:v>COMPLETE — 2026-09-02</x:v>
      </x:c>
    </x:row>
    <x:row r="6" ht="106" customHeight="1">
      <x:c r="A6" s="304" t="str">
        <x:v>ARG-018</x:v>
      </x:c>
      <x:c r="B6" s="305" t="str">
        <x:v>nVent Electric</x:v>
      </x:c>
      <x:c r="C6" s="305" t="str">
        <x:v>NVT</x:v>
      </x:c>
      <x:c r="D6" s="305" t="str">
        <x:v>Power &amp; Grid</x:v>
      </x:c>
      <x:c r="E6" s="311" t="n">
        <x:v>46258</x:v>
      </x:c>
      <x:c r="F6" s="314" t="n">
        <x:v>146.79</x:v>
      </x:c>
      <x:c r="G6" s="305" t="str">
        <x:v>2026-09-02 15:28 UTC</x:v>
      </x:c>
      <x:c r="H6" s="305" t="str">
        <x:v>https://www.sec.gov/Archives/edgar/data/1720635/000162828026051203/q22026nvtpressrelease.htm</x:v>
      </x:c>
      <x:c r="I6" s="305" t="str">
        <x:v>https://www.eia.gov/outlooks/steo/ | https://www.ferc.gov/industries-data/electric/power-sales-and-markets/market-assessments | https://www.federalreserve.gov/newsevents/pressreleases/monetary20260729a.htm</x:v>
      </x:c>
      <x:c r="J6" s="305" t="str">
        <x:v>Q2 sales were $1.471bn (+53%, +47% organic), reported EPS $1.32 (+103%), adjusted EPS $1.45 (+69%), operating cash flow $189m and FCF $167m. Full-year organic-growth guidance rose to 32–34%; on 24 August nVent agreed to acquire Maverick Power for $1.75bn, about 11.5× anticipated 2026 adjusted EBITDA before tax benefits.</x:v>
      </x:c>
      <x:c r="K6" s="305" t="str">
        <x:v>Electrical protection, enclosures and data-center power infrastructure have attractive qualification and channel characteristics. Exceptional organic growth strengthens the franchise case, while repeated acquisitions make cohort returns and integration the decisive owner test.</x:v>
      </x:c>
      <x:c r="L6" s="305" t="str">
        <x:v>Grid/data-center buildout → organic orders and acquired capabilities → price/mix and margin → working-capital/capacity needs → acquisition debt and integration → FCF per share.</x:v>
      </x:c>
      <x:c r="M6" s="305" t="str">
        <x:v>Stress hyperscaler concentration, a cooling/power architecture shift, tariff and input costs, Maverick synergy slippage, acquisition goodwill, working-capital reversal and organic growth reverting before capacity is absorbed.</x:v>
      </x:c>
      <x:c r="N6" s="305" t="str">
        <x:v>Q2 growth and cash flow were outstanding, but the new $1.75bn transaction arrived at the strongest point in demand and adds integration and price-paid risk. A 20× trailing P/E is not extreme, yet trailing earnings may overstate a normalized run rate.</x:v>
      </x:c>
      <x:c r="O6" s="305" t="str">
        <x:v>Data-center demand rises, but customer concentration transfers bargaining power and lowers incremental margins.</x:v>
      </x:c>
      <x:c r="P6" s="305" t="str">
        <x:v>Maverick adds revenue as planned while integration and purchase accounting depress cash returns per share.</x:v>
      </x:c>
      <x:c r="Q6" s="305" t="str">
        <x:v>The structural thesis is right, but an order digestion cycle arrives before acquisition debt is reduced.</x:v>
      </x:c>
      <x:c r="R6" s="376" t="str">
        <x:v>WATCH-CAPPED</x:v>
      </x:c>
      <x:c r="S6" s="305" t="str">
        <x:v>WATCH</x:v>
      </x:c>
      <x:c r="T6" s="305" t="str">
        <x:v>WATCH — require Maverick cohort returns, pro-forma leverage and organic margin durability</x:v>
      </x:c>
      <x:c r="U6" s="305" t="str">
        <x:v>HIGH</x:v>
      </x:c>
      <x:c r="V6" s="305" t="str">
        <x:v>Maverick purchase-price return, customer concentration and normalized organic growth</x:v>
      </x:c>
      <x:c r="W6" s="311" t="n">
        <x:v>46325</x:v>
      </x:c>
      <x:c r="X6" s="379" t="str">
        <x:v>COMPLETE — 2026-09-02</x:v>
      </x:c>
    </x:row>
    <x:row r="7" ht="106" customHeight="1">
      <x:c r="A7" s="304" t="str">
        <x:v>ARG-025</x:v>
      </x:c>
      <x:c r="B7" s="305" t="str">
        <x:v>Croda International</x:v>
      </x:c>
      <x:c r="C7" s="305" t="str">
        <x:v>CRDA.L</x:v>
      </x:c>
      <x:c r="D7" s="305" t="str">
        <x:v>Specialty Ingredients</x:v>
      </x:c>
      <x:c r="E7" s="311" t="n">
        <x:v>46231</x:v>
      </x:c>
      <x:c r="F7" s="314" t="n">
        <x:v>33.38</x:v>
      </x:c>
      <x:c r="G7" s="305" t="str">
        <x:v>2026-09-02 15:28 UTC</x:v>
      </x:c>
      <x:c r="H7" s="305" t="str">
        <x:v>https://www.croda.com/en-gb/media-hub/news/general/2026-half-year-results</x:v>
      </x:c>
      <x:c r="I7" s="305" t="str">
        <x:v>https://www.ons.gov.uk/economy/grossdomesticproductgdp/bulletins/gdpfirstquarterlyestimateuk/apriltojune2026 | https://www.ecb.europa.eu/press/pr/date/2026/html/ecb.mp260723~29f24d99bc.en.html</x:v>
      </x:c>
      <x:c r="J7" s="305" t="str">
        <x:v>H1 sales were £880.5m (+2.9%, +4.6% organic), adjusted operating profit £155.8m (+6.7% organic), adjusted margin 17.7%, FCF £38.3m (+36.8%) and leverage 1.4×. Consumer Care grew 8%, Life Sciences was flat, Pharma Solutions fell 17%, and FY26 outlook was unchanged.</x:v>
      </x:c>
      <x:c r="K7" s="305" t="str">
        <x:v>Formulation know-how, regulatory qualification and customer co-development support a real specialty moat. Recovery is visible, but weak Pharma Solutions, modest cash conversion and prior capacity misallocation keep the return-on-capital case on probation.</x:v>
      </x:c>
      <x:c r="L7" s="305" t="str">
        <x:v>Innovation pipeline and customer qualification → protected-product volume/price-mix → utilization and margin → capex/working capital → FCF → debt and per-share value.</x:v>
      </x:c>
      <x:c r="M7" s="305" t="str">
        <x:v>Stress Pharma project phasing becoming structural, beauty trade-down, crop weakness, underutilized lipid assets, £100m savings substituting for growth, currency translation and lower capex temporarily flattering FCF.</x:v>
      </x:c>
      <x:c r="N7" s="305" t="str">
        <x:v>Organic sales and margins improved and FCF rose, while Life Sciences was flat and Pharma Solutions declined 17%. The recovery is broad enough to monitor but not yet clean enough to underwrite as a completed turnaround.</x:v>
      </x:c>
      <x:c r="O7" s="305" t="str">
        <x:v>Consumer Care recovers, but Pharma capacity remains underutilized and absorbs the cash benefit.</x:v>
      </x:c>
      <x:c r="P7" s="305" t="str">
        <x:v>Transformation savings arrive while competitive pricing gives part of them back to customers.</x:v>
      </x:c>
      <x:c r="Q7" s="305" t="str">
        <x:v>The business improves, but sterling translation and a slower end-market recovery delay per-share value realization.</x:v>
      </x:c>
      <x:c r="R7" s="376" t="str">
        <x:v>WATCH-CAPPED</x:v>
      </x:c>
      <x:c r="S7" s="305" t="str">
        <x:v>WATCH</x:v>
      </x:c>
      <x:c r="T7" s="305" t="str">
        <x:v>WATCH — demand Pharma Solutions recovery, capacity utilization and conversion of adjusted profit to FCF</x:v>
      </x:c>
      <x:c r="U7" s="305" t="str">
        <x:v>HIGH</x:v>
      </x:c>
      <x:c r="V7" s="305" t="str">
        <x:v>Lipid/Pharma capacity returns, clean FCF conversion and segment-level recovery durability</x:v>
      </x:c>
      <x:c r="W7" s="311" t="n">
        <x:v>46331</x:v>
      </x:c>
      <x:c r="X7" s="379" t="str">
        <x:v>COMPLETE — 2026-09-02</x:v>
      </x:c>
    </x:row>
    <x:row r="8" ht="106" customHeight="1">
      <x:c r="A8" s="304" t="str">
        <x:v>ARG-026</x:v>
      </x:c>
      <x:c r="B8" s="305" t="str">
        <x:v>Sensient Technologies</x:v>
      </x:c>
      <x:c r="C8" s="305" t="str">
        <x:v>SXT</x:v>
      </x:c>
      <x:c r="D8" s="305" t="str">
        <x:v>Specialty Ingredients</x:v>
      </x:c>
      <x:c r="E8" s="311" t="n">
        <x:v>46227</x:v>
      </x:c>
      <x:c r="F8" s="314" t="n">
        <x:v>136.48</x:v>
      </x:c>
      <x:c r="G8" s="305" t="str">
        <x:v>2026-09-02 15:28 UTC</x:v>
      </x:c>
      <x:c r="H8" s="305" t="str">
        <x:v>https://www.sec.gov/Archives/edgar/data/310142/000114036126029501/ef20078569_ex99-1.htm</x:v>
      </x:c>
      <x:c r="I8" s="305" t="str">
        <x:v>https://www.census.gov/retail/index.html | https://www.bls.gov/cpi/ | https://www.sec.gov/edgar/search/</x:v>
      </x:c>
      <x:c r="J8" s="305" t="str">
        <x:v>Q2 revenue rose 11.6% to $462.1m, operating income 32.9% to $76.7m and EPS 36.4% to $1.20. Local-currency adjusted EBITDA rose 20.8%; Color revenue grew 20.6%. GAAP EPS guidance increased to $4.10–$4.20.</x:v>
      </x:c>
      <x:c r="K8" s="305" t="str">
        <x:v>Customer-specific colors, flavors and regulatory formulation create sticky niches and good incremental economics. Current momentum is genuine, but the price already discounts a sustained high-growth conversion from a historically steadier business.</x:v>
      </x:c>
      <x:c r="L8" s="305" t="str">
        <x:v>Customer innovation and reformulation → qualified volume and price → segment margin → working capital/capex → FCF per share → value at normalized growth.</x:v>
      </x:c>
      <x:c r="M8" s="305" t="str">
        <x:v>Stress customer destocking, natural-color substitution cycles, raw-material inflation, price resistance, Color growth normalization, portfolio-plan benefits lapping and growth capex that trails current earnings.</x:v>
      </x:c>
      <x:c r="N8" s="305" t="str">
        <x:v>All major headline metrics accelerated and guidance rose, yet the PIT price is about 36.8× trailing earnings and more than 32× the top of current GAAP EPS guidance. Excellent execution is not equivalent to a margin of safety.</x:v>
      </x:c>
      <x:c r="O8" s="305" t="str">
        <x:v>Demand for natural colors grows, but customers dual-source and negotiate away incremental margin.</x:v>
      </x:c>
      <x:c r="P8" s="305" t="str">
        <x:v>Volume remains strong while raw-material and working-capital needs absorb accounting profit.</x:v>
      </x:c>
      <x:c r="Q8" s="305" t="str">
        <x:v>Sensient compounds well, yet the entry multiple normalizes to a mature specialty-ingredient range.</x:v>
      </x:c>
      <x:c r="R8" s="382" t="str">
        <x:v>BLOCKED - FAIL</x:v>
      </x:c>
      <x:c r="S8" s="305" t="str">
        <x:v>WAIT FOR PRICE</x:v>
      </x:c>
      <x:c r="T8" s="305" t="str">
        <x:v>WAIT FOR PRICE — preserve quality thesis but require normalized FCF and a materially lower expectations burden</x:v>
      </x:c>
      <x:c r="U8" s="305" t="str">
        <x:v>HIGH</x:v>
      </x:c>
      <x:c r="V8" s="305" t="str">
        <x:v>Normalized FCF after working capital, sustainable Color growth and defensible entry range</x:v>
      </x:c>
      <x:c r="W8" s="311" t="n">
        <x:v>46318</x:v>
      </x:c>
      <x:c r="X8" s="379" t="str">
        <x:v>COMPLETE — 2026-09-02</x:v>
      </x:c>
    </x:row>
    <x:row r="9" ht="106" customHeight="1">
      <x:c r="A9" s="304" t="str">
        <x:v>ARG-028</x:v>
      </x:c>
      <x:c r="B9" s="305" t="str">
        <x:v>Exxon Mobil</x:v>
      </x:c>
      <x:c r="C9" s="305" t="str">
        <x:v>XOM</x:v>
      </x:c>
      <x:c r="D9" s="305" t="str">
        <x:v>Energy</x:v>
      </x:c>
      <x:c r="E9" s="311" t="n">
        <x:v>46234</x:v>
      </x:c>
      <x:c r="F9" s="314" t="n">
        <x:v>162.96</x:v>
      </x:c>
      <x:c r="G9" s="305" t="str">
        <x:v>2026-09-02 15:28 UTC</x:v>
      </x:c>
      <x:c r="H9" s="305" t="str">
        <x:v>https://investor.exxonmobil.com/</x:v>
      </x:c>
      <x:c r="I9" s="305" t="str">
        <x:v>https://www.eia.gov/outlooks/steo/ | https://www.iea.org/reports/oil-market-report-august-2026 | https://www.sec.gov/edgar/search/</x:v>
      </x:c>
      <x:c r="J9" s="305" t="str">
        <x:v>Q2 GAAP earnings were $14.5bn, adjusted earnings $14.7bn, CFO $23.6bn and cash capex $6.8bn; Permian production exceeded 1.8m boe/day. The quarter included unusually strong commodity and refining conditions.</x:v>
      </x:c>
      <x:c r="K9" s="305" t="str">
        <x:v>Scale, integration, low-cost Guyana/Permian growth and project execution make Exxon an advantaged producer. Owner earnings must still be valued on mid-cycle prices and sustaining capital, not a geopolitical commodity spike.</x:v>
      </x:c>
      <x:c r="L9" s="305" t="str">
        <x:v>Low-cost resource volume × realized commodity/refining margins → operating cash → sustaining/growth capex → dividends/buybacks → per-share mid-cycle value.</x:v>
      </x:c>
      <x:c r="M9" s="305" t="str">
        <x:v>Stress $55 oil, weak chemicals, refining mean reversion, Guyana fiscal/regulatory changes, project overruns, carbon-policy costs, long-cycle capex and buybacks funded at peak cash margins.</x:v>
      </x:c>
      <x:c r="N9" s="305" t="str">
        <x:v>Q2 cash generation and production were exceptional, but the PIT price implies about 23× trailing earnings while the current quarter benefited from abnormal energy-market conditions. Asset quality passes; the earnings base does not.</x:v>
      </x:c>
      <x:c r="O9" s="305" t="str">
        <x:v>Supply disruption lifts current cash flow, then policy response and demand destruction drive a sharp price reversal.</x:v>
      </x:c>
      <x:c r="P9" s="305" t="str">
        <x:v>Low-cost projects ramp as planned, but global supply also expands and compresses realized prices.</x:v>
      </x:c>
      <x:c r="Q9" s="305" t="str">
        <x:v>Exxon executes and returns cash, yet buys back shares near cyclical highs before a commodity reset.</x:v>
      </x:c>
      <x:c r="R9" s="376" t="str">
        <x:v>WATCH-CAPPED</x:v>
      </x:c>
      <x:c r="S9" s="305" t="str">
        <x:v>WATCH</x:v>
      </x:c>
      <x:c r="T9" s="305" t="str">
        <x:v>WATCH — value only on mid-cycle oil/refining/chemical margins and full sustaining capital</x:v>
      </x:c>
      <x:c r="U9" s="305" t="str">
        <x:v>HIGH</x:v>
      </x:c>
      <x:c r="V9" s="305" t="str">
        <x:v>Mid-cycle integrated owner earnings, project-level returns and buyback price discipline</x:v>
      </x:c>
      <x:c r="W9" s="311" t="n">
        <x:v>46325</x:v>
      </x:c>
      <x:c r="X9" s="379" t="str">
        <x:v>COMPLETE — 2026-09-02</x:v>
      </x:c>
    </x:row>
    <x:row r="10" ht="106" customHeight="1">
      <x:c r="A10" s="304" t="str">
        <x:v>ARG-029</x:v>
      </x:c>
      <x:c r="B10" s="305" t="str">
        <x:v>Chevron</x:v>
      </x:c>
      <x:c r="C10" s="305" t="str">
        <x:v>CVX</x:v>
      </x:c>
      <x:c r="D10" s="305" t="str">
        <x:v>Energy</x:v>
      </x:c>
      <x:c r="E10" s="311" t="n">
        <x:v>46234</x:v>
      </x:c>
      <x:c r="F10" s="314" t="n">
        <x:v>211.68</x:v>
      </x:c>
      <x:c r="G10" s="305" t="str">
        <x:v>2026-09-02 15:28 UTC</x:v>
      </x:c>
      <x:c r="H10" s="305" t="str">
        <x:v>https://chevroncorp.gcs-web.com/news-releases/news-release-details/chevron-reports-second-quarter-2026-results</x:v>
      </x:c>
      <x:c r="I10" s="305" t="str">
        <x:v>https://www.eia.gov/outlooks/steo/ | https://www.iea.org/reports/oil-market-report-august-2026 | https://www.sec.gov/edgar/search/</x:v>
      </x:c>
      <x:c r="J10" s="305" t="str">
        <x:v>Q2 earnings were $12.1bn, adjusted earnings $12.0bn, ROCE 21%, cash flow from operations excluding working capital $19.7bn and adjusted FCF $15.4bn. Worldwide production rose 20% YoY; shareholder distributions were $6.5bn and Hess synergies were advancing.</x:v>
      </x:c>
      <x:c r="K10" s="305" t="str">
        <x:v>Chevron combines a strong balance sheet, integrated assets and a materially larger post-Hess resource base. The investment case hinges on normalized commodity cash flow, integration returns and capital distribution through a volatile cycle.</x:v>
      </x:c>
      <x:c r="L10" s="305" t="str">
        <x:v>Resource quality and Hess integration → production/realizations → downstream offset → capex and working capital → debt reduction/distributions → per-share NAV and mid-cycle FCF.</x:v>
      </x:c>
      <x:c r="M10" s="305" t="str">
        <x:v>Stress Hess synergy shortfall, Guyana disputes, Kazakhstan/Venezuela exposure, $55 oil, refinery normalization, working-capital reversal and repurchases at peak quarterly FCF.</x:v>
      </x:c>
      <x:c r="N10" s="305" t="str">
        <x:v>Record production and cash flow support the strategic thesis, while the extraordinary Q2 oil/refining backdrop and acquisition integration make reported earnings an unsafe perpetuity base.</x:v>
      </x:c>
      <x:c r="O10" s="305" t="str">
        <x:v>Hess assets perform, but commodity prices normalize faster than synergies arrive.</x:v>
      </x:c>
      <x:c r="P10" s="305" t="str">
        <x:v>Production rises while royalties, partner disputes or geopolitical terms redirect the economics.</x:v>
      </x:c>
      <x:c r="Q10" s="305" t="str">
        <x:v>Chevron remains financially strong, yet capital returns at a cyclical high reduce later flexibility.</x:v>
      </x:c>
      <x:c r="R10" s="376" t="str">
        <x:v>WATCH-CAPPED</x:v>
      </x:c>
      <x:c r="S10" s="305" t="str">
        <x:v>WATCH</x:v>
      </x:c>
      <x:c r="T10" s="305" t="str">
        <x:v>WATCH — require post-Hess returns and a conservative mid-cycle FCF/NAV range</x:v>
      </x:c>
      <x:c r="U10" s="305" t="str">
        <x:v>HIGH</x:v>
      </x:c>
      <x:c r="V10" s="305" t="str">
        <x:v>Hess integration economics, mid-cycle FCF and jurisdiction-adjusted NAV</x:v>
      </x:c>
      <x:c r="W10" s="311" t="n">
        <x:v>46325</x:v>
      </x:c>
      <x:c r="X10" s="379" t="str">
        <x:v>COMPLETE — 2026-09-02</x:v>
      </x:c>
    </x:row>
    <x:row r="11" ht="106" customHeight="1">
      <x:c r="A11" s="304" t="str">
        <x:v>ARG-030</x:v>
      </x:c>
      <x:c r="B11" s="305" t="str">
        <x:v>ConocoPhillips</x:v>
      </x:c>
      <x:c r="C11" s="305" t="str">
        <x:v>COP</x:v>
      </x:c>
      <x:c r="D11" s="305" t="str">
        <x:v>Energy</x:v>
      </x:c>
      <x:c r="E11" s="311" t="n">
        <x:v>46240</x:v>
      </x:c>
      <x:c r="F11" s="314" t="n">
        <x:v>136.47</x:v>
      </x:c>
      <x:c r="G11" s="305" t="str">
        <x:v>2026-09-02 15:28 UTC</x:v>
      </x:c>
      <x:c r="H11" s="305" t="str">
        <x:v>https://www.conocophillips.com/news-media/story/conocophillips-announces-second-quarter-2026-results-and-quarterly-dividend/</x:v>
      </x:c>
      <x:c r="I11" s="305" t="str">
        <x:v>https://www.eia.gov/outlooks/steo/ | https://www.iea.org/reports/oil-market-report-august-2026 | https://www.sec.gov/edgar/search/</x:v>
      </x:c>
      <x:c r="J11" s="305" t="str">
        <x:v>Q2 earnings were $3.9bn or $3.23 per share; adjusted EPS was $3.24. Production was 2.248m boe/day, CFO $7.2bn and FCF about $4.2bn; shareholder distributions were $3.0bn. A CEO transition to Andy O’Brien became effective 1 September.</x:v>
      </x:c>
      <x:c r="K11" s="305" t="str">
        <x:v>Conoco owns a broad, low-cost upstream portfolio and has shown cycle discipline, but lacks downstream offsets. At roughly 18× trailing earnings after a high-price quarter, the current price offers insufficient protection against commodity mean reversion.</x:v>
      </x:c>
      <x:c r="L11" s="305" t="str">
        <x:v>Production and realized price → cash margin → sustaining/development capital → dispositions/debt/distributions → mid-cycle FCF per share.</x:v>
      </x:c>
      <x:c r="M11" s="305" t="str">
        <x:v>Stress $50–55 oil, Marathon integration, field decline, Alaska/Iraq project overruns, disposition quality, CEO transition and distributions that exceed normalized free cash generation.</x:v>
      </x:c>
      <x:c r="N11" s="305" t="str">
        <x:v>Q2 cash flow and production beat expectations, but higher realized prices drove much of the earnings step-up and pure upstream exposure magnifies the downside. Strong assets do not repair an inadequate mid-cycle entry price.</x:v>
      </x:c>
      <x:c r="O11" s="305" t="str">
        <x:v>Production targets are met, but geopolitical de-escalation cuts oil prices and cash flow more than volumes rise.</x:v>
      </x:c>
      <x:c r="P11" s="305" t="str">
        <x:v>The acquired portfolio integrates, yet sustaining capital and decline rates exceed the underwriting case.</x:v>
      </x:c>
      <x:c r="Q11" s="305" t="str">
        <x:v>Management returns cash aggressively before a price downturn and later must rebuild balance-sheet capacity.</x:v>
      </x:c>
      <x:c r="R11" s="382" t="str">
        <x:v>BLOCKED - FAIL</x:v>
      </x:c>
      <x:c r="S11" s="305" t="str">
        <x:v>WATCH</x:v>
      </x:c>
      <x:c r="T11" s="305" t="str">
        <x:v>WAIT — re-underwrite at $50–60 oil with full sustaining capital and Marathon integration costs</x:v>
      </x:c>
      <x:c r="U11" s="305" t="str">
        <x:v>HIGH</x:v>
      </x:c>
      <x:c r="V11" s="305" t="str">
        <x:v>Mid-cycle FCF, sustaining capital/decline rate and post-transition allocation discipline</x:v>
      </x:c>
      <x:c r="W11" s="311" t="n">
        <x:v>46331</x:v>
      </x:c>
      <x:c r="X11" s="379" t="str">
        <x:v>COMPLETE — 2026-09-02</x:v>
      </x:c>
    </x:row>
    <x:row r="12" ht="106" customHeight="1">
      <x:c r="A12" s="304" t="str">
        <x:v>ARG-031</x:v>
      </x:c>
      <x:c r="B12" s="305" t="str">
        <x:v>Occidental Petroleum</x:v>
      </x:c>
      <x:c r="C12" s="305" t="str">
        <x:v>OXY</x:v>
      </x:c>
      <x:c r="D12" s="305" t="str">
        <x:v>Energy</x:v>
      </x:c>
      <x:c r="E12" s="311" t="n">
        <x:v>46239</x:v>
      </x:c>
      <x:c r="F12" s="314" t="n">
        <x:v>60.635</x:v>
      </x:c>
      <x:c r="G12" s="305" t="str">
        <x:v>2026-09-02 15:28 UTC</x:v>
      </x:c>
      <x:c r="H12" s="305" t="str">
        <x:v>https://www.oxy.com/news/news-releases/occidental-announces-2nd-quarter-2026-results/</x:v>
      </x:c>
      <x:c r="I12" s="305" t="str">
        <x:v>https://www.eia.gov/outlooks/steo/ | https://www.iea.org/reports/oil-market-report-august-2026 | https://www.sec.gov/edgar/search/</x:v>
      </x:c>
      <x:c r="J12" s="305" t="str">
        <x:v>Q2 operating cash flow from continuing operations was $5.1bn and $4.6bn before working capital. Principal debt was reduced by $1.9bn to $11.8bn after the OxyChem sale; reported continuing net sales were about $8.1bn and the quarterly dividend rose to $0.28.</x:v>
      </x:c>
      <x:c r="K12" s="305" t="str">
        <x:v>Permian scale, enhanced-recovery expertise and faster debt reduction improve resilience. The OxyChem disposal simplifies the story, but it also removes diversification and makes normalized upstream cash flow and residual debt the central owner test.</x:v>
      </x:c>
      <x:c r="L12" s="305" t="str">
        <x:v>Oil/gas realizations and Permian productivity → operating cash → sustaining capital and collar effects → debt reduction/dividend → residual equity value.</x:v>
      </x:c>
      <x:c r="M12" s="305" t="str">
        <x:v>Stress $50 oil, higher decline/sustaining capex, collar losses, carbon-capture capital, asset-sale leakage, preferred/equity claims and deleveraging that slows once peak prices fade.</x:v>
      </x:c>
      <x:c r="N12" s="305" t="str">
        <x:v>Debt reduction is material and the headline P/E is about 9.4×, but the quarter reflects high oil prices and a portfolio disposal. Cheap reported earnings can coexist with fragile normalized equity cash flow.</x:v>
      </x:c>
      <x:c r="O12" s="305" t="str">
        <x:v>Oil stays operationally scarce, but policy releases and demand response lower prices before debt reaches target.</x:v>
      </x:c>
      <x:c r="P12" s="305" t="str">
        <x:v>Carbon-capture projects earn incentives while consuming more capital and time than anticipated.</x:v>
      </x:c>
      <x:c r="Q12" s="305" t="str">
        <x:v>The balance sheet improves, yet selling OxyChem leaves equity more exposed to the next commodity drawdown.</x:v>
      </x:c>
      <x:c r="R12" s="376" t="str">
        <x:v>WATCH-CAPPED</x:v>
      </x:c>
      <x:c r="S12" s="305" t="str">
        <x:v>WATCH</x:v>
      </x:c>
      <x:c r="T12" s="305" t="str">
        <x:v>WATCH — require sub-$10bn debt and owner earnings that survive $50–55 oil</x:v>
      </x:c>
      <x:c r="U12" s="305" t="str">
        <x:v>HIGH</x:v>
      </x:c>
      <x:c r="V12" s="305" t="str">
        <x:v>Post-OxyChem mid-cycle FCF, sustaining capital and debt/preferred-claim waterfall</x:v>
      </x:c>
      <x:c r="W12" s="311" t="n">
        <x:v>46330</x:v>
      </x:c>
      <x:c r="X12" s="379" t="str">
        <x:v>COMPLETE — 2026-09-02</x:v>
      </x:c>
    </x:row>
    <x:row r="13" ht="106" customHeight="1">
      <x:c r="A13" s="304" t="str">
        <x:v>ARG-032</x:v>
      </x:c>
      <x:c r="B13" s="305" t="str">
        <x:v>SLB</x:v>
      </x:c>
      <x:c r="C13" s="305" t="str">
        <x:v>SLB</x:v>
      </x:c>
      <x:c r="D13" s="305" t="str">
        <x:v>Energy</x:v>
      </x:c>
      <x:c r="E13" s="311" t="n">
        <x:v>46265</x:v>
      </x:c>
      <x:c r="F13" s="314" t="n">
        <x:v>58.1</x:v>
      </x:c>
      <x:c r="G13" s="305" t="str">
        <x:v>2026-09-02 15:28 UTC</x:v>
      </x:c>
      <x:c r="H13" s="305" t="str">
        <x:v>https://investorcenter.slb.com/news-releases/news-release-details/slb-announces-second-quarter-2026-results</x:v>
      </x:c>
      <x:c r="I13" s="305" t="str">
        <x:v>https://www.eia.gov/outlooks/steo/ | https://www.iea.org/reports/oil-market-report-august-2026 | https://www.sec.gov/edgar/search/</x:v>
      </x:c>
      <x:c r="J13" s="305" t="str">
        <x:v>Q2 revenue was $8.97bn, adjusted EBITDA $1.90bn, GAAP EPS $0.52, CFO $1.36bn and FCF $716m. On 31 August SLB agreed to acquire Kelvion for $4.1bn including assumed debt to expand data-center cooling exposure.</x:v>
      </x:c>
      <x:c r="K13" s="305" t="str">
        <x:v>Global technology, installed workflows and customer relationships make SLB the strongest oilfield-services franchise. Current owner economics are weakened by an oil-service cycle and a large adjacent-market acquisition whose returns are not yet proven.</x:v>
      </x:c>
      <x:c r="L13" s="305" t="str">
        <x:v>Customer upstream/offshore budgets plus data-center orders → service/equipment revenue → utilization and margin → capital investment/working capital → acquisition funding → FCF per share.</x:v>
      </x:c>
      <x:c r="M13" s="305" t="str">
        <x:v>Stress Middle East disruption, international pricing, customer capex cuts, Kelvion integration, cooling competition, acquisition debt, cyclical working capital and oil expertise failing to transfer into data centers.</x:v>
      </x:c>
      <x:c r="N13" s="305" t="str">
        <x:v>Revenue and cash flow are solid and data-center demand creates an option, but Q2 net income fell YoY and the $4.1bn Kelvion deal materially expands capital-allocation risk at roughly 28× trailing earnings.</x:v>
      </x:c>
      <x:c r="O13" s="305" t="str">
        <x:v>Data-center cooling demand grows, but specialist competitors retain the highest-margin system layer.</x:v>
      </x:c>
      <x:c r="P13" s="305" t="str">
        <x:v>Kelvion revenue arrives while integration, debt and working capital defer per-share FCF accretion.</x:v>
      </x:c>
      <x:c r="Q13" s="305" t="str">
        <x:v>Oil markets stay constructive, yet producer discipline caps service pricing and utilization.</x:v>
      </x:c>
      <x:c r="R13" s="382" t="str">
        <x:v>BLOCKED - FAIL</x:v>
      </x:c>
      <x:c r="S13" s="305" t="str">
        <x:v>WATCH</x:v>
      </x:c>
      <x:c r="T13" s="305" t="str">
        <x:v>WAIT — block promotion until Kelvion return, leverage and normalized oil-service FCF are evidenced</x:v>
      </x:c>
      <x:c r="U13" s="305" t="str">
        <x:v>HIGH</x:v>
      </x:c>
      <x:c r="V13" s="305" t="str">
        <x:v>Kelvion purchase-price return, pro-forma leverage and segment-level normalized FCF</x:v>
      </x:c>
      <x:c r="W13" s="311" t="n">
        <x:v>46318</x:v>
      </x:c>
      <x:c r="X13" s="379" t="str">
        <x:v>COMPLETE — 2026-09-02</x:v>
      </x:c>
    </x:row>
    <x:row r="14" ht="106" customHeight="1">
      <x:c r="A14" s="304" t="str">
        <x:v>ARG-037</x:v>
      </x:c>
      <x:c r="B14" s="305" t="str">
        <x:v>Bank of America</x:v>
      </x:c>
      <x:c r="C14" s="305" t="str">
        <x:v>BAC</x:v>
      </x:c>
      <x:c r="D14" s="305" t="str">
        <x:v>Banks</x:v>
      </x:c>
      <x:c r="E14" s="311" t="n">
        <x:v>46217</x:v>
      </x:c>
      <x:c r="F14" s="314" t="n">
        <x:v>63.02</x:v>
      </x:c>
      <x:c r="G14" s="305" t="str">
        <x:v>2026-09-02 15:28 UTC</x:v>
      </x:c>
      <x:c r="H14" s="305" t="str">
        <x:v>https://investor.bankofamerica.com/quarterly-earnings</x:v>
      </x:c>
      <x:c r="I14" s="305" t="str">
        <x:v>https://www.fdic.gov/analysis/quarterly-banking-profile/ | https://www.federalreserve.gov/supervisionreg/ | https://www.occ.gov/topics/supervision-and-examination/capital-markets/index-capital-markets.html</x:v>
      </x:c>
      <x:c r="J14" s="305" t="str">
        <x:v>Q2 revenue was $31.6bn (+15%), net income $9.1bn (+27%), EPS $1.21 (+34%), ROTCE 17% and NII about $16.2bn (+9%). CET1 was 11.2% and $8bn of capital was returned.</x:v>
      </x:c>
      <x:c r="K14" s="305" t="str">
        <x:v>A large deposit franchise, payments, wealth and markets create durable scale. Value must be based on normalized deposit beta, credit, securities marks and required capital rather than one strong rate/markets quarter.</x:v>
      </x:c>
      <x:c r="L14" s="305" t="str">
        <x:v>Deposits and loan/client activity → NII/fees → credit and expense → tangible book/capital → distributions → per-share value.</x:v>
      </x:c>
      <x:c r="M14" s="305" t="str">
        <x:v>Stress falling rates, deposit migration, commercial real estate and consumer vintages, unrealized securities losses, higher capital requirements, markets normalization and operational/regulatory costs.</x:v>
      </x:c>
      <x:c r="N14" s="305" t="str">
        <x:v>Revenue, ROTCE and capital return improved, while a meaningful portion of earnings remains rate- and market-sensitive and CET1 offers less excess than the headline payout implies.</x:v>
      </x:c>
      <x:c r="O14" s="305" t="str">
        <x:v>Rates fall and loan growth improves, but NII compresses faster than credit costs normalize.</x:v>
      </x:c>
      <x:c r="P14" s="305" t="str">
        <x:v>The economy avoids recession while office and selected consumer books still season adversely.</x:v>
      </x:c>
      <x:c r="Q14" s="305" t="str">
        <x:v>BAC returns capital after a strong quarter, then regulation increases required capital and limits future distributions.</x:v>
      </x:c>
      <x:c r="R14" s="376" t="str">
        <x:v>WATCH-CAPPED</x:v>
      </x:c>
      <x:c r="S14" s="305" t="str">
        <x:v>WATCH</x:v>
      </x:c>
      <x:c r="T14" s="305" t="str">
        <x:v>WATCH — normalize NII, credit, securities marks and required CET1 before valuation</x:v>
      </x:c>
      <x:c r="U14" s="305" t="str">
        <x:v>HIGH</x:v>
      </x:c>
      <x:c r="V14" s="305" t="str">
        <x:v>Through-cycle credit, deposit beta, AOCI economics and post-stress capital need</x:v>
      </x:c>
      <x:c r="W14" s="311" t="n">
        <x:v>46309</x:v>
      </x:c>
      <x:c r="X14" s="379" t="str">
        <x:v>COMPLETE — 2026-09-02</x:v>
      </x:c>
    </x:row>
    <x:row r="15" ht="106" customHeight="1">
      <x:c r="A15" s="304" t="str">
        <x:v>ARG-038</x:v>
      </x:c>
      <x:c r="B15" s="305" t="str">
        <x:v>Citigroup</x:v>
      </x:c>
      <x:c r="C15" s="305" t="str">
        <x:v>C</x:v>
      </x:c>
      <x:c r="D15" s="305" t="str">
        <x:v>Banks</x:v>
      </x:c>
      <x:c r="E15" s="311" t="n">
        <x:v>46217</x:v>
      </x:c>
      <x:c r="F15" s="314" t="n">
        <x:v>134.82</x:v>
      </x:c>
      <x:c r="G15" s="305" t="str">
        <x:v>2026-09-02 15:28 UTC</x:v>
      </x:c>
      <x:c r="H15" s="305" t="str">
        <x:v>https://www.citigroup.com/global/investors/quarterly-earnings</x:v>
      </x:c>
      <x:c r="I15" s="305" t="str">
        <x:v>https://www.fdic.gov/analysis/quarterly-banking-profile/ | https://www.federalreserve.gov/supervisionreg/ | https://www.occ.gov/topics/supervision-and-examination/capital-markets/index-capital-markets.html</x:v>
      </x:c>
      <x:c r="J15" s="305" t="str">
        <x:v>Q2 net income was $5.8bn (+45%), EPS $3.15, revenue $24.8bn (+14%) and ROTCE 13%. CET1 was 12.8%, tangible book value $100.89 and about $5bn was returned through buybacks and dividends.</x:v>
      </x:c>
      <x:c r="K15" s="305" t="str">
        <x:v>Citi has valuable global services and cards networks and now shows better operating leverage. The key question is whether transformation gains, control remediation and capital efficiency persist beyond a volatility-heavy markets quarter.</x:v>
      </x:c>
      <x:c r="L15" s="305" t="str">
        <x:v>Services/cards/markets client flows → revenue → transformation expense and credit → tangible equity/capital → buybacks → per-share value.</x:v>
      </x:c>
      <x:c r="M15" s="305" t="str">
        <x:v>Stress expense creep, consent-order/control failures, markets normalization, card credit, international sovereign/FX risk, buybacks above tangible book and capital-rule changes.</x:v>
      </x:c>
      <x:c r="N15" s="305" t="str">
        <x:v>Citi produced its best quarterly revenue in a decade and 13% ROTCE, yet management retained a cautious full-year return outlook and expenses remain a central investor concern. One strong quarter does not complete the transformation.</x:v>
      </x:c>
      <x:c r="O15" s="305" t="str">
        <x:v>Volatility boosts trading now, then normalizes before fixed transformation costs fall.</x:v>
      </x:c>
      <x:c r="P15" s="305" t="str">
        <x:v>Controls improve operationally while regulators keep capital and remediation requirements elevated.</x:v>
      </x:c>
      <x:c r="Q15" s="305" t="str">
        <x:v>Buybacks raise per-share metrics, but execution slips and tangible-book value absorbs new charges.</x:v>
      </x:c>
      <x:c r="R15" s="376" t="str">
        <x:v>WATCH-CAPPED</x:v>
      </x:c>
      <x:c r="S15" s="305" t="str">
        <x:v>WATCH</x:v>
      </x:c>
      <x:c r="T15" s="305" t="str">
        <x:v>PROVE TRANSFORMATION — require durable 11–13% ROTCE, expense delivery and clean controls</x:v>
      </x:c>
      <x:c r="U15" s="305" t="str">
        <x:v>HIGH</x:v>
      </x:c>
      <x:c r="V15" s="305" t="str">
        <x:v>Control remediation, normalized markets revenue, expense path and capital-efficient ROTCE</x:v>
      </x:c>
      <x:c r="W15" s="311" t="n">
        <x:v>46308</x:v>
      </x:c>
      <x:c r="X15" s="379" t="str">
        <x:v>COMPLETE — 2026-09-02</x:v>
      </x:c>
    </x:row>
    <x:row r="16" ht="106" customHeight="1">
      <x:c r="A16" s="304" t="str">
        <x:v>ARG-039</x:v>
      </x:c>
      <x:c r="B16" s="305" t="str">
        <x:v>Goldman Sachs</x:v>
      </x:c>
      <x:c r="C16" s="305" t="str">
        <x:v>GS</x:v>
      </x:c>
      <x:c r="D16" s="305" t="str">
        <x:v>Capital Markets</x:v>
      </x:c>
      <x:c r="E16" s="311" t="n">
        <x:v>46217</x:v>
      </x:c>
      <x:c r="F16" s="314" t="n">
        <x:v>1005.4</x:v>
      </x:c>
      <x:c r="G16" s="305" t="str">
        <x:v>2026-09-02 15:28 UTC</x:v>
      </x:c>
      <x:c r="H16" s="305" t="str">
        <x:v>https://www.goldmansachs.com/pressroom/press-releases/2026/2026-07-14-q2-results</x:v>
      </x:c>
      <x:c r="I16" s="305" t="str">
        <x:v>https://www.fdic.gov/analysis/quarterly-banking-profile/ | https://www.federalreserve.gov/supervisionreg/ | https://www.occ.gov/topics/supervision-and-examination/capital-markets/index-capital-markets.html</x:v>
      </x:c>
      <x:c r="J16" s="305" t="str">
        <x:v>Q2 net revenues were $20.338bn, net earnings $6.628bn, EPS $20.98 and annualized ROE 23.5%. Global Banking &amp; Markets revenue was $15.52bn and assets under supervision reached about $4.0tn; the quarterly dividend increased to $5.00.</x:v>
      </x:c>
      <x:c r="K16" s="305" t="str">
        <x:v>Goldman has elite client access, risk culture and capital-markets franchises. Owner earnings remain highly cyclical, and Q2 benefited from exceptional trading and deal activity, so book value and mid-cycle returns matter more than the current P/E.</x:v>
      </x:c>
      <x:c r="L16" s="305" t="str">
        <x:v>Client activity and market volatility → banking/trading/asset-management revenue → compensation and provisions → retained book/capital distributions → normalized ROE per share.</x:v>
      </x:c>
      <x:c r="M16" s="305" t="str">
        <x:v>Stress volatility normalization, a deal pause, private-credit losses, compensation rigidity, regulatory capital, model/operational risk and acquisitions made during strong fee markets.</x:v>
      </x:c>
      <x:c r="N16" s="305" t="str">
        <x:v>Record revenue and 23.5% ROE demonstrate franchise power, while the same exceptional market conditions make the PIT 15.5× trailing P/E look safer than it is on mid-cycle earnings.</x:v>
      </x:c>
      <x:c r="O16" s="305" t="str">
        <x:v>AI financing and M&amp;A expand, but issuance saturation and risk repricing freeze the pipeline abruptly.</x:v>
      </x:c>
      <x:c r="P16" s="305" t="str">
        <x:v>Trading stays strong while regulatory capital captures more balance sheet and lowers distributable ROE.</x:v>
      </x:c>
      <x:c r="Q16" s="305" t="str">
        <x:v>Goldman gains share, yet compensation and investment losses absorb much of the gross revenue upside.</x:v>
      </x:c>
      <x:c r="R16" s="376" t="str">
        <x:v>WATCH-CAPPED</x:v>
      </x:c>
      <x:c r="S16" s="305" t="str">
        <x:v>WATCH</x:v>
      </x:c>
      <x:c r="T16" s="305" t="str">
        <x:v>WATCH — value on mid-cycle ROE/tangible book, not record trading and deal revenue</x:v>
      </x:c>
      <x:c r="U16" s="305" t="str">
        <x:v>HIGH</x:v>
      </x:c>
      <x:c r="V16" s="305" t="str">
        <x:v>Mid-cycle business mix, private-credit loss exposure and required capital</x:v>
      </x:c>
      <x:c r="W16" s="311" t="n">
        <x:v>46309</x:v>
      </x:c>
      <x:c r="X16" s="379" t="str">
        <x:v>COMPLETE — 2026-09-02</x:v>
      </x:c>
    </x:row>
    <x:row r="17" ht="106" customHeight="1">
      <x:c r="A17" s="304" t="str">
        <x:v>ARG-052</x:v>
      </x:c>
      <x:c r="B17" s="305" t="str">
        <x:v>UBS Group</x:v>
      </x:c>
      <x:c r="C17" s="305" t="str">
        <x:v>UBS</x:v>
      </x:c>
      <x:c r="D17" s="305" t="str">
        <x:v>Banks</x:v>
      </x:c>
      <x:c r="E17" s="311" t="n">
        <x:v>46232</x:v>
      </x:c>
      <x:c r="F17" s="314" t="n">
        <x:v>54.735</x:v>
      </x:c>
      <x:c r="G17" s="305" t="str">
        <x:v>2026-09-02 15:28 UTC</x:v>
      </x:c>
      <x:c r="H17" s="305" t="str">
        <x:v>https://www.ubs.com/global/en/investor-relations/financial-information/quarterly-reporting.html</x:v>
      </x:c>
      <x:c r="I17" s="305" t="str">
        <x:v>https://www.ecb.europa.eu/press/pr/date/2026/html/ecb.mp260723~29f24d99bc.en.html | https://www.eba.europa.eu/risk-and-data-analysis/risk-analysis | https://www.bis.org/bcbs/</x:v>
      </x:c>
      <x:c r="J17" s="305" t="str">
        <x:v>Q2 PBT was $3.6bn, underlying PBT $3.9bn, net profit $2.8bn and RoCET1 15.4% (16.4% underlying). Revenue was $13.7bn, GWM net new assets $36bn, invested assets $7.3tn, CET1 14.4% and integration cost savings reached $12.6bn.</x:v>
      </x:c>
      <x:c r="K17" s="305" t="str">
        <x:v>Global wealth scale and the Credit Suisse integration can create a powerful fee franchise. Integration execution is advanced, while Swiss capital rules, residual runoff and acquisition complexity remain the controlling risks.</x:v>
      </x:c>
      <x:c r="L17" s="305" t="str">
        <x:v>Client assets and flows → recurring/transaction fees → integration savings and credit costs → CET1/capital framework → buybacks → per-share value.</x:v>
      </x:c>
      <x:c r="M17" s="305" t="str">
        <x:v>Stress Swiss capital tightening, client attrition, legacy litigation, integration outages, market-sensitive fees, Credit Suisse runoff and buybacks delayed or reduced by regulators.</x:v>
      </x:c>
      <x:c r="N17" s="305" t="str">
        <x:v>Savings, client flows and returns are strong, but a planned $3bn buyback remains subject to the Swiss framework and much of the thesis depends on successful removal of legacy complexity.</x:v>
      </x:c>
      <x:c r="O17" s="305" t="str">
        <x:v>Integration succeeds operationally, but new Swiss rules retain the capital benefit inside the bank.</x:v>
      </x:c>
      <x:c r="P17" s="305" t="str">
        <x:v>Markets rise and assets grow while fee compression limits incremental revenue.</x:v>
      </x:c>
      <x:c r="Q17" s="305" t="str">
        <x:v>Legacy systems are decommissioned, yet a conduct or credit tail produces new capital charges.</x:v>
      </x:c>
      <x:c r="R17" s="376" t="str">
        <x:v>WATCH-CAPPED</x:v>
      </x:c>
      <x:c r="S17" s="305"/>
      <x:c r="T17" s="305" t="str">
        <x:v>WATCH — require final Swiss capital rules, legacy-risk runoff and recurring wealth economics</x:v>
      </x:c>
      <x:c r="U17" s="305" t="str">
        <x:v>HIGH</x:v>
      </x:c>
      <x:c r="V17" s="305" t="str">
        <x:v>Swiss capital end-state, Credit Suisse tail losses and post-integration cost/fee durability</x:v>
      </x:c>
      <x:c r="W17" s="311" t="n">
        <x:v>46323</x:v>
      </x:c>
      <x:c r="X17" s="379" t="str">
        <x:v>COMPLETE — 2026-09-02</x:v>
      </x:c>
    </x:row>
    <x:row r="18" ht="106" customHeight="1">
      <x:c r="A18" s="304" t="str">
        <x:v>ARG-053</x:v>
      </x:c>
      <x:c r="B18" s="305" t="str">
        <x:v>Munich Re</x:v>
      </x:c>
      <x:c r="C18" s="305" t="str">
        <x:v>MUV2</x:v>
      </x:c>
      <x:c r="D18" s="305" t="str">
        <x:v>Insurance</x:v>
      </x:c>
      <x:c r="E18" s="311" t="n">
        <x:v>46241</x:v>
      </x:c>
      <x:c r="F18" s="314" t="n">
        <x:v>518</x:v>
      </x:c>
      <x:c r="G18" s="305" t="str">
        <x:v>2026-09-02 15:28 UTC</x:v>
      </x:c>
      <x:c r="H18" s="305" t="str">
        <x:v>https://www.munichre.com/en/company/media-relations/media-information-and-corporate-news/media-information/2026/half-year-financial-report.html</x:v>
      </x:c>
      <x:c r="I18" s="305" t="str">
        <x:v>https://www.ecb.europa.eu/press/pr/date/2026/html/ecb.mp260723~29f24d99bc.en.html | https://www.eiopa.europa.eu/tools-and-data/insurance-statistics_en | https://www.swissre.com/institute/research/sigma-research.html</x:v>
      </x:c>
      <x:c r="J18" s="305" t="str">
        <x:v>Q2 net result was €2.211bn and H1 €3.925bn; solvency ratio was 304% and H1 ROE 23.0%. P&amp;C reinsurance combined ratio was 68.9% because major-loss expenditure was 4.9% versus an 18% expectation; July risk-adjusted pricing fell 5.5% and volume 9.1%. FY net-result guidance stayed €6.3bn.</x:v>
      </x:c>
      <x:c r="K18" s="305" t="str">
        <x:v>Risk expertise, underwriting discipline, diversification and capital strength form an exceptional reinsurance franchise. Current profit must be normalized for unusually benign catastrophe losses, investment marks and softening renewal prices.</x:v>
      </x:c>
      <x:c r="L18" s="305" t="str">
        <x:v>Risk-adjusted pricing and exposure → premiums → attritional/major losses and reserve development → investment income → capital/dividend/buybacks → per-share value.</x:v>
      </x:c>
      <x:c r="M18" s="305" t="str">
        <x:v>Replace the 4.9% major-loss ratio with normal or severe years; stress price competition, social inflation, reserve error, investment reversals, cyber accumulation and correlated catastrophe/capital-market losses.</x:v>
      </x:c>
      <x:c r="N18" s="305" t="str">
        <x:v>Record H1 profit and 304% solvency coexist with a major-loss ratio far below the 18% assumption and declining renewal prices. The franchise passes; the current earnings level is lucky as well as skilled.</x:v>
      </x:c>
      <x:c r="O18" s="305" t="str">
        <x:v>Pricing remains adequate, but one correlated catastrophe consumes several years of excess underwriting profit.</x:v>
      </x:c>
      <x:c r="P18" s="305" t="str">
        <x:v>Loss experience stays benign while competition erodes future renewal economics before claims reveal it.</x:v>
      </x:c>
      <x:c r="Q18" s="305" t="str">
        <x:v>Investment income supports earnings, then equity and credit markets fall in the same period as large insured losses.</x:v>
      </x:c>
      <x:c r="R18" s="376" t="str">
        <x:v>WATCH-CAPPED</x:v>
      </x:c>
      <x:c r="S18" s="305"/>
      <x:c r="T18" s="305" t="str">
        <x:v>WATCH — normalize catastrophe, reserve and investment results across a full insurance cycle</x:v>
      </x:c>
      <x:c r="U18" s="305" t="str">
        <x:v>HIGH</x:v>
      </x:c>
      <x:c r="V18" s="305" t="str">
        <x:v>Normalized major-loss load, reserve conservatism and renewal-price adequacy</x:v>
      </x:c>
      <x:c r="W18" s="311" t="n">
        <x:v>46336</x:v>
      </x:c>
      <x:c r="X18" s="379" t="str">
        <x:v>COMPLETE — 2026-09-02</x:v>
      </x:c>
    </x:row>
    <x:row r="19" ht="106" customHeight="1">
      <x:c r="A19" s="304" t="str">
        <x:v>ARG-056</x:v>
      </x:c>
      <x:c r="B19" s="305" t="str">
        <x:v>Caterpillar</x:v>
      </x:c>
      <x:c r="C19" s="305" t="str">
        <x:v>CAT</x:v>
      </x:c>
      <x:c r="D19" s="305" t="str">
        <x:v>Industrials &amp; Defense</x:v>
      </x:c>
      <x:c r="E19" s="311" t="n">
        <x:v>46238</x:v>
      </x:c>
      <x:c r="F19" s="314" t="n">
        <x:v>786.16</x:v>
      </x:c>
      <x:c r="G19" s="305" t="str">
        <x:v>2026-09-02 15:28 UTC</x:v>
      </x:c>
      <x:c r="H19" s="305" t="str">
        <x:v>https://www.caterpillar.com/en/news/corporate-press-releases/h/2q26-results-caterpillar-inc.html</x:v>
      </x:c>
      <x:c r="I19" s="305" t="str">
        <x:v>https://www.eia.gov/outlooks/steo/ | https://www.ferc.gov/industries-data/electric/power-sales-and-markets/market-assessments | https://www.federalreserve.gov/newsevents/pressreleases/monetary20260729a.htm</x:v>
      </x:c>
      <x:c r="J19" s="305" t="str">
        <x:v>Q2 sales and revenue rose 24% to $20.5bn, operating margin was 20.9%, adjusted margin 21.9%, EPS $7.77 and adjusted EPS $8.17. Enterprise operating cash flow was $4.4bn and $2.2bn went to repurchases and dividends.</x:v>
      </x:c>
      <x:c r="K19" s="305" t="str">
        <x:v>Dealer density, installed fleet, parts/service and financing form a superb industrial moat. Record quarterly sales, power demand and margins are cyclical benefits; the PIT price already capitalizes an unusually favorable multi-end-market period.</x:v>
      </x:c>
      <x:c r="L19" s="305" t="str">
        <x:v>Construction/mining/power orders → dealer inventory and equipment mix → parts/service and margin → working capital/capex/finance losses → normalized FCF per share.</x:v>
      </x:c>
      <x:c r="M19" s="305" t="str">
        <x:v>Stress dealer destocking, data-center turbine order delays, mining/construction downturn, tariff/input costs, Cat Financial losses, emissions transition capex and repurchases near peak margins.</x:v>
      </x:c>
      <x:c r="N19" s="305" t="str">
        <x:v>Backlog, volume and cash flow are outstanding, while a 33.8× trailing P/E and record 20%+ margins leave little tolerance for the normal equipment cycle.</x:v>
      </x:c>
      <x:c r="O19" s="305" t="str">
        <x:v>Power demand remains structural, but project delays arrive as dealer inventory and production capacity peak.</x:v>
      </x:c>
      <x:c r="P19" s="305" t="str">
        <x:v>Equipment revenue holds while financing losses and used-equipment values deteriorate.</x:v>
      </x:c>
      <x:c r="Q19" s="305" t="str">
        <x:v>Caterpillar executes perfectly, yet margins and valuation normalize simultaneously.</x:v>
      </x:c>
      <x:c r="R19" s="382" t="str">
        <x:v>BLOCKED - FAIL</x:v>
      </x:c>
      <x:c r="S19" s="305"/>
      <x:c r="T19" s="305" t="str">
        <x:v>WAIT FOR PRICE — underwrite trough dealer inventory, finance losses and mid-cycle margins</x:v>
      </x:c>
      <x:c r="U19" s="305" t="str">
        <x:v>HIGH</x:v>
      </x:c>
      <x:c r="V19" s="305" t="str">
        <x:v>Mid-cycle segment margins, dealer inventory quality and Cat Financial stress losses</x:v>
      </x:c>
      <x:c r="W19" s="311" t="n">
        <x:v>46324</x:v>
      </x:c>
      <x:c r="X19" s="379" t="str">
        <x:v>COMPLETE — 2026-09-02</x:v>
      </x:c>
    </x:row>
    <x:row r="20" ht="106" customHeight="1">
      <x:c r="A20" s="304" t="str">
        <x:v>ARG-057</x:v>
      </x:c>
      <x:c r="B20" s="305" t="str">
        <x:v>BHP Group</x:v>
      </x:c>
      <x:c r="C20" s="305" t="str">
        <x:v>BHP</x:v>
      </x:c>
      <x:c r="D20" s="305" t="str">
        <x:v>Materials &amp; Mining</x:v>
      </x:c>
      <x:c r="E20" s="311" t="n">
        <x:v>46252</x:v>
      </x:c>
      <x:c r="F20" s="314" t="n">
        <x:v>93.64</x:v>
      </x:c>
      <x:c r="G20" s="305" t="str">
        <x:v>2026-09-02 15:28 UTC</x:v>
      </x:c>
      <x:c r="H20" s="305" t="str">
        <x:v>https://www.bhp.com/investor-hub/reports-and-presentations/annual-report</x:v>
      </x:c>
      <x:c r="I20" s="305" t="str">
        <x:v>https://www.worldbank.org/en/research/commodity-markets | https://www.iea.org/reports/global-critical-minerals-outlook-2026 | https://www.stats.gov.cn/english/</x:v>
      </x:c>
      <x:c r="J20" s="305" t="str">
        <x:v>FY26 underlying EBITDA was about $33bn (+27%) with an almost 60% margin, FCF $9.8bn (+83%), net operating cash flow $21.8bn and attributable profit $9.8bn. Copper generated more than $18bn EBITDA at a 70% margin; net debt fell to about $8.7bn.</x:v>
      </x:c>
      <x:c r="K20" s="305" t="str">
        <x:v>Tier-one ore bodies, scale and capital discipline create a real cost-position advantage. FY26 earnings were powered by exceptional copper economics, so intrinsic value requires long-run commodity prices, project capex and jurisdiction risk.</x:v>
      </x:c>
      <x:c r="L20" s="305" t="str">
        <x:v>Grade/volume × realized copper/iron-ore prices → cash cost and royalties → sustaining/growth capex → balance sheet/dividend → long-run NAV per share.</x:v>
      </x:c>
      <x:c r="M20" s="305" t="str">
        <x:v>Stress China steel demand, copper price mean reversion, grade decline, Escondida/WA labor disruption, Jansen overruns, fiscal terms, tailings liabilities and growth options approved at peak commodity prices.</x:v>
      </x:c>
      <x:c r="N20" s="305" t="str">
        <x:v>Copper became the top earnings driver and FCF surged, but 70% copper margins are not a stable base. The asset set is high quality; current profitability is partly a price gift.</x:v>
      </x:c>
      <x:c r="O20" s="305" t="str">
        <x:v>Electrification demand rises, but new supply and substitution arrive before BHP growth projects earn out.</x:v>
      </x:c>
      <x:c r="P20" s="305" t="str">
        <x:v>Copper stays scarce while governments and labor capture more of the rent through taxes and wages.</x:v>
      </x:c>
      <x:c r="Q20" s="305" t="str">
        <x:v>China softens structurally, cutting iron-ore cash flow as BHP funds large copper and potash projects.</x:v>
      </x:c>
      <x:c r="R20" s="376" t="str">
        <x:v>WATCH-CAPPED</x:v>
      </x:c>
      <x:c r="S20" s="305"/>
      <x:c r="T20" s="305" t="str">
        <x:v>WATCH — use long-run copper/iron-ore prices and full project/tailings capital</x:v>
      </x:c>
      <x:c r="U20" s="305" t="str">
        <x:v>HIGH</x:v>
      </x:c>
      <x:c r="V20" s="305" t="str">
        <x:v>Long-run price deck, Jansen/copper-project returns and jurisdiction-adjusted liabilities</x:v>
      </x:c>
      <x:c r="W20" s="311" t="n">
        <x:v>46343</x:v>
      </x:c>
      <x:c r="X20" s="379" t="str">
        <x:v>COMPLETE — 2026-09-02</x:v>
      </x:c>
    </x:row>
    <x:row r="21" ht="106" customHeight="1">
      <x:c r="A21" s="304" t="str">
        <x:v>ARG-062</x:v>
      </x:c>
      <x:c r="B21" s="305" t="str">
        <x:v>HSBC Holdings</x:v>
      </x:c>
      <x:c r="C21" s="305" t="str">
        <x:v>HSBC</x:v>
      </x:c>
      <x:c r="D21" s="305" t="str">
        <x:v>Banks</x:v>
      </x:c>
      <x:c r="E21" s="311" t="n">
        <x:v>46238</x:v>
      </x:c>
      <x:c r="F21" s="314" t="n">
        <x:v>104.29</x:v>
      </x:c>
      <x:c r="G21" s="305" t="str">
        <x:v>2026-09-02 15:28 UTC</x:v>
      </x:c>
      <x:c r="H21" s="305" t="str">
        <x:v>https://www.hsbc.com/investors/results-and-announcements/all-reporting/interim-results-2026-quick-read</x:v>
      </x:c>
      <x:c r="I21" s="305" t="str">
        <x:v>https://www.ecb.europa.eu/press/pr/date/2026/html/ecb.mp260723~29f24d99bc.en.html | https://www.eba.europa.eu/risk-and-data-analysis/risk-analysis | https://www.bis.org/bcbs/</x:v>
      </x:c>
      <x:c r="J21" s="305" t="str">
        <x:v>H1 reported PBT was $19.5bn (+23%); excluding notable items PBT was $20.4bn and revenue $38.2bn, both +6% constant currency. Banking NII was $22.9bn, RoTE 18.2%, CET1 14.1% and deposits grew $129bn; a buyback up to $1bn was planned.</x:v>
      </x:c>
      <x:c r="K21" s="305" t="str">
        <x:v>Asian deposit scale, trade finance and wealth distribution form a valuable franchise. The Hang Seng privatization, China/Hong Kong exposure and interest-rate sensitivity require capital and credit normalization.</x:v>
      </x:c>
      <x:c r="L21" s="305" t="str">
        <x:v>Deposits/trade/wealth flows → banking NII and fees → ECL/expenses → CET1 and Hang Seng capital use → dividends/buybacks → per-share value.</x:v>
      </x:c>
      <x:c r="M21" s="305" t="str">
        <x:v>Stress China property and Hong Kong commercial real estate, NII compression, geopolitical fragmentation, Hang Seng integration, ECL above 45 bps, FX and regulatory capital fragmentation.</x:v>
      </x:c>
      <x:c r="N21" s="305" t="str">
        <x:v>Underlying PBT and deposits grew and RoTE is strong, while CET1 fell 0.8 points partly because of Hang Seng and the buyback is modest relative to earnings. Growth and capital absorption must be evaluated together.</x:v>
      </x:c>
      <x:c r="O21" s="305" t="str">
        <x:v>Asian trade expands, but geopolitical rules force duplicative capital and systems across regions.</x:v>
      </x:c>
      <x:c r="P21" s="305" t="str">
        <x:v>Rates fall and loan growth returns while deposit-spread income contracts faster.</x:v>
      </x:c>
      <x:c r="Q21" s="305" t="str">
        <x:v>Hang Seng integration deepens the moat, yet China/Hong Kong credit losses consume the expected capital benefit.</x:v>
      </x:c>
      <x:c r="R21" s="376" t="str">
        <x:v>WATCH-CAPPED</x:v>
      </x:c>
      <x:c r="S21" s="305"/>
      <x:c r="T21" s="305" t="str">
        <x:v>WATCH — require Hang Seng capital returns and China/HK credit stress within CET1</x:v>
      </x:c>
      <x:c r="U21" s="305" t="str">
        <x:v>HIGH</x:v>
      </x:c>
      <x:c r="V21" s="305" t="str">
        <x:v>Hang Seng integration return, China/HK credit loss and normalized banking NII</x:v>
      </x:c>
      <x:c r="W21" s="311" t="n">
        <x:v>46322</x:v>
      </x:c>
      <x:c r="X21" s="379" t="str">
        <x:v>COMPLETE — 2026-09-02</x:v>
      </x:c>
    </x:row>
    <x:row r="22" ht="106" customHeight="1">
      <x:c r="A22" s="304" t="str">
        <x:v>ARG-063</x:v>
      </x:c>
      <x:c r="B22" s="305" t="str">
        <x:v>Allianz</x:v>
      </x:c>
      <x:c r="C22" s="305" t="str">
        <x:v>ALV.DE</x:v>
      </x:c>
      <x:c r="D22" s="305" t="str">
        <x:v>Insurance</x:v>
      </x:c>
      <x:c r="E22" s="311" t="n">
        <x:v>46241</x:v>
      </x:c>
      <x:c r="F22" s="314" t="n">
        <x:v>450.9</x:v>
      </x:c>
      <x:c r="G22" s="305" t="str">
        <x:v>2026-09-02 15:28 UTC</x:v>
      </x:c>
      <x:c r="H22" s="305" t="str">
        <x:v>https://www.allianz.com/en/mediacenter/news/media-releases/financials/260807-2q-2026-earnings-release.html</x:v>
      </x:c>
      <x:c r="I22" s="305" t="str">
        <x:v>https://www.ecb.europa.eu/press/pr/date/2026/html/ecb.mp260723~29f24d99bc.en.html | https://www.eiopa.europa.eu/tools-and-data/insurance-statistics_en | https://www.swissre.com/institute/research/sigma-research.html</x:v>
      </x:c>
      <x:c r="J22" s="305" t="str">
        <x:v>Q2 business volume was €45.6bn (+5.7% internal), operating profit a record €4.874bn (+10.6%) and core net income €2.6bn (-12.7% headline but about +10% underlying). H1 operating profit was €9.39bn, Solvency II 225%; P&amp;C combined ratio was 91.9% and Q2 asset-management inflows €39bn.</x:v>
      </x:c>
      <x:c r="K22" s="305" t="str">
        <x:v>Brand, distribution, underwriting scale and asset-management franchises support diversified owner earnings. Headline/underlying differences, catastrophe volatility and the insurance pricing cycle require normalized profit rather than record operating income.</x:v>
      </x:c>
      <x:c r="L22" s="305" t="str">
        <x:v>Premiums/AuM/flows → underwriting margin and fees → claims/catastrophes/investment spread → capital → dividends/buybacks → per-share value.</x:v>
      </x:c>
      <x:c r="M22" s="305" t="str">
        <x:v>Stress combined-ratio deterioration, nat-cat severity, reserve inflation, Pimco/AGI outflows, spread compression, regulatory capital, litigation and buybacks during peak insurance pricing.</x:v>
      </x:c>
      <x:c r="N22" s="305" t="str">
        <x:v>Operating profit and inflows set records, but headline core net income fell due to prior-year divestment effects and the P&amp;C combined ratio worsened to 91.9%. Reported direction depends on the chosen adjustment.</x:v>
      </x:c>
      <x:c r="O22" s="305" t="str">
        <x:v>Premium pricing remains positive while claims inflation outruns it with a reporting lag.</x:v>
      </x:c>
      <x:c r="P22" s="305" t="str">
        <x:v>Asset-management inflows rise, but market declines reduce AuM and fees faster than flows help.</x:v>
      </x:c>
      <x:c r="Q22" s="305" t="str">
        <x:v>Capital stays strong until a catastrophe and credit-spread shock occur in the same quarter.</x:v>
      </x:c>
      <x:c r="R22" s="376" t="str">
        <x:v>WATCH-CAPPED</x:v>
      </x:c>
      <x:c r="S22" s="305"/>
      <x:c r="T22" s="305" t="str">
        <x:v>WATCH — normalize catastrophe, reserve, investment and asset-management earnings</x:v>
      </x:c>
      <x:c r="U22" s="305" t="str">
        <x:v>HIGH</x:v>
      </x:c>
      <x:c r="V22" s="305" t="str">
        <x:v>Normalized combined ratio, reserve adequacy and fee/spread sensitivity</x:v>
      </x:c>
      <x:c r="W22" s="311" t="n">
        <x:v>46332</x:v>
      </x:c>
      <x:c r="X22" s="379" t="str">
        <x:v>COMPLETE — 2026-09-02</x:v>
      </x:c>
    </x:row>
    <x:row r="23" ht="106" customHeight="1">
      <x:c r="A23" s="304" t="str">
        <x:v>ARG-066</x:v>
      </x:c>
      <x:c r="B23" s="305" t="str">
        <x:v>NIKE</x:v>
      </x:c>
      <x:c r="C23" s="305" t="str">
        <x:v>NKE</x:v>
      </x:c>
      <x:c r="D23" s="305" t="str">
        <x:v>Consumer</x:v>
      </x:c>
      <x:c r="E23" s="311" t="n">
        <x:v>46203</x:v>
      </x:c>
      <x:c r="F23" s="314" t="n">
        <x:v>38.45</x:v>
      </x:c>
      <x:c r="G23" s="305" t="str">
        <x:v>2026-09-02 15:28 UTC</x:v>
      </x:c>
      <x:c r="H23" s="305" t="str">
        <x:v>https://investors.nike.com/investors/news-events-and-reports/investor-news/investor-news-details/2026/NIKE-Inc--Reports-Fiscal-2026-Fourth-Quarter-and-Full-Year-Results/default.aspx</x:v>
      </x:c>
      <x:c r="I23" s="305" t="str">
        <x:v>https://www.census.gov/retail/index.html | https://www.bls.gov/cpi/ | https://www.sec.gov/edgar/search/</x:v>
      </x:c>
      <x:c r="J23" s="305" t="str">
        <x:v>Fiscal Q4 revenue was about $11.0bn (-1% reported, -4% currency-neutral); NIKE Direct fell 7% reported and Brand Digital 12% for the year. Q4 gross margin rose to 49.2% mainly from a $986m tariff recovery; FY revenue was $46.4bn, FY gross margin 42.9%, inventory $7.5bn and ROIC 18.7% versus 20.2%.</x:v>
      </x:c>
      <x:c r="K23" s="305" t="str">
        <x:v>Nike retains a global brand, athlete network and innovation/distribution assets. Direct/digital declines, China weakness and a one-time tariff recovery mean the low share price is a turnaround option, not yet proven owner-earnings value.</x:v>
      </x:c>
      <x:c r="L23" s="305" t="str">
        <x:v>Product innovation and brand heat → full-price sell-through by channel/geography → gross margin and marketing productivity → inventory/working capital → FCF per share.</x:v>
      </x:c>
      <x:c r="M23" s="305" t="str">
        <x:v>Remove the tariff recovery; stress China, digital traffic, wholesale rebalancing, discounting, fashion misses, inventory units, competitor share gains and marketing spend required to restore demand.</x:v>
      </x:c>
      <x:c r="N23" s="305" t="str">
        <x:v>Q4 margin and net income rebounded sharply, but nearly all gross-margin improvement came from tariff recovery while Direct and digital revenue continued to fall. The brand may be durable even as current economics remain unproven.</x:v>
      </x:c>
      <x:c r="O23" s="305" t="str">
        <x:v>Wholesale relationships recover, but direct-channel weakness keeps customer data and margin below plan.</x:v>
      </x:c>
      <x:c r="P23" s="305" t="str">
        <x:v>New products improve sell-through while higher marketing and endorsement spending capture the benefit.</x:v>
      </x:c>
      <x:c r="Q23" s="305" t="str">
        <x:v>China stabilizes operationally, yet geopolitical preferences and local brands cap the former profit pool.</x:v>
      </x:c>
      <x:c r="R23" s="376" t="str">
        <x:v>WATCH-CAPPED</x:v>
      </x:c>
      <x:c r="S23" s="305"/>
      <x:c r="T23" s="305" t="str">
        <x:v>PROVE TURNAROUND — require full-price revenue, China stabilization and clean gross margin together</x:v>
      </x:c>
      <x:c r="U23" s="305" t="str">
        <x:v>HIGH</x:v>
      </x:c>
      <x:c r="V23" s="305" t="str">
        <x:v>Ex-tariff gross margin, digital/full-price sell-through and China brand recovery</x:v>
      </x:c>
      <x:c r="W23" s="311" t="n">
        <x:v>46294</x:v>
      </x:c>
      <x:c r="X23" s="379" t="str">
        <x:v>COMPLETE — 2026-09-02</x:v>
      </x:c>
    </x:row>
    <x:row r="24" ht="106" customHeight="1">
      <x:c r="A24" s="307" t="str">
        <x:v>ARG-070</x:v>
      </x:c>
      <x:c r="B24" s="308" t="str">
        <x:v>Rio Tinto</x:v>
      </x:c>
      <x:c r="C24" s="308" t="str">
        <x:v>RIO</x:v>
      </x:c>
      <x:c r="D24" s="308" t="str">
        <x:v>Materials &amp; Mining</x:v>
      </x:c>
      <x:c r="E24" s="312" t="n">
        <x:v>46232</x:v>
      </x:c>
      <x:c r="F24" s="315" t="n">
        <x:v>102.38</x:v>
      </x:c>
      <x:c r="G24" s="308" t="str">
        <x:v>2026-09-02 15:28 UTC</x:v>
      </x:c>
      <x:c r="H24" s="308" t="str">
        <x:v>https://www.riotinto.com/en/news/releases/2026/rio-tinto-step-change-in-performance-delivering-higher-shareholder-returns</x:v>
      </x:c>
      <x:c r="I24" s="308" t="str">
        <x:v>https://www.worldbank.org/en/research/commodity-markets | https://www.iea.org/reports/global-critical-minerals-outlook-2026 | https://www.stats.gov.cn/english/</x:v>
      </x:c>
      <x:c r="J24" s="308" t="str">
        <x:v>H1 copper-equivalent production rose 3%, underlying EBITDA was $14.8bn (+28%) and FCF $3.8bn (+75%). Pilbara production reached its best first half since 2018; Simandou and lithium projects continued, while growth capital remains substantial.</x:v>
      </x:c>
      <x:c r="K24" s="308" t="str">
        <x:v>Tier-one iron ore, growing copper and operational improvement support a durable cost advantage. Simandou, lithium and commodity-price exposure mean free cash flow must be judged after full growth capex and at long-run prices.</x:v>
      </x:c>
      <x:c r="L24" s="308" t="str">
        <x:v>Volume/grade × realized commodity price → operating cost/royalties → sustaining and growth capex → debt/dividend → long-run NAV per share.</x:v>
      </x:c>
      <x:c r="M24" s="308" t="str">
        <x:v>Stress China steel demand, Simandou cost/schedule and supply impact, Oyu Tolgoi/ramp execution, lithium-cycle assumptions, Indigenous/community obligations, carbon costs and higher net debt.</x:v>
      </x:c>
      <x:c r="N24" s="308" t="str">
        <x:v>EBITDA and FCF rose sharply and operations improved, while the same Simandou/lithium program that supports growth consumes capital and can increase industry supply. Strong execution does not eliminate commodity reflexivity.</x:v>
      </x:c>
      <x:c r="O24" s="308" t="str">
        <x:v>Simandou executes successfully, but new supply lowers iron-ore prices and offsets Rio volume growth.</x:v>
      </x:c>
      <x:c r="P24" s="308" t="str">
        <x:v>Copper and lithium demand expand while project inflation transfers much of the scarcity rent to contractors and governments.</x:v>
      </x:c>
      <x:c r="Q24" s="308" t="str">
        <x:v>Operations improve, yet China demand weakens before diversification produces enough cash.</x:v>
      </x:c>
      <x:c r="R24" s="385" t="str">
        <x:v>WATCH-CAPPED</x:v>
      </x:c>
      <x:c r="S24" s="308"/>
      <x:c r="T24" s="308" t="str">
        <x:v>WATCH — value at long-run commodity prices after Simandou/lithium growth capital</x:v>
      </x:c>
      <x:c r="U24" s="308" t="str">
        <x:v>HIGH</x:v>
      </x:c>
      <x:c r="V24" s="308" t="str">
        <x:v>Simandou/lithium project returns, long-run price deck and consolidated debt path</x:v>
      </x:c>
      <x:c r="W24" s="312" t="n">
        <x:v>46323</x:v>
      </x:c>
      <x:c r="X24" s="388" t="str">
        <x:v>COMPLETE — 2026-09-02</x:v>
      </x:c>
    </x:row>
  </x:sheetData>
  <x:mergeCells>
    <x:mergeCell ref="A1:X1"/>
    <x:mergeCell ref="A2:X2"/>
    <x:mergeCell ref="A3:X3"/>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0" hidden="0" customWidth="1"/>
    <x:col min="4" max="4" width="34" hidden="0" customWidth="1"/>
    <x:col min="5" max="5" width="13" hidden="0" customWidth="1"/>
    <x:col min="6" max="6" width="12" hidden="0" customWidth="1"/>
    <x:col min="7" max="7" width="20" hidden="0" customWidth="1"/>
    <x:col min="8" max="8" width="16" hidden="0" customWidth="1"/>
    <x:col min="9" max="9" width="62" hidden="0" customWidth="1"/>
    <x:col min="10" max="10" width="58" hidden="0" customWidth="1"/>
    <x:col min="11" max="11" width="52" hidden="0" customWidth="1"/>
    <x:col min="12" max="12" width="40" hidden="0" customWidth="1"/>
    <x:col min="13" max="13" width="48" hidden="0" customWidth="1"/>
    <x:col min="14" max="14" width="48" hidden="0" customWidth="1"/>
    <x:col min="15" max="15" width="48" hidden="0" customWidth="1"/>
    <x:col min="16" max="16" width="48" hidden="0" customWidth="1"/>
    <x:col min="17" max="17" width="42" hidden="0" customWidth="1"/>
    <x:col min="18" max="18" width="42" hidden="0" customWidth="1"/>
    <x:col min="19" max="19" width="42" hidden="0" customWidth="1"/>
    <x:col min="20" max="20" width="14" hidden="0" customWidth="1"/>
    <x:col min="21" max="21" width="16" hidden="0" customWidth="1"/>
    <x:col min="22" max="22" width="15" hidden="0" customWidth="1"/>
    <x:col min="23" max="23" width="15" hidden="0" customWidth="1"/>
    <x:col min="24" max="24" width="13" hidden="0" customWidth="1"/>
    <x:col min="25" max="25" width="32" hidden="0" customWidth="1"/>
    <x:col min="26" max="26" width="19" hidden="0" customWidth="1"/>
    <x:col min="27" max="27" width="58" hidden="0" customWidth="1"/>
    <x:col min="28" max="28" width="46" hidden="0" customWidth="1"/>
  </x:cols>
  <x:sheetData>
    <x:row r="1" ht="30" customHeight="1">
      <x:c r="A1" s="411" t="str">
        <x:v>ARGUS V10.33 — AI INFRASTRUCTURE CHAIN SIGNAL</x:v>
      </x:c>
      <x:c r="B1" s="411"/>
      <x:c r="C1" s="411"/>
      <x:c r="D1" s="411"/>
      <x:c r="E1" s="411"/>
      <x:c r="F1" s="411"/>
      <x:c r="G1" s="411"/>
      <x:c r="H1" s="411"/>
      <x:c r="I1" s="411"/>
      <x:c r="J1" s="411"/>
      <x:c r="K1" s="411"/>
      <x:c r="L1" s="411"/>
      <x:c r="M1" s="411"/>
      <x:c r="N1" s="411"/>
      <x:c r="O1" s="411"/>
      <x:c r="P1" s="411"/>
      <x:c r="Q1" s="411"/>
      <x:c r="R1" s="411"/>
      <x:c r="S1" s="411"/>
      <x:c r="T1" s="411"/>
      <x:c r="U1" s="411"/>
      <x:c r="V1" s="411"/>
      <x:c r="W1" s="411"/>
      <x:c r="X1" s="411"/>
      <x:c r="Y1" s="411"/>
      <x:c r="Z1" s="411"/>
      <x:c r="AA1" s="411"/>
      <x:c r="AB1" s="411"/>
    </x:row>
    <x:row r="2" ht="24" customHeight="1">
      <x:c r="A2" s="412" t="str">
        <x:v>Eight-name event review · current T1 evidence · PIT market snapshot · three passes · contradictions · 24 Dalio loss paths</x:v>
      </x:c>
      <x:c r="B2" s="412"/>
      <x:c r="C2" s="412"/>
      <x:c r="D2" s="412"/>
      <x:c r="E2" s="412"/>
      <x:c r="F2" s="412"/>
      <x:c r="G2" s="412"/>
      <x:c r="H2" s="412"/>
      <x:c r="I2" s="412"/>
      <x:c r="J2" s="412"/>
      <x:c r="K2" s="412"/>
      <x:c r="L2" s="412"/>
      <x:c r="M2" s="412"/>
      <x:c r="N2" s="412"/>
      <x:c r="O2" s="412"/>
      <x:c r="P2" s="412"/>
      <x:c r="Q2" s="412"/>
      <x:c r="R2" s="412"/>
      <x:c r="S2" s="412"/>
      <x:c r="T2" s="412"/>
      <x:c r="U2" s="412"/>
      <x:c r="V2" s="412"/>
      <x:c r="W2" s="412"/>
      <x:c r="X2" s="412"/>
      <x:c r="Y2" s="412"/>
      <x:c r="Z2" s="412"/>
      <x:c r="AA2" s="412"/>
      <x:c r="AB2" s="412"/>
    </x:row>
    <x:row r="3" ht="24" customHeight="1">
      <x:c r="A3" s="413" t="str">
        <x:v>SHADOW / FAIL-CLOSED: real demand is not the same as a cheap security. Drawdowns are retained as T3 observations and cannot promote an investment.</x:v>
      </x:c>
      <x:c r="B3" s="413"/>
      <x:c r="C3" s="413"/>
      <x:c r="D3" s="413"/>
      <x:c r="E3" s="413"/>
      <x:c r="F3" s="413"/>
      <x:c r="G3" s="413"/>
      <x:c r="H3" s="413"/>
      <x:c r="I3" s="413"/>
      <x:c r="J3" s="413"/>
      <x:c r="K3" s="413"/>
      <x:c r="L3" s="413"/>
      <x:c r="M3" s="413"/>
      <x:c r="N3" s="413"/>
      <x:c r="O3" s="413"/>
      <x:c r="P3" s="413"/>
      <x:c r="Q3" s="413"/>
      <x:c r="R3" s="413"/>
      <x:c r="S3" s="413"/>
      <x:c r="T3" s="413"/>
      <x:c r="U3" s="413"/>
      <x:c r="V3" s="413"/>
      <x:c r="W3" s="413"/>
      <x:c r="X3" s="413"/>
      <x:c r="Y3" s="413"/>
      <x:c r="Z3" s="413"/>
      <x:c r="AA3" s="413"/>
      <x:c r="AB3" s="413"/>
    </x:row>
    <x:row r="4" ht="19" customHeight="1">
      <x:c r="A4" s="540" t="str">
        <x:v>PRICE FEED CHECK · 2026-09-03 08:07 UTC / 11:07 ISRAEL · NO NEW TRADE SINCE THE PRIOR PIT SNAPSHOT</x:v>
      </x:c>
      <x:c r="B4" s="540"/>
      <x:c r="C4" s="540"/>
      <x:c r="D4" s="540"/>
      <x:c r="E4" s="540"/>
      <x:c r="F4" s="540"/>
      <x:c r="G4" s="540"/>
      <x:c r="H4" s="540"/>
    </x:row>
    <x:row r="5">
      <x:c r="A5" s="416" t="str">
        <x:v>Metric</x:v>
      </x:c>
      <x:c r="B5" s="417" t="str">
        <x:v>Value</x:v>
      </x:c>
      <x:c r="C5" s="417" t="str">
        <x:v>Control Meaning</x:v>
      </x:c>
      <x:c r="D5" s="417"/>
      <x:c r="E5" s="417" t="str">
        <x:v>Target</x:v>
      </x:c>
      <x:c r="F5" s="417" t="str">
        <x:v>Status</x:v>
      </x:c>
      <x:c r="G5" s="418" t="str">
        <x:v>As Of</x:v>
      </x:c>
    </x:row>
    <x:row r="6" ht="23" customHeight="1">
      <x:c r="A6" s="438" t="str">
        <x:v>Names event-reviewed</x:v>
      </x:c>
      <x:c r="B6" s="441" t="n">
        <x:f>COUNTA(C13:C20)</x:f>
        <x:v>8</x:v>
      </x:c>
      <x:c r="C6" s="430" t="str">
        <x:v>Three passes, contradiction and Dalio Test completed</x:v>
      </x:c>
      <x:c r="D6" s="430"/>
      <x:c r="E6" s="441" t="n">
        <x:v>8</x:v>
      </x:c>
      <x:c r="F6" s="430" t="str">
        <x:v>PASS</x:v>
      </x:c>
      <x:c r="G6" s="444" t="n">
        <x:v>46268</x:v>
      </x:c>
    </x:row>
    <x:row r="7" ht="23" customHeight="1">
      <x:c r="A7" s="439" t="str">
        <x:v>Demand proof PASS</x:v>
      </x:c>
      <x:c r="B7" s="442" t="n">
        <x:f>COUNTIF(T13:T20,"PASS")</x:f>
        <x:v>8</x:v>
      </x:c>
      <x:c r="C7" s="433" t="str">
        <x:v>Current T1 evidence shows material AI-linked operating demand</x:v>
      </x:c>
      <x:c r="D7" s="433"/>
      <x:c r="E7" s="442" t="n">
        <x:v>8</x:v>
      </x:c>
      <x:c r="F7" s="433" t="str">
        <x:v>PASS</x:v>
      </x:c>
      <x:c r="G7" s="445" t="n">
        <x:v>46268</x:v>
      </x:c>
    </x:row>
    <x:row r="8" ht="23" customHeight="1">
      <x:c r="A8" s="439" t="str">
        <x:v>WATCH-capped</x:v>
      </x:c>
      <x:c r="B8" s="442" t="n">
        <x:f>COUNTIF(Z13:Z20,"WATCH-CAPPED")</x:f>
        <x:v>2</x:v>
      </x:c>
      <x:c r="C8" s="433" t="str">
        <x:v>No failing owner gate, but conviction remains capped</x:v>
      </x:c>
      <x:c r="D8" s="433"/>
      <x:c r="E8" s="442" t="n">
        <x:v>0</x:v>
      </x:c>
      <x:c r="F8" s="433" t="str">
        <x:v>INFORMATIONAL</x:v>
      </x:c>
      <x:c r="G8" s="445" t="n">
        <x:v>46268</x:v>
      </x:c>
    </x:row>
    <x:row r="9" ht="23" customHeight="1">
      <x:c r="A9" s="439" t="str">
        <x:v>Blocked by owner/valuation gates</x:v>
      </x:c>
      <x:c r="B9" s="442" t="n">
        <x:f>COUNTIF(Z13:Z20,"BLOCKED - FAIL")</x:f>
        <x:v>6</x:v>
      </x:c>
      <x:c r="C9" s="433" t="str">
        <x:v>At least one critical gate is FAIL</x:v>
      </x:c>
      <x:c r="D9" s="433"/>
      <x:c r="E9" s="442" t="n">
        <x:v>0</x:v>
      </x:c>
      <x:c r="F9" s="433" t="str">
        <x:v>INFORMATIONAL</x:v>
      </x:c>
      <x:c r="G9" s="445" t="n">
        <x:v>46268</x:v>
      </x:c>
    </x:row>
    <x:row r="10" ht="23" customHeight="1">
      <x:c r="A10" s="440" t="str">
        <x:v>READY</x:v>
      </x:c>
      <x:c r="B10" s="443" t="n">
        <x:f>COUNTIF(Z13:Z20,"READY")</x:f>
        <x:v>0</x:v>
      </x:c>
      <x:c r="C10" s="436" t="str">
        <x:v>No automatic promotion from growth or drawdown</x:v>
      </x:c>
      <x:c r="D10" s="436"/>
      <x:c r="E10" s="443" t="n">
        <x:v>0</x:v>
      </x:c>
      <x:c r="F10" s="436" t="str">
        <x:v>PASS</x:v>
      </x:c>
      <x:c r="G10" s="446" t="n">
        <x:v>46268</x:v>
      </x:c>
    </x:row>
    <x:row r="12" ht="42" customHeight="1">
      <x:c r="A12" s="455" t="str">
        <x:v>Scope</x:v>
      </x:c>
      <x:c r="B12" s="456" t="str">
        <x:v>Company</x:v>
      </x:c>
      <x:c r="C12" s="456" t="str">
        <x:v>Ticker</x:v>
      </x:c>
      <x:c r="D12" s="456" t="str">
        <x:v>Chain Node</x:v>
      </x:c>
      <x:c r="E12" s="456" t="str">
        <x:v>Evidence Date</x:v>
      </x:c>
      <x:c r="F12" s="456" t="str">
        <x:v>PIT Price</x:v>
      </x:c>
      <x:c r="G12" s="456" t="str">
        <x:v>PIT Timestamp</x:v>
      </x:c>
      <x:c r="H12" s="456" t="str">
        <x:v>Trailing P/E Snapshot</x:v>
      </x:c>
      <x:c r="I12" s="456" t="str">
        <x:v>Current T1 Facts</x:v>
      </x:c>
      <x:c r="J12" s="456" t="str">
        <x:v>Market Observation</x:v>
      </x:c>
      <x:c r="K12" s="456" t="str">
        <x:v>T1 Source URL</x:v>
      </x:c>
      <x:c r="L12" s="456" t="str">
        <x:v>Price Source URL</x:v>
      </x:c>
      <x:c r="M12" s="456" t="str">
        <x:v>Pass 1 — Business &amp; Owner Economics</x:v>
      </x:c>
      <x:c r="N12" s="456" t="str">
        <x:v>Pass 2 — Causal Chain</x:v>
      </x:c>
      <x:c r="O12" s="456" t="str">
        <x:v>Pass 3 — Red Team</x:v>
      </x:c>
      <x:c r="P12" s="456" t="str">
        <x:v>Contradiction</x:v>
      </x:c>
      <x:c r="Q12" s="456" t="str">
        <x:v>Dalio Path 1</x:v>
      </x:c>
      <x:c r="R12" s="456" t="str">
        <x:v>Dalio Path 2</x:v>
      </x:c>
      <x:c r="S12" s="456" t="str">
        <x:v>Dalio Path 3</x:v>
      </x:c>
      <x:c r="T12" s="456" t="str">
        <x:v>Demand Proof</x:v>
      </x:c>
      <x:c r="U12" s="456" t="str">
        <x:v>Owner Economics</x:v>
      </x:c>
      <x:c r="V12" s="456" t="str">
        <x:v>Balance Sheet</x:v>
      </x:c>
      <x:c r="W12" s="456" t="str">
        <x:v>Concentration</x:v>
      </x:c>
      <x:c r="X12" s="456" t="str">
        <x:v>Valuation</x:v>
      </x:c>
      <x:c r="Y12" s="456" t="str">
        <x:v>AI Regime</x:v>
      </x:c>
      <x:c r="Z12" s="456" t="str">
        <x:v>Owner Status</x:v>
      </x:c>
      <x:c r="AA12" s="456" t="str">
        <x:v>Evidence-Controlled Action</x:v>
      </x:c>
      <x:c r="AB12" s="457" t="str">
        <x:v>Next Evidence</x:v>
      </x:c>
    </x:row>
    <x:row r="13" ht="106" customHeight="1">
      <x:c r="A13" s="486" t="str">
        <x:v>CORE-100</x:v>
      </x:c>
      <x:c r="B13" s="489" t="str">
        <x:v>Broadcom</x:v>
      </x:c>
      <x:c r="C13" s="489" t="str">
        <x:v>AVGO</x:v>
      </x:c>
      <x:c r="D13" s="465" t="str">
        <x:v>Custom AI accelerators, networking and infrastructure software</x:v>
      </x:c>
      <x:c r="E13" s="471" t="n">
        <x:v>46267</x:v>
      </x:c>
      <x:c r="F13" s="474" t="n">
        <x:v>367.24</x:v>
      </x:c>
      <x:c r="G13" s="465" t="str">
        <x:v>2026-09-03 00:15 UTC</x:v>
      </x:c>
      <x:c r="H13" s="477" t="n">
        <x:v>97.55223880597016</x:v>
      </x:c>
      <x:c r="I13" s="465" t="str">
        <x:v>Fiscal Q3 revenue was $29.591bn, up 86% YoY. AI semiconductor revenue was $16.7bn, up 221% YoY and 54% QoQ. Semiconductor Solutions grew 127% and Infrastructure Software 29%. Cash from operations was $14.197bn; capex was $0.532bn; company-defined FCF was $13.665bn. Q4 guidance is $34.8bn revenue, $21.7bn AI semiconductor revenue and 66% non-GAAP operating margin.</x:v>
      </x:c>
      <x:c r="J13" s="465" t="str">
        <x:v>User-supplied snapshot: approximately +6% YTD and 25% below the June peak; the after-hours reaction was modest. This historical-return claim is retained as T3 context and is not used as a valuation input until reconciled to an independent total-return series.</x:v>
      </x:c>
      <x:c r="K13" s="480" t="str">
        <x:v>https://investors.broadcom.com/news-releases/news-release-details/broadcom-inc-announces-third-quarter-fiscal-year-2026-financial</x:v>
      </x:c>
      <x:c r="L13" s="480" t="str">
        <x:v>https://www.nasdaq.com/market-activity/stocks/avgo</x:v>
      </x:c>
      <x:c r="M13" s="465" t="str">
        <x:v>A rare combination of custom silicon, networking and recurring infrastructure software is producing exceptional revenue, margin and cash flow. The economic asset is real; customer-level concentration and acquisition accounting remain central owner questions.</x:v>
      </x:c>
      <x:c r="N13" s="465" t="str">
        <x:v>Hyperscaler accelerator and networking demand plus VMware retention drive revenue and mix; operating cash then services debt, funds dividends and creates per-share value only if customer economics and reinvestment remain durable.</x:v>
      </x:c>
      <x:c r="O13" s="465" t="str">
        <x:v>Stress custom-silicon insourcing, a large customer shifting design partners, Q4 guidance merely meeting an elevated whisper number, VMware attrition, $57.2bn long-term debt, SBC and a multiple reset from roughly 98x trailing GAAP earnings.</x:v>
      </x:c>
      <x:c r="P13" s="465" t="str">
        <x:v>The strongest operating print in the cluster coexists with a muted price response. That is evidence of a high expectations bar, not proof that the market is skeptical enough to make the stock cheap.</x:v>
      </x:c>
      <x:c r="Q13" s="465" t="str">
        <x:v>AI revenue reaches management's target while one hyperscaler diversifies suppliers, reducing future share and margin.</x:v>
      </x:c>
      <x:c r="R13" s="465" t="str">
        <x:v>Revenue and FCF compound, but the market capitalizes them at a materially lower multiple as growth normalizes.</x:v>
      </x:c>
      <x:c r="S13" s="465" t="str">
        <x:v>VMware cash generation meets plan while debt, integration choices and capital allocation absorb more of the owner benefit.</x:v>
      </x:c>
      <x:c r="T13" s="483" t="str">
        <x:v>PASS</x:v>
      </x:c>
      <x:c r="U13" s="483" t="str">
        <x:v>PASS</x:v>
      </x:c>
      <x:c r="V13" s="483" t="str">
        <x:v>WATCH</x:v>
      </x:c>
      <x:c r="W13" s="483" t="str">
        <x:v>WATCH</x:v>
      </x:c>
      <x:c r="X13" s="483" t="str">
        <x:v>WATCH</x:v>
      </x:c>
      <x:c r="Y13" s="483" t="str">
        <x:v>REAL DEMAND / HIGH EXPECTATIONS</x:v>
      </x:c>
      <x:c r="Z13" s="483" t="str">
        <x:v>WATCH-CAPPED</x:v>
      </x:c>
      <x:c r="AA13" s="465" t="str">
        <x:v>WATCH — replace the Q2 snapshot with Q3 evidence; require customer concentration, debt/SBC-adjusted per-share FCF and reverse-valuation proof before promotion.</x:v>
      </x:c>
      <x:c r="AB13" s="465" t="str">
        <x:v>10-Q, Q4 customer concentration, VMware retention and debt/share-count bridge</x:v>
      </x:c>
    </x:row>
    <x:row r="14" ht="106" customHeight="1">
      <x:c r="A14" s="487" t="str">
        <x:v>EXTERNAL-CANDIDATE</x:v>
      </x:c>
      <x:c r="B14" s="490" t="str">
        <x:v>Celestica</x:v>
      </x:c>
      <x:c r="C14" s="490" t="str">
        <x:v>CLS</x:v>
      </x:c>
      <x:c r="D14" s="466" t="str">
        <x:v>AI compute systems, networking platforms and manufacturing</x:v>
      </x:c>
      <x:c r="E14" s="472" t="n">
        <x:v>46230</x:v>
      </x:c>
      <x:c r="F14" s="541" t="n">
        <x:v>277.77</x:v>
      </x:c>
      <x:c r="G14" s="466" t="str">
        <x:v>2026-09-02 23:59 UTC</x:v>
      </x:c>
      <x:c r="H14" s="542" t="n">
        <x:v>28.934375</x:v>
      </x:c>
      <x:c r="I14" s="466" t="str">
        <x:v>Q2 revenue was $4.70bn, up 62% YoY. GAAP operating margin was 9.8%, adjusted operating margin 8.2%, GAAP EPS $3.17 and adjusted EPS $2.54. Management raised 2026 revenue guidance to $20.5bn, adjusted EPS to $11.30 and FCF to $600m, and said 2027 revenue growth should exceed the expected 65% rate in 2026.</x:v>
      </x:c>
      <x:c r="J14" s="466" t="str">
        <x:v>User-supplied snapshot: approximately flat YTD and 38% below the peak. Retained as T3 context pending independent daily-price reconciliation.</x:v>
      </x:c>
      <x:c r="K14" s="481" t="str">
        <x:v>https://corporate.celestica.com/news-releases/news-release-details/celestica-announces-second-quarter-2026-financial-results</x:v>
      </x:c>
      <x:c r="L14" s="481" t="str">
        <x:v>https://www.nasdaq.com/market-activity/stocks/cls</x:v>
      </x:c>
      <x:c r="M14" s="466" t="str">
        <x:v>Program qualification, supply-chain execution and platform engineering are translating AI infrastructure demand into exceptional growth. Margins are far below semiconductor economics, so volume growth must be tested against working capital, capex and customer bargaining power.</x:v>
      </x:c>
      <x:c r="N14" s="466" t="str">
        <x:v>Hyperscaler programs and faster networking generations drive units and content; mix and execution lift margin; inventory, customer-funded components and capex determine how much accounting profit becomes per-share FCF.</x:v>
      </x:c>
      <x:c r="O14" s="466" t="str">
        <x:v>Stress customer and program concentration, a delayed platform ramp, components normalizing, customer liability disputes, margin compression, inventory reversals and the possibility that 2027 guidance represents peak visibility.</x:v>
      </x:c>
      <x:c r="P14" s="466" t="str">
        <x:v>GAAP EPS exceeded adjusted EPS and the company raised every major guide, yet the stock remains well below its peak. The lower headline multiple is attractive only if concentration-adjusted FCF scales with revenue.</x:v>
      </x:c>
      <x:c r="Q14" s="466" t="str">
        <x:v>AI systems demand grows as expected, but customers retain the economics through lower manufacturing prices.</x:v>
      </x:c>
      <x:c r="R14" s="466" t="str">
        <x:v>2027 revenue accelerates while inventory and capacity absorb cash faster than margins improve.</x:v>
      </x:c>
      <x:c r="S14" s="466" t="str">
        <x:v>Programs launch on time, but mix shifts toward lower-return assemblies and the earnings multiple contracts.</x:v>
      </x:c>
      <x:c r="T14" s="484" t="str">
        <x:v>PASS</x:v>
      </x:c>
      <x:c r="U14" s="484" t="str">
        <x:v>WATCH</x:v>
      </x:c>
      <x:c r="V14" s="484" t="str">
        <x:v>PASS</x:v>
      </x:c>
      <x:c r="W14" s="484" t="str">
        <x:v>WATCH</x:v>
      </x:c>
      <x:c r="X14" s="484" t="str">
        <x:v>WATCH</x:v>
      </x:c>
      <x:c r="Y14" s="484" t="str">
        <x:v>REAL DEMAND / LOWER RELATIVE BURDEN</x:v>
      </x:c>
      <x:c r="Z14" s="484" t="str">
        <x:v>WATCH-CAPPED</x:v>
      </x:c>
      <x:c r="AA14" s="466" t="str">
        <x:v>PRIORITY RESEARCH — add to the next zero-based queue; reconcile customer concentration, program-level margin, inventory/capex and normalized FCF before any decision.</x:v>
      </x:c>
      <x:c r="AB14" s="466" t="str">
        <x:v>Q3 2026 filing, top-customer exposure, inventory and capex-to-revenue bridge</x:v>
      </x:c>
    </x:row>
    <x:row r="15" ht="106" customHeight="1">
      <x:c r="A15" s="488" t="str">
        <x:v>EXTERNAL-CANDIDATE</x:v>
      </x:c>
      <x:c r="B15" s="491" t="str">
        <x:v>Credo Technology</x:v>
      </x:c>
      <x:c r="C15" s="491" t="str">
        <x:v>CRDO</x:v>
      </x:c>
      <x:c r="D15" s="467" t="str">
        <x:v>Active electrical cables, optical DSPs and high-speed connectivity</x:v>
      </x:c>
      <x:c r="E15" s="473" t="n">
        <x:v>46266</x:v>
      </x:c>
      <x:c r="F15" s="476" t="n">
        <x:v>165.22</x:v>
      </x:c>
      <x:c r="G15" s="467" t="str">
        <x:v>2026-09-03 00:15 UTC</x:v>
      </x:c>
      <x:c r="H15" s="479" t="n">
        <x:v>90.78021978021978</x:v>
      </x:c>
      <x:c r="I15" s="467" t="str">
        <x:v>Fiscal Q1 revenue was $479.0m, up 114.7% YoY and 9.6% QoQ. GAAP gross margin was 64.5%, GAAP net income $129.4m and cash plus short-term investments $764.3m. Non-GAAP net income was $236.3m after $88.0m of SBC and other adjustments. Q2 revenue guidance is $525m-$535m.</x:v>
      </x:c>
      <x:c r="J15" s="467" t="str">
        <x:v>User-supplied snapshot: approximately 30% decline over two trading days despite seven consecutive quarters of triple-digit growth. The seven-quarter streak is secondary context; the current quarter's 114.7% growth is T1-verified.</x:v>
      </x:c>
      <x:c r="K15" s="482" t="str">
        <x:v>https://investors.credosemi.com/news-events/news/news-details/2026/Credo-Technology-Group-Holding-Ltd-Reports-First-Quarter-of-Fiscal-Year-2027-Financial-Results/</x:v>
      </x:c>
      <x:c r="L15" s="482" t="str">
        <x:v>https://www.nasdaq.com/market-activity/stocks/crdo</x:v>
      </x:c>
      <x:c r="M15" s="467" t="str">
        <x:v>Credo has scarce high-speed connectivity IP, exceptional gross margins and genuine AI scale. The owner bridge is weakened by SBC equal to roughly 18% of quarterly revenue and a diluted share count materially above the prior-year level.</x:v>
      </x:c>
      <x:c r="N15" s="467" t="str">
        <x:v>Bandwidth growth raises AEC, DSP and retimer content; product mix drives gross margin; R&amp;D, SBC, acquisitions and share count determine whether the revenue curve compounds per-share value.</x:v>
      </x:c>
      <x:c r="O15" s="467" t="str">
        <x:v>Stress cable growth deceleration, optical mix below expectations, customer concentration, competitive integration, 67%-69% non-GAAP gross-margin guidance, dilution and a valuation near 91x trailing earnings after the selloff.</x:v>
      </x:c>
      <x:c r="P15" s="467" t="str">
        <x:v>The company beat and guided above consensus, but gross-margin and product-mix concerns still mattered because the prior valuation demanded continuing upside surprises. The selloff reduces price, not necessarily expectations enough.</x:v>
      </x:c>
      <x:c r="Q15" s="467" t="str">
        <x:v>AI connectivity demand doubles while product mix shifts to lower incremental margin.</x:v>
      </x:c>
      <x:c r="R15" s="467" t="str">
        <x:v>Revenue guidance is achieved but a major customer dual-sources, lowering the terminal growth assumption.</x:v>
      </x:c>
      <x:c r="S15" s="467" t="str">
        <x:v>GAAP profit grows strongly while SBC and dilution prevent equivalent growth in owner value per share.</x:v>
      </x:c>
      <x:c r="T15" s="485" t="str">
        <x:v>PASS</x:v>
      </x:c>
      <x:c r="U15" s="485" t="str">
        <x:v>WATCH</x:v>
      </x:c>
      <x:c r="V15" s="485" t="str">
        <x:v>PASS</x:v>
      </x:c>
      <x:c r="W15" s="485" t="str">
        <x:v>FAIL</x:v>
      </x:c>
      <x:c r="X15" s="485" t="str">
        <x:v>FAIL</x:v>
      </x:c>
      <x:c r="Y15" s="485" t="str">
        <x:v>REAL DEMAND / EXTREME EXPECTATIONS</x:v>
      </x:c>
      <x:c r="Z15" s="485" t="str">
        <x:v>BLOCKED - FAIL</x:v>
      </x:c>
      <x:c r="AA15" s="467" t="str">
        <x:v>WAIT — require customer concentration, SBC-adjusted per-share owner earnings and an entry valuation resilient to growth deceleration.</x:v>
      </x:c>
      <x:c r="AB15" s="467" t="str">
        <x:v>10-Q customer concentration, cash-flow statement and diluted-share roll-forward</x:v>
      </x:c>
    </x:row>
    <x:row r="16" ht="106" customHeight="1">
      <x:c r="A16" s="487" t="str">
        <x:v>EXTERNAL-CANDIDATE</x:v>
      </x:c>
      <x:c r="B16" s="490" t="str">
        <x:v>Arm Holdings</x:v>
      </x:c>
      <x:c r="C16" s="490" t="str">
        <x:v>ARM</x:v>
      </x:c>
      <x:c r="D16" s="466" t="str">
        <x:v>CPU architecture, royalties and emerging data-center compute products</x:v>
      </x:c>
      <x:c r="E16" s="472" t="n">
        <x:v>46232</x:v>
      </x:c>
      <x:c r="F16" s="541" t="n">
        <x:v>234.86</x:v>
      </x:c>
      <x:c r="G16" s="466" t="str">
        <x:v>2026-09-03 00:15 UTC</x:v>
      </x:c>
      <x:c r="H16" s="542"/>
      <x:c r="I16" s="466" t="str">
        <x:v>Fiscal Q1 revenue was a record $1.289bn, up 22% YoY; royalty revenue was $715m and licensing revenue $574m. GAAP net income was $270m and non-GAAP EPS $0.45. Data-center royalties more than doubled, and disclosed demand for the Arm AGI CPU exceeded $2bn across fiscal 2027 and 2028.</x:v>
      </x:c>
      <x:c r="J16" s="466" t="str">
        <x:v>User-supplied snapshot: approximately 49% below the peak. Retained as T3 context pending independent historical-price reconciliation.</x:v>
      </x:c>
      <x:c r="K16" s="481" t="str">
        <x:v>https://investors.arm.com/news-releases/news-release-details/arm-holdings-plc-reports-results-first-quarter-financial-year-1</x:v>
      </x:c>
      <x:c r="L16" s="481" t="str">
        <x:v>https://www.nasdaq.com/market-activity/stocks/arm</x:v>
      </x:c>
      <x:c r="M16" s="466" t="str">
        <x:v>Arm owns a powerful architecture and royalty ecosystem with rising data-center relevance. Moving toward manufactured compute products can enlarge the opportunity but also changes the asset-light economics and partner relationships.</x:v>
      </x:c>
      <x:c r="N16" s="466" t="str">
        <x:v>More Arm-based chips and higher royalty rates drive high-margin revenue; new AGI CPUs add product revenue but require capacity and execution; SoftBank control and share structure determine minority-owner outcomes.</x:v>
      </x:c>
      <x:c r="O16" s="466" t="str">
        <x:v>Stress smartphone weakness, royalty-rate resistance, RISC-V, customer architectural bargaining power, foundry capacity, product-channel conflict, SoftBank-related governance and an implied equity value near fifty times recent annual revenue.</x:v>
      </x:c>
      <x:c r="P16" s="466" t="str">
        <x:v>A 49% drawdown can coexist with an expectations burden that remains extraordinary relative to current revenue and earnings. The business may be excellent while the security remains unprotected.</x:v>
      </x:c>
      <x:c r="Q16" s="466" t="str">
        <x:v>Data-center royalties double again, but the market assigns a lower multiple as growth broadens from a small base.</x:v>
      </x:c>
      <x:c r="R16" s="466" t="str">
        <x:v>The AGI CPU wins demand while manufacturing capacity and channel conflict reduce returns versus pure licensing.</x:v>
      </x:c>
      <x:c r="S16" s="466" t="str">
        <x:v>Arm architecture gains share, but customers negotiate economics and RISC-V caps terminal royalty assumptions.</x:v>
      </x:c>
      <x:c r="T16" s="484" t="str">
        <x:v>PASS</x:v>
      </x:c>
      <x:c r="U16" s="484" t="str">
        <x:v>WATCH</x:v>
      </x:c>
      <x:c r="V16" s="484" t="str">
        <x:v>PASS</x:v>
      </x:c>
      <x:c r="W16" s="484" t="str">
        <x:v>WATCH</x:v>
      </x:c>
      <x:c r="X16" s="484" t="str">
        <x:v>FAIL</x:v>
      </x:c>
      <x:c r="Y16" s="484" t="str">
        <x:v>REAL DEMAND / EXTREME EXPECTATIONS</x:v>
      </x:c>
      <x:c r="Z16" s="484" t="str">
        <x:v>BLOCKED - FAIL</x:v>
      </x:c>
      <x:c r="AA16" s="466" t="str">
        <x:v>WAIT FOR PRICE/PROOF — require a licensing-versus-product owner-earnings bridge, governance review and conservative reverse valuation.</x:v>
      </x:c>
      <x:c r="AB16" s="466" t="str">
        <x:v>Shareholder letter, AGI CPU economics, manufacturing commitments and SoftBank governance</x:v>
      </x:c>
    </x:row>
    <x:row r="17" ht="106" customHeight="1">
      <x:c r="A17" s="488" t="str">
        <x:v>EXTERNAL-CANDIDATE</x:v>
      </x:c>
      <x:c r="B17" s="491" t="str">
        <x:v>Coherent</x:v>
      </x:c>
      <x:c r="C17" s="491" t="str">
        <x:v>COHR</x:v>
      </x:c>
      <x:c r="D17" s="467" t="str">
        <x:v>Optical transceivers, lasers and photonic components</x:v>
      </x:c>
      <x:c r="E17" s="473" t="n">
        <x:v>46246</x:v>
      </x:c>
      <x:c r="F17" s="476" t="n">
        <x:v>268.64</x:v>
      </x:c>
      <x:c r="G17" s="467" t="str">
        <x:v>2026-09-02 23:55 UTC</x:v>
      </x:c>
      <x:c r="H17" s="479" t="n">
        <x:v>127.3175355450237</x:v>
      </x:c>
      <x:c r="I17" s="467" t="str">
        <x:v>Fiscal Q4 revenue was $2.05bn, up 34% YoY and 42% on a pro-forma basis. GAAP gross margin was 38.5%, non-GAAP gross margin 40.2%, GAAP EPS $1.19 and non-GAAP EPS $1.74. Management cited exceptional AI-data-center demand and ongoing manufacturing-capacity expansion.</x:v>
      </x:c>
      <x:c r="J17" s="467" t="str">
        <x:v>User-supplied snapshot: approximately 39% below the peak. Retained as T3 context pending independent historical-price reconciliation.</x:v>
      </x:c>
      <x:c r="K17" s="482" t="str">
        <x:v>https://www.coherent.com/news/press-releases/fourth-quarter-and-fiscal-year-2026-results</x:v>
      </x:c>
      <x:c r="L17" s="482" t="str">
        <x:v>https://www.nasdaq.com/market-activity/stocks/cohr</x:v>
      </x:c>
      <x:c r="M17" s="467" t="str">
        <x:v>Broad photonics IP and manufacturing scale are strategically important as data centers migrate from copper to optics. The acquisition-heavy balance sheet, capacity spending and GAAP/non-GAAP spread require a cleaner owner-earnings reconstruction.</x:v>
      </x:c>
      <x:c r="N17" s="467" t="str">
        <x:v>Optical content per accelerator cluster drives revenue; yields, utilization and mix drive margin; capacity capex, interest, amortization and working capital determine cash available per diluted share.</x:v>
      </x:c>
      <x:c r="O17" s="467" t="str">
        <x:v>Stress 800G/1.6T pricing, customer qualification shifts, Chinese supply, capacity arriving after the peak, debt, acquisition accounting and a trailing GAAP multiple above 120x.</x:v>
      </x:c>
      <x:c r="P17" s="467" t="str">
        <x:v>Record growth and margin expansion coexist with a large drawdown because the market is discounting execution, financing and duration. That is healthy skepticism, but the remaining multiple still supplies little demonstrated protection.</x:v>
      </x:c>
      <x:c r="Q17" s="467" t="str">
        <x:v>Optical demand accelerates while industry capacity expands faster and compresses price.</x:v>
      </x:c>
      <x:c r="R17" s="467" t="str">
        <x:v>New capacity fills, but yield and working-capital costs delay owner FCF.</x:v>
      </x:c>
      <x:c r="S17" s="467" t="str">
        <x:v>The copper-to-optics thesis proves correct while the equity multiple normalizes before debt falls.</x:v>
      </x:c>
      <x:c r="T17" s="485" t="str">
        <x:v>PASS</x:v>
      </x:c>
      <x:c r="U17" s="485" t="str">
        <x:v>WATCH</x:v>
      </x:c>
      <x:c r="V17" s="485" t="str">
        <x:v>WATCH</x:v>
      </x:c>
      <x:c r="W17" s="485" t="str">
        <x:v>WATCH</x:v>
      </x:c>
      <x:c r="X17" s="485" t="str">
        <x:v>FAIL</x:v>
      </x:c>
      <x:c r="Y17" s="485" t="str">
        <x:v>REAL DEMAND / HIGH EXPECTATIONS</x:v>
      </x:c>
      <x:c r="Z17" s="485" t="str">
        <x:v>BLOCKED - FAIL</x:v>
      </x:c>
      <x:c r="AA17" s="467" t="str">
        <x:v>WAIT — reconstruct GAAP owner earnings, net debt, capacity returns and customer concentration before treating the drawdown as value.</x:v>
      </x:c>
      <x:c r="AB17" s="467" t="str">
        <x:v>10-K cash flow, net debt, capacity commitments and top-customer exposure</x:v>
      </x:c>
    </x:row>
    <x:row r="18" ht="106" customHeight="1">
      <x:c r="A18" s="487" t="str">
        <x:v>CORE-100</x:v>
      </x:c>
      <x:c r="B18" s="490" t="str">
        <x:v>Marvell Technology</x:v>
      </x:c>
      <x:c r="C18" s="490" t="str">
        <x:v>MRVL</x:v>
      </x:c>
      <x:c r="D18" s="466" t="str">
        <x:v>Custom silicon, electro-optics and data-center connectivity</x:v>
      </x:c>
      <x:c r="E18" s="472" t="n">
        <x:v>46261</x:v>
      </x:c>
      <x:c r="F18" s="541" t="n">
        <x:v>206.48</x:v>
      </x:c>
      <x:c r="G18" s="466" t="str">
        <x:v>2026-09-03 00:15 UTC</x:v>
      </x:c>
      <x:c r="H18" s="542" t="n">
        <x:v>68.37086092715231</x:v>
      </x:c>
      <x:c r="I18" s="466" t="str">
        <x:v>Fiscal Q2 revenue was $2.739bn, up 37% YoY; Data Center grew 46%. GAAP gross margin was 53.1%, GAAP EPS $0.33, non-GAAP EPS $0.94 and operating cash flow $605.5m. Q3 revenue guidance is $3.15bn ±5%; diluted weighted-average shares are expected to be 921m.</x:v>
      </x:c>
      <x:c r="J18" s="466" t="str">
        <x:v>User-supplied snapshot: approximately 36% below the peak. Retained as T3 context pending independent historical-price reconciliation.</x:v>
      </x:c>
      <x:c r="K18" s="481" t="str">
        <x:v>https://investor.marvell.com/news-events/press-releases/detail/1031/marvell-technology-inc-reports-second-quarter-of-fiscal-year-2027-financial-results</x:v>
      </x:c>
      <x:c r="L18" s="481" t="str">
        <x:v>https://www.nasdaq.com/market-activity/stocks/mrvl</x:v>
      </x:c>
      <x:c r="M18" s="466" t="str">
        <x:v>Custom silicon and connectivity are exposed to durable AI complexity, but current GAAP earnings remain far below non-GAAP earnings and customer programs are concentrated.</x:v>
      </x:c>
      <x:c r="N18" s="466" t="str">
        <x:v>Design wins and optical attach drive revenue; gross profit funds heavy R&amp;D; acquisition amortization, SBC, preferred capital and share count determine per-share cash power.</x:v>
      </x:c>
      <x:c r="O18" s="466" t="str">
        <x:v>Stress a delayed custom ramp, Google or another hyperscaler reallocating designs, optical share loss, export restrictions, 921m diluted shares and a multiple around 68x trailing earnings.</x:v>
      </x:c>
      <x:c r="P18" s="466" t="str">
        <x:v>Raised multi-year guidance and robust bookings are credible, but a 36% drawdown does not reconcile the nearly threefold Q2 gap between GAAP and non-GAAP income.</x:v>
      </x:c>
      <x:c r="Q18" s="466" t="str">
        <x:v>AI infrastructure grows but customers internalize more design and compress Marvell economics.</x:v>
      </x:c>
      <x:c r="R18" s="466" t="str">
        <x:v>Design wins remain intact while deployment timing slips after R&amp;D and supply commitments are incurred.</x:v>
      </x:c>
      <x:c r="S18" s="466" t="str">
        <x:v>Marvell grows exactly as forecast, but dilution and multiple compression overwhelm the fundamental success.</x:v>
      </x:c>
      <x:c r="T18" s="484" t="str">
        <x:v>PASS</x:v>
      </x:c>
      <x:c r="U18" s="484" t="str">
        <x:v>WATCH</x:v>
      </x:c>
      <x:c r="V18" s="484" t="str">
        <x:v>WATCH</x:v>
      </x:c>
      <x:c r="W18" s="484" t="str">
        <x:v>FAIL</x:v>
      </x:c>
      <x:c r="X18" s="484" t="str">
        <x:v>FAIL</x:v>
      </x:c>
      <x:c r="Y18" s="484" t="str">
        <x:v>REAL DEMAND / HIGH EXPECTATIONS</x:v>
      </x:c>
      <x:c r="Z18" s="484" t="str">
        <x:v>BLOCKED - FAIL</x:v>
      </x:c>
      <x:c r="AA18" s="466" t="str">
        <x:v>WAIT — preserve the existing block until GAAP/SBC-adjusted owner earnings, customer-program concentration and dilution are reconciled.</x:v>
      </x:c>
      <x:c r="AB18" s="466" t="str">
        <x:v>Q3 ramp, October investor day, customer concentration and share-count bridge</x:v>
      </x:c>
    </x:row>
    <x:row r="19" ht="106" customHeight="1">
      <x:c r="A19" s="488" t="str">
        <x:v>CORE-100</x:v>
      </x:c>
      <x:c r="B19" s="491" t="str">
        <x:v>Vertiv</x:v>
      </x:c>
      <x:c r="C19" s="491" t="str">
        <x:v>VRT</x:v>
      </x:c>
      <x:c r="D19" s="467" t="str">
        <x:v>Data-center power, thermal management and service</x:v>
      </x:c>
      <x:c r="E19" s="473" t="n">
        <x:v>46232</x:v>
      </x:c>
      <x:c r="F19" s="476" t="n">
        <x:v>256.7</x:v>
      </x:c>
      <x:c r="G19" s="467" t="str">
        <x:v>2026-09-02 23:45 UTC</x:v>
      </x:c>
      <x:c r="H19" s="479" t="n">
        <x:v>58.07692307692307</x:v>
      </x:c>
      <x:c r="I19" s="467" t="str">
        <x:v>Q2 sales were $3.274bn, up 24% including 18% organic growth. Adjusted operating margin was 22.6%, up 410bp. Operating cash flow was $1.100bn and adjusted FCF $925m. Management raised 2026 guidance to $14.0bn sales at the midpoint, 31% organic growth and adjusted EPS of $6.65-$6.75.</x:v>
      </x:c>
      <x:c r="J19" s="467" t="str">
        <x:v>User-supplied snapshot: approximately 33% below the peak. Retained as T3 context pending independent historical-price reconciliation.</x:v>
      </x:c>
      <x:c r="K19" s="482" t="str">
        <x:v>https://investors.vertiv.com/news/news-details/2026/Vertiv-Reports-Strong-Second-Quarter-2026-with-Diluted-EPS-Growth-of-53-Adjusted-Diluted-EPS-Growth-of-60-Raises-Full-Year-2026-Guidance-Across-All-Key-Metrics/default.aspx</x:v>
      </x:c>
      <x:c r="L19" s="482" t="str">
        <x:v>https://www.nyse.com/quote/XNYS:VRT</x:v>
      </x:c>
      <x:c r="M19" s="467" t="str">
        <x:v>Power and thermal content, engineering integration and service relationships are benefiting from genuine AI scarcity. Exceptional price-cost and working-capital execution should not be extrapolated without a full-cycle test.</x:v>
      </x:c>
      <x:c r="N19" s="467" t="str">
        <x:v>AI capacity and rack density drive orders and content; price-cost and productivity expand margin; capacity capex, working capital and service attach determine normalized FCF.</x:v>
      </x:c>
      <x:c r="O19" s="467" t="str">
        <x:v>Stress hyperscaler timing, permits and power, new cooling architectures, aggressive industry capacity, order cancellation, acquisitions and a valuation near 58x trailing earnings.</x:v>
      </x:c>
      <x:c r="P19" s="467" t="str">
        <x:v>The business is delivering both growth and cash, yet the security still fails the existing price and cycle gates. The drawdown is compatible with an excellent company whose scarcity multiple remains elevated.</x:v>
      </x:c>
      <x:c r="Q19" s="467" t="str">
        <x:v>AI deployments grow while alternative cooling architectures lower Vertiv content per rack.</x:v>
      </x:c>
      <x:c r="R19" s="467" t="str">
        <x:v>Backlog converts, but capacity catches demand and price-cost benefits reverse.</x:v>
      </x:c>
      <x:c r="S19" s="467" t="str">
        <x:v>Execution remains excellent while financing and permitting move customer projects beyond the valuation horizon.</x:v>
      </x:c>
      <x:c r="T19" s="485" t="str">
        <x:v>PASS</x:v>
      </x:c>
      <x:c r="U19" s="485" t="str">
        <x:v>PASS</x:v>
      </x:c>
      <x:c r="V19" s="485" t="str">
        <x:v>PASS</x:v>
      </x:c>
      <x:c r="W19" s="485" t="str">
        <x:v>WATCH</x:v>
      </x:c>
      <x:c r="X19" s="485" t="str">
        <x:v>FAIL</x:v>
      </x:c>
      <x:c r="Y19" s="485" t="str">
        <x:v>REAL DEMAND / HIGH EXPECTATIONS</x:v>
      </x:c>
      <x:c r="Z19" s="485" t="str">
        <x:v>BLOCKED - FAIL</x:v>
      </x:c>
      <x:c r="AA19" s="467" t="str">
        <x:v>WAIT FOR PRICE — preserve the existing block; require normalized backlog conversion, full-cycle margins and service-moat evidence.</x:v>
      </x:c>
      <x:c r="AB19" s="467" t="str">
        <x:v>Q3 backlog conversion, order cancellations, capex and acquisition-adjusted FCF</x:v>
      </x:c>
    </x:row>
    <x:row r="20" ht="106" customHeight="1">
      <x:c r="A20" s="487" t="str">
        <x:v>EXTERNAL-CANDIDATE</x:v>
      </x:c>
      <x:c r="B20" s="490" t="str">
        <x:v>Nebius Group</x:v>
      </x:c>
      <x:c r="C20" s="490" t="str">
        <x:v>NBIS</x:v>
      </x:c>
      <x:c r="D20" s="466" t="str">
        <x:v>AI cloud, GPU capacity and data-center development</x:v>
      </x:c>
      <x:c r="E20" s="472" t="n">
        <x:v>46246</x:v>
      </x:c>
      <x:c r="F20" s="541" t="n">
        <x:v>204.09</x:v>
      </x:c>
      <x:c r="G20" s="466" t="str">
        <x:v>2026-09-03 00:15 UTC</x:v>
      </x:c>
      <x:c r="H20" s="542"/>
      <x:c r="I20" s="466" t="str">
        <x:v>Q2 revenue was $582.3m, up 454% YoY; adjusted EBITDA was $236.2m, but the GAAP operating loss was $175.9m and adjusted net loss $33.2m. Q2 SBC was $102.5m. At June 30 cash was $8.042bn, property and equipment $13.045bn, current debt $46.7m and non-current debt $8.499bn.</x:v>
      </x:c>
      <x:c r="J20" s="466" t="str">
        <x:v>User-supplied snapshot: approximately 32% below the peak. Retained as T3 context pending independent historical-price reconciliation.</x:v>
      </x:c>
      <x:c r="K20" s="481" t="str">
        <x:v>https://nebius.com/newsroom/nebius-reports-second-quarter-2026-financial-results</x:v>
      </x:c>
      <x:c r="L20" s="481" t="str">
        <x:v>https://www.nasdaq.com/market-activity/stocks/nbis</x:v>
      </x:c>
      <x:c r="M20" s="466" t="str">
        <x:v>Demand, contract activity and adjusted EBITDA inflection are substantial, but Nebius is fundamentally a capital-financing and utilization underwriting rather than a simple revenue-growth story.</x:v>
      </x:c>
      <x:c r="N20" s="466" t="str">
        <x:v>Financed GPU and power capacity creates contracted revenue; utilization and pricing create EBITDA; depreciation, interest, SBC, customer prepayments and replacement capex determine true owner returns.</x:v>
      </x:c>
      <x:c r="O20" s="466" t="str">
        <x:v>Stress customer concentration, circular vendor financing, GPU obsolescence, utilization, power delays, $8.5bn debt, large SBC, negative GAAP operating profit and refinancing before assets earn their cost of capital.</x:v>
      </x:c>
      <x:c r="P20" s="466" t="str">
        <x:v>Revenue rose 454% and adjusted EBITDA turned positive, while depreciation, SBC, interest and ongoing capacity commitments still produced an operating loss. Demand proof is not yet owner-return proof.</x:v>
      </x:c>
      <x:c r="Q20" s="466" t="str">
        <x:v>Every contracted GPU is deployed, but new hardware generations shorten useful lives and raise replacement capital.</x:v>
      </x:c>
      <x:c r="R20" s="466" t="str">
        <x:v>Customers prepay and demand remains strong while capacity economics are competed down by hyperscalers and neocloud peers.</x:v>
      </x:c>
      <x:c r="S20" s="466" t="str">
        <x:v>Revenue and adjusted EBITDA meet plan, but debt, depreciation, SBC and dilution consume the per-share outcome.</x:v>
      </x:c>
      <x:c r="T20" s="484" t="str">
        <x:v>PASS</x:v>
      </x:c>
      <x:c r="U20" s="484" t="str">
        <x:v>FAIL</x:v>
      </x:c>
      <x:c r="V20" s="484" t="str">
        <x:v>FAIL</x:v>
      </x:c>
      <x:c r="W20" s="484" t="str">
        <x:v>FAIL</x:v>
      </x:c>
      <x:c r="X20" s="484" t="str">
        <x:v>FAIL</x:v>
      </x:c>
      <x:c r="Y20" s="484" t="str">
        <x:v>REAL DEMAND / CAPITAL-CYCLE RISK</x:v>
      </x:c>
      <x:c r="Z20" s="484" t="str">
        <x:v>BLOCKED - FAIL</x:v>
      </x:c>
      <x:c r="AA20" s="466" t="str">
        <x:v>WAIT — require a contract-by-contract ROIC, customer-prepayment waterfall, GPU replacement capex and fully diluted financing bridge.</x:v>
      </x:c>
      <x:c r="AB20" s="466" t="str">
        <x:v>Contract concentration, capex commitments, depreciation lives, prepayments and diluted capital structure</x:v>
      </x:c>
    </x:row>
  </x:sheetData>
  <x:mergeCells>
    <x:mergeCell ref="A1:H1"/>
    <x:mergeCell ref="A2:H2"/>
    <x:mergeCell ref="A3:H3"/>
    <x:mergeCell ref="C5:D5"/>
    <x:mergeCell ref="C6:D6"/>
    <x:mergeCell ref="C7:D7"/>
    <x:mergeCell ref="C8:D8"/>
    <x:mergeCell ref="C9:D9"/>
    <x:mergeCell ref="C10:D10"/>
    <x:mergeCell ref="A4:H4"/>
  </x:mergeCells>
  <x:conditionalFormatting sqref="T13:X20">
    <x:cfRule type="containsText" dxfId="52" priority="1" operator="containsText" text="PASS"/>
    <x:cfRule type="containsText" dxfId="53" priority="2" operator="containsText" text="WATCH"/>
    <x:cfRule type="containsText" dxfId="54" priority="3" operator="containsText" text="FAIL"/>
    <x:cfRule type="containsText" dxfId="55" priority="4" operator="containsText" text="READY"/>
  </x:conditionalFormatting>
  <x:conditionalFormatting sqref="Z13:Z20">
    <x:cfRule type="containsText" dxfId="56" priority="5" operator="containsText" text="PASS"/>
    <x:cfRule type="containsText" dxfId="57" priority="6" operator="containsText" text="WATCH"/>
    <x:cfRule type="containsText" dxfId="58" priority="7" operator="containsText" text="FAIL"/>
    <x:cfRule type="containsText" dxfId="59" priority="8" operator="containsText" text="READY"/>
  </x:conditionalFormatting>
  <x:conditionalFormatting sqref="Y13:Y20">
    <x:cfRule type="containsText" dxfId="60" priority="9" operator="containsText" text="EXTREME"/>
    <x:cfRule type="containsText" dxfId="61" priority="10" operator="containsText" text="CAPITAL-CYCLE"/>
    <x:cfRule type="containsText" dxfId="62" priority="11" operator="containsText" text="HIGH EXPECTATIONS"/>
    <x:cfRule type="containsText" dxfId="63" priority="12" operator="containsText" text="LOWER RELATIVE BURDEN"/>
  </x:conditionalFormatting>
  <x:pageMargins left="0.7" right="0.7" top="0.75" bottom="0.75" header="0.3" footer="0.3"/>
  <x:tableParts count="1">
    <x:tablePart xmlns:r="http://schemas.openxmlformats.org/officeDocument/2006/relationships" r:id="R6132d256f2e74663"/>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10" hidden="0" customWidth="1"/>
    <x:col min="4" max="4" width="22" hidden="0" customWidth="1"/>
    <x:col min="5" max="5" width="22" hidden="0" customWidth="1"/>
    <x:col min="6" max="6" width="13" hidden="0" customWidth="1"/>
    <x:col min="7" max="7" width="13" hidden="0" customWidth="1"/>
    <x:col min="8" max="8" width="12" hidden="0" customWidth="1"/>
    <x:col min="9" max="9" width="12" hidden="0" customWidth="1"/>
    <x:col min="10" max="10" width="20" hidden="0" customWidth="1"/>
    <x:col min="11" max="11" width="18" hidden="0" customWidth="1"/>
    <x:col min="12" max="12" width="52" hidden="0" customWidth="1"/>
  </x:cols>
  <x:sheetData>
    <x:row r="1" ht="30" customHeight="1">
      <x:c r="A1" s="552" t="str">
        <x:v>ARGUS V10.33 — DAILY PRICE CONTROL LOG</x:v>
      </x:c>
      <x:c r="B1" s="552"/>
      <x:c r="C1" s="552"/>
      <x:c r="D1" s="552"/>
      <x:c r="E1" s="552"/>
      <x:c r="F1" s="552"/>
      <x:c r="G1" s="552"/>
      <x:c r="H1" s="552"/>
      <x:c r="I1" s="552"/>
      <x:c r="J1" s="552"/>
      <x:c r="K1" s="552"/>
      <x:c r="L1" s="552"/>
    </x:row>
    <x:row r="2" ht="24" customHeight="1">
      <x:c r="A2" s="553" t="str">
        <x:v>Point-in-time market data · immutable quote timestamp · prior-snapshot comparison · fail-closed decision control</x:v>
      </x:c>
      <x:c r="B2" s="553"/>
      <x:c r="C2" s="553"/>
      <x:c r="D2" s="553"/>
      <x:c r="E2" s="553"/>
      <x:c r="F2" s="553"/>
      <x:c r="G2" s="553"/>
      <x:c r="H2" s="553"/>
      <x:c r="I2" s="553"/>
      <x:c r="J2" s="553"/>
      <x:c r="K2" s="553"/>
      <x:c r="L2" s="553"/>
    </x:row>
    <x:row r="3" ht="24" customHeight="1">
      <x:c r="A3" s="554" t="str">
        <x:v>A market-data refresh never changes a frozen decision by itself. Price is evidence for valuation, not proof of value.</x:v>
      </x:c>
      <x:c r="B3" s="554"/>
      <x:c r="C3" s="554"/>
      <x:c r="D3" s="554"/>
      <x:c r="E3" s="554"/>
      <x:c r="F3" s="554"/>
      <x:c r="G3" s="554"/>
      <x:c r="H3" s="554"/>
      <x:c r="I3" s="554"/>
      <x:c r="J3" s="554"/>
      <x:c r="K3" s="554"/>
      <x:c r="L3" s="554"/>
    </x:row>
    <x:row r="5">
      <x:c r="A5" s="557" t="str">
        <x:v>Metric</x:v>
      </x:c>
      <x:c r="B5" s="558" t="str">
        <x:v>Value</x:v>
      </x:c>
      <x:c r="C5" s="558" t="str">
        <x:v>Control Meaning</x:v>
      </x:c>
      <x:c r="D5" s="558"/>
      <x:c r="E5" s="558" t="str">
        <x:v>Target</x:v>
      </x:c>
      <x:c r="F5" s="558" t="str">
        <x:v>Status</x:v>
      </x:c>
      <x:c r="G5" s="559" t="str">
        <x:v>As Of</x:v>
      </x:c>
    </x:row>
    <x:row r="6" ht="34" customHeight="1">
      <x:c r="A6" s="512" t="str">
        <x:v>Price records checked</x:v>
      </x:c>
      <x:c r="B6" s="504" t="n">
        <x:f>COUNTA(C12:C19)</x:f>
        <x:v>8</x:v>
      </x:c>
      <x:c r="C6" s="504" t="str">
        <x:v>All eight AI-chain names queried from the market feed</x:v>
      </x:c>
      <x:c r="D6" s="504"/>
      <x:c r="E6" s="560" t="n">
        <x:v>8</x:v>
      </x:c>
      <x:c r="F6" s="504" t="str">
        <x:v>PASS</x:v>
      </x:c>
      <x:c r="G6" s="562" t="n">
        <x:v>46268.338275462964</x:v>
      </x:c>
    </x:row>
    <x:row r="7" ht="34" customHeight="1">
      <x:c r="A7" s="513" t="str">
        <x:v>New trade observations</x:v>
      </x:c>
      <x:c r="B7" s="507" t="n">
        <x:f>COUNTIF(K12:K19,"UPDATED")</x:f>
        <x:v>0</x:v>
      </x:c>
      <x:c r="C7" s="507" t="str">
        <x:v>Latest trade timestamps are unchanged from the prior PIT snapshot</x:v>
      </x:c>
      <x:c r="D7" s="507"/>
      <x:c r="E7" s="561" t="n">
        <x:v>0</x:v>
      </x:c>
      <x:c r="F7" s="507" t="str">
        <x:v>PASS</x:v>
      </x:c>
      <x:c r="G7" s="563" t="n">
        <x:v>46268.338275462964</x:v>
      </x:c>
    </x:row>
    <x:row r="8" ht="34" customHeight="1">
      <x:c r="A8" s="513" t="str">
        <x:v>Decision changes</x:v>
      </x:c>
      <x:c r="B8" s="507" t="n">
        <x:f>COUNTIF(K12:K19,"DECISION CHANGE")</x:f>
        <x:v>0</x:v>
      </x:c>
      <x:c r="C8" s="507" t="str">
        <x:v>Price refresh cannot change status without the full evidence gates</x:v>
      </x:c>
      <x:c r="D8" s="507"/>
      <x:c r="E8" s="561" t="n">
        <x:v>0</x:v>
      </x:c>
      <x:c r="F8" s="507" t="str">
        <x:v>PASS</x:v>
      </x:c>
      <x:c r="G8" s="563" t="n">
        <x:v>46268.338275462964</x:v>
      </x:c>
    </x:row>
    <x:row r="9" ht="34" customHeight="1">
      <x:c r="A9" s="514" t="str">
        <x:v>Next scheduled run</x:v>
      </x:c>
      <x:c r="B9" s="510" t="str">
        <x:v>2026-09-04 08:00 Israel</x:v>
      </x:c>
      <x:c r="C9" s="510" t="str">
        <x:v>Recurring ARGUS Daily Update</x:v>
      </x:c>
      <x:c r="D9" s="510"/>
      <x:c r="E9" s="510" t="str">
        <x:v>DAILY</x:v>
      </x:c>
      <x:c r="F9" s="510" t="str">
        <x:v>SCHEDULED</x:v>
      </x:c>
      <x:c r="G9" s="564" t="n">
        <x:v>46268.338275462964</x:v>
      </x:c>
    </x:row>
    <x:row r="11" ht="34" customHeight="1">
      <x:c r="A11" s="573" t="str">
        <x:v>Run At UTC</x:v>
      </x:c>
      <x:c r="B11" s="574" t="str">
        <x:v>Run At Israel</x:v>
      </x:c>
      <x:c r="C11" s="574" t="str">
        <x:v>Ticker</x:v>
      </x:c>
      <x:c r="D11" s="574" t="str">
        <x:v>Company</x:v>
      </x:c>
      <x:c r="E11" s="574" t="str">
        <x:v>Scope</x:v>
      </x:c>
      <x:c r="F11" s="574" t="str">
        <x:v>Price USD</x:v>
      </x:c>
      <x:c r="G11" s="574" t="str">
        <x:v>Previous PIT</x:v>
      </x:c>
      <x:c r="H11" s="574" t="str">
        <x:v>Delta</x:v>
      </x:c>
      <x:c r="I11" s="574" t="str">
        <x:v>Delta %</x:v>
      </x:c>
      <x:c r="J11" s="574" t="str">
        <x:v>Quote At UTC</x:v>
      </x:c>
      <x:c r="K11" s="574" t="str">
        <x:v>Update Status</x:v>
      </x:c>
      <x:c r="L11" s="575" t="str">
        <x:v>Price Source URL</x:v>
      </x:c>
    </x:row>
    <x:row r="12" ht="32" customHeight="1">
      <x:c r="A12" s="595" t="n">
        <x:v>46268.338275462964</x:v>
      </x:c>
      <x:c r="B12" s="586" t="str">
        <x:v>2026-09-03 11:07 Israel</x:v>
      </x:c>
      <x:c r="C12" s="589" t="str">
        <x:v>AVGO</x:v>
      </x:c>
      <x:c r="D12" s="589" t="str">
        <x:v>Broadcom</x:v>
      </x:c>
      <x:c r="E12" s="589" t="str">
        <x:v>CORE-100</x:v>
      </x:c>
      <x:c r="F12" s="598" t="n">
        <x:v>367.24</x:v>
      </x:c>
      <x:c r="G12" s="598" t="n">
        <x:v>367.24</x:v>
      </x:c>
      <x:c r="H12" s="598" t="n">
        <x:f>F12-G12</x:f>
        <x:v>0</x:v>
      </x:c>
      <x:c r="I12" s="601" t="n">
        <x:f>IF(G12=0,0,H12/G12)</x:f>
        <x:v>0</x:v>
      </x:c>
      <x:c r="J12" s="595" t="n">
        <x:v>46268.010416666664</x:v>
      </x:c>
      <x:c r="K12" s="586" t="str">
        <x:v>NO NEW TRADE</x:v>
      </x:c>
      <x:c r="L12" s="592" t="str">
        <x:v>https://www.nasdaq.com/market-activity/stocks/avgo</x:v>
      </x:c>
    </x:row>
    <x:row r="13" ht="32" customHeight="1">
      <x:c r="A13" s="596" t="n">
        <x:v>46268.338275462964</x:v>
      </x:c>
      <x:c r="B13" s="587" t="str">
        <x:v>2026-09-03 11:07 Israel</x:v>
      </x:c>
      <x:c r="C13" s="590" t="str">
        <x:v>CLS</x:v>
      </x:c>
      <x:c r="D13" s="590" t="str">
        <x:v>Celestica</x:v>
      </x:c>
      <x:c r="E13" s="590" t="str">
        <x:v>EXTERNAL-CANDIDATE</x:v>
      </x:c>
      <x:c r="F13" s="599" t="n">
        <x:v>277.77</x:v>
      </x:c>
      <x:c r="G13" s="599" t="n">
        <x:v>277.77</x:v>
      </x:c>
      <x:c r="H13" s="599" t="n">
        <x:f>F13-G13</x:f>
        <x:v>0</x:v>
      </x:c>
      <x:c r="I13" s="602" t="n">
        <x:f>IF(G13=0,0,H13/G13)</x:f>
        <x:v>0</x:v>
      </x:c>
      <x:c r="J13" s="596" t="n">
        <x:v>46267.999386574076</x:v>
      </x:c>
      <x:c r="K13" s="587" t="str">
        <x:v>NO NEW TRADE</x:v>
      </x:c>
      <x:c r="L13" s="593" t="str">
        <x:v>https://www.nasdaq.com/market-activity/stocks/cls</x:v>
      </x:c>
    </x:row>
    <x:row r="14" ht="32" customHeight="1">
      <x:c r="A14" s="597" t="n">
        <x:v>46268.338275462964</x:v>
      </x:c>
      <x:c r="B14" s="588" t="str">
        <x:v>2026-09-03 11:07 Israel</x:v>
      </x:c>
      <x:c r="C14" s="591" t="str">
        <x:v>CRDO</x:v>
      </x:c>
      <x:c r="D14" s="591" t="str">
        <x:v>Credo Technology</x:v>
      </x:c>
      <x:c r="E14" s="591" t="str">
        <x:v>EXTERNAL-CANDIDATE</x:v>
      </x:c>
      <x:c r="F14" s="600" t="n">
        <x:v>165.22</x:v>
      </x:c>
      <x:c r="G14" s="600" t="n">
        <x:v>165.22</x:v>
      </x:c>
      <x:c r="H14" s="600" t="n">
        <x:f>F14-G14</x:f>
        <x:v>0</x:v>
      </x:c>
      <x:c r="I14" s="603" t="n">
        <x:f>IF(G14=0,0,H14/G14)</x:f>
        <x:v>0</x:v>
      </x:c>
      <x:c r="J14" s="597" t="n">
        <x:v>46268.010416666664</x:v>
      </x:c>
      <x:c r="K14" s="588" t="str">
        <x:v>NO NEW TRADE</x:v>
      </x:c>
      <x:c r="L14" s="594" t="str">
        <x:v>https://www.nasdaq.com/market-activity/stocks/crdo</x:v>
      </x:c>
    </x:row>
    <x:row r="15" ht="32" customHeight="1">
      <x:c r="A15" s="596" t="n">
        <x:v>46268.338275462964</x:v>
      </x:c>
      <x:c r="B15" s="587" t="str">
        <x:v>2026-09-03 11:07 Israel</x:v>
      </x:c>
      <x:c r="C15" s="590" t="str">
        <x:v>ARM</x:v>
      </x:c>
      <x:c r="D15" s="590" t="str">
        <x:v>Arm Holdings</x:v>
      </x:c>
      <x:c r="E15" s="590" t="str">
        <x:v>EXTERNAL-CANDIDATE</x:v>
      </x:c>
      <x:c r="F15" s="599" t="n">
        <x:v>234.86</x:v>
      </x:c>
      <x:c r="G15" s="599" t="n">
        <x:v>234.86</x:v>
      </x:c>
      <x:c r="H15" s="599" t="n">
        <x:f>F15-G15</x:f>
        <x:v>0</x:v>
      </x:c>
      <x:c r="I15" s="602" t="n">
        <x:f>IF(G15=0,0,H15/G15)</x:f>
        <x:v>0</x:v>
      </x:c>
      <x:c r="J15" s="596" t="n">
        <x:v>46268.010416666664</x:v>
      </x:c>
      <x:c r="K15" s="587" t="str">
        <x:v>NO NEW TRADE</x:v>
      </x:c>
      <x:c r="L15" s="593" t="str">
        <x:v>https://www.nasdaq.com/market-activity/stocks/arm</x:v>
      </x:c>
    </x:row>
    <x:row r="16" ht="32" customHeight="1">
      <x:c r="A16" s="597" t="n">
        <x:v>46268.338275462964</x:v>
      </x:c>
      <x:c r="B16" s="588" t="str">
        <x:v>2026-09-03 11:07 Israel</x:v>
      </x:c>
      <x:c r="C16" s="591" t="str">
        <x:v>COHR</x:v>
      </x:c>
      <x:c r="D16" s="591" t="str">
        <x:v>Coherent</x:v>
      </x:c>
      <x:c r="E16" s="591" t="str">
        <x:v>EXTERNAL-CANDIDATE</x:v>
      </x:c>
      <x:c r="F16" s="600" t="n">
        <x:v>268.64</x:v>
      </x:c>
      <x:c r="G16" s="600" t="n">
        <x:v>268.64</x:v>
      </x:c>
      <x:c r="H16" s="600" t="n">
        <x:f>F16-G16</x:f>
        <x:v>0</x:v>
      </x:c>
      <x:c r="I16" s="603" t="n">
        <x:f>IF(G16=0,0,H16/G16)</x:f>
        <x:v>0</x:v>
      </x:c>
      <x:c r="J16" s="597" t="n">
        <x:v>46267.99657407407</x:v>
      </x:c>
      <x:c r="K16" s="588" t="str">
        <x:v>NO NEW TRADE</x:v>
      </x:c>
      <x:c r="L16" s="594" t="str">
        <x:v>https://www.nasdaq.com/market-activity/stocks/cohr</x:v>
      </x:c>
    </x:row>
    <x:row r="17" ht="32" customHeight="1">
      <x:c r="A17" s="596" t="n">
        <x:v>46268.338275462964</x:v>
      </x:c>
      <x:c r="B17" s="587" t="str">
        <x:v>2026-09-03 11:07 Israel</x:v>
      </x:c>
      <x:c r="C17" s="590" t="str">
        <x:v>MRVL</x:v>
      </x:c>
      <x:c r="D17" s="590" t="str">
        <x:v>Marvell Technology</x:v>
      </x:c>
      <x:c r="E17" s="590" t="str">
        <x:v>CORE-100</x:v>
      </x:c>
      <x:c r="F17" s="599" t="n">
        <x:v>206.48</x:v>
      </x:c>
      <x:c r="G17" s="599" t="n">
        <x:v>206.48</x:v>
      </x:c>
      <x:c r="H17" s="599" t="n">
        <x:f>F17-G17</x:f>
        <x:v>0</x:v>
      </x:c>
      <x:c r="I17" s="602" t="n">
        <x:f>IF(G17=0,0,H17/G17)</x:f>
        <x:v>0</x:v>
      </x:c>
      <x:c r="J17" s="596" t="n">
        <x:v>46268.010416666664</x:v>
      </x:c>
      <x:c r="K17" s="587" t="str">
        <x:v>NO NEW TRADE</x:v>
      </x:c>
      <x:c r="L17" s="593" t="str">
        <x:v>https://www.nasdaq.com/market-activity/stocks/mrvl</x:v>
      </x:c>
    </x:row>
    <x:row r="18" ht="32" customHeight="1">
      <x:c r="A18" s="597" t="n">
        <x:v>46268.338275462964</x:v>
      </x:c>
      <x:c r="B18" s="588" t="str">
        <x:v>2026-09-03 11:07 Israel</x:v>
      </x:c>
      <x:c r="C18" s="591" t="str">
        <x:v>VRT</x:v>
      </x:c>
      <x:c r="D18" s="591" t="str">
        <x:v>Vertiv</x:v>
      </x:c>
      <x:c r="E18" s="591" t="str">
        <x:v>CORE-100</x:v>
      </x:c>
      <x:c r="F18" s="600" t="n">
        <x:v>256.7</x:v>
      </x:c>
      <x:c r="G18" s="600" t="n">
        <x:v>256.7</x:v>
      </x:c>
      <x:c r="H18" s="600" t="n">
        <x:f>F18-G18</x:f>
        <x:v>0</x:v>
      </x:c>
      <x:c r="I18" s="603" t="n">
        <x:f>IF(G18=0,0,H18/G18)</x:f>
        <x:v>0</x:v>
      </x:c>
      <x:c r="J18" s="597" t="n">
        <x:v>46267.98994212963</x:v>
      </x:c>
      <x:c r="K18" s="588" t="str">
        <x:v>NO NEW TRADE</x:v>
      </x:c>
      <x:c r="L18" s="594" t="str">
        <x:v>https://www.nyse.com/quote/XNYS:VRT</x:v>
      </x:c>
    </x:row>
    <x:row r="19" ht="32" customHeight="1">
      <x:c r="A19" s="596" t="n">
        <x:v>46268.338275462964</x:v>
      </x:c>
      <x:c r="B19" s="587" t="str">
        <x:v>2026-09-03 11:07 Israel</x:v>
      </x:c>
      <x:c r="C19" s="590" t="str">
        <x:v>NBIS</x:v>
      </x:c>
      <x:c r="D19" s="590" t="str">
        <x:v>Nebius Group</x:v>
      </x:c>
      <x:c r="E19" s="590" t="str">
        <x:v>EXTERNAL-CANDIDATE</x:v>
      </x:c>
      <x:c r="F19" s="599" t="n">
        <x:v>204.09</x:v>
      </x:c>
      <x:c r="G19" s="599" t="n">
        <x:v>204.09</x:v>
      </x:c>
      <x:c r="H19" s="599" t="n">
        <x:f>F19-G19</x:f>
        <x:v>0</x:v>
      </x:c>
      <x:c r="I19" s="602" t="n">
        <x:f>IF(G19=0,0,H19/G19)</x:f>
        <x:v>0</x:v>
      </x:c>
      <x:c r="J19" s="596" t="n">
        <x:v>46268.010416666664</x:v>
      </x:c>
      <x:c r="K19" s="587" t="str">
        <x:v>NO NEW TRADE</x:v>
      </x:c>
      <x:c r="L19" s="593" t="str">
        <x:v>https://www.nasdaq.com/market-activity/stocks/nbis</x:v>
      </x:c>
    </x:row>
  </x:sheetData>
  <x:mergeCells>
    <x:mergeCell ref="A1:L1"/>
    <x:mergeCell ref="A2:L2"/>
    <x:mergeCell ref="A3:L3"/>
    <x:mergeCell ref="C5:D5"/>
    <x:mergeCell ref="C6:D6"/>
    <x:mergeCell ref="C7:D7"/>
    <x:mergeCell ref="C8:D8"/>
    <x:mergeCell ref="C9:D9"/>
  </x:mergeCells>
  <x:conditionalFormatting sqref="K12:K19">
    <x:cfRule type="containsText" dxfId="64" priority="1" operator="containsText" text="UPDATED"/>
    <x:cfRule type="containsText" dxfId="65" priority="2" operator="containsText" text="NO NEW TRADE"/>
  </x:conditionalFormatting>
  <x:pageMargins left="0.7" right="0.7" top="0.75" bottom="0.75" header="0.3" footer="0.3"/>
  <x:tableParts count="1">
    <x:tablePart xmlns:r="http://schemas.openxmlformats.org/officeDocument/2006/relationships" r:id="Rcaab702bb36741aa"/>
  </x:tableParts>
</x:worksheet>
</file>